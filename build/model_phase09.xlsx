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Inputs" sheetId="2" state="visible" r:id="rId2"/>
    <sheet name="UnitMatrix" sheetId="3" state="visible" r:id="rId3"/>
    <sheet name="Budget" sheetId="4" state="visible" r:id="rId4"/>
    <sheet name="Timeline" sheetId="5" state="visible" r:id="rId5"/>
    <sheet name="DevSpend" sheetId="6" state="visible" r:id="rId6"/>
    <sheet name="ConLoan" sheetId="7" state="visible" r:id="rId7"/>
    <sheet name="LeaseUp" sheetId="8" state="visible" r:id="rId8"/>
    <sheet name="Operating" sheetId="9" state="visible" r:id="rId9"/>
    <sheet name="PermLoan" sheetId="10" state="visible" r:id="rId10"/>
    <sheet name="Disposition" sheetId="11" state="visible" r:id="rId11"/>
    <sheet name="CashFlow" sheetId="12" state="visible" r:id="rId12"/>
    <sheet name="Returns" sheetId="13" state="visible" r:id="rId13"/>
    <sheet name="Diagnostics" sheetId="14" state="visible" r:id="rId14"/>
  </sheets>
  <definedNames>
    <definedName name="InvestmentType">'Inputs'!$B$5</definedName>
    <definedName name="PropertyName">'Inputs'!$B$6</definedName>
    <definedName name="City">'Inputs'!$B$7</definedName>
    <definedName name="State">'Inputs'!$B$8</definedName>
    <definedName name="Market">'Inputs'!$B$9</definedName>
    <definedName name="ProductType">'Inputs'!$B$10</definedName>
    <definedName name="Location">'Inputs'!$B$11</definedName>
    <definedName name="InceptionDate">'Inputs'!$B$12</definedName>
    <definedName name="HoldPeriodMonths">'Inputs'!$B$15</definedName>
    <definedName name="EntryCapRate">'Inputs'!$B$16</definedName>
    <definedName name="CapAdjLocation">'Inputs'!$B$17</definedName>
    <definedName name="CapAdjSize">'Inputs'!$B$18</definedName>
    <definedName name="CapAdjAging">'Inputs'!$B$19</definedName>
    <definedName name="ExitCapResidential">'Inputs'!$B$20</definedName>
    <definedName name="ExitCapRetail">'Inputs'!$B$21</definedName>
    <definedName name="GrowthRent">'Inputs'!$B$22</definedName>
    <definedName name="GrowthLowIncRent">'Inputs'!$B$23</definedName>
    <definedName name="GrowthExpense">'Inputs'!$B$24</definedName>
    <definedName name="GrowthUtility">'Inputs'!$B$25</definedName>
    <definedName name="GrowthTax">'Inputs'!$B$26</definedName>
    <definedName name="GrowthOther">'Inputs'!$B$27</definedName>
    <definedName name="GrowthStartDate">'Inputs'!$B$28</definedName>
    <definedName name="LeaseUpIncomeOffset">'Inputs'!$B$31</definedName>
    <definedName name="UnitsDeliveredPerMo">'Inputs'!$B$32</definedName>
    <definedName name="UnitsLeasedPerMo">'Inputs'!$B$33</definedName>
    <definedName name="LeaseUpRampPct">'Inputs'!$B$34</definedName>
    <definedName name="LeaseUpElevationPct">'Inputs'!$B$35</definedName>
    <definedName name="StabilizedOccupancy">'Inputs'!$B$36</definedName>
    <definedName name="LandCost">'Inputs'!$B$39</definedName>
    <definedName name="GrossAcres">'Inputs'!$B$40</definedName>
    <definedName name="NetAcres">'Inputs'!$B$41</definedName>
    <definedName name="FARRatio">'Inputs'!$B$42</definedName>
    <definedName name="EfficiencyRatio">'Inputs'!$B$43</definedName>
    <definedName name="ExistingStructureCost">'Inputs'!$B$44</definedName>
    <definedName name="TaxLevyPct">'Inputs'!$B$47</definedName>
    <definedName name="TaxAssessmentPct">'Inputs'!$B$48</definedName>
    <definedName name="TaxValueAdjFactor">'Inputs'!$B$49</definedName>
    <definedName name="TaxMethodValue">'Inputs'!$B$50</definedName>
    <definedName name="TaxYear1Override">'Inputs'!$B$51</definedName>
    <definedName name="ReassessOnSale">'Inputs'!$B$52</definedName>
    <definedName name="DispoTaxRatePct">'Inputs'!$B$53</definedName>
    <definedName name="FundingOrderPari">'Inputs'!$B$56</definedName>
    <definedName name="TargetLTC">'Inputs'!$B$57</definedName>
    <definedName name="OpReserveCoverage">'Inputs'!$B$58</definedName>
    <definedName name="OpReserveMinMonths">'Inputs'!$B$59</definedName>
    <definedName name="ConLoanTermMonths">'Inputs'!$B$62</definedName>
    <definedName name="ConRate">'Inputs'!$B$63</definedName>
    <definedName name="ConActual360">'Inputs'!$B$64</definedName>
    <definedName name="ConPointsPct">'Inputs'!$B$65</definedName>
    <definedName name="ConOtherCosts">'Inputs'!$B$66</definedName>
    <definedName name="ConMinDebtYield">'Inputs'!$B$67</definedName>
    <definedName name="ConMinDSCR">'Inputs'!$B$68</definedName>
    <definedName name="LenderReqReserveOverride">'Inputs'!$B$69</definedName>
    <definedName name="PermMaxLTV">'Inputs'!$B$72</definedName>
    <definedName name="PermRate">'Inputs'!$B$73</definedName>
    <definedName name="PermTermMonths">'Inputs'!$B$74</definedName>
    <definedName name="PermIOMonths">'Inputs'!$B$75</definedName>
    <definedName name="PermAmortMonths">'Inputs'!$B$76</definedName>
    <definedName name="PermActual360">'Inputs'!$B$77</definedName>
    <definedName name="PermPointsPct">'Inputs'!$B$78</definedName>
    <definedName name="PermMinDebtYield">'Inputs'!$B$79</definedName>
    <definedName name="PermMinDSCR">'Inputs'!$B$80</definedName>
    <definedName name="NoCashOut">'Inputs'!$B$81</definedName>
    <definedName name="RefiMonthOverride">'Inputs'!$B$82</definedName>
    <definedName name="DevFeePctDirect">'Inputs'!$B$85</definedName>
    <definedName name="DevFeeThirdPartySplit">'Inputs'!$B$86</definedName>
    <definedName name="SponsorDispoFeePct">'Inputs'!$B$87</definedName>
    <definedName name="RecourseFeePct">'Inputs'!$B$88</definedName>
    <definedName name="BrokerCostPct">'Inputs'!$B$91</definedName>
    <definedName name="SalesTaxPct">'Inputs'!$B$92</definedName>
    <definedName name="TaxProrationMonths">'Inputs'!$B$93</definedName>
    <definedName name="BadDebtPct">'Inputs'!$B$96</definedName>
    <definedName name="ConcessionsPct">'Inputs'!$B$97</definedName>
    <definedName name="LossToLeasePct">'Inputs'!$B$98</definedName>
    <definedName name="ModelUnits">'Inputs'!$B$99</definedName>
    <definedName name="ParkingPerUnitMo">'Inputs'!$B$100</definedName>
    <definedName name="RetailIncomeMo">'Inputs'!$B$101</definedName>
    <definedName name="UtilReimbPerUnitMo">'Inputs'!$B$102</definedName>
    <definedName name="OtherIncPerUnitMo">'Inputs'!$B$103</definedName>
    <definedName name="ExpInsurancePerUnit">'Inputs'!$B$106</definedName>
    <definedName name="ExpUtilitiesPerUnit">'Inputs'!$B$107</definedName>
    <definedName name="ExpPayrollPerUnit">'Inputs'!$B$108</definedName>
    <definedName name="ExpRMPerUnit">'Inputs'!$B$109</definedName>
    <definedName name="ExpTurnoverPerUnit">'Inputs'!$B$110</definedName>
    <definedName name="ExpContractPerUnit">'Inputs'!$B$111</definedName>
    <definedName name="ExpAdminPerUnit">'Inputs'!$B$112</definedName>
    <definedName name="ExpAdvertisingPerUnit">'Inputs'!$B$113</definedName>
    <definedName name="MgmtFeePct">'Inputs'!$B$114</definedName>
    <definedName name="CapReservePerUnit">'Inputs'!$B$115</definedName>
    <definedName name="TaxPrepPerUnit">'Inputs'!$B$116</definedName>
    <definedName name="AssetMgmtFeePct">'Inputs'!$B$117</definedName>
    <definedName name="TotalUnits">'UnitMatrix'!$B$14</definedName>
    <definedName name="MarketUnits">'UnitMatrix'!$B$15</definedName>
    <definedName name="LowUnits">'UnitMatrix'!$B$16</definedName>
    <definedName name="NRSF">'UnitMatrix'!$B$17</definedName>
    <definedName name="BuildableSF">'UnitMatrix'!$B$18</definedName>
    <definedName name="AvgUnitSF">'UnitMatrix'!$B$19</definedName>
    <definedName name="BaseMarketRentMo">'UnitMatrix'!$B$20</definedName>
    <definedName name="BaseLowRentMo">'UnitMatrix'!$B$21</definedName>
    <definedName name="RetailRentMo">'UnitMatrix'!$B$27</definedName>
    <definedName name="BudgetLand">'Budget'!$I$34</definedName>
    <definedName name="BudgetSoft">'Budget'!$I$35</definedName>
    <definedName name="BudgetHard">'Budget'!$I$36</definedName>
    <definedName name="DirectCosts">'Budget'!$I$37</definedName>
    <definedName name="DevFee">'Budget'!$I$38</definedName>
    <definedName name="BudgetTDCref">'Budget'!$I$39</definedName>
    <definedName name="MS_Open_Escrow_Start">'Timeline'!$B$4</definedName>
    <definedName name="MS_Open_Escrow_End">'Timeline'!$D$4</definedName>
    <definedName name="MS_Due_Diligence_Start">'Timeline'!$B$5</definedName>
    <definedName name="MS_Due_Diligence_End">'Timeline'!$D$5</definedName>
    <definedName name="MS_Entitlement_Start">'Timeline'!$B$6</definedName>
    <definedName name="MS_Entitlement_End">'Timeline'!$D$6</definedName>
    <definedName name="MS_Pre_Construction_Start">'Timeline'!$B$7</definedName>
    <definedName name="MS_Pre_Construction_End">'Timeline'!$D$7</definedName>
    <definedName name="MS_Initial_Closing_Start">'Timeline'!$B$8</definedName>
    <definedName name="MS_Initial_Closing_End">'Timeline'!$D$8</definedName>
    <definedName name="MS_Construction_Start">'Timeline'!$B$9</definedName>
    <definedName name="MS_Construction_End">'Timeline'!$D$9</definedName>
    <definedName name="MS_1st_Unit_Delivery_Start">'Timeline'!$B$10</definedName>
    <definedName name="MS_1st_Unit_Delivery_End">'Timeline'!$D$10</definedName>
    <definedName name="MS_Lease_Up_Start">'Timeline'!$B$11</definedName>
    <definedName name="MS_Lease_Up_End">'Timeline'!$D$11</definedName>
    <definedName name="MS_Stabilization_Start">'Timeline'!$B$12</definedName>
    <definedName name="MS_Stabilization_End">'Timeline'!$D$12</definedName>
    <definedName name="MS_Recapitalization_Refinance_Start">'Timeline'!$B$13</definedName>
    <definedName name="MS_Recapitalization_Refinance_End">'Timeline'!$D$13</definedName>
    <definedName name="MS_Disposition_Start">'Timeline'!$B$14</definedName>
    <definedName name="MS_Disposition_End">'Timeline'!$D$14</definedName>
    <definedName name="MilestoneNames">'Timeline'!$A$4:$A$14</definedName>
    <definedName name="MilestoneStart">'Timeline'!$B$4:$B$14</definedName>
    <definedName name="MilestoneEnd">'Timeline'!$D$4:$D$14</definedName>
    <definedName name="ConStart">'Timeline'!$B$17</definedName>
    <definedName name="ConMaturity">'Timeline'!$B$18</definedName>
    <definedName name="DeliverStart">'Timeline'!$B$19</definedName>
    <definedName name="StabMonth">'Timeline'!$B$20</definedName>
    <definedName name="DispoMonth">'Timeline'!$B$21</definedName>
    <definedName name="GrowthStartMonth">'Timeline'!$B$22</definedName>
    <definedName name="RefiFlag">'Timeline'!$B$23</definedName>
    <definedName name="RefiMonth">'Timeline'!$B$24</definedName>
    <definedName name="ConPayoffMonth">'Timeline'!$B$25</definedName>
    <definedName name="ConTaxTotal">'DevSpend'!$C$39</definedName>
    <definedName name="Chk_CostCurve">'DevSpend'!$C$42</definedName>
    <definedName name="Chk_DevFeeCurve">'DevSpend'!$C$43</definedName>
    <definedName name="ConCostBasis">'ConLoan'!$B$4</definedName>
    <definedName name="MaxByLTC">'ConLoan'!$B$5</definedName>
    <definedName name="MaxByDebtYield">'ConLoan'!$B$6</definedName>
    <definedName name="MaxByDSCR">'ConLoan'!$B$7</definedName>
    <definedName name="ConCostCommit">'ConLoan'!$B$8</definedName>
    <definedName name="ConPoints">'ConLoan'!$B$9</definedName>
    <definedName name="RecourseFee">'ConLoan'!$B$10</definedName>
    <definedName name="ConCostExInt">'ConLoan'!$B$11</definedName>
    <definedName name="DebtShare">'ConLoan'!$B$12</definedName>
    <definedName name="EquityBudget">'ConLoan'!$B$13</definedName>
    <definedName name="ConDYtest">'ConLoan'!$B$16</definedName>
    <definedName name="ConDSCRtest">'ConLoan'!$B$17</definedName>
    <definedName name="ConRealizedLTC">'ConLoan'!$B$18</definedName>
    <definedName name="InterestReserveAccrued">'ConLoan'!$B$35</definedName>
    <definedName name="InterestReserveFunded">'ConLoan'!$B$36</definedName>
    <definedName name="ConLoanTotal">'ConLoan'!$B$37</definedName>
    <definedName name="ConPayoffBal">'ConLoan'!$B$38</definedName>
    <definedName name="TDC_Total">'ConLoan'!$B$39</definedName>
    <definedName name="EquityTotal">'ConLoan'!$B$40</definedName>
    <definedName name="LTC_Realized">'ConLoan'!$B$41</definedName>
    <definedName name="Chk_DebtDraws">'ConLoan'!$B$44</definedName>
    <definedName name="Chk_EquityDraws">'ConLoan'!$B$45</definedName>
    <definedName name="Chk_Uses">'ConLoan'!$B$46</definedName>
    <definedName name="Chk_ConBalEnd">'ConLoan'!$B$47</definedName>
    <definedName name="Chk_IntReserve">'ConLoan'!$B$48</definedName>
    <definedName name="StabLeasedTarget">'LeaseUp'!$B$3</definedName>
    <definedName name="Chk_LeaseUpReached">'LeaseUp'!$B$13</definedName>
    <definedName name="Chk_UnitsDelivered">'LeaseUp'!$B$14</definedName>
    <definedName name="StabNOIbt">'Operating'!$B$47</definedName>
    <definedName name="StabNOI">'Operating'!$B$48</definedName>
    <definedName name="Year1NOI">'Operating'!$B$49</definedName>
    <definedName name="PeakShort">'Operating'!$B$50</definedName>
    <definedName name="OpReserve">'Operating'!$B$51</definedName>
    <definedName name="EffTaxRateOnValue">'Operating'!$B$54</definedName>
    <definedName name="DispoEffTaxRate">'Operating'!$B$55</definedName>
    <definedName name="AssessedValueStab">'Operating'!$B$56</definedName>
    <definedName name="TaxYear1">'Operating'!$B$57</definedName>
    <definedName name="StabTaxAnnual">'Operating'!$B$58</definedName>
    <definedName name="Chk_TaxMethod">'Operating'!$B$59</definedName>
    <definedName name="StabNOIrefi">'PermLoan'!$B$4</definedName>
    <definedName name="ValueAtRefi">'PermLoan'!$B$5</definedName>
    <definedName name="MortConst">'PermLoan'!$B$6</definedName>
    <definedName name="MaxLTVperm">'PermLoan'!$B$7</definedName>
    <definedName name="MaxDYperm">'PermLoan'!$B$8</definedName>
    <definedName name="MaxDSCRperm">'PermLoan'!$B$9</definedName>
    <definedName name="PermSized">'PermLoan'!$B$10</definedName>
    <definedName name="PermNeedNCO">'PermLoan'!$B$11</definedName>
    <definedName name="PermLoan">'PermLoan'!$B$12</definedName>
    <definedName name="PermPoints">'PermLoan'!$B$13</definedName>
    <definedName name="RefiCashOut">'PermLoan'!$B$14</definedName>
    <definedName name="PermPmt">'PermLoan'!$B$15</definedName>
    <definedName name="PermLTVtest">'PermLoan'!$B$18</definedName>
    <definedName name="PermDYtest">'PermLoan'!$B$19</definedName>
    <definedName name="PermDSCRtest">'PermLoan'!$B$20</definedName>
    <definedName name="PermPayoffBal">'PermLoan'!$B$32</definedName>
    <definedName name="Chk_RefiBalance">'PermLoan'!$B$33</definedName>
  </definedNames>
  <calcPr calcId="124519" fullCalcOnLoad="1"/>
</workbook>
</file>

<file path=xl/styles.xml><?xml version="1.0" encoding="utf-8"?>
<styleSheet xmlns="http://schemas.openxmlformats.org/spreadsheetml/2006/main">
  <numFmts count="10">
    <numFmt numFmtId="164" formatCode="yyyy-mm-dd"/>
    <numFmt numFmtId="165" formatCode="mmm-yyyy"/>
    <numFmt numFmtId="166" formatCode="#,##0&quot; mo&quot;"/>
    <numFmt numFmtId="167" formatCode="0.0%"/>
    <numFmt numFmtId="168" formatCode="$#,##0;($#,##0)"/>
    <numFmt numFmtId="169" formatCode="0.00&quot;x&quot;"/>
    <numFmt numFmtId="170" formatCode="#,##0;(#,##0)"/>
    <numFmt numFmtId="171" formatCode="$#,##0.00;($#,##0.00)"/>
    <numFmt numFmtId="172" formatCode="0.0000%"/>
    <numFmt numFmtId="173" formatCode="0.000%"/>
  </numFmts>
  <fonts count="10">
    <font>
      <name val="Calibri"/>
      <family val="2"/>
      <color theme="1"/>
      <sz val="11"/>
      <scheme val="minor"/>
    </font>
    <font>
      <name val="Calibri"/>
      <b val="1"/>
      <color rgb="FF1F3864"/>
      <sz val="16"/>
    </font>
    <font>
      <name val="Calibri"/>
      <i val="1"/>
      <color rgb="FF000000"/>
      <sz val="10"/>
    </font>
    <font>
      <name val="Calibri"/>
      <b val="1"/>
      <color rgb="FFFFFFFF"/>
      <sz val="11"/>
    </font>
    <font>
      <name val="Calibri"/>
      <color rgb="FF000000"/>
      <sz val="10"/>
    </font>
    <font>
      <name val="Calibri"/>
      <color rgb="FF0000CC"/>
      <sz val="10"/>
    </font>
    <font>
      <name val="Calibri"/>
      <b val="1"/>
      <color rgb="FF1F3864"/>
      <sz val="10"/>
    </font>
    <font>
      <name val="Calibri"/>
      <b val="1"/>
      <color rgb="FF000000"/>
      <sz val="10"/>
    </font>
    <font>
      <name val="Calibri"/>
      <color rgb="FF006100"/>
      <sz val="10"/>
    </font>
    <font>
      <name val="Calibri"/>
      <b val="1"/>
      <color rgb="FF006100"/>
      <sz val="10"/>
    </font>
  </fonts>
  <fills count="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DF3D0"/>
      </patternFill>
    </fill>
    <fill>
      <patternFill patternType="solid">
        <fgColor rgb="FFD6DCE4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0" borderId="0" applyAlignment="1" pivotButton="0" quotePrefix="0" xfId="0">
      <alignment horizontal="left" vertical="center"/>
    </xf>
    <xf numFmtId="49" fontId="5" fillId="3" borderId="1" applyAlignment="1" pivotButton="0" quotePrefix="0" xfId="0">
      <alignment horizontal="left" vertical="center"/>
    </xf>
    <xf numFmtId="165" fontId="5" fillId="3" borderId="1" applyAlignment="1" pivotButton="0" quotePrefix="0" xfId="0">
      <alignment horizontal="right" vertical="center"/>
    </xf>
    <xf numFmtId="166" fontId="5" fillId="3" borderId="1" applyAlignment="1" pivotButton="0" quotePrefix="0" xfId="0">
      <alignment horizontal="right" vertical="center"/>
    </xf>
    <xf numFmtId="10" fontId="5" fillId="3" borderId="1" applyAlignment="1" pivotButton="0" quotePrefix="0" xfId="0">
      <alignment horizontal="right" vertical="center"/>
    </xf>
    <xf numFmtId="3" fontId="5" fillId="3" borderId="1" applyAlignment="1" pivotButton="0" quotePrefix="0" xfId="0">
      <alignment horizontal="right" vertical="center"/>
    </xf>
    <xf numFmtId="167" fontId="5" fillId="3" borderId="1" applyAlignment="1" pivotButton="0" quotePrefix="0" xfId="0">
      <alignment horizontal="right" vertical="center"/>
    </xf>
    <xf numFmtId="168" fontId="5" fillId="3" borderId="1" applyAlignment="1" pivotButton="0" quotePrefix="0" xfId="0">
      <alignment horizontal="right" vertical="center"/>
    </xf>
    <xf numFmtId="4" fontId="5" fillId="3" borderId="1" applyAlignment="1" pivotButton="0" quotePrefix="0" xfId="0">
      <alignment horizontal="right" vertical="center"/>
    </xf>
    <xf numFmtId="169" fontId="5" fillId="3" borderId="1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170" fontId="4" fillId="0" borderId="0" applyAlignment="1" pivotButton="0" quotePrefix="0" xfId="0">
      <alignment horizontal="right" vertical="center"/>
    </xf>
    <xf numFmtId="171" fontId="4" fillId="0" borderId="0" applyAlignment="1" pivotButton="0" quotePrefix="0" xfId="0">
      <alignment horizontal="right" vertical="center"/>
    </xf>
    <xf numFmtId="167" fontId="4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3" fontId="7" fillId="5" borderId="0" applyAlignment="1" pivotButton="0" quotePrefix="0" xfId="0">
      <alignment horizontal="right" vertical="center"/>
    </xf>
    <xf numFmtId="0" fontId="0" fillId="4" borderId="0" pivotButton="0" quotePrefix="0" xfId="0"/>
    <xf numFmtId="3" fontId="8" fillId="0" borderId="0" applyAlignment="1" pivotButton="0" quotePrefix="0" xfId="0">
      <alignment horizontal="right" vertical="center"/>
    </xf>
    <xf numFmtId="170" fontId="8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right" vertical="center"/>
    </xf>
    <xf numFmtId="171" fontId="5" fillId="3" borderId="1" applyAlignment="1" pivotButton="0" quotePrefix="0" xfId="0">
      <alignment horizontal="right" vertical="center"/>
    </xf>
    <xf numFmtId="170" fontId="5" fillId="3" borderId="1" applyAlignment="1" pivotButton="0" quotePrefix="0" xfId="0">
      <alignment horizontal="right" vertical="center"/>
    </xf>
    <xf numFmtId="170" fontId="9" fillId="5" borderId="0" applyAlignment="1" pivotButton="0" quotePrefix="0" xfId="0">
      <alignment horizontal="right" vertical="center"/>
    </xf>
    <xf numFmtId="0" fontId="6" fillId="0" borderId="0" pivotButton="0" quotePrefix="0" xfId="0"/>
    <xf numFmtId="166" fontId="4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right" vertical="center"/>
    </xf>
    <xf numFmtId="3" fontId="9" fillId="0" borderId="0" applyAlignment="1" pivotButton="0" quotePrefix="0" xfId="0">
      <alignment horizontal="right" vertical="center"/>
    </xf>
    <xf numFmtId="0" fontId="6" fillId="0" borderId="0" pivotButton="0" quotePrefix="0" xfId="0"/>
    <xf numFmtId="3" fontId="6" fillId="0" borderId="0" applyAlignment="1" pivotButton="0" quotePrefix="0" xfId="0">
      <alignment horizontal="right" vertical="center"/>
    </xf>
    <xf numFmtId="0" fontId="2" fillId="0" borderId="0" pivotButton="0" quotePrefix="0" xfId="0"/>
    <xf numFmtId="17" fontId="2" fillId="0" borderId="0" applyAlignment="1" pivotButton="0" quotePrefix="0" xfId="0">
      <alignment horizontal="right" vertical="center"/>
    </xf>
    <xf numFmtId="3" fontId="7" fillId="0" borderId="0" applyAlignment="1" pivotButton="0" quotePrefix="0" xfId="0">
      <alignment horizontal="right" vertical="center"/>
    </xf>
    <xf numFmtId="170" fontId="7" fillId="5" borderId="0" applyAlignment="1" pivotButton="0" quotePrefix="0" xfId="0">
      <alignment horizontal="right" vertical="center"/>
    </xf>
    <xf numFmtId="49" fontId="4" fillId="0" borderId="0" applyAlignment="1" pivotButton="0" quotePrefix="0" xfId="0">
      <alignment horizontal="right" vertical="center"/>
    </xf>
    <xf numFmtId="170" fontId="7" fillId="0" borderId="0" applyAlignment="1" pivotButton="0" quotePrefix="0" xfId="0">
      <alignment horizontal="right" vertical="center"/>
    </xf>
    <xf numFmtId="170" fontId="9" fillId="0" borderId="0" applyAlignment="1" pivotButton="0" quotePrefix="0" xfId="0">
      <alignment horizontal="right" vertical="center"/>
    </xf>
    <xf numFmtId="10" fontId="9" fillId="0" borderId="0" applyAlignment="1" pivotButton="0" quotePrefix="0" xfId="0">
      <alignment horizontal="right" vertical="center"/>
    </xf>
    <xf numFmtId="10" fontId="4" fillId="0" borderId="0" applyAlignment="1" pivotButton="0" quotePrefix="0" xfId="0">
      <alignment horizontal="right" vertical="center"/>
    </xf>
    <xf numFmtId="169" fontId="4" fillId="0" borderId="0" applyAlignment="1" pivotButton="0" quotePrefix="0" xfId="0">
      <alignment horizontal="right" vertical="center"/>
    </xf>
    <xf numFmtId="172" fontId="7" fillId="0" borderId="0" applyAlignment="1" pivotButton="0" quotePrefix="0" xfId="0">
      <alignment horizontal="right" vertical="center"/>
    </xf>
    <xf numFmtId="172" fontId="4" fillId="0" borderId="0" applyAlignment="1" pivotButton="0" quotePrefix="0" xfId="0">
      <alignment horizontal="right" vertical="center"/>
    </xf>
    <xf numFmtId="10" fontId="9" fillId="5" borderId="0" applyAlignment="1" pivotButton="0" quotePrefix="0" xfId="0">
      <alignment horizontal="right" vertical="center"/>
    </xf>
    <xf numFmtId="167" fontId="7" fillId="0" borderId="0" applyAlignment="1" pivotButton="0" quotePrefix="0" xfId="0">
      <alignment horizontal="right" vertical="center"/>
    </xf>
    <xf numFmtId="4" fontId="7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173" fontId="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34" customWidth="1" min="1" max="1"/>
    <col width="16" customWidth="1" min="2" max="2"/>
    <col width="44" customWidth="1" min="3" max="3"/>
    <col width="4" customWidth="1" min="4" max="4"/>
    <col width="20" customWidth="1" min="5" max="5"/>
  </cols>
  <sheetData>
    <row r="1">
      <c r="A1" s="1" t="inlineStr">
        <is>
          <t>Institutional Multifamily Development Model — Inputs</t>
        </is>
      </c>
    </row>
    <row r="2">
      <c r="A2" s="2" t="inlineStr">
        <is>
          <t>Blue = hard-keyed input.  Every value below is a workbook named range.</t>
        </is>
      </c>
    </row>
    <row r="4">
      <c r="A4" s="3" t="inlineStr">
        <is>
          <t>Property Details</t>
        </is>
      </c>
      <c r="B4" s="4" t="n"/>
      <c r="C4" s="4" t="n"/>
    </row>
    <row r="5">
      <c r="A5" s="5" t="inlineStr">
        <is>
          <t>Investment Type</t>
        </is>
      </c>
      <c r="B5" s="6" t="inlineStr">
        <is>
          <t>Ground-Up Development</t>
        </is>
      </c>
      <c r="C5" s="2" t="inlineStr">
        <is>
          <t>Investment type</t>
        </is>
      </c>
    </row>
    <row r="6">
      <c r="A6" s="5" t="inlineStr">
        <is>
          <t>Property Name</t>
        </is>
      </c>
      <c r="B6" s="6" t="inlineStr">
        <is>
          <t>Meridian Apartments</t>
        </is>
      </c>
      <c r="C6" s="2" t="inlineStr">
        <is>
          <t>Deal name</t>
        </is>
      </c>
    </row>
    <row r="7">
      <c r="A7" s="5" t="inlineStr">
        <is>
          <t>City</t>
        </is>
      </c>
      <c r="B7" s="6" t="inlineStr">
        <is>
          <t>Austin</t>
        </is>
      </c>
    </row>
    <row r="8">
      <c r="A8" s="5" t="inlineStr">
        <is>
          <t>State</t>
        </is>
      </c>
      <c r="B8" s="6" t="inlineStr">
        <is>
          <t>TX</t>
        </is>
      </c>
    </row>
    <row r="9">
      <c r="A9" s="5" t="inlineStr">
        <is>
          <t>Market</t>
        </is>
      </c>
      <c r="B9" s="6" t="inlineStr">
        <is>
          <t>Austin-Round Rock</t>
        </is>
      </c>
      <c r="C9" s="2" t="inlineStr">
        <is>
          <t>MSA</t>
        </is>
      </c>
    </row>
    <row r="10">
      <c r="A10" s="5" t="inlineStr">
        <is>
          <t>Product Type</t>
        </is>
      </c>
      <c r="B10" s="6" t="inlineStr">
        <is>
          <t>Garden / Mid-Rise</t>
        </is>
      </c>
    </row>
    <row r="11">
      <c r="A11" s="5" t="inlineStr">
        <is>
          <t>Location</t>
        </is>
      </c>
      <c r="B11" s="6" t="inlineStr">
        <is>
          <t>Suburban Infill</t>
        </is>
      </c>
    </row>
    <row r="12">
      <c r="A12" s="5" t="inlineStr">
        <is>
          <t>Inception Date</t>
        </is>
      </c>
      <c r="B12" s="7" t="n">
        <v>46023</v>
      </c>
      <c r="C12" s="2" t="inlineStr">
        <is>
          <t>Model period 1 = this month</t>
        </is>
      </c>
    </row>
    <row r="14">
      <c r="A14" s="3" t="inlineStr">
        <is>
          <t>Investment Details</t>
        </is>
      </c>
      <c r="B14" s="4" t="n"/>
      <c r="C14" s="4" t="n"/>
    </row>
    <row r="15">
      <c r="A15" s="5" t="inlineStr">
        <is>
          <t>Hold Period Months</t>
        </is>
      </c>
      <c r="B15" s="8" t="n">
        <v>84</v>
      </c>
      <c r="C15" s="2" t="inlineStr">
        <is>
          <t>Disposition month (1-360 toggle)</t>
        </is>
      </c>
    </row>
    <row r="16">
      <c r="A16" s="5" t="inlineStr">
        <is>
          <t>Entry Cap Rate</t>
        </is>
      </c>
      <c r="B16" s="9" t="n">
        <v>0.0475</v>
      </c>
      <c r="C16" s="2" t="inlineStr">
        <is>
          <t>Market / entry cap rate</t>
        </is>
      </c>
    </row>
    <row r="17">
      <c r="A17" s="5" t="inlineStr">
        <is>
          <t>Cap Adj Location</t>
        </is>
      </c>
      <c r="B17" s="9" t="n">
        <v>0</v>
      </c>
      <c r="C17" s="2" t="inlineStr">
        <is>
          <t>Location adjustment (+/-)</t>
        </is>
      </c>
    </row>
    <row r="18">
      <c r="A18" s="5" t="inlineStr">
        <is>
          <t>Cap Adj Size</t>
        </is>
      </c>
      <c r="B18" s="9" t="n">
        <v>0</v>
      </c>
      <c r="C18" s="2" t="inlineStr">
        <is>
          <t>Size adjustment (+/-)</t>
        </is>
      </c>
    </row>
    <row r="19">
      <c r="A19" s="5" t="inlineStr">
        <is>
          <t>Cap Adj Aging</t>
        </is>
      </c>
      <c r="B19" s="9" t="n">
        <v>0.0025</v>
      </c>
      <c r="C19" s="2" t="inlineStr">
        <is>
          <t>Aging adjustment (+/-)</t>
        </is>
      </c>
    </row>
    <row r="20">
      <c r="A20" s="5" t="inlineStr">
        <is>
          <t>Exit Cap Residential</t>
        </is>
      </c>
      <c r="B20" s="9" t="n">
        <v>0.05</v>
      </c>
      <c r="C20" s="2" t="inlineStr">
        <is>
          <t>Exit cap - residential</t>
        </is>
      </c>
    </row>
    <row r="21">
      <c r="A21" s="5" t="inlineStr">
        <is>
          <t>Exit Cap Retail</t>
        </is>
      </c>
      <c r="B21" s="9" t="n">
        <v>0.065</v>
      </c>
      <c r="C21" s="2" t="inlineStr">
        <is>
          <t>Exit cap - retail</t>
        </is>
      </c>
    </row>
    <row r="22">
      <c r="A22" s="5" t="inlineStr">
        <is>
          <t>Growth Rent</t>
        </is>
      </c>
      <c r="B22" s="9" t="n">
        <v>0.03</v>
      </c>
      <c r="C22" s="2" t="inlineStr">
        <is>
          <t>Annual market-rent growth</t>
        </is>
      </c>
    </row>
    <row r="23">
      <c r="A23" s="5" t="inlineStr">
        <is>
          <t>Growth Low Inc Rent</t>
        </is>
      </c>
      <c r="B23" s="9" t="n">
        <v>0.02</v>
      </c>
      <c r="C23" s="2" t="inlineStr">
        <is>
          <t>Annual low-income-rent growth</t>
        </is>
      </c>
    </row>
    <row r="24">
      <c r="A24" s="5" t="inlineStr">
        <is>
          <t>Growth Expense</t>
        </is>
      </c>
      <c r="B24" s="9" t="n">
        <v>0.03</v>
      </c>
      <c r="C24" s="2" t="inlineStr">
        <is>
          <t>Annual expense growth</t>
        </is>
      </c>
    </row>
    <row r="25">
      <c r="A25" s="5" t="inlineStr">
        <is>
          <t>Growth Utility</t>
        </is>
      </c>
      <c r="B25" s="9" t="n">
        <v>0.035</v>
      </c>
      <c r="C25" s="2" t="inlineStr">
        <is>
          <t>Annual utility growth</t>
        </is>
      </c>
    </row>
    <row r="26">
      <c r="A26" s="5" t="inlineStr">
        <is>
          <t>Growth Tax</t>
        </is>
      </c>
      <c r="B26" s="9" t="n">
        <v>0.02</v>
      </c>
      <c r="C26" s="2" t="inlineStr">
        <is>
          <t>Annual tax growth</t>
        </is>
      </c>
    </row>
    <row r="27">
      <c r="A27" s="5" t="inlineStr">
        <is>
          <t>Growth Other</t>
        </is>
      </c>
      <c r="B27" s="9" t="n">
        <v>0.03</v>
      </c>
      <c r="C27" s="2" t="inlineStr">
        <is>
          <t>Annual other-income growth</t>
        </is>
      </c>
    </row>
    <row r="28">
      <c r="A28" s="5" t="inlineStr">
        <is>
          <t>Growth Start Date</t>
        </is>
      </c>
      <c r="B28" s="7" t="n">
        <v>46054</v>
      </c>
      <c r="C28" s="2" t="inlineStr">
        <is>
          <t>Date all growth trending begins (override)</t>
        </is>
      </c>
    </row>
    <row r="30">
      <c r="A30" s="3" t="inlineStr">
        <is>
          <t>Unit Delivery &amp; Lease-Up</t>
        </is>
      </c>
      <c r="B30" s="4" t="n"/>
      <c r="C30" s="4" t="n"/>
    </row>
    <row r="31">
      <c r="A31" s="5" t="inlineStr">
        <is>
          <t>Lease Up Income Offset</t>
        </is>
      </c>
      <c r="B31" s="10" t="n">
        <v>1</v>
      </c>
      <c r="C31" s="2" t="inlineStr">
        <is>
          <t>1=offset lease-up income vs equity, 0=no</t>
        </is>
      </c>
    </row>
    <row r="32">
      <c r="A32" s="5" t="inlineStr">
        <is>
          <t>Units Delivered Per Mo</t>
        </is>
      </c>
      <c r="B32" s="10" t="n">
        <v>30</v>
      </c>
      <c r="C32" s="2" t="inlineStr">
        <is>
          <t>Units delivered per month</t>
        </is>
      </c>
    </row>
    <row r="33">
      <c r="A33" s="5" t="inlineStr">
        <is>
          <t>Units Leased Per Mo</t>
        </is>
      </c>
      <c r="B33" s="10" t="n">
        <v>18</v>
      </c>
      <c r="C33" s="2" t="inlineStr">
        <is>
          <t>Units absorbed (leased) per month</t>
        </is>
      </c>
    </row>
    <row r="34">
      <c r="A34" s="5" t="inlineStr">
        <is>
          <t>Lease Up Ramp Pct</t>
        </is>
      </c>
      <c r="B34" s="11" t="n">
        <v>0.6</v>
      </c>
      <c r="C34" s="2" t="inlineStr">
        <is>
          <t>Variable-opex ramp: % of stabilized during lease-up</t>
        </is>
      </c>
    </row>
    <row r="35">
      <c r="A35" s="5" t="inlineStr">
        <is>
          <t>Lease Up Elevation Pct</t>
        </is>
      </c>
      <c r="B35" s="11" t="n">
        <v>0.25</v>
      </c>
      <c r="C35" s="2" t="inlineStr">
        <is>
          <t>Elevated-opex uplift over stabilized during lease-up</t>
        </is>
      </c>
    </row>
    <row r="36">
      <c r="A36" s="5" t="inlineStr">
        <is>
          <t>Stabilized Occupancy</t>
        </is>
      </c>
      <c r="B36" s="11" t="n">
        <v>0.93</v>
      </c>
      <c r="C36" s="2" t="inlineStr">
        <is>
          <t>Physical occupancy at stabilization</t>
        </is>
      </c>
    </row>
    <row r="38">
      <c r="A38" s="3" t="inlineStr">
        <is>
          <t>Site Details</t>
        </is>
      </c>
      <c r="B38" s="4" t="n"/>
      <c r="C38" s="4" t="n"/>
    </row>
    <row r="39">
      <c r="A39" s="5" t="inlineStr">
        <is>
          <t>Land Cost</t>
        </is>
      </c>
      <c r="B39" s="12" t="n">
        <v>14000000</v>
      </c>
      <c r="C39" s="2" t="inlineStr">
        <is>
          <t>Total land cost</t>
        </is>
      </c>
    </row>
    <row r="40">
      <c r="A40" s="5" t="inlineStr">
        <is>
          <t>Gross Acres</t>
        </is>
      </c>
      <c r="B40" s="13" t="n">
        <v>9.5</v>
      </c>
      <c r="C40" s="2" t="inlineStr">
        <is>
          <t>Gross site acres</t>
        </is>
      </c>
    </row>
    <row r="41">
      <c r="A41" s="5" t="inlineStr">
        <is>
          <t>Net Acres</t>
        </is>
      </c>
      <c r="B41" s="13" t="n">
        <v>8</v>
      </c>
      <c r="C41" s="2" t="inlineStr">
        <is>
          <t>Net developable acres</t>
        </is>
      </c>
    </row>
    <row r="42">
      <c r="A42" s="5" t="inlineStr">
        <is>
          <t>FARRatio</t>
        </is>
      </c>
      <c r="B42" s="13" t="n">
        <v>1.75</v>
      </c>
      <c r="C42" s="2" t="inlineStr">
        <is>
          <t>Floor-area ratio</t>
        </is>
      </c>
    </row>
    <row r="43">
      <c r="A43" s="5" t="inlineStr">
        <is>
          <t>Efficiency Ratio</t>
        </is>
      </c>
      <c r="B43" s="11" t="n">
        <v>0.85</v>
      </c>
      <c r="C43" s="2" t="inlineStr">
        <is>
          <t>Net rentable / gross buildable</t>
        </is>
      </c>
    </row>
    <row r="44">
      <c r="A44" s="5" t="inlineStr">
        <is>
          <t>Existing Structure Cost</t>
        </is>
      </c>
      <c r="B44" s="12" t="n">
        <v>0</v>
      </c>
      <c r="C44" s="2" t="inlineStr">
        <is>
          <t>Demo / existing structure</t>
        </is>
      </c>
    </row>
    <row r="46">
      <c r="A46" s="3" t="inlineStr">
        <is>
          <t>Property Taxes</t>
        </is>
      </c>
      <c r="B46" s="4" t="n"/>
      <c r="C46" s="4" t="n"/>
    </row>
    <row r="47">
      <c r="A47" s="5" t="inlineStr">
        <is>
          <t>Tax Levy Pct</t>
        </is>
      </c>
      <c r="B47" s="9" t="n">
        <v>0.0185</v>
      </c>
      <c r="C47" s="2" t="inlineStr">
        <is>
          <t>Levy / mill rate (% of assessed)</t>
        </is>
      </c>
    </row>
    <row r="48">
      <c r="A48" s="5" t="inlineStr">
        <is>
          <t>Tax Assessment Pct</t>
        </is>
      </c>
      <c r="B48" s="11" t="n">
        <v>1</v>
      </c>
      <c r="C48" s="2" t="inlineStr">
        <is>
          <t>Assessment ratio (% of value)</t>
        </is>
      </c>
    </row>
    <row r="49">
      <c r="A49" s="5" t="inlineStr">
        <is>
          <t>Tax Value Adj Factor</t>
        </is>
      </c>
      <c r="B49" s="13" t="n">
        <v>0.5</v>
      </c>
      <c r="C49" s="2" t="inlineStr">
        <is>
          <t>Value-adjustment / abatement factor (1.0 = full unabated tax)</t>
        </is>
      </c>
    </row>
    <row r="50">
      <c r="A50" s="5" t="inlineStr">
        <is>
          <t>Tax Method Value</t>
        </is>
      </c>
      <c r="B50" s="10" t="n">
        <v>1</v>
      </c>
      <c r="C50" s="2" t="inlineStr">
        <is>
          <t>Post-stab method: 1=value approach, 0=income approach</t>
        </is>
      </c>
    </row>
    <row r="51">
      <c r="A51" s="5" t="inlineStr">
        <is>
          <t>Tax Year1 Override</t>
        </is>
      </c>
      <c r="B51" s="12" t="n">
        <v>0</v>
      </c>
      <c r="C51" s="2" t="inlineStr">
        <is>
          <t>Year-1 stabilized tax: 0=dynamic (stab value x rate), &gt;0=manual</t>
        </is>
      </c>
    </row>
    <row r="52">
      <c r="A52" s="5" t="inlineStr">
        <is>
          <t>Reassess On Sale</t>
        </is>
      </c>
      <c r="B52" s="10" t="n">
        <v>1</v>
      </c>
      <c r="C52" s="2" t="inlineStr">
        <is>
          <t>1=reassess buyer taxes on sale value, 0=in-place</t>
        </is>
      </c>
    </row>
    <row r="53">
      <c r="A53" s="5" t="inlineStr">
        <is>
          <t>Dispo Tax Rate Pct</t>
        </is>
      </c>
      <c r="B53" s="9" t="n">
        <v>0</v>
      </c>
      <c r="C53" s="2" t="inlineStr">
        <is>
          <t>Buyer tax rate at sale: 0=use operating effective rate (consistent)</t>
        </is>
      </c>
    </row>
    <row r="55">
      <c r="A55" s="3" t="inlineStr">
        <is>
          <t>Capitalization &amp; Funding</t>
        </is>
      </c>
      <c r="B55" s="4" t="n"/>
      <c r="C55" s="4" t="n"/>
    </row>
    <row r="56">
      <c r="A56" s="5" t="inlineStr">
        <is>
          <t>Funding Order Pari</t>
        </is>
      </c>
      <c r="B56" s="10" t="n">
        <v>0</v>
      </c>
      <c r="C56" s="2" t="inlineStr">
        <is>
          <t>1=pari-passu, 0=equity-first</t>
        </is>
      </c>
    </row>
    <row r="57">
      <c r="A57" s="5" t="inlineStr">
        <is>
          <t>Target LTC</t>
        </is>
      </c>
      <c r="B57" s="9" t="n">
        <v>0.65</v>
      </c>
      <c r="C57" s="2" t="inlineStr">
        <is>
          <t>Target construction loan-to-cost</t>
        </is>
      </c>
    </row>
    <row r="58">
      <c r="A58" s="5" t="inlineStr">
        <is>
          <t>Op Reserve Coverage</t>
        </is>
      </c>
      <c r="B58" s="14" t="n">
        <v>1.1</v>
      </c>
      <c r="C58" s="2" t="inlineStr">
        <is>
          <t>Operating reserve coverage multiple on peak shortfall</t>
        </is>
      </c>
    </row>
    <row r="59">
      <c r="A59" s="5" t="inlineStr">
        <is>
          <t>Op Reserve Min Months</t>
        </is>
      </c>
      <c r="B59" s="10" t="n">
        <v>3</v>
      </c>
      <c r="C59" s="2" t="inlineStr">
        <is>
          <t>Minimum months of stabilized opex floor for reserve</t>
        </is>
      </c>
    </row>
    <row r="61">
      <c r="A61" s="3" t="inlineStr">
        <is>
          <t>Construction Loan</t>
        </is>
      </c>
      <c r="B61" s="4" t="n"/>
      <c r="C61" s="4" t="n"/>
    </row>
    <row r="62">
      <c r="A62" s="5" t="inlineStr">
        <is>
          <t>Con Loan Term Months</t>
        </is>
      </c>
      <c r="B62" s="8" t="n">
        <v>36</v>
      </c>
      <c r="C62" s="2" t="inlineStr">
        <is>
          <t>Construction loan term</t>
        </is>
      </c>
    </row>
    <row r="63">
      <c r="A63" s="5" t="inlineStr">
        <is>
          <t>Con Rate</t>
        </is>
      </c>
      <c r="B63" s="9" t="n">
        <v>0.08500000000000001</v>
      </c>
      <c r="C63" s="2" t="inlineStr">
        <is>
          <t>Construction interest rate (annual)</t>
        </is>
      </c>
    </row>
    <row r="64">
      <c r="A64" s="5" t="inlineStr">
        <is>
          <t>Con Actual360</t>
        </is>
      </c>
      <c r="B64" s="10" t="n">
        <v>1</v>
      </c>
      <c r="C64" s="2" t="inlineStr">
        <is>
          <t>1=Actual/360, 0=30/360</t>
        </is>
      </c>
    </row>
    <row r="65">
      <c r="A65" s="5" t="inlineStr">
        <is>
          <t>Con Points Pct</t>
        </is>
      </c>
      <c r="B65" s="9" t="n">
        <v>0.01</v>
      </c>
      <c r="C65" s="2" t="inlineStr">
        <is>
          <t>Origination points</t>
        </is>
      </c>
    </row>
    <row r="66">
      <c r="A66" s="5" t="inlineStr">
        <is>
          <t>Con Other Costs</t>
        </is>
      </c>
      <c r="B66" s="12" t="n">
        <v>250000</v>
      </c>
      <c r="C66" s="2" t="inlineStr">
        <is>
          <t>Other construction loan costs</t>
        </is>
      </c>
    </row>
    <row r="67">
      <c r="A67" s="5" t="inlineStr">
        <is>
          <t>Con Min Debt Yield</t>
        </is>
      </c>
      <c r="B67" s="9" t="n">
        <v>0.07000000000000001</v>
      </c>
      <c r="C67" s="2" t="inlineStr">
        <is>
          <t>Min stabilized debt yield (sizing)</t>
        </is>
      </c>
    </row>
    <row r="68">
      <c r="A68" s="5" t="inlineStr">
        <is>
          <t>Con Min DSCR</t>
        </is>
      </c>
      <c r="B68" s="14" t="n">
        <v>1.2</v>
      </c>
      <c r="C68" s="2" t="inlineStr">
        <is>
          <t>Min DSCR at target (sizing)</t>
        </is>
      </c>
    </row>
    <row r="69">
      <c r="A69" s="5" t="inlineStr">
        <is>
          <t>Lender Req Reserve Override</t>
        </is>
      </c>
      <c r="B69" s="12" t="n">
        <v>0</v>
      </c>
      <c r="C69" s="2" t="inlineStr">
        <is>
          <t>If &gt;0, overrides computed interest reserve</t>
        </is>
      </c>
    </row>
    <row r="71">
      <c r="A71" s="3" t="inlineStr">
        <is>
          <t>Permanent Loan (Refinance)</t>
        </is>
      </c>
      <c r="B71" s="4" t="n"/>
      <c r="C71" s="4" t="n"/>
    </row>
    <row r="72">
      <c r="A72" s="5" t="inlineStr">
        <is>
          <t>Perm Max LTV</t>
        </is>
      </c>
      <c r="B72" s="9" t="n">
        <v>0.65</v>
      </c>
      <c r="C72" s="2" t="inlineStr">
        <is>
          <t>Max permanent loan-to-value</t>
        </is>
      </c>
    </row>
    <row r="73">
      <c r="A73" s="5" t="inlineStr">
        <is>
          <t>Perm Rate</t>
        </is>
      </c>
      <c r="B73" s="9" t="n">
        <v>0.0625</v>
      </c>
      <c r="C73" s="2" t="inlineStr">
        <is>
          <t>Permanent interest rate (annual)</t>
        </is>
      </c>
    </row>
    <row r="74">
      <c r="A74" s="5" t="inlineStr">
        <is>
          <t>Perm Term Months</t>
        </is>
      </c>
      <c r="B74" s="8" t="n">
        <v>360</v>
      </c>
      <c r="C74" s="2" t="inlineStr">
        <is>
          <t>Permanent loan term</t>
        </is>
      </c>
    </row>
    <row r="75">
      <c r="A75" s="5" t="inlineStr">
        <is>
          <t>Perm IOMonths</t>
        </is>
      </c>
      <c r="B75" s="8" t="n">
        <v>24</v>
      </c>
      <c r="C75" s="2" t="inlineStr">
        <is>
          <t>Permanent interest-only period</t>
        </is>
      </c>
    </row>
    <row r="76">
      <c r="A76" s="5" t="inlineStr">
        <is>
          <t>Perm Amort Months</t>
        </is>
      </c>
      <c r="B76" s="8" t="n">
        <v>360</v>
      </c>
      <c r="C76" s="2" t="inlineStr">
        <is>
          <t>Permanent amortization period</t>
        </is>
      </c>
    </row>
    <row r="77">
      <c r="A77" s="5" t="inlineStr">
        <is>
          <t>Perm Actual360</t>
        </is>
      </c>
      <c r="B77" s="10" t="n">
        <v>0</v>
      </c>
      <c r="C77" s="2" t="inlineStr">
        <is>
          <t>1=Actual/360, 0=30/360</t>
        </is>
      </c>
    </row>
    <row r="78">
      <c r="A78" s="5" t="inlineStr">
        <is>
          <t>Perm Points Pct</t>
        </is>
      </c>
      <c r="B78" s="9" t="n">
        <v>0.0075</v>
      </c>
      <c r="C78" s="2" t="inlineStr">
        <is>
          <t>Permanent loan points</t>
        </is>
      </c>
    </row>
    <row r="79">
      <c r="A79" s="5" t="inlineStr">
        <is>
          <t>Perm Min Debt Yield</t>
        </is>
      </c>
      <c r="B79" s="9" t="n">
        <v>0.08</v>
      </c>
      <c r="C79" s="2" t="inlineStr">
        <is>
          <t>Min debt yield at refi (sizing)</t>
        </is>
      </c>
    </row>
    <row r="80">
      <c r="A80" s="5" t="inlineStr">
        <is>
          <t>Perm Min DSCR</t>
        </is>
      </c>
      <c r="B80" s="14" t="n">
        <v>1.15</v>
      </c>
      <c r="C80" s="2" t="inlineStr">
        <is>
          <t>Min DSCR at refi (sizing)</t>
        </is>
      </c>
    </row>
    <row r="81">
      <c r="A81" s="5" t="inlineStr">
        <is>
          <t>No Cash Out</t>
        </is>
      </c>
      <c r="B81" s="10" t="n">
        <v>0</v>
      </c>
      <c r="C81" s="2" t="inlineStr">
        <is>
          <t>1=size perm so net cash at refi = 0</t>
        </is>
      </c>
    </row>
    <row r="82">
      <c r="A82" s="5" t="inlineStr">
        <is>
          <t>Refi Month Override</t>
        </is>
      </c>
      <c r="B82" s="10" t="n">
        <v>0</v>
      </c>
      <c r="C82" s="2" t="inlineStr">
        <is>
          <t>If &gt;0, override refi month (else = con maturity)</t>
        </is>
      </c>
    </row>
    <row r="84">
      <c r="A84" s="3" t="inlineStr">
        <is>
          <t>Sponsor Fees</t>
        </is>
      </c>
      <c r="B84" s="4" t="n"/>
      <c r="C84" s="4" t="n"/>
    </row>
    <row r="85">
      <c r="A85" s="5" t="inlineStr">
        <is>
          <t>Dev Fee Pct Direct</t>
        </is>
      </c>
      <c r="B85" s="9" t="n">
        <v>0.04</v>
      </c>
      <c r="C85" s="2" t="inlineStr">
        <is>
          <t>Development fee % of direct costs</t>
        </is>
      </c>
    </row>
    <row r="86">
      <c r="A86" s="5" t="inlineStr">
        <is>
          <t>Dev Fee Third Party Split</t>
        </is>
      </c>
      <c r="B86" s="9" t="n">
        <v>0</v>
      </c>
      <c r="C86" s="2" t="inlineStr">
        <is>
          <t>Portion of dev fee paid to 3rd party</t>
        </is>
      </c>
    </row>
    <row r="87">
      <c r="A87" s="5" t="inlineStr">
        <is>
          <t>Sponsor Dispo Fee Pct</t>
        </is>
      </c>
      <c r="B87" s="9" t="n">
        <v>0.01</v>
      </c>
      <c r="C87" s="2" t="inlineStr">
        <is>
          <t>Sponsor disposition fee % of sale</t>
        </is>
      </c>
    </row>
    <row r="88">
      <c r="A88" s="5" t="inlineStr">
        <is>
          <t>Recourse Fee Pct</t>
        </is>
      </c>
      <c r="B88" s="9" t="n">
        <v>0.0025</v>
      </c>
      <c r="C88" s="2" t="inlineStr">
        <is>
          <t>Loan recourse / indemnity fee % of loan</t>
        </is>
      </c>
    </row>
    <row r="90">
      <c r="A90" s="3" t="inlineStr">
        <is>
          <t>Disposition &amp; Sale</t>
        </is>
      </c>
      <c r="B90" s="4" t="n"/>
      <c r="C90" s="4" t="n"/>
    </row>
    <row r="91">
      <c r="A91" s="5" t="inlineStr">
        <is>
          <t>Broker Cost Pct</t>
        </is>
      </c>
      <c r="B91" s="9" t="n">
        <v>0.015</v>
      </c>
      <c r="C91" s="2" t="inlineStr">
        <is>
          <t>Broker / sale cost % of gross sale</t>
        </is>
      </c>
    </row>
    <row r="92">
      <c r="A92" s="5" t="inlineStr">
        <is>
          <t>Sales Tax Pct</t>
        </is>
      </c>
      <c r="B92" s="9" t="n">
        <v>0</v>
      </c>
      <c r="C92" s="2" t="inlineStr">
        <is>
          <t>Transfer / sales tax % of gross sale</t>
        </is>
      </c>
    </row>
    <row r="93">
      <c r="A93" s="5" t="inlineStr">
        <is>
          <t>Tax Proration Months</t>
        </is>
      </c>
      <c r="B93" s="8" t="n">
        <v>2</v>
      </c>
      <c r="C93" s="2" t="inlineStr">
        <is>
          <t>Property-tax proration at sale (months)</t>
        </is>
      </c>
    </row>
    <row r="95">
      <c r="A95" s="3" t="inlineStr">
        <is>
          <t>Stabilized Revenue (other income)</t>
        </is>
      </c>
      <c r="B95" s="4" t="n"/>
      <c r="C95" s="4" t="n"/>
    </row>
    <row r="96">
      <c r="A96" s="5" t="inlineStr">
        <is>
          <t>Bad Debt Pct</t>
        </is>
      </c>
      <c r="B96" s="9" t="n">
        <v>0.005</v>
      </c>
      <c r="C96" s="2" t="inlineStr">
        <is>
          <t>Bad debt % of GPR</t>
        </is>
      </c>
    </row>
    <row r="97">
      <c r="A97" s="5" t="inlineStr">
        <is>
          <t>Concessions Pct</t>
        </is>
      </c>
      <c r="B97" s="9" t="n">
        <v>0.01</v>
      </c>
      <c r="C97" s="2" t="inlineStr">
        <is>
          <t>Concessions % of GPR</t>
        </is>
      </c>
    </row>
    <row r="98">
      <c r="A98" s="5" t="inlineStr">
        <is>
          <t>Loss To Lease Pct</t>
        </is>
      </c>
      <c r="B98" s="9" t="n">
        <v>0.01</v>
      </c>
      <c r="C98" s="2" t="inlineStr">
        <is>
          <t>Gain/loss-to-lease % of GPR</t>
        </is>
      </c>
    </row>
    <row r="99">
      <c r="A99" s="5" t="inlineStr">
        <is>
          <t>Model Units</t>
        </is>
      </c>
      <c r="B99" s="10" t="n">
        <v>1</v>
      </c>
      <c r="C99" s="2" t="inlineStr">
        <is>
          <t>Down / model units (non-revenue)</t>
        </is>
      </c>
    </row>
    <row r="100">
      <c r="A100" s="5" t="inlineStr">
        <is>
          <t>Parking Per Unit Mo</t>
        </is>
      </c>
      <c r="B100" s="12" t="n">
        <v>35</v>
      </c>
      <c r="C100" s="2" t="inlineStr">
        <is>
          <t>Parking &amp; storage income $/unit/mo</t>
        </is>
      </c>
    </row>
    <row r="101">
      <c r="A101" s="5" t="inlineStr">
        <is>
          <t>Retail Income Mo</t>
        </is>
      </c>
      <c r="B101" s="12" t="n">
        <v>18000</v>
      </c>
      <c r="C101" s="2" t="inlineStr">
        <is>
          <t>Retail income $/mo (stabilized)</t>
        </is>
      </c>
    </row>
    <row r="102">
      <c r="A102" s="5" t="inlineStr">
        <is>
          <t>Util Reimb Per Unit Mo</t>
        </is>
      </c>
      <c r="B102" s="12" t="n">
        <v>45</v>
      </c>
      <c r="C102" s="2" t="inlineStr">
        <is>
          <t>Utility reimbursement $/unit/mo</t>
        </is>
      </c>
    </row>
    <row r="103">
      <c r="A103" s="5" t="inlineStr">
        <is>
          <t>Other Inc Per Unit Mo</t>
        </is>
      </c>
      <c r="B103" s="12" t="n">
        <v>25</v>
      </c>
      <c r="C103" s="2" t="inlineStr">
        <is>
          <t>Other income $/unit/mo</t>
        </is>
      </c>
    </row>
    <row r="105">
      <c r="A105" s="3" t="inlineStr">
        <is>
          <t>Stabilized Operating Expenses (annual)</t>
        </is>
      </c>
      <c r="B105" s="4" t="n"/>
      <c r="C105" s="4" t="n"/>
    </row>
    <row r="106">
      <c r="A106" s="5" t="inlineStr">
        <is>
          <t>Exp Insurance Per Unit</t>
        </is>
      </c>
      <c r="B106" s="12" t="n">
        <v>425</v>
      </c>
      <c r="C106" s="2" t="inlineStr">
        <is>
          <t>Insurance $/unit/yr</t>
        </is>
      </c>
    </row>
    <row r="107">
      <c r="A107" s="5" t="inlineStr">
        <is>
          <t>Exp Utilities Per Unit</t>
        </is>
      </c>
      <c r="B107" s="12" t="n">
        <v>900</v>
      </c>
      <c r="C107" s="2" t="inlineStr">
        <is>
          <t>Utilities $/unit/yr (variable)</t>
        </is>
      </c>
    </row>
    <row r="108">
      <c r="A108" s="5" t="inlineStr">
        <is>
          <t>Exp Payroll Per Unit</t>
        </is>
      </c>
      <c r="B108" s="12" t="n">
        <v>1300</v>
      </c>
      <c r="C108" s="2" t="inlineStr">
        <is>
          <t>Payroll $/unit/yr (elevated in lease-up)</t>
        </is>
      </c>
    </row>
    <row r="109">
      <c r="A109" s="5" t="inlineStr">
        <is>
          <t>Exp RMPer Unit</t>
        </is>
      </c>
      <c r="B109" s="12" t="n">
        <v>650</v>
      </c>
      <c r="C109" s="2" t="inlineStr">
        <is>
          <t>Repairs &amp; maintenance $/unit/yr (variable)</t>
        </is>
      </c>
    </row>
    <row r="110">
      <c r="A110" s="5" t="inlineStr">
        <is>
          <t>Exp Turnover Per Unit</t>
        </is>
      </c>
      <c r="B110" s="12" t="n">
        <v>250</v>
      </c>
      <c r="C110" s="2" t="inlineStr">
        <is>
          <t>Turnover $/unit/yr (variable)</t>
        </is>
      </c>
    </row>
    <row r="111">
      <c r="A111" s="5" t="inlineStr">
        <is>
          <t>Exp Contract Per Unit</t>
        </is>
      </c>
      <c r="B111" s="12" t="n">
        <v>500</v>
      </c>
      <c r="C111" s="2" t="inlineStr">
        <is>
          <t>Contract services $/unit/yr (variable)</t>
        </is>
      </c>
    </row>
    <row r="112">
      <c r="A112" s="5" t="inlineStr">
        <is>
          <t>Exp Admin Per Unit</t>
        </is>
      </c>
      <c r="B112" s="12" t="n">
        <v>300</v>
      </c>
      <c r="C112" s="2" t="inlineStr">
        <is>
          <t>Admin &amp; legal $/unit/yr</t>
        </is>
      </c>
    </row>
    <row r="113">
      <c r="A113" s="5" t="inlineStr">
        <is>
          <t>Exp Advertising Per Unit</t>
        </is>
      </c>
      <c r="B113" s="12" t="n">
        <v>200</v>
      </c>
      <c r="C113" s="2" t="inlineStr">
        <is>
          <t>Advertising $/unit/yr (elevated in lease-up)</t>
        </is>
      </c>
    </row>
    <row r="114">
      <c r="A114" s="5" t="inlineStr">
        <is>
          <t>Mgmt Fee Pct</t>
        </is>
      </c>
      <c r="B114" s="9" t="n">
        <v>0.03</v>
      </c>
      <c r="C114" s="2" t="inlineStr">
        <is>
          <t>Management fee % of EGI</t>
        </is>
      </c>
    </row>
    <row r="115">
      <c r="A115" s="5" t="inlineStr">
        <is>
          <t>Cap Reserve Per Unit</t>
        </is>
      </c>
      <c r="B115" s="12" t="n">
        <v>250</v>
      </c>
      <c r="C115" s="2" t="inlineStr">
        <is>
          <t>Capital reserves $/unit/yr (below NOI)</t>
        </is>
      </c>
    </row>
    <row r="116">
      <c r="A116" s="5" t="inlineStr">
        <is>
          <t>Tax Prep Per Unit</t>
        </is>
      </c>
      <c r="B116" s="12" t="n">
        <v>15</v>
      </c>
      <c r="C116" s="2" t="inlineStr">
        <is>
          <t>Tax prep $/unit/yr (below NOI)</t>
        </is>
      </c>
    </row>
    <row r="117">
      <c r="A117" s="5" t="inlineStr">
        <is>
          <t>Asset Mgmt Fee Pct</t>
        </is>
      </c>
      <c r="B117" s="9" t="n">
        <v>0.01</v>
      </c>
      <c r="C117" s="2" t="inlineStr">
        <is>
          <t>Asset mgmt fee % of EGI (below NOI)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2" customWidth="1" min="2" max="2"/>
    <col width="10" customWidth="1" min="3" max="3"/>
    <col width="10" customWidth="1" min="4" max="4"/>
    <col width="12" customWidth="1" min="5" max="5"/>
    <col width="12" customWidth="1" min="6" max="6"/>
    <col width="14" customWidth="1" min="7" max="7"/>
    <col width="14" customWidth="1" min="8" max="8"/>
    <col width="10" customWidth="1" min="9" max="9"/>
    <col width="10" customWidth="1" min="10" max="10"/>
  </cols>
  <sheetData>
    <row r="1">
      <c r="A1" s="1" t="inlineStr">
        <is>
          <t>Unit Matrix — Residential &amp; Retail</t>
        </is>
      </c>
    </row>
    <row r="3">
      <c r="A3" s="15" t="inlineStr">
        <is>
          <t>Plan</t>
        </is>
      </c>
      <c r="B3" s="15" t="inlineStr">
        <is>
          <t>Class</t>
        </is>
      </c>
      <c r="C3" s="16" t="inlineStr">
        <is>
          <t>Units</t>
        </is>
      </c>
      <c r="D3" s="16" t="inlineStr">
        <is>
          <t>Avg SF</t>
        </is>
      </c>
      <c r="E3" s="16" t="inlineStr">
        <is>
          <t>Total SF</t>
        </is>
      </c>
      <c r="F3" s="16" t="inlineStr">
        <is>
          <t>Market Rent</t>
        </is>
      </c>
      <c r="G3" s="16" t="inlineStr">
        <is>
          <t>Net Eff. Rent</t>
        </is>
      </c>
      <c r="H3" s="16" t="inlineStr">
        <is>
          <t>Annual Rent</t>
        </is>
      </c>
      <c r="I3" s="16" t="inlineStr">
        <is>
          <t>Rent / SF</t>
        </is>
      </c>
      <c r="J3" s="16" t="inlineStr">
        <is>
          <t>% of Total</t>
        </is>
      </c>
    </row>
    <row r="4">
      <c r="A4" s="5" t="inlineStr">
        <is>
          <t>Studio</t>
        </is>
      </c>
      <c r="B4" s="5" t="inlineStr">
        <is>
          <t>Market</t>
        </is>
      </c>
      <c r="C4" s="10" t="n">
        <v>40</v>
      </c>
      <c r="D4" s="10" t="n">
        <v>540</v>
      </c>
      <c r="E4" s="17">
        <f>C4*D4</f>
        <v/>
      </c>
      <c r="F4" s="12" t="n">
        <v>1895</v>
      </c>
      <c r="G4" s="12" t="n">
        <v>1845</v>
      </c>
      <c r="H4" s="18">
        <f>C4*F4*12</f>
        <v/>
      </c>
      <c r="I4" s="19">
        <f>IF(D4=0,0,F4/D4)</f>
        <v/>
      </c>
      <c r="J4" s="20">
        <f>IF(TotalUnits=0,0,C4/TotalUnits)</f>
        <v/>
      </c>
    </row>
    <row r="5">
      <c r="A5" s="5" t="inlineStr">
        <is>
          <t>1BR-A</t>
        </is>
      </c>
      <c r="B5" s="5" t="inlineStr">
        <is>
          <t>Market</t>
        </is>
      </c>
      <c r="C5" s="10" t="n">
        <v>60</v>
      </c>
      <c r="D5" s="10" t="n">
        <v>720</v>
      </c>
      <c r="E5" s="17">
        <f>C5*D5</f>
        <v/>
      </c>
      <c r="F5" s="12" t="n">
        <v>2245</v>
      </c>
      <c r="G5" s="12" t="n">
        <v>2195</v>
      </c>
      <c r="H5" s="18">
        <f>C5*F5*12</f>
        <v/>
      </c>
      <c r="I5" s="19">
        <f>IF(D5=0,0,F5/D5)</f>
        <v/>
      </c>
      <c r="J5" s="20">
        <f>IF(TotalUnits=0,0,C5/TotalUnits)</f>
        <v/>
      </c>
    </row>
    <row r="6">
      <c r="A6" s="5" t="inlineStr">
        <is>
          <t>1BR-B</t>
        </is>
      </c>
      <c r="B6" s="5" t="inlineStr">
        <is>
          <t>Market</t>
        </is>
      </c>
      <c r="C6" s="10" t="n">
        <v>30</v>
      </c>
      <c r="D6" s="10" t="n">
        <v>780</v>
      </c>
      <c r="E6" s="17">
        <f>C6*D6</f>
        <v/>
      </c>
      <c r="F6" s="12" t="n">
        <v>2360</v>
      </c>
      <c r="G6" s="12" t="n">
        <v>2300</v>
      </c>
      <c r="H6" s="18">
        <f>C6*F6*12</f>
        <v/>
      </c>
      <c r="I6" s="19">
        <f>IF(D6=0,0,F6/D6)</f>
        <v/>
      </c>
      <c r="J6" s="20">
        <f>IF(TotalUnits=0,0,C6/TotalUnits)</f>
        <v/>
      </c>
    </row>
    <row r="7">
      <c r="A7" s="5" t="inlineStr">
        <is>
          <t>2BR-A</t>
        </is>
      </c>
      <c r="B7" s="5" t="inlineStr">
        <is>
          <t>Market</t>
        </is>
      </c>
      <c r="C7" s="10" t="n">
        <v>40</v>
      </c>
      <c r="D7" s="10" t="n">
        <v>1050</v>
      </c>
      <c r="E7" s="17">
        <f>C7*D7</f>
        <v/>
      </c>
      <c r="F7" s="12" t="n">
        <v>3050</v>
      </c>
      <c r="G7" s="12" t="n">
        <v>2975</v>
      </c>
      <c r="H7" s="18">
        <f>C7*F7*12</f>
        <v/>
      </c>
      <c r="I7" s="19">
        <f>IF(D7=0,0,F7/D7)</f>
        <v/>
      </c>
      <c r="J7" s="20">
        <f>IF(TotalUnits=0,0,C7/TotalUnits)</f>
        <v/>
      </c>
    </row>
    <row r="8">
      <c r="A8" s="5" t="inlineStr">
        <is>
          <t>2BR-B</t>
        </is>
      </c>
      <c r="B8" s="5" t="inlineStr">
        <is>
          <t>Market</t>
        </is>
      </c>
      <c r="C8" s="10" t="n">
        <v>10</v>
      </c>
      <c r="D8" s="10" t="n">
        <v>1150</v>
      </c>
      <c r="E8" s="17">
        <f>C8*D8</f>
        <v/>
      </c>
      <c r="F8" s="12" t="n">
        <v>3220</v>
      </c>
      <c r="G8" s="12" t="n">
        <v>3140</v>
      </c>
      <c r="H8" s="18">
        <f>C8*F8*12</f>
        <v/>
      </c>
      <c r="I8" s="19">
        <f>IF(D8=0,0,F8/D8)</f>
        <v/>
      </c>
      <c r="J8" s="20">
        <f>IF(TotalUnits=0,0,C8/TotalUnits)</f>
        <v/>
      </c>
    </row>
    <row r="9">
      <c r="A9" s="5" t="inlineStr">
        <is>
          <t>1BR-LI</t>
        </is>
      </c>
      <c r="B9" s="5" t="inlineStr">
        <is>
          <t>Low</t>
        </is>
      </c>
      <c r="C9" s="10" t="n">
        <v>12</v>
      </c>
      <c r="D9" s="10" t="n">
        <v>720</v>
      </c>
      <c r="E9" s="17">
        <f>C9*D9</f>
        <v/>
      </c>
      <c r="F9" s="12" t="n">
        <v>1350</v>
      </c>
      <c r="G9" s="12" t="n">
        <v>1350</v>
      </c>
      <c r="H9" s="18">
        <f>C9*F9*12</f>
        <v/>
      </c>
      <c r="I9" s="19">
        <f>IF(D9=0,0,F9/D9)</f>
        <v/>
      </c>
      <c r="J9" s="20">
        <f>IF(TotalUnits=0,0,C9/TotalUnits)</f>
        <v/>
      </c>
    </row>
    <row r="10">
      <c r="A10" s="5" t="inlineStr">
        <is>
          <t>2BR-LI</t>
        </is>
      </c>
      <c r="B10" s="5" t="inlineStr">
        <is>
          <t>Low</t>
        </is>
      </c>
      <c r="C10" s="10" t="n">
        <v>8</v>
      </c>
      <c r="D10" s="10" t="n">
        <v>1050</v>
      </c>
      <c r="E10" s="17">
        <f>C10*D10</f>
        <v/>
      </c>
      <c r="F10" s="12" t="n">
        <v>1625</v>
      </c>
      <c r="G10" s="12" t="n">
        <v>1625</v>
      </c>
      <c r="H10" s="18">
        <f>C10*F10*12</f>
        <v/>
      </c>
      <c r="I10" s="19">
        <f>IF(D10=0,0,F10/D10)</f>
        <v/>
      </c>
      <c r="J10" s="20">
        <f>IF(TotalUnits=0,0,C10/TotalUnits)</f>
        <v/>
      </c>
    </row>
    <row r="11">
      <c r="A11" s="21" t="inlineStr">
        <is>
          <t>Total / Weighted</t>
        </is>
      </c>
      <c r="C11" s="22">
        <f>SUM(C4:C10)</f>
        <v/>
      </c>
      <c r="E11" s="22">
        <f>SUM(E4:E10)</f>
        <v/>
      </c>
      <c r="H11" s="22">
        <f>SUM(H4:H10)</f>
        <v/>
      </c>
    </row>
    <row r="13">
      <c r="A13" s="15" t="inlineStr">
        <is>
          <t>Derived Unit Metrics</t>
        </is>
      </c>
      <c r="B13" s="23" t="n"/>
    </row>
    <row r="14">
      <c r="A14" s="5" t="inlineStr">
        <is>
          <t>Total Units</t>
        </is>
      </c>
      <c r="B14" s="24">
        <f>SUM(C4:C10)</f>
        <v/>
      </c>
    </row>
    <row r="15">
      <c r="A15" s="5" t="inlineStr">
        <is>
          <t>Market-Rate Units</t>
        </is>
      </c>
      <c r="B15" s="24">
        <f>SUMIF(B4:B10,"Market",C4:C10)</f>
        <v/>
      </c>
    </row>
    <row r="16">
      <c r="A16" s="5" t="inlineStr">
        <is>
          <t>Low-Income Units</t>
        </is>
      </c>
      <c r="B16" s="24">
        <f>SUMIF(B4:B10,"Low",C4:C10)</f>
        <v/>
      </c>
    </row>
    <row r="17">
      <c r="A17" s="5" t="inlineStr">
        <is>
          <t>Net Rentable SF (NRSF)</t>
        </is>
      </c>
      <c r="B17" s="24">
        <f>SUM(E4:E10)</f>
        <v/>
      </c>
    </row>
    <row r="18">
      <c r="A18" s="5" t="inlineStr">
        <is>
          <t>Buildable SF</t>
        </is>
      </c>
      <c r="B18" s="24">
        <f>NRSF/EfficiencyRatio</f>
        <v/>
      </c>
    </row>
    <row r="19">
      <c r="A19" s="5" t="inlineStr">
        <is>
          <t>Avg Unit SF</t>
        </is>
      </c>
      <c r="B19" s="24">
        <f>IF(TotalUnits=0,0,NRSF/TotalUnits)</f>
        <v/>
      </c>
    </row>
    <row r="20">
      <c r="A20" s="5" t="inlineStr">
        <is>
          <t>Base Market Rent / mo</t>
        </is>
      </c>
      <c r="B20" s="25">
        <f>SUMPRODUCT((B4:B10="Market")*C4:C10*F4:F10)</f>
        <v/>
      </c>
    </row>
    <row r="21">
      <c r="A21" s="5" t="inlineStr">
        <is>
          <t>Base Low-Income Rent / mo</t>
        </is>
      </c>
      <c r="B21" s="25">
        <f>SUMPRODUCT((B4:B10="Low")*C4:C10*F4:F10)</f>
        <v/>
      </c>
    </row>
    <row r="23">
      <c r="A23" s="15" t="inlineStr">
        <is>
          <t>Retail Matrix</t>
        </is>
      </c>
      <c r="B23" s="23" t="n"/>
      <c r="C23" s="23" t="n"/>
      <c r="D23" s="23" t="n"/>
    </row>
    <row r="24">
      <c r="A24" s="26" t="inlineStr">
        <is>
          <t>Suite</t>
        </is>
      </c>
      <c r="B24" s="27" t="inlineStr">
        <is>
          <t>SF</t>
        </is>
      </c>
      <c r="C24" s="27" t="inlineStr">
        <is>
          <t>Rent / SF / yr</t>
        </is>
      </c>
      <c r="D24" s="27" t="inlineStr">
        <is>
          <t>Annual Rent</t>
        </is>
      </c>
      <c r="E24" s="27" t="inlineStr">
        <is>
          <t>Monthly Rent</t>
        </is>
      </c>
    </row>
    <row r="25">
      <c r="A25" s="5" t="inlineStr">
        <is>
          <t>Retail-1</t>
        </is>
      </c>
      <c r="B25" s="10" t="n">
        <v>4200</v>
      </c>
      <c r="C25" s="28" t="n">
        <v>34</v>
      </c>
      <c r="D25" s="18">
        <f>B25*C25</f>
        <v/>
      </c>
      <c r="E25" s="18">
        <f>B25*C25/12</f>
        <v/>
      </c>
    </row>
    <row r="26">
      <c r="A26" s="5" t="inlineStr">
        <is>
          <t>Retail-2</t>
        </is>
      </c>
      <c r="B26" s="10" t="n">
        <v>3100</v>
      </c>
      <c r="C26" s="28" t="n">
        <v>32</v>
      </c>
      <c r="D26" s="18">
        <f>B26*C26</f>
        <v/>
      </c>
      <c r="E26" s="18">
        <f>B26*C26/12</f>
        <v/>
      </c>
    </row>
    <row r="27">
      <c r="A27" s="5" t="inlineStr">
        <is>
          <t>Retail Rent / mo</t>
        </is>
      </c>
      <c r="B27" s="25">
        <f>SUM(E25:E26)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8" customWidth="1" min="2" max="2"/>
    <col width="8" customWidth="1" min="3" max="3"/>
    <col width="8" customWidth="1" min="4" max="4"/>
    <col width="14" customWidth="1" min="5" max="5"/>
    <col width="20" customWidth="1" min="6" max="6"/>
    <col width="16" customWidth="1" min="7" max="7"/>
    <col width="10" customWidth="1" min="8" max="8"/>
    <col width="16" customWidth="1" min="9" max="9"/>
    <col width="12" customWidth="1" min="10" max="10"/>
    <col width="10" customWidth="1" min="11" max="11"/>
  </cols>
  <sheetData>
    <row r="1">
      <c r="A1" s="1" t="inlineStr">
        <is>
          <t>Development Budget &amp; Cost Assumptions</t>
        </is>
      </c>
    </row>
    <row r="2">
      <c r="A2" s="2" t="inlineStr">
        <is>
          <t>Basis: abs=$  unit=$/unit  sf=$/NRSF.  Modeled Total drives the cost-curve engine.</t>
        </is>
      </c>
    </row>
    <row r="4">
      <c r="A4" s="15" t="inlineStr">
        <is>
          <t>Line Item</t>
        </is>
      </c>
      <c r="B4" s="15" t="inlineStr">
        <is>
          <t>Group</t>
        </is>
      </c>
      <c r="C4" s="15" t="inlineStr">
        <is>
          <t>Type</t>
        </is>
      </c>
      <c r="D4" s="15" t="inlineStr">
        <is>
          <t>Basis</t>
        </is>
      </c>
      <c r="E4" s="16" t="inlineStr">
        <is>
          <t>Amount</t>
        </is>
      </c>
      <c r="F4" s="16" t="inlineStr">
        <is>
          <t>Phase</t>
        </is>
      </c>
      <c r="G4" s="16" t="inlineStr">
        <is>
          <t>Cost Curve</t>
        </is>
      </c>
      <c r="H4" s="16" t="inlineStr">
        <is>
          <t>Modifier</t>
        </is>
      </c>
      <c r="I4" s="16" t="inlineStr">
        <is>
          <t>Modeled Total</t>
        </is>
      </c>
      <c r="J4" s="16" t="inlineStr">
        <is>
          <t>Per Unit</t>
        </is>
      </c>
      <c r="K4" s="16" t="inlineStr">
        <is>
          <t>Per SF</t>
        </is>
      </c>
    </row>
    <row r="5">
      <c r="A5" s="5" t="inlineStr">
        <is>
          <t>Land Acquisition</t>
        </is>
      </c>
      <c r="B5" s="5" t="inlineStr">
        <is>
          <t>Land</t>
        </is>
      </c>
      <c r="C5" s="5" t="inlineStr">
        <is>
          <t>Land</t>
        </is>
      </c>
      <c r="D5" s="6" t="inlineStr">
        <is>
          <t>abs</t>
        </is>
      </c>
      <c r="E5" s="25">
        <f>LandCost</f>
        <v/>
      </c>
      <c r="F5" s="6" t="inlineStr">
        <is>
          <t>Initial Closing</t>
        </is>
      </c>
      <c r="G5" s="6" t="inlineStr">
        <is>
          <t>Single_Point</t>
        </is>
      </c>
      <c r="H5" s="10" t="n">
        <v>0</v>
      </c>
      <c r="I5" s="18">
        <f>IF(D5="abs",E5,IF(D5="unit",E5*TotalUnits,IF(D5="sf",E5*NRSF,E5)))</f>
        <v/>
      </c>
      <c r="J5" s="18">
        <f>IF(TotalUnits=0,0,I5/TotalUnits)</f>
        <v/>
      </c>
      <c r="K5" s="19">
        <f>IF(NRSF=0,0,I5/NRSF)</f>
        <v/>
      </c>
    </row>
    <row r="6">
      <c r="A6" s="5" t="inlineStr">
        <is>
          <t>Existing Structure/Demo</t>
        </is>
      </c>
      <c r="B6" s="5" t="inlineStr">
        <is>
          <t>Land</t>
        </is>
      </c>
      <c r="C6" s="5" t="inlineStr">
        <is>
          <t>Land</t>
        </is>
      </c>
      <c r="D6" s="6" t="inlineStr">
        <is>
          <t>abs</t>
        </is>
      </c>
      <c r="E6" s="25">
        <f>ExistingStructureCost</f>
        <v/>
      </c>
      <c r="F6" s="6" t="inlineStr">
        <is>
          <t>Pre-Construction</t>
        </is>
      </c>
      <c r="G6" s="6" t="inlineStr">
        <is>
          <t>Straight_Line</t>
        </is>
      </c>
      <c r="H6" s="10" t="n">
        <v>0</v>
      </c>
      <c r="I6" s="18">
        <f>IF(D6="abs",E6,IF(D6="unit",E6*TotalUnits,IF(D6="sf",E6*NRSF,E6)))</f>
        <v/>
      </c>
      <c r="J6" s="18">
        <f>IF(TotalUnits=0,0,I6/TotalUnits)</f>
        <v/>
      </c>
      <c r="K6" s="19">
        <f>IF(NRSF=0,0,I6/NRSF)</f>
        <v/>
      </c>
    </row>
    <row r="7">
      <c r="A7" s="5" t="inlineStr">
        <is>
          <t>Due Diligence</t>
        </is>
      </c>
      <c r="B7" s="5" t="inlineStr">
        <is>
          <t>Soft</t>
        </is>
      </c>
      <c r="C7" s="5" t="inlineStr">
        <is>
          <t>Soft</t>
        </is>
      </c>
      <c r="D7" s="6" t="inlineStr">
        <is>
          <t>abs</t>
        </is>
      </c>
      <c r="E7" s="29" t="n">
        <v>150000</v>
      </c>
      <c r="F7" s="6" t="inlineStr">
        <is>
          <t>Due Diligence</t>
        </is>
      </c>
      <c r="G7" s="6" t="inlineStr">
        <is>
          <t>Straight_Line</t>
        </is>
      </c>
      <c r="H7" s="10" t="n">
        <v>0</v>
      </c>
      <c r="I7" s="18">
        <f>IF(D7="abs",E7,IF(D7="unit",E7*TotalUnits,IF(D7="sf",E7*NRSF,E7)))</f>
        <v/>
      </c>
      <c r="J7" s="18">
        <f>IF(TotalUnits=0,0,I7/TotalUnits)</f>
        <v/>
      </c>
      <c r="K7" s="19">
        <f>IF(NRSF=0,0,I7/NRSF)</f>
        <v/>
      </c>
    </row>
    <row r="8">
      <c r="A8" s="5" t="inlineStr">
        <is>
          <t>Entitlements</t>
        </is>
      </c>
      <c r="B8" s="5" t="inlineStr">
        <is>
          <t>Soft</t>
        </is>
      </c>
      <c r="C8" s="5" t="inlineStr">
        <is>
          <t>Soft</t>
        </is>
      </c>
      <c r="D8" s="6" t="inlineStr">
        <is>
          <t>abs</t>
        </is>
      </c>
      <c r="E8" s="29" t="n">
        <v>600000</v>
      </c>
      <c r="F8" s="6" t="inlineStr">
        <is>
          <t>Entitlement</t>
        </is>
      </c>
      <c r="G8" s="6" t="inlineStr">
        <is>
          <t>Straight_Line</t>
        </is>
      </c>
      <c r="H8" s="10" t="n">
        <v>0</v>
      </c>
      <c r="I8" s="18">
        <f>IF(D8="abs",E8,IF(D8="unit",E8*TotalUnits,IF(D8="sf",E8*NRSF,E8)))</f>
        <v/>
      </c>
      <c r="J8" s="18">
        <f>IF(TotalUnits=0,0,I8/TotalUnits)</f>
        <v/>
      </c>
      <c r="K8" s="19">
        <f>IF(NRSF=0,0,I8/NRSF)</f>
        <v/>
      </c>
    </row>
    <row r="9">
      <c r="A9" s="5" t="inlineStr">
        <is>
          <t>Architecture &amp; Eng.</t>
        </is>
      </c>
      <c r="B9" s="5" t="inlineStr">
        <is>
          <t>Soft</t>
        </is>
      </c>
      <c r="C9" s="5" t="inlineStr">
        <is>
          <t>Soft</t>
        </is>
      </c>
      <c r="D9" s="6" t="inlineStr">
        <is>
          <t>sf</t>
        </is>
      </c>
      <c r="E9" s="13" t="n">
        <v>6.5</v>
      </c>
      <c r="F9" s="6" t="inlineStr">
        <is>
          <t>Pre-Construction</t>
        </is>
      </c>
      <c r="G9" s="6" t="inlineStr">
        <is>
          <t>Straight_Line</t>
        </is>
      </c>
      <c r="H9" s="10" t="n">
        <v>0</v>
      </c>
      <c r="I9" s="18">
        <f>IF(D9="abs",E9,IF(D9="unit",E9*TotalUnits,IF(D9="sf",E9*NRSF,E9)))</f>
        <v/>
      </c>
      <c r="J9" s="18">
        <f>IF(TotalUnits=0,0,I9/TotalUnits)</f>
        <v/>
      </c>
      <c r="K9" s="19">
        <f>IF(NRSF=0,0,I9/NRSF)</f>
        <v/>
      </c>
    </row>
    <row r="10">
      <c r="A10" s="5" t="inlineStr">
        <is>
          <t>Consultants</t>
        </is>
      </c>
      <c r="B10" s="5" t="inlineStr">
        <is>
          <t>Soft</t>
        </is>
      </c>
      <c r="C10" s="5" t="inlineStr">
        <is>
          <t>Soft</t>
        </is>
      </c>
      <c r="D10" s="6" t="inlineStr">
        <is>
          <t>abs</t>
        </is>
      </c>
      <c r="E10" s="29" t="n">
        <v>400000</v>
      </c>
      <c r="F10" s="6" t="inlineStr">
        <is>
          <t>Entitlement</t>
        </is>
      </c>
      <c r="G10" s="6" t="inlineStr">
        <is>
          <t>Straight_Line</t>
        </is>
      </c>
      <c r="H10" s="10" t="n">
        <v>0</v>
      </c>
      <c r="I10" s="18">
        <f>IF(D10="abs",E10,IF(D10="unit",E10*TotalUnits,IF(D10="sf",E10*NRSF,E10)))</f>
        <v/>
      </c>
      <c r="J10" s="18">
        <f>IF(TotalUnits=0,0,I10/TotalUnits)</f>
        <v/>
      </c>
      <c r="K10" s="19">
        <f>IF(NRSF=0,0,I10/NRSF)</f>
        <v/>
      </c>
    </row>
    <row r="11">
      <c r="A11" s="5" t="inlineStr">
        <is>
          <t>Legal &amp; Org.</t>
        </is>
      </c>
      <c r="B11" s="5" t="inlineStr">
        <is>
          <t>Soft</t>
        </is>
      </c>
      <c r="C11" s="5" t="inlineStr">
        <is>
          <t>Soft</t>
        </is>
      </c>
      <c r="D11" s="6" t="inlineStr">
        <is>
          <t>abs</t>
        </is>
      </c>
      <c r="E11" s="29" t="n">
        <v>300000</v>
      </c>
      <c r="F11" s="6" t="inlineStr">
        <is>
          <t>Due Diligence</t>
        </is>
      </c>
      <c r="G11" s="6" t="inlineStr">
        <is>
          <t>Straight_Line</t>
        </is>
      </c>
      <c r="H11" s="10" t="n">
        <v>0</v>
      </c>
      <c r="I11" s="18">
        <f>IF(D11="abs",E11,IF(D11="unit",E11*TotalUnits,IF(D11="sf",E11*NRSF,E11)))</f>
        <v/>
      </c>
      <c r="J11" s="18">
        <f>IF(TotalUnits=0,0,I11/TotalUnits)</f>
        <v/>
      </c>
      <c r="K11" s="19">
        <f>IF(NRSF=0,0,I11/NRSF)</f>
        <v/>
      </c>
    </row>
    <row r="12">
      <c r="A12" s="5" t="inlineStr">
        <is>
          <t>Marketing &amp; Lease-Up</t>
        </is>
      </c>
      <c r="B12" s="5" t="inlineStr">
        <is>
          <t>Soft</t>
        </is>
      </c>
      <c r="C12" s="5" t="inlineStr">
        <is>
          <t>Soft</t>
        </is>
      </c>
      <c r="D12" s="6" t="inlineStr">
        <is>
          <t>unit</t>
        </is>
      </c>
      <c r="E12" s="13" t="n">
        <v>1200</v>
      </c>
      <c r="F12" s="6" t="inlineStr">
        <is>
          <t>Lease-Up</t>
        </is>
      </c>
      <c r="G12" s="6" t="inlineStr">
        <is>
          <t>Straight_Line</t>
        </is>
      </c>
      <c r="H12" s="10" t="n">
        <v>0</v>
      </c>
      <c r="I12" s="18">
        <f>IF(D12="abs",E12,IF(D12="unit",E12*TotalUnits,IF(D12="sf",E12*NRSF,E12)))</f>
        <v/>
      </c>
      <c r="J12" s="18">
        <f>IF(TotalUnits=0,0,I12/TotalUnits)</f>
        <v/>
      </c>
      <c r="K12" s="19">
        <f>IF(NRSF=0,0,I12/NRSF)</f>
        <v/>
      </c>
    </row>
    <row r="13">
      <c r="A13" s="5" t="inlineStr">
        <is>
          <t>Insurance (Dev)</t>
        </is>
      </c>
      <c r="B13" s="5" t="inlineStr">
        <is>
          <t>Soft</t>
        </is>
      </c>
      <c r="C13" s="5" t="inlineStr">
        <is>
          <t>Soft</t>
        </is>
      </c>
      <c r="D13" s="6" t="inlineStr">
        <is>
          <t>abs</t>
        </is>
      </c>
      <c r="E13" s="29" t="n">
        <v>500000</v>
      </c>
      <c r="F13" s="6" t="inlineStr">
        <is>
          <t>Construction</t>
        </is>
      </c>
      <c r="G13" s="6" t="inlineStr">
        <is>
          <t>Straight_Line</t>
        </is>
      </c>
      <c r="H13" s="10" t="n">
        <v>0</v>
      </c>
      <c r="I13" s="18">
        <f>IF(D13="abs",E13,IF(D13="unit",E13*TotalUnits,IF(D13="sf",E13*NRSF,E13)))</f>
        <v/>
      </c>
      <c r="J13" s="18">
        <f>IF(TotalUnits=0,0,I13/TotalUnits)</f>
        <v/>
      </c>
      <c r="K13" s="19">
        <f>IF(NRSF=0,0,I13/NRSF)</f>
        <v/>
      </c>
    </row>
    <row r="14">
      <c r="A14" s="5" t="inlineStr">
        <is>
          <t>GC Contract (Hard)</t>
        </is>
      </c>
      <c r="B14" s="5" t="inlineStr">
        <is>
          <t>Hard</t>
        </is>
      </c>
      <c r="C14" s="5" t="inlineStr">
        <is>
          <t>Hard</t>
        </is>
      </c>
      <c r="D14" s="6" t="inlineStr">
        <is>
          <t>sf</t>
        </is>
      </c>
      <c r="E14" s="13" t="n">
        <v>200</v>
      </c>
      <c r="F14" s="6" t="inlineStr">
        <is>
          <t>Construction</t>
        </is>
      </c>
      <c r="G14" s="6" t="inlineStr">
        <is>
          <t>Bell_Curve</t>
        </is>
      </c>
      <c r="H14" s="10" t="n">
        <v>0</v>
      </c>
      <c r="I14" s="18">
        <f>IF(D14="abs",E14,IF(D14="unit",E14*TotalUnits,IF(D14="sf",E14*NRSF,E14)))</f>
        <v/>
      </c>
      <c r="J14" s="18">
        <f>IF(TotalUnits=0,0,I14/TotalUnits)</f>
        <v/>
      </c>
      <c r="K14" s="19">
        <f>IF(NRSF=0,0,I14/NRSF)</f>
        <v/>
      </c>
    </row>
    <row r="15">
      <c r="A15" s="5" t="inlineStr">
        <is>
          <t>Off-Site Improvements</t>
        </is>
      </c>
      <c r="B15" s="5" t="inlineStr">
        <is>
          <t>Hard</t>
        </is>
      </c>
      <c r="C15" s="5" t="inlineStr">
        <is>
          <t>Hard</t>
        </is>
      </c>
      <c r="D15" s="6" t="inlineStr">
        <is>
          <t>abs</t>
        </is>
      </c>
      <c r="E15" s="29" t="n">
        <v>1200000</v>
      </c>
      <c r="F15" s="6" t="inlineStr">
        <is>
          <t>Construction</t>
        </is>
      </c>
      <c r="G15" s="6" t="inlineStr">
        <is>
          <t>Straight_Line</t>
        </is>
      </c>
      <c r="H15" s="10" t="n">
        <v>0</v>
      </c>
      <c r="I15" s="18">
        <f>IF(D15="abs",E15,IF(D15="unit",E15*TotalUnits,IF(D15="sf",E15*NRSF,E15)))</f>
        <v/>
      </c>
      <c r="J15" s="18">
        <f>IF(TotalUnits=0,0,I15/TotalUnits)</f>
        <v/>
      </c>
      <c r="K15" s="19">
        <f>IF(NRSF=0,0,I15/NRSF)</f>
        <v/>
      </c>
    </row>
    <row r="16">
      <c r="A16" s="5" t="inlineStr">
        <is>
          <t>Utilities &amp; Hookups</t>
        </is>
      </c>
      <c r="B16" s="5" t="inlineStr">
        <is>
          <t>Hard</t>
        </is>
      </c>
      <c r="C16" s="5" t="inlineStr">
        <is>
          <t>Hard</t>
        </is>
      </c>
      <c r="D16" s="6" t="inlineStr">
        <is>
          <t>abs</t>
        </is>
      </c>
      <c r="E16" s="29" t="n">
        <v>900000</v>
      </c>
      <c r="F16" s="6" t="inlineStr">
        <is>
          <t>Construction</t>
        </is>
      </c>
      <c r="G16" s="6" t="inlineStr">
        <is>
          <t>Straight_Line</t>
        </is>
      </c>
      <c r="H16" s="10" t="n">
        <v>0</v>
      </c>
      <c r="I16" s="18">
        <f>IF(D16="abs",E16,IF(D16="unit",E16*TotalUnits,IF(D16="sf",E16*NRSF,E16)))</f>
        <v/>
      </c>
      <c r="J16" s="18">
        <f>IF(TotalUnits=0,0,I16/TotalUnits)</f>
        <v/>
      </c>
      <c r="K16" s="19">
        <f>IF(NRSF=0,0,I16/NRSF)</f>
        <v/>
      </c>
    </row>
    <row r="17">
      <c r="A17" s="5" t="inlineStr">
        <is>
          <t>Builder's Risk</t>
        </is>
      </c>
      <c r="B17" s="5" t="inlineStr">
        <is>
          <t>Hard</t>
        </is>
      </c>
      <c r="C17" s="5" t="inlineStr">
        <is>
          <t>Hard</t>
        </is>
      </c>
      <c r="D17" s="6" t="inlineStr">
        <is>
          <t>abs</t>
        </is>
      </c>
      <c r="E17" s="29" t="n">
        <v>350000</v>
      </c>
      <c r="F17" s="6" t="inlineStr">
        <is>
          <t>Construction</t>
        </is>
      </c>
      <c r="G17" s="6" t="inlineStr">
        <is>
          <t>Straight_Line</t>
        </is>
      </c>
      <c r="H17" s="10" t="n">
        <v>0</v>
      </c>
      <c r="I17" s="18">
        <f>IF(D17="abs",E17,IF(D17="unit",E17*TotalUnits,IF(D17="sf",E17*NRSF,E17)))</f>
        <v/>
      </c>
      <c r="J17" s="18">
        <f>IF(TotalUnits=0,0,I17/TotalUnits)</f>
        <v/>
      </c>
      <c r="K17" s="19">
        <f>IF(NRSF=0,0,I17/NRSF)</f>
        <v/>
      </c>
    </row>
    <row r="18">
      <c r="A18" s="5" t="inlineStr">
        <is>
          <t>Hard Cost Contingency</t>
        </is>
      </c>
      <c r="B18" s="5" t="inlineStr">
        <is>
          <t>Hard</t>
        </is>
      </c>
      <c r="C18" s="5" t="inlineStr">
        <is>
          <t>Hard</t>
        </is>
      </c>
      <c r="D18" s="6" t="inlineStr">
        <is>
          <t>sf</t>
        </is>
      </c>
      <c r="E18" s="13" t="n">
        <v>10</v>
      </c>
      <c r="F18" s="6" t="inlineStr">
        <is>
          <t>Construction</t>
        </is>
      </c>
      <c r="G18" s="6" t="inlineStr">
        <is>
          <t>Bell_Curve</t>
        </is>
      </c>
      <c r="H18" s="10" t="n">
        <v>0</v>
      </c>
      <c r="I18" s="18">
        <f>IF(D18="abs",E18,IF(D18="unit",E18*TotalUnits,IF(D18="sf",E18*NRSF,E18)))</f>
        <v/>
      </c>
      <c r="J18" s="18">
        <f>IF(TotalUnits=0,0,I18/TotalUnits)</f>
        <v/>
      </c>
      <c r="K18" s="19">
        <f>IF(NRSF=0,0,I18/NRSF)</f>
        <v/>
      </c>
    </row>
    <row r="19">
      <c r="A19" s="5" t="inlineStr">
        <is>
          <t>GC Fee</t>
        </is>
      </c>
      <c r="B19" s="5" t="inlineStr">
        <is>
          <t>Hard</t>
        </is>
      </c>
      <c r="C19" s="5" t="inlineStr">
        <is>
          <t>Hard</t>
        </is>
      </c>
      <c r="D19" s="6" t="inlineStr">
        <is>
          <t>sf</t>
        </is>
      </c>
      <c r="E19" s="13" t="n">
        <v>12</v>
      </c>
      <c r="F19" s="6" t="inlineStr">
        <is>
          <t>Construction</t>
        </is>
      </c>
      <c r="G19" s="6" t="inlineStr">
        <is>
          <t>Bell_Curve</t>
        </is>
      </c>
      <c r="H19" s="10" t="n">
        <v>0</v>
      </c>
      <c r="I19" s="18">
        <f>IF(D19="abs",E19,IF(D19="unit",E19*TotalUnits,IF(D19="sf",E19*NRSF,E19)))</f>
        <v/>
      </c>
      <c r="J19" s="18">
        <f>IF(TotalUnits=0,0,I19/TotalUnits)</f>
        <v/>
      </c>
      <c r="K19" s="19">
        <f>IF(NRSF=0,0,I19/NRSF)</f>
        <v/>
      </c>
    </row>
    <row r="20">
      <c r="A20" s="5" t="inlineStr">
        <is>
          <t>Other Soft Cost 1 - FF&amp;E</t>
        </is>
      </c>
      <c r="B20" s="5" t="inlineStr">
        <is>
          <t>Soft</t>
        </is>
      </c>
      <c r="C20" s="5" t="inlineStr">
        <is>
          <t>Soft</t>
        </is>
      </c>
      <c r="D20" s="6" t="inlineStr">
        <is>
          <t>unit</t>
        </is>
      </c>
      <c r="E20" s="13" t="n">
        <v>800</v>
      </c>
      <c r="F20" s="6" t="inlineStr">
        <is>
          <t>Pre-Construction</t>
        </is>
      </c>
      <c r="G20" s="6" t="inlineStr">
        <is>
          <t>Straight_Line</t>
        </is>
      </c>
      <c r="H20" s="10" t="n">
        <v>0</v>
      </c>
      <c r="I20" s="18">
        <f>IF(D20="abs",E20,IF(D20="unit",E20*TotalUnits,IF(D20="sf",E20*NRSF,E20)))</f>
        <v/>
      </c>
      <c r="J20" s="18">
        <f>IF(TotalUnits=0,0,I20/TotalUnits)</f>
        <v/>
      </c>
      <c r="K20" s="19">
        <f>IF(NRSF=0,0,I20/NRSF)</f>
        <v/>
      </c>
    </row>
    <row r="21">
      <c r="A21" s="5" t="inlineStr">
        <is>
          <t>Other Soft Cost 2 - Permits</t>
        </is>
      </c>
      <c r="B21" s="5" t="inlineStr">
        <is>
          <t>Soft</t>
        </is>
      </c>
      <c r="C21" s="5" t="inlineStr">
        <is>
          <t>Soft</t>
        </is>
      </c>
      <c r="D21" s="6" t="inlineStr">
        <is>
          <t>abs</t>
        </is>
      </c>
      <c r="E21" s="29" t="n">
        <v>250000</v>
      </c>
      <c r="F21" s="6" t="inlineStr">
        <is>
          <t>Entitlement</t>
        </is>
      </c>
      <c r="G21" s="6" t="inlineStr">
        <is>
          <t>Straight_Line</t>
        </is>
      </c>
      <c r="H21" s="10" t="n">
        <v>0</v>
      </c>
      <c r="I21" s="18">
        <f>IF(D21="abs",E21,IF(D21="unit",E21*TotalUnits,IF(D21="sf",E21*NRSF,E21)))</f>
        <v/>
      </c>
      <c r="J21" s="18">
        <f>IF(TotalUnits=0,0,I21/TotalUnits)</f>
        <v/>
      </c>
      <c r="K21" s="19">
        <f>IF(NRSF=0,0,I21/NRSF)</f>
        <v/>
      </c>
    </row>
    <row r="22">
      <c r="A22" s="5" t="inlineStr">
        <is>
          <t>Other Soft Cost 3 - Testing</t>
        </is>
      </c>
      <c r="B22" s="5" t="inlineStr">
        <is>
          <t>Soft</t>
        </is>
      </c>
      <c r="C22" s="5" t="inlineStr">
        <is>
          <t>Soft</t>
        </is>
      </c>
      <c r="D22" s="6" t="inlineStr">
        <is>
          <t>abs</t>
        </is>
      </c>
      <c r="E22" s="29" t="n">
        <v>120000</v>
      </c>
      <c r="F22" s="6" t="inlineStr">
        <is>
          <t>Construction</t>
        </is>
      </c>
      <c r="G22" s="6" t="inlineStr">
        <is>
          <t>Straight_Line</t>
        </is>
      </c>
      <c r="H22" s="10" t="n">
        <v>0</v>
      </c>
      <c r="I22" s="18">
        <f>IF(D22="abs",E22,IF(D22="unit",E22*TotalUnits,IF(D22="sf",E22*NRSF,E22)))</f>
        <v/>
      </c>
      <c r="J22" s="18">
        <f>IF(TotalUnits=0,0,I22/TotalUnits)</f>
        <v/>
      </c>
      <c r="K22" s="19">
        <f>IF(NRSF=0,0,I22/NRSF)</f>
        <v/>
      </c>
    </row>
    <row r="23">
      <c r="A23" s="5" t="inlineStr">
        <is>
          <t>Other Soft Cost 4</t>
        </is>
      </c>
      <c r="B23" s="5" t="inlineStr">
        <is>
          <t>Soft</t>
        </is>
      </c>
      <c r="C23" s="5" t="inlineStr">
        <is>
          <t>Soft</t>
        </is>
      </c>
      <c r="D23" s="6" t="inlineStr">
        <is>
          <t>abs</t>
        </is>
      </c>
      <c r="E23" s="29" t="n">
        <v>0</v>
      </c>
      <c r="F23" s="6" t="inlineStr">
        <is>
          <t>Construction</t>
        </is>
      </c>
      <c r="G23" s="6" t="inlineStr">
        <is>
          <t>Straight_Line</t>
        </is>
      </c>
      <c r="H23" s="10" t="n">
        <v>0</v>
      </c>
      <c r="I23" s="18">
        <f>IF(D23="abs",E23,IF(D23="unit",E23*TotalUnits,IF(D23="sf",E23*NRSF,E23)))</f>
        <v/>
      </c>
      <c r="J23" s="18">
        <f>IF(TotalUnits=0,0,I23/TotalUnits)</f>
        <v/>
      </c>
      <c r="K23" s="19">
        <f>IF(NRSF=0,0,I23/NRSF)</f>
        <v/>
      </c>
    </row>
    <row r="24">
      <c r="A24" s="5" t="inlineStr">
        <is>
          <t>Other Soft Cost 5</t>
        </is>
      </c>
      <c r="B24" s="5" t="inlineStr">
        <is>
          <t>Soft</t>
        </is>
      </c>
      <c r="C24" s="5" t="inlineStr">
        <is>
          <t>Soft</t>
        </is>
      </c>
      <c r="D24" s="6" t="inlineStr">
        <is>
          <t>abs</t>
        </is>
      </c>
      <c r="E24" s="29" t="n">
        <v>0</v>
      </c>
      <c r="F24" s="6" t="inlineStr">
        <is>
          <t>Construction</t>
        </is>
      </c>
      <c r="G24" s="6" t="inlineStr">
        <is>
          <t>Straight_Line</t>
        </is>
      </c>
      <c r="H24" s="10" t="n">
        <v>0</v>
      </c>
      <c r="I24" s="18">
        <f>IF(D24="abs",E24,IF(D24="unit",E24*TotalUnits,IF(D24="sf",E24*NRSF,E24)))</f>
        <v/>
      </c>
      <c r="J24" s="18">
        <f>IF(TotalUnits=0,0,I24/TotalUnits)</f>
        <v/>
      </c>
      <c r="K24" s="19">
        <f>IF(NRSF=0,0,I24/NRSF)</f>
        <v/>
      </c>
    </row>
    <row r="25">
      <c r="A25" s="5" t="inlineStr">
        <is>
          <t>Other Soft Cost 6</t>
        </is>
      </c>
      <c r="B25" s="5" t="inlineStr">
        <is>
          <t>Soft</t>
        </is>
      </c>
      <c r="C25" s="5" t="inlineStr">
        <is>
          <t>Soft</t>
        </is>
      </c>
      <c r="D25" s="6" t="inlineStr">
        <is>
          <t>abs</t>
        </is>
      </c>
      <c r="E25" s="29" t="n">
        <v>0</v>
      </c>
      <c r="F25" s="6" t="inlineStr">
        <is>
          <t>Construction</t>
        </is>
      </c>
      <c r="G25" s="6" t="inlineStr">
        <is>
          <t>Straight_Line</t>
        </is>
      </c>
      <c r="H25" s="10" t="n">
        <v>0</v>
      </c>
      <c r="I25" s="18">
        <f>IF(D25="abs",E25,IF(D25="unit",E25*TotalUnits,IF(D25="sf",E25*NRSF,E25)))</f>
        <v/>
      </c>
      <c r="J25" s="18">
        <f>IF(TotalUnits=0,0,I25/TotalUnits)</f>
        <v/>
      </c>
      <c r="K25" s="19">
        <f>IF(NRSF=0,0,I25/NRSF)</f>
        <v/>
      </c>
    </row>
    <row r="26">
      <c r="A26" s="5" t="inlineStr">
        <is>
          <t>Other Hard Cost 1 - Landscape</t>
        </is>
      </c>
      <c r="B26" s="5" t="inlineStr">
        <is>
          <t>Hard</t>
        </is>
      </c>
      <c r="C26" s="5" t="inlineStr">
        <is>
          <t>Hard</t>
        </is>
      </c>
      <c r="D26" s="6" t="inlineStr">
        <is>
          <t>abs</t>
        </is>
      </c>
      <c r="E26" s="29" t="n">
        <v>650000</v>
      </c>
      <c r="F26" s="6" t="inlineStr">
        <is>
          <t>Construction</t>
        </is>
      </c>
      <c r="G26" s="6" t="inlineStr">
        <is>
          <t>Bell_Curve</t>
        </is>
      </c>
      <c r="H26" s="10" t="n">
        <v>0</v>
      </c>
      <c r="I26" s="18">
        <f>IF(D26="abs",E26,IF(D26="unit",E26*TotalUnits,IF(D26="sf",E26*NRSF,E26)))</f>
        <v/>
      </c>
      <c r="J26" s="18">
        <f>IF(TotalUnits=0,0,I26/TotalUnits)</f>
        <v/>
      </c>
      <c r="K26" s="19">
        <f>IF(NRSF=0,0,I26/NRSF)</f>
        <v/>
      </c>
    </row>
    <row r="27">
      <c r="A27" s="5" t="inlineStr">
        <is>
          <t>Other Hard Cost 2 - Amenity</t>
        </is>
      </c>
      <c r="B27" s="5" t="inlineStr">
        <is>
          <t>Hard</t>
        </is>
      </c>
      <c r="C27" s="5" t="inlineStr">
        <is>
          <t>Hard</t>
        </is>
      </c>
      <c r="D27" s="6" t="inlineStr">
        <is>
          <t>abs</t>
        </is>
      </c>
      <c r="E27" s="29" t="n">
        <v>900000</v>
      </c>
      <c r="F27" s="6" t="inlineStr">
        <is>
          <t>Construction</t>
        </is>
      </c>
      <c r="G27" s="6" t="inlineStr">
        <is>
          <t>Bell_Curve</t>
        </is>
      </c>
      <c r="H27" s="10" t="n">
        <v>0</v>
      </c>
      <c r="I27" s="18">
        <f>IF(D27="abs",E27,IF(D27="unit",E27*TotalUnits,IF(D27="sf",E27*NRSF,E27)))</f>
        <v/>
      </c>
      <c r="J27" s="18">
        <f>IF(TotalUnits=0,0,I27/TotalUnits)</f>
        <v/>
      </c>
      <c r="K27" s="19">
        <f>IF(NRSF=0,0,I27/NRSF)</f>
        <v/>
      </c>
    </row>
    <row r="28">
      <c r="A28" s="5" t="inlineStr">
        <is>
          <t>Other Hard Cost 3 - Signage</t>
        </is>
      </c>
      <c r="B28" s="5" t="inlineStr">
        <is>
          <t>Hard</t>
        </is>
      </c>
      <c r="C28" s="5" t="inlineStr">
        <is>
          <t>Hard</t>
        </is>
      </c>
      <c r="D28" s="6" t="inlineStr">
        <is>
          <t>abs</t>
        </is>
      </c>
      <c r="E28" s="29" t="n">
        <v>150000</v>
      </c>
      <c r="F28" s="6" t="inlineStr">
        <is>
          <t>Construction</t>
        </is>
      </c>
      <c r="G28" s="6" t="inlineStr">
        <is>
          <t>Straight_Line</t>
        </is>
      </c>
      <c r="H28" s="10" t="n">
        <v>0</v>
      </c>
      <c r="I28" s="18">
        <f>IF(D28="abs",E28,IF(D28="unit",E28*TotalUnits,IF(D28="sf",E28*NRSF,E28)))</f>
        <v/>
      </c>
      <c r="J28" s="18">
        <f>IF(TotalUnits=0,0,I28/TotalUnits)</f>
        <v/>
      </c>
      <c r="K28" s="19">
        <f>IF(NRSF=0,0,I28/NRSF)</f>
        <v/>
      </c>
    </row>
    <row r="29">
      <c r="A29" s="5" t="inlineStr">
        <is>
          <t>Other Hard Cost 4</t>
        </is>
      </c>
      <c r="B29" s="5" t="inlineStr">
        <is>
          <t>Hard</t>
        </is>
      </c>
      <c r="C29" s="5" t="inlineStr">
        <is>
          <t>Hard</t>
        </is>
      </c>
      <c r="D29" s="6" t="inlineStr">
        <is>
          <t>abs</t>
        </is>
      </c>
      <c r="E29" s="29" t="n">
        <v>0</v>
      </c>
      <c r="F29" s="6" t="inlineStr">
        <is>
          <t>Construction</t>
        </is>
      </c>
      <c r="G29" s="6" t="inlineStr">
        <is>
          <t>Bell_Curve</t>
        </is>
      </c>
      <c r="H29" s="10" t="n">
        <v>0</v>
      </c>
      <c r="I29" s="18">
        <f>IF(D29="abs",E29,IF(D29="unit",E29*TotalUnits,IF(D29="sf",E29*NRSF,E29)))</f>
        <v/>
      </c>
      <c r="J29" s="18">
        <f>IF(TotalUnits=0,0,I29/TotalUnits)</f>
        <v/>
      </c>
      <c r="K29" s="19">
        <f>IF(NRSF=0,0,I29/NRSF)</f>
        <v/>
      </c>
    </row>
    <row r="30">
      <c r="A30" s="5" t="inlineStr">
        <is>
          <t>Other Hard Cost 5</t>
        </is>
      </c>
      <c r="B30" s="5" t="inlineStr">
        <is>
          <t>Hard</t>
        </is>
      </c>
      <c r="C30" s="5" t="inlineStr">
        <is>
          <t>Hard</t>
        </is>
      </c>
      <c r="D30" s="6" t="inlineStr">
        <is>
          <t>abs</t>
        </is>
      </c>
      <c r="E30" s="29" t="n">
        <v>0</v>
      </c>
      <c r="F30" s="6" t="inlineStr">
        <is>
          <t>Construction</t>
        </is>
      </c>
      <c r="G30" s="6" t="inlineStr">
        <is>
          <t>Bell_Curve</t>
        </is>
      </c>
      <c r="H30" s="10" t="n">
        <v>0</v>
      </c>
      <c r="I30" s="18">
        <f>IF(D30="abs",E30,IF(D30="unit",E30*TotalUnits,IF(D30="sf",E30*NRSF,E30)))</f>
        <v/>
      </c>
      <c r="J30" s="18">
        <f>IF(TotalUnits=0,0,I30/TotalUnits)</f>
        <v/>
      </c>
      <c r="K30" s="19">
        <f>IF(NRSF=0,0,I30/NRSF)</f>
        <v/>
      </c>
    </row>
    <row r="31">
      <c r="A31" s="5" t="inlineStr">
        <is>
          <t>Other Hard Cost 6</t>
        </is>
      </c>
      <c r="B31" s="5" t="inlineStr">
        <is>
          <t>Hard</t>
        </is>
      </c>
      <c r="C31" s="5" t="inlineStr">
        <is>
          <t>Hard</t>
        </is>
      </c>
      <c r="D31" s="6" t="inlineStr">
        <is>
          <t>abs</t>
        </is>
      </c>
      <c r="E31" s="29" t="n">
        <v>0</v>
      </c>
      <c r="F31" s="6" t="inlineStr">
        <is>
          <t>Construction</t>
        </is>
      </c>
      <c r="G31" s="6" t="inlineStr">
        <is>
          <t>Bell_Curve</t>
        </is>
      </c>
      <c r="H31" s="10" t="n">
        <v>0</v>
      </c>
      <c r="I31" s="18">
        <f>IF(D31="abs",E31,IF(D31="unit",E31*TotalUnits,IF(D31="sf",E31*NRSF,E31)))</f>
        <v/>
      </c>
      <c r="J31" s="18">
        <f>IF(TotalUnits=0,0,I31/TotalUnits)</f>
        <v/>
      </c>
      <c r="K31" s="19">
        <f>IF(NRSF=0,0,I31/NRSF)</f>
        <v/>
      </c>
    </row>
    <row r="33">
      <c r="A33" s="15" t="inlineStr">
        <is>
          <t>Budget Summary</t>
        </is>
      </c>
      <c r="B33" s="23" t="n"/>
      <c r="C33" s="23" t="n"/>
      <c r="D33" s="23" t="n"/>
    </row>
    <row r="34">
      <c r="A34" s="21" t="inlineStr">
        <is>
          <t>Land</t>
        </is>
      </c>
      <c r="I34" s="30">
        <f>SUMIF(B5:B31,"Land",I5:I31)</f>
        <v/>
      </c>
    </row>
    <row r="35">
      <c r="A35" s="21" t="inlineStr">
        <is>
          <t>Soft Costs</t>
        </is>
      </c>
      <c r="I35" s="30">
        <f>SUMIF(B5:B31,"Soft",I5:I31)</f>
        <v/>
      </c>
    </row>
    <row r="36">
      <c r="A36" s="21" t="inlineStr">
        <is>
          <t>Hard Costs</t>
        </is>
      </c>
      <c r="I36" s="30">
        <f>SUMIF(B5:B31,"Hard",I5:I31)</f>
        <v/>
      </c>
    </row>
    <row r="37">
      <c r="A37" s="21" t="inlineStr">
        <is>
          <t>Direct Costs (subtotal)</t>
        </is>
      </c>
      <c r="I37" s="30">
        <f>SUM(I5:I31)</f>
        <v/>
      </c>
    </row>
    <row r="38">
      <c r="A38" s="21" t="inlineStr">
        <is>
          <t>Sponsor Development Fee</t>
        </is>
      </c>
      <c r="I38" s="30">
        <f>DevFeePctDirect*DirectCosts</f>
        <v/>
      </c>
    </row>
    <row r="39">
      <c r="A39" s="21" t="inlineStr">
        <is>
          <t>Total Development Cost (per Diagnostics)</t>
        </is>
      </c>
      <c r="I39" s="30">
        <f>TDC_Total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K43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Timeline Engine — Milestones &amp; Monthly Period Grid</t>
        </is>
      </c>
    </row>
    <row r="3">
      <c r="A3" s="31" t="inlineStr">
        <is>
          <t>Milestone</t>
        </is>
      </c>
      <c r="B3" s="27" t="inlineStr">
        <is>
          <t>Start (mo)</t>
        </is>
      </c>
      <c r="C3" s="27" t="inlineStr">
        <is>
          <t>Duration (mo)</t>
        </is>
      </c>
      <c r="D3" s="27" t="inlineStr">
        <is>
          <t>End (mo)</t>
        </is>
      </c>
    </row>
    <row r="4">
      <c r="A4" s="5" t="inlineStr">
        <is>
          <t>Open Escrow</t>
        </is>
      </c>
      <c r="B4" s="8" t="n">
        <v>1</v>
      </c>
      <c r="C4" s="8" t="n">
        <v>1</v>
      </c>
      <c r="D4" s="32">
        <f>B4+C4-1</f>
        <v/>
      </c>
    </row>
    <row r="5">
      <c r="A5" s="5" t="inlineStr">
        <is>
          <t>Due Diligence</t>
        </is>
      </c>
      <c r="B5" s="8" t="n">
        <v>1</v>
      </c>
      <c r="C5" s="8" t="n">
        <v>3</v>
      </c>
      <c r="D5" s="32">
        <f>B5+C5-1</f>
        <v/>
      </c>
    </row>
    <row r="6">
      <c r="A6" s="5" t="inlineStr">
        <is>
          <t>Entitlement</t>
        </is>
      </c>
      <c r="B6" s="8" t="n">
        <v>2</v>
      </c>
      <c r="C6" s="8" t="n">
        <v>5</v>
      </c>
      <c r="D6" s="32">
        <f>B6+C6-1</f>
        <v/>
      </c>
    </row>
    <row r="7">
      <c r="A7" s="5" t="inlineStr">
        <is>
          <t>Pre-Construction</t>
        </is>
      </c>
      <c r="B7" s="8" t="n">
        <v>5</v>
      </c>
      <c r="C7" s="8" t="n">
        <v>3</v>
      </c>
      <c r="D7" s="32">
        <f>B7+C7-1</f>
        <v/>
      </c>
    </row>
    <row r="8">
      <c r="A8" s="5" t="inlineStr">
        <is>
          <t>Initial Closing</t>
        </is>
      </c>
      <c r="B8" s="8" t="n">
        <v>7</v>
      </c>
      <c r="C8" s="8" t="n">
        <v>1</v>
      </c>
      <c r="D8" s="32">
        <f>B8+C8-1</f>
        <v/>
      </c>
    </row>
    <row r="9">
      <c r="A9" s="5" t="inlineStr">
        <is>
          <t>Construction</t>
        </is>
      </c>
      <c r="B9" s="8" t="n">
        <v>7</v>
      </c>
      <c r="C9" s="8" t="n">
        <v>20</v>
      </c>
      <c r="D9" s="32">
        <f>B9+C9-1</f>
        <v/>
      </c>
    </row>
    <row r="10">
      <c r="A10" s="5" t="inlineStr">
        <is>
          <t>1st Unit Delivery</t>
        </is>
      </c>
      <c r="B10" s="8" t="n">
        <v>21</v>
      </c>
      <c r="C10" s="8" t="n">
        <v>1</v>
      </c>
      <c r="D10" s="32">
        <f>B10+C10-1</f>
        <v/>
      </c>
    </row>
    <row r="11">
      <c r="A11" s="5" t="inlineStr">
        <is>
          <t>Lease-Up</t>
        </is>
      </c>
      <c r="B11" s="8" t="n">
        <v>21</v>
      </c>
      <c r="C11" s="8" t="n">
        <v>12</v>
      </c>
      <c r="D11" s="32">
        <f>B11+C11-1</f>
        <v/>
      </c>
    </row>
    <row r="12">
      <c r="A12" s="5" t="inlineStr">
        <is>
          <t>Stabilization</t>
        </is>
      </c>
      <c r="B12" s="8" t="n">
        <v>33</v>
      </c>
      <c r="C12" s="8" t="n">
        <v>1</v>
      </c>
      <c r="D12" s="32">
        <f>B12+C12-1</f>
        <v/>
      </c>
    </row>
    <row r="13">
      <c r="A13" s="5" t="inlineStr">
        <is>
          <t>Recapitalization/Refinance</t>
        </is>
      </c>
      <c r="B13" s="8" t="n">
        <v>43</v>
      </c>
      <c r="C13" s="8" t="n">
        <v>1</v>
      </c>
      <c r="D13" s="32">
        <f>B13+C13-1</f>
        <v/>
      </c>
    </row>
    <row r="14">
      <c r="A14" s="5" t="inlineStr">
        <is>
          <t>Disposition</t>
        </is>
      </c>
      <c r="B14" s="33">
        <f>HoldPeriodMonths</f>
        <v/>
      </c>
      <c r="C14" s="8" t="n">
        <v>1</v>
      </c>
      <c r="D14" s="32">
        <f>B14+C14-1</f>
        <v/>
      </c>
    </row>
    <row r="16">
      <c r="A16" s="15" t="inlineStr">
        <is>
          <t>Key Timing (derived)</t>
        </is>
      </c>
      <c r="B16" s="23" t="n"/>
    </row>
    <row r="17">
      <c r="A17" s="5" t="inlineStr">
        <is>
          <t>Construction Start</t>
        </is>
      </c>
      <c r="B17" s="34">
        <f>MS_Construction_Start</f>
        <v/>
      </c>
    </row>
    <row r="18">
      <c r="A18" s="5" t="inlineStr">
        <is>
          <t>Construction Maturity</t>
        </is>
      </c>
      <c r="B18" s="34">
        <f>ConStart+ConLoanTermMonths-1</f>
        <v/>
      </c>
    </row>
    <row r="19">
      <c r="A19" s="5" t="inlineStr">
        <is>
          <t>1st Unit Delivery</t>
        </is>
      </c>
      <c r="B19" s="34">
        <f>MS_1st_Unit_Delivery_Start</f>
        <v/>
      </c>
    </row>
    <row r="20">
      <c r="A20" s="5" t="inlineStr">
        <is>
          <t>Stabilization Month</t>
        </is>
      </c>
      <c r="B20" s="34">
        <f>MS_Stabilization_Start</f>
        <v/>
      </c>
    </row>
    <row r="21">
      <c r="A21" s="5" t="inlineStr">
        <is>
          <t>Disposition Month</t>
        </is>
      </c>
      <c r="B21" s="34">
        <f>HoldPeriodMonths</f>
        <v/>
      </c>
    </row>
    <row r="22">
      <c r="A22" s="5" t="inlineStr">
        <is>
          <t>Growth Start Month</t>
        </is>
      </c>
      <c r="B22" s="34">
        <f>(YEAR(GrowthStartDate)-YEAR(InceptionDate))*12+MONTH(GrowthStartDate)-MONTH(InceptionDate)+1</f>
        <v/>
      </c>
    </row>
    <row r="23">
      <c r="A23" s="5" t="inlineStr">
        <is>
          <t>Refi Flag (1=refi,0=sell)</t>
        </is>
      </c>
      <c r="B23" s="35">
        <f>IF(DispoMonth&gt;ConMaturity,1,0)</f>
        <v/>
      </c>
    </row>
    <row r="24">
      <c r="A24" s="5" t="inlineStr">
        <is>
          <t>Refi Month</t>
        </is>
      </c>
      <c r="B24" s="34">
        <f>IF(RefiFlag=1,MIN(ConMaturity,IF(RefiMonthOverride&gt;0,RefiMonthOverride,ConMaturity)),0)</f>
        <v/>
      </c>
    </row>
    <row r="25">
      <c r="A25" s="5" t="inlineStr">
        <is>
          <t>Con Payoff Month</t>
        </is>
      </c>
      <c r="B25" s="34">
        <f>IF(RefiFlag=1,RefiMonth,DispoMonth)</f>
        <v/>
      </c>
    </row>
    <row r="27">
      <c r="A27" s="3" t="inlineStr">
        <is>
          <t>Monthly Period Grid</t>
        </is>
      </c>
      <c r="B27" s="4" t="n"/>
      <c r="C27" s="4" t="n"/>
    </row>
    <row r="28">
      <c r="A28" s="36" t="inlineStr">
        <is>
          <t>Period →</t>
        </is>
      </c>
      <c r="C28" s="27" t="inlineStr">
        <is>
          <t>Total</t>
        </is>
      </c>
      <c r="D28" s="37" t="n">
        <v>1</v>
      </c>
      <c r="E28" s="37" t="n">
        <v>2</v>
      </c>
      <c r="F28" s="37" t="n">
        <v>3</v>
      </c>
      <c r="G28" s="37" t="n">
        <v>4</v>
      </c>
      <c r="H28" s="37" t="n">
        <v>5</v>
      </c>
      <c r="I28" s="37" t="n">
        <v>6</v>
      </c>
      <c r="J28" s="37" t="n">
        <v>7</v>
      </c>
      <c r="K28" s="37" t="n">
        <v>8</v>
      </c>
      <c r="L28" s="37" t="n">
        <v>9</v>
      </c>
      <c r="M28" s="37" t="n">
        <v>10</v>
      </c>
      <c r="N28" s="37" t="n">
        <v>11</v>
      </c>
      <c r="O28" s="37" t="n">
        <v>12</v>
      </c>
      <c r="P28" s="37" t="n">
        <v>13</v>
      </c>
      <c r="Q28" s="37" t="n">
        <v>14</v>
      </c>
      <c r="R28" s="37" t="n">
        <v>15</v>
      </c>
      <c r="S28" s="37" t="n">
        <v>16</v>
      </c>
      <c r="T28" s="37" t="n">
        <v>17</v>
      </c>
      <c r="U28" s="37" t="n">
        <v>18</v>
      </c>
      <c r="V28" s="37" t="n">
        <v>19</v>
      </c>
      <c r="W28" s="37" t="n">
        <v>20</v>
      </c>
      <c r="X28" s="37" t="n">
        <v>21</v>
      </c>
      <c r="Y28" s="37" t="n">
        <v>22</v>
      </c>
      <c r="Z28" s="37" t="n">
        <v>23</v>
      </c>
      <c r="AA28" s="37" t="n">
        <v>24</v>
      </c>
      <c r="AB28" s="37" t="n">
        <v>25</v>
      </c>
      <c r="AC28" s="37" t="n">
        <v>26</v>
      </c>
      <c r="AD28" s="37" t="n">
        <v>27</v>
      </c>
      <c r="AE28" s="37" t="n">
        <v>28</v>
      </c>
      <c r="AF28" s="37" t="n">
        <v>29</v>
      </c>
      <c r="AG28" s="37" t="n">
        <v>30</v>
      </c>
      <c r="AH28" s="37" t="n">
        <v>31</v>
      </c>
      <c r="AI28" s="37" t="n">
        <v>32</v>
      </c>
      <c r="AJ28" s="37" t="n">
        <v>33</v>
      </c>
      <c r="AK28" s="37" t="n">
        <v>34</v>
      </c>
      <c r="AL28" s="37" t="n">
        <v>35</v>
      </c>
      <c r="AM28" s="37" t="n">
        <v>36</v>
      </c>
      <c r="AN28" s="37" t="n">
        <v>37</v>
      </c>
      <c r="AO28" s="37" t="n">
        <v>38</v>
      </c>
      <c r="AP28" s="37" t="n">
        <v>39</v>
      </c>
      <c r="AQ28" s="37" t="n">
        <v>40</v>
      </c>
      <c r="AR28" s="37" t="n">
        <v>41</v>
      </c>
      <c r="AS28" s="37" t="n">
        <v>42</v>
      </c>
      <c r="AT28" s="37" t="n">
        <v>43</v>
      </c>
      <c r="AU28" s="37" t="n">
        <v>44</v>
      </c>
      <c r="AV28" s="37" t="n">
        <v>45</v>
      </c>
      <c r="AW28" s="37" t="n">
        <v>46</v>
      </c>
      <c r="AX28" s="37" t="n">
        <v>47</v>
      </c>
      <c r="AY28" s="37" t="n">
        <v>48</v>
      </c>
      <c r="AZ28" s="37" t="n">
        <v>49</v>
      </c>
      <c r="BA28" s="37" t="n">
        <v>50</v>
      </c>
      <c r="BB28" s="37" t="n">
        <v>51</v>
      </c>
      <c r="BC28" s="37" t="n">
        <v>52</v>
      </c>
      <c r="BD28" s="37" t="n">
        <v>53</v>
      </c>
      <c r="BE28" s="37" t="n">
        <v>54</v>
      </c>
      <c r="BF28" s="37" t="n">
        <v>55</v>
      </c>
      <c r="BG28" s="37" t="n">
        <v>56</v>
      </c>
      <c r="BH28" s="37" t="n">
        <v>57</v>
      </c>
      <c r="BI28" s="37" t="n">
        <v>58</v>
      </c>
      <c r="BJ28" s="37" t="n">
        <v>59</v>
      </c>
      <c r="BK28" s="37" t="n">
        <v>60</v>
      </c>
      <c r="BL28" s="37" t="n">
        <v>61</v>
      </c>
      <c r="BM28" s="37" t="n">
        <v>62</v>
      </c>
      <c r="BN28" s="37" t="n">
        <v>63</v>
      </c>
      <c r="BO28" s="37" t="n">
        <v>64</v>
      </c>
      <c r="BP28" s="37" t="n">
        <v>65</v>
      </c>
      <c r="BQ28" s="37" t="n">
        <v>66</v>
      </c>
      <c r="BR28" s="37" t="n">
        <v>67</v>
      </c>
      <c r="BS28" s="37" t="n">
        <v>68</v>
      </c>
      <c r="BT28" s="37" t="n">
        <v>69</v>
      </c>
      <c r="BU28" s="37" t="n">
        <v>70</v>
      </c>
      <c r="BV28" s="37" t="n">
        <v>71</v>
      </c>
      <c r="BW28" s="37" t="n">
        <v>72</v>
      </c>
      <c r="BX28" s="37" t="n">
        <v>73</v>
      </c>
      <c r="BY28" s="37" t="n">
        <v>74</v>
      </c>
      <c r="BZ28" s="37" t="n">
        <v>75</v>
      </c>
      <c r="CA28" s="37" t="n">
        <v>76</v>
      </c>
      <c r="CB28" s="37" t="n">
        <v>77</v>
      </c>
      <c r="CC28" s="37" t="n">
        <v>78</v>
      </c>
      <c r="CD28" s="37" t="n">
        <v>79</v>
      </c>
      <c r="CE28" s="37" t="n">
        <v>80</v>
      </c>
      <c r="CF28" s="37" t="n">
        <v>81</v>
      </c>
      <c r="CG28" s="37" t="n">
        <v>82</v>
      </c>
      <c r="CH28" s="37" t="n">
        <v>83</v>
      </c>
      <c r="CI28" s="37" t="n">
        <v>84</v>
      </c>
      <c r="CJ28" s="37" t="n">
        <v>85</v>
      </c>
      <c r="CK28" s="37" t="n">
        <v>86</v>
      </c>
      <c r="CL28" s="37" t="n">
        <v>87</v>
      </c>
      <c r="CM28" s="37" t="n">
        <v>88</v>
      </c>
      <c r="CN28" s="37" t="n">
        <v>89</v>
      </c>
      <c r="CO28" s="37" t="n">
        <v>90</v>
      </c>
      <c r="CP28" s="37" t="n">
        <v>91</v>
      </c>
      <c r="CQ28" s="37" t="n">
        <v>92</v>
      </c>
      <c r="CR28" s="37" t="n">
        <v>93</v>
      </c>
      <c r="CS28" s="37" t="n">
        <v>94</v>
      </c>
      <c r="CT28" s="37" t="n">
        <v>95</v>
      </c>
      <c r="CU28" s="37" t="n">
        <v>96</v>
      </c>
      <c r="CV28" s="37" t="n">
        <v>97</v>
      </c>
      <c r="CW28" s="37" t="n">
        <v>98</v>
      </c>
      <c r="CX28" s="37" t="n">
        <v>99</v>
      </c>
      <c r="CY28" s="37" t="n">
        <v>100</v>
      </c>
      <c r="CZ28" s="37" t="n">
        <v>101</v>
      </c>
      <c r="DA28" s="37" t="n">
        <v>102</v>
      </c>
      <c r="DB28" s="37" t="n">
        <v>103</v>
      </c>
      <c r="DC28" s="37" t="n">
        <v>104</v>
      </c>
      <c r="DD28" s="37" t="n">
        <v>105</v>
      </c>
      <c r="DE28" s="37" t="n">
        <v>106</v>
      </c>
      <c r="DF28" s="37" t="n">
        <v>107</v>
      </c>
      <c r="DG28" s="37" t="n">
        <v>108</v>
      </c>
      <c r="DH28" s="37" t="n">
        <v>109</v>
      </c>
      <c r="DI28" s="37" t="n">
        <v>110</v>
      </c>
      <c r="DJ28" s="37" t="n">
        <v>111</v>
      </c>
      <c r="DK28" s="37" t="n">
        <v>112</v>
      </c>
      <c r="DL28" s="37" t="n">
        <v>113</v>
      </c>
      <c r="DM28" s="37" t="n">
        <v>114</v>
      </c>
      <c r="DN28" s="37" t="n">
        <v>115</v>
      </c>
      <c r="DO28" s="37" t="n">
        <v>116</v>
      </c>
      <c r="DP28" s="37" t="n">
        <v>117</v>
      </c>
      <c r="DQ28" s="37" t="n">
        <v>118</v>
      </c>
      <c r="DR28" s="37" t="n">
        <v>119</v>
      </c>
      <c r="DS28" s="37" t="n">
        <v>120</v>
      </c>
      <c r="DT28" s="37" t="n">
        <v>121</v>
      </c>
      <c r="DU28" s="37" t="n">
        <v>122</v>
      </c>
      <c r="DV28" s="37" t="n">
        <v>123</v>
      </c>
      <c r="DW28" s="37" t="n">
        <v>124</v>
      </c>
      <c r="DX28" s="37" t="n">
        <v>125</v>
      </c>
      <c r="DY28" s="37" t="n">
        <v>126</v>
      </c>
      <c r="DZ28" s="37" t="n">
        <v>127</v>
      </c>
      <c r="EA28" s="37" t="n">
        <v>128</v>
      </c>
      <c r="EB28" s="37" t="n">
        <v>129</v>
      </c>
      <c r="EC28" s="37" t="n">
        <v>130</v>
      </c>
      <c r="ED28" s="37" t="n">
        <v>131</v>
      </c>
      <c r="EE28" s="37" t="n">
        <v>132</v>
      </c>
      <c r="EF28" s="37" t="n">
        <v>133</v>
      </c>
      <c r="EG28" s="37" t="n">
        <v>134</v>
      </c>
      <c r="EH28" s="37" t="n">
        <v>135</v>
      </c>
      <c r="EI28" s="37" t="n">
        <v>136</v>
      </c>
      <c r="EJ28" s="37" t="n">
        <v>137</v>
      </c>
      <c r="EK28" s="37" t="n">
        <v>138</v>
      </c>
      <c r="EL28" s="37" t="n">
        <v>139</v>
      </c>
      <c r="EM28" s="37" t="n">
        <v>140</v>
      </c>
      <c r="EN28" s="37" t="n">
        <v>141</v>
      </c>
      <c r="EO28" s="37" t="n">
        <v>142</v>
      </c>
      <c r="EP28" s="37" t="n">
        <v>143</v>
      </c>
      <c r="EQ28" s="37" t="n">
        <v>144</v>
      </c>
      <c r="ER28" s="37" t="n">
        <v>145</v>
      </c>
      <c r="ES28" s="37" t="n">
        <v>146</v>
      </c>
      <c r="ET28" s="37" t="n">
        <v>147</v>
      </c>
      <c r="EU28" s="37" t="n">
        <v>148</v>
      </c>
      <c r="EV28" s="37" t="n">
        <v>149</v>
      </c>
      <c r="EW28" s="37" t="n">
        <v>150</v>
      </c>
      <c r="EX28" s="37" t="n">
        <v>151</v>
      </c>
      <c r="EY28" s="37" t="n">
        <v>152</v>
      </c>
      <c r="EZ28" s="37" t="n">
        <v>153</v>
      </c>
      <c r="FA28" s="37" t="n">
        <v>154</v>
      </c>
      <c r="FB28" s="37" t="n">
        <v>155</v>
      </c>
      <c r="FC28" s="37" t="n">
        <v>156</v>
      </c>
      <c r="FD28" s="37" t="n">
        <v>157</v>
      </c>
      <c r="FE28" s="37" t="n">
        <v>158</v>
      </c>
      <c r="FF28" s="37" t="n">
        <v>159</v>
      </c>
      <c r="FG28" s="37" t="n">
        <v>160</v>
      </c>
      <c r="FH28" s="37" t="n">
        <v>161</v>
      </c>
      <c r="FI28" s="37" t="n">
        <v>162</v>
      </c>
      <c r="FJ28" s="37" t="n">
        <v>163</v>
      </c>
      <c r="FK28" s="37" t="n">
        <v>164</v>
      </c>
      <c r="FL28" s="37" t="n">
        <v>165</v>
      </c>
      <c r="FM28" s="37" t="n">
        <v>166</v>
      </c>
      <c r="FN28" s="37" t="n">
        <v>167</v>
      </c>
      <c r="FO28" s="37" t="n">
        <v>168</v>
      </c>
      <c r="FP28" s="37" t="n">
        <v>169</v>
      </c>
      <c r="FQ28" s="37" t="n">
        <v>170</v>
      </c>
      <c r="FR28" s="37" t="n">
        <v>171</v>
      </c>
      <c r="FS28" s="37" t="n">
        <v>172</v>
      </c>
      <c r="FT28" s="37" t="n">
        <v>173</v>
      </c>
      <c r="FU28" s="37" t="n">
        <v>174</v>
      </c>
      <c r="FV28" s="37" t="n">
        <v>175</v>
      </c>
      <c r="FW28" s="37" t="n">
        <v>176</v>
      </c>
      <c r="FX28" s="37" t="n">
        <v>177</v>
      </c>
      <c r="FY28" s="37" t="n">
        <v>178</v>
      </c>
      <c r="FZ28" s="37" t="n">
        <v>179</v>
      </c>
      <c r="GA28" s="37" t="n">
        <v>180</v>
      </c>
      <c r="GB28" s="37" t="n">
        <v>181</v>
      </c>
      <c r="GC28" s="37" t="n">
        <v>182</v>
      </c>
      <c r="GD28" s="37" t="n">
        <v>183</v>
      </c>
      <c r="GE28" s="37" t="n">
        <v>184</v>
      </c>
      <c r="GF28" s="37" t="n">
        <v>185</v>
      </c>
      <c r="GG28" s="37" t="n">
        <v>186</v>
      </c>
      <c r="GH28" s="37" t="n">
        <v>187</v>
      </c>
      <c r="GI28" s="37" t="n">
        <v>188</v>
      </c>
      <c r="GJ28" s="37" t="n">
        <v>189</v>
      </c>
      <c r="GK28" s="37" t="n">
        <v>190</v>
      </c>
      <c r="GL28" s="37" t="n">
        <v>191</v>
      </c>
      <c r="GM28" s="37" t="n">
        <v>192</v>
      </c>
      <c r="GN28" s="37" t="n">
        <v>193</v>
      </c>
      <c r="GO28" s="37" t="n">
        <v>194</v>
      </c>
      <c r="GP28" s="37" t="n">
        <v>195</v>
      </c>
      <c r="GQ28" s="37" t="n">
        <v>196</v>
      </c>
      <c r="GR28" s="37" t="n">
        <v>197</v>
      </c>
      <c r="GS28" s="37" t="n">
        <v>198</v>
      </c>
      <c r="GT28" s="37" t="n">
        <v>199</v>
      </c>
      <c r="GU28" s="37" t="n">
        <v>200</v>
      </c>
      <c r="GV28" s="37" t="n">
        <v>201</v>
      </c>
      <c r="GW28" s="37" t="n">
        <v>202</v>
      </c>
      <c r="GX28" s="37" t="n">
        <v>203</v>
      </c>
      <c r="GY28" s="37" t="n">
        <v>204</v>
      </c>
      <c r="GZ28" s="37" t="n">
        <v>205</v>
      </c>
      <c r="HA28" s="37" t="n">
        <v>206</v>
      </c>
      <c r="HB28" s="37" t="n">
        <v>207</v>
      </c>
      <c r="HC28" s="37" t="n">
        <v>208</v>
      </c>
      <c r="HD28" s="37" t="n">
        <v>209</v>
      </c>
      <c r="HE28" s="37" t="n">
        <v>210</v>
      </c>
      <c r="HF28" s="37" t="n">
        <v>211</v>
      </c>
      <c r="HG28" s="37" t="n">
        <v>212</v>
      </c>
      <c r="HH28" s="37" t="n">
        <v>213</v>
      </c>
      <c r="HI28" s="37" t="n">
        <v>214</v>
      </c>
      <c r="HJ28" s="37" t="n">
        <v>215</v>
      </c>
      <c r="HK28" s="37" t="n">
        <v>216</v>
      </c>
      <c r="HL28" s="37" t="n">
        <v>217</v>
      </c>
      <c r="HM28" s="37" t="n">
        <v>218</v>
      </c>
      <c r="HN28" s="37" t="n">
        <v>219</v>
      </c>
      <c r="HO28" s="37" t="n">
        <v>220</v>
      </c>
      <c r="HP28" s="37" t="n">
        <v>221</v>
      </c>
      <c r="HQ28" s="37" t="n">
        <v>222</v>
      </c>
      <c r="HR28" s="37" t="n">
        <v>223</v>
      </c>
      <c r="HS28" s="37" t="n">
        <v>224</v>
      </c>
      <c r="HT28" s="37" t="n">
        <v>225</v>
      </c>
      <c r="HU28" s="37" t="n">
        <v>226</v>
      </c>
      <c r="HV28" s="37" t="n">
        <v>227</v>
      </c>
      <c r="HW28" s="37" t="n">
        <v>228</v>
      </c>
      <c r="HX28" s="37" t="n">
        <v>229</v>
      </c>
      <c r="HY28" s="37" t="n">
        <v>230</v>
      </c>
      <c r="HZ28" s="37" t="n">
        <v>231</v>
      </c>
      <c r="IA28" s="37" t="n">
        <v>232</v>
      </c>
      <c r="IB28" s="37" t="n">
        <v>233</v>
      </c>
      <c r="IC28" s="37" t="n">
        <v>234</v>
      </c>
      <c r="ID28" s="37" t="n">
        <v>235</v>
      </c>
      <c r="IE28" s="37" t="n">
        <v>236</v>
      </c>
      <c r="IF28" s="37" t="n">
        <v>237</v>
      </c>
      <c r="IG28" s="37" t="n">
        <v>238</v>
      </c>
      <c r="IH28" s="37" t="n">
        <v>239</v>
      </c>
      <c r="II28" s="37" t="n">
        <v>240</v>
      </c>
      <c r="IJ28" s="37" t="n">
        <v>241</v>
      </c>
      <c r="IK28" s="37" t="n">
        <v>242</v>
      </c>
      <c r="IL28" s="37" t="n">
        <v>243</v>
      </c>
      <c r="IM28" s="37" t="n">
        <v>244</v>
      </c>
      <c r="IN28" s="37" t="n">
        <v>245</v>
      </c>
      <c r="IO28" s="37" t="n">
        <v>246</v>
      </c>
      <c r="IP28" s="37" t="n">
        <v>247</v>
      </c>
      <c r="IQ28" s="37" t="n">
        <v>248</v>
      </c>
      <c r="IR28" s="37" t="n">
        <v>249</v>
      </c>
      <c r="IS28" s="37" t="n">
        <v>250</v>
      </c>
      <c r="IT28" s="37" t="n">
        <v>251</v>
      </c>
      <c r="IU28" s="37" t="n">
        <v>252</v>
      </c>
      <c r="IV28" s="37" t="n">
        <v>253</v>
      </c>
      <c r="IW28" s="37" t="n">
        <v>254</v>
      </c>
      <c r="IX28" s="37" t="n">
        <v>255</v>
      </c>
      <c r="IY28" s="37" t="n">
        <v>256</v>
      </c>
      <c r="IZ28" s="37" t="n">
        <v>257</v>
      </c>
      <c r="JA28" s="37" t="n">
        <v>258</v>
      </c>
      <c r="JB28" s="37" t="n">
        <v>259</v>
      </c>
      <c r="JC28" s="37" t="n">
        <v>260</v>
      </c>
      <c r="JD28" s="37" t="n">
        <v>261</v>
      </c>
      <c r="JE28" s="37" t="n">
        <v>262</v>
      </c>
      <c r="JF28" s="37" t="n">
        <v>263</v>
      </c>
      <c r="JG28" s="37" t="n">
        <v>264</v>
      </c>
      <c r="JH28" s="37" t="n">
        <v>265</v>
      </c>
      <c r="JI28" s="37" t="n">
        <v>266</v>
      </c>
      <c r="JJ28" s="37" t="n">
        <v>267</v>
      </c>
      <c r="JK28" s="37" t="n">
        <v>268</v>
      </c>
      <c r="JL28" s="37" t="n">
        <v>269</v>
      </c>
      <c r="JM28" s="37" t="n">
        <v>270</v>
      </c>
      <c r="JN28" s="37" t="n">
        <v>271</v>
      </c>
      <c r="JO28" s="37" t="n">
        <v>272</v>
      </c>
      <c r="JP28" s="37" t="n">
        <v>273</v>
      </c>
      <c r="JQ28" s="37" t="n">
        <v>274</v>
      </c>
      <c r="JR28" s="37" t="n">
        <v>275</v>
      </c>
      <c r="JS28" s="37" t="n">
        <v>276</v>
      </c>
      <c r="JT28" s="37" t="n">
        <v>277</v>
      </c>
      <c r="JU28" s="37" t="n">
        <v>278</v>
      </c>
      <c r="JV28" s="37" t="n">
        <v>279</v>
      </c>
      <c r="JW28" s="37" t="n">
        <v>280</v>
      </c>
      <c r="JX28" s="37" t="n">
        <v>281</v>
      </c>
      <c r="JY28" s="37" t="n">
        <v>282</v>
      </c>
      <c r="JZ28" s="37" t="n">
        <v>283</v>
      </c>
      <c r="KA28" s="37" t="n">
        <v>284</v>
      </c>
      <c r="KB28" s="37" t="n">
        <v>285</v>
      </c>
      <c r="KC28" s="37" t="n">
        <v>286</v>
      </c>
      <c r="KD28" s="37" t="n">
        <v>287</v>
      </c>
      <c r="KE28" s="37" t="n">
        <v>288</v>
      </c>
      <c r="KF28" s="37" t="n">
        <v>289</v>
      </c>
      <c r="KG28" s="37" t="n">
        <v>290</v>
      </c>
      <c r="KH28" s="37" t="n">
        <v>291</v>
      </c>
      <c r="KI28" s="37" t="n">
        <v>292</v>
      </c>
      <c r="KJ28" s="37" t="n">
        <v>293</v>
      </c>
      <c r="KK28" s="37" t="n">
        <v>294</v>
      </c>
      <c r="KL28" s="37" t="n">
        <v>295</v>
      </c>
      <c r="KM28" s="37" t="n">
        <v>296</v>
      </c>
      <c r="KN28" s="37" t="n">
        <v>297</v>
      </c>
      <c r="KO28" s="37" t="n">
        <v>298</v>
      </c>
      <c r="KP28" s="37" t="n">
        <v>299</v>
      </c>
      <c r="KQ28" s="37" t="n">
        <v>300</v>
      </c>
      <c r="KR28" s="37" t="n">
        <v>301</v>
      </c>
      <c r="KS28" s="37" t="n">
        <v>302</v>
      </c>
      <c r="KT28" s="37" t="n">
        <v>303</v>
      </c>
      <c r="KU28" s="37" t="n">
        <v>304</v>
      </c>
      <c r="KV28" s="37" t="n">
        <v>305</v>
      </c>
      <c r="KW28" s="37" t="n">
        <v>306</v>
      </c>
      <c r="KX28" s="37" t="n">
        <v>307</v>
      </c>
      <c r="KY28" s="37" t="n">
        <v>308</v>
      </c>
      <c r="KZ28" s="37" t="n">
        <v>309</v>
      </c>
      <c r="LA28" s="37" t="n">
        <v>310</v>
      </c>
      <c r="LB28" s="37" t="n">
        <v>311</v>
      </c>
      <c r="LC28" s="37" t="n">
        <v>312</v>
      </c>
      <c r="LD28" s="37" t="n">
        <v>313</v>
      </c>
      <c r="LE28" s="37" t="n">
        <v>314</v>
      </c>
      <c r="LF28" s="37" t="n">
        <v>315</v>
      </c>
      <c r="LG28" s="37" t="n">
        <v>316</v>
      </c>
      <c r="LH28" s="37" t="n">
        <v>317</v>
      </c>
      <c r="LI28" s="37" t="n">
        <v>318</v>
      </c>
      <c r="LJ28" s="37" t="n">
        <v>319</v>
      </c>
      <c r="LK28" s="37" t="n">
        <v>320</v>
      </c>
      <c r="LL28" s="37" t="n">
        <v>321</v>
      </c>
      <c r="LM28" s="37" t="n">
        <v>322</v>
      </c>
      <c r="LN28" s="37" t="n">
        <v>323</v>
      </c>
      <c r="LO28" s="37" t="n">
        <v>324</v>
      </c>
      <c r="LP28" s="37" t="n">
        <v>325</v>
      </c>
      <c r="LQ28" s="37" t="n">
        <v>326</v>
      </c>
      <c r="LR28" s="37" t="n">
        <v>327</v>
      </c>
      <c r="LS28" s="37" t="n">
        <v>328</v>
      </c>
      <c r="LT28" s="37" t="n">
        <v>329</v>
      </c>
      <c r="LU28" s="37" t="n">
        <v>330</v>
      </c>
      <c r="LV28" s="37" t="n">
        <v>331</v>
      </c>
      <c r="LW28" s="37" t="n">
        <v>332</v>
      </c>
      <c r="LX28" s="37" t="n">
        <v>333</v>
      </c>
      <c r="LY28" s="37" t="n">
        <v>334</v>
      </c>
      <c r="LZ28" s="37" t="n">
        <v>335</v>
      </c>
      <c r="MA28" s="37" t="n">
        <v>336</v>
      </c>
      <c r="MB28" s="37" t="n">
        <v>337</v>
      </c>
      <c r="MC28" s="37" t="n">
        <v>338</v>
      </c>
      <c r="MD28" s="37" t="n">
        <v>339</v>
      </c>
      <c r="ME28" s="37" t="n">
        <v>340</v>
      </c>
      <c r="MF28" s="37" t="n">
        <v>341</v>
      </c>
      <c r="MG28" s="37" t="n">
        <v>342</v>
      </c>
      <c r="MH28" s="37" t="n">
        <v>343</v>
      </c>
      <c r="MI28" s="37" t="n">
        <v>344</v>
      </c>
      <c r="MJ28" s="37" t="n">
        <v>345</v>
      </c>
      <c r="MK28" s="37" t="n">
        <v>346</v>
      </c>
      <c r="ML28" s="37" t="n">
        <v>347</v>
      </c>
      <c r="MM28" s="37" t="n">
        <v>348</v>
      </c>
      <c r="MN28" s="37" t="n">
        <v>349</v>
      </c>
      <c r="MO28" s="37" t="n">
        <v>350</v>
      </c>
      <c r="MP28" s="37" t="n">
        <v>351</v>
      </c>
      <c r="MQ28" s="37" t="n">
        <v>352</v>
      </c>
      <c r="MR28" s="37" t="n">
        <v>353</v>
      </c>
      <c r="MS28" s="37" t="n">
        <v>354</v>
      </c>
      <c r="MT28" s="37" t="n">
        <v>355</v>
      </c>
      <c r="MU28" s="37" t="n">
        <v>356</v>
      </c>
      <c r="MV28" s="37" t="n">
        <v>357</v>
      </c>
      <c r="MW28" s="37" t="n">
        <v>358</v>
      </c>
      <c r="MX28" s="37" t="n">
        <v>359</v>
      </c>
      <c r="MY28" s="37" t="n">
        <v>360</v>
      </c>
      <c r="MZ28" s="37" t="n">
        <v>361</v>
      </c>
      <c r="NA28" s="37" t="n">
        <v>362</v>
      </c>
      <c r="NB28" s="37" t="n">
        <v>363</v>
      </c>
      <c r="NC28" s="37" t="n">
        <v>364</v>
      </c>
      <c r="ND28" s="37" t="n">
        <v>365</v>
      </c>
      <c r="NE28" s="37" t="n">
        <v>366</v>
      </c>
      <c r="NF28" s="37" t="n">
        <v>367</v>
      </c>
      <c r="NG28" s="37" t="n">
        <v>368</v>
      </c>
      <c r="NH28" s="37" t="n">
        <v>369</v>
      </c>
      <c r="NI28" s="37" t="n">
        <v>370</v>
      </c>
      <c r="NJ28" s="37" t="n">
        <v>371</v>
      </c>
      <c r="NK28" s="37" t="n">
        <v>372</v>
      </c>
    </row>
    <row r="29">
      <c r="A29" s="38" t="inlineStr">
        <is>
          <t>Month Start</t>
        </is>
      </c>
      <c r="D29" s="39">
        <f>EDATE(InceptionDate,0)</f>
        <v/>
      </c>
      <c r="E29" s="39">
        <f>EDATE(InceptionDate,1)</f>
        <v/>
      </c>
      <c r="F29" s="39">
        <f>EDATE(InceptionDate,2)</f>
        <v/>
      </c>
      <c r="G29" s="39">
        <f>EDATE(InceptionDate,3)</f>
        <v/>
      </c>
      <c r="H29" s="39">
        <f>EDATE(InceptionDate,4)</f>
        <v/>
      </c>
      <c r="I29" s="39">
        <f>EDATE(InceptionDate,5)</f>
        <v/>
      </c>
      <c r="J29" s="39">
        <f>EDATE(InceptionDate,6)</f>
        <v/>
      </c>
      <c r="K29" s="39">
        <f>EDATE(InceptionDate,7)</f>
        <v/>
      </c>
      <c r="L29" s="39">
        <f>EDATE(InceptionDate,8)</f>
        <v/>
      </c>
      <c r="M29" s="39">
        <f>EDATE(InceptionDate,9)</f>
        <v/>
      </c>
      <c r="N29" s="39">
        <f>EDATE(InceptionDate,10)</f>
        <v/>
      </c>
      <c r="O29" s="39">
        <f>EDATE(InceptionDate,11)</f>
        <v/>
      </c>
      <c r="P29" s="39">
        <f>EDATE(InceptionDate,12)</f>
        <v/>
      </c>
      <c r="Q29" s="39">
        <f>EDATE(InceptionDate,13)</f>
        <v/>
      </c>
      <c r="R29" s="39">
        <f>EDATE(InceptionDate,14)</f>
        <v/>
      </c>
      <c r="S29" s="39">
        <f>EDATE(InceptionDate,15)</f>
        <v/>
      </c>
      <c r="T29" s="39">
        <f>EDATE(InceptionDate,16)</f>
        <v/>
      </c>
      <c r="U29" s="39">
        <f>EDATE(InceptionDate,17)</f>
        <v/>
      </c>
      <c r="V29" s="39">
        <f>EDATE(InceptionDate,18)</f>
        <v/>
      </c>
      <c r="W29" s="39">
        <f>EDATE(InceptionDate,19)</f>
        <v/>
      </c>
      <c r="X29" s="39">
        <f>EDATE(InceptionDate,20)</f>
        <v/>
      </c>
      <c r="Y29" s="39">
        <f>EDATE(InceptionDate,21)</f>
        <v/>
      </c>
      <c r="Z29" s="39">
        <f>EDATE(InceptionDate,22)</f>
        <v/>
      </c>
      <c r="AA29" s="39">
        <f>EDATE(InceptionDate,23)</f>
        <v/>
      </c>
      <c r="AB29" s="39">
        <f>EDATE(InceptionDate,24)</f>
        <v/>
      </c>
      <c r="AC29" s="39">
        <f>EDATE(InceptionDate,25)</f>
        <v/>
      </c>
      <c r="AD29" s="39">
        <f>EDATE(InceptionDate,26)</f>
        <v/>
      </c>
      <c r="AE29" s="39">
        <f>EDATE(InceptionDate,27)</f>
        <v/>
      </c>
      <c r="AF29" s="39">
        <f>EDATE(InceptionDate,28)</f>
        <v/>
      </c>
      <c r="AG29" s="39">
        <f>EDATE(InceptionDate,29)</f>
        <v/>
      </c>
      <c r="AH29" s="39">
        <f>EDATE(InceptionDate,30)</f>
        <v/>
      </c>
      <c r="AI29" s="39">
        <f>EDATE(InceptionDate,31)</f>
        <v/>
      </c>
      <c r="AJ29" s="39">
        <f>EDATE(InceptionDate,32)</f>
        <v/>
      </c>
      <c r="AK29" s="39">
        <f>EDATE(InceptionDate,33)</f>
        <v/>
      </c>
      <c r="AL29" s="39">
        <f>EDATE(InceptionDate,34)</f>
        <v/>
      </c>
      <c r="AM29" s="39">
        <f>EDATE(InceptionDate,35)</f>
        <v/>
      </c>
      <c r="AN29" s="39">
        <f>EDATE(InceptionDate,36)</f>
        <v/>
      </c>
      <c r="AO29" s="39">
        <f>EDATE(InceptionDate,37)</f>
        <v/>
      </c>
      <c r="AP29" s="39">
        <f>EDATE(InceptionDate,38)</f>
        <v/>
      </c>
      <c r="AQ29" s="39">
        <f>EDATE(InceptionDate,39)</f>
        <v/>
      </c>
      <c r="AR29" s="39">
        <f>EDATE(InceptionDate,40)</f>
        <v/>
      </c>
      <c r="AS29" s="39">
        <f>EDATE(InceptionDate,41)</f>
        <v/>
      </c>
      <c r="AT29" s="39">
        <f>EDATE(InceptionDate,42)</f>
        <v/>
      </c>
      <c r="AU29" s="39">
        <f>EDATE(InceptionDate,43)</f>
        <v/>
      </c>
      <c r="AV29" s="39">
        <f>EDATE(InceptionDate,44)</f>
        <v/>
      </c>
      <c r="AW29" s="39">
        <f>EDATE(InceptionDate,45)</f>
        <v/>
      </c>
      <c r="AX29" s="39">
        <f>EDATE(InceptionDate,46)</f>
        <v/>
      </c>
      <c r="AY29" s="39">
        <f>EDATE(InceptionDate,47)</f>
        <v/>
      </c>
      <c r="AZ29" s="39">
        <f>EDATE(InceptionDate,48)</f>
        <v/>
      </c>
      <c r="BA29" s="39">
        <f>EDATE(InceptionDate,49)</f>
        <v/>
      </c>
      <c r="BB29" s="39">
        <f>EDATE(InceptionDate,50)</f>
        <v/>
      </c>
      <c r="BC29" s="39">
        <f>EDATE(InceptionDate,51)</f>
        <v/>
      </c>
      <c r="BD29" s="39">
        <f>EDATE(InceptionDate,52)</f>
        <v/>
      </c>
      <c r="BE29" s="39">
        <f>EDATE(InceptionDate,53)</f>
        <v/>
      </c>
      <c r="BF29" s="39">
        <f>EDATE(InceptionDate,54)</f>
        <v/>
      </c>
      <c r="BG29" s="39">
        <f>EDATE(InceptionDate,55)</f>
        <v/>
      </c>
      <c r="BH29" s="39">
        <f>EDATE(InceptionDate,56)</f>
        <v/>
      </c>
      <c r="BI29" s="39">
        <f>EDATE(InceptionDate,57)</f>
        <v/>
      </c>
      <c r="BJ29" s="39">
        <f>EDATE(InceptionDate,58)</f>
        <v/>
      </c>
      <c r="BK29" s="39">
        <f>EDATE(InceptionDate,59)</f>
        <v/>
      </c>
      <c r="BL29" s="39">
        <f>EDATE(InceptionDate,60)</f>
        <v/>
      </c>
      <c r="BM29" s="39">
        <f>EDATE(InceptionDate,61)</f>
        <v/>
      </c>
      <c r="BN29" s="39">
        <f>EDATE(InceptionDate,62)</f>
        <v/>
      </c>
      <c r="BO29" s="39">
        <f>EDATE(InceptionDate,63)</f>
        <v/>
      </c>
      <c r="BP29" s="39">
        <f>EDATE(InceptionDate,64)</f>
        <v/>
      </c>
      <c r="BQ29" s="39">
        <f>EDATE(InceptionDate,65)</f>
        <v/>
      </c>
      <c r="BR29" s="39">
        <f>EDATE(InceptionDate,66)</f>
        <v/>
      </c>
      <c r="BS29" s="39">
        <f>EDATE(InceptionDate,67)</f>
        <v/>
      </c>
      <c r="BT29" s="39">
        <f>EDATE(InceptionDate,68)</f>
        <v/>
      </c>
      <c r="BU29" s="39">
        <f>EDATE(InceptionDate,69)</f>
        <v/>
      </c>
      <c r="BV29" s="39">
        <f>EDATE(InceptionDate,70)</f>
        <v/>
      </c>
      <c r="BW29" s="39">
        <f>EDATE(InceptionDate,71)</f>
        <v/>
      </c>
      <c r="BX29" s="39">
        <f>EDATE(InceptionDate,72)</f>
        <v/>
      </c>
      <c r="BY29" s="39">
        <f>EDATE(InceptionDate,73)</f>
        <v/>
      </c>
      <c r="BZ29" s="39">
        <f>EDATE(InceptionDate,74)</f>
        <v/>
      </c>
      <c r="CA29" s="39">
        <f>EDATE(InceptionDate,75)</f>
        <v/>
      </c>
      <c r="CB29" s="39">
        <f>EDATE(InceptionDate,76)</f>
        <v/>
      </c>
      <c r="CC29" s="39">
        <f>EDATE(InceptionDate,77)</f>
        <v/>
      </c>
      <c r="CD29" s="39">
        <f>EDATE(InceptionDate,78)</f>
        <v/>
      </c>
      <c r="CE29" s="39">
        <f>EDATE(InceptionDate,79)</f>
        <v/>
      </c>
      <c r="CF29" s="39">
        <f>EDATE(InceptionDate,80)</f>
        <v/>
      </c>
      <c r="CG29" s="39">
        <f>EDATE(InceptionDate,81)</f>
        <v/>
      </c>
      <c r="CH29" s="39">
        <f>EDATE(InceptionDate,82)</f>
        <v/>
      </c>
      <c r="CI29" s="39">
        <f>EDATE(InceptionDate,83)</f>
        <v/>
      </c>
      <c r="CJ29" s="39">
        <f>EDATE(InceptionDate,84)</f>
        <v/>
      </c>
      <c r="CK29" s="39">
        <f>EDATE(InceptionDate,85)</f>
        <v/>
      </c>
      <c r="CL29" s="39">
        <f>EDATE(InceptionDate,86)</f>
        <v/>
      </c>
      <c r="CM29" s="39">
        <f>EDATE(InceptionDate,87)</f>
        <v/>
      </c>
      <c r="CN29" s="39">
        <f>EDATE(InceptionDate,88)</f>
        <v/>
      </c>
      <c r="CO29" s="39">
        <f>EDATE(InceptionDate,89)</f>
        <v/>
      </c>
      <c r="CP29" s="39">
        <f>EDATE(InceptionDate,90)</f>
        <v/>
      </c>
      <c r="CQ29" s="39">
        <f>EDATE(InceptionDate,91)</f>
        <v/>
      </c>
      <c r="CR29" s="39">
        <f>EDATE(InceptionDate,92)</f>
        <v/>
      </c>
      <c r="CS29" s="39">
        <f>EDATE(InceptionDate,93)</f>
        <v/>
      </c>
      <c r="CT29" s="39">
        <f>EDATE(InceptionDate,94)</f>
        <v/>
      </c>
      <c r="CU29" s="39">
        <f>EDATE(InceptionDate,95)</f>
        <v/>
      </c>
      <c r="CV29" s="39">
        <f>EDATE(InceptionDate,96)</f>
        <v/>
      </c>
      <c r="CW29" s="39">
        <f>EDATE(InceptionDate,97)</f>
        <v/>
      </c>
      <c r="CX29" s="39">
        <f>EDATE(InceptionDate,98)</f>
        <v/>
      </c>
      <c r="CY29" s="39">
        <f>EDATE(InceptionDate,99)</f>
        <v/>
      </c>
      <c r="CZ29" s="39">
        <f>EDATE(InceptionDate,100)</f>
        <v/>
      </c>
      <c r="DA29" s="39">
        <f>EDATE(InceptionDate,101)</f>
        <v/>
      </c>
      <c r="DB29" s="39">
        <f>EDATE(InceptionDate,102)</f>
        <v/>
      </c>
      <c r="DC29" s="39">
        <f>EDATE(InceptionDate,103)</f>
        <v/>
      </c>
      <c r="DD29" s="39">
        <f>EDATE(InceptionDate,104)</f>
        <v/>
      </c>
      <c r="DE29" s="39">
        <f>EDATE(InceptionDate,105)</f>
        <v/>
      </c>
      <c r="DF29" s="39">
        <f>EDATE(InceptionDate,106)</f>
        <v/>
      </c>
      <c r="DG29" s="39">
        <f>EDATE(InceptionDate,107)</f>
        <v/>
      </c>
      <c r="DH29" s="39">
        <f>EDATE(InceptionDate,108)</f>
        <v/>
      </c>
      <c r="DI29" s="39">
        <f>EDATE(InceptionDate,109)</f>
        <v/>
      </c>
      <c r="DJ29" s="39">
        <f>EDATE(InceptionDate,110)</f>
        <v/>
      </c>
      <c r="DK29" s="39">
        <f>EDATE(InceptionDate,111)</f>
        <v/>
      </c>
      <c r="DL29" s="39">
        <f>EDATE(InceptionDate,112)</f>
        <v/>
      </c>
      <c r="DM29" s="39">
        <f>EDATE(InceptionDate,113)</f>
        <v/>
      </c>
      <c r="DN29" s="39">
        <f>EDATE(InceptionDate,114)</f>
        <v/>
      </c>
      <c r="DO29" s="39">
        <f>EDATE(InceptionDate,115)</f>
        <v/>
      </c>
      <c r="DP29" s="39">
        <f>EDATE(InceptionDate,116)</f>
        <v/>
      </c>
      <c r="DQ29" s="39">
        <f>EDATE(InceptionDate,117)</f>
        <v/>
      </c>
      <c r="DR29" s="39">
        <f>EDATE(InceptionDate,118)</f>
        <v/>
      </c>
      <c r="DS29" s="39">
        <f>EDATE(InceptionDate,119)</f>
        <v/>
      </c>
      <c r="DT29" s="39">
        <f>EDATE(InceptionDate,120)</f>
        <v/>
      </c>
      <c r="DU29" s="39">
        <f>EDATE(InceptionDate,121)</f>
        <v/>
      </c>
      <c r="DV29" s="39">
        <f>EDATE(InceptionDate,122)</f>
        <v/>
      </c>
      <c r="DW29" s="39">
        <f>EDATE(InceptionDate,123)</f>
        <v/>
      </c>
      <c r="DX29" s="39">
        <f>EDATE(InceptionDate,124)</f>
        <v/>
      </c>
      <c r="DY29" s="39">
        <f>EDATE(InceptionDate,125)</f>
        <v/>
      </c>
      <c r="DZ29" s="39">
        <f>EDATE(InceptionDate,126)</f>
        <v/>
      </c>
      <c r="EA29" s="39">
        <f>EDATE(InceptionDate,127)</f>
        <v/>
      </c>
      <c r="EB29" s="39">
        <f>EDATE(InceptionDate,128)</f>
        <v/>
      </c>
      <c r="EC29" s="39">
        <f>EDATE(InceptionDate,129)</f>
        <v/>
      </c>
      <c r="ED29" s="39">
        <f>EDATE(InceptionDate,130)</f>
        <v/>
      </c>
      <c r="EE29" s="39">
        <f>EDATE(InceptionDate,131)</f>
        <v/>
      </c>
      <c r="EF29" s="39">
        <f>EDATE(InceptionDate,132)</f>
        <v/>
      </c>
      <c r="EG29" s="39">
        <f>EDATE(InceptionDate,133)</f>
        <v/>
      </c>
      <c r="EH29" s="39">
        <f>EDATE(InceptionDate,134)</f>
        <v/>
      </c>
      <c r="EI29" s="39">
        <f>EDATE(InceptionDate,135)</f>
        <v/>
      </c>
      <c r="EJ29" s="39">
        <f>EDATE(InceptionDate,136)</f>
        <v/>
      </c>
      <c r="EK29" s="39">
        <f>EDATE(InceptionDate,137)</f>
        <v/>
      </c>
      <c r="EL29" s="39">
        <f>EDATE(InceptionDate,138)</f>
        <v/>
      </c>
      <c r="EM29" s="39">
        <f>EDATE(InceptionDate,139)</f>
        <v/>
      </c>
      <c r="EN29" s="39">
        <f>EDATE(InceptionDate,140)</f>
        <v/>
      </c>
      <c r="EO29" s="39">
        <f>EDATE(InceptionDate,141)</f>
        <v/>
      </c>
      <c r="EP29" s="39">
        <f>EDATE(InceptionDate,142)</f>
        <v/>
      </c>
      <c r="EQ29" s="39">
        <f>EDATE(InceptionDate,143)</f>
        <v/>
      </c>
      <c r="ER29" s="39">
        <f>EDATE(InceptionDate,144)</f>
        <v/>
      </c>
      <c r="ES29" s="39">
        <f>EDATE(InceptionDate,145)</f>
        <v/>
      </c>
      <c r="ET29" s="39">
        <f>EDATE(InceptionDate,146)</f>
        <v/>
      </c>
      <c r="EU29" s="39">
        <f>EDATE(InceptionDate,147)</f>
        <v/>
      </c>
      <c r="EV29" s="39">
        <f>EDATE(InceptionDate,148)</f>
        <v/>
      </c>
      <c r="EW29" s="39">
        <f>EDATE(InceptionDate,149)</f>
        <v/>
      </c>
      <c r="EX29" s="39">
        <f>EDATE(InceptionDate,150)</f>
        <v/>
      </c>
      <c r="EY29" s="39">
        <f>EDATE(InceptionDate,151)</f>
        <v/>
      </c>
      <c r="EZ29" s="39">
        <f>EDATE(InceptionDate,152)</f>
        <v/>
      </c>
      <c r="FA29" s="39">
        <f>EDATE(InceptionDate,153)</f>
        <v/>
      </c>
      <c r="FB29" s="39">
        <f>EDATE(InceptionDate,154)</f>
        <v/>
      </c>
      <c r="FC29" s="39">
        <f>EDATE(InceptionDate,155)</f>
        <v/>
      </c>
      <c r="FD29" s="39">
        <f>EDATE(InceptionDate,156)</f>
        <v/>
      </c>
      <c r="FE29" s="39">
        <f>EDATE(InceptionDate,157)</f>
        <v/>
      </c>
      <c r="FF29" s="39">
        <f>EDATE(InceptionDate,158)</f>
        <v/>
      </c>
      <c r="FG29" s="39">
        <f>EDATE(InceptionDate,159)</f>
        <v/>
      </c>
      <c r="FH29" s="39">
        <f>EDATE(InceptionDate,160)</f>
        <v/>
      </c>
      <c r="FI29" s="39">
        <f>EDATE(InceptionDate,161)</f>
        <v/>
      </c>
      <c r="FJ29" s="39">
        <f>EDATE(InceptionDate,162)</f>
        <v/>
      </c>
      <c r="FK29" s="39">
        <f>EDATE(InceptionDate,163)</f>
        <v/>
      </c>
      <c r="FL29" s="39">
        <f>EDATE(InceptionDate,164)</f>
        <v/>
      </c>
      <c r="FM29" s="39">
        <f>EDATE(InceptionDate,165)</f>
        <v/>
      </c>
      <c r="FN29" s="39">
        <f>EDATE(InceptionDate,166)</f>
        <v/>
      </c>
      <c r="FO29" s="39">
        <f>EDATE(InceptionDate,167)</f>
        <v/>
      </c>
      <c r="FP29" s="39">
        <f>EDATE(InceptionDate,168)</f>
        <v/>
      </c>
      <c r="FQ29" s="39">
        <f>EDATE(InceptionDate,169)</f>
        <v/>
      </c>
      <c r="FR29" s="39">
        <f>EDATE(InceptionDate,170)</f>
        <v/>
      </c>
      <c r="FS29" s="39">
        <f>EDATE(InceptionDate,171)</f>
        <v/>
      </c>
      <c r="FT29" s="39">
        <f>EDATE(InceptionDate,172)</f>
        <v/>
      </c>
      <c r="FU29" s="39">
        <f>EDATE(InceptionDate,173)</f>
        <v/>
      </c>
      <c r="FV29" s="39">
        <f>EDATE(InceptionDate,174)</f>
        <v/>
      </c>
      <c r="FW29" s="39">
        <f>EDATE(InceptionDate,175)</f>
        <v/>
      </c>
      <c r="FX29" s="39">
        <f>EDATE(InceptionDate,176)</f>
        <v/>
      </c>
      <c r="FY29" s="39">
        <f>EDATE(InceptionDate,177)</f>
        <v/>
      </c>
      <c r="FZ29" s="39">
        <f>EDATE(InceptionDate,178)</f>
        <v/>
      </c>
      <c r="GA29" s="39">
        <f>EDATE(InceptionDate,179)</f>
        <v/>
      </c>
      <c r="GB29" s="39">
        <f>EDATE(InceptionDate,180)</f>
        <v/>
      </c>
      <c r="GC29" s="39">
        <f>EDATE(InceptionDate,181)</f>
        <v/>
      </c>
      <c r="GD29" s="39">
        <f>EDATE(InceptionDate,182)</f>
        <v/>
      </c>
      <c r="GE29" s="39">
        <f>EDATE(InceptionDate,183)</f>
        <v/>
      </c>
      <c r="GF29" s="39">
        <f>EDATE(InceptionDate,184)</f>
        <v/>
      </c>
      <c r="GG29" s="39">
        <f>EDATE(InceptionDate,185)</f>
        <v/>
      </c>
      <c r="GH29" s="39">
        <f>EDATE(InceptionDate,186)</f>
        <v/>
      </c>
      <c r="GI29" s="39">
        <f>EDATE(InceptionDate,187)</f>
        <v/>
      </c>
      <c r="GJ29" s="39">
        <f>EDATE(InceptionDate,188)</f>
        <v/>
      </c>
      <c r="GK29" s="39">
        <f>EDATE(InceptionDate,189)</f>
        <v/>
      </c>
      <c r="GL29" s="39">
        <f>EDATE(InceptionDate,190)</f>
        <v/>
      </c>
      <c r="GM29" s="39">
        <f>EDATE(InceptionDate,191)</f>
        <v/>
      </c>
      <c r="GN29" s="39">
        <f>EDATE(InceptionDate,192)</f>
        <v/>
      </c>
      <c r="GO29" s="39">
        <f>EDATE(InceptionDate,193)</f>
        <v/>
      </c>
      <c r="GP29" s="39">
        <f>EDATE(InceptionDate,194)</f>
        <v/>
      </c>
      <c r="GQ29" s="39">
        <f>EDATE(InceptionDate,195)</f>
        <v/>
      </c>
      <c r="GR29" s="39">
        <f>EDATE(InceptionDate,196)</f>
        <v/>
      </c>
      <c r="GS29" s="39">
        <f>EDATE(InceptionDate,197)</f>
        <v/>
      </c>
      <c r="GT29" s="39">
        <f>EDATE(InceptionDate,198)</f>
        <v/>
      </c>
      <c r="GU29" s="39">
        <f>EDATE(InceptionDate,199)</f>
        <v/>
      </c>
      <c r="GV29" s="39">
        <f>EDATE(InceptionDate,200)</f>
        <v/>
      </c>
      <c r="GW29" s="39">
        <f>EDATE(InceptionDate,201)</f>
        <v/>
      </c>
      <c r="GX29" s="39">
        <f>EDATE(InceptionDate,202)</f>
        <v/>
      </c>
      <c r="GY29" s="39">
        <f>EDATE(InceptionDate,203)</f>
        <v/>
      </c>
      <c r="GZ29" s="39">
        <f>EDATE(InceptionDate,204)</f>
        <v/>
      </c>
      <c r="HA29" s="39">
        <f>EDATE(InceptionDate,205)</f>
        <v/>
      </c>
      <c r="HB29" s="39">
        <f>EDATE(InceptionDate,206)</f>
        <v/>
      </c>
      <c r="HC29" s="39">
        <f>EDATE(InceptionDate,207)</f>
        <v/>
      </c>
      <c r="HD29" s="39">
        <f>EDATE(InceptionDate,208)</f>
        <v/>
      </c>
      <c r="HE29" s="39">
        <f>EDATE(InceptionDate,209)</f>
        <v/>
      </c>
      <c r="HF29" s="39">
        <f>EDATE(InceptionDate,210)</f>
        <v/>
      </c>
      <c r="HG29" s="39">
        <f>EDATE(InceptionDate,211)</f>
        <v/>
      </c>
      <c r="HH29" s="39">
        <f>EDATE(InceptionDate,212)</f>
        <v/>
      </c>
      <c r="HI29" s="39">
        <f>EDATE(InceptionDate,213)</f>
        <v/>
      </c>
      <c r="HJ29" s="39">
        <f>EDATE(InceptionDate,214)</f>
        <v/>
      </c>
      <c r="HK29" s="39">
        <f>EDATE(InceptionDate,215)</f>
        <v/>
      </c>
      <c r="HL29" s="39">
        <f>EDATE(InceptionDate,216)</f>
        <v/>
      </c>
      <c r="HM29" s="39">
        <f>EDATE(InceptionDate,217)</f>
        <v/>
      </c>
      <c r="HN29" s="39">
        <f>EDATE(InceptionDate,218)</f>
        <v/>
      </c>
      <c r="HO29" s="39">
        <f>EDATE(InceptionDate,219)</f>
        <v/>
      </c>
      <c r="HP29" s="39">
        <f>EDATE(InceptionDate,220)</f>
        <v/>
      </c>
      <c r="HQ29" s="39">
        <f>EDATE(InceptionDate,221)</f>
        <v/>
      </c>
      <c r="HR29" s="39">
        <f>EDATE(InceptionDate,222)</f>
        <v/>
      </c>
      <c r="HS29" s="39">
        <f>EDATE(InceptionDate,223)</f>
        <v/>
      </c>
      <c r="HT29" s="39">
        <f>EDATE(InceptionDate,224)</f>
        <v/>
      </c>
      <c r="HU29" s="39">
        <f>EDATE(InceptionDate,225)</f>
        <v/>
      </c>
      <c r="HV29" s="39">
        <f>EDATE(InceptionDate,226)</f>
        <v/>
      </c>
      <c r="HW29" s="39">
        <f>EDATE(InceptionDate,227)</f>
        <v/>
      </c>
      <c r="HX29" s="39">
        <f>EDATE(InceptionDate,228)</f>
        <v/>
      </c>
      <c r="HY29" s="39">
        <f>EDATE(InceptionDate,229)</f>
        <v/>
      </c>
      <c r="HZ29" s="39">
        <f>EDATE(InceptionDate,230)</f>
        <v/>
      </c>
      <c r="IA29" s="39">
        <f>EDATE(InceptionDate,231)</f>
        <v/>
      </c>
      <c r="IB29" s="39">
        <f>EDATE(InceptionDate,232)</f>
        <v/>
      </c>
      <c r="IC29" s="39">
        <f>EDATE(InceptionDate,233)</f>
        <v/>
      </c>
      <c r="ID29" s="39">
        <f>EDATE(InceptionDate,234)</f>
        <v/>
      </c>
      <c r="IE29" s="39">
        <f>EDATE(InceptionDate,235)</f>
        <v/>
      </c>
      <c r="IF29" s="39">
        <f>EDATE(InceptionDate,236)</f>
        <v/>
      </c>
      <c r="IG29" s="39">
        <f>EDATE(InceptionDate,237)</f>
        <v/>
      </c>
      <c r="IH29" s="39">
        <f>EDATE(InceptionDate,238)</f>
        <v/>
      </c>
      <c r="II29" s="39">
        <f>EDATE(InceptionDate,239)</f>
        <v/>
      </c>
      <c r="IJ29" s="39">
        <f>EDATE(InceptionDate,240)</f>
        <v/>
      </c>
      <c r="IK29" s="39">
        <f>EDATE(InceptionDate,241)</f>
        <v/>
      </c>
      <c r="IL29" s="39">
        <f>EDATE(InceptionDate,242)</f>
        <v/>
      </c>
      <c r="IM29" s="39">
        <f>EDATE(InceptionDate,243)</f>
        <v/>
      </c>
      <c r="IN29" s="39">
        <f>EDATE(InceptionDate,244)</f>
        <v/>
      </c>
      <c r="IO29" s="39">
        <f>EDATE(InceptionDate,245)</f>
        <v/>
      </c>
      <c r="IP29" s="39">
        <f>EDATE(InceptionDate,246)</f>
        <v/>
      </c>
      <c r="IQ29" s="39">
        <f>EDATE(InceptionDate,247)</f>
        <v/>
      </c>
      <c r="IR29" s="39">
        <f>EDATE(InceptionDate,248)</f>
        <v/>
      </c>
      <c r="IS29" s="39">
        <f>EDATE(InceptionDate,249)</f>
        <v/>
      </c>
      <c r="IT29" s="39">
        <f>EDATE(InceptionDate,250)</f>
        <v/>
      </c>
      <c r="IU29" s="39">
        <f>EDATE(InceptionDate,251)</f>
        <v/>
      </c>
      <c r="IV29" s="39">
        <f>EDATE(InceptionDate,252)</f>
        <v/>
      </c>
      <c r="IW29" s="39">
        <f>EDATE(InceptionDate,253)</f>
        <v/>
      </c>
      <c r="IX29" s="39">
        <f>EDATE(InceptionDate,254)</f>
        <v/>
      </c>
      <c r="IY29" s="39">
        <f>EDATE(InceptionDate,255)</f>
        <v/>
      </c>
      <c r="IZ29" s="39">
        <f>EDATE(InceptionDate,256)</f>
        <v/>
      </c>
      <c r="JA29" s="39">
        <f>EDATE(InceptionDate,257)</f>
        <v/>
      </c>
      <c r="JB29" s="39">
        <f>EDATE(InceptionDate,258)</f>
        <v/>
      </c>
      <c r="JC29" s="39">
        <f>EDATE(InceptionDate,259)</f>
        <v/>
      </c>
      <c r="JD29" s="39">
        <f>EDATE(InceptionDate,260)</f>
        <v/>
      </c>
      <c r="JE29" s="39">
        <f>EDATE(InceptionDate,261)</f>
        <v/>
      </c>
      <c r="JF29" s="39">
        <f>EDATE(InceptionDate,262)</f>
        <v/>
      </c>
      <c r="JG29" s="39">
        <f>EDATE(InceptionDate,263)</f>
        <v/>
      </c>
      <c r="JH29" s="39">
        <f>EDATE(InceptionDate,264)</f>
        <v/>
      </c>
      <c r="JI29" s="39">
        <f>EDATE(InceptionDate,265)</f>
        <v/>
      </c>
      <c r="JJ29" s="39">
        <f>EDATE(InceptionDate,266)</f>
        <v/>
      </c>
      <c r="JK29" s="39">
        <f>EDATE(InceptionDate,267)</f>
        <v/>
      </c>
      <c r="JL29" s="39">
        <f>EDATE(InceptionDate,268)</f>
        <v/>
      </c>
      <c r="JM29" s="39">
        <f>EDATE(InceptionDate,269)</f>
        <v/>
      </c>
      <c r="JN29" s="39">
        <f>EDATE(InceptionDate,270)</f>
        <v/>
      </c>
      <c r="JO29" s="39">
        <f>EDATE(InceptionDate,271)</f>
        <v/>
      </c>
      <c r="JP29" s="39">
        <f>EDATE(InceptionDate,272)</f>
        <v/>
      </c>
      <c r="JQ29" s="39">
        <f>EDATE(InceptionDate,273)</f>
        <v/>
      </c>
      <c r="JR29" s="39">
        <f>EDATE(InceptionDate,274)</f>
        <v/>
      </c>
      <c r="JS29" s="39">
        <f>EDATE(InceptionDate,275)</f>
        <v/>
      </c>
      <c r="JT29" s="39">
        <f>EDATE(InceptionDate,276)</f>
        <v/>
      </c>
      <c r="JU29" s="39">
        <f>EDATE(InceptionDate,277)</f>
        <v/>
      </c>
      <c r="JV29" s="39">
        <f>EDATE(InceptionDate,278)</f>
        <v/>
      </c>
      <c r="JW29" s="39">
        <f>EDATE(InceptionDate,279)</f>
        <v/>
      </c>
      <c r="JX29" s="39">
        <f>EDATE(InceptionDate,280)</f>
        <v/>
      </c>
      <c r="JY29" s="39">
        <f>EDATE(InceptionDate,281)</f>
        <v/>
      </c>
      <c r="JZ29" s="39">
        <f>EDATE(InceptionDate,282)</f>
        <v/>
      </c>
      <c r="KA29" s="39">
        <f>EDATE(InceptionDate,283)</f>
        <v/>
      </c>
      <c r="KB29" s="39">
        <f>EDATE(InceptionDate,284)</f>
        <v/>
      </c>
      <c r="KC29" s="39">
        <f>EDATE(InceptionDate,285)</f>
        <v/>
      </c>
      <c r="KD29" s="39">
        <f>EDATE(InceptionDate,286)</f>
        <v/>
      </c>
      <c r="KE29" s="39">
        <f>EDATE(InceptionDate,287)</f>
        <v/>
      </c>
      <c r="KF29" s="39">
        <f>EDATE(InceptionDate,288)</f>
        <v/>
      </c>
      <c r="KG29" s="39">
        <f>EDATE(InceptionDate,289)</f>
        <v/>
      </c>
      <c r="KH29" s="39">
        <f>EDATE(InceptionDate,290)</f>
        <v/>
      </c>
      <c r="KI29" s="39">
        <f>EDATE(InceptionDate,291)</f>
        <v/>
      </c>
      <c r="KJ29" s="39">
        <f>EDATE(InceptionDate,292)</f>
        <v/>
      </c>
      <c r="KK29" s="39">
        <f>EDATE(InceptionDate,293)</f>
        <v/>
      </c>
      <c r="KL29" s="39">
        <f>EDATE(InceptionDate,294)</f>
        <v/>
      </c>
      <c r="KM29" s="39">
        <f>EDATE(InceptionDate,295)</f>
        <v/>
      </c>
      <c r="KN29" s="39">
        <f>EDATE(InceptionDate,296)</f>
        <v/>
      </c>
      <c r="KO29" s="39">
        <f>EDATE(InceptionDate,297)</f>
        <v/>
      </c>
      <c r="KP29" s="39">
        <f>EDATE(InceptionDate,298)</f>
        <v/>
      </c>
      <c r="KQ29" s="39">
        <f>EDATE(InceptionDate,299)</f>
        <v/>
      </c>
      <c r="KR29" s="39">
        <f>EDATE(InceptionDate,300)</f>
        <v/>
      </c>
      <c r="KS29" s="39">
        <f>EDATE(InceptionDate,301)</f>
        <v/>
      </c>
      <c r="KT29" s="39">
        <f>EDATE(InceptionDate,302)</f>
        <v/>
      </c>
      <c r="KU29" s="39">
        <f>EDATE(InceptionDate,303)</f>
        <v/>
      </c>
      <c r="KV29" s="39">
        <f>EDATE(InceptionDate,304)</f>
        <v/>
      </c>
      <c r="KW29" s="39">
        <f>EDATE(InceptionDate,305)</f>
        <v/>
      </c>
      <c r="KX29" s="39">
        <f>EDATE(InceptionDate,306)</f>
        <v/>
      </c>
      <c r="KY29" s="39">
        <f>EDATE(InceptionDate,307)</f>
        <v/>
      </c>
      <c r="KZ29" s="39">
        <f>EDATE(InceptionDate,308)</f>
        <v/>
      </c>
      <c r="LA29" s="39">
        <f>EDATE(InceptionDate,309)</f>
        <v/>
      </c>
      <c r="LB29" s="39">
        <f>EDATE(InceptionDate,310)</f>
        <v/>
      </c>
      <c r="LC29" s="39">
        <f>EDATE(InceptionDate,311)</f>
        <v/>
      </c>
      <c r="LD29" s="39">
        <f>EDATE(InceptionDate,312)</f>
        <v/>
      </c>
      <c r="LE29" s="39">
        <f>EDATE(InceptionDate,313)</f>
        <v/>
      </c>
      <c r="LF29" s="39">
        <f>EDATE(InceptionDate,314)</f>
        <v/>
      </c>
      <c r="LG29" s="39">
        <f>EDATE(InceptionDate,315)</f>
        <v/>
      </c>
      <c r="LH29" s="39">
        <f>EDATE(InceptionDate,316)</f>
        <v/>
      </c>
      <c r="LI29" s="39">
        <f>EDATE(InceptionDate,317)</f>
        <v/>
      </c>
      <c r="LJ29" s="39">
        <f>EDATE(InceptionDate,318)</f>
        <v/>
      </c>
      <c r="LK29" s="39">
        <f>EDATE(InceptionDate,319)</f>
        <v/>
      </c>
      <c r="LL29" s="39">
        <f>EDATE(InceptionDate,320)</f>
        <v/>
      </c>
      <c r="LM29" s="39">
        <f>EDATE(InceptionDate,321)</f>
        <v/>
      </c>
      <c r="LN29" s="39">
        <f>EDATE(InceptionDate,322)</f>
        <v/>
      </c>
      <c r="LO29" s="39">
        <f>EDATE(InceptionDate,323)</f>
        <v/>
      </c>
      <c r="LP29" s="39">
        <f>EDATE(InceptionDate,324)</f>
        <v/>
      </c>
      <c r="LQ29" s="39">
        <f>EDATE(InceptionDate,325)</f>
        <v/>
      </c>
      <c r="LR29" s="39">
        <f>EDATE(InceptionDate,326)</f>
        <v/>
      </c>
      <c r="LS29" s="39">
        <f>EDATE(InceptionDate,327)</f>
        <v/>
      </c>
      <c r="LT29" s="39">
        <f>EDATE(InceptionDate,328)</f>
        <v/>
      </c>
      <c r="LU29" s="39">
        <f>EDATE(InceptionDate,329)</f>
        <v/>
      </c>
      <c r="LV29" s="39">
        <f>EDATE(InceptionDate,330)</f>
        <v/>
      </c>
      <c r="LW29" s="39">
        <f>EDATE(InceptionDate,331)</f>
        <v/>
      </c>
      <c r="LX29" s="39">
        <f>EDATE(InceptionDate,332)</f>
        <v/>
      </c>
      <c r="LY29" s="39">
        <f>EDATE(InceptionDate,333)</f>
        <v/>
      </c>
      <c r="LZ29" s="39">
        <f>EDATE(InceptionDate,334)</f>
        <v/>
      </c>
      <c r="MA29" s="39">
        <f>EDATE(InceptionDate,335)</f>
        <v/>
      </c>
      <c r="MB29" s="39">
        <f>EDATE(InceptionDate,336)</f>
        <v/>
      </c>
      <c r="MC29" s="39">
        <f>EDATE(InceptionDate,337)</f>
        <v/>
      </c>
      <c r="MD29" s="39">
        <f>EDATE(InceptionDate,338)</f>
        <v/>
      </c>
      <c r="ME29" s="39">
        <f>EDATE(InceptionDate,339)</f>
        <v/>
      </c>
      <c r="MF29" s="39">
        <f>EDATE(InceptionDate,340)</f>
        <v/>
      </c>
      <c r="MG29" s="39">
        <f>EDATE(InceptionDate,341)</f>
        <v/>
      </c>
      <c r="MH29" s="39">
        <f>EDATE(InceptionDate,342)</f>
        <v/>
      </c>
      <c r="MI29" s="39">
        <f>EDATE(InceptionDate,343)</f>
        <v/>
      </c>
      <c r="MJ29" s="39">
        <f>EDATE(InceptionDate,344)</f>
        <v/>
      </c>
      <c r="MK29" s="39">
        <f>EDATE(InceptionDate,345)</f>
        <v/>
      </c>
      <c r="ML29" s="39">
        <f>EDATE(InceptionDate,346)</f>
        <v/>
      </c>
      <c r="MM29" s="39">
        <f>EDATE(InceptionDate,347)</f>
        <v/>
      </c>
      <c r="MN29" s="39">
        <f>EDATE(InceptionDate,348)</f>
        <v/>
      </c>
      <c r="MO29" s="39">
        <f>EDATE(InceptionDate,349)</f>
        <v/>
      </c>
      <c r="MP29" s="39">
        <f>EDATE(InceptionDate,350)</f>
        <v/>
      </c>
      <c r="MQ29" s="39">
        <f>EDATE(InceptionDate,351)</f>
        <v/>
      </c>
      <c r="MR29" s="39">
        <f>EDATE(InceptionDate,352)</f>
        <v/>
      </c>
      <c r="MS29" s="39">
        <f>EDATE(InceptionDate,353)</f>
        <v/>
      </c>
      <c r="MT29" s="39">
        <f>EDATE(InceptionDate,354)</f>
        <v/>
      </c>
      <c r="MU29" s="39">
        <f>EDATE(InceptionDate,355)</f>
        <v/>
      </c>
      <c r="MV29" s="39">
        <f>EDATE(InceptionDate,356)</f>
        <v/>
      </c>
      <c r="MW29" s="39">
        <f>EDATE(InceptionDate,357)</f>
        <v/>
      </c>
      <c r="MX29" s="39">
        <f>EDATE(InceptionDate,358)</f>
        <v/>
      </c>
      <c r="MY29" s="39">
        <f>EDATE(InceptionDate,359)</f>
        <v/>
      </c>
      <c r="MZ29" s="39">
        <f>EDATE(InceptionDate,360)</f>
        <v/>
      </c>
      <c r="NA29" s="39">
        <f>EDATE(InceptionDate,361)</f>
        <v/>
      </c>
      <c r="NB29" s="39">
        <f>EDATE(InceptionDate,362)</f>
        <v/>
      </c>
      <c r="NC29" s="39">
        <f>EDATE(InceptionDate,363)</f>
        <v/>
      </c>
      <c r="ND29" s="39">
        <f>EDATE(InceptionDate,364)</f>
        <v/>
      </c>
      <c r="NE29" s="39">
        <f>EDATE(InceptionDate,365)</f>
        <v/>
      </c>
      <c r="NF29" s="39">
        <f>EDATE(InceptionDate,366)</f>
        <v/>
      </c>
      <c r="NG29" s="39">
        <f>EDATE(InceptionDate,367)</f>
        <v/>
      </c>
      <c r="NH29" s="39">
        <f>EDATE(InceptionDate,368)</f>
        <v/>
      </c>
      <c r="NI29" s="39">
        <f>EDATE(InceptionDate,369)</f>
        <v/>
      </c>
      <c r="NJ29" s="39">
        <f>EDATE(InceptionDate,370)</f>
        <v/>
      </c>
      <c r="NK29" s="39">
        <f>EDATE(InceptionDate,371)</f>
        <v/>
      </c>
    </row>
    <row r="30">
      <c r="A30" s="5" t="inlineStr">
        <is>
          <t>Flag: Open Escrow</t>
        </is>
      </c>
      <c r="C30" s="40" t="n"/>
      <c r="D30" s="17">
        <f>IF(AND(1&gt;=$B$4,1&lt;=$D$4),1,0)</f>
        <v/>
      </c>
      <c r="E30" s="17">
        <f>IF(AND(2&gt;=$B$4,2&lt;=$D$4),1,0)</f>
        <v/>
      </c>
      <c r="F30" s="17">
        <f>IF(AND(3&gt;=$B$4,3&lt;=$D$4),1,0)</f>
        <v/>
      </c>
      <c r="G30" s="17">
        <f>IF(AND(4&gt;=$B$4,4&lt;=$D$4),1,0)</f>
        <v/>
      </c>
      <c r="H30" s="17">
        <f>IF(AND(5&gt;=$B$4,5&lt;=$D$4),1,0)</f>
        <v/>
      </c>
      <c r="I30" s="17">
        <f>IF(AND(6&gt;=$B$4,6&lt;=$D$4),1,0)</f>
        <v/>
      </c>
      <c r="J30" s="17">
        <f>IF(AND(7&gt;=$B$4,7&lt;=$D$4),1,0)</f>
        <v/>
      </c>
      <c r="K30" s="17">
        <f>IF(AND(8&gt;=$B$4,8&lt;=$D$4),1,0)</f>
        <v/>
      </c>
      <c r="L30" s="17">
        <f>IF(AND(9&gt;=$B$4,9&lt;=$D$4),1,0)</f>
        <v/>
      </c>
      <c r="M30" s="17">
        <f>IF(AND(10&gt;=$B$4,10&lt;=$D$4),1,0)</f>
        <v/>
      </c>
      <c r="N30" s="17">
        <f>IF(AND(11&gt;=$B$4,11&lt;=$D$4),1,0)</f>
        <v/>
      </c>
      <c r="O30" s="17">
        <f>IF(AND(12&gt;=$B$4,12&lt;=$D$4),1,0)</f>
        <v/>
      </c>
      <c r="P30" s="17">
        <f>IF(AND(13&gt;=$B$4,13&lt;=$D$4),1,0)</f>
        <v/>
      </c>
      <c r="Q30" s="17">
        <f>IF(AND(14&gt;=$B$4,14&lt;=$D$4),1,0)</f>
        <v/>
      </c>
      <c r="R30" s="17">
        <f>IF(AND(15&gt;=$B$4,15&lt;=$D$4),1,0)</f>
        <v/>
      </c>
      <c r="S30" s="17">
        <f>IF(AND(16&gt;=$B$4,16&lt;=$D$4),1,0)</f>
        <v/>
      </c>
      <c r="T30" s="17">
        <f>IF(AND(17&gt;=$B$4,17&lt;=$D$4),1,0)</f>
        <v/>
      </c>
      <c r="U30" s="17">
        <f>IF(AND(18&gt;=$B$4,18&lt;=$D$4),1,0)</f>
        <v/>
      </c>
      <c r="V30" s="17">
        <f>IF(AND(19&gt;=$B$4,19&lt;=$D$4),1,0)</f>
        <v/>
      </c>
      <c r="W30" s="17">
        <f>IF(AND(20&gt;=$B$4,20&lt;=$D$4),1,0)</f>
        <v/>
      </c>
      <c r="X30" s="17">
        <f>IF(AND(21&gt;=$B$4,21&lt;=$D$4),1,0)</f>
        <v/>
      </c>
      <c r="Y30" s="17">
        <f>IF(AND(22&gt;=$B$4,22&lt;=$D$4),1,0)</f>
        <v/>
      </c>
      <c r="Z30" s="17">
        <f>IF(AND(23&gt;=$B$4,23&lt;=$D$4),1,0)</f>
        <v/>
      </c>
      <c r="AA30" s="17">
        <f>IF(AND(24&gt;=$B$4,24&lt;=$D$4),1,0)</f>
        <v/>
      </c>
      <c r="AB30" s="17">
        <f>IF(AND(25&gt;=$B$4,25&lt;=$D$4),1,0)</f>
        <v/>
      </c>
      <c r="AC30" s="17">
        <f>IF(AND(26&gt;=$B$4,26&lt;=$D$4),1,0)</f>
        <v/>
      </c>
      <c r="AD30" s="17">
        <f>IF(AND(27&gt;=$B$4,27&lt;=$D$4),1,0)</f>
        <v/>
      </c>
      <c r="AE30" s="17">
        <f>IF(AND(28&gt;=$B$4,28&lt;=$D$4),1,0)</f>
        <v/>
      </c>
      <c r="AF30" s="17">
        <f>IF(AND(29&gt;=$B$4,29&lt;=$D$4),1,0)</f>
        <v/>
      </c>
      <c r="AG30" s="17">
        <f>IF(AND(30&gt;=$B$4,30&lt;=$D$4),1,0)</f>
        <v/>
      </c>
      <c r="AH30" s="17">
        <f>IF(AND(31&gt;=$B$4,31&lt;=$D$4),1,0)</f>
        <v/>
      </c>
      <c r="AI30" s="17">
        <f>IF(AND(32&gt;=$B$4,32&lt;=$D$4),1,0)</f>
        <v/>
      </c>
      <c r="AJ30" s="17">
        <f>IF(AND(33&gt;=$B$4,33&lt;=$D$4),1,0)</f>
        <v/>
      </c>
      <c r="AK30" s="17">
        <f>IF(AND(34&gt;=$B$4,34&lt;=$D$4),1,0)</f>
        <v/>
      </c>
      <c r="AL30" s="17">
        <f>IF(AND(35&gt;=$B$4,35&lt;=$D$4),1,0)</f>
        <v/>
      </c>
      <c r="AM30" s="17">
        <f>IF(AND(36&gt;=$B$4,36&lt;=$D$4),1,0)</f>
        <v/>
      </c>
      <c r="AN30" s="17">
        <f>IF(AND(37&gt;=$B$4,37&lt;=$D$4),1,0)</f>
        <v/>
      </c>
      <c r="AO30" s="17">
        <f>IF(AND(38&gt;=$B$4,38&lt;=$D$4),1,0)</f>
        <v/>
      </c>
      <c r="AP30" s="17">
        <f>IF(AND(39&gt;=$B$4,39&lt;=$D$4),1,0)</f>
        <v/>
      </c>
      <c r="AQ30" s="17">
        <f>IF(AND(40&gt;=$B$4,40&lt;=$D$4),1,0)</f>
        <v/>
      </c>
      <c r="AR30" s="17">
        <f>IF(AND(41&gt;=$B$4,41&lt;=$D$4),1,0)</f>
        <v/>
      </c>
      <c r="AS30" s="17">
        <f>IF(AND(42&gt;=$B$4,42&lt;=$D$4),1,0)</f>
        <v/>
      </c>
      <c r="AT30" s="17">
        <f>IF(AND(43&gt;=$B$4,43&lt;=$D$4),1,0)</f>
        <v/>
      </c>
      <c r="AU30" s="17">
        <f>IF(AND(44&gt;=$B$4,44&lt;=$D$4),1,0)</f>
        <v/>
      </c>
      <c r="AV30" s="17">
        <f>IF(AND(45&gt;=$B$4,45&lt;=$D$4),1,0)</f>
        <v/>
      </c>
      <c r="AW30" s="17">
        <f>IF(AND(46&gt;=$B$4,46&lt;=$D$4),1,0)</f>
        <v/>
      </c>
      <c r="AX30" s="17">
        <f>IF(AND(47&gt;=$B$4,47&lt;=$D$4),1,0)</f>
        <v/>
      </c>
      <c r="AY30" s="17">
        <f>IF(AND(48&gt;=$B$4,48&lt;=$D$4),1,0)</f>
        <v/>
      </c>
      <c r="AZ30" s="17">
        <f>IF(AND(49&gt;=$B$4,49&lt;=$D$4),1,0)</f>
        <v/>
      </c>
      <c r="BA30" s="17">
        <f>IF(AND(50&gt;=$B$4,50&lt;=$D$4),1,0)</f>
        <v/>
      </c>
      <c r="BB30" s="17">
        <f>IF(AND(51&gt;=$B$4,51&lt;=$D$4),1,0)</f>
        <v/>
      </c>
      <c r="BC30" s="17">
        <f>IF(AND(52&gt;=$B$4,52&lt;=$D$4),1,0)</f>
        <v/>
      </c>
      <c r="BD30" s="17">
        <f>IF(AND(53&gt;=$B$4,53&lt;=$D$4),1,0)</f>
        <v/>
      </c>
      <c r="BE30" s="17">
        <f>IF(AND(54&gt;=$B$4,54&lt;=$D$4),1,0)</f>
        <v/>
      </c>
      <c r="BF30" s="17">
        <f>IF(AND(55&gt;=$B$4,55&lt;=$D$4),1,0)</f>
        <v/>
      </c>
      <c r="BG30" s="17">
        <f>IF(AND(56&gt;=$B$4,56&lt;=$D$4),1,0)</f>
        <v/>
      </c>
      <c r="BH30" s="17">
        <f>IF(AND(57&gt;=$B$4,57&lt;=$D$4),1,0)</f>
        <v/>
      </c>
      <c r="BI30" s="17">
        <f>IF(AND(58&gt;=$B$4,58&lt;=$D$4),1,0)</f>
        <v/>
      </c>
      <c r="BJ30" s="17">
        <f>IF(AND(59&gt;=$B$4,59&lt;=$D$4),1,0)</f>
        <v/>
      </c>
      <c r="BK30" s="17">
        <f>IF(AND(60&gt;=$B$4,60&lt;=$D$4),1,0)</f>
        <v/>
      </c>
      <c r="BL30" s="17">
        <f>IF(AND(61&gt;=$B$4,61&lt;=$D$4),1,0)</f>
        <v/>
      </c>
      <c r="BM30" s="17">
        <f>IF(AND(62&gt;=$B$4,62&lt;=$D$4),1,0)</f>
        <v/>
      </c>
      <c r="BN30" s="17">
        <f>IF(AND(63&gt;=$B$4,63&lt;=$D$4),1,0)</f>
        <v/>
      </c>
      <c r="BO30" s="17">
        <f>IF(AND(64&gt;=$B$4,64&lt;=$D$4),1,0)</f>
        <v/>
      </c>
      <c r="BP30" s="17">
        <f>IF(AND(65&gt;=$B$4,65&lt;=$D$4),1,0)</f>
        <v/>
      </c>
      <c r="BQ30" s="17">
        <f>IF(AND(66&gt;=$B$4,66&lt;=$D$4),1,0)</f>
        <v/>
      </c>
      <c r="BR30" s="17">
        <f>IF(AND(67&gt;=$B$4,67&lt;=$D$4),1,0)</f>
        <v/>
      </c>
      <c r="BS30" s="17">
        <f>IF(AND(68&gt;=$B$4,68&lt;=$D$4),1,0)</f>
        <v/>
      </c>
      <c r="BT30" s="17">
        <f>IF(AND(69&gt;=$B$4,69&lt;=$D$4),1,0)</f>
        <v/>
      </c>
      <c r="BU30" s="17">
        <f>IF(AND(70&gt;=$B$4,70&lt;=$D$4),1,0)</f>
        <v/>
      </c>
      <c r="BV30" s="17">
        <f>IF(AND(71&gt;=$B$4,71&lt;=$D$4),1,0)</f>
        <v/>
      </c>
      <c r="BW30" s="17">
        <f>IF(AND(72&gt;=$B$4,72&lt;=$D$4),1,0)</f>
        <v/>
      </c>
      <c r="BX30" s="17">
        <f>IF(AND(73&gt;=$B$4,73&lt;=$D$4),1,0)</f>
        <v/>
      </c>
      <c r="BY30" s="17">
        <f>IF(AND(74&gt;=$B$4,74&lt;=$D$4),1,0)</f>
        <v/>
      </c>
      <c r="BZ30" s="17">
        <f>IF(AND(75&gt;=$B$4,75&lt;=$D$4),1,0)</f>
        <v/>
      </c>
      <c r="CA30" s="17">
        <f>IF(AND(76&gt;=$B$4,76&lt;=$D$4),1,0)</f>
        <v/>
      </c>
      <c r="CB30" s="17">
        <f>IF(AND(77&gt;=$B$4,77&lt;=$D$4),1,0)</f>
        <v/>
      </c>
      <c r="CC30" s="17">
        <f>IF(AND(78&gt;=$B$4,78&lt;=$D$4),1,0)</f>
        <v/>
      </c>
      <c r="CD30" s="17">
        <f>IF(AND(79&gt;=$B$4,79&lt;=$D$4),1,0)</f>
        <v/>
      </c>
      <c r="CE30" s="17">
        <f>IF(AND(80&gt;=$B$4,80&lt;=$D$4),1,0)</f>
        <v/>
      </c>
      <c r="CF30" s="17">
        <f>IF(AND(81&gt;=$B$4,81&lt;=$D$4),1,0)</f>
        <v/>
      </c>
      <c r="CG30" s="17">
        <f>IF(AND(82&gt;=$B$4,82&lt;=$D$4),1,0)</f>
        <v/>
      </c>
      <c r="CH30" s="17">
        <f>IF(AND(83&gt;=$B$4,83&lt;=$D$4),1,0)</f>
        <v/>
      </c>
      <c r="CI30" s="17">
        <f>IF(AND(84&gt;=$B$4,84&lt;=$D$4),1,0)</f>
        <v/>
      </c>
      <c r="CJ30" s="17">
        <f>IF(AND(85&gt;=$B$4,85&lt;=$D$4),1,0)</f>
        <v/>
      </c>
      <c r="CK30" s="17">
        <f>IF(AND(86&gt;=$B$4,86&lt;=$D$4),1,0)</f>
        <v/>
      </c>
      <c r="CL30" s="17">
        <f>IF(AND(87&gt;=$B$4,87&lt;=$D$4),1,0)</f>
        <v/>
      </c>
      <c r="CM30" s="17">
        <f>IF(AND(88&gt;=$B$4,88&lt;=$D$4),1,0)</f>
        <v/>
      </c>
      <c r="CN30" s="17">
        <f>IF(AND(89&gt;=$B$4,89&lt;=$D$4),1,0)</f>
        <v/>
      </c>
      <c r="CO30" s="17">
        <f>IF(AND(90&gt;=$B$4,90&lt;=$D$4),1,0)</f>
        <v/>
      </c>
      <c r="CP30" s="17">
        <f>IF(AND(91&gt;=$B$4,91&lt;=$D$4),1,0)</f>
        <v/>
      </c>
      <c r="CQ30" s="17">
        <f>IF(AND(92&gt;=$B$4,92&lt;=$D$4),1,0)</f>
        <v/>
      </c>
      <c r="CR30" s="17">
        <f>IF(AND(93&gt;=$B$4,93&lt;=$D$4),1,0)</f>
        <v/>
      </c>
      <c r="CS30" s="17">
        <f>IF(AND(94&gt;=$B$4,94&lt;=$D$4),1,0)</f>
        <v/>
      </c>
      <c r="CT30" s="17">
        <f>IF(AND(95&gt;=$B$4,95&lt;=$D$4),1,0)</f>
        <v/>
      </c>
      <c r="CU30" s="17">
        <f>IF(AND(96&gt;=$B$4,96&lt;=$D$4),1,0)</f>
        <v/>
      </c>
      <c r="CV30" s="17">
        <f>IF(AND(97&gt;=$B$4,97&lt;=$D$4),1,0)</f>
        <v/>
      </c>
      <c r="CW30" s="17">
        <f>IF(AND(98&gt;=$B$4,98&lt;=$D$4),1,0)</f>
        <v/>
      </c>
      <c r="CX30" s="17">
        <f>IF(AND(99&gt;=$B$4,99&lt;=$D$4),1,0)</f>
        <v/>
      </c>
      <c r="CY30" s="17">
        <f>IF(AND(100&gt;=$B$4,100&lt;=$D$4),1,0)</f>
        <v/>
      </c>
      <c r="CZ30" s="17">
        <f>IF(AND(101&gt;=$B$4,101&lt;=$D$4),1,0)</f>
        <v/>
      </c>
      <c r="DA30" s="17">
        <f>IF(AND(102&gt;=$B$4,102&lt;=$D$4),1,0)</f>
        <v/>
      </c>
      <c r="DB30" s="17">
        <f>IF(AND(103&gt;=$B$4,103&lt;=$D$4),1,0)</f>
        <v/>
      </c>
      <c r="DC30" s="17">
        <f>IF(AND(104&gt;=$B$4,104&lt;=$D$4),1,0)</f>
        <v/>
      </c>
      <c r="DD30" s="17">
        <f>IF(AND(105&gt;=$B$4,105&lt;=$D$4),1,0)</f>
        <v/>
      </c>
      <c r="DE30" s="17">
        <f>IF(AND(106&gt;=$B$4,106&lt;=$D$4),1,0)</f>
        <v/>
      </c>
      <c r="DF30" s="17">
        <f>IF(AND(107&gt;=$B$4,107&lt;=$D$4),1,0)</f>
        <v/>
      </c>
      <c r="DG30" s="17">
        <f>IF(AND(108&gt;=$B$4,108&lt;=$D$4),1,0)</f>
        <v/>
      </c>
      <c r="DH30" s="17">
        <f>IF(AND(109&gt;=$B$4,109&lt;=$D$4),1,0)</f>
        <v/>
      </c>
      <c r="DI30" s="17">
        <f>IF(AND(110&gt;=$B$4,110&lt;=$D$4),1,0)</f>
        <v/>
      </c>
      <c r="DJ30" s="17">
        <f>IF(AND(111&gt;=$B$4,111&lt;=$D$4),1,0)</f>
        <v/>
      </c>
      <c r="DK30" s="17">
        <f>IF(AND(112&gt;=$B$4,112&lt;=$D$4),1,0)</f>
        <v/>
      </c>
      <c r="DL30" s="17">
        <f>IF(AND(113&gt;=$B$4,113&lt;=$D$4),1,0)</f>
        <v/>
      </c>
      <c r="DM30" s="17">
        <f>IF(AND(114&gt;=$B$4,114&lt;=$D$4),1,0)</f>
        <v/>
      </c>
      <c r="DN30" s="17">
        <f>IF(AND(115&gt;=$B$4,115&lt;=$D$4),1,0)</f>
        <v/>
      </c>
      <c r="DO30" s="17">
        <f>IF(AND(116&gt;=$B$4,116&lt;=$D$4),1,0)</f>
        <v/>
      </c>
      <c r="DP30" s="17">
        <f>IF(AND(117&gt;=$B$4,117&lt;=$D$4),1,0)</f>
        <v/>
      </c>
      <c r="DQ30" s="17">
        <f>IF(AND(118&gt;=$B$4,118&lt;=$D$4),1,0)</f>
        <v/>
      </c>
      <c r="DR30" s="17">
        <f>IF(AND(119&gt;=$B$4,119&lt;=$D$4),1,0)</f>
        <v/>
      </c>
      <c r="DS30" s="17">
        <f>IF(AND(120&gt;=$B$4,120&lt;=$D$4),1,0)</f>
        <v/>
      </c>
      <c r="DT30" s="17">
        <f>IF(AND(121&gt;=$B$4,121&lt;=$D$4),1,0)</f>
        <v/>
      </c>
      <c r="DU30" s="17">
        <f>IF(AND(122&gt;=$B$4,122&lt;=$D$4),1,0)</f>
        <v/>
      </c>
      <c r="DV30" s="17">
        <f>IF(AND(123&gt;=$B$4,123&lt;=$D$4),1,0)</f>
        <v/>
      </c>
      <c r="DW30" s="17">
        <f>IF(AND(124&gt;=$B$4,124&lt;=$D$4),1,0)</f>
        <v/>
      </c>
      <c r="DX30" s="17">
        <f>IF(AND(125&gt;=$B$4,125&lt;=$D$4),1,0)</f>
        <v/>
      </c>
      <c r="DY30" s="17">
        <f>IF(AND(126&gt;=$B$4,126&lt;=$D$4),1,0)</f>
        <v/>
      </c>
      <c r="DZ30" s="17">
        <f>IF(AND(127&gt;=$B$4,127&lt;=$D$4),1,0)</f>
        <v/>
      </c>
      <c r="EA30" s="17">
        <f>IF(AND(128&gt;=$B$4,128&lt;=$D$4),1,0)</f>
        <v/>
      </c>
      <c r="EB30" s="17">
        <f>IF(AND(129&gt;=$B$4,129&lt;=$D$4),1,0)</f>
        <v/>
      </c>
      <c r="EC30" s="17">
        <f>IF(AND(130&gt;=$B$4,130&lt;=$D$4),1,0)</f>
        <v/>
      </c>
      <c r="ED30" s="17">
        <f>IF(AND(131&gt;=$B$4,131&lt;=$D$4),1,0)</f>
        <v/>
      </c>
      <c r="EE30" s="17">
        <f>IF(AND(132&gt;=$B$4,132&lt;=$D$4),1,0)</f>
        <v/>
      </c>
      <c r="EF30" s="17">
        <f>IF(AND(133&gt;=$B$4,133&lt;=$D$4),1,0)</f>
        <v/>
      </c>
      <c r="EG30" s="17">
        <f>IF(AND(134&gt;=$B$4,134&lt;=$D$4),1,0)</f>
        <v/>
      </c>
      <c r="EH30" s="17">
        <f>IF(AND(135&gt;=$B$4,135&lt;=$D$4),1,0)</f>
        <v/>
      </c>
      <c r="EI30" s="17">
        <f>IF(AND(136&gt;=$B$4,136&lt;=$D$4),1,0)</f>
        <v/>
      </c>
      <c r="EJ30" s="17">
        <f>IF(AND(137&gt;=$B$4,137&lt;=$D$4),1,0)</f>
        <v/>
      </c>
      <c r="EK30" s="17">
        <f>IF(AND(138&gt;=$B$4,138&lt;=$D$4),1,0)</f>
        <v/>
      </c>
      <c r="EL30" s="17">
        <f>IF(AND(139&gt;=$B$4,139&lt;=$D$4),1,0)</f>
        <v/>
      </c>
      <c r="EM30" s="17">
        <f>IF(AND(140&gt;=$B$4,140&lt;=$D$4),1,0)</f>
        <v/>
      </c>
      <c r="EN30" s="17">
        <f>IF(AND(141&gt;=$B$4,141&lt;=$D$4),1,0)</f>
        <v/>
      </c>
      <c r="EO30" s="17">
        <f>IF(AND(142&gt;=$B$4,142&lt;=$D$4),1,0)</f>
        <v/>
      </c>
      <c r="EP30" s="17">
        <f>IF(AND(143&gt;=$B$4,143&lt;=$D$4),1,0)</f>
        <v/>
      </c>
      <c r="EQ30" s="17">
        <f>IF(AND(144&gt;=$B$4,144&lt;=$D$4),1,0)</f>
        <v/>
      </c>
      <c r="ER30" s="17">
        <f>IF(AND(145&gt;=$B$4,145&lt;=$D$4),1,0)</f>
        <v/>
      </c>
      <c r="ES30" s="17">
        <f>IF(AND(146&gt;=$B$4,146&lt;=$D$4),1,0)</f>
        <v/>
      </c>
      <c r="ET30" s="17">
        <f>IF(AND(147&gt;=$B$4,147&lt;=$D$4),1,0)</f>
        <v/>
      </c>
      <c r="EU30" s="17">
        <f>IF(AND(148&gt;=$B$4,148&lt;=$D$4),1,0)</f>
        <v/>
      </c>
      <c r="EV30" s="17">
        <f>IF(AND(149&gt;=$B$4,149&lt;=$D$4),1,0)</f>
        <v/>
      </c>
      <c r="EW30" s="17">
        <f>IF(AND(150&gt;=$B$4,150&lt;=$D$4),1,0)</f>
        <v/>
      </c>
      <c r="EX30" s="17">
        <f>IF(AND(151&gt;=$B$4,151&lt;=$D$4),1,0)</f>
        <v/>
      </c>
      <c r="EY30" s="17">
        <f>IF(AND(152&gt;=$B$4,152&lt;=$D$4),1,0)</f>
        <v/>
      </c>
      <c r="EZ30" s="17">
        <f>IF(AND(153&gt;=$B$4,153&lt;=$D$4),1,0)</f>
        <v/>
      </c>
      <c r="FA30" s="17">
        <f>IF(AND(154&gt;=$B$4,154&lt;=$D$4),1,0)</f>
        <v/>
      </c>
      <c r="FB30" s="17">
        <f>IF(AND(155&gt;=$B$4,155&lt;=$D$4),1,0)</f>
        <v/>
      </c>
      <c r="FC30" s="17">
        <f>IF(AND(156&gt;=$B$4,156&lt;=$D$4),1,0)</f>
        <v/>
      </c>
      <c r="FD30" s="17">
        <f>IF(AND(157&gt;=$B$4,157&lt;=$D$4),1,0)</f>
        <v/>
      </c>
      <c r="FE30" s="17">
        <f>IF(AND(158&gt;=$B$4,158&lt;=$D$4),1,0)</f>
        <v/>
      </c>
      <c r="FF30" s="17">
        <f>IF(AND(159&gt;=$B$4,159&lt;=$D$4),1,0)</f>
        <v/>
      </c>
      <c r="FG30" s="17">
        <f>IF(AND(160&gt;=$B$4,160&lt;=$D$4),1,0)</f>
        <v/>
      </c>
      <c r="FH30" s="17">
        <f>IF(AND(161&gt;=$B$4,161&lt;=$D$4),1,0)</f>
        <v/>
      </c>
      <c r="FI30" s="17">
        <f>IF(AND(162&gt;=$B$4,162&lt;=$D$4),1,0)</f>
        <v/>
      </c>
      <c r="FJ30" s="17">
        <f>IF(AND(163&gt;=$B$4,163&lt;=$D$4),1,0)</f>
        <v/>
      </c>
      <c r="FK30" s="17">
        <f>IF(AND(164&gt;=$B$4,164&lt;=$D$4),1,0)</f>
        <v/>
      </c>
      <c r="FL30" s="17">
        <f>IF(AND(165&gt;=$B$4,165&lt;=$D$4),1,0)</f>
        <v/>
      </c>
      <c r="FM30" s="17">
        <f>IF(AND(166&gt;=$B$4,166&lt;=$D$4),1,0)</f>
        <v/>
      </c>
      <c r="FN30" s="17">
        <f>IF(AND(167&gt;=$B$4,167&lt;=$D$4),1,0)</f>
        <v/>
      </c>
      <c r="FO30" s="17">
        <f>IF(AND(168&gt;=$B$4,168&lt;=$D$4),1,0)</f>
        <v/>
      </c>
      <c r="FP30" s="17">
        <f>IF(AND(169&gt;=$B$4,169&lt;=$D$4),1,0)</f>
        <v/>
      </c>
      <c r="FQ30" s="17">
        <f>IF(AND(170&gt;=$B$4,170&lt;=$D$4),1,0)</f>
        <v/>
      </c>
      <c r="FR30" s="17">
        <f>IF(AND(171&gt;=$B$4,171&lt;=$D$4),1,0)</f>
        <v/>
      </c>
      <c r="FS30" s="17">
        <f>IF(AND(172&gt;=$B$4,172&lt;=$D$4),1,0)</f>
        <v/>
      </c>
      <c r="FT30" s="17">
        <f>IF(AND(173&gt;=$B$4,173&lt;=$D$4),1,0)</f>
        <v/>
      </c>
      <c r="FU30" s="17">
        <f>IF(AND(174&gt;=$B$4,174&lt;=$D$4),1,0)</f>
        <v/>
      </c>
      <c r="FV30" s="17">
        <f>IF(AND(175&gt;=$B$4,175&lt;=$D$4),1,0)</f>
        <v/>
      </c>
      <c r="FW30" s="17">
        <f>IF(AND(176&gt;=$B$4,176&lt;=$D$4),1,0)</f>
        <v/>
      </c>
      <c r="FX30" s="17">
        <f>IF(AND(177&gt;=$B$4,177&lt;=$D$4),1,0)</f>
        <v/>
      </c>
      <c r="FY30" s="17">
        <f>IF(AND(178&gt;=$B$4,178&lt;=$D$4),1,0)</f>
        <v/>
      </c>
      <c r="FZ30" s="17">
        <f>IF(AND(179&gt;=$B$4,179&lt;=$D$4),1,0)</f>
        <v/>
      </c>
      <c r="GA30" s="17">
        <f>IF(AND(180&gt;=$B$4,180&lt;=$D$4),1,0)</f>
        <v/>
      </c>
      <c r="GB30" s="17">
        <f>IF(AND(181&gt;=$B$4,181&lt;=$D$4),1,0)</f>
        <v/>
      </c>
      <c r="GC30" s="17">
        <f>IF(AND(182&gt;=$B$4,182&lt;=$D$4),1,0)</f>
        <v/>
      </c>
      <c r="GD30" s="17">
        <f>IF(AND(183&gt;=$B$4,183&lt;=$D$4),1,0)</f>
        <v/>
      </c>
      <c r="GE30" s="17">
        <f>IF(AND(184&gt;=$B$4,184&lt;=$D$4),1,0)</f>
        <v/>
      </c>
      <c r="GF30" s="17">
        <f>IF(AND(185&gt;=$B$4,185&lt;=$D$4),1,0)</f>
        <v/>
      </c>
      <c r="GG30" s="17">
        <f>IF(AND(186&gt;=$B$4,186&lt;=$D$4),1,0)</f>
        <v/>
      </c>
      <c r="GH30" s="17">
        <f>IF(AND(187&gt;=$B$4,187&lt;=$D$4),1,0)</f>
        <v/>
      </c>
      <c r="GI30" s="17">
        <f>IF(AND(188&gt;=$B$4,188&lt;=$D$4),1,0)</f>
        <v/>
      </c>
      <c r="GJ30" s="17">
        <f>IF(AND(189&gt;=$B$4,189&lt;=$D$4),1,0)</f>
        <v/>
      </c>
      <c r="GK30" s="17">
        <f>IF(AND(190&gt;=$B$4,190&lt;=$D$4),1,0)</f>
        <v/>
      </c>
      <c r="GL30" s="17">
        <f>IF(AND(191&gt;=$B$4,191&lt;=$D$4),1,0)</f>
        <v/>
      </c>
      <c r="GM30" s="17">
        <f>IF(AND(192&gt;=$B$4,192&lt;=$D$4),1,0)</f>
        <v/>
      </c>
      <c r="GN30" s="17">
        <f>IF(AND(193&gt;=$B$4,193&lt;=$D$4),1,0)</f>
        <v/>
      </c>
      <c r="GO30" s="17">
        <f>IF(AND(194&gt;=$B$4,194&lt;=$D$4),1,0)</f>
        <v/>
      </c>
      <c r="GP30" s="17">
        <f>IF(AND(195&gt;=$B$4,195&lt;=$D$4),1,0)</f>
        <v/>
      </c>
      <c r="GQ30" s="17">
        <f>IF(AND(196&gt;=$B$4,196&lt;=$D$4),1,0)</f>
        <v/>
      </c>
      <c r="GR30" s="17">
        <f>IF(AND(197&gt;=$B$4,197&lt;=$D$4),1,0)</f>
        <v/>
      </c>
      <c r="GS30" s="17">
        <f>IF(AND(198&gt;=$B$4,198&lt;=$D$4),1,0)</f>
        <v/>
      </c>
      <c r="GT30" s="17">
        <f>IF(AND(199&gt;=$B$4,199&lt;=$D$4),1,0)</f>
        <v/>
      </c>
      <c r="GU30" s="17">
        <f>IF(AND(200&gt;=$B$4,200&lt;=$D$4),1,0)</f>
        <v/>
      </c>
      <c r="GV30" s="17">
        <f>IF(AND(201&gt;=$B$4,201&lt;=$D$4),1,0)</f>
        <v/>
      </c>
      <c r="GW30" s="17">
        <f>IF(AND(202&gt;=$B$4,202&lt;=$D$4),1,0)</f>
        <v/>
      </c>
      <c r="GX30" s="17">
        <f>IF(AND(203&gt;=$B$4,203&lt;=$D$4),1,0)</f>
        <v/>
      </c>
      <c r="GY30" s="17">
        <f>IF(AND(204&gt;=$B$4,204&lt;=$D$4),1,0)</f>
        <v/>
      </c>
      <c r="GZ30" s="17">
        <f>IF(AND(205&gt;=$B$4,205&lt;=$D$4),1,0)</f>
        <v/>
      </c>
      <c r="HA30" s="17">
        <f>IF(AND(206&gt;=$B$4,206&lt;=$D$4),1,0)</f>
        <v/>
      </c>
      <c r="HB30" s="17">
        <f>IF(AND(207&gt;=$B$4,207&lt;=$D$4),1,0)</f>
        <v/>
      </c>
      <c r="HC30" s="17">
        <f>IF(AND(208&gt;=$B$4,208&lt;=$D$4),1,0)</f>
        <v/>
      </c>
      <c r="HD30" s="17">
        <f>IF(AND(209&gt;=$B$4,209&lt;=$D$4),1,0)</f>
        <v/>
      </c>
      <c r="HE30" s="17">
        <f>IF(AND(210&gt;=$B$4,210&lt;=$D$4),1,0)</f>
        <v/>
      </c>
      <c r="HF30" s="17">
        <f>IF(AND(211&gt;=$B$4,211&lt;=$D$4),1,0)</f>
        <v/>
      </c>
      <c r="HG30" s="17">
        <f>IF(AND(212&gt;=$B$4,212&lt;=$D$4),1,0)</f>
        <v/>
      </c>
      <c r="HH30" s="17">
        <f>IF(AND(213&gt;=$B$4,213&lt;=$D$4),1,0)</f>
        <v/>
      </c>
      <c r="HI30" s="17">
        <f>IF(AND(214&gt;=$B$4,214&lt;=$D$4),1,0)</f>
        <v/>
      </c>
      <c r="HJ30" s="17">
        <f>IF(AND(215&gt;=$B$4,215&lt;=$D$4),1,0)</f>
        <v/>
      </c>
      <c r="HK30" s="17">
        <f>IF(AND(216&gt;=$B$4,216&lt;=$D$4),1,0)</f>
        <v/>
      </c>
      <c r="HL30" s="17">
        <f>IF(AND(217&gt;=$B$4,217&lt;=$D$4),1,0)</f>
        <v/>
      </c>
      <c r="HM30" s="17">
        <f>IF(AND(218&gt;=$B$4,218&lt;=$D$4),1,0)</f>
        <v/>
      </c>
      <c r="HN30" s="17">
        <f>IF(AND(219&gt;=$B$4,219&lt;=$D$4),1,0)</f>
        <v/>
      </c>
      <c r="HO30" s="17">
        <f>IF(AND(220&gt;=$B$4,220&lt;=$D$4),1,0)</f>
        <v/>
      </c>
      <c r="HP30" s="17">
        <f>IF(AND(221&gt;=$B$4,221&lt;=$D$4),1,0)</f>
        <v/>
      </c>
      <c r="HQ30" s="17">
        <f>IF(AND(222&gt;=$B$4,222&lt;=$D$4),1,0)</f>
        <v/>
      </c>
      <c r="HR30" s="17">
        <f>IF(AND(223&gt;=$B$4,223&lt;=$D$4),1,0)</f>
        <v/>
      </c>
      <c r="HS30" s="17">
        <f>IF(AND(224&gt;=$B$4,224&lt;=$D$4),1,0)</f>
        <v/>
      </c>
      <c r="HT30" s="17">
        <f>IF(AND(225&gt;=$B$4,225&lt;=$D$4),1,0)</f>
        <v/>
      </c>
      <c r="HU30" s="17">
        <f>IF(AND(226&gt;=$B$4,226&lt;=$D$4),1,0)</f>
        <v/>
      </c>
      <c r="HV30" s="17">
        <f>IF(AND(227&gt;=$B$4,227&lt;=$D$4),1,0)</f>
        <v/>
      </c>
      <c r="HW30" s="17">
        <f>IF(AND(228&gt;=$B$4,228&lt;=$D$4),1,0)</f>
        <v/>
      </c>
      <c r="HX30" s="17">
        <f>IF(AND(229&gt;=$B$4,229&lt;=$D$4),1,0)</f>
        <v/>
      </c>
      <c r="HY30" s="17">
        <f>IF(AND(230&gt;=$B$4,230&lt;=$D$4),1,0)</f>
        <v/>
      </c>
      <c r="HZ30" s="17">
        <f>IF(AND(231&gt;=$B$4,231&lt;=$D$4),1,0)</f>
        <v/>
      </c>
      <c r="IA30" s="17">
        <f>IF(AND(232&gt;=$B$4,232&lt;=$D$4),1,0)</f>
        <v/>
      </c>
      <c r="IB30" s="17">
        <f>IF(AND(233&gt;=$B$4,233&lt;=$D$4),1,0)</f>
        <v/>
      </c>
      <c r="IC30" s="17">
        <f>IF(AND(234&gt;=$B$4,234&lt;=$D$4),1,0)</f>
        <v/>
      </c>
      <c r="ID30" s="17">
        <f>IF(AND(235&gt;=$B$4,235&lt;=$D$4),1,0)</f>
        <v/>
      </c>
      <c r="IE30" s="17">
        <f>IF(AND(236&gt;=$B$4,236&lt;=$D$4),1,0)</f>
        <v/>
      </c>
      <c r="IF30" s="17">
        <f>IF(AND(237&gt;=$B$4,237&lt;=$D$4),1,0)</f>
        <v/>
      </c>
      <c r="IG30" s="17">
        <f>IF(AND(238&gt;=$B$4,238&lt;=$D$4),1,0)</f>
        <v/>
      </c>
      <c r="IH30" s="17">
        <f>IF(AND(239&gt;=$B$4,239&lt;=$D$4),1,0)</f>
        <v/>
      </c>
      <c r="II30" s="17">
        <f>IF(AND(240&gt;=$B$4,240&lt;=$D$4),1,0)</f>
        <v/>
      </c>
      <c r="IJ30" s="17">
        <f>IF(AND(241&gt;=$B$4,241&lt;=$D$4),1,0)</f>
        <v/>
      </c>
      <c r="IK30" s="17">
        <f>IF(AND(242&gt;=$B$4,242&lt;=$D$4),1,0)</f>
        <v/>
      </c>
      <c r="IL30" s="17">
        <f>IF(AND(243&gt;=$B$4,243&lt;=$D$4),1,0)</f>
        <v/>
      </c>
      <c r="IM30" s="17">
        <f>IF(AND(244&gt;=$B$4,244&lt;=$D$4),1,0)</f>
        <v/>
      </c>
      <c r="IN30" s="17">
        <f>IF(AND(245&gt;=$B$4,245&lt;=$D$4),1,0)</f>
        <v/>
      </c>
      <c r="IO30" s="17">
        <f>IF(AND(246&gt;=$B$4,246&lt;=$D$4),1,0)</f>
        <v/>
      </c>
      <c r="IP30" s="17">
        <f>IF(AND(247&gt;=$B$4,247&lt;=$D$4),1,0)</f>
        <v/>
      </c>
      <c r="IQ30" s="17">
        <f>IF(AND(248&gt;=$B$4,248&lt;=$D$4),1,0)</f>
        <v/>
      </c>
      <c r="IR30" s="17">
        <f>IF(AND(249&gt;=$B$4,249&lt;=$D$4),1,0)</f>
        <v/>
      </c>
      <c r="IS30" s="17">
        <f>IF(AND(250&gt;=$B$4,250&lt;=$D$4),1,0)</f>
        <v/>
      </c>
      <c r="IT30" s="17">
        <f>IF(AND(251&gt;=$B$4,251&lt;=$D$4),1,0)</f>
        <v/>
      </c>
      <c r="IU30" s="17">
        <f>IF(AND(252&gt;=$B$4,252&lt;=$D$4),1,0)</f>
        <v/>
      </c>
      <c r="IV30" s="17">
        <f>IF(AND(253&gt;=$B$4,253&lt;=$D$4),1,0)</f>
        <v/>
      </c>
      <c r="IW30" s="17">
        <f>IF(AND(254&gt;=$B$4,254&lt;=$D$4),1,0)</f>
        <v/>
      </c>
      <c r="IX30" s="17">
        <f>IF(AND(255&gt;=$B$4,255&lt;=$D$4),1,0)</f>
        <v/>
      </c>
      <c r="IY30" s="17">
        <f>IF(AND(256&gt;=$B$4,256&lt;=$D$4),1,0)</f>
        <v/>
      </c>
      <c r="IZ30" s="17">
        <f>IF(AND(257&gt;=$B$4,257&lt;=$D$4),1,0)</f>
        <v/>
      </c>
      <c r="JA30" s="17">
        <f>IF(AND(258&gt;=$B$4,258&lt;=$D$4),1,0)</f>
        <v/>
      </c>
      <c r="JB30" s="17">
        <f>IF(AND(259&gt;=$B$4,259&lt;=$D$4),1,0)</f>
        <v/>
      </c>
      <c r="JC30" s="17">
        <f>IF(AND(260&gt;=$B$4,260&lt;=$D$4),1,0)</f>
        <v/>
      </c>
      <c r="JD30" s="17">
        <f>IF(AND(261&gt;=$B$4,261&lt;=$D$4),1,0)</f>
        <v/>
      </c>
      <c r="JE30" s="17">
        <f>IF(AND(262&gt;=$B$4,262&lt;=$D$4),1,0)</f>
        <v/>
      </c>
      <c r="JF30" s="17">
        <f>IF(AND(263&gt;=$B$4,263&lt;=$D$4),1,0)</f>
        <v/>
      </c>
      <c r="JG30" s="17">
        <f>IF(AND(264&gt;=$B$4,264&lt;=$D$4),1,0)</f>
        <v/>
      </c>
      <c r="JH30" s="17">
        <f>IF(AND(265&gt;=$B$4,265&lt;=$D$4),1,0)</f>
        <v/>
      </c>
      <c r="JI30" s="17">
        <f>IF(AND(266&gt;=$B$4,266&lt;=$D$4),1,0)</f>
        <v/>
      </c>
      <c r="JJ30" s="17">
        <f>IF(AND(267&gt;=$B$4,267&lt;=$D$4),1,0)</f>
        <v/>
      </c>
      <c r="JK30" s="17">
        <f>IF(AND(268&gt;=$B$4,268&lt;=$D$4),1,0)</f>
        <v/>
      </c>
      <c r="JL30" s="17">
        <f>IF(AND(269&gt;=$B$4,269&lt;=$D$4),1,0)</f>
        <v/>
      </c>
      <c r="JM30" s="17">
        <f>IF(AND(270&gt;=$B$4,270&lt;=$D$4),1,0)</f>
        <v/>
      </c>
      <c r="JN30" s="17">
        <f>IF(AND(271&gt;=$B$4,271&lt;=$D$4),1,0)</f>
        <v/>
      </c>
      <c r="JO30" s="17">
        <f>IF(AND(272&gt;=$B$4,272&lt;=$D$4),1,0)</f>
        <v/>
      </c>
      <c r="JP30" s="17">
        <f>IF(AND(273&gt;=$B$4,273&lt;=$D$4),1,0)</f>
        <v/>
      </c>
      <c r="JQ30" s="17">
        <f>IF(AND(274&gt;=$B$4,274&lt;=$D$4),1,0)</f>
        <v/>
      </c>
      <c r="JR30" s="17">
        <f>IF(AND(275&gt;=$B$4,275&lt;=$D$4),1,0)</f>
        <v/>
      </c>
      <c r="JS30" s="17">
        <f>IF(AND(276&gt;=$B$4,276&lt;=$D$4),1,0)</f>
        <v/>
      </c>
      <c r="JT30" s="17">
        <f>IF(AND(277&gt;=$B$4,277&lt;=$D$4),1,0)</f>
        <v/>
      </c>
      <c r="JU30" s="17">
        <f>IF(AND(278&gt;=$B$4,278&lt;=$D$4),1,0)</f>
        <v/>
      </c>
      <c r="JV30" s="17">
        <f>IF(AND(279&gt;=$B$4,279&lt;=$D$4),1,0)</f>
        <v/>
      </c>
      <c r="JW30" s="17">
        <f>IF(AND(280&gt;=$B$4,280&lt;=$D$4),1,0)</f>
        <v/>
      </c>
      <c r="JX30" s="17">
        <f>IF(AND(281&gt;=$B$4,281&lt;=$D$4),1,0)</f>
        <v/>
      </c>
      <c r="JY30" s="17">
        <f>IF(AND(282&gt;=$B$4,282&lt;=$D$4),1,0)</f>
        <v/>
      </c>
      <c r="JZ30" s="17">
        <f>IF(AND(283&gt;=$B$4,283&lt;=$D$4),1,0)</f>
        <v/>
      </c>
      <c r="KA30" s="17">
        <f>IF(AND(284&gt;=$B$4,284&lt;=$D$4),1,0)</f>
        <v/>
      </c>
      <c r="KB30" s="17">
        <f>IF(AND(285&gt;=$B$4,285&lt;=$D$4),1,0)</f>
        <v/>
      </c>
      <c r="KC30" s="17">
        <f>IF(AND(286&gt;=$B$4,286&lt;=$D$4),1,0)</f>
        <v/>
      </c>
      <c r="KD30" s="17">
        <f>IF(AND(287&gt;=$B$4,287&lt;=$D$4),1,0)</f>
        <v/>
      </c>
      <c r="KE30" s="17">
        <f>IF(AND(288&gt;=$B$4,288&lt;=$D$4),1,0)</f>
        <v/>
      </c>
      <c r="KF30" s="17">
        <f>IF(AND(289&gt;=$B$4,289&lt;=$D$4),1,0)</f>
        <v/>
      </c>
      <c r="KG30" s="17">
        <f>IF(AND(290&gt;=$B$4,290&lt;=$D$4),1,0)</f>
        <v/>
      </c>
      <c r="KH30" s="17">
        <f>IF(AND(291&gt;=$B$4,291&lt;=$D$4),1,0)</f>
        <v/>
      </c>
      <c r="KI30" s="17">
        <f>IF(AND(292&gt;=$B$4,292&lt;=$D$4),1,0)</f>
        <v/>
      </c>
      <c r="KJ30" s="17">
        <f>IF(AND(293&gt;=$B$4,293&lt;=$D$4),1,0)</f>
        <v/>
      </c>
      <c r="KK30" s="17">
        <f>IF(AND(294&gt;=$B$4,294&lt;=$D$4),1,0)</f>
        <v/>
      </c>
      <c r="KL30" s="17">
        <f>IF(AND(295&gt;=$B$4,295&lt;=$D$4),1,0)</f>
        <v/>
      </c>
      <c r="KM30" s="17">
        <f>IF(AND(296&gt;=$B$4,296&lt;=$D$4),1,0)</f>
        <v/>
      </c>
      <c r="KN30" s="17">
        <f>IF(AND(297&gt;=$B$4,297&lt;=$D$4),1,0)</f>
        <v/>
      </c>
      <c r="KO30" s="17">
        <f>IF(AND(298&gt;=$B$4,298&lt;=$D$4),1,0)</f>
        <v/>
      </c>
      <c r="KP30" s="17">
        <f>IF(AND(299&gt;=$B$4,299&lt;=$D$4),1,0)</f>
        <v/>
      </c>
      <c r="KQ30" s="17">
        <f>IF(AND(300&gt;=$B$4,300&lt;=$D$4),1,0)</f>
        <v/>
      </c>
      <c r="KR30" s="17">
        <f>IF(AND(301&gt;=$B$4,301&lt;=$D$4),1,0)</f>
        <v/>
      </c>
      <c r="KS30" s="17">
        <f>IF(AND(302&gt;=$B$4,302&lt;=$D$4),1,0)</f>
        <v/>
      </c>
      <c r="KT30" s="17">
        <f>IF(AND(303&gt;=$B$4,303&lt;=$D$4),1,0)</f>
        <v/>
      </c>
      <c r="KU30" s="17">
        <f>IF(AND(304&gt;=$B$4,304&lt;=$D$4),1,0)</f>
        <v/>
      </c>
      <c r="KV30" s="17">
        <f>IF(AND(305&gt;=$B$4,305&lt;=$D$4),1,0)</f>
        <v/>
      </c>
      <c r="KW30" s="17">
        <f>IF(AND(306&gt;=$B$4,306&lt;=$D$4),1,0)</f>
        <v/>
      </c>
      <c r="KX30" s="17">
        <f>IF(AND(307&gt;=$B$4,307&lt;=$D$4),1,0)</f>
        <v/>
      </c>
      <c r="KY30" s="17">
        <f>IF(AND(308&gt;=$B$4,308&lt;=$D$4),1,0)</f>
        <v/>
      </c>
      <c r="KZ30" s="17">
        <f>IF(AND(309&gt;=$B$4,309&lt;=$D$4),1,0)</f>
        <v/>
      </c>
      <c r="LA30" s="17">
        <f>IF(AND(310&gt;=$B$4,310&lt;=$D$4),1,0)</f>
        <v/>
      </c>
      <c r="LB30" s="17">
        <f>IF(AND(311&gt;=$B$4,311&lt;=$D$4),1,0)</f>
        <v/>
      </c>
      <c r="LC30" s="17">
        <f>IF(AND(312&gt;=$B$4,312&lt;=$D$4),1,0)</f>
        <v/>
      </c>
      <c r="LD30" s="17">
        <f>IF(AND(313&gt;=$B$4,313&lt;=$D$4),1,0)</f>
        <v/>
      </c>
      <c r="LE30" s="17">
        <f>IF(AND(314&gt;=$B$4,314&lt;=$D$4),1,0)</f>
        <v/>
      </c>
      <c r="LF30" s="17">
        <f>IF(AND(315&gt;=$B$4,315&lt;=$D$4),1,0)</f>
        <v/>
      </c>
      <c r="LG30" s="17">
        <f>IF(AND(316&gt;=$B$4,316&lt;=$D$4),1,0)</f>
        <v/>
      </c>
      <c r="LH30" s="17">
        <f>IF(AND(317&gt;=$B$4,317&lt;=$D$4),1,0)</f>
        <v/>
      </c>
      <c r="LI30" s="17">
        <f>IF(AND(318&gt;=$B$4,318&lt;=$D$4),1,0)</f>
        <v/>
      </c>
      <c r="LJ30" s="17">
        <f>IF(AND(319&gt;=$B$4,319&lt;=$D$4),1,0)</f>
        <v/>
      </c>
      <c r="LK30" s="17">
        <f>IF(AND(320&gt;=$B$4,320&lt;=$D$4),1,0)</f>
        <v/>
      </c>
      <c r="LL30" s="17">
        <f>IF(AND(321&gt;=$B$4,321&lt;=$D$4),1,0)</f>
        <v/>
      </c>
      <c r="LM30" s="17">
        <f>IF(AND(322&gt;=$B$4,322&lt;=$D$4),1,0)</f>
        <v/>
      </c>
      <c r="LN30" s="17">
        <f>IF(AND(323&gt;=$B$4,323&lt;=$D$4),1,0)</f>
        <v/>
      </c>
      <c r="LO30" s="17">
        <f>IF(AND(324&gt;=$B$4,324&lt;=$D$4),1,0)</f>
        <v/>
      </c>
      <c r="LP30" s="17">
        <f>IF(AND(325&gt;=$B$4,325&lt;=$D$4),1,0)</f>
        <v/>
      </c>
      <c r="LQ30" s="17">
        <f>IF(AND(326&gt;=$B$4,326&lt;=$D$4),1,0)</f>
        <v/>
      </c>
      <c r="LR30" s="17">
        <f>IF(AND(327&gt;=$B$4,327&lt;=$D$4),1,0)</f>
        <v/>
      </c>
      <c r="LS30" s="17">
        <f>IF(AND(328&gt;=$B$4,328&lt;=$D$4),1,0)</f>
        <v/>
      </c>
      <c r="LT30" s="17">
        <f>IF(AND(329&gt;=$B$4,329&lt;=$D$4),1,0)</f>
        <v/>
      </c>
      <c r="LU30" s="17">
        <f>IF(AND(330&gt;=$B$4,330&lt;=$D$4),1,0)</f>
        <v/>
      </c>
      <c r="LV30" s="17">
        <f>IF(AND(331&gt;=$B$4,331&lt;=$D$4),1,0)</f>
        <v/>
      </c>
      <c r="LW30" s="17">
        <f>IF(AND(332&gt;=$B$4,332&lt;=$D$4),1,0)</f>
        <v/>
      </c>
      <c r="LX30" s="17">
        <f>IF(AND(333&gt;=$B$4,333&lt;=$D$4),1,0)</f>
        <v/>
      </c>
      <c r="LY30" s="17">
        <f>IF(AND(334&gt;=$B$4,334&lt;=$D$4),1,0)</f>
        <v/>
      </c>
      <c r="LZ30" s="17">
        <f>IF(AND(335&gt;=$B$4,335&lt;=$D$4),1,0)</f>
        <v/>
      </c>
      <c r="MA30" s="17">
        <f>IF(AND(336&gt;=$B$4,336&lt;=$D$4),1,0)</f>
        <v/>
      </c>
      <c r="MB30" s="17">
        <f>IF(AND(337&gt;=$B$4,337&lt;=$D$4),1,0)</f>
        <v/>
      </c>
      <c r="MC30" s="17">
        <f>IF(AND(338&gt;=$B$4,338&lt;=$D$4),1,0)</f>
        <v/>
      </c>
      <c r="MD30" s="17">
        <f>IF(AND(339&gt;=$B$4,339&lt;=$D$4),1,0)</f>
        <v/>
      </c>
      <c r="ME30" s="17">
        <f>IF(AND(340&gt;=$B$4,340&lt;=$D$4),1,0)</f>
        <v/>
      </c>
      <c r="MF30" s="17">
        <f>IF(AND(341&gt;=$B$4,341&lt;=$D$4),1,0)</f>
        <v/>
      </c>
      <c r="MG30" s="17">
        <f>IF(AND(342&gt;=$B$4,342&lt;=$D$4),1,0)</f>
        <v/>
      </c>
      <c r="MH30" s="17">
        <f>IF(AND(343&gt;=$B$4,343&lt;=$D$4),1,0)</f>
        <v/>
      </c>
      <c r="MI30" s="17">
        <f>IF(AND(344&gt;=$B$4,344&lt;=$D$4),1,0)</f>
        <v/>
      </c>
      <c r="MJ30" s="17">
        <f>IF(AND(345&gt;=$B$4,345&lt;=$D$4),1,0)</f>
        <v/>
      </c>
      <c r="MK30" s="17">
        <f>IF(AND(346&gt;=$B$4,346&lt;=$D$4),1,0)</f>
        <v/>
      </c>
      <c r="ML30" s="17">
        <f>IF(AND(347&gt;=$B$4,347&lt;=$D$4),1,0)</f>
        <v/>
      </c>
      <c r="MM30" s="17">
        <f>IF(AND(348&gt;=$B$4,348&lt;=$D$4),1,0)</f>
        <v/>
      </c>
      <c r="MN30" s="17">
        <f>IF(AND(349&gt;=$B$4,349&lt;=$D$4),1,0)</f>
        <v/>
      </c>
      <c r="MO30" s="17">
        <f>IF(AND(350&gt;=$B$4,350&lt;=$D$4),1,0)</f>
        <v/>
      </c>
      <c r="MP30" s="17">
        <f>IF(AND(351&gt;=$B$4,351&lt;=$D$4),1,0)</f>
        <v/>
      </c>
      <c r="MQ30" s="17">
        <f>IF(AND(352&gt;=$B$4,352&lt;=$D$4),1,0)</f>
        <v/>
      </c>
      <c r="MR30" s="17">
        <f>IF(AND(353&gt;=$B$4,353&lt;=$D$4),1,0)</f>
        <v/>
      </c>
      <c r="MS30" s="17">
        <f>IF(AND(354&gt;=$B$4,354&lt;=$D$4),1,0)</f>
        <v/>
      </c>
      <c r="MT30" s="17">
        <f>IF(AND(355&gt;=$B$4,355&lt;=$D$4),1,0)</f>
        <v/>
      </c>
      <c r="MU30" s="17">
        <f>IF(AND(356&gt;=$B$4,356&lt;=$D$4),1,0)</f>
        <v/>
      </c>
      <c r="MV30" s="17">
        <f>IF(AND(357&gt;=$B$4,357&lt;=$D$4),1,0)</f>
        <v/>
      </c>
      <c r="MW30" s="17">
        <f>IF(AND(358&gt;=$B$4,358&lt;=$D$4),1,0)</f>
        <v/>
      </c>
      <c r="MX30" s="17">
        <f>IF(AND(359&gt;=$B$4,359&lt;=$D$4),1,0)</f>
        <v/>
      </c>
      <c r="MY30" s="17">
        <f>IF(AND(360&gt;=$B$4,360&lt;=$D$4),1,0)</f>
        <v/>
      </c>
      <c r="MZ30" s="17">
        <f>IF(AND(361&gt;=$B$4,361&lt;=$D$4),1,0)</f>
        <v/>
      </c>
      <c r="NA30" s="17">
        <f>IF(AND(362&gt;=$B$4,362&lt;=$D$4),1,0)</f>
        <v/>
      </c>
      <c r="NB30" s="17">
        <f>IF(AND(363&gt;=$B$4,363&lt;=$D$4),1,0)</f>
        <v/>
      </c>
      <c r="NC30" s="17">
        <f>IF(AND(364&gt;=$B$4,364&lt;=$D$4),1,0)</f>
        <v/>
      </c>
      <c r="ND30" s="17">
        <f>IF(AND(365&gt;=$B$4,365&lt;=$D$4),1,0)</f>
        <v/>
      </c>
      <c r="NE30" s="17">
        <f>IF(AND(366&gt;=$B$4,366&lt;=$D$4),1,0)</f>
        <v/>
      </c>
      <c r="NF30" s="17">
        <f>IF(AND(367&gt;=$B$4,367&lt;=$D$4),1,0)</f>
        <v/>
      </c>
      <c r="NG30" s="17">
        <f>IF(AND(368&gt;=$B$4,368&lt;=$D$4),1,0)</f>
        <v/>
      </c>
      <c r="NH30" s="17">
        <f>IF(AND(369&gt;=$B$4,369&lt;=$D$4),1,0)</f>
        <v/>
      </c>
      <c r="NI30" s="17">
        <f>IF(AND(370&gt;=$B$4,370&lt;=$D$4),1,0)</f>
        <v/>
      </c>
      <c r="NJ30" s="17">
        <f>IF(AND(371&gt;=$B$4,371&lt;=$D$4),1,0)</f>
        <v/>
      </c>
      <c r="NK30" s="17">
        <f>IF(AND(372&gt;=$B$4,372&lt;=$D$4),1,0)</f>
        <v/>
      </c>
    </row>
    <row r="31">
      <c r="A31" s="5" t="inlineStr">
        <is>
          <t>Flag: Due Diligence</t>
        </is>
      </c>
      <c r="C31" s="40" t="n"/>
      <c r="D31" s="17">
        <f>IF(AND(1&gt;=$B$5,1&lt;=$D$5),1,0)</f>
        <v/>
      </c>
      <c r="E31" s="17">
        <f>IF(AND(2&gt;=$B$5,2&lt;=$D$5),1,0)</f>
        <v/>
      </c>
      <c r="F31" s="17">
        <f>IF(AND(3&gt;=$B$5,3&lt;=$D$5),1,0)</f>
        <v/>
      </c>
      <c r="G31" s="17">
        <f>IF(AND(4&gt;=$B$5,4&lt;=$D$5),1,0)</f>
        <v/>
      </c>
      <c r="H31" s="17">
        <f>IF(AND(5&gt;=$B$5,5&lt;=$D$5),1,0)</f>
        <v/>
      </c>
      <c r="I31" s="17">
        <f>IF(AND(6&gt;=$B$5,6&lt;=$D$5),1,0)</f>
        <v/>
      </c>
      <c r="J31" s="17">
        <f>IF(AND(7&gt;=$B$5,7&lt;=$D$5),1,0)</f>
        <v/>
      </c>
      <c r="K31" s="17">
        <f>IF(AND(8&gt;=$B$5,8&lt;=$D$5),1,0)</f>
        <v/>
      </c>
      <c r="L31" s="17">
        <f>IF(AND(9&gt;=$B$5,9&lt;=$D$5),1,0)</f>
        <v/>
      </c>
      <c r="M31" s="17">
        <f>IF(AND(10&gt;=$B$5,10&lt;=$D$5),1,0)</f>
        <v/>
      </c>
      <c r="N31" s="17">
        <f>IF(AND(11&gt;=$B$5,11&lt;=$D$5),1,0)</f>
        <v/>
      </c>
      <c r="O31" s="17">
        <f>IF(AND(12&gt;=$B$5,12&lt;=$D$5),1,0)</f>
        <v/>
      </c>
      <c r="P31" s="17">
        <f>IF(AND(13&gt;=$B$5,13&lt;=$D$5),1,0)</f>
        <v/>
      </c>
      <c r="Q31" s="17">
        <f>IF(AND(14&gt;=$B$5,14&lt;=$D$5),1,0)</f>
        <v/>
      </c>
      <c r="R31" s="17">
        <f>IF(AND(15&gt;=$B$5,15&lt;=$D$5),1,0)</f>
        <v/>
      </c>
      <c r="S31" s="17">
        <f>IF(AND(16&gt;=$B$5,16&lt;=$D$5),1,0)</f>
        <v/>
      </c>
      <c r="T31" s="17">
        <f>IF(AND(17&gt;=$B$5,17&lt;=$D$5),1,0)</f>
        <v/>
      </c>
      <c r="U31" s="17">
        <f>IF(AND(18&gt;=$B$5,18&lt;=$D$5),1,0)</f>
        <v/>
      </c>
      <c r="V31" s="17">
        <f>IF(AND(19&gt;=$B$5,19&lt;=$D$5),1,0)</f>
        <v/>
      </c>
      <c r="W31" s="17">
        <f>IF(AND(20&gt;=$B$5,20&lt;=$D$5),1,0)</f>
        <v/>
      </c>
      <c r="X31" s="17">
        <f>IF(AND(21&gt;=$B$5,21&lt;=$D$5),1,0)</f>
        <v/>
      </c>
      <c r="Y31" s="17">
        <f>IF(AND(22&gt;=$B$5,22&lt;=$D$5),1,0)</f>
        <v/>
      </c>
      <c r="Z31" s="17">
        <f>IF(AND(23&gt;=$B$5,23&lt;=$D$5),1,0)</f>
        <v/>
      </c>
      <c r="AA31" s="17">
        <f>IF(AND(24&gt;=$B$5,24&lt;=$D$5),1,0)</f>
        <v/>
      </c>
      <c r="AB31" s="17">
        <f>IF(AND(25&gt;=$B$5,25&lt;=$D$5),1,0)</f>
        <v/>
      </c>
      <c r="AC31" s="17">
        <f>IF(AND(26&gt;=$B$5,26&lt;=$D$5),1,0)</f>
        <v/>
      </c>
      <c r="AD31" s="17">
        <f>IF(AND(27&gt;=$B$5,27&lt;=$D$5),1,0)</f>
        <v/>
      </c>
      <c r="AE31" s="17">
        <f>IF(AND(28&gt;=$B$5,28&lt;=$D$5),1,0)</f>
        <v/>
      </c>
      <c r="AF31" s="17">
        <f>IF(AND(29&gt;=$B$5,29&lt;=$D$5),1,0)</f>
        <v/>
      </c>
      <c r="AG31" s="17">
        <f>IF(AND(30&gt;=$B$5,30&lt;=$D$5),1,0)</f>
        <v/>
      </c>
      <c r="AH31" s="17">
        <f>IF(AND(31&gt;=$B$5,31&lt;=$D$5),1,0)</f>
        <v/>
      </c>
      <c r="AI31" s="17">
        <f>IF(AND(32&gt;=$B$5,32&lt;=$D$5),1,0)</f>
        <v/>
      </c>
      <c r="AJ31" s="17">
        <f>IF(AND(33&gt;=$B$5,33&lt;=$D$5),1,0)</f>
        <v/>
      </c>
      <c r="AK31" s="17">
        <f>IF(AND(34&gt;=$B$5,34&lt;=$D$5),1,0)</f>
        <v/>
      </c>
      <c r="AL31" s="17">
        <f>IF(AND(35&gt;=$B$5,35&lt;=$D$5),1,0)</f>
        <v/>
      </c>
      <c r="AM31" s="17">
        <f>IF(AND(36&gt;=$B$5,36&lt;=$D$5),1,0)</f>
        <v/>
      </c>
      <c r="AN31" s="17">
        <f>IF(AND(37&gt;=$B$5,37&lt;=$D$5),1,0)</f>
        <v/>
      </c>
      <c r="AO31" s="17">
        <f>IF(AND(38&gt;=$B$5,38&lt;=$D$5),1,0)</f>
        <v/>
      </c>
      <c r="AP31" s="17">
        <f>IF(AND(39&gt;=$B$5,39&lt;=$D$5),1,0)</f>
        <v/>
      </c>
      <c r="AQ31" s="17">
        <f>IF(AND(40&gt;=$B$5,40&lt;=$D$5),1,0)</f>
        <v/>
      </c>
      <c r="AR31" s="17">
        <f>IF(AND(41&gt;=$B$5,41&lt;=$D$5),1,0)</f>
        <v/>
      </c>
      <c r="AS31" s="17">
        <f>IF(AND(42&gt;=$B$5,42&lt;=$D$5),1,0)</f>
        <v/>
      </c>
      <c r="AT31" s="17">
        <f>IF(AND(43&gt;=$B$5,43&lt;=$D$5),1,0)</f>
        <v/>
      </c>
      <c r="AU31" s="17">
        <f>IF(AND(44&gt;=$B$5,44&lt;=$D$5),1,0)</f>
        <v/>
      </c>
      <c r="AV31" s="17">
        <f>IF(AND(45&gt;=$B$5,45&lt;=$D$5),1,0)</f>
        <v/>
      </c>
      <c r="AW31" s="17">
        <f>IF(AND(46&gt;=$B$5,46&lt;=$D$5),1,0)</f>
        <v/>
      </c>
      <c r="AX31" s="17">
        <f>IF(AND(47&gt;=$B$5,47&lt;=$D$5),1,0)</f>
        <v/>
      </c>
      <c r="AY31" s="17">
        <f>IF(AND(48&gt;=$B$5,48&lt;=$D$5),1,0)</f>
        <v/>
      </c>
      <c r="AZ31" s="17">
        <f>IF(AND(49&gt;=$B$5,49&lt;=$D$5),1,0)</f>
        <v/>
      </c>
      <c r="BA31" s="17">
        <f>IF(AND(50&gt;=$B$5,50&lt;=$D$5),1,0)</f>
        <v/>
      </c>
      <c r="BB31" s="17">
        <f>IF(AND(51&gt;=$B$5,51&lt;=$D$5),1,0)</f>
        <v/>
      </c>
      <c r="BC31" s="17">
        <f>IF(AND(52&gt;=$B$5,52&lt;=$D$5),1,0)</f>
        <v/>
      </c>
      <c r="BD31" s="17">
        <f>IF(AND(53&gt;=$B$5,53&lt;=$D$5),1,0)</f>
        <v/>
      </c>
      <c r="BE31" s="17">
        <f>IF(AND(54&gt;=$B$5,54&lt;=$D$5),1,0)</f>
        <v/>
      </c>
      <c r="BF31" s="17">
        <f>IF(AND(55&gt;=$B$5,55&lt;=$D$5),1,0)</f>
        <v/>
      </c>
      <c r="BG31" s="17">
        <f>IF(AND(56&gt;=$B$5,56&lt;=$D$5),1,0)</f>
        <v/>
      </c>
      <c r="BH31" s="17">
        <f>IF(AND(57&gt;=$B$5,57&lt;=$D$5),1,0)</f>
        <v/>
      </c>
      <c r="BI31" s="17">
        <f>IF(AND(58&gt;=$B$5,58&lt;=$D$5),1,0)</f>
        <v/>
      </c>
      <c r="BJ31" s="17">
        <f>IF(AND(59&gt;=$B$5,59&lt;=$D$5),1,0)</f>
        <v/>
      </c>
      <c r="BK31" s="17">
        <f>IF(AND(60&gt;=$B$5,60&lt;=$D$5),1,0)</f>
        <v/>
      </c>
      <c r="BL31" s="17">
        <f>IF(AND(61&gt;=$B$5,61&lt;=$D$5),1,0)</f>
        <v/>
      </c>
      <c r="BM31" s="17">
        <f>IF(AND(62&gt;=$B$5,62&lt;=$D$5),1,0)</f>
        <v/>
      </c>
      <c r="BN31" s="17">
        <f>IF(AND(63&gt;=$B$5,63&lt;=$D$5),1,0)</f>
        <v/>
      </c>
      <c r="BO31" s="17">
        <f>IF(AND(64&gt;=$B$5,64&lt;=$D$5),1,0)</f>
        <v/>
      </c>
      <c r="BP31" s="17">
        <f>IF(AND(65&gt;=$B$5,65&lt;=$D$5),1,0)</f>
        <v/>
      </c>
      <c r="BQ31" s="17">
        <f>IF(AND(66&gt;=$B$5,66&lt;=$D$5),1,0)</f>
        <v/>
      </c>
      <c r="BR31" s="17">
        <f>IF(AND(67&gt;=$B$5,67&lt;=$D$5),1,0)</f>
        <v/>
      </c>
      <c r="BS31" s="17">
        <f>IF(AND(68&gt;=$B$5,68&lt;=$D$5),1,0)</f>
        <v/>
      </c>
      <c r="BT31" s="17">
        <f>IF(AND(69&gt;=$B$5,69&lt;=$D$5),1,0)</f>
        <v/>
      </c>
      <c r="BU31" s="17">
        <f>IF(AND(70&gt;=$B$5,70&lt;=$D$5),1,0)</f>
        <v/>
      </c>
      <c r="BV31" s="17">
        <f>IF(AND(71&gt;=$B$5,71&lt;=$D$5),1,0)</f>
        <v/>
      </c>
      <c r="BW31" s="17">
        <f>IF(AND(72&gt;=$B$5,72&lt;=$D$5),1,0)</f>
        <v/>
      </c>
      <c r="BX31" s="17">
        <f>IF(AND(73&gt;=$B$5,73&lt;=$D$5),1,0)</f>
        <v/>
      </c>
      <c r="BY31" s="17">
        <f>IF(AND(74&gt;=$B$5,74&lt;=$D$5),1,0)</f>
        <v/>
      </c>
      <c r="BZ31" s="17">
        <f>IF(AND(75&gt;=$B$5,75&lt;=$D$5),1,0)</f>
        <v/>
      </c>
      <c r="CA31" s="17">
        <f>IF(AND(76&gt;=$B$5,76&lt;=$D$5),1,0)</f>
        <v/>
      </c>
      <c r="CB31" s="17">
        <f>IF(AND(77&gt;=$B$5,77&lt;=$D$5),1,0)</f>
        <v/>
      </c>
      <c r="CC31" s="17">
        <f>IF(AND(78&gt;=$B$5,78&lt;=$D$5),1,0)</f>
        <v/>
      </c>
      <c r="CD31" s="17">
        <f>IF(AND(79&gt;=$B$5,79&lt;=$D$5),1,0)</f>
        <v/>
      </c>
      <c r="CE31" s="17">
        <f>IF(AND(80&gt;=$B$5,80&lt;=$D$5),1,0)</f>
        <v/>
      </c>
      <c r="CF31" s="17">
        <f>IF(AND(81&gt;=$B$5,81&lt;=$D$5),1,0)</f>
        <v/>
      </c>
      <c r="CG31" s="17">
        <f>IF(AND(82&gt;=$B$5,82&lt;=$D$5),1,0)</f>
        <v/>
      </c>
      <c r="CH31" s="17">
        <f>IF(AND(83&gt;=$B$5,83&lt;=$D$5),1,0)</f>
        <v/>
      </c>
      <c r="CI31" s="17">
        <f>IF(AND(84&gt;=$B$5,84&lt;=$D$5),1,0)</f>
        <v/>
      </c>
      <c r="CJ31" s="17">
        <f>IF(AND(85&gt;=$B$5,85&lt;=$D$5),1,0)</f>
        <v/>
      </c>
      <c r="CK31" s="17">
        <f>IF(AND(86&gt;=$B$5,86&lt;=$D$5),1,0)</f>
        <v/>
      </c>
      <c r="CL31" s="17">
        <f>IF(AND(87&gt;=$B$5,87&lt;=$D$5),1,0)</f>
        <v/>
      </c>
      <c r="CM31" s="17">
        <f>IF(AND(88&gt;=$B$5,88&lt;=$D$5),1,0)</f>
        <v/>
      </c>
      <c r="CN31" s="17">
        <f>IF(AND(89&gt;=$B$5,89&lt;=$D$5),1,0)</f>
        <v/>
      </c>
      <c r="CO31" s="17">
        <f>IF(AND(90&gt;=$B$5,90&lt;=$D$5),1,0)</f>
        <v/>
      </c>
      <c r="CP31" s="17">
        <f>IF(AND(91&gt;=$B$5,91&lt;=$D$5),1,0)</f>
        <v/>
      </c>
      <c r="CQ31" s="17">
        <f>IF(AND(92&gt;=$B$5,92&lt;=$D$5),1,0)</f>
        <v/>
      </c>
      <c r="CR31" s="17">
        <f>IF(AND(93&gt;=$B$5,93&lt;=$D$5),1,0)</f>
        <v/>
      </c>
      <c r="CS31" s="17">
        <f>IF(AND(94&gt;=$B$5,94&lt;=$D$5),1,0)</f>
        <v/>
      </c>
      <c r="CT31" s="17">
        <f>IF(AND(95&gt;=$B$5,95&lt;=$D$5),1,0)</f>
        <v/>
      </c>
      <c r="CU31" s="17">
        <f>IF(AND(96&gt;=$B$5,96&lt;=$D$5),1,0)</f>
        <v/>
      </c>
      <c r="CV31" s="17">
        <f>IF(AND(97&gt;=$B$5,97&lt;=$D$5),1,0)</f>
        <v/>
      </c>
      <c r="CW31" s="17">
        <f>IF(AND(98&gt;=$B$5,98&lt;=$D$5),1,0)</f>
        <v/>
      </c>
      <c r="CX31" s="17">
        <f>IF(AND(99&gt;=$B$5,99&lt;=$D$5),1,0)</f>
        <v/>
      </c>
      <c r="CY31" s="17">
        <f>IF(AND(100&gt;=$B$5,100&lt;=$D$5),1,0)</f>
        <v/>
      </c>
      <c r="CZ31" s="17">
        <f>IF(AND(101&gt;=$B$5,101&lt;=$D$5),1,0)</f>
        <v/>
      </c>
      <c r="DA31" s="17">
        <f>IF(AND(102&gt;=$B$5,102&lt;=$D$5),1,0)</f>
        <v/>
      </c>
      <c r="DB31" s="17">
        <f>IF(AND(103&gt;=$B$5,103&lt;=$D$5),1,0)</f>
        <v/>
      </c>
      <c r="DC31" s="17">
        <f>IF(AND(104&gt;=$B$5,104&lt;=$D$5),1,0)</f>
        <v/>
      </c>
      <c r="DD31" s="17">
        <f>IF(AND(105&gt;=$B$5,105&lt;=$D$5),1,0)</f>
        <v/>
      </c>
      <c r="DE31" s="17">
        <f>IF(AND(106&gt;=$B$5,106&lt;=$D$5),1,0)</f>
        <v/>
      </c>
      <c r="DF31" s="17">
        <f>IF(AND(107&gt;=$B$5,107&lt;=$D$5),1,0)</f>
        <v/>
      </c>
      <c r="DG31" s="17">
        <f>IF(AND(108&gt;=$B$5,108&lt;=$D$5),1,0)</f>
        <v/>
      </c>
      <c r="DH31" s="17">
        <f>IF(AND(109&gt;=$B$5,109&lt;=$D$5),1,0)</f>
        <v/>
      </c>
      <c r="DI31" s="17">
        <f>IF(AND(110&gt;=$B$5,110&lt;=$D$5),1,0)</f>
        <v/>
      </c>
      <c r="DJ31" s="17">
        <f>IF(AND(111&gt;=$B$5,111&lt;=$D$5),1,0)</f>
        <v/>
      </c>
      <c r="DK31" s="17">
        <f>IF(AND(112&gt;=$B$5,112&lt;=$D$5),1,0)</f>
        <v/>
      </c>
      <c r="DL31" s="17">
        <f>IF(AND(113&gt;=$B$5,113&lt;=$D$5),1,0)</f>
        <v/>
      </c>
      <c r="DM31" s="17">
        <f>IF(AND(114&gt;=$B$5,114&lt;=$D$5),1,0)</f>
        <v/>
      </c>
      <c r="DN31" s="17">
        <f>IF(AND(115&gt;=$B$5,115&lt;=$D$5),1,0)</f>
        <v/>
      </c>
      <c r="DO31" s="17">
        <f>IF(AND(116&gt;=$B$5,116&lt;=$D$5),1,0)</f>
        <v/>
      </c>
      <c r="DP31" s="17">
        <f>IF(AND(117&gt;=$B$5,117&lt;=$D$5),1,0)</f>
        <v/>
      </c>
      <c r="DQ31" s="17">
        <f>IF(AND(118&gt;=$B$5,118&lt;=$D$5),1,0)</f>
        <v/>
      </c>
      <c r="DR31" s="17">
        <f>IF(AND(119&gt;=$B$5,119&lt;=$D$5),1,0)</f>
        <v/>
      </c>
      <c r="DS31" s="17">
        <f>IF(AND(120&gt;=$B$5,120&lt;=$D$5),1,0)</f>
        <v/>
      </c>
      <c r="DT31" s="17">
        <f>IF(AND(121&gt;=$B$5,121&lt;=$D$5),1,0)</f>
        <v/>
      </c>
      <c r="DU31" s="17">
        <f>IF(AND(122&gt;=$B$5,122&lt;=$D$5),1,0)</f>
        <v/>
      </c>
      <c r="DV31" s="17">
        <f>IF(AND(123&gt;=$B$5,123&lt;=$D$5),1,0)</f>
        <v/>
      </c>
      <c r="DW31" s="17">
        <f>IF(AND(124&gt;=$B$5,124&lt;=$D$5),1,0)</f>
        <v/>
      </c>
      <c r="DX31" s="17">
        <f>IF(AND(125&gt;=$B$5,125&lt;=$D$5),1,0)</f>
        <v/>
      </c>
      <c r="DY31" s="17">
        <f>IF(AND(126&gt;=$B$5,126&lt;=$D$5),1,0)</f>
        <v/>
      </c>
      <c r="DZ31" s="17">
        <f>IF(AND(127&gt;=$B$5,127&lt;=$D$5),1,0)</f>
        <v/>
      </c>
      <c r="EA31" s="17">
        <f>IF(AND(128&gt;=$B$5,128&lt;=$D$5),1,0)</f>
        <v/>
      </c>
      <c r="EB31" s="17">
        <f>IF(AND(129&gt;=$B$5,129&lt;=$D$5),1,0)</f>
        <v/>
      </c>
      <c r="EC31" s="17">
        <f>IF(AND(130&gt;=$B$5,130&lt;=$D$5),1,0)</f>
        <v/>
      </c>
      <c r="ED31" s="17">
        <f>IF(AND(131&gt;=$B$5,131&lt;=$D$5),1,0)</f>
        <v/>
      </c>
      <c r="EE31" s="17">
        <f>IF(AND(132&gt;=$B$5,132&lt;=$D$5),1,0)</f>
        <v/>
      </c>
      <c r="EF31" s="17">
        <f>IF(AND(133&gt;=$B$5,133&lt;=$D$5),1,0)</f>
        <v/>
      </c>
      <c r="EG31" s="17">
        <f>IF(AND(134&gt;=$B$5,134&lt;=$D$5),1,0)</f>
        <v/>
      </c>
      <c r="EH31" s="17">
        <f>IF(AND(135&gt;=$B$5,135&lt;=$D$5),1,0)</f>
        <v/>
      </c>
      <c r="EI31" s="17">
        <f>IF(AND(136&gt;=$B$5,136&lt;=$D$5),1,0)</f>
        <v/>
      </c>
      <c r="EJ31" s="17">
        <f>IF(AND(137&gt;=$B$5,137&lt;=$D$5),1,0)</f>
        <v/>
      </c>
      <c r="EK31" s="17">
        <f>IF(AND(138&gt;=$B$5,138&lt;=$D$5),1,0)</f>
        <v/>
      </c>
      <c r="EL31" s="17">
        <f>IF(AND(139&gt;=$B$5,139&lt;=$D$5),1,0)</f>
        <v/>
      </c>
      <c r="EM31" s="17">
        <f>IF(AND(140&gt;=$B$5,140&lt;=$D$5),1,0)</f>
        <v/>
      </c>
      <c r="EN31" s="17">
        <f>IF(AND(141&gt;=$B$5,141&lt;=$D$5),1,0)</f>
        <v/>
      </c>
      <c r="EO31" s="17">
        <f>IF(AND(142&gt;=$B$5,142&lt;=$D$5),1,0)</f>
        <v/>
      </c>
      <c r="EP31" s="17">
        <f>IF(AND(143&gt;=$B$5,143&lt;=$D$5),1,0)</f>
        <v/>
      </c>
      <c r="EQ31" s="17">
        <f>IF(AND(144&gt;=$B$5,144&lt;=$D$5),1,0)</f>
        <v/>
      </c>
      <c r="ER31" s="17">
        <f>IF(AND(145&gt;=$B$5,145&lt;=$D$5),1,0)</f>
        <v/>
      </c>
      <c r="ES31" s="17">
        <f>IF(AND(146&gt;=$B$5,146&lt;=$D$5),1,0)</f>
        <v/>
      </c>
      <c r="ET31" s="17">
        <f>IF(AND(147&gt;=$B$5,147&lt;=$D$5),1,0)</f>
        <v/>
      </c>
      <c r="EU31" s="17">
        <f>IF(AND(148&gt;=$B$5,148&lt;=$D$5),1,0)</f>
        <v/>
      </c>
      <c r="EV31" s="17">
        <f>IF(AND(149&gt;=$B$5,149&lt;=$D$5),1,0)</f>
        <v/>
      </c>
      <c r="EW31" s="17">
        <f>IF(AND(150&gt;=$B$5,150&lt;=$D$5),1,0)</f>
        <v/>
      </c>
      <c r="EX31" s="17">
        <f>IF(AND(151&gt;=$B$5,151&lt;=$D$5),1,0)</f>
        <v/>
      </c>
      <c r="EY31" s="17">
        <f>IF(AND(152&gt;=$B$5,152&lt;=$D$5),1,0)</f>
        <v/>
      </c>
      <c r="EZ31" s="17">
        <f>IF(AND(153&gt;=$B$5,153&lt;=$D$5),1,0)</f>
        <v/>
      </c>
      <c r="FA31" s="17">
        <f>IF(AND(154&gt;=$B$5,154&lt;=$D$5),1,0)</f>
        <v/>
      </c>
      <c r="FB31" s="17">
        <f>IF(AND(155&gt;=$B$5,155&lt;=$D$5),1,0)</f>
        <v/>
      </c>
      <c r="FC31" s="17">
        <f>IF(AND(156&gt;=$B$5,156&lt;=$D$5),1,0)</f>
        <v/>
      </c>
      <c r="FD31" s="17">
        <f>IF(AND(157&gt;=$B$5,157&lt;=$D$5),1,0)</f>
        <v/>
      </c>
      <c r="FE31" s="17">
        <f>IF(AND(158&gt;=$B$5,158&lt;=$D$5),1,0)</f>
        <v/>
      </c>
      <c r="FF31" s="17">
        <f>IF(AND(159&gt;=$B$5,159&lt;=$D$5),1,0)</f>
        <v/>
      </c>
      <c r="FG31" s="17">
        <f>IF(AND(160&gt;=$B$5,160&lt;=$D$5),1,0)</f>
        <v/>
      </c>
      <c r="FH31" s="17">
        <f>IF(AND(161&gt;=$B$5,161&lt;=$D$5),1,0)</f>
        <v/>
      </c>
      <c r="FI31" s="17">
        <f>IF(AND(162&gt;=$B$5,162&lt;=$D$5),1,0)</f>
        <v/>
      </c>
      <c r="FJ31" s="17">
        <f>IF(AND(163&gt;=$B$5,163&lt;=$D$5),1,0)</f>
        <v/>
      </c>
      <c r="FK31" s="17">
        <f>IF(AND(164&gt;=$B$5,164&lt;=$D$5),1,0)</f>
        <v/>
      </c>
      <c r="FL31" s="17">
        <f>IF(AND(165&gt;=$B$5,165&lt;=$D$5),1,0)</f>
        <v/>
      </c>
      <c r="FM31" s="17">
        <f>IF(AND(166&gt;=$B$5,166&lt;=$D$5),1,0)</f>
        <v/>
      </c>
      <c r="FN31" s="17">
        <f>IF(AND(167&gt;=$B$5,167&lt;=$D$5),1,0)</f>
        <v/>
      </c>
      <c r="FO31" s="17">
        <f>IF(AND(168&gt;=$B$5,168&lt;=$D$5),1,0)</f>
        <v/>
      </c>
      <c r="FP31" s="17">
        <f>IF(AND(169&gt;=$B$5,169&lt;=$D$5),1,0)</f>
        <v/>
      </c>
      <c r="FQ31" s="17">
        <f>IF(AND(170&gt;=$B$5,170&lt;=$D$5),1,0)</f>
        <v/>
      </c>
      <c r="FR31" s="17">
        <f>IF(AND(171&gt;=$B$5,171&lt;=$D$5),1,0)</f>
        <v/>
      </c>
      <c r="FS31" s="17">
        <f>IF(AND(172&gt;=$B$5,172&lt;=$D$5),1,0)</f>
        <v/>
      </c>
      <c r="FT31" s="17">
        <f>IF(AND(173&gt;=$B$5,173&lt;=$D$5),1,0)</f>
        <v/>
      </c>
      <c r="FU31" s="17">
        <f>IF(AND(174&gt;=$B$5,174&lt;=$D$5),1,0)</f>
        <v/>
      </c>
      <c r="FV31" s="17">
        <f>IF(AND(175&gt;=$B$5,175&lt;=$D$5),1,0)</f>
        <v/>
      </c>
      <c r="FW31" s="17">
        <f>IF(AND(176&gt;=$B$5,176&lt;=$D$5),1,0)</f>
        <v/>
      </c>
      <c r="FX31" s="17">
        <f>IF(AND(177&gt;=$B$5,177&lt;=$D$5),1,0)</f>
        <v/>
      </c>
      <c r="FY31" s="17">
        <f>IF(AND(178&gt;=$B$5,178&lt;=$D$5),1,0)</f>
        <v/>
      </c>
      <c r="FZ31" s="17">
        <f>IF(AND(179&gt;=$B$5,179&lt;=$D$5),1,0)</f>
        <v/>
      </c>
      <c r="GA31" s="17">
        <f>IF(AND(180&gt;=$B$5,180&lt;=$D$5),1,0)</f>
        <v/>
      </c>
      <c r="GB31" s="17">
        <f>IF(AND(181&gt;=$B$5,181&lt;=$D$5),1,0)</f>
        <v/>
      </c>
      <c r="GC31" s="17">
        <f>IF(AND(182&gt;=$B$5,182&lt;=$D$5),1,0)</f>
        <v/>
      </c>
      <c r="GD31" s="17">
        <f>IF(AND(183&gt;=$B$5,183&lt;=$D$5),1,0)</f>
        <v/>
      </c>
      <c r="GE31" s="17">
        <f>IF(AND(184&gt;=$B$5,184&lt;=$D$5),1,0)</f>
        <v/>
      </c>
      <c r="GF31" s="17">
        <f>IF(AND(185&gt;=$B$5,185&lt;=$D$5),1,0)</f>
        <v/>
      </c>
      <c r="GG31" s="17">
        <f>IF(AND(186&gt;=$B$5,186&lt;=$D$5),1,0)</f>
        <v/>
      </c>
      <c r="GH31" s="17">
        <f>IF(AND(187&gt;=$B$5,187&lt;=$D$5),1,0)</f>
        <v/>
      </c>
      <c r="GI31" s="17">
        <f>IF(AND(188&gt;=$B$5,188&lt;=$D$5),1,0)</f>
        <v/>
      </c>
      <c r="GJ31" s="17">
        <f>IF(AND(189&gt;=$B$5,189&lt;=$D$5),1,0)</f>
        <v/>
      </c>
      <c r="GK31" s="17">
        <f>IF(AND(190&gt;=$B$5,190&lt;=$D$5),1,0)</f>
        <v/>
      </c>
      <c r="GL31" s="17">
        <f>IF(AND(191&gt;=$B$5,191&lt;=$D$5),1,0)</f>
        <v/>
      </c>
      <c r="GM31" s="17">
        <f>IF(AND(192&gt;=$B$5,192&lt;=$D$5),1,0)</f>
        <v/>
      </c>
      <c r="GN31" s="17">
        <f>IF(AND(193&gt;=$B$5,193&lt;=$D$5),1,0)</f>
        <v/>
      </c>
      <c r="GO31" s="17">
        <f>IF(AND(194&gt;=$B$5,194&lt;=$D$5),1,0)</f>
        <v/>
      </c>
      <c r="GP31" s="17">
        <f>IF(AND(195&gt;=$B$5,195&lt;=$D$5),1,0)</f>
        <v/>
      </c>
      <c r="GQ31" s="17">
        <f>IF(AND(196&gt;=$B$5,196&lt;=$D$5),1,0)</f>
        <v/>
      </c>
      <c r="GR31" s="17">
        <f>IF(AND(197&gt;=$B$5,197&lt;=$D$5),1,0)</f>
        <v/>
      </c>
      <c r="GS31" s="17">
        <f>IF(AND(198&gt;=$B$5,198&lt;=$D$5),1,0)</f>
        <v/>
      </c>
      <c r="GT31" s="17">
        <f>IF(AND(199&gt;=$B$5,199&lt;=$D$5),1,0)</f>
        <v/>
      </c>
      <c r="GU31" s="17">
        <f>IF(AND(200&gt;=$B$5,200&lt;=$D$5),1,0)</f>
        <v/>
      </c>
      <c r="GV31" s="17">
        <f>IF(AND(201&gt;=$B$5,201&lt;=$D$5),1,0)</f>
        <v/>
      </c>
      <c r="GW31" s="17">
        <f>IF(AND(202&gt;=$B$5,202&lt;=$D$5),1,0)</f>
        <v/>
      </c>
      <c r="GX31" s="17">
        <f>IF(AND(203&gt;=$B$5,203&lt;=$D$5),1,0)</f>
        <v/>
      </c>
      <c r="GY31" s="17">
        <f>IF(AND(204&gt;=$B$5,204&lt;=$D$5),1,0)</f>
        <v/>
      </c>
      <c r="GZ31" s="17">
        <f>IF(AND(205&gt;=$B$5,205&lt;=$D$5),1,0)</f>
        <v/>
      </c>
      <c r="HA31" s="17">
        <f>IF(AND(206&gt;=$B$5,206&lt;=$D$5),1,0)</f>
        <v/>
      </c>
      <c r="HB31" s="17">
        <f>IF(AND(207&gt;=$B$5,207&lt;=$D$5),1,0)</f>
        <v/>
      </c>
      <c r="HC31" s="17">
        <f>IF(AND(208&gt;=$B$5,208&lt;=$D$5),1,0)</f>
        <v/>
      </c>
      <c r="HD31" s="17">
        <f>IF(AND(209&gt;=$B$5,209&lt;=$D$5),1,0)</f>
        <v/>
      </c>
      <c r="HE31" s="17">
        <f>IF(AND(210&gt;=$B$5,210&lt;=$D$5),1,0)</f>
        <v/>
      </c>
      <c r="HF31" s="17">
        <f>IF(AND(211&gt;=$B$5,211&lt;=$D$5),1,0)</f>
        <v/>
      </c>
      <c r="HG31" s="17">
        <f>IF(AND(212&gt;=$B$5,212&lt;=$D$5),1,0)</f>
        <v/>
      </c>
      <c r="HH31" s="17">
        <f>IF(AND(213&gt;=$B$5,213&lt;=$D$5),1,0)</f>
        <v/>
      </c>
      <c r="HI31" s="17">
        <f>IF(AND(214&gt;=$B$5,214&lt;=$D$5),1,0)</f>
        <v/>
      </c>
      <c r="HJ31" s="17">
        <f>IF(AND(215&gt;=$B$5,215&lt;=$D$5),1,0)</f>
        <v/>
      </c>
      <c r="HK31" s="17">
        <f>IF(AND(216&gt;=$B$5,216&lt;=$D$5),1,0)</f>
        <v/>
      </c>
      <c r="HL31" s="17">
        <f>IF(AND(217&gt;=$B$5,217&lt;=$D$5),1,0)</f>
        <v/>
      </c>
      <c r="HM31" s="17">
        <f>IF(AND(218&gt;=$B$5,218&lt;=$D$5),1,0)</f>
        <v/>
      </c>
      <c r="HN31" s="17">
        <f>IF(AND(219&gt;=$B$5,219&lt;=$D$5),1,0)</f>
        <v/>
      </c>
      <c r="HO31" s="17">
        <f>IF(AND(220&gt;=$B$5,220&lt;=$D$5),1,0)</f>
        <v/>
      </c>
      <c r="HP31" s="17">
        <f>IF(AND(221&gt;=$B$5,221&lt;=$D$5),1,0)</f>
        <v/>
      </c>
      <c r="HQ31" s="17">
        <f>IF(AND(222&gt;=$B$5,222&lt;=$D$5),1,0)</f>
        <v/>
      </c>
      <c r="HR31" s="17">
        <f>IF(AND(223&gt;=$B$5,223&lt;=$D$5),1,0)</f>
        <v/>
      </c>
      <c r="HS31" s="17">
        <f>IF(AND(224&gt;=$B$5,224&lt;=$D$5),1,0)</f>
        <v/>
      </c>
      <c r="HT31" s="17">
        <f>IF(AND(225&gt;=$B$5,225&lt;=$D$5),1,0)</f>
        <v/>
      </c>
      <c r="HU31" s="17">
        <f>IF(AND(226&gt;=$B$5,226&lt;=$D$5),1,0)</f>
        <v/>
      </c>
      <c r="HV31" s="17">
        <f>IF(AND(227&gt;=$B$5,227&lt;=$D$5),1,0)</f>
        <v/>
      </c>
      <c r="HW31" s="17">
        <f>IF(AND(228&gt;=$B$5,228&lt;=$D$5),1,0)</f>
        <v/>
      </c>
      <c r="HX31" s="17">
        <f>IF(AND(229&gt;=$B$5,229&lt;=$D$5),1,0)</f>
        <v/>
      </c>
      <c r="HY31" s="17">
        <f>IF(AND(230&gt;=$B$5,230&lt;=$D$5),1,0)</f>
        <v/>
      </c>
      <c r="HZ31" s="17">
        <f>IF(AND(231&gt;=$B$5,231&lt;=$D$5),1,0)</f>
        <v/>
      </c>
      <c r="IA31" s="17">
        <f>IF(AND(232&gt;=$B$5,232&lt;=$D$5),1,0)</f>
        <v/>
      </c>
      <c r="IB31" s="17">
        <f>IF(AND(233&gt;=$B$5,233&lt;=$D$5),1,0)</f>
        <v/>
      </c>
      <c r="IC31" s="17">
        <f>IF(AND(234&gt;=$B$5,234&lt;=$D$5),1,0)</f>
        <v/>
      </c>
      <c r="ID31" s="17">
        <f>IF(AND(235&gt;=$B$5,235&lt;=$D$5),1,0)</f>
        <v/>
      </c>
      <c r="IE31" s="17">
        <f>IF(AND(236&gt;=$B$5,236&lt;=$D$5),1,0)</f>
        <v/>
      </c>
      <c r="IF31" s="17">
        <f>IF(AND(237&gt;=$B$5,237&lt;=$D$5),1,0)</f>
        <v/>
      </c>
      <c r="IG31" s="17">
        <f>IF(AND(238&gt;=$B$5,238&lt;=$D$5),1,0)</f>
        <v/>
      </c>
      <c r="IH31" s="17">
        <f>IF(AND(239&gt;=$B$5,239&lt;=$D$5),1,0)</f>
        <v/>
      </c>
      <c r="II31" s="17">
        <f>IF(AND(240&gt;=$B$5,240&lt;=$D$5),1,0)</f>
        <v/>
      </c>
      <c r="IJ31" s="17">
        <f>IF(AND(241&gt;=$B$5,241&lt;=$D$5),1,0)</f>
        <v/>
      </c>
      <c r="IK31" s="17">
        <f>IF(AND(242&gt;=$B$5,242&lt;=$D$5),1,0)</f>
        <v/>
      </c>
      <c r="IL31" s="17">
        <f>IF(AND(243&gt;=$B$5,243&lt;=$D$5),1,0)</f>
        <v/>
      </c>
      <c r="IM31" s="17">
        <f>IF(AND(244&gt;=$B$5,244&lt;=$D$5),1,0)</f>
        <v/>
      </c>
      <c r="IN31" s="17">
        <f>IF(AND(245&gt;=$B$5,245&lt;=$D$5),1,0)</f>
        <v/>
      </c>
      <c r="IO31" s="17">
        <f>IF(AND(246&gt;=$B$5,246&lt;=$D$5),1,0)</f>
        <v/>
      </c>
      <c r="IP31" s="17">
        <f>IF(AND(247&gt;=$B$5,247&lt;=$D$5),1,0)</f>
        <v/>
      </c>
      <c r="IQ31" s="17">
        <f>IF(AND(248&gt;=$B$5,248&lt;=$D$5),1,0)</f>
        <v/>
      </c>
      <c r="IR31" s="17">
        <f>IF(AND(249&gt;=$B$5,249&lt;=$D$5),1,0)</f>
        <v/>
      </c>
      <c r="IS31" s="17">
        <f>IF(AND(250&gt;=$B$5,250&lt;=$D$5),1,0)</f>
        <v/>
      </c>
      <c r="IT31" s="17">
        <f>IF(AND(251&gt;=$B$5,251&lt;=$D$5),1,0)</f>
        <v/>
      </c>
      <c r="IU31" s="17">
        <f>IF(AND(252&gt;=$B$5,252&lt;=$D$5),1,0)</f>
        <v/>
      </c>
      <c r="IV31" s="17">
        <f>IF(AND(253&gt;=$B$5,253&lt;=$D$5),1,0)</f>
        <v/>
      </c>
      <c r="IW31" s="17">
        <f>IF(AND(254&gt;=$B$5,254&lt;=$D$5),1,0)</f>
        <v/>
      </c>
      <c r="IX31" s="17">
        <f>IF(AND(255&gt;=$B$5,255&lt;=$D$5),1,0)</f>
        <v/>
      </c>
      <c r="IY31" s="17">
        <f>IF(AND(256&gt;=$B$5,256&lt;=$D$5),1,0)</f>
        <v/>
      </c>
      <c r="IZ31" s="17">
        <f>IF(AND(257&gt;=$B$5,257&lt;=$D$5),1,0)</f>
        <v/>
      </c>
      <c r="JA31" s="17">
        <f>IF(AND(258&gt;=$B$5,258&lt;=$D$5),1,0)</f>
        <v/>
      </c>
      <c r="JB31" s="17">
        <f>IF(AND(259&gt;=$B$5,259&lt;=$D$5),1,0)</f>
        <v/>
      </c>
      <c r="JC31" s="17">
        <f>IF(AND(260&gt;=$B$5,260&lt;=$D$5),1,0)</f>
        <v/>
      </c>
      <c r="JD31" s="17">
        <f>IF(AND(261&gt;=$B$5,261&lt;=$D$5),1,0)</f>
        <v/>
      </c>
      <c r="JE31" s="17">
        <f>IF(AND(262&gt;=$B$5,262&lt;=$D$5),1,0)</f>
        <v/>
      </c>
      <c r="JF31" s="17">
        <f>IF(AND(263&gt;=$B$5,263&lt;=$D$5),1,0)</f>
        <v/>
      </c>
      <c r="JG31" s="17">
        <f>IF(AND(264&gt;=$B$5,264&lt;=$D$5),1,0)</f>
        <v/>
      </c>
      <c r="JH31" s="17">
        <f>IF(AND(265&gt;=$B$5,265&lt;=$D$5),1,0)</f>
        <v/>
      </c>
      <c r="JI31" s="17">
        <f>IF(AND(266&gt;=$B$5,266&lt;=$D$5),1,0)</f>
        <v/>
      </c>
      <c r="JJ31" s="17">
        <f>IF(AND(267&gt;=$B$5,267&lt;=$D$5),1,0)</f>
        <v/>
      </c>
      <c r="JK31" s="17">
        <f>IF(AND(268&gt;=$B$5,268&lt;=$D$5),1,0)</f>
        <v/>
      </c>
      <c r="JL31" s="17">
        <f>IF(AND(269&gt;=$B$5,269&lt;=$D$5),1,0)</f>
        <v/>
      </c>
      <c r="JM31" s="17">
        <f>IF(AND(270&gt;=$B$5,270&lt;=$D$5),1,0)</f>
        <v/>
      </c>
      <c r="JN31" s="17">
        <f>IF(AND(271&gt;=$B$5,271&lt;=$D$5),1,0)</f>
        <v/>
      </c>
      <c r="JO31" s="17">
        <f>IF(AND(272&gt;=$B$5,272&lt;=$D$5),1,0)</f>
        <v/>
      </c>
      <c r="JP31" s="17">
        <f>IF(AND(273&gt;=$B$5,273&lt;=$D$5),1,0)</f>
        <v/>
      </c>
      <c r="JQ31" s="17">
        <f>IF(AND(274&gt;=$B$5,274&lt;=$D$5),1,0)</f>
        <v/>
      </c>
      <c r="JR31" s="17">
        <f>IF(AND(275&gt;=$B$5,275&lt;=$D$5),1,0)</f>
        <v/>
      </c>
      <c r="JS31" s="17">
        <f>IF(AND(276&gt;=$B$5,276&lt;=$D$5),1,0)</f>
        <v/>
      </c>
      <c r="JT31" s="17">
        <f>IF(AND(277&gt;=$B$5,277&lt;=$D$5),1,0)</f>
        <v/>
      </c>
      <c r="JU31" s="17">
        <f>IF(AND(278&gt;=$B$5,278&lt;=$D$5),1,0)</f>
        <v/>
      </c>
      <c r="JV31" s="17">
        <f>IF(AND(279&gt;=$B$5,279&lt;=$D$5),1,0)</f>
        <v/>
      </c>
      <c r="JW31" s="17">
        <f>IF(AND(280&gt;=$B$5,280&lt;=$D$5),1,0)</f>
        <v/>
      </c>
      <c r="JX31" s="17">
        <f>IF(AND(281&gt;=$B$5,281&lt;=$D$5),1,0)</f>
        <v/>
      </c>
      <c r="JY31" s="17">
        <f>IF(AND(282&gt;=$B$5,282&lt;=$D$5),1,0)</f>
        <v/>
      </c>
      <c r="JZ31" s="17">
        <f>IF(AND(283&gt;=$B$5,283&lt;=$D$5),1,0)</f>
        <v/>
      </c>
      <c r="KA31" s="17">
        <f>IF(AND(284&gt;=$B$5,284&lt;=$D$5),1,0)</f>
        <v/>
      </c>
      <c r="KB31" s="17">
        <f>IF(AND(285&gt;=$B$5,285&lt;=$D$5),1,0)</f>
        <v/>
      </c>
      <c r="KC31" s="17">
        <f>IF(AND(286&gt;=$B$5,286&lt;=$D$5),1,0)</f>
        <v/>
      </c>
      <c r="KD31" s="17">
        <f>IF(AND(287&gt;=$B$5,287&lt;=$D$5),1,0)</f>
        <v/>
      </c>
      <c r="KE31" s="17">
        <f>IF(AND(288&gt;=$B$5,288&lt;=$D$5),1,0)</f>
        <v/>
      </c>
      <c r="KF31" s="17">
        <f>IF(AND(289&gt;=$B$5,289&lt;=$D$5),1,0)</f>
        <v/>
      </c>
      <c r="KG31" s="17">
        <f>IF(AND(290&gt;=$B$5,290&lt;=$D$5),1,0)</f>
        <v/>
      </c>
      <c r="KH31" s="17">
        <f>IF(AND(291&gt;=$B$5,291&lt;=$D$5),1,0)</f>
        <v/>
      </c>
      <c r="KI31" s="17">
        <f>IF(AND(292&gt;=$B$5,292&lt;=$D$5),1,0)</f>
        <v/>
      </c>
      <c r="KJ31" s="17">
        <f>IF(AND(293&gt;=$B$5,293&lt;=$D$5),1,0)</f>
        <v/>
      </c>
      <c r="KK31" s="17">
        <f>IF(AND(294&gt;=$B$5,294&lt;=$D$5),1,0)</f>
        <v/>
      </c>
      <c r="KL31" s="17">
        <f>IF(AND(295&gt;=$B$5,295&lt;=$D$5),1,0)</f>
        <v/>
      </c>
      <c r="KM31" s="17">
        <f>IF(AND(296&gt;=$B$5,296&lt;=$D$5),1,0)</f>
        <v/>
      </c>
      <c r="KN31" s="17">
        <f>IF(AND(297&gt;=$B$5,297&lt;=$D$5),1,0)</f>
        <v/>
      </c>
      <c r="KO31" s="17">
        <f>IF(AND(298&gt;=$B$5,298&lt;=$D$5),1,0)</f>
        <v/>
      </c>
      <c r="KP31" s="17">
        <f>IF(AND(299&gt;=$B$5,299&lt;=$D$5),1,0)</f>
        <v/>
      </c>
      <c r="KQ31" s="17">
        <f>IF(AND(300&gt;=$B$5,300&lt;=$D$5),1,0)</f>
        <v/>
      </c>
      <c r="KR31" s="17">
        <f>IF(AND(301&gt;=$B$5,301&lt;=$D$5),1,0)</f>
        <v/>
      </c>
      <c r="KS31" s="17">
        <f>IF(AND(302&gt;=$B$5,302&lt;=$D$5),1,0)</f>
        <v/>
      </c>
      <c r="KT31" s="17">
        <f>IF(AND(303&gt;=$B$5,303&lt;=$D$5),1,0)</f>
        <v/>
      </c>
      <c r="KU31" s="17">
        <f>IF(AND(304&gt;=$B$5,304&lt;=$D$5),1,0)</f>
        <v/>
      </c>
      <c r="KV31" s="17">
        <f>IF(AND(305&gt;=$B$5,305&lt;=$D$5),1,0)</f>
        <v/>
      </c>
      <c r="KW31" s="17">
        <f>IF(AND(306&gt;=$B$5,306&lt;=$D$5),1,0)</f>
        <v/>
      </c>
      <c r="KX31" s="17">
        <f>IF(AND(307&gt;=$B$5,307&lt;=$D$5),1,0)</f>
        <v/>
      </c>
      <c r="KY31" s="17">
        <f>IF(AND(308&gt;=$B$5,308&lt;=$D$5),1,0)</f>
        <v/>
      </c>
      <c r="KZ31" s="17">
        <f>IF(AND(309&gt;=$B$5,309&lt;=$D$5),1,0)</f>
        <v/>
      </c>
      <c r="LA31" s="17">
        <f>IF(AND(310&gt;=$B$5,310&lt;=$D$5),1,0)</f>
        <v/>
      </c>
      <c r="LB31" s="17">
        <f>IF(AND(311&gt;=$B$5,311&lt;=$D$5),1,0)</f>
        <v/>
      </c>
      <c r="LC31" s="17">
        <f>IF(AND(312&gt;=$B$5,312&lt;=$D$5),1,0)</f>
        <v/>
      </c>
      <c r="LD31" s="17">
        <f>IF(AND(313&gt;=$B$5,313&lt;=$D$5),1,0)</f>
        <v/>
      </c>
      <c r="LE31" s="17">
        <f>IF(AND(314&gt;=$B$5,314&lt;=$D$5),1,0)</f>
        <v/>
      </c>
      <c r="LF31" s="17">
        <f>IF(AND(315&gt;=$B$5,315&lt;=$D$5),1,0)</f>
        <v/>
      </c>
      <c r="LG31" s="17">
        <f>IF(AND(316&gt;=$B$5,316&lt;=$D$5),1,0)</f>
        <v/>
      </c>
      <c r="LH31" s="17">
        <f>IF(AND(317&gt;=$B$5,317&lt;=$D$5),1,0)</f>
        <v/>
      </c>
      <c r="LI31" s="17">
        <f>IF(AND(318&gt;=$B$5,318&lt;=$D$5),1,0)</f>
        <v/>
      </c>
      <c r="LJ31" s="17">
        <f>IF(AND(319&gt;=$B$5,319&lt;=$D$5),1,0)</f>
        <v/>
      </c>
      <c r="LK31" s="17">
        <f>IF(AND(320&gt;=$B$5,320&lt;=$D$5),1,0)</f>
        <v/>
      </c>
      <c r="LL31" s="17">
        <f>IF(AND(321&gt;=$B$5,321&lt;=$D$5),1,0)</f>
        <v/>
      </c>
      <c r="LM31" s="17">
        <f>IF(AND(322&gt;=$B$5,322&lt;=$D$5),1,0)</f>
        <v/>
      </c>
      <c r="LN31" s="17">
        <f>IF(AND(323&gt;=$B$5,323&lt;=$D$5),1,0)</f>
        <v/>
      </c>
      <c r="LO31" s="17">
        <f>IF(AND(324&gt;=$B$5,324&lt;=$D$5),1,0)</f>
        <v/>
      </c>
      <c r="LP31" s="17">
        <f>IF(AND(325&gt;=$B$5,325&lt;=$D$5),1,0)</f>
        <v/>
      </c>
      <c r="LQ31" s="17">
        <f>IF(AND(326&gt;=$B$5,326&lt;=$D$5),1,0)</f>
        <v/>
      </c>
      <c r="LR31" s="17">
        <f>IF(AND(327&gt;=$B$5,327&lt;=$D$5),1,0)</f>
        <v/>
      </c>
      <c r="LS31" s="17">
        <f>IF(AND(328&gt;=$B$5,328&lt;=$D$5),1,0)</f>
        <v/>
      </c>
      <c r="LT31" s="17">
        <f>IF(AND(329&gt;=$B$5,329&lt;=$D$5),1,0)</f>
        <v/>
      </c>
      <c r="LU31" s="17">
        <f>IF(AND(330&gt;=$B$5,330&lt;=$D$5),1,0)</f>
        <v/>
      </c>
      <c r="LV31" s="17">
        <f>IF(AND(331&gt;=$B$5,331&lt;=$D$5),1,0)</f>
        <v/>
      </c>
      <c r="LW31" s="17">
        <f>IF(AND(332&gt;=$B$5,332&lt;=$D$5),1,0)</f>
        <v/>
      </c>
      <c r="LX31" s="17">
        <f>IF(AND(333&gt;=$B$5,333&lt;=$D$5),1,0)</f>
        <v/>
      </c>
      <c r="LY31" s="17">
        <f>IF(AND(334&gt;=$B$5,334&lt;=$D$5),1,0)</f>
        <v/>
      </c>
      <c r="LZ31" s="17">
        <f>IF(AND(335&gt;=$B$5,335&lt;=$D$5),1,0)</f>
        <v/>
      </c>
      <c r="MA31" s="17">
        <f>IF(AND(336&gt;=$B$5,336&lt;=$D$5),1,0)</f>
        <v/>
      </c>
      <c r="MB31" s="17">
        <f>IF(AND(337&gt;=$B$5,337&lt;=$D$5),1,0)</f>
        <v/>
      </c>
      <c r="MC31" s="17">
        <f>IF(AND(338&gt;=$B$5,338&lt;=$D$5),1,0)</f>
        <v/>
      </c>
      <c r="MD31" s="17">
        <f>IF(AND(339&gt;=$B$5,339&lt;=$D$5),1,0)</f>
        <v/>
      </c>
      <c r="ME31" s="17">
        <f>IF(AND(340&gt;=$B$5,340&lt;=$D$5),1,0)</f>
        <v/>
      </c>
      <c r="MF31" s="17">
        <f>IF(AND(341&gt;=$B$5,341&lt;=$D$5),1,0)</f>
        <v/>
      </c>
      <c r="MG31" s="17">
        <f>IF(AND(342&gt;=$B$5,342&lt;=$D$5),1,0)</f>
        <v/>
      </c>
      <c r="MH31" s="17">
        <f>IF(AND(343&gt;=$B$5,343&lt;=$D$5),1,0)</f>
        <v/>
      </c>
      <c r="MI31" s="17">
        <f>IF(AND(344&gt;=$B$5,344&lt;=$D$5),1,0)</f>
        <v/>
      </c>
      <c r="MJ31" s="17">
        <f>IF(AND(345&gt;=$B$5,345&lt;=$D$5),1,0)</f>
        <v/>
      </c>
      <c r="MK31" s="17">
        <f>IF(AND(346&gt;=$B$5,346&lt;=$D$5),1,0)</f>
        <v/>
      </c>
      <c r="ML31" s="17">
        <f>IF(AND(347&gt;=$B$5,347&lt;=$D$5),1,0)</f>
        <v/>
      </c>
      <c r="MM31" s="17">
        <f>IF(AND(348&gt;=$B$5,348&lt;=$D$5),1,0)</f>
        <v/>
      </c>
      <c r="MN31" s="17">
        <f>IF(AND(349&gt;=$B$5,349&lt;=$D$5),1,0)</f>
        <v/>
      </c>
      <c r="MO31" s="17">
        <f>IF(AND(350&gt;=$B$5,350&lt;=$D$5),1,0)</f>
        <v/>
      </c>
      <c r="MP31" s="17">
        <f>IF(AND(351&gt;=$B$5,351&lt;=$D$5),1,0)</f>
        <v/>
      </c>
      <c r="MQ31" s="17">
        <f>IF(AND(352&gt;=$B$5,352&lt;=$D$5),1,0)</f>
        <v/>
      </c>
      <c r="MR31" s="17">
        <f>IF(AND(353&gt;=$B$5,353&lt;=$D$5),1,0)</f>
        <v/>
      </c>
      <c r="MS31" s="17">
        <f>IF(AND(354&gt;=$B$5,354&lt;=$D$5),1,0)</f>
        <v/>
      </c>
      <c r="MT31" s="17">
        <f>IF(AND(355&gt;=$B$5,355&lt;=$D$5),1,0)</f>
        <v/>
      </c>
      <c r="MU31" s="17">
        <f>IF(AND(356&gt;=$B$5,356&lt;=$D$5),1,0)</f>
        <v/>
      </c>
      <c r="MV31" s="17">
        <f>IF(AND(357&gt;=$B$5,357&lt;=$D$5),1,0)</f>
        <v/>
      </c>
      <c r="MW31" s="17">
        <f>IF(AND(358&gt;=$B$5,358&lt;=$D$5),1,0)</f>
        <v/>
      </c>
      <c r="MX31" s="17">
        <f>IF(AND(359&gt;=$B$5,359&lt;=$D$5),1,0)</f>
        <v/>
      </c>
      <c r="MY31" s="17">
        <f>IF(AND(360&gt;=$B$5,360&lt;=$D$5),1,0)</f>
        <v/>
      </c>
      <c r="MZ31" s="17">
        <f>IF(AND(361&gt;=$B$5,361&lt;=$D$5),1,0)</f>
        <v/>
      </c>
      <c r="NA31" s="17">
        <f>IF(AND(362&gt;=$B$5,362&lt;=$D$5),1,0)</f>
        <v/>
      </c>
      <c r="NB31" s="17">
        <f>IF(AND(363&gt;=$B$5,363&lt;=$D$5),1,0)</f>
        <v/>
      </c>
      <c r="NC31" s="17">
        <f>IF(AND(364&gt;=$B$5,364&lt;=$D$5),1,0)</f>
        <v/>
      </c>
      <c r="ND31" s="17">
        <f>IF(AND(365&gt;=$B$5,365&lt;=$D$5),1,0)</f>
        <v/>
      </c>
      <c r="NE31" s="17">
        <f>IF(AND(366&gt;=$B$5,366&lt;=$D$5),1,0)</f>
        <v/>
      </c>
      <c r="NF31" s="17">
        <f>IF(AND(367&gt;=$B$5,367&lt;=$D$5),1,0)</f>
        <v/>
      </c>
      <c r="NG31" s="17">
        <f>IF(AND(368&gt;=$B$5,368&lt;=$D$5),1,0)</f>
        <v/>
      </c>
      <c r="NH31" s="17">
        <f>IF(AND(369&gt;=$B$5,369&lt;=$D$5),1,0)</f>
        <v/>
      </c>
      <c r="NI31" s="17">
        <f>IF(AND(370&gt;=$B$5,370&lt;=$D$5),1,0)</f>
        <v/>
      </c>
      <c r="NJ31" s="17">
        <f>IF(AND(371&gt;=$B$5,371&lt;=$D$5),1,0)</f>
        <v/>
      </c>
      <c r="NK31" s="17">
        <f>IF(AND(372&gt;=$B$5,372&lt;=$D$5),1,0)</f>
        <v/>
      </c>
    </row>
    <row r="32">
      <c r="A32" s="5" t="inlineStr">
        <is>
          <t>Flag: Entitlement</t>
        </is>
      </c>
      <c r="C32" s="40" t="n"/>
      <c r="D32" s="17">
        <f>IF(AND(1&gt;=$B$6,1&lt;=$D$6),1,0)</f>
        <v/>
      </c>
      <c r="E32" s="17">
        <f>IF(AND(2&gt;=$B$6,2&lt;=$D$6),1,0)</f>
        <v/>
      </c>
      <c r="F32" s="17">
        <f>IF(AND(3&gt;=$B$6,3&lt;=$D$6),1,0)</f>
        <v/>
      </c>
      <c r="G32" s="17">
        <f>IF(AND(4&gt;=$B$6,4&lt;=$D$6),1,0)</f>
        <v/>
      </c>
      <c r="H32" s="17">
        <f>IF(AND(5&gt;=$B$6,5&lt;=$D$6),1,0)</f>
        <v/>
      </c>
      <c r="I32" s="17">
        <f>IF(AND(6&gt;=$B$6,6&lt;=$D$6),1,0)</f>
        <v/>
      </c>
      <c r="J32" s="17">
        <f>IF(AND(7&gt;=$B$6,7&lt;=$D$6),1,0)</f>
        <v/>
      </c>
      <c r="K32" s="17">
        <f>IF(AND(8&gt;=$B$6,8&lt;=$D$6),1,0)</f>
        <v/>
      </c>
      <c r="L32" s="17">
        <f>IF(AND(9&gt;=$B$6,9&lt;=$D$6),1,0)</f>
        <v/>
      </c>
      <c r="M32" s="17">
        <f>IF(AND(10&gt;=$B$6,10&lt;=$D$6),1,0)</f>
        <v/>
      </c>
      <c r="N32" s="17">
        <f>IF(AND(11&gt;=$B$6,11&lt;=$D$6),1,0)</f>
        <v/>
      </c>
      <c r="O32" s="17">
        <f>IF(AND(12&gt;=$B$6,12&lt;=$D$6),1,0)</f>
        <v/>
      </c>
      <c r="P32" s="17">
        <f>IF(AND(13&gt;=$B$6,13&lt;=$D$6),1,0)</f>
        <v/>
      </c>
      <c r="Q32" s="17">
        <f>IF(AND(14&gt;=$B$6,14&lt;=$D$6),1,0)</f>
        <v/>
      </c>
      <c r="R32" s="17">
        <f>IF(AND(15&gt;=$B$6,15&lt;=$D$6),1,0)</f>
        <v/>
      </c>
      <c r="S32" s="17">
        <f>IF(AND(16&gt;=$B$6,16&lt;=$D$6),1,0)</f>
        <v/>
      </c>
      <c r="T32" s="17">
        <f>IF(AND(17&gt;=$B$6,17&lt;=$D$6),1,0)</f>
        <v/>
      </c>
      <c r="U32" s="17">
        <f>IF(AND(18&gt;=$B$6,18&lt;=$D$6),1,0)</f>
        <v/>
      </c>
      <c r="V32" s="17">
        <f>IF(AND(19&gt;=$B$6,19&lt;=$D$6),1,0)</f>
        <v/>
      </c>
      <c r="W32" s="17">
        <f>IF(AND(20&gt;=$B$6,20&lt;=$D$6),1,0)</f>
        <v/>
      </c>
      <c r="X32" s="17">
        <f>IF(AND(21&gt;=$B$6,21&lt;=$D$6),1,0)</f>
        <v/>
      </c>
      <c r="Y32" s="17">
        <f>IF(AND(22&gt;=$B$6,22&lt;=$D$6),1,0)</f>
        <v/>
      </c>
      <c r="Z32" s="17">
        <f>IF(AND(23&gt;=$B$6,23&lt;=$D$6),1,0)</f>
        <v/>
      </c>
      <c r="AA32" s="17">
        <f>IF(AND(24&gt;=$B$6,24&lt;=$D$6),1,0)</f>
        <v/>
      </c>
      <c r="AB32" s="17">
        <f>IF(AND(25&gt;=$B$6,25&lt;=$D$6),1,0)</f>
        <v/>
      </c>
      <c r="AC32" s="17">
        <f>IF(AND(26&gt;=$B$6,26&lt;=$D$6),1,0)</f>
        <v/>
      </c>
      <c r="AD32" s="17">
        <f>IF(AND(27&gt;=$B$6,27&lt;=$D$6),1,0)</f>
        <v/>
      </c>
      <c r="AE32" s="17">
        <f>IF(AND(28&gt;=$B$6,28&lt;=$D$6),1,0)</f>
        <v/>
      </c>
      <c r="AF32" s="17">
        <f>IF(AND(29&gt;=$B$6,29&lt;=$D$6),1,0)</f>
        <v/>
      </c>
      <c r="AG32" s="17">
        <f>IF(AND(30&gt;=$B$6,30&lt;=$D$6),1,0)</f>
        <v/>
      </c>
      <c r="AH32" s="17">
        <f>IF(AND(31&gt;=$B$6,31&lt;=$D$6),1,0)</f>
        <v/>
      </c>
      <c r="AI32" s="17">
        <f>IF(AND(32&gt;=$B$6,32&lt;=$D$6),1,0)</f>
        <v/>
      </c>
      <c r="AJ32" s="17">
        <f>IF(AND(33&gt;=$B$6,33&lt;=$D$6),1,0)</f>
        <v/>
      </c>
      <c r="AK32" s="17">
        <f>IF(AND(34&gt;=$B$6,34&lt;=$D$6),1,0)</f>
        <v/>
      </c>
      <c r="AL32" s="17">
        <f>IF(AND(35&gt;=$B$6,35&lt;=$D$6),1,0)</f>
        <v/>
      </c>
      <c r="AM32" s="17">
        <f>IF(AND(36&gt;=$B$6,36&lt;=$D$6),1,0)</f>
        <v/>
      </c>
      <c r="AN32" s="17">
        <f>IF(AND(37&gt;=$B$6,37&lt;=$D$6),1,0)</f>
        <v/>
      </c>
      <c r="AO32" s="17">
        <f>IF(AND(38&gt;=$B$6,38&lt;=$D$6),1,0)</f>
        <v/>
      </c>
      <c r="AP32" s="17">
        <f>IF(AND(39&gt;=$B$6,39&lt;=$D$6),1,0)</f>
        <v/>
      </c>
      <c r="AQ32" s="17">
        <f>IF(AND(40&gt;=$B$6,40&lt;=$D$6),1,0)</f>
        <v/>
      </c>
      <c r="AR32" s="17">
        <f>IF(AND(41&gt;=$B$6,41&lt;=$D$6),1,0)</f>
        <v/>
      </c>
      <c r="AS32" s="17">
        <f>IF(AND(42&gt;=$B$6,42&lt;=$D$6),1,0)</f>
        <v/>
      </c>
      <c r="AT32" s="17">
        <f>IF(AND(43&gt;=$B$6,43&lt;=$D$6),1,0)</f>
        <v/>
      </c>
      <c r="AU32" s="17">
        <f>IF(AND(44&gt;=$B$6,44&lt;=$D$6),1,0)</f>
        <v/>
      </c>
      <c r="AV32" s="17">
        <f>IF(AND(45&gt;=$B$6,45&lt;=$D$6),1,0)</f>
        <v/>
      </c>
      <c r="AW32" s="17">
        <f>IF(AND(46&gt;=$B$6,46&lt;=$D$6),1,0)</f>
        <v/>
      </c>
      <c r="AX32" s="17">
        <f>IF(AND(47&gt;=$B$6,47&lt;=$D$6),1,0)</f>
        <v/>
      </c>
      <c r="AY32" s="17">
        <f>IF(AND(48&gt;=$B$6,48&lt;=$D$6),1,0)</f>
        <v/>
      </c>
      <c r="AZ32" s="17">
        <f>IF(AND(49&gt;=$B$6,49&lt;=$D$6),1,0)</f>
        <v/>
      </c>
      <c r="BA32" s="17">
        <f>IF(AND(50&gt;=$B$6,50&lt;=$D$6),1,0)</f>
        <v/>
      </c>
      <c r="BB32" s="17">
        <f>IF(AND(51&gt;=$B$6,51&lt;=$D$6),1,0)</f>
        <v/>
      </c>
      <c r="BC32" s="17">
        <f>IF(AND(52&gt;=$B$6,52&lt;=$D$6),1,0)</f>
        <v/>
      </c>
      <c r="BD32" s="17">
        <f>IF(AND(53&gt;=$B$6,53&lt;=$D$6),1,0)</f>
        <v/>
      </c>
      <c r="BE32" s="17">
        <f>IF(AND(54&gt;=$B$6,54&lt;=$D$6),1,0)</f>
        <v/>
      </c>
      <c r="BF32" s="17">
        <f>IF(AND(55&gt;=$B$6,55&lt;=$D$6),1,0)</f>
        <v/>
      </c>
      <c r="BG32" s="17">
        <f>IF(AND(56&gt;=$B$6,56&lt;=$D$6),1,0)</f>
        <v/>
      </c>
      <c r="BH32" s="17">
        <f>IF(AND(57&gt;=$B$6,57&lt;=$D$6),1,0)</f>
        <v/>
      </c>
      <c r="BI32" s="17">
        <f>IF(AND(58&gt;=$B$6,58&lt;=$D$6),1,0)</f>
        <v/>
      </c>
      <c r="BJ32" s="17">
        <f>IF(AND(59&gt;=$B$6,59&lt;=$D$6),1,0)</f>
        <v/>
      </c>
      <c r="BK32" s="17">
        <f>IF(AND(60&gt;=$B$6,60&lt;=$D$6),1,0)</f>
        <v/>
      </c>
      <c r="BL32" s="17">
        <f>IF(AND(61&gt;=$B$6,61&lt;=$D$6),1,0)</f>
        <v/>
      </c>
      <c r="BM32" s="17">
        <f>IF(AND(62&gt;=$B$6,62&lt;=$D$6),1,0)</f>
        <v/>
      </c>
      <c r="BN32" s="17">
        <f>IF(AND(63&gt;=$B$6,63&lt;=$D$6),1,0)</f>
        <v/>
      </c>
      <c r="BO32" s="17">
        <f>IF(AND(64&gt;=$B$6,64&lt;=$D$6),1,0)</f>
        <v/>
      </c>
      <c r="BP32" s="17">
        <f>IF(AND(65&gt;=$B$6,65&lt;=$D$6),1,0)</f>
        <v/>
      </c>
      <c r="BQ32" s="17">
        <f>IF(AND(66&gt;=$B$6,66&lt;=$D$6),1,0)</f>
        <v/>
      </c>
      <c r="BR32" s="17">
        <f>IF(AND(67&gt;=$B$6,67&lt;=$D$6),1,0)</f>
        <v/>
      </c>
      <c r="BS32" s="17">
        <f>IF(AND(68&gt;=$B$6,68&lt;=$D$6),1,0)</f>
        <v/>
      </c>
      <c r="BT32" s="17">
        <f>IF(AND(69&gt;=$B$6,69&lt;=$D$6),1,0)</f>
        <v/>
      </c>
      <c r="BU32" s="17">
        <f>IF(AND(70&gt;=$B$6,70&lt;=$D$6),1,0)</f>
        <v/>
      </c>
      <c r="BV32" s="17">
        <f>IF(AND(71&gt;=$B$6,71&lt;=$D$6),1,0)</f>
        <v/>
      </c>
      <c r="BW32" s="17">
        <f>IF(AND(72&gt;=$B$6,72&lt;=$D$6),1,0)</f>
        <v/>
      </c>
      <c r="BX32" s="17">
        <f>IF(AND(73&gt;=$B$6,73&lt;=$D$6),1,0)</f>
        <v/>
      </c>
      <c r="BY32" s="17">
        <f>IF(AND(74&gt;=$B$6,74&lt;=$D$6),1,0)</f>
        <v/>
      </c>
      <c r="BZ32" s="17">
        <f>IF(AND(75&gt;=$B$6,75&lt;=$D$6),1,0)</f>
        <v/>
      </c>
      <c r="CA32" s="17">
        <f>IF(AND(76&gt;=$B$6,76&lt;=$D$6),1,0)</f>
        <v/>
      </c>
      <c r="CB32" s="17">
        <f>IF(AND(77&gt;=$B$6,77&lt;=$D$6),1,0)</f>
        <v/>
      </c>
      <c r="CC32" s="17">
        <f>IF(AND(78&gt;=$B$6,78&lt;=$D$6),1,0)</f>
        <v/>
      </c>
      <c r="CD32" s="17">
        <f>IF(AND(79&gt;=$B$6,79&lt;=$D$6),1,0)</f>
        <v/>
      </c>
      <c r="CE32" s="17">
        <f>IF(AND(80&gt;=$B$6,80&lt;=$D$6),1,0)</f>
        <v/>
      </c>
      <c r="CF32" s="17">
        <f>IF(AND(81&gt;=$B$6,81&lt;=$D$6),1,0)</f>
        <v/>
      </c>
      <c r="CG32" s="17">
        <f>IF(AND(82&gt;=$B$6,82&lt;=$D$6),1,0)</f>
        <v/>
      </c>
      <c r="CH32" s="17">
        <f>IF(AND(83&gt;=$B$6,83&lt;=$D$6),1,0)</f>
        <v/>
      </c>
      <c r="CI32" s="17">
        <f>IF(AND(84&gt;=$B$6,84&lt;=$D$6),1,0)</f>
        <v/>
      </c>
      <c r="CJ32" s="17">
        <f>IF(AND(85&gt;=$B$6,85&lt;=$D$6),1,0)</f>
        <v/>
      </c>
      <c r="CK32" s="17">
        <f>IF(AND(86&gt;=$B$6,86&lt;=$D$6),1,0)</f>
        <v/>
      </c>
      <c r="CL32" s="17">
        <f>IF(AND(87&gt;=$B$6,87&lt;=$D$6),1,0)</f>
        <v/>
      </c>
      <c r="CM32" s="17">
        <f>IF(AND(88&gt;=$B$6,88&lt;=$D$6),1,0)</f>
        <v/>
      </c>
      <c r="CN32" s="17">
        <f>IF(AND(89&gt;=$B$6,89&lt;=$D$6),1,0)</f>
        <v/>
      </c>
      <c r="CO32" s="17">
        <f>IF(AND(90&gt;=$B$6,90&lt;=$D$6),1,0)</f>
        <v/>
      </c>
      <c r="CP32" s="17">
        <f>IF(AND(91&gt;=$B$6,91&lt;=$D$6),1,0)</f>
        <v/>
      </c>
      <c r="CQ32" s="17">
        <f>IF(AND(92&gt;=$B$6,92&lt;=$D$6),1,0)</f>
        <v/>
      </c>
      <c r="CR32" s="17">
        <f>IF(AND(93&gt;=$B$6,93&lt;=$D$6),1,0)</f>
        <v/>
      </c>
      <c r="CS32" s="17">
        <f>IF(AND(94&gt;=$B$6,94&lt;=$D$6),1,0)</f>
        <v/>
      </c>
      <c r="CT32" s="17">
        <f>IF(AND(95&gt;=$B$6,95&lt;=$D$6),1,0)</f>
        <v/>
      </c>
      <c r="CU32" s="17">
        <f>IF(AND(96&gt;=$B$6,96&lt;=$D$6),1,0)</f>
        <v/>
      </c>
      <c r="CV32" s="17">
        <f>IF(AND(97&gt;=$B$6,97&lt;=$D$6),1,0)</f>
        <v/>
      </c>
      <c r="CW32" s="17">
        <f>IF(AND(98&gt;=$B$6,98&lt;=$D$6),1,0)</f>
        <v/>
      </c>
      <c r="CX32" s="17">
        <f>IF(AND(99&gt;=$B$6,99&lt;=$D$6),1,0)</f>
        <v/>
      </c>
      <c r="CY32" s="17">
        <f>IF(AND(100&gt;=$B$6,100&lt;=$D$6),1,0)</f>
        <v/>
      </c>
      <c r="CZ32" s="17">
        <f>IF(AND(101&gt;=$B$6,101&lt;=$D$6),1,0)</f>
        <v/>
      </c>
      <c r="DA32" s="17">
        <f>IF(AND(102&gt;=$B$6,102&lt;=$D$6),1,0)</f>
        <v/>
      </c>
      <c r="DB32" s="17">
        <f>IF(AND(103&gt;=$B$6,103&lt;=$D$6),1,0)</f>
        <v/>
      </c>
      <c r="DC32" s="17">
        <f>IF(AND(104&gt;=$B$6,104&lt;=$D$6),1,0)</f>
        <v/>
      </c>
      <c r="DD32" s="17">
        <f>IF(AND(105&gt;=$B$6,105&lt;=$D$6),1,0)</f>
        <v/>
      </c>
      <c r="DE32" s="17">
        <f>IF(AND(106&gt;=$B$6,106&lt;=$D$6),1,0)</f>
        <v/>
      </c>
      <c r="DF32" s="17">
        <f>IF(AND(107&gt;=$B$6,107&lt;=$D$6),1,0)</f>
        <v/>
      </c>
      <c r="DG32" s="17">
        <f>IF(AND(108&gt;=$B$6,108&lt;=$D$6),1,0)</f>
        <v/>
      </c>
      <c r="DH32" s="17">
        <f>IF(AND(109&gt;=$B$6,109&lt;=$D$6),1,0)</f>
        <v/>
      </c>
      <c r="DI32" s="17">
        <f>IF(AND(110&gt;=$B$6,110&lt;=$D$6),1,0)</f>
        <v/>
      </c>
      <c r="DJ32" s="17">
        <f>IF(AND(111&gt;=$B$6,111&lt;=$D$6),1,0)</f>
        <v/>
      </c>
      <c r="DK32" s="17">
        <f>IF(AND(112&gt;=$B$6,112&lt;=$D$6),1,0)</f>
        <v/>
      </c>
      <c r="DL32" s="17">
        <f>IF(AND(113&gt;=$B$6,113&lt;=$D$6),1,0)</f>
        <v/>
      </c>
      <c r="DM32" s="17">
        <f>IF(AND(114&gt;=$B$6,114&lt;=$D$6),1,0)</f>
        <v/>
      </c>
      <c r="DN32" s="17">
        <f>IF(AND(115&gt;=$B$6,115&lt;=$D$6),1,0)</f>
        <v/>
      </c>
      <c r="DO32" s="17">
        <f>IF(AND(116&gt;=$B$6,116&lt;=$D$6),1,0)</f>
        <v/>
      </c>
      <c r="DP32" s="17">
        <f>IF(AND(117&gt;=$B$6,117&lt;=$D$6),1,0)</f>
        <v/>
      </c>
      <c r="DQ32" s="17">
        <f>IF(AND(118&gt;=$B$6,118&lt;=$D$6),1,0)</f>
        <v/>
      </c>
      <c r="DR32" s="17">
        <f>IF(AND(119&gt;=$B$6,119&lt;=$D$6),1,0)</f>
        <v/>
      </c>
      <c r="DS32" s="17">
        <f>IF(AND(120&gt;=$B$6,120&lt;=$D$6),1,0)</f>
        <v/>
      </c>
      <c r="DT32" s="17">
        <f>IF(AND(121&gt;=$B$6,121&lt;=$D$6),1,0)</f>
        <v/>
      </c>
      <c r="DU32" s="17">
        <f>IF(AND(122&gt;=$B$6,122&lt;=$D$6),1,0)</f>
        <v/>
      </c>
      <c r="DV32" s="17">
        <f>IF(AND(123&gt;=$B$6,123&lt;=$D$6),1,0)</f>
        <v/>
      </c>
      <c r="DW32" s="17">
        <f>IF(AND(124&gt;=$B$6,124&lt;=$D$6),1,0)</f>
        <v/>
      </c>
      <c r="DX32" s="17">
        <f>IF(AND(125&gt;=$B$6,125&lt;=$D$6),1,0)</f>
        <v/>
      </c>
      <c r="DY32" s="17">
        <f>IF(AND(126&gt;=$B$6,126&lt;=$D$6),1,0)</f>
        <v/>
      </c>
      <c r="DZ32" s="17">
        <f>IF(AND(127&gt;=$B$6,127&lt;=$D$6),1,0)</f>
        <v/>
      </c>
      <c r="EA32" s="17">
        <f>IF(AND(128&gt;=$B$6,128&lt;=$D$6),1,0)</f>
        <v/>
      </c>
      <c r="EB32" s="17">
        <f>IF(AND(129&gt;=$B$6,129&lt;=$D$6),1,0)</f>
        <v/>
      </c>
      <c r="EC32" s="17">
        <f>IF(AND(130&gt;=$B$6,130&lt;=$D$6),1,0)</f>
        <v/>
      </c>
      <c r="ED32" s="17">
        <f>IF(AND(131&gt;=$B$6,131&lt;=$D$6),1,0)</f>
        <v/>
      </c>
      <c r="EE32" s="17">
        <f>IF(AND(132&gt;=$B$6,132&lt;=$D$6),1,0)</f>
        <v/>
      </c>
      <c r="EF32" s="17">
        <f>IF(AND(133&gt;=$B$6,133&lt;=$D$6),1,0)</f>
        <v/>
      </c>
      <c r="EG32" s="17">
        <f>IF(AND(134&gt;=$B$6,134&lt;=$D$6),1,0)</f>
        <v/>
      </c>
      <c r="EH32" s="17">
        <f>IF(AND(135&gt;=$B$6,135&lt;=$D$6),1,0)</f>
        <v/>
      </c>
      <c r="EI32" s="17">
        <f>IF(AND(136&gt;=$B$6,136&lt;=$D$6),1,0)</f>
        <v/>
      </c>
      <c r="EJ32" s="17">
        <f>IF(AND(137&gt;=$B$6,137&lt;=$D$6),1,0)</f>
        <v/>
      </c>
      <c r="EK32" s="17">
        <f>IF(AND(138&gt;=$B$6,138&lt;=$D$6),1,0)</f>
        <v/>
      </c>
      <c r="EL32" s="17">
        <f>IF(AND(139&gt;=$B$6,139&lt;=$D$6),1,0)</f>
        <v/>
      </c>
      <c r="EM32" s="17">
        <f>IF(AND(140&gt;=$B$6,140&lt;=$D$6),1,0)</f>
        <v/>
      </c>
      <c r="EN32" s="17">
        <f>IF(AND(141&gt;=$B$6,141&lt;=$D$6),1,0)</f>
        <v/>
      </c>
      <c r="EO32" s="17">
        <f>IF(AND(142&gt;=$B$6,142&lt;=$D$6),1,0)</f>
        <v/>
      </c>
      <c r="EP32" s="17">
        <f>IF(AND(143&gt;=$B$6,143&lt;=$D$6),1,0)</f>
        <v/>
      </c>
      <c r="EQ32" s="17">
        <f>IF(AND(144&gt;=$B$6,144&lt;=$D$6),1,0)</f>
        <v/>
      </c>
      <c r="ER32" s="17">
        <f>IF(AND(145&gt;=$B$6,145&lt;=$D$6),1,0)</f>
        <v/>
      </c>
      <c r="ES32" s="17">
        <f>IF(AND(146&gt;=$B$6,146&lt;=$D$6),1,0)</f>
        <v/>
      </c>
      <c r="ET32" s="17">
        <f>IF(AND(147&gt;=$B$6,147&lt;=$D$6),1,0)</f>
        <v/>
      </c>
      <c r="EU32" s="17">
        <f>IF(AND(148&gt;=$B$6,148&lt;=$D$6),1,0)</f>
        <v/>
      </c>
      <c r="EV32" s="17">
        <f>IF(AND(149&gt;=$B$6,149&lt;=$D$6),1,0)</f>
        <v/>
      </c>
      <c r="EW32" s="17">
        <f>IF(AND(150&gt;=$B$6,150&lt;=$D$6),1,0)</f>
        <v/>
      </c>
      <c r="EX32" s="17">
        <f>IF(AND(151&gt;=$B$6,151&lt;=$D$6),1,0)</f>
        <v/>
      </c>
      <c r="EY32" s="17">
        <f>IF(AND(152&gt;=$B$6,152&lt;=$D$6),1,0)</f>
        <v/>
      </c>
      <c r="EZ32" s="17">
        <f>IF(AND(153&gt;=$B$6,153&lt;=$D$6),1,0)</f>
        <v/>
      </c>
      <c r="FA32" s="17">
        <f>IF(AND(154&gt;=$B$6,154&lt;=$D$6),1,0)</f>
        <v/>
      </c>
      <c r="FB32" s="17">
        <f>IF(AND(155&gt;=$B$6,155&lt;=$D$6),1,0)</f>
        <v/>
      </c>
      <c r="FC32" s="17">
        <f>IF(AND(156&gt;=$B$6,156&lt;=$D$6),1,0)</f>
        <v/>
      </c>
      <c r="FD32" s="17">
        <f>IF(AND(157&gt;=$B$6,157&lt;=$D$6),1,0)</f>
        <v/>
      </c>
      <c r="FE32" s="17">
        <f>IF(AND(158&gt;=$B$6,158&lt;=$D$6),1,0)</f>
        <v/>
      </c>
      <c r="FF32" s="17">
        <f>IF(AND(159&gt;=$B$6,159&lt;=$D$6),1,0)</f>
        <v/>
      </c>
      <c r="FG32" s="17">
        <f>IF(AND(160&gt;=$B$6,160&lt;=$D$6),1,0)</f>
        <v/>
      </c>
      <c r="FH32" s="17">
        <f>IF(AND(161&gt;=$B$6,161&lt;=$D$6),1,0)</f>
        <v/>
      </c>
      <c r="FI32" s="17">
        <f>IF(AND(162&gt;=$B$6,162&lt;=$D$6),1,0)</f>
        <v/>
      </c>
      <c r="FJ32" s="17">
        <f>IF(AND(163&gt;=$B$6,163&lt;=$D$6),1,0)</f>
        <v/>
      </c>
      <c r="FK32" s="17">
        <f>IF(AND(164&gt;=$B$6,164&lt;=$D$6),1,0)</f>
        <v/>
      </c>
      <c r="FL32" s="17">
        <f>IF(AND(165&gt;=$B$6,165&lt;=$D$6),1,0)</f>
        <v/>
      </c>
      <c r="FM32" s="17">
        <f>IF(AND(166&gt;=$B$6,166&lt;=$D$6),1,0)</f>
        <v/>
      </c>
      <c r="FN32" s="17">
        <f>IF(AND(167&gt;=$B$6,167&lt;=$D$6),1,0)</f>
        <v/>
      </c>
      <c r="FO32" s="17">
        <f>IF(AND(168&gt;=$B$6,168&lt;=$D$6),1,0)</f>
        <v/>
      </c>
      <c r="FP32" s="17">
        <f>IF(AND(169&gt;=$B$6,169&lt;=$D$6),1,0)</f>
        <v/>
      </c>
      <c r="FQ32" s="17">
        <f>IF(AND(170&gt;=$B$6,170&lt;=$D$6),1,0)</f>
        <v/>
      </c>
      <c r="FR32" s="17">
        <f>IF(AND(171&gt;=$B$6,171&lt;=$D$6),1,0)</f>
        <v/>
      </c>
      <c r="FS32" s="17">
        <f>IF(AND(172&gt;=$B$6,172&lt;=$D$6),1,0)</f>
        <v/>
      </c>
      <c r="FT32" s="17">
        <f>IF(AND(173&gt;=$B$6,173&lt;=$D$6),1,0)</f>
        <v/>
      </c>
      <c r="FU32" s="17">
        <f>IF(AND(174&gt;=$B$6,174&lt;=$D$6),1,0)</f>
        <v/>
      </c>
      <c r="FV32" s="17">
        <f>IF(AND(175&gt;=$B$6,175&lt;=$D$6),1,0)</f>
        <v/>
      </c>
      <c r="FW32" s="17">
        <f>IF(AND(176&gt;=$B$6,176&lt;=$D$6),1,0)</f>
        <v/>
      </c>
      <c r="FX32" s="17">
        <f>IF(AND(177&gt;=$B$6,177&lt;=$D$6),1,0)</f>
        <v/>
      </c>
      <c r="FY32" s="17">
        <f>IF(AND(178&gt;=$B$6,178&lt;=$D$6),1,0)</f>
        <v/>
      </c>
      <c r="FZ32" s="17">
        <f>IF(AND(179&gt;=$B$6,179&lt;=$D$6),1,0)</f>
        <v/>
      </c>
      <c r="GA32" s="17">
        <f>IF(AND(180&gt;=$B$6,180&lt;=$D$6),1,0)</f>
        <v/>
      </c>
      <c r="GB32" s="17">
        <f>IF(AND(181&gt;=$B$6,181&lt;=$D$6),1,0)</f>
        <v/>
      </c>
      <c r="GC32" s="17">
        <f>IF(AND(182&gt;=$B$6,182&lt;=$D$6),1,0)</f>
        <v/>
      </c>
      <c r="GD32" s="17">
        <f>IF(AND(183&gt;=$B$6,183&lt;=$D$6),1,0)</f>
        <v/>
      </c>
      <c r="GE32" s="17">
        <f>IF(AND(184&gt;=$B$6,184&lt;=$D$6),1,0)</f>
        <v/>
      </c>
      <c r="GF32" s="17">
        <f>IF(AND(185&gt;=$B$6,185&lt;=$D$6),1,0)</f>
        <v/>
      </c>
      <c r="GG32" s="17">
        <f>IF(AND(186&gt;=$B$6,186&lt;=$D$6),1,0)</f>
        <v/>
      </c>
      <c r="GH32" s="17">
        <f>IF(AND(187&gt;=$B$6,187&lt;=$D$6),1,0)</f>
        <v/>
      </c>
      <c r="GI32" s="17">
        <f>IF(AND(188&gt;=$B$6,188&lt;=$D$6),1,0)</f>
        <v/>
      </c>
      <c r="GJ32" s="17">
        <f>IF(AND(189&gt;=$B$6,189&lt;=$D$6),1,0)</f>
        <v/>
      </c>
      <c r="GK32" s="17">
        <f>IF(AND(190&gt;=$B$6,190&lt;=$D$6),1,0)</f>
        <v/>
      </c>
      <c r="GL32" s="17">
        <f>IF(AND(191&gt;=$B$6,191&lt;=$D$6),1,0)</f>
        <v/>
      </c>
      <c r="GM32" s="17">
        <f>IF(AND(192&gt;=$B$6,192&lt;=$D$6),1,0)</f>
        <v/>
      </c>
      <c r="GN32" s="17">
        <f>IF(AND(193&gt;=$B$6,193&lt;=$D$6),1,0)</f>
        <v/>
      </c>
      <c r="GO32" s="17">
        <f>IF(AND(194&gt;=$B$6,194&lt;=$D$6),1,0)</f>
        <v/>
      </c>
      <c r="GP32" s="17">
        <f>IF(AND(195&gt;=$B$6,195&lt;=$D$6),1,0)</f>
        <v/>
      </c>
      <c r="GQ32" s="17">
        <f>IF(AND(196&gt;=$B$6,196&lt;=$D$6),1,0)</f>
        <v/>
      </c>
      <c r="GR32" s="17">
        <f>IF(AND(197&gt;=$B$6,197&lt;=$D$6),1,0)</f>
        <v/>
      </c>
      <c r="GS32" s="17">
        <f>IF(AND(198&gt;=$B$6,198&lt;=$D$6),1,0)</f>
        <v/>
      </c>
      <c r="GT32" s="17">
        <f>IF(AND(199&gt;=$B$6,199&lt;=$D$6),1,0)</f>
        <v/>
      </c>
      <c r="GU32" s="17">
        <f>IF(AND(200&gt;=$B$6,200&lt;=$D$6),1,0)</f>
        <v/>
      </c>
      <c r="GV32" s="17">
        <f>IF(AND(201&gt;=$B$6,201&lt;=$D$6),1,0)</f>
        <v/>
      </c>
      <c r="GW32" s="17">
        <f>IF(AND(202&gt;=$B$6,202&lt;=$D$6),1,0)</f>
        <v/>
      </c>
      <c r="GX32" s="17">
        <f>IF(AND(203&gt;=$B$6,203&lt;=$D$6),1,0)</f>
        <v/>
      </c>
      <c r="GY32" s="17">
        <f>IF(AND(204&gt;=$B$6,204&lt;=$D$6),1,0)</f>
        <v/>
      </c>
      <c r="GZ32" s="17">
        <f>IF(AND(205&gt;=$B$6,205&lt;=$D$6),1,0)</f>
        <v/>
      </c>
      <c r="HA32" s="17">
        <f>IF(AND(206&gt;=$B$6,206&lt;=$D$6),1,0)</f>
        <v/>
      </c>
      <c r="HB32" s="17">
        <f>IF(AND(207&gt;=$B$6,207&lt;=$D$6),1,0)</f>
        <v/>
      </c>
      <c r="HC32" s="17">
        <f>IF(AND(208&gt;=$B$6,208&lt;=$D$6),1,0)</f>
        <v/>
      </c>
      <c r="HD32" s="17">
        <f>IF(AND(209&gt;=$B$6,209&lt;=$D$6),1,0)</f>
        <v/>
      </c>
      <c r="HE32" s="17">
        <f>IF(AND(210&gt;=$B$6,210&lt;=$D$6),1,0)</f>
        <v/>
      </c>
      <c r="HF32" s="17">
        <f>IF(AND(211&gt;=$B$6,211&lt;=$D$6),1,0)</f>
        <v/>
      </c>
      <c r="HG32" s="17">
        <f>IF(AND(212&gt;=$B$6,212&lt;=$D$6),1,0)</f>
        <v/>
      </c>
      <c r="HH32" s="17">
        <f>IF(AND(213&gt;=$B$6,213&lt;=$D$6),1,0)</f>
        <v/>
      </c>
      <c r="HI32" s="17">
        <f>IF(AND(214&gt;=$B$6,214&lt;=$D$6),1,0)</f>
        <v/>
      </c>
      <c r="HJ32" s="17">
        <f>IF(AND(215&gt;=$B$6,215&lt;=$D$6),1,0)</f>
        <v/>
      </c>
      <c r="HK32" s="17">
        <f>IF(AND(216&gt;=$B$6,216&lt;=$D$6),1,0)</f>
        <v/>
      </c>
      <c r="HL32" s="17">
        <f>IF(AND(217&gt;=$B$6,217&lt;=$D$6),1,0)</f>
        <v/>
      </c>
      <c r="HM32" s="17">
        <f>IF(AND(218&gt;=$B$6,218&lt;=$D$6),1,0)</f>
        <v/>
      </c>
      <c r="HN32" s="17">
        <f>IF(AND(219&gt;=$B$6,219&lt;=$D$6),1,0)</f>
        <v/>
      </c>
      <c r="HO32" s="17">
        <f>IF(AND(220&gt;=$B$6,220&lt;=$D$6),1,0)</f>
        <v/>
      </c>
      <c r="HP32" s="17">
        <f>IF(AND(221&gt;=$B$6,221&lt;=$D$6),1,0)</f>
        <v/>
      </c>
      <c r="HQ32" s="17">
        <f>IF(AND(222&gt;=$B$6,222&lt;=$D$6),1,0)</f>
        <v/>
      </c>
      <c r="HR32" s="17">
        <f>IF(AND(223&gt;=$B$6,223&lt;=$D$6),1,0)</f>
        <v/>
      </c>
      <c r="HS32" s="17">
        <f>IF(AND(224&gt;=$B$6,224&lt;=$D$6),1,0)</f>
        <v/>
      </c>
      <c r="HT32" s="17">
        <f>IF(AND(225&gt;=$B$6,225&lt;=$D$6),1,0)</f>
        <v/>
      </c>
      <c r="HU32" s="17">
        <f>IF(AND(226&gt;=$B$6,226&lt;=$D$6),1,0)</f>
        <v/>
      </c>
      <c r="HV32" s="17">
        <f>IF(AND(227&gt;=$B$6,227&lt;=$D$6),1,0)</f>
        <v/>
      </c>
      <c r="HW32" s="17">
        <f>IF(AND(228&gt;=$B$6,228&lt;=$D$6),1,0)</f>
        <v/>
      </c>
      <c r="HX32" s="17">
        <f>IF(AND(229&gt;=$B$6,229&lt;=$D$6),1,0)</f>
        <v/>
      </c>
      <c r="HY32" s="17">
        <f>IF(AND(230&gt;=$B$6,230&lt;=$D$6),1,0)</f>
        <v/>
      </c>
      <c r="HZ32" s="17">
        <f>IF(AND(231&gt;=$B$6,231&lt;=$D$6),1,0)</f>
        <v/>
      </c>
      <c r="IA32" s="17">
        <f>IF(AND(232&gt;=$B$6,232&lt;=$D$6),1,0)</f>
        <v/>
      </c>
      <c r="IB32" s="17">
        <f>IF(AND(233&gt;=$B$6,233&lt;=$D$6),1,0)</f>
        <v/>
      </c>
      <c r="IC32" s="17">
        <f>IF(AND(234&gt;=$B$6,234&lt;=$D$6),1,0)</f>
        <v/>
      </c>
      <c r="ID32" s="17">
        <f>IF(AND(235&gt;=$B$6,235&lt;=$D$6),1,0)</f>
        <v/>
      </c>
      <c r="IE32" s="17">
        <f>IF(AND(236&gt;=$B$6,236&lt;=$D$6),1,0)</f>
        <v/>
      </c>
      <c r="IF32" s="17">
        <f>IF(AND(237&gt;=$B$6,237&lt;=$D$6),1,0)</f>
        <v/>
      </c>
      <c r="IG32" s="17">
        <f>IF(AND(238&gt;=$B$6,238&lt;=$D$6),1,0)</f>
        <v/>
      </c>
      <c r="IH32" s="17">
        <f>IF(AND(239&gt;=$B$6,239&lt;=$D$6),1,0)</f>
        <v/>
      </c>
      <c r="II32" s="17">
        <f>IF(AND(240&gt;=$B$6,240&lt;=$D$6),1,0)</f>
        <v/>
      </c>
      <c r="IJ32" s="17">
        <f>IF(AND(241&gt;=$B$6,241&lt;=$D$6),1,0)</f>
        <v/>
      </c>
      <c r="IK32" s="17">
        <f>IF(AND(242&gt;=$B$6,242&lt;=$D$6),1,0)</f>
        <v/>
      </c>
      <c r="IL32" s="17">
        <f>IF(AND(243&gt;=$B$6,243&lt;=$D$6),1,0)</f>
        <v/>
      </c>
      <c r="IM32" s="17">
        <f>IF(AND(244&gt;=$B$6,244&lt;=$D$6),1,0)</f>
        <v/>
      </c>
      <c r="IN32" s="17">
        <f>IF(AND(245&gt;=$B$6,245&lt;=$D$6),1,0)</f>
        <v/>
      </c>
      <c r="IO32" s="17">
        <f>IF(AND(246&gt;=$B$6,246&lt;=$D$6),1,0)</f>
        <v/>
      </c>
      <c r="IP32" s="17">
        <f>IF(AND(247&gt;=$B$6,247&lt;=$D$6),1,0)</f>
        <v/>
      </c>
      <c r="IQ32" s="17">
        <f>IF(AND(248&gt;=$B$6,248&lt;=$D$6),1,0)</f>
        <v/>
      </c>
      <c r="IR32" s="17">
        <f>IF(AND(249&gt;=$B$6,249&lt;=$D$6),1,0)</f>
        <v/>
      </c>
      <c r="IS32" s="17">
        <f>IF(AND(250&gt;=$B$6,250&lt;=$D$6),1,0)</f>
        <v/>
      </c>
      <c r="IT32" s="17">
        <f>IF(AND(251&gt;=$B$6,251&lt;=$D$6),1,0)</f>
        <v/>
      </c>
      <c r="IU32" s="17">
        <f>IF(AND(252&gt;=$B$6,252&lt;=$D$6),1,0)</f>
        <v/>
      </c>
      <c r="IV32" s="17">
        <f>IF(AND(253&gt;=$B$6,253&lt;=$D$6),1,0)</f>
        <v/>
      </c>
      <c r="IW32" s="17">
        <f>IF(AND(254&gt;=$B$6,254&lt;=$D$6),1,0)</f>
        <v/>
      </c>
      <c r="IX32" s="17">
        <f>IF(AND(255&gt;=$B$6,255&lt;=$D$6),1,0)</f>
        <v/>
      </c>
      <c r="IY32" s="17">
        <f>IF(AND(256&gt;=$B$6,256&lt;=$D$6),1,0)</f>
        <v/>
      </c>
      <c r="IZ32" s="17">
        <f>IF(AND(257&gt;=$B$6,257&lt;=$D$6),1,0)</f>
        <v/>
      </c>
      <c r="JA32" s="17">
        <f>IF(AND(258&gt;=$B$6,258&lt;=$D$6),1,0)</f>
        <v/>
      </c>
      <c r="JB32" s="17">
        <f>IF(AND(259&gt;=$B$6,259&lt;=$D$6),1,0)</f>
        <v/>
      </c>
      <c r="JC32" s="17">
        <f>IF(AND(260&gt;=$B$6,260&lt;=$D$6),1,0)</f>
        <v/>
      </c>
      <c r="JD32" s="17">
        <f>IF(AND(261&gt;=$B$6,261&lt;=$D$6),1,0)</f>
        <v/>
      </c>
      <c r="JE32" s="17">
        <f>IF(AND(262&gt;=$B$6,262&lt;=$D$6),1,0)</f>
        <v/>
      </c>
      <c r="JF32" s="17">
        <f>IF(AND(263&gt;=$B$6,263&lt;=$D$6),1,0)</f>
        <v/>
      </c>
      <c r="JG32" s="17">
        <f>IF(AND(264&gt;=$B$6,264&lt;=$D$6),1,0)</f>
        <v/>
      </c>
      <c r="JH32" s="17">
        <f>IF(AND(265&gt;=$B$6,265&lt;=$D$6),1,0)</f>
        <v/>
      </c>
      <c r="JI32" s="17">
        <f>IF(AND(266&gt;=$B$6,266&lt;=$D$6),1,0)</f>
        <v/>
      </c>
      <c r="JJ32" s="17">
        <f>IF(AND(267&gt;=$B$6,267&lt;=$D$6),1,0)</f>
        <v/>
      </c>
      <c r="JK32" s="17">
        <f>IF(AND(268&gt;=$B$6,268&lt;=$D$6),1,0)</f>
        <v/>
      </c>
      <c r="JL32" s="17">
        <f>IF(AND(269&gt;=$B$6,269&lt;=$D$6),1,0)</f>
        <v/>
      </c>
      <c r="JM32" s="17">
        <f>IF(AND(270&gt;=$B$6,270&lt;=$D$6),1,0)</f>
        <v/>
      </c>
      <c r="JN32" s="17">
        <f>IF(AND(271&gt;=$B$6,271&lt;=$D$6),1,0)</f>
        <v/>
      </c>
      <c r="JO32" s="17">
        <f>IF(AND(272&gt;=$B$6,272&lt;=$D$6),1,0)</f>
        <v/>
      </c>
      <c r="JP32" s="17">
        <f>IF(AND(273&gt;=$B$6,273&lt;=$D$6),1,0)</f>
        <v/>
      </c>
      <c r="JQ32" s="17">
        <f>IF(AND(274&gt;=$B$6,274&lt;=$D$6),1,0)</f>
        <v/>
      </c>
      <c r="JR32" s="17">
        <f>IF(AND(275&gt;=$B$6,275&lt;=$D$6),1,0)</f>
        <v/>
      </c>
      <c r="JS32" s="17">
        <f>IF(AND(276&gt;=$B$6,276&lt;=$D$6),1,0)</f>
        <v/>
      </c>
      <c r="JT32" s="17">
        <f>IF(AND(277&gt;=$B$6,277&lt;=$D$6),1,0)</f>
        <v/>
      </c>
      <c r="JU32" s="17">
        <f>IF(AND(278&gt;=$B$6,278&lt;=$D$6),1,0)</f>
        <v/>
      </c>
      <c r="JV32" s="17">
        <f>IF(AND(279&gt;=$B$6,279&lt;=$D$6),1,0)</f>
        <v/>
      </c>
      <c r="JW32" s="17">
        <f>IF(AND(280&gt;=$B$6,280&lt;=$D$6),1,0)</f>
        <v/>
      </c>
      <c r="JX32" s="17">
        <f>IF(AND(281&gt;=$B$6,281&lt;=$D$6),1,0)</f>
        <v/>
      </c>
      <c r="JY32" s="17">
        <f>IF(AND(282&gt;=$B$6,282&lt;=$D$6),1,0)</f>
        <v/>
      </c>
      <c r="JZ32" s="17">
        <f>IF(AND(283&gt;=$B$6,283&lt;=$D$6),1,0)</f>
        <v/>
      </c>
      <c r="KA32" s="17">
        <f>IF(AND(284&gt;=$B$6,284&lt;=$D$6),1,0)</f>
        <v/>
      </c>
      <c r="KB32" s="17">
        <f>IF(AND(285&gt;=$B$6,285&lt;=$D$6),1,0)</f>
        <v/>
      </c>
      <c r="KC32" s="17">
        <f>IF(AND(286&gt;=$B$6,286&lt;=$D$6),1,0)</f>
        <v/>
      </c>
      <c r="KD32" s="17">
        <f>IF(AND(287&gt;=$B$6,287&lt;=$D$6),1,0)</f>
        <v/>
      </c>
      <c r="KE32" s="17">
        <f>IF(AND(288&gt;=$B$6,288&lt;=$D$6),1,0)</f>
        <v/>
      </c>
      <c r="KF32" s="17">
        <f>IF(AND(289&gt;=$B$6,289&lt;=$D$6),1,0)</f>
        <v/>
      </c>
      <c r="KG32" s="17">
        <f>IF(AND(290&gt;=$B$6,290&lt;=$D$6),1,0)</f>
        <v/>
      </c>
      <c r="KH32" s="17">
        <f>IF(AND(291&gt;=$B$6,291&lt;=$D$6),1,0)</f>
        <v/>
      </c>
      <c r="KI32" s="17">
        <f>IF(AND(292&gt;=$B$6,292&lt;=$D$6),1,0)</f>
        <v/>
      </c>
      <c r="KJ32" s="17">
        <f>IF(AND(293&gt;=$B$6,293&lt;=$D$6),1,0)</f>
        <v/>
      </c>
      <c r="KK32" s="17">
        <f>IF(AND(294&gt;=$B$6,294&lt;=$D$6),1,0)</f>
        <v/>
      </c>
      <c r="KL32" s="17">
        <f>IF(AND(295&gt;=$B$6,295&lt;=$D$6),1,0)</f>
        <v/>
      </c>
      <c r="KM32" s="17">
        <f>IF(AND(296&gt;=$B$6,296&lt;=$D$6),1,0)</f>
        <v/>
      </c>
      <c r="KN32" s="17">
        <f>IF(AND(297&gt;=$B$6,297&lt;=$D$6),1,0)</f>
        <v/>
      </c>
      <c r="KO32" s="17">
        <f>IF(AND(298&gt;=$B$6,298&lt;=$D$6),1,0)</f>
        <v/>
      </c>
      <c r="KP32" s="17">
        <f>IF(AND(299&gt;=$B$6,299&lt;=$D$6),1,0)</f>
        <v/>
      </c>
      <c r="KQ32" s="17">
        <f>IF(AND(300&gt;=$B$6,300&lt;=$D$6),1,0)</f>
        <v/>
      </c>
      <c r="KR32" s="17">
        <f>IF(AND(301&gt;=$B$6,301&lt;=$D$6),1,0)</f>
        <v/>
      </c>
      <c r="KS32" s="17">
        <f>IF(AND(302&gt;=$B$6,302&lt;=$D$6),1,0)</f>
        <v/>
      </c>
      <c r="KT32" s="17">
        <f>IF(AND(303&gt;=$B$6,303&lt;=$D$6),1,0)</f>
        <v/>
      </c>
      <c r="KU32" s="17">
        <f>IF(AND(304&gt;=$B$6,304&lt;=$D$6),1,0)</f>
        <v/>
      </c>
      <c r="KV32" s="17">
        <f>IF(AND(305&gt;=$B$6,305&lt;=$D$6),1,0)</f>
        <v/>
      </c>
      <c r="KW32" s="17">
        <f>IF(AND(306&gt;=$B$6,306&lt;=$D$6),1,0)</f>
        <v/>
      </c>
      <c r="KX32" s="17">
        <f>IF(AND(307&gt;=$B$6,307&lt;=$D$6),1,0)</f>
        <v/>
      </c>
      <c r="KY32" s="17">
        <f>IF(AND(308&gt;=$B$6,308&lt;=$D$6),1,0)</f>
        <v/>
      </c>
      <c r="KZ32" s="17">
        <f>IF(AND(309&gt;=$B$6,309&lt;=$D$6),1,0)</f>
        <v/>
      </c>
      <c r="LA32" s="17">
        <f>IF(AND(310&gt;=$B$6,310&lt;=$D$6),1,0)</f>
        <v/>
      </c>
      <c r="LB32" s="17">
        <f>IF(AND(311&gt;=$B$6,311&lt;=$D$6),1,0)</f>
        <v/>
      </c>
      <c r="LC32" s="17">
        <f>IF(AND(312&gt;=$B$6,312&lt;=$D$6),1,0)</f>
        <v/>
      </c>
      <c r="LD32" s="17">
        <f>IF(AND(313&gt;=$B$6,313&lt;=$D$6),1,0)</f>
        <v/>
      </c>
      <c r="LE32" s="17">
        <f>IF(AND(314&gt;=$B$6,314&lt;=$D$6),1,0)</f>
        <v/>
      </c>
      <c r="LF32" s="17">
        <f>IF(AND(315&gt;=$B$6,315&lt;=$D$6),1,0)</f>
        <v/>
      </c>
      <c r="LG32" s="17">
        <f>IF(AND(316&gt;=$B$6,316&lt;=$D$6),1,0)</f>
        <v/>
      </c>
      <c r="LH32" s="17">
        <f>IF(AND(317&gt;=$B$6,317&lt;=$D$6),1,0)</f>
        <v/>
      </c>
      <c r="LI32" s="17">
        <f>IF(AND(318&gt;=$B$6,318&lt;=$D$6),1,0)</f>
        <v/>
      </c>
      <c r="LJ32" s="17">
        <f>IF(AND(319&gt;=$B$6,319&lt;=$D$6),1,0)</f>
        <v/>
      </c>
      <c r="LK32" s="17">
        <f>IF(AND(320&gt;=$B$6,320&lt;=$D$6),1,0)</f>
        <v/>
      </c>
      <c r="LL32" s="17">
        <f>IF(AND(321&gt;=$B$6,321&lt;=$D$6),1,0)</f>
        <v/>
      </c>
      <c r="LM32" s="17">
        <f>IF(AND(322&gt;=$B$6,322&lt;=$D$6),1,0)</f>
        <v/>
      </c>
      <c r="LN32" s="17">
        <f>IF(AND(323&gt;=$B$6,323&lt;=$D$6),1,0)</f>
        <v/>
      </c>
      <c r="LO32" s="17">
        <f>IF(AND(324&gt;=$B$6,324&lt;=$D$6),1,0)</f>
        <v/>
      </c>
      <c r="LP32" s="17">
        <f>IF(AND(325&gt;=$B$6,325&lt;=$D$6),1,0)</f>
        <v/>
      </c>
      <c r="LQ32" s="17">
        <f>IF(AND(326&gt;=$B$6,326&lt;=$D$6),1,0)</f>
        <v/>
      </c>
      <c r="LR32" s="17">
        <f>IF(AND(327&gt;=$B$6,327&lt;=$D$6),1,0)</f>
        <v/>
      </c>
      <c r="LS32" s="17">
        <f>IF(AND(328&gt;=$B$6,328&lt;=$D$6),1,0)</f>
        <v/>
      </c>
      <c r="LT32" s="17">
        <f>IF(AND(329&gt;=$B$6,329&lt;=$D$6),1,0)</f>
        <v/>
      </c>
      <c r="LU32" s="17">
        <f>IF(AND(330&gt;=$B$6,330&lt;=$D$6),1,0)</f>
        <v/>
      </c>
      <c r="LV32" s="17">
        <f>IF(AND(331&gt;=$B$6,331&lt;=$D$6),1,0)</f>
        <v/>
      </c>
      <c r="LW32" s="17">
        <f>IF(AND(332&gt;=$B$6,332&lt;=$D$6),1,0)</f>
        <v/>
      </c>
      <c r="LX32" s="17">
        <f>IF(AND(333&gt;=$B$6,333&lt;=$D$6),1,0)</f>
        <v/>
      </c>
      <c r="LY32" s="17">
        <f>IF(AND(334&gt;=$B$6,334&lt;=$D$6),1,0)</f>
        <v/>
      </c>
      <c r="LZ32" s="17">
        <f>IF(AND(335&gt;=$B$6,335&lt;=$D$6),1,0)</f>
        <v/>
      </c>
      <c r="MA32" s="17">
        <f>IF(AND(336&gt;=$B$6,336&lt;=$D$6),1,0)</f>
        <v/>
      </c>
      <c r="MB32" s="17">
        <f>IF(AND(337&gt;=$B$6,337&lt;=$D$6),1,0)</f>
        <v/>
      </c>
      <c r="MC32" s="17">
        <f>IF(AND(338&gt;=$B$6,338&lt;=$D$6),1,0)</f>
        <v/>
      </c>
      <c r="MD32" s="17">
        <f>IF(AND(339&gt;=$B$6,339&lt;=$D$6),1,0)</f>
        <v/>
      </c>
      <c r="ME32" s="17">
        <f>IF(AND(340&gt;=$B$6,340&lt;=$D$6),1,0)</f>
        <v/>
      </c>
      <c r="MF32" s="17">
        <f>IF(AND(341&gt;=$B$6,341&lt;=$D$6),1,0)</f>
        <v/>
      </c>
      <c r="MG32" s="17">
        <f>IF(AND(342&gt;=$B$6,342&lt;=$D$6),1,0)</f>
        <v/>
      </c>
      <c r="MH32" s="17">
        <f>IF(AND(343&gt;=$B$6,343&lt;=$D$6),1,0)</f>
        <v/>
      </c>
      <c r="MI32" s="17">
        <f>IF(AND(344&gt;=$B$6,344&lt;=$D$6),1,0)</f>
        <v/>
      </c>
      <c r="MJ32" s="17">
        <f>IF(AND(345&gt;=$B$6,345&lt;=$D$6),1,0)</f>
        <v/>
      </c>
      <c r="MK32" s="17">
        <f>IF(AND(346&gt;=$B$6,346&lt;=$D$6),1,0)</f>
        <v/>
      </c>
      <c r="ML32" s="17">
        <f>IF(AND(347&gt;=$B$6,347&lt;=$D$6),1,0)</f>
        <v/>
      </c>
      <c r="MM32" s="17">
        <f>IF(AND(348&gt;=$B$6,348&lt;=$D$6),1,0)</f>
        <v/>
      </c>
      <c r="MN32" s="17">
        <f>IF(AND(349&gt;=$B$6,349&lt;=$D$6),1,0)</f>
        <v/>
      </c>
      <c r="MO32" s="17">
        <f>IF(AND(350&gt;=$B$6,350&lt;=$D$6),1,0)</f>
        <v/>
      </c>
      <c r="MP32" s="17">
        <f>IF(AND(351&gt;=$B$6,351&lt;=$D$6),1,0)</f>
        <v/>
      </c>
      <c r="MQ32" s="17">
        <f>IF(AND(352&gt;=$B$6,352&lt;=$D$6),1,0)</f>
        <v/>
      </c>
      <c r="MR32" s="17">
        <f>IF(AND(353&gt;=$B$6,353&lt;=$D$6),1,0)</f>
        <v/>
      </c>
      <c r="MS32" s="17">
        <f>IF(AND(354&gt;=$B$6,354&lt;=$D$6),1,0)</f>
        <v/>
      </c>
      <c r="MT32" s="17">
        <f>IF(AND(355&gt;=$B$6,355&lt;=$D$6),1,0)</f>
        <v/>
      </c>
      <c r="MU32" s="17">
        <f>IF(AND(356&gt;=$B$6,356&lt;=$D$6),1,0)</f>
        <v/>
      </c>
      <c r="MV32" s="17">
        <f>IF(AND(357&gt;=$B$6,357&lt;=$D$6),1,0)</f>
        <v/>
      </c>
      <c r="MW32" s="17">
        <f>IF(AND(358&gt;=$B$6,358&lt;=$D$6),1,0)</f>
        <v/>
      </c>
      <c r="MX32" s="17">
        <f>IF(AND(359&gt;=$B$6,359&lt;=$D$6),1,0)</f>
        <v/>
      </c>
      <c r="MY32" s="17">
        <f>IF(AND(360&gt;=$B$6,360&lt;=$D$6),1,0)</f>
        <v/>
      </c>
      <c r="MZ32" s="17">
        <f>IF(AND(361&gt;=$B$6,361&lt;=$D$6),1,0)</f>
        <v/>
      </c>
      <c r="NA32" s="17">
        <f>IF(AND(362&gt;=$B$6,362&lt;=$D$6),1,0)</f>
        <v/>
      </c>
      <c r="NB32" s="17">
        <f>IF(AND(363&gt;=$B$6,363&lt;=$D$6),1,0)</f>
        <v/>
      </c>
      <c r="NC32" s="17">
        <f>IF(AND(364&gt;=$B$6,364&lt;=$D$6),1,0)</f>
        <v/>
      </c>
      <c r="ND32" s="17">
        <f>IF(AND(365&gt;=$B$6,365&lt;=$D$6),1,0)</f>
        <v/>
      </c>
      <c r="NE32" s="17">
        <f>IF(AND(366&gt;=$B$6,366&lt;=$D$6),1,0)</f>
        <v/>
      </c>
      <c r="NF32" s="17">
        <f>IF(AND(367&gt;=$B$6,367&lt;=$D$6),1,0)</f>
        <v/>
      </c>
      <c r="NG32" s="17">
        <f>IF(AND(368&gt;=$B$6,368&lt;=$D$6),1,0)</f>
        <v/>
      </c>
      <c r="NH32" s="17">
        <f>IF(AND(369&gt;=$B$6,369&lt;=$D$6),1,0)</f>
        <v/>
      </c>
      <c r="NI32" s="17">
        <f>IF(AND(370&gt;=$B$6,370&lt;=$D$6),1,0)</f>
        <v/>
      </c>
      <c r="NJ32" s="17">
        <f>IF(AND(371&gt;=$B$6,371&lt;=$D$6),1,0)</f>
        <v/>
      </c>
      <c r="NK32" s="17">
        <f>IF(AND(372&gt;=$B$6,372&lt;=$D$6),1,0)</f>
        <v/>
      </c>
    </row>
    <row r="33">
      <c r="A33" s="5" t="inlineStr">
        <is>
          <t>Flag: Pre-Construction</t>
        </is>
      </c>
      <c r="C33" s="40" t="n"/>
      <c r="D33" s="17">
        <f>IF(AND(1&gt;=$B$7,1&lt;=$D$7),1,0)</f>
        <v/>
      </c>
      <c r="E33" s="17">
        <f>IF(AND(2&gt;=$B$7,2&lt;=$D$7),1,0)</f>
        <v/>
      </c>
      <c r="F33" s="17">
        <f>IF(AND(3&gt;=$B$7,3&lt;=$D$7),1,0)</f>
        <v/>
      </c>
      <c r="G33" s="17">
        <f>IF(AND(4&gt;=$B$7,4&lt;=$D$7),1,0)</f>
        <v/>
      </c>
      <c r="H33" s="17">
        <f>IF(AND(5&gt;=$B$7,5&lt;=$D$7),1,0)</f>
        <v/>
      </c>
      <c r="I33" s="17">
        <f>IF(AND(6&gt;=$B$7,6&lt;=$D$7),1,0)</f>
        <v/>
      </c>
      <c r="J33" s="17">
        <f>IF(AND(7&gt;=$B$7,7&lt;=$D$7),1,0)</f>
        <v/>
      </c>
      <c r="K33" s="17">
        <f>IF(AND(8&gt;=$B$7,8&lt;=$D$7),1,0)</f>
        <v/>
      </c>
      <c r="L33" s="17">
        <f>IF(AND(9&gt;=$B$7,9&lt;=$D$7),1,0)</f>
        <v/>
      </c>
      <c r="M33" s="17">
        <f>IF(AND(10&gt;=$B$7,10&lt;=$D$7),1,0)</f>
        <v/>
      </c>
      <c r="N33" s="17">
        <f>IF(AND(11&gt;=$B$7,11&lt;=$D$7),1,0)</f>
        <v/>
      </c>
      <c r="O33" s="17">
        <f>IF(AND(12&gt;=$B$7,12&lt;=$D$7),1,0)</f>
        <v/>
      </c>
      <c r="P33" s="17">
        <f>IF(AND(13&gt;=$B$7,13&lt;=$D$7),1,0)</f>
        <v/>
      </c>
      <c r="Q33" s="17">
        <f>IF(AND(14&gt;=$B$7,14&lt;=$D$7),1,0)</f>
        <v/>
      </c>
      <c r="R33" s="17">
        <f>IF(AND(15&gt;=$B$7,15&lt;=$D$7),1,0)</f>
        <v/>
      </c>
      <c r="S33" s="17">
        <f>IF(AND(16&gt;=$B$7,16&lt;=$D$7),1,0)</f>
        <v/>
      </c>
      <c r="T33" s="17">
        <f>IF(AND(17&gt;=$B$7,17&lt;=$D$7),1,0)</f>
        <v/>
      </c>
      <c r="U33" s="17">
        <f>IF(AND(18&gt;=$B$7,18&lt;=$D$7),1,0)</f>
        <v/>
      </c>
      <c r="V33" s="17">
        <f>IF(AND(19&gt;=$B$7,19&lt;=$D$7),1,0)</f>
        <v/>
      </c>
      <c r="W33" s="17">
        <f>IF(AND(20&gt;=$B$7,20&lt;=$D$7),1,0)</f>
        <v/>
      </c>
      <c r="X33" s="17">
        <f>IF(AND(21&gt;=$B$7,21&lt;=$D$7),1,0)</f>
        <v/>
      </c>
      <c r="Y33" s="17">
        <f>IF(AND(22&gt;=$B$7,22&lt;=$D$7),1,0)</f>
        <v/>
      </c>
      <c r="Z33" s="17">
        <f>IF(AND(23&gt;=$B$7,23&lt;=$D$7),1,0)</f>
        <v/>
      </c>
      <c r="AA33" s="17">
        <f>IF(AND(24&gt;=$B$7,24&lt;=$D$7),1,0)</f>
        <v/>
      </c>
      <c r="AB33" s="17">
        <f>IF(AND(25&gt;=$B$7,25&lt;=$D$7),1,0)</f>
        <v/>
      </c>
      <c r="AC33" s="17">
        <f>IF(AND(26&gt;=$B$7,26&lt;=$D$7),1,0)</f>
        <v/>
      </c>
      <c r="AD33" s="17">
        <f>IF(AND(27&gt;=$B$7,27&lt;=$D$7),1,0)</f>
        <v/>
      </c>
      <c r="AE33" s="17">
        <f>IF(AND(28&gt;=$B$7,28&lt;=$D$7),1,0)</f>
        <v/>
      </c>
      <c r="AF33" s="17">
        <f>IF(AND(29&gt;=$B$7,29&lt;=$D$7),1,0)</f>
        <v/>
      </c>
      <c r="AG33" s="17">
        <f>IF(AND(30&gt;=$B$7,30&lt;=$D$7),1,0)</f>
        <v/>
      </c>
      <c r="AH33" s="17">
        <f>IF(AND(31&gt;=$B$7,31&lt;=$D$7),1,0)</f>
        <v/>
      </c>
      <c r="AI33" s="17">
        <f>IF(AND(32&gt;=$B$7,32&lt;=$D$7),1,0)</f>
        <v/>
      </c>
      <c r="AJ33" s="17">
        <f>IF(AND(33&gt;=$B$7,33&lt;=$D$7),1,0)</f>
        <v/>
      </c>
      <c r="AK33" s="17">
        <f>IF(AND(34&gt;=$B$7,34&lt;=$D$7),1,0)</f>
        <v/>
      </c>
      <c r="AL33" s="17">
        <f>IF(AND(35&gt;=$B$7,35&lt;=$D$7),1,0)</f>
        <v/>
      </c>
      <c r="AM33" s="17">
        <f>IF(AND(36&gt;=$B$7,36&lt;=$D$7),1,0)</f>
        <v/>
      </c>
      <c r="AN33" s="17">
        <f>IF(AND(37&gt;=$B$7,37&lt;=$D$7),1,0)</f>
        <v/>
      </c>
      <c r="AO33" s="17">
        <f>IF(AND(38&gt;=$B$7,38&lt;=$D$7),1,0)</f>
        <v/>
      </c>
      <c r="AP33" s="17">
        <f>IF(AND(39&gt;=$B$7,39&lt;=$D$7),1,0)</f>
        <v/>
      </c>
      <c r="AQ33" s="17">
        <f>IF(AND(40&gt;=$B$7,40&lt;=$D$7),1,0)</f>
        <v/>
      </c>
      <c r="AR33" s="17">
        <f>IF(AND(41&gt;=$B$7,41&lt;=$D$7),1,0)</f>
        <v/>
      </c>
      <c r="AS33" s="17">
        <f>IF(AND(42&gt;=$B$7,42&lt;=$D$7),1,0)</f>
        <v/>
      </c>
      <c r="AT33" s="17">
        <f>IF(AND(43&gt;=$B$7,43&lt;=$D$7),1,0)</f>
        <v/>
      </c>
      <c r="AU33" s="17">
        <f>IF(AND(44&gt;=$B$7,44&lt;=$D$7),1,0)</f>
        <v/>
      </c>
      <c r="AV33" s="17">
        <f>IF(AND(45&gt;=$B$7,45&lt;=$D$7),1,0)</f>
        <v/>
      </c>
      <c r="AW33" s="17">
        <f>IF(AND(46&gt;=$B$7,46&lt;=$D$7),1,0)</f>
        <v/>
      </c>
      <c r="AX33" s="17">
        <f>IF(AND(47&gt;=$B$7,47&lt;=$D$7),1,0)</f>
        <v/>
      </c>
      <c r="AY33" s="17">
        <f>IF(AND(48&gt;=$B$7,48&lt;=$D$7),1,0)</f>
        <v/>
      </c>
      <c r="AZ33" s="17">
        <f>IF(AND(49&gt;=$B$7,49&lt;=$D$7),1,0)</f>
        <v/>
      </c>
      <c r="BA33" s="17">
        <f>IF(AND(50&gt;=$B$7,50&lt;=$D$7),1,0)</f>
        <v/>
      </c>
      <c r="BB33" s="17">
        <f>IF(AND(51&gt;=$B$7,51&lt;=$D$7),1,0)</f>
        <v/>
      </c>
      <c r="BC33" s="17">
        <f>IF(AND(52&gt;=$B$7,52&lt;=$D$7),1,0)</f>
        <v/>
      </c>
      <c r="BD33" s="17">
        <f>IF(AND(53&gt;=$B$7,53&lt;=$D$7),1,0)</f>
        <v/>
      </c>
      <c r="BE33" s="17">
        <f>IF(AND(54&gt;=$B$7,54&lt;=$D$7),1,0)</f>
        <v/>
      </c>
      <c r="BF33" s="17">
        <f>IF(AND(55&gt;=$B$7,55&lt;=$D$7),1,0)</f>
        <v/>
      </c>
      <c r="BG33" s="17">
        <f>IF(AND(56&gt;=$B$7,56&lt;=$D$7),1,0)</f>
        <v/>
      </c>
      <c r="BH33" s="17">
        <f>IF(AND(57&gt;=$B$7,57&lt;=$D$7),1,0)</f>
        <v/>
      </c>
      <c r="BI33" s="17">
        <f>IF(AND(58&gt;=$B$7,58&lt;=$D$7),1,0)</f>
        <v/>
      </c>
      <c r="BJ33" s="17">
        <f>IF(AND(59&gt;=$B$7,59&lt;=$D$7),1,0)</f>
        <v/>
      </c>
      <c r="BK33" s="17">
        <f>IF(AND(60&gt;=$B$7,60&lt;=$D$7),1,0)</f>
        <v/>
      </c>
      <c r="BL33" s="17">
        <f>IF(AND(61&gt;=$B$7,61&lt;=$D$7),1,0)</f>
        <v/>
      </c>
      <c r="BM33" s="17">
        <f>IF(AND(62&gt;=$B$7,62&lt;=$D$7),1,0)</f>
        <v/>
      </c>
      <c r="BN33" s="17">
        <f>IF(AND(63&gt;=$B$7,63&lt;=$D$7),1,0)</f>
        <v/>
      </c>
      <c r="BO33" s="17">
        <f>IF(AND(64&gt;=$B$7,64&lt;=$D$7),1,0)</f>
        <v/>
      </c>
      <c r="BP33" s="17">
        <f>IF(AND(65&gt;=$B$7,65&lt;=$D$7),1,0)</f>
        <v/>
      </c>
      <c r="BQ33" s="17">
        <f>IF(AND(66&gt;=$B$7,66&lt;=$D$7),1,0)</f>
        <v/>
      </c>
      <c r="BR33" s="17">
        <f>IF(AND(67&gt;=$B$7,67&lt;=$D$7),1,0)</f>
        <v/>
      </c>
      <c r="BS33" s="17">
        <f>IF(AND(68&gt;=$B$7,68&lt;=$D$7),1,0)</f>
        <v/>
      </c>
      <c r="BT33" s="17">
        <f>IF(AND(69&gt;=$B$7,69&lt;=$D$7),1,0)</f>
        <v/>
      </c>
      <c r="BU33" s="17">
        <f>IF(AND(70&gt;=$B$7,70&lt;=$D$7),1,0)</f>
        <v/>
      </c>
      <c r="BV33" s="17">
        <f>IF(AND(71&gt;=$B$7,71&lt;=$D$7),1,0)</f>
        <v/>
      </c>
      <c r="BW33" s="17">
        <f>IF(AND(72&gt;=$B$7,72&lt;=$D$7),1,0)</f>
        <v/>
      </c>
      <c r="BX33" s="17">
        <f>IF(AND(73&gt;=$B$7,73&lt;=$D$7),1,0)</f>
        <v/>
      </c>
      <c r="BY33" s="17">
        <f>IF(AND(74&gt;=$B$7,74&lt;=$D$7),1,0)</f>
        <v/>
      </c>
      <c r="BZ33" s="17">
        <f>IF(AND(75&gt;=$B$7,75&lt;=$D$7),1,0)</f>
        <v/>
      </c>
      <c r="CA33" s="17">
        <f>IF(AND(76&gt;=$B$7,76&lt;=$D$7),1,0)</f>
        <v/>
      </c>
      <c r="CB33" s="17">
        <f>IF(AND(77&gt;=$B$7,77&lt;=$D$7),1,0)</f>
        <v/>
      </c>
      <c r="CC33" s="17">
        <f>IF(AND(78&gt;=$B$7,78&lt;=$D$7),1,0)</f>
        <v/>
      </c>
      <c r="CD33" s="17">
        <f>IF(AND(79&gt;=$B$7,79&lt;=$D$7),1,0)</f>
        <v/>
      </c>
      <c r="CE33" s="17">
        <f>IF(AND(80&gt;=$B$7,80&lt;=$D$7),1,0)</f>
        <v/>
      </c>
      <c r="CF33" s="17">
        <f>IF(AND(81&gt;=$B$7,81&lt;=$D$7),1,0)</f>
        <v/>
      </c>
      <c r="CG33" s="17">
        <f>IF(AND(82&gt;=$B$7,82&lt;=$D$7),1,0)</f>
        <v/>
      </c>
      <c r="CH33" s="17">
        <f>IF(AND(83&gt;=$B$7,83&lt;=$D$7),1,0)</f>
        <v/>
      </c>
      <c r="CI33" s="17">
        <f>IF(AND(84&gt;=$B$7,84&lt;=$D$7),1,0)</f>
        <v/>
      </c>
      <c r="CJ33" s="17">
        <f>IF(AND(85&gt;=$B$7,85&lt;=$D$7),1,0)</f>
        <v/>
      </c>
      <c r="CK33" s="17">
        <f>IF(AND(86&gt;=$B$7,86&lt;=$D$7),1,0)</f>
        <v/>
      </c>
      <c r="CL33" s="17">
        <f>IF(AND(87&gt;=$B$7,87&lt;=$D$7),1,0)</f>
        <v/>
      </c>
      <c r="CM33" s="17">
        <f>IF(AND(88&gt;=$B$7,88&lt;=$D$7),1,0)</f>
        <v/>
      </c>
      <c r="CN33" s="17">
        <f>IF(AND(89&gt;=$B$7,89&lt;=$D$7),1,0)</f>
        <v/>
      </c>
      <c r="CO33" s="17">
        <f>IF(AND(90&gt;=$B$7,90&lt;=$D$7),1,0)</f>
        <v/>
      </c>
      <c r="CP33" s="17">
        <f>IF(AND(91&gt;=$B$7,91&lt;=$D$7),1,0)</f>
        <v/>
      </c>
      <c r="CQ33" s="17">
        <f>IF(AND(92&gt;=$B$7,92&lt;=$D$7),1,0)</f>
        <v/>
      </c>
      <c r="CR33" s="17">
        <f>IF(AND(93&gt;=$B$7,93&lt;=$D$7),1,0)</f>
        <v/>
      </c>
      <c r="CS33" s="17">
        <f>IF(AND(94&gt;=$B$7,94&lt;=$D$7),1,0)</f>
        <v/>
      </c>
      <c r="CT33" s="17">
        <f>IF(AND(95&gt;=$B$7,95&lt;=$D$7),1,0)</f>
        <v/>
      </c>
      <c r="CU33" s="17">
        <f>IF(AND(96&gt;=$B$7,96&lt;=$D$7),1,0)</f>
        <v/>
      </c>
      <c r="CV33" s="17">
        <f>IF(AND(97&gt;=$B$7,97&lt;=$D$7),1,0)</f>
        <v/>
      </c>
      <c r="CW33" s="17">
        <f>IF(AND(98&gt;=$B$7,98&lt;=$D$7),1,0)</f>
        <v/>
      </c>
      <c r="CX33" s="17">
        <f>IF(AND(99&gt;=$B$7,99&lt;=$D$7),1,0)</f>
        <v/>
      </c>
      <c r="CY33" s="17">
        <f>IF(AND(100&gt;=$B$7,100&lt;=$D$7),1,0)</f>
        <v/>
      </c>
      <c r="CZ33" s="17">
        <f>IF(AND(101&gt;=$B$7,101&lt;=$D$7),1,0)</f>
        <v/>
      </c>
      <c r="DA33" s="17">
        <f>IF(AND(102&gt;=$B$7,102&lt;=$D$7),1,0)</f>
        <v/>
      </c>
      <c r="DB33" s="17">
        <f>IF(AND(103&gt;=$B$7,103&lt;=$D$7),1,0)</f>
        <v/>
      </c>
      <c r="DC33" s="17">
        <f>IF(AND(104&gt;=$B$7,104&lt;=$D$7),1,0)</f>
        <v/>
      </c>
      <c r="DD33" s="17">
        <f>IF(AND(105&gt;=$B$7,105&lt;=$D$7),1,0)</f>
        <v/>
      </c>
      <c r="DE33" s="17">
        <f>IF(AND(106&gt;=$B$7,106&lt;=$D$7),1,0)</f>
        <v/>
      </c>
      <c r="DF33" s="17">
        <f>IF(AND(107&gt;=$B$7,107&lt;=$D$7),1,0)</f>
        <v/>
      </c>
      <c r="DG33" s="17">
        <f>IF(AND(108&gt;=$B$7,108&lt;=$D$7),1,0)</f>
        <v/>
      </c>
      <c r="DH33" s="17">
        <f>IF(AND(109&gt;=$B$7,109&lt;=$D$7),1,0)</f>
        <v/>
      </c>
      <c r="DI33" s="17">
        <f>IF(AND(110&gt;=$B$7,110&lt;=$D$7),1,0)</f>
        <v/>
      </c>
      <c r="DJ33" s="17">
        <f>IF(AND(111&gt;=$B$7,111&lt;=$D$7),1,0)</f>
        <v/>
      </c>
      <c r="DK33" s="17">
        <f>IF(AND(112&gt;=$B$7,112&lt;=$D$7),1,0)</f>
        <v/>
      </c>
      <c r="DL33" s="17">
        <f>IF(AND(113&gt;=$B$7,113&lt;=$D$7),1,0)</f>
        <v/>
      </c>
      <c r="DM33" s="17">
        <f>IF(AND(114&gt;=$B$7,114&lt;=$D$7),1,0)</f>
        <v/>
      </c>
      <c r="DN33" s="17">
        <f>IF(AND(115&gt;=$B$7,115&lt;=$D$7),1,0)</f>
        <v/>
      </c>
      <c r="DO33" s="17">
        <f>IF(AND(116&gt;=$B$7,116&lt;=$D$7),1,0)</f>
        <v/>
      </c>
      <c r="DP33" s="17">
        <f>IF(AND(117&gt;=$B$7,117&lt;=$D$7),1,0)</f>
        <v/>
      </c>
      <c r="DQ33" s="17">
        <f>IF(AND(118&gt;=$B$7,118&lt;=$D$7),1,0)</f>
        <v/>
      </c>
      <c r="DR33" s="17">
        <f>IF(AND(119&gt;=$B$7,119&lt;=$D$7),1,0)</f>
        <v/>
      </c>
      <c r="DS33" s="17">
        <f>IF(AND(120&gt;=$B$7,120&lt;=$D$7),1,0)</f>
        <v/>
      </c>
      <c r="DT33" s="17">
        <f>IF(AND(121&gt;=$B$7,121&lt;=$D$7),1,0)</f>
        <v/>
      </c>
      <c r="DU33" s="17">
        <f>IF(AND(122&gt;=$B$7,122&lt;=$D$7),1,0)</f>
        <v/>
      </c>
      <c r="DV33" s="17">
        <f>IF(AND(123&gt;=$B$7,123&lt;=$D$7),1,0)</f>
        <v/>
      </c>
      <c r="DW33" s="17">
        <f>IF(AND(124&gt;=$B$7,124&lt;=$D$7),1,0)</f>
        <v/>
      </c>
      <c r="DX33" s="17">
        <f>IF(AND(125&gt;=$B$7,125&lt;=$D$7),1,0)</f>
        <v/>
      </c>
      <c r="DY33" s="17">
        <f>IF(AND(126&gt;=$B$7,126&lt;=$D$7),1,0)</f>
        <v/>
      </c>
      <c r="DZ33" s="17">
        <f>IF(AND(127&gt;=$B$7,127&lt;=$D$7),1,0)</f>
        <v/>
      </c>
      <c r="EA33" s="17">
        <f>IF(AND(128&gt;=$B$7,128&lt;=$D$7),1,0)</f>
        <v/>
      </c>
      <c r="EB33" s="17">
        <f>IF(AND(129&gt;=$B$7,129&lt;=$D$7),1,0)</f>
        <v/>
      </c>
      <c r="EC33" s="17">
        <f>IF(AND(130&gt;=$B$7,130&lt;=$D$7),1,0)</f>
        <v/>
      </c>
      <c r="ED33" s="17">
        <f>IF(AND(131&gt;=$B$7,131&lt;=$D$7),1,0)</f>
        <v/>
      </c>
      <c r="EE33" s="17">
        <f>IF(AND(132&gt;=$B$7,132&lt;=$D$7),1,0)</f>
        <v/>
      </c>
      <c r="EF33" s="17">
        <f>IF(AND(133&gt;=$B$7,133&lt;=$D$7),1,0)</f>
        <v/>
      </c>
      <c r="EG33" s="17">
        <f>IF(AND(134&gt;=$B$7,134&lt;=$D$7),1,0)</f>
        <v/>
      </c>
      <c r="EH33" s="17">
        <f>IF(AND(135&gt;=$B$7,135&lt;=$D$7),1,0)</f>
        <v/>
      </c>
      <c r="EI33" s="17">
        <f>IF(AND(136&gt;=$B$7,136&lt;=$D$7),1,0)</f>
        <v/>
      </c>
      <c r="EJ33" s="17">
        <f>IF(AND(137&gt;=$B$7,137&lt;=$D$7),1,0)</f>
        <v/>
      </c>
      <c r="EK33" s="17">
        <f>IF(AND(138&gt;=$B$7,138&lt;=$D$7),1,0)</f>
        <v/>
      </c>
      <c r="EL33" s="17">
        <f>IF(AND(139&gt;=$B$7,139&lt;=$D$7),1,0)</f>
        <v/>
      </c>
      <c r="EM33" s="17">
        <f>IF(AND(140&gt;=$B$7,140&lt;=$D$7),1,0)</f>
        <v/>
      </c>
      <c r="EN33" s="17">
        <f>IF(AND(141&gt;=$B$7,141&lt;=$D$7),1,0)</f>
        <v/>
      </c>
      <c r="EO33" s="17">
        <f>IF(AND(142&gt;=$B$7,142&lt;=$D$7),1,0)</f>
        <v/>
      </c>
      <c r="EP33" s="17">
        <f>IF(AND(143&gt;=$B$7,143&lt;=$D$7),1,0)</f>
        <v/>
      </c>
      <c r="EQ33" s="17">
        <f>IF(AND(144&gt;=$B$7,144&lt;=$D$7),1,0)</f>
        <v/>
      </c>
      <c r="ER33" s="17">
        <f>IF(AND(145&gt;=$B$7,145&lt;=$D$7),1,0)</f>
        <v/>
      </c>
      <c r="ES33" s="17">
        <f>IF(AND(146&gt;=$B$7,146&lt;=$D$7),1,0)</f>
        <v/>
      </c>
      <c r="ET33" s="17">
        <f>IF(AND(147&gt;=$B$7,147&lt;=$D$7),1,0)</f>
        <v/>
      </c>
      <c r="EU33" s="17">
        <f>IF(AND(148&gt;=$B$7,148&lt;=$D$7),1,0)</f>
        <v/>
      </c>
      <c r="EV33" s="17">
        <f>IF(AND(149&gt;=$B$7,149&lt;=$D$7),1,0)</f>
        <v/>
      </c>
      <c r="EW33" s="17">
        <f>IF(AND(150&gt;=$B$7,150&lt;=$D$7),1,0)</f>
        <v/>
      </c>
      <c r="EX33" s="17">
        <f>IF(AND(151&gt;=$B$7,151&lt;=$D$7),1,0)</f>
        <v/>
      </c>
      <c r="EY33" s="17">
        <f>IF(AND(152&gt;=$B$7,152&lt;=$D$7),1,0)</f>
        <v/>
      </c>
      <c r="EZ33" s="17">
        <f>IF(AND(153&gt;=$B$7,153&lt;=$D$7),1,0)</f>
        <v/>
      </c>
      <c r="FA33" s="17">
        <f>IF(AND(154&gt;=$B$7,154&lt;=$D$7),1,0)</f>
        <v/>
      </c>
      <c r="FB33" s="17">
        <f>IF(AND(155&gt;=$B$7,155&lt;=$D$7),1,0)</f>
        <v/>
      </c>
      <c r="FC33" s="17">
        <f>IF(AND(156&gt;=$B$7,156&lt;=$D$7),1,0)</f>
        <v/>
      </c>
      <c r="FD33" s="17">
        <f>IF(AND(157&gt;=$B$7,157&lt;=$D$7),1,0)</f>
        <v/>
      </c>
      <c r="FE33" s="17">
        <f>IF(AND(158&gt;=$B$7,158&lt;=$D$7),1,0)</f>
        <v/>
      </c>
      <c r="FF33" s="17">
        <f>IF(AND(159&gt;=$B$7,159&lt;=$D$7),1,0)</f>
        <v/>
      </c>
      <c r="FG33" s="17">
        <f>IF(AND(160&gt;=$B$7,160&lt;=$D$7),1,0)</f>
        <v/>
      </c>
      <c r="FH33" s="17">
        <f>IF(AND(161&gt;=$B$7,161&lt;=$D$7),1,0)</f>
        <v/>
      </c>
      <c r="FI33" s="17">
        <f>IF(AND(162&gt;=$B$7,162&lt;=$D$7),1,0)</f>
        <v/>
      </c>
      <c r="FJ33" s="17">
        <f>IF(AND(163&gt;=$B$7,163&lt;=$D$7),1,0)</f>
        <v/>
      </c>
      <c r="FK33" s="17">
        <f>IF(AND(164&gt;=$B$7,164&lt;=$D$7),1,0)</f>
        <v/>
      </c>
      <c r="FL33" s="17">
        <f>IF(AND(165&gt;=$B$7,165&lt;=$D$7),1,0)</f>
        <v/>
      </c>
      <c r="FM33" s="17">
        <f>IF(AND(166&gt;=$B$7,166&lt;=$D$7),1,0)</f>
        <v/>
      </c>
      <c r="FN33" s="17">
        <f>IF(AND(167&gt;=$B$7,167&lt;=$D$7),1,0)</f>
        <v/>
      </c>
      <c r="FO33" s="17">
        <f>IF(AND(168&gt;=$B$7,168&lt;=$D$7),1,0)</f>
        <v/>
      </c>
      <c r="FP33" s="17">
        <f>IF(AND(169&gt;=$B$7,169&lt;=$D$7),1,0)</f>
        <v/>
      </c>
      <c r="FQ33" s="17">
        <f>IF(AND(170&gt;=$B$7,170&lt;=$D$7),1,0)</f>
        <v/>
      </c>
      <c r="FR33" s="17">
        <f>IF(AND(171&gt;=$B$7,171&lt;=$D$7),1,0)</f>
        <v/>
      </c>
      <c r="FS33" s="17">
        <f>IF(AND(172&gt;=$B$7,172&lt;=$D$7),1,0)</f>
        <v/>
      </c>
      <c r="FT33" s="17">
        <f>IF(AND(173&gt;=$B$7,173&lt;=$D$7),1,0)</f>
        <v/>
      </c>
      <c r="FU33" s="17">
        <f>IF(AND(174&gt;=$B$7,174&lt;=$D$7),1,0)</f>
        <v/>
      </c>
      <c r="FV33" s="17">
        <f>IF(AND(175&gt;=$B$7,175&lt;=$D$7),1,0)</f>
        <v/>
      </c>
      <c r="FW33" s="17">
        <f>IF(AND(176&gt;=$B$7,176&lt;=$D$7),1,0)</f>
        <v/>
      </c>
      <c r="FX33" s="17">
        <f>IF(AND(177&gt;=$B$7,177&lt;=$D$7),1,0)</f>
        <v/>
      </c>
      <c r="FY33" s="17">
        <f>IF(AND(178&gt;=$B$7,178&lt;=$D$7),1,0)</f>
        <v/>
      </c>
      <c r="FZ33" s="17">
        <f>IF(AND(179&gt;=$B$7,179&lt;=$D$7),1,0)</f>
        <v/>
      </c>
      <c r="GA33" s="17">
        <f>IF(AND(180&gt;=$B$7,180&lt;=$D$7),1,0)</f>
        <v/>
      </c>
      <c r="GB33" s="17">
        <f>IF(AND(181&gt;=$B$7,181&lt;=$D$7),1,0)</f>
        <v/>
      </c>
      <c r="GC33" s="17">
        <f>IF(AND(182&gt;=$B$7,182&lt;=$D$7),1,0)</f>
        <v/>
      </c>
      <c r="GD33" s="17">
        <f>IF(AND(183&gt;=$B$7,183&lt;=$D$7),1,0)</f>
        <v/>
      </c>
      <c r="GE33" s="17">
        <f>IF(AND(184&gt;=$B$7,184&lt;=$D$7),1,0)</f>
        <v/>
      </c>
      <c r="GF33" s="17">
        <f>IF(AND(185&gt;=$B$7,185&lt;=$D$7),1,0)</f>
        <v/>
      </c>
      <c r="GG33" s="17">
        <f>IF(AND(186&gt;=$B$7,186&lt;=$D$7),1,0)</f>
        <v/>
      </c>
      <c r="GH33" s="17">
        <f>IF(AND(187&gt;=$B$7,187&lt;=$D$7),1,0)</f>
        <v/>
      </c>
      <c r="GI33" s="17">
        <f>IF(AND(188&gt;=$B$7,188&lt;=$D$7),1,0)</f>
        <v/>
      </c>
      <c r="GJ33" s="17">
        <f>IF(AND(189&gt;=$B$7,189&lt;=$D$7),1,0)</f>
        <v/>
      </c>
      <c r="GK33" s="17">
        <f>IF(AND(190&gt;=$B$7,190&lt;=$D$7),1,0)</f>
        <v/>
      </c>
      <c r="GL33" s="17">
        <f>IF(AND(191&gt;=$B$7,191&lt;=$D$7),1,0)</f>
        <v/>
      </c>
      <c r="GM33" s="17">
        <f>IF(AND(192&gt;=$B$7,192&lt;=$D$7),1,0)</f>
        <v/>
      </c>
      <c r="GN33" s="17">
        <f>IF(AND(193&gt;=$B$7,193&lt;=$D$7),1,0)</f>
        <v/>
      </c>
      <c r="GO33" s="17">
        <f>IF(AND(194&gt;=$B$7,194&lt;=$D$7),1,0)</f>
        <v/>
      </c>
      <c r="GP33" s="17">
        <f>IF(AND(195&gt;=$B$7,195&lt;=$D$7),1,0)</f>
        <v/>
      </c>
      <c r="GQ33" s="17">
        <f>IF(AND(196&gt;=$B$7,196&lt;=$D$7),1,0)</f>
        <v/>
      </c>
      <c r="GR33" s="17">
        <f>IF(AND(197&gt;=$B$7,197&lt;=$D$7),1,0)</f>
        <v/>
      </c>
      <c r="GS33" s="17">
        <f>IF(AND(198&gt;=$B$7,198&lt;=$D$7),1,0)</f>
        <v/>
      </c>
      <c r="GT33" s="17">
        <f>IF(AND(199&gt;=$B$7,199&lt;=$D$7),1,0)</f>
        <v/>
      </c>
      <c r="GU33" s="17">
        <f>IF(AND(200&gt;=$B$7,200&lt;=$D$7),1,0)</f>
        <v/>
      </c>
      <c r="GV33" s="17">
        <f>IF(AND(201&gt;=$B$7,201&lt;=$D$7),1,0)</f>
        <v/>
      </c>
      <c r="GW33" s="17">
        <f>IF(AND(202&gt;=$B$7,202&lt;=$D$7),1,0)</f>
        <v/>
      </c>
      <c r="GX33" s="17">
        <f>IF(AND(203&gt;=$B$7,203&lt;=$D$7),1,0)</f>
        <v/>
      </c>
      <c r="GY33" s="17">
        <f>IF(AND(204&gt;=$B$7,204&lt;=$D$7),1,0)</f>
        <v/>
      </c>
      <c r="GZ33" s="17">
        <f>IF(AND(205&gt;=$B$7,205&lt;=$D$7),1,0)</f>
        <v/>
      </c>
      <c r="HA33" s="17">
        <f>IF(AND(206&gt;=$B$7,206&lt;=$D$7),1,0)</f>
        <v/>
      </c>
      <c r="HB33" s="17">
        <f>IF(AND(207&gt;=$B$7,207&lt;=$D$7),1,0)</f>
        <v/>
      </c>
      <c r="HC33" s="17">
        <f>IF(AND(208&gt;=$B$7,208&lt;=$D$7),1,0)</f>
        <v/>
      </c>
      <c r="HD33" s="17">
        <f>IF(AND(209&gt;=$B$7,209&lt;=$D$7),1,0)</f>
        <v/>
      </c>
      <c r="HE33" s="17">
        <f>IF(AND(210&gt;=$B$7,210&lt;=$D$7),1,0)</f>
        <v/>
      </c>
      <c r="HF33" s="17">
        <f>IF(AND(211&gt;=$B$7,211&lt;=$D$7),1,0)</f>
        <v/>
      </c>
      <c r="HG33" s="17">
        <f>IF(AND(212&gt;=$B$7,212&lt;=$D$7),1,0)</f>
        <v/>
      </c>
      <c r="HH33" s="17">
        <f>IF(AND(213&gt;=$B$7,213&lt;=$D$7),1,0)</f>
        <v/>
      </c>
      <c r="HI33" s="17">
        <f>IF(AND(214&gt;=$B$7,214&lt;=$D$7),1,0)</f>
        <v/>
      </c>
      <c r="HJ33" s="17">
        <f>IF(AND(215&gt;=$B$7,215&lt;=$D$7),1,0)</f>
        <v/>
      </c>
      <c r="HK33" s="17">
        <f>IF(AND(216&gt;=$B$7,216&lt;=$D$7),1,0)</f>
        <v/>
      </c>
      <c r="HL33" s="17">
        <f>IF(AND(217&gt;=$B$7,217&lt;=$D$7),1,0)</f>
        <v/>
      </c>
      <c r="HM33" s="17">
        <f>IF(AND(218&gt;=$B$7,218&lt;=$D$7),1,0)</f>
        <v/>
      </c>
      <c r="HN33" s="17">
        <f>IF(AND(219&gt;=$B$7,219&lt;=$D$7),1,0)</f>
        <v/>
      </c>
      <c r="HO33" s="17">
        <f>IF(AND(220&gt;=$B$7,220&lt;=$D$7),1,0)</f>
        <v/>
      </c>
      <c r="HP33" s="17">
        <f>IF(AND(221&gt;=$B$7,221&lt;=$D$7),1,0)</f>
        <v/>
      </c>
      <c r="HQ33" s="17">
        <f>IF(AND(222&gt;=$B$7,222&lt;=$D$7),1,0)</f>
        <v/>
      </c>
      <c r="HR33" s="17">
        <f>IF(AND(223&gt;=$B$7,223&lt;=$D$7),1,0)</f>
        <v/>
      </c>
      <c r="HS33" s="17">
        <f>IF(AND(224&gt;=$B$7,224&lt;=$D$7),1,0)</f>
        <v/>
      </c>
      <c r="HT33" s="17">
        <f>IF(AND(225&gt;=$B$7,225&lt;=$D$7),1,0)</f>
        <v/>
      </c>
      <c r="HU33" s="17">
        <f>IF(AND(226&gt;=$B$7,226&lt;=$D$7),1,0)</f>
        <v/>
      </c>
      <c r="HV33" s="17">
        <f>IF(AND(227&gt;=$B$7,227&lt;=$D$7),1,0)</f>
        <v/>
      </c>
      <c r="HW33" s="17">
        <f>IF(AND(228&gt;=$B$7,228&lt;=$D$7),1,0)</f>
        <v/>
      </c>
      <c r="HX33" s="17">
        <f>IF(AND(229&gt;=$B$7,229&lt;=$D$7),1,0)</f>
        <v/>
      </c>
      <c r="HY33" s="17">
        <f>IF(AND(230&gt;=$B$7,230&lt;=$D$7),1,0)</f>
        <v/>
      </c>
      <c r="HZ33" s="17">
        <f>IF(AND(231&gt;=$B$7,231&lt;=$D$7),1,0)</f>
        <v/>
      </c>
      <c r="IA33" s="17">
        <f>IF(AND(232&gt;=$B$7,232&lt;=$D$7),1,0)</f>
        <v/>
      </c>
      <c r="IB33" s="17">
        <f>IF(AND(233&gt;=$B$7,233&lt;=$D$7),1,0)</f>
        <v/>
      </c>
      <c r="IC33" s="17">
        <f>IF(AND(234&gt;=$B$7,234&lt;=$D$7),1,0)</f>
        <v/>
      </c>
      <c r="ID33" s="17">
        <f>IF(AND(235&gt;=$B$7,235&lt;=$D$7),1,0)</f>
        <v/>
      </c>
      <c r="IE33" s="17">
        <f>IF(AND(236&gt;=$B$7,236&lt;=$D$7),1,0)</f>
        <v/>
      </c>
      <c r="IF33" s="17">
        <f>IF(AND(237&gt;=$B$7,237&lt;=$D$7),1,0)</f>
        <v/>
      </c>
      <c r="IG33" s="17">
        <f>IF(AND(238&gt;=$B$7,238&lt;=$D$7),1,0)</f>
        <v/>
      </c>
      <c r="IH33" s="17">
        <f>IF(AND(239&gt;=$B$7,239&lt;=$D$7),1,0)</f>
        <v/>
      </c>
      <c r="II33" s="17">
        <f>IF(AND(240&gt;=$B$7,240&lt;=$D$7),1,0)</f>
        <v/>
      </c>
      <c r="IJ33" s="17">
        <f>IF(AND(241&gt;=$B$7,241&lt;=$D$7),1,0)</f>
        <v/>
      </c>
      <c r="IK33" s="17">
        <f>IF(AND(242&gt;=$B$7,242&lt;=$D$7),1,0)</f>
        <v/>
      </c>
      <c r="IL33" s="17">
        <f>IF(AND(243&gt;=$B$7,243&lt;=$D$7),1,0)</f>
        <v/>
      </c>
      <c r="IM33" s="17">
        <f>IF(AND(244&gt;=$B$7,244&lt;=$D$7),1,0)</f>
        <v/>
      </c>
      <c r="IN33" s="17">
        <f>IF(AND(245&gt;=$B$7,245&lt;=$D$7),1,0)</f>
        <v/>
      </c>
      <c r="IO33" s="17">
        <f>IF(AND(246&gt;=$B$7,246&lt;=$D$7),1,0)</f>
        <v/>
      </c>
      <c r="IP33" s="17">
        <f>IF(AND(247&gt;=$B$7,247&lt;=$D$7),1,0)</f>
        <v/>
      </c>
      <c r="IQ33" s="17">
        <f>IF(AND(248&gt;=$B$7,248&lt;=$D$7),1,0)</f>
        <v/>
      </c>
      <c r="IR33" s="17">
        <f>IF(AND(249&gt;=$B$7,249&lt;=$D$7),1,0)</f>
        <v/>
      </c>
      <c r="IS33" s="17">
        <f>IF(AND(250&gt;=$B$7,250&lt;=$D$7),1,0)</f>
        <v/>
      </c>
      <c r="IT33" s="17">
        <f>IF(AND(251&gt;=$B$7,251&lt;=$D$7),1,0)</f>
        <v/>
      </c>
      <c r="IU33" s="17">
        <f>IF(AND(252&gt;=$B$7,252&lt;=$D$7),1,0)</f>
        <v/>
      </c>
      <c r="IV33" s="17">
        <f>IF(AND(253&gt;=$B$7,253&lt;=$D$7),1,0)</f>
        <v/>
      </c>
      <c r="IW33" s="17">
        <f>IF(AND(254&gt;=$B$7,254&lt;=$D$7),1,0)</f>
        <v/>
      </c>
      <c r="IX33" s="17">
        <f>IF(AND(255&gt;=$B$7,255&lt;=$D$7),1,0)</f>
        <v/>
      </c>
      <c r="IY33" s="17">
        <f>IF(AND(256&gt;=$B$7,256&lt;=$D$7),1,0)</f>
        <v/>
      </c>
      <c r="IZ33" s="17">
        <f>IF(AND(257&gt;=$B$7,257&lt;=$D$7),1,0)</f>
        <v/>
      </c>
      <c r="JA33" s="17">
        <f>IF(AND(258&gt;=$B$7,258&lt;=$D$7),1,0)</f>
        <v/>
      </c>
      <c r="JB33" s="17">
        <f>IF(AND(259&gt;=$B$7,259&lt;=$D$7),1,0)</f>
        <v/>
      </c>
      <c r="JC33" s="17">
        <f>IF(AND(260&gt;=$B$7,260&lt;=$D$7),1,0)</f>
        <v/>
      </c>
      <c r="JD33" s="17">
        <f>IF(AND(261&gt;=$B$7,261&lt;=$D$7),1,0)</f>
        <v/>
      </c>
      <c r="JE33" s="17">
        <f>IF(AND(262&gt;=$B$7,262&lt;=$D$7),1,0)</f>
        <v/>
      </c>
      <c r="JF33" s="17">
        <f>IF(AND(263&gt;=$B$7,263&lt;=$D$7),1,0)</f>
        <v/>
      </c>
      <c r="JG33" s="17">
        <f>IF(AND(264&gt;=$B$7,264&lt;=$D$7),1,0)</f>
        <v/>
      </c>
      <c r="JH33" s="17">
        <f>IF(AND(265&gt;=$B$7,265&lt;=$D$7),1,0)</f>
        <v/>
      </c>
      <c r="JI33" s="17">
        <f>IF(AND(266&gt;=$B$7,266&lt;=$D$7),1,0)</f>
        <v/>
      </c>
      <c r="JJ33" s="17">
        <f>IF(AND(267&gt;=$B$7,267&lt;=$D$7),1,0)</f>
        <v/>
      </c>
      <c r="JK33" s="17">
        <f>IF(AND(268&gt;=$B$7,268&lt;=$D$7),1,0)</f>
        <v/>
      </c>
      <c r="JL33" s="17">
        <f>IF(AND(269&gt;=$B$7,269&lt;=$D$7),1,0)</f>
        <v/>
      </c>
      <c r="JM33" s="17">
        <f>IF(AND(270&gt;=$B$7,270&lt;=$D$7),1,0)</f>
        <v/>
      </c>
      <c r="JN33" s="17">
        <f>IF(AND(271&gt;=$B$7,271&lt;=$D$7),1,0)</f>
        <v/>
      </c>
      <c r="JO33" s="17">
        <f>IF(AND(272&gt;=$B$7,272&lt;=$D$7),1,0)</f>
        <v/>
      </c>
      <c r="JP33" s="17">
        <f>IF(AND(273&gt;=$B$7,273&lt;=$D$7),1,0)</f>
        <v/>
      </c>
      <c r="JQ33" s="17">
        <f>IF(AND(274&gt;=$B$7,274&lt;=$D$7),1,0)</f>
        <v/>
      </c>
      <c r="JR33" s="17">
        <f>IF(AND(275&gt;=$B$7,275&lt;=$D$7),1,0)</f>
        <v/>
      </c>
      <c r="JS33" s="17">
        <f>IF(AND(276&gt;=$B$7,276&lt;=$D$7),1,0)</f>
        <v/>
      </c>
      <c r="JT33" s="17">
        <f>IF(AND(277&gt;=$B$7,277&lt;=$D$7),1,0)</f>
        <v/>
      </c>
      <c r="JU33" s="17">
        <f>IF(AND(278&gt;=$B$7,278&lt;=$D$7),1,0)</f>
        <v/>
      </c>
      <c r="JV33" s="17">
        <f>IF(AND(279&gt;=$B$7,279&lt;=$D$7),1,0)</f>
        <v/>
      </c>
      <c r="JW33" s="17">
        <f>IF(AND(280&gt;=$B$7,280&lt;=$D$7),1,0)</f>
        <v/>
      </c>
      <c r="JX33" s="17">
        <f>IF(AND(281&gt;=$B$7,281&lt;=$D$7),1,0)</f>
        <v/>
      </c>
      <c r="JY33" s="17">
        <f>IF(AND(282&gt;=$B$7,282&lt;=$D$7),1,0)</f>
        <v/>
      </c>
      <c r="JZ33" s="17">
        <f>IF(AND(283&gt;=$B$7,283&lt;=$D$7),1,0)</f>
        <v/>
      </c>
      <c r="KA33" s="17">
        <f>IF(AND(284&gt;=$B$7,284&lt;=$D$7),1,0)</f>
        <v/>
      </c>
      <c r="KB33" s="17">
        <f>IF(AND(285&gt;=$B$7,285&lt;=$D$7),1,0)</f>
        <v/>
      </c>
      <c r="KC33" s="17">
        <f>IF(AND(286&gt;=$B$7,286&lt;=$D$7),1,0)</f>
        <v/>
      </c>
      <c r="KD33" s="17">
        <f>IF(AND(287&gt;=$B$7,287&lt;=$D$7),1,0)</f>
        <v/>
      </c>
      <c r="KE33" s="17">
        <f>IF(AND(288&gt;=$B$7,288&lt;=$D$7),1,0)</f>
        <v/>
      </c>
      <c r="KF33" s="17">
        <f>IF(AND(289&gt;=$B$7,289&lt;=$D$7),1,0)</f>
        <v/>
      </c>
      <c r="KG33" s="17">
        <f>IF(AND(290&gt;=$B$7,290&lt;=$D$7),1,0)</f>
        <v/>
      </c>
      <c r="KH33" s="17">
        <f>IF(AND(291&gt;=$B$7,291&lt;=$D$7),1,0)</f>
        <v/>
      </c>
      <c r="KI33" s="17">
        <f>IF(AND(292&gt;=$B$7,292&lt;=$D$7),1,0)</f>
        <v/>
      </c>
      <c r="KJ33" s="17">
        <f>IF(AND(293&gt;=$B$7,293&lt;=$D$7),1,0)</f>
        <v/>
      </c>
      <c r="KK33" s="17">
        <f>IF(AND(294&gt;=$B$7,294&lt;=$D$7),1,0)</f>
        <v/>
      </c>
      <c r="KL33" s="17">
        <f>IF(AND(295&gt;=$B$7,295&lt;=$D$7),1,0)</f>
        <v/>
      </c>
      <c r="KM33" s="17">
        <f>IF(AND(296&gt;=$B$7,296&lt;=$D$7),1,0)</f>
        <v/>
      </c>
      <c r="KN33" s="17">
        <f>IF(AND(297&gt;=$B$7,297&lt;=$D$7),1,0)</f>
        <v/>
      </c>
      <c r="KO33" s="17">
        <f>IF(AND(298&gt;=$B$7,298&lt;=$D$7),1,0)</f>
        <v/>
      </c>
      <c r="KP33" s="17">
        <f>IF(AND(299&gt;=$B$7,299&lt;=$D$7),1,0)</f>
        <v/>
      </c>
      <c r="KQ33" s="17">
        <f>IF(AND(300&gt;=$B$7,300&lt;=$D$7),1,0)</f>
        <v/>
      </c>
      <c r="KR33" s="17">
        <f>IF(AND(301&gt;=$B$7,301&lt;=$D$7),1,0)</f>
        <v/>
      </c>
      <c r="KS33" s="17">
        <f>IF(AND(302&gt;=$B$7,302&lt;=$D$7),1,0)</f>
        <v/>
      </c>
      <c r="KT33" s="17">
        <f>IF(AND(303&gt;=$B$7,303&lt;=$D$7),1,0)</f>
        <v/>
      </c>
      <c r="KU33" s="17">
        <f>IF(AND(304&gt;=$B$7,304&lt;=$D$7),1,0)</f>
        <v/>
      </c>
      <c r="KV33" s="17">
        <f>IF(AND(305&gt;=$B$7,305&lt;=$D$7),1,0)</f>
        <v/>
      </c>
      <c r="KW33" s="17">
        <f>IF(AND(306&gt;=$B$7,306&lt;=$D$7),1,0)</f>
        <v/>
      </c>
      <c r="KX33" s="17">
        <f>IF(AND(307&gt;=$B$7,307&lt;=$D$7),1,0)</f>
        <v/>
      </c>
      <c r="KY33" s="17">
        <f>IF(AND(308&gt;=$B$7,308&lt;=$D$7),1,0)</f>
        <v/>
      </c>
      <c r="KZ33" s="17">
        <f>IF(AND(309&gt;=$B$7,309&lt;=$D$7),1,0)</f>
        <v/>
      </c>
      <c r="LA33" s="17">
        <f>IF(AND(310&gt;=$B$7,310&lt;=$D$7),1,0)</f>
        <v/>
      </c>
      <c r="LB33" s="17">
        <f>IF(AND(311&gt;=$B$7,311&lt;=$D$7),1,0)</f>
        <v/>
      </c>
      <c r="LC33" s="17">
        <f>IF(AND(312&gt;=$B$7,312&lt;=$D$7),1,0)</f>
        <v/>
      </c>
      <c r="LD33" s="17">
        <f>IF(AND(313&gt;=$B$7,313&lt;=$D$7),1,0)</f>
        <v/>
      </c>
      <c r="LE33" s="17">
        <f>IF(AND(314&gt;=$B$7,314&lt;=$D$7),1,0)</f>
        <v/>
      </c>
      <c r="LF33" s="17">
        <f>IF(AND(315&gt;=$B$7,315&lt;=$D$7),1,0)</f>
        <v/>
      </c>
      <c r="LG33" s="17">
        <f>IF(AND(316&gt;=$B$7,316&lt;=$D$7),1,0)</f>
        <v/>
      </c>
      <c r="LH33" s="17">
        <f>IF(AND(317&gt;=$B$7,317&lt;=$D$7),1,0)</f>
        <v/>
      </c>
      <c r="LI33" s="17">
        <f>IF(AND(318&gt;=$B$7,318&lt;=$D$7),1,0)</f>
        <v/>
      </c>
      <c r="LJ33" s="17">
        <f>IF(AND(319&gt;=$B$7,319&lt;=$D$7),1,0)</f>
        <v/>
      </c>
      <c r="LK33" s="17">
        <f>IF(AND(320&gt;=$B$7,320&lt;=$D$7),1,0)</f>
        <v/>
      </c>
      <c r="LL33" s="17">
        <f>IF(AND(321&gt;=$B$7,321&lt;=$D$7),1,0)</f>
        <v/>
      </c>
      <c r="LM33" s="17">
        <f>IF(AND(322&gt;=$B$7,322&lt;=$D$7),1,0)</f>
        <v/>
      </c>
      <c r="LN33" s="17">
        <f>IF(AND(323&gt;=$B$7,323&lt;=$D$7),1,0)</f>
        <v/>
      </c>
      <c r="LO33" s="17">
        <f>IF(AND(324&gt;=$B$7,324&lt;=$D$7),1,0)</f>
        <v/>
      </c>
      <c r="LP33" s="17">
        <f>IF(AND(325&gt;=$B$7,325&lt;=$D$7),1,0)</f>
        <v/>
      </c>
      <c r="LQ33" s="17">
        <f>IF(AND(326&gt;=$B$7,326&lt;=$D$7),1,0)</f>
        <v/>
      </c>
      <c r="LR33" s="17">
        <f>IF(AND(327&gt;=$B$7,327&lt;=$D$7),1,0)</f>
        <v/>
      </c>
      <c r="LS33" s="17">
        <f>IF(AND(328&gt;=$B$7,328&lt;=$D$7),1,0)</f>
        <v/>
      </c>
      <c r="LT33" s="17">
        <f>IF(AND(329&gt;=$B$7,329&lt;=$D$7),1,0)</f>
        <v/>
      </c>
      <c r="LU33" s="17">
        <f>IF(AND(330&gt;=$B$7,330&lt;=$D$7),1,0)</f>
        <v/>
      </c>
      <c r="LV33" s="17">
        <f>IF(AND(331&gt;=$B$7,331&lt;=$D$7),1,0)</f>
        <v/>
      </c>
      <c r="LW33" s="17">
        <f>IF(AND(332&gt;=$B$7,332&lt;=$D$7),1,0)</f>
        <v/>
      </c>
      <c r="LX33" s="17">
        <f>IF(AND(333&gt;=$B$7,333&lt;=$D$7),1,0)</f>
        <v/>
      </c>
      <c r="LY33" s="17">
        <f>IF(AND(334&gt;=$B$7,334&lt;=$D$7),1,0)</f>
        <v/>
      </c>
      <c r="LZ33" s="17">
        <f>IF(AND(335&gt;=$B$7,335&lt;=$D$7),1,0)</f>
        <v/>
      </c>
      <c r="MA33" s="17">
        <f>IF(AND(336&gt;=$B$7,336&lt;=$D$7),1,0)</f>
        <v/>
      </c>
      <c r="MB33" s="17">
        <f>IF(AND(337&gt;=$B$7,337&lt;=$D$7),1,0)</f>
        <v/>
      </c>
      <c r="MC33" s="17">
        <f>IF(AND(338&gt;=$B$7,338&lt;=$D$7),1,0)</f>
        <v/>
      </c>
      <c r="MD33" s="17">
        <f>IF(AND(339&gt;=$B$7,339&lt;=$D$7),1,0)</f>
        <v/>
      </c>
      <c r="ME33" s="17">
        <f>IF(AND(340&gt;=$B$7,340&lt;=$D$7),1,0)</f>
        <v/>
      </c>
      <c r="MF33" s="17">
        <f>IF(AND(341&gt;=$B$7,341&lt;=$D$7),1,0)</f>
        <v/>
      </c>
      <c r="MG33" s="17">
        <f>IF(AND(342&gt;=$B$7,342&lt;=$D$7),1,0)</f>
        <v/>
      </c>
      <c r="MH33" s="17">
        <f>IF(AND(343&gt;=$B$7,343&lt;=$D$7),1,0)</f>
        <v/>
      </c>
      <c r="MI33" s="17">
        <f>IF(AND(344&gt;=$B$7,344&lt;=$D$7),1,0)</f>
        <v/>
      </c>
      <c r="MJ33" s="17">
        <f>IF(AND(345&gt;=$B$7,345&lt;=$D$7),1,0)</f>
        <v/>
      </c>
      <c r="MK33" s="17">
        <f>IF(AND(346&gt;=$B$7,346&lt;=$D$7),1,0)</f>
        <v/>
      </c>
      <c r="ML33" s="17">
        <f>IF(AND(347&gt;=$B$7,347&lt;=$D$7),1,0)</f>
        <v/>
      </c>
      <c r="MM33" s="17">
        <f>IF(AND(348&gt;=$B$7,348&lt;=$D$7),1,0)</f>
        <v/>
      </c>
      <c r="MN33" s="17">
        <f>IF(AND(349&gt;=$B$7,349&lt;=$D$7),1,0)</f>
        <v/>
      </c>
      <c r="MO33" s="17">
        <f>IF(AND(350&gt;=$B$7,350&lt;=$D$7),1,0)</f>
        <v/>
      </c>
      <c r="MP33" s="17">
        <f>IF(AND(351&gt;=$B$7,351&lt;=$D$7),1,0)</f>
        <v/>
      </c>
      <c r="MQ33" s="17">
        <f>IF(AND(352&gt;=$B$7,352&lt;=$D$7),1,0)</f>
        <v/>
      </c>
      <c r="MR33" s="17">
        <f>IF(AND(353&gt;=$B$7,353&lt;=$D$7),1,0)</f>
        <v/>
      </c>
      <c r="MS33" s="17">
        <f>IF(AND(354&gt;=$B$7,354&lt;=$D$7),1,0)</f>
        <v/>
      </c>
      <c r="MT33" s="17">
        <f>IF(AND(355&gt;=$B$7,355&lt;=$D$7),1,0)</f>
        <v/>
      </c>
      <c r="MU33" s="17">
        <f>IF(AND(356&gt;=$B$7,356&lt;=$D$7),1,0)</f>
        <v/>
      </c>
      <c r="MV33" s="17">
        <f>IF(AND(357&gt;=$B$7,357&lt;=$D$7),1,0)</f>
        <v/>
      </c>
      <c r="MW33" s="17">
        <f>IF(AND(358&gt;=$B$7,358&lt;=$D$7),1,0)</f>
        <v/>
      </c>
      <c r="MX33" s="17">
        <f>IF(AND(359&gt;=$B$7,359&lt;=$D$7),1,0)</f>
        <v/>
      </c>
      <c r="MY33" s="17">
        <f>IF(AND(360&gt;=$B$7,360&lt;=$D$7),1,0)</f>
        <v/>
      </c>
      <c r="MZ33" s="17">
        <f>IF(AND(361&gt;=$B$7,361&lt;=$D$7),1,0)</f>
        <v/>
      </c>
      <c r="NA33" s="17">
        <f>IF(AND(362&gt;=$B$7,362&lt;=$D$7),1,0)</f>
        <v/>
      </c>
      <c r="NB33" s="17">
        <f>IF(AND(363&gt;=$B$7,363&lt;=$D$7),1,0)</f>
        <v/>
      </c>
      <c r="NC33" s="17">
        <f>IF(AND(364&gt;=$B$7,364&lt;=$D$7),1,0)</f>
        <v/>
      </c>
      <c r="ND33" s="17">
        <f>IF(AND(365&gt;=$B$7,365&lt;=$D$7),1,0)</f>
        <v/>
      </c>
      <c r="NE33" s="17">
        <f>IF(AND(366&gt;=$B$7,366&lt;=$D$7),1,0)</f>
        <v/>
      </c>
      <c r="NF33" s="17">
        <f>IF(AND(367&gt;=$B$7,367&lt;=$D$7),1,0)</f>
        <v/>
      </c>
      <c r="NG33" s="17">
        <f>IF(AND(368&gt;=$B$7,368&lt;=$D$7),1,0)</f>
        <v/>
      </c>
      <c r="NH33" s="17">
        <f>IF(AND(369&gt;=$B$7,369&lt;=$D$7),1,0)</f>
        <v/>
      </c>
      <c r="NI33" s="17">
        <f>IF(AND(370&gt;=$B$7,370&lt;=$D$7),1,0)</f>
        <v/>
      </c>
      <c r="NJ33" s="17">
        <f>IF(AND(371&gt;=$B$7,371&lt;=$D$7),1,0)</f>
        <v/>
      </c>
      <c r="NK33" s="17">
        <f>IF(AND(372&gt;=$B$7,372&lt;=$D$7),1,0)</f>
        <v/>
      </c>
    </row>
    <row r="34">
      <c r="A34" s="5" t="inlineStr">
        <is>
          <t>Flag: Initial Closing</t>
        </is>
      </c>
      <c r="C34" s="40" t="n"/>
      <c r="D34" s="17">
        <f>IF(AND(1&gt;=$B$8,1&lt;=$D$8),1,0)</f>
        <v/>
      </c>
      <c r="E34" s="17">
        <f>IF(AND(2&gt;=$B$8,2&lt;=$D$8),1,0)</f>
        <v/>
      </c>
      <c r="F34" s="17">
        <f>IF(AND(3&gt;=$B$8,3&lt;=$D$8),1,0)</f>
        <v/>
      </c>
      <c r="G34" s="17">
        <f>IF(AND(4&gt;=$B$8,4&lt;=$D$8),1,0)</f>
        <v/>
      </c>
      <c r="H34" s="17">
        <f>IF(AND(5&gt;=$B$8,5&lt;=$D$8),1,0)</f>
        <v/>
      </c>
      <c r="I34" s="17">
        <f>IF(AND(6&gt;=$B$8,6&lt;=$D$8),1,0)</f>
        <v/>
      </c>
      <c r="J34" s="17">
        <f>IF(AND(7&gt;=$B$8,7&lt;=$D$8),1,0)</f>
        <v/>
      </c>
      <c r="K34" s="17">
        <f>IF(AND(8&gt;=$B$8,8&lt;=$D$8),1,0)</f>
        <v/>
      </c>
      <c r="L34" s="17">
        <f>IF(AND(9&gt;=$B$8,9&lt;=$D$8),1,0)</f>
        <v/>
      </c>
      <c r="M34" s="17">
        <f>IF(AND(10&gt;=$B$8,10&lt;=$D$8),1,0)</f>
        <v/>
      </c>
      <c r="N34" s="17">
        <f>IF(AND(11&gt;=$B$8,11&lt;=$D$8),1,0)</f>
        <v/>
      </c>
      <c r="O34" s="17">
        <f>IF(AND(12&gt;=$B$8,12&lt;=$D$8),1,0)</f>
        <v/>
      </c>
      <c r="P34" s="17">
        <f>IF(AND(13&gt;=$B$8,13&lt;=$D$8),1,0)</f>
        <v/>
      </c>
      <c r="Q34" s="17">
        <f>IF(AND(14&gt;=$B$8,14&lt;=$D$8),1,0)</f>
        <v/>
      </c>
      <c r="R34" s="17">
        <f>IF(AND(15&gt;=$B$8,15&lt;=$D$8),1,0)</f>
        <v/>
      </c>
      <c r="S34" s="17">
        <f>IF(AND(16&gt;=$B$8,16&lt;=$D$8),1,0)</f>
        <v/>
      </c>
      <c r="T34" s="17">
        <f>IF(AND(17&gt;=$B$8,17&lt;=$D$8),1,0)</f>
        <v/>
      </c>
      <c r="U34" s="17">
        <f>IF(AND(18&gt;=$B$8,18&lt;=$D$8),1,0)</f>
        <v/>
      </c>
      <c r="V34" s="17">
        <f>IF(AND(19&gt;=$B$8,19&lt;=$D$8),1,0)</f>
        <v/>
      </c>
      <c r="W34" s="17">
        <f>IF(AND(20&gt;=$B$8,20&lt;=$D$8),1,0)</f>
        <v/>
      </c>
      <c r="X34" s="17">
        <f>IF(AND(21&gt;=$B$8,21&lt;=$D$8),1,0)</f>
        <v/>
      </c>
      <c r="Y34" s="17">
        <f>IF(AND(22&gt;=$B$8,22&lt;=$D$8),1,0)</f>
        <v/>
      </c>
      <c r="Z34" s="17">
        <f>IF(AND(23&gt;=$B$8,23&lt;=$D$8),1,0)</f>
        <v/>
      </c>
      <c r="AA34" s="17">
        <f>IF(AND(24&gt;=$B$8,24&lt;=$D$8),1,0)</f>
        <v/>
      </c>
      <c r="AB34" s="17">
        <f>IF(AND(25&gt;=$B$8,25&lt;=$D$8),1,0)</f>
        <v/>
      </c>
      <c r="AC34" s="17">
        <f>IF(AND(26&gt;=$B$8,26&lt;=$D$8),1,0)</f>
        <v/>
      </c>
      <c r="AD34" s="17">
        <f>IF(AND(27&gt;=$B$8,27&lt;=$D$8),1,0)</f>
        <v/>
      </c>
      <c r="AE34" s="17">
        <f>IF(AND(28&gt;=$B$8,28&lt;=$D$8),1,0)</f>
        <v/>
      </c>
      <c r="AF34" s="17">
        <f>IF(AND(29&gt;=$B$8,29&lt;=$D$8),1,0)</f>
        <v/>
      </c>
      <c r="AG34" s="17">
        <f>IF(AND(30&gt;=$B$8,30&lt;=$D$8),1,0)</f>
        <v/>
      </c>
      <c r="AH34" s="17">
        <f>IF(AND(31&gt;=$B$8,31&lt;=$D$8),1,0)</f>
        <v/>
      </c>
      <c r="AI34" s="17">
        <f>IF(AND(32&gt;=$B$8,32&lt;=$D$8),1,0)</f>
        <v/>
      </c>
      <c r="AJ34" s="17">
        <f>IF(AND(33&gt;=$B$8,33&lt;=$D$8),1,0)</f>
        <v/>
      </c>
      <c r="AK34" s="17">
        <f>IF(AND(34&gt;=$B$8,34&lt;=$D$8),1,0)</f>
        <v/>
      </c>
      <c r="AL34" s="17">
        <f>IF(AND(35&gt;=$B$8,35&lt;=$D$8),1,0)</f>
        <v/>
      </c>
      <c r="AM34" s="17">
        <f>IF(AND(36&gt;=$B$8,36&lt;=$D$8),1,0)</f>
        <v/>
      </c>
      <c r="AN34" s="17">
        <f>IF(AND(37&gt;=$B$8,37&lt;=$D$8),1,0)</f>
        <v/>
      </c>
      <c r="AO34" s="17">
        <f>IF(AND(38&gt;=$B$8,38&lt;=$D$8),1,0)</f>
        <v/>
      </c>
      <c r="AP34" s="17">
        <f>IF(AND(39&gt;=$B$8,39&lt;=$D$8),1,0)</f>
        <v/>
      </c>
      <c r="AQ34" s="17">
        <f>IF(AND(40&gt;=$B$8,40&lt;=$D$8),1,0)</f>
        <v/>
      </c>
      <c r="AR34" s="17">
        <f>IF(AND(41&gt;=$B$8,41&lt;=$D$8),1,0)</f>
        <v/>
      </c>
      <c r="AS34" s="17">
        <f>IF(AND(42&gt;=$B$8,42&lt;=$D$8),1,0)</f>
        <v/>
      </c>
      <c r="AT34" s="17">
        <f>IF(AND(43&gt;=$B$8,43&lt;=$D$8),1,0)</f>
        <v/>
      </c>
      <c r="AU34" s="17">
        <f>IF(AND(44&gt;=$B$8,44&lt;=$D$8),1,0)</f>
        <v/>
      </c>
      <c r="AV34" s="17">
        <f>IF(AND(45&gt;=$B$8,45&lt;=$D$8),1,0)</f>
        <v/>
      </c>
      <c r="AW34" s="17">
        <f>IF(AND(46&gt;=$B$8,46&lt;=$D$8),1,0)</f>
        <v/>
      </c>
      <c r="AX34" s="17">
        <f>IF(AND(47&gt;=$B$8,47&lt;=$D$8),1,0)</f>
        <v/>
      </c>
      <c r="AY34" s="17">
        <f>IF(AND(48&gt;=$B$8,48&lt;=$D$8),1,0)</f>
        <v/>
      </c>
      <c r="AZ34" s="17">
        <f>IF(AND(49&gt;=$B$8,49&lt;=$D$8),1,0)</f>
        <v/>
      </c>
      <c r="BA34" s="17">
        <f>IF(AND(50&gt;=$B$8,50&lt;=$D$8),1,0)</f>
        <v/>
      </c>
      <c r="BB34" s="17">
        <f>IF(AND(51&gt;=$B$8,51&lt;=$D$8),1,0)</f>
        <v/>
      </c>
      <c r="BC34" s="17">
        <f>IF(AND(52&gt;=$B$8,52&lt;=$D$8),1,0)</f>
        <v/>
      </c>
      <c r="BD34" s="17">
        <f>IF(AND(53&gt;=$B$8,53&lt;=$D$8),1,0)</f>
        <v/>
      </c>
      <c r="BE34" s="17">
        <f>IF(AND(54&gt;=$B$8,54&lt;=$D$8),1,0)</f>
        <v/>
      </c>
      <c r="BF34" s="17">
        <f>IF(AND(55&gt;=$B$8,55&lt;=$D$8),1,0)</f>
        <v/>
      </c>
      <c r="BG34" s="17">
        <f>IF(AND(56&gt;=$B$8,56&lt;=$D$8),1,0)</f>
        <v/>
      </c>
      <c r="BH34" s="17">
        <f>IF(AND(57&gt;=$B$8,57&lt;=$D$8),1,0)</f>
        <v/>
      </c>
      <c r="BI34" s="17">
        <f>IF(AND(58&gt;=$B$8,58&lt;=$D$8),1,0)</f>
        <v/>
      </c>
      <c r="BJ34" s="17">
        <f>IF(AND(59&gt;=$B$8,59&lt;=$D$8),1,0)</f>
        <v/>
      </c>
      <c r="BK34" s="17">
        <f>IF(AND(60&gt;=$B$8,60&lt;=$D$8),1,0)</f>
        <v/>
      </c>
      <c r="BL34" s="17">
        <f>IF(AND(61&gt;=$B$8,61&lt;=$D$8),1,0)</f>
        <v/>
      </c>
      <c r="BM34" s="17">
        <f>IF(AND(62&gt;=$B$8,62&lt;=$D$8),1,0)</f>
        <v/>
      </c>
      <c r="BN34" s="17">
        <f>IF(AND(63&gt;=$B$8,63&lt;=$D$8),1,0)</f>
        <v/>
      </c>
      <c r="BO34" s="17">
        <f>IF(AND(64&gt;=$B$8,64&lt;=$D$8),1,0)</f>
        <v/>
      </c>
      <c r="BP34" s="17">
        <f>IF(AND(65&gt;=$B$8,65&lt;=$D$8),1,0)</f>
        <v/>
      </c>
      <c r="BQ34" s="17">
        <f>IF(AND(66&gt;=$B$8,66&lt;=$D$8),1,0)</f>
        <v/>
      </c>
      <c r="BR34" s="17">
        <f>IF(AND(67&gt;=$B$8,67&lt;=$D$8),1,0)</f>
        <v/>
      </c>
      <c r="BS34" s="17">
        <f>IF(AND(68&gt;=$B$8,68&lt;=$D$8),1,0)</f>
        <v/>
      </c>
      <c r="BT34" s="17">
        <f>IF(AND(69&gt;=$B$8,69&lt;=$D$8),1,0)</f>
        <v/>
      </c>
      <c r="BU34" s="17">
        <f>IF(AND(70&gt;=$B$8,70&lt;=$D$8),1,0)</f>
        <v/>
      </c>
      <c r="BV34" s="17">
        <f>IF(AND(71&gt;=$B$8,71&lt;=$D$8),1,0)</f>
        <v/>
      </c>
      <c r="BW34" s="17">
        <f>IF(AND(72&gt;=$B$8,72&lt;=$D$8),1,0)</f>
        <v/>
      </c>
      <c r="BX34" s="17">
        <f>IF(AND(73&gt;=$B$8,73&lt;=$D$8),1,0)</f>
        <v/>
      </c>
      <c r="BY34" s="17">
        <f>IF(AND(74&gt;=$B$8,74&lt;=$D$8),1,0)</f>
        <v/>
      </c>
      <c r="BZ34" s="17">
        <f>IF(AND(75&gt;=$B$8,75&lt;=$D$8),1,0)</f>
        <v/>
      </c>
      <c r="CA34" s="17">
        <f>IF(AND(76&gt;=$B$8,76&lt;=$D$8),1,0)</f>
        <v/>
      </c>
      <c r="CB34" s="17">
        <f>IF(AND(77&gt;=$B$8,77&lt;=$D$8),1,0)</f>
        <v/>
      </c>
      <c r="CC34" s="17">
        <f>IF(AND(78&gt;=$B$8,78&lt;=$D$8),1,0)</f>
        <v/>
      </c>
      <c r="CD34" s="17">
        <f>IF(AND(79&gt;=$B$8,79&lt;=$D$8),1,0)</f>
        <v/>
      </c>
      <c r="CE34" s="17">
        <f>IF(AND(80&gt;=$B$8,80&lt;=$D$8),1,0)</f>
        <v/>
      </c>
      <c r="CF34" s="17">
        <f>IF(AND(81&gt;=$B$8,81&lt;=$D$8),1,0)</f>
        <v/>
      </c>
      <c r="CG34" s="17">
        <f>IF(AND(82&gt;=$B$8,82&lt;=$D$8),1,0)</f>
        <v/>
      </c>
      <c r="CH34" s="17">
        <f>IF(AND(83&gt;=$B$8,83&lt;=$D$8),1,0)</f>
        <v/>
      </c>
      <c r="CI34" s="17">
        <f>IF(AND(84&gt;=$B$8,84&lt;=$D$8),1,0)</f>
        <v/>
      </c>
      <c r="CJ34" s="17">
        <f>IF(AND(85&gt;=$B$8,85&lt;=$D$8),1,0)</f>
        <v/>
      </c>
      <c r="CK34" s="17">
        <f>IF(AND(86&gt;=$B$8,86&lt;=$D$8),1,0)</f>
        <v/>
      </c>
      <c r="CL34" s="17">
        <f>IF(AND(87&gt;=$B$8,87&lt;=$D$8),1,0)</f>
        <v/>
      </c>
      <c r="CM34" s="17">
        <f>IF(AND(88&gt;=$B$8,88&lt;=$D$8),1,0)</f>
        <v/>
      </c>
      <c r="CN34" s="17">
        <f>IF(AND(89&gt;=$B$8,89&lt;=$D$8),1,0)</f>
        <v/>
      </c>
      <c r="CO34" s="17">
        <f>IF(AND(90&gt;=$B$8,90&lt;=$D$8),1,0)</f>
        <v/>
      </c>
      <c r="CP34" s="17">
        <f>IF(AND(91&gt;=$B$8,91&lt;=$D$8),1,0)</f>
        <v/>
      </c>
      <c r="CQ34" s="17">
        <f>IF(AND(92&gt;=$B$8,92&lt;=$D$8),1,0)</f>
        <v/>
      </c>
      <c r="CR34" s="17">
        <f>IF(AND(93&gt;=$B$8,93&lt;=$D$8),1,0)</f>
        <v/>
      </c>
      <c r="CS34" s="17">
        <f>IF(AND(94&gt;=$B$8,94&lt;=$D$8),1,0)</f>
        <v/>
      </c>
      <c r="CT34" s="17">
        <f>IF(AND(95&gt;=$B$8,95&lt;=$D$8),1,0)</f>
        <v/>
      </c>
      <c r="CU34" s="17">
        <f>IF(AND(96&gt;=$B$8,96&lt;=$D$8),1,0)</f>
        <v/>
      </c>
      <c r="CV34" s="17">
        <f>IF(AND(97&gt;=$B$8,97&lt;=$D$8),1,0)</f>
        <v/>
      </c>
      <c r="CW34" s="17">
        <f>IF(AND(98&gt;=$B$8,98&lt;=$D$8),1,0)</f>
        <v/>
      </c>
      <c r="CX34" s="17">
        <f>IF(AND(99&gt;=$B$8,99&lt;=$D$8),1,0)</f>
        <v/>
      </c>
      <c r="CY34" s="17">
        <f>IF(AND(100&gt;=$B$8,100&lt;=$D$8),1,0)</f>
        <v/>
      </c>
      <c r="CZ34" s="17">
        <f>IF(AND(101&gt;=$B$8,101&lt;=$D$8),1,0)</f>
        <v/>
      </c>
      <c r="DA34" s="17">
        <f>IF(AND(102&gt;=$B$8,102&lt;=$D$8),1,0)</f>
        <v/>
      </c>
      <c r="DB34" s="17">
        <f>IF(AND(103&gt;=$B$8,103&lt;=$D$8),1,0)</f>
        <v/>
      </c>
      <c r="DC34" s="17">
        <f>IF(AND(104&gt;=$B$8,104&lt;=$D$8),1,0)</f>
        <v/>
      </c>
      <c r="DD34" s="17">
        <f>IF(AND(105&gt;=$B$8,105&lt;=$D$8),1,0)</f>
        <v/>
      </c>
      <c r="DE34" s="17">
        <f>IF(AND(106&gt;=$B$8,106&lt;=$D$8),1,0)</f>
        <v/>
      </c>
      <c r="DF34" s="17">
        <f>IF(AND(107&gt;=$B$8,107&lt;=$D$8),1,0)</f>
        <v/>
      </c>
      <c r="DG34" s="17">
        <f>IF(AND(108&gt;=$B$8,108&lt;=$D$8),1,0)</f>
        <v/>
      </c>
      <c r="DH34" s="17">
        <f>IF(AND(109&gt;=$B$8,109&lt;=$D$8),1,0)</f>
        <v/>
      </c>
      <c r="DI34" s="17">
        <f>IF(AND(110&gt;=$B$8,110&lt;=$D$8),1,0)</f>
        <v/>
      </c>
      <c r="DJ34" s="17">
        <f>IF(AND(111&gt;=$B$8,111&lt;=$D$8),1,0)</f>
        <v/>
      </c>
      <c r="DK34" s="17">
        <f>IF(AND(112&gt;=$B$8,112&lt;=$D$8),1,0)</f>
        <v/>
      </c>
      <c r="DL34" s="17">
        <f>IF(AND(113&gt;=$B$8,113&lt;=$D$8),1,0)</f>
        <v/>
      </c>
      <c r="DM34" s="17">
        <f>IF(AND(114&gt;=$B$8,114&lt;=$D$8),1,0)</f>
        <v/>
      </c>
      <c r="DN34" s="17">
        <f>IF(AND(115&gt;=$B$8,115&lt;=$D$8),1,0)</f>
        <v/>
      </c>
      <c r="DO34" s="17">
        <f>IF(AND(116&gt;=$B$8,116&lt;=$D$8),1,0)</f>
        <v/>
      </c>
      <c r="DP34" s="17">
        <f>IF(AND(117&gt;=$B$8,117&lt;=$D$8),1,0)</f>
        <v/>
      </c>
      <c r="DQ34" s="17">
        <f>IF(AND(118&gt;=$B$8,118&lt;=$D$8),1,0)</f>
        <v/>
      </c>
      <c r="DR34" s="17">
        <f>IF(AND(119&gt;=$B$8,119&lt;=$D$8),1,0)</f>
        <v/>
      </c>
      <c r="DS34" s="17">
        <f>IF(AND(120&gt;=$B$8,120&lt;=$D$8),1,0)</f>
        <v/>
      </c>
      <c r="DT34" s="17">
        <f>IF(AND(121&gt;=$B$8,121&lt;=$D$8),1,0)</f>
        <v/>
      </c>
      <c r="DU34" s="17">
        <f>IF(AND(122&gt;=$B$8,122&lt;=$D$8),1,0)</f>
        <v/>
      </c>
      <c r="DV34" s="17">
        <f>IF(AND(123&gt;=$B$8,123&lt;=$D$8),1,0)</f>
        <v/>
      </c>
      <c r="DW34" s="17">
        <f>IF(AND(124&gt;=$B$8,124&lt;=$D$8),1,0)</f>
        <v/>
      </c>
      <c r="DX34" s="17">
        <f>IF(AND(125&gt;=$B$8,125&lt;=$D$8),1,0)</f>
        <v/>
      </c>
      <c r="DY34" s="17">
        <f>IF(AND(126&gt;=$B$8,126&lt;=$D$8),1,0)</f>
        <v/>
      </c>
      <c r="DZ34" s="17">
        <f>IF(AND(127&gt;=$B$8,127&lt;=$D$8),1,0)</f>
        <v/>
      </c>
      <c r="EA34" s="17">
        <f>IF(AND(128&gt;=$B$8,128&lt;=$D$8),1,0)</f>
        <v/>
      </c>
      <c r="EB34" s="17">
        <f>IF(AND(129&gt;=$B$8,129&lt;=$D$8),1,0)</f>
        <v/>
      </c>
      <c r="EC34" s="17">
        <f>IF(AND(130&gt;=$B$8,130&lt;=$D$8),1,0)</f>
        <v/>
      </c>
      <c r="ED34" s="17">
        <f>IF(AND(131&gt;=$B$8,131&lt;=$D$8),1,0)</f>
        <v/>
      </c>
      <c r="EE34" s="17">
        <f>IF(AND(132&gt;=$B$8,132&lt;=$D$8),1,0)</f>
        <v/>
      </c>
      <c r="EF34" s="17">
        <f>IF(AND(133&gt;=$B$8,133&lt;=$D$8),1,0)</f>
        <v/>
      </c>
      <c r="EG34" s="17">
        <f>IF(AND(134&gt;=$B$8,134&lt;=$D$8),1,0)</f>
        <v/>
      </c>
      <c r="EH34" s="17">
        <f>IF(AND(135&gt;=$B$8,135&lt;=$D$8),1,0)</f>
        <v/>
      </c>
      <c r="EI34" s="17">
        <f>IF(AND(136&gt;=$B$8,136&lt;=$D$8),1,0)</f>
        <v/>
      </c>
      <c r="EJ34" s="17">
        <f>IF(AND(137&gt;=$B$8,137&lt;=$D$8),1,0)</f>
        <v/>
      </c>
      <c r="EK34" s="17">
        <f>IF(AND(138&gt;=$B$8,138&lt;=$D$8),1,0)</f>
        <v/>
      </c>
      <c r="EL34" s="17">
        <f>IF(AND(139&gt;=$B$8,139&lt;=$D$8),1,0)</f>
        <v/>
      </c>
      <c r="EM34" s="17">
        <f>IF(AND(140&gt;=$B$8,140&lt;=$D$8),1,0)</f>
        <v/>
      </c>
      <c r="EN34" s="17">
        <f>IF(AND(141&gt;=$B$8,141&lt;=$D$8),1,0)</f>
        <v/>
      </c>
      <c r="EO34" s="17">
        <f>IF(AND(142&gt;=$B$8,142&lt;=$D$8),1,0)</f>
        <v/>
      </c>
      <c r="EP34" s="17">
        <f>IF(AND(143&gt;=$B$8,143&lt;=$D$8),1,0)</f>
        <v/>
      </c>
      <c r="EQ34" s="17">
        <f>IF(AND(144&gt;=$B$8,144&lt;=$D$8),1,0)</f>
        <v/>
      </c>
      <c r="ER34" s="17">
        <f>IF(AND(145&gt;=$B$8,145&lt;=$D$8),1,0)</f>
        <v/>
      </c>
      <c r="ES34" s="17">
        <f>IF(AND(146&gt;=$B$8,146&lt;=$D$8),1,0)</f>
        <v/>
      </c>
      <c r="ET34" s="17">
        <f>IF(AND(147&gt;=$B$8,147&lt;=$D$8),1,0)</f>
        <v/>
      </c>
      <c r="EU34" s="17">
        <f>IF(AND(148&gt;=$B$8,148&lt;=$D$8),1,0)</f>
        <v/>
      </c>
      <c r="EV34" s="17">
        <f>IF(AND(149&gt;=$B$8,149&lt;=$D$8),1,0)</f>
        <v/>
      </c>
      <c r="EW34" s="17">
        <f>IF(AND(150&gt;=$B$8,150&lt;=$D$8),1,0)</f>
        <v/>
      </c>
      <c r="EX34" s="17">
        <f>IF(AND(151&gt;=$B$8,151&lt;=$D$8),1,0)</f>
        <v/>
      </c>
      <c r="EY34" s="17">
        <f>IF(AND(152&gt;=$B$8,152&lt;=$D$8),1,0)</f>
        <v/>
      </c>
      <c r="EZ34" s="17">
        <f>IF(AND(153&gt;=$B$8,153&lt;=$D$8),1,0)</f>
        <v/>
      </c>
      <c r="FA34" s="17">
        <f>IF(AND(154&gt;=$B$8,154&lt;=$D$8),1,0)</f>
        <v/>
      </c>
      <c r="FB34" s="17">
        <f>IF(AND(155&gt;=$B$8,155&lt;=$D$8),1,0)</f>
        <v/>
      </c>
      <c r="FC34" s="17">
        <f>IF(AND(156&gt;=$B$8,156&lt;=$D$8),1,0)</f>
        <v/>
      </c>
      <c r="FD34" s="17">
        <f>IF(AND(157&gt;=$B$8,157&lt;=$D$8),1,0)</f>
        <v/>
      </c>
      <c r="FE34" s="17">
        <f>IF(AND(158&gt;=$B$8,158&lt;=$D$8),1,0)</f>
        <v/>
      </c>
      <c r="FF34" s="17">
        <f>IF(AND(159&gt;=$B$8,159&lt;=$D$8),1,0)</f>
        <v/>
      </c>
      <c r="FG34" s="17">
        <f>IF(AND(160&gt;=$B$8,160&lt;=$D$8),1,0)</f>
        <v/>
      </c>
      <c r="FH34" s="17">
        <f>IF(AND(161&gt;=$B$8,161&lt;=$D$8),1,0)</f>
        <v/>
      </c>
      <c r="FI34" s="17">
        <f>IF(AND(162&gt;=$B$8,162&lt;=$D$8),1,0)</f>
        <v/>
      </c>
      <c r="FJ34" s="17">
        <f>IF(AND(163&gt;=$B$8,163&lt;=$D$8),1,0)</f>
        <v/>
      </c>
      <c r="FK34" s="17">
        <f>IF(AND(164&gt;=$B$8,164&lt;=$D$8),1,0)</f>
        <v/>
      </c>
      <c r="FL34" s="17">
        <f>IF(AND(165&gt;=$B$8,165&lt;=$D$8),1,0)</f>
        <v/>
      </c>
      <c r="FM34" s="17">
        <f>IF(AND(166&gt;=$B$8,166&lt;=$D$8),1,0)</f>
        <v/>
      </c>
      <c r="FN34" s="17">
        <f>IF(AND(167&gt;=$B$8,167&lt;=$D$8),1,0)</f>
        <v/>
      </c>
      <c r="FO34" s="17">
        <f>IF(AND(168&gt;=$B$8,168&lt;=$D$8),1,0)</f>
        <v/>
      </c>
      <c r="FP34" s="17">
        <f>IF(AND(169&gt;=$B$8,169&lt;=$D$8),1,0)</f>
        <v/>
      </c>
      <c r="FQ34" s="17">
        <f>IF(AND(170&gt;=$B$8,170&lt;=$D$8),1,0)</f>
        <v/>
      </c>
      <c r="FR34" s="17">
        <f>IF(AND(171&gt;=$B$8,171&lt;=$D$8),1,0)</f>
        <v/>
      </c>
      <c r="FS34" s="17">
        <f>IF(AND(172&gt;=$B$8,172&lt;=$D$8),1,0)</f>
        <v/>
      </c>
      <c r="FT34" s="17">
        <f>IF(AND(173&gt;=$B$8,173&lt;=$D$8),1,0)</f>
        <v/>
      </c>
      <c r="FU34" s="17">
        <f>IF(AND(174&gt;=$B$8,174&lt;=$D$8),1,0)</f>
        <v/>
      </c>
      <c r="FV34" s="17">
        <f>IF(AND(175&gt;=$B$8,175&lt;=$D$8),1,0)</f>
        <v/>
      </c>
      <c r="FW34" s="17">
        <f>IF(AND(176&gt;=$B$8,176&lt;=$D$8),1,0)</f>
        <v/>
      </c>
      <c r="FX34" s="17">
        <f>IF(AND(177&gt;=$B$8,177&lt;=$D$8),1,0)</f>
        <v/>
      </c>
      <c r="FY34" s="17">
        <f>IF(AND(178&gt;=$B$8,178&lt;=$D$8),1,0)</f>
        <v/>
      </c>
      <c r="FZ34" s="17">
        <f>IF(AND(179&gt;=$B$8,179&lt;=$D$8),1,0)</f>
        <v/>
      </c>
      <c r="GA34" s="17">
        <f>IF(AND(180&gt;=$B$8,180&lt;=$D$8),1,0)</f>
        <v/>
      </c>
      <c r="GB34" s="17">
        <f>IF(AND(181&gt;=$B$8,181&lt;=$D$8),1,0)</f>
        <v/>
      </c>
      <c r="GC34" s="17">
        <f>IF(AND(182&gt;=$B$8,182&lt;=$D$8),1,0)</f>
        <v/>
      </c>
      <c r="GD34" s="17">
        <f>IF(AND(183&gt;=$B$8,183&lt;=$D$8),1,0)</f>
        <v/>
      </c>
      <c r="GE34" s="17">
        <f>IF(AND(184&gt;=$B$8,184&lt;=$D$8),1,0)</f>
        <v/>
      </c>
      <c r="GF34" s="17">
        <f>IF(AND(185&gt;=$B$8,185&lt;=$D$8),1,0)</f>
        <v/>
      </c>
      <c r="GG34" s="17">
        <f>IF(AND(186&gt;=$B$8,186&lt;=$D$8),1,0)</f>
        <v/>
      </c>
      <c r="GH34" s="17">
        <f>IF(AND(187&gt;=$B$8,187&lt;=$D$8),1,0)</f>
        <v/>
      </c>
      <c r="GI34" s="17">
        <f>IF(AND(188&gt;=$B$8,188&lt;=$D$8),1,0)</f>
        <v/>
      </c>
      <c r="GJ34" s="17">
        <f>IF(AND(189&gt;=$B$8,189&lt;=$D$8),1,0)</f>
        <v/>
      </c>
      <c r="GK34" s="17">
        <f>IF(AND(190&gt;=$B$8,190&lt;=$D$8),1,0)</f>
        <v/>
      </c>
      <c r="GL34" s="17">
        <f>IF(AND(191&gt;=$B$8,191&lt;=$D$8),1,0)</f>
        <v/>
      </c>
      <c r="GM34" s="17">
        <f>IF(AND(192&gt;=$B$8,192&lt;=$D$8),1,0)</f>
        <v/>
      </c>
      <c r="GN34" s="17">
        <f>IF(AND(193&gt;=$B$8,193&lt;=$D$8),1,0)</f>
        <v/>
      </c>
      <c r="GO34" s="17">
        <f>IF(AND(194&gt;=$B$8,194&lt;=$D$8),1,0)</f>
        <v/>
      </c>
      <c r="GP34" s="17">
        <f>IF(AND(195&gt;=$B$8,195&lt;=$D$8),1,0)</f>
        <v/>
      </c>
      <c r="GQ34" s="17">
        <f>IF(AND(196&gt;=$B$8,196&lt;=$D$8),1,0)</f>
        <v/>
      </c>
      <c r="GR34" s="17">
        <f>IF(AND(197&gt;=$B$8,197&lt;=$D$8),1,0)</f>
        <v/>
      </c>
      <c r="GS34" s="17">
        <f>IF(AND(198&gt;=$B$8,198&lt;=$D$8),1,0)</f>
        <v/>
      </c>
      <c r="GT34" s="17">
        <f>IF(AND(199&gt;=$B$8,199&lt;=$D$8),1,0)</f>
        <v/>
      </c>
      <c r="GU34" s="17">
        <f>IF(AND(200&gt;=$B$8,200&lt;=$D$8),1,0)</f>
        <v/>
      </c>
      <c r="GV34" s="17">
        <f>IF(AND(201&gt;=$B$8,201&lt;=$D$8),1,0)</f>
        <v/>
      </c>
      <c r="GW34" s="17">
        <f>IF(AND(202&gt;=$B$8,202&lt;=$D$8),1,0)</f>
        <v/>
      </c>
      <c r="GX34" s="17">
        <f>IF(AND(203&gt;=$B$8,203&lt;=$D$8),1,0)</f>
        <v/>
      </c>
      <c r="GY34" s="17">
        <f>IF(AND(204&gt;=$B$8,204&lt;=$D$8),1,0)</f>
        <v/>
      </c>
      <c r="GZ34" s="17">
        <f>IF(AND(205&gt;=$B$8,205&lt;=$D$8),1,0)</f>
        <v/>
      </c>
      <c r="HA34" s="17">
        <f>IF(AND(206&gt;=$B$8,206&lt;=$D$8),1,0)</f>
        <v/>
      </c>
      <c r="HB34" s="17">
        <f>IF(AND(207&gt;=$B$8,207&lt;=$D$8),1,0)</f>
        <v/>
      </c>
      <c r="HC34" s="17">
        <f>IF(AND(208&gt;=$B$8,208&lt;=$D$8),1,0)</f>
        <v/>
      </c>
      <c r="HD34" s="17">
        <f>IF(AND(209&gt;=$B$8,209&lt;=$D$8),1,0)</f>
        <v/>
      </c>
      <c r="HE34" s="17">
        <f>IF(AND(210&gt;=$B$8,210&lt;=$D$8),1,0)</f>
        <v/>
      </c>
      <c r="HF34" s="17">
        <f>IF(AND(211&gt;=$B$8,211&lt;=$D$8),1,0)</f>
        <v/>
      </c>
      <c r="HG34" s="17">
        <f>IF(AND(212&gt;=$B$8,212&lt;=$D$8),1,0)</f>
        <v/>
      </c>
      <c r="HH34" s="17">
        <f>IF(AND(213&gt;=$B$8,213&lt;=$D$8),1,0)</f>
        <v/>
      </c>
      <c r="HI34" s="17">
        <f>IF(AND(214&gt;=$B$8,214&lt;=$D$8),1,0)</f>
        <v/>
      </c>
      <c r="HJ34" s="17">
        <f>IF(AND(215&gt;=$B$8,215&lt;=$D$8),1,0)</f>
        <v/>
      </c>
      <c r="HK34" s="17">
        <f>IF(AND(216&gt;=$B$8,216&lt;=$D$8),1,0)</f>
        <v/>
      </c>
      <c r="HL34" s="17">
        <f>IF(AND(217&gt;=$B$8,217&lt;=$D$8),1,0)</f>
        <v/>
      </c>
      <c r="HM34" s="17">
        <f>IF(AND(218&gt;=$B$8,218&lt;=$D$8),1,0)</f>
        <v/>
      </c>
      <c r="HN34" s="17">
        <f>IF(AND(219&gt;=$B$8,219&lt;=$D$8),1,0)</f>
        <v/>
      </c>
      <c r="HO34" s="17">
        <f>IF(AND(220&gt;=$B$8,220&lt;=$D$8),1,0)</f>
        <v/>
      </c>
      <c r="HP34" s="17">
        <f>IF(AND(221&gt;=$B$8,221&lt;=$D$8),1,0)</f>
        <v/>
      </c>
      <c r="HQ34" s="17">
        <f>IF(AND(222&gt;=$B$8,222&lt;=$D$8),1,0)</f>
        <v/>
      </c>
      <c r="HR34" s="17">
        <f>IF(AND(223&gt;=$B$8,223&lt;=$D$8),1,0)</f>
        <v/>
      </c>
      <c r="HS34" s="17">
        <f>IF(AND(224&gt;=$B$8,224&lt;=$D$8),1,0)</f>
        <v/>
      </c>
      <c r="HT34" s="17">
        <f>IF(AND(225&gt;=$B$8,225&lt;=$D$8),1,0)</f>
        <v/>
      </c>
      <c r="HU34" s="17">
        <f>IF(AND(226&gt;=$B$8,226&lt;=$D$8),1,0)</f>
        <v/>
      </c>
      <c r="HV34" s="17">
        <f>IF(AND(227&gt;=$B$8,227&lt;=$D$8),1,0)</f>
        <v/>
      </c>
      <c r="HW34" s="17">
        <f>IF(AND(228&gt;=$B$8,228&lt;=$D$8),1,0)</f>
        <v/>
      </c>
      <c r="HX34" s="17">
        <f>IF(AND(229&gt;=$B$8,229&lt;=$D$8),1,0)</f>
        <v/>
      </c>
      <c r="HY34" s="17">
        <f>IF(AND(230&gt;=$B$8,230&lt;=$D$8),1,0)</f>
        <v/>
      </c>
      <c r="HZ34" s="17">
        <f>IF(AND(231&gt;=$B$8,231&lt;=$D$8),1,0)</f>
        <v/>
      </c>
      <c r="IA34" s="17">
        <f>IF(AND(232&gt;=$B$8,232&lt;=$D$8),1,0)</f>
        <v/>
      </c>
      <c r="IB34" s="17">
        <f>IF(AND(233&gt;=$B$8,233&lt;=$D$8),1,0)</f>
        <v/>
      </c>
      <c r="IC34" s="17">
        <f>IF(AND(234&gt;=$B$8,234&lt;=$D$8),1,0)</f>
        <v/>
      </c>
      <c r="ID34" s="17">
        <f>IF(AND(235&gt;=$B$8,235&lt;=$D$8),1,0)</f>
        <v/>
      </c>
      <c r="IE34" s="17">
        <f>IF(AND(236&gt;=$B$8,236&lt;=$D$8),1,0)</f>
        <v/>
      </c>
      <c r="IF34" s="17">
        <f>IF(AND(237&gt;=$B$8,237&lt;=$D$8),1,0)</f>
        <v/>
      </c>
      <c r="IG34" s="17">
        <f>IF(AND(238&gt;=$B$8,238&lt;=$D$8),1,0)</f>
        <v/>
      </c>
      <c r="IH34" s="17">
        <f>IF(AND(239&gt;=$B$8,239&lt;=$D$8),1,0)</f>
        <v/>
      </c>
      <c r="II34" s="17">
        <f>IF(AND(240&gt;=$B$8,240&lt;=$D$8),1,0)</f>
        <v/>
      </c>
      <c r="IJ34" s="17">
        <f>IF(AND(241&gt;=$B$8,241&lt;=$D$8),1,0)</f>
        <v/>
      </c>
      <c r="IK34" s="17">
        <f>IF(AND(242&gt;=$B$8,242&lt;=$D$8),1,0)</f>
        <v/>
      </c>
      <c r="IL34" s="17">
        <f>IF(AND(243&gt;=$B$8,243&lt;=$D$8),1,0)</f>
        <v/>
      </c>
      <c r="IM34" s="17">
        <f>IF(AND(244&gt;=$B$8,244&lt;=$D$8),1,0)</f>
        <v/>
      </c>
      <c r="IN34" s="17">
        <f>IF(AND(245&gt;=$B$8,245&lt;=$D$8),1,0)</f>
        <v/>
      </c>
      <c r="IO34" s="17">
        <f>IF(AND(246&gt;=$B$8,246&lt;=$D$8),1,0)</f>
        <v/>
      </c>
      <c r="IP34" s="17">
        <f>IF(AND(247&gt;=$B$8,247&lt;=$D$8),1,0)</f>
        <v/>
      </c>
      <c r="IQ34" s="17">
        <f>IF(AND(248&gt;=$B$8,248&lt;=$D$8),1,0)</f>
        <v/>
      </c>
      <c r="IR34" s="17">
        <f>IF(AND(249&gt;=$B$8,249&lt;=$D$8),1,0)</f>
        <v/>
      </c>
      <c r="IS34" s="17">
        <f>IF(AND(250&gt;=$B$8,250&lt;=$D$8),1,0)</f>
        <v/>
      </c>
      <c r="IT34" s="17">
        <f>IF(AND(251&gt;=$B$8,251&lt;=$D$8),1,0)</f>
        <v/>
      </c>
      <c r="IU34" s="17">
        <f>IF(AND(252&gt;=$B$8,252&lt;=$D$8),1,0)</f>
        <v/>
      </c>
      <c r="IV34" s="17">
        <f>IF(AND(253&gt;=$B$8,253&lt;=$D$8),1,0)</f>
        <v/>
      </c>
      <c r="IW34" s="17">
        <f>IF(AND(254&gt;=$B$8,254&lt;=$D$8),1,0)</f>
        <v/>
      </c>
      <c r="IX34" s="17">
        <f>IF(AND(255&gt;=$B$8,255&lt;=$D$8),1,0)</f>
        <v/>
      </c>
      <c r="IY34" s="17">
        <f>IF(AND(256&gt;=$B$8,256&lt;=$D$8),1,0)</f>
        <v/>
      </c>
      <c r="IZ34" s="17">
        <f>IF(AND(257&gt;=$B$8,257&lt;=$D$8),1,0)</f>
        <v/>
      </c>
      <c r="JA34" s="17">
        <f>IF(AND(258&gt;=$B$8,258&lt;=$D$8),1,0)</f>
        <v/>
      </c>
      <c r="JB34" s="17">
        <f>IF(AND(259&gt;=$B$8,259&lt;=$D$8),1,0)</f>
        <v/>
      </c>
      <c r="JC34" s="17">
        <f>IF(AND(260&gt;=$B$8,260&lt;=$D$8),1,0)</f>
        <v/>
      </c>
      <c r="JD34" s="17">
        <f>IF(AND(261&gt;=$B$8,261&lt;=$D$8),1,0)</f>
        <v/>
      </c>
      <c r="JE34" s="17">
        <f>IF(AND(262&gt;=$B$8,262&lt;=$D$8),1,0)</f>
        <v/>
      </c>
      <c r="JF34" s="17">
        <f>IF(AND(263&gt;=$B$8,263&lt;=$D$8),1,0)</f>
        <v/>
      </c>
      <c r="JG34" s="17">
        <f>IF(AND(264&gt;=$B$8,264&lt;=$D$8),1,0)</f>
        <v/>
      </c>
      <c r="JH34" s="17">
        <f>IF(AND(265&gt;=$B$8,265&lt;=$D$8),1,0)</f>
        <v/>
      </c>
      <c r="JI34" s="17">
        <f>IF(AND(266&gt;=$B$8,266&lt;=$D$8),1,0)</f>
        <v/>
      </c>
      <c r="JJ34" s="17">
        <f>IF(AND(267&gt;=$B$8,267&lt;=$D$8),1,0)</f>
        <v/>
      </c>
      <c r="JK34" s="17">
        <f>IF(AND(268&gt;=$B$8,268&lt;=$D$8),1,0)</f>
        <v/>
      </c>
      <c r="JL34" s="17">
        <f>IF(AND(269&gt;=$B$8,269&lt;=$D$8),1,0)</f>
        <v/>
      </c>
      <c r="JM34" s="17">
        <f>IF(AND(270&gt;=$B$8,270&lt;=$D$8),1,0)</f>
        <v/>
      </c>
      <c r="JN34" s="17">
        <f>IF(AND(271&gt;=$B$8,271&lt;=$D$8),1,0)</f>
        <v/>
      </c>
      <c r="JO34" s="17">
        <f>IF(AND(272&gt;=$B$8,272&lt;=$D$8),1,0)</f>
        <v/>
      </c>
      <c r="JP34" s="17">
        <f>IF(AND(273&gt;=$B$8,273&lt;=$D$8),1,0)</f>
        <v/>
      </c>
      <c r="JQ34" s="17">
        <f>IF(AND(274&gt;=$B$8,274&lt;=$D$8),1,0)</f>
        <v/>
      </c>
      <c r="JR34" s="17">
        <f>IF(AND(275&gt;=$B$8,275&lt;=$D$8),1,0)</f>
        <v/>
      </c>
      <c r="JS34" s="17">
        <f>IF(AND(276&gt;=$B$8,276&lt;=$D$8),1,0)</f>
        <v/>
      </c>
      <c r="JT34" s="17">
        <f>IF(AND(277&gt;=$B$8,277&lt;=$D$8),1,0)</f>
        <v/>
      </c>
      <c r="JU34" s="17">
        <f>IF(AND(278&gt;=$B$8,278&lt;=$D$8),1,0)</f>
        <v/>
      </c>
      <c r="JV34" s="17">
        <f>IF(AND(279&gt;=$B$8,279&lt;=$D$8),1,0)</f>
        <v/>
      </c>
      <c r="JW34" s="17">
        <f>IF(AND(280&gt;=$B$8,280&lt;=$D$8),1,0)</f>
        <v/>
      </c>
      <c r="JX34" s="17">
        <f>IF(AND(281&gt;=$B$8,281&lt;=$D$8),1,0)</f>
        <v/>
      </c>
      <c r="JY34" s="17">
        <f>IF(AND(282&gt;=$B$8,282&lt;=$D$8),1,0)</f>
        <v/>
      </c>
      <c r="JZ34" s="17">
        <f>IF(AND(283&gt;=$B$8,283&lt;=$D$8),1,0)</f>
        <v/>
      </c>
      <c r="KA34" s="17">
        <f>IF(AND(284&gt;=$B$8,284&lt;=$D$8),1,0)</f>
        <v/>
      </c>
      <c r="KB34" s="17">
        <f>IF(AND(285&gt;=$B$8,285&lt;=$D$8),1,0)</f>
        <v/>
      </c>
      <c r="KC34" s="17">
        <f>IF(AND(286&gt;=$B$8,286&lt;=$D$8),1,0)</f>
        <v/>
      </c>
      <c r="KD34" s="17">
        <f>IF(AND(287&gt;=$B$8,287&lt;=$D$8),1,0)</f>
        <v/>
      </c>
      <c r="KE34" s="17">
        <f>IF(AND(288&gt;=$B$8,288&lt;=$D$8),1,0)</f>
        <v/>
      </c>
      <c r="KF34" s="17">
        <f>IF(AND(289&gt;=$B$8,289&lt;=$D$8),1,0)</f>
        <v/>
      </c>
      <c r="KG34" s="17">
        <f>IF(AND(290&gt;=$B$8,290&lt;=$D$8),1,0)</f>
        <v/>
      </c>
      <c r="KH34" s="17">
        <f>IF(AND(291&gt;=$B$8,291&lt;=$D$8),1,0)</f>
        <v/>
      </c>
      <c r="KI34" s="17">
        <f>IF(AND(292&gt;=$B$8,292&lt;=$D$8),1,0)</f>
        <v/>
      </c>
      <c r="KJ34" s="17">
        <f>IF(AND(293&gt;=$B$8,293&lt;=$D$8),1,0)</f>
        <v/>
      </c>
      <c r="KK34" s="17">
        <f>IF(AND(294&gt;=$B$8,294&lt;=$D$8),1,0)</f>
        <v/>
      </c>
      <c r="KL34" s="17">
        <f>IF(AND(295&gt;=$B$8,295&lt;=$D$8),1,0)</f>
        <v/>
      </c>
      <c r="KM34" s="17">
        <f>IF(AND(296&gt;=$B$8,296&lt;=$D$8),1,0)</f>
        <v/>
      </c>
      <c r="KN34" s="17">
        <f>IF(AND(297&gt;=$B$8,297&lt;=$D$8),1,0)</f>
        <v/>
      </c>
      <c r="KO34" s="17">
        <f>IF(AND(298&gt;=$B$8,298&lt;=$D$8),1,0)</f>
        <v/>
      </c>
      <c r="KP34" s="17">
        <f>IF(AND(299&gt;=$B$8,299&lt;=$D$8),1,0)</f>
        <v/>
      </c>
      <c r="KQ34" s="17">
        <f>IF(AND(300&gt;=$B$8,300&lt;=$D$8),1,0)</f>
        <v/>
      </c>
      <c r="KR34" s="17">
        <f>IF(AND(301&gt;=$B$8,301&lt;=$D$8),1,0)</f>
        <v/>
      </c>
      <c r="KS34" s="17">
        <f>IF(AND(302&gt;=$B$8,302&lt;=$D$8),1,0)</f>
        <v/>
      </c>
      <c r="KT34" s="17">
        <f>IF(AND(303&gt;=$B$8,303&lt;=$D$8),1,0)</f>
        <v/>
      </c>
      <c r="KU34" s="17">
        <f>IF(AND(304&gt;=$B$8,304&lt;=$D$8),1,0)</f>
        <v/>
      </c>
      <c r="KV34" s="17">
        <f>IF(AND(305&gt;=$B$8,305&lt;=$D$8),1,0)</f>
        <v/>
      </c>
      <c r="KW34" s="17">
        <f>IF(AND(306&gt;=$B$8,306&lt;=$D$8),1,0)</f>
        <v/>
      </c>
      <c r="KX34" s="17">
        <f>IF(AND(307&gt;=$B$8,307&lt;=$D$8),1,0)</f>
        <v/>
      </c>
      <c r="KY34" s="17">
        <f>IF(AND(308&gt;=$B$8,308&lt;=$D$8),1,0)</f>
        <v/>
      </c>
      <c r="KZ34" s="17">
        <f>IF(AND(309&gt;=$B$8,309&lt;=$D$8),1,0)</f>
        <v/>
      </c>
      <c r="LA34" s="17">
        <f>IF(AND(310&gt;=$B$8,310&lt;=$D$8),1,0)</f>
        <v/>
      </c>
      <c r="LB34" s="17">
        <f>IF(AND(311&gt;=$B$8,311&lt;=$D$8),1,0)</f>
        <v/>
      </c>
      <c r="LC34" s="17">
        <f>IF(AND(312&gt;=$B$8,312&lt;=$D$8),1,0)</f>
        <v/>
      </c>
      <c r="LD34" s="17">
        <f>IF(AND(313&gt;=$B$8,313&lt;=$D$8),1,0)</f>
        <v/>
      </c>
      <c r="LE34" s="17">
        <f>IF(AND(314&gt;=$B$8,314&lt;=$D$8),1,0)</f>
        <v/>
      </c>
      <c r="LF34" s="17">
        <f>IF(AND(315&gt;=$B$8,315&lt;=$D$8),1,0)</f>
        <v/>
      </c>
      <c r="LG34" s="17">
        <f>IF(AND(316&gt;=$B$8,316&lt;=$D$8),1,0)</f>
        <v/>
      </c>
      <c r="LH34" s="17">
        <f>IF(AND(317&gt;=$B$8,317&lt;=$D$8),1,0)</f>
        <v/>
      </c>
      <c r="LI34" s="17">
        <f>IF(AND(318&gt;=$B$8,318&lt;=$D$8),1,0)</f>
        <v/>
      </c>
      <c r="LJ34" s="17">
        <f>IF(AND(319&gt;=$B$8,319&lt;=$D$8),1,0)</f>
        <v/>
      </c>
      <c r="LK34" s="17">
        <f>IF(AND(320&gt;=$B$8,320&lt;=$D$8),1,0)</f>
        <v/>
      </c>
      <c r="LL34" s="17">
        <f>IF(AND(321&gt;=$B$8,321&lt;=$D$8),1,0)</f>
        <v/>
      </c>
      <c r="LM34" s="17">
        <f>IF(AND(322&gt;=$B$8,322&lt;=$D$8),1,0)</f>
        <v/>
      </c>
      <c r="LN34" s="17">
        <f>IF(AND(323&gt;=$B$8,323&lt;=$D$8),1,0)</f>
        <v/>
      </c>
      <c r="LO34" s="17">
        <f>IF(AND(324&gt;=$B$8,324&lt;=$D$8),1,0)</f>
        <v/>
      </c>
      <c r="LP34" s="17">
        <f>IF(AND(325&gt;=$B$8,325&lt;=$D$8),1,0)</f>
        <v/>
      </c>
      <c r="LQ34" s="17">
        <f>IF(AND(326&gt;=$B$8,326&lt;=$D$8),1,0)</f>
        <v/>
      </c>
      <c r="LR34" s="17">
        <f>IF(AND(327&gt;=$B$8,327&lt;=$D$8),1,0)</f>
        <v/>
      </c>
      <c r="LS34" s="17">
        <f>IF(AND(328&gt;=$B$8,328&lt;=$D$8),1,0)</f>
        <v/>
      </c>
      <c r="LT34" s="17">
        <f>IF(AND(329&gt;=$B$8,329&lt;=$D$8),1,0)</f>
        <v/>
      </c>
      <c r="LU34" s="17">
        <f>IF(AND(330&gt;=$B$8,330&lt;=$D$8),1,0)</f>
        <v/>
      </c>
      <c r="LV34" s="17">
        <f>IF(AND(331&gt;=$B$8,331&lt;=$D$8),1,0)</f>
        <v/>
      </c>
      <c r="LW34" s="17">
        <f>IF(AND(332&gt;=$B$8,332&lt;=$D$8),1,0)</f>
        <v/>
      </c>
      <c r="LX34" s="17">
        <f>IF(AND(333&gt;=$B$8,333&lt;=$D$8),1,0)</f>
        <v/>
      </c>
      <c r="LY34" s="17">
        <f>IF(AND(334&gt;=$B$8,334&lt;=$D$8),1,0)</f>
        <v/>
      </c>
      <c r="LZ34" s="17">
        <f>IF(AND(335&gt;=$B$8,335&lt;=$D$8),1,0)</f>
        <v/>
      </c>
      <c r="MA34" s="17">
        <f>IF(AND(336&gt;=$B$8,336&lt;=$D$8),1,0)</f>
        <v/>
      </c>
      <c r="MB34" s="17">
        <f>IF(AND(337&gt;=$B$8,337&lt;=$D$8),1,0)</f>
        <v/>
      </c>
      <c r="MC34" s="17">
        <f>IF(AND(338&gt;=$B$8,338&lt;=$D$8),1,0)</f>
        <v/>
      </c>
      <c r="MD34" s="17">
        <f>IF(AND(339&gt;=$B$8,339&lt;=$D$8),1,0)</f>
        <v/>
      </c>
      <c r="ME34" s="17">
        <f>IF(AND(340&gt;=$B$8,340&lt;=$D$8),1,0)</f>
        <v/>
      </c>
      <c r="MF34" s="17">
        <f>IF(AND(341&gt;=$B$8,341&lt;=$D$8),1,0)</f>
        <v/>
      </c>
      <c r="MG34" s="17">
        <f>IF(AND(342&gt;=$B$8,342&lt;=$D$8),1,0)</f>
        <v/>
      </c>
      <c r="MH34" s="17">
        <f>IF(AND(343&gt;=$B$8,343&lt;=$D$8),1,0)</f>
        <v/>
      </c>
      <c r="MI34" s="17">
        <f>IF(AND(344&gt;=$B$8,344&lt;=$D$8),1,0)</f>
        <v/>
      </c>
      <c r="MJ34" s="17">
        <f>IF(AND(345&gt;=$B$8,345&lt;=$D$8),1,0)</f>
        <v/>
      </c>
      <c r="MK34" s="17">
        <f>IF(AND(346&gt;=$B$8,346&lt;=$D$8),1,0)</f>
        <v/>
      </c>
      <c r="ML34" s="17">
        <f>IF(AND(347&gt;=$B$8,347&lt;=$D$8),1,0)</f>
        <v/>
      </c>
      <c r="MM34" s="17">
        <f>IF(AND(348&gt;=$B$8,348&lt;=$D$8),1,0)</f>
        <v/>
      </c>
      <c r="MN34" s="17">
        <f>IF(AND(349&gt;=$B$8,349&lt;=$D$8),1,0)</f>
        <v/>
      </c>
      <c r="MO34" s="17">
        <f>IF(AND(350&gt;=$B$8,350&lt;=$D$8),1,0)</f>
        <v/>
      </c>
      <c r="MP34" s="17">
        <f>IF(AND(351&gt;=$B$8,351&lt;=$D$8),1,0)</f>
        <v/>
      </c>
      <c r="MQ34" s="17">
        <f>IF(AND(352&gt;=$B$8,352&lt;=$D$8),1,0)</f>
        <v/>
      </c>
      <c r="MR34" s="17">
        <f>IF(AND(353&gt;=$B$8,353&lt;=$D$8),1,0)</f>
        <v/>
      </c>
      <c r="MS34" s="17">
        <f>IF(AND(354&gt;=$B$8,354&lt;=$D$8),1,0)</f>
        <v/>
      </c>
      <c r="MT34" s="17">
        <f>IF(AND(355&gt;=$B$8,355&lt;=$D$8),1,0)</f>
        <v/>
      </c>
      <c r="MU34" s="17">
        <f>IF(AND(356&gt;=$B$8,356&lt;=$D$8),1,0)</f>
        <v/>
      </c>
      <c r="MV34" s="17">
        <f>IF(AND(357&gt;=$B$8,357&lt;=$D$8),1,0)</f>
        <v/>
      </c>
      <c r="MW34" s="17">
        <f>IF(AND(358&gt;=$B$8,358&lt;=$D$8),1,0)</f>
        <v/>
      </c>
      <c r="MX34" s="17">
        <f>IF(AND(359&gt;=$B$8,359&lt;=$D$8),1,0)</f>
        <v/>
      </c>
      <c r="MY34" s="17">
        <f>IF(AND(360&gt;=$B$8,360&lt;=$D$8),1,0)</f>
        <v/>
      </c>
      <c r="MZ34" s="17">
        <f>IF(AND(361&gt;=$B$8,361&lt;=$D$8),1,0)</f>
        <v/>
      </c>
      <c r="NA34" s="17">
        <f>IF(AND(362&gt;=$B$8,362&lt;=$D$8),1,0)</f>
        <v/>
      </c>
      <c r="NB34" s="17">
        <f>IF(AND(363&gt;=$B$8,363&lt;=$D$8),1,0)</f>
        <v/>
      </c>
      <c r="NC34" s="17">
        <f>IF(AND(364&gt;=$B$8,364&lt;=$D$8),1,0)</f>
        <v/>
      </c>
      <c r="ND34" s="17">
        <f>IF(AND(365&gt;=$B$8,365&lt;=$D$8),1,0)</f>
        <v/>
      </c>
      <c r="NE34" s="17">
        <f>IF(AND(366&gt;=$B$8,366&lt;=$D$8),1,0)</f>
        <v/>
      </c>
      <c r="NF34" s="17">
        <f>IF(AND(367&gt;=$B$8,367&lt;=$D$8),1,0)</f>
        <v/>
      </c>
      <c r="NG34" s="17">
        <f>IF(AND(368&gt;=$B$8,368&lt;=$D$8),1,0)</f>
        <v/>
      </c>
      <c r="NH34" s="17">
        <f>IF(AND(369&gt;=$B$8,369&lt;=$D$8),1,0)</f>
        <v/>
      </c>
      <c r="NI34" s="17">
        <f>IF(AND(370&gt;=$B$8,370&lt;=$D$8),1,0)</f>
        <v/>
      </c>
      <c r="NJ34" s="17">
        <f>IF(AND(371&gt;=$B$8,371&lt;=$D$8),1,0)</f>
        <v/>
      </c>
      <c r="NK34" s="17">
        <f>IF(AND(372&gt;=$B$8,372&lt;=$D$8),1,0)</f>
        <v/>
      </c>
    </row>
    <row r="35">
      <c r="A35" s="5" t="inlineStr">
        <is>
          <t>Flag: Construction</t>
        </is>
      </c>
      <c r="C35" s="40" t="n"/>
      <c r="D35" s="17">
        <f>IF(AND(1&gt;=$B$9,1&lt;=$D$9),1,0)</f>
        <v/>
      </c>
      <c r="E35" s="17">
        <f>IF(AND(2&gt;=$B$9,2&lt;=$D$9),1,0)</f>
        <v/>
      </c>
      <c r="F35" s="17">
        <f>IF(AND(3&gt;=$B$9,3&lt;=$D$9),1,0)</f>
        <v/>
      </c>
      <c r="G35" s="17">
        <f>IF(AND(4&gt;=$B$9,4&lt;=$D$9),1,0)</f>
        <v/>
      </c>
      <c r="H35" s="17">
        <f>IF(AND(5&gt;=$B$9,5&lt;=$D$9),1,0)</f>
        <v/>
      </c>
      <c r="I35" s="17">
        <f>IF(AND(6&gt;=$B$9,6&lt;=$D$9),1,0)</f>
        <v/>
      </c>
      <c r="J35" s="17">
        <f>IF(AND(7&gt;=$B$9,7&lt;=$D$9),1,0)</f>
        <v/>
      </c>
      <c r="K35" s="17">
        <f>IF(AND(8&gt;=$B$9,8&lt;=$D$9),1,0)</f>
        <v/>
      </c>
      <c r="L35" s="17">
        <f>IF(AND(9&gt;=$B$9,9&lt;=$D$9),1,0)</f>
        <v/>
      </c>
      <c r="M35" s="17">
        <f>IF(AND(10&gt;=$B$9,10&lt;=$D$9),1,0)</f>
        <v/>
      </c>
      <c r="N35" s="17">
        <f>IF(AND(11&gt;=$B$9,11&lt;=$D$9),1,0)</f>
        <v/>
      </c>
      <c r="O35" s="17">
        <f>IF(AND(12&gt;=$B$9,12&lt;=$D$9),1,0)</f>
        <v/>
      </c>
      <c r="P35" s="17">
        <f>IF(AND(13&gt;=$B$9,13&lt;=$D$9),1,0)</f>
        <v/>
      </c>
      <c r="Q35" s="17">
        <f>IF(AND(14&gt;=$B$9,14&lt;=$D$9),1,0)</f>
        <v/>
      </c>
      <c r="R35" s="17">
        <f>IF(AND(15&gt;=$B$9,15&lt;=$D$9),1,0)</f>
        <v/>
      </c>
      <c r="S35" s="17">
        <f>IF(AND(16&gt;=$B$9,16&lt;=$D$9),1,0)</f>
        <v/>
      </c>
      <c r="T35" s="17">
        <f>IF(AND(17&gt;=$B$9,17&lt;=$D$9),1,0)</f>
        <v/>
      </c>
      <c r="U35" s="17">
        <f>IF(AND(18&gt;=$B$9,18&lt;=$D$9),1,0)</f>
        <v/>
      </c>
      <c r="V35" s="17">
        <f>IF(AND(19&gt;=$B$9,19&lt;=$D$9),1,0)</f>
        <v/>
      </c>
      <c r="W35" s="17">
        <f>IF(AND(20&gt;=$B$9,20&lt;=$D$9),1,0)</f>
        <v/>
      </c>
      <c r="X35" s="17">
        <f>IF(AND(21&gt;=$B$9,21&lt;=$D$9),1,0)</f>
        <v/>
      </c>
      <c r="Y35" s="17">
        <f>IF(AND(22&gt;=$B$9,22&lt;=$D$9),1,0)</f>
        <v/>
      </c>
      <c r="Z35" s="17">
        <f>IF(AND(23&gt;=$B$9,23&lt;=$D$9),1,0)</f>
        <v/>
      </c>
      <c r="AA35" s="17">
        <f>IF(AND(24&gt;=$B$9,24&lt;=$D$9),1,0)</f>
        <v/>
      </c>
      <c r="AB35" s="17">
        <f>IF(AND(25&gt;=$B$9,25&lt;=$D$9),1,0)</f>
        <v/>
      </c>
      <c r="AC35" s="17">
        <f>IF(AND(26&gt;=$B$9,26&lt;=$D$9),1,0)</f>
        <v/>
      </c>
      <c r="AD35" s="17">
        <f>IF(AND(27&gt;=$B$9,27&lt;=$D$9),1,0)</f>
        <v/>
      </c>
      <c r="AE35" s="17">
        <f>IF(AND(28&gt;=$B$9,28&lt;=$D$9),1,0)</f>
        <v/>
      </c>
      <c r="AF35" s="17">
        <f>IF(AND(29&gt;=$B$9,29&lt;=$D$9),1,0)</f>
        <v/>
      </c>
      <c r="AG35" s="17">
        <f>IF(AND(30&gt;=$B$9,30&lt;=$D$9),1,0)</f>
        <v/>
      </c>
      <c r="AH35" s="17">
        <f>IF(AND(31&gt;=$B$9,31&lt;=$D$9),1,0)</f>
        <v/>
      </c>
      <c r="AI35" s="17">
        <f>IF(AND(32&gt;=$B$9,32&lt;=$D$9),1,0)</f>
        <v/>
      </c>
      <c r="AJ35" s="17">
        <f>IF(AND(33&gt;=$B$9,33&lt;=$D$9),1,0)</f>
        <v/>
      </c>
      <c r="AK35" s="17">
        <f>IF(AND(34&gt;=$B$9,34&lt;=$D$9),1,0)</f>
        <v/>
      </c>
      <c r="AL35" s="17">
        <f>IF(AND(35&gt;=$B$9,35&lt;=$D$9),1,0)</f>
        <v/>
      </c>
      <c r="AM35" s="17">
        <f>IF(AND(36&gt;=$B$9,36&lt;=$D$9),1,0)</f>
        <v/>
      </c>
      <c r="AN35" s="17">
        <f>IF(AND(37&gt;=$B$9,37&lt;=$D$9),1,0)</f>
        <v/>
      </c>
      <c r="AO35" s="17">
        <f>IF(AND(38&gt;=$B$9,38&lt;=$D$9),1,0)</f>
        <v/>
      </c>
      <c r="AP35" s="17">
        <f>IF(AND(39&gt;=$B$9,39&lt;=$D$9),1,0)</f>
        <v/>
      </c>
      <c r="AQ35" s="17">
        <f>IF(AND(40&gt;=$B$9,40&lt;=$D$9),1,0)</f>
        <v/>
      </c>
      <c r="AR35" s="17">
        <f>IF(AND(41&gt;=$B$9,41&lt;=$D$9),1,0)</f>
        <v/>
      </c>
      <c r="AS35" s="17">
        <f>IF(AND(42&gt;=$B$9,42&lt;=$D$9),1,0)</f>
        <v/>
      </c>
      <c r="AT35" s="17">
        <f>IF(AND(43&gt;=$B$9,43&lt;=$D$9),1,0)</f>
        <v/>
      </c>
      <c r="AU35" s="17">
        <f>IF(AND(44&gt;=$B$9,44&lt;=$D$9),1,0)</f>
        <v/>
      </c>
      <c r="AV35" s="17">
        <f>IF(AND(45&gt;=$B$9,45&lt;=$D$9),1,0)</f>
        <v/>
      </c>
      <c r="AW35" s="17">
        <f>IF(AND(46&gt;=$B$9,46&lt;=$D$9),1,0)</f>
        <v/>
      </c>
      <c r="AX35" s="17">
        <f>IF(AND(47&gt;=$B$9,47&lt;=$D$9),1,0)</f>
        <v/>
      </c>
      <c r="AY35" s="17">
        <f>IF(AND(48&gt;=$B$9,48&lt;=$D$9),1,0)</f>
        <v/>
      </c>
      <c r="AZ35" s="17">
        <f>IF(AND(49&gt;=$B$9,49&lt;=$D$9),1,0)</f>
        <v/>
      </c>
      <c r="BA35" s="17">
        <f>IF(AND(50&gt;=$B$9,50&lt;=$D$9),1,0)</f>
        <v/>
      </c>
      <c r="BB35" s="17">
        <f>IF(AND(51&gt;=$B$9,51&lt;=$D$9),1,0)</f>
        <v/>
      </c>
      <c r="BC35" s="17">
        <f>IF(AND(52&gt;=$B$9,52&lt;=$D$9),1,0)</f>
        <v/>
      </c>
      <c r="BD35" s="17">
        <f>IF(AND(53&gt;=$B$9,53&lt;=$D$9),1,0)</f>
        <v/>
      </c>
      <c r="BE35" s="17">
        <f>IF(AND(54&gt;=$B$9,54&lt;=$D$9),1,0)</f>
        <v/>
      </c>
      <c r="BF35" s="17">
        <f>IF(AND(55&gt;=$B$9,55&lt;=$D$9),1,0)</f>
        <v/>
      </c>
      <c r="BG35" s="17">
        <f>IF(AND(56&gt;=$B$9,56&lt;=$D$9),1,0)</f>
        <v/>
      </c>
      <c r="BH35" s="17">
        <f>IF(AND(57&gt;=$B$9,57&lt;=$D$9),1,0)</f>
        <v/>
      </c>
      <c r="BI35" s="17">
        <f>IF(AND(58&gt;=$B$9,58&lt;=$D$9),1,0)</f>
        <v/>
      </c>
      <c r="BJ35" s="17">
        <f>IF(AND(59&gt;=$B$9,59&lt;=$D$9),1,0)</f>
        <v/>
      </c>
      <c r="BK35" s="17">
        <f>IF(AND(60&gt;=$B$9,60&lt;=$D$9),1,0)</f>
        <v/>
      </c>
      <c r="BL35" s="17">
        <f>IF(AND(61&gt;=$B$9,61&lt;=$D$9),1,0)</f>
        <v/>
      </c>
      <c r="BM35" s="17">
        <f>IF(AND(62&gt;=$B$9,62&lt;=$D$9),1,0)</f>
        <v/>
      </c>
      <c r="BN35" s="17">
        <f>IF(AND(63&gt;=$B$9,63&lt;=$D$9),1,0)</f>
        <v/>
      </c>
      <c r="BO35" s="17">
        <f>IF(AND(64&gt;=$B$9,64&lt;=$D$9),1,0)</f>
        <v/>
      </c>
      <c r="BP35" s="17">
        <f>IF(AND(65&gt;=$B$9,65&lt;=$D$9),1,0)</f>
        <v/>
      </c>
      <c r="BQ35" s="17">
        <f>IF(AND(66&gt;=$B$9,66&lt;=$D$9),1,0)</f>
        <v/>
      </c>
      <c r="BR35" s="17">
        <f>IF(AND(67&gt;=$B$9,67&lt;=$D$9),1,0)</f>
        <v/>
      </c>
      <c r="BS35" s="17">
        <f>IF(AND(68&gt;=$B$9,68&lt;=$D$9),1,0)</f>
        <v/>
      </c>
      <c r="BT35" s="17">
        <f>IF(AND(69&gt;=$B$9,69&lt;=$D$9),1,0)</f>
        <v/>
      </c>
      <c r="BU35" s="17">
        <f>IF(AND(70&gt;=$B$9,70&lt;=$D$9),1,0)</f>
        <v/>
      </c>
      <c r="BV35" s="17">
        <f>IF(AND(71&gt;=$B$9,71&lt;=$D$9),1,0)</f>
        <v/>
      </c>
      <c r="BW35" s="17">
        <f>IF(AND(72&gt;=$B$9,72&lt;=$D$9),1,0)</f>
        <v/>
      </c>
      <c r="BX35" s="17">
        <f>IF(AND(73&gt;=$B$9,73&lt;=$D$9),1,0)</f>
        <v/>
      </c>
      <c r="BY35" s="17">
        <f>IF(AND(74&gt;=$B$9,74&lt;=$D$9),1,0)</f>
        <v/>
      </c>
      <c r="BZ35" s="17">
        <f>IF(AND(75&gt;=$B$9,75&lt;=$D$9),1,0)</f>
        <v/>
      </c>
      <c r="CA35" s="17">
        <f>IF(AND(76&gt;=$B$9,76&lt;=$D$9),1,0)</f>
        <v/>
      </c>
      <c r="CB35" s="17">
        <f>IF(AND(77&gt;=$B$9,77&lt;=$D$9),1,0)</f>
        <v/>
      </c>
      <c r="CC35" s="17">
        <f>IF(AND(78&gt;=$B$9,78&lt;=$D$9),1,0)</f>
        <v/>
      </c>
      <c r="CD35" s="17">
        <f>IF(AND(79&gt;=$B$9,79&lt;=$D$9),1,0)</f>
        <v/>
      </c>
      <c r="CE35" s="17">
        <f>IF(AND(80&gt;=$B$9,80&lt;=$D$9),1,0)</f>
        <v/>
      </c>
      <c r="CF35" s="17">
        <f>IF(AND(81&gt;=$B$9,81&lt;=$D$9),1,0)</f>
        <v/>
      </c>
      <c r="CG35" s="17">
        <f>IF(AND(82&gt;=$B$9,82&lt;=$D$9),1,0)</f>
        <v/>
      </c>
      <c r="CH35" s="17">
        <f>IF(AND(83&gt;=$B$9,83&lt;=$D$9),1,0)</f>
        <v/>
      </c>
      <c r="CI35" s="17">
        <f>IF(AND(84&gt;=$B$9,84&lt;=$D$9),1,0)</f>
        <v/>
      </c>
      <c r="CJ35" s="17">
        <f>IF(AND(85&gt;=$B$9,85&lt;=$D$9),1,0)</f>
        <v/>
      </c>
      <c r="CK35" s="17">
        <f>IF(AND(86&gt;=$B$9,86&lt;=$D$9),1,0)</f>
        <v/>
      </c>
      <c r="CL35" s="17">
        <f>IF(AND(87&gt;=$B$9,87&lt;=$D$9),1,0)</f>
        <v/>
      </c>
      <c r="CM35" s="17">
        <f>IF(AND(88&gt;=$B$9,88&lt;=$D$9),1,0)</f>
        <v/>
      </c>
      <c r="CN35" s="17">
        <f>IF(AND(89&gt;=$B$9,89&lt;=$D$9),1,0)</f>
        <v/>
      </c>
      <c r="CO35" s="17">
        <f>IF(AND(90&gt;=$B$9,90&lt;=$D$9),1,0)</f>
        <v/>
      </c>
      <c r="CP35" s="17">
        <f>IF(AND(91&gt;=$B$9,91&lt;=$D$9),1,0)</f>
        <v/>
      </c>
      <c r="CQ35" s="17">
        <f>IF(AND(92&gt;=$B$9,92&lt;=$D$9),1,0)</f>
        <v/>
      </c>
      <c r="CR35" s="17">
        <f>IF(AND(93&gt;=$B$9,93&lt;=$D$9),1,0)</f>
        <v/>
      </c>
      <c r="CS35" s="17">
        <f>IF(AND(94&gt;=$B$9,94&lt;=$D$9),1,0)</f>
        <v/>
      </c>
      <c r="CT35" s="17">
        <f>IF(AND(95&gt;=$B$9,95&lt;=$D$9),1,0)</f>
        <v/>
      </c>
      <c r="CU35" s="17">
        <f>IF(AND(96&gt;=$B$9,96&lt;=$D$9),1,0)</f>
        <v/>
      </c>
      <c r="CV35" s="17">
        <f>IF(AND(97&gt;=$B$9,97&lt;=$D$9),1,0)</f>
        <v/>
      </c>
      <c r="CW35" s="17">
        <f>IF(AND(98&gt;=$B$9,98&lt;=$D$9),1,0)</f>
        <v/>
      </c>
      <c r="CX35" s="17">
        <f>IF(AND(99&gt;=$B$9,99&lt;=$D$9),1,0)</f>
        <v/>
      </c>
      <c r="CY35" s="17">
        <f>IF(AND(100&gt;=$B$9,100&lt;=$D$9),1,0)</f>
        <v/>
      </c>
      <c r="CZ35" s="17">
        <f>IF(AND(101&gt;=$B$9,101&lt;=$D$9),1,0)</f>
        <v/>
      </c>
      <c r="DA35" s="17">
        <f>IF(AND(102&gt;=$B$9,102&lt;=$D$9),1,0)</f>
        <v/>
      </c>
      <c r="DB35" s="17">
        <f>IF(AND(103&gt;=$B$9,103&lt;=$D$9),1,0)</f>
        <v/>
      </c>
      <c r="DC35" s="17">
        <f>IF(AND(104&gt;=$B$9,104&lt;=$D$9),1,0)</f>
        <v/>
      </c>
      <c r="DD35" s="17">
        <f>IF(AND(105&gt;=$B$9,105&lt;=$D$9),1,0)</f>
        <v/>
      </c>
      <c r="DE35" s="17">
        <f>IF(AND(106&gt;=$B$9,106&lt;=$D$9),1,0)</f>
        <v/>
      </c>
      <c r="DF35" s="17">
        <f>IF(AND(107&gt;=$B$9,107&lt;=$D$9),1,0)</f>
        <v/>
      </c>
      <c r="DG35" s="17">
        <f>IF(AND(108&gt;=$B$9,108&lt;=$D$9),1,0)</f>
        <v/>
      </c>
      <c r="DH35" s="17">
        <f>IF(AND(109&gt;=$B$9,109&lt;=$D$9),1,0)</f>
        <v/>
      </c>
      <c r="DI35" s="17">
        <f>IF(AND(110&gt;=$B$9,110&lt;=$D$9),1,0)</f>
        <v/>
      </c>
      <c r="DJ35" s="17">
        <f>IF(AND(111&gt;=$B$9,111&lt;=$D$9),1,0)</f>
        <v/>
      </c>
      <c r="DK35" s="17">
        <f>IF(AND(112&gt;=$B$9,112&lt;=$D$9),1,0)</f>
        <v/>
      </c>
      <c r="DL35" s="17">
        <f>IF(AND(113&gt;=$B$9,113&lt;=$D$9),1,0)</f>
        <v/>
      </c>
      <c r="DM35" s="17">
        <f>IF(AND(114&gt;=$B$9,114&lt;=$D$9),1,0)</f>
        <v/>
      </c>
      <c r="DN35" s="17">
        <f>IF(AND(115&gt;=$B$9,115&lt;=$D$9),1,0)</f>
        <v/>
      </c>
      <c r="DO35" s="17">
        <f>IF(AND(116&gt;=$B$9,116&lt;=$D$9),1,0)</f>
        <v/>
      </c>
      <c r="DP35" s="17">
        <f>IF(AND(117&gt;=$B$9,117&lt;=$D$9),1,0)</f>
        <v/>
      </c>
      <c r="DQ35" s="17">
        <f>IF(AND(118&gt;=$B$9,118&lt;=$D$9),1,0)</f>
        <v/>
      </c>
      <c r="DR35" s="17">
        <f>IF(AND(119&gt;=$B$9,119&lt;=$D$9),1,0)</f>
        <v/>
      </c>
      <c r="DS35" s="17">
        <f>IF(AND(120&gt;=$B$9,120&lt;=$D$9),1,0)</f>
        <v/>
      </c>
      <c r="DT35" s="17">
        <f>IF(AND(121&gt;=$B$9,121&lt;=$D$9),1,0)</f>
        <v/>
      </c>
      <c r="DU35" s="17">
        <f>IF(AND(122&gt;=$B$9,122&lt;=$D$9),1,0)</f>
        <v/>
      </c>
      <c r="DV35" s="17">
        <f>IF(AND(123&gt;=$B$9,123&lt;=$D$9),1,0)</f>
        <v/>
      </c>
      <c r="DW35" s="17">
        <f>IF(AND(124&gt;=$B$9,124&lt;=$D$9),1,0)</f>
        <v/>
      </c>
      <c r="DX35" s="17">
        <f>IF(AND(125&gt;=$B$9,125&lt;=$D$9),1,0)</f>
        <v/>
      </c>
      <c r="DY35" s="17">
        <f>IF(AND(126&gt;=$B$9,126&lt;=$D$9),1,0)</f>
        <v/>
      </c>
      <c r="DZ35" s="17">
        <f>IF(AND(127&gt;=$B$9,127&lt;=$D$9),1,0)</f>
        <v/>
      </c>
      <c r="EA35" s="17">
        <f>IF(AND(128&gt;=$B$9,128&lt;=$D$9),1,0)</f>
        <v/>
      </c>
      <c r="EB35" s="17">
        <f>IF(AND(129&gt;=$B$9,129&lt;=$D$9),1,0)</f>
        <v/>
      </c>
      <c r="EC35" s="17">
        <f>IF(AND(130&gt;=$B$9,130&lt;=$D$9),1,0)</f>
        <v/>
      </c>
      <c r="ED35" s="17">
        <f>IF(AND(131&gt;=$B$9,131&lt;=$D$9),1,0)</f>
        <v/>
      </c>
      <c r="EE35" s="17">
        <f>IF(AND(132&gt;=$B$9,132&lt;=$D$9),1,0)</f>
        <v/>
      </c>
      <c r="EF35" s="17">
        <f>IF(AND(133&gt;=$B$9,133&lt;=$D$9),1,0)</f>
        <v/>
      </c>
      <c r="EG35" s="17">
        <f>IF(AND(134&gt;=$B$9,134&lt;=$D$9),1,0)</f>
        <v/>
      </c>
      <c r="EH35" s="17">
        <f>IF(AND(135&gt;=$B$9,135&lt;=$D$9),1,0)</f>
        <v/>
      </c>
      <c r="EI35" s="17">
        <f>IF(AND(136&gt;=$B$9,136&lt;=$D$9),1,0)</f>
        <v/>
      </c>
      <c r="EJ35" s="17">
        <f>IF(AND(137&gt;=$B$9,137&lt;=$D$9),1,0)</f>
        <v/>
      </c>
      <c r="EK35" s="17">
        <f>IF(AND(138&gt;=$B$9,138&lt;=$D$9),1,0)</f>
        <v/>
      </c>
      <c r="EL35" s="17">
        <f>IF(AND(139&gt;=$B$9,139&lt;=$D$9),1,0)</f>
        <v/>
      </c>
      <c r="EM35" s="17">
        <f>IF(AND(140&gt;=$B$9,140&lt;=$D$9),1,0)</f>
        <v/>
      </c>
      <c r="EN35" s="17">
        <f>IF(AND(141&gt;=$B$9,141&lt;=$D$9),1,0)</f>
        <v/>
      </c>
      <c r="EO35" s="17">
        <f>IF(AND(142&gt;=$B$9,142&lt;=$D$9),1,0)</f>
        <v/>
      </c>
      <c r="EP35" s="17">
        <f>IF(AND(143&gt;=$B$9,143&lt;=$D$9),1,0)</f>
        <v/>
      </c>
      <c r="EQ35" s="17">
        <f>IF(AND(144&gt;=$B$9,144&lt;=$D$9),1,0)</f>
        <v/>
      </c>
      <c r="ER35" s="17">
        <f>IF(AND(145&gt;=$B$9,145&lt;=$D$9),1,0)</f>
        <v/>
      </c>
      <c r="ES35" s="17">
        <f>IF(AND(146&gt;=$B$9,146&lt;=$D$9),1,0)</f>
        <v/>
      </c>
      <c r="ET35" s="17">
        <f>IF(AND(147&gt;=$B$9,147&lt;=$D$9),1,0)</f>
        <v/>
      </c>
      <c r="EU35" s="17">
        <f>IF(AND(148&gt;=$B$9,148&lt;=$D$9),1,0)</f>
        <v/>
      </c>
      <c r="EV35" s="17">
        <f>IF(AND(149&gt;=$B$9,149&lt;=$D$9),1,0)</f>
        <v/>
      </c>
      <c r="EW35" s="17">
        <f>IF(AND(150&gt;=$B$9,150&lt;=$D$9),1,0)</f>
        <v/>
      </c>
      <c r="EX35" s="17">
        <f>IF(AND(151&gt;=$B$9,151&lt;=$D$9),1,0)</f>
        <v/>
      </c>
      <c r="EY35" s="17">
        <f>IF(AND(152&gt;=$B$9,152&lt;=$D$9),1,0)</f>
        <v/>
      </c>
      <c r="EZ35" s="17">
        <f>IF(AND(153&gt;=$B$9,153&lt;=$D$9),1,0)</f>
        <v/>
      </c>
      <c r="FA35" s="17">
        <f>IF(AND(154&gt;=$B$9,154&lt;=$D$9),1,0)</f>
        <v/>
      </c>
      <c r="FB35" s="17">
        <f>IF(AND(155&gt;=$B$9,155&lt;=$D$9),1,0)</f>
        <v/>
      </c>
      <c r="FC35" s="17">
        <f>IF(AND(156&gt;=$B$9,156&lt;=$D$9),1,0)</f>
        <v/>
      </c>
      <c r="FD35" s="17">
        <f>IF(AND(157&gt;=$B$9,157&lt;=$D$9),1,0)</f>
        <v/>
      </c>
      <c r="FE35" s="17">
        <f>IF(AND(158&gt;=$B$9,158&lt;=$D$9),1,0)</f>
        <v/>
      </c>
      <c r="FF35" s="17">
        <f>IF(AND(159&gt;=$B$9,159&lt;=$D$9),1,0)</f>
        <v/>
      </c>
      <c r="FG35" s="17">
        <f>IF(AND(160&gt;=$B$9,160&lt;=$D$9),1,0)</f>
        <v/>
      </c>
      <c r="FH35" s="17">
        <f>IF(AND(161&gt;=$B$9,161&lt;=$D$9),1,0)</f>
        <v/>
      </c>
      <c r="FI35" s="17">
        <f>IF(AND(162&gt;=$B$9,162&lt;=$D$9),1,0)</f>
        <v/>
      </c>
      <c r="FJ35" s="17">
        <f>IF(AND(163&gt;=$B$9,163&lt;=$D$9),1,0)</f>
        <v/>
      </c>
      <c r="FK35" s="17">
        <f>IF(AND(164&gt;=$B$9,164&lt;=$D$9),1,0)</f>
        <v/>
      </c>
      <c r="FL35" s="17">
        <f>IF(AND(165&gt;=$B$9,165&lt;=$D$9),1,0)</f>
        <v/>
      </c>
      <c r="FM35" s="17">
        <f>IF(AND(166&gt;=$B$9,166&lt;=$D$9),1,0)</f>
        <v/>
      </c>
      <c r="FN35" s="17">
        <f>IF(AND(167&gt;=$B$9,167&lt;=$D$9),1,0)</f>
        <v/>
      </c>
      <c r="FO35" s="17">
        <f>IF(AND(168&gt;=$B$9,168&lt;=$D$9),1,0)</f>
        <v/>
      </c>
      <c r="FP35" s="17">
        <f>IF(AND(169&gt;=$B$9,169&lt;=$D$9),1,0)</f>
        <v/>
      </c>
      <c r="FQ35" s="17">
        <f>IF(AND(170&gt;=$B$9,170&lt;=$D$9),1,0)</f>
        <v/>
      </c>
      <c r="FR35" s="17">
        <f>IF(AND(171&gt;=$B$9,171&lt;=$D$9),1,0)</f>
        <v/>
      </c>
      <c r="FS35" s="17">
        <f>IF(AND(172&gt;=$B$9,172&lt;=$D$9),1,0)</f>
        <v/>
      </c>
      <c r="FT35" s="17">
        <f>IF(AND(173&gt;=$B$9,173&lt;=$D$9),1,0)</f>
        <v/>
      </c>
      <c r="FU35" s="17">
        <f>IF(AND(174&gt;=$B$9,174&lt;=$D$9),1,0)</f>
        <v/>
      </c>
      <c r="FV35" s="17">
        <f>IF(AND(175&gt;=$B$9,175&lt;=$D$9),1,0)</f>
        <v/>
      </c>
      <c r="FW35" s="17">
        <f>IF(AND(176&gt;=$B$9,176&lt;=$D$9),1,0)</f>
        <v/>
      </c>
      <c r="FX35" s="17">
        <f>IF(AND(177&gt;=$B$9,177&lt;=$D$9),1,0)</f>
        <v/>
      </c>
      <c r="FY35" s="17">
        <f>IF(AND(178&gt;=$B$9,178&lt;=$D$9),1,0)</f>
        <v/>
      </c>
      <c r="FZ35" s="17">
        <f>IF(AND(179&gt;=$B$9,179&lt;=$D$9),1,0)</f>
        <v/>
      </c>
      <c r="GA35" s="17">
        <f>IF(AND(180&gt;=$B$9,180&lt;=$D$9),1,0)</f>
        <v/>
      </c>
      <c r="GB35" s="17">
        <f>IF(AND(181&gt;=$B$9,181&lt;=$D$9),1,0)</f>
        <v/>
      </c>
      <c r="GC35" s="17">
        <f>IF(AND(182&gt;=$B$9,182&lt;=$D$9),1,0)</f>
        <v/>
      </c>
      <c r="GD35" s="17">
        <f>IF(AND(183&gt;=$B$9,183&lt;=$D$9),1,0)</f>
        <v/>
      </c>
      <c r="GE35" s="17">
        <f>IF(AND(184&gt;=$B$9,184&lt;=$D$9),1,0)</f>
        <v/>
      </c>
      <c r="GF35" s="17">
        <f>IF(AND(185&gt;=$B$9,185&lt;=$D$9),1,0)</f>
        <v/>
      </c>
      <c r="GG35" s="17">
        <f>IF(AND(186&gt;=$B$9,186&lt;=$D$9),1,0)</f>
        <v/>
      </c>
      <c r="GH35" s="17">
        <f>IF(AND(187&gt;=$B$9,187&lt;=$D$9),1,0)</f>
        <v/>
      </c>
      <c r="GI35" s="17">
        <f>IF(AND(188&gt;=$B$9,188&lt;=$D$9),1,0)</f>
        <v/>
      </c>
      <c r="GJ35" s="17">
        <f>IF(AND(189&gt;=$B$9,189&lt;=$D$9),1,0)</f>
        <v/>
      </c>
      <c r="GK35" s="17">
        <f>IF(AND(190&gt;=$B$9,190&lt;=$D$9),1,0)</f>
        <v/>
      </c>
      <c r="GL35" s="17">
        <f>IF(AND(191&gt;=$B$9,191&lt;=$D$9),1,0)</f>
        <v/>
      </c>
      <c r="GM35" s="17">
        <f>IF(AND(192&gt;=$B$9,192&lt;=$D$9),1,0)</f>
        <v/>
      </c>
      <c r="GN35" s="17">
        <f>IF(AND(193&gt;=$B$9,193&lt;=$D$9),1,0)</f>
        <v/>
      </c>
      <c r="GO35" s="17">
        <f>IF(AND(194&gt;=$B$9,194&lt;=$D$9),1,0)</f>
        <v/>
      </c>
      <c r="GP35" s="17">
        <f>IF(AND(195&gt;=$B$9,195&lt;=$D$9),1,0)</f>
        <v/>
      </c>
      <c r="GQ35" s="17">
        <f>IF(AND(196&gt;=$B$9,196&lt;=$D$9),1,0)</f>
        <v/>
      </c>
      <c r="GR35" s="17">
        <f>IF(AND(197&gt;=$B$9,197&lt;=$D$9),1,0)</f>
        <v/>
      </c>
      <c r="GS35" s="17">
        <f>IF(AND(198&gt;=$B$9,198&lt;=$D$9),1,0)</f>
        <v/>
      </c>
      <c r="GT35" s="17">
        <f>IF(AND(199&gt;=$B$9,199&lt;=$D$9),1,0)</f>
        <v/>
      </c>
      <c r="GU35" s="17">
        <f>IF(AND(200&gt;=$B$9,200&lt;=$D$9),1,0)</f>
        <v/>
      </c>
      <c r="GV35" s="17">
        <f>IF(AND(201&gt;=$B$9,201&lt;=$D$9),1,0)</f>
        <v/>
      </c>
      <c r="GW35" s="17">
        <f>IF(AND(202&gt;=$B$9,202&lt;=$D$9),1,0)</f>
        <v/>
      </c>
      <c r="GX35" s="17">
        <f>IF(AND(203&gt;=$B$9,203&lt;=$D$9),1,0)</f>
        <v/>
      </c>
      <c r="GY35" s="17">
        <f>IF(AND(204&gt;=$B$9,204&lt;=$D$9),1,0)</f>
        <v/>
      </c>
      <c r="GZ35" s="17">
        <f>IF(AND(205&gt;=$B$9,205&lt;=$D$9),1,0)</f>
        <v/>
      </c>
      <c r="HA35" s="17">
        <f>IF(AND(206&gt;=$B$9,206&lt;=$D$9),1,0)</f>
        <v/>
      </c>
      <c r="HB35" s="17">
        <f>IF(AND(207&gt;=$B$9,207&lt;=$D$9),1,0)</f>
        <v/>
      </c>
      <c r="HC35" s="17">
        <f>IF(AND(208&gt;=$B$9,208&lt;=$D$9),1,0)</f>
        <v/>
      </c>
      <c r="HD35" s="17">
        <f>IF(AND(209&gt;=$B$9,209&lt;=$D$9),1,0)</f>
        <v/>
      </c>
      <c r="HE35" s="17">
        <f>IF(AND(210&gt;=$B$9,210&lt;=$D$9),1,0)</f>
        <v/>
      </c>
      <c r="HF35" s="17">
        <f>IF(AND(211&gt;=$B$9,211&lt;=$D$9),1,0)</f>
        <v/>
      </c>
      <c r="HG35" s="17">
        <f>IF(AND(212&gt;=$B$9,212&lt;=$D$9),1,0)</f>
        <v/>
      </c>
      <c r="HH35" s="17">
        <f>IF(AND(213&gt;=$B$9,213&lt;=$D$9),1,0)</f>
        <v/>
      </c>
      <c r="HI35" s="17">
        <f>IF(AND(214&gt;=$B$9,214&lt;=$D$9),1,0)</f>
        <v/>
      </c>
      <c r="HJ35" s="17">
        <f>IF(AND(215&gt;=$B$9,215&lt;=$D$9),1,0)</f>
        <v/>
      </c>
      <c r="HK35" s="17">
        <f>IF(AND(216&gt;=$B$9,216&lt;=$D$9),1,0)</f>
        <v/>
      </c>
      <c r="HL35" s="17">
        <f>IF(AND(217&gt;=$B$9,217&lt;=$D$9),1,0)</f>
        <v/>
      </c>
      <c r="HM35" s="17">
        <f>IF(AND(218&gt;=$B$9,218&lt;=$D$9),1,0)</f>
        <v/>
      </c>
      <c r="HN35" s="17">
        <f>IF(AND(219&gt;=$B$9,219&lt;=$D$9),1,0)</f>
        <v/>
      </c>
      <c r="HO35" s="17">
        <f>IF(AND(220&gt;=$B$9,220&lt;=$D$9),1,0)</f>
        <v/>
      </c>
      <c r="HP35" s="17">
        <f>IF(AND(221&gt;=$B$9,221&lt;=$D$9),1,0)</f>
        <v/>
      </c>
      <c r="HQ35" s="17">
        <f>IF(AND(222&gt;=$B$9,222&lt;=$D$9),1,0)</f>
        <v/>
      </c>
      <c r="HR35" s="17">
        <f>IF(AND(223&gt;=$B$9,223&lt;=$D$9),1,0)</f>
        <v/>
      </c>
      <c r="HS35" s="17">
        <f>IF(AND(224&gt;=$B$9,224&lt;=$D$9),1,0)</f>
        <v/>
      </c>
      <c r="HT35" s="17">
        <f>IF(AND(225&gt;=$B$9,225&lt;=$D$9),1,0)</f>
        <v/>
      </c>
      <c r="HU35" s="17">
        <f>IF(AND(226&gt;=$B$9,226&lt;=$D$9),1,0)</f>
        <v/>
      </c>
      <c r="HV35" s="17">
        <f>IF(AND(227&gt;=$B$9,227&lt;=$D$9),1,0)</f>
        <v/>
      </c>
      <c r="HW35" s="17">
        <f>IF(AND(228&gt;=$B$9,228&lt;=$D$9),1,0)</f>
        <v/>
      </c>
      <c r="HX35" s="17">
        <f>IF(AND(229&gt;=$B$9,229&lt;=$D$9),1,0)</f>
        <v/>
      </c>
      <c r="HY35" s="17">
        <f>IF(AND(230&gt;=$B$9,230&lt;=$D$9),1,0)</f>
        <v/>
      </c>
      <c r="HZ35" s="17">
        <f>IF(AND(231&gt;=$B$9,231&lt;=$D$9),1,0)</f>
        <v/>
      </c>
      <c r="IA35" s="17">
        <f>IF(AND(232&gt;=$B$9,232&lt;=$D$9),1,0)</f>
        <v/>
      </c>
      <c r="IB35" s="17">
        <f>IF(AND(233&gt;=$B$9,233&lt;=$D$9),1,0)</f>
        <v/>
      </c>
      <c r="IC35" s="17">
        <f>IF(AND(234&gt;=$B$9,234&lt;=$D$9),1,0)</f>
        <v/>
      </c>
      <c r="ID35" s="17">
        <f>IF(AND(235&gt;=$B$9,235&lt;=$D$9),1,0)</f>
        <v/>
      </c>
      <c r="IE35" s="17">
        <f>IF(AND(236&gt;=$B$9,236&lt;=$D$9),1,0)</f>
        <v/>
      </c>
      <c r="IF35" s="17">
        <f>IF(AND(237&gt;=$B$9,237&lt;=$D$9),1,0)</f>
        <v/>
      </c>
      <c r="IG35" s="17">
        <f>IF(AND(238&gt;=$B$9,238&lt;=$D$9),1,0)</f>
        <v/>
      </c>
      <c r="IH35" s="17">
        <f>IF(AND(239&gt;=$B$9,239&lt;=$D$9),1,0)</f>
        <v/>
      </c>
      <c r="II35" s="17">
        <f>IF(AND(240&gt;=$B$9,240&lt;=$D$9),1,0)</f>
        <v/>
      </c>
      <c r="IJ35" s="17">
        <f>IF(AND(241&gt;=$B$9,241&lt;=$D$9),1,0)</f>
        <v/>
      </c>
      <c r="IK35" s="17">
        <f>IF(AND(242&gt;=$B$9,242&lt;=$D$9),1,0)</f>
        <v/>
      </c>
      <c r="IL35" s="17">
        <f>IF(AND(243&gt;=$B$9,243&lt;=$D$9),1,0)</f>
        <v/>
      </c>
      <c r="IM35" s="17">
        <f>IF(AND(244&gt;=$B$9,244&lt;=$D$9),1,0)</f>
        <v/>
      </c>
      <c r="IN35" s="17">
        <f>IF(AND(245&gt;=$B$9,245&lt;=$D$9),1,0)</f>
        <v/>
      </c>
      <c r="IO35" s="17">
        <f>IF(AND(246&gt;=$B$9,246&lt;=$D$9),1,0)</f>
        <v/>
      </c>
      <c r="IP35" s="17">
        <f>IF(AND(247&gt;=$B$9,247&lt;=$D$9),1,0)</f>
        <v/>
      </c>
      <c r="IQ35" s="17">
        <f>IF(AND(248&gt;=$B$9,248&lt;=$D$9),1,0)</f>
        <v/>
      </c>
      <c r="IR35" s="17">
        <f>IF(AND(249&gt;=$B$9,249&lt;=$D$9),1,0)</f>
        <v/>
      </c>
      <c r="IS35" s="17">
        <f>IF(AND(250&gt;=$B$9,250&lt;=$D$9),1,0)</f>
        <v/>
      </c>
      <c r="IT35" s="17">
        <f>IF(AND(251&gt;=$B$9,251&lt;=$D$9),1,0)</f>
        <v/>
      </c>
      <c r="IU35" s="17">
        <f>IF(AND(252&gt;=$B$9,252&lt;=$D$9),1,0)</f>
        <v/>
      </c>
      <c r="IV35" s="17">
        <f>IF(AND(253&gt;=$B$9,253&lt;=$D$9),1,0)</f>
        <v/>
      </c>
      <c r="IW35" s="17">
        <f>IF(AND(254&gt;=$B$9,254&lt;=$D$9),1,0)</f>
        <v/>
      </c>
      <c r="IX35" s="17">
        <f>IF(AND(255&gt;=$B$9,255&lt;=$D$9),1,0)</f>
        <v/>
      </c>
      <c r="IY35" s="17">
        <f>IF(AND(256&gt;=$B$9,256&lt;=$D$9),1,0)</f>
        <v/>
      </c>
      <c r="IZ35" s="17">
        <f>IF(AND(257&gt;=$B$9,257&lt;=$D$9),1,0)</f>
        <v/>
      </c>
      <c r="JA35" s="17">
        <f>IF(AND(258&gt;=$B$9,258&lt;=$D$9),1,0)</f>
        <v/>
      </c>
      <c r="JB35" s="17">
        <f>IF(AND(259&gt;=$B$9,259&lt;=$D$9),1,0)</f>
        <v/>
      </c>
      <c r="JC35" s="17">
        <f>IF(AND(260&gt;=$B$9,260&lt;=$D$9),1,0)</f>
        <v/>
      </c>
      <c r="JD35" s="17">
        <f>IF(AND(261&gt;=$B$9,261&lt;=$D$9),1,0)</f>
        <v/>
      </c>
      <c r="JE35" s="17">
        <f>IF(AND(262&gt;=$B$9,262&lt;=$D$9),1,0)</f>
        <v/>
      </c>
      <c r="JF35" s="17">
        <f>IF(AND(263&gt;=$B$9,263&lt;=$D$9),1,0)</f>
        <v/>
      </c>
      <c r="JG35" s="17">
        <f>IF(AND(264&gt;=$B$9,264&lt;=$D$9),1,0)</f>
        <v/>
      </c>
      <c r="JH35" s="17">
        <f>IF(AND(265&gt;=$B$9,265&lt;=$D$9),1,0)</f>
        <v/>
      </c>
      <c r="JI35" s="17">
        <f>IF(AND(266&gt;=$B$9,266&lt;=$D$9),1,0)</f>
        <v/>
      </c>
      <c r="JJ35" s="17">
        <f>IF(AND(267&gt;=$B$9,267&lt;=$D$9),1,0)</f>
        <v/>
      </c>
      <c r="JK35" s="17">
        <f>IF(AND(268&gt;=$B$9,268&lt;=$D$9),1,0)</f>
        <v/>
      </c>
      <c r="JL35" s="17">
        <f>IF(AND(269&gt;=$B$9,269&lt;=$D$9),1,0)</f>
        <v/>
      </c>
      <c r="JM35" s="17">
        <f>IF(AND(270&gt;=$B$9,270&lt;=$D$9),1,0)</f>
        <v/>
      </c>
      <c r="JN35" s="17">
        <f>IF(AND(271&gt;=$B$9,271&lt;=$D$9),1,0)</f>
        <v/>
      </c>
      <c r="JO35" s="17">
        <f>IF(AND(272&gt;=$B$9,272&lt;=$D$9),1,0)</f>
        <v/>
      </c>
      <c r="JP35" s="17">
        <f>IF(AND(273&gt;=$B$9,273&lt;=$D$9),1,0)</f>
        <v/>
      </c>
      <c r="JQ35" s="17">
        <f>IF(AND(274&gt;=$B$9,274&lt;=$D$9),1,0)</f>
        <v/>
      </c>
      <c r="JR35" s="17">
        <f>IF(AND(275&gt;=$B$9,275&lt;=$D$9),1,0)</f>
        <v/>
      </c>
      <c r="JS35" s="17">
        <f>IF(AND(276&gt;=$B$9,276&lt;=$D$9),1,0)</f>
        <v/>
      </c>
      <c r="JT35" s="17">
        <f>IF(AND(277&gt;=$B$9,277&lt;=$D$9),1,0)</f>
        <v/>
      </c>
      <c r="JU35" s="17">
        <f>IF(AND(278&gt;=$B$9,278&lt;=$D$9),1,0)</f>
        <v/>
      </c>
      <c r="JV35" s="17">
        <f>IF(AND(279&gt;=$B$9,279&lt;=$D$9),1,0)</f>
        <v/>
      </c>
      <c r="JW35" s="17">
        <f>IF(AND(280&gt;=$B$9,280&lt;=$D$9),1,0)</f>
        <v/>
      </c>
      <c r="JX35" s="17">
        <f>IF(AND(281&gt;=$B$9,281&lt;=$D$9),1,0)</f>
        <v/>
      </c>
      <c r="JY35" s="17">
        <f>IF(AND(282&gt;=$B$9,282&lt;=$D$9),1,0)</f>
        <v/>
      </c>
      <c r="JZ35" s="17">
        <f>IF(AND(283&gt;=$B$9,283&lt;=$D$9),1,0)</f>
        <v/>
      </c>
      <c r="KA35" s="17">
        <f>IF(AND(284&gt;=$B$9,284&lt;=$D$9),1,0)</f>
        <v/>
      </c>
      <c r="KB35" s="17">
        <f>IF(AND(285&gt;=$B$9,285&lt;=$D$9),1,0)</f>
        <v/>
      </c>
      <c r="KC35" s="17">
        <f>IF(AND(286&gt;=$B$9,286&lt;=$D$9),1,0)</f>
        <v/>
      </c>
      <c r="KD35" s="17">
        <f>IF(AND(287&gt;=$B$9,287&lt;=$D$9),1,0)</f>
        <v/>
      </c>
      <c r="KE35" s="17">
        <f>IF(AND(288&gt;=$B$9,288&lt;=$D$9),1,0)</f>
        <v/>
      </c>
      <c r="KF35" s="17">
        <f>IF(AND(289&gt;=$B$9,289&lt;=$D$9),1,0)</f>
        <v/>
      </c>
      <c r="KG35" s="17">
        <f>IF(AND(290&gt;=$B$9,290&lt;=$D$9),1,0)</f>
        <v/>
      </c>
      <c r="KH35" s="17">
        <f>IF(AND(291&gt;=$B$9,291&lt;=$D$9),1,0)</f>
        <v/>
      </c>
      <c r="KI35" s="17">
        <f>IF(AND(292&gt;=$B$9,292&lt;=$D$9),1,0)</f>
        <v/>
      </c>
      <c r="KJ35" s="17">
        <f>IF(AND(293&gt;=$B$9,293&lt;=$D$9),1,0)</f>
        <v/>
      </c>
      <c r="KK35" s="17">
        <f>IF(AND(294&gt;=$B$9,294&lt;=$D$9),1,0)</f>
        <v/>
      </c>
      <c r="KL35" s="17">
        <f>IF(AND(295&gt;=$B$9,295&lt;=$D$9),1,0)</f>
        <v/>
      </c>
      <c r="KM35" s="17">
        <f>IF(AND(296&gt;=$B$9,296&lt;=$D$9),1,0)</f>
        <v/>
      </c>
      <c r="KN35" s="17">
        <f>IF(AND(297&gt;=$B$9,297&lt;=$D$9),1,0)</f>
        <v/>
      </c>
      <c r="KO35" s="17">
        <f>IF(AND(298&gt;=$B$9,298&lt;=$D$9),1,0)</f>
        <v/>
      </c>
      <c r="KP35" s="17">
        <f>IF(AND(299&gt;=$B$9,299&lt;=$D$9),1,0)</f>
        <v/>
      </c>
      <c r="KQ35" s="17">
        <f>IF(AND(300&gt;=$B$9,300&lt;=$D$9),1,0)</f>
        <v/>
      </c>
      <c r="KR35" s="17">
        <f>IF(AND(301&gt;=$B$9,301&lt;=$D$9),1,0)</f>
        <v/>
      </c>
      <c r="KS35" s="17">
        <f>IF(AND(302&gt;=$B$9,302&lt;=$D$9),1,0)</f>
        <v/>
      </c>
      <c r="KT35" s="17">
        <f>IF(AND(303&gt;=$B$9,303&lt;=$D$9),1,0)</f>
        <v/>
      </c>
      <c r="KU35" s="17">
        <f>IF(AND(304&gt;=$B$9,304&lt;=$D$9),1,0)</f>
        <v/>
      </c>
      <c r="KV35" s="17">
        <f>IF(AND(305&gt;=$B$9,305&lt;=$D$9),1,0)</f>
        <v/>
      </c>
      <c r="KW35" s="17">
        <f>IF(AND(306&gt;=$B$9,306&lt;=$D$9),1,0)</f>
        <v/>
      </c>
      <c r="KX35" s="17">
        <f>IF(AND(307&gt;=$B$9,307&lt;=$D$9),1,0)</f>
        <v/>
      </c>
      <c r="KY35" s="17">
        <f>IF(AND(308&gt;=$B$9,308&lt;=$D$9),1,0)</f>
        <v/>
      </c>
      <c r="KZ35" s="17">
        <f>IF(AND(309&gt;=$B$9,309&lt;=$D$9),1,0)</f>
        <v/>
      </c>
      <c r="LA35" s="17">
        <f>IF(AND(310&gt;=$B$9,310&lt;=$D$9),1,0)</f>
        <v/>
      </c>
      <c r="LB35" s="17">
        <f>IF(AND(311&gt;=$B$9,311&lt;=$D$9),1,0)</f>
        <v/>
      </c>
      <c r="LC35" s="17">
        <f>IF(AND(312&gt;=$B$9,312&lt;=$D$9),1,0)</f>
        <v/>
      </c>
      <c r="LD35" s="17">
        <f>IF(AND(313&gt;=$B$9,313&lt;=$D$9),1,0)</f>
        <v/>
      </c>
      <c r="LE35" s="17">
        <f>IF(AND(314&gt;=$B$9,314&lt;=$D$9),1,0)</f>
        <v/>
      </c>
      <c r="LF35" s="17">
        <f>IF(AND(315&gt;=$B$9,315&lt;=$D$9),1,0)</f>
        <v/>
      </c>
      <c r="LG35" s="17">
        <f>IF(AND(316&gt;=$B$9,316&lt;=$D$9),1,0)</f>
        <v/>
      </c>
      <c r="LH35" s="17">
        <f>IF(AND(317&gt;=$B$9,317&lt;=$D$9),1,0)</f>
        <v/>
      </c>
      <c r="LI35" s="17">
        <f>IF(AND(318&gt;=$B$9,318&lt;=$D$9),1,0)</f>
        <v/>
      </c>
      <c r="LJ35" s="17">
        <f>IF(AND(319&gt;=$B$9,319&lt;=$D$9),1,0)</f>
        <v/>
      </c>
      <c r="LK35" s="17">
        <f>IF(AND(320&gt;=$B$9,320&lt;=$D$9),1,0)</f>
        <v/>
      </c>
      <c r="LL35" s="17">
        <f>IF(AND(321&gt;=$B$9,321&lt;=$D$9),1,0)</f>
        <v/>
      </c>
      <c r="LM35" s="17">
        <f>IF(AND(322&gt;=$B$9,322&lt;=$D$9),1,0)</f>
        <v/>
      </c>
      <c r="LN35" s="17">
        <f>IF(AND(323&gt;=$B$9,323&lt;=$D$9),1,0)</f>
        <v/>
      </c>
      <c r="LO35" s="17">
        <f>IF(AND(324&gt;=$B$9,324&lt;=$D$9),1,0)</f>
        <v/>
      </c>
      <c r="LP35" s="17">
        <f>IF(AND(325&gt;=$B$9,325&lt;=$D$9),1,0)</f>
        <v/>
      </c>
      <c r="LQ35" s="17">
        <f>IF(AND(326&gt;=$B$9,326&lt;=$D$9),1,0)</f>
        <v/>
      </c>
      <c r="LR35" s="17">
        <f>IF(AND(327&gt;=$B$9,327&lt;=$D$9),1,0)</f>
        <v/>
      </c>
      <c r="LS35" s="17">
        <f>IF(AND(328&gt;=$B$9,328&lt;=$D$9),1,0)</f>
        <v/>
      </c>
      <c r="LT35" s="17">
        <f>IF(AND(329&gt;=$B$9,329&lt;=$D$9),1,0)</f>
        <v/>
      </c>
      <c r="LU35" s="17">
        <f>IF(AND(330&gt;=$B$9,330&lt;=$D$9),1,0)</f>
        <v/>
      </c>
      <c r="LV35" s="17">
        <f>IF(AND(331&gt;=$B$9,331&lt;=$D$9),1,0)</f>
        <v/>
      </c>
      <c r="LW35" s="17">
        <f>IF(AND(332&gt;=$B$9,332&lt;=$D$9),1,0)</f>
        <v/>
      </c>
      <c r="LX35" s="17">
        <f>IF(AND(333&gt;=$B$9,333&lt;=$D$9),1,0)</f>
        <v/>
      </c>
      <c r="LY35" s="17">
        <f>IF(AND(334&gt;=$B$9,334&lt;=$D$9),1,0)</f>
        <v/>
      </c>
      <c r="LZ35" s="17">
        <f>IF(AND(335&gt;=$B$9,335&lt;=$D$9),1,0)</f>
        <v/>
      </c>
      <c r="MA35" s="17">
        <f>IF(AND(336&gt;=$B$9,336&lt;=$D$9),1,0)</f>
        <v/>
      </c>
      <c r="MB35" s="17">
        <f>IF(AND(337&gt;=$B$9,337&lt;=$D$9),1,0)</f>
        <v/>
      </c>
      <c r="MC35" s="17">
        <f>IF(AND(338&gt;=$B$9,338&lt;=$D$9),1,0)</f>
        <v/>
      </c>
      <c r="MD35" s="17">
        <f>IF(AND(339&gt;=$B$9,339&lt;=$D$9),1,0)</f>
        <v/>
      </c>
      <c r="ME35" s="17">
        <f>IF(AND(340&gt;=$B$9,340&lt;=$D$9),1,0)</f>
        <v/>
      </c>
      <c r="MF35" s="17">
        <f>IF(AND(341&gt;=$B$9,341&lt;=$D$9),1,0)</f>
        <v/>
      </c>
      <c r="MG35" s="17">
        <f>IF(AND(342&gt;=$B$9,342&lt;=$D$9),1,0)</f>
        <v/>
      </c>
      <c r="MH35" s="17">
        <f>IF(AND(343&gt;=$B$9,343&lt;=$D$9),1,0)</f>
        <v/>
      </c>
      <c r="MI35" s="17">
        <f>IF(AND(344&gt;=$B$9,344&lt;=$D$9),1,0)</f>
        <v/>
      </c>
      <c r="MJ35" s="17">
        <f>IF(AND(345&gt;=$B$9,345&lt;=$D$9),1,0)</f>
        <v/>
      </c>
      <c r="MK35" s="17">
        <f>IF(AND(346&gt;=$B$9,346&lt;=$D$9),1,0)</f>
        <v/>
      </c>
      <c r="ML35" s="17">
        <f>IF(AND(347&gt;=$B$9,347&lt;=$D$9),1,0)</f>
        <v/>
      </c>
      <c r="MM35" s="17">
        <f>IF(AND(348&gt;=$B$9,348&lt;=$D$9),1,0)</f>
        <v/>
      </c>
      <c r="MN35" s="17">
        <f>IF(AND(349&gt;=$B$9,349&lt;=$D$9),1,0)</f>
        <v/>
      </c>
      <c r="MO35" s="17">
        <f>IF(AND(350&gt;=$B$9,350&lt;=$D$9),1,0)</f>
        <v/>
      </c>
      <c r="MP35" s="17">
        <f>IF(AND(351&gt;=$B$9,351&lt;=$D$9),1,0)</f>
        <v/>
      </c>
      <c r="MQ35" s="17">
        <f>IF(AND(352&gt;=$B$9,352&lt;=$D$9),1,0)</f>
        <v/>
      </c>
      <c r="MR35" s="17">
        <f>IF(AND(353&gt;=$B$9,353&lt;=$D$9),1,0)</f>
        <v/>
      </c>
      <c r="MS35" s="17">
        <f>IF(AND(354&gt;=$B$9,354&lt;=$D$9),1,0)</f>
        <v/>
      </c>
      <c r="MT35" s="17">
        <f>IF(AND(355&gt;=$B$9,355&lt;=$D$9),1,0)</f>
        <v/>
      </c>
      <c r="MU35" s="17">
        <f>IF(AND(356&gt;=$B$9,356&lt;=$D$9),1,0)</f>
        <v/>
      </c>
      <c r="MV35" s="17">
        <f>IF(AND(357&gt;=$B$9,357&lt;=$D$9),1,0)</f>
        <v/>
      </c>
      <c r="MW35" s="17">
        <f>IF(AND(358&gt;=$B$9,358&lt;=$D$9),1,0)</f>
        <v/>
      </c>
      <c r="MX35" s="17">
        <f>IF(AND(359&gt;=$B$9,359&lt;=$D$9),1,0)</f>
        <v/>
      </c>
      <c r="MY35" s="17">
        <f>IF(AND(360&gt;=$B$9,360&lt;=$D$9),1,0)</f>
        <v/>
      </c>
      <c r="MZ35" s="17">
        <f>IF(AND(361&gt;=$B$9,361&lt;=$D$9),1,0)</f>
        <v/>
      </c>
      <c r="NA35" s="17">
        <f>IF(AND(362&gt;=$B$9,362&lt;=$D$9),1,0)</f>
        <v/>
      </c>
      <c r="NB35" s="17">
        <f>IF(AND(363&gt;=$B$9,363&lt;=$D$9),1,0)</f>
        <v/>
      </c>
      <c r="NC35" s="17">
        <f>IF(AND(364&gt;=$B$9,364&lt;=$D$9),1,0)</f>
        <v/>
      </c>
      <c r="ND35" s="17">
        <f>IF(AND(365&gt;=$B$9,365&lt;=$D$9),1,0)</f>
        <v/>
      </c>
      <c r="NE35" s="17">
        <f>IF(AND(366&gt;=$B$9,366&lt;=$D$9),1,0)</f>
        <v/>
      </c>
      <c r="NF35" s="17">
        <f>IF(AND(367&gt;=$B$9,367&lt;=$D$9),1,0)</f>
        <v/>
      </c>
      <c r="NG35" s="17">
        <f>IF(AND(368&gt;=$B$9,368&lt;=$D$9),1,0)</f>
        <v/>
      </c>
      <c r="NH35" s="17">
        <f>IF(AND(369&gt;=$B$9,369&lt;=$D$9),1,0)</f>
        <v/>
      </c>
      <c r="NI35" s="17">
        <f>IF(AND(370&gt;=$B$9,370&lt;=$D$9),1,0)</f>
        <v/>
      </c>
      <c r="NJ35" s="17">
        <f>IF(AND(371&gt;=$B$9,371&lt;=$D$9),1,0)</f>
        <v/>
      </c>
      <c r="NK35" s="17">
        <f>IF(AND(372&gt;=$B$9,372&lt;=$D$9),1,0)</f>
        <v/>
      </c>
    </row>
    <row r="36">
      <c r="A36" s="5" t="inlineStr">
        <is>
          <t>Flag: 1st Unit Delivery</t>
        </is>
      </c>
      <c r="C36" s="40" t="n"/>
      <c r="D36" s="17">
        <f>IF(AND(1&gt;=$B$10,1&lt;=$D$10),1,0)</f>
        <v/>
      </c>
      <c r="E36" s="17">
        <f>IF(AND(2&gt;=$B$10,2&lt;=$D$10),1,0)</f>
        <v/>
      </c>
      <c r="F36" s="17">
        <f>IF(AND(3&gt;=$B$10,3&lt;=$D$10),1,0)</f>
        <v/>
      </c>
      <c r="G36" s="17">
        <f>IF(AND(4&gt;=$B$10,4&lt;=$D$10),1,0)</f>
        <v/>
      </c>
      <c r="H36" s="17">
        <f>IF(AND(5&gt;=$B$10,5&lt;=$D$10),1,0)</f>
        <v/>
      </c>
      <c r="I36" s="17">
        <f>IF(AND(6&gt;=$B$10,6&lt;=$D$10),1,0)</f>
        <v/>
      </c>
      <c r="J36" s="17">
        <f>IF(AND(7&gt;=$B$10,7&lt;=$D$10),1,0)</f>
        <v/>
      </c>
      <c r="K36" s="17">
        <f>IF(AND(8&gt;=$B$10,8&lt;=$D$10),1,0)</f>
        <v/>
      </c>
      <c r="L36" s="17">
        <f>IF(AND(9&gt;=$B$10,9&lt;=$D$10),1,0)</f>
        <v/>
      </c>
      <c r="M36" s="17">
        <f>IF(AND(10&gt;=$B$10,10&lt;=$D$10),1,0)</f>
        <v/>
      </c>
      <c r="N36" s="17">
        <f>IF(AND(11&gt;=$B$10,11&lt;=$D$10),1,0)</f>
        <v/>
      </c>
      <c r="O36" s="17">
        <f>IF(AND(12&gt;=$B$10,12&lt;=$D$10),1,0)</f>
        <v/>
      </c>
      <c r="P36" s="17">
        <f>IF(AND(13&gt;=$B$10,13&lt;=$D$10),1,0)</f>
        <v/>
      </c>
      <c r="Q36" s="17">
        <f>IF(AND(14&gt;=$B$10,14&lt;=$D$10),1,0)</f>
        <v/>
      </c>
      <c r="R36" s="17">
        <f>IF(AND(15&gt;=$B$10,15&lt;=$D$10),1,0)</f>
        <v/>
      </c>
      <c r="S36" s="17">
        <f>IF(AND(16&gt;=$B$10,16&lt;=$D$10),1,0)</f>
        <v/>
      </c>
      <c r="T36" s="17">
        <f>IF(AND(17&gt;=$B$10,17&lt;=$D$10),1,0)</f>
        <v/>
      </c>
      <c r="U36" s="17">
        <f>IF(AND(18&gt;=$B$10,18&lt;=$D$10),1,0)</f>
        <v/>
      </c>
      <c r="V36" s="17">
        <f>IF(AND(19&gt;=$B$10,19&lt;=$D$10),1,0)</f>
        <v/>
      </c>
      <c r="W36" s="17">
        <f>IF(AND(20&gt;=$B$10,20&lt;=$D$10),1,0)</f>
        <v/>
      </c>
      <c r="X36" s="17">
        <f>IF(AND(21&gt;=$B$10,21&lt;=$D$10),1,0)</f>
        <v/>
      </c>
      <c r="Y36" s="17">
        <f>IF(AND(22&gt;=$B$10,22&lt;=$D$10),1,0)</f>
        <v/>
      </c>
      <c r="Z36" s="17">
        <f>IF(AND(23&gt;=$B$10,23&lt;=$D$10),1,0)</f>
        <v/>
      </c>
      <c r="AA36" s="17">
        <f>IF(AND(24&gt;=$B$10,24&lt;=$D$10),1,0)</f>
        <v/>
      </c>
      <c r="AB36" s="17">
        <f>IF(AND(25&gt;=$B$10,25&lt;=$D$10),1,0)</f>
        <v/>
      </c>
      <c r="AC36" s="17">
        <f>IF(AND(26&gt;=$B$10,26&lt;=$D$10),1,0)</f>
        <v/>
      </c>
      <c r="AD36" s="17">
        <f>IF(AND(27&gt;=$B$10,27&lt;=$D$10),1,0)</f>
        <v/>
      </c>
      <c r="AE36" s="17">
        <f>IF(AND(28&gt;=$B$10,28&lt;=$D$10),1,0)</f>
        <v/>
      </c>
      <c r="AF36" s="17">
        <f>IF(AND(29&gt;=$B$10,29&lt;=$D$10),1,0)</f>
        <v/>
      </c>
      <c r="AG36" s="17">
        <f>IF(AND(30&gt;=$B$10,30&lt;=$D$10),1,0)</f>
        <v/>
      </c>
      <c r="AH36" s="17">
        <f>IF(AND(31&gt;=$B$10,31&lt;=$D$10),1,0)</f>
        <v/>
      </c>
      <c r="AI36" s="17">
        <f>IF(AND(32&gt;=$B$10,32&lt;=$D$10),1,0)</f>
        <v/>
      </c>
      <c r="AJ36" s="17">
        <f>IF(AND(33&gt;=$B$10,33&lt;=$D$10),1,0)</f>
        <v/>
      </c>
      <c r="AK36" s="17">
        <f>IF(AND(34&gt;=$B$10,34&lt;=$D$10),1,0)</f>
        <v/>
      </c>
      <c r="AL36" s="17">
        <f>IF(AND(35&gt;=$B$10,35&lt;=$D$10),1,0)</f>
        <v/>
      </c>
      <c r="AM36" s="17">
        <f>IF(AND(36&gt;=$B$10,36&lt;=$D$10),1,0)</f>
        <v/>
      </c>
      <c r="AN36" s="17">
        <f>IF(AND(37&gt;=$B$10,37&lt;=$D$10),1,0)</f>
        <v/>
      </c>
      <c r="AO36" s="17">
        <f>IF(AND(38&gt;=$B$10,38&lt;=$D$10),1,0)</f>
        <v/>
      </c>
      <c r="AP36" s="17">
        <f>IF(AND(39&gt;=$B$10,39&lt;=$D$10),1,0)</f>
        <v/>
      </c>
      <c r="AQ36" s="17">
        <f>IF(AND(40&gt;=$B$10,40&lt;=$D$10),1,0)</f>
        <v/>
      </c>
      <c r="AR36" s="17">
        <f>IF(AND(41&gt;=$B$10,41&lt;=$D$10),1,0)</f>
        <v/>
      </c>
      <c r="AS36" s="17">
        <f>IF(AND(42&gt;=$B$10,42&lt;=$D$10),1,0)</f>
        <v/>
      </c>
      <c r="AT36" s="17">
        <f>IF(AND(43&gt;=$B$10,43&lt;=$D$10),1,0)</f>
        <v/>
      </c>
      <c r="AU36" s="17">
        <f>IF(AND(44&gt;=$B$10,44&lt;=$D$10),1,0)</f>
        <v/>
      </c>
      <c r="AV36" s="17">
        <f>IF(AND(45&gt;=$B$10,45&lt;=$D$10),1,0)</f>
        <v/>
      </c>
      <c r="AW36" s="17">
        <f>IF(AND(46&gt;=$B$10,46&lt;=$D$10),1,0)</f>
        <v/>
      </c>
      <c r="AX36" s="17">
        <f>IF(AND(47&gt;=$B$10,47&lt;=$D$10),1,0)</f>
        <v/>
      </c>
      <c r="AY36" s="17">
        <f>IF(AND(48&gt;=$B$10,48&lt;=$D$10),1,0)</f>
        <v/>
      </c>
      <c r="AZ36" s="17">
        <f>IF(AND(49&gt;=$B$10,49&lt;=$D$10),1,0)</f>
        <v/>
      </c>
      <c r="BA36" s="17">
        <f>IF(AND(50&gt;=$B$10,50&lt;=$D$10),1,0)</f>
        <v/>
      </c>
      <c r="BB36" s="17">
        <f>IF(AND(51&gt;=$B$10,51&lt;=$D$10),1,0)</f>
        <v/>
      </c>
      <c r="BC36" s="17">
        <f>IF(AND(52&gt;=$B$10,52&lt;=$D$10),1,0)</f>
        <v/>
      </c>
      <c r="BD36" s="17">
        <f>IF(AND(53&gt;=$B$10,53&lt;=$D$10),1,0)</f>
        <v/>
      </c>
      <c r="BE36" s="17">
        <f>IF(AND(54&gt;=$B$10,54&lt;=$D$10),1,0)</f>
        <v/>
      </c>
      <c r="BF36" s="17">
        <f>IF(AND(55&gt;=$B$10,55&lt;=$D$10),1,0)</f>
        <v/>
      </c>
      <c r="BG36" s="17">
        <f>IF(AND(56&gt;=$B$10,56&lt;=$D$10),1,0)</f>
        <v/>
      </c>
      <c r="BH36" s="17">
        <f>IF(AND(57&gt;=$B$10,57&lt;=$D$10),1,0)</f>
        <v/>
      </c>
      <c r="BI36" s="17">
        <f>IF(AND(58&gt;=$B$10,58&lt;=$D$10),1,0)</f>
        <v/>
      </c>
      <c r="BJ36" s="17">
        <f>IF(AND(59&gt;=$B$10,59&lt;=$D$10),1,0)</f>
        <v/>
      </c>
      <c r="BK36" s="17">
        <f>IF(AND(60&gt;=$B$10,60&lt;=$D$10),1,0)</f>
        <v/>
      </c>
      <c r="BL36" s="17">
        <f>IF(AND(61&gt;=$B$10,61&lt;=$D$10),1,0)</f>
        <v/>
      </c>
      <c r="BM36" s="17">
        <f>IF(AND(62&gt;=$B$10,62&lt;=$D$10),1,0)</f>
        <v/>
      </c>
      <c r="BN36" s="17">
        <f>IF(AND(63&gt;=$B$10,63&lt;=$D$10),1,0)</f>
        <v/>
      </c>
      <c r="BO36" s="17">
        <f>IF(AND(64&gt;=$B$10,64&lt;=$D$10),1,0)</f>
        <v/>
      </c>
      <c r="BP36" s="17">
        <f>IF(AND(65&gt;=$B$10,65&lt;=$D$10),1,0)</f>
        <v/>
      </c>
      <c r="BQ36" s="17">
        <f>IF(AND(66&gt;=$B$10,66&lt;=$D$10),1,0)</f>
        <v/>
      </c>
      <c r="BR36" s="17">
        <f>IF(AND(67&gt;=$B$10,67&lt;=$D$10),1,0)</f>
        <v/>
      </c>
      <c r="BS36" s="17">
        <f>IF(AND(68&gt;=$B$10,68&lt;=$D$10),1,0)</f>
        <v/>
      </c>
      <c r="BT36" s="17">
        <f>IF(AND(69&gt;=$B$10,69&lt;=$D$10),1,0)</f>
        <v/>
      </c>
      <c r="BU36" s="17">
        <f>IF(AND(70&gt;=$B$10,70&lt;=$D$10),1,0)</f>
        <v/>
      </c>
      <c r="BV36" s="17">
        <f>IF(AND(71&gt;=$B$10,71&lt;=$D$10),1,0)</f>
        <v/>
      </c>
      <c r="BW36" s="17">
        <f>IF(AND(72&gt;=$B$10,72&lt;=$D$10),1,0)</f>
        <v/>
      </c>
      <c r="BX36" s="17">
        <f>IF(AND(73&gt;=$B$10,73&lt;=$D$10),1,0)</f>
        <v/>
      </c>
      <c r="BY36" s="17">
        <f>IF(AND(74&gt;=$B$10,74&lt;=$D$10),1,0)</f>
        <v/>
      </c>
      <c r="BZ36" s="17">
        <f>IF(AND(75&gt;=$B$10,75&lt;=$D$10),1,0)</f>
        <v/>
      </c>
      <c r="CA36" s="17">
        <f>IF(AND(76&gt;=$B$10,76&lt;=$D$10),1,0)</f>
        <v/>
      </c>
      <c r="CB36" s="17">
        <f>IF(AND(77&gt;=$B$10,77&lt;=$D$10),1,0)</f>
        <v/>
      </c>
      <c r="CC36" s="17">
        <f>IF(AND(78&gt;=$B$10,78&lt;=$D$10),1,0)</f>
        <v/>
      </c>
      <c r="CD36" s="17">
        <f>IF(AND(79&gt;=$B$10,79&lt;=$D$10),1,0)</f>
        <v/>
      </c>
      <c r="CE36" s="17">
        <f>IF(AND(80&gt;=$B$10,80&lt;=$D$10),1,0)</f>
        <v/>
      </c>
      <c r="CF36" s="17">
        <f>IF(AND(81&gt;=$B$10,81&lt;=$D$10),1,0)</f>
        <v/>
      </c>
      <c r="CG36" s="17">
        <f>IF(AND(82&gt;=$B$10,82&lt;=$D$10),1,0)</f>
        <v/>
      </c>
      <c r="CH36" s="17">
        <f>IF(AND(83&gt;=$B$10,83&lt;=$D$10),1,0)</f>
        <v/>
      </c>
      <c r="CI36" s="17">
        <f>IF(AND(84&gt;=$B$10,84&lt;=$D$10),1,0)</f>
        <v/>
      </c>
      <c r="CJ36" s="17">
        <f>IF(AND(85&gt;=$B$10,85&lt;=$D$10),1,0)</f>
        <v/>
      </c>
      <c r="CK36" s="17">
        <f>IF(AND(86&gt;=$B$10,86&lt;=$D$10),1,0)</f>
        <v/>
      </c>
      <c r="CL36" s="17">
        <f>IF(AND(87&gt;=$B$10,87&lt;=$D$10),1,0)</f>
        <v/>
      </c>
      <c r="CM36" s="17">
        <f>IF(AND(88&gt;=$B$10,88&lt;=$D$10),1,0)</f>
        <v/>
      </c>
      <c r="CN36" s="17">
        <f>IF(AND(89&gt;=$B$10,89&lt;=$D$10),1,0)</f>
        <v/>
      </c>
      <c r="CO36" s="17">
        <f>IF(AND(90&gt;=$B$10,90&lt;=$D$10),1,0)</f>
        <v/>
      </c>
      <c r="CP36" s="17">
        <f>IF(AND(91&gt;=$B$10,91&lt;=$D$10),1,0)</f>
        <v/>
      </c>
      <c r="CQ36" s="17">
        <f>IF(AND(92&gt;=$B$10,92&lt;=$D$10),1,0)</f>
        <v/>
      </c>
      <c r="CR36" s="17">
        <f>IF(AND(93&gt;=$B$10,93&lt;=$D$10),1,0)</f>
        <v/>
      </c>
      <c r="CS36" s="17">
        <f>IF(AND(94&gt;=$B$10,94&lt;=$D$10),1,0)</f>
        <v/>
      </c>
      <c r="CT36" s="17">
        <f>IF(AND(95&gt;=$B$10,95&lt;=$D$10),1,0)</f>
        <v/>
      </c>
      <c r="CU36" s="17">
        <f>IF(AND(96&gt;=$B$10,96&lt;=$D$10),1,0)</f>
        <v/>
      </c>
      <c r="CV36" s="17">
        <f>IF(AND(97&gt;=$B$10,97&lt;=$D$10),1,0)</f>
        <v/>
      </c>
      <c r="CW36" s="17">
        <f>IF(AND(98&gt;=$B$10,98&lt;=$D$10),1,0)</f>
        <v/>
      </c>
      <c r="CX36" s="17">
        <f>IF(AND(99&gt;=$B$10,99&lt;=$D$10),1,0)</f>
        <v/>
      </c>
      <c r="CY36" s="17">
        <f>IF(AND(100&gt;=$B$10,100&lt;=$D$10),1,0)</f>
        <v/>
      </c>
      <c r="CZ36" s="17">
        <f>IF(AND(101&gt;=$B$10,101&lt;=$D$10),1,0)</f>
        <v/>
      </c>
      <c r="DA36" s="17">
        <f>IF(AND(102&gt;=$B$10,102&lt;=$D$10),1,0)</f>
        <v/>
      </c>
      <c r="DB36" s="17">
        <f>IF(AND(103&gt;=$B$10,103&lt;=$D$10),1,0)</f>
        <v/>
      </c>
      <c r="DC36" s="17">
        <f>IF(AND(104&gt;=$B$10,104&lt;=$D$10),1,0)</f>
        <v/>
      </c>
      <c r="DD36" s="17">
        <f>IF(AND(105&gt;=$B$10,105&lt;=$D$10),1,0)</f>
        <v/>
      </c>
      <c r="DE36" s="17">
        <f>IF(AND(106&gt;=$B$10,106&lt;=$D$10),1,0)</f>
        <v/>
      </c>
      <c r="DF36" s="17">
        <f>IF(AND(107&gt;=$B$10,107&lt;=$D$10),1,0)</f>
        <v/>
      </c>
      <c r="DG36" s="17">
        <f>IF(AND(108&gt;=$B$10,108&lt;=$D$10),1,0)</f>
        <v/>
      </c>
      <c r="DH36" s="17">
        <f>IF(AND(109&gt;=$B$10,109&lt;=$D$10),1,0)</f>
        <v/>
      </c>
      <c r="DI36" s="17">
        <f>IF(AND(110&gt;=$B$10,110&lt;=$D$10),1,0)</f>
        <v/>
      </c>
      <c r="DJ36" s="17">
        <f>IF(AND(111&gt;=$B$10,111&lt;=$D$10),1,0)</f>
        <v/>
      </c>
      <c r="DK36" s="17">
        <f>IF(AND(112&gt;=$B$10,112&lt;=$D$10),1,0)</f>
        <v/>
      </c>
      <c r="DL36" s="17">
        <f>IF(AND(113&gt;=$B$10,113&lt;=$D$10),1,0)</f>
        <v/>
      </c>
      <c r="DM36" s="17">
        <f>IF(AND(114&gt;=$B$10,114&lt;=$D$10),1,0)</f>
        <v/>
      </c>
      <c r="DN36" s="17">
        <f>IF(AND(115&gt;=$B$10,115&lt;=$D$10),1,0)</f>
        <v/>
      </c>
      <c r="DO36" s="17">
        <f>IF(AND(116&gt;=$B$10,116&lt;=$D$10),1,0)</f>
        <v/>
      </c>
      <c r="DP36" s="17">
        <f>IF(AND(117&gt;=$B$10,117&lt;=$D$10),1,0)</f>
        <v/>
      </c>
      <c r="DQ36" s="17">
        <f>IF(AND(118&gt;=$B$10,118&lt;=$D$10),1,0)</f>
        <v/>
      </c>
      <c r="DR36" s="17">
        <f>IF(AND(119&gt;=$B$10,119&lt;=$D$10),1,0)</f>
        <v/>
      </c>
      <c r="DS36" s="17">
        <f>IF(AND(120&gt;=$B$10,120&lt;=$D$10),1,0)</f>
        <v/>
      </c>
      <c r="DT36" s="17">
        <f>IF(AND(121&gt;=$B$10,121&lt;=$D$10),1,0)</f>
        <v/>
      </c>
      <c r="DU36" s="17">
        <f>IF(AND(122&gt;=$B$10,122&lt;=$D$10),1,0)</f>
        <v/>
      </c>
      <c r="DV36" s="17">
        <f>IF(AND(123&gt;=$B$10,123&lt;=$D$10),1,0)</f>
        <v/>
      </c>
      <c r="DW36" s="17">
        <f>IF(AND(124&gt;=$B$10,124&lt;=$D$10),1,0)</f>
        <v/>
      </c>
      <c r="DX36" s="17">
        <f>IF(AND(125&gt;=$B$10,125&lt;=$D$10),1,0)</f>
        <v/>
      </c>
      <c r="DY36" s="17">
        <f>IF(AND(126&gt;=$B$10,126&lt;=$D$10),1,0)</f>
        <v/>
      </c>
      <c r="DZ36" s="17">
        <f>IF(AND(127&gt;=$B$10,127&lt;=$D$10),1,0)</f>
        <v/>
      </c>
      <c r="EA36" s="17">
        <f>IF(AND(128&gt;=$B$10,128&lt;=$D$10),1,0)</f>
        <v/>
      </c>
      <c r="EB36" s="17">
        <f>IF(AND(129&gt;=$B$10,129&lt;=$D$10),1,0)</f>
        <v/>
      </c>
      <c r="EC36" s="17">
        <f>IF(AND(130&gt;=$B$10,130&lt;=$D$10),1,0)</f>
        <v/>
      </c>
      <c r="ED36" s="17">
        <f>IF(AND(131&gt;=$B$10,131&lt;=$D$10),1,0)</f>
        <v/>
      </c>
      <c r="EE36" s="17">
        <f>IF(AND(132&gt;=$B$10,132&lt;=$D$10),1,0)</f>
        <v/>
      </c>
      <c r="EF36" s="17">
        <f>IF(AND(133&gt;=$B$10,133&lt;=$D$10),1,0)</f>
        <v/>
      </c>
      <c r="EG36" s="17">
        <f>IF(AND(134&gt;=$B$10,134&lt;=$D$10),1,0)</f>
        <v/>
      </c>
      <c r="EH36" s="17">
        <f>IF(AND(135&gt;=$B$10,135&lt;=$D$10),1,0)</f>
        <v/>
      </c>
      <c r="EI36" s="17">
        <f>IF(AND(136&gt;=$B$10,136&lt;=$D$10),1,0)</f>
        <v/>
      </c>
      <c r="EJ36" s="17">
        <f>IF(AND(137&gt;=$B$10,137&lt;=$D$10),1,0)</f>
        <v/>
      </c>
      <c r="EK36" s="17">
        <f>IF(AND(138&gt;=$B$10,138&lt;=$D$10),1,0)</f>
        <v/>
      </c>
      <c r="EL36" s="17">
        <f>IF(AND(139&gt;=$B$10,139&lt;=$D$10),1,0)</f>
        <v/>
      </c>
      <c r="EM36" s="17">
        <f>IF(AND(140&gt;=$B$10,140&lt;=$D$10),1,0)</f>
        <v/>
      </c>
      <c r="EN36" s="17">
        <f>IF(AND(141&gt;=$B$10,141&lt;=$D$10),1,0)</f>
        <v/>
      </c>
      <c r="EO36" s="17">
        <f>IF(AND(142&gt;=$B$10,142&lt;=$D$10),1,0)</f>
        <v/>
      </c>
      <c r="EP36" s="17">
        <f>IF(AND(143&gt;=$B$10,143&lt;=$D$10),1,0)</f>
        <v/>
      </c>
      <c r="EQ36" s="17">
        <f>IF(AND(144&gt;=$B$10,144&lt;=$D$10),1,0)</f>
        <v/>
      </c>
      <c r="ER36" s="17">
        <f>IF(AND(145&gt;=$B$10,145&lt;=$D$10),1,0)</f>
        <v/>
      </c>
      <c r="ES36" s="17">
        <f>IF(AND(146&gt;=$B$10,146&lt;=$D$10),1,0)</f>
        <v/>
      </c>
      <c r="ET36" s="17">
        <f>IF(AND(147&gt;=$B$10,147&lt;=$D$10),1,0)</f>
        <v/>
      </c>
      <c r="EU36" s="17">
        <f>IF(AND(148&gt;=$B$10,148&lt;=$D$10),1,0)</f>
        <v/>
      </c>
      <c r="EV36" s="17">
        <f>IF(AND(149&gt;=$B$10,149&lt;=$D$10),1,0)</f>
        <v/>
      </c>
      <c r="EW36" s="17">
        <f>IF(AND(150&gt;=$B$10,150&lt;=$D$10),1,0)</f>
        <v/>
      </c>
      <c r="EX36" s="17">
        <f>IF(AND(151&gt;=$B$10,151&lt;=$D$10),1,0)</f>
        <v/>
      </c>
      <c r="EY36" s="17">
        <f>IF(AND(152&gt;=$B$10,152&lt;=$D$10),1,0)</f>
        <v/>
      </c>
      <c r="EZ36" s="17">
        <f>IF(AND(153&gt;=$B$10,153&lt;=$D$10),1,0)</f>
        <v/>
      </c>
      <c r="FA36" s="17">
        <f>IF(AND(154&gt;=$B$10,154&lt;=$D$10),1,0)</f>
        <v/>
      </c>
      <c r="FB36" s="17">
        <f>IF(AND(155&gt;=$B$10,155&lt;=$D$10),1,0)</f>
        <v/>
      </c>
      <c r="FC36" s="17">
        <f>IF(AND(156&gt;=$B$10,156&lt;=$D$10),1,0)</f>
        <v/>
      </c>
      <c r="FD36" s="17">
        <f>IF(AND(157&gt;=$B$10,157&lt;=$D$10),1,0)</f>
        <v/>
      </c>
      <c r="FE36" s="17">
        <f>IF(AND(158&gt;=$B$10,158&lt;=$D$10),1,0)</f>
        <v/>
      </c>
      <c r="FF36" s="17">
        <f>IF(AND(159&gt;=$B$10,159&lt;=$D$10),1,0)</f>
        <v/>
      </c>
      <c r="FG36" s="17">
        <f>IF(AND(160&gt;=$B$10,160&lt;=$D$10),1,0)</f>
        <v/>
      </c>
      <c r="FH36" s="17">
        <f>IF(AND(161&gt;=$B$10,161&lt;=$D$10),1,0)</f>
        <v/>
      </c>
      <c r="FI36" s="17">
        <f>IF(AND(162&gt;=$B$10,162&lt;=$D$10),1,0)</f>
        <v/>
      </c>
      <c r="FJ36" s="17">
        <f>IF(AND(163&gt;=$B$10,163&lt;=$D$10),1,0)</f>
        <v/>
      </c>
      <c r="FK36" s="17">
        <f>IF(AND(164&gt;=$B$10,164&lt;=$D$10),1,0)</f>
        <v/>
      </c>
      <c r="FL36" s="17">
        <f>IF(AND(165&gt;=$B$10,165&lt;=$D$10),1,0)</f>
        <v/>
      </c>
      <c r="FM36" s="17">
        <f>IF(AND(166&gt;=$B$10,166&lt;=$D$10),1,0)</f>
        <v/>
      </c>
      <c r="FN36" s="17">
        <f>IF(AND(167&gt;=$B$10,167&lt;=$D$10),1,0)</f>
        <v/>
      </c>
      <c r="FO36" s="17">
        <f>IF(AND(168&gt;=$B$10,168&lt;=$D$10),1,0)</f>
        <v/>
      </c>
      <c r="FP36" s="17">
        <f>IF(AND(169&gt;=$B$10,169&lt;=$D$10),1,0)</f>
        <v/>
      </c>
      <c r="FQ36" s="17">
        <f>IF(AND(170&gt;=$B$10,170&lt;=$D$10),1,0)</f>
        <v/>
      </c>
      <c r="FR36" s="17">
        <f>IF(AND(171&gt;=$B$10,171&lt;=$D$10),1,0)</f>
        <v/>
      </c>
      <c r="FS36" s="17">
        <f>IF(AND(172&gt;=$B$10,172&lt;=$D$10),1,0)</f>
        <v/>
      </c>
      <c r="FT36" s="17">
        <f>IF(AND(173&gt;=$B$10,173&lt;=$D$10),1,0)</f>
        <v/>
      </c>
      <c r="FU36" s="17">
        <f>IF(AND(174&gt;=$B$10,174&lt;=$D$10),1,0)</f>
        <v/>
      </c>
      <c r="FV36" s="17">
        <f>IF(AND(175&gt;=$B$10,175&lt;=$D$10),1,0)</f>
        <v/>
      </c>
      <c r="FW36" s="17">
        <f>IF(AND(176&gt;=$B$10,176&lt;=$D$10),1,0)</f>
        <v/>
      </c>
      <c r="FX36" s="17">
        <f>IF(AND(177&gt;=$B$10,177&lt;=$D$10),1,0)</f>
        <v/>
      </c>
      <c r="FY36" s="17">
        <f>IF(AND(178&gt;=$B$10,178&lt;=$D$10),1,0)</f>
        <v/>
      </c>
      <c r="FZ36" s="17">
        <f>IF(AND(179&gt;=$B$10,179&lt;=$D$10),1,0)</f>
        <v/>
      </c>
      <c r="GA36" s="17">
        <f>IF(AND(180&gt;=$B$10,180&lt;=$D$10),1,0)</f>
        <v/>
      </c>
      <c r="GB36" s="17">
        <f>IF(AND(181&gt;=$B$10,181&lt;=$D$10),1,0)</f>
        <v/>
      </c>
      <c r="GC36" s="17">
        <f>IF(AND(182&gt;=$B$10,182&lt;=$D$10),1,0)</f>
        <v/>
      </c>
      <c r="GD36" s="17">
        <f>IF(AND(183&gt;=$B$10,183&lt;=$D$10),1,0)</f>
        <v/>
      </c>
      <c r="GE36" s="17">
        <f>IF(AND(184&gt;=$B$10,184&lt;=$D$10),1,0)</f>
        <v/>
      </c>
      <c r="GF36" s="17">
        <f>IF(AND(185&gt;=$B$10,185&lt;=$D$10),1,0)</f>
        <v/>
      </c>
      <c r="GG36" s="17">
        <f>IF(AND(186&gt;=$B$10,186&lt;=$D$10),1,0)</f>
        <v/>
      </c>
      <c r="GH36" s="17">
        <f>IF(AND(187&gt;=$B$10,187&lt;=$D$10),1,0)</f>
        <v/>
      </c>
      <c r="GI36" s="17">
        <f>IF(AND(188&gt;=$B$10,188&lt;=$D$10),1,0)</f>
        <v/>
      </c>
      <c r="GJ36" s="17">
        <f>IF(AND(189&gt;=$B$10,189&lt;=$D$10),1,0)</f>
        <v/>
      </c>
      <c r="GK36" s="17">
        <f>IF(AND(190&gt;=$B$10,190&lt;=$D$10),1,0)</f>
        <v/>
      </c>
      <c r="GL36" s="17">
        <f>IF(AND(191&gt;=$B$10,191&lt;=$D$10),1,0)</f>
        <v/>
      </c>
      <c r="GM36" s="17">
        <f>IF(AND(192&gt;=$B$10,192&lt;=$D$10),1,0)</f>
        <v/>
      </c>
      <c r="GN36" s="17">
        <f>IF(AND(193&gt;=$B$10,193&lt;=$D$10),1,0)</f>
        <v/>
      </c>
      <c r="GO36" s="17">
        <f>IF(AND(194&gt;=$B$10,194&lt;=$D$10),1,0)</f>
        <v/>
      </c>
      <c r="GP36" s="17">
        <f>IF(AND(195&gt;=$B$10,195&lt;=$D$10),1,0)</f>
        <v/>
      </c>
      <c r="GQ36" s="17">
        <f>IF(AND(196&gt;=$B$10,196&lt;=$D$10),1,0)</f>
        <v/>
      </c>
      <c r="GR36" s="17">
        <f>IF(AND(197&gt;=$B$10,197&lt;=$D$10),1,0)</f>
        <v/>
      </c>
      <c r="GS36" s="17">
        <f>IF(AND(198&gt;=$B$10,198&lt;=$D$10),1,0)</f>
        <v/>
      </c>
      <c r="GT36" s="17">
        <f>IF(AND(199&gt;=$B$10,199&lt;=$D$10),1,0)</f>
        <v/>
      </c>
      <c r="GU36" s="17">
        <f>IF(AND(200&gt;=$B$10,200&lt;=$D$10),1,0)</f>
        <v/>
      </c>
      <c r="GV36" s="17">
        <f>IF(AND(201&gt;=$B$10,201&lt;=$D$10),1,0)</f>
        <v/>
      </c>
      <c r="GW36" s="17">
        <f>IF(AND(202&gt;=$B$10,202&lt;=$D$10),1,0)</f>
        <v/>
      </c>
      <c r="GX36" s="17">
        <f>IF(AND(203&gt;=$B$10,203&lt;=$D$10),1,0)</f>
        <v/>
      </c>
      <c r="GY36" s="17">
        <f>IF(AND(204&gt;=$B$10,204&lt;=$D$10),1,0)</f>
        <v/>
      </c>
      <c r="GZ36" s="17">
        <f>IF(AND(205&gt;=$B$10,205&lt;=$D$10),1,0)</f>
        <v/>
      </c>
      <c r="HA36" s="17">
        <f>IF(AND(206&gt;=$B$10,206&lt;=$D$10),1,0)</f>
        <v/>
      </c>
      <c r="HB36" s="17">
        <f>IF(AND(207&gt;=$B$10,207&lt;=$D$10),1,0)</f>
        <v/>
      </c>
      <c r="HC36" s="17">
        <f>IF(AND(208&gt;=$B$10,208&lt;=$D$10),1,0)</f>
        <v/>
      </c>
      <c r="HD36" s="17">
        <f>IF(AND(209&gt;=$B$10,209&lt;=$D$10),1,0)</f>
        <v/>
      </c>
      <c r="HE36" s="17">
        <f>IF(AND(210&gt;=$B$10,210&lt;=$D$10),1,0)</f>
        <v/>
      </c>
      <c r="HF36" s="17">
        <f>IF(AND(211&gt;=$B$10,211&lt;=$D$10),1,0)</f>
        <v/>
      </c>
      <c r="HG36" s="17">
        <f>IF(AND(212&gt;=$B$10,212&lt;=$D$10),1,0)</f>
        <v/>
      </c>
      <c r="HH36" s="17">
        <f>IF(AND(213&gt;=$B$10,213&lt;=$D$10),1,0)</f>
        <v/>
      </c>
      <c r="HI36" s="17">
        <f>IF(AND(214&gt;=$B$10,214&lt;=$D$10),1,0)</f>
        <v/>
      </c>
      <c r="HJ36" s="17">
        <f>IF(AND(215&gt;=$B$10,215&lt;=$D$10),1,0)</f>
        <v/>
      </c>
      <c r="HK36" s="17">
        <f>IF(AND(216&gt;=$B$10,216&lt;=$D$10),1,0)</f>
        <v/>
      </c>
      <c r="HL36" s="17">
        <f>IF(AND(217&gt;=$B$10,217&lt;=$D$10),1,0)</f>
        <v/>
      </c>
      <c r="HM36" s="17">
        <f>IF(AND(218&gt;=$B$10,218&lt;=$D$10),1,0)</f>
        <v/>
      </c>
      <c r="HN36" s="17">
        <f>IF(AND(219&gt;=$B$10,219&lt;=$D$10),1,0)</f>
        <v/>
      </c>
      <c r="HO36" s="17">
        <f>IF(AND(220&gt;=$B$10,220&lt;=$D$10),1,0)</f>
        <v/>
      </c>
      <c r="HP36" s="17">
        <f>IF(AND(221&gt;=$B$10,221&lt;=$D$10),1,0)</f>
        <v/>
      </c>
      <c r="HQ36" s="17">
        <f>IF(AND(222&gt;=$B$10,222&lt;=$D$10),1,0)</f>
        <v/>
      </c>
      <c r="HR36" s="17">
        <f>IF(AND(223&gt;=$B$10,223&lt;=$D$10),1,0)</f>
        <v/>
      </c>
      <c r="HS36" s="17">
        <f>IF(AND(224&gt;=$B$10,224&lt;=$D$10),1,0)</f>
        <v/>
      </c>
      <c r="HT36" s="17">
        <f>IF(AND(225&gt;=$B$10,225&lt;=$D$10),1,0)</f>
        <v/>
      </c>
      <c r="HU36" s="17">
        <f>IF(AND(226&gt;=$B$10,226&lt;=$D$10),1,0)</f>
        <v/>
      </c>
      <c r="HV36" s="17">
        <f>IF(AND(227&gt;=$B$10,227&lt;=$D$10),1,0)</f>
        <v/>
      </c>
      <c r="HW36" s="17">
        <f>IF(AND(228&gt;=$B$10,228&lt;=$D$10),1,0)</f>
        <v/>
      </c>
      <c r="HX36" s="17">
        <f>IF(AND(229&gt;=$B$10,229&lt;=$D$10),1,0)</f>
        <v/>
      </c>
      <c r="HY36" s="17">
        <f>IF(AND(230&gt;=$B$10,230&lt;=$D$10),1,0)</f>
        <v/>
      </c>
      <c r="HZ36" s="17">
        <f>IF(AND(231&gt;=$B$10,231&lt;=$D$10),1,0)</f>
        <v/>
      </c>
      <c r="IA36" s="17">
        <f>IF(AND(232&gt;=$B$10,232&lt;=$D$10),1,0)</f>
        <v/>
      </c>
      <c r="IB36" s="17">
        <f>IF(AND(233&gt;=$B$10,233&lt;=$D$10),1,0)</f>
        <v/>
      </c>
      <c r="IC36" s="17">
        <f>IF(AND(234&gt;=$B$10,234&lt;=$D$10),1,0)</f>
        <v/>
      </c>
      <c r="ID36" s="17">
        <f>IF(AND(235&gt;=$B$10,235&lt;=$D$10),1,0)</f>
        <v/>
      </c>
      <c r="IE36" s="17">
        <f>IF(AND(236&gt;=$B$10,236&lt;=$D$10),1,0)</f>
        <v/>
      </c>
      <c r="IF36" s="17">
        <f>IF(AND(237&gt;=$B$10,237&lt;=$D$10),1,0)</f>
        <v/>
      </c>
      <c r="IG36" s="17">
        <f>IF(AND(238&gt;=$B$10,238&lt;=$D$10),1,0)</f>
        <v/>
      </c>
      <c r="IH36" s="17">
        <f>IF(AND(239&gt;=$B$10,239&lt;=$D$10),1,0)</f>
        <v/>
      </c>
      <c r="II36" s="17">
        <f>IF(AND(240&gt;=$B$10,240&lt;=$D$10),1,0)</f>
        <v/>
      </c>
      <c r="IJ36" s="17">
        <f>IF(AND(241&gt;=$B$10,241&lt;=$D$10),1,0)</f>
        <v/>
      </c>
      <c r="IK36" s="17">
        <f>IF(AND(242&gt;=$B$10,242&lt;=$D$10),1,0)</f>
        <v/>
      </c>
      <c r="IL36" s="17">
        <f>IF(AND(243&gt;=$B$10,243&lt;=$D$10),1,0)</f>
        <v/>
      </c>
      <c r="IM36" s="17">
        <f>IF(AND(244&gt;=$B$10,244&lt;=$D$10),1,0)</f>
        <v/>
      </c>
      <c r="IN36" s="17">
        <f>IF(AND(245&gt;=$B$10,245&lt;=$D$10),1,0)</f>
        <v/>
      </c>
      <c r="IO36" s="17">
        <f>IF(AND(246&gt;=$B$10,246&lt;=$D$10),1,0)</f>
        <v/>
      </c>
      <c r="IP36" s="17">
        <f>IF(AND(247&gt;=$B$10,247&lt;=$D$10),1,0)</f>
        <v/>
      </c>
      <c r="IQ36" s="17">
        <f>IF(AND(248&gt;=$B$10,248&lt;=$D$10),1,0)</f>
        <v/>
      </c>
      <c r="IR36" s="17">
        <f>IF(AND(249&gt;=$B$10,249&lt;=$D$10),1,0)</f>
        <v/>
      </c>
      <c r="IS36" s="17">
        <f>IF(AND(250&gt;=$B$10,250&lt;=$D$10),1,0)</f>
        <v/>
      </c>
      <c r="IT36" s="17">
        <f>IF(AND(251&gt;=$B$10,251&lt;=$D$10),1,0)</f>
        <v/>
      </c>
      <c r="IU36" s="17">
        <f>IF(AND(252&gt;=$B$10,252&lt;=$D$10),1,0)</f>
        <v/>
      </c>
      <c r="IV36" s="17">
        <f>IF(AND(253&gt;=$B$10,253&lt;=$D$10),1,0)</f>
        <v/>
      </c>
      <c r="IW36" s="17">
        <f>IF(AND(254&gt;=$B$10,254&lt;=$D$10),1,0)</f>
        <v/>
      </c>
      <c r="IX36" s="17">
        <f>IF(AND(255&gt;=$B$10,255&lt;=$D$10),1,0)</f>
        <v/>
      </c>
      <c r="IY36" s="17">
        <f>IF(AND(256&gt;=$B$10,256&lt;=$D$10),1,0)</f>
        <v/>
      </c>
      <c r="IZ36" s="17">
        <f>IF(AND(257&gt;=$B$10,257&lt;=$D$10),1,0)</f>
        <v/>
      </c>
      <c r="JA36" s="17">
        <f>IF(AND(258&gt;=$B$10,258&lt;=$D$10),1,0)</f>
        <v/>
      </c>
      <c r="JB36" s="17">
        <f>IF(AND(259&gt;=$B$10,259&lt;=$D$10),1,0)</f>
        <v/>
      </c>
      <c r="JC36" s="17">
        <f>IF(AND(260&gt;=$B$10,260&lt;=$D$10),1,0)</f>
        <v/>
      </c>
      <c r="JD36" s="17">
        <f>IF(AND(261&gt;=$B$10,261&lt;=$D$10),1,0)</f>
        <v/>
      </c>
      <c r="JE36" s="17">
        <f>IF(AND(262&gt;=$B$10,262&lt;=$D$10),1,0)</f>
        <v/>
      </c>
      <c r="JF36" s="17">
        <f>IF(AND(263&gt;=$B$10,263&lt;=$D$10),1,0)</f>
        <v/>
      </c>
      <c r="JG36" s="17">
        <f>IF(AND(264&gt;=$B$10,264&lt;=$D$10),1,0)</f>
        <v/>
      </c>
      <c r="JH36" s="17">
        <f>IF(AND(265&gt;=$B$10,265&lt;=$D$10),1,0)</f>
        <v/>
      </c>
      <c r="JI36" s="17">
        <f>IF(AND(266&gt;=$B$10,266&lt;=$D$10),1,0)</f>
        <v/>
      </c>
      <c r="JJ36" s="17">
        <f>IF(AND(267&gt;=$B$10,267&lt;=$D$10),1,0)</f>
        <v/>
      </c>
      <c r="JK36" s="17">
        <f>IF(AND(268&gt;=$B$10,268&lt;=$D$10),1,0)</f>
        <v/>
      </c>
      <c r="JL36" s="17">
        <f>IF(AND(269&gt;=$B$10,269&lt;=$D$10),1,0)</f>
        <v/>
      </c>
      <c r="JM36" s="17">
        <f>IF(AND(270&gt;=$B$10,270&lt;=$D$10),1,0)</f>
        <v/>
      </c>
      <c r="JN36" s="17">
        <f>IF(AND(271&gt;=$B$10,271&lt;=$D$10),1,0)</f>
        <v/>
      </c>
      <c r="JO36" s="17">
        <f>IF(AND(272&gt;=$B$10,272&lt;=$D$10),1,0)</f>
        <v/>
      </c>
      <c r="JP36" s="17">
        <f>IF(AND(273&gt;=$B$10,273&lt;=$D$10),1,0)</f>
        <v/>
      </c>
      <c r="JQ36" s="17">
        <f>IF(AND(274&gt;=$B$10,274&lt;=$D$10),1,0)</f>
        <v/>
      </c>
      <c r="JR36" s="17">
        <f>IF(AND(275&gt;=$B$10,275&lt;=$D$10),1,0)</f>
        <v/>
      </c>
      <c r="JS36" s="17">
        <f>IF(AND(276&gt;=$B$10,276&lt;=$D$10),1,0)</f>
        <v/>
      </c>
      <c r="JT36" s="17">
        <f>IF(AND(277&gt;=$B$10,277&lt;=$D$10),1,0)</f>
        <v/>
      </c>
      <c r="JU36" s="17">
        <f>IF(AND(278&gt;=$B$10,278&lt;=$D$10),1,0)</f>
        <v/>
      </c>
      <c r="JV36" s="17">
        <f>IF(AND(279&gt;=$B$10,279&lt;=$D$10),1,0)</f>
        <v/>
      </c>
      <c r="JW36" s="17">
        <f>IF(AND(280&gt;=$B$10,280&lt;=$D$10),1,0)</f>
        <v/>
      </c>
      <c r="JX36" s="17">
        <f>IF(AND(281&gt;=$B$10,281&lt;=$D$10),1,0)</f>
        <v/>
      </c>
      <c r="JY36" s="17">
        <f>IF(AND(282&gt;=$B$10,282&lt;=$D$10),1,0)</f>
        <v/>
      </c>
      <c r="JZ36" s="17">
        <f>IF(AND(283&gt;=$B$10,283&lt;=$D$10),1,0)</f>
        <v/>
      </c>
      <c r="KA36" s="17">
        <f>IF(AND(284&gt;=$B$10,284&lt;=$D$10),1,0)</f>
        <v/>
      </c>
      <c r="KB36" s="17">
        <f>IF(AND(285&gt;=$B$10,285&lt;=$D$10),1,0)</f>
        <v/>
      </c>
      <c r="KC36" s="17">
        <f>IF(AND(286&gt;=$B$10,286&lt;=$D$10),1,0)</f>
        <v/>
      </c>
      <c r="KD36" s="17">
        <f>IF(AND(287&gt;=$B$10,287&lt;=$D$10),1,0)</f>
        <v/>
      </c>
      <c r="KE36" s="17">
        <f>IF(AND(288&gt;=$B$10,288&lt;=$D$10),1,0)</f>
        <v/>
      </c>
      <c r="KF36" s="17">
        <f>IF(AND(289&gt;=$B$10,289&lt;=$D$10),1,0)</f>
        <v/>
      </c>
      <c r="KG36" s="17">
        <f>IF(AND(290&gt;=$B$10,290&lt;=$D$10),1,0)</f>
        <v/>
      </c>
      <c r="KH36" s="17">
        <f>IF(AND(291&gt;=$B$10,291&lt;=$D$10),1,0)</f>
        <v/>
      </c>
      <c r="KI36" s="17">
        <f>IF(AND(292&gt;=$B$10,292&lt;=$D$10),1,0)</f>
        <v/>
      </c>
      <c r="KJ36" s="17">
        <f>IF(AND(293&gt;=$B$10,293&lt;=$D$10),1,0)</f>
        <v/>
      </c>
      <c r="KK36" s="17">
        <f>IF(AND(294&gt;=$B$10,294&lt;=$D$10),1,0)</f>
        <v/>
      </c>
      <c r="KL36" s="17">
        <f>IF(AND(295&gt;=$B$10,295&lt;=$D$10),1,0)</f>
        <v/>
      </c>
      <c r="KM36" s="17">
        <f>IF(AND(296&gt;=$B$10,296&lt;=$D$10),1,0)</f>
        <v/>
      </c>
      <c r="KN36" s="17">
        <f>IF(AND(297&gt;=$B$10,297&lt;=$D$10),1,0)</f>
        <v/>
      </c>
      <c r="KO36" s="17">
        <f>IF(AND(298&gt;=$B$10,298&lt;=$D$10),1,0)</f>
        <v/>
      </c>
      <c r="KP36" s="17">
        <f>IF(AND(299&gt;=$B$10,299&lt;=$D$10),1,0)</f>
        <v/>
      </c>
      <c r="KQ36" s="17">
        <f>IF(AND(300&gt;=$B$10,300&lt;=$D$10),1,0)</f>
        <v/>
      </c>
      <c r="KR36" s="17">
        <f>IF(AND(301&gt;=$B$10,301&lt;=$D$10),1,0)</f>
        <v/>
      </c>
      <c r="KS36" s="17">
        <f>IF(AND(302&gt;=$B$10,302&lt;=$D$10),1,0)</f>
        <v/>
      </c>
      <c r="KT36" s="17">
        <f>IF(AND(303&gt;=$B$10,303&lt;=$D$10),1,0)</f>
        <v/>
      </c>
      <c r="KU36" s="17">
        <f>IF(AND(304&gt;=$B$10,304&lt;=$D$10),1,0)</f>
        <v/>
      </c>
      <c r="KV36" s="17">
        <f>IF(AND(305&gt;=$B$10,305&lt;=$D$10),1,0)</f>
        <v/>
      </c>
      <c r="KW36" s="17">
        <f>IF(AND(306&gt;=$B$10,306&lt;=$D$10),1,0)</f>
        <v/>
      </c>
      <c r="KX36" s="17">
        <f>IF(AND(307&gt;=$B$10,307&lt;=$D$10),1,0)</f>
        <v/>
      </c>
      <c r="KY36" s="17">
        <f>IF(AND(308&gt;=$B$10,308&lt;=$D$10),1,0)</f>
        <v/>
      </c>
      <c r="KZ36" s="17">
        <f>IF(AND(309&gt;=$B$10,309&lt;=$D$10),1,0)</f>
        <v/>
      </c>
      <c r="LA36" s="17">
        <f>IF(AND(310&gt;=$B$10,310&lt;=$D$10),1,0)</f>
        <v/>
      </c>
      <c r="LB36" s="17">
        <f>IF(AND(311&gt;=$B$10,311&lt;=$D$10),1,0)</f>
        <v/>
      </c>
      <c r="LC36" s="17">
        <f>IF(AND(312&gt;=$B$10,312&lt;=$D$10),1,0)</f>
        <v/>
      </c>
      <c r="LD36" s="17">
        <f>IF(AND(313&gt;=$B$10,313&lt;=$D$10),1,0)</f>
        <v/>
      </c>
      <c r="LE36" s="17">
        <f>IF(AND(314&gt;=$B$10,314&lt;=$D$10),1,0)</f>
        <v/>
      </c>
      <c r="LF36" s="17">
        <f>IF(AND(315&gt;=$B$10,315&lt;=$D$10),1,0)</f>
        <v/>
      </c>
      <c r="LG36" s="17">
        <f>IF(AND(316&gt;=$B$10,316&lt;=$D$10),1,0)</f>
        <v/>
      </c>
      <c r="LH36" s="17">
        <f>IF(AND(317&gt;=$B$10,317&lt;=$D$10),1,0)</f>
        <v/>
      </c>
      <c r="LI36" s="17">
        <f>IF(AND(318&gt;=$B$10,318&lt;=$D$10),1,0)</f>
        <v/>
      </c>
      <c r="LJ36" s="17">
        <f>IF(AND(319&gt;=$B$10,319&lt;=$D$10),1,0)</f>
        <v/>
      </c>
      <c r="LK36" s="17">
        <f>IF(AND(320&gt;=$B$10,320&lt;=$D$10),1,0)</f>
        <v/>
      </c>
      <c r="LL36" s="17">
        <f>IF(AND(321&gt;=$B$10,321&lt;=$D$10),1,0)</f>
        <v/>
      </c>
      <c r="LM36" s="17">
        <f>IF(AND(322&gt;=$B$10,322&lt;=$D$10),1,0)</f>
        <v/>
      </c>
      <c r="LN36" s="17">
        <f>IF(AND(323&gt;=$B$10,323&lt;=$D$10),1,0)</f>
        <v/>
      </c>
      <c r="LO36" s="17">
        <f>IF(AND(324&gt;=$B$10,324&lt;=$D$10),1,0)</f>
        <v/>
      </c>
      <c r="LP36" s="17">
        <f>IF(AND(325&gt;=$B$10,325&lt;=$D$10),1,0)</f>
        <v/>
      </c>
      <c r="LQ36" s="17">
        <f>IF(AND(326&gt;=$B$10,326&lt;=$D$10),1,0)</f>
        <v/>
      </c>
      <c r="LR36" s="17">
        <f>IF(AND(327&gt;=$B$10,327&lt;=$D$10),1,0)</f>
        <v/>
      </c>
      <c r="LS36" s="17">
        <f>IF(AND(328&gt;=$B$10,328&lt;=$D$10),1,0)</f>
        <v/>
      </c>
      <c r="LT36" s="17">
        <f>IF(AND(329&gt;=$B$10,329&lt;=$D$10),1,0)</f>
        <v/>
      </c>
      <c r="LU36" s="17">
        <f>IF(AND(330&gt;=$B$10,330&lt;=$D$10),1,0)</f>
        <v/>
      </c>
      <c r="LV36" s="17">
        <f>IF(AND(331&gt;=$B$10,331&lt;=$D$10),1,0)</f>
        <v/>
      </c>
      <c r="LW36" s="17">
        <f>IF(AND(332&gt;=$B$10,332&lt;=$D$10),1,0)</f>
        <v/>
      </c>
      <c r="LX36" s="17">
        <f>IF(AND(333&gt;=$B$10,333&lt;=$D$10),1,0)</f>
        <v/>
      </c>
      <c r="LY36" s="17">
        <f>IF(AND(334&gt;=$B$10,334&lt;=$D$10),1,0)</f>
        <v/>
      </c>
      <c r="LZ36" s="17">
        <f>IF(AND(335&gt;=$B$10,335&lt;=$D$10),1,0)</f>
        <v/>
      </c>
      <c r="MA36" s="17">
        <f>IF(AND(336&gt;=$B$10,336&lt;=$D$10),1,0)</f>
        <v/>
      </c>
      <c r="MB36" s="17">
        <f>IF(AND(337&gt;=$B$10,337&lt;=$D$10),1,0)</f>
        <v/>
      </c>
      <c r="MC36" s="17">
        <f>IF(AND(338&gt;=$B$10,338&lt;=$D$10),1,0)</f>
        <v/>
      </c>
      <c r="MD36" s="17">
        <f>IF(AND(339&gt;=$B$10,339&lt;=$D$10),1,0)</f>
        <v/>
      </c>
      <c r="ME36" s="17">
        <f>IF(AND(340&gt;=$B$10,340&lt;=$D$10),1,0)</f>
        <v/>
      </c>
      <c r="MF36" s="17">
        <f>IF(AND(341&gt;=$B$10,341&lt;=$D$10),1,0)</f>
        <v/>
      </c>
      <c r="MG36" s="17">
        <f>IF(AND(342&gt;=$B$10,342&lt;=$D$10),1,0)</f>
        <v/>
      </c>
      <c r="MH36" s="17">
        <f>IF(AND(343&gt;=$B$10,343&lt;=$D$10),1,0)</f>
        <v/>
      </c>
      <c r="MI36" s="17">
        <f>IF(AND(344&gt;=$B$10,344&lt;=$D$10),1,0)</f>
        <v/>
      </c>
      <c r="MJ36" s="17">
        <f>IF(AND(345&gt;=$B$10,345&lt;=$D$10),1,0)</f>
        <v/>
      </c>
      <c r="MK36" s="17">
        <f>IF(AND(346&gt;=$B$10,346&lt;=$D$10),1,0)</f>
        <v/>
      </c>
      <c r="ML36" s="17">
        <f>IF(AND(347&gt;=$B$10,347&lt;=$D$10),1,0)</f>
        <v/>
      </c>
      <c r="MM36" s="17">
        <f>IF(AND(348&gt;=$B$10,348&lt;=$D$10),1,0)</f>
        <v/>
      </c>
      <c r="MN36" s="17">
        <f>IF(AND(349&gt;=$B$10,349&lt;=$D$10),1,0)</f>
        <v/>
      </c>
      <c r="MO36" s="17">
        <f>IF(AND(350&gt;=$B$10,350&lt;=$D$10),1,0)</f>
        <v/>
      </c>
      <c r="MP36" s="17">
        <f>IF(AND(351&gt;=$B$10,351&lt;=$D$10),1,0)</f>
        <v/>
      </c>
      <c r="MQ36" s="17">
        <f>IF(AND(352&gt;=$B$10,352&lt;=$D$10),1,0)</f>
        <v/>
      </c>
      <c r="MR36" s="17">
        <f>IF(AND(353&gt;=$B$10,353&lt;=$D$10),1,0)</f>
        <v/>
      </c>
      <c r="MS36" s="17">
        <f>IF(AND(354&gt;=$B$10,354&lt;=$D$10),1,0)</f>
        <v/>
      </c>
      <c r="MT36" s="17">
        <f>IF(AND(355&gt;=$B$10,355&lt;=$D$10),1,0)</f>
        <v/>
      </c>
      <c r="MU36" s="17">
        <f>IF(AND(356&gt;=$B$10,356&lt;=$D$10),1,0)</f>
        <v/>
      </c>
      <c r="MV36" s="17">
        <f>IF(AND(357&gt;=$B$10,357&lt;=$D$10),1,0)</f>
        <v/>
      </c>
      <c r="MW36" s="17">
        <f>IF(AND(358&gt;=$B$10,358&lt;=$D$10),1,0)</f>
        <v/>
      </c>
      <c r="MX36" s="17">
        <f>IF(AND(359&gt;=$B$10,359&lt;=$D$10),1,0)</f>
        <v/>
      </c>
      <c r="MY36" s="17">
        <f>IF(AND(360&gt;=$B$10,360&lt;=$D$10),1,0)</f>
        <v/>
      </c>
      <c r="MZ36" s="17">
        <f>IF(AND(361&gt;=$B$10,361&lt;=$D$10),1,0)</f>
        <v/>
      </c>
      <c r="NA36" s="17">
        <f>IF(AND(362&gt;=$B$10,362&lt;=$D$10),1,0)</f>
        <v/>
      </c>
      <c r="NB36" s="17">
        <f>IF(AND(363&gt;=$B$10,363&lt;=$D$10),1,0)</f>
        <v/>
      </c>
      <c r="NC36" s="17">
        <f>IF(AND(364&gt;=$B$10,364&lt;=$D$10),1,0)</f>
        <v/>
      </c>
      <c r="ND36" s="17">
        <f>IF(AND(365&gt;=$B$10,365&lt;=$D$10),1,0)</f>
        <v/>
      </c>
      <c r="NE36" s="17">
        <f>IF(AND(366&gt;=$B$10,366&lt;=$D$10),1,0)</f>
        <v/>
      </c>
      <c r="NF36" s="17">
        <f>IF(AND(367&gt;=$B$10,367&lt;=$D$10),1,0)</f>
        <v/>
      </c>
      <c r="NG36" s="17">
        <f>IF(AND(368&gt;=$B$10,368&lt;=$D$10),1,0)</f>
        <v/>
      </c>
      <c r="NH36" s="17">
        <f>IF(AND(369&gt;=$B$10,369&lt;=$D$10),1,0)</f>
        <v/>
      </c>
      <c r="NI36" s="17">
        <f>IF(AND(370&gt;=$B$10,370&lt;=$D$10),1,0)</f>
        <v/>
      </c>
      <c r="NJ36" s="17">
        <f>IF(AND(371&gt;=$B$10,371&lt;=$D$10),1,0)</f>
        <v/>
      </c>
      <c r="NK36" s="17">
        <f>IF(AND(372&gt;=$B$10,372&lt;=$D$10),1,0)</f>
        <v/>
      </c>
    </row>
    <row r="37">
      <c r="A37" s="5" t="inlineStr">
        <is>
          <t>Flag: Lease-Up</t>
        </is>
      </c>
      <c r="C37" s="40" t="n"/>
      <c r="D37" s="17">
        <f>IF(AND(1&gt;=$B$11,1&lt;=$D$11),1,0)</f>
        <v/>
      </c>
      <c r="E37" s="17">
        <f>IF(AND(2&gt;=$B$11,2&lt;=$D$11),1,0)</f>
        <v/>
      </c>
      <c r="F37" s="17">
        <f>IF(AND(3&gt;=$B$11,3&lt;=$D$11),1,0)</f>
        <v/>
      </c>
      <c r="G37" s="17">
        <f>IF(AND(4&gt;=$B$11,4&lt;=$D$11),1,0)</f>
        <v/>
      </c>
      <c r="H37" s="17">
        <f>IF(AND(5&gt;=$B$11,5&lt;=$D$11),1,0)</f>
        <v/>
      </c>
      <c r="I37" s="17">
        <f>IF(AND(6&gt;=$B$11,6&lt;=$D$11),1,0)</f>
        <v/>
      </c>
      <c r="J37" s="17">
        <f>IF(AND(7&gt;=$B$11,7&lt;=$D$11),1,0)</f>
        <v/>
      </c>
      <c r="K37" s="17">
        <f>IF(AND(8&gt;=$B$11,8&lt;=$D$11),1,0)</f>
        <v/>
      </c>
      <c r="L37" s="17">
        <f>IF(AND(9&gt;=$B$11,9&lt;=$D$11),1,0)</f>
        <v/>
      </c>
      <c r="M37" s="17">
        <f>IF(AND(10&gt;=$B$11,10&lt;=$D$11),1,0)</f>
        <v/>
      </c>
      <c r="N37" s="17">
        <f>IF(AND(11&gt;=$B$11,11&lt;=$D$11),1,0)</f>
        <v/>
      </c>
      <c r="O37" s="17">
        <f>IF(AND(12&gt;=$B$11,12&lt;=$D$11),1,0)</f>
        <v/>
      </c>
      <c r="P37" s="17">
        <f>IF(AND(13&gt;=$B$11,13&lt;=$D$11),1,0)</f>
        <v/>
      </c>
      <c r="Q37" s="17">
        <f>IF(AND(14&gt;=$B$11,14&lt;=$D$11),1,0)</f>
        <v/>
      </c>
      <c r="R37" s="17">
        <f>IF(AND(15&gt;=$B$11,15&lt;=$D$11),1,0)</f>
        <v/>
      </c>
      <c r="S37" s="17">
        <f>IF(AND(16&gt;=$B$11,16&lt;=$D$11),1,0)</f>
        <v/>
      </c>
      <c r="T37" s="17">
        <f>IF(AND(17&gt;=$B$11,17&lt;=$D$11),1,0)</f>
        <v/>
      </c>
      <c r="U37" s="17">
        <f>IF(AND(18&gt;=$B$11,18&lt;=$D$11),1,0)</f>
        <v/>
      </c>
      <c r="V37" s="17">
        <f>IF(AND(19&gt;=$B$11,19&lt;=$D$11),1,0)</f>
        <v/>
      </c>
      <c r="W37" s="17">
        <f>IF(AND(20&gt;=$B$11,20&lt;=$D$11),1,0)</f>
        <v/>
      </c>
      <c r="X37" s="17">
        <f>IF(AND(21&gt;=$B$11,21&lt;=$D$11),1,0)</f>
        <v/>
      </c>
      <c r="Y37" s="17">
        <f>IF(AND(22&gt;=$B$11,22&lt;=$D$11),1,0)</f>
        <v/>
      </c>
      <c r="Z37" s="17">
        <f>IF(AND(23&gt;=$B$11,23&lt;=$D$11),1,0)</f>
        <v/>
      </c>
      <c r="AA37" s="17">
        <f>IF(AND(24&gt;=$B$11,24&lt;=$D$11),1,0)</f>
        <v/>
      </c>
      <c r="AB37" s="17">
        <f>IF(AND(25&gt;=$B$11,25&lt;=$D$11),1,0)</f>
        <v/>
      </c>
      <c r="AC37" s="17">
        <f>IF(AND(26&gt;=$B$11,26&lt;=$D$11),1,0)</f>
        <v/>
      </c>
      <c r="AD37" s="17">
        <f>IF(AND(27&gt;=$B$11,27&lt;=$D$11),1,0)</f>
        <v/>
      </c>
      <c r="AE37" s="17">
        <f>IF(AND(28&gt;=$B$11,28&lt;=$D$11),1,0)</f>
        <v/>
      </c>
      <c r="AF37" s="17">
        <f>IF(AND(29&gt;=$B$11,29&lt;=$D$11),1,0)</f>
        <v/>
      </c>
      <c r="AG37" s="17">
        <f>IF(AND(30&gt;=$B$11,30&lt;=$D$11),1,0)</f>
        <v/>
      </c>
      <c r="AH37" s="17">
        <f>IF(AND(31&gt;=$B$11,31&lt;=$D$11),1,0)</f>
        <v/>
      </c>
      <c r="AI37" s="17">
        <f>IF(AND(32&gt;=$B$11,32&lt;=$D$11),1,0)</f>
        <v/>
      </c>
      <c r="AJ37" s="17">
        <f>IF(AND(33&gt;=$B$11,33&lt;=$D$11),1,0)</f>
        <v/>
      </c>
      <c r="AK37" s="17">
        <f>IF(AND(34&gt;=$B$11,34&lt;=$D$11),1,0)</f>
        <v/>
      </c>
      <c r="AL37" s="17">
        <f>IF(AND(35&gt;=$B$11,35&lt;=$D$11),1,0)</f>
        <v/>
      </c>
      <c r="AM37" s="17">
        <f>IF(AND(36&gt;=$B$11,36&lt;=$D$11),1,0)</f>
        <v/>
      </c>
      <c r="AN37" s="17">
        <f>IF(AND(37&gt;=$B$11,37&lt;=$D$11),1,0)</f>
        <v/>
      </c>
      <c r="AO37" s="17">
        <f>IF(AND(38&gt;=$B$11,38&lt;=$D$11),1,0)</f>
        <v/>
      </c>
      <c r="AP37" s="17">
        <f>IF(AND(39&gt;=$B$11,39&lt;=$D$11),1,0)</f>
        <v/>
      </c>
      <c r="AQ37" s="17">
        <f>IF(AND(40&gt;=$B$11,40&lt;=$D$11),1,0)</f>
        <v/>
      </c>
      <c r="AR37" s="17">
        <f>IF(AND(41&gt;=$B$11,41&lt;=$D$11),1,0)</f>
        <v/>
      </c>
      <c r="AS37" s="17">
        <f>IF(AND(42&gt;=$B$11,42&lt;=$D$11),1,0)</f>
        <v/>
      </c>
      <c r="AT37" s="17">
        <f>IF(AND(43&gt;=$B$11,43&lt;=$D$11),1,0)</f>
        <v/>
      </c>
      <c r="AU37" s="17">
        <f>IF(AND(44&gt;=$B$11,44&lt;=$D$11),1,0)</f>
        <v/>
      </c>
      <c r="AV37" s="17">
        <f>IF(AND(45&gt;=$B$11,45&lt;=$D$11),1,0)</f>
        <v/>
      </c>
      <c r="AW37" s="17">
        <f>IF(AND(46&gt;=$B$11,46&lt;=$D$11),1,0)</f>
        <v/>
      </c>
      <c r="AX37" s="17">
        <f>IF(AND(47&gt;=$B$11,47&lt;=$D$11),1,0)</f>
        <v/>
      </c>
      <c r="AY37" s="17">
        <f>IF(AND(48&gt;=$B$11,48&lt;=$D$11),1,0)</f>
        <v/>
      </c>
      <c r="AZ37" s="17">
        <f>IF(AND(49&gt;=$B$11,49&lt;=$D$11),1,0)</f>
        <v/>
      </c>
      <c r="BA37" s="17">
        <f>IF(AND(50&gt;=$B$11,50&lt;=$D$11),1,0)</f>
        <v/>
      </c>
      <c r="BB37" s="17">
        <f>IF(AND(51&gt;=$B$11,51&lt;=$D$11),1,0)</f>
        <v/>
      </c>
      <c r="BC37" s="17">
        <f>IF(AND(52&gt;=$B$11,52&lt;=$D$11),1,0)</f>
        <v/>
      </c>
      <c r="BD37" s="17">
        <f>IF(AND(53&gt;=$B$11,53&lt;=$D$11),1,0)</f>
        <v/>
      </c>
      <c r="BE37" s="17">
        <f>IF(AND(54&gt;=$B$11,54&lt;=$D$11),1,0)</f>
        <v/>
      </c>
      <c r="BF37" s="17">
        <f>IF(AND(55&gt;=$B$11,55&lt;=$D$11),1,0)</f>
        <v/>
      </c>
      <c r="BG37" s="17">
        <f>IF(AND(56&gt;=$B$11,56&lt;=$D$11),1,0)</f>
        <v/>
      </c>
      <c r="BH37" s="17">
        <f>IF(AND(57&gt;=$B$11,57&lt;=$D$11),1,0)</f>
        <v/>
      </c>
      <c r="BI37" s="17">
        <f>IF(AND(58&gt;=$B$11,58&lt;=$D$11),1,0)</f>
        <v/>
      </c>
      <c r="BJ37" s="17">
        <f>IF(AND(59&gt;=$B$11,59&lt;=$D$11),1,0)</f>
        <v/>
      </c>
      <c r="BK37" s="17">
        <f>IF(AND(60&gt;=$B$11,60&lt;=$D$11),1,0)</f>
        <v/>
      </c>
      <c r="BL37" s="17">
        <f>IF(AND(61&gt;=$B$11,61&lt;=$D$11),1,0)</f>
        <v/>
      </c>
      <c r="BM37" s="17">
        <f>IF(AND(62&gt;=$B$11,62&lt;=$D$11),1,0)</f>
        <v/>
      </c>
      <c r="BN37" s="17">
        <f>IF(AND(63&gt;=$B$11,63&lt;=$D$11),1,0)</f>
        <v/>
      </c>
      <c r="BO37" s="17">
        <f>IF(AND(64&gt;=$B$11,64&lt;=$D$11),1,0)</f>
        <v/>
      </c>
      <c r="BP37" s="17">
        <f>IF(AND(65&gt;=$B$11,65&lt;=$D$11),1,0)</f>
        <v/>
      </c>
      <c r="BQ37" s="17">
        <f>IF(AND(66&gt;=$B$11,66&lt;=$D$11),1,0)</f>
        <v/>
      </c>
      <c r="BR37" s="17">
        <f>IF(AND(67&gt;=$B$11,67&lt;=$D$11),1,0)</f>
        <v/>
      </c>
      <c r="BS37" s="17">
        <f>IF(AND(68&gt;=$B$11,68&lt;=$D$11),1,0)</f>
        <v/>
      </c>
      <c r="BT37" s="17">
        <f>IF(AND(69&gt;=$B$11,69&lt;=$D$11),1,0)</f>
        <v/>
      </c>
      <c r="BU37" s="17">
        <f>IF(AND(70&gt;=$B$11,70&lt;=$D$11),1,0)</f>
        <v/>
      </c>
      <c r="BV37" s="17">
        <f>IF(AND(71&gt;=$B$11,71&lt;=$D$11),1,0)</f>
        <v/>
      </c>
      <c r="BW37" s="17">
        <f>IF(AND(72&gt;=$B$11,72&lt;=$D$11),1,0)</f>
        <v/>
      </c>
      <c r="BX37" s="17">
        <f>IF(AND(73&gt;=$B$11,73&lt;=$D$11),1,0)</f>
        <v/>
      </c>
      <c r="BY37" s="17">
        <f>IF(AND(74&gt;=$B$11,74&lt;=$D$11),1,0)</f>
        <v/>
      </c>
      <c r="BZ37" s="17">
        <f>IF(AND(75&gt;=$B$11,75&lt;=$D$11),1,0)</f>
        <v/>
      </c>
      <c r="CA37" s="17">
        <f>IF(AND(76&gt;=$B$11,76&lt;=$D$11),1,0)</f>
        <v/>
      </c>
      <c r="CB37" s="17">
        <f>IF(AND(77&gt;=$B$11,77&lt;=$D$11),1,0)</f>
        <v/>
      </c>
      <c r="CC37" s="17">
        <f>IF(AND(78&gt;=$B$11,78&lt;=$D$11),1,0)</f>
        <v/>
      </c>
      <c r="CD37" s="17">
        <f>IF(AND(79&gt;=$B$11,79&lt;=$D$11),1,0)</f>
        <v/>
      </c>
      <c r="CE37" s="17">
        <f>IF(AND(80&gt;=$B$11,80&lt;=$D$11),1,0)</f>
        <v/>
      </c>
      <c r="CF37" s="17">
        <f>IF(AND(81&gt;=$B$11,81&lt;=$D$11),1,0)</f>
        <v/>
      </c>
      <c r="CG37" s="17">
        <f>IF(AND(82&gt;=$B$11,82&lt;=$D$11),1,0)</f>
        <v/>
      </c>
      <c r="CH37" s="17">
        <f>IF(AND(83&gt;=$B$11,83&lt;=$D$11),1,0)</f>
        <v/>
      </c>
      <c r="CI37" s="17">
        <f>IF(AND(84&gt;=$B$11,84&lt;=$D$11),1,0)</f>
        <v/>
      </c>
      <c r="CJ37" s="17">
        <f>IF(AND(85&gt;=$B$11,85&lt;=$D$11),1,0)</f>
        <v/>
      </c>
      <c r="CK37" s="17">
        <f>IF(AND(86&gt;=$B$11,86&lt;=$D$11),1,0)</f>
        <v/>
      </c>
      <c r="CL37" s="17">
        <f>IF(AND(87&gt;=$B$11,87&lt;=$D$11),1,0)</f>
        <v/>
      </c>
      <c r="CM37" s="17">
        <f>IF(AND(88&gt;=$B$11,88&lt;=$D$11),1,0)</f>
        <v/>
      </c>
      <c r="CN37" s="17">
        <f>IF(AND(89&gt;=$B$11,89&lt;=$D$11),1,0)</f>
        <v/>
      </c>
      <c r="CO37" s="17">
        <f>IF(AND(90&gt;=$B$11,90&lt;=$D$11),1,0)</f>
        <v/>
      </c>
      <c r="CP37" s="17">
        <f>IF(AND(91&gt;=$B$11,91&lt;=$D$11),1,0)</f>
        <v/>
      </c>
      <c r="CQ37" s="17">
        <f>IF(AND(92&gt;=$B$11,92&lt;=$D$11),1,0)</f>
        <v/>
      </c>
      <c r="CR37" s="17">
        <f>IF(AND(93&gt;=$B$11,93&lt;=$D$11),1,0)</f>
        <v/>
      </c>
      <c r="CS37" s="17">
        <f>IF(AND(94&gt;=$B$11,94&lt;=$D$11),1,0)</f>
        <v/>
      </c>
      <c r="CT37" s="17">
        <f>IF(AND(95&gt;=$B$11,95&lt;=$D$11),1,0)</f>
        <v/>
      </c>
      <c r="CU37" s="17">
        <f>IF(AND(96&gt;=$B$11,96&lt;=$D$11),1,0)</f>
        <v/>
      </c>
      <c r="CV37" s="17">
        <f>IF(AND(97&gt;=$B$11,97&lt;=$D$11),1,0)</f>
        <v/>
      </c>
      <c r="CW37" s="17">
        <f>IF(AND(98&gt;=$B$11,98&lt;=$D$11),1,0)</f>
        <v/>
      </c>
      <c r="CX37" s="17">
        <f>IF(AND(99&gt;=$B$11,99&lt;=$D$11),1,0)</f>
        <v/>
      </c>
      <c r="CY37" s="17">
        <f>IF(AND(100&gt;=$B$11,100&lt;=$D$11),1,0)</f>
        <v/>
      </c>
      <c r="CZ37" s="17">
        <f>IF(AND(101&gt;=$B$11,101&lt;=$D$11),1,0)</f>
        <v/>
      </c>
      <c r="DA37" s="17">
        <f>IF(AND(102&gt;=$B$11,102&lt;=$D$11),1,0)</f>
        <v/>
      </c>
      <c r="DB37" s="17">
        <f>IF(AND(103&gt;=$B$11,103&lt;=$D$11),1,0)</f>
        <v/>
      </c>
      <c r="DC37" s="17">
        <f>IF(AND(104&gt;=$B$11,104&lt;=$D$11),1,0)</f>
        <v/>
      </c>
      <c r="DD37" s="17">
        <f>IF(AND(105&gt;=$B$11,105&lt;=$D$11),1,0)</f>
        <v/>
      </c>
      <c r="DE37" s="17">
        <f>IF(AND(106&gt;=$B$11,106&lt;=$D$11),1,0)</f>
        <v/>
      </c>
      <c r="DF37" s="17">
        <f>IF(AND(107&gt;=$B$11,107&lt;=$D$11),1,0)</f>
        <v/>
      </c>
      <c r="DG37" s="17">
        <f>IF(AND(108&gt;=$B$11,108&lt;=$D$11),1,0)</f>
        <v/>
      </c>
      <c r="DH37" s="17">
        <f>IF(AND(109&gt;=$B$11,109&lt;=$D$11),1,0)</f>
        <v/>
      </c>
      <c r="DI37" s="17">
        <f>IF(AND(110&gt;=$B$11,110&lt;=$D$11),1,0)</f>
        <v/>
      </c>
      <c r="DJ37" s="17">
        <f>IF(AND(111&gt;=$B$11,111&lt;=$D$11),1,0)</f>
        <v/>
      </c>
      <c r="DK37" s="17">
        <f>IF(AND(112&gt;=$B$11,112&lt;=$D$11),1,0)</f>
        <v/>
      </c>
      <c r="DL37" s="17">
        <f>IF(AND(113&gt;=$B$11,113&lt;=$D$11),1,0)</f>
        <v/>
      </c>
      <c r="DM37" s="17">
        <f>IF(AND(114&gt;=$B$11,114&lt;=$D$11),1,0)</f>
        <v/>
      </c>
      <c r="DN37" s="17">
        <f>IF(AND(115&gt;=$B$11,115&lt;=$D$11),1,0)</f>
        <v/>
      </c>
      <c r="DO37" s="17">
        <f>IF(AND(116&gt;=$B$11,116&lt;=$D$11),1,0)</f>
        <v/>
      </c>
      <c r="DP37" s="17">
        <f>IF(AND(117&gt;=$B$11,117&lt;=$D$11),1,0)</f>
        <v/>
      </c>
      <c r="DQ37" s="17">
        <f>IF(AND(118&gt;=$B$11,118&lt;=$D$11),1,0)</f>
        <v/>
      </c>
      <c r="DR37" s="17">
        <f>IF(AND(119&gt;=$B$11,119&lt;=$D$11),1,0)</f>
        <v/>
      </c>
      <c r="DS37" s="17">
        <f>IF(AND(120&gt;=$B$11,120&lt;=$D$11),1,0)</f>
        <v/>
      </c>
      <c r="DT37" s="17">
        <f>IF(AND(121&gt;=$B$11,121&lt;=$D$11),1,0)</f>
        <v/>
      </c>
      <c r="DU37" s="17">
        <f>IF(AND(122&gt;=$B$11,122&lt;=$D$11),1,0)</f>
        <v/>
      </c>
      <c r="DV37" s="17">
        <f>IF(AND(123&gt;=$B$11,123&lt;=$D$11),1,0)</f>
        <v/>
      </c>
      <c r="DW37" s="17">
        <f>IF(AND(124&gt;=$B$11,124&lt;=$D$11),1,0)</f>
        <v/>
      </c>
      <c r="DX37" s="17">
        <f>IF(AND(125&gt;=$B$11,125&lt;=$D$11),1,0)</f>
        <v/>
      </c>
      <c r="DY37" s="17">
        <f>IF(AND(126&gt;=$B$11,126&lt;=$D$11),1,0)</f>
        <v/>
      </c>
      <c r="DZ37" s="17">
        <f>IF(AND(127&gt;=$B$11,127&lt;=$D$11),1,0)</f>
        <v/>
      </c>
      <c r="EA37" s="17">
        <f>IF(AND(128&gt;=$B$11,128&lt;=$D$11),1,0)</f>
        <v/>
      </c>
      <c r="EB37" s="17">
        <f>IF(AND(129&gt;=$B$11,129&lt;=$D$11),1,0)</f>
        <v/>
      </c>
      <c r="EC37" s="17">
        <f>IF(AND(130&gt;=$B$11,130&lt;=$D$11),1,0)</f>
        <v/>
      </c>
      <c r="ED37" s="17">
        <f>IF(AND(131&gt;=$B$11,131&lt;=$D$11),1,0)</f>
        <v/>
      </c>
      <c r="EE37" s="17">
        <f>IF(AND(132&gt;=$B$11,132&lt;=$D$11),1,0)</f>
        <v/>
      </c>
      <c r="EF37" s="17">
        <f>IF(AND(133&gt;=$B$11,133&lt;=$D$11),1,0)</f>
        <v/>
      </c>
      <c r="EG37" s="17">
        <f>IF(AND(134&gt;=$B$11,134&lt;=$D$11),1,0)</f>
        <v/>
      </c>
      <c r="EH37" s="17">
        <f>IF(AND(135&gt;=$B$11,135&lt;=$D$11),1,0)</f>
        <v/>
      </c>
      <c r="EI37" s="17">
        <f>IF(AND(136&gt;=$B$11,136&lt;=$D$11),1,0)</f>
        <v/>
      </c>
      <c r="EJ37" s="17">
        <f>IF(AND(137&gt;=$B$11,137&lt;=$D$11),1,0)</f>
        <v/>
      </c>
      <c r="EK37" s="17">
        <f>IF(AND(138&gt;=$B$11,138&lt;=$D$11),1,0)</f>
        <v/>
      </c>
      <c r="EL37" s="17">
        <f>IF(AND(139&gt;=$B$11,139&lt;=$D$11),1,0)</f>
        <v/>
      </c>
      <c r="EM37" s="17">
        <f>IF(AND(140&gt;=$B$11,140&lt;=$D$11),1,0)</f>
        <v/>
      </c>
      <c r="EN37" s="17">
        <f>IF(AND(141&gt;=$B$11,141&lt;=$D$11),1,0)</f>
        <v/>
      </c>
      <c r="EO37" s="17">
        <f>IF(AND(142&gt;=$B$11,142&lt;=$D$11),1,0)</f>
        <v/>
      </c>
      <c r="EP37" s="17">
        <f>IF(AND(143&gt;=$B$11,143&lt;=$D$11),1,0)</f>
        <v/>
      </c>
      <c r="EQ37" s="17">
        <f>IF(AND(144&gt;=$B$11,144&lt;=$D$11),1,0)</f>
        <v/>
      </c>
      <c r="ER37" s="17">
        <f>IF(AND(145&gt;=$B$11,145&lt;=$D$11),1,0)</f>
        <v/>
      </c>
      <c r="ES37" s="17">
        <f>IF(AND(146&gt;=$B$11,146&lt;=$D$11),1,0)</f>
        <v/>
      </c>
      <c r="ET37" s="17">
        <f>IF(AND(147&gt;=$B$11,147&lt;=$D$11),1,0)</f>
        <v/>
      </c>
      <c r="EU37" s="17">
        <f>IF(AND(148&gt;=$B$11,148&lt;=$D$11),1,0)</f>
        <v/>
      </c>
      <c r="EV37" s="17">
        <f>IF(AND(149&gt;=$B$11,149&lt;=$D$11),1,0)</f>
        <v/>
      </c>
      <c r="EW37" s="17">
        <f>IF(AND(150&gt;=$B$11,150&lt;=$D$11),1,0)</f>
        <v/>
      </c>
      <c r="EX37" s="17">
        <f>IF(AND(151&gt;=$B$11,151&lt;=$D$11),1,0)</f>
        <v/>
      </c>
      <c r="EY37" s="17">
        <f>IF(AND(152&gt;=$B$11,152&lt;=$D$11),1,0)</f>
        <v/>
      </c>
      <c r="EZ37" s="17">
        <f>IF(AND(153&gt;=$B$11,153&lt;=$D$11),1,0)</f>
        <v/>
      </c>
      <c r="FA37" s="17">
        <f>IF(AND(154&gt;=$B$11,154&lt;=$D$11),1,0)</f>
        <v/>
      </c>
      <c r="FB37" s="17">
        <f>IF(AND(155&gt;=$B$11,155&lt;=$D$11),1,0)</f>
        <v/>
      </c>
      <c r="FC37" s="17">
        <f>IF(AND(156&gt;=$B$11,156&lt;=$D$11),1,0)</f>
        <v/>
      </c>
      <c r="FD37" s="17">
        <f>IF(AND(157&gt;=$B$11,157&lt;=$D$11),1,0)</f>
        <v/>
      </c>
      <c r="FE37" s="17">
        <f>IF(AND(158&gt;=$B$11,158&lt;=$D$11),1,0)</f>
        <v/>
      </c>
      <c r="FF37" s="17">
        <f>IF(AND(159&gt;=$B$11,159&lt;=$D$11),1,0)</f>
        <v/>
      </c>
      <c r="FG37" s="17">
        <f>IF(AND(160&gt;=$B$11,160&lt;=$D$11),1,0)</f>
        <v/>
      </c>
      <c r="FH37" s="17">
        <f>IF(AND(161&gt;=$B$11,161&lt;=$D$11),1,0)</f>
        <v/>
      </c>
      <c r="FI37" s="17">
        <f>IF(AND(162&gt;=$B$11,162&lt;=$D$11),1,0)</f>
        <v/>
      </c>
      <c r="FJ37" s="17">
        <f>IF(AND(163&gt;=$B$11,163&lt;=$D$11),1,0)</f>
        <v/>
      </c>
      <c r="FK37" s="17">
        <f>IF(AND(164&gt;=$B$11,164&lt;=$D$11),1,0)</f>
        <v/>
      </c>
      <c r="FL37" s="17">
        <f>IF(AND(165&gt;=$B$11,165&lt;=$D$11),1,0)</f>
        <v/>
      </c>
      <c r="FM37" s="17">
        <f>IF(AND(166&gt;=$B$11,166&lt;=$D$11),1,0)</f>
        <v/>
      </c>
      <c r="FN37" s="17">
        <f>IF(AND(167&gt;=$B$11,167&lt;=$D$11),1,0)</f>
        <v/>
      </c>
      <c r="FO37" s="17">
        <f>IF(AND(168&gt;=$B$11,168&lt;=$D$11),1,0)</f>
        <v/>
      </c>
      <c r="FP37" s="17">
        <f>IF(AND(169&gt;=$B$11,169&lt;=$D$11),1,0)</f>
        <v/>
      </c>
      <c r="FQ37" s="17">
        <f>IF(AND(170&gt;=$B$11,170&lt;=$D$11),1,0)</f>
        <v/>
      </c>
      <c r="FR37" s="17">
        <f>IF(AND(171&gt;=$B$11,171&lt;=$D$11),1,0)</f>
        <v/>
      </c>
      <c r="FS37" s="17">
        <f>IF(AND(172&gt;=$B$11,172&lt;=$D$11),1,0)</f>
        <v/>
      </c>
      <c r="FT37" s="17">
        <f>IF(AND(173&gt;=$B$11,173&lt;=$D$11),1,0)</f>
        <v/>
      </c>
      <c r="FU37" s="17">
        <f>IF(AND(174&gt;=$B$11,174&lt;=$D$11),1,0)</f>
        <v/>
      </c>
      <c r="FV37" s="17">
        <f>IF(AND(175&gt;=$B$11,175&lt;=$D$11),1,0)</f>
        <v/>
      </c>
      <c r="FW37" s="17">
        <f>IF(AND(176&gt;=$B$11,176&lt;=$D$11),1,0)</f>
        <v/>
      </c>
      <c r="FX37" s="17">
        <f>IF(AND(177&gt;=$B$11,177&lt;=$D$11),1,0)</f>
        <v/>
      </c>
      <c r="FY37" s="17">
        <f>IF(AND(178&gt;=$B$11,178&lt;=$D$11),1,0)</f>
        <v/>
      </c>
      <c r="FZ37" s="17">
        <f>IF(AND(179&gt;=$B$11,179&lt;=$D$11),1,0)</f>
        <v/>
      </c>
      <c r="GA37" s="17">
        <f>IF(AND(180&gt;=$B$11,180&lt;=$D$11),1,0)</f>
        <v/>
      </c>
      <c r="GB37" s="17">
        <f>IF(AND(181&gt;=$B$11,181&lt;=$D$11),1,0)</f>
        <v/>
      </c>
      <c r="GC37" s="17">
        <f>IF(AND(182&gt;=$B$11,182&lt;=$D$11),1,0)</f>
        <v/>
      </c>
      <c r="GD37" s="17">
        <f>IF(AND(183&gt;=$B$11,183&lt;=$D$11),1,0)</f>
        <v/>
      </c>
      <c r="GE37" s="17">
        <f>IF(AND(184&gt;=$B$11,184&lt;=$D$11),1,0)</f>
        <v/>
      </c>
      <c r="GF37" s="17">
        <f>IF(AND(185&gt;=$B$11,185&lt;=$D$11),1,0)</f>
        <v/>
      </c>
      <c r="GG37" s="17">
        <f>IF(AND(186&gt;=$B$11,186&lt;=$D$11),1,0)</f>
        <v/>
      </c>
      <c r="GH37" s="17">
        <f>IF(AND(187&gt;=$B$11,187&lt;=$D$11),1,0)</f>
        <v/>
      </c>
      <c r="GI37" s="17">
        <f>IF(AND(188&gt;=$B$11,188&lt;=$D$11),1,0)</f>
        <v/>
      </c>
      <c r="GJ37" s="17">
        <f>IF(AND(189&gt;=$B$11,189&lt;=$D$11),1,0)</f>
        <v/>
      </c>
      <c r="GK37" s="17">
        <f>IF(AND(190&gt;=$B$11,190&lt;=$D$11),1,0)</f>
        <v/>
      </c>
      <c r="GL37" s="17">
        <f>IF(AND(191&gt;=$B$11,191&lt;=$D$11),1,0)</f>
        <v/>
      </c>
      <c r="GM37" s="17">
        <f>IF(AND(192&gt;=$B$11,192&lt;=$D$11),1,0)</f>
        <v/>
      </c>
      <c r="GN37" s="17">
        <f>IF(AND(193&gt;=$B$11,193&lt;=$D$11),1,0)</f>
        <v/>
      </c>
      <c r="GO37" s="17">
        <f>IF(AND(194&gt;=$B$11,194&lt;=$D$11),1,0)</f>
        <v/>
      </c>
      <c r="GP37" s="17">
        <f>IF(AND(195&gt;=$B$11,195&lt;=$D$11),1,0)</f>
        <v/>
      </c>
      <c r="GQ37" s="17">
        <f>IF(AND(196&gt;=$B$11,196&lt;=$D$11),1,0)</f>
        <v/>
      </c>
      <c r="GR37" s="17">
        <f>IF(AND(197&gt;=$B$11,197&lt;=$D$11),1,0)</f>
        <v/>
      </c>
      <c r="GS37" s="17">
        <f>IF(AND(198&gt;=$B$11,198&lt;=$D$11),1,0)</f>
        <v/>
      </c>
      <c r="GT37" s="17">
        <f>IF(AND(199&gt;=$B$11,199&lt;=$D$11),1,0)</f>
        <v/>
      </c>
      <c r="GU37" s="17">
        <f>IF(AND(200&gt;=$B$11,200&lt;=$D$11),1,0)</f>
        <v/>
      </c>
      <c r="GV37" s="17">
        <f>IF(AND(201&gt;=$B$11,201&lt;=$D$11),1,0)</f>
        <v/>
      </c>
      <c r="GW37" s="17">
        <f>IF(AND(202&gt;=$B$11,202&lt;=$D$11),1,0)</f>
        <v/>
      </c>
      <c r="GX37" s="17">
        <f>IF(AND(203&gt;=$B$11,203&lt;=$D$11),1,0)</f>
        <v/>
      </c>
      <c r="GY37" s="17">
        <f>IF(AND(204&gt;=$B$11,204&lt;=$D$11),1,0)</f>
        <v/>
      </c>
      <c r="GZ37" s="17">
        <f>IF(AND(205&gt;=$B$11,205&lt;=$D$11),1,0)</f>
        <v/>
      </c>
      <c r="HA37" s="17">
        <f>IF(AND(206&gt;=$B$11,206&lt;=$D$11),1,0)</f>
        <v/>
      </c>
      <c r="HB37" s="17">
        <f>IF(AND(207&gt;=$B$11,207&lt;=$D$11),1,0)</f>
        <v/>
      </c>
      <c r="HC37" s="17">
        <f>IF(AND(208&gt;=$B$11,208&lt;=$D$11),1,0)</f>
        <v/>
      </c>
      <c r="HD37" s="17">
        <f>IF(AND(209&gt;=$B$11,209&lt;=$D$11),1,0)</f>
        <v/>
      </c>
      <c r="HE37" s="17">
        <f>IF(AND(210&gt;=$B$11,210&lt;=$D$11),1,0)</f>
        <v/>
      </c>
      <c r="HF37" s="17">
        <f>IF(AND(211&gt;=$B$11,211&lt;=$D$11),1,0)</f>
        <v/>
      </c>
      <c r="HG37" s="17">
        <f>IF(AND(212&gt;=$B$11,212&lt;=$D$11),1,0)</f>
        <v/>
      </c>
      <c r="HH37" s="17">
        <f>IF(AND(213&gt;=$B$11,213&lt;=$D$11),1,0)</f>
        <v/>
      </c>
      <c r="HI37" s="17">
        <f>IF(AND(214&gt;=$B$11,214&lt;=$D$11),1,0)</f>
        <v/>
      </c>
      <c r="HJ37" s="17">
        <f>IF(AND(215&gt;=$B$11,215&lt;=$D$11),1,0)</f>
        <v/>
      </c>
      <c r="HK37" s="17">
        <f>IF(AND(216&gt;=$B$11,216&lt;=$D$11),1,0)</f>
        <v/>
      </c>
      <c r="HL37" s="17">
        <f>IF(AND(217&gt;=$B$11,217&lt;=$D$11),1,0)</f>
        <v/>
      </c>
      <c r="HM37" s="17">
        <f>IF(AND(218&gt;=$B$11,218&lt;=$D$11),1,0)</f>
        <v/>
      </c>
      <c r="HN37" s="17">
        <f>IF(AND(219&gt;=$B$11,219&lt;=$D$11),1,0)</f>
        <v/>
      </c>
      <c r="HO37" s="17">
        <f>IF(AND(220&gt;=$B$11,220&lt;=$D$11),1,0)</f>
        <v/>
      </c>
      <c r="HP37" s="17">
        <f>IF(AND(221&gt;=$B$11,221&lt;=$D$11),1,0)</f>
        <v/>
      </c>
      <c r="HQ37" s="17">
        <f>IF(AND(222&gt;=$B$11,222&lt;=$D$11),1,0)</f>
        <v/>
      </c>
      <c r="HR37" s="17">
        <f>IF(AND(223&gt;=$B$11,223&lt;=$D$11),1,0)</f>
        <v/>
      </c>
      <c r="HS37" s="17">
        <f>IF(AND(224&gt;=$B$11,224&lt;=$D$11),1,0)</f>
        <v/>
      </c>
      <c r="HT37" s="17">
        <f>IF(AND(225&gt;=$B$11,225&lt;=$D$11),1,0)</f>
        <v/>
      </c>
      <c r="HU37" s="17">
        <f>IF(AND(226&gt;=$B$11,226&lt;=$D$11),1,0)</f>
        <v/>
      </c>
      <c r="HV37" s="17">
        <f>IF(AND(227&gt;=$B$11,227&lt;=$D$11),1,0)</f>
        <v/>
      </c>
      <c r="HW37" s="17">
        <f>IF(AND(228&gt;=$B$11,228&lt;=$D$11),1,0)</f>
        <v/>
      </c>
      <c r="HX37" s="17">
        <f>IF(AND(229&gt;=$B$11,229&lt;=$D$11),1,0)</f>
        <v/>
      </c>
      <c r="HY37" s="17">
        <f>IF(AND(230&gt;=$B$11,230&lt;=$D$11),1,0)</f>
        <v/>
      </c>
      <c r="HZ37" s="17">
        <f>IF(AND(231&gt;=$B$11,231&lt;=$D$11),1,0)</f>
        <v/>
      </c>
      <c r="IA37" s="17">
        <f>IF(AND(232&gt;=$B$11,232&lt;=$D$11),1,0)</f>
        <v/>
      </c>
      <c r="IB37" s="17">
        <f>IF(AND(233&gt;=$B$11,233&lt;=$D$11),1,0)</f>
        <v/>
      </c>
      <c r="IC37" s="17">
        <f>IF(AND(234&gt;=$B$11,234&lt;=$D$11),1,0)</f>
        <v/>
      </c>
      <c r="ID37" s="17">
        <f>IF(AND(235&gt;=$B$11,235&lt;=$D$11),1,0)</f>
        <v/>
      </c>
      <c r="IE37" s="17">
        <f>IF(AND(236&gt;=$B$11,236&lt;=$D$11),1,0)</f>
        <v/>
      </c>
      <c r="IF37" s="17">
        <f>IF(AND(237&gt;=$B$11,237&lt;=$D$11),1,0)</f>
        <v/>
      </c>
      <c r="IG37" s="17">
        <f>IF(AND(238&gt;=$B$11,238&lt;=$D$11),1,0)</f>
        <v/>
      </c>
      <c r="IH37" s="17">
        <f>IF(AND(239&gt;=$B$11,239&lt;=$D$11),1,0)</f>
        <v/>
      </c>
      <c r="II37" s="17">
        <f>IF(AND(240&gt;=$B$11,240&lt;=$D$11),1,0)</f>
        <v/>
      </c>
      <c r="IJ37" s="17">
        <f>IF(AND(241&gt;=$B$11,241&lt;=$D$11),1,0)</f>
        <v/>
      </c>
      <c r="IK37" s="17">
        <f>IF(AND(242&gt;=$B$11,242&lt;=$D$11),1,0)</f>
        <v/>
      </c>
      <c r="IL37" s="17">
        <f>IF(AND(243&gt;=$B$11,243&lt;=$D$11),1,0)</f>
        <v/>
      </c>
      <c r="IM37" s="17">
        <f>IF(AND(244&gt;=$B$11,244&lt;=$D$11),1,0)</f>
        <v/>
      </c>
      <c r="IN37" s="17">
        <f>IF(AND(245&gt;=$B$11,245&lt;=$D$11),1,0)</f>
        <v/>
      </c>
      <c r="IO37" s="17">
        <f>IF(AND(246&gt;=$B$11,246&lt;=$D$11),1,0)</f>
        <v/>
      </c>
      <c r="IP37" s="17">
        <f>IF(AND(247&gt;=$B$11,247&lt;=$D$11),1,0)</f>
        <v/>
      </c>
      <c r="IQ37" s="17">
        <f>IF(AND(248&gt;=$B$11,248&lt;=$D$11),1,0)</f>
        <v/>
      </c>
      <c r="IR37" s="17">
        <f>IF(AND(249&gt;=$B$11,249&lt;=$D$11),1,0)</f>
        <v/>
      </c>
      <c r="IS37" s="17">
        <f>IF(AND(250&gt;=$B$11,250&lt;=$D$11),1,0)</f>
        <v/>
      </c>
      <c r="IT37" s="17">
        <f>IF(AND(251&gt;=$B$11,251&lt;=$D$11),1,0)</f>
        <v/>
      </c>
      <c r="IU37" s="17">
        <f>IF(AND(252&gt;=$B$11,252&lt;=$D$11),1,0)</f>
        <v/>
      </c>
      <c r="IV37" s="17">
        <f>IF(AND(253&gt;=$B$11,253&lt;=$D$11),1,0)</f>
        <v/>
      </c>
      <c r="IW37" s="17">
        <f>IF(AND(254&gt;=$B$11,254&lt;=$D$11),1,0)</f>
        <v/>
      </c>
      <c r="IX37" s="17">
        <f>IF(AND(255&gt;=$B$11,255&lt;=$D$11),1,0)</f>
        <v/>
      </c>
      <c r="IY37" s="17">
        <f>IF(AND(256&gt;=$B$11,256&lt;=$D$11),1,0)</f>
        <v/>
      </c>
      <c r="IZ37" s="17">
        <f>IF(AND(257&gt;=$B$11,257&lt;=$D$11),1,0)</f>
        <v/>
      </c>
      <c r="JA37" s="17">
        <f>IF(AND(258&gt;=$B$11,258&lt;=$D$11),1,0)</f>
        <v/>
      </c>
      <c r="JB37" s="17">
        <f>IF(AND(259&gt;=$B$11,259&lt;=$D$11),1,0)</f>
        <v/>
      </c>
      <c r="JC37" s="17">
        <f>IF(AND(260&gt;=$B$11,260&lt;=$D$11),1,0)</f>
        <v/>
      </c>
      <c r="JD37" s="17">
        <f>IF(AND(261&gt;=$B$11,261&lt;=$D$11),1,0)</f>
        <v/>
      </c>
      <c r="JE37" s="17">
        <f>IF(AND(262&gt;=$B$11,262&lt;=$D$11),1,0)</f>
        <v/>
      </c>
      <c r="JF37" s="17">
        <f>IF(AND(263&gt;=$B$11,263&lt;=$D$11),1,0)</f>
        <v/>
      </c>
      <c r="JG37" s="17">
        <f>IF(AND(264&gt;=$B$11,264&lt;=$D$11),1,0)</f>
        <v/>
      </c>
      <c r="JH37" s="17">
        <f>IF(AND(265&gt;=$B$11,265&lt;=$D$11),1,0)</f>
        <v/>
      </c>
      <c r="JI37" s="17">
        <f>IF(AND(266&gt;=$B$11,266&lt;=$D$11),1,0)</f>
        <v/>
      </c>
      <c r="JJ37" s="17">
        <f>IF(AND(267&gt;=$B$11,267&lt;=$D$11),1,0)</f>
        <v/>
      </c>
      <c r="JK37" s="17">
        <f>IF(AND(268&gt;=$B$11,268&lt;=$D$11),1,0)</f>
        <v/>
      </c>
      <c r="JL37" s="17">
        <f>IF(AND(269&gt;=$B$11,269&lt;=$D$11),1,0)</f>
        <v/>
      </c>
      <c r="JM37" s="17">
        <f>IF(AND(270&gt;=$B$11,270&lt;=$D$11),1,0)</f>
        <v/>
      </c>
      <c r="JN37" s="17">
        <f>IF(AND(271&gt;=$B$11,271&lt;=$D$11),1,0)</f>
        <v/>
      </c>
      <c r="JO37" s="17">
        <f>IF(AND(272&gt;=$B$11,272&lt;=$D$11),1,0)</f>
        <v/>
      </c>
      <c r="JP37" s="17">
        <f>IF(AND(273&gt;=$B$11,273&lt;=$D$11),1,0)</f>
        <v/>
      </c>
      <c r="JQ37" s="17">
        <f>IF(AND(274&gt;=$B$11,274&lt;=$D$11),1,0)</f>
        <v/>
      </c>
      <c r="JR37" s="17">
        <f>IF(AND(275&gt;=$B$11,275&lt;=$D$11),1,0)</f>
        <v/>
      </c>
      <c r="JS37" s="17">
        <f>IF(AND(276&gt;=$B$11,276&lt;=$D$11),1,0)</f>
        <v/>
      </c>
      <c r="JT37" s="17">
        <f>IF(AND(277&gt;=$B$11,277&lt;=$D$11),1,0)</f>
        <v/>
      </c>
      <c r="JU37" s="17">
        <f>IF(AND(278&gt;=$B$11,278&lt;=$D$11),1,0)</f>
        <v/>
      </c>
      <c r="JV37" s="17">
        <f>IF(AND(279&gt;=$B$11,279&lt;=$D$11),1,0)</f>
        <v/>
      </c>
      <c r="JW37" s="17">
        <f>IF(AND(280&gt;=$B$11,280&lt;=$D$11),1,0)</f>
        <v/>
      </c>
      <c r="JX37" s="17">
        <f>IF(AND(281&gt;=$B$11,281&lt;=$D$11),1,0)</f>
        <v/>
      </c>
      <c r="JY37" s="17">
        <f>IF(AND(282&gt;=$B$11,282&lt;=$D$11),1,0)</f>
        <v/>
      </c>
      <c r="JZ37" s="17">
        <f>IF(AND(283&gt;=$B$11,283&lt;=$D$11),1,0)</f>
        <v/>
      </c>
      <c r="KA37" s="17">
        <f>IF(AND(284&gt;=$B$11,284&lt;=$D$11),1,0)</f>
        <v/>
      </c>
      <c r="KB37" s="17">
        <f>IF(AND(285&gt;=$B$11,285&lt;=$D$11),1,0)</f>
        <v/>
      </c>
      <c r="KC37" s="17">
        <f>IF(AND(286&gt;=$B$11,286&lt;=$D$11),1,0)</f>
        <v/>
      </c>
      <c r="KD37" s="17">
        <f>IF(AND(287&gt;=$B$11,287&lt;=$D$11),1,0)</f>
        <v/>
      </c>
      <c r="KE37" s="17">
        <f>IF(AND(288&gt;=$B$11,288&lt;=$D$11),1,0)</f>
        <v/>
      </c>
      <c r="KF37" s="17">
        <f>IF(AND(289&gt;=$B$11,289&lt;=$D$11),1,0)</f>
        <v/>
      </c>
      <c r="KG37" s="17">
        <f>IF(AND(290&gt;=$B$11,290&lt;=$D$11),1,0)</f>
        <v/>
      </c>
      <c r="KH37" s="17">
        <f>IF(AND(291&gt;=$B$11,291&lt;=$D$11),1,0)</f>
        <v/>
      </c>
      <c r="KI37" s="17">
        <f>IF(AND(292&gt;=$B$11,292&lt;=$D$11),1,0)</f>
        <v/>
      </c>
      <c r="KJ37" s="17">
        <f>IF(AND(293&gt;=$B$11,293&lt;=$D$11),1,0)</f>
        <v/>
      </c>
      <c r="KK37" s="17">
        <f>IF(AND(294&gt;=$B$11,294&lt;=$D$11),1,0)</f>
        <v/>
      </c>
      <c r="KL37" s="17">
        <f>IF(AND(295&gt;=$B$11,295&lt;=$D$11),1,0)</f>
        <v/>
      </c>
      <c r="KM37" s="17">
        <f>IF(AND(296&gt;=$B$11,296&lt;=$D$11),1,0)</f>
        <v/>
      </c>
      <c r="KN37" s="17">
        <f>IF(AND(297&gt;=$B$11,297&lt;=$D$11),1,0)</f>
        <v/>
      </c>
      <c r="KO37" s="17">
        <f>IF(AND(298&gt;=$B$11,298&lt;=$D$11),1,0)</f>
        <v/>
      </c>
      <c r="KP37" s="17">
        <f>IF(AND(299&gt;=$B$11,299&lt;=$D$11),1,0)</f>
        <v/>
      </c>
      <c r="KQ37" s="17">
        <f>IF(AND(300&gt;=$B$11,300&lt;=$D$11),1,0)</f>
        <v/>
      </c>
      <c r="KR37" s="17">
        <f>IF(AND(301&gt;=$B$11,301&lt;=$D$11),1,0)</f>
        <v/>
      </c>
      <c r="KS37" s="17">
        <f>IF(AND(302&gt;=$B$11,302&lt;=$D$11),1,0)</f>
        <v/>
      </c>
      <c r="KT37" s="17">
        <f>IF(AND(303&gt;=$B$11,303&lt;=$D$11),1,0)</f>
        <v/>
      </c>
      <c r="KU37" s="17">
        <f>IF(AND(304&gt;=$B$11,304&lt;=$D$11),1,0)</f>
        <v/>
      </c>
      <c r="KV37" s="17">
        <f>IF(AND(305&gt;=$B$11,305&lt;=$D$11),1,0)</f>
        <v/>
      </c>
      <c r="KW37" s="17">
        <f>IF(AND(306&gt;=$B$11,306&lt;=$D$11),1,0)</f>
        <v/>
      </c>
      <c r="KX37" s="17">
        <f>IF(AND(307&gt;=$B$11,307&lt;=$D$11),1,0)</f>
        <v/>
      </c>
      <c r="KY37" s="17">
        <f>IF(AND(308&gt;=$B$11,308&lt;=$D$11),1,0)</f>
        <v/>
      </c>
      <c r="KZ37" s="17">
        <f>IF(AND(309&gt;=$B$11,309&lt;=$D$11),1,0)</f>
        <v/>
      </c>
      <c r="LA37" s="17">
        <f>IF(AND(310&gt;=$B$11,310&lt;=$D$11),1,0)</f>
        <v/>
      </c>
      <c r="LB37" s="17">
        <f>IF(AND(311&gt;=$B$11,311&lt;=$D$11),1,0)</f>
        <v/>
      </c>
      <c r="LC37" s="17">
        <f>IF(AND(312&gt;=$B$11,312&lt;=$D$11),1,0)</f>
        <v/>
      </c>
      <c r="LD37" s="17">
        <f>IF(AND(313&gt;=$B$11,313&lt;=$D$11),1,0)</f>
        <v/>
      </c>
      <c r="LE37" s="17">
        <f>IF(AND(314&gt;=$B$11,314&lt;=$D$11),1,0)</f>
        <v/>
      </c>
      <c r="LF37" s="17">
        <f>IF(AND(315&gt;=$B$11,315&lt;=$D$11),1,0)</f>
        <v/>
      </c>
      <c r="LG37" s="17">
        <f>IF(AND(316&gt;=$B$11,316&lt;=$D$11),1,0)</f>
        <v/>
      </c>
      <c r="LH37" s="17">
        <f>IF(AND(317&gt;=$B$11,317&lt;=$D$11),1,0)</f>
        <v/>
      </c>
      <c r="LI37" s="17">
        <f>IF(AND(318&gt;=$B$11,318&lt;=$D$11),1,0)</f>
        <v/>
      </c>
      <c r="LJ37" s="17">
        <f>IF(AND(319&gt;=$B$11,319&lt;=$D$11),1,0)</f>
        <v/>
      </c>
      <c r="LK37" s="17">
        <f>IF(AND(320&gt;=$B$11,320&lt;=$D$11),1,0)</f>
        <v/>
      </c>
      <c r="LL37" s="17">
        <f>IF(AND(321&gt;=$B$11,321&lt;=$D$11),1,0)</f>
        <v/>
      </c>
      <c r="LM37" s="17">
        <f>IF(AND(322&gt;=$B$11,322&lt;=$D$11),1,0)</f>
        <v/>
      </c>
      <c r="LN37" s="17">
        <f>IF(AND(323&gt;=$B$11,323&lt;=$D$11),1,0)</f>
        <v/>
      </c>
      <c r="LO37" s="17">
        <f>IF(AND(324&gt;=$B$11,324&lt;=$D$11),1,0)</f>
        <v/>
      </c>
      <c r="LP37" s="17">
        <f>IF(AND(325&gt;=$B$11,325&lt;=$D$11),1,0)</f>
        <v/>
      </c>
      <c r="LQ37" s="17">
        <f>IF(AND(326&gt;=$B$11,326&lt;=$D$11),1,0)</f>
        <v/>
      </c>
      <c r="LR37" s="17">
        <f>IF(AND(327&gt;=$B$11,327&lt;=$D$11),1,0)</f>
        <v/>
      </c>
      <c r="LS37" s="17">
        <f>IF(AND(328&gt;=$B$11,328&lt;=$D$11),1,0)</f>
        <v/>
      </c>
      <c r="LT37" s="17">
        <f>IF(AND(329&gt;=$B$11,329&lt;=$D$11),1,0)</f>
        <v/>
      </c>
      <c r="LU37" s="17">
        <f>IF(AND(330&gt;=$B$11,330&lt;=$D$11),1,0)</f>
        <v/>
      </c>
      <c r="LV37" s="17">
        <f>IF(AND(331&gt;=$B$11,331&lt;=$D$11),1,0)</f>
        <v/>
      </c>
      <c r="LW37" s="17">
        <f>IF(AND(332&gt;=$B$11,332&lt;=$D$11),1,0)</f>
        <v/>
      </c>
      <c r="LX37" s="17">
        <f>IF(AND(333&gt;=$B$11,333&lt;=$D$11),1,0)</f>
        <v/>
      </c>
      <c r="LY37" s="17">
        <f>IF(AND(334&gt;=$B$11,334&lt;=$D$11),1,0)</f>
        <v/>
      </c>
      <c r="LZ37" s="17">
        <f>IF(AND(335&gt;=$B$11,335&lt;=$D$11),1,0)</f>
        <v/>
      </c>
      <c r="MA37" s="17">
        <f>IF(AND(336&gt;=$B$11,336&lt;=$D$11),1,0)</f>
        <v/>
      </c>
      <c r="MB37" s="17">
        <f>IF(AND(337&gt;=$B$11,337&lt;=$D$11),1,0)</f>
        <v/>
      </c>
      <c r="MC37" s="17">
        <f>IF(AND(338&gt;=$B$11,338&lt;=$D$11),1,0)</f>
        <v/>
      </c>
      <c r="MD37" s="17">
        <f>IF(AND(339&gt;=$B$11,339&lt;=$D$11),1,0)</f>
        <v/>
      </c>
      <c r="ME37" s="17">
        <f>IF(AND(340&gt;=$B$11,340&lt;=$D$11),1,0)</f>
        <v/>
      </c>
      <c r="MF37" s="17">
        <f>IF(AND(341&gt;=$B$11,341&lt;=$D$11),1,0)</f>
        <v/>
      </c>
      <c r="MG37" s="17">
        <f>IF(AND(342&gt;=$B$11,342&lt;=$D$11),1,0)</f>
        <v/>
      </c>
      <c r="MH37" s="17">
        <f>IF(AND(343&gt;=$B$11,343&lt;=$D$11),1,0)</f>
        <v/>
      </c>
      <c r="MI37" s="17">
        <f>IF(AND(344&gt;=$B$11,344&lt;=$D$11),1,0)</f>
        <v/>
      </c>
      <c r="MJ37" s="17">
        <f>IF(AND(345&gt;=$B$11,345&lt;=$D$11),1,0)</f>
        <v/>
      </c>
      <c r="MK37" s="17">
        <f>IF(AND(346&gt;=$B$11,346&lt;=$D$11),1,0)</f>
        <v/>
      </c>
      <c r="ML37" s="17">
        <f>IF(AND(347&gt;=$B$11,347&lt;=$D$11),1,0)</f>
        <v/>
      </c>
      <c r="MM37" s="17">
        <f>IF(AND(348&gt;=$B$11,348&lt;=$D$11),1,0)</f>
        <v/>
      </c>
      <c r="MN37" s="17">
        <f>IF(AND(349&gt;=$B$11,349&lt;=$D$11),1,0)</f>
        <v/>
      </c>
      <c r="MO37" s="17">
        <f>IF(AND(350&gt;=$B$11,350&lt;=$D$11),1,0)</f>
        <v/>
      </c>
      <c r="MP37" s="17">
        <f>IF(AND(351&gt;=$B$11,351&lt;=$D$11),1,0)</f>
        <v/>
      </c>
      <c r="MQ37" s="17">
        <f>IF(AND(352&gt;=$B$11,352&lt;=$D$11),1,0)</f>
        <v/>
      </c>
      <c r="MR37" s="17">
        <f>IF(AND(353&gt;=$B$11,353&lt;=$D$11),1,0)</f>
        <v/>
      </c>
      <c r="MS37" s="17">
        <f>IF(AND(354&gt;=$B$11,354&lt;=$D$11),1,0)</f>
        <v/>
      </c>
      <c r="MT37" s="17">
        <f>IF(AND(355&gt;=$B$11,355&lt;=$D$11),1,0)</f>
        <v/>
      </c>
      <c r="MU37" s="17">
        <f>IF(AND(356&gt;=$B$11,356&lt;=$D$11),1,0)</f>
        <v/>
      </c>
      <c r="MV37" s="17">
        <f>IF(AND(357&gt;=$B$11,357&lt;=$D$11),1,0)</f>
        <v/>
      </c>
      <c r="MW37" s="17">
        <f>IF(AND(358&gt;=$B$11,358&lt;=$D$11),1,0)</f>
        <v/>
      </c>
      <c r="MX37" s="17">
        <f>IF(AND(359&gt;=$B$11,359&lt;=$D$11),1,0)</f>
        <v/>
      </c>
      <c r="MY37" s="17">
        <f>IF(AND(360&gt;=$B$11,360&lt;=$D$11),1,0)</f>
        <v/>
      </c>
      <c r="MZ37" s="17">
        <f>IF(AND(361&gt;=$B$11,361&lt;=$D$11),1,0)</f>
        <v/>
      </c>
      <c r="NA37" s="17">
        <f>IF(AND(362&gt;=$B$11,362&lt;=$D$11),1,0)</f>
        <v/>
      </c>
      <c r="NB37" s="17">
        <f>IF(AND(363&gt;=$B$11,363&lt;=$D$11),1,0)</f>
        <v/>
      </c>
      <c r="NC37" s="17">
        <f>IF(AND(364&gt;=$B$11,364&lt;=$D$11),1,0)</f>
        <v/>
      </c>
      <c r="ND37" s="17">
        <f>IF(AND(365&gt;=$B$11,365&lt;=$D$11),1,0)</f>
        <v/>
      </c>
      <c r="NE37" s="17">
        <f>IF(AND(366&gt;=$B$11,366&lt;=$D$11),1,0)</f>
        <v/>
      </c>
      <c r="NF37" s="17">
        <f>IF(AND(367&gt;=$B$11,367&lt;=$D$11),1,0)</f>
        <v/>
      </c>
      <c r="NG37" s="17">
        <f>IF(AND(368&gt;=$B$11,368&lt;=$D$11),1,0)</f>
        <v/>
      </c>
      <c r="NH37" s="17">
        <f>IF(AND(369&gt;=$B$11,369&lt;=$D$11),1,0)</f>
        <v/>
      </c>
      <c r="NI37" s="17">
        <f>IF(AND(370&gt;=$B$11,370&lt;=$D$11),1,0)</f>
        <v/>
      </c>
      <c r="NJ37" s="17">
        <f>IF(AND(371&gt;=$B$11,371&lt;=$D$11),1,0)</f>
        <v/>
      </c>
      <c r="NK37" s="17">
        <f>IF(AND(372&gt;=$B$11,372&lt;=$D$11),1,0)</f>
        <v/>
      </c>
    </row>
    <row r="38">
      <c r="A38" s="5" t="inlineStr">
        <is>
          <t>Flag: Stabilization</t>
        </is>
      </c>
      <c r="C38" s="40" t="n"/>
      <c r="D38" s="17">
        <f>IF(AND(1&gt;=$B$12,1&lt;=$D$12),1,0)</f>
        <v/>
      </c>
      <c r="E38" s="17">
        <f>IF(AND(2&gt;=$B$12,2&lt;=$D$12),1,0)</f>
        <v/>
      </c>
      <c r="F38" s="17">
        <f>IF(AND(3&gt;=$B$12,3&lt;=$D$12),1,0)</f>
        <v/>
      </c>
      <c r="G38" s="17">
        <f>IF(AND(4&gt;=$B$12,4&lt;=$D$12),1,0)</f>
        <v/>
      </c>
      <c r="H38" s="17">
        <f>IF(AND(5&gt;=$B$12,5&lt;=$D$12),1,0)</f>
        <v/>
      </c>
      <c r="I38" s="17">
        <f>IF(AND(6&gt;=$B$12,6&lt;=$D$12),1,0)</f>
        <v/>
      </c>
      <c r="J38" s="17">
        <f>IF(AND(7&gt;=$B$12,7&lt;=$D$12),1,0)</f>
        <v/>
      </c>
      <c r="K38" s="17">
        <f>IF(AND(8&gt;=$B$12,8&lt;=$D$12),1,0)</f>
        <v/>
      </c>
      <c r="L38" s="17">
        <f>IF(AND(9&gt;=$B$12,9&lt;=$D$12),1,0)</f>
        <v/>
      </c>
      <c r="M38" s="17">
        <f>IF(AND(10&gt;=$B$12,10&lt;=$D$12),1,0)</f>
        <v/>
      </c>
      <c r="N38" s="17">
        <f>IF(AND(11&gt;=$B$12,11&lt;=$D$12),1,0)</f>
        <v/>
      </c>
      <c r="O38" s="17">
        <f>IF(AND(12&gt;=$B$12,12&lt;=$D$12),1,0)</f>
        <v/>
      </c>
      <c r="P38" s="17">
        <f>IF(AND(13&gt;=$B$12,13&lt;=$D$12),1,0)</f>
        <v/>
      </c>
      <c r="Q38" s="17">
        <f>IF(AND(14&gt;=$B$12,14&lt;=$D$12),1,0)</f>
        <v/>
      </c>
      <c r="R38" s="17">
        <f>IF(AND(15&gt;=$B$12,15&lt;=$D$12),1,0)</f>
        <v/>
      </c>
      <c r="S38" s="17">
        <f>IF(AND(16&gt;=$B$12,16&lt;=$D$12),1,0)</f>
        <v/>
      </c>
      <c r="T38" s="17">
        <f>IF(AND(17&gt;=$B$12,17&lt;=$D$12),1,0)</f>
        <v/>
      </c>
      <c r="U38" s="17">
        <f>IF(AND(18&gt;=$B$12,18&lt;=$D$12),1,0)</f>
        <v/>
      </c>
      <c r="V38" s="17">
        <f>IF(AND(19&gt;=$B$12,19&lt;=$D$12),1,0)</f>
        <v/>
      </c>
      <c r="W38" s="17">
        <f>IF(AND(20&gt;=$B$12,20&lt;=$D$12),1,0)</f>
        <v/>
      </c>
      <c r="X38" s="17">
        <f>IF(AND(21&gt;=$B$12,21&lt;=$D$12),1,0)</f>
        <v/>
      </c>
      <c r="Y38" s="17">
        <f>IF(AND(22&gt;=$B$12,22&lt;=$D$12),1,0)</f>
        <v/>
      </c>
      <c r="Z38" s="17">
        <f>IF(AND(23&gt;=$B$12,23&lt;=$D$12),1,0)</f>
        <v/>
      </c>
      <c r="AA38" s="17">
        <f>IF(AND(24&gt;=$B$12,24&lt;=$D$12),1,0)</f>
        <v/>
      </c>
      <c r="AB38" s="17">
        <f>IF(AND(25&gt;=$B$12,25&lt;=$D$12),1,0)</f>
        <v/>
      </c>
      <c r="AC38" s="17">
        <f>IF(AND(26&gt;=$B$12,26&lt;=$D$12),1,0)</f>
        <v/>
      </c>
      <c r="AD38" s="17">
        <f>IF(AND(27&gt;=$B$12,27&lt;=$D$12),1,0)</f>
        <v/>
      </c>
      <c r="AE38" s="17">
        <f>IF(AND(28&gt;=$B$12,28&lt;=$D$12),1,0)</f>
        <v/>
      </c>
      <c r="AF38" s="17">
        <f>IF(AND(29&gt;=$B$12,29&lt;=$D$12),1,0)</f>
        <v/>
      </c>
      <c r="AG38" s="17">
        <f>IF(AND(30&gt;=$B$12,30&lt;=$D$12),1,0)</f>
        <v/>
      </c>
      <c r="AH38" s="17">
        <f>IF(AND(31&gt;=$B$12,31&lt;=$D$12),1,0)</f>
        <v/>
      </c>
      <c r="AI38" s="17">
        <f>IF(AND(32&gt;=$B$12,32&lt;=$D$12),1,0)</f>
        <v/>
      </c>
      <c r="AJ38" s="17">
        <f>IF(AND(33&gt;=$B$12,33&lt;=$D$12),1,0)</f>
        <v/>
      </c>
      <c r="AK38" s="17">
        <f>IF(AND(34&gt;=$B$12,34&lt;=$D$12),1,0)</f>
        <v/>
      </c>
      <c r="AL38" s="17">
        <f>IF(AND(35&gt;=$B$12,35&lt;=$D$12),1,0)</f>
        <v/>
      </c>
      <c r="AM38" s="17">
        <f>IF(AND(36&gt;=$B$12,36&lt;=$D$12),1,0)</f>
        <v/>
      </c>
      <c r="AN38" s="17">
        <f>IF(AND(37&gt;=$B$12,37&lt;=$D$12),1,0)</f>
        <v/>
      </c>
      <c r="AO38" s="17">
        <f>IF(AND(38&gt;=$B$12,38&lt;=$D$12),1,0)</f>
        <v/>
      </c>
      <c r="AP38" s="17">
        <f>IF(AND(39&gt;=$B$12,39&lt;=$D$12),1,0)</f>
        <v/>
      </c>
      <c r="AQ38" s="17">
        <f>IF(AND(40&gt;=$B$12,40&lt;=$D$12),1,0)</f>
        <v/>
      </c>
      <c r="AR38" s="17">
        <f>IF(AND(41&gt;=$B$12,41&lt;=$D$12),1,0)</f>
        <v/>
      </c>
      <c r="AS38" s="17">
        <f>IF(AND(42&gt;=$B$12,42&lt;=$D$12),1,0)</f>
        <v/>
      </c>
      <c r="AT38" s="17">
        <f>IF(AND(43&gt;=$B$12,43&lt;=$D$12),1,0)</f>
        <v/>
      </c>
      <c r="AU38" s="17">
        <f>IF(AND(44&gt;=$B$12,44&lt;=$D$12),1,0)</f>
        <v/>
      </c>
      <c r="AV38" s="17">
        <f>IF(AND(45&gt;=$B$12,45&lt;=$D$12),1,0)</f>
        <v/>
      </c>
      <c r="AW38" s="17">
        <f>IF(AND(46&gt;=$B$12,46&lt;=$D$12),1,0)</f>
        <v/>
      </c>
      <c r="AX38" s="17">
        <f>IF(AND(47&gt;=$B$12,47&lt;=$D$12),1,0)</f>
        <v/>
      </c>
      <c r="AY38" s="17">
        <f>IF(AND(48&gt;=$B$12,48&lt;=$D$12),1,0)</f>
        <v/>
      </c>
      <c r="AZ38" s="17">
        <f>IF(AND(49&gt;=$B$12,49&lt;=$D$12),1,0)</f>
        <v/>
      </c>
      <c r="BA38" s="17">
        <f>IF(AND(50&gt;=$B$12,50&lt;=$D$12),1,0)</f>
        <v/>
      </c>
      <c r="BB38" s="17">
        <f>IF(AND(51&gt;=$B$12,51&lt;=$D$12),1,0)</f>
        <v/>
      </c>
      <c r="BC38" s="17">
        <f>IF(AND(52&gt;=$B$12,52&lt;=$D$12),1,0)</f>
        <v/>
      </c>
      <c r="BD38" s="17">
        <f>IF(AND(53&gt;=$B$12,53&lt;=$D$12),1,0)</f>
        <v/>
      </c>
      <c r="BE38" s="17">
        <f>IF(AND(54&gt;=$B$12,54&lt;=$D$12),1,0)</f>
        <v/>
      </c>
      <c r="BF38" s="17">
        <f>IF(AND(55&gt;=$B$12,55&lt;=$D$12),1,0)</f>
        <v/>
      </c>
      <c r="BG38" s="17">
        <f>IF(AND(56&gt;=$B$12,56&lt;=$D$12),1,0)</f>
        <v/>
      </c>
      <c r="BH38" s="17">
        <f>IF(AND(57&gt;=$B$12,57&lt;=$D$12),1,0)</f>
        <v/>
      </c>
      <c r="BI38" s="17">
        <f>IF(AND(58&gt;=$B$12,58&lt;=$D$12),1,0)</f>
        <v/>
      </c>
      <c r="BJ38" s="17">
        <f>IF(AND(59&gt;=$B$12,59&lt;=$D$12),1,0)</f>
        <v/>
      </c>
      <c r="BK38" s="17">
        <f>IF(AND(60&gt;=$B$12,60&lt;=$D$12),1,0)</f>
        <v/>
      </c>
      <c r="BL38" s="17">
        <f>IF(AND(61&gt;=$B$12,61&lt;=$D$12),1,0)</f>
        <v/>
      </c>
      <c r="BM38" s="17">
        <f>IF(AND(62&gt;=$B$12,62&lt;=$D$12),1,0)</f>
        <v/>
      </c>
      <c r="BN38" s="17">
        <f>IF(AND(63&gt;=$B$12,63&lt;=$D$12),1,0)</f>
        <v/>
      </c>
      <c r="BO38" s="17">
        <f>IF(AND(64&gt;=$B$12,64&lt;=$D$12),1,0)</f>
        <v/>
      </c>
      <c r="BP38" s="17">
        <f>IF(AND(65&gt;=$B$12,65&lt;=$D$12),1,0)</f>
        <v/>
      </c>
      <c r="BQ38" s="17">
        <f>IF(AND(66&gt;=$B$12,66&lt;=$D$12),1,0)</f>
        <v/>
      </c>
      <c r="BR38" s="17">
        <f>IF(AND(67&gt;=$B$12,67&lt;=$D$12),1,0)</f>
        <v/>
      </c>
      <c r="BS38" s="17">
        <f>IF(AND(68&gt;=$B$12,68&lt;=$D$12),1,0)</f>
        <v/>
      </c>
      <c r="BT38" s="17">
        <f>IF(AND(69&gt;=$B$12,69&lt;=$D$12),1,0)</f>
        <v/>
      </c>
      <c r="BU38" s="17">
        <f>IF(AND(70&gt;=$B$12,70&lt;=$D$12),1,0)</f>
        <v/>
      </c>
      <c r="BV38" s="17">
        <f>IF(AND(71&gt;=$B$12,71&lt;=$D$12),1,0)</f>
        <v/>
      </c>
      <c r="BW38" s="17">
        <f>IF(AND(72&gt;=$B$12,72&lt;=$D$12),1,0)</f>
        <v/>
      </c>
      <c r="BX38" s="17">
        <f>IF(AND(73&gt;=$B$12,73&lt;=$D$12),1,0)</f>
        <v/>
      </c>
      <c r="BY38" s="17">
        <f>IF(AND(74&gt;=$B$12,74&lt;=$D$12),1,0)</f>
        <v/>
      </c>
      <c r="BZ38" s="17">
        <f>IF(AND(75&gt;=$B$12,75&lt;=$D$12),1,0)</f>
        <v/>
      </c>
      <c r="CA38" s="17">
        <f>IF(AND(76&gt;=$B$12,76&lt;=$D$12),1,0)</f>
        <v/>
      </c>
      <c r="CB38" s="17">
        <f>IF(AND(77&gt;=$B$12,77&lt;=$D$12),1,0)</f>
        <v/>
      </c>
      <c r="CC38" s="17">
        <f>IF(AND(78&gt;=$B$12,78&lt;=$D$12),1,0)</f>
        <v/>
      </c>
      <c r="CD38" s="17">
        <f>IF(AND(79&gt;=$B$12,79&lt;=$D$12),1,0)</f>
        <v/>
      </c>
      <c r="CE38" s="17">
        <f>IF(AND(80&gt;=$B$12,80&lt;=$D$12),1,0)</f>
        <v/>
      </c>
      <c r="CF38" s="17">
        <f>IF(AND(81&gt;=$B$12,81&lt;=$D$12),1,0)</f>
        <v/>
      </c>
      <c r="CG38" s="17">
        <f>IF(AND(82&gt;=$B$12,82&lt;=$D$12),1,0)</f>
        <v/>
      </c>
      <c r="CH38" s="17">
        <f>IF(AND(83&gt;=$B$12,83&lt;=$D$12),1,0)</f>
        <v/>
      </c>
      <c r="CI38" s="17">
        <f>IF(AND(84&gt;=$B$12,84&lt;=$D$12),1,0)</f>
        <v/>
      </c>
      <c r="CJ38" s="17">
        <f>IF(AND(85&gt;=$B$12,85&lt;=$D$12),1,0)</f>
        <v/>
      </c>
      <c r="CK38" s="17">
        <f>IF(AND(86&gt;=$B$12,86&lt;=$D$12),1,0)</f>
        <v/>
      </c>
      <c r="CL38" s="17">
        <f>IF(AND(87&gt;=$B$12,87&lt;=$D$12),1,0)</f>
        <v/>
      </c>
      <c r="CM38" s="17">
        <f>IF(AND(88&gt;=$B$12,88&lt;=$D$12),1,0)</f>
        <v/>
      </c>
      <c r="CN38" s="17">
        <f>IF(AND(89&gt;=$B$12,89&lt;=$D$12),1,0)</f>
        <v/>
      </c>
      <c r="CO38" s="17">
        <f>IF(AND(90&gt;=$B$12,90&lt;=$D$12),1,0)</f>
        <v/>
      </c>
      <c r="CP38" s="17">
        <f>IF(AND(91&gt;=$B$12,91&lt;=$D$12),1,0)</f>
        <v/>
      </c>
      <c r="CQ38" s="17">
        <f>IF(AND(92&gt;=$B$12,92&lt;=$D$12),1,0)</f>
        <v/>
      </c>
      <c r="CR38" s="17">
        <f>IF(AND(93&gt;=$B$12,93&lt;=$D$12),1,0)</f>
        <v/>
      </c>
      <c r="CS38" s="17">
        <f>IF(AND(94&gt;=$B$12,94&lt;=$D$12),1,0)</f>
        <v/>
      </c>
      <c r="CT38" s="17">
        <f>IF(AND(95&gt;=$B$12,95&lt;=$D$12),1,0)</f>
        <v/>
      </c>
      <c r="CU38" s="17">
        <f>IF(AND(96&gt;=$B$12,96&lt;=$D$12),1,0)</f>
        <v/>
      </c>
      <c r="CV38" s="17">
        <f>IF(AND(97&gt;=$B$12,97&lt;=$D$12),1,0)</f>
        <v/>
      </c>
      <c r="CW38" s="17">
        <f>IF(AND(98&gt;=$B$12,98&lt;=$D$12),1,0)</f>
        <v/>
      </c>
      <c r="CX38" s="17">
        <f>IF(AND(99&gt;=$B$12,99&lt;=$D$12),1,0)</f>
        <v/>
      </c>
      <c r="CY38" s="17">
        <f>IF(AND(100&gt;=$B$12,100&lt;=$D$12),1,0)</f>
        <v/>
      </c>
      <c r="CZ38" s="17">
        <f>IF(AND(101&gt;=$B$12,101&lt;=$D$12),1,0)</f>
        <v/>
      </c>
      <c r="DA38" s="17">
        <f>IF(AND(102&gt;=$B$12,102&lt;=$D$12),1,0)</f>
        <v/>
      </c>
      <c r="DB38" s="17">
        <f>IF(AND(103&gt;=$B$12,103&lt;=$D$12),1,0)</f>
        <v/>
      </c>
      <c r="DC38" s="17">
        <f>IF(AND(104&gt;=$B$12,104&lt;=$D$12),1,0)</f>
        <v/>
      </c>
      <c r="DD38" s="17">
        <f>IF(AND(105&gt;=$B$12,105&lt;=$D$12),1,0)</f>
        <v/>
      </c>
      <c r="DE38" s="17">
        <f>IF(AND(106&gt;=$B$12,106&lt;=$D$12),1,0)</f>
        <v/>
      </c>
      <c r="DF38" s="17">
        <f>IF(AND(107&gt;=$B$12,107&lt;=$D$12),1,0)</f>
        <v/>
      </c>
      <c r="DG38" s="17">
        <f>IF(AND(108&gt;=$B$12,108&lt;=$D$12),1,0)</f>
        <v/>
      </c>
      <c r="DH38" s="17">
        <f>IF(AND(109&gt;=$B$12,109&lt;=$D$12),1,0)</f>
        <v/>
      </c>
      <c r="DI38" s="17">
        <f>IF(AND(110&gt;=$B$12,110&lt;=$D$12),1,0)</f>
        <v/>
      </c>
      <c r="DJ38" s="17">
        <f>IF(AND(111&gt;=$B$12,111&lt;=$D$12),1,0)</f>
        <v/>
      </c>
      <c r="DK38" s="17">
        <f>IF(AND(112&gt;=$B$12,112&lt;=$D$12),1,0)</f>
        <v/>
      </c>
      <c r="DL38" s="17">
        <f>IF(AND(113&gt;=$B$12,113&lt;=$D$12),1,0)</f>
        <v/>
      </c>
      <c r="DM38" s="17">
        <f>IF(AND(114&gt;=$B$12,114&lt;=$D$12),1,0)</f>
        <v/>
      </c>
      <c r="DN38" s="17">
        <f>IF(AND(115&gt;=$B$12,115&lt;=$D$12),1,0)</f>
        <v/>
      </c>
      <c r="DO38" s="17">
        <f>IF(AND(116&gt;=$B$12,116&lt;=$D$12),1,0)</f>
        <v/>
      </c>
      <c r="DP38" s="17">
        <f>IF(AND(117&gt;=$B$12,117&lt;=$D$12),1,0)</f>
        <v/>
      </c>
      <c r="DQ38" s="17">
        <f>IF(AND(118&gt;=$B$12,118&lt;=$D$12),1,0)</f>
        <v/>
      </c>
      <c r="DR38" s="17">
        <f>IF(AND(119&gt;=$B$12,119&lt;=$D$12),1,0)</f>
        <v/>
      </c>
      <c r="DS38" s="17">
        <f>IF(AND(120&gt;=$B$12,120&lt;=$D$12),1,0)</f>
        <v/>
      </c>
      <c r="DT38" s="17">
        <f>IF(AND(121&gt;=$B$12,121&lt;=$D$12),1,0)</f>
        <v/>
      </c>
      <c r="DU38" s="17">
        <f>IF(AND(122&gt;=$B$12,122&lt;=$D$12),1,0)</f>
        <v/>
      </c>
      <c r="DV38" s="17">
        <f>IF(AND(123&gt;=$B$12,123&lt;=$D$12),1,0)</f>
        <v/>
      </c>
      <c r="DW38" s="17">
        <f>IF(AND(124&gt;=$B$12,124&lt;=$D$12),1,0)</f>
        <v/>
      </c>
      <c r="DX38" s="17">
        <f>IF(AND(125&gt;=$B$12,125&lt;=$D$12),1,0)</f>
        <v/>
      </c>
      <c r="DY38" s="17">
        <f>IF(AND(126&gt;=$B$12,126&lt;=$D$12),1,0)</f>
        <v/>
      </c>
      <c r="DZ38" s="17">
        <f>IF(AND(127&gt;=$B$12,127&lt;=$D$12),1,0)</f>
        <v/>
      </c>
      <c r="EA38" s="17">
        <f>IF(AND(128&gt;=$B$12,128&lt;=$D$12),1,0)</f>
        <v/>
      </c>
      <c r="EB38" s="17">
        <f>IF(AND(129&gt;=$B$12,129&lt;=$D$12),1,0)</f>
        <v/>
      </c>
      <c r="EC38" s="17">
        <f>IF(AND(130&gt;=$B$12,130&lt;=$D$12),1,0)</f>
        <v/>
      </c>
      <c r="ED38" s="17">
        <f>IF(AND(131&gt;=$B$12,131&lt;=$D$12),1,0)</f>
        <v/>
      </c>
      <c r="EE38" s="17">
        <f>IF(AND(132&gt;=$B$12,132&lt;=$D$12),1,0)</f>
        <v/>
      </c>
      <c r="EF38" s="17">
        <f>IF(AND(133&gt;=$B$12,133&lt;=$D$12),1,0)</f>
        <v/>
      </c>
      <c r="EG38" s="17">
        <f>IF(AND(134&gt;=$B$12,134&lt;=$D$12),1,0)</f>
        <v/>
      </c>
      <c r="EH38" s="17">
        <f>IF(AND(135&gt;=$B$12,135&lt;=$D$12),1,0)</f>
        <v/>
      </c>
      <c r="EI38" s="17">
        <f>IF(AND(136&gt;=$B$12,136&lt;=$D$12),1,0)</f>
        <v/>
      </c>
      <c r="EJ38" s="17">
        <f>IF(AND(137&gt;=$B$12,137&lt;=$D$12),1,0)</f>
        <v/>
      </c>
      <c r="EK38" s="17">
        <f>IF(AND(138&gt;=$B$12,138&lt;=$D$12),1,0)</f>
        <v/>
      </c>
      <c r="EL38" s="17">
        <f>IF(AND(139&gt;=$B$12,139&lt;=$D$12),1,0)</f>
        <v/>
      </c>
      <c r="EM38" s="17">
        <f>IF(AND(140&gt;=$B$12,140&lt;=$D$12),1,0)</f>
        <v/>
      </c>
      <c r="EN38" s="17">
        <f>IF(AND(141&gt;=$B$12,141&lt;=$D$12),1,0)</f>
        <v/>
      </c>
      <c r="EO38" s="17">
        <f>IF(AND(142&gt;=$B$12,142&lt;=$D$12),1,0)</f>
        <v/>
      </c>
      <c r="EP38" s="17">
        <f>IF(AND(143&gt;=$B$12,143&lt;=$D$12),1,0)</f>
        <v/>
      </c>
      <c r="EQ38" s="17">
        <f>IF(AND(144&gt;=$B$12,144&lt;=$D$12),1,0)</f>
        <v/>
      </c>
      <c r="ER38" s="17">
        <f>IF(AND(145&gt;=$B$12,145&lt;=$D$12),1,0)</f>
        <v/>
      </c>
      <c r="ES38" s="17">
        <f>IF(AND(146&gt;=$B$12,146&lt;=$D$12),1,0)</f>
        <v/>
      </c>
      <c r="ET38" s="17">
        <f>IF(AND(147&gt;=$B$12,147&lt;=$D$12),1,0)</f>
        <v/>
      </c>
      <c r="EU38" s="17">
        <f>IF(AND(148&gt;=$B$12,148&lt;=$D$12),1,0)</f>
        <v/>
      </c>
      <c r="EV38" s="17">
        <f>IF(AND(149&gt;=$B$12,149&lt;=$D$12),1,0)</f>
        <v/>
      </c>
      <c r="EW38" s="17">
        <f>IF(AND(150&gt;=$B$12,150&lt;=$D$12),1,0)</f>
        <v/>
      </c>
      <c r="EX38" s="17">
        <f>IF(AND(151&gt;=$B$12,151&lt;=$D$12),1,0)</f>
        <v/>
      </c>
      <c r="EY38" s="17">
        <f>IF(AND(152&gt;=$B$12,152&lt;=$D$12),1,0)</f>
        <v/>
      </c>
      <c r="EZ38" s="17">
        <f>IF(AND(153&gt;=$B$12,153&lt;=$D$12),1,0)</f>
        <v/>
      </c>
      <c r="FA38" s="17">
        <f>IF(AND(154&gt;=$B$12,154&lt;=$D$12),1,0)</f>
        <v/>
      </c>
      <c r="FB38" s="17">
        <f>IF(AND(155&gt;=$B$12,155&lt;=$D$12),1,0)</f>
        <v/>
      </c>
      <c r="FC38" s="17">
        <f>IF(AND(156&gt;=$B$12,156&lt;=$D$12),1,0)</f>
        <v/>
      </c>
      <c r="FD38" s="17">
        <f>IF(AND(157&gt;=$B$12,157&lt;=$D$12),1,0)</f>
        <v/>
      </c>
      <c r="FE38" s="17">
        <f>IF(AND(158&gt;=$B$12,158&lt;=$D$12),1,0)</f>
        <v/>
      </c>
      <c r="FF38" s="17">
        <f>IF(AND(159&gt;=$B$12,159&lt;=$D$12),1,0)</f>
        <v/>
      </c>
      <c r="FG38" s="17">
        <f>IF(AND(160&gt;=$B$12,160&lt;=$D$12),1,0)</f>
        <v/>
      </c>
      <c r="FH38" s="17">
        <f>IF(AND(161&gt;=$B$12,161&lt;=$D$12),1,0)</f>
        <v/>
      </c>
      <c r="FI38" s="17">
        <f>IF(AND(162&gt;=$B$12,162&lt;=$D$12),1,0)</f>
        <v/>
      </c>
      <c r="FJ38" s="17">
        <f>IF(AND(163&gt;=$B$12,163&lt;=$D$12),1,0)</f>
        <v/>
      </c>
      <c r="FK38" s="17">
        <f>IF(AND(164&gt;=$B$12,164&lt;=$D$12),1,0)</f>
        <v/>
      </c>
      <c r="FL38" s="17">
        <f>IF(AND(165&gt;=$B$12,165&lt;=$D$12),1,0)</f>
        <v/>
      </c>
      <c r="FM38" s="17">
        <f>IF(AND(166&gt;=$B$12,166&lt;=$D$12),1,0)</f>
        <v/>
      </c>
      <c r="FN38" s="17">
        <f>IF(AND(167&gt;=$B$12,167&lt;=$D$12),1,0)</f>
        <v/>
      </c>
      <c r="FO38" s="17">
        <f>IF(AND(168&gt;=$B$12,168&lt;=$D$12),1,0)</f>
        <v/>
      </c>
      <c r="FP38" s="17">
        <f>IF(AND(169&gt;=$B$12,169&lt;=$D$12),1,0)</f>
        <v/>
      </c>
      <c r="FQ38" s="17">
        <f>IF(AND(170&gt;=$B$12,170&lt;=$D$12),1,0)</f>
        <v/>
      </c>
      <c r="FR38" s="17">
        <f>IF(AND(171&gt;=$B$12,171&lt;=$D$12),1,0)</f>
        <v/>
      </c>
      <c r="FS38" s="17">
        <f>IF(AND(172&gt;=$B$12,172&lt;=$D$12),1,0)</f>
        <v/>
      </c>
      <c r="FT38" s="17">
        <f>IF(AND(173&gt;=$B$12,173&lt;=$D$12),1,0)</f>
        <v/>
      </c>
      <c r="FU38" s="17">
        <f>IF(AND(174&gt;=$B$12,174&lt;=$D$12),1,0)</f>
        <v/>
      </c>
      <c r="FV38" s="17">
        <f>IF(AND(175&gt;=$B$12,175&lt;=$D$12),1,0)</f>
        <v/>
      </c>
      <c r="FW38" s="17">
        <f>IF(AND(176&gt;=$B$12,176&lt;=$D$12),1,0)</f>
        <v/>
      </c>
      <c r="FX38" s="17">
        <f>IF(AND(177&gt;=$B$12,177&lt;=$D$12),1,0)</f>
        <v/>
      </c>
      <c r="FY38" s="17">
        <f>IF(AND(178&gt;=$B$12,178&lt;=$D$12),1,0)</f>
        <v/>
      </c>
      <c r="FZ38" s="17">
        <f>IF(AND(179&gt;=$B$12,179&lt;=$D$12),1,0)</f>
        <v/>
      </c>
      <c r="GA38" s="17">
        <f>IF(AND(180&gt;=$B$12,180&lt;=$D$12),1,0)</f>
        <v/>
      </c>
      <c r="GB38" s="17">
        <f>IF(AND(181&gt;=$B$12,181&lt;=$D$12),1,0)</f>
        <v/>
      </c>
      <c r="GC38" s="17">
        <f>IF(AND(182&gt;=$B$12,182&lt;=$D$12),1,0)</f>
        <v/>
      </c>
      <c r="GD38" s="17">
        <f>IF(AND(183&gt;=$B$12,183&lt;=$D$12),1,0)</f>
        <v/>
      </c>
      <c r="GE38" s="17">
        <f>IF(AND(184&gt;=$B$12,184&lt;=$D$12),1,0)</f>
        <v/>
      </c>
      <c r="GF38" s="17">
        <f>IF(AND(185&gt;=$B$12,185&lt;=$D$12),1,0)</f>
        <v/>
      </c>
      <c r="GG38" s="17">
        <f>IF(AND(186&gt;=$B$12,186&lt;=$D$12),1,0)</f>
        <v/>
      </c>
      <c r="GH38" s="17">
        <f>IF(AND(187&gt;=$B$12,187&lt;=$D$12),1,0)</f>
        <v/>
      </c>
      <c r="GI38" s="17">
        <f>IF(AND(188&gt;=$B$12,188&lt;=$D$12),1,0)</f>
        <v/>
      </c>
      <c r="GJ38" s="17">
        <f>IF(AND(189&gt;=$B$12,189&lt;=$D$12),1,0)</f>
        <v/>
      </c>
      <c r="GK38" s="17">
        <f>IF(AND(190&gt;=$B$12,190&lt;=$D$12),1,0)</f>
        <v/>
      </c>
      <c r="GL38" s="17">
        <f>IF(AND(191&gt;=$B$12,191&lt;=$D$12),1,0)</f>
        <v/>
      </c>
      <c r="GM38" s="17">
        <f>IF(AND(192&gt;=$B$12,192&lt;=$D$12),1,0)</f>
        <v/>
      </c>
      <c r="GN38" s="17">
        <f>IF(AND(193&gt;=$B$12,193&lt;=$D$12),1,0)</f>
        <v/>
      </c>
      <c r="GO38" s="17">
        <f>IF(AND(194&gt;=$B$12,194&lt;=$D$12),1,0)</f>
        <v/>
      </c>
      <c r="GP38" s="17">
        <f>IF(AND(195&gt;=$B$12,195&lt;=$D$12),1,0)</f>
        <v/>
      </c>
      <c r="GQ38" s="17">
        <f>IF(AND(196&gt;=$B$12,196&lt;=$D$12),1,0)</f>
        <v/>
      </c>
      <c r="GR38" s="17">
        <f>IF(AND(197&gt;=$B$12,197&lt;=$D$12),1,0)</f>
        <v/>
      </c>
      <c r="GS38" s="17">
        <f>IF(AND(198&gt;=$B$12,198&lt;=$D$12),1,0)</f>
        <v/>
      </c>
      <c r="GT38" s="17">
        <f>IF(AND(199&gt;=$B$12,199&lt;=$D$12),1,0)</f>
        <v/>
      </c>
      <c r="GU38" s="17">
        <f>IF(AND(200&gt;=$B$12,200&lt;=$D$12),1,0)</f>
        <v/>
      </c>
      <c r="GV38" s="17">
        <f>IF(AND(201&gt;=$B$12,201&lt;=$D$12),1,0)</f>
        <v/>
      </c>
      <c r="GW38" s="17">
        <f>IF(AND(202&gt;=$B$12,202&lt;=$D$12),1,0)</f>
        <v/>
      </c>
      <c r="GX38" s="17">
        <f>IF(AND(203&gt;=$B$12,203&lt;=$D$12),1,0)</f>
        <v/>
      </c>
      <c r="GY38" s="17">
        <f>IF(AND(204&gt;=$B$12,204&lt;=$D$12),1,0)</f>
        <v/>
      </c>
      <c r="GZ38" s="17">
        <f>IF(AND(205&gt;=$B$12,205&lt;=$D$12),1,0)</f>
        <v/>
      </c>
      <c r="HA38" s="17">
        <f>IF(AND(206&gt;=$B$12,206&lt;=$D$12),1,0)</f>
        <v/>
      </c>
      <c r="HB38" s="17">
        <f>IF(AND(207&gt;=$B$12,207&lt;=$D$12),1,0)</f>
        <v/>
      </c>
      <c r="HC38" s="17">
        <f>IF(AND(208&gt;=$B$12,208&lt;=$D$12),1,0)</f>
        <v/>
      </c>
      <c r="HD38" s="17">
        <f>IF(AND(209&gt;=$B$12,209&lt;=$D$12),1,0)</f>
        <v/>
      </c>
      <c r="HE38" s="17">
        <f>IF(AND(210&gt;=$B$12,210&lt;=$D$12),1,0)</f>
        <v/>
      </c>
      <c r="HF38" s="17">
        <f>IF(AND(211&gt;=$B$12,211&lt;=$D$12),1,0)</f>
        <v/>
      </c>
      <c r="HG38" s="17">
        <f>IF(AND(212&gt;=$B$12,212&lt;=$D$12),1,0)</f>
        <v/>
      </c>
      <c r="HH38" s="17">
        <f>IF(AND(213&gt;=$B$12,213&lt;=$D$12),1,0)</f>
        <v/>
      </c>
      <c r="HI38" s="17">
        <f>IF(AND(214&gt;=$B$12,214&lt;=$D$12),1,0)</f>
        <v/>
      </c>
      <c r="HJ38" s="17">
        <f>IF(AND(215&gt;=$B$12,215&lt;=$D$12),1,0)</f>
        <v/>
      </c>
      <c r="HK38" s="17">
        <f>IF(AND(216&gt;=$B$12,216&lt;=$D$12),1,0)</f>
        <v/>
      </c>
      <c r="HL38" s="17">
        <f>IF(AND(217&gt;=$B$12,217&lt;=$D$12),1,0)</f>
        <v/>
      </c>
      <c r="HM38" s="17">
        <f>IF(AND(218&gt;=$B$12,218&lt;=$D$12),1,0)</f>
        <v/>
      </c>
      <c r="HN38" s="17">
        <f>IF(AND(219&gt;=$B$12,219&lt;=$D$12),1,0)</f>
        <v/>
      </c>
      <c r="HO38" s="17">
        <f>IF(AND(220&gt;=$B$12,220&lt;=$D$12),1,0)</f>
        <v/>
      </c>
      <c r="HP38" s="17">
        <f>IF(AND(221&gt;=$B$12,221&lt;=$D$12),1,0)</f>
        <v/>
      </c>
      <c r="HQ38" s="17">
        <f>IF(AND(222&gt;=$B$12,222&lt;=$D$12),1,0)</f>
        <v/>
      </c>
      <c r="HR38" s="17">
        <f>IF(AND(223&gt;=$B$12,223&lt;=$D$12),1,0)</f>
        <v/>
      </c>
      <c r="HS38" s="17">
        <f>IF(AND(224&gt;=$B$12,224&lt;=$D$12),1,0)</f>
        <v/>
      </c>
      <c r="HT38" s="17">
        <f>IF(AND(225&gt;=$B$12,225&lt;=$D$12),1,0)</f>
        <v/>
      </c>
      <c r="HU38" s="17">
        <f>IF(AND(226&gt;=$B$12,226&lt;=$D$12),1,0)</f>
        <v/>
      </c>
      <c r="HV38" s="17">
        <f>IF(AND(227&gt;=$B$12,227&lt;=$D$12),1,0)</f>
        <v/>
      </c>
      <c r="HW38" s="17">
        <f>IF(AND(228&gt;=$B$12,228&lt;=$D$12),1,0)</f>
        <v/>
      </c>
      <c r="HX38" s="17">
        <f>IF(AND(229&gt;=$B$12,229&lt;=$D$12),1,0)</f>
        <v/>
      </c>
      <c r="HY38" s="17">
        <f>IF(AND(230&gt;=$B$12,230&lt;=$D$12),1,0)</f>
        <v/>
      </c>
      <c r="HZ38" s="17">
        <f>IF(AND(231&gt;=$B$12,231&lt;=$D$12),1,0)</f>
        <v/>
      </c>
      <c r="IA38" s="17">
        <f>IF(AND(232&gt;=$B$12,232&lt;=$D$12),1,0)</f>
        <v/>
      </c>
      <c r="IB38" s="17">
        <f>IF(AND(233&gt;=$B$12,233&lt;=$D$12),1,0)</f>
        <v/>
      </c>
      <c r="IC38" s="17">
        <f>IF(AND(234&gt;=$B$12,234&lt;=$D$12),1,0)</f>
        <v/>
      </c>
      <c r="ID38" s="17">
        <f>IF(AND(235&gt;=$B$12,235&lt;=$D$12),1,0)</f>
        <v/>
      </c>
      <c r="IE38" s="17">
        <f>IF(AND(236&gt;=$B$12,236&lt;=$D$12),1,0)</f>
        <v/>
      </c>
      <c r="IF38" s="17">
        <f>IF(AND(237&gt;=$B$12,237&lt;=$D$12),1,0)</f>
        <v/>
      </c>
      <c r="IG38" s="17">
        <f>IF(AND(238&gt;=$B$12,238&lt;=$D$12),1,0)</f>
        <v/>
      </c>
      <c r="IH38" s="17">
        <f>IF(AND(239&gt;=$B$12,239&lt;=$D$12),1,0)</f>
        <v/>
      </c>
      <c r="II38" s="17">
        <f>IF(AND(240&gt;=$B$12,240&lt;=$D$12),1,0)</f>
        <v/>
      </c>
      <c r="IJ38" s="17">
        <f>IF(AND(241&gt;=$B$12,241&lt;=$D$12),1,0)</f>
        <v/>
      </c>
      <c r="IK38" s="17">
        <f>IF(AND(242&gt;=$B$12,242&lt;=$D$12),1,0)</f>
        <v/>
      </c>
      <c r="IL38" s="17">
        <f>IF(AND(243&gt;=$B$12,243&lt;=$D$12),1,0)</f>
        <v/>
      </c>
      <c r="IM38" s="17">
        <f>IF(AND(244&gt;=$B$12,244&lt;=$D$12),1,0)</f>
        <v/>
      </c>
      <c r="IN38" s="17">
        <f>IF(AND(245&gt;=$B$12,245&lt;=$D$12),1,0)</f>
        <v/>
      </c>
      <c r="IO38" s="17">
        <f>IF(AND(246&gt;=$B$12,246&lt;=$D$12),1,0)</f>
        <v/>
      </c>
      <c r="IP38" s="17">
        <f>IF(AND(247&gt;=$B$12,247&lt;=$D$12),1,0)</f>
        <v/>
      </c>
      <c r="IQ38" s="17">
        <f>IF(AND(248&gt;=$B$12,248&lt;=$D$12),1,0)</f>
        <v/>
      </c>
      <c r="IR38" s="17">
        <f>IF(AND(249&gt;=$B$12,249&lt;=$D$12),1,0)</f>
        <v/>
      </c>
      <c r="IS38" s="17">
        <f>IF(AND(250&gt;=$B$12,250&lt;=$D$12),1,0)</f>
        <v/>
      </c>
      <c r="IT38" s="17">
        <f>IF(AND(251&gt;=$B$12,251&lt;=$D$12),1,0)</f>
        <v/>
      </c>
      <c r="IU38" s="17">
        <f>IF(AND(252&gt;=$B$12,252&lt;=$D$12),1,0)</f>
        <v/>
      </c>
      <c r="IV38" s="17">
        <f>IF(AND(253&gt;=$B$12,253&lt;=$D$12),1,0)</f>
        <v/>
      </c>
      <c r="IW38" s="17">
        <f>IF(AND(254&gt;=$B$12,254&lt;=$D$12),1,0)</f>
        <v/>
      </c>
      <c r="IX38" s="17">
        <f>IF(AND(255&gt;=$B$12,255&lt;=$D$12),1,0)</f>
        <v/>
      </c>
      <c r="IY38" s="17">
        <f>IF(AND(256&gt;=$B$12,256&lt;=$D$12),1,0)</f>
        <v/>
      </c>
      <c r="IZ38" s="17">
        <f>IF(AND(257&gt;=$B$12,257&lt;=$D$12),1,0)</f>
        <v/>
      </c>
      <c r="JA38" s="17">
        <f>IF(AND(258&gt;=$B$12,258&lt;=$D$12),1,0)</f>
        <v/>
      </c>
      <c r="JB38" s="17">
        <f>IF(AND(259&gt;=$B$12,259&lt;=$D$12),1,0)</f>
        <v/>
      </c>
      <c r="JC38" s="17">
        <f>IF(AND(260&gt;=$B$12,260&lt;=$D$12),1,0)</f>
        <v/>
      </c>
      <c r="JD38" s="17">
        <f>IF(AND(261&gt;=$B$12,261&lt;=$D$12),1,0)</f>
        <v/>
      </c>
      <c r="JE38" s="17">
        <f>IF(AND(262&gt;=$B$12,262&lt;=$D$12),1,0)</f>
        <v/>
      </c>
      <c r="JF38" s="17">
        <f>IF(AND(263&gt;=$B$12,263&lt;=$D$12),1,0)</f>
        <v/>
      </c>
      <c r="JG38" s="17">
        <f>IF(AND(264&gt;=$B$12,264&lt;=$D$12),1,0)</f>
        <v/>
      </c>
      <c r="JH38" s="17">
        <f>IF(AND(265&gt;=$B$12,265&lt;=$D$12),1,0)</f>
        <v/>
      </c>
      <c r="JI38" s="17">
        <f>IF(AND(266&gt;=$B$12,266&lt;=$D$12),1,0)</f>
        <v/>
      </c>
      <c r="JJ38" s="17">
        <f>IF(AND(267&gt;=$B$12,267&lt;=$D$12),1,0)</f>
        <v/>
      </c>
      <c r="JK38" s="17">
        <f>IF(AND(268&gt;=$B$12,268&lt;=$D$12),1,0)</f>
        <v/>
      </c>
      <c r="JL38" s="17">
        <f>IF(AND(269&gt;=$B$12,269&lt;=$D$12),1,0)</f>
        <v/>
      </c>
      <c r="JM38" s="17">
        <f>IF(AND(270&gt;=$B$12,270&lt;=$D$12),1,0)</f>
        <v/>
      </c>
      <c r="JN38" s="17">
        <f>IF(AND(271&gt;=$B$12,271&lt;=$D$12),1,0)</f>
        <v/>
      </c>
      <c r="JO38" s="17">
        <f>IF(AND(272&gt;=$B$12,272&lt;=$D$12),1,0)</f>
        <v/>
      </c>
      <c r="JP38" s="17">
        <f>IF(AND(273&gt;=$B$12,273&lt;=$D$12),1,0)</f>
        <v/>
      </c>
      <c r="JQ38" s="17">
        <f>IF(AND(274&gt;=$B$12,274&lt;=$D$12),1,0)</f>
        <v/>
      </c>
      <c r="JR38" s="17">
        <f>IF(AND(275&gt;=$B$12,275&lt;=$D$12),1,0)</f>
        <v/>
      </c>
      <c r="JS38" s="17">
        <f>IF(AND(276&gt;=$B$12,276&lt;=$D$12),1,0)</f>
        <v/>
      </c>
      <c r="JT38" s="17">
        <f>IF(AND(277&gt;=$B$12,277&lt;=$D$12),1,0)</f>
        <v/>
      </c>
      <c r="JU38" s="17">
        <f>IF(AND(278&gt;=$B$12,278&lt;=$D$12),1,0)</f>
        <v/>
      </c>
      <c r="JV38" s="17">
        <f>IF(AND(279&gt;=$B$12,279&lt;=$D$12),1,0)</f>
        <v/>
      </c>
      <c r="JW38" s="17">
        <f>IF(AND(280&gt;=$B$12,280&lt;=$D$12),1,0)</f>
        <v/>
      </c>
      <c r="JX38" s="17">
        <f>IF(AND(281&gt;=$B$12,281&lt;=$D$12),1,0)</f>
        <v/>
      </c>
      <c r="JY38" s="17">
        <f>IF(AND(282&gt;=$B$12,282&lt;=$D$12),1,0)</f>
        <v/>
      </c>
      <c r="JZ38" s="17">
        <f>IF(AND(283&gt;=$B$12,283&lt;=$D$12),1,0)</f>
        <v/>
      </c>
      <c r="KA38" s="17">
        <f>IF(AND(284&gt;=$B$12,284&lt;=$D$12),1,0)</f>
        <v/>
      </c>
      <c r="KB38" s="17">
        <f>IF(AND(285&gt;=$B$12,285&lt;=$D$12),1,0)</f>
        <v/>
      </c>
      <c r="KC38" s="17">
        <f>IF(AND(286&gt;=$B$12,286&lt;=$D$12),1,0)</f>
        <v/>
      </c>
      <c r="KD38" s="17">
        <f>IF(AND(287&gt;=$B$12,287&lt;=$D$12),1,0)</f>
        <v/>
      </c>
      <c r="KE38" s="17">
        <f>IF(AND(288&gt;=$B$12,288&lt;=$D$12),1,0)</f>
        <v/>
      </c>
      <c r="KF38" s="17">
        <f>IF(AND(289&gt;=$B$12,289&lt;=$D$12),1,0)</f>
        <v/>
      </c>
      <c r="KG38" s="17">
        <f>IF(AND(290&gt;=$B$12,290&lt;=$D$12),1,0)</f>
        <v/>
      </c>
      <c r="KH38" s="17">
        <f>IF(AND(291&gt;=$B$12,291&lt;=$D$12),1,0)</f>
        <v/>
      </c>
      <c r="KI38" s="17">
        <f>IF(AND(292&gt;=$B$12,292&lt;=$D$12),1,0)</f>
        <v/>
      </c>
      <c r="KJ38" s="17">
        <f>IF(AND(293&gt;=$B$12,293&lt;=$D$12),1,0)</f>
        <v/>
      </c>
      <c r="KK38" s="17">
        <f>IF(AND(294&gt;=$B$12,294&lt;=$D$12),1,0)</f>
        <v/>
      </c>
      <c r="KL38" s="17">
        <f>IF(AND(295&gt;=$B$12,295&lt;=$D$12),1,0)</f>
        <v/>
      </c>
      <c r="KM38" s="17">
        <f>IF(AND(296&gt;=$B$12,296&lt;=$D$12),1,0)</f>
        <v/>
      </c>
      <c r="KN38" s="17">
        <f>IF(AND(297&gt;=$B$12,297&lt;=$D$12),1,0)</f>
        <v/>
      </c>
      <c r="KO38" s="17">
        <f>IF(AND(298&gt;=$B$12,298&lt;=$D$12),1,0)</f>
        <v/>
      </c>
      <c r="KP38" s="17">
        <f>IF(AND(299&gt;=$B$12,299&lt;=$D$12),1,0)</f>
        <v/>
      </c>
      <c r="KQ38" s="17">
        <f>IF(AND(300&gt;=$B$12,300&lt;=$D$12),1,0)</f>
        <v/>
      </c>
      <c r="KR38" s="17">
        <f>IF(AND(301&gt;=$B$12,301&lt;=$D$12),1,0)</f>
        <v/>
      </c>
      <c r="KS38" s="17">
        <f>IF(AND(302&gt;=$B$12,302&lt;=$D$12),1,0)</f>
        <v/>
      </c>
      <c r="KT38" s="17">
        <f>IF(AND(303&gt;=$B$12,303&lt;=$D$12),1,0)</f>
        <v/>
      </c>
      <c r="KU38" s="17">
        <f>IF(AND(304&gt;=$B$12,304&lt;=$D$12),1,0)</f>
        <v/>
      </c>
      <c r="KV38" s="17">
        <f>IF(AND(305&gt;=$B$12,305&lt;=$D$12),1,0)</f>
        <v/>
      </c>
      <c r="KW38" s="17">
        <f>IF(AND(306&gt;=$B$12,306&lt;=$D$12),1,0)</f>
        <v/>
      </c>
      <c r="KX38" s="17">
        <f>IF(AND(307&gt;=$B$12,307&lt;=$D$12),1,0)</f>
        <v/>
      </c>
      <c r="KY38" s="17">
        <f>IF(AND(308&gt;=$B$12,308&lt;=$D$12),1,0)</f>
        <v/>
      </c>
      <c r="KZ38" s="17">
        <f>IF(AND(309&gt;=$B$12,309&lt;=$D$12),1,0)</f>
        <v/>
      </c>
      <c r="LA38" s="17">
        <f>IF(AND(310&gt;=$B$12,310&lt;=$D$12),1,0)</f>
        <v/>
      </c>
      <c r="LB38" s="17">
        <f>IF(AND(311&gt;=$B$12,311&lt;=$D$12),1,0)</f>
        <v/>
      </c>
      <c r="LC38" s="17">
        <f>IF(AND(312&gt;=$B$12,312&lt;=$D$12),1,0)</f>
        <v/>
      </c>
      <c r="LD38" s="17">
        <f>IF(AND(313&gt;=$B$12,313&lt;=$D$12),1,0)</f>
        <v/>
      </c>
      <c r="LE38" s="17">
        <f>IF(AND(314&gt;=$B$12,314&lt;=$D$12),1,0)</f>
        <v/>
      </c>
      <c r="LF38" s="17">
        <f>IF(AND(315&gt;=$B$12,315&lt;=$D$12),1,0)</f>
        <v/>
      </c>
      <c r="LG38" s="17">
        <f>IF(AND(316&gt;=$B$12,316&lt;=$D$12),1,0)</f>
        <v/>
      </c>
      <c r="LH38" s="17">
        <f>IF(AND(317&gt;=$B$12,317&lt;=$D$12),1,0)</f>
        <v/>
      </c>
      <c r="LI38" s="17">
        <f>IF(AND(318&gt;=$B$12,318&lt;=$D$12),1,0)</f>
        <v/>
      </c>
      <c r="LJ38" s="17">
        <f>IF(AND(319&gt;=$B$12,319&lt;=$D$12),1,0)</f>
        <v/>
      </c>
      <c r="LK38" s="17">
        <f>IF(AND(320&gt;=$B$12,320&lt;=$D$12),1,0)</f>
        <v/>
      </c>
      <c r="LL38" s="17">
        <f>IF(AND(321&gt;=$B$12,321&lt;=$D$12),1,0)</f>
        <v/>
      </c>
      <c r="LM38" s="17">
        <f>IF(AND(322&gt;=$B$12,322&lt;=$D$12),1,0)</f>
        <v/>
      </c>
      <c r="LN38" s="17">
        <f>IF(AND(323&gt;=$B$12,323&lt;=$D$12),1,0)</f>
        <v/>
      </c>
      <c r="LO38" s="17">
        <f>IF(AND(324&gt;=$B$12,324&lt;=$D$12),1,0)</f>
        <v/>
      </c>
      <c r="LP38" s="17">
        <f>IF(AND(325&gt;=$B$12,325&lt;=$D$12),1,0)</f>
        <v/>
      </c>
      <c r="LQ38" s="17">
        <f>IF(AND(326&gt;=$B$12,326&lt;=$D$12),1,0)</f>
        <v/>
      </c>
      <c r="LR38" s="17">
        <f>IF(AND(327&gt;=$B$12,327&lt;=$D$12),1,0)</f>
        <v/>
      </c>
      <c r="LS38" s="17">
        <f>IF(AND(328&gt;=$B$12,328&lt;=$D$12),1,0)</f>
        <v/>
      </c>
      <c r="LT38" s="17">
        <f>IF(AND(329&gt;=$B$12,329&lt;=$D$12),1,0)</f>
        <v/>
      </c>
      <c r="LU38" s="17">
        <f>IF(AND(330&gt;=$B$12,330&lt;=$D$12),1,0)</f>
        <v/>
      </c>
      <c r="LV38" s="17">
        <f>IF(AND(331&gt;=$B$12,331&lt;=$D$12),1,0)</f>
        <v/>
      </c>
      <c r="LW38" s="17">
        <f>IF(AND(332&gt;=$B$12,332&lt;=$D$12),1,0)</f>
        <v/>
      </c>
      <c r="LX38" s="17">
        <f>IF(AND(333&gt;=$B$12,333&lt;=$D$12),1,0)</f>
        <v/>
      </c>
      <c r="LY38" s="17">
        <f>IF(AND(334&gt;=$B$12,334&lt;=$D$12),1,0)</f>
        <v/>
      </c>
      <c r="LZ38" s="17">
        <f>IF(AND(335&gt;=$B$12,335&lt;=$D$12),1,0)</f>
        <v/>
      </c>
      <c r="MA38" s="17">
        <f>IF(AND(336&gt;=$B$12,336&lt;=$D$12),1,0)</f>
        <v/>
      </c>
      <c r="MB38" s="17">
        <f>IF(AND(337&gt;=$B$12,337&lt;=$D$12),1,0)</f>
        <v/>
      </c>
      <c r="MC38" s="17">
        <f>IF(AND(338&gt;=$B$12,338&lt;=$D$12),1,0)</f>
        <v/>
      </c>
      <c r="MD38" s="17">
        <f>IF(AND(339&gt;=$B$12,339&lt;=$D$12),1,0)</f>
        <v/>
      </c>
      <c r="ME38" s="17">
        <f>IF(AND(340&gt;=$B$12,340&lt;=$D$12),1,0)</f>
        <v/>
      </c>
      <c r="MF38" s="17">
        <f>IF(AND(341&gt;=$B$12,341&lt;=$D$12),1,0)</f>
        <v/>
      </c>
      <c r="MG38" s="17">
        <f>IF(AND(342&gt;=$B$12,342&lt;=$D$12),1,0)</f>
        <v/>
      </c>
      <c r="MH38" s="17">
        <f>IF(AND(343&gt;=$B$12,343&lt;=$D$12),1,0)</f>
        <v/>
      </c>
      <c r="MI38" s="17">
        <f>IF(AND(344&gt;=$B$12,344&lt;=$D$12),1,0)</f>
        <v/>
      </c>
      <c r="MJ38" s="17">
        <f>IF(AND(345&gt;=$B$12,345&lt;=$D$12),1,0)</f>
        <v/>
      </c>
      <c r="MK38" s="17">
        <f>IF(AND(346&gt;=$B$12,346&lt;=$D$12),1,0)</f>
        <v/>
      </c>
      <c r="ML38" s="17">
        <f>IF(AND(347&gt;=$B$12,347&lt;=$D$12),1,0)</f>
        <v/>
      </c>
      <c r="MM38" s="17">
        <f>IF(AND(348&gt;=$B$12,348&lt;=$D$12),1,0)</f>
        <v/>
      </c>
      <c r="MN38" s="17">
        <f>IF(AND(349&gt;=$B$12,349&lt;=$D$12),1,0)</f>
        <v/>
      </c>
      <c r="MO38" s="17">
        <f>IF(AND(350&gt;=$B$12,350&lt;=$D$12),1,0)</f>
        <v/>
      </c>
      <c r="MP38" s="17">
        <f>IF(AND(351&gt;=$B$12,351&lt;=$D$12),1,0)</f>
        <v/>
      </c>
      <c r="MQ38" s="17">
        <f>IF(AND(352&gt;=$B$12,352&lt;=$D$12),1,0)</f>
        <v/>
      </c>
      <c r="MR38" s="17">
        <f>IF(AND(353&gt;=$B$12,353&lt;=$D$12),1,0)</f>
        <v/>
      </c>
      <c r="MS38" s="17">
        <f>IF(AND(354&gt;=$B$12,354&lt;=$D$12),1,0)</f>
        <v/>
      </c>
      <c r="MT38" s="17">
        <f>IF(AND(355&gt;=$B$12,355&lt;=$D$12),1,0)</f>
        <v/>
      </c>
      <c r="MU38" s="17">
        <f>IF(AND(356&gt;=$B$12,356&lt;=$D$12),1,0)</f>
        <v/>
      </c>
      <c r="MV38" s="17">
        <f>IF(AND(357&gt;=$B$12,357&lt;=$D$12),1,0)</f>
        <v/>
      </c>
      <c r="MW38" s="17">
        <f>IF(AND(358&gt;=$B$12,358&lt;=$D$12),1,0)</f>
        <v/>
      </c>
      <c r="MX38" s="17">
        <f>IF(AND(359&gt;=$B$12,359&lt;=$D$12),1,0)</f>
        <v/>
      </c>
      <c r="MY38" s="17">
        <f>IF(AND(360&gt;=$B$12,360&lt;=$D$12),1,0)</f>
        <v/>
      </c>
      <c r="MZ38" s="17">
        <f>IF(AND(361&gt;=$B$12,361&lt;=$D$12),1,0)</f>
        <v/>
      </c>
      <c r="NA38" s="17">
        <f>IF(AND(362&gt;=$B$12,362&lt;=$D$12),1,0)</f>
        <v/>
      </c>
      <c r="NB38" s="17">
        <f>IF(AND(363&gt;=$B$12,363&lt;=$D$12),1,0)</f>
        <v/>
      </c>
      <c r="NC38" s="17">
        <f>IF(AND(364&gt;=$B$12,364&lt;=$D$12),1,0)</f>
        <v/>
      </c>
      <c r="ND38" s="17">
        <f>IF(AND(365&gt;=$B$12,365&lt;=$D$12),1,0)</f>
        <v/>
      </c>
      <c r="NE38" s="17">
        <f>IF(AND(366&gt;=$B$12,366&lt;=$D$12),1,0)</f>
        <v/>
      </c>
      <c r="NF38" s="17">
        <f>IF(AND(367&gt;=$B$12,367&lt;=$D$12),1,0)</f>
        <v/>
      </c>
      <c r="NG38" s="17">
        <f>IF(AND(368&gt;=$B$12,368&lt;=$D$12),1,0)</f>
        <v/>
      </c>
      <c r="NH38" s="17">
        <f>IF(AND(369&gt;=$B$12,369&lt;=$D$12),1,0)</f>
        <v/>
      </c>
      <c r="NI38" s="17">
        <f>IF(AND(370&gt;=$B$12,370&lt;=$D$12),1,0)</f>
        <v/>
      </c>
      <c r="NJ38" s="17">
        <f>IF(AND(371&gt;=$B$12,371&lt;=$D$12),1,0)</f>
        <v/>
      </c>
      <c r="NK38" s="17">
        <f>IF(AND(372&gt;=$B$12,372&lt;=$D$12),1,0)</f>
        <v/>
      </c>
    </row>
    <row r="39">
      <c r="A39" s="5" t="inlineStr">
        <is>
          <t>Flag: Recapitalization/Refinance</t>
        </is>
      </c>
      <c r="C39" s="40" t="n"/>
      <c r="D39" s="17">
        <f>IF(AND(1&gt;=$B$13,1&lt;=$D$13),1,0)</f>
        <v/>
      </c>
      <c r="E39" s="17">
        <f>IF(AND(2&gt;=$B$13,2&lt;=$D$13),1,0)</f>
        <v/>
      </c>
      <c r="F39" s="17">
        <f>IF(AND(3&gt;=$B$13,3&lt;=$D$13),1,0)</f>
        <v/>
      </c>
      <c r="G39" s="17">
        <f>IF(AND(4&gt;=$B$13,4&lt;=$D$13),1,0)</f>
        <v/>
      </c>
      <c r="H39" s="17">
        <f>IF(AND(5&gt;=$B$13,5&lt;=$D$13),1,0)</f>
        <v/>
      </c>
      <c r="I39" s="17">
        <f>IF(AND(6&gt;=$B$13,6&lt;=$D$13),1,0)</f>
        <v/>
      </c>
      <c r="J39" s="17">
        <f>IF(AND(7&gt;=$B$13,7&lt;=$D$13),1,0)</f>
        <v/>
      </c>
      <c r="K39" s="17">
        <f>IF(AND(8&gt;=$B$13,8&lt;=$D$13),1,0)</f>
        <v/>
      </c>
      <c r="L39" s="17">
        <f>IF(AND(9&gt;=$B$13,9&lt;=$D$13),1,0)</f>
        <v/>
      </c>
      <c r="M39" s="17">
        <f>IF(AND(10&gt;=$B$13,10&lt;=$D$13),1,0)</f>
        <v/>
      </c>
      <c r="N39" s="17">
        <f>IF(AND(11&gt;=$B$13,11&lt;=$D$13),1,0)</f>
        <v/>
      </c>
      <c r="O39" s="17">
        <f>IF(AND(12&gt;=$B$13,12&lt;=$D$13),1,0)</f>
        <v/>
      </c>
      <c r="P39" s="17">
        <f>IF(AND(13&gt;=$B$13,13&lt;=$D$13),1,0)</f>
        <v/>
      </c>
      <c r="Q39" s="17">
        <f>IF(AND(14&gt;=$B$13,14&lt;=$D$13),1,0)</f>
        <v/>
      </c>
      <c r="R39" s="17">
        <f>IF(AND(15&gt;=$B$13,15&lt;=$D$13),1,0)</f>
        <v/>
      </c>
      <c r="S39" s="17">
        <f>IF(AND(16&gt;=$B$13,16&lt;=$D$13),1,0)</f>
        <v/>
      </c>
      <c r="T39" s="17">
        <f>IF(AND(17&gt;=$B$13,17&lt;=$D$13),1,0)</f>
        <v/>
      </c>
      <c r="U39" s="17">
        <f>IF(AND(18&gt;=$B$13,18&lt;=$D$13),1,0)</f>
        <v/>
      </c>
      <c r="V39" s="17">
        <f>IF(AND(19&gt;=$B$13,19&lt;=$D$13),1,0)</f>
        <v/>
      </c>
      <c r="W39" s="17">
        <f>IF(AND(20&gt;=$B$13,20&lt;=$D$13),1,0)</f>
        <v/>
      </c>
      <c r="X39" s="17">
        <f>IF(AND(21&gt;=$B$13,21&lt;=$D$13),1,0)</f>
        <v/>
      </c>
      <c r="Y39" s="17">
        <f>IF(AND(22&gt;=$B$13,22&lt;=$D$13),1,0)</f>
        <v/>
      </c>
      <c r="Z39" s="17">
        <f>IF(AND(23&gt;=$B$13,23&lt;=$D$13),1,0)</f>
        <v/>
      </c>
      <c r="AA39" s="17">
        <f>IF(AND(24&gt;=$B$13,24&lt;=$D$13),1,0)</f>
        <v/>
      </c>
      <c r="AB39" s="17">
        <f>IF(AND(25&gt;=$B$13,25&lt;=$D$13),1,0)</f>
        <v/>
      </c>
      <c r="AC39" s="17">
        <f>IF(AND(26&gt;=$B$13,26&lt;=$D$13),1,0)</f>
        <v/>
      </c>
      <c r="AD39" s="17">
        <f>IF(AND(27&gt;=$B$13,27&lt;=$D$13),1,0)</f>
        <v/>
      </c>
      <c r="AE39" s="17">
        <f>IF(AND(28&gt;=$B$13,28&lt;=$D$13),1,0)</f>
        <v/>
      </c>
      <c r="AF39" s="17">
        <f>IF(AND(29&gt;=$B$13,29&lt;=$D$13),1,0)</f>
        <v/>
      </c>
      <c r="AG39" s="17">
        <f>IF(AND(30&gt;=$B$13,30&lt;=$D$13),1,0)</f>
        <v/>
      </c>
      <c r="AH39" s="17">
        <f>IF(AND(31&gt;=$B$13,31&lt;=$D$13),1,0)</f>
        <v/>
      </c>
      <c r="AI39" s="17">
        <f>IF(AND(32&gt;=$B$13,32&lt;=$D$13),1,0)</f>
        <v/>
      </c>
      <c r="AJ39" s="17">
        <f>IF(AND(33&gt;=$B$13,33&lt;=$D$13),1,0)</f>
        <v/>
      </c>
      <c r="AK39" s="17">
        <f>IF(AND(34&gt;=$B$13,34&lt;=$D$13),1,0)</f>
        <v/>
      </c>
      <c r="AL39" s="17">
        <f>IF(AND(35&gt;=$B$13,35&lt;=$D$13),1,0)</f>
        <v/>
      </c>
      <c r="AM39" s="17">
        <f>IF(AND(36&gt;=$B$13,36&lt;=$D$13),1,0)</f>
        <v/>
      </c>
      <c r="AN39" s="17">
        <f>IF(AND(37&gt;=$B$13,37&lt;=$D$13),1,0)</f>
        <v/>
      </c>
      <c r="AO39" s="17">
        <f>IF(AND(38&gt;=$B$13,38&lt;=$D$13),1,0)</f>
        <v/>
      </c>
      <c r="AP39" s="17">
        <f>IF(AND(39&gt;=$B$13,39&lt;=$D$13),1,0)</f>
        <v/>
      </c>
      <c r="AQ39" s="17">
        <f>IF(AND(40&gt;=$B$13,40&lt;=$D$13),1,0)</f>
        <v/>
      </c>
      <c r="AR39" s="17">
        <f>IF(AND(41&gt;=$B$13,41&lt;=$D$13),1,0)</f>
        <v/>
      </c>
      <c r="AS39" s="17">
        <f>IF(AND(42&gt;=$B$13,42&lt;=$D$13),1,0)</f>
        <v/>
      </c>
      <c r="AT39" s="17">
        <f>IF(AND(43&gt;=$B$13,43&lt;=$D$13),1,0)</f>
        <v/>
      </c>
      <c r="AU39" s="17">
        <f>IF(AND(44&gt;=$B$13,44&lt;=$D$13),1,0)</f>
        <v/>
      </c>
      <c r="AV39" s="17">
        <f>IF(AND(45&gt;=$B$13,45&lt;=$D$13),1,0)</f>
        <v/>
      </c>
      <c r="AW39" s="17">
        <f>IF(AND(46&gt;=$B$13,46&lt;=$D$13),1,0)</f>
        <v/>
      </c>
      <c r="AX39" s="17">
        <f>IF(AND(47&gt;=$B$13,47&lt;=$D$13),1,0)</f>
        <v/>
      </c>
      <c r="AY39" s="17">
        <f>IF(AND(48&gt;=$B$13,48&lt;=$D$13),1,0)</f>
        <v/>
      </c>
      <c r="AZ39" s="17">
        <f>IF(AND(49&gt;=$B$13,49&lt;=$D$13),1,0)</f>
        <v/>
      </c>
      <c r="BA39" s="17">
        <f>IF(AND(50&gt;=$B$13,50&lt;=$D$13),1,0)</f>
        <v/>
      </c>
      <c r="BB39" s="17">
        <f>IF(AND(51&gt;=$B$13,51&lt;=$D$13),1,0)</f>
        <v/>
      </c>
      <c r="BC39" s="17">
        <f>IF(AND(52&gt;=$B$13,52&lt;=$D$13),1,0)</f>
        <v/>
      </c>
      <c r="BD39" s="17">
        <f>IF(AND(53&gt;=$B$13,53&lt;=$D$13),1,0)</f>
        <v/>
      </c>
      <c r="BE39" s="17">
        <f>IF(AND(54&gt;=$B$13,54&lt;=$D$13),1,0)</f>
        <v/>
      </c>
      <c r="BF39" s="17">
        <f>IF(AND(55&gt;=$B$13,55&lt;=$D$13),1,0)</f>
        <v/>
      </c>
      <c r="BG39" s="17">
        <f>IF(AND(56&gt;=$B$13,56&lt;=$D$13),1,0)</f>
        <v/>
      </c>
      <c r="BH39" s="17">
        <f>IF(AND(57&gt;=$B$13,57&lt;=$D$13),1,0)</f>
        <v/>
      </c>
      <c r="BI39" s="17">
        <f>IF(AND(58&gt;=$B$13,58&lt;=$D$13),1,0)</f>
        <v/>
      </c>
      <c r="BJ39" s="17">
        <f>IF(AND(59&gt;=$B$13,59&lt;=$D$13),1,0)</f>
        <v/>
      </c>
      <c r="BK39" s="17">
        <f>IF(AND(60&gt;=$B$13,60&lt;=$D$13),1,0)</f>
        <v/>
      </c>
      <c r="BL39" s="17">
        <f>IF(AND(61&gt;=$B$13,61&lt;=$D$13),1,0)</f>
        <v/>
      </c>
      <c r="BM39" s="17">
        <f>IF(AND(62&gt;=$B$13,62&lt;=$D$13),1,0)</f>
        <v/>
      </c>
      <c r="BN39" s="17">
        <f>IF(AND(63&gt;=$B$13,63&lt;=$D$13),1,0)</f>
        <v/>
      </c>
      <c r="BO39" s="17">
        <f>IF(AND(64&gt;=$B$13,64&lt;=$D$13),1,0)</f>
        <v/>
      </c>
      <c r="BP39" s="17">
        <f>IF(AND(65&gt;=$B$13,65&lt;=$D$13),1,0)</f>
        <v/>
      </c>
      <c r="BQ39" s="17">
        <f>IF(AND(66&gt;=$B$13,66&lt;=$D$13),1,0)</f>
        <v/>
      </c>
      <c r="BR39" s="17">
        <f>IF(AND(67&gt;=$B$13,67&lt;=$D$13),1,0)</f>
        <v/>
      </c>
      <c r="BS39" s="17">
        <f>IF(AND(68&gt;=$B$13,68&lt;=$D$13),1,0)</f>
        <v/>
      </c>
      <c r="BT39" s="17">
        <f>IF(AND(69&gt;=$B$13,69&lt;=$D$13),1,0)</f>
        <v/>
      </c>
      <c r="BU39" s="17">
        <f>IF(AND(70&gt;=$B$13,70&lt;=$D$13),1,0)</f>
        <v/>
      </c>
      <c r="BV39" s="17">
        <f>IF(AND(71&gt;=$B$13,71&lt;=$D$13),1,0)</f>
        <v/>
      </c>
      <c r="BW39" s="17">
        <f>IF(AND(72&gt;=$B$13,72&lt;=$D$13),1,0)</f>
        <v/>
      </c>
      <c r="BX39" s="17">
        <f>IF(AND(73&gt;=$B$13,73&lt;=$D$13),1,0)</f>
        <v/>
      </c>
      <c r="BY39" s="17">
        <f>IF(AND(74&gt;=$B$13,74&lt;=$D$13),1,0)</f>
        <v/>
      </c>
      <c r="BZ39" s="17">
        <f>IF(AND(75&gt;=$B$13,75&lt;=$D$13),1,0)</f>
        <v/>
      </c>
      <c r="CA39" s="17">
        <f>IF(AND(76&gt;=$B$13,76&lt;=$D$13),1,0)</f>
        <v/>
      </c>
      <c r="CB39" s="17">
        <f>IF(AND(77&gt;=$B$13,77&lt;=$D$13),1,0)</f>
        <v/>
      </c>
      <c r="CC39" s="17">
        <f>IF(AND(78&gt;=$B$13,78&lt;=$D$13),1,0)</f>
        <v/>
      </c>
      <c r="CD39" s="17">
        <f>IF(AND(79&gt;=$B$13,79&lt;=$D$13),1,0)</f>
        <v/>
      </c>
      <c r="CE39" s="17">
        <f>IF(AND(80&gt;=$B$13,80&lt;=$D$13),1,0)</f>
        <v/>
      </c>
      <c r="CF39" s="17">
        <f>IF(AND(81&gt;=$B$13,81&lt;=$D$13),1,0)</f>
        <v/>
      </c>
      <c r="CG39" s="17">
        <f>IF(AND(82&gt;=$B$13,82&lt;=$D$13),1,0)</f>
        <v/>
      </c>
      <c r="CH39" s="17">
        <f>IF(AND(83&gt;=$B$13,83&lt;=$D$13),1,0)</f>
        <v/>
      </c>
      <c r="CI39" s="17">
        <f>IF(AND(84&gt;=$B$13,84&lt;=$D$13),1,0)</f>
        <v/>
      </c>
      <c r="CJ39" s="17">
        <f>IF(AND(85&gt;=$B$13,85&lt;=$D$13),1,0)</f>
        <v/>
      </c>
      <c r="CK39" s="17">
        <f>IF(AND(86&gt;=$B$13,86&lt;=$D$13),1,0)</f>
        <v/>
      </c>
      <c r="CL39" s="17">
        <f>IF(AND(87&gt;=$B$13,87&lt;=$D$13),1,0)</f>
        <v/>
      </c>
      <c r="CM39" s="17">
        <f>IF(AND(88&gt;=$B$13,88&lt;=$D$13),1,0)</f>
        <v/>
      </c>
      <c r="CN39" s="17">
        <f>IF(AND(89&gt;=$B$13,89&lt;=$D$13),1,0)</f>
        <v/>
      </c>
      <c r="CO39" s="17">
        <f>IF(AND(90&gt;=$B$13,90&lt;=$D$13),1,0)</f>
        <v/>
      </c>
      <c r="CP39" s="17">
        <f>IF(AND(91&gt;=$B$13,91&lt;=$D$13),1,0)</f>
        <v/>
      </c>
      <c r="CQ39" s="17">
        <f>IF(AND(92&gt;=$B$13,92&lt;=$D$13),1,0)</f>
        <v/>
      </c>
      <c r="CR39" s="17">
        <f>IF(AND(93&gt;=$B$13,93&lt;=$D$13),1,0)</f>
        <v/>
      </c>
      <c r="CS39" s="17">
        <f>IF(AND(94&gt;=$B$13,94&lt;=$D$13),1,0)</f>
        <v/>
      </c>
      <c r="CT39" s="17">
        <f>IF(AND(95&gt;=$B$13,95&lt;=$D$13),1,0)</f>
        <v/>
      </c>
      <c r="CU39" s="17">
        <f>IF(AND(96&gt;=$B$13,96&lt;=$D$13),1,0)</f>
        <v/>
      </c>
      <c r="CV39" s="17">
        <f>IF(AND(97&gt;=$B$13,97&lt;=$D$13),1,0)</f>
        <v/>
      </c>
      <c r="CW39" s="17">
        <f>IF(AND(98&gt;=$B$13,98&lt;=$D$13),1,0)</f>
        <v/>
      </c>
      <c r="CX39" s="17">
        <f>IF(AND(99&gt;=$B$13,99&lt;=$D$13),1,0)</f>
        <v/>
      </c>
      <c r="CY39" s="17">
        <f>IF(AND(100&gt;=$B$13,100&lt;=$D$13),1,0)</f>
        <v/>
      </c>
      <c r="CZ39" s="17">
        <f>IF(AND(101&gt;=$B$13,101&lt;=$D$13),1,0)</f>
        <v/>
      </c>
      <c r="DA39" s="17">
        <f>IF(AND(102&gt;=$B$13,102&lt;=$D$13),1,0)</f>
        <v/>
      </c>
      <c r="DB39" s="17">
        <f>IF(AND(103&gt;=$B$13,103&lt;=$D$13),1,0)</f>
        <v/>
      </c>
      <c r="DC39" s="17">
        <f>IF(AND(104&gt;=$B$13,104&lt;=$D$13),1,0)</f>
        <v/>
      </c>
      <c r="DD39" s="17">
        <f>IF(AND(105&gt;=$B$13,105&lt;=$D$13),1,0)</f>
        <v/>
      </c>
      <c r="DE39" s="17">
        <f>IF(AND(106&gt;=$B$13,106&lt;=$D$13),1,0)</f>
        <v/>
      </c>
      <c r="DF39" s="17">
        <f>IF(AND(107&gt;=$B$13,107&lt;=$D$13),1,0)</f>
        <v/>
      </c>
      <c r="DG39" s="17">
        <f>IF(AND(108&gt;=$B$13,108&lt;=$D$13),1,0)</f>
        <v/>
      </c>
      <c r="DH39" s="17">
        <f>IF(AND(109&gt;=$B$13,109&lt;=$D$13),1,0)</f>
        <v/>
      </c>
      <c r="DI39" s="17">
        <f>IF(AND(110&gt;=$B$13,110&lt;=$D$13),1,0)</f>
        <v/>
      </c>
      <c r="DJ39" s="17">
        <f>IF(AND(111&gt;=$B$13,111&lt;=$D$13),1,0)</f>
        <v/>
      </c>
      <c r="DK39" s="17">
        <f>IF(AND(112&gt;=$B$13,112&lt;=$D$13),1,0)</f>
        <v/>
      </c>
      <c r="DL39" s="17">
        <f>IF(AND(113&gt;=$B$13,113&lt;=$D$13),1,0)</f>
        <v/>
      </c>
      <c r="DM39" s="17">
        <f>IF(AND(114&gt;=$B$13,114&lt;=$D$13),1,0)</f>
        <v/>
      </c>
      <c r="DN39" s="17">
        <f>IF(AND(115&gt;=$B$13,115&lt;=$D$13),1,0)</f>
        <v/>
      </c>
      <c r="DO39" s="17">
        <f>IF(AND(116&gt;=$B$13,116&lt;=$D$13),1,0)</f>
        <v/>
      </c>
      <c r="DP39" s="17">
        <f>IF(AND(117&gt;=$B$13,117&lt;=$D$13),1,0)</f>
        <v/>
      </c>
      <c r="DQ39" s="17">
        <f>IF(AND(118&gt;=$B$13,118&lt;=$D$13),1,0)</f>
        <v/>
      </c>
      <c r="DR39" s="17">
        <f>IF(AND(119&gt;=$B$13,119&lt;=$D$13),1,0)</f>
        <v/>
      </c>
      <c r="DS39" s="17">
        <f>IF(AND(120&gt;=$B$13,120&lt;=$D$13),1,0)</f>
        <v/>
      </c>
      <c r="DT39" s="17">
        <f>IF(AND(121&gt;=$B$13,121&lt;=$D$13),1,0)</f>
        <v/>
      </c>
      <c r="DU39" s="17">
        <f>IF(AND(122&gt;=$B$13,122&lt;=$D$13),1,0)</f>
        <v/>
      </c>
      <c r="DV39" s="17">
        <f>IF(AND(123&gt;=$B$13,123&lt;=$D$13),1,0)</f>
        <v/>
      </c>
      <c r="DW39" s="17">
        <f>IF(AND(124&gt;=$B$13,124&lt;=$D$13),1,0)</f>
        <v/>
      </c>
      <c r="DX39" s="17">
        <f>IF(AND(125&gt;=$B$13,125&lt;=$D$13),1,0)</f>
        <v/>
      </c>
      <c r="DY39" s="17">
        <f>IF(AND(126&gt;=$B$13,126&lt;=$D$13),1,0)</f>
        <v/>
      </c>
      <c r="DZ39" s="17">
        <f>IF(AND(127&gt;=$B$13,127&lt;=$D$13),1,0)</f>
        <v/>
      </c>
      <c r="EA39" s="17">
        <f>IF(AND(128&gt;=$B$13,128&lt;=$D$13),1,0)</f>
        <v/>
      </c>
      <c r="EB39" s="17">
        <f>IF(AND(129&gt;=$B$13,129&lt;=$D$13),1,0)</f>
        <v/>
      </c>
      <c r="EC39" s="17">
        <f>IF(AND(130&gt;=$B$13,130&lt;=$D$13),1,0)</f>
        <v/>
      </c>
      <c r="ED39" s="17">
        <f>IF(AND(131&gt;=$B$13,131&lt;=$D$13),1,0)</f>
        <v/>
      </c>
      <c r="EE39" s="17">
        <f>IF(AND(132&gt;=$B$13,132&lt;=$D$13),1,0)</f>
        <v/>
      </c>
      <c r="EF39" s="17">
        <f>IF(AND(133&gt;=$B$13,133&lt;=$D$13),1,0)</f>
        <v/>
      </c>
      <c r="EG39" s="17">
        <f>IF(AND(134&gt;=$B$13,134&lt;=$D$13),1,0)</f>
        <v/>
      </c>
      <c r="EH39" s="17">
        <f>IF(AND(135&gt;=$B$13,135&lt;=$D$13),1,0)</f>
        <v/>
      </c>
      <c r="EI39" s="17">
        <f>IF(AND(136&gt;=$B$13,136&lt;=$D$13),1,0)</f>
        <v/>
      </c>
      <c r="EJ39" s="17">
        <f>IF(AND(137&gt;=$B$13,137&lt;=$D$13),1,0)</f>
        <v/>
      </c>
      <c r="EK39" s="17">
        <f>IF(AND(138&gt;=$B$13,138&lt;=$D$13),1,0)</f>
        <v/>
      </c>
      <c r="EL39" s="17">
        <f>IF(AND(139&gt;=$B$13,139&lt;=$D$13),1,0)</f>
        <v/>
      </c>
      <c r="EM39" s="17">
        <f>IF(AND(140&gt;=$B$13,140&lt;=$D$13),1,0)</f>
        <v/>
      </c>
      <c r="EN39" s="17">
        <f>IF(AND(141&gt;=$B$13,141&lt;=$D$13),1,0)</f>
        <v/>
      </c>
      <c r="EO39" s="17">
        <f>IF(AND(142&gt;=$B$13,142&lt;=$D$13),1,0)</f>
        <v/>
      </c>
      <c r="EP39" s="17">
        <f>IF(AND(143&gt;=$B$13,143&lt;=$D$13),1,0)</f>
        <v/>
      </c>
      <c r="EQ39" s="17">
        <f>IF(AND(144&gt;=$B$13,144&lt;=$D$13),1,0)</f>
        <v/>
      </c>
      <c r="ER39" s="17">
        <f>IF(AND(145&gt;=$B$13,145&lt;=$D$13),1,0)</f>
        <v/>
      </c>
      <c r="ES39" s="17">
        <f>IF(AND(146&gt;=$B$13,146&lt;=$D$13),1,0)</f>
        <v/>
      </c>
      <c r="ET39" s="17">
        <f>IF(AND(147&gt;=$B$13,147&lt;=$D$13),1,0)</f>
        <v/>
      </c>
      <c r="EU39" s="17">
        <f>IF(AND(148&gt;=$B$13,148&lt;=$D$13),1,0)</f>
        <v/>
      </c>
      <c r="EV39" s="17">
        <f>IF(AND(149&gt;=$B$13,149&lt;=$D$13),1,0)</f>
        <v/>
      </c>
      <c r="EW39" s="17">
        <f>IF(AND(150&gt;=$B$13,150&lt;=$D$13),1,0)</f>
        <v/>
      </c>
      <c r="EX39" s="17">
        <f>IF(AND(151&gt;=$B$13,151&lt;=$D$13),1,0)</f>
        <v/>
      </c>
      <c r="EY39" s="17">
        <f>IF(AND(152&gt;=$B$13,152&lt;=$D$13),1,0)</f>
        <v/>
      </c>
      <c r="EZ39" s="17">
        <f>IF(AND(153&gt;=$B$13,153&lt;=$D$13),1,0)</f>
        <v/>
      </c>
      <c r="FA39" s="17">
        <f>IF(AND(154&gt;=$B$13,154&lt;=$D$13),1,0)</f>
        <v/>
      </c>
      <c r="FB39" s="17">
        <f>IF(AND(155&gt;=$B$13,155&lt;=$D$13),1,0)</f>
        <v/>
      </c>
      <c r="FC39" s="17">
        <f>IF(AND(156&gt;=$B$13,156&lt;=$D$13),1,0)</f>
        <v/>
      </c>
      <c r="FD39" s="17">
        <f>IF(AND(157&gt;=$B$13,157&lt;=$D$13),1,0)</f>
        <v/>
      </c>
      <c r="FE39" s="17">
        <f>IF(AND(158&gt;=$B$13,158&lt;=$D$13),1,0)</f>
        <v/>
      </c>
      <c r="FF39" s="17">
        <f>IF(AND(159&gt;=$B$13,159&lt;=$D$13),1,0)</f>
        <v/>
      </c>
      <c r="FG39" s="17">
        <f>IF(AND(160&gt;=$B$13,160&lt;=$D$13),1,0)</f>
        <v/>
      </c>
      <c r="FH39" s="17">
        <f>IF(AND(161&gt;=$B$13,161&lt;=$D$13),1,0)</f>
        <v/>
      </c>
      <c r="FI39" s="17">
        <f>IF(AND(162&gt;=$B$13,162&lt;=$D$13),1,0)</f>
        <v/>
      </c>
      <c r="FJ39" s="17">
        <f>IF(AND(163&gt;=$B$13,163&lt;=$D$13),1,0)</f>
        <v/>
      </c>
      <c r="FK39" s="17">
        <f>IF(AND(164&gt;=$B$13,164&lt;=$D$13),1,0)</f>
        <v/>
      </c>
      <c r="FL39" s="17">
        <f>IF(AND(165&gt;=$B$13,165&lt;=$D$13),1,0)</f>
        <v/>
      </c>
      <c r="FM39" s="17">
        <f>IF(AND(166&gt;=$B$13,166&lt;=$D$13),1,0)</f>
        <v/>
      </c>
      <c r="FN39" s="17">
        <f>IF(AND(167&gt;=$B$13,167&lt;=$D$13),1,0)</f>
        <v/>
      </c>
      <c r="FO39" s="17">
        <f>IF(AND(168&gt;=$B$13,168&lt;=$D$13),1,0)</f>
        <v/>
      </c>
      <c r="FP39" s="17">
        <f>IF(AND(169&gt;=$B$13,169&lt;=$D$13),1,0)</f>
        <v/>
      </c>
      <c r="FQ39" s="17">
        <f>IF(AND(170&gt;=$B$13,170&lt;=$D$13),1,0)</f>
        <v/>
      </c>
      <c r="FR39" s="17">
        <f>IF(AND(171&gt;=$B$13,171&lt;=$D$13),1,0)</f>
        <v/>
      </c>
      <c r="FS39" s="17">
        <f>IF(AND(172&gt;=$B$13,172&lt;=$D$13),1,0)</f>
        <v/>
      </c>
      <c r="FT39" s="17">
        <f>IF(AND(173&gt;=$B$13,173&lt;=$D$13),1,0)</f>
        <v/>
      </c>
      <c r="FU39" s="17">
        <f>IF(AND(174&gt;=$B$13,174&lt;=$D$13),1,0)</f>
        <v/>
      </c>
      <c r="FV39" s="17">
        <f>IF(AND(175&gt;=$B$13,175&lt;=$D$13),1,0)</f>
        <v/>
      </c>
      <c r="FW39" s="17">
        <f>IF(AND(176&gt;=$B$13,176&lt;=$D$13),1,0)</f>
        <v/>
      </c>
      <c r="FX39" s="17">
        <f>IF(AND(177&gt;=$B$13,177&lt;=$D$13),1,0)</f>
        <v/>
      </c>
      <c r="FY39" s="17">
        <f>IF(AND(178&gt;=$B$13,178&lt;=$D$13),1,0)</f>
        <v/>
      </c>
      <c r="FZ39" s="17">
        <f>IF(AND(179&gt;=$B$13,179&lt;=$D$13),1,0)</f>
        <v/>
      </c>
      <c r="GA39" s="17">
        <f>IF(AND(180&gt;=$B$13,180&lt;=$D$13),1,0)</f>
        <v/>
      </c>
      <c r="GB39" s="17">
        <f>IF(AND(181&gt;=$B$13,181&lt;=$D$13),1,0)</f>
        <v/>
      </c>
      <c r="GC39" s="17">
        <f>IF(AND(182&gt;=$B$13,182&lt;=$D$13),1,0)</f>
        <v/>
      </c>
      <c r="GD39" s="17">
        <f>IF(AND(183&gt;=$B$13,183&lt;=$D$13),1,0)</f>
        <v/>
      </c>
      <c r="GE39" s="17">
        <f>IF(AND(184&gt;=$B$13,184&lt;=$D$13),1,0)</f>
        <v/>
      </c>
      <c r="GF39" s="17">
        <f>IF(AND(185&gt;=$B$13,185&lt;=$D$13),1,0)</f>
        <v/>
      </c>
      <c r="GG39" s="17">
        <f>IF(AND(186&gt;=$B$13,186&lt;=$D$13),1,0)</f>
        <v/>
      </c>
      <c r="GH39" s="17">
        <f>IF(AND(187&gt;=$B$13,187&lt;=$D$13),1,0)</f>
        <v/>
      </c>
      <c r="GI39" s="17">
        <f>IF(AND(188&gt;=$B$13,188&lt;=$D$13),1,0)</f>
        <v/>
      </c>
      <c r="GJ39" s="17">
        <f>IF(AND(189&gt;=$B$13,189&lt;=$D$13),1,0)</f>
        <v/>
      </c>
      <c r="GK39" s="17">
        <f>IF(AND(190&gt;=$B$13,190&lt;=$D$13),1,0)</f>
        <v/>
      </c>
      <c r="GL39" s="17">
        <f>IF(AND(191&gt;=$B$13,191&lt;=$D$13),1,0)</f>
        <v/>
      </c>
      <c r="GM39" s="17">
        <f>IF(AND(192&gt;=$B$13,192&lt;=$D$13),1,0)</f>
        <v/>
      </c>
      <c r="GN39" s="17">
        <f>IF(AND(193&gt;=$B$13,193&lt;=$D$13),1,0)</f>
        <v/>
      </c>
      <c r="GO39" s="17">
        <f>IF(AND(194&gt;=$B$13,194&lt;=$D$13),1,0)</f>
        <v/>
      </c>
      <c r="GP39" s="17">
        <f>IF(AND(195&gt;=$B$13,195&lt;=$D$13),1,0)</f>
        <v/>
      </c>
      <c r="GQ39" s="17">
        <f>IF(AND(196&gt;=$B$13,196&lt;=$D$13),1,0)</f>
        <v/>
      </c>
      <c r="GR39" s="17">
        <f>IF(AND(197&gt;=$B$13,197&lt;=$D$13),1,0)</f>
        <v/>
      </c>
      <c r="GS39" s="17">
        <f>IF(AND(198&gt;=$B$13,198&lt;=$D$13),1,0)</f>
        <v/>
      </c>
      <c r="GT39" s="17">
        <f>IF(AND(199&gt;=$B$13,199&lt;=$D$13),1,0)</f>
        <v/>
      </c>
      <c r="GU39" s="17">
        <f>IF(AND(200&gt;=$B$13,200&lt;=$D$13),1,0)</f>
        <v/>
      </c>
      <c r="GV39" s="17">
        <f>IF(AND(201&gt;=$B$13,201&lt;=$D$13),1,0)</f>
        <v/>
      </c>
      <c r="GW39" s="17">
        <f>IF(AND(202&gt;=$B$13,202&lt;=$D$13),1,0)</f>
        <v/>
      </c>
      <c r="GX39" s="17">
        <f>IF(AND(203&gt;=$B$13,203&lt;=$D$13),1,0)</f>
        <v/>
      </c>
      <c r="GY39" s="17">
        <f>IF(AND(204&gt;=$B$13,204&lt;=$D$13),1,0)</f>
        <v/>
      </c>
      <c r="GZ39" s="17">
        <f>IF(AND(205&gt;=$B$13,205&lt;=$D$13),1,0)</f>
        <v/>
      </c>
      <c r="HA39" s="17">
        <f>IF(AND(206&gt;=$B$13,206&lt;=$D$13),1,0)</f>
        <v/>
      </c>
      <c r="HB39" s="17">
        <f>IF(AND(207&gt;=$B$13,207&lt;=$D$13),1,0)</f>
        <v/>
      </c>
      <c r="HC39" s="17">
        <f>IF(AND(208&gt;=$B$13,208&lt;=$D$13),1,0)</f>
        <v/>
      </c>
      <c r="HD39" s="17">
        <f>IF(AND(209&gt;=$B$13,209&lt;=$D$13),1,0)</f>
        <v/>
      </c>
      <c r="HE39" s="17">
        <f>IF(AND(210&gt;=$B$13,210&lt;=$D$13),1,0)</f>
        <v/>
      </c>
      <c r="HF39" s="17">
        <f>IF(AND(211&gt;=$B$13,211&lt;=$D$13),1,0)</f>
        <v/>
      </c>
      <c r="HG39" s="17">
        <f>IF(AND(212&gt;=$B$13,212&lt;=$D$13),1,0)</f>
        <v/>
      </c>
      <c r="HH39" s="17">
        <f>IF(AND(213&gt;=$B$13,213&lt;=$D$13),1,0)</f>
        <v/>
      </c>
      <c r="HI39" s="17">
        <f>IF(AND(214&gt;=$B$13,214&lt;=$D$13),1,0)</f>
        <v/>
      </c>
      <c r="HJ39" s="17">
        <f>IF(AND(215&gt;=$B$13,215&lt;=$D$13),1,0)</f>
        <v/>
      </c>
      <c r="HK39" s="17">
        <f>IF(AND(216&gt;=$B$13,216&lt;=$D$13),1,0)</f>
        <v/>
      </c>
      <c r="HL39" s="17">
        <f>IF(AND(217&gt;=$B$13,217&lt;=$D$13),1,0)</f>
        <v/>
      </c>
      <c r="HM39" s="17">
        <f>IF(AND(218&gt;=$B$13,218&lt;=$D$13),1,0)</f>
        <v/>
      </c>
      <c r="HN39" s="17">
        <f>IF(AND(219&gt;=$B$13,219&lt;=$D$13),1,0)</f>
        <v/>
      </c>
      <c r="HO39" s="17">
        <f>IF(AND(220&gt;=$B$13,220&lt;=$D$13),1,0)</f>
        <v/>
      </c>
      <c r="HP39" s="17">
        <f>IF(AND(221&gt;=$B$13,221&lt;=$D$13),1,0)</f>
        <v/>
      </c>
      <c r="HQ39" s="17">
        <f>IF(AND(222&gt;=$B$13,222&lt;=$D$13),1,0)</f>
        <v/>
      </c>
      <c r="HR39" s="17">
        <f>IF(AND(223&gt;=$B$13,223&lt;=$D$13),1,0)</f>
        <v/>
      </c>
      <c r="HS39" s="17">
        <f>IF(AND(224&gt;=$B$13,224&lt;=$D$13),1,0)</f>
        <v/>
      </c>
      <c r="HT39" s="17">
        <f>IF(AND(225&gt;=$B$13,225&lt;=$D$13),1,0)</f>
        <v/>
      </c>
      <c r="HU39" s="17">
        <f>IF(AND(226&gt;=$B$13,226&lt;=$D$13),1,0)</f>
        <v/>
      </c>
      <c r="HV39" s="17">
        <f>IF(AND(227&gt;=$B$13,227&lt;=$D$13),1,0)</f>
        <v/>
      </c>
      <c r="HW39" s="17">
        <f>IF(AND(228&gt;=$B$13,228&lt;=$D$13),1,0)</f>
        <v/>
      </c>
      <c r="HX39" s="17">
        <f>IF(AND(229&gt;=$B$13,229&lt;=$D$13),1,0)</f>
        <v/>
      </c>
      <c r="HY39" s="17">
        <f>IF(AND(230&gt;=$B$13,230&lt;=$D$13),1,0)</f>
        <v/>
      </c>
      <c r="HZ39" s="17">
        <f>IF(AND(231&gt;=$B$13,231&lt;=$D$13),1,0)</f>
        <v/>
      </c>
      <c r="IA39" s="17">
        <f>IF(AND(232&gt;=$B$13,232&lt;=$D$13),1,0)</f>
        <v/>
      </c>
      <c r="IB39" s="17">
        <f>IF(AND(233&gt;=$B$13,233&lt;=$D$13),1,0)</f>
        <v/>
      </c>
      <c r="IC39" s="17">
        <f>IF(AND(234&gt;=$B$13,234&lt;=$D$13),1,0)</f>
        <v/>
      </c>
      <c r="ID39" s="17">
        <f>IF(AND(235&gt;=$B$13,235&lt;=$D$13),1,0)</f>
        <v/>
      </c>
      <c r="IE39" s="17">
        <f>IF(AND(236&gt;=$B$13,236&lt;=$D$13),1,0)</f>
        <v/>
      </c>
      <c r="IF39" s="17">
        <f>IF(AND(237&gt;=$B$13,237&lt;=$D$13),1,0)</f>
        <v/>
      </c>
      <c r="IG39" s="17">
        <f>IF(AND(238&gt;=$B$13,238&lt;=$D$13),1,0)</f>
        <v/>
      </c>
      <c r="IH39" s="17">
        <f>IF(AND(239&gt;=$B$13,239&lt;=$D$13),1,0)</f>
        <v/>
      </c>
      <c r="II39" s="17">
        <f>IF(AND(240&gt;=$B$13,240&lt;=$D$13),1,0)</f>
        <v/>
      </c>
      <c r="IJ39" s="17">
        <f>IF(AND(241&gt;=$B$13,241&lt;=$D$13),1,0)</f>
        <v/>
      </c>
      <c r="IK39" s="17">
        <f>IF(AND(242&gt;=$B$13,242&lt;=$D$13),1,0)</f>
        <v/>
      </c>
      <c r="IL39" s="17">
        <f>IF(AND(243&gt;=$B$13,243&lt;=$D$13),1,0)</f>
        <v/>
      </c>
      <c r="IM39" s="17">
        <f>IF(AND(244&gt;=$B$13,244&lt;=$D$13),1,0)</f>
        <v/>
      </c>
      <c r="IN39" s="17">
        <f>IF(AND(245&gt;=$B$13,245&lt;=$D$13),1,0)</f>
        <v/>
      </c>
      <c r="IO39" s="17">
        <f>IF(AND(246&gt;=$B$13,246&lt;=$D$13),1,0)</f>
        <v/>
      </c>
      <c r="IP39" s="17">
        <f>IF(AND(247&gt;=$B$13,247&lt;=$D$13),1,0)</f>
        <v/>
      </c>
      <c r="IQ39" s="17">
        <f>IF(AND(248&gt;=$B$13,248&lt;=$D$13),1,0)</f>
        <v/>
      </c>
      <c r="IR39" s="17">
        <f>IF(AND(249&gt;=$B$13,249&lt;=$D$13),1,0)</f>
        <v/>
      </c>
      <c r="IS39" s="17">
        <f>IF(AND(250&gt;=$B$13,250&lt;=$D$13),1,0)</f>
        <v/>
      </c>
      <c r="IT39" s="17">
        <f>IF(AND(251&gt;=$B$13,251&lt;=$D$13),1,0)</f>
        <v/>
      </c>
      <c r="IU39" s="17">
        <f>IF(AND(252&gt;=$B$13,252&lt;=$D$13),1,0)</f>
        <v/>
      </c>
      <c r="IV39" s="17">
        <f>IF(AND(253&gt;=$B$13,253&lt;=$D$13),1,0)</f>
        <v/>
      </c>
      <c r="IW39" s="17">
        <f>IF(AND(254&gt;=$B$13,254&lt;=$D$13),1,0)</f>
        <v/>
      </c>
      <c r="IX39" s="17">
        <f>IF(AND(255&gt;=$B$13,255&lt;=$D$13),1,0)</f>
        <v/>
      </c>
      <c r="IY39" s="17">
        <f>IF(AND(256&gt;=$B$13,256&lt;=$D$13),1,0)</f>
        <v/>
      </c>
      <c r="IZ39" s="17">
        <f>IF(AND(257&gt;=$B$13,257&lt;=$D$13),1,0)</f>
        <v/>
      </c>
      <c r="JA39" s="17">
        <f>IF(AND(258&gt;=$B$13,258&lt;=$D$13),1,0)</f>
        <v/>
      </c>
      <c r="JB39" s="17">
        <f>IF(AND(259&gt;=$B$13,259&lt;=$D$13),1,0)</f>
        <v/>
      </c>
      <c r="JC39" s="17">
        <f>IF(AND(260&gt;=$B$13,260&lt;=$D$13),1,0)</f>
        <v/>
      </c>
      <c r="JD39" s="17">
        <f>IF(AND(261&gt;=$B$13,261&lt;=$D$13),1,0)</f>
        <v/>
      </c>
      <c r="JE39" s="17">
        <f>IF(AND(262&gt;=$B$13,262&lt;=$D$13),1,0)</f>
        <v/>
      </c>
      <c r="JF39" s="17">
        <f>IF(AND(263&gt;=$B$13,263&lt;=$D$13),1,0)</f>
        <v/>
      </c>
      <c r="JG39" s="17">
        <f>IF(AND(264&gt;=$B$13,264&lt;=$D$13),1,0)</f>
        <v/>
      </c>
      <c r="JH39" s="17">
        <f>IF(AND(265&gt;=$B$13,265&lt;=$D$13),1,0)</f>
        <v/>
      </c>
      <c r="JI39" s="17">
        <f>IF(AND(266&gt;=$B$13,266&lt;=$D$13),1,0)</f>
        <v/>
      </c>
      <c r="JJ39" s="17">
        <f>IF(AND(267&gt;=$B$13,267&lt;=$D$13),1,0)</f>
        <v/>
      </c>
      <c r="JK39" s="17">
        <f>IF(AND(268&gt;=$B$13,268&lt;=$D$13),1,0)</f>
        <v/>
      </c>
      <c r="JL39" s="17">
        <f>IF(AND(269&gt;=$B$13,269&lt;=$D$13),1,0)</f>
        <v/>
      </c>
      <c r="JM39" s="17">
        <f>IF(AND(270&gt;=$B$13,270&lt;=$D$13),1,0)</f>
        <v/>
      </c>
      <c r="JN39" s="17">
        <f>IF(AND(271&gt;=$B$13,271&lt;=$D$13),1,0)</f>
        <v/>
      </c>
      <c r="JO39" s="17">
        <f>IF(AND(272&gt;=$B$13,272&lt;=$D$13),1,0)</f>
        <v/>
      </c>
      <c r="JP39" s="17">
        <f>IF(AND(273&gt;=$B$13,273&lt;=$D$13),1,0)</f>
        <v/>
      </c>
      <c r="JQ39" s="17">
        <f>IF(AND(274&gt;=$B$13,274&lt;=$D$13),1,0)</f>
        <v/>
      </c>
      <c r="JR39" s="17">
        <f>IF(AND(275&gt;=$B$13,275&lt;=$D$13),1,0)</f>
        <v/>
      </c>
      <c r="JS39" s="17">
        <f>IF(AND(276&gt;=$B$13,276&lt;=$D$13),1,0)</f>
        <v/>
      </c>
      <c r="JT39" s="17">
        <f>IF(AND(277&gt;=$B$13,277&lt;=$D$13),1,0)</f>
        <v/>
      </c>
      <c r="JU39" s="17">
        <f>IF(AND(278&gt;=$B$13,278&lt;=$D$13),1,0)</f>
        <v/>
      </c>
      <c r="JV39" s="17">
        <f>IF(AND(279&gt;=$B$13,279&lt;=$D$13),1,0)</f>
        <v/>
      </c>
      <c r="JW39" s="17">
        <f>IF(AND(280&gt;=$B$13,280&lt;=$D$13),1,0)</f>
        <v/>
      </c>
      <c r="JX39" s="17">
        <f>IF(AND(281&gt;=$B$13,281&lt;=$D$13),1,0)</f>
        <v/>
      </c>
      <c r="JY39" s="17">
        <f>IF(AND(282&gt;=$B$13,282&lt;=$D$13),1,0)</f>
        <v/>
      </c>
      <c r="JZ39" s="17">
        <f>IF(AND(283&gt;=$B$13,283&lt;=$D$13),1,0)</f>
        <v/>
      </c>
      <c r="KA39" s="17">
        <f>IF(AND(284&gt;=$B$13,284&lt;=$D$13),1,0)</f>
        <v/>
      </c>
      <c r="KB39" s="17">
        <f>IF(AND(285&gt;=$B$13,285&lt;=$D$13),1,0)</f>
        <v/>
      </c>
      <c r="KC39" s="17">
        <f>IF(AND(286&gt;=$B$13,286&lt;=$D$13),1,0)</f>
        <v/>
      </c>
      <c r="KD39" s="17">
        <f>IF(AND(287&gt;=$B$13,287&lt;=$D$13),1,0)</f>
        <v/>
      </c>
      <c r="KE39" s="17">
        <f>IF(AND(288&gt;=$B$13,288&lt;=$D$13),1,0)</f>
        <v/>
      </c>
      <c r="KF39" s="17">
        <f>IF(AND(289&gt;=$B$13,289&lt;=$D$13),1,0)</f>
        <v/>
      </c>
      <c r="KG39" s="17">
        <f>IF(AND(290&gt;=$B$13,290&lt;=$D$13),1,0)</f>
        <v/>
      </c>
      <c r="KH39" s="17">
        <f>IF(AND(291&gt;=$B$13,291&lt;=$D$13),1,0)</f>
        <v/>
      </c>
      <c r="KI39" s="17">
        <f>IF(AND(292&gt;=$B$13,292&lt;=$D$13),1,0)</f>
        <v/>
      </c>
      <c r="KJ39" s="17">
        <f>IF(AND(293&gt;=$B$13,293&lt;=$D$13),1,0)</f>
        <v/>
      </c>
      <c r="KK39" s="17">
        <f>IF(AND(294&gt;=$B$13,294&lt;=$D$13),1,0)</f>
        <v/>
      </c>
      <c r="KL39" s="17">
        <f>IF(AND(295&gt;=$B$13,295&lt;=$D$13),1,0)</f>
        <v/>
      </c>
      <c r="KM39" s="17">
        <f>IF(AND(296&gt;=$B$13,296&lt;=$D$13),1,0)</f>
        <v/>
      </c>
      <c r="KN39" s="17">
        <f>IF(AND(297&gt;=$B$13,297&lt;=$D$13),1,0)</f>
        <v/>
      </c>
      <c r="KO39" s="17">
        <f>IF(AND(298&gt;=$B$13,298&lt;=$D$13),1,0)</f>
        <v/>
      </c>
      <c r="KP39" s="17">
        <f>IF(AND(299&gt;=$B$13,299&lt;=$D$13),1,0)</f>
        <v/>
      </c>
      <c r="KQ39" s="17">
        <f>IF(AND(300&gt;=$B$13,300&lt;=$D$13),1,0)</f>
        <v/>
      </c>
      <c r="KR39" s="17">
        <f>IF(AND(301&gt;=$B$13,301&lt;=$D$13),1,0)</f>
        <v/>
      </c>
      <c r="KS39" s="17">
        <f>IF(AND(302&gt;=$B$13,302&lt;=$D$13),1,0)</f>
        <v/>
      </c>
      <c r="KT39" s="17">
        <f>IF(AND(303&gt;=$B$13,303&lt;=$D$13),1,0)</f>
        <v/>
      </c>
      <c r="KU39" s="17">
        <f>IF(AND(304&gt;=$B$13,304&lt;=$D$13),1,0)</f>
        <v/>
      </c>
      <c r="KV39" s="17">
        <f>IF(AND(305&gt;=$B$13,305&lt;=$D$13),1,0)</f>
        <v/>
      </c>
      <c r="KW39" s="17">
        <f>IF(AND(306&gt;=$B$13,306&lt;=$D$13),1,0)</f>
        <v/>
      </c>
      <c r="KX39" s="17">
        <f>IF(AND(307&gt;=$B$13,307&lt;=$D$13),1,0)</f>
        <v/>
      </c>
      <c r="KY39" s="17">
        <f>IF(AND(308&gt;=$B$13,308&lt;=$D$13),1,0)</f>
        <v/>
      </c>
      <c r="KZ39" s="17">
        <f>IF(AND(309&gt;=$B$13,309&lt;=$D$13),1,0)</f>
        <v/>
      </c>
      <c r="LA39" s="17">
        <f>IF(AND(310&gt;=$B$13,310&lt;=$D$13),1,0)</f>
        <v/>
      </c>
      <c r="LB39" s="17">
        <f>IF(AND(311&gt;=$B$13,311&lt;=$D$13),1,0)</f>
        <v/>
      </c>
      <c r="LC39" s="17">
        <f>IF(AND(312&gt;=$B$13,312&lt;=$D$13),1,0)</f>
        <v/>
      </c>
      <c r="LD39" s="17">
        <f>IF(AND(313&gt;=$B$13,313&lt;=$D$13),1,0)</f>
        <v/>
      </c>
      <c r="LE39" s="17">
        <f>IF(AND(314&gt;=$B$13,314&lt;=$D$13),1,0)</f>
        <v/>
      </c>
      <c r="LF39" s="17">
        <f>IF(AND(315&gt;=$B$13,315&lt;=$D$13),1,0)</f>
        <v/>
      </c>
      <c r="LG39" s="17">
        <f>IF(AND(316&gt;=$B$13,316&lt;=$D$13),1,0)</f>
        <v/>
      </c>
      <c r="LH39" s="17">
        <f>IF(AND(317&gt;=$B$13,317&lt;=$D$13),1,0)</f>
        <v/>
      </c>
      <c r="LI39" s="17">
        <f>IF(AND(318&gt;=$B$13,318&lt;=$D$13),1,0)</f>
        <v/>
      </c>
      <c r="LJ39" s="17">
        <f>IF(AND(319&gt;=$B$13,319&lt;=$D$13),1,0)</f>
        <v/>
      </c>
      <c r="LK39" s="17">
        <f>IF(AND(320&gt;=$B$13,320&lt;=$D$13),1,0)</f>
        <v/>
      </c>
      <c r="LL39" s="17">
        <f>IF(AND(321&gt;=$B$13,321&lt;=$D$13),1,0)</f>
        <v/>
      </c>
      <c r="LM39" s="17">
        <f>IF(AND(322&gt;=$B$13,322&lt;=$D$13),1,0)</f>
        <v/>
      </c>
      <c r="LN39" s="17">
        <f>IF(AND(323&gt;=$B$13,323&lt;=$D$13),1,0)</f>
        <v/>
      </c>
      <c r="LO39" s="17">
        <f>IF(AND(324&gt;=$B$13,324&lt;=$D$13),1,0)</f>
        <v/>
      </c>
      <c r="LP39" s="17">
        <f>IF(AND(325&gt;=$B$13,325&lt;=$D$13),1,0)</f>
        <v/>
      </c>
      <c r="LQ39" s="17">
        <f>IF(AND(326&gt;=$B$13,326&lt;=$D$13),1,0)</f>
        <v/>
      </c>
      <c r="LR39" s="17">
        <f>IF(AND(327&gt;=$B$13,327&lt;=$D$13),1,0)</f>
        <v/>
      </c>
      <c r="LS39" s="17">
        <f>IF(AND(328&gt;=$B$13,328&lt;=$D$13),1,0)</f>
        <v/>
      </c>
      <c r="LT39" s="17">
        <f>IF(AND(329&gt;=$B$13,329&lt;=$D$13),1,0)</f>
        <v/>
      </c>
      <c r="LU39" s="17">
        <f>IF(AND(330&gt;=$B$13,330&lt;=$D$13),1,0)</f>
        <v/>
      </c>
      <c r="LV39" s="17">
        <f>IF(AND(331&gt;=$B$13,331&lt;=$D$13),1,0)</f>
        <v/>
      </c>
      <c r="LW39" s="17">
        <f>IF(AND(332&gt;=$B$13,332&lt;=$D$13),1,0)</f>
        <v/>
      </c>
      <c r="LX39" s="17">
        <f>IF(AND(333&gt;=$B$13,333&lt;=$D$13),1,0)</f>
        <v/>
      </c>
      <c r="LY39" s="17">
        <f>IF(AND(334&gt;=$B$13,334&lt;=$D$13),1,0)</f>
        <v/>
      </c>
      <c r="LZ39" s="17">
        <f>IF(AND(335&gt;=$B$13,335&lt;=$D$13),1,0)</f>
        <v/>
      </c>
      <c r="MA39" s="17">
        <f>IF(AND(336&gt;=$B$13,336&lt;=$D$13),1,0)</f>
        <v/>
      </c>
      <c r="MB39" s="17">
        <f>IF(AND(337&gt;=$B$13,337&lt;=$D$13),1,0)</f>
        <v/>
      </c>
      <c r="MC39" s="17">
        <f>IF(AND(338&gt;=$B$13,338&lt;=$D$13),1,0)</f>
        <v/>
      </c>
      <c r="MD39" s="17">
        <f>IF(AND(339&gt;=$B$13,339&lt;=$D$13),1,0)</f>
        <v/>
      </c>
      <c r="ME39" s="17">
        <f>IF(AND(340&gt;=$B$13,340&lt;=$D$13),1,0)</f>
        <v/>
      </c>
      <c r="MF39" s="17">
        <f>IF(AND(341&gt;=$B$13,341&lt;=$D$13),1,0)</f>
        <v/>
      </c>
      <c r="MG39" s="17">
        <f>IF(AND(342&gt;=$B$13,342&lt;=$D$13),1,0)</f>
        <v/>
      </c>
      <c r="MH39" s="17">
        <f>IF(AND(343&gt;=$B$13,343&lt;=$D$13),1,0)</f>
        <v/>
      </c>
      <c r="MI39" s="17">
        <f>IF(AND(344&gt;=$B$13,344&lt;=$D$13),1,0)</f>
        <v/>
      </c>
      <c r="MJ39" s="17">
        <f>IF(AND(345&gt;=$B$13,345&lt;=$D$13),1,0)</f>
        <v/>
      </c>
      <c r="MK39" s="17">
        <f>IF(AND(346&gt;=$B$13,346&lt;=$D$13),1,0)</f>
        <v/>
      </c>
      <c r="ML39" s="17">
        <f>IF(AND(347&gt;=$B$13,347&lt;=$D$13),1,0)</f>
        <v/>
      </c>
      <c r="MM39" s="17">
        <f>IF(AND(348&gt;=$B$13,348&lt;=$D$13),1,0)</f>
        <v/>
      </c>
      <c r="MN39" s="17">
        <f>IF(AND(349&gt;=$B$13,349&lt;=$D$13),1,0)</f>
        <v/>
      </c>
      <c r="MO39" s="17">
        <f>IF(AND(350&gt;=$B$13,350&lt;=$D$13),1,0)</f>
        <v/>
      </c>
      <c r="MP39" s="17">
        <f>IF(AND(351&gt;=$B$13,351&lt;=$D$13),1,0)</f>
        <v/>
      </c>
      <c r="MQ39" s="17">
        <f>IF(AND(352&gt;=$B$13,352&lt;=$D$13),1,0)</f>
        <v/>
      </c>
      <c r="MR39" s="17">
        <f>IF(AND(353&gt;=$B$13,353&lt;=$D$13),1,0)</f>
        <v/>
      </c>
      <c r="MS39" s="17">
        <f>IF(AND(354&gt;=$B$13,354&lt;=$D$13),1,0)</f>
        <v/>
      </c>
      <c r="MT39" s="17">
        <f>IF(AND(355&gt;=$B$13,355&lt;=$D$13),1,0)</f>
        <v/>
      </c>
      <c r="MU39" s="17">
        <f>IF(AND(356&gt;=$B$13,356&lt;=$D$13),1,0)</f>
        <v/>
      </c>
      <c r="MV39" s="17">
        <f>IF(AND(357&gt;=$B$13,357&lt;=$D$13),1,0)</f>
        <v/>
      </c>
      <c r="MW39" s="17">
        <f>IF(AND(358&gt;=$B$13,358&lt;=$D$13),1,0)</f>
        <v/>
      </c>
      <c r="MX39" s="17">
        <f>IF(AND(359&gt;=$B$13,359&lt;=$D$13),1,0)</f>
        <v/>
      </c>
      <c r="MY39" s="17">
        <f>IF(AND(360&gt;=$B$13,360&lt;=$D$13),1,0)</f>
        <v/>
      </c>
      <c r="MZ39" s="17">
        <f>IF(AND(361&gt;=$B$13,361&lt;=$D$13),1,0)</f>
        <v/>
      </c>
      <c r="NA39" s="17">
        <f>IF(AND(362&gt;=$B$13,362&lt;=$D$13),1,0)</f>
        <v/>
      </c>
      <c r="NB39" s="17">
        <f>IF(AND(363&gt;=$B$13,363&lt;=$D$13),1,0)</f>
        <v/>
      </c>
      <c r="NC39" s="17">
        <f>IF(AND(364&gt;=$B$13,364&lt;=$D$13),1,0)</f>
        <v/>
      </c>
      <c r="ND39" s="17">
        <f>IF(AND(365&gt;=$B$13,365&lt;=$D$13),1,0)</f>
        <v/>
      </c>
      <c r="NE39" s="17">
        <f>IF(AND(366&gt;=$B$13,366&lt;=$D$13),1,0)</f>
        <v/>
      </c>
      <c r="NF39" s="17">
        <f>IF(AND(367&gt;=$B$13,367&lt;=$D$13),1,0)</f>
        <v/>
      </c>
      <c r="NG39" s="17">
        <f>IF(AND(368&gt;=$B$13,368&lt;=$D$13),1,0)</f>
        <v/>
      </c>
      <c r="NH39" s="17">
        <f>IF(AND(369&gt;=$B$13,369&lt;=$D$13),1,0)</f>
        <v/>
      </c>
      <c r="NI39" s="17">
        <f>IF(AND(370&gt;=$B$13,370&lt;=$D$13),1,0)</f>
        <v/>
      </c>
      <c r="NJ39" s="17">
        <f>IF(AND(371&gt;=$B$13,371&lt;=$D$13),1,0)</f>
        <v/>
      </c>
      <c r="NK39" s="17">
        <f>IF(AND(372&gt;=$B$13,372&lt;=$D$13),1,0)</f>
        <v/>
      </c>
    </row>
    <row r="40">
      <c r="A40" s="5" t="inlineStr">
        <is>
          <t>Flag: Disposition</t>
        </is>
      </c>
      <c r="C40" s="40" t="n"/>
      <c r="D40" s="17">
        <f>IF(AND(1&gt;=$B$14,1&lt;=$D$14),1,0)</f>
        <v/>
      </c>
      <c r="E40" s="17">
        <f>IF(AND(2&gt;=$B$14,2&lt;=$D$14),1,0)</f>
        <v/>
      </c>
      <c r="F40" s="17">
        <f>IF(AND(3&gt;=$B$14,3&lt;=$D$14),1,0)</f>
        <v/>
      </c>
      <c r="G40" s="17">
        <f>IF(AND(4&gt;=$B$14,4&lt;=$D$14),1,0)</f>
        <v/>
      </c>
      <c r="H40" s="17">
        <f>IF(AND(5&gt;=$B$14,5&lt;=$D$14),1,0)</f>
        <v/>
      </c>
      <c r="I40" s="17">
        <f>IF(AND(6&gt;=$B$14,6&lt;=$D$14),1,0)</f>
        <v/>
      </c>
      <c r="J40" s="17">
        <f>IF(AND(7&gt;=$B$14,7&lt;=$D$14),1,0)</f>
        <v/>
      </c>
      <c r="K40" s="17">
        <f>IF(AND(8&gt;=$B$14,8&lt;=$D$14),1,0)</f>
        <v/>
      </c>
      <c r="L40" s="17">
        <f>IF(AND(9&gt;=$B$14,9&lt;=$D$14),1,0)</f>
        <v/>
      </c>
      <c r="M40" s="17">
        <f>IF(AND(10&gt;=$B$14,10&lt;=$D$14),1,0)</f>
        <v/>
      </c>
      <c r="N40" s="17">
        <f>IF(AND(11&gt;=$B$14,11&lt;=$D$14),1,0)</f>
        <v/>
      </c>
      <c r="O40" s="17">
        <f>IF(AND(12&gt;=$B$14,12&lt;=$D$14),1,0)</f>
        <v/>
      </c>
      <c r="P40" s="17">
        <f>IF(AND(13&gt;=$B$14,13&lt;=$D$14),1,0)</f>
        <v/>
      </c>
      <c r="Q40" s="17">
        <f>IF(AND(14&gt;=$B$14,14&lt;=$D$14),1,0)</f>
        <v/>
      </c>
      <c r="R40" s="17">
        <f>IF(AND(15&gt;=$B$14,15&lt;=$D$14),1,0)</f>
        <v/>
      </c>
      <c r="S40" s="17">
        <f>IF(AND(16&gt;=$B$14,16&lt;=$D$14),1,0)</f>
        <v/>
      </c>
      <c r="T40" s="17">
        <f>IF(AND(17&gt;=$B$14,17&lt;=$D$14),1,0)</f>
        <v/>
      </c>
      <c r="U40" s="17">
        <f>IF(AND(18&gt;=$B$14,18&lt;=$D$14),1,0)</f>
        <v/>
      </c>
      <c r="V40" s="17">
        <f>IF(AND(19&gt;=$B$14,19&lt;=$D$14),1,0)</f>
        <v/>
      </c>
      <c r="W40" s="17">
        <f>IF(AND(20&gt;=$B$14,20&lt;=$D$14),1,0)</f>
        <v/>
      </c>
      <c r="X40" s="17">
        <f>IF(AND(21&gt;=$B$14,21&lt;=$D$14),1,0)</f>
        <v/>
      </c>
      <c r="Y40" s="17">
        <f>IF(AND(22&gt;=$B$14,22&lt;=$D$14),1,0)</f>
        <v/>
      </c>
      <c r="Z40" s="17">
        <f>IF(AND(23&gt;=$B$14,23&lt;=$D$14),1,0)</f>
        <v/>
      </c>
      <c r="AA40" s="17">
        <f>IF(AND(24&gt;=$B$14,24&lt;=$D$14),1,0)</f>
        <v/>
      </c>
      <c r="AB40" s="17">
        <f>IF(AND(25&gt;=$B$14,25&lt;=$D$14),1,0)</f>
        <v/>
      </c>
      <c r="AC40" s="17">
        <f>IF(AND(26&gt;=$B$14,26&lt;=$D$14),1,0)</f>
        <v/>
      </c>
      <c r="AD40" s="17">
        <f>IF(AND(27&gt;=$B$14,27&lt;=$D$14),1,0)</f>
        <v/>
      </c>
      <c r="AE40" s="17">
        <f>IF(AND(28&gt;=$B$14,28&lt;=$D$14),1,0)</f>
        <v/>
      </c>
      <c r="AF40" s="17">
        <f>IF(AND(29&gt;=$B$14,29&lt;=$D$14),1,0)</f>
        <v/>
      </c>
      <c r="AG40" s="17">
        <f>IF(AND(30&gt;=$B$14,30&lt;=$D$14),1,0)</f>
        <v/>
      </c>
      <c r="AH40" s="17">
        <f>IF(AND(31&gt;=$B$14,31&lt;=$D$14),1,0)</f>
        <v/>
      </c>
      <c r="AI40" s="17">
        <f>IF(AND(32&gt;=$B$14,32&lt;=$D$14),1,0)</f>
        <v/>
      </c>
      <c r="AJ40" s="17">
        <f>IF(AND(33&gt;=$B$14,33&lt;=$D$14),1,0)</f>
        <v/>
      </c>
      <c r="AK40" s="17">
        <f>IF(AND(34&gt;=$B$14,34&lt;=$D$14),1,0)</f>
        <v/>
      </c>
      <c r="AL40" s="17">
        <f>IF(AND(35&gt;=$B$14,35&lt;=$D$14),1,0)</f>
        <v/>
      </c>
      <c r="AM40" s="17">
        <f>IF(AND(36&gt;=$B$14,36&lt;=$D$14),1,0)</f>
        <v/>
      </c>
      <c r="AN40" s="17">
        <f>IF(AND(37&gt;=$B$14,37&lt;=$D$14),1,0)</f>
        <v/>
      </c>
      <c r="AO40" s="17">
        <f>IF(AND(38&gt;=$B$14,38&lt;=$D$14),1,0)</f>
        <v/>
      </c>
      <c r="AP40" s="17">
        <f>IF(AND(39&gt;=$B$14,39&lt;=$D$14),1,0)</f>
        <v/>
      </c>
      <c r="AQ40" s="17">
        <f>IF(AND(40&gt;=$B$14,40&lt;=$D$14),1,0)</f>
        <v/>
      </c>
      <c r="AR40" s="17">
        <f>IF(AND(41&gt;=$B$14,41&lt;=$D$14),1,0)</f>
        <v/>
      </c>
      <c r="AS40" s="17">
        <f>IF(AND(42&gt;=$B$14,42&lt;=$D$14),1,0)</f>
        <v/>
      </c>
      <c r="AT40" s="17">
        <f>IF(AND(43&gt;=$B$14,43&lt;=$D$14),1,0)</f>
        <v/>
      </c>
      <c r="AU40" s="17">
        <f>IF(AND(44&gt;=$B$14,44&lt;=$D$14),1,0)</f>
        <v/>
      </c>
      <c r="AV40" s="17">
        <f>IF(AND(45&gt;=$B$14,45&lt;=$D$14),1,0)</f>
        <v/>
      </c>
      <c r="AW40" s="17">
        <f>IF(AND(46&gt;=$B$14,46&lt;=$D$14),1,0)</f>
        <v/>
      </c>
      <c r="AX40" s="17">
        <f>IF(AND(47&gt;=$B$14,47&lt;=$D$14),1,0)</f>
        <v/>
      </c>
      <c r="AY40" s="17">
        <f>IF(AND(48&gt;=$B$14,48&lt;=$D$14),1,0)</f>
        <v/>
      </c>
      <c r="AZ40" s="17">
        <f>IF(AND(49&gt;=$B$14,49&lt;=$D$14),1,0)</f>
        <v/>
      </c>
      <c r="BA40" s="17">
        <f>IF(AND(50&gt;=$B$14,50&lt;=$D$14),1,0)</f>
        <v/>
      </c>
      <c r="BB40" s="17">
        <f>IF(AND(51&gt;=$B$14,51&lt;=$D$14),1,0)</f>
        <v/>
      </c>
      <c r="BC40" s="17">
        <f>IF(AND(52&gt;=$B$14,52&lt;=$D$14),1,0)</f>
        <v/>
      </c>
      <c r="BD40" s="17">
        <f>IF(AND(53&gt;=$B$14,53&lt;=$D$14),1,0)</f>
        <v/>
      </c>
      <c r="BE40" s="17">
        <f>IF(AND(54&gt;=$B$14,54&lt;=$D$14),1,0)</f>
        <v/>
      </c>
      <c r="BF40" s="17">
        <f>IF(AND(55&gt;=$B$14,55&lt;=$D$14),1,0)</f>
        <v/>
      </c>
      <c r="BG40" s="17">
        <f>IF(AND(56&gt;=$B$14,56&lt;=$D$14),1,0)</f>
        <v/>
      </c>
      <c r="BH40" s="17">
        <f>IF(AND(57&gt;=$B$14,57&lt;=$D$14),1,0)</f>
        <v/>
      </c>
      <c r="BI40" s="17">
        <f>IF(AND(58&gt;=$B$14,58&lt;=$D$14),1,0)</f>
        <v/>
      </c>
      <c r="BJ40" s="17">
        <f>IF(AND(59&gt;=$B$14,59&lt;=$D$14),1,0)</f>
        <v/>
      </c>
      <c r="BK40" s="17">
        <f>IF(AND(60&gt;=$B$14,60&lt;=$D$14),1,0)</f>
        <v/>
      </c>
      <c r="BL40" s="17">
        <f>IF(AND(61&gt;=$B$14,61&lt;=$D$14),1,0)</f>
        <v/>
      </c>
      <c r="BM40" s="17">
        <f>IF(AND(62&gt;=$B$14,62&lt;=$D$14),1,0)</f>
        <v/>
      </c>
      <c r="BN40" s="17">
        <f>IF(AND(63&gt;=$B$14,63&lt;=$D$14),1,0)</f>
        <v/>
      </c>
      <c r="BO40" s="17">
        <f>IF(AND(64&gt;=$B$14,64&lt;=$D$14),1,0)</f>
        <v/>
      </c>
      <c r="BP40" s="17">
        <f>IF(AND(65&gt;=$B$14,65&lt;=$D$14),1,0)</f>
        <v/>
      </c>
      <c r="BQ40" s="17">
        <f>IF(AND(66&gt;=$B$14,66&lt;=$D$14),1,0)</f>
        <v/>
      </c>
      <c r="BR40" s="17">
        <f>IF(AND(67&gt;=$B$14,67&lt;=$D$14),1,0)</f>
        <v/>
      </c>
      <c r="BS40" s="17">
        <f>IF(AND(68&gt;=$B$14,68&lt;=$D$14),1,0)</f>
        <v/>
      </c>
      <c r="BT40" s="17">
        <f>IF(AND(69&gt;=$B$14,69&lt;=$D$14),1,0)</f>
        <v/>
      </c>
      <c r="BU40" s="17">
        <f>IF(AND(70&gt;=$B$14,70&lt;=$D$14),1,0)</f>
        <v/>
      </c>
      <c r="BV40" s="17">
        <f>IF(AND(71&gt;=$B$14,71&lt;=$D$14),1,0)</f>
        <v/>
      </c>
      <c r="BW40" s="17">
        <f>IF(AND(72&gt;=$B$14,72&lt;=$D$14),1,0)</f>
        <v/>
      </c>
      <c r="BX40" s="17">
        <f>IF(AND(73&gt;=$B$14,73&lt;=$D$14),1,0)</f>
        <v/>
      </c>
      <c r="BY40" s="17">
        <f>IF(AND(74&gt;=$B$14,74&lt;=$D$14),1,0)</f>
        <v/>
      </c>
      <c r="BZ40" s="17">
        <f>IF(AND(75&gt;=$B$14,75&lt;=$D$14),1,0)</f>
        <v/>
      </c>
      <c r="CA40" s="17">
        <f>IF(AND(76&gt;=$B$14,76&lt;=$D$14),1,0)</f>
        <v/>
      </c>
      <c r="CB40" s="17">
        <f>IF(AND(77&gt;=$B$14,77&lt;=$D$14),1,0)</f>
        <v/>
      </c>
      <c r="CC40" s="17">
        <f>IF(AND(78&gt;=$B$14,78&lt;=$D$14),1,0)</f>
        <v/>
      </c>
      <c r="CD40" s="17">
        <f>IF(AND(79&gt;=$B$14,79&lt;=$D$14),1,0)</f>
        <v/>
      </c>
      <c r="CE40" s="17">
        <f>IF(AND(80&gt;=$B$14,80&lt;=$D$14),1,0)</f>
        <v/>
      </c>
      <c r="CF40" s="17">
        <f>IF(AND(81&gt;=$B$14,81&lt;=$D$14),1,0)</f>
        <v/>
      </c>
      <c r="CG40" s="17">
        <f>IF(AND(82&gt;=$B$14,82&lt;=$D$14),1,0)</f>
        <v/>
      </c>
      <c r="CH40" s="17">
        <f>IF(AND(83&gt;=$B$14,83&lt;=$D$14),1,0)</f>
        <v/>
      </c>
      <c r="CI40" s="17">
        <f>IF(AND(84&gt;=$B$14,84&lt;=$D$14),1,0)</f>
        <v/>
      </c>
      <c r="CJ40" s="17">
        <f>IF(AND(85&gt;=$B$14,85&lt;=$D$14),1,0)</f>
        <v/>
      </c>
      <c r="CK40" s="17">
        <f>IF(AND(86&gt;=$B$14,86&lt;=$D$14),1,0)</f>
        <v/>
      </c>
      <c r="CL40" s="17">
        <f>IF(AND(87&gt;=$B$14,87&lt;=$D$14),1,0)</f>
        <v/>
      </c>
      <c r="CM40" s="17">
        <f>IF(AND(88&gt;=$B$14,88&lt;=$D$14),1,0)</f>
        <v/>
      </c>
      <c r="CN40" s="17">
        <f>IF(AND(89&gt;=$B$14,89&lt;=$D$14),1,0)</f>
        <v/>
      </c>
      <c r="CO40" s="17">
        <f>IF(AND(90&gt;=$B$14,90&lt;=$D$14),1,0)</f>
        <v/>
      </c>
      <c r="CP40" s="17">
        <f>IF(AND(91&gt;=$B$14,91&lt;=$D$14),1,0)</f>
        <v/>
      </c>
      <c r="CQ40" s="17">
        <f>IF(AND(92&gt;=$B$14,92&lt;=$D$14),1,0)</f>
        <v/>
      </c>
      <c r="CR40" s="17">
        <f>IF(AND(93&gt;=$B$14,93&lt;=$D$14),1,0)</f>
        <v/>
      </c>
      <c r="CS40" s="17">
        <f>IF(AND(94&gt;=$B$14,94&lt;=$D$14),1,0)</f>
        <v/>
      </c>
      <c r="CT40" s="17">
        <f>IF(AND(95&gt;=$B$14,95&lt;=$D$14),1,0)</f>
        <v/>
      </c>
      <c r="CU40" s="17">
        <f>IF(AND(96&gt;=$B$14,96&lt;=$D$14),1,0)</f>
        <v/>
      </c>
      <c r="CV40" s="17">
        <f>IF(AND(97&gt;=$B$14,97&lt;=$D$14),1,0)</f>
        <v/>
      </c>
      <c r="CW40" s="17">
        <f>IF(AND(98&gt;=$B$14,98&lt;=$D$14),1,0)</f>
        <v/>
      </c>
      <c r="CX40" s="17">
        <f>IF(AND(99&gt;=$B$14,99&lt;=$D$14),1,0)</f>
        <v/>
      </c>
      <c r="CY40" s="17">
        <f>IF(AND(100&gt;=$B$14,100&lt;=$D$14),1,0)</f>
        <v/>
      </c>
      <c r="CZ40" s="17">
        <f>IF(AND(101&gt;=$B$14,101&lt;=$D$14),1,0)</f>
        <v/>
      </c>
      <c r="DA40" s="17">
        <f>IF(AND(102&gt;=$B$14,102&lt;=$D$14),1,0)</f>
        <v/>
      </c>
      <c r="DB40" s="17">
        <f>IF(AND(103&gt;=$B$14,103&lt;=$D$14),1,0)</f>
        <v/>
      </c>
      <c r="DC40" s="17">
        <f>IF(AND(104&gt;=$B$14,104&lt;=$D$14),1,0)</f>
        <v/>
      </c>
      <c r="DD40" s="17">
        <f>IF(AND(105&gt;=$B$14,105&lt;=$D$14),1,0)</f>
        <v/>
      </c>
      <c r="DE40" s="17">
        <f>IF(AND(106&gt;=$B$14,106&lt;=$D$14),1,0)</f>
        <v/>
      </c>
      <c r="DF40" s="17">
        <f>IF(AND(107&gt;=$B$14,107&lt;=$D$14),1,0)</f>
        <v/>
      </c>
      <c r="DG40" s="17">
        <f>IF(AND(108&gt;=$B$14,108&lt;=$D$14),1,0)</f>
        <v/>
      </c>
      <c r="DH40" s="17">
        <f>IF(AND(109&gt;=$B$14,109&lt;=$D$14),1,0)</f>
        <v/>
      </c>
      <c r="DI40" s="17">
        <f>IF(AND(110&gt;=$B$14,110&lt;=$D$14),1,0)</f>
        <v/>
      </c>
      <c r="DJ40" s="17">
        <f>IF(AND(111&gt;=$B$14,111&lt;=$D$14),1,0)</f>
        <v/>
      </c>
      <c r="DK40" s="17">
        <f>IF(AND(112&gt;=$B$14,112&lt;=$D$14),1,0)</f>
        <v/>
      </c>
      <c r="DL40" s="17">
        <f>IF(AND(113&gt;=$B$14,113&lt;=$D$14),1,0)</f>
        <v/>
      </c>
      <c r="DM40" s="17">
        <f>IF(AND(114&gt;=$B$14,114&lt;=$D$14),1,0)</f>
        <v/>
      </c>
      <c r="DN40" s="17">
        <f>IF(AND(115&gt;=$B$14,115&lt;=$D$14),1,0)</f>
        <v/>
      </c>
      <c r="DO40" s="17">
        <f>IF(AND(116&gt;=$B$14,116&lt;=$D$14),1,0)</f>
        <v/>
      </c>
      <c r="DP40" s="17">
        <f>IF(AND(117&gt;=$B$14,117&lt;=$D$14),1,0)</f>
        <v/>
      </c>
      <c r="DQ40" s="17">
        <f>IF(AND(118&gt;=$B$14,118&lt;=$D$14),1,0)</f>
        <v/>
      </c>
      <c r="DR40" s="17">
        <f>IF(AND(119&gt;=$B$14,119&lt;=$D$14),1,0)</f>
        <v/>
      </c>
      <c r="DS40" s="17">
        <f>IF(AND(120&gt;=$B$14,120&lt;=$D$14),1,0)</f>
        <v/>
      </c>
      <c r="DT40" s="17">
        <f>IF(AND(121&gt;=$B$14,121&lt;=$D$14),1,0)</f>
        <v/>
      </c>
      <c r="DU40" s="17">
        <f>IF(AND(122&gt;=$B$14,122&lt;=$D$14),1,0)</f>
        <v/>
      </c>
      <c r="DV40" s="17">
        <f>IF(AND(123&gt;=$B$14,123&lt;=$D$14),1,0)</f>
        <v/>
      </c>
      <c r="DW40" s="17">
        <f>IF(AND(124&gt;=$B$14,124&lt;=$D$14),1,0)</f>
        <v/>
      </c>
      <c r="DX40" s="17">
        <f>IF(AND(125&gt;=$B$14,125&lt;=$D$14),1,0)</f>
        <v/>
      </c>
      <c r="DY40" s="17">
        <f>IF(AND(126&gt;=$B$14,126&lt;=$D$14),1,0)</f>
        <v/>
      </c>
      <c r="DZ40" s="17">
        <f>IF(AND(127&gt;=$B$14,127&lt;=$D$14),1,0)</f>
        <v/>
      </c>
      <c r="EA40" s="17">
        <f>IF(AND(128&gt;=$B$14,128&lt;=$D$14),1,0)</f>
        <v/>
      </c>
      <c r="EB40" s="17">
        <f>IF(AND(129&gt;=$B$14,129&lt;=$D$14),1,0)</f>
        <v/>
      </c>
      <c r="EC40" s="17">
        <f>IF(AND(130&gt;=$B$14,130&lt;=$D$14),1,0)</f>
        <v/>
      </c>
      <c r="ED40" s="17">
        <f>IF(AND(131&gt;=$B$14,131&lt;=$D$14),1,0)</f>
        <v/>
      </c>
      <c r="EE40" s="17">
        <f>IF(AND(132&gt;=$B$14,132&lt;=$D$14),1,0)</f>
        <v/>
      </c>
      <c r="EF40" s="17">
        <f>IF(AND(133&gt;=$B$14,133&lt;=$D$14),1,0)</f>
        <v/>
      </c>
      <c r="EG40" s="17">
        <f>IF(AND(134&gt;=$B$14,134&lt;=$D$14),1,0)</f>
        <v/>
      </c>
      <c r="EH40" s="17">
        <f>IF(AND(135&gt;=$B$14,135&lt;=$D$14),1,0)</f>
        <v/>
      </c>
      <c r="EI40" s="17">
        <f>IF(AND(136&gt;=$B$14,136&lt;=$D$14),1,0)</f>
        <v/>
      </c>
      <c r="EJ40" s="17">
        <f>IF(AND(137&gt;=$B$14,137&lt;=$D$14),1,0)</f>
        <v/>
      </c>
      <c r="EK40" s="17">
        <f>IF(AND(138&gt;=$B$14,138&lt;=$D$14),1,0)</f>
        <v/>
      </c>
      <c r="EL40" s="17">
        <f>IF(AND(139&gt;=$B$14,139&lt;=$D$14),1,0)</f>
        <v/>
      </c>
      <c r="EM40" s="17">
        <f>IF(AND(140&gt;=$B$14,140&lt;=$D$14),1,0)</f>
        <v/>
      </c>
      <c r="EN40" s="17">
        <f>IF(AND(141&gt;=$B$14,141&lt;=$D$14),1,0)</f>
        <v/>
      </c>
      <c r="EO40" s="17">
        <f>IF(AND(142&gt;=$B$14,142&lt;=$D$14),1,0)</f>
        <v/>
      </c>
      <c r="EP40" s="17">
        <f>IF(AND(143&gt;=$B$14,143&lt;=$D$14),1,0)</f>
        <v/>
      </c>
      <c r="EQ40" s="17">
        <f>IF(AND(144&gt;=$B$14,144&lt;=$D$14),1,0)</f>
        <v/>
      </c>
      <c r="ER40" s="17">
        <f>IF(AND(145&gt;=$B$14,145&lt;=$D$14),1,0)</f>
        <v/>
      </c>
      <c r="ES40" s="17">
        <f>IF(AND(146&gt;=$B$14,146&lt;=$D$14),1,0)</f>
        <v/>
      </c>
      <c r="ET40" s="17">
        <f>IF(AND(147&gt;=$B$14,147&lt;=$D$14),1,0)</f>
        <v/>
      </c>
      <c r="EU40" s="17">
        <f>IF(AND(148&gt;=$B$14,148&lt;=$D$14),1,0)</f>
        <v/>
      </c>
      <c r="EV40" s="17">
        <f>IF(AND(149&gt;=$B$14,149&lt;=$D$14),1,0)</f>
        <v/>
      </c>
      <c r="EW40" s="17">
        <f>IF(AND(150&gt;=$B$14,150&lt;=$D$14),1,0)</f>
        <v/>
      </c>
      <c r="EX40" s="17">
        <f>IF(AND(151&gt;=$B$14,151&lt;=$D$14),1,0)</f>
        <v/>
      </c>
      <c r="EY40" s="17">
        <f>IF(AND(152&gt;=$B$14,152&lt;=$D$14),1,0)</f>
        <v/>
      </c>
      <c r="EZ40" s="17">
        <f>IF(AND(153&gt;=$B$14,153&lt;=$D$14),1,0)</f>
        <v/>
      </c>
      <c r="FA40" s="17">
        <f>IF(AND(154&gt;=$B$14,154&lt;=$D$14),1,0)</f>
        <v/>
      </c>
      <c r="FB40" s="17">
        <f>IF(AND(155&gt;=$B$14,155&lt;=$D$14),1,0)</f>
        <v/>
      </c>
      <c r="FC40" s="17">
        <f>IF(AND(156&gt;=$B$14,156&lt;=$D$14),1,0)</f>
        <v/>
      </c>
      <c r="FD40" s="17">
        <f>IF(AND(157&gt;=$B$14,157&lt;=$D$14),1,0)</f>
        <v/>
      </c>
      <c r="FE40" s="17">
        <f>IF(AND(158&gt;=$B$14,158&lt;=$D$14),1,0)</f>
        <v/>
      </c>
      <c r="FF40" s="17">
        <f>IF(AND(159&gt;=$B$14,159&lt;=$D$14),1,0)</f>
        <v/>
      </c>
      <c r="FG40" s="17">
        <f>IF(AND(160&gt;=$B$14,160&lt;=$D$14),1,0)</f>
        <v/>
      </c>
      <c r="FH40" s="17">
        <f>IF(AND(161&gt;=$B$14,161&lt;=$D$14),1,0)</f>
        <v/>
      </c>
      <c r="FI40" s="17">
        <f>IF(AND(162&gt;=$B$14,162&lt;=$D$14),1,0)</f>
        <v/>
      </c>
      <c r="FJ40" s="17">
        <f>IF(AND(163&gt;=$B$14,163&lt;=$D$14),1,0)</f>
        <v/>
      </c>
      <c r="FK40" s="17">
        <f>IF(AND(164&gt;=$B$14,164&lt;=$D$14),1,0)</f>
        <v/>
      </c>
      <c r="FL40" s="17">
        <f>IF(AND(165&gt;=$B$14,165&lt;=$D$14),1,0)</f>
        <v/>
      </c>
      <c r="FM40" s="17">
        <f>IF(AND(166&gt;=$B$14,166&lt;=$D$14),1,0)</f>
        <v/>
      </c>
      <c r="FN40" s="17">
        <f>IF(AND(167&gt;=$B$14,167&lt;=$D$14),1,0)</f>
        <v/>
      </c>
      <c r="FO40" s="17">
        <f>IF(AND(168&gt;=$B$14,168&lt;=$D$14),1,0)</f>
        <v/>
      </c>
      <c r="FP40" s="17">
        <f>IF(AND(169&gt;=$B$14,169&lt;=$D$14),1,0)</f>
        <v/>
      </c>
      <c r="FQ40" s="17">
        <f>IF(AND(170&gt;=$B$14,170&lt;=$D$14),1,0)</f>
        <v/>
      </c>
      <c r="FR40" s="17">
        <f>IF(AND(171&gt;=$B$14,171&lt;=$D$14),1,0)</f>
        <v/>
      </c>
      <c r="FS40" s="17">
        <f>IF(AND(172&gt;=$B$14,172&lt;=$D$14),1,0)</f>
        <v/>
      </c>
      <c r="FT40" s="17">
        <f>IF(AND(173&gt;=$B$14,173&lt;=$D$14),1,0)</f>
        <v/>
      </c>
      <c r="FU40" s="17">
        <f>IF(AND(174&gt;=$B$14,174&lt;=$D$14),1,0)</f>
        <v/>
      </c>
      <c r="FV40" s="17">
        <f>IF(AND(175&gt;=$B$14,175&lt;=$D$14),1,0)</f>
        <v/>
      </c>
      <c r="FW40" s="17">
        <f>IF(AND(176&gt;=$B$14,176&lt;=$D$14),1,0)</f>
        <v/>
      </c>
      <c r="FX40" s="17">
        <f>IF(AND(177&gt;=$B$14,177&lt;=$D$14),1,0)</f>
        <v/>
      </c>
      <c r="FY40" s="17">
        <f>IF(AND(178&gt;=$B$14,178&lt;=$D$14),1,0)</f>
        <v/>
      </c>
      <c r="FZ40" s="17">
        <f>IF(AND(179&gt;=$B$14,179&lt;=$D$14),1,0)</f>
        <v/>
      </c>
      <c r="GA40" s="17">
        <f>IF(AND(180&gt;=$B$14,180&lt;=$D$14),1,0)</f>
        <v/>
      </c>
      <c r="GB40" s="17">
        <f>IF(AND(181&gt;=$B$14,181&lt;=$D$14),1,0)</f>
        <v/>
      </c>
      <c r="GC40" s="17">
        <f>IF(AND(182&gt;=$B$14,182&lt;=$D$14),1,0)</f>
        <v/>
      </c>
      <c r="GD40" s="17">
        <f>IF(AND(183&gt;=$B$14,183&lt;=$D$14),1,0)</f>
        <v/>
      </c>
      <c r="GE40" s="17">
        <f>IF(AND(184&gt;=$B$14,184&lt;=$D$14),1,0)</f>
        <v/>
      </c>
      <c r="GF40" s="17">
        <f>IF(AND(185&gt;=$B$14,185&lt;=$D$14),1,0)</f>
        <v/>
      </c>
      <c r="GG40" s="17">
        <f>IF(AND(186&gt;=$B$14,186&lt;=$D$14),1,0)</f>
        <v/>
      </c>
      <c r="GH40" s="17">
        <f>IF(AND(187&gt;=$B$14,187&lt;=$D$14),1,0)</f>
        <v/>
      </c>
      <c r="GI40" s="17">
        <f>IF(AND(188&gt;=$B$14,188&lt;=$D$14),1,0)</f>
        <v/>
      </c>
      <c r="GJ40" s="17">
        <f>IF(AND(189&gt;=$B$14,189&lt;=$D$14),1,0)</f>
        <v/>
      </c>
      <c r="GK40" s="17">
        <f>IF(AND(190&gt;=$B$14,190&lt;=$D$14),1,0)</f>
        <v/>
      </c>
      <c r="GL40" s="17">
        <f>IF(AND(191&gt;=$B$14,191&lt;=$D$14),1,0)</f>
        <v/>
      </c>
      <c r="GM40" s="17">
        <f>IF(AND(192&gt;=$B$14,192&lt;=$D$14),1,0)</f>
        <v/>
      </c>
      <c r="GN40" s="17">
        <f>IF(AND(193&gt;=$B$14,193&lt;=$D$14),1,0)</f>
        <v/>
      </c>
      <c r="GO40" s="17">
        <f>IF(AND(194&gt;=$B$14,194&lt;=$D$14),1,0)</f>
        <v/>
      </c>
      <c r="GP40" s="17">
        <f>IF(AND(195&gt;=$B$14,195&lt;=$D$14),1,0)</f>
        <v/>
      </c>
      <c r="GQ40" s="17">
        <f>IF(AND(196&gt;=$B$14,196&lt;=$D$14),1,0)</f>
        <v/>
      </c>
      <c r="GR40" s="17">
        <f>IF(AND(197&gt;=$B$14,197&lt;=$D$14),1,0)</f>
        <v/>
      </c>
      <c r="GS40" s="17">
        <f>IF(AND(198&gt;=$B$14,198&lt;=$D$14),1,0)</f>
        <v/>
      </c>
      <c r="GT40" s="17">
        <f>IF(AND(199&gt;=$B$14,199&lt;=$D$14),1,0)</f>
        <v/>
      </c>
      <c r="GU40" s="17">
        <f>IF(AND(200&gt;=$B$14,200&lt;=$D$14),1,0)</f>
        <v/>
      </c>
      <c r="GV40" s="17">
        <f>IF(AND(201&gt;=$B$14,201&lt;=$D$14),1,0)</f>
        <v/>
      </c>
      <c r="GW40" s="17">
        <f>IF(AND(202&gt;=$B$14,202&lt;=$D$14),1,0)</f>
        <v/>
      </c>
      <c r="GX40" s="17">
        <f>IF(AND(203&gt;=$B$14,203&lt;=$D$14),1,0)</f>
        <v/>
      </c>
      <c r="GY40" s="17">
        <f>IF(AND(204&gt;=$B$14,204&lt;=$D$14),1,0)</f>
        <v/>
      </c>
      <c r="GZ40" s="17">
        <f>IF(AND(205&gt;=$B$14,205&lt;=$D$14),1,0)</f>
        <v/>
      </c>
      <c r="HA40" s="17">
        <f>IF(AND(206&gt;=$B$14,206&lt;=$D$14),1,0)</f>
        <v/>
      </c>
      <c r="HB40" s="17">
        <f>IF(AND(207&gt;=$B$14,207&lt;=$D$14),1,0)</f>
        <v/>
      </c>
      <c r="HC40" s="17">
        <f>IF(AND(208&gt;=$B$14,208&lt;=$D$14),1,0)</f>
        <v/>
      </c>
      <c r="HD40" s="17">
        <f>IF(AND(209&gt;=$B$14,209&lt;=$D$14),1,0)</f>
        <v/>
      </c>
      <c r="HE40" s="17">
        <f>IF(AND(210&gt;=$B$14,210&lt;=$D$14),1,0)</f>
        <v/>
      </c>
      <c r="HF40" s="17">
        <f>IF(AND(211&gt;=$B$14,211&lt;=$D$14),1,0)</f>
        <v/>
      </c>
      <c r="HG40" s="17">
        <f>IF(AND(212&gt;=$B$14,212&lt;=$D$14),1,0)</f>
        <v/>
      </c>
      <c r="HH40" s="17">
        <f>IF(AND(213&gt;=$B$14,213&lt;=$D$14),1,0)</f>
        <v/>
      </c>
      <c r="HI40" s="17">
        <f>IF(AND(214&gt;=$B$14,214&lt;=$D$14),1,0)</f>
        <v/>
      </c>
      <c r="HJ40" s="17">
        <f>IF(AND(215&gt;=$B$14,215&lt;=$D$14),1,0)</f>
        <v/>
      </c>
      <c r="HK40" s="17">
        <f>IF(AND(216&gt;=$B$14,216&lt;=$D$14),1,0)</f>
        <v/>
      </c>
      <c r="HL40" s="17">
        <f>IF(AND(217&gt;=$B$14,217&lt;=$D$14),1,0)</f>
        <v/>
      </c>
      <c r="HM40" s="17">
        <f>IF(AND(218&gt;=$B$14,218&lt;=$D$14),1,0)</f>
        <v/>
      </c>
      <c r="HN40" s="17">
        <f>IF(AND(219&gt;=$B$14,219&lt;=$D$14),1,0)</f>
        <v/>
      </c>
      <c r="HO40" s="17">
        <f>IF(AND(220&gt;=$B$14,220&lt;=$D$14),1,0)</f>
        <v/>
      </c>
      <c r="HP40" s="17">
        <f>IF(AND(221&gt;=$B$14,221&lt;=$D$14),1,0)</f>
        <v/>
      </c>
      <c r="HQ40" s="17">
        <f>IF(AND(222&gt;=$B$14,222&lt;=$D$14),1,0)</f>
        <v/>
      </c>
      <c r="HR40" s="17">
        <f>IF(AND(223&gt;=$B$14,223&lt;=$D$14),1,0)</f>
        <v/>
      </c>
      <c r="HS40" s="17">
        <f>IF(AND(224&gt;=$B$14,224&lt;=$D$14),1,0)</f>
        <v/>
      </c>
      <c r="HT40" s="17">
        <f>IF(AND(225&gt;=$B$14,225&lt;=$D$14),1,0)</f>
        <v/>
      </c>
      <c r="HU40" s="17">
        <f>IF(AND(226&gt;=$B$14,226&lt;=$D$14),1,0)</f>
        <v/>
      </c>
      <c r="HV40" s="17">
        <f>IF(AND(227&gt;=$B$14,227&lt;=$D$14),1,0)</f>
        <v/>
      </c>
      <c r="HW40" s="17">
        <f>IF(AND(228&gt;=$B$14,228&lt;=$D$14),1,0)</f>
        <v/>
      </c>
      <c r="HX40" s="17">
        <f>IF(AND(229&gt;=$B$14,229&lt;=$D$14),1,0)</f>
        <v/>
      </c>
      <c r="HY40" s="17">
        <f>IF(AND(230&gt;=$B$14,230&lt;=$D$14),1,0)</f>
        <v/>
      </c>
      <c r="HZ40" s="17">
        <f>IF(AND(231&gt;=$B$14,231&lt;=$D$14),1,0)</f>
        <v/>
      </c>
      <c r="IA40" s="17">
        <f>IF(AND(232&gt;=$B$14,232&lt;=$D$14),1,0)</f>
        <v/>
      </c>
      <c r="IB40" s="17">
        <f>IF(AND(233&gt;=$B$14,233&lt;=$D$14),1,0)</f>
        <v/>
      </c>
      <c r="IC40" s="17">
        <f>IF(AND(234&gt;=$B$14,234&lt;=$D$14),1,0)</f>
        <v/>
      </c>
      <c r="ID40" s="17">
        <f>IF(AND(235&gt;=$B$14,235&lt;=$D$14),1,0)</f>
        <v/>
      </c>
      <c r="IE40" s="17">
        <f>IF(AND(236&gt;=$B$14,236&lt;=$D$14),1,0)</f>
        <v/>
      </c>
      <c r="IF40" s="17">
        <f>IF(AND(237&gt;=$B$14,237&lt;=$D$14),1,0)</f>
        <v/>
      </c>
      <c r="IG40" s="17">
        <f>IF(AND(238&gt;=$B$14,238&lt;=$D$14),1,0)</f>
        <v/>
      </c>
      <c r="IH40" s="17">
        <f>IF(AND(239&gt;=$B$14,239&lt;=$D$14),1,0)</f>
        <v/>
      </c>
      <c r="II40" s="17">
        <f>IF(AND(240&gt;=$B$14,240&lt;=$D$14),1,0)</f>
        <v/>
      </c>
      <c r="IJ40" s="17">
        <f>IF(AND(241&gt;=$B$14,241&lt;=$D$14),1,0)</f>
        <v/>
      </c>
      <c r="IK40" s="17">
        <f>IF(AND(242&gt;=$B$14,242&lt;=$D$14),1,0)</f>
        <v/>
      </c>
      <c r="IL40" s="17">
        <f>IF(AND(243&gt;=$B$14,243&lt;=$D$14),1,0)</f>
        <v/>
      </c>
      <c r="IM40" s="17">
        <f>IF(AND(244&gt;=$B$14,244&lt;=$D$14),1,0)</f>
        <v/>
      </c>
      <c r="IN40" s="17">
        <f>IF(AND(245&gt;=$B$14,245&lt;=$D$14),1,0)</f>
        <v/>
      </c>
      <c r="IO40" s="17">
        <f>IF(AND(246&gt;=$B$14,246&lt;=$D$14),1,0)</f>
        <v/>
      </c>
      <c r="IP40" s="17">
        <f>IF(AND(247&gt;=$B$14,247&lt;=$D$14),1,0)</f>
        <v/>
      </c>
      <c r="IQ40" s="17">
        <f>IF(AND(248&gt;=$B$14,248&lt;=$D$14),1,0)</f>
        <v/>
      </c>
      <c r="IR40" s="17">
        <f>IF(AND(249&gt;=$B$14,249&lt;=$D$14),1,0)</f>
        <v/>
      </c>
      <c r="IS40" s="17">
        <f>IF(AND(250&gt;=$B$14,250&lt;=$D$14),1,0)</f>
        <v/>
      </c>
      <c r="IT40" s="17">
        <f>IF(AND(251&gt;=$B$14,251&lt;=$D$14),1,0)</f>
        <v/>
      </c>
      <c r="IU40" s="17">
        <f>IF(AND(252&gt;=$B$14,252&lt;=$D$14),1,0)</f>
        <v/>
      </c>
      <c r="IV40" s="17">
        <f>IF(AND(253&gt;=$B$14,253&lt;=$D$14),1,0)</f>
        <v/>
      </c>
      <c r="IW40" s="17">
        <f>IF(AND(254&gt;=$B$14,254&lt;=$D$14),1,0)</f>
        <v/>
      </c>
      <c r="IX40" s="17">
        <f>IF(AND(255&gt;=$B$14,255&lt;=$D$14),1,0)</f>
        <v/>
      </c>
      <c r="IY40" s="17">
        <f>IF(AND(256&gt;=$B$14,256&lt;=$D$14),1,0)</f>
        <v/>
      </c>
      <c r="IZ40" s="17">
        <f>IF(AND(257&gt;=$B$14,257&lt;=$D$14),1,0)</f>
        <v/>
      </c>
      <c r="JA40" s="17">
        <f>IF(AND(258&gt;=$B$14,258&lt;=$D$14),1,0)</f>
        <v/>
      </c>
      <c r="JB40" s="17">
        <f>IF(AND(259&gt;=$B$14,259&lt;=$D$14),1,0)</f>
        <v/>
      </c>
      <c r="JC40" s="17">
        <f>IF(AND(260&gt;=$B$14,260&lt;=$D$14),1,0)</f>
        <v/>
      </c>
      <c r="JD40" s="17">
        <f>IF(AND(261&gt;=$B$14,261&lt;=$D$14),1,0)</f>
        <v/>
      </c>
      <c r="JE40" s="17">
        <f>IF(AND(262&gt;=$B$14,262&lt;=$D$14),1,0)</f>
        <v/>
      </c>
      <c r="JF40" s="17">
        <f>IF(AND(263&gt;=$B$14,263&lt;=$D$14),1,0)</f>
        <v/>
      </c>
      <c r="JG40" s="17">
        <f>IF(AND(264&gt;=$B$14,264&lt;=$D$14),1,0)</f>
        <v/>
      </c>
      <c r="JH40" s="17">
        <f>IF(AND(265&gt;=$B$14,265&lt;=$D$14),1,0)</f>
        <v/>
      </c>
      <c r="JI40" s="17">
        <f>IF(AND(266&gt;=$B$14,266&lt;=$D$14),1,0)</f>
        <v/>
      </c>
      <c r="JJ40" s="17">
        <f>IF(AND(267&gt;=$B$14,267&lt;=$D$14),1,0)</f>
        <v/>
      </c>
      <c r="JK40" s="17">
        <f>IF(AND(268&gt;=$B$14,268&lt;=$D$14),1,0)</f>
        <v/>
      </c>
      <c r="JL40" s="17">
        <f>IF(AND(269&gt;=$B$14,269&lt;=$D$14),1,0)</f>
        <v/>
      </c>
      <c r="JM40" s="17">
        <f>IF(AND(270&gt;=$B$14,270&lt;=$D$14),1,0)</f>
        <v/>
      </c>
      <c r="JN40" s="17">
        <f>IF(AND(271&gt;=$B$14,271&lt;=$D$14),1,0)</f>
        <v/>
      </c>
      <c r="JO40" s="17">
        <f>IF(AND(272&gt;=$B$14,272&lt;=$D$14),1,0)</f>
        <v/>
      </c>
      <c r="JP40" s="17">
        <f>IF(AND(273&gt;=$B$14,273&lt;=$D$14),1,0)</f>
        <v/>
      </c>
      <c r="JQ40" s="17">
        <f>IF(AND(274&gt;=$B$14,274&lt;=$D$14),1,0)</f>
        <v/>
      </c>
      <c r="JR40" s="17">
        <f>IF(AND(275&gt;=$B$14,275&lt;=$D$14),1,0)</f>
        <v/>
      </c>
      <c r="JS40" s="17">
        <f>IF(AND(276&gt;=$B$14,276&lt;=$D$14),1,0)</f>
        <v/>
      </c>
      <c r="JT40" s="17">
        <f>IF(AND(277&gt;=$B$14,277&lt;=$D$14),1,0)</f>
        <v/>
      </c>
      <c r="JU40" s="17">
        <f>IF(AND(278&gt;=$B$14,278&lt;=$D$14),1,0)</f>
        <v/>
      </c>
      <c r="JV40" s="17">
        <f>IF(AND(279&gt;=$B$14,279&lt;=$D$14),1,0)</f>
        <v/>
      </c>
      <c r="JW40" s="17">
        <f>IF(AND(280&gt;=$B$14,280&lt;=$D$14),1,0)</f>
        <v/>
      </c>
      <c r="JX40" s="17">
        <f>IF(AND(281&gt;=$B$14,281&lt;=$D$14),1,0)</f>
        <v/>
      </c>
      <c r="JY40" s="17">
        <f>IF(AND(282&gt;=$B$14,282&lt;=$D$14),1,0)</f>
        <v/>
      </c>
      <c r="JZ40" s="17">
        <f>IF(AND(283&gt;=$B$14,283&lt;=$D$14),1,0)</f>
        <v/>
      </c>
      <c r="KA40" s="17">
        <f>IF(AND(284&gt;=$B$14,284&lt;=$D$14),1,0)</f>
        <v/>
      </c>
      <c r="KB40" s="17">
        <f>IF(AND(285&gt;=$B$14,285&lt;=$D$14),1,0)</f>
        <v/>
      </c>
      <c r="KC40" s="17">
        <f>IF(AND(286&gt;=$B$14,286&lt;=$D$14),1,0)</f>
        <v/>
      </c>
      <c r="KD40" s="17">
        <f>IF(AND(287&gt;=$B$14,287&lt;=$D$14),1,0)</f>
        <v/>
      </c>
      <c r="KE40" s="17">
        <f>IF(AND(288&gt;=$B$14,288&lt;=$D$14),1,0)</f>
        <v/>
      </c>
      <c r="KF40" s="17">
        <f>IF(AND(289&gt;=$B$14,289&lt;=$D$14),1,0)</f>
        <v/>
      </c>
      <c r="KG40" s="17">
        <f>IF(AND(290&gt;=$B$14,290&lt;=$D$14),1,0)</f>
        <v/>
      </c>
      <c r="KH40" s="17">
        <f>IF(AND(291&gt;=$B$14,291&lt;=$D$14),1,0)</f>
        <v/>
      </c>
      <c r="KI40" s="17">
        <f>IF(AND(292&gt;=$B$14,292&lt;=$D$14),1,0)</f>
        <v/>
      </c>
      <c r="KJ40" s="17">
        <f>IF(AND(293&gt;=$B$14,293&lt;=$D$14),1,0)</f>
        <v/>
      </c>
      <c r="KK40" s="17">
        <f>IF(AND(294&gt;=$B$14,294&lt;=$D$14),1,0)</f>
        <v/>
      </c>
      <c r="KL40" s="17">
        <f>IF(AND(295&gt;=$B$14,295&lt;=$D$14),1,0)</f>
        <v/>
      </c>
      <c r="KM40" s="17">
        <f>IF(AND(296&gt;=$B$14,296&lt;=$D$14),1,0)</f>
        <v/>
      </c>
      <c r="KN40" s="17">
        <f>IF(AND(297&gt;=$B$14,297&lt;=$D$14),1,0)</f>
        <v/>
      </c>
      <c r="KO40" s="17">
        <f>IF(AND(298&gt;=$B$14,298&lt;=$D$14),1,0)</f>
        <v/>
      </c>
      <c r="KP40" s="17">
        <f>IF(AND(299&gt;=$B$14,299&lt;=$D$14),1,0)</f>
        <v/>
      </c>
      <c r="KQ40" s="17">
        <f>IF(AND(300&gt;=$B$14,300&lt;=$D$14),1,0)</f>
        <v/>
      </c>
      <c r="KR40" s="17">
        <f>IF(AND(301&gt;=$B$14,301&lt;=$D$14),1,0)</f>
        <v/>
      </c>
      <c r="KS40" s="17">
        <f>IF(AND(302&gt;=$B$14,302&lt;=$D$14),1,0)</f>
        <v/>
      </c>
      <c r="KT40" s="17">
        <f>IF(AND(303&gt;=$B$14,303&lt;=$D$14),1,0)</f>
        <v/>
      </c>
      <c r="KU40" s="17">
        <f>IF(AND(304&gt;=$B$14,304&lt;=$D$14),1,0)</f>
        <v/>
      </c>
      <c r="KV40" s="17">
        <f>IF(AND(305&gt;=$B$14,305&lt;=$D$14),1,0)</f>
        <v/>
      </c>
      <c r="KW40" s="17">
        <f>IF(AND(306&gt;=$B$14,306&lt;=$D$14),1,0)</f>
        <v/>
      </c>
      <c r="KX40" s="17">
        <f>IF(AND(307&gt;=$B$14,307&lt;=$D$14),1,0)</f>
        <v/>
      </c>
      <c r="KY40" s="17">
        <f>IF(AND(308&gt;=$B$14,308&lt;=$D$14),1,0)</f>
        <v/>
      </c>
      <c r="KZ40" s="17">
        <f>IF(AND(309&gt;=$B$14,309&lt;=$D$14),1,0)</f>
        <v/>
      </c>
      <c r="LA40" s="17">
        <f>IF(AND(310&gt;=$B$14,310&lt;=$D$14),1,0)</f>
        <v/>
      </c>
      <c r="LB40" s="17">
        <f>IF(AND(311&gt;=$B$14,311&lt;=$D$14),1,0)</f>
        <v/>
      </c>
      <c r="LC40" s="17">
        <f>IF(AND(312&gt;=$B$14,312&lt;=$D$14),1,0)</f>
        <v/>
      </c>
      <c r="LD40" s="17">
        <f>IF(AND(313&gt;=$B$14,313&lt;=$D$14),1,0)</f>
        <v/>
      </c>
      <c r="LE40" s="17">
        <f>IF(AND(314&gt;=$B$14,314&lt;=$D$14),1,0)</f>
        <v/>
      </c>
      <c r="LF40" s="17">
        <f>IF(AND(315&gt;=$B$14,315&lt;=$D$14),1,0)</f>
        <v/>
      </c>
      <c r="LG40" s="17">
        <f>IF(AND(316&gt;=$B$14,316&lt;=$D$14),1,0)</f>
        <v/>
      </c>
      <c r="LH40" s="17">
        <f>IF(AND(317&gt;=$B$14,317&lt;=$D$14),1,0)</f>
        <v/>
      </c>
      <c r="LI40" s="17">
        <f>IF(AND(318&gt;=$B$14,318&lt;=$D$14),1,0)</f>
        <v/>
      </c>
      <c r="LJ40" s="17">
        <f>IF(AND(319&gt;=$B$14,319&lt;=$D$14),1,0)</f>
        <v/>
      </c>
      <c r="LK40" s="17">
        <f>IF(AND(320&gt;=$B$14,320&lt;=$D$14),1,0)</f>
        <v/>
      </c>
      <c r="LL40" s="17">
        <f>IF(AND(321&gt;=$B$14,321&lt;=$D$14),1,0)</f>
        <v/>
      </c>
      <c r="LM40" s="17">
        <f>IF(AND(322&gt;=$B$14,322&lt;=$D$14),1,0)</f>
        <v/>
      </c>
      <c r="LN40" s="17">
        <f>IF(AND(323&gt;=$B$14,323&lt;=$D$14),1,0)</f>
        <v/>
      </c>
      <c r="LO40" s="17">
        <f>IF(AND(324&gt;=$B$14,324&lt;=$D$14),1,0)</f>
        <v/>
      </c>
      <c r="LP40" s="17">
        <f>IF(AND(325&gt;=$B$14,325&lt;=$D$14),1,0)</f>
        <v/>
      </c>
      <c r="LQ40" s="17">
        <f>IF(AND(326&gt;=$B$14,326&lt;=$D$14),1,0)</f>
        <v/>
      </c>
      <c r="LR40" s="17">
        <f>IF(AND(327&gt;=$B$14,327&lt;=$D$14),1,0)</f>
        <v/>
      </c>
      <c r="LS40" s="17">
        <f>IF(AND(328&gt;=$B$14,328&lt;=$D$14),1,0)</f>
        <v/>
      </c>
      <c r="LT40" s="17">
        <f>IF(AND(329&gt;=$B$14,329&lt;=$D$14),1,0)</f>
        <v/>
      </c>
      <c r="LU40" s="17">
        <f>IF(AND(330&gt;=$B$14,330&lt;=$D$14),1,0)</f>
        <v/>
      </c>
      <c r="LV40" s="17">
        <f>IF(AND(331&gt;=$B$14,331&lt;=$D$14),1,0)</f>
        <v/>
      </c>
      <c r="LW40" s="17">
        <f>IF(AND(332&gt;=$B$14,332&lt;=$D$14),1,0)</f>
        <v/>
      </c>
      <c r="LX40" s="17">
        <f>IF(AND(333&gt;=$B$14,333&lt;=$D$14),1,0)</f>
        <v/>
      </c>
      <c r="LY40" s="17">
        <f>IF(AND(334&gt;=$B$14,334&lt;=$D$14),1,0)</f>
        <v/>
      </c>
      <c r="LZ40" s="17">
        <f>IF(AND(335&gt;=$B$14,335&lt;=$D$14),1,0)</f>
        <v/>
      </c>
      <c r="MA40" s="17">
        <f>IF(AND(336&gt;=$B$14,336&lt;=$D$14),1,0)</f>
        <v/>
      </c>
      <c r="MB40" s="17">
        <f>IF(AND(337&gt;=$B$14,337&lt;=$D$14),1,0)</f>
        <v/>
      </c>
      <c r="MC40" s="17">
        <f>IF(AND(338&gt;=$B$14,338&lt;=$D$14),1,0)</f>
        <v/>
      </c>
      <c r="MD40" s="17">
        <f>IF(AND(339&gt;=$B$14,339&lt;=$D$14),1,0)</f>
        <v/>
      </c>
      <c r="ME40" s="17">
        <f>IF(AND(340&gt;=$B$14,340&lt;=$D$14),1,0)</f>
        <v/>
      </c>
      <c r="MF40" s="17">
        <f>IF(AND(341&gt;=$B$14,341&lt;=$D$14),1,0)</f>
        <v/>
      </c>
      <c r="MG40" s="17">
        <f>IF(AND(342&gt;=$B$14,342&lt;=$D$14),1,0)</f>
        <v/>
      </c>
      <c r="MH40" s="17">
        <f>IF(AND(343&gt;=$B$14,343&lt;=$D$14),1,0)</f>
        <v/>
      </c>
      <c r="MI40" s="17">
        <f>IF(AND(344&gt;=$B$14,344&lt;=$D$14),1,0)</f>
        <v/>
      </c>
      <c r="MJ40" s="17">
        <f>IF(AND(345&gt;=$B$14,345&lt;=$D$14),1,0)</f>
        <v/>
      </c>
      <c r="MK40" s="17">
        <f>IF(AND(346&gt;=$B$14,346&lt;=$D$14),1,0)</f>
        <v/>
      </c>
      <c r="ML40" s="17">
        <f>IF(AND(347&gt;=$B$14,347&lt;=$D$14),1,0)</f>
        <v/>
      </c>
      <c r="MM40" s="17">
        <f>IF(AND(348&gt;=$B$14,348&lt;=$D$14),1,0)</f>
        <v/>
      </c>
      <c r="MN40" s="17">
        <f>IF(AND(349&gt;=$B$14,349&lt;=$D$14),1,0)</f>
        <v/>
      </c>
      <c r="MO40" s="17">
        <f>IF(AND(350&gt;=$B$14,350&lt;=$D$14),1,0)</f>
        <v/>
      </c>
      <c r="MP40" s="17">
        <f>IF(AND(351&gt;=$B$14,351&lt;=$D$14),1,0)</f>
        <v/>
      </c>
      <c r="MQ40" s="17">
        <f>IF(AND(352&gt;=$B$14,352&lt;=$D$14),1,0)</f>
        <v/>
      </c>
      <c r="MR40" s="17">
        <f>IF(AND(353&gt;=$B$14,353&lt;=$D$14),1,0)</f>
        <v/>
      </c>
      <c r="MS40" s="17">
        <f>IF(AND(354&gt;=$B$14,354&lt;=$D$14),1,0)</f>
        <v/>
      </c>
      <c r="MT40" s="17">
        <f>IF(AND(355&gt;=$B$14,355&lt;=$D$14),1,0)</f>
        <v/>
      </c>
      <c r="MU40" s="17">
        <f>IF(AND(356&gt;=$B$14,356&lt;=$D$14),1,0)</f>
        <v/>
      </c>
      <c r="MV40" s="17">
        <f>IF(AND(357&gt;=$B$14,357&lt;=$D$14),1,0)</f>
        <v/>
      </c>
      <c r="MW40" s="17">
        <f>IF(AND(358&gt;=$B$14,358&lt;=$D$14),1,0)</f>
        <v/>
      </c>
      <c r="MX40" s="17">
        <f>IF(AND(359&gt;=$B$14,359&lt;=$D$14),1,0)</f>
        <v/>
      </c>
      <c r="MY40" s="17">
        <f>IF(AND(360&gt;=$B$14,360&lt;=$D$14),1,0)</f>
        <v/>
      </c>
      <c r="MZ40" s="17">
        <f>IF(AND(361&gt;=$B$14,361&lt;=$D$14),1,0)</f>
        <v/>
      </c>
      <c r="NA40" s="17">
        <f>IF(AND(362&gt;=$B$14,362&lt;=$D$14),1,0)</f>
        <v/>
      </c>
      <c r="NB40" s="17">
        <f>IF(AND(363&gt;=$B$14,363&lt;=$D$14),1,0)</f>
        <v/>
      </c>
      <c r="NC40" s="17">
        <f>IF(AND(364&gt;=$B$14,364&lt;=$D$14),1,0)</f>
        <v/>
      </c>
      <c r="ND40" s="17">
        <f>IF(AND(365&gt;=$B$14,365&lt;=$D$14),1,0)</f>
        <v/>
      </c>
      <c r="NE40" s="17">
        <f>IF(AND(366&gt;=$B$14,366&lt;=$D$14),1,0)</f>
        <v/>
      </c>
      <c r="NF40" s="17">
        <f>IF(AND(367&gt;=$B$14,367&lt;=$D$14),1,0)</f>
        <v/>
      </c>
      <c r="NG40" s="17">
        <f>IF(AND(368&gt;=$B$14,368&lt;=$D$14),1,0)</f>
        <v/>
      </c>
      <c r="NH40" s="17">
        <f>IF(AND(369&gt;=$B$14,369&lt;=$D$14),1,0)</f>
        <v/>
      </c>
      <c r="NI40" s="17">
        <f>IF(AND(370&gt;=$B$14,370&lt;=$D$14),1,0)</f>
        <v/>
      </c>
      <c r="NJ40" s="17">
        <f>IF(AND(371&gt;=$B$14,371&lt;=$D$14),1,0)</f>
        <v/>
      </c>
      <c r="NK40" s="17">
        <f>IF(AND(372&gt;=$B$14,372&lt;=$D$14),1,0)</f>
        <v/>
      </c>
    </row>
    <row r="41">
      <c r="A41" s="5" t="inlineStr">
        <is>
          <t>Flag: Operations Active</t>
        </is>
      </c>
      <c r="C41" s="40" t="n"/>
      <c r="D41" s="17">
        <f>IF(AND(1&gt;=DeliverStart,1&lt;=DispoMonth),1,0)</f>
        <v/>
      </c>
      <c r="E41" s="17">
        <f>IF(AND(2&gt;=DeliverStart,2&lt;=DispoMonth),1,0)</f>
        <v/>
      </c>
      <c r="F41" s="17">
        <f>IF(AND(3&gt;=DeliverStart,3&lt;=DispoMonth),1,0)</f>
        <v/>
      </c>
      <c r="G41" s="17">
        <f>IF(AND(4&gt;=DeliverStart,4&lt;=DispoMonth),1,0)</f>
        <v/>
      </c>
      <c r="H41" s="17">
        <f>IF(AND(5&gt;=DeliverStart,5&lt;=DispoMonth),1,0)</f>
        <v/>
      </c>
      <c r="I41" s="17">
        <f>IF(AND(6&gt;=DeliverStart,6&lt;=DispoMonth),1,0)</f>
        <v/>
      </c>
      <c r="J41" s="17">
        <f>IF(AND(7&gt;=DeliverStart,7&lt;=DispoMonth),1,0)</f>
        <v/>
      </c>
      <c r="K41" s="17">
        <f>IF(AND(8&gt;=DeliverStart,8&lt;=DispoMonth),1,0)</f>
        <v/>
      </c>
      <c r="L41" s="17">
        <f>IF(AND(9&gt;=DeliverStart,9&lt;=DispoMonth),1,0)</f>
        <v/>
      </c>
      <c r="M41" s="17">
        <f>IF(AND(10&gt;=DeliverStart,10&lt;=DispoMonth),1,0)</f>
        <v/>
      </c>
      <c r="N41" s="17">
        <f>IF(AND(11&gt;=DeliverStart,11&lt;=DispoMonth),1,0)</f>
        <v/>
      </c>
      <c r="O41" s="17">
        <f>IF(AND(12&gt;=DeliverStart,12&lt;=DispoMonth),1,0)</f>
        <v/>
      </c>
      <c r="P41" s="17">
        <f>IF(AND(13&gt;=DeliverStart,13&lt;=DispoMonth),1,0)</f>
        <v/>
      </c>
      <c r="Q41" s="17">
        <f>IF(AND(14&gt;=DeliverStart,14&lt;=DispoMonth),1,0)</f>
        <v/>
      </c>
      <c r="R41" s="17">
        <f>IF(AND(15&gt;=DeliverStart,15&lt;=DispoMonth),1,0)</f>
        <v/>
      </c>
      <c r="S41" s="17">
        <f>IF(AND(16&gt;=DeliverStart,16&lt;=DispoMonth),1,0)</f>
        <v/>
      </c>
      <c r="T41" s="17">
        <f>IF(AND(17&gt;=DeliverStart,17&lt;=DispoMonth),1,0)</f>
        <v/>
      </c>
      <c r="U41" s="17">
        <f>IF(AND(18&gt;=DeliverStart,18&lt;=DispoMonth),1,0)</f>
        <v/>
      </c>
      <c r="V41" s="17">
        <f>IF(AND(19&gt;=DeliverStart,19&lt;=DispoMonth),1,0)</f>
        <v/>
      </c>
      <c r="W41" s="17">
        <f>IF(AND(20&gt;=DeliverStart,20&lt;=DispoMonth),1,0)</f>
        <v/>
      </c>
      <c r="X41" s="17">
        <f>IF(AND(21&gt;=DeliverStart,21&lt;=DispoMonth),1,0)</f>
        <v/>
      </c>
      <c r="Y41" s="17">
        <f>IF(AND(22&gt;=DeliverStart,22&lt;=DispoMonth),1,0)</f>
        <v/>
      </c>
      <c r="Z41" s="17">
        <f>IF(AND(23&gt;=DeliverStart,23&lt;=DispoMonth),1,0)</f>
        <v/>
      </c>
      <c r="AA41" s="17">
        <f>IF(AND(24&gt;=DeliverStart,24&lt;=DispoMonth),1,0)</f>
        <v/>
      </c>
      <c r="AB41" s="17">
        <f>IF(AND(25&gt;=DeliverStart,25&lt;=DispoMonth),1,0)</f>
        <v/>
      </c>
      <c r="AC41" s="17">
        <f>IF(AND(26&gt;=DeliverStart,26&lt;=DispoMonth),1,0)</f>
        <v/>
      </c>
      <c r="AD41" s="17">
        <f>IF(AND(27&gt;=DeliverStart,27&lt;=DispoMonth),1,0)</f>
        <v/>
      </c>
      <c r="AE41" s="17">
        <f>IF(AND(28&gt;=DeliverStart,28&lt;=DispoMonth),1,0)</f>
        <v/>
      </c>
      <c r="AF41" s="17">
        <f>IF(AND(29&gt;=DeliverStart,29&lt;=DispoMonth),1,0)</f>
        <v/>
      </c>
      <c r="AG41" s="17">
        <f>IF(AND(30&gt;=DeliverStart,30&lt;=DispoMonth),1,0)</f>
        <v/>
      </c>
      <c r="AH41" s="17">
        <f>IF(AND(31&gt;=DeliverStart,31&lt;=DispoMonth),1,0)</f>
        <v/>
      </c>
      <c r="AI41" s="17">
        <f>IF(AND(32&gt;=DeliverStart,32&lt;=DispoMonth),1,0)</f>
        <v/>
      </c>
      <c r="AJ41" s="17">
        <f>IF(AND(33&gt;=DeliverStart,33&lt;=DispoMonth),1,0)</f>
        <v/>
      </c>
      <c r="AK41" s="17">
        <f>IF(AND(34&gt;=DeliverStart,34&lt;=DispoMonth),1,0)</f>
        <v/>
      </c>
      <c r="AL41" s="17">
        <f>IF(AND(35&gt;=DeliverStart,35&lt;=DispoMonth),1,0)</f>
        <v/>
      </c>
      <c r="AM41" s="17">
        <f>IF(AND(36&gt;=DeliverStart,36&lt;=DispoMonth),1,0)</f>
        <v/>
      </c>
      <c r="AN41" s="17">
        <f>IF(AND(37&gt;=DeliverStart,37&lt;=DispoMonth),1,0)</f>
        <v/>
      </c>
      <c r="AO41" s="17">
        <f>IF(AND(38&gt;=DeliverStart,38&lt;=DispoMonth),1,0)</f>
        <v/>
      </c>
      <c r="AP41" s="17">
        <f>IF(AND(39&gt;=DeliverStart,39&lt;=DispoMonth),1,0)</f>
        <v/>
      </c>
      <c r="AQ41" s="17">
        <f>IF(AND(40&gt;=DeliverStart,40&lt;=DispoMonth),1,0)</f>
        <v/>
      </c>
      <c r="AR41" s="17">
        <f>IF(AND(41&gt;=DeliverStart,41&lt;=DispoMonth),1,0)</f>
        <v/>
      </c>
      <c r="AS41" s="17">
        <f>IF(AND(42&gt;=DeliverStart,42&lt;=DispoMonth),1,0)</f>
        <v/>
      </c>
      <c r="AT41" s="17">
        <f>IF(AND(43&gt;=DeliverStart,43&lt;=DispoMonth),1,0)</f>
        <v/>
      </c>
      <c r="AU41" s="17">
        <f>IF(AND(44&gt;=DeliverStart,44&lt;=DispoMonth),1,0)</f>
        <v/>
      </c>
      <c r="AV41" s="17">
        <f>IF(AND(45&gt;=DeliverStart,45&lt;=DispoMonth),1,0)</f>
        <v/>
      </c>
      <c r="AW41" s="17">
        <f>IF(AND(46&gt;=DeliverStart,46&lt;=DispoMonth),1,0)</f>
        <v/>
      </c>
      <c r="AX41" s="17">
        <f>IF(AND(47&gt;=DeliverStart,47&lt;=DispoMonth),1,0)</f>
        <v/>
      </c>
      <c r="AY41" s="17">
        <f>IF(AND(48&gt;=DeliverStart,48&lt;=DispoMonth),1,0)</f>
        <v/>
      </c>
      <c r="AZ41" s="17">
        <f>IF(AND(49&gt;=DeliverStart,49&lt;=DispoMonth),1,0)</f>
        <v/>
      </c>
      <c r="BA41" s="17">
        <f>IF(AND(50&gt;=DeliverStart,50&lt;=DispoMonth),1,0)</f>
        <v/>
      </c>
      <c r="BB41" s="17">
        <f>IF(AND(51&gt;=DeliverStart,51&lt;=DispoMonth),1,0)</f>
        <v/>
      </c>
      <c r="BC41" s="17">
        <f>IF(AND(52&gt;=DeliverStart,52&lt;=DispoMonth),1,0)</f>
        <v/>
      </c>
      <c r="BD41" s="17">
        <f>IF(AND(53&gt;=DeliverStart,53&lt;=DispoMonth),1,0)</f>
        <v/>
      </c>
      <c r="BE41" s="17">
        <f>IF(AND(54&gt;=DeliverStart,54&lt;=DispoMonth),1,0)</f>
        <v/>
      </c>
      <c r="BF41" s="17">
        <f>IF(AND(55&gt;=DeliverStart,55&lt;=DispoMonth),1,0)</f>
        <v/>
      </c>
      <c r="BG41" s="17">
        <f>IF(AND(56&gt;=DeliverStart,56&lt;=DispoMonth),1,0)</f>
        <v/>
      </c>
      <c r="BH41" s="17">
        <f>IF(AND(57&gt;=DeliverStart,57&lt;=DispoMonth),1,0)</f>
        <v/>
      </c>
      <c r="BI41" s="17">
        <f>IF(AND(58&gt;=DeliverStart,58&lt;=DispoMonth),1,0)</f>
        <v/>
      </c>
      <c r="BJ41" s="17">
        <f>IF(AND(59&gt;=DeliverStart,59&lt;=DispoMonth),1,0)</f>
        <v/>
      </c>
      <c r="BK41" s="17">
        <f>IF(AND(60&gt;=DeliverStart,60&lt;=DispoMonth),1,0)</f>
        <v/>
      </c>
      <c r="BL41" s="17">
        <f>IF(AND(61&gt;=DeliverStart,61&lt;=DispoMonth),1,0)</f>
        <v/>
      </c>
      <c r="BM41" s="17">
        <f>IF(AND(62&gt;=DeliverStart,62&lt;=DispoMonth),1,0)</f>
        <v/>
      </c>
      <c r="BN41" s="17">
        <f>IF(AND(63&gt;=DeliverStart,63&lt;=DispoMonth),1,0)</f>
        <v/>
      </c>
      <c r="BO41" s="17">
        <f>IF(AND(64&gt;=DeliverStart,64&lt;=DispoMonth),1,0)</f>
        <v/>
      </c>
      <c r="BP41" s="17">
        <f>IF(AND(65&gt;=DeliverStart,65&lt;=DispoMonth),1,0)</f>
        <v/>
      </c>
      <c r="BQ41" s="17">
        <f>IF(AND(66&gt;=DeliverStart,66&lt;=DispoMonth),1,0)</f>
        <v/>
      </c>
      <c r="BR41" s="17">
        <f>IF(AND(67&gt;=DeliverStart,67&lt;=DispoMonth),1,0)</f>
        <v/>
      </c>
      <c r="BS41" s="17">
        <f>IF(AND(68&gt;=DeliverStart,68&lt;=DispoMonth),1,0)</f>
        <v/>
      </c>
      <c r="BT41" s="17">
        <f>IF(AND(69&gt;=DeliverStart,69&lt;=DispoMonth),1,0)</f>
        <v/>
      </c>
      <c r="BU41" s="17">
        <f>IF(AND(70&gt;=DeliverStart,70&lt;=DispoMonth),1,0)</f>
        <v/>
      </c>
      <c r="BV41" s="17">
        <f>IF(AND(71&gt;=DeliverStart,71&lt;=DispoMonth),1,0)</f>
        <v/>
      </c>
      <c r="BW41" s="17">
        <f>IF(AND(72&gt;=DeliverStart,72&lt;=DispoMonth),1,0)</f>
        <v/>
      </c>
      <c r="BX41" s="17">
        <f>IF(AND(73&gt;=DeliverStart,73&lt;=DispoMonth),1,0)</f>
        <v/>
      </c>
      <c r="BY41" s="17">
        <f>IF(AND(74&gt;=DeliverStart,74&lt;=DispoMonth),1,0)</f>
        <v/>
      </c>
      <c r="BZ41" s="17">
        <f>IF(AND(75&gt;=DeliverStart,75&lt;=DispoMonth),1,0)</f>
        <v/>
      </c>
      <c r="CA41" s="17">
        <f>IF(AND(76&gt;=DeliverStart,76&lt;=DispoMonth),1,0)</f>
        <v/>
      </c>
      <c r="CB41" s="17">
        <f>IF(AND(77&gt;=DeliverStart,77&lt;=DispoMonth),1,0)</f>
        <v/>
      </c>
      <c r="CC41" s="17">
        <f>IF(AND(78&gt;=DeliverStart,78&lt;=DispoMonth),1,0)</f>
        <v/>
      </c>
      <c r="CD41" s="17">
        <f>IF(AND(79&gt;=DeliverStart,79&lt;=DispoMonth),1,0)</f>
        <v/>
      </c>
      <c r="CE41" s="17">
        <f>IF(AND(80&gt;=DeliverStart,80&lt;=DispoMonth),1,0)</f>
        <v/>
      </c>
      <c r="CF41" s="17">
        <f>IF(AND(81&gt;=DeliverStart,81&lt;=DispoMonth),1,0)</f>
        <v/>
      </c>
      <c r="CG41" s="17">
        <f>IF(AND(82&gt;=DeliverStart,82&lt;=DispoMonth),1,0)</f>
        <v/>
      </c>
      <c r="CH41" s="17">
        <f>IF(AND(83&gt;=DeliverStart,83&lt;=DispoMonth),1,0)</f>
        <v/>
      </c>
      <c r="CI41" s="17">
        <f>IF(AND(84&gt;=DeliverStart,84&lt;=DispoMonth),1,0)</f>
        <v/>
      </c>
      <c r="CJ41" s="17">
        <f>IF(AND(85&gt;=DeliverStart,85&lt;=DispoMonth),1,0)</f>
        <v/>
      </c>
      <c r="CK41" s="17">
        <f>IF(AND(86&gt;=DeliverStart,86&lt;=DispoMonth),1,0)</f>
        <v/>
      </c>
      <c r="CL41" s="17">
        <f>IF(AND(87&gt;=DeliverStart,87&lt;=DispoMonth),1,0)</f>
        <v/>
      </c>
      <c r="CM41" s="17">
        <f>IF(AND(88&gt;=DeliverStart,88&lt;=DispoMonth),1,0)</f>
        <v/>
      </c>
      <c r="CN41" s="17">
        <f>IF(AND(89&gt;=DeliverStart,89&lt;=DispoMonth),1,0)</f>
        <v/>
      </c>
      <c r="CO41" s="17">
        <f>IF(AND(90&gt;=DeliverStart,90&lt;=DispoMonth),1,0)</f>
        <v/>
      </c>
      <c r="CP41" s="17">
        <f>IF(AND(91&gt;=DeliverStart,91&lt;=DispoMonth),1,0)</f>
        <v/>
      </c>
      <c r="CQ41" s="17">
        <f>IF(AND(92&gt;=DeliverStart,92&lt;=DispoMonth),1,0)</f>
        <v/>
      </c>
      <c r="CR41" s="17">
        <f>IF(AND(93&gt;=DeliverStart,93&lt;=DispoMonth),1,0)</f>
        <v/>
      </c>
      <c r="CS41" s="17">
        <f>IF(AND(94&gt;=DeliverStart,94&lt;=DispoMonth),1,0)</f>
        <v/>
      </c>
      <c r="CT41" s="17">
        <f>IF(AND(95&gt;=DeliverStart,95&lt;=DispoMonth),1,0)</f>
        <v/>
      </c>
      <c r="CU41" s="17">
        <f>IF(AND(96&gt;=DeliverStart,96&lt;=DispoMonth),1,0)</f>
        <v/>
      </c>
      <c r="CV41" s="17">
        <f>IF(AND(97&gt;=DeliverStart,97&lt;=DispoMonth),1,0)</f>
        <v/>
      </c>
      <c r="CW41" s="17">
        <f>IF(AND(98&gt;=DeliverStart,98&lt;=DispoMonth),1,0)</f>
        <v/>
      </c>
      <c r="CX41" s="17">
        <f>IF(AND(99&gt;=DeliverStart,99&lt;=DispoMonth),1,0)</f>
        <v/>
      </c>
      <c r="CY41" s="17">
        <f>IF(AND(100&gt;=DeliverStart,100&lt;=DispoMonth),1,0)</f>
        <v/>
      </c>
      <c r="CZ41" s="17">
        <f>IF(AND(101&gt;=DeliverStart,101&lt;=DispoMonth),1,0)</f>
        <v/>
      </c>
      <c r="DA41" s="17">
        <f>IF(AND(102&gt;=DeliverStart,102&lt;=DispoMonth),1,0)</f>
        <v/>
      </c>
      <c r="DB41" s="17">
        <f>IF(AND(103&gt;=DeliverStart,103&lt;=DispoMonth),1,0)</f>
        <v/>
      </c>
      <c r="DC41" s="17">
        <f>IF(AND(104&gt;=DeliverStart,104&lt;=DispoMonth),1,0)</f>
        <v/>
      </c>
      <c r="DD41" s="17">
        <f>IF(AND(105&gt;=DeliverStart,105&lt;=DispoMonth),1,0)</f>
        <v/>
      </c>
      <c r="DE41" s="17">
        <f>IF(AND(106&gt;=DeliverStart,106&lt;=DispoMonth),1,0)</f>
        <v/>
      </c>
      <c r="DF41" s="17">
        <f>IF(AND(107&gt;=DeliverStart,107&lt;=DispoMonth),1,0)</f>
        <v/>
      </c>
      <c r="DG41" s="17">
        <f>IF(AND(108&gt;=DeliverStart,108&lt;=DispoMonth),1,0)</f>
        <v/>
      </c>
      <c r="DH41" s="17">
        <f>IF(AND(109&gt;=DeliverStart,109&lt;=DispoMonth),1,0)</f>
        <v/>
      </c>
      <c r="DI41" s="17">
        <f>IF(AND(110&gt;=DeliverStart,110&lt;=DispoMonth),1,0)</f>
        <v/>
      </c>
      <c r="DJ41" s="17">
        <f>IF(AND(111&gt;=DeliverStart,111&lt;=DispoMonth),1,0)</f>
        <v/>
      </c>
      <c r="DK41" s="17">
        <f>IF(AND(112&gt;=DeliverStart,112&lt;=DispoMonth),1,0)</f>
        <v/>
      </c>
      <c r="DL41" s="17">
        <f>IF(AND(113&gt;=DeliverStart,113&lt;=DispoMonth),1,0)</f>
        <v/>
      </c>
      <c r="DM41" s="17">
        <f>IF(AND(114&gt;=DeliverStart,114&lt;=DispoMonth),1,0)</f>
        <v/>
      </c>
      <c r="DN41" s="17">
        <f>IF(AND(115&gt;=DeliverStart,115&lt;=DispoMonth),1,0)</f>
        <v/>
      </c>
      <c r="DO41" s="17">
        <f>IF(AND(116&gt;=DeliverStart,116&lt;=DispoMonth),1,0)</f>
        <v/>
      </c>
      <c r="DP41" s="17">
        <f>IF(AND(117&gt;=DeliverStart,117&lt;=DispoMonth),1,0)</f>
        <v/>
      </c>
      <c r="DQ41" s="17">
        <f>IF(AND(118&gt;=DeliverStart,118&lt;=DispoMonth),1,0)</f>
        <v/>
      </c>
      <c r="DR41" s="17">
        <f>IF(AND(119&gt;=DeliverStart,119&lt;=DispoMonth),1,0)</f>
        <v/>
      </c>
      <c r="DS41" s="17">
        <f>IF(AND(120&gt;=DeliverStart,120&lt;=DispoMonth),1,0)</f>
        <v/>
      </c>
      <c r="DT41" s="17">
        <f>IF(AND(121&gt;=DeliverStart,121&lt;=DispoMonth),1,0)</f>
        <v/>
      </c>
      <c r="DU41" s="17">
        <f>IF(AND(122&gt;=DeliverStart,122&lt;=DispoMonth),1,0)</f>
        <v/>
      </c>
      <c r="DV41" s="17">
        <f>IF(AND(123&gt;=DeliverStart,123&lt;=DispoMonth),1,0)</f>
        <v/>
      </c>
      <c r="DW41" s="17">
        <f>IF(AND(124&gt;=DeliverStart,124&lt;=DispoMonth),1,0)</f>
        <v/>
      </c>
      <c r="DX41" s="17">
        <f>IF(AND(125&gt;=DeliverStart,125&lt;=DispoMonth),1,0)</f>
        <v/>
      </c>
      <c r="DY41" s="17">
        <f>IF(AND(126&gt;=DeliverStart,126&lt;=DispoMonth),1,0)</f>
        <v/>
      </c>
      <c r="DZ41" s="17">
        <f>IF(AND(127&gt;=DeliverStart,127&lt;=DispoMonth),1,0)</f>
        <v/>
      </c>
      <c r="EA41" s="17">
        <f>IF(AND(128&gt;=DeliverStart,128&lt;=DispoMonth),1,0)</f>
        <v/>
      </c>
      <c r="EB41" s="17">
        <f>IF(AND(129&gt;=DeliverStart,129&lt;=DispoMonth),1,0)</f>
        <v/>
      </c>
      <c r="EC41" s="17">
        <f>IF(AND(130&gt;=DeliverStart,130&lt;=DispoMonth),1,0)</f>
        <v/>
      </c>
      <c r="ED41" s="17">
        <f>IF(AND(131&gt;=DeliverStart,131&lt;=DispoMonth),1,0)</f>
        <v/>
      </c>
      <c r="EE41" s="17">
        <f>IF(AND(132&gt;=DeliverStart,132&lt;=DispoMonth),1,0)</f>
        <v/>
      </c>
      <c r="EF41" s="17">
        <f>IF(AND(133&gt;=DeliverStart,133&lt;=DispoMonth),1,0)</f>
        <v/>
      </c>
      <c r="EG41" s="17">
        <f>IF(AND(134&gt;=DeliverStart,134&lt;=DispoMonth),1,0)</f>
        <v/>
      </c>
      <c r="EH41" s="17">
        <f>IF(AND(135&gt;=DeliverStart,135&lt;=DispoMonth),1,0)</f>
        <v/>
      </c>
      <c r="EI41" s="17">
        <f>IF(AND(136&gt;=DeliverStart,136&lt;=DispoMonth),1,0)</f>
        <v/>
      </c>
      <c r="EJ41" s="17">
        <f>IF(AND(137&gt;=DeliverStart,137&lt;=DispoMonth),1,0)</f>
        <v/>
      </c>
      <c r="EK41" s="17">
        <f>IF(AND(138&gt;=DeliverStart,138&lt;=DispoMonth),1,0)</f>
        <v/>
      </c>
      <c r="EL41" s="17">
        <f>IF(AND(139&gt;=DeliverStart,139&lt;=DispoMonth),1,0)</f>
        <v/>
      </c>
      <c r="EM41" s="17">
        <f>IF(AND(140&gt;=DeliverStart,140&lt;=DispoMonth),1,0)</f>
        <v/>
      </c>
      <c r="EN41" s="17">
        <f>IF(AND(141&gt;=DeliverStart,141&lt;=DispoMonth),1,0)</f>
        <v/>
      </c>
      <c r="EO41" s="17">
        <f>IF(AND(142&gt;=DeliverStart,142&lt;=DispoMonth),1,0)</f>
        <v/>
      </c>
      <c r="EP41" s="17">
        <f>IF(AND(143&gt;=DeliverStart,143&lt;=DispoMonth),1,0)</f>
        <v/>
      </c>
      <c r="EQ41" s="17">
        <f>IF(AND(144&gt;=DeliverStart,144&lt;=DispoMonth),1,0)</f>
        <v/>
      </c>
      <c r="ER41" s="17">
        <f>IF(AND(145&gt;=DeliverStart,145&lt;=DispoMonth),1,0)</f>
        <v/>
      </c>
      <c r="ES41" s="17">
        <f>IF(AND(146&gt;=DeliverStart,146&lt;=DispoMonth),1,0)</f>
        <v/>
      </c>
      <c r="ET41" s="17">
        <f>IF(AND(147&gt;=DeliverStart,147&lt;=DispoMonth),1,0)</f>
        <v/>
      </c>
      <c r="EU41" s="17">
        <f>IF(AND(148&gt;=DeliverStart,148&lt;=DispoMonth),1,0)</f>
        <v/>
      </c>
      <c r="EV41" s="17">
        <f>IF(AND(149&gt;=DeliverStart,149&lt;=DispoMonth),1,0)</f>
        <v/>
      </c>
      <c r="EW41" s="17">
        <f>IF(AND(150&gt;=DeliverStart,150&lt;=DispoMonth),1,0)</f>
        <v/>
      </c>
      <c r="EX41" s="17">
        <f>IF(AND(151&gt;=DeliverStart,151&lt;=DispoMonth),1,0)</f>
        <v/>
      </c>
      <c r="EY41" s="17">
        <f>IF(AND(152&gt;=DeliverStart,152&lt;=DispoMonth),1,0)</f>
        <v/>
      </c>
      <c r="EZ41" s="17">
        <f>IF(AND(153&gt;=DeliverStart,153&lt;=DispoMonth),1,0)</f>
        <v/>
      </c>
      <c r="FA41" s="17">
        <f>IF(AND(154&gt;=DeliverStart,154&lt;=DispoMonth),1,0)</f>
        <v/>
      </c>
      <c r="FB41" s="17">
        <f>IF(AND(155&gt;=DeliverStart,155&lt;=DispoMonth),1,0)</f>
        <v/>
      </c>
      <c r="FC41" s="17">
        <f>IF(AND(156&gt;=DeliverStart,156&lt;=DispoMonth),1,0)</f>
        <v/>
      </c>
      <c r="FD41" s="17">
        <f>IF(AND(157&gt;=DeliverStart,157&lt;=DispoMonth),1,0)</f>
        <v/>
      </c>
      <c r="FE41" s="17">
        <f>IF(AND(158&gt;=DeliverStart,158&lt;=DispoMonth),1,0)</f>
        <v/>
      </c>
      <c r="FF41" s="17">
        <f>IF(AND(159&gt;=DeliverStart,159&lt;=DispoMonth),1,0)</f>
        <v/>
      </c>
      <c r="FG41" s="17">
        <f>IF(AND(160&gt;=DeliverStart,160&lt;=DispoMonth),1,0)</f>
        <v/>
      </c>
      <c r="FH41" s="17">
        <f>IF(AND(161&gt;=DeliverStart,161&lt;=DispoMonth),1,0)</f>
        <v/>
      </c>
      <c r="FI41" s="17">
        <f>IF(AND(162&gt;=DeliverStart,162&lt;=DispoMonth),1,0)</f>
        <v/>
      </c>
      <c r="FJ41" s="17">
        <f>IF(AND(163&gt;=DeliverStart,163&lt;=DispoMonth),1,0)</f>
        <v/>
      </c>
      <c r="FK41" s="17">
        <f>IF(AND(164&gt;=DeliverStart,164&lt;=DispoMonth),1,0)</f>
        <v/>
      </c>
      <c r="FL41" s="17">
        <f>IF(AND(165&gt;=DeliverStart,165&lt;=DispoMonth),1,0)</f>
        <v/>
      </c>
      <c r="FM41" s="17">
        <f>IF(AND(166&gt;=DeliverStart,166&lt;=DispoMonth),1,0)</f>
        <v/>
      </c>
      <c r="FN41" s="17">
        <f>IF(AND(167&gt;=DeliverStart,167&lt;=DispoMonth),1,0)</f>
        <v/>
      </c>
      <c r="FO41" s="17">
        <f>IF(AND(168&gt;=DeliverStart,168&lt;=DispoMonth),1,0)</f>
        <v/>
      </c>
      <c r="FP41" s="17">
        <f>IF(AND(169&gt;=DeliverStart,169&lt;=DispoMonth),1,0)</f>
        <v/>
      </c>
      <c r="FQ41" s="17">
        <f>IF(AND(170&gt;=DeliverStart,170&lt;=DispoMonth),1,0)</f>
        <v/>
      </c>
      <c r="FR41" s="17">
        <f>IF(AND(171&gt;=DeliverStart,171&lt;=DispoMonth),1,0)</f>
        <v/>
      </c>
      <c r="FS41" s="17">
        <f>IF(AND(172&gt;=DeliverStart,172&lt;=DispoMonth),1,0)</f>
        <v/>
      </c>
      <c r="FT41" s="17">
        <f>IF(AND(173&gt;=DeliverStart,173&lt;=DispoMonth),1,0)</f>
        <v/>
      </c>
      <c r="FU41" s="17">
        <f>IF(AND(174&gt;=DeliverStart,174&lt;=DispoMonth),1,0)</f>
        <v/>
      </c>
      <c r="FV41" s="17">
        <f>IF(AND(175&gt;=DeliverStart,175&lt;=DispoMonth),1,0)</f>
        <v/>
      </c>
      <c r="FW41" s="17">
        <f>IF(AND(176&gt;=DeliverStart,176&lt;=DispoMonth),1,0)</f>
        <v/>
      </c>
      <c r="FX41" s="17">
        <f>IF(AND(177&gt;=DeliverStart,177&lt;=DispoMonth),1,0)</f>
        <v/>
      </c>
      <c r="FY41" s="17">
        <f>IF(AND(178&gt;=DeliverStart,178&lt;=DispoMonth),1,0)</f>
        <v/>
      </c>
      <c r="FZ41" s="17">
        <f>IF(AND(179&gt;=DeliverStart,179&lt;=DispoMonth),1,0)</f>
        <v/>
      </c>
      <c r="GA41" s="17">
        <f>IF(AND(180&gt;=DeliverStart,180&lt;=DispoMonth),1,0)</f>
        <v/>
      </c>
      <c r="GB41" s="17">
        <f>IF(AND(181&gt;=DeliverStart,181&lt;=DispoMonth),1,0)</f>
        <v/>
      </c>
      <c r="GC41" s="17">
        <f>IF(AND(182&gt;=DeliverStart,182&lt;=DispoMonth),1,0)</f>
        <v/>
      </c>
      <c r="GD41" s="17">
        <f>IF(AND(183&gt;=DeliverStart,183&lt;=DispoMonth),1,0)</f>
        <v/>
      </c>
      <c r="GE41" s="17">
        <f>IF(AND(184&gt;=DeliverStart,184&lt;=DispoMonth),1,0)</f>
        <v/>
      </c>
      <c r="GF41" s="17">
        <f>IF(AND(185&gt;=DeliverStart,185&lt;=DispoMonth),1,0)</f>
        <v/>
      </c>
      <c r="GG41" s="17">
        <f>IF(AND(186&gt;=DeliverStart,186&lt;=DispoMonth),1,0)</f>
        <v/>
      </c>
      <c r="GH41" s="17">
        <f>IF(AND(187&gt;=DeliverStart,187&lt;=DispoMonth),1,0)</f>
        <v/>
      </c>
      <c r="GI41" s="17">
        <f>IF(AND(188&gt;=DeliverStart,188&lt;=DispoMonth),1,0)</f>
        <v/>
      </c>
      <c r="GJ41" s="17">
        <f>IF(AND(189&gt;=DeliverStart,189&lt;=DispoMonth),1,0)</f>
        <v/>
      </c>
      <c r="GK41" s="17">
        <f>IF(AND(190&gt;=DeliverStart,190&lt;=DispoMonth),1,0)</f>
        <v/>
      </c>
      <c r="GL41" s="17">
        <f>IF(AND(191&gt;=DeliverStart,191&lt;=DispoMonth),1,0)</f>
        <v/>
      </c>
      <c r="GM41" s="17">
        <f>IF(AND(192&gt;=DeliverStart,192&lt;=DispoMonth),1,0)</f>
        <v/>
      </c>
      <c r="GN41" s="17">
        <f>IF(AND(193&gt;=DeliverStart,193&lt;=DispoMonth),1,0)</f>
        <v/>
      </c>
      <c r="GO41" s="17">
        <f>IF(AND(194&gt;=DeliverStart,194&lt;=DispoMonth),1,0)</f>
        <v/>
      </c>
      <c r="GP41" s="17">
        <f>IF(AND(195&gt;=DeliverStart,195&lt;=DispoMonth),1,0)</f>
        <v/>
      </c>
      <c r="GQ41" s="17">
        <f>IF(AND(196&gt;=DeliverStart,196&lt;=DispoMonth),1,0)</f>
        <v/>
      </c>
      <c r="GR41" s="17">
        <f>IF(AND(197&gt;=DeliverStart,197&lt;=DispoMonth),1,0)</f>
        <v/>
      </c>
      <c r="GS41" s="17">
        <f>IF(AND(198&gt;=DeliverStart,198&lt;=DispoMonth),1,0)</f>
        <v/>
      </c>
      <c r="GT41" s="17">
        <f>IF(AND(199&gt;=DeliverStart,199&lt;=DispoMonth),1,0)</f>
        <v/>
      </c>
      <c r="GU41" s="17">
        <f>IF(AND(200&gt;=DeliverStart,200&lt;=DispoMonth),1,0)</f>
        <v/>
      </c>
      <c r="GV41" s="17">
        <f>IF(AND(201&gt;=DeliverStart,201&lt;=DispoMonth),1,0)</f>
        <v/>
      </c>
      <c r="GW41" s="17">
        <f>IF(AND(202&gt;=DeliverStart,202&lt;=DispoMonth),1,0)</f>
        <v/>
      </c>
      <c r="GX41" s="17">
        <f>IF(AND(203&gt;=DeliverStart,203&lt;=DispoMonth),1,0)</f>
        <v/>
      </c>
      <c r="GY41" s="17">
        <f>IF(AND(204&gt;=DeliverStart,204&lt;=DispoMonth),1,0)</f>
        <v/>
      </c>
      <c r="GZ41" s="17">
        <f>IF(AND(205&gt;=DeliverStart,205&lt;=DispoMonth),1,0)</f>
        <v/>
      </c>
      <c r="HA41" s="17">
        <f>IF(AND(206&gt;=DeliverStart,206&lt;=DispoMonth),1,0)</f>
        <v/>
      </c>
      <c r="HB41" s="17">
        <f>IF(AND(207&gt;=DeliverStart,207&lt;=DispoMonth),1,0)</f>
        <v/>
      </c>
      <c r="HC41" s="17">
        <f>IF(AND(208&gt;=DeliverStart,208&lt;=DispoMonth),1,0)</f>
        <v/>
      </c>
      <c r="HD41" s="17">
        <f>IF(AND(209&gt;=DeliverStart,209&lt;=DispoMonth),1,0)</f>
        <v/>
      </c>
      <c r="HE41" s="17">
        <f>IF(AND(210&gt;=DeliverStart,210&lt;=DispoMonth),1,0)</f>
        <v/>
      </c>
      <c r="HF41" s="17">
        <f>IF(AND(211&gt;=DeliverStart,211&lt;=DispoMonth),1,0)</f>
        <v/>
      </c>
      <c r="HG41" s="17">
        <f>IF(AND(212&gt;=DeliverStart,212&lt;=DispoMonth),1,0)</f>
        <v/>
      </c>
      <c r="HH41" s="17">
        <f>IF(AND(213&gt;=DeliverStart,213&lt;=DispoMonth),1,0)</f>
        <v/>
      </c>
      <c r="HI41" s="17">
        <f>IF(AND(214&gt;=DeliverStart,214&lt;=DispoMonth),1,0)</f>
        <v/>
      </c>
      <c r="HJ41" s="17">
        <f>IF(AND(215&gt;=DeliverStart,215&lt;=DispoMonth),1,0)</f>
        <v/>
      </c>
      <c r="HK41" s="17">
        <f>IF(AND(216&gt;=DeliverStart,216&lt;=DispoMonth),1,0)</f>
        <v/>
      </c>
      <c r="HL41" s="17">
        <f>IF(AND(217&gt;=DeliverStart,217&lt;=DispoMonth),1,0)</f>
        <v/>
      </c>
      <c r="HM41" s="17">
        <f>IF(AND(218&gt;=DeliverStart,218&lt;=DispoMonth),1,0)</f>
        <v/>
      </c>
      <c r="HN41" s="17">
        <f>IF(AND(219&gt;=DeliverStart,219&lt;=DispoMonth),1,0)</f>
        <v/>
      </c>
      <c r="HO41" s="17">
        <f>IF(AND(220&gt;=DeliverStart,220&lt;=DispoMonth),1,0)</f>
        <v/>
      </c>
      <c r="HP41" s="17">
        <f>IF(AND(221&gt;=DeliverStart,221&lt;=DispoMonth),1,0)</f>
        <v/>
      </c>
      <c r="HQ41" s="17">
        <f>IF(AND(222&gt;=DeliverStart,222&lt;=DispoMonth),1,0)</f>
        <v/>
      </c>
      <c r="HR41" s="17">
        <f>IF(AND(223&gt;=DeliverStart,223&lt;=DispoMonth),1,0)</f>
        <v/>
      </c>
      <c r="HS41" s="17">
        <f>IF(AND(224&gt;=DeliverStart,224&lt;=DispoMonth),1,0)</f>
        <v/>
      </c>
      <c r="HT41" s="17">
        <f>IF(AND(225&gt;=DeliverStart,225&lt;=DispoMonth),1,0)</f>
        <v/>
      </c>
      <c r="HU41" s="17">
        <f>IF(AND(226&gt;=DeliverStart,226&lt;=DispoMonth),1,0)</f>
        <v/>
      </c>
      <c r="HV41" s="17">
        <f>IF(AND(227&gt;=DeliverStart,227&lt;=DispoMonth),1,0)</f>
        <v/>
      </c>
      <c r="HW41" s="17">
        <f>IF(AND(228&gt;=DeliverStart,228&lt;=DispoMonth),1,0)</f>
        <v/>
      </c>
      <c r="HX41" s="17">
        <f>IF(AND(229&gt;=DeliverStart,229&lt;=DispoMonth),1,0)</f>
        <v/>
      </c>
      <c r="HY41" s="17">
        <f>IF(AND(230&gt;=DeliverStart,230&lt;=DispoMonth),1,0)</f>
        <v/>
      </c>
      <c r="HZ41" s="17">
        <f>IF(AND(231&gt;=DeliverStart,231&lt;=DispoMonth),1,0)</f>
        <v/>
      </c>
      <c r="IA41" s="17">
        <f>IF(AND(232&gt;=DeliverStart,232&lt;=DispoMonth),1,0)</f>
        <v/>
      </c>
      <c r="IB41" s="17">
        <f>IF(AND(233&gt;=DeliverStart,233&lt;=DispoMonth),1,0)</f>
        <v/>
      </c>
      <c r="IC41" s="17">
        <f>IF(AND(234&gt;=DeliverStart,234&lt;=DispoMonth),1,0)</f>
        <v/>
      </c>
      <c r="ID41" s="17">
        <f>IF(AND(235&gt;=DeliverStart,235&lt;=DispoMonth),1,0)</f>
        <v/>
      </c>
      <c r="IE41" s="17">
        <f>IF(AND(236&gt;=DeliverStart,236&lt;=DispoMonth),1,0)</f>
        <v/>
      </c>
      <c r="IF41" s="17">
        <f>IF(AND(237&gt;=DeliverStart,237&lt;=DispoMonth),1,0)</f>
        <v/>
      </c>
      <c r="IG41" s="17">
        <f>IF(AND(238&gt;=DeliverStart,238&lt;=DispoMonth),1,0)</f>
        <v/>
      </c>
      <c r="IH41" s="17">
        <f>IF(AND(239&gt;=DeliverStart,239&lt;=DispoMonth),1,0)</f>
        <v/>
      </c>
      <c r="II41" s="17">
        <f>IF(AND(240&gt;=DeliverStart,240&lt;=DispoMonth),1,0)</f>
        <v/>
      </c>
      <c r="IJ41" s="17">
        <f>IF(AND(241&gt;=DeliverStart,241&lt;=DispoMonth),1,0)</f>
        <v/>
      </c>
      <c r="IK41" s="17">
        <f>IF(AND(242&gt;=DeliverStart,242&lt;=DispoMonth),1,0)</f>
        <v/>
      </c>
      <c r="IL41" s="17">
        <f>IF(AND(243&gt;=DeliverStart,243&lt;=DispoMonth),1,0)</f>
        <v/>
      </c>
      <c r="IM41" s="17">
        <f>IF(AND(244&gt;=DeliverStart,244&lt;=DispoMonth),1,0)</f>
        <v/>
      </c>
      <c r="IN41" s="17">
        <f>IF(AND(245&gt;=DeliverStart,245&lt;=DispoMonth),1,0)</f>
        <v/>
      </c>
      <c r="IO41" s="17">
        <f>IF(AND(246&gt;=DeliverStart,246&lt;=DispoMonth),1,0)</f>
        <v/>
      </c>
      <c r="IP41" s="17">
        <f>IF(AND(247&gt;=DeliverStart,247&lt;=DispoMonth),1,0)</f>
        <v/>
      </c>
      <c r="IQ41" s="17">
        <f>IF(AND(248&gt;=DeliverStart,248&lt;=DispoMonth),1,0)</f>
        <v/>
      </c>
      <c r="IR41" s="17">
        <f>IF(AND(249&gt;=DeliverStart,249&lt;=DispoMonth),1,0)</f>
        <v/>
      </c>
      <c r="IS41" s="17">
        <f>IF(AND(250&gt;=DeliverStart,250&lt;=DispoMonth),1,0)</f>
        <v/>
      </c>
      <c r="IT41" s="17">
        <f>IF(AND(251&gt;=DeliverStart,251&lt;=DispoMonth),1,0)</f>
        <v/>
      </c>
      <c r="IU41" s="17">
        <f>IF(AND(252&gt;=DeliverStart,252&lt;=DispoMonth),1,0)</f>
        <v/>
      </c>
      <c r="IV41" s="17">
        <f>IF(AND(253&gt;=DeliverStart,253&lt;=DispoMonth),1,0)</f>
        <v/>
      </c>
      <c r="IW41" s="17">
        <f>IF(AND(254&gt;=DeliverStart,254&lt;=DispoMonth),1,0)</f>
        <v/>
      </c>
      <c r="IX41" s="17">
        <f>IF(AND(255&gt;=DeliverStart,255&lt;=DispoMonth),1,0)</f>
        <v/>
      </c>
      <c r="IY41" s="17">
        <f>IF(AND(256&gt;=DeliverStart,256&lt;=DispoMonth),1,0)</f>
        <v/>
      </c>
      <c r="IZ41" s="17">
        <f>IF(AND(257&gt;=DeliverStart,257&lt;=DispoMonth),1,0)</f>
        <v/>
      </c>
      <c r="JA41" s="17">
        <f>IF(AND(258&gt;=DeliverStart,258&lt;=DispoMonth),1,0)</f>
        <v/>
      </c>
      <c r="JB41" s="17">
        <f>IF(AND(259&gt;=DeliverStart,259&lt;=DispoMonth),1,0)</f>
        <v/>
      </c>
      <c r="JC41" s="17">
        <f>IF(AND(260&gt;=DeliverStart,260&lt;=DispoMonth),1,0)</f>
        <v/>
      </c>
      <c r="JD41" s="17">
        <f>IF(AND(261&gt;=DeliverStart,261&lt;=DispoMonth),1,0)</f>
        <v/>
      </c>
      <c r="JE41" s="17">
        <f>IF(AND(262&gt;=DeliverStart,262&lt;=DispoMonth),1,0)</f>
        <v/>
      </c>
      <c r="JF41" s="17">
        <f>IF(AND(263&gt;=DeliverStart,263&lt;=DispoMonth),1,0)</f>
        <v/>
      </c>
      <c r="JG41" s="17">
        <f>IF(AND(264&gt;=DeliverStart,264&lt;=DispoMonth),1,0)</f>
        <v/>
      </c>
      <c r="JH41" s="17">
        <f>IF(AND(265&gt;=DeliverStart,265&lt;=DispoMonth),1,0)</f>
        <v/>
      </c>
      <c r="JI41" s="17">
        <f>IF(AND(266&gt;=DeliverStart,266&lt;=DispoMonth),1,0)</f>
        <v/>
      </c>
      <c r="JJ41" s="17">
        <f>IF(AND(267&gt;=DeliverStart,267&lt;=DispoMonth),1,0)</f>
        <v/>
      </c>
      <c r="JK41" s="17">
        <f>IF(AND(268&gt;=DeliverStart,268&lt;=DispoMonth),1,0)</f>
        <v/>
      </c>
      <c r="JL41" s="17">
        <f>IF(AND(269&gt;=DeliverStart,269&lt;=DispoMonth),1,0)</f>
        <v/>
      </c>
      <c r="JM41" s="17">
        <f>IF(AND(270&gt;=DeliverStart,270&lt;=DispoMonth),1,0)</f>
        <v/>
      </c>
      <c r="JN41" s="17">
        <f>IF(AND(271&gt;=DeliverStart,271&lt;=DispoMonth),1,0)</f>
        <v/>
      </c>
      <c r="JO41" s="17">
        <f>IF(AND(272&gt;=DeliverStart,272&lt;=DispoMonth),1,0)</f>
        <v/>
      </c>
      <c r="JP41" s="17">
        <f>IF(AND(273&gt;=DeliverStart,273&lt;=DispoMonth),1,0)</f>
        <v/>
      </c>
      <c r="JQ41" s="17">
        <f>IF(AND(274&gt;=DeliverStart,274&lt;=DispoMonth),1,0)</f>
        <v/>
      </c>
      <c r="JR41" s="17">
        <f>IF(AND(275&gt;=DeliverStart,275&lt;=DispoMonth),1,0)</f>
        <v/>
      </c>
      <c r="JS41" s="17">
        <f>IF(AND(276&gt;=DeliverStart,276&lt;=DispoMonth),1,0)</f>
        <v/>
      </c>
      <c r="JT41" s="17">
        <f>IF(AND(277&gt;=DeliverStart,277&lt;=DispoMonth),1,0)</f>
        <v/>
      </c>
      <c r="JU41" s="17">
        <f>IF(AND(278&gt;=DeliverStart,278&lt;=DispoMonth),1,0)</f>
        <v/>
      </c>
      <c r="JV41" s="17">
        <f>IF(AND(279&gt;=DeliverStart,279&lt;=DispoMonth),1,0)</f>
        <v/>
      </c>
      <c r="JW41" s="17">
        <f>IF(AND(280&gt;=DeliverStart,280&lt;=DispoMonth),1,0)</f>
        <v/>
      </c>
      <c r="JX41" s="17">
        <f>IF(AND(281&gt;=DeliverStart,281&lt;=DispoMonth),1,0)</f>
        <v/>
      </c>
      <c r="JY41" s="17">
        <f>IF(AND(282&gt;=DeliverStart,282&lt;=DispoMonth),1,0)</f>
        <v/>
      </c>
      <c r="JZ41" s="17">
        <f>IF(AND(283&gt;=DeliverStart,283&lt;=DispoMonth),1,0)</f>
        <v/>
      </c>
      <c r="KA41" s="17">
        <f>IF(AND(284&gt;=DeliverStart,284&lt;=DispoMonth),1,0)</f>
        <v/>
      </c>
      <c r="KB41" s="17">
        <f>IF(AND(285&gt;=DeliverStart,285&lt;=DispoMonth),1,0)</f>
        <v/>
      </c>
      <c r="KC41" s="17">
        <f>IF(AND(286&gt;=DeliverStart,286&lt;=DispoMonth),1,0)</f>
        <v/>
      </c>
      <c r="KD41" s="17">
        <f>IF(AND(287&gt;=DeliverStart,287&lt;=DispoMonth),1,0)</f>
        <v/>
      </c>
      <c r="KE41" s="17">
        <f>IF(AND(288&gt;=DeliverStart,288&lt;=DispoMonth),1,0)</f>
        <v/>
      </c>
      <c r="KF41" s="17">
        <f>IF(AND(289&gt;=DeliverStart,289&lt;=DispoMonth),1,0)</f>
        <v/>
      </c>
      <c r="KG41" s="17">
        <f>IF(AND(290&gt;=DeliverStart,290&lt;=DispoMonth),1,0)</f>
        <v/>
      </c>
      <c r="KH41" s="17">
        <f>IF(AND(291&gt;=DeliverStart,291&lt;=DispoMonth),1,0)</f>
        <v/>
      </c>
      <c r="KI41" s="17">
        <f>IF(AND(292&gt;=DeliverStart,292&lt;=DispoMonth),1,0)</f>
        <v/>
      </c>
      <c r="KJ41" s="17">
        <f>IF(AND(293&gt;=DeliverStart,293&lt;=DispoMonth),1,0)</f>
        <v/>
      </c>
      <c r="KK41" s="17">
        <f>IF(AND(294&gt;=DeliverStart,294&lt;=DispoMonth),1,0)</f>
        <v/>
      </c>
      <c r="KL41" s="17">
        <f>IF(AND(295&gt;=DeliverStart,295&lt;=DispoMonth),1,0)</f>
        <v/>
      </c>
      <c r="KM41" s="17">
        <f>IF(AND(296&gt;=DeliverStart,296&lt;=DispoMonth),1,0)</f>
        <v/>
      </c>
      <c r="KN41" s="17">
        <f>IF(AND(297&gt;=DeliverStart,297&lt;=DispoMonth),1,0)</f>
        <v/>
      </c>
      <c r="KO41" s="17">
        <f>IF(AND(298&gt;=DeliverStart,298&lt;=DispoMonth),1,0)</f>
        <v/>
      </c>
      <c r="KP41" s="17">
        <f>IF(AND(299&gt;=DeliverStart,299&lt;=DispoMonth),1,0)</f>
        <v/>
      </c>
      <c r="KQ41" s="17">
        <f>IF(AND(300&gt;=DeliverStart,300&lt;=DispoMonth),1,0)</f>
        <v/>
      </c>
      <c r="KR41" s="17">
        <f>IF(AND(301&gt;=DeliverStart,301&lt;=DispoMonth),1,0)</f>
        <v/>
      </c>
      <c r="KS41" s="17">
        <f>IF(AND(302&gt;=DeliverStart,302&lt;=DispoMonth),1,0)</f>
        <v/>
      </c>
      <c r="KT41" s="17">
        <f>IF(AND(303&gt;=DeliverStart,303&lt;=DispoMonth),1,0)</f>
        <v/>
      </c>
      <c r="KU41" s="17">
        <f>IF(AND(304&gt;=DeliverStart,304&lt;=DispoMonth),1,0)</f>
        <v/>
      </c>
      <c r="KV41" s="17">
        <f>IF(AND(305&gt;=DeliverStart,305&lt;=DispoMonth),1,0)</f>
        <v/>
      </c>
      <c r="KW41" s="17">
        <f>IF(AND(306&gt;=DeliverStart,306&lt;=DispoMonth),1,0)</f>
        <v/>
      </c>
      <c r="KX41" s="17">
        <f>IF(AND(307&gt;=DeliverStart,307&lt;=DispoMonth),1,0)</f>
        <v/>
      </c>
      <c r="KY41" s="17">
        <f>IF(AND(308&gt;=DeliverStart,308&lt;=DispoMonth),1,0)</f>
        <v/>
      </c>
      <c r="KZ41" s="17">
        <f>IF(AND(309&gt;=DeliverStart,309&lt;=DispoMonth),1,0)</f>
        <v/>
      </c>
      <c r="LA41" s="17">
        <f>IF(AND(310&gt;=DeliverStart,310&lt;=DispoMonth),1,0)</f>
        <v/>
      </c>
      <c r="LB41" s="17">
        <f>IF(AND(311&gt;=DeliverStart,311&lt;=DispoMonth),1,0)</f>
        <v/>
      </c>
      <c r="LC41" s="17">
        <f>IF(AND(312&gt;=DeliverStart,312&lt;=DispoMonth),1,0)</f>
        <v/>
      </c>
      <c r="LD41" s="17">
        <f>IF(AND(313&gt;=DeliverStart,313&lt;=DispoMonth),1,0)</f>
        <v/>
      </c>
      <c r="LE41" s="17">
        <f>IF(AND(314&gt;=DeliverStart,314&lt;=DispoMonth),1,0)</f>
        <v/>
      </c>
      <c r="LF41" s="17">
        <f>IF(AND(315&gt;=DeliverStart,315&lt;=DispoMonth),1,0)</f>
        <v/>
      </c>
      <c r="LG41" s="17">
        <f>IF(AND(316&gt;=DeliverStart,316&lt;=DispoMonth),1,0)</f>
        <v/>
      </c>
      <c r="LH41" s="17">
        <f>IF(AND(317&gt;=DeliverStart,317&lt;=DispoMonth),1,0)</f>
        <v/>
      </c>
      <c r="LI41" s="17">
        <f>IF(AND(318&gt;=DeliverStart,318&lt;=DispoMonth),1,0)</f>
        <v/>
      </c>
      <c r="LJ41" s="17">
        <f>IF(AND(319&gt;=DeliverStart,319&lt;=DispoMonth),1,0)</f>
        <v/>
      </c>
      <c r="LK41" s="17">
        <f>IF(AND(320&gt;=DeliverStart,320&lt;=DispoMonth),1,0)</f>
        <v/>
      </c>
      <c r="LL41" s="17">
        <f>IF(AND(321&gt;=DeliverStart,321&lt;=DispoMonth),1,0)</f>
        <v/>
      </c>
      <c r="LM41" s="17">
        <f>IF(AND(322&gt;=DeliverStart,322&lt;=DispoMonth),1,0)</f>
        <v/>
      </c>
      <c r="LN41" s="17">
        <f>IF(AND(323&gt;=DeliverStart,323&lt;=DispoMonth),1,0)</f>
        <v/>
      </c>
      <c r="LO41" s="17">
        <f>IF(AND(324&gt;=DeliverStart,324&lt;=DispoMonth),1,0)</f>
        <v/>
      </c>
      <c r="LP41" s="17">
        <f>IF(AND(325&gt;=DeliverStart,325&lt;=DispoMonth),1,0)</f>
        <v/>
      </c>
      <c r="LQ41" s="17">
        <f>IF(AND(326&gt;=DeliverStart,326&lt;=DispoMonth),1,0)</f>
        <v/>
      </c>
      <c r="LR41" s="17">
        <f>IF(AND(327&gt;=DeliverStart,327&lt;=DispoMonth),1,0)</f>
        <v/>
      </c>
      <c r="LS41" s="17">
        <f>IF(AND(328&gt;=DeliverStart,328&lt;=DispoMonth),1,0)</f>
        <v/>
      </c>
      <c r="LT41" s="17">
        <f>IF(AND(329&gt;=DeliverStart,329&lt;=DispoMonth),1,0)</f>
        <v/>
      </c>
      <c r="LU41" s="17">
        <f>IF(AND(330&gt;=DeliverStart,330&lt;=DispoMonth),1,0)</f>
        <v/>
      </c>
      <c r="LV41" s="17">
        <f>IF(AND(331&gt;=DeliverStart,331&lt;=DispoMonth),1,0)</f>
        <v/>
      </c>
      <c r="LW41" s="17">
        <f>IF(AND(332&gt;=DeliverStart,332&lt;=DispoMonth),1,0)</f>
        <v/>
      </c>
      <c r="LX41" s="17">
        <f>IF(AND(333&gt;=DeliverStart,333&lt;=DispoMonth),1,0)</f>
        <v/>
      </c>
      <c r="LY41" s="17">
        <f>IF(AND(334&gt;=DeliverStart,334&lt;=DispoMonth),1,0)</f>
        <v/>
      </c>
      <c r="LZ41" s="17">
        <f>IF(AND(335&gt;=DeliverStart,335&lt;=DispoMonth),1,0)</f>
        <v/>
      </c>
      <c r="MA41" s="17">
        <f>IF(AND(336&gt;=DeliverStart,336&lt;=DispoMonth),1,0)</f>
        <v/>
      </c>
      <c r="MB41" s="17">
        <f>IF(AND(337&gt;=DeliverStart,337&lt;=DispoMonth),1,0)</f>
        <v/>
      </c>
      <c r="MC41" s="17">
        <f>IF(AND(338&gt;=DeliverStart,338&lt;=DispoMonth),1,0)</f>
        <v/>
      </c>
      <c r="MD41" s="17">
        <f>IF(AND(339&gt;=DeliverStart,339&lt;=DispoMonth),1,0)</f>
        <v/>
      </c>
      <c r="ME41" s="17">
        <f>IF(AND(340&gt;=DeliverStart,340&lt;=DispoMonth),1,0)</f>
        <v/>
      </c>
      <c r="MF41" s="17">
        <f>IF(AND(341&gt;=DeliverStart,341&lt;=DispoMonth),1,0)</f>
        <v/>
      </c>
      <c r="MG41" s="17">
        <f>IF(AND(342&gt;=DeliverStart,342&lt;=DispoMonth),1,0)</f>
        <v/>
      </c>
      <c r="MH41" s="17">
        <f>IF(AND(343&gt;=DeliverStart,343&lt;=DispoMonth),1,0)</f>
        <v/>
      </c>
      <c r="MI41" s="17">
        <f>IF(AND(344&gt;=DeliverStart,344&lt;=DispoMonth),1,0)</f>
        <v/>
      </c>
      <c r="MJ41" s="17">
        <f>IF(AND(345&gt;=DeliverStart,345&lt;=DispoMonth),1,0)</f>
        <v/>
      </c>
      <c r="MK41" s="17">
        <f>IF(AND(346&gt;=DeliverStart,346&lt;=DispoMonth),1,0)</f>
        <v/>
      </c>
      <c r="ML41" s="17">
        <f>IF(AND(347&gt;=DeliverStart,347&lt;=DispoMonth),1,0)</f>
        <v/>
      </c>
      <c r="MM41" s="17">
        <f>IF(AND(348&gt;=DeliverStart,348&lt;=DispoMonth),1,0)</f>
        <v/>
      </c>
      <c r="MN41" s="17">
        <f>IF(AND(349&gt;=DeliverStart,349&lt;=DispoMonth),1,0)</f>
        <v/>
      </c>
      <c r="MO41" s="17">
        <f>IF(AND(350&gt;=DeliverStart,350&lt;=DispoMonth),1,0)</f>
        <v/>
      </c>
      <c r="MP41" s="17">
        <f>IF(AND(351&gt;=DeliverStart,351&lt;=DispoMonth),1,0)</f>
        <v/>
      </c>
      <c r="MQ41" s="17">
        <f>IF(AND(352&gt;=DeliverStart,352&lt;=DispoMonth),1,0)</f>
        <v/>
      </c>
      <c r="MR41" s="17">
        <f>IF(AND(353&gt;=DeliverStart,353&lt;=DispoMonth),1,0)</f>
        <v/>
      </c>
      <c r="MS41" s="17">
        <f>IF(AND(354&gt;=DeliverStart,354&lt;=DispoMonth),1,0)</f>
        <v/>
      </c>
      <c r="MT41" s="17">
        <f>IF(AND(355&gt;=DeliverStart,355&lt;=DispoMonth),1,0)</f>
        <v/>
      </c>
      <c r="MU41" s="17">
        <f>IF(AND(356&gt;=DeliverStart,356&lt;=DispoMonth),1,0)</f>
        <v/>
      </c>
      <c r="MV41" s="17">
        <f>IF(AND(357&gt;=DeliverStart,357&lt;=DispoMonth),1,0)</f>
        <v/>
      </c>
      <c r="MW41" s="17">
        <f>IF(AND(358&gt;=DeliverStart,358&lt;=DispoMonth),1,0)</f>
        <v/>
      </c>
      <c r="MX41" s="17">
        <f>IF(AND(359&gt;=DeliverStart,359&lt;=DispoMonth),1,0)</f>
        <v/>
      </c>
      <c r="MY41" s="17">
        <f>IF(AND(360&gt;=DeliverStart,360&lt;=DispoMonth),1,0)</f>
        <v/>
      </c>
      <c r="MZ41" s="17">
        <f>IF(AND(361&gt;=DeliverStart,361&lt;=DispoMonth),1,0)</f>
        <v/>
      </c>
      <c r="NA41" s="17">
        <f>IF(AND(362&gt;=DeliverStart,362&lt;=DispoMonth),1,0)</f>
        <v/>
      </c>
      <c r="NB41" s="17">
        <f>IF(AND(363&gt;=DeliverStart,363&lt;=DispoMonth),1,0)</f>
        <v/>
      </c>
      <c r="NC41" s="17">
        <f>IF(AND(364&gt;=DeliverStart,364&lt;=DispoMonth),1,0)</f>
        <v/>
      </c>
      <c r="ND41" s="17">
        <f>IF(AND(365&gt;=DeliverStart,365&lt;=DispoMonth),1,0)</f>
        <v/>
      </c>
      <c r="NE41" s="17">
        <f>IF(AND(366&gt;=DeliverStart,366&lt;=DispoMonth),1,0)</f>
        <v/>
      </c>
      <c r="NF41" s="17">
        <f>IF(AND(367&gt;=DeliverStart,367&lt;=DispoMonth),1,0)</f>
        <v/>
      </c>
      <c r="NG41" s="17">
        <f>IF(AND(368&gt;=DeliverStart,368&lt;=DispoMonth),1,0)</f>
        <v/>
      </c>
      <c r="NH41" s="17">
        <f>IF(AND(369&gt;=DeliverStart,369&lt;=DispoMonth),1,0)</f>
        <v/>
      </c>
      <c r="NI41" s="17">
        <f>IF(AND(370&gt;=DeliverStart,370&lt;=DispoMonth),1,0)</f>
        <v/>
      </c>
      <c r="NJ41" s="17">
        <f>IF(AND(371&gt;=DeliverStart,371&lt;=DispoMonth),1,0)</f>
        <v/>
      </c>
      <c r="NK41" s="17">
        <f>IF(AND(372&gt;=DeliverStart,372&lt;=DispoMonth),1,0)</f>
        <v/>
      </c>
    </row>
    <row r="42">
      <c r="A42" s="5" t="inlineStr">
        <is>
          <t>Flag: Con Loan Active</t>
        </is>
      </c>
      <c r="C42" s="40" t="n"/>
      <c r="D42" s="17">
        <f>IF(AND(1&gt;=ConStart,1&lt;=ConPayoffMonth),1,0)</f>
        <v/>
      </c>
      <c r="E42" s="17">
        <f>IF(AND(2&gt;=ConStart,2&lt;=ConPayoffMonth),1,0)</f>
        <v/>
      </c>
      <c r="F42" s="17">
        <f>IF(AND(3&gt;=ConStart,3&lt;=ConPayoffMonth),1,0)</f>
        <v/>
      </c>
      <c r="G42" s="17">
        <f>IF(AND(4&gt;=ConStart,4&lt;=ConPayoffMonth),1,0)</f>
        <v/>
      </c>
      <c r="H42" s="17">
        <f>IF(AND(5&gt;=ConStart,5&lt;=ConPayoffMonth),1,0)</f>
        <v/>
      </c>
      <c r="I42" s="17">
        <f>IF(AND(6&gt;=ConStart,6&lt;=ConPayoffMonth),1,0)</f>
        <v/>
      </c>
      <c r="J42" s="17">
        <f>IF(AND(7&gt;=ConStart,7&lt;=ConPayoffMonth),1,0)</f>
        <v/>
      </c>
      <c r="K42" s="17">
        <f>IF(AND(8&gt;=ConStart,8&lt;=ConPayoffMonth),1,0)</f>
        <v/>
      </c>
      <c r="L42" s="17">
        <f>IF(AND(9&gt;=ConStart,9&lt;=ConPayoffMonth),1,0)</f>
        <v/>
      </c>
      <c r="M42" s="17">
        <f>IF(AND(10&gt;=ConStart,10&lt;=ConPayoffMonth),1,0)</f>
        <v/>
      </c>
      <c r="N42" s="17">
        <f>IF(AND(11&gt;=ConStart,11&lt;=ConPayoffMonth),1,0)</f>
        <v/>
      </c>
      <c r="O42" s="17">
        <f>IF(AND(12&gt;=ConStart,12&lt;=ConPayoffMonth),1,0)</f>
        <v/>
      </c>
      <c r="P42" s="17">
        <f>IF(AND(13&gt;=ConStart,13&lt;=ConPayoffMonth),1,0)</f>
        <v/>
      </c>
      <c r="Q42" s="17">
        <f>IF(AND(14&gt;=ConStart,14&lt;=ConPayoffMonth),1,0)</f>
        <v/>
      </c>
      <c r="R42" s="17">
        <f>IF(AND(15&gt;=ConStart,15&lt;=ConPayoffMonth),1,0)</f>
        <v/>
      </c>
      <c r="S42" s="17">
        <f>IF(AND(16&gt;=ConStart,16&lt;=ConPayoffMonth),1,0)</f>
        <v/>
      </c>
      <c r="T42" s="17">
        <f>IF(AND(17&gt;=ConStart,17&lt;=ConPayoffMonth),1,0)</f>
        <v/>
      </c>
      <c r="U42" s="17">
        <f>IF(AND(18&gt;=ConStart,18&lt;=ConPayoffMonth),1,0)</f>
        <v/>
      </c>
      <c r="V42" s="17">
        <f>IF(AND(19&gt;=ConStart,19&lt;=ConPayoffMonth),1,0)</f>
        <v/>
      </c>
      <c r="W42" s="17">
        <f>IF(AND(20&gt;=ConStart,20&lt;=ConPayoffMonth),1,0)</f>
        <v/>
      </c>
      <c r="X42" s="17">
        <f>IF(AND(21&gt;=ConStart,21&lt;=ConPayoffMonth),1,0)</f>
        <v/>
      </c>
      <c r="Y42" s="17">
        <f>IF(AND(22&gt;=ConStart,22&lt;=ConPayoffMonth),1,0)</f>
        <v/>
      </c>
      <c r="Z42" s="17">
        <f>IF(AND(23&gt;=ConStart,23&lt;=ConPayoffMonth),1,0)</f>
        <v/>
      </c>
      <c r="AA42" s="17">
        <f>IF(AND(24&gt;=ConStart,24&lt;=ConPayoffMonth),1,0)</f>
        <v/>
      </c>
      <c r="AB42" s="17">
        <f>IF(AND(25&gt;=ConStart,25&lt;=ConPayoffMonth),1,0)</f>
        <v/>
      </c>
      <c r="AC42" s="17">
        <f>IF(AND(26&gt;=ConStart,26&lt;=ConPayoffMonth),1,0)</f>
        <v/>
      </c>
      <c r="AD42" s="17">
        <f>IF(AND(27&gt;=ConStart,27&lt;=ConPayoffMonth),1,0)</f>
        <v/>
      </c>
      <c r="AE42" s="17">
        <f>IF(AND(28&gt;=ConStart,28&lt;=ConPayoffMonth),1,0)</f>
        <v/>
      </c>
      <c r="AF42" s="17">
        <f>IF(AND(29&gt;=ConStart,29&lt;=ConPayoffMonth),1,0)</f>
        <v/>
      </c>
      <c r="AG42" s="17">
        <f>IF(AND(30&gt;=ConStart,30&lt;=ConPayoffMonth),1,0)</f>
        <v/>
      </c>
      <c r="AH42" s="17">
        <f>IF(AND(31&gt;=ConStart,31&lt;=ConPayoffMonth),1,0)</f>
        <v/>
      </c>
      <c r="AI42" s="17">
        <f>IF(AND(32&gt;=ConStart,32&lt;=ConPayoffMonth),1,0)</f>
        <v/>
      </c>
      <c r="AJ42" s="17">
        <f>IF(AND(33&gt;=ConStart,33&lt;=ConPayoffMonth),1,0)</f>
        <v/>
      </c>
      <c r="AK42" s="17">
        <f>IF(AND(34&gt;=ConStart,34&lt;=ConPayoffMonth),1,0)</f>
        <v/>
      </c>
      <c r="AL42" s="17">
        <f>IF(AND(35&gt;=ConStart,35&lt;=ConPayoffMonth),1,0)</f>
        <v/>
      </c>
      <c r="AM42" s="17">
        <f>IF(AND(36&gt;=ConStart,36&lt;=ConPayoffMonth),1,0)</f>
        <v/>
      </c>
      <c r="AN42" s="17">
        <f>IF(AND(37&gt;=ConStart,37&lt;=ConPayoffMonth),1,0)</f>
        <v/>
      </c>
      <c r="AO42" s="17">
        <f>IF(AND(38&gt;=ConStart,38&lt;=ConPayoffMonth),1,0)</f>
        <v/>
      </c>
      <c r="AP42" s="17">
        <f>IF(AND(39&gt;=ConStart,39&lt;=ConPayoffMonth),1,0)</f>
        <v/>
      </c>
      <c r="AQ42" s="17">
        <f>IF(AND(40&gt;=ConStart,40&lt;=ConPayoffMonth),1,0)</f>
        <v/>
      </c>
      <c r="AR42" s="17">
        <f>IF(AND(41&gt;=ConStart,41&lt;=ConPayoffMonth),1,0)</f>
        <v/>
      </c>
      <c r="AS42" s="17">
        <f>IF(AND(42&gt;=ConStart,42&lt;=ConPayoffMonth),1,0)</f>
        <v/>
      </c>
      <c r="AT42" s="17">
        <f>IF(AND(43&gt;=ConStart,43&lt;=ConPayoffMonth),1,0)</f>
        <v/>
      </c>
      <c r="AU42" s="17">
        <f>IF(AND(44&gt;=ConStart,44&lt;=ConPayoffMonth),1,0)</f>
        <v/>
      </c>
      <c r="AV42" s="17">
        <f>IF(AND(45&gt;=ConStart,45&lt;=ConPayoffMonth),1,0)</f>
        <v/>
      </c>
      <c r="AW42" s="17">
        <f>IF(AND(46&gt;=ConStart,46&lt;=ConPayoffMonth),1,0)</f>
        <v/>
      </c>
      <c r="AX42" s="17">
        <f>IF(AND(47&gt;=ConStart,47&lt;=ConPayoffMonth),1,0)</f>
        <v/>
      </c>
      <c r="AY42" s="17">
        <f>IF(AND(48&gt;=ConStart,48&lt;=ConPayoffMonth),1,0)</f>
        <v/>
      </c>
      <c r="AZ42" s="17">
        <f>IF(AND(49&gt;=ConStart,49&lt;=ConPayoffMonth),1,0)</f>
        <v/>
      </c>
      <c r="BA42" s="17">
        <f>IF(AND(50&gt;=ConStart,50&lt;=ConPayoffMonth),1,0)</f>
        <v/>
      </c>
      <c r="BB42" s="17">
        <f>IF(AND(51&gt;=ConStart,51&lt;=ConPayoffMonth),1,0)</f>
        <v/>
      </c>
      <c r="BC42" s="17">
        <f>IF(AND(52&gt;=ConStart,52&lt;=ConPayoffMonth),1,0)</f>
        <v/>
      </c>
      <c r="BD42" s="17">
        <f>IF(AND(53&gt;=ConStart,53&lt;=ConPayoffMonth),1,0)</f>
        <v/>
      </c>
      <c r="BE42" s="17">
        <f>IF(AND(54&gt;=ConStart,54&lt;=ConPayoffMonth),1,0)</f>
        <v/>
      </c>
      <c r="BF42" s="17">
        <f>IF(AND(55&gt;=ConStart,55&lt;=ConPayoffMonth),1,0)</f>
        <v/>
      </c>
      <c r="BG42" s="17">
        <f>IF(AND(56&gt;=ConStart,56&lt;=ConPayoffMonth),1,0)</f>
        <v/>
      </c>
      <c r="BH42" s="17">
        <f>IF(AND(57&gt;=ConStart,57&lt;=ConPayoffMonth),1,0)</f>
        <v/>
      </c>
      <c r="BI42" s="17">
        <f>IF(AND(58&gt;=ConStart,58&lt;=ConPayoffMonth),1,0)</f>
        <v/>
      </c>
      <c r="BJ42" s="17">
        <f>IF(AND(59&gt;=ConStart,59&lt;=ConPayoffMonth),1,0)</f>
        <v/>
      </c>
      <c r="BK42" s="17">
        <f>IF(AND(60&gt;=ConStart,60&lt;=ConPayoffMonth),1,0)</f>
        <v/>
      </c>
      <c r="BL42" s="17">
        <f>IF(AND(61&gt;=ConStart,61&lt;=ConPayoffMonth),1,0)</f>
        <v/>
      </c>
      <c r="BM42" s="17">
        <f>IF(AND(62&gt;=ConStart,62&lt;=ConPayoffMonth),1,0)</f>
        <v/>
      </c>
      <c r="BN42" s="17">
        <f>IF(AND(63&gt;=ConStart,63&lt;=ConPayoffMonth),1,0)</f>
        <v/>
      </c>
      <c r="BO42" s="17">
        <f>IF(AND(64&gt;=ConStart,64&lt;=ConPayoffMonth),1,0)</f>
        <v/>
      </c>
      <c r="BP42" s="17">
        <f>IF(AND(65&gt;=ConStart,65&lt;=ConPayoffMonth),1,0)</f>
        <v/>
      </c>
      <c r="BQ42" s="17">
        <f>IF(AND(66&gt;=ConStart,66&lt;=ConPayoffMonth),1,0)</f>
        <v/>
      </c>
      <c r="BR42" s="17">
        <f>IF(AND(67&gt;=ConStart,67&lt;=ConPayoffMonth),1,0)</f>
        <v/>
      </c>
      <c r="BS42" s="17">
        <f>IF(AND(68&gt;=ConStart,68&lt;=ConPayoffMonth),1,0)</f>
        <v/>
      </c>
      <c r="BT42" s="17">
        <f>IF(AND(69&gt;=ConStart,69&lt;=ConPayoffMonth),1,0)</f>
        <v/>
      </c>
      <c r="BU42" s="17">
        <f>IF(AND(70&gt;=ConStart,70&lt;=ConPayoffMonth),1,0)</f>
        <v/>
      </c>
      <c r="BV42" s="17">
        <f>IF(AND(71&gt;=ConStart,71&lt;=ConPayoffMonth),1,0)</f>
        <v/>
      </c>
      <c r="BW42" s="17">
        <f>IF(AND(72&gt;=ConStart,72&lt;=ConPayoffMonth),1,0)</f>
        <v/>
      </c>
      <c r="BX42" s="17">
        <f>IF(AND(73&gt;=ConStart,73&lt;=ConPayoffMonth),1,0)</f>
        <v/>
      </c>
      <c r="BY42" s="17">
        <f>IF(AND(74&gt;=ConStart,74&lt;=ConPayoffMonth),1,0)</f>
        <v/>
      </c>
      <c r="BZ42" s="17">
        <f>IF(AND(75&gt;=ConStart,75&lt;=ConPayoffMonth),1,0)</f>
        <v/>
      </c>
      <c r="CA42" s="17">
        <f>IF(AND(76&gt;=ConStart,76&lt;=ConPayoffMonth),1,0)</f>
        <v/>
      </c>
      <c r="CB42" s="17">
        <f>IF(AND(77&gt;=ConStart,77&lt;=ConPayoffMonth),1,0)</f>
        <v/>
      </c>
      <c r="CC42" s="17">
        <f>IF(AND(78&gt;=ConStart,78&lt;=ConPayoffMonth),1,0)</f>
        <v/>
      </c>
      <c r="CD42" s="17">
        <f>IF(AND(79&gt;=ConStart,79&lt;=ConPayoffMonth),1,0)</f>
        <v/>
      </c>
      <c r="CE42" s="17">
        <f>IF(AND(80&gt;=ConStart,80&lt;=ConPayoffMonth),1,0)</f>
        <v/>
      </c>
      <c r="CF42" s="17">
        <f>IF(AND(81&gt;=ConStart,81&lt;=ConPayoffMonth),1,0)</f>
        <v/>
      </c>
      <c r="CG42" s="17">
        <f>IF(AND(82&gt;=ConStart,82&lt;=ConPayoffMonth),1,0)</f>
        <v/>
      </c>
      <c r="CH42" s="17">
        <f>IF(AND(83&gt;=ConStart,83&lt;=ConPayoffMonth),1,0)</f>
        <v/>
      </c>
      <c r="CI42" s="17">
        <f>IF(AND(84&gt;=ConStart,84&lt;=ConPayoffMonth),1,0)</f>
        <v/>
      </c>
      <c r="CJ42" s="17">
        <f>IF(AND(85&gt;=ConStart,85&lt;=ConPayoffMonth),1,0)</f>
        <v/>
      </c>
      <c r="CK42" s="17">
        <f>IF(AND(86&gt;=ConStart,86&lt;=ConPayoffMonth),1,0)</f>
        <v/>
      </c>
      <c r="CL42" s="17">
        <f>IF(AND(87&gt;=ConStart,87&lt;=ConPayoffMonth),1,0)</f>
        <v/>
      </c>
      <c r="CM42" s="17">
        <f>IF(AND(88&gt;=ConStart,88&lt;=ConPayoffMonth),1,0)</f>
        <v/>
      </c>
      <c r="CN42" s="17">
        <f>IF(AND(89&gt;=ConStart,89&lt;=ConPayoffMonth),1,0)</f>
        <v/>
      </c>
      <c r="CO42" s="17">
        <f>IF(AND(90&gt;=ConStart,90&lt;=ConPayoffMonth),1,0)</f>
        <v/>
      </c>
      <c r="CP42" s="17">
        <f>IF(AND(91&gt;=ConStart,91&lt;=ConPayoffMonth),1,0)</f>
        <v/>
      </c>
      <c r="CQ42" s="17">
        <f>IF(AND(92&gt;=ConStart,92&lt;=ConPayoffMonth),1,0)</f>
        <v/>
      </c>
      <c r="CR42" s="17">
        <f>IF(AND(93&gt;=ConStart,93&lt;=ConPayoffMonth),1,0)</f>
        <v/>
      </c>
      <c r="CS42" s="17">
        <f>IF(AND(94&gt;=ConStart,94&lt;=ConPayoffMonth),1,0)</f>
        <v/>
      </c>
      <c r="CT42" s="17">
        <f>IF(AND(95&gt;=ConStart,95&lt;=ConPayoffMonth),1,0)</f>
        <v/>
      </c>
      <c r="CU42" s="17">
        <f>IF(AND(96&gt;=ConStart,96&lt;=ConPayoffMonth),1,0)</f>
        <v/>
      </c>
      <c r="CV42" s="17">
        <f>IF(AND(97&gt;=ConStart,97&lt;=ConPayoffMonth),1,0)</f>
        <v/>
      </c>
      <c r="CW42" s="17">
        <f>IF(AND(98&gt;=ConStart,98&lt;=ConPayoffMonth),1,0)</f>
        <v/>
      </c>
      <c r="CX42" s="17">
        <f>IF(AND(99&gt;=ConStart,99&lt;=ConPayoffMonth),1,0)</f>
        <v/>
      </c>
      <c r="CY42" s="17">
        <f>IF(AND(100&gt;=ConStart,100&lt;=ConPayoffMonth),1,0)</f>
        <v/>
      </c>
      <c r="CZ42" s="17">
        <f>IF(AND(101&gt;=ConStart,101&lt;=ConPayoffMonth),1,0)</f>
        <v/>
      </c>
      <c r="DA42" s="17">
        <f>IF(AND(102&gt;=ConStart,102&lt;=ConPayoffMonth),1,0)</f>
        <v/>
      </c>
      <c r="DB42" s="17">
        <f>IF(AND(103&gt;=ConStart,103&lt;=ConPayoffMonth),1,0)</f>
        <v/>
      </c>
      <c r="DC42" s="17">
        <f>IF(AND(104&gt;=ConStart,104&lt;=ConPayoffMonth),1,0)</f>
        <v/>
      </c>
      <c r="DD42" s="17">
        <f>IF(AND(105&gt;=ConStart,105&lt;=ConPayoffMonth),1,0)</f>
        <v/>
      </c>
      <c r="DE42" s="17">
        <f>IF(AND(106&gt;=ConStart,106&lt;=ConPayoffMonth),1,0)</f>
        <v/>
      </c>
      <c r="DF42" s="17">
        <f>IF(AND(107&gt;=ConStart,107&lt;=ConPayoffMonth),1,0)</f>
        <v/>
      </c>
      <c r="DG42" s="17">
        <f>IF(AND(108&gt;=ConStart,108&lt;=ConPayoffMonth),1,0)</f>
        <v/>
      </c>
      <c r="DH42" s="17">
        <f>IF(AND(109&gt;=ConStart,109&lt;=ConPayoffMonth),1,0)</f>
        <v/>
      </c>
      <c r="DI42" s="17">
        <f>IF(AND(110&gt;=ConStart,110&lt;=ConPayoffMonth),1,0)</f>
        <v/>
      </c>
      <c r="DJ42" s="17">
        <f>IF(AND(111&gt;=ConStart,111&lt;=ConPayoffMonth),1,0)</f>
        <v/>
      </c>
      <c r="DK42" s="17">
        <f>IF(AND(112&gt;=ConStart,112&lt;=ConPayoffMonth),1,0)</f>
        <v/>
      </c>
      <c r="DL42" s="17">
        <f>IF(AND(113&gt;=ConStart,113&lt;=ConPayoffMonth),1,0)</f>
        <v/>
      </c>
      <c r="DM42" s="17">
        <f>IF(AND(114&gt;=ConStart,114&lt;=ConPayoffMonth),1,0)</f>
        <v/>
      </c>
      <c r="DN42" s="17">
        <f>IF(AND(115&gt;=ConStart,115&lt;=ConPayoffMonth),1,0)</f>
        <v/>
      </c>
      <c r="DO42" s="17">
        <f>IF(AND(116&gt;=ConStart,116&lt;=ConPayoffMonth),1,0)</f>
        <v/>
      </c>
      <c r="DP42" s="17">
        <f>IF(AND(117&gt;=ConStart,117&lt;=ConPayoffMonth),1,0)</f>
        <v/>
      </c>
      <c r="DQ42" s="17">
        <f>IF(AND(118&gt;=ConStart,118&lt;=ConPayoffMonth),1,0)</f>
        <v/>
      </c>
      <c r="DR42" s="17">
        <f>IF(AND(119&gt;=ConStart,119&lt;=ConPayoffMonth),1,0)</f>
        <v/>
      </c>
      <c r="DS42" s="17">
        <f>IF(AND(120&gt;=ConStart,120&lt;=ConPayoffMonth),1,0)</f>
        <v/>
      </c>
      <c r="DT42" s="17">
        <f>IF(AND(121&gt;=ConStart,121&lt;=ConPayoffMonth),1,0)</f>
        <v/>
      </c>
      <c r="DU42" s="17">
        <f>IF(AND(122&gt;=ConStart,122&lt;=ConPayoffMonth),1,0)</f>
        <v/>
      </c>
      <c r="DV42" s="17">
        <f>IF(AND(123&gt;=ConStart,123&lt;=ConPayoffMonth),1,0)</f>
        <v/>
      </c>
      <c r="DW42" s="17">
        <f>IF(AND(124&gt;=ConStart,124&lt;=ConPayoffMonth),1,0)</f>
        <v/>
      </c>
      <c r="DX42" s="17">
        <f>IF(AND(125&gt;=ConStart,125&lt;=ConPayoffMonth),1,0)</f>
        <v/>
      </c>
      <c r="DY42" s="17">
        <f>IF(AND(126&gt;=ConStart,126&lt;=ConPayoffMonth),1,0)</f>
        <v/>
      </c>
      <c r="DZ42" s="17">
        <f>IF(AND(127&gt;=ConStart,127&lt;=ConPayoffMonth),1,0)</f>
        <v/>
      </c>
      <c r="EA42" s="17">
        <f>IF(AND(128&gt;=ConStart,128&lt;=ConPayoffMonth),1,0)</f>
        <v/>
      </c>
      <c r="EB42" s="17">
        <f>IF(AND(129&gt;=ConStart,129&lt;=ConPayoffMonth),1,0)</f>
        <v/>
      </c>
      <c r="EC42" s="17">
        <f>IF(AND(130&gt;=ConStart,130&lt;=ConPayoffMonth),1,0)</f>
        <v/>
      </c>
      <c r="ED42" s="17">
        <f>IF(AND(131&gt;=ConStart,131&lt;=ConPayoffMonth),1,0)</f>
        <v/>
      </c>
      <c r="EE42" s="17">
        <f>IF(AND(132&gt;=ConStart,132&lt;=ConPayoffMonth),1,0)</f>
        <v/>
      </c>
      <c r="EF42" s="17">
        <f>IF(AND(133&gt;=ConStart,133&lt;=ConPayoffMonth),1,0)</f>
        <v/>
      </c>
      <c r="EG42" s="17">
        <f>IF(AND(134&gt;=ConStart,134&lt;=ConPayoffMonth),1,0)</f>
        <v/>
      </c>
      <c r="EH42" s="17">
        <f>IF(AND(135&gt;=ConStart,135&lt;=ConPayoffMonth),1,0)</f>
        <v/>
      </c>
      <c r="EI42" s="17">
        <f>IF(AND(136&gt;=ConStart,136&lt;=ConPayoffMonth),1,0)</f>
        <v/>
      </c>
      <c r="EJ42" s="17">
        <f>IF(AND(137&gt;=ConStart,137&lt;=ConPayoffMonth),1,0)</f>
        <v/>
      </c>
      <c r="EK42" s="17">
        <f>IF(AND(138&gt;=ConStart,138&lt;=ConPayoffMonth),1,0)</f>
        <v/>
      </c>
      <c r="EL42" s="17">
        <f>IF(AND(139&gt;=ConStart,139&lt;=ConPayoffMonth),1,0)</f>
        <v/>
      </c>
      <c r="EM42" s="17">
        <f>IF(AND(140&gt;=ConStart,140&lt;=ConPayoffMonth),1,0)</f>
        <v/>
      </c>
      <c r="EN42" s="17">
        <f>IF(AND(141&gt;=ConStart,141&lt;=ConPayoffMonth),1,0)</f>
        <v/>
      </c>
      <c r="EO42" s="17">
        <f>IF(AND(142&gt;=ConStart,142&lt;=ConPayoffMonth),1,0)</f>
        <v/>
      </c>
      <c r="EP42" s="17">
        <f>IF(AND(143&gt;=ConStart,143&lt;=ConPayoffMonth),1,0)</f>
        <v/>
      </c>
      <c r="EQ42" s="17">
        <f>IF(AND(144&gt;=ConStart,144&lt;=ConPayoffMonth),1,0)</f>
        <v/>
      </c>
      <c r="ER42" s="17">
        <f>IF(AND(145&gt;=ConStart,145&lt;=ConPayoffMonth),1,0)</f>
        <v/>
      </c>
      <c r="ES42" s="17">
        <f>IF(AND(146&gt;=ConStart,146&lt;=ConPayoffMonth),1,0)</f>
        <v/>
      </c>
      <c r="ET42" s="17">
        <f>IF(AND(147&gt;=ConStart,147&lt;=ConPayoffMonth),1,0)</f>
        <v/>
      </c>
      <c r="EU42" s="17">
        <f>IF(AND(148&gt;=ConStart,148&lt;=ConPayoffMonth),1,0)</f>
        <v/>
      </c>
      <c r="EV42" s="17">
        <f>IF(AND(149&gt;=ConStart,149&lt;=ConPayoffMonth),1,0)</f>
        <v/>
      </c>
      <c r="EW42" s="17">
        <f>IF(AND(150&gt;=ConStart,150&lt;=ConPayoffMonth),1,0)</f>
        <v/>
      </c>
      <c r="EX42" s="17">
        <f>IF(AND(151&gt;=ConStart,151&lt;=ConPayoffMonth),1,0)</f>
        <v/>
      </c>
      <c r="EY42" s="17">
        <f>IF(AND(152&gt;=ConStart,152&lt;=ConPayoffMonth),1,0)</f>
        <v/>
      </c>
      <c r="EZ42" s="17">
        <f>IF(AND(153&gt;=ConStart,153&lt;=ConPayoffMonth),1,0)</f>
        <v/>
      </c>
      <c r="FA42" s="17">
        <f>IF(AND(154&gt;=ConStart,154&lt;=ConPayoffMonth),1,0)</f>
        <v/>
      </c>
      <c r="FB42" s="17">
        <f>IF(AND(155&gt;=ConStart,155&lt;=ConPayoffMonth),1,0)</f>
        <v/>
      </c>
      <c r="FC42" s="17">
        <f>IF(AND(156&gt;=ConStart,156&lt;=ConPayoffMonth),1,0)</f>
        <v/>
      </c>
      <c r="FD42" s="17">
        <f>IF(AND(157&gt;=ConStart,157&lt;=ConPayoffMonth),1,0)</f>
        <v/>
      </c>
      <c r="FE42" s="17">
        <f>IF(AND(158&gt;=ConStart,158&lt;=ConPayoffMonth),1,0)</f>
        <v/>
      </c>
      <c r="FF42" s="17">
        <f>IF(AND(159&gt;=ConStart,159&lt;=ConPayoffMonth),1,0)</f>
        <v/>
      </c>
      <c r="FG42" s="17">
        <f>IF(AND(160&gt;=ConStart,160&lt;=ConPayoffMonth),1,0)</f>
        <v/>
      </c>
      <c r="FH42" s="17">
        <f>IF(AND(161&gt;=ConStart,161&lt;=ConPayoffMonth),1,0)</f>
        <v/>
      </c>
      <c r="FI42" s="17">
        <f>IF(AND(162&gt;=ConStart,162&lt;=ConPayoffMonth),1,0)</f>
        <v/>
      </c>
      <c r="FJ42" s="17">
        <f>IF(AND(163&gt;=ConStart,163&lt;=ConPayoffMonth),1,0)</f>
        <v/>
      </c>
      <c r="FK42" s="17">
        <f>IF(AND(164&gt;=ConStart,164&lt;=ConPayoffMonth),1,0)</f>
        <v/>
      </c>
      <c r="FL42" s="17">
        <f>IF(AND(165&gt;=ConStart,165&lt;=ConPayoffMonth),1,0)</f>
        <v/>
      </c>
      <c r="FM42" s="17">
        <f>IF(AND(166&gt;=ConStart,166&lt;=ConPayoffMonth),1,0)</f>
        <v/>
      </c>
      <c r="FN42" s="17">
        <f>IF(AND(167&gt;=ConStart,167&lt;=ConPayoffMonth),1,0)</f>
        <v/>
      </c>
      <c r="FO42" s="17">
        <f>IF(AND(168&gt;=ConStart,168&lt;=ConPayoffMonth),1,0)</f>
        <v/>
      </c>
      <c r="FP42" s="17">
        <f>IF(AND(169&gt;=ConStart,169&lt;=ConPayoffMonth),1,0)</f>
        <v/>
      </c>
      <c r="FQ42" s="17">
        <f>IF(AND(170&gt;=ConStart,170&lt;=ConPayoffMonth),1,0)</f>
        <v/>
      </c>
      <c r="FR42" s="17">
        <f>IF(AND(171&gt;=ConStart,171&lt;=ConPayoffMonth),1,0)</f>
        <v/>
      </c>
      <c r="FS42" s="17">
        <f>IF(AND(172&gt;=ConStart,172&lt;=ConPayoffMonth),1,0)</f>
        <v/>
      </c>
      <c r="FT42" s="17">
        <f>IF(AND(173&gt;=ConStart,173&lt;=ConPayoffMonth),1,0)</f>
        <v/>
      </c>
      <c r="FU42" s="17">
        <f>IF(AND(174&gt;=ConStart,174&lt;=ConPayoffMonth),1,0)</f>
        <v/>
      </c>
      <c r="FV42" s="17">
        <f>IF(AND(175&gt;=ConStart,175&lt;=ConPayoffMonth),1,0)</f>
        <v/>
      </c>
      <c r="FW42" s="17">
        <f>IF(AND(176&gt;=ConStart,176&lt;=ConPayoffMonth),1,0)</f>
        <v/>
      </c>
      <c r="FX42" s="17">
        <f>IF(AND(177&gt;=ConStart,177&lt;=ConPayoffMonth),1,0)</f>
        <v/>
      </c>
      <c r="FY42" s="17">
        <f>IF(AND(178&gt;=ConStart,178&lt;=ConPayoffMonth),1,0)</f>
        <v/>
      </c>
      <c r="FZ42" s="17">
        <f>IF(AND(179&gt;=ConStart,179&lt;=ConPayoffMonth),1,0)</f>
        <v/>
      </c>
      <c r="GA42" s="17">
        <f>IF(AND(180&gt;=ConStart,180&lt;=ConPayoffMonth),1,0)</f>
        <v/>
      </c>
      <c r="GB42" s="17">
        <f>IF(AND(181&gt;=ConStart,181&lt;=ConPayoffMonth),1,0)</f>
        <v/>
      </c>
      <c r="GC42" s="17">
        <f>IF(AND(182&gt;=ConStart,182&lt;=ConPayoffMonth),1,0)</f>
        <v/>
      </c>
      <c r="GD42" s="17">
        <f>IF(AND(183&gt;=ConStart,183&lt;=ConPayoffMonth),1,0)</f>
        <v/>
      </c>
      <c r="GE42" s="17">
        <f>IF(AND(184&gt;=ConStart,184&lt;=ConPayoffMonth),1,0)</f>
        <v/>
      </c>
      <c r="GF42" s="17">
        <f>IF(AND(185&gt;=ConStart,185&lt;=ConPayoffMonth),1,0)</f>
        <v/>
      </c>
      <c r="GG42" s="17">
        <f>IF(AND(186&gt;=ConStart,186&lt;=ConPayoffMonth),1,0)</f>
        <v/>
      </c>
      <c r="GH42" s="17">
        <f>IF(AND(187&gt;=ConStart,187&lt;=ConPayoffMonth),1,0)</f>
        <v/>
      </c>
      <c r="GI42" s="17">
        <f>IF(AND(188&gt;=ConStart,188&lt;=ConPayoffMonth),1,0)</f>
        <v/>
      </c>
      <c r="GJ42" s="17">
        <f>IF(AND(189&gt;=ConStart,189&lt;=ConPayoffMonth),1,0)</f>
        <v/>
      </c>
      <c r="GK42" s="17">
        <f>IF(AND(190&gt;=ConStart,190&lt;=ConPayoffMonth),1,0)</f>
        <v/>
      </c>
      <c r="GL42" s="17">
        <f>IF(AND(191&gt;=ConStart,191&lt;=ConPayoffMonth),1,0)</f>
        <v/>
      </c>
      <c r="GM42" s="17">
        <f>IF(AND(192&gt;=ConStart,192&lt;=ConPayoffMonth),1,0)</f>
        <v/>
      </c>
      <c r="GN42" s="17">
        <f>IF(AND(193&gt;=ConStart,193&lt;=ConPayoffMonth),1,0)</f>
        <v/>
      </c>
      <c r="GO42" s="17">
        <f>IF(AND(194&gt;=ConStart,194&lt;=ConPayoffMonth),1,0)</f>
        <v/>
      </c>
      <c r="GP42" s="17">
        <f>IF(AND(195&gt;=ConStart,195&lt;=ConPayoffMonth),1,0)</f>
        <v/>
      </c>
      <c r="GQ42" s="17">
        <f>IF(AND(196&gt;=ConStart,196&lt;=ConPayoffMonth),1,0)</f>
        <v/>
      </c>
      <c r="GR42" s="17">
        <f>IF(AND(197&gt;=ConStart,197&lt;=ConPayoffMonth),1,0)</f>
        <v/>
      </c>
      <c r="GS42" s="17">
        <f>IF(AND(198&gt;=ConStart,198&lt;=ConPayoffMonth),1,0)</f>
        <v/>
      </c>
      <c r="GT42" s="17">
        <f>IF(AND(199&gt;=ConStart,199&lt;=ConPayoffMonth),1,0)</f>
        <v/>
      </c>
      <c r="GU42" s="17">
        <f>IF(AND(200&gt;=ConStart,200&lt;=ConPayoffMonth),1,0)</f>
        <v/>
      </c>
      <c r="GV42" s="17">
        <f>IF(AND(201&gt;=ConStart,201&lt;=ConPayoffMonth),1,0)</f>
        <v/>
      </c>
      <c r="GW42" s="17">
        <f>IF(AND(202&gt;=ConStart,202&lt;=ConPayoffMonth),1,0)</f>
        <v/>
      </c>
      <c r="GX42" s="17">
        <f>IF(AND(203&gt;=ConStart,203&lt;=ConPayoffMonth),1,0)</f>
        <v/>
      </c>
      <c r="GY42" s="17">
        <f>IF(AND(204&gt;=ConStart,204&lt;=ConPayoffMonth),1,0)</f>
        <v/>
      </c>
      <c r="GZ42" s="17">
        <f>IF(AND(205&gt;=ConStart,205&lt;=ConPayoffMonth),1,0)</f>
        <v/>
      </c>
      <c r="HA42" s="17">
        <f>IF(AND(206&gt;=ConStart,206&lt;=ConPayoffMonth),1,0)</f>
        <v/>
      </c>
      <c r="HB42" s="17">
        <f>IF(AND(207&gt;=ConStart,207&lt;=ConPayoffMonth),1,0)</f>
        <v/>
      </c>
      <c r="HC42" s="17">
        <f>IF(AND(208&gt;=ConStart,208&lt;=ConPayoffMonth),1,0)</f>
        <v/>
      </c>
      <c r="HD42" s="17">
        <f>IF(AND(209&gt;=ConStart,209&lt;=ConPayoffMonth),1,0)</f>
        <v/>
      </c>
      <c r="HE42" s="17">
        <f>IF(AND(210&gt;=ConStart,210&lt;=ConPayoffMonth),1,0)</f>
        <v/>
      </c>
      <c r="HF42" s="17">
        <f>IF(AND(211&gt;=ConStart,211&lt;=ConPayoffMonth),1,0)</f>
        <v/>
      </c>
      <c r="HG42" s="17">
        <f>IF(AND(212&gt;=ConStart,212&lt;=ConPayoffMonth),1,0)</f>
        <v/>
      </c>
      <c r="HH42" s="17">
        <f>IF(AND(213&gt;=ConStart,213&lt;=ConPayoffMonth),1,0)</f>
        <v/>
      </c>
      <c r="HI42" s="17">
        <f>IF(AND(214&gt;=ConStart,214&lt;=ConPayoffMonth),1,0)</f>
        <v/>
      </c>
      <c r="HJ42" s="17">
        <f>IF(AND(215&gt;=ConStart,215&lt;=ConPayoffMonth),1,0)</f>
        <v/>
      </c>
      <c r="HK42" s="17">
        <f>IF(AND(216&gt;=ConStart,216&lt;=ConPayoffMonth),1,0)</f>
        <v/>
      </c>
      <c r="HL42" s="17">
        <f>IF(AND(217&gt;=ConStart,217&lt;=ConPayoffMonth),1,0)</f>
        <v/>
      </c>
      <c r="HM42" s="17">
        <f>IF(AND(218&gt;=ConStart,218&lt;=ConPayoffMonth),1,0)</f>
        <v/>
      </c>
      <c r="HN42" s="17">
        <f>IF(AND(219&gt;=ConStart,219&lt;=ConPayoffMonth),1,0)</f>
        <v/>
      </c>
      <c r="HO42" s="17">
        <f>IF(AND(220&gt;=ConStart,220&lt;=ConPayoffMonth),1,0)</f>
        <v/>
      </c>
      <c r="HP42" s="17">
        <f>IF(AND(221&gt;=ConStart,221&lt;=ConPayoffMonth),1,0)</f>
        <v/>
      </c>
      <c r="HQ42" s="17">
        <f>IF(AND(222&gt;=ConStart,222&lt;=ConPayoffMonth),1,0)</f>
        <v/>
      </c>
      <c r="HR42" s="17">
        <f>IF(AND(223&gt;=ConStart,223&lt;=ConPayoffMonth),1,0)</f>
        <v/>
      </c>
      <c r="HS42" s="17">
        <f>IF(AND(224&gt;=ConStart,224&lt;=ConPayoffMonth),1,0)</f>
        <v/>
      </c>
      <c r="HT42" s="17">
        <f>IF(AND(225&gt;=ConStart,225&lt;=ConPayoffMonth),1,0)</f>
        <v/>
      </c>
      <c r="HU42" s="17">
        <f>IF(AND(226&gt;=ConStart,226&lt;=ConPayoffMonth),1,0)</f>
        <v/>
      </c>
      <c r="HV42" s="17">
        <f>IF(AND(227&gt;=ConStart,227&lt;=ConPayoffMonth),1,0)</f>
        <v/>
      </c>
      <c r="HW42" s="17">
        <f>IF(AND(228&gt;=ConStart,228&lt;=ConPayoffMonth),1,0)</f>
        <v/>
      </c>
      <c r="HX42" s="17">
        <f>IF(AND(229&gt;=ConStart,229&lt;=ConPayoffMonth),1,0)</f>
        <v/>
      </c>
      <c r="HY42" s="17">
        <f>IF(AND(230&gt;=ConStart,230&lt;=ConPayoffMonth),1,0)</f>
        <v/>
      </c>
      <c r="HZ42" s="17">
        <f>IF(AND(231&gt;=ConStart,231&lt;=ConPayoffMonth),1,0)</f>
        <v/>
      </c>
      <c r="IA42" s="17">
        <f>IF(AND(232&gt;=ConStart,232&lt;=ConPayoffMonth),1,0)</f>
        <v/>
      </c>
      <c r="IB42" s="17">
        <f>IF(AND(233&gt;=ConStart,233&lt;=ConPayoffMonth),1,0)</f>
        <v/>
      </c>
      <c r="IC42" s="17">
        <f>IF(AND(234&gt;=ConStart,234&lt;=ConPayoffMonth),1,0)</f>
        <v/>
      </c>
      <c r="ID42" s="17">
        <f>IF(AND(235&gt;=ConStart,235&lt;=ConPayoffMonth),1,0)</f>
        <v/>
      </c>
      <c r="IE42" s="17">
        <f>IF(AND(236&gt;=ConStart,236&lt;=ConPayoffMonth),1,0)</f>
        <v/>
      </c>
      <c r="IF42" s="17">
        <f>IF(AND(237&gt;=ConStart,237&lt;=ConPayoffMonth),1,0)</f>
        <v/>
      </c>
      <c r="IG42" s="17">
        <f>IF(AND(238&gt;=ConStart,238&lt;=ConPayoffMonth),1,0)</f>
        <v/>
      </c>
      <c r="IH42" s="17">
        <f>IF(AND(239&gt;=ConStart,239&lt;=ConPayoffMonth),1,0)</f>
        <v/>
      </c>
      <c r="II42" s="17">
        <f>IF(AND(240&gt;=ConStart,240&lt;=ConPayoffMonth),1,0)</f>
        <v/>
      </c>
      <c r="IJ42" s="17">
        <f>IF(AND(241&gt;=ConStart,241&lt;=ConPayoffMonth),1,0)</f>
        <v/>
      </c>
      <c r="IK42" s="17">
        <f>IF(AND(242&gt;=ConStart,242&lt;=ConPayoffMonth),1,0)</f>
        <v/>
      </c>
      <c r="IL42" s="17">
        <f>IF(AND(243&gt;=ConStart,243&lt;=ConPayoffMonth),1,0)</f>
        <v/>
      </c>
      <c r="IM42" s="17">
        <f>IF(AND(244&gt;=ConStart,244&lt;=ConPayoffMonth),1,0)</f>
        <v/>
      </c>
      <c r="IN42" s="17">
        <f>IF(AND(245&gt;=ConStart,245&lt;=ConPayoffMonth),1,0)</f>
        <v/>
      </c>
      <c r="IO42" s="17">
        <f>IF(AND(246&gt;=ConStart,246&lt;=ConPayoffMonth),1,0)</f>
        <v/>
      </c>
      <c r="IP42" s="17">
        <f>IF(AND(247&gt;=ConStart,247&lt;=ConPayoffMonth),1,0)</f>
        <v/>
      </c>
      <c r="IQ42" s="17">
        <f>IF(AND(248&gt;=ConStart,248&lt;=ConPayoffMonth),1,0)</f>
        <v/>
      </c>
      <c r="IR42" s="17">
        <f>IF(AND(249&gt;=ConStart,249&lt;=ConPayoffMonth),1,0)</f>
        <v/>
      </c>
      <c r="IS42" s="17">
        <f>IF(AND(250&gt;=ConStart,250&lt;=ConPayoffMonth),1,0)</f>
        <v/>
      </c>
      <c r="IT42" s="17">
        <f>IF(AND(251&gt;=ConStart,251&lt;=ConPayoffMonth),1,0)</f>
        <v/>
      </c>
      <c r="IU42" s="17">
        <f>IF(AND(252&gt;=ConStart,252&lt;=ConPayoffMonth),1,0)</f>
        <v/>
      </c>
      <c r="IV42" s="17">
        <f>IF(AND(253&gt;=ConStart,253&lt;=ConPayoffMonth),1,0)</f>
        <v/>
      </c>
      <c r="IW42" s="17">
        <f>IF(AND(254&gt;=ConStart,254&lt;=ConPayoffMonth),1,0)</f>
        <v/>
      </c>
      <c r="IX42" s="17">
        <f>IF(AND(255&gt;=ConStart,255&lt;=ConPayoffMonth),1,0)</f>
        <v/>
      </c>
      <c r="IY42" s="17">
        <f>IF(AND(256&gt;=ConStart,256&lt;=ConPayoffMonth),1,0)</f>
        <v/>
      </c>
      <c r="IZ42" s="17">
        <f>IF(AND(257&gt;=ConStart,257&lt;=ConPayoffMonth),1,0)</f>
        <v/>
      </c>
      <c r="JA42" s="17">
        <f>IF(AND(258&gt;=ConStart,258&lt;=ConPayoffMonth),1,0)</f>
        <v/>
      </c>
      <c r="JB42" s="17">
        <f>IF(AND(259&gt;=ConStart,259&lt;=ConPayoffMonth),1,0)</f>
        <v/>
      </c>
      <c r="JC42" s="17">
        <f>IF(AND(260&gt;=ConStart,260&lt;=ConPayoffMonth),1,0)</f>
        <v/>
      </c>
      <c r="JD42" s="17">
        <f>IF(AND(261&gt;=ConStart,261&lt;=ConPayoffMonth),1,0)</f>
        <v/>
      </c>
      <c r="JE42" s="17">
        <f>IF(AND(262&gt;=ConStart,262&lt;=ConPayoffMonth),1,0)</f>
        <v/>
      </c>
      <c r="JF42" s="17">
        <f>IF(AND(263&gt;=ConStart,263&lt;=ConPayoffMonth),1,0)</f>
        <v/>
      </c>
      <c r="JG42" s="17">
        <f>IF(AND(264&gt;=ConStart,264&lt;=ConPayoffMonth),1,0)</f>
        <v/>
      </c>
      <c r="JH42" s="17">
        <f>IF(AND(265&gt;=ConStart,265&lt;=ConPayoffMonth),1,0)</f>
        <v/>
      </c>
      <c r="JI42" s="17">
        <f>IF(AND(266&gt;=ConStart,266&lt;=ConPayoffMonth),1,0)</f>
        <v/>
      </c>
      <c r="JJ42" s="17">
        <f>IF(AND(267&gt;=ConStart,267&lt;=ConPayoffMonth),1,0)</f>
        <v/>
      </c>
      <c r="JK42" s="17">
        <f>IF(AND(268&gt;=ConStart,268&lt;=ConPayoffMonth),1,0)</f>
        <v/>
      </c>
      <c r="JL42" s="17">
        <f>IF(AND(269&gt;=ConStart,269&lt;=ConPayoffMonth),1,0)</f>
        <v/>
      </c>
      <c r="JM42" s="17">
        <f>IF(AND(270&gt;=ConStart,270&lt;=ConPayoffMonth),1,0)</f>
        <v/>
      </c>
      <c r="JN42" s="17">
        <f>IF(AND(271&gt;=ConStart,271&lt;=ConPayoffMonth),1,0)</f>
        <v/>
      </c>
      <c r="JO42" s="17">
        <f>IF(AND(272&gt;=ConStart,272&lt;=ConPayoffMonth),1,0)</f>
        <v/>
      </c>
      <c r="JP42" s="17">
        <f>IF(AND(273&gt;=ConStart,273&lt;=ConPayoffMonth),1,0)</f>
        <v/>
      </c>
      <c r="JQ42" s="17">
        <f>IF(AND(274&gt;=ConStart,274&lt;=ConPayoffMonth),1,0)</f>
        <v/>
      </c>
      <c r="JR42" s="17">
        <f>IF(AND(275&gt;=ConStart,275&lt;=ConPayoffMonth),1,0)</f>
        <v/>
      </c>
      <c r="JS42" s="17">
        <f>IF(AND(276&gt;=ConStart,276&lt;=ConPayoffMonth),1,0)</f>
        <v/>
      </c>
      <c r="JT42" s="17">
        <f>IF(AND(277&gt;=ConStart,277&lt;=ConPayoffMonth),1,0)</f>
        <v/>
      </c>
      <c r="JU42" s="17">
        <f>IF(AND(278&gt;=ConStart,278&lt;=ConPayoffMonth),1,0)</f>
        <v/>
      </c>
      <c r="JV42" s="17">
        <f>IF(AND(279&gt;=ConStart,279&lt;=ConPayoffMonth),1,0)</f>
        <v/>
      </c>
      <c r="JW42" s="17">
        <f>IF(AND(280&gt;=ConStart,280&lt;=ConPayoffMonth),1,0)</f>
        <v/>
      </c>
      <c r="JX42" s="17">
        <f>IF(AND(281&gt;=ConStart,281&lt;=ConPayoffMonth),1,0)</f>
        <v/>
      </c>
      <c r="JY42" s="17">
        <f>IF(AND(282&gt;=ConStart,282&lt;=ConPayoffMonth),1,0)</f>
        <v/>
      </c>
      <c r="JZ42" s="17">
        <f>IF(AND(283&gt;=ConStart,283&lt;=ConPayoffMonth),1,0)</f>
        <v/>
      </c>
      <c r="KA42" s="17">
        <f>IF(AND(284&gt;=ConStart,284&lt;=ConPayoffMonth),1,0)</f>
        <v/>
      </c>
      <c r="KB42" s="17">
        <f>IF(AND(285&gt;=ConStart,285&lt;=ConPayoffMonth),1,0)</f>
        <v/>
      </c>
      <c r="KC42" s="17">
        <f>IF(AND(286&gt;=ConStart,286&lt;=ConPayoffMonth),1,0)</f>
        <v/>
      </c>
      <c r="KD42" s="17">
        <f>IF(AND(287&gt;=ConStart,287&lt;=ConPayoffMonth),1,0)</f>
        <v/>
      </c>
      <c r="KE42" s="17">
        <f>IF(AND(288&gt;=ConStart,288&lt;=ConPayoffMonth),1,0)</f>
        <v/>
      </c>
      <c r="KF42" s="17">
        <f>IF(AND(289&gt;=ConStart,289&lt;=ConPayoffMonth),1,0)</f>
        <v/>
      </c>
      <c r="KG42" s="17">
        <f>IF(AND(290&gt;=ConStart,290&lt;=ConPayoffMonth),1,0)</f>
        <v/>
      </c>
      <c r="KH42" s="17">
        <f>IF(AND(291&gt;=ConStart,291&lt;=ConPayoffMonth),1,0)</f>
        <v/>
      </c>
      <c r="KI42" s="17">
        <f>IF(AND(292&gt;=ConStart,292&lt;=ConPayoffMonth),1,0)</f>
        <v/>
      </c>
      <c r="KJ42" s="17">
        <f>IF(AND(293&gt;=ConStart,293&lt;=ConPayoffMonth),1,0)</f>
        <v/>
      </c>
      <c r="KK42" s="17">
        <f>IF(AND(294&gt;=ConStart,294&lt;=ConPayoffMonth),1,0)</f>
        <v/>
      </c>
      <c r="KL42" s="17">
        <f>IF(AND(295&gt;=ConStart,295&lt;=ConPayoffMonth),1,0)</f>
        <v/>
      </c>
      <c r="KM42" s="17">
        <f>IF(AND(296&gt;=ConStart,296&lt;=ConPayoffMonth),1,0)</f>
        <v/>
      </c>
      <c r="KN42" s="17">
        <f>IF(AND(297&gt;=ConStart,297&lt;=ConPayoffMonth),1,0)</f>
        <v/>
      </c>
      <c r="KO42" s="17">
        <f>IF(AND(298&gt;=ConStart,298&lt;=ConPayoffMonth),1,0)</f>
        <v/>
      </c>
      <c r="KP42" s="17">
        <f>IF(AND(299&gt;=ConStart,299&lt;=ConPayoffMonth),1,0)</f>
        <v/>
      </c>
      <c r="KQ42" s="17">
        <f>IF(AND(300&gt;=ConStart,300&lt;=ConPayoffMonth),1,0)</f>
        <v/>
      </c>
      <c r="KR42" s="17">
        <f>IF(AND(301&gt;=ConStart,301&lt;=ConPayoffMonth),1,0)</f>
        <v/>
      </c>
      <c r="KS42" s="17">
        <f>IF(AND(302&gt;=ConStart,302&lt;=ConPayoffMonth),1,0)</f>
        <v/>
      </c>
      <c r="KT42" s="17">
        <f>IF(AND(303&gt;=ConStart,303&lt;=ConPayoffMonth),1,0)</f>
        <v/>
      </c>
      <c r="KU42" s="17">
        <f>IF(AND(304&gt;=ConStart,304&lt;=ConPayoffMonth),1,0)</f>
        <v/>
      </c>
      <c r="KV42" s="17">
        <f>IF(AND(305&gt;=ConStart,305&lt;=ConPayoffMonth),1,0)</f>
        <v/>
      </c>
      <c r="KW42" s="17">
        <f>IF(AND(306&gt;=ConStart,306&lt;=ConPayoffMonth),1,0)</f>
        <v/>
      </c>
      <c r="KX42" s="17">
        <f>IF(AND(307&gt;=ConStart,307&lt;=ConPayoffMonth),1,0)</f>
        <v/>
      </c>
      <c r="KY42" s="17">
        <f>IF(AND(308&gt;=ConStart,308&lt;=ConPayoffMonth),1,0)</f>
        <v/>
      </c>
      <c r="KZ42" s="17">
        <f>IF(AND(309&gt;=ConStart,309&lt;=ConPayoffMonth),1,0)</f>
        <v/>
      </c>
      <c r="LA42" s="17">
        <f>IF(AND(310&gt;=ConStart,310&lt;=ConPayoffMonth),1,0)</f>
        <v/>
      </c>
      <c r="LB42" s="17">
        <f>IF(AND(311&gt;=ConStart,311&lt;=ConPayoffMonth),1,0)</f>
        <v/>
      </c>
      <c r="LC42" s="17">
        <f>IF(AND(312&gt;=ConStart,312&lt;=ConPayoffMonth),1,0)</f>
        <v/>
      </c>
      <c r="LD42" s="17">
        <f>IF(AND(313&gt;=ConStart,313&lt;=ConPayoffMonth),1,0)</f>
        <v/>
      </c>
      <c r="LE42" s="17">
        <f>IF(AND(314&gt;=ConStart,314&lt;=ConPayoffMonth),1,0)</f>
        <v/>
      </c>
      <c r="LF42" s="17">
        <f>IF(AND(315&gt;=ConStart,315&lt;=ConPayoffMonth),1,0)</f>
        <v/>
      </c>
      <c r="LG42" s="17">
        <f>IF(AND(316&gt;=ConStart,316&lt;=ConPayoffMonth),1,0)</f>
        <v/>
      </c>
      <c r="LH42" s="17">
        <f>IF(AND(317&gt;=ConStart,317&lt;=ConPayoffMonth),1,0)</f>
        <v/>
      </c>
      <c r="LI42" s="17">
        <f>IF(AND(318&gt;=ConStart,318&lt;=ConPayoffMonth),1,0)</f>
        <v/>
      </c>
      <c r="LJ42" s="17">
        <f>IF(AND(319&gt;=ConStart,319&lt;=ConPayoffMonth),1,0)</f>
        <v/>
      </c>
      <c r="LK42" s="17">
        <f>IF(AND(320&gt;=ConStart,320&lt;=ConPayoffMonth),1,0)</f>
        <v/>
      </c>
      <c r="LL42" s="17">
        <f>IF(AND(321&gt;=ConStart,321&lt;=ConPayoffMonth),1,0)</f>
        <v/>
      </c>
      <c r="LM42" s="17">
        <f>IF(AND(322&gt;=ConStart,322&lt;=ConPayoffMonth),1,0)</f>
        <v/>
      </c>
      <c r="LN42" s="17">
        <f>IF(AND(323&gt;=ConStart,323&lt;=ConPayoffMonth),1,0)</f>
        <v/>
      </c>
      <c r="LO42" s="17">
        <f>IF(AND(324&gt;=ConStart,324&lt;=ConPayoffMonth),1,0)</f>
        <v/>
      </c>
      <c r="LP42" s="17">
        <f>IF(AND(325&gt;=ConStart,325&lt;=ConPayoffMonth),1,0)</f>
        <v/>
      </c>
      <c r="LQ42" s="17">
        <f>IF(AND(326&gt;=ConStart,326&lt;=ConPayoffMonth),1,0)</f>
        <v/>
      </c>
      <c r="LR42" s="17">
        <f>IF(AND(327&gt;=ConStart,327&lt;=ConPayoffMonth),1,0)</f>
        <v/>
      </c>
      <c r="LS42" s="17">
        <f>IF(AND(328&gt;=ConStart,328&lt;=ConPayoffMonth),1,0)</f>
        <v/>
      </c>
      <c r="LT42" s="17">
        <f>IF(AND(329&gt;=ConStart,329&lt;=ConPayoffMonth),1,0)</f>
        <v/>
      </c>
      <c r="LU42" s="17">
        <f>IF(AND(330&gt;=ConStart,330&lt;=ConPayoffMonth),1,0)</f>
        <v/>
      </c>
      <c r="LV42" s="17">
        <f>IF(AND(331&gt;=ConStart,331&lt;=ConPayoffMonth),1,0)</f>
        <v/>
      </c>
      <c r="LW42" s="17">
        <f>IF(AND(332&gt;=ConStart,332&lt;=ConPayoffMonth),1,0)</f>
        <v/>
      </c>
      <c r="LX42" s="17">
        <f>IF(AND(333&gt;=ConStart,333&lt;=ConPayoffMonth),1,0)</f>
        <v/>
      </c>
      <c r="LY42" s="17">
        <f>IF(AND(334&gt;=ConStart,334&lt;=ConPayoffMonth),1,0)</f>
        <v/>
      </c>
      <c r="LZ42" s="17">
        <f>IF(AND(335&gt;=ConStart,335&lt;=ConPayoffMonth),1,0)</f>
        <v/>
      </c>
      <c r="MA42" s="17">
        <f>IF(AND(336&gt;=ConStart,336&lt;=ConPayoffMonth),1,0)</f>
        <v/>
      </c>
      <c r="MB42" s="17">
        <f>IF(AND(337&gt;=ConStart,337&lt;=ConPayoffMonth),1,0)</f>
        <v/>
      </c>
      <c r="MC42" s="17">
        <f>IF(AND(338&gt;=ConStart,338&lt;=ConPayoffMonth),1,0)</f>
        <v/>
      </c>
      <c r="MD42" s="17">
        <f>IF(AND(339&gt;=ConStart,339&lt;=ConPayoffMonth),1,0)</f>
        <v/>
      </c>
      <c r="ME42" s="17">
        <f>IF(AND(340&gt;=ConStart,340&lt;=ConPayoffMonth),1,0)</f>
        <v/>
      </c>
      <c r="MF42" s="17">
        <f>IF(AND(341&gt;=ConStart,341&lt;=ConPayoffMonth),1,0)</f>
        <v/>
      </c>
      <c r="MG42" s="17">
        <f>IF(AND(342&gt;=ConStart,342&lt;=ConPayoffMonth),1,0)</f>
        <v/>
      </c>
      <c r="MH42" s="17">
        <f>IF(AND(343&gt;=ConStart,343&lt;=ConPayoffMonth),1,0)</f>
        <v/>
      </c>
      <c r="MI42" s="17">
        <f>IF(AND(344&gt;=ConStart,344&lt;=ConPayoffMonth),1,0)</f>
        <v/>
      </c>
      <c r="MJ42" s="17">
        <f>IF(AND(345&gt;=ConStart,345&lt;=ConPayoffMonth),1,0)</f>
        <v/>
      </c>
      <c r="MK42" s="17">
        <f>IF(AND(346&gt;=ConStart,346&lt;=ConPayoffMonth),1,0)</f>
        <v/>
      </c>
      <c r="ML42" s="17">
        <f>IF(AND(347&gt;=ConStart,347&lt;=ConPayoffMonth),1,0)</f>
        <v/>
      </c>
      <c r="MM42" s="17">
        <f>IF(AND(348&gt;=ConStart,348&lt;=ConPayoffMonth),1,0)</f>
        <v/>
      </c>
      <c r="MN42" s="17">
        <f>IF(AND(349&gt;=ConStart,349&lt;=ConPayoffMonth),1,0)</f>
        <v/>
      </c>
      <c r="MO42" s="17">
        <f>IF(AND(350&gt;=ConStart,350&lt;=ConPayoffMonth),1,0)</f>
        <v/>
      </c>
      <c r="MP42" s="17">
        <f>IF(AND(351&gt;=ConStart,351&lt;=ConPayoffMonth),1,0)</f>
        <v/>
      </c>
      <c r="MQ42" s="17">
        <f>IF(AND(352&gt;=ConStart,352&lt;=ConPayoffMonth),1,0)</f>
        <v/>
      </c>
      <c r="MR42" s="17">
        <f>IF(AND(353&gt;=ConStart,353&lt;=ConPayoffMonth),1,0)</f>
        <v/>
      </c>
      <c r="MS42" s="17">
        <f>IF(AND(354&gt;=ConStart,354&lt;=ConPayoffMonth),1,0)</f>
        <v/>
      </c>
      <c r="MT42" s="17">
        <f>IF(AND(355&gt;=ConStart,355&lt;=ConPayoffMonth),1,0)</f>
        <v/>
      </c>
      <c r="MU42" s="17">
        <f>IF(AND(356&gt;=ConStart,356&lt;=ConPayoffMonth),1,0)</f>
        <v/>
      </c>
      <c r="MV42" s="17">
        <f>IF(AND(357&gt;=ConStart,357&lt;=ConPayoffMonth),1,0)</f>
        <v/>
      </c>
      <c r="MW42" s="17">
        <f>IF(AND(358&gt;=ConStart,358&lt;=ConPayoffMonth),1,0)</f>
        <v/>
      </c>
      <c r="MX42" s="17">
        <f>IF(AND(359&gt;=ConStart,359&lt;=ConPayoffMonth),1,0)</f>
        <v/>
      </c>
      <c r="MY42" s="17">
        <f>IF(AND(360&gt;=ConStart,360&lt;=ConPayoffMonth),1,0)</f>
        <v/>
      </c>
      <c r="MZ42" s="17">
        <f>IF(AND(361&gt;=ConStart,361&lt;=ConPayoffMonth),1,0)</f>
        <v/>
      </c>
      <c r="NA42" s="17">
        <f>IF(AND(362&gt;=ConStart,362&lt;=ConPayoffMonth),1,0)</f>
        <v/>
      </c>
      <c r="NB42" s="17">
        <f>IF(AND(363&gt;=ConStart,363&lt;=ConPayoffMonth),1,0)</f>
        <v/>
      </c>
      <c r="NC42" s="17">
        <f>IF(AND(364&gt;=ConStart,364&lt;=ConPayoffMonth),1,0)</f>
        <v/>
      </c>
      <c r="ND42" s="17">
        <f>IF(AND(365&gt;=ConStart,365&lt;=ConPayoffMonth),1,0)</f>
        <v/>
      </c>
      <c r="NE42" s="17">
        <f>IF(AND(366&gt;=ConStart,366&lt;=ConPayoffMonth),1,0)</f>
        <v/>
      </c>
      <c r="NF42" s="17">
        <f>IF(AND(367&gt;=ConStart,367&lt;=ConPayoffMonth),1,0)</f>
        <v/>
      </c>
      <c r="NG42" s="17">
        <f>IF(AND(368&gt;=ConStart,368&lt;=ConPayoffMonth),1,0)</f>
        <v/>
      </c>
      <c r="NH42" s="17">
        <f>IF(AND(369&gt;=ConStart,369&lt;=ConPayoffMonth),1,0)</f>
        <v/>
      </c>
      <c r="NI42" s="17">
        <f>IF(AND(370&gt;=ConStart,370&lt;=ConPayoffMonth),1,0)</f>
        <v/>
      </c>
      <c r="NJ42" s="17">
        <f>IF(AND(371&gt;=ConStart,371&lt;=ConPayoffMonth),1,0)</f>
        <v/>
      </c>
      <c r="NK42" s="17">
        <f>IF(AND(372&gt;=ConStart,372&lt;=ConPayoffMonth),1,0)</f>
        <v/>
      </c>
    </row>
    <row r="43">
      <c r="A43" s="5" t="inlineStr">
        <is>
          <t>Flag: Perm Loan Active</t>
        </is>
      </c>
      <c r="C43" s="40" t="n"/>
      <c r="D43" s="17">
        <f>IF(AND(RefiFlag=1,1&gt;RefiMonth,1&lt;=DispoMonth),1,0)</f>
        <v/>
      </c>
      <c r="E43" s="17">
        <f>IF(AND(RefiFlag=1,2&gt;RefiMonth,2&lt;=DispoMonth),1,0)</f>
        <v/>
      </c>
      <c r="F43" s="17">
        <f>IF(AND(RefiFlag=1,3&gt;RefiMonth,3&lt;=DispoMonth),1,0)</f>
        <v/>
      </c>
      <c r="G43" s="17">
        <f>IF(AND(RefiFlag=1,4&gt;RefiMonth,4&lt;=DispoMonth),1,0)</f>
        <v/>
      </c>
      <c r="H43" s="17">
        <f>IF(AND(RefiFlag=1,5&gt;RefiMonth,5&lt;=DispoMonth),1,0)</f>
        <v/>
      </c>
      <c r="I43" s="17">
        <f>IF(AND(RefiFlag=1,6&gt;RefiMonth,6&lt;=DispoMonth),1,0)</f>
        <v/>
      </c>
      <c r="J43" s="17">
        <f>IF(AND(RefiFlag=1,7&gt;RefiMonth,7&lt;=DispoMonth),1,0)</f>
        <v/>
      </c>
      <c r="K43" s="17">
        <f>IF(AND(RefiFlag=1,8&gt;RefiMonth,8&lt;=DispoMonth),1,0)</f>
        <v/>
      </c>
      <c r="L43" s="17">
        <f>IF(AND(RefiFlag=1,9&gt;RefiMonth,9&lt;=DispoMonth),1,0)</f>
        <v/>
      </c>
      <c r="M43" s="17">
        <f>IF(AND(RefiFlag=1,10&gt;RefiMonth,10&lt;=DispoMonth),1,0)</f>
        <v/>
      </c>
      <c r="N43" s="17">
        <f>IF(AND(RefiFlag=1,11&gt;RefiMonth,11&lt;=DispoMonth),1,0)</f>
        <v/>
      </c>
      <c r="O43" s="17">
        <f>IF(AND(RefiFlag=1,12&gt;RefiMonth,12&lt;=DispoMonth),1,0)</f>
        <v/>
      </c>
      <c r="P43" s="17">
        <f>IF(AND(RefiFlag=1,13&gt;RefiMonth,13&lt;=DispoMonth),1,0)</f>
        <v/>
      </c>
      <c r="Q43" s="17">
        <f>IF(AND(RefiFlag=1,14&gt;RefiMonth,14&lt;=DispoMonth),1,0)</f>
        <v/>
      </c>
      <c r="R43" s="17">
        <f>IF(AND(RefiFlag=1,15&gt;RefiMonth,15&lt;=DispoMonth),1,0)</f>
        <v/>
      </c>
      <c r="S43" s="17">
        <f>IF(AND(RefiFlag=1,16&gt;RefiMonth,16&lt;=DispoMonth),1,0)</f>
        <v/>
      </c>
      <c r="T43" s="17">
        <f>IF(AND(RefiFlag=1,17&gt;RefiMonth,17&lt;=DispoMonth),1,0)</f>
        <v/>
      </c>
      <c r="U43" s="17">
        <f>IF(AND(RefiFlag=1,18&gt;RefiMonth,18&lt;=DispoMonth),1,0)</f>
        <v/>
      </c>
      <c r="V43" s="17">
        <f>IF(AND(RefiFlag=1,19&gt;RefiMonth,19&lt;=DispoMonth),1,0)</f>
        <v/>
      </c>
      <c r="W43" s="17">
        <f>IF(AND(RefiFlag=1,20&gt;RefiMonth,20&lt;=DispoMonth),1,0)</f>
        <v/>
      </c>
      <c r="X43" s="17">
        <f>IF(AND(RefiFlag=1,21&gt;RefiMonth,21&lt;=DispoMonth),1,0)</f>
        <v/>
      </c>
      <c r="Y43" s="17">
        <f>IF(AND(RefiFlag=1,22&gt;RefiMonth,22&lt;=DispoMonth),1,0)</f>
        <v/>
      </c>
      <c r="Z43" s="17">
        <f>IF(AND(RefiFlag=1,23&gt;RefiMonth,23&lt;=DispoMonth),1,0)</f>
        <v/>
      </c>
      <c r="AA43" s="17">
        <f>IF(AND(RefiFlag=1,24&gt;RefiMonth,24&lt;=DispoMonth),1,0)</f>
        <v/>
      </c>
      <c r="AB43" s="17">
        <f>IF(AND(RefiFlag=1,25&gt;RefiMonth,25&lt;=DispoMonth),1,0)</f>
        <v/>
      </c>
      <c r="AC43" s="17">
        <f>IF(AND(RefiFlag=1,26&gt;RefiMonth,26&lt;=DispoMonth),1,0)</f>
        <v/>
      </c>
      <c r="AD43" s="17">
        <f>IF(AND(RefiFlag=1,27&gt;RefiMonth,27&lt;=DispoMonth),1,0)</f>
        <v/>
      </c>
      <c r="AE43" s="17">
        <f>IF(AND(RefiFlag=1,28&gt;RefiMonth,28&lt;=DispoMonth),1,0)</f>
        <v/>
      </c>
      <c r="AF43" s="17">
        <f>IF(AND(RefiFlag=1,29&gt;RefiMonth,29&lt;=DispoMonth),1,0)</f>
        <v/>
      </c>
      <c r="AG43" s="17">
        <f>IF(AND(RefiFlag=1,30&gt;RefiMonth,30&lt;=DispoMonth),1,0)</f>
        <v/>
      </c>
      <c r="AH43" s="17">
        <f>IF(AND(RefiFlag=1,31&gt;RefiMonth,31&lt;=DispoMonth),1,0)</f>
        <v/>
      </c>
      <c r="AI43" s="17">
        <f>IF(AND(RefiFlag=1,32&gt;RefiMonth,32&lt;=DispoMonth),1,0)</f>
        <v/>
      </c>
      <c r="AJ43" s="17">
        <f>IF(AND(RefiFlag=1,33&gt;RefiMonth,33&lt;=DispoMonth),1,0)</f>
        <v/>
      </c>
      <c r="AK43" s="17">
        <f>IF(AND(RefiFlag=1,34&gt;RefiMonth,34&lt;=DispoMonth),1,0)</f>
        <v/>
      </c>
      <c r="AL43" s="17">
        <f>IF(AND(RefiFlag=1,35&gt;RefiMonth,35&lt;=DispoMonth),1,0)</f>
        <v/>
      </c>
      <c r="AM43" s="17">
        <f>IF(AND(RefiFlag=1,36&gt;RefiMonth,36&lt;=DispoMonth),1,0)</f>
        <v/>
      </c>
      <c r="AN43" s="17">
        <f>IF(AND(RefiFlag=1,37&gt;RefiMonth,37&lt;=DispoMonth),1,0)</f>
        <v/>
      </c>
      <c r="AO43" s="17">
        <f>IF(AND(RefiFlag=1,38&gt;RefiMonth,38&lt;=DispoMonth),1,0)</f>
        <v/>
      </c>
      <c r="AP43" s="17">
        <f>IF(AND(RefiFlag=1,39&gt;RefiMonth,39&lt;=DispoMonth),1,0)</f>
        <v/>
      </c>
      <c r="AQ43" s="17">
        <f>IF(AND(RefiFlag=1,40&gt;RefiMonth,40&lt;=DispoMonth),1,0)</f>
        <v/>
      </c>
      <c r="AR43" s="17">
        <f>IF(AND(RefiFlag=1,41&gt;RefiMonth,41&lt;=DispoMonth),1,0)</f>
        <v/>
      </c>
      <c r="AS43" s="17">
        <f>IF(AND(RefiFlag=1,42&gt;RefiMonth,42&lt;=DispoMonth),1,0)</f>
        <v/>
      </c>
      <c r="AT43" s="17">
        <f>IF(AND(RefiFlag=1,43&gt;RefiMonth,43&lt;=DispoMonth),1,0)</f>
        <v/>
      </c>
      <c r="AU43" s="17">
        <f>IF(AND(RefiFlag=1,44&gt;RefiMonth,44&lt;=DispoMonth),1,0)</f>
        <v/>
      </c>
      <c r="AV43" s="17">
        <f>IF(AND(RefiFlag=1,45&gt;RefiMonth,45&lt;=DispoMonth),1,0)</f>
        <v/>
      </c>
      <c r="AW43" s="17">
        <f>IF(AND(RefiFlag=1,46&gt;RefiMonth,46&lt;=DispoMonth),1,0)</f>
        <v/>
      </c>
      <c r="AX43" s="17">
        <f>IF(AND(RefiFlag=1,47&gt;RefiMonth,47&lt;=DispoMonth),1,0)</f>
        <v/>
      </c>
      <c r="AY43" s="17">
        <f>IF(AND(RefiFlag=1,48&gt;RefiMonth,48&lt;=DispoMonth),1,0)</f>
        <v/>
      </c>
      <c r="AZ43" s="17">
        <f>IF(AND(RefiFlag=1,49&gt;RefiMonth,49&lt;=DispoMonth),1,0)</f>
        <v/>
      </c>
      <c r="BA43" s="17">
        <f>IF(AND(RefiFlag=1,50&gt;RefiMonth,50&lt;=DispoMonth),1,0)</f>
        <v/>
      </c>
      <c r="BB43" s="17">
        <f>IF(AND(RefiFlag=1,51&gt;RefiMonth,51&lt;=DispoMonth),1,0)</f>
        <v/>
      </c>
      <c r="BC43" s="17">
        <f>IF(AND(RefiFlag=1,52&gt;RefiMonth,52&lt;=DispoMonth),1,0)</f>
        <v/>
      </c>
      <c r="BD43" s="17">
        <f>IF(AND(RefiFlag=1,53&gt;RefiMonth,53&lt;=DispoMonth),1,0)</f>
        <v/>
      </c>
      <c r="BE43" s="17">
        <f>IF(AND(RefiFlag=1,54&gt;RefiMonth,54&lt;=DispoMonth),1,0)</f>
        <v/>
      </c>
      <c r="BF43" s="17">
        <f>IF(AND(RefiFlag=1,55&gt;RefiMonth,55&lt;=DispoMonth),1,0)</f>
        <v/>
      </c>
      <c r="BG43" s="17">
        <f>IF(AND(RefiFlag=1,56&gt;RefiMonth,56&lt;=DispoMonth),1,0)</f>
        <v/>
      </c>
      <c r="BH43" s="17">
        <f>IF(AND(RefiFlag=1,57&gt;RefiMonth,57&lt;=DispoMonth),1,0)</f>
        <v/>
      </c>
      <c r="BI43" s="17">
        <f>IF(AND(RefiFlag=1,58&gt;RefiMonth,58&lt;=DispoMonth),1,0)</f>
        <v/>
      </c>
      <c r="BJ43" s="17">
        <f>IF(AND(RefiFlag=1,59&gt;RefiMonth,59&lt;=DispoMonth),1,0)</f>
        <v/>
      </c>
      <c r="BK43" s="17">
        <f>IF(AND(RefiFlag=1,60&gt;RefiMonth,60&lt;=DispoMonth),1,0)</f>
        <v/>
      </c>
      <c r="BL43" s="17">
        <f>IF(AND(RefiFlag=1,61&gt;RefiMonth,61&lt;=DispoMonth),1,0)</f>
        <v/>
      </c>
      <c r="BM43" s="17">
        <f>IF(AND(RefiFlag=1,62&gt;RefiMonth,62&lt;=DispoMonth),1,0)</f>
        <v/>
      </c>
      <c r="BN43" s="17">
        <f>IF(AND(RefiFlag=1,63&gt;RefiMonth,63&lt;=DispoMonth),1,0)</f>
        <v/>
      </c>
      <c r="BO43" s="17">
        <f>IF(AND(RefiFlag=1,64&gt;RefiMonth,64&lt;=DispoMonth),1,0)</f>
        <v/>
      </c>
      <c r="BP43" s="17">
        <f>IF(AND(RefiFlag=1,65&gt;RefiMonth,65&lt;=DispoMonth),1,0)</f>
        <v/>
      </c>
      <c r="BQ43" s="17">
        <f>IF(AND(RefiFlag=1,66&gt;RefiMonth,66&lt;=DispoMonth),1,0)</f>
        <v/>
      </c>
      <c r="BR43" s="17">
        <f>IF(AND(RefiFlag=1,67&gt;RefiMonth,67&lt;=DispoMonth),1,0)</f>
        <v/>
      </c>
      <c r="BS43" s="17">
        <f>IF(AND(RefiFlag=1,68&gt;RefiMonth,68&lt;=DispoMonth),1,0)</f>
        <v/>
      </c>
      <c r="BT43" s="17">
        <f>IF(AND(RefiFlag=1,69&gt;RefiMonth,69&lt;=DispoMonth),1,0)</f>
        <v/>
      </c>
      <c r="BU43" s="17">
        <f>IF(AND(RefiFlag=1,70&gt;RefiMonth,70&lt;=DispoMonth),1,0)</f>
        <v/>
      </c>
      <c r="BV43" s="17">
        <f>IF(AND(RefiFlag=1,71&gt;RefiMonth,71&lt;=DispoMonth),1,0)</f>
        <v/>
      </c>
      <c r="BW43" s="17">
        <f>IF(AND(RefiFlag=1,72&gt;RefiMonth,72&lt;=DispoMonth),1,0)</f>
        <v/>
      </c>
      <c r="BX43" s="17">
        <f>IF(AND(RefiFlag=1,73&gt;RefiMonth,73&lt;=DispoMonth),1,0)</f>
        <v/>
      </c>
      <c r="BY43" s="17">
        <f>IF(AND(RefiFlag=1,74&gt;RefiMonth,74&lt;=DispoMonth),1,0)</f>
        <v/>
      </c>
      <c r="BZ43" s="17">
        <f>IF(AND(RefiFlag=1,75&gt;RefiMonth,75&lt;=DispoMonth),1,0)</f>
        <v/>
      </c>
      <c r="CA43" s="17">
        <f>IF(AND(RefiFlag=1,76&gt;RefiMonth,76&lt;=DispoMonth),1,0)</f>
        <v/>
      </c>
      <c r="CB43" s="17">
        <f>IF(AND(RefiFlag=1,77&gt;RefiMonth,77&lt;=DispoMonth),1,0)</f>
        <v/>
      </c>
      <c r="CC43" s="17">
        <f>IF(AND(RefiFlag=1,78&gt;RefiMonth,78&lt;=DispoMonth),1,0)</f>
        <v/>
      </c>
      <c r="CD43" s="17">
        <f>IF(AND(RefiFlag=1,79&gt;RefiMonth,79&lt;=DispoMonth),1,0)</f>
        <v/>
      </c>
      <c r="CE43" s="17">
        <f>IF(AND(RefiFlag=1,80&gt;RefiMonth,80&lt;=DispoMonth),1,0)</f>
        <v/>
      </c>
      <c r="CF43" s="17">
        <f>IF(AND(RefiFlag=1,81&gt;RefiMonth,81&lt;=DispoMonth),1,0)</f>
        <v/>
      </c>
      <c r="CG43" s="17">
        <f>IF(AND(RefiFlag=1,82&gt;RefiMonth,82&lt;=DispoMonth),1,0)</f>
        <v/>
      </c>
      <c r="CH43" s="17">
        <f>IF(AND(RefiFlag=1,83&gt;RefiMonth,83&lt;=DispoMonth),1,0)</f>
        <v/>
      </c>
      <c r="CI43" s="17">
        <f>IF(AND(RefiFlag=1,84&gt;RefiMonth,84&lt;=DispoMonth),1,0)</f>
        <v/>
      </c>
      <c r="CJ43" s="17">
        <f>IF(AND(RefiFlag=1,85&gt;RefiMonth,85&lt;=DispoMonth),1,0)</f>
        <v/>
      </c>
      <c r="CK43" s="17">
        <f>IF(AND(RefiFlag=1,86&gt;RefiMonth,86&lt;=DispoMonth),1,0)</f>
        <v/>
      </c>
      <c r="CL43" s="17">
        <f>IF(AND(RefiFlag=1,87&gt;RefiMonth,87&lt;=DispoMonth),1,0)</f>
        <v/>
      </c>
      <c r="CM43" s="17">
        <f>IF(AND(RefiFlag=1,88&gt;RefiMonth,88&lt;=DispoMonth),1,0)</f>
        <v/>
      </c>
      <c r="CN43" s="17">
        <f>IF(AND(RefiFlag=1,89&gt;RefiMonth,89&lt;=DispoMonth),1,0)</f>
        <v/>
      </c>
      <c r="CO43" s="17">
        <f>IF(AND(RefiFlag=1,90&gt;RefiMonth,90&lt;=DispoMonth),1,0)</f>
        <v/>
      </c>
      <c r="CP43" s="17">
        <f>IF(AND(RefiFlag=1,91&gt;RefiMonth,91&lt;=DispoMonth),1,0)</f>
        <v/>
      </c>
      <c r="CQ43" s="17">
        <f>IF(AND(RefiFlag=1,92&gt;RefiMonth,92&lt;=DispoMonth),1,0)</f>
        <v/>
      </c>
      <c r="CR43" s="17">
        <f>IF(AND(RefiFlag=1,93&gt;RefiMonth,93&lt;=DispoMonth),1,0)</f>
        <v/>
      </c>
      <c r="CS43" s="17">
        <f>IF(AND(RefiFlag=1,94&gt;RefiMonth,94&lt;=DispoMonth),1,0)</f>
        <v/>
      </c>
      <c r="CT43" s="17">
        <f>IF(AND(RefiFlag=1,95&gt;RefiMonth,95&lt;=DispoMonth),1,0)</f>
        <v/>
      </c>
      <c r="CU43" s="17">
        <f>IF(AND(RefiFlag=1,96&gt;RefiMonth,96&lt;=DispoMonth),1,0)</f>
        <v/>
      </c>
      <c r="CV43" s="17">
        <f>IF(AND(RefiFlag=1,97&gt;RefiMonth,97&lt;=DispoMonth),1,0)</f>
        <v/>
      </c>
      <c r="CW43" s="17">
        <f>IF(AND(RefiFlag=1,98&gt;RefiMonth,98&lt;=DispoMonth),1,0)</f>
        <v/>
      </c>
      <c r="CX43" s="17">
        <f>IF(AND(RefiFlag=1,99&gt;RefiMonth,99&lt;=DispoMonth),1,0)</f>
        <v/>
      </c>
      <c r="CY43" s="17">
        <f>IF(AND(RefiFlag=1,100&gt;RefiMonth,100&lt;=DispoMonth),1,0)</f>
        <v/>
      </c>
      <c r="CZ43" s="17">
        <f>IF(AND(RefiFlag=1,101&gt;RefiMonth,101&lt;=DispoMonth),1,0)</f>
        <v/>
      </c>
      <c r="DA43" s="17">
        <f>IF(AND(RefiFlag=1,102&gt;RefiMonth,102&lt;=DispoMonth),1,0)</f>
        <v/>
      </c>
      <c r="DB43" s="17">
        <f>IF(AND(RefiFlag=1,103&gt;RefiMonth,103&lt;=DispoMonth),1,0)</f>
        <v/>
      </c>
      <c r="DC43" s="17">
        <f>IF(AND(RefiFlag=1,104&gt;RefiMonth,104&lt;=DispoMonth),1,0)</f>
        <v/>
      </c>
      <c r="DD43" s="17">
        <f>IF(AND(RefiFlag=1,105&gt;RefiMonth,105&lt;=DispoMonth),1,0)</f>
        <v/>
      </c>
      <c r="DE43" s="17">
        <f>IF(AND(RefiFlag=1,106&gt;RefiMonth,106&lt;=DispoMonth),1,0)</f>
        <v/>
      </c>
      <c r="DF43" s="17">
        <f>IF(AND(RefiFlag=1,107&gt;RefiMonth,107&lt;=DispoMonth),1,0)</f>
        <v/>
      </c>
      <c r="DG43" s="17">
        <f>IF(AND(RefiFlag=1,108&gt;RefiMonth,108&lt;=DispoMonth),1,0)</f>
        <v/>
      </c>
      <c r="DH43" s="17">
        <f>IF(AND(RefiFlag=1,109&gt;RefiMonth,109&lt;=DispoMonth),1,0)</f>
        <v/>
      </c>
      <c r="DI43" s="17">
        <f>IF(AND(RefiFlag=1,110&gt;RefiMonth,110&lt;=DispoMonth),1,0)</f>
        <v/>
      </c>
      <c r="DJ43" s="17">
        <f>IF(AND(RefiFlag=1,111&gt;RefiMonth,111&lt;=DispoMonth),1,0)</f>
        <v/>
      </c>
      <c r="DK43" s="17">
        <f>IF(AND(RefiFlag=1,112&gt;RefiMonth,112&lt;=DispoMonth),1,0)</f>
        <v/>
      </c>
      <c r="DL43" s="17">
        <f>IF(AND(RefiFlag=1,113&gt;RefiMonth,113&lt;=DispoMonth),1,0)</f>
        <v/>
      </c>
      <c r="DM43" s="17">
        <f>IF(AND(RefiFlag=1,114&gt;RefiMonth,114&lt;=DispoMonth),1,0)</f>
        <v/>
      </c>
      <c r="DN43" s="17">
        <f>IF(AND(RefiFlag=1,115&gt;RefiMonth,115&lt;=DispoMonth),1,0)</f>
        <v/>
      </c>
      <c r="DO43" s="17">
        <f>IF(AND(RefiFlag=1,116&gt;RefiMonth,116&lt;=DispoMonth),1,0)</f>
        <v/>
      </c>
      <c r="DP43" s="17">
        <f>IF(AND(RefiFlag=1,117&gt;RefiMonth,117&lt;=DispoMonth),1,0)</f>
        <v/>
      </c>
      <c r="DQ43" s="17">
        <f>IF(AND(RefiFlag=1,118&gt;RefiMonth,118&lt;=DispoMonth),1,0)</f>
        <v/>
      </c>
      <c r="DR43" s="17">
        <f>IF(AND(RefiFlag=1,119&gt;RefiMonth,119&lt;=DispoMonth),1,0)</f>
        <v/>
      </c>
      <c r="DS43" s="17">
        <f>IF(AND(RefiFlag=1,120&gt;RefiMonth,120&lt;=DispoMonth),1,0)</f>
        <v/>
      </c>
      <c r="DT43" s="17">
        <f>IF(AND(RefiFlag=1,121&gt;RefiMonth,121&lt;=DispoMonth),1,0)</f>
        <v/>
      </c>
      <c r="DU43" s="17">
        <f>IF(AND(RefiFlag=1,122&gt;RefiMonth,122&lt;=DispoMonth),1,0)</f>
        <v/>
      </c>
      <c r="DV43" s="17">
        <f>IF(AND(RefiFlag=1,123&gt;RefiMonth,123&lt;=DispoMonth),1,0)</f>
        <v/>
      </c>
      <c r="DW43" s="17">
        <f>IF(AND(RefiFlag=1,124&gt;RefiMonth,124&lt;=DispoMonth),1,0)</f>
        <v/>
      </c>
      <c r="DX43" s="17">
        <f>IF(AND(RefiFlag=1,125&gt;RefiMonth,125&lt;=DispoMonth),1,0)</f>
        <v/>
      </c>
      <c r="DY43" s="17">
        <f>IF(AND(RefiFlag=1,126&gt;RefiMonth,126&lt;=DispoMonth),1,0)</f>
        <v/>
      </c>
      <c r="DZ43" s="17">
        <f>IF(AND(RefiFlag=1,127&gt;RefiMonth,127&lt;=DispoMonth),1,0)</f>
        <v/>
      </c>
      <c r="EA43" s="17">
        <f>IF(AND(RefiFlag=1,128&gt;RefiMonth,128&lt;=DispoMonth),1,0)</f>
        <v/>
      </c>
      <c r="EB43" s="17">
        <f>IF(AND(RefiFlag=1,129&gt;RefiMonth,129&lt;=DispoMonth),1,0)</f>
        <v/>
      </c>
      <c r="EC43" s="17">
        <f>IF(AND(RefiFlag=1,130&gt;RefiMonth,130&lt;=DispoMonth),1,0)</f>
        <v/>
      </c>
      <c r="ED43" s="17">
        <f>IF(AND(RefiFlag=1,131&gt;RefiMonth,131&lt;=DispoMonth),1,0)</f>
        <v/>
      </c>
      <c r="EE43" s="17">
        <f>IF(AND(RefiFlag=1,132&gt;RefiMonth,132&lt;=DispoMonth),1,0)</f>
        <v/>
      </c>
      <c r="EF43" s="17">
        <f>IF(AND(RefiFlag=1,133&gt;RefiMonth,133&lt;=DispoMonth),1,0)</f>
        <v/>
      </c>
      <c r="EG43" s="17">
        <f>IF(AND(RefiFlag=1,134&gt;RefiMonth,134&lt;=DispoMonth),1,0)</f>
        <v/>
      </c>
      <c r="EH43" s="17">
        <f>IF(AND(RefiFlag=1,135&gt;RefiMonth,135&lt;=DispoMonth),1,0)</f>
        <v/>
      </c>
      <c r="EI43" s="17">
        <f>IF(AND(RefiFlag=1,136&gt;RefiMonth,136&lt;=DispoMonth),1,0)</f>
        <v/>
      </c>
      <c r="EJ43" s="17">
        <f>IF(AND(RefiFlag=1,137&gt;RefiMonth,137&lt;=DispoMonth),1,0)</f>
        <v/>
      </c>
      <c r="EK43" s="17">
        <f>IF(AND(RefiFlag=1,138&gt;RefiMonth,138&lt;=DispoMonth),1,0)</f>
        <v/>
      </c>
      <c r="EL43" s="17">
        <f>IF(AND(RefiFlag=1,139&gt;RefiMonth,139&lt;=DispoMonth),1,0)</f>
        <v/>
      </c>
      <c r="EM43" s="17">
        <f>IF(AND(RefiFlag=1,140&gt;RefiMonth,140&lt;=DispoMonth),1,0)</f>
        <v/>
      </c>
      <c r="EN43" s="17">
        <f>IF(AND(RefiFlag=1,141&gt;RefiMonth,141&lt;=DispoMonth),1,0)</f>
        <v/>
      </c>
      <c r="EO43" s="17">
        <f>IF(AND(RefiFlag=1,142&gt;RefiMonth,142&lt;=DispoMonth),1,0)</f>
        <v/>
      </c>
      <c r="EP43" s="17">
        <f>IF(AND(RefiFlag=1,143&gt;RefiMonth,143&lt;=DispoMonth),1,0)</f>
        <v/>
      </c>
      <c r="EQ43" s="17">
        <f>IF(AND(RefiFlag=1,144&gt;RefiMonth,144&lt;=DispoMonth),1,0)</f>
        <v/>
      </c>
      <c r="ER43" s="17">
        <f>IF(AND(RefiFlag=1,145&gt;RefiMonth,145&lt;=DispoMonth),1,0)</f>
        <v/>
      </c>
      <c r="ES43" s="17">
        <f>IF(AND(RefiFlag=1,146&gt;RefiMonth,146&lt;=DispoMonth),1,0)</f>
        <v/>
      </c>
      <c r="ET43" s="17">
        <f>IF(AND(RefiFlag=1,147&gt;RefiMonth,147&lt;=DispoMonth),1,0)</f>
        <v/>
      </c>
      <c r="EU43" s="17">
        <f>IF(AND(RefiFlag=1,148&gt;RefiMonth,148&lt;=DispoMonth),1,0)</f>
        <v/>
      </c>
      <c r="EV43" s="17">
        <f>IF(AND(RefiFlag=1,149&gt;RefiMonth,149&lt;=DispoMonth),1,0)</f>
        <v/>
      </c>
      <c r="EW43" s="17">
        <f>IF(AND(RefiFlag=1,150&gt;RefiMonth,150&lt;=DispoMonth),1,0)</f>
        <v/>
      </c>
      <c r="EX43" s="17">
        <f>IF(AND(RefiFlag=1,151&gt;RefiMonth,151&lt;=DispoMonth),1,0)</f>
        <v/>
      </c>
      <c r="EY43" s="17">
        <f>IF(AND(RefiFlag=1,152&gt;RefiMonth,152&lt;=DispoMonth),1,0)</f>
        <v/>
      </c>
      <c r="EZ43" s="17">
        <f>IF(AND(RefiFlag=1,153&gt;RefiMonth,153&lt;=DispoMonth),1,0)</f>
        <v/>
      </c>
      <c r="FA43" s="17">
        <f>IF(AND(RefiFlag=1,154&gt;RefiMonth,154&lt;=DispoMonth),1,0)</f>
        <v/>
      </c>
      <c r="FB43" s="17">
        <f>IF(AND(RefiFlag=1,155&gt;RefiMonth,155&lt;=DispoMonth),1,0)</f>
        <v/>
      </c>
      <c r="FC43" s="17">
        <f>IF(AND(RefiFlag=1,156&gt;RefiMonth,156&lt;=DispoMonth),1,0)</f>
        <v/>
      </c>
      <c r="FD43" s="17">
        <f>IF(AND(RefiFlag=1,157&gt;RefiMonth,157&lt;=DispoMonth),1,0)</f>
        <v/>
      </c>
      <c r="FE43" s="17">
        <f>IF(AND(RefiFlag=1,158&gt;RefiMonth,158&lt;=DispoMonth),1,0)</f>
        <v/>
      </c>
      <c r="FF43" s="17">
        <f>IF(AND(RefiFlag=1,159&gt;RefiMonth,159&lt;=DispoMonth),1,0)</f>
        <v/>
      </c>
      <c r="FG43" s="17">
        <f>IF(AND(RefiFlag=1,160&gt;RefiMonth,160&lt;=DispoMonth),1,0)</f>
        <v/>
      </c>
      <c r="FH43" s="17">
        <f>IF(AND(RefiFlag=1,161&gt;RefiMonth,161&lt;=DispoMonth),1,0)</f>
        <v/>
      </c>
      <c r="FI43" s="17">
        <f>IF(AND(RefiFlag=1,162&gt;RefiMonth,162&lt;=DispoMonth),1,0)</f>
        <v/>
      </c>
      <c r="FJ43" s="17">
        <f>IF(AND(RefiFlag=1,163&gt;RefiMonth,163&lt;=DispoMonth),1,0)</f>
        <v/>
      </c>
      <c r="FK43" s="17">
        <f>IF(AND(RefiFlag=1,164&gt;RefiMonth,164&lt;=DispoMonth),1,0)</f>
        <v/>
      </c>
      <c r="FL43" s="17">
        <f>IF(AND(RefiFlag=1,165&gt;RefiMonth,165&lt;=DispoMonth),1,0)</f>
        <v/>
      </c>
      <c r="FM43" s="17">
        <f>IF(AND(RefiFlag=1,166&gt;RefiMonth,166&lt;=DispoMonth),1,0)</f>
        <v/>
      </c>
      <c r="FN43" s="17">
        <f>IF(AND(RefiFlag=1,167&gt;RefiMonth,167&lt;=DispoMonth),1,0)</f>
        <v/>
      </c>
      <c r="FO43" s="17">
        <f>IF(AND(RefiFlag=1,168&gt;RefiMonth,168&lt;=DispoMonth),1,0)</f>
        <v/>
      </c>
      <c r="FP43" s="17">
        <f>IF(AND(RefiFlag=1,169&gt;RefiMonth,169&lt;=DispoMonth),1,0)</f>
        <v/>
      </c>
      <c r="FQ43" s="17">
        <f>IF(AND(RefiFlag=1,170&gt;RefiMonth,170&lt;=DispoMonth),1,0)</f>
        <v/>
      </c>
      <c r="FR43" s="17">
        <f>IF(AND(RefiFlag=1,171&gt;RefiMonth,171&lt;=DispoMonth),1,0)</f>
        <v/>
      </c>
      <c r="FS43" s="17">
        <f>IF(AND(RefiFlag=1,172&gt;RefiMonth,172&lt;=DispoMonth),1,0)</f>
        <v/>
      </c>
      <c r="FT43" s="17">
        <f>IF(AND(RefiFlag=1,173&gt;RefiMonth,173&lt;=DispoMonth),1,0)</f>
        <v/>
      </c>
      <c r="FU43" s="17">
        <f>IF(AND(RefiFlag=1,174&gt;RefiMonth,174&lt;=DispoMonth),1,0)</f>
        <v/>
      </c>
      <c r="FV43" s="17">
        <f>IF(AND(RefiFlag=1,175&gt;RefiMonth,175&lt;=DispoMonth),1,0)</f>
        <v/>
      </c>
      <c r="FW43" s="17">
        <f>IF(AND(RefiFlag=1,176&gt;RefiMonth,176&lt;=DispoMonth),1,0)</f>
        <v/>
      </c>
      <c r="FX43" s="17">
        <f>IF(AND(RefiFlag=1,177&gt;RefiMonth,177&lt;=DispoMonth),1,0)</f>
        <v/>
      </c>
      <c r="FY43" s="17">
        <f>IF(AND(RefiFlag=1,178&gt;RefiMonth,178&lt;=DispoMonth),1,0)</f>
        <v/>
      </c>
      <c r="FZ43" s="17">
        <f>IF(AND(RefiFlag=1,179&gt;RefiMonth,179&lt;=DispoMonth),1,0)</f>
        <v/>
      </c>
      <c r="GA43" s="17">
        <f>IF(AND(RefiFlag=1,180&gt;RefiMonth,180&lt;=DispoMonth),1,0)</f>
        <v/>
      </c>
      <c r="GB43" s="17">
        <f>IF(AND(RefiFlag=1,181&gt;RefiMonth,181&lt;=DispoMonth),1,0)</f>
        <v/>
      </c>
      <c r="GC43" s="17">
        <f>IF(AND(RefiFlag=1,182&gt;RefiMonth,182&lt;=DispoMonth),1,0)</f>
        <v/>
      </c>
      <c r="GD43" s="17">
        <f>IF(AND(RefiFlag=1,183&gt;RefiMonth,183&lt;=DispoMonth),1,0)</f>
        <v/>
      </c>
      <c r="GE43" s="17">
        <f>IF(AND(RefiFlag=1,184&gt;RefiMonth,184&lt;=DispoMonth),1,0)</f>
        <v/>
      </c>
      <c r="GF43" s="17">
        <f>IF(AND(RefiFlag=1,185&gt;RefiMonth,185&lt;=DispoMonth),1,0)</f>
        <v/>
      </c>
      <c r="GG43" s="17">
        <f>IF(AND(RefiFlag=1,186&gt;RefiMonth,186&lt;=DispoMonth),1,0)</f>
        <v/>
      </c>
      <c r="GH43" s="17">
        <f>IF(AND(RefiFlag=1,187&gt;RefiMonth,187&lt;=DispoMonth),1,0)</f>
        <v/>
      </c>
      <c r="GI43" s="17">
        <f>IF(AND(RefiFlag=1,188&gt;RefiMonth,188&lt;=DispoMonth),1,0)</f>
        <v/>
      </c>
      <c r="GJ43" s="17">
        <f>IF(AND(RefiFlag=1,189&gt;RefiMonth,189&lt;=DispoMonth),1,0)</f>
        <v/>
      </c>
      <c r="GK43" s="17">
        <f>IF(AND(RefiFlag=1,190&gt;RefiMonth,190&lt;=DispoMonth),1,0)</f>
        <v/>
      </c>
      <c r="GL43" s="17">
        <f>IF(AND(RefiFlag=1,191&gt;RefiMonth,191&lt;=DispoMonth),1,0)</f>
        <v/>
      </c>
      <c r="GM43" s="17">
        <f>IF(AND(RefiFlag=1,192&gt;RefiMonth,192&lt;=DispoMonth),1,0)</f>
        <v/>
      </c>
      <c r="GN43" s="17">
        <f>IF(AND(RefiFlag=1,193&gt;RefiMonth,193&lt;=DispoMonth),1,0)</f>
        <v/>
      </c>
      <c r="GO43" s="17">
        <f>IF(AND(RefiFlag=1,194&gt;RefiMonth,194&lt;=DispoMonth),1,0)</f>
        <v/>
      </c>
      <c r="GP43" s="17">
        <f>IF(AND(RefiFlag=1,195&gt;RefiMonth,195&lt;=DispoMonth),1,0)</f>
        <v/>
      </c>
      <c r="GQ43" s="17">
        <f>IF(AND(RefiFlag=1,196&gt;RefiMonth,196&lt;=DispoMonth),1,0)</f>
        <v/>
      </c>
      <c r="GR43" s="17">
        <f>IF(AND(RefiFlag=1,197&gt;RefiMonth,197&lt;=DispoMonth),1,0)</f>
        <v/>
      </c>
      <c r="GS43" s="17">
        <f>IF(AND(RefiFlag=1,198&gt;RefiMonth,198&lt;=DispoMonth),1,0)</f>
        <v/>
      </c>
      <c r="GT43" s="17">
        <f>IF(AND(RefiFlag=1,199&gt;RefiMonth,199&lt;=DispoMonth),1,0)</f>
        <v/>
      </c>
      <c r="GU43" s="17">
        <f>IF(AND(RefiFlag=1,200&gt;RefiMonth,200&lt;=DispoMonth),1,0)</f>
        <v/>
      </c>
      <c r="GV43" s="17">
        <f>IF(AND(RefiFlag=1,201&gt;RefiMonth,201&lt;=DispoMonth),1,0)</f>
        <v/>
      </c>
      <c r="GW43" s="17">
        <f>IF(AND(RefiFlag=1,202&gt;RefiMonth,202&lt;=DispoMonth),1,0)</f>
        <v/>
      </c>
      <c r="GX43" s="17">
        <f>IF(AND(RefiFlag=1,203&gt;RefiMonth,203&lt;=DispoMonth),1,0)</f>
        <v/>
      </c>
      <c r="GY43" s="17">
        <f>IF(AND(RefiFlag=1,204&gt;RefiMonth,204&lt;=DispoMonth),1,0)</f>
        <v/>
      </c>
      <c r="GZ43" s="17">
        <f>IF(AND(RefiFlag=1,205&gt;RefiMonth,205&lt;=DispoMonth),1,0)</f>
        <v/>
      </c>
      <c r="HA43" s="17">
        <f>IF(AND(RefiFlag=1,206&gt;RefiMonth,206&lt;=DispoMonth),1,0)</f>
        <v/>
      </c>
      <c r="HB43" s="17">
        <f>IF(AND(RefiFlag=1,207&gt;RefiMonth,207&lt;=DispoMonth),1,0)</f>
        <v/>
      </c>
      <c r="HC43" s="17">
        <f>IF(AND(RefiFlag=1,208&gt;RefiMonth,208&lt;=DispoMonth),1,0)</f>
        <v/>
      </c>
      <c r="HD43" s="17">
        <f>IF(AND(RefiFlag=1,209&gt;RefiMonth,209&lt;=DispoMonth),1,0)</f>
        <v/>
      </c>
      <c r="HE43" s="17">
        <f>IF(AND(RefiFlag=1,210&gt;RefiMonth,210&lt;=DispoMonth),1,0)</f>
        <v/>
      </c>
      <c r="HF43" s="17">
        <f>IF(AND(RefiFlag=1,211&gt;RefiMonth,211&lt;=DispoMonth),1,0)</f>
        <v/>
      </c>
      <c r="HG43" s="17">
        <f>IF(AND(RefiFlag=1,212&gt;RefiMonth,212&lt;=DispoMonth),1,0)</f>
        <v/>
      </c>
      <c r="HH43" s="17">
        <f>IF(AND(RefiFlag=1,213&gt;RefiMonth,213&lt;=DispoMonth),1,0)</f>
        <v/>
      </c>
      <c r="HI43" s="17">
        <f>IF(AND(RefiFlag=1,214&gt;RefiMonth,214&lt;=DispoMonth),1,0)</f>
        <v/>
      </c>
      <c r="HJ43" s="17">
        <f>IF(AND(RefiFlag=1,215&gt;RefiMonth,215&lt;=DispoMonth),1,0)</f>
        <v/>
      </c>
      <c r="HK43" s="17">
        <f>IF(AND(RefiFlag=1,216&gt;RefiMonth,216&lt;=DispoMonth),1,0)</f>
        <v/>
      </c>
      <c r="HL43" s="17">
        <f>IF(AND(RefiFlag=1,217&gt;RefiMonth,217&lt;=DispoMonth),1,0)</f>
        <v/>
      </c>
      <c r="HM43" s="17">
        <f>IF(AND(RefiFlag=1,218&gt;RefiMonth,218&lt;=DispoMonth),1,0)</f>
        <v/>
      </c>
      <c r="HN43" s="17">
        <f>IF(AND(RefiFlag=1,219&gt;RefiMonth,219&lt;=DispoMonth),1,0)</f>
        <v/>
      </c>
      <c r="HO43" s="17">
        <f>IF(AND(RefiFlag=1,220&gt;RefiMonth,220&lt;=DispoMonth),1,0)</f>
        <v/>
      </c>
      <c r="HP43" s="17">
        <f>IF(AND(RefiFlag=1,221&gt;RefiMonth,221&lt;=DispoMonth),1,0)</f>
        <v/>
      </c>
      <c r="HQ43" s="17">
        <f>IF(AND(RefiFlag=1,222&gt;RefiMonth,222&lt;=DispoMonth),1,0)</f>
        <v/>
      </c>
      <c r="HR43" s="17">
        <f>IF(AND(RefiFlag=1,223&gt;RefiMonth,223&lt;=DispoMonth),1,0)</f>
        <v/>
      </c>
      <c r="HS43" s="17">
        <f>IF(AND(RefiFlag=1,224&gt;RefiMonth,224&lt;=DispoMonth),1,0)</f>
        <v/>
      </c>
      <c r="HT43" s="17">
        <f>IF(AND(RefiFlag=1,225&gt;RefiMonth,225&lt;=DispoMonth),1,0)</f>
        <v/>
      </c>
      <c r="HU43" s="17">
        <f>IF(AND(RefiFlag=1,226&gt;RefiMonth,226&lt;=DispoMonth),1,0)</f>
        <v/>
      </c>
      <c r="HV43" s="17">
        <f>IF(AND(RefiFlag=1,227&gt;RefiMonth,227&lt;=DispoMonth),1,0)</f>
        <v/>
      </c>
      <c r="HW43" s="17">
        <f>IF(AND(RefiFlag=1,228&gt;RefiMonth,228&lt;=DispoMonth),1,0)</f>
        <v/>
      </c>
      <c r="HX43" s="17">
        <f>IF(AND(RefiFlag=1,229&gt;RefiMonth,229&lt;=DispoMonth),1,0)</f>
        <v/>
      </c>
      <c r="HY43" s="17">
        <f>IF(AND(RefiFlag=1,230&gt;RefiMonth,230&lt;=DispoMonth),1,0)</f>
        <v/>
      </c>
      <c r="HZ43" s="17">
        <f>IF(AND(RefiFlag=1,231&gt;RefiMonth,231&lt;=DispoMonth),1,0)</f>
        <v/>
      </c>
      <c r="IA43" s="17">
        <f>IF(AND(RefiFlag=1,232&gt;RefiMonth,232&lt;=DispoMonth),1,0)</f>
        <v/>
      </c>
      <c r="IB43" s="17">
        <f>IF(AND(RefiFlag=1,233&gt;RefiMonth,233&lt;=DispoMonth),1,0)</f>
        <v/>
      </c>
      <c r="IC43" s="17">
        <f>IF(AND(RefiFlag=1,234&gt;RefiMonth,234&lt;=DispoMonth),1,0)</f>
        <v/>
      </c>
      <c r="ID43" s="17">
        <f>IF(AND(RefiFlag=1,235&gt;RefiMonth,235&lt;=DispoMonth),1,0)</f>
        <v/>
      </c>
      <c r="IE43" s="17">
        <f>IF(AND(RefiFlag=1,236&gt;RefiMonth,236&lt;=DispoMonth),1,0)</f>
        <v/>
      </c>
      <c r="IF43" s="17">
        <f>IF(AND(RefiFlag=1,237&gt;RefiMonth,237&lt;=DispoMonth),1,0)</f>
        <v/>
      </c>
      <c r="IG43" s="17">
        <f>IF(AND(RefiFlag=1,238&gt;RefiMonth,238&lt;=DispoMonth),1,0)</f>
        <v/>
      </c>
      <c r="IH43" s="17">
        <f>IF(AND(RefiFlag=1,239&gt;RefiMonth,239&lt;=DispoMonth),1,0)</f>
        <v/>
      </c>
      <c r="II43" s="17">
        <f>IF(AND(RefiFlag=1,240&gt;RefiMonth,240&lt;=DispoMonth),1,0)</f>
        <v/>
      </c>
      <c r="IJ43" s="17">
        <f>IF(AND(RefiFlag=1,241&gt;RefiMonth,241&lt;=DispoMonth),1,0)</f>
        <v/>
      </c>
      <c r="IK43" s="17">
        <f>IF(AND(RefiFlag=1,242&gt;RefiMonth,242&lt;=DispoMonth),1,0)</f>
        <v/>
      </c>
      <c r="IL43" s="17">
        <f>IF(AND(RefiFlag=1,243&gt;RefiMonth,243&lt;=DispoMonth),1,0)</f>
        <v/>
      </c>
      <c r="IM43" s="17">
        <f>IF(AND(RefiFlag=1,244&gt;RefiMonth,244&lt;=DispoMonth),1,0)</f>
        <v/>
      </c>
      <c r="IN43" s="17">
        <f>IF(AND(RefiFlag=1,245&gt;RefiMonth,245&lt;=DispoMonth),1,0)</f>
        <v/>
      </c>
      <c r="IO43" s="17">
        <f>IF(AND(RefiFlag=1,246&gt;RefiMonth,246&lt;=DispoMonth),1,0)</f>
        <v/>
      </c>
      <c r="IP43" s="17">
        <f>IF(AND(RefiFlag=1,247&gt;RefiMonth,247&lt;=DispoMonth),1,0)</f>
        <v/>
      </c>
      <c r="IQ43" s="17">
        <f>IF(AND(RefiFlag=1,248&gt;RefiMonth,248&lt;=DispoMonth),1,0)</f>
        <v/>
      </c>
      <c r="IR43" s="17">
        <f>IF(AND(RefiFlag=1,249&gt;RefiMonth,249&lt;=DispoMonth),1,0)</f>
        <v/>
      </c>
      <c r="IS43" s="17">
        <f>IF(AND(RefiFlag=1,250&gt;RefiMonth,250&lt;=DispoMonth),1,0)</f>
        <v/>
      </c>
      <c r="IT43" s="17">
        <f>IF(AND(RefiFlag=1,251&gt;RefiMonth,251&lt;=DispoMonth),1,0)</f>
        <v/>
      </c>
      <c r="IU43" s="17">
        <f>IF(AND(RefiFlag=1,252&gt;RefiMonth,252&lt;=DispoMonth),1,0)</f>
        <v/>
      </c>
      <c r="IV43" s="17">
        <f>IF(AND(RefiFlag=1,253&gt;RefiMonth,253&lt;=DispoMonth),1,0)</f>
        <v/>
      </c>
      <c r="IW43" s="17">
        <f>IF(AND(RefiFlag=1,254&gt;RefiMonth,254&lt;=DispoMonth),1,0)</f>
        <v/>
      </c>
      <c r="IX43" s="17">
        <f>IF(AND(RefiFlag=1,255&gt;RefiMonth,255&lt;=DispoMonth),1,0)</f>
        <v/>
      </c>
      <c r="IY43" s="17">
        <f>IF(AND(RefiFlag=1,256&gt;RefiMonth,256&lt;=DispoMonth),1,0)</f>
        <v/>
      </c>
      <c r="IZ43" s="17">
        <f>IF(AND(RefiFlag=1,257&gt;RefiMonth,257&lt;=DispoMonth),1,0)</f>
        <v/>
      </c>
      <c r="JA43" s="17">
        <f>IF(AND(RefiFlag=1,258&gt;RefiMonth,258&lt;=DispoMonth),1,0)</f>
        <v/>
      </c>
      <c r="JB43" s="17">
        <f>IF(AND(RefiFlag=1,259&gt;RefiMonth,259&lt;=DispoMonth),1,0)</f>
        <v/>
      </c>
      <c r="JC43" s="17">
        <f>IF(AND(RefiFlag=1,260&gt;RefiMonth,260&lt;=DispoMonth),1,0)</f>
        <v/>
      </c>
      <c r="JD43" s="17">
        <f>IF(AND(RefiFlag=1,261&gt;RefiMonth,261&lt;=DispoMonth),1,0)</f>
        <v/>
      </c>
      <c r="JE43" s="17">
        <f>IF(AND(RefiFlag=1,262&gt;RefiMonth,262&lt;=DispoMonth),1,0)</f>
        <v/>
      </c>
      <c r="JF43" s="17">
        <f>IF(AND(RefiFlag=1,263&gt;RefiMonth,263&lt;=DispoMonth),1,0)</f>
        <v/>
      </c>
      <c r="JG43" s="17">
        <f>IF(AND(RefiFlag=1,264&gt;RefiMonth,264&lt;=DispoMonth),1,0)</f>
        <v/>
      </c>
      <c r="JH43" s="17">
        <f>IF(AND(RefiFlag=1,265&gt;RefiMonth,265&lt;=DispoMonth),1,0)</f>
        <v/>
      </c>
      <c r="JI43" s="17">
        <f>IF(AND(RefiFlag=1,266&gt;RefiMonth,266&lt;=DispoMonth),1,0)</f>
        <v/>
      </c>
      <c r="JJ43" s="17">
        <f>IF(AND(RefiFlag=1,267&gt;RefiMonth,267&lt;=DispoMonth),1,0)</f>
        <v/>
      </c>
      <c r="JK43" s="17">
        <f>IF(AND(RefiFlag=1,268&gt;RefiMonth,268&lt;=DispoMonth),1,0)</f>
        <v/>
      </c>
      <c r="JL43" s="17">
        <f>IF(AND(RefiFlag=1,269&gt;RefiMonth,269&lt;=DispoMonth),1,0)</f>
        <v/>
      </c>
      <c r="JM43" s="17">
        <f>IF(AND(RefiFlag=1,270&gt;RefiMonth,270&lt;=DispoMonth),1,0)</f>
        <v/>
      </c>
      <c r="JN43" s="17">
        <f>IF(AND(RefiFlag=1,271&gt;RefiMonth,271&lt;=DispoMonth),1,0)</f>
        <v/>
      </c>
      <c r="JO43" s="17">
        <f>IF(AND(RefiFlag=1,272&gt;RefiMonth,272&lt;=DispoMonth),1,0)</f>
        <v/>
      </c>
      <c r="JP43" s="17">
        <f>IF(AND(RefiFlag=1,273&gt;RefiMonth,273&lt;=DispoMonth),1,0)</f>
        <v/>
      </c>
      <c r="JQ43" s="17">
        <f>IF(AND(RefiFlag=1,274&gt;RefiMonth,274&lt;=DispoMonth),1,0)</f>
        <v/>
      </c>
      <c r="JR43" s="17">
        <f>IF(AND(RefiFlag=1,275&gt;RefiMonth,275&lt;=DispoMonth),1,0)</f>
        <v/>
      </c>
      <c r="JS43" s="17">
        <f>IF(AND(RefiFlag=1,276&gt;RefiMonth,276&lt;=DispoMonth),1,0)</f>
        <v/>
      </c>
      <c r="JT43" s="17">
        <f>IF(AND(RefiFlag=1,277&gt;RefiMonth,277&lt;=DispoMonth),1,0)</f>
        <v/>
      </c>
      <c r="JU43" s="17">
        <f>IF(AND(RefiFlag=1,278&gt;RefiMonth,278&lt;=DispoMonth),1,0)</f>
        <v/>
      </c>
      <c r="JV43" s="17">
        <f>IF(AND(RefiFlag=1,279&gt;RefiMonth,279&lt;=DispoMonth),1,0)</f>
        <v/>
      </c>
      <c r="JW43" s="17">
        <f>IF(AND(RefiFlag=1,280&gt;RefiMonth,280&lt;=DispoMonth),1,0)</f>
        <v/>
      </c>
      <c r="JX43" s="17">
        <f>IF(AND(RefiFlag=1,281&gt;RefiMonth,281&lt;=DispoMonth),1,0)</f>
        <v/>
      </c>
      <c r="JY43" s="17">
        <f>IF(AND(RefiFlag=1,282&gt;RefiMonth,282&lt;=DispoMonth),1,0)</f>
        <v/>
      </c>
      <c r="JZ43" s="17">
        <f>IF(AND(RefiFlag=1,283&gt;RefiMonth,283&lt;=DispoMonth),1,0)</f>
        <v/>
      </c>
      <c r="KA43" s="17">
        <f>IF(AND(RefiFlag=1,284&gt;RefiMonth,284&lt;=DispoMonth),1,0)</f>
        <v/>
      </c>
      <c r="KB43" s="17">
        <f>IF(AND(RefiFlag=1,285&gt;RefiMonth,285&lt;=DispoMonth),1,0)</f>
        <v/>
      </c>
      <c r="KC43" s="17">
        <f>IF(AND(RefiFlag=1,286&gt;RefiMonth,286&lt;=DispoMonth),1,0)</f>
        <v/>
      </c>
      <c r="KD43" s="17">
        <f>IF(AND(RefiFlag=1,287&gt;RefiMonth,287&lt;=DispoMonth),1,0)</f>
        <v/>
      </c>
      <c r="KE43" s="17">
        <f>IF(AND(RefiFlag=1,288&gt;RefiMonth,288&lt;=DispoMonth),1,0)</f>
        <v/>
      </c>
      <c r="KF43" s="17">
        <f>IF(AND(RefiFlag=1,289&gt;RefiMonth,289&lt;=DispoMonth),1,0)</f>
        <v/>
      </c>
      <c r="KG43" s="17">
        <f>IF(AND(RefiFlag=1,290&gt;RefiMonth,290&lt;=DispoMonth),1,0)</f>
        <v/>
      </c>
      <c r="KH43" s="17">
        <f>IF(AND(RefiFlag=1,291&gt;RefiMonth,291&lt;=DispoMonth),1,0)</f>
        <v/>
      </c>
      <c r="KI43" s="17">
        <f>IF(AND(RefiFlag=1,292&gt;RefiMonth,292&lt;=DispoMonth),1,0)</f>
        <v/>
      </c>
      <c r="KJ43" s="17">
        <f>IF(AND(RefiFlag=1,293&gt;RefiMonth,293&lt;=DispoMonth),1,0)</f>
        <v/>
      </c>
      <c r="KK43" s="17">
        <f>IF(AND(RefiFlag=1,294&gt;RefiMonth,294&lt;=DispoMonth),1,0)</f>
        <v/>
      </c>
      <c r="KL43" s="17">
        <f>IF(AND(RefiFlag=1,295&gt;RefiMonth,295&lt;=DispoMonth),1,0)</f>
        <v/>
      </c>
      <c r="KM43" s="17">
        <f>IF(AND(RefiFlag=1,296&gt;RefiMonth,296&lt;=DispoMonth),1,0)</f>
        <v/>
      </c>
      <c r="KN43" s="17">
        <f>IF(AND(RefiFlag=1,297&gt;RefiMonth,297&lt;=DispoMonth),1,0)</f>
        <v/>
      </c>
      <c r="KO43" s="17">
        <f>IF(AND(RefiFlag=1,298&gt;RefiMonth,298&lt;=DispoMonth),1,0)</f>
        <v/>
      </c>
      <c r="KP43" s="17">
        <f>IF(AND(RefiFlag=1,299&gt;RefiMonth,299&lt;=DispoMonth),1,0)</f>
        <v/>
      </c>
      <c r="KQ43" s="17">
        <f>IF(AND(RefiFlag=1,300&gt;RefiMonth,300&lt;=DispoMonth),1,0)</f>
        <v/>
      </c>
      <c r="KR43" s="17">
        <f>IF(AND(RefiFlag=1,301&gt;RefiMonth,301&lt;=DispoMonth),1,0)</f>
        <v/>
      </c>
      <c r="KS43" s="17">
        <f>IF(AND(RefiFlag=1,302&gt;RefiMonth,302&lt;=DispoMonth),1,0)</f>
        <v/>
      </c>
      <c r="KT43" s="17">
        <f>IF(AND(RefiFlag=1,303&gt;RefiMonth,303&lt;=DispoMonth),1,0)</f>
        <v/>
      </c>
      <c r="KU43" s="17">
        <f>IF(AND(RefiFlag=1,304&gt;RefiMonth,304&lt;=DispoMonth),1,0)</f>
        <v/>
      </c>
      <c r="KV43" s="17">
        <f>IF(AND(RefiFlag=1,305&gt;RefiMonth,305&lt;=DispoMonth),1,0)</f>
        <v/>
      </c>
      <c r="KW43" s="17">
        <f>IF(AND(RefiFlag=1,306&gt;RefiMonth,306&lt;=DispoMonth),1,0)</f>
        <v/>
      </c>
      <c r="KX43" s="17">
        <f>IF(AND(RefiFlag=1,307&gt;RefiMonth,307&lt;=DispoMonth),1,0)</f>
        <v/>
      </c>
      <c r="KY43" s="17">
        <f>IF(AND(RefiFlag=1,308&gt;RefiMonth,308&lt;=DispoMonth),1,0)</f>
        <v/>
      </c>
      <c r="KZ43" s="17">
        <f>IF(AND(RefiFlag=1,309&gt;RefiMonth,309&lt;=DispoMonth),1,0)</f>
        <v/>
      </c>
      <c r="LA43" s="17">
        <f>IF(AND(RefiFlag=1,310&gt;RefiMonth,310&lt;=DispoMonth),1,0)</f>
        <v/>
      </c>
      <c r="LB43" s="17">
        <f>IF(AND(RefiFlag=1,311&gt;RefiMonth,311&lt;=DispoMonth),1,0)</f>
        <v/>
      </c>
      <c r="LC43" s="17">
        <f>IF(AND(RefiFlag=1,312&gt;RefiMonth,312&lt;=DispoMonth),1,0)</f>
        <v/>
      </c>
      <c r="LD43" s="17">
        <f>IF(AND(RefiFlag=1,313&gt;RefiMonth,313&lt;=DispoMonth),1,0)</f>
        <v/>
      </c>
      <c r="LE43" s="17">
        <f>IF(AND(RefiFlag=1,314&gt;RefiMonth,314&lt;=DispoMonth),1,0)</f>
        <v/>
      </c>
      <c r="LF43" s="17">
        <f>IF(AND(RefiFlag=1,315&gt;RefiMonth,315&lt;=DispoMonth),1,0)</f>
        <v/>
      </c>
      <c r="LG43" s="17">
        <f>IF(AND(RefiFlag=1,316&gt;RefiMonth,316&lt;=DispoMonth),1,0)</f>
        <v/>
      </c>
      <c r="LH43" s="17">
        <f>IF(AND(RefiFlag=1,317&gt;RefiMonth,317&lt;=DispoMonth),1,0)</f>
        <v/>
      </c>
      <c r="LI43" s="17">
        <f>IF(AND(RefiFlag=1,318&gt;RefiMonth,318&lt;=DispoMonth),1,0)</f>
        <v/>
      </c>
      <c r="LJ43" s="17">
        <f>IF(AND(RefiFlag=1,319&gt;RefiMonth,319&lt;=DispoMonth),1,0)</f>
        <v/>
      </c>
      <c r="LK43" s="17">
        <f>IF(AND(RefiFlag=1,320&gt;RefiMonth,320&lt;=DispoMonth),1,0)</f>
        <v/>
      </c>
      <c r="LL43" s="17">
        <f>IF(AND(RefiFlag=1,321&gt;RefiMonth,321&lt;=DispoMonth),1,0)</f>
        <v/>
      </c>
      <c r="LM43" s="17">
        <f>IF(AND(RefiFlag=1,322&gt;RefiMonth,322&lt;=DispoMonth),1,0)</f>
        <v/>
      </c>
      <c r="LN43" s="17">
        <f>IF(AND(RefiFlag=1,323&gt;RefiMonth,323&lt;=DispoMonth),1,0)</f>
        <v/>
      </c>
      <c r="LO43" s="17">
        <f>IF(AND(RefiFlag=1,324&gt;RefiMonth,324&lt;=DispoMonth),1,0)</f>
        <v/>
      </c>
      <c r="LP43" s="17">
        <f>IF(AND(RefiFlag=1,325&gt;RefiMonth,325&lt;=DispoMonth),1,0)</f>
        <v/>
      </c>
      <c r="LQ43" s="17">
        <f>IF(AND(RefiFlag=1,326&gt;RefiMonth,326&lt;=DispoMonth),1,0)</f>
        <v/>
      </c>
      <c r="LR43" s="17">
        <f>IF(AND(RefiFlag=1,327&gt;RefiMonth,327&lt;=DispoMonth),1,0)</f>
        <v/>
      </c>
      <c r="LS43" s="17">
        <f>IF(AND(RefiFlag=1,328&gt;RefiMonth,328&lt;=DispoMonth),1,0)</f>
        <v/>
      </c>
      <c r="LT43" s="17">
        <f>IF(AND(RefiFlag=1,329&gt;RefiMonth,329&lt;=DispoMonth),1,0)</f>
        <v/>
      </c>
      <c r="LU43" s="17">
        <f>IF(AND(RefiFlag=1,330&gt;RefiMonth,330&lt;=DispoMonth),1,0)</f>
        <v/>
      </c>
      <c r="LV43" s="17">
        <f>IF(AND(RefiFlag=1,331&gt;RefiMonth,331&lt;=DispoMonth),1,0)</f>
        <v/>
      </c>
      <c r="LW43" s="17">
        <f>IF(AND(RefiFlag=1,332&gt;RefiMonth,332&lt;=DispoMonth),1,0)</f>
        <v/>
      </c>
      <c r="LX43" s="17">
        <f>IF(AND(RefiFlag=1,333&gt;RefiMonth,333&lt;=DispoMonth),1,0)</f>
        <v/>
      </c>
      <c r="LY43" s="17">
        <f>IF(AND(RefiFlag=1,334&gt;RefiMonth,334&lt;=DispoMonth),1,0)</f>
        <v/>
      </c>
      <c r="LZ43" s="17">
        <f>IF(AND(RefiFlag=1,335&gt;RefiMonth,335&lt;=DispoMonth),1,0)</f>
        <v/>
      </c>
      <c r="MA43" s="17">
        <f>IF(AND(RefiFlag=1,336&gt;RefiMonth,336&lt;=DispoMonth),1,0)</f>
        <v/>
      </c>
      <c r="MB43" s="17">
        <f>IF(AND(RefiFlag=1,337&gt;RefiMonth,337&lt;=DispoMonth),1,0)</f>
        <v/>
      </c>
      <c r="MC43" s="17">
        <f>IF(AND(RefiFlag=1,338&gt;RefiMonth,338&lt;=DispoMonth),1,0)</f>
        <v/>
      </c>
      <c r="MD43" s="17">
        <f>IF(AND(RefiFlag=1,339&gt;RefiMonth,339&lt;=DispoMonth),1,0)</f>
        <v/>
      </c>
      <c r="ME43" s="17">
        <f>IF(AND(RefiFlag=1,340&gt;RefiMonth,340&lt;=DispoMonth),1,0)</f>
        <v/>
      </c>
      <c r="MF43" s="17">
        <f>IF(AND(RefiFlag=1,341&gt;RefiMonth,341&lt;=DispoMonth),1,0)</f>
        <v/>
      </c>
      <c r="MG43" s="17">
        <f>IF(AND(RefiFlag=1,342&gt;RefiMonth,342&lt;=DispoMonth),1,0)</f>
        <v/>
      </c>
      <c r="MH43" s="17">
        <f>IF(AND(RefiFlag=1,343&gt;RefiMonth,343&lt;=DispoMonth),1,0)</f>
        <v/>
      </c>
      <c r="MI43" s="17">
        <f>IF(AND(RefiFlag=1,344&gt;RefiMonth,344&lt;=DispoMonth),1,0)</f>
        <v/>
      </c>
      <c r="MJ43" s="17">
        <f>IF(AND(RefiFlag=1,345&gt;RefiMonth,345&lt;=DispoMonth),1,0)</f>
        <v/>
      </c>
      <c r="MK43" s="17">
        <f>IF(AND(RefiFlag=1,346&gt;RefiMonth,346&lt;=DispoMonth),1,0)</f>
        <v/>
      </c>
      <c r="ML43" s="17">
        <f>IF(AND(RefiFlag=1,347&gt;RefiMonth,347&lt;=DispoMonth),1,0)</f>
        <v/>
      </c>
      <c r="MM43" s="17">
        <f>IF(AND(RefiFlag=1,348&gt;RefiMonth,348&lt;=DispoMonth),1,0)</f>
        <v/>
      </c>
      <c r="MN43" s="17">
        <f>IF(AND(RefiFlag=1,349&gt;RefiMonth,349&lt;=DispoMonth),1,0)</f>
        <v/>
      </c>
      <c r="MO43" s="17">
        <f>IF(AND(RefiFlag=1,350&gt;RefiMonth,350&lt;=DispoMonth),1,0)</f>
        <v/>
      </c>
      <c r="MP43" s="17">
        <f>IF(AND(RefiFlag=1,351&gt;RefiMonth,351&lt;=DispoMonth),1,0)</f>
        <v/>
      </c>
      <c r="MQ43" s="17">
        <f>IF(AND(RefiFlag=1,352&gt;RefiMonth,352&lt;=DispoMonth),1,0)</f>
        <v/>
      </c>
      <c r="MR43" s="17">
        <f>IF(AND(RefiFlag=1,353&gt;RefiMonth,353&lt;=DispoMonth),1,0)</f>
        <v/>
      </c>
      <c r="MS43" s="17">
        <f>IF(AND(RefiFlag=1,354&gt;RefiMonth,354&lt;=DispoMonth),1,0)</f>
        <v/>
      </c>
      <c r="MT43" s="17">
        <f>IF(AND(RefiFlag=1,355&gt;RefiMonth,355&lt;=DispoMonth),1,0)</f>
        <v/>
      </c>
      <c r="MU43" s="17">
        <f>IF(AND(RefiFlag=1,356&gt;RefiMonth,356&lt;=DispoMonth),1,0)</f>
        <v/>
      </c>
      <c r="MV43" s="17">
        <f>IF(AND(RefiFlag=1,357&gt;RefiMonth,357&lt;=DispoMonth),1,0)</f>
        <v/>
      </c>
      <c r="MW43" s="17">
        <f>IF(AND(RefiFlag=1,358&gt;RefiMonth,358&lt;=DispoMonth),1,0)</f>
        <v/>
      </c>
      <c r="MX43" s="17">
        <f>IF(AND(RefiFlag=1,359&gt;RefiMonth,359&lt;=DispoMonth),1,0)</f>
        <v/>
      </c>
      <c r="MY43" s="17">
        <f>IF(AND(RefiFlag=1,360&gt;RefiMonth,360&lt;=DispoMonth),1,0)</f>
        <v/>
      </c>
      <c r="MZ43" s="17">
        <f>IF(AND(RefiFlag=1,361&gt;RefiMonth,361&lt;=DispoMonth),1,0)</f>
        <v/>
      </c>
      <c r="NA43" s="17">
        <f>IF(AND(RefiFlag=1,362&gt;RefiMonth,362&lt;=DispoMonth),1,0)</f>
        <v/>
      </c>
      <c r="NB43" s="17">
        <f>IF(AND(RefiFlag=1,363&gt;RefiMonth,363&lt;=DispoMonth),1,0)</f>
        <v/>
      </c>
      <c r="NC43" s="17">
        <f>IF(AND(RefiFlag=1,364&gt;RefiMonth,364&lt;=DispoMonth),1,0)</f>
        <v/>
      </c>
      <c r="ND43" s="17">
        <f>IF(AND(RefiFlag=1,365&gt;RefiMonth,365&lt;=DispoMonth),1,0)</f>
        <v/>
      </c>
      <c r="NE43" s="17">
        <f>IF(AND(RefiFlag=1,366&gt;RefiMonth,366&lt;=DispoMonth),1,0)</f>
        <v/>
      </c>
      <c r="NF43" s="17">
        <f>IF(AND(RefiFlag=1,367&gt;RefiMonth,367&lt;=DispoMonth),1,0)</f>
        <v/>
      </c>
      <c r="NG43" s="17">
        <f>IF(AND(RefiFlag=1,368&gt;RefiMonth,368&lt;=DispoMonth),1,0)</f>
        <v/>
      </c>
      <c r="NH43" s="17">
        <f>IF(AND(RefiFlag=1,369&gt;RefiMonth,369&lt;=DispoMonth),1,0)</f>
        <v/>
      </c>
      <c r="NI43" s="17">
        <f>IF(AND(RefiFlag=1,370&gt;RefiMonth,370&lt;=DispoMonth),1,0)</f>
        <v/>
      </c>
      <c r="NJ43" s="17">
        <f>IF(AND(RefiFlag=1,371&gt;RefiMonth,371&lt;=DispoMonth),1,0)</f>
        <v/>
      </c>
      <c r="NK43" s="17">
        <f>IF(AND(RefiFlag=1,372&gt;RefiMonth,372&lt;=DispoMonth),1,0)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T4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Development Cost-Curve Engine — Monthly Spend by Line</t>
        </is>
      </c>
    </row>
    <row r="3">
      <c r="NM3" s="36" t="inlineStr">
        <is>
          <t>total</t>
        </is>
      </c>
      <c r="NN3" s="36" t="inlineStr">
        <is>
          <t>phase</t>
        </is>
      </c>
      <c r="NO3" s="36" t="inlineStr">
        <is>
          <t>curve</t>
        </is>
      </c>
      <c r="NP3" s="36" t="inlineStr">
        <is>
          <t>mod</t>
        </is>
      </c>
      <c r="NQ3" s="36" t="inlineStr">
        <is>
          <t>start</t>
        </is>
      </c>
      <c r="NR3" s="36" t="inlineStr">
        <is>
          <t>end</t>
        </is>
      </c>
      <c r="NS3" s="36" t="inlineStr">
        <is>
          <t>n</t>
        </is>
      </c>
      <c r="NT3" s="36" t="inlineStr">
        <is>
          <t>denom</t>
        </is>
      </c>
    </row>
    <row r="4">
      <c r="A4" s="36" t="inlineStr">
        <is>
          <t>Period →</t>
        </is>
      </c>
      <c r="C4" s="27" t="inlineStr">
        <is>
          <t>Total</t>
        </is>
      </c>
      <c r="D4" s="37" t="n">
        <v>1</v>
      </c>
      <c r="E4" s="37" t="n">
        <v>2</v>
      </c>
      <c r="F4" s="37" t="n">
        <v>3</v>
      </c>
      <c r="G4" s="37" t="n">
        <v>4</v>
      </c>
      <c r="H4" s="37" t="n">
        <v>5</v>
      </c>
      <c r="I4" s="37" t="n">
        <v>6</v>
      </c>
      <c r="J4" s="37" t="n">
        <v>7</v>
      </c>
      <c r="K4" s="37" t="n">
        <v>8</v>
      </c>
      <c r="L4" s="37" t="n">
        <v>9</v>
      </c>
      <c r="M4" s="37" t="n">
        <v>10</v>
      </c>
      <c r="N4" s="37" t="n">
        <v>11</v>
      </c>
      <c r="O4" s="37" t="n">
        <v>12</v>
      </c>
      <c r="P4" s="37" t="n">
        <v>13</v>
      </c>
      <c r="Q4" s="37" t="n">
        <v>14</v>
      </c>
      <c r="R4" s="37" t="n">
        <v>15</v>
      </c>
      <c r="S4" s="37" t="n">
        <v>16</v>
      </c>
      <c r="T4" s="37" t="n">
        <v>17</v>
      </c>
      <c r="U4" s="37" t="n">
        <v>18</v>
      </c>
      <c r="V4" s="37" t="n">
        <v>19</v>
      </c>
      <c r="W4" s="37" t="n">
        <v>20</v>
      </c>
      <c r="X4" s="37" t="n">
        <v>21</v>
      </c>
      <c r="Y4" s="37" t="n">
        <v>22</v>
      </c>
      <c r="Z4" s="37" t="n">
        <v>23</v>
      </c>
      <c r="AA4" s="37" t="n">
        <v>24</v>
      </c>
      <c r="AB4" s="37" t="n">
        <v>25</v>
      </c>
      <c r="AC4" s="37" t="n">
        <v>26</v>
      </c>
      <c r="AD4" s="37" t="n">
        <v>27</v>
      </c>
      <c r="AE4" s="37" t="n">
        <v>28</v>
      </c>
      <c r="AF4" s="37" t="n">
        <v>29</v>
      </c>
      <c r="AG4" s="37" t="n">
        <v>30</v>
      </c>
      <c r="AH4" s="37" t="n">
        <v>31</v>
      </c>
      <c r="AI4" s="37" t="n">
        <v>32</v>
      </c>
      <c r="AJ4" s="37" t="n">
        <v>33</v>
      </c>
      <c r="AK4" s="37" t="n">
        <v>34</v>
      </c>
      <c r="AL4" s="37" t="n">
        <v>35</v>
      </c>
      <c r="AM4" s="37" t="n">
        <v>36</v>
      </c>
      <c r="AN4" s="37" t="n">
        <v>37</v>
      </c>
      <c r="AO4" s="37" t="n">
        <v>38</v>
      </c>
      <c r="AP4" s="37" t="n">
        <v>39</v>
      </c>
      <c r="AQ4" s="37" t="n">
        <v>40</v>
      </c>
      <c r="AR4" s="37" t="n">
        <v>41</v>
      </c>
      <c r="AS4" s="37" t="n">
        <v>42</v>
      </c>
      <c r="AT4" s="37" t="n">
        <v>43</v>
      </c>
      <c r="AU4" s="37" t="n">
        <v>44</v>
      </c>
      <c r="AV4" s="37" t="n">
        <v>45</v>
      </c>
      <c r="AW4" s="37" t="n">
        <v>46</v>
      </c>
      <c r="AX4" s="37" t="n">
        <v>47</v>
      </c>
      <c r="AY4" s="37" t="n">
        <v>48</v>
      </c>
      <c r="AZ4" s="37" t="n">
        <v>49</v>
      </c>
      <c r="BA4" s="37" t="n">
        <v>50</v>
      </c>
      <c r="BB4" s="37" t="n">
        <v>51</v>
      </c>
      <c r="BC4" s="37" t="n">
        <v>52</v>
      </c>
      <c r="BD4" s="37" t="n">
        <v>53</v>
      </c>
      <c r="BE4" s="37" t="n">
        <v>54</v>
      </c>
      <c r="BF4" s="37" t="n">
        <v>55</v>
      </c>
      <c r="BG4" s="37" t="n">
        <v>56</v>
      </c>
      <c r="BH4" s="37" t="n">
        <v>57</v>
      </c>
      <c r="BI4" s="37" t="n">
        <v>58</v>
      </c>
      <c r="BJ4" s="37" t="n">
        <v>59</v>
      </c>
      <c r="BK4" s="37" t="n">
        <v>60</v>
      </c>
      <c r="BL4" s="37" t="n">
        <v>61</v>
      </c>
      <c r="BM4" s="37" t="n">
        <v>62</v>
      </c>
      <c r="BN4" s="37" t="n">
        <v>63</v>
      </c>
      <c r="BO4" s="37" t="n">
        <v>64</v>
      </c>
      <c r="BP4" s="37" t="n">
        <v>65</v>
      </c>
      <c r="BQ4" s="37" t="n">
        <v>66</v>
      </c>
      <c r="BR4" s="37" t="n">
        <v>67</v>
      </c>
      <c r="BS4" s="37" t="n">
        <v>68</v>
      </c>
      <c r="BT4" s="37" t="n">
        <v>69</v>
      </c>
      <c r="BU4" s="37" t="n">
        <v>70</v>
      </c>
      <c r="BV4" s="37" t="n">
        <v>71</v>
      </c>
      <c r="BW4" s="37" t="n">
        <v>72</v>
      </c>
      <c r="BX4" s="37" t="n">
        <v>73</v>
      </c>
      <c r="BY4" s="37" t="n">
        <v>74</v>
      </c>
      <c r="BZ4" s="37" t="n">
        <v>75</v>
      </c>
      <c r="CA4" s="37" t="n">
        <v>76</v>
      </c>
      <c r="CB4" s="37" t="n">
        <v>77</v>
      </c>
      <c r="CC4" s="37" t="n">
        <v>78</v>
      </c>
      <c r="CD4" s="37" t="n">
        <v>79</v>
      </c>
      <c r="CE4" s="37" t="n">
        <v>80</v>
      </c>
      <c r="CF4" s="37" t="n">
        <v>81</v>
      </c>
      <c r="CG4" s="37" t="n">
        <v>82</v>
      </c>
      <c r="CH4" s="37" t="n">
        <v>83</v>
      </c>
      <c r="CI4" s="37" t="n">
        <v>84</v>
      </c>
      <c r="CJ4" s="37" t="n">
        <v>85</v>
      </c>
      <c r="CK4" s="37" t="n">
        <v>86</v>
      </c>
      <c r="CL4" s="37" t="n">
        <v>87</v>
      </c>
      <c r="CM4" s="37" t="n">
        <v>88</v>
      </c>
      <c r="CN4" s="37" t="n">
        <v>89</v>
      </c>
      <c r="CO4" s="37" t="n">
        <v>90</v>
      </c>
      <c r="CP4" s="37" t="n">
        <v>91</v>
      </c>
      <c r="CQ4" s="37" t="n">
        <v>92</v>
      </c>
      <c r="CR4" s="37" t="n">
        <v>93</v>
      </c>
      <c r="CS4" s="37" t="n">
        <v>94</v>
      </c>
      <c r="CT4" s="37" t="n">
        <v>95</v>
      </c>
      <c r="CU4" s="37" t="n">
        <v>96</v>
      </c>
      <c r="CV4" s="37" t="n">
        <v>97</v>
      </c>
      <c r="CW4" s="37" t="n">
        <v>98</v>
      </c>
      <c r="CX4" s="37" t="n">
        <v>99</v>
      </c>
      <c r="CY4" s="37" t="n">
        <v>100</v>
      </c>
      <c r="CZ4" s="37" t="n">
        <v>101</v>
      </c>
      <c r="DA4" s="37" t="n">
        <v>102</v>
      </c>
      <c r="DB4" s="37" t="n">
        <v>103</v>
      </c>
      <c r="DC4" s="37" t="n">
        <v>104</v>
      </c>
      <c r="DD4" s="37" t="n">
        <v>105</v>
      </c>
      <c r="DE4" s="37" t="n">
        <v>106</v>
      </c>
      <c r="DF4" s="37" t="n">
        <v>107</v>
      </c>
      <c r="DG4" s="37" t="n">
        <v>108</v>
      </c>
      <c r="DH4" s="37" t="n">
        <v>109</v>
      </c>
      <c r="DI4" s="37" t="n">
        <v>110</v>
      </c>
      <c r="DJ4" s="37" t="n">
        <v>111</v>
      </c>
      <c r="DK4" s="37" t="n">
        <v>112</v>
      </c>
      <c r="DL4" s="37" t="n">
        <v>113</v>
      </c>
      <c r="DM4" s="37" t="n">
        <v>114</v>
      </c>
      <c r="DN4" s="37" t="n">
        <v>115</v>
      </c>
      <c r="DO4" s="37" t="n">
        <v>116</v>
      </c>
      <c r="DP4" s="37" t="n">
        <v>117</v>
      </c>
      <c r="DQ4" s="37" t="n">
        <v>118</v>
      </c>
      <c r="DR4" s="37" t="n">
        <v>119</v>
      </c>
      <c r="DS4" s="37" t="n">
        <v>120</v>
      </c>
      <c r="DT4" s="37" t="n">
        <v>121</v>
      </c>
      <c r="DU4" s="37" t="n">
        <v>122</v>
      </c>
      <c r="DV4" s="37" t="n">
        <v>123</v>
      </c>
      <c r="DW4" s="37" t="n">
        <v>124</v>
      </c>
      <c r="DX4" s="37" t="n">
        <v>125</v>
      </c>
      <c r="DY4" s="37" t="n">
        <v>126</v>
      </c>
      <c r="DZ4" s="37" t="n">
        <v>127</v>
      </c>
      <c r="EA4" s="37" t="n">
        <v>128</v>
      </c>
      <c r="EB4" s="37" t="n">
        <v>129</v>
      </c>
      <c r="EC4" s="37" t="n">
        <v>130</v>
      </c>
      <c r="ED4" s="37" t="n">
        <v>131</v>
      </c>
      <c r="EE4" s="37" t="n">
        <v>132</v>
      </c>
      <c r="EF4" s="37" t="n">
        <v>133</v>
      </c>
      <c r="EG4" s="37" t="n">
        <v>134</v>
      </c>
      <c r="EH4" s="37" t="n">
        <v>135</v>
      </c>
      <c r="EI4" s="37" t="n">
        <v>136</v>
      </c>
      <c r="EJ4" s="37" t="n">
        <v>137</v>
      </c>
      <c r="EK4" s="37" t="n">
        <v>138</v>
      </c>
      <c r="EL4" s="37" t="n">
        <v>139</v>
      </c>
      <c r="EM4" s="37" t="n">
        <v>140</v>
      </c>
      <c r="EN4" s="37" t="n">
        <v>141</v>
      </c>
      <c r="EO4" s="37" t="n">
        <v>142</v>
      </c>
      <c r="EP4" s="37" t="n">
        <v>143</v>
      </c>
      <c r="EQ4" s="37" t="n">
        <v>144</v>
      </c>
      <c r="ER4" s="37" t="n">
        <v>145</v>
      </c>
      <c r="ES4" s="37" t="n">
        <v>146</v>
      </c>
      <c r="ET4" s="37" t="n">
        <v>147</v>
      </c>
      <c r="EU4" s="37" t="n">
        <v>148</v>
      </c>
      <c r="EV4" s="37" t="n">
        <v>149</v>
      </c>
      <c r="EW4" s="37" t="n">
        <v>150</v>
      </c>
      <c r="EX4" s="37" t="n">
        <v>151</v>
      </c>
      <c r="EY4" s="37" t="n">
        <v>152</v>
      </c>
      <c r="EZ4" s="37" t="n">
        <v>153</v>
      </c>
      <c r="FA4" s="37" t="n">
        <v>154</v>
      </c>
      <c r="FB4" s="37" t="n">
        <v>155</v>
      </c>
      <c r="FC4" s="37" t="n">
        <v>156</v>
      </c>
      <c r="FD4" s="37" t="n">
        <v>157</v>
      </c>
      <c r="FE4" s="37" t="n">
        <v>158</v>
      </c>
      <c r="FF4" s="37" t="n">
        <v>159</v>
      </c>
      <c r="FG4" s="37" t="n">
        <v>160</v>
      </c>
      <c r="FH4" s="37" t="n">
        <v>161</v>
      </c>
      <c r="FI4" s="37" t="n">
        <v>162</v>
      </c>
      <c r="FJ4" s="37" t="n">
        <v>163</v>
      </c>
      <c r="FK4" s="37" t="n">
        <v>164</v>
      </c>
      <c r="FL4" s="37" t="n">
        <v>165</v>
      </c>
      <c r="FM4" s="37" t="n">
        <v>166</v>
      </c>
      <c r="FN4" s="37" t="n">
        <v>167</v>
      </c>
      <c r="FO4" s="37" t="n">
        <v>168</v>
      </c>
      <c r="FP4" s="37" t="n">
        <v>169</v>
      </c>
      <c r="FQ4" s="37" t="n">
        <v>170</v>
      </c>
      <c r="FR4" s="37" t="n">
        <v>171</v>
      </c>
      <c r="FS4" s="37" t="n">
        <v>172</v>
      </c>
      <c r="FT4" s="37" t="n">
        <v>173</v>
      </c>
      <c r="FU4" s="37" t="n">
        <v>174</v>
      </c>
      <c r="FV4" s="37" t="n">
        <v>175</v>
      </c>
      <c r="FW4" s="37" t="n">
        <v>176</v>
      </c>
      <c r="FX4" s="37" t="n">
        <v>177</v>
      </c>
      <c r="FY4" s="37" t="n">
        <v>178</v>
      </c>
      <c r="FZ4" s="37" t="n">
        <v>179</v>
      </c>
      <c r="GA4" s="37" t="n">
        <v>180</v>
      </c>
      <c r="GB4" s="37" t="n">
        <v>181</v>
      </c>
      <c r="GC4" s="37" t="n">
        <v>182</v>
      </c>
      <c r="GD4" s="37" t="n">
        <v>183</v>
      </c>
      <c r="GE4" s="37" t="n">
        <v>184</v>
      </c>
      <c r="GF4" s="37" t="n">
        <v>185</v>
      </c>
      <c r="GG4" s="37" t="n">
        <v>186</v>
      </c>
      <c r="GH4" s="37" t="n">
        <v>187</v>
      </c>
      <c r="GI4" s="37" t="n">
        <v>188</v>
      </c>
      <c r="GJ4" s="37" t="n">
        <v>189</v>
      </c>
      <c r="GK4" s="37" t="n">
        <v>190</v>
      </c>
      <c r="GL4" s="37" t="n">
        <v>191</v>
      </c>
      <c r="GM4" s="37" t="n">
        <v>192</v>
      </c>
      <c r="GN4" s="37" t="n">
        <v>193</v>
      </c>
      <c r="GO4" s="37" t="n">
        <v>194</v>
      </c>
      <c r="GP4" s="37" t="n">
        <v>195</v>
      </c>
      <c r="GQ4" s="37" t="n">
        <v>196</v>
      </c>
      <c r="GR4" s="37" t="n">
        <v>197</v>
      </c>
      <c r="GS4" s="37" t="n">
        <v>198</v>
      </c>
      <c r="GT4" s="37" t="n">
        <v>199</v>
      </c>
      <c r="GU4" s="37" t="n">
        <v>200</v>
      </c>
      <c r="GV4" s="37" t="n">
        <v>201</v>
      </c>
      <c r="GW4" s="37" t="n">
        <v>202</v>
      </c>
      <c r="GX4" s="37" t="n">
        <v>203</v>
      </c>
      <c r="GY4" s="37" t="n">
        <v>204</v>
      </c>
      <c r="GZ4" s="37" t="n">
        <v>205</v>
      </c>
      <c r="HA4" s="37" t="n">
        <v>206</v>
      </c>
      <c r="HB4" s="37" t="n">
        <v>207</v>
      </c>
      <c r="HC4" s="37" t="n">
        <v>208</v>
      </c>
      <c r="HD4" s="37" t="n">
        <v>209</v>
      </c>
      <c r="HE4" s="37" t="n">
        <v>210</v>
      </c>
      <c r="HF4" s="37" t="n">
        <v>211</v>
      </c>
      <c r="HG4" s="37" t="n">
        <v>212</v>
      </c>
      <c r="HH4" s="37" t="n">
        <v>213</v>
      </c>
      <c r="HI4" s="37" t="n">
        <v>214</v>
      </c>
      <c r="HJ4" s="37" t="n">
        <v>215</v>
      </c>
      <c r="HK4" s="37" t="n">
        <v>216</v>
      </c>
      <c r="HL4" s="37" t="n">
        <v>217</v>
      </c>
      <c r="HM4" s="37" t="n">
        <v>218</v>
      </c>
      <c r="HN4" s="37" t="n">
        <v>219</v>
      </c>
      <c r="HO4" s="37" t="n">
        <v>220</v>
      </c>
      <c r="HP4" s="37" t="n">
        <v>221</v>
      </c>
      <c r="HQ4" s="37" t="n">
        <v>222</v>
      </c>
      <c r="HR4" s="37" t="n">
        <v>223</v>
      </c>
      <c r="HS4" s="37" t="n">
        <v>224</v>
      </c>
      <c r="HT4" s="37" t="n">
        <v>225</v>
      </c>
      <c r="HU4" s="37" t="n">
        <v>226</v>
      </c>
      <c r="HV4" s="37" t="n">
        <v>227</v>
      </c>
      <c r="HW4" s="37" t="n">
        <v>228</v>
      </c>
      <c r="HX4" s="37" t="n">
        <v>229</v>
      </c>
      <c r="HY4" s="37" t="n">
        <v>230</v>
      </c>
      <c r="HZ4" s="37" t="n">
        <v>231</v>
      </c>
      <c r="IA4" s="37" t="n">
        <v>232</v>
      </c>
      <c r="IB4" s="37" t="n">
        <v>233</v>
      </c>
      <c r="IC4" s="37" t="n">
        <v>234</v>
      </c>
      <c r="ID4" s="37" t="n">
        <v>235</v>
      </c>
      <c r="IE4" s="37" t="n">
        <v>236</v>
      </c>
      <c r="IF4" s="37" t="n">
        <v>237</v>
      </c>
      <c r="IG4" s="37" t="n">
        <v>238</v>
      </c>
      <c r="IH4" s="37" t="n">
        <v>239</v>
      </c>
      <c r="II4" s="37" t="n">
        <v>240</v>
      </c>
      <c r="IJ4" s="37" t="n">
        <v>241</v>
      </c>
      <c r="IK4" s="37" t="n">
        <v>242</v>
      </c>
      <c r="IL4" s="37" t="n">
        <v>243</v>
      </c>
      <c r="IM4" s="37" t="n">
        <v>244</v>
      </c>
      <c r="IN4" s="37" t="n">
        <v>245</v>
      </c>
      <c r="IO4" s="37" t="n">
        <v>246</v>
      </c>
      <c r="IP4" s="37" t="n">
        <v>247</v>
      </c>
      <c r="IQ4" s="37" t="n">
        <v>248</v>
      </c>
      <c r="IR4" s="37" t="n">
        <v>249</v>
      </c>
      <c r="IS4" s="37" t="n">
        <v>250</v>
      </c>
      <c r="IT4" s="37" t="n">
        <v>251</v>
      </c>
      <c r="IU4" s="37" t="n">
        <v>252</v>
      </c>
      <c r="IV4" s="37" t="n">
        <v>253</v>
      </c>
      <c r="IW4" s="37" t="n">
        <v>254</v>
      </c>
      <c r="IX4" s="37" t="n">
        <v>255</v>
      </c>
      <c r="IY4" s="37" t="n">
        <v>256</v>
      </c>
      <c r="IZ4" s="37" t="n">
        <v>257</v>
      </c>
      <c r="JA4" s="37" t="n">
        <v>258</v>
      </c>
      <c r="JB4" s="37" t="n">
        <v>259</v>
      </c>
      <c r="JC4" s="37" t="n">
        <v>260</v>
      </c>
      <c r="JD4" s="37" t="n">
        <v>261</v>
      </c>
      <c r="JE4" s="37" t="n">
        <v>262</v>
      </c>
      <c r="JF4" s="37" t="n">
        <v>263</v>
      </c>
      <c r="JG4" s="37" t="n">
        <v>264</v>
      </c>
      <c r="JH4" s="37" t="n">
        <v>265</v>
      </c>
      <c r="JI4" s="37" t="n">
        <v>266</v>
      </c>
      <c r="JJ4" s="37" t="n">
        <v>267</v>
      </c>
      <c r="JK4" s="37" t="n">
        <v>268</v>
      </c>
      <c r="JL4" s="37" t="n">
        <v>269</v>
      </c>
      <c r="JM4" s="37" t="n">
        <v>270</v>
      </c>
      <c r="JN4" s="37" t="n">
        <v>271</v>
      </c>
      <c r="JO4" s="37" t="n">
        <v>272</v>
      </c>
      <c r="JP4" s="37" t="n">
        <v>273</v>
      </c>
      <c r="JQ4" s="37" t="n">
        <v>274</v>
      </c>
      <c r="JR4" s="37" t="n">
        <v>275</v>
      </c>
      <c r="JS4" s="37" t="n">
        <v>276</v>
      </c>
      <c r="JT4" s="37" t="n">
        <v>277</v>
      </c>
      <c r="JU4" s="37" t="n">
        <v>278</v>
      </c>
      <c r="JV4" s="37" t="n">
        <v>279</v>
      </c>
      <c r="JW4" s="37" t="n">
        <v>280</v>
      </c>
      <c r="JX4" s="37" t="n">
        <v>281</v>
      </c>
      <c r="JY4" s="37" t="n">
        <v>282</v>
      </c>
      <c r="JZ4" s="37" t="n">
        <v>283</v>
      </c>
      <c r="KA4" s="37" t="n">
        <v>284</v>
      </c>
      <c r="KB4" s="37" t="n">
        <v>285</v>
      </c>
      <c r="KC4" s="37" t="n">
        <v>286</v>
      </c>
      <c r="KD4" s="37" t="n">
        <v>287</v>
      </c>
      <c r="KE4" s="37" t="n">
        <v>288</v>
      </c>
      <c r="KF4" s="37" t="n">
        <v>289</v>
      </c>
      <c r="KG4" s="37" t="n">
        <v>290</v>
      </c>
      <c r="KH4" s="37" t="n">
        <v>291</v>
      </c>
      <c r="KI4" s="37" t="n">
        <v>292</v>
      </c>
      <c r="KJ4" s="37" t="n">
        <v>293</v>
      </c>
      <c r="KK4" s="37" t="n">
        <v>294</v>
      </c>
      <c r="KL4" s="37" t="n">
        <v>295</v>
      </c>
      <c r="KM4" s="37" t="n">
        <v>296</v>
      </c>
      <c r="KN4" s="37" t="n">
        <v>297</v>
      </c>
      <c r="KO4" s="37" t="n">
        <v>298</v>
      </c>
      <c r="KP4" s="37" t="n">
        <v>299</v>
      </c>
      <c r="KQ4" s="37" t="n">
        <v>300</v>
      </c>
      <c r="KR4" s="37" t="n">
        <v>301</v>
      </c>
      <c r="KS4" s="37" t="n">
        <v>302</v>
      </c>
      <c r="KT4" s="37" t="n">
        <v>303</v>
      </c>
      <c r="KU4" s="37" t="n">
        <v>304</v>
      </c>
      <c r="KV4" s="37" t="n">
        <v>305</v>
      </c>
      <c r="KW4" s="37" t="n">
        <v>306</v>
      </c>
      <c r="KX4" s="37" t="n">
        <v>307</v>
      </c>
      <c r="KY4" s="37" t="n">
        <v>308</v>
      </c>
      <c r="KZ4" s="37" t="n">
        <v>309</v>
      </c>
      <c r="LA4" s="37" t="n">
        <v>310</v>
      </c>
      <c r="LB4" s="37" t="n">
        <v>311</v>
      </c>
      <c r="LC4" s="37" t="n">
        <v>312</v>
      </c>
      <c r="LD4" s="37" t="n">
        <v>313</v>
      </c>
      <c r="LE4" s="37" t="n">
        <v>314</v>
      </c>
      <c r="LF4" s="37" t="n">
        <v>315</v>
      </c>
      <c r="LG4" s="37" t="n">
        <v>316</v>
      </c>
      <c r="LH4" s="37" t="n">
        <v>317</v>
      </c>
      <c r="LI4" s="37" t="n">
        <v>318</v>
      </c>
      <c r="LJ4" s="37" t="n">
        <v>319</v>
      </c>
      <c r="LK4" s="37" t="n">
        <v>320</v>
      </c>
      <c r="LL4" s="37" t="n">
        <v>321</v>
      </c>
      <c r="LM4" s="37" t="n">
        <v>322</v>
      </c>
      <c r="LN4" s="37" t="n">
        <v>323</v>
      </c>
      <c r="LO4" s="37" t="n">
        <v>324</v>
      </c>
      <c r="LP4" s="37" t="n">
        <v>325</v>
      </c>
      <c r="LQ4" s="37" t="n">
        <v>326</v>
      </c>
      <c r="LR4" s="37" t="n">
        <v>327</v>
      </c>
      <c r="LS4" s="37" t="n">
        <v>328</v>
      </c>
      <c r="LT4" s="37" t="n">
        <v>329</v>
      </c>
      <c r="LU4" s="37" t="n">
        <v>330</v>
      </c>
      <c r="LV4" s="37" t="n">
        <v>331</v>
      </c>
      <c r="LW4" s="37" t="n">
        <v>332</v>
      </c>
      <c r="LX4" s="37" t="n">
        <v>333</v>
      </c>
      <c r="LY4" s="37" t="n">
        <v>334</v>
      </c>
      <c r="LZ4" s="37" t="n">
        <v>335</v>
      </c>
      <c r="MA4" s="37" t="n">
        <v>336</v>
      </c>
      <c r="MB4" s="37" t="n">
        <v>337</v>
      </c>
      <c r="MC4" s="37" t="n">
        <v>338</v>
      </c>
      <c r="MD4" s="37" t="n">
        <v>339</v>
      </c>
      <c r="ME4" s="37" t="n">
        <v>340</v>
      </c>
      <c r="MF4" s="37" t="n">
        <v>341</v>
      </c>
      <c r="MG4" s="37" t="n">
        <v>342</v>
      </c>
      <c r="MH4" s="37" t="n">
        <v>343</v>
      </c>
      <c r="MI4" s="37" t="n">
        <v>344</v>
      </c>
      <c r="MJ4" s="37" t="n">
        <v>345</v>
      </c>
      <c r="MK4" s="37" t="n">
        <v>346</v>
      </c>
      <c r="ML4" s="37" t="n">
        <v>347</v>
      </c>
      <c r="MM4" s="37" t="n">
        <v>348</v>
      </c>
      <c r="MN4" s="37" t="n">
        <v>349</v>
      </c>
      <c r="MO4" s="37" t="n">
        <v>350</v>
      </c>
      <c r="MP4" s="37" t="n">
        <v>351</v>
      </c>
      <c r="MQ4" s="37" t="n">
        <v>352</v>
      </c>
      <c r="MR4" s="37" t="n">
        <v>353</v>
      </c>
      <c r="MS4" s="37" t="n">
        <v>354</v>
      </c>
      <c r="MT4" s="37" t="n">
        <v>355</v>
      </c>
      <c r="MU4" s="37" t="n">
        <v>356</v>
      </c>
      <c r="MV4" s="37" t="n">
        <v>357</v>
      </c>
      <c r="MW4" s="37" t="n">
        <v>358</v>
      </c>
      <c r="MX4" s="37" t="n">
        <v>359</v>
      </c>
      <c r="MY4" s="37" t="n">
        <v>360</v>
      </c>
      <c r="MZ4" s="37" t="n">
        <v>361</v>
      </c>
      <c r="NA4" s="37" t="n">
        <v>362</v>
      </c>
      <c r="NB4" s="37" t="n">
        <v>363</v>
      </c>
      <c r="NC4" s="37" t="n">
        <v>364</v>
      </c>
      <c r="ND4" s="37" t="n">
        <v>365</v>
      </c>
      <c r="NE4" s="37" t="n">
        <v>366</v>
      </c>
      <c r="NF4" s="37" t="n">
        <v>367</v>
      </c>
      <c r="NG4" s="37" t="n">
        <v>368</v>
      </c>
      <c r="NH4" s="37" t="n">
        <v>369</v>
      </c>
      <c r="NI4" s="37" t="n">
        <v>370</v>
      </c>
      <c r="NJ4" s="37" t="n">
        <v>371</v>
      </c>
      <c r="NK4" s="37" t="n">
        <v>372</v>
      </c>
    </row>
    <row r="5">
      <c r="A5" s="38" t="inlineStr">
        <is>
          <t>Month Start</t>
        </is>
      </c>
      <c r="D5" s="39">
        <f>EDATE(InceptionDate,0)</f>
        <v/>
      </c>
      <c r="E5" s="39">
        <f>EDATE(InceptionDate,1)</f>
        <v/>
      </c>
      <c r="F5" s="39">
        <f>EDATE(InceptionDate,2)</f>
        <v/>
      </c>
      <c r="G5" s="39">
        <f>EDATE(InceptionDate,3)</f>
        <v/>
      </c>
      <c r="H5" s="39">
        <f>EDATE(InceptionDate,4)</f>
        <v/>
      </c>
      <c r="I5" s="39">
        <f>EDATE(InceptionDate,5)</f>
        <v/>
      </c>
      <c r="J5" s="39">
        <f>EDATE(InceptionDate,6)</f>
        <v/>
      </c>
      <c r="K5" s="39">
        <f>EDATE(InceptionDate,7)</f>
        <v/>
      </c>
      <c r="L5" s="39">
        <f>EDATE(InceptionDate,8)</f>
        <v/>
      </c>
      <c r="M5" s="39">
        <f>EDATE(InceptionDate,9)</f>
        <v/>
      </c>
      <c r="N5" s="39">
        <f>EDATE(InceptionDate,10)</f>
        <v/>
      </c>
      <c r="O5" s="39">
        <f>EDATE(InceptionDate,11)</f>
        <v/>
      </c>
      <c r="P5" s="39">
        <f>EDATE(InceptionDate,12)</f>
        <v/>
      </c>
      <c r="Q5" s="39">
        <f>EDATE(InceptionDate,13)</f>
        <v/>
      </c>
      <c r="R5" s="39">
        <f>EDATE(InceptionDate,14)</f>
        <v/>
      </c>
      <c r="S5" s="39">
        <f>EDATE(InceptionDate,15)</f>
        <v/>
      </c>
      <c r="T5" s="39">
        <f>EDATE(InceptionDate,16)</f>
        <v/>
      </c>
      <c r="U5" s="39">
        <f>EDATE(InceptionDate,17)</f>
        <v/>
      </c>
      <c r="V5" s="39">
        <f>EDATE(InceptionDate,18)</f>
        <v/>
      </c>
      <c r="W5" s="39">
        <f>EDATE(InceptionDate,19)</f>
        <v/>
      </c>
      <c r="X5" s="39">
        <f>EDATE(InceptionDate,20)</f>
        <v/>
      </c>
      <c r="Y5" s="39">
        <f>EDATE(InceptionDate,21)</f>
        <v/>
      </c>
      <c r="Z5" s="39">
        <f>EDATE(InceptionDate,22)</f>
        <v/>
      </c>
      <c r="AA5" s="39">
        <f>EDATE(InceptionDate,23)</f>
        <v/>
      </c>
      <c r="AB5" s="39">
        <f>EDATE(InceptionDate,24)</f>
        <v/>
      </c>
      <c r="AC5" s="39">
        <f>EDATE(InceptionDate,25)</f>
        <v/>
      </c>
      <c r="AD5" s="39">
        <f>EDATE(InceptionDate,26)</f>
        <v/>
      </c>
      <c r="AE5" s="39">
        <f>EDATE(InceptionDate,27)</f>
        <v/>
      </c>
      <c r="AF5" s="39">
        <f>EDATE(InceptionDate,28)</f>
        <v/>
      </c>
      <c r="AG5" s="39">
        <f>EDATE(InceptionDate,29)</f>
        <v/>
      </c>
      <c r="AH5" s="39">
        <f>EDATE(InceptionDate,30)</f>
        <v/>
      </c>
      <c r="AI5" s="39">
        <f>EDATE(InceptionDate,31)</f>
        <v/>
      </c>
      <c r="AJ5" s="39">
        <f>EDATE(InceptionDate,32)</f>
        <v/>
      </c>
      <c r="AK5" s="39">
        <f>EDATE(InceptionDate,33)</f>
        <v/>
      </c>
      <c r="AL5" s="39">
        <f>EDATE(InceptionDate,34)</f>
        <v/>
      </c>
      <c r="AM5" s="39">
        <f>EDATE(InceptionDate,35)</f>
        <v/>
      </c>
      <c r="AN5" s="39">
        <f>EDATE(InceptionDate,36)</f>
        <v/>
      </c>
      <c r="AO5" s="39">
        <f>EDATE(InceptionDate,37)</f>
        <v/>
      </c>
      <c r="AP5" s="39">
        <f>EDATE(InceptionDate,38)</f>
        <v/>
      </c>
      <c r="AQ5" s="39">
        <f>EDATE(InceptionDate,39)</f>
        <v/>
      </c>
      <c r="AR5" s="39">
        <f>EDATE(InceptionDate,40)</f>
        <v/>
      </c>
      <c r="AS5" s="39">
        <f>EDATE(InceptionDate,41)</f>
        <v/>
      </c>
      <c r="AT5" s="39">
        <f>EDATE(InceptionDate,42)</f>
        <v/>
      </c>
      <c r="AU5" s="39">
        <f>EDATE(InceptionDate,43)</f>
        <v/>
      </c>
      <c r="AV5" s="39">
        <f>EDATE(InceptionDate,44)</f>
        <v/>
      </c>
      <c r="AW5" s="39">
        <f>EDATE(InceptionDate,45)</f>
        <v/>
      </c>
      <c r="AX5" s="39">
        <f>EDATE(InceptionDate,46)</f>
        <v/>
      </c>
      <c r="AY5" s="39">
        <f>EDATE(InceptionDate,47)</f>
        <v/>
      </c>
      <c r="AZ5" s="39">
        <f>EDATE(InceptionDate,48)</f>
        <v/>
      </c>
      <c r="BA5" s="39">
        <f>EDATE(InceptionDate,49)</f>
        <v/>
      </c>
      <c r="BB5" s="39">
        <f>EDATE(InceptionDate,50)</f>
        <v/>
      </c>
      <c r="BC5" s="39">
        <f>EDATE(InceptionDate,51)</f>
        <v/>
      </c>
      <c r="BD5" s="39">
        <f>EDATE(InceptionDate,52)</f>
        <v/>
      </c>
      <c r="BE5" s="39">
        <f>EDATE(InceptionDate,53)</f>
        <v/>
      </c>
      <c r="BF5" s="39">
        <f>EDATE(InceptionDate,54)</f>
        <v/>
      </c>
      <c r="BG5" s="39">
        <f>EDATE(InceptionDate,55)</f>
        <v/>
      </c>
      <c r="BH5" s="39">
        <f>EDATE(InceptionDate,56)</f>
        <v/>
      </c>
      <c r="BI5" s="39">
        <f>EDATE(InceptionDate,57)</f>
        <v/>
      </c>
      <c r="BJ5" s="39">
        <f>EDATE(InceptionDate,58)</f>
        <v/>
      </c>
      <c r="BK5" s="39">
        <f>EDATE(InceptionDate,59)</f>
        <v/>
      </c>
      <c r="BL5" s="39">
        <f>EDATE(InceptionDate,60)</f>
        <v/>
      </c>
      <c r="BM5" s="39">
        <f>EDATE(InceptionDate,61)</f>
        <v/>
      </c>
      <c r="BN5" s="39">
        <f>EDATE(InceptionDate,62)</f>
        <v/>
      </c>
      <c r="BO5" s="39">
        <f>EDATE(InceptionDate,63)</f>
        <v/>
      </c>
      <c r="BP5" s="39">
        <f>EDATE(InceptionDate,64)</f>
        <v/>
      </c>
      <c r="BQ5" s="39">
        <f>EDATE(InceptionDate,65)</f>
        <v/>
      </c>
      <c r="BR5" s="39">
        <f>EDATE(InceptionDate,66)</f>
        <v/>
      </c>
      <c r="BS5" s="39">
        <f>EDATE(InceptionDate,67)</f>
        <v/>
      </c>
      <c r="BT5" s="39">
        <f>EDATE(InceptionDate,68)</f>
        <v/>
      </c>
      <c r="BU5" s="39">
        <f>EDATE(InceptionDate,69)</f>
        <v/>
      </c>
      <c r="BV5" s="39">
        <f>EDATE(InceptionDate,70)</f>
        <v/>
      </c>
      <c r="BW5" s="39">
        <f>EDATE(InceptionDate,71)</f>
        <v/>
      </c>
      <c r="BX5" s="39">
        <f>EDATE(InceptionDate,72)</f>
        <v/>
      </c>
      <c r="BY5" s="39">
        <f>EDATE(InceptionDate,73)</f>
        <v/>
      </c>
      <c r="BZ5" s="39">
        <f>EDATE(InceptionDate,74)</f>
        <v/>
      </c>
      <c r="CA5" s="39">
        <f>EDATE(InceptionDate,75)</f>
        <v/>
      </c>
      <c r="CB5" s="39">
        <f>EDATE(InceptionDate,76)</f>
        <v/>
      </c>
      <c r="CC5" s="39">
        <f>EDATE(InceptionDate,77)</f>
        <v/>
      </c>
      <c r="CD5" s="39">
        <f>EDATE(InceptionDate,78)</f>
        <v/>
      </c>
      <c r="CE5" s="39">
        <f>EDATE(InceptionDate,79)</f>
        <v/>
      </c>
      <c r="CF5" s="39">
        <f>EDATE(InceptionDate,80)</f>
        <v/>
      </c>
      <c r="CG5" s="39">
        <f>EDATE(InceptionDate,81)</f>
        <v/>
      </c>
      <c r="CH5" s="39">
        <f>EDATE(InceptionDate,82)</f>
        <v/>
      </c>
      <c r="CI5" s="39">
        <f>EDATE(InceptionDate,83)</f>
        <v/>
      </c>
      <c r="CJ5" s="39">
        <f>EDATE(InceptionDate,84)</f>
        <v/>
      </c>
      <c r="CK5" s="39">
        <f>EDATE(InceptionDate,85)</f>
        <v/>
      </c>
      <c r="CL5" s="39">
        <f>EDATE(InceptionDate,86)</f>
        <v/>
      </c>
      <c r="CM5" s="39">
        <f>EDATE(InceptionDate,87)</f>
        <v/>
      </c>
      <c r="CN5" s="39">
        <f>EDATE(InceptionDate,88)</f>
        <v/>
      </c>
      <c r="CO5" s="39">
        <f>EDATE(InceptionDate,89)</f>
        <v/>
      </c>
      <c r="CP5" s="39">
        <f>EDATE(InceptionDate,90)</f>
        <v/>
      </c>
      <c r="CQ5" s="39">
        <f>EDATE(InceptionDate,91)</f>
        <v/>
      </c>
      <c r="CR5" s="39">
        <f>EDATE(InceptionDate,92)</f>
        <v/>
      </c>
      <c r="CS5" s="39">
        <f>EDATE(InceptionDate,93)</f>
        <v/>
      </c>
      <c r="CT5" s="39">
        <f>EDATE(InceptionDate,94)</f>
        <v/>
      </c>
      <c r="CU5" s="39">
        <f>EDATE(InceptionDate,95)</f>
        <v/>
      </c>
      <c r="CV5" s="39">
        <f>EDATE(InceptionDate,96)</f>
        <v/>
      </c>
      <c r="CW5" s="39">
        <f>EDATE(InceptionDate,97)</f>
        <v/>
      </c>
      <c r="CX5" s="39">
        <f>EDATE(InceptionDate,98)</f>
        <v/>
      </c>
      <c r="CY5" s="39">
        <f>EDATE(InceptionDate,99)</f>
        <v/>
      </c>
      <c r="CZ5" s="39">
        <f>EDATE(InceptionDate,100)</f>
        <v/>
      </c>
      <c r="DA5" s="39">
        <f>EDATE(InceptionDate,101)</f>
        <v/>
      </c>
      <c r="DB5" s="39">
        <f>EDATE(InceptionDate,102)</f>
        <v/>
      </c>
      <c r="DC5" s="39">
        <f>EDATE(InceptionDate,103)</f>
        <v/>
      </c>
      <c r="DD5" s="39">
        <f>EDATE(InceptionDate,104)</f>
        <v/>
      </c>
      <c r="DE5" s="39">
        <f>EDATE(InceptionDate,105)</f>
        <v/>
      </c>
      <c r="DF5" s="39">
        <f>EDATE(InceptionDate,106)</f>
        <v/>
      </c>
      <c r="DG5" s="39">
        <f>EDATE(InceptionDate,107)</f>
        <v/>
      </c>
      <c r="DH5" s="39">
        <f>EDATE(InceptionDate,108)</f>
        <v/>
      </c>
      <c r="DI5" s="39">
        <f>EDATE(InceptionDate,109)</f>
        <v/>
      </c>
      <c r="DJ5" s="39">
        <f>EDATE(InceptionDate,110)</f>
        <v/>
      </c>
      <c r="DK5" s="39">
        <f>EDATE(InceptionDate,111)</f>
        <v/>
      </c>
      <c r="DL5" s="39">
        <f>EDATE(InceptionDate,112)</f>
        <v/>
      </c>
      <c r="DM5" s="39">
        <f>EDATE(InceptionDate,113)</f>
        <v/>
      </c>
      <c r="DN5" s="39">
        <f>EDATE(InceptionDate,114)</f>
        <v/>
      </c>
      <c r="DO5" s="39">
        <f>EDATE(InceptionDate,115)</f>
        <v/>
      </c>
      <c r="DP5" s="39">
        <f>EDATE(InceptionDate,116)</f>
        <v/>
      </c>
      <c r="DQ5" s="39">
        <f>EDATE(InceptionDate,117)</f>
        <v/>
      </c>
      <c r="DR5" s="39">
        <f>EDATE(InceptionDate,118)</f>
        <v/>
      </c>
      <c r="DS5" s="39">
        <f>EDATE(InceptionDate,119)</f>
        <v/>
      </c>
      <c r="DT5" s="39">
        <f>EDATE(InceptionDate,120)</f>
        <v/>
      </c>
      <c r="DU5" s="39">
        <f>EDATE(InceptionDate,121)</f>
        <v/>
      </c>
      <c r="DV5" s="39">
        <f>EDATE(InceptionDate,122)</f>
        <v/>
      </c>
      <c r="DW5" s="39">
        <f>EDATE(InceptionDate,123)</f>
        <v/>
      </c>
      <c r="DX5" s="39">
        <f>EDATE(InceptionDate,124)</f>
        <v/>
      </c>
      <c r="DY5" s="39">
        <f>EDATE(InceptionDate,125)</f>
        <v/>
      </c>
      <c r="DZ5" s="39">
        <f>EDATE(InceptionDate,126)</f>
        <v/>
      </c>
      <c r="EA5" s="39">
        <f>EDATE(InceptionDate,127)</f>
        <v/>
      </c>
      <c r="EB5" s="39">
        <f>EDATE(InceptionDate,128)</f>
        <v/>
      </c>
      <c r="EC5" s="39">
        <f>EDATE(InceptionDate,129)</f>
        <v/>
      </c>
      <c r="ED5" s="39">
        <f>EDATE(InceptionDate,130)</f>
        <v/>
      </c>
      <c r="EE5" s="39">
        <f>EDATE(InceptionDate,131)</f>
        <v/>
      </c>
      <c r="EF5" s="39">
        <f>EDATE(InceptionDate,132)</f>
        <v/>
      </c>
      <c r="EG5" s="39">
        <f>EDATE(InceptionDate,133)</f>
        <v/>
      </c>
      <c r="EH5" s="39">
        <f>EDATE(InceptionDate,134)</f>
        <v/>
      </c>
      <c r="EI5" s="39">
        <f>EDATE(InceptionDate,135)</f>
        <v/>
      </c>
      <c r="EJ5" s="39">
        <f>EDATE(InceptionDate,136)</f>
        <v/>
      </c>
      <c r="EK5" s="39">
        <f>EDATE(InceptionDate,137)</f>
        <v/>
      </c>
      <c r="EL5" s="39">
        <f>EDATE(InceptionDate,138)</f>
        <v/>
      </c>
      <c r="EM5" s="39">
        <f>EDATE(InceptionDate,139)</f>
        <v/>
      </c>
      <c r="EN5" s="39">
        <f>EDATE(InceptionDate,140)</f>
        <v/>
      </c>
      <c r="EO5" s="39">
        <f>EDATE(InceptionDate,141)</f>
        <v/>
      </c>
      <c r="EP5" s="39">
        <f>EDATE(InceptionDate,142)</f>
        <v/>
      </c>
      <c r="EQ5" s="39">
        <f>EDATE(InceptionDate,143)</f>
        <v/>
      </c>
      <c r="ER5" s="39">
        <f>EDATE(InceptionDate,144)</f>
        <v/>
      </c>
      <c r="ES5" s="39">
        <f>EDATE(InceptionDate,145)</f>
        <v/>
      </c>
      <c r="ET5" s="39">
        <f>EDATE(InceptionDate,146)</f>
        <v/>
      </c>
      <c r="EU5" s="39">
        <f>EDATE(InceptionDate,147)</f>
        <v/>
      </c>
      <c r="EV5" s="39">
        <f>EDATE(InceptionDate,148)</f>
        <v/>
      </c>
      <c r="EW5" s="39">
        <f>EDATE(InceptionDate,149)</f>
        <v/>
      </c>
      <c r="EX5" s="39">
        <f>EDATE(InceptionDate,150)</f>
        <v/>
      </c>
      <c r="EY5" s="39">
        <f>EDATE(InceptionDate,151)</f>
        <v/>
      </c>
      <c r="EZ5" s="39">
        <f>EDATE(InceptionDate,152)</f>
        <v/>
      </c>
      <c r="FA5" s="39">
        <f>EDATE(InceptionDate,153)</f>
        <v/>
      </c>
      <c r="FB5" s="39">
        <f>EDATE(InceptionDate,154)</f>
        <v/>
      </c>
      <c r="FC5" s="39">
        <f>EDATE(InceptionDate,155)</f>
        <v/>
      </c>
      <c r="FD5" s="39">
        <f>EDATE(InceptionDate,156)</f>
        <v/>
      </c>
      <c r="FE5" s="39">
        <f>EDATE(InceptionDate,157)</f>
        <v/>
      </c>
      <c r="FF5" s="39">
        <f>EDATE(InceptionDate,158)</f>
        <v/>
      </c>
      <c r="FG5" s="39">
        <f>EDATE(InceptionDate,159)</f>
        <v/>
      </c>
      <c r="FH5" s="39">
        <f>EDATE(InceptionDate,160)</f>
        <v/>
      </c>
      <c r="FI5" s="39">
        <f>EDATE(InceptionDate,161)</f>
        <v/>
      </c>
      <c r="FJ5" s="39">
        <f>EDATE(InceptionDate,162)</f>
        <v/>
      </c>
      <c r="FK5" s="39">
        <f>EDATE(InceptionDate,163)</f>
        <v/>
      </c>
      <c r="FL5" s="39">
        <f>EDATE(InceptionDate,164)</f>
        <v/>
      </c>
      <c r="FM5" s="39">
        <f>EDATE(InceptionDate,165)</f>
        <v/>
      </c>
      <c r="FN5" s="39">
        <f>EDATE(InceptionDate,166)</f>
        <v/>
      </c>
      <c r="FO5" s="39">
        <f>EDATE(InceptionDate,167)</f>
        <v/>
      </c>
      <c r="FP5" s="39">
        <f>EDATE(InceptionDate,168)</f>
        <v/>
      </c>
      <c r="FQ5" s="39">
        <f>EDATE(InceptionDate,169)</f>
        <v/>
      </c>
      <c r="FR5" s="39">
        <f>EDATE(InceptionDate,170)</f>
        <v/>
      </c>
      <c r="FS5" s="39">
        <f>EDATE(InceptionDate,171)</f>
        <v/>
      </c>
      <c r="FT5" s="39">
        <f>EDATE(InceptionDate,172)</f>
        <v/>
      </c>
      <c r="FU5" s="39">
        <f>EDATE(InceptionDate,173)</f>
        <v/>
      </c>
      <c r="FV5" s="39">
        <f>EDATE(InceptionDate,174)</f>
        <v/>
      </c>
      <c r="FW5" s="39">
        <f>EDATE(InceptionDate,175)</f>
        <v/>
      </c>
      <c r="FX5" s="39">
        <f>EDATE(InceptionDate,176)</f>
        <v/>
      </c>
      <c r="FY5" s="39">
        <f>EDATE(InceptionDate,177)</f>
        <v/>
      </c>
      <c r="FZ5" s="39">
        <f>EDATE(InceptionDate,178)</f>
        <v/>
      </c>
      <c r="GA5" s="39">
        <f>EDATE(InceptionDate,179)</f>
        <v/>
      </c>
      <c r="GB5" s="39">
        <f>EDATE(InceptionDate,180)</f>
        <v/>
      </c>
      <c r="GC5" s="39">
        <f>EDATE(InceptionDate,181)</f>
        <v/>
      </c>
      <c r="GD5" s="39">
        <f>EDATE(InceptionDate,182)</f>
        <v/>
      </c>
      <c r="GE5" s="39">
        <f>EDATE(InceptionDate,183)</f>
        <v/>
      </c>
      <c r="GF5" s="39">
        <f>EDATE(InceptionDate,184)</f>
        <v/>
      </c>
      <c r="GG5" s="39">
        <f>EDATE(InceptionDate,185)</f>
        <v/>
      </c>
      <c r="GH5" s="39">
        <f>EDATE(InceptionDate,186)</f>
        <v/>
      </c>
      <c r="GI5" s="39">
        <f>EDATE(InceptionDate,187)</f>
        <v/>
      </c>
      <c r="GJ5" s="39">
        <f>EDATE(InceptionDate,188)</f>
        <v/>
      </c>
      <c r="GK5" s="39">
        <f>EDATE(InceptionDate,189)</f>
        <v/>
      </c>
      <c r="GL5" s="39">
        <f>EDATE(InceptionDate,190)</f>
        <v/>
      </c>
      <c r="GM5" s="39">
        <f>EDATE(InceptionDate,191)</f>
        <v/>
      </c>
      <c r="GN5" s="39">
        <f>EDATE(InceptionDate,192)</f>
        <v/>
      </c>
      <c r="GO5" s="39">
        <f>EDATE(InceptionDate,193)</f>
        <v/>
      </c>
      <c r="GP5" s="39">
        <f>EDATE(InceptionDate,194)</f>
        <v/>
      </c>
      <c r="GQ5" s="39">
        <f>EDATE(InceptionDate,195)</f>
        <v/>
      </c>
      <c r="GR5" s="39">
        <f>EDATE(InceptionDate,196)</f>
        <v/>
      </c>
      <c r="GS5" s="39">
        <f>EDATE(InceptionDate,197)</f>
        <v/>
      </c>
      <c r="GT5" s="39">
        <f>EDATE(InceptionDate,198)</f>
        <v/>
      </c>
      <c r="GU5" s="39">
        <f>EDATE(InceptionDate,199)</f>
        <v/>
      </c>
      <c r="GV5" s="39">
        <f>EDATE(InceptionDate,200)</f>
        <v/>
      </c>
      <c r="GW5" s="39">
        <f>EDATE(InceptionDate,201)</f>
        <v/>
      </c>
      <c r="GX5" s="39">
        <f>EDATE(InceptionDate,202)</f>
        <v/>
      </c>
      <c r="GY5" s="39">
        <f>EDATE(InceptionDate,203)</f>
        <v/>
      </c>
      <c r="GZ5" s="39">
        <f>EDATE(InceptionDate,204)</f>
        <v/>
      </c>
      <c r="HA5" s="39">
        <f>EDATE(InceptionDate,205)</f>
        <v/>
      </c>
      <c r="HB5" s="39">
        <f>EDATE(InceptionDate,206)</f>
        <v/>
      </c>
      <c r="HC5" s="39">
        <f>EDATE(InceptionDate,207)</f>
        <v/>
      </c>
      <c r="HD5" s="39">
        <f>EDATE(InceptionDate,208)</f>
        <v/>
      </c>
      <c r="HE5" s="39">
        <f>EDATE(InceptionDate,209)</f>
        <v/>
      </c>
      <c r="HF5" s="39">
        <f>EDATE(InceptionDate,210)</f>
        <v/>
      </c>
      <c r="HG5" s="39">
        <f>EDATE(InceptionDate,211)</f>
        <v/>
      </c>
      <c r="HH5" s="39">
        <f>EDATE(InceptionDate,212)</f>
        <v/>
      </c>
      <c r="HI5" s="39">
        <f>EDATE(InceptionDate,213)</f>
        <v/>
      </c>
      <c r="HJ5" s="39">
        <f>EDATE(InceptionDate,214)</f>
        <v/>
      </c>
      <c r="HK5" s="39">
        <f>EDATE(InceptionDate,215)</f>
        <v/>
      </c>
      <c r="HL5" s="39">
        <f>EDATE(InceptionDate,216)</f>
        <v/>
      </c>
      <c r="HM5" s="39">
        <f>EDATE(InceptionDate,217)</f>
        <v/>
      </c>
      <c r="HN5" s="39">
        <f>EDATE(InceptionDate,218)</f>
        <v/>
      </c>
      <c r="HO5" s="39">
        <f>EDATE(InceptionDate,219)</f>
        <v/>
      </c>
      <c r="HP5" s="39">
        <f>EDATE(InceptionDate,220)</f>
        <v/>
      </c>
      <c r="HQ5" s="39">
        <f>EDATE(InceptionDate,221)</f>
        <v/>
      </c>
      <c r="HR5" s="39">
        <f>EDATE(InceptionDate,222)</f>
        <v/>
      </c>
      <c r="HS5" s="39">
        <f>EDATE(InceptionDate,223)</f>
        <v/>
      </c>
      <c r="HT5" s="39">
        <f>EDATE(InceptionDate,224)</f>
        <v/>
      </c>
      <c r="HU5" s="39">
        <f>EDATE(InceptionDate,225)</f>
        <v/>
      </c>
      <c r="HV5" s="39">
        <f>EDATE(InceptionDate,226)</f>
        <v/>
      </c>
      <c r="HW5" s="39">
        <f>EDATE(InceptionDate,227)</f>
        <v/>
      </c>
      <c r="HX5" s="39">
        <f>EDATE(InceptionDate,228)</f>
        <v/>
      </c>
      <c r="HY5" s="39">
        <f>EDATE(InceptionDate,229)</f>
        <v/>
      </c>
      <c r="HZ5" s="39">
        <f>EDATE(InceptionDate,230)</f>
        <v/>
      </c>
      <c r="IA5" s="39">
        <f>EDATE(InceptionDate,231)</f>
        <v/>
      </c>
      <c r="IB5" s="39">
        <f>EDATE(InceptionDate,232)</f>
        <v/>
      </c>
      <c r="IC5" s="39">
        <f>EDATE(InceptionDate,233)</f>
        <v/>
      </c>
      <c r="ID5" s="39">
        <f>EDATE(InceptionDate,234)</f>
        <v/>
      </c>
      <c r="IE5" s="39">
        <f>EDATE(InceptionDate,235)</f>
        <v/>
      </c>
      <c r="IF5" s="39">
        <f>EDATE(InceptionDate,236)</f>
        <v/>
      </c>
      <c r="IG5" s="39">
        <f>EDATE(InceptionDate,237)</f>
        <v/>
      </c>
      <c r="IH5" s="39">
        <f>EDATE(InceptionDate,238)</f>
        <v/>
      </c>
      <c r="II5" s="39">
        <f>EDATE(InceptionDate,239)</f>
        <v/>
      </c>
      <c r="IJ5" s="39">
        <f>EDATE(InceptionDate,240)</f>
        <v/>
      </c>
      <c r="IK5" s="39">
        <f>EDATE(InceptionDate,241)</f>
        <v/>
      </c>
      <c r="IL5" s="39">
        <f>EDATE(InceptionDate,242)</f>
        <v/>
      </c>
      <c r="IM5" s="39">
        <f>EDATE(InceptionDate,243)</f>
        <v/>
      </c>
      <c r="IN5" s="39">
        <f>EDATE(InceptionDate,244)</f>
        <v/>
      </c>
      <c r="IO5" s="39">
        <f>EDATE(InceptionDate,245)</f>
        <v/>
      </c>
      <c r="IP5" s="39">
        <f>EDATE(InceptionDate,246)</f>
        <v/>
      </c>
      <c r="IQ5" s="39">
        <f>EDATE(InceptionDate,247)</f>
        <v/>
      </c>
      <c r="IR5" s="39">
        <f>EDATE(InceptionDate,248)</f>
        <v/>
      </c>
      <c r="IS5" s="39">
        <f>EDATE(InceptionDate,249)</f>
        <v/>
      </c>
      <c r="IT5" s="39">
        <f>EDATE(InceptionDate,250)</f>
        <v/>
      </c>
      <c r="IU5" s="39">
        <f>EDATE(InceptionDate,251)</f>
        <v/>
      </c>
      <c r="IV5" s="39">
        <f>EDATE(InceptionDate,252)</f>
        <v/>
      </c>
      <c r="IW5" s="39">
        <f>EDATE(InceptionDate,253)</f>
        <v/>
      </c>
      <c r="IX5" s="39">
        <f>EDATE(InceptionDate,254)</f>
        <v/>
      </c>
      <c r="IY5" s="39">
        <f>EDATE(InceptionDate,255)</f>
        <v/>
      </c>
      <c r="IZ5" s="39">
        <f>EDATE(InceptionDate,256)</f>
        <v/>
      </c>
      <c r="JA5" s="39">
        <f>EDATE(InceptionDate,257)</f>
        <v/>
      </c>
      <c r="JB5" s="39">
        <f>EDATE(InceptionDate,258)</f>
        <v/>
      </c>
      <c r="JC5" s="39">
        <f>EDATE(InceptionDate,259)</f>
        <v/>
      </c>
      <c r="JD5" s="39">
        <f>EDATE(InceptionDate,260)</f>
        <v/>
      </c>
      <c r="JE5" s="39">
        <f>EDATE(InceptionDate,261)</f>
        <v/>
      </c>
      <c r="JF5" s="39">
        <f>EDATE(InceptionDate,262)</f>
        <v/>
      </c>
      <c r="JG5" s="39">
        <f>EDATE(InceptionDate,263)</f>
        <v/>
      </c>
      <c r="JH5" s="39">
        <f>EDATE(InceptionDate,264)</f>
        <v/>
      </c>
      <c r="JI5" s="39">
        <f>EDATE(InceptionDate,265)</f>
        <v/>
      </c>
      <c r="JJ5" s="39">
        <f>EDATE(InceptionDate,266)</f>
        <v/>
      </c>
      <c r="JK5" s="39">
        <f>EDATE(InceptionDate,267)</f>
        <v/>
      </c>
      <c r="JL5" s="39">
        <f>EDATE(InceptionDate,268)</f>
        <v/>
      </c>
      <c r="JM5" s="39">
        <f>EDATE(InceptionDate,269)</f>
        <v/>
      </c>
      <c r="JN5" s="39">
        <f>EDATE(InceptionDate,270)</f>
        <v/>
      </c>
      <c r="JO5" s="39">
        <f>EDATE(InceptionDate,271)</f>
        <v/>
      </c>
      <c r="JP5" s="39">
        <f>EDATE(InceptionDate,272)</f>
        <v/>
      </c>
      <c r="JQ5" s="39">
        <f>EDATE(InceptionDate,273)</f>
        <v/>
      </c>
      <c r="JR5" s="39">
        <f>EDATE(InceptionDate,274)</f>
        <v/>
      </c>
      <c r="JS5" s="39">
        <f>EDATE(InceptionDate,275)</f>
        <v/>
      </c>
      <c r="JT5" s="39">
        <f>EDATE(InceptionDate,276)</f>
        <v/>
      </c>
      <c r="JU5" s="39">
        <f>EDATE(InceptionDate,277)</f>
        <v/>
      </c>
      <c r="JV5" s="39">
        <f>EDATE(InceptionDate,278)</f>
        <v/>
      </c>
      <c r="JW5" s="39">
        <f>EDATE(InceptionDate,279)</f>
        <v/>
      </c>
      <c r="JX5" s="39">
        <f>EDATE(InceptionDate,280)</f>
        <v/>
      </c>
      <c r="JY5" s="39">
        <f>EDATE(InceptionDate,281)</f>
        <v/>
      </c>
      <c r="JZ5" s="39">
        <f>EDATE(InceptionDate,282)</f>
        <v/>
      </c>
      <c r="KA5" s="39">
        <f>EDATE(InceptionDate,283)</f>
        <v/>
      </c>
      <c r="KB5" s="39">
        <f>EDATE(InceptionDate,284)</f>
        <v/>
      </c>
      <c r="KC5" s="39">
        <f>EDATE(InceptionDate,285)</f>
        <v/>
      </c>
      <c r="KD5" s="39">
        <f>EDATE(InceptionDate,286)</f>
        <v/>
      </c>
      <c r="KE5" s="39">
        <f>EDATE(InceptionDate,287)</f>
        <v/>
      </c>
      <c r="KF5" s="39">
        <f>EDATE(InceptionDate,288)</f>
        <v/>
      </c>
      <c r="KG5" s="39">
        <f>EDATE(InceptionDate,289)</f>
        <v/>
      </c>
      <c r="KH5" s="39">
        <f>EDATE(InceptionDate,290)</f>
        <v/>
      </c>
      <c r="KI5" s="39">
        <f>EDATE(InceptionDate,291)</f>
        <v/>
      </c>
      <c r="KJ5" s="39">
        <f>EDATE(InceptionDate,292)</f>
        <v/>
      </c>
      <c r="KK5" s="39">
        <f>EDATE(InceptionDate,293)</f>
        <v/>
      </c>
      <c r="KL5" s="39">
        <f>EDATE(InceptionDate,294)</f>
        <v/>
      </c>
      <c r="KM5" s="39">
        <f>EDATE(InceptionDate,295)</f>
        <v/>
      </c>
      <c r="KN5" s="39">
        <f>EDATE(InceptionDate,296)</f>
        <v/>
      </c>
      <c r="KO5" s="39">
        <f>EDATE(InceptionDate,297)</f>
        <v/>
      </c>
      <c r="KP5" s="39">
        <f>EDATE(InceptionDate,298)</f>
        <v/>
      </c>
      <c r="KQ5" s="39">
        <f>EDATE(InceptionDate,299)</f>
        <v/>
      </c>
      <c r="KR5" s="39">
        <f>EDATE(InceptionDate,300)</f>
        <v/>
      </c>
      <c r="KS5" s="39">
        <f>EDATE(InceptionDate,301)</f>
        <v/>
      </c>
      <c r="KT5" s="39">
        <f>EDATE(InceptionDate,302)</f>
        <v/>
      </c>
      <c r="KU5" s="39">
        <f>EDATE(InceptionDate,303)</f>
        <v/>
      </c>
      <c r="KV5" s="39">
        <f>EDATE(InceptionDate,304)</f>
        <v/>
      </c>
      <c r="KW5" s="39">
        <f>EDATE(InceptionDate,305)</f>
        <v/>
      </c>
      <c r="KX5" s="39">
        <f>EDATE(InceptionDate,306)</f>
        <v/>
      </c>
      <c r="KY5" s="39">
        <f>EDATE(InceptionDate,307)</f>
        <v/>
      </c>
      <c r="KZ5" s="39">
        <f>EDATE(InceptionDate,308)</f>
        <v/>
      </c>
      <c r="LA5" s="39">
        <f>EDATE(InceptionDate,309)</f>
        <v/>
      </c>
      <c r="LB5" s="39">
        <f>EDATE(InceptionDate,310)</f>
        <v/>
      </c>
      <c r="LC5" s="39">
        <f>EDATE(InceptionDate,311)</f>
        <v/>
      </c>
      <c r="LD5" s="39">
        <f>EDATE(InceptionDate,312)</f>
        <v/>
      </c>
      <c r="LE5" s="39">
        <f>EDATE(InceptionDate,313)</f>
        <v/>
      </c>
      <c r="LF5" s="39">
        <f>EDATE(InceptionDate,314)</f>
        <v/>
      </c>
      <c r="LG5" s="39">
        <f>EDATE(InceptionDate,315)</f>
        <v/>
      </c>
      <c r="LH5" s="39">
        <f>EDATE(InceptionDate,316)</f>
        <v/>
      </c>
      <c r="LI5" s="39">
        <f>EDATE(InceptionDate,317)</f>
        <v/>
      </c>
      <c r="LJ5" s="39">
        <f>EDATE(InceptionDate,318)</f>
        <v/>
      </c>
      <c r="LK5" s="39">
        <f>EDATE(InceptionDate,319)</f>
        <v/>
      </c>
      <c r="LL5" s="39">
        <f>EDATE(InceptionDate,320)</f>
        <v/>
      </c>
      <c r="LM5" s="39">
        <f>EDATE(InceptionDate,321)</f>
        <v/>
      </c>
      <c r="LN5" s="39">
        <f>EDATE(InceptionDate,322)</f>
        <v/>
      </c>
      <c r="LO5" s="39">
        <f>EDATE(InceptionDate,323)</f>
        <v/>
      </c>
      <c r="LP5" s="39">
        <f>EDATE(InceptionDate,324)</f>
        <v/>
      </c>
      <c r="LQ5" s="39">
        <f>EDATE(InceptionDate,325)</f>
        <v/>
      </c>
      <c r="LR5" s="39">
        <f>EDATE(InceptionDate,326)</f>
        <v/>
      </c>
      <c r="LS5" s="39">
        <f>EDATE(InceptionDate,327)</f>
        <v/>
      </c>
      <c r="LT5" s="39">
        <f>EDATE(InceptionDate,328)</f>
        <v/>
      </c>
      <c r="LU5" s="39">
        <f>EDATE(InceptionDate,329)</f>
        <v/>
      </c>
      <c r="LV5" s="39">
        <f>EDATE(InceptionDate,330)</f>
        <v/>
      </c>
      <c r="LW5" s="39">
        <f>EDATE(InceptionDate,331)</f>
        <v/>
      </c>
      <c r="LX5" s="39">
        <f>EDATE(InceptionDate,332)</f>
        <v/>
      </c>
      <c r="LY5" s="39">
        <f>EDATE(InceptionDate,333)</f>
        <v/>
      </c>
      <c r="LZ5" s="39">
        <f>EDATE(InceptionDate,334)</f>
        <v/>
      </c>
      <c r="MA5" s="39">
        <f>EDATE(InceptionDate,335)</f>
        <v/>
      </c>
      <c r="MB5" s="39">
        <f>EDATE(InceptionDate,336)</f>
        <v/>
      </c>
      <c r="MC5" s="39">
        <f>EDATE(InceptionDate,337)</f>
        <v/>
      </c>
      <c r="MD5" s="39">
        <f>EDATE(InceptionDate,338)</f>
        <v/>
      </c>
      <c r="ME5" s="39">
        <f>EDATE(InceptionDate,339)</f>
        <v/>
      </c>
      <c r="MF5" s="39">
        <f>EDATE(InceptionDate,340)</f>
        <v/>
      </c>
      <c r="MG5" s="39">
        <f>EDATE(InceptionDate,341)</f>
        <v/>
      </c>
      <c r="MH5" s="39">
        <f>EDATE(InceptionDate,342)</f>
        <v/>
      </c>
      <c r="MI5" s="39">
        <f>EDATE(InceptionDate,343)</f>
        <v/>
      </c>
      <c r="MJ5" s="39">
        <f>EDATE(InceptionDate,344)</f>
        <v/>
      </c>
      <c r="MK5" s="39">
        <f>EDATE(InceptionDate,345)</f>
        <v/>
      </c>
      <c r="ML5" s="39">
        <f>EDATE(InceptionDate,346)</f>
        <v/>
      </c>
      <c r="MM5" s="39">
        <f>EDATE(InceptionDate,347)</f>
        <v/>
      </c>
      <c r="MN5" s="39">
        <f>EDATE(InceptionDate,348)</f>
        <v/>
      </c>
      <c r="MO5" s="39">
        <f>EDATE(InceptionDate,349)</f>
        <v/>
      </c>
      <c r="MP5" s="39">
        <f>EDATE(InceptionDate,350)</f>
        <v/>
      </c>
      <c r="MQ5" s="39">
        <f>EDATE(InceptionDate,351)</f>
        <v/>
      </c>
      <c r="MR5" s="39">
        <f>EDATE(InceptionDate,352)</f>
        <v/>
      </c>
      <c r="MS5" s="39">
        <f>EDATE(InceptionDate,353)</f>
        <v/>
      </c>
      <c r="MT5" s="39">
        <f>EDATE(InceptionDate,354)</f>
        <v/>
      </c>
      <c r="MU5" s="39">
        <f>EDATE(InceptionDate,355)</f>
        <v/>
      </c>
      <c r="MV5" s="39">
        <f>EDATE(InceptionDate,356)</f>
        <v/>
      </c>
      <c r="MW5" s="39">
        <f>EDATE(InceptionDate,357)</f>
        <v/>
      </c>
      <c r="MX5" s="39">
        <f>EDATE(InceptionDate,358)</f>
        <v/>
      </c>
      <c r="MY5" s="39">
        <f>EDATE(InceptionDate,359)</f>
        <v/>
      </c>
      <c r="MZ5" s="39">
        <f>EDATE(InceptionDate,360)</f>
        <v/>
      </c>
      <c r="NA5" s="39">
        <f>EDATE(InceptionDate,361)</f>
        <v/>
      </c>
      <c r="NB5" s="39">
        <f>EDATE(InceptionDate,362)</f>
        <v/>
      </c>
      <c r="NC5" s="39">
        <f>EDATE(InceptionDate,363)</f>
        <v/>
      </c>
      <c r="ND5" s="39">
        <f>EDATE(InceptionDate,364)</f>
        <v/>
      </c>
      <c r="NE5" s="39">
        <f>EDATE(InceptionDate,365)</f>
        <v/>
      </c>
      <c r="NF5" s="39">
        <f>EDATE(InceptionDate,366)</f>
        <v/>
      </c>
      <c r="NG5" s="39">
        <f>EDATE(InceptionDate,367)</f>
        <v/>
      </c>
      <c r="NH5" s="39">
        <f>EDATE(InceptionDate,368)</f>
        <v/>
      </c>
      <c r="NI5" s="39">
        <f>EDATE(InceptionDate,369)</f>
        <v/>
      </c>
      <c r="NJ5" s="39">
        <f>EDATE(InceptionDate,370)</f>
        <v/>
      </c>
      <c r="NK5" s="39">
        <f>EDATE(InceptionDate,371)</f>
        <v/>
      </c>
    </row>
    <row r="6">
      <c r="A6" s="5" t="inlineStr">
        <is>
          <t>Land Acquisition</t>
        </is>
      </c>
      <c r="C6" s="41">
        <f>SUM(D6:NK6)</f>
        <v/>
      </c>
      <c r="D6" s="18">
        <f>IF(AND(1&gt;=$NQ$6,1&lt;=$NR$6),IF($NO$6="Single_Point",IF(1=$NQ$6,$NM$6,0),IF($NO$6="Bell_Curve",$NM$6*(1-$NQ$6+1)*($NR$6-1+1)/$NT$6,$NM$6/$NS$6)),0)</f>
        <v/>
      </c>
      <c r="E6" s="18">
        <f>IF(AND(2&gt;=$NQ$6,2&lt;=$NR$6),IF($NO$6="Single_Point",IF(2=$NQ$6,$NM$6,0),IF($NO$6="Bell_Curve",$NM$6*(2-$NQ$6+1)*($NR$6-2+1)/$NT$6,$NM$6/$NS$6)),0)</f>
        <v/>
      </c>
      <c r="F6" s="18">
        <f>IF(AND(3&gt;=$NQ$6,3&lt;=$NR$6),IF($NO$6="Single_Point",IF(3=$NQ$6,$NM$6,0),IF($NO$6="Bell_Curve",$NM$6*(3-$NQ$6+1)*($NR$6-3+1)/$NT$6,$NM$6/$NS$6)),0)</f>
        <v/>
      </c>
      <c r="G6" s="18">
        <f>IF(AND(4&gt;=$NQ$6,4&lt;=$NR$6),IF($NO$6="Single_Point",IF(4=$NQ$6,$NM$6,0),IF($NO$6="Bell_Curve",$NM$6*(4-$NQ$6+1)*($NR$6-4+1)/$NT$6,$NM$6/$NS$6)),0)</f>
        <v/>
      </c>
      <c r="H6" s="18">
        <f>IF(AND(5&gt;=$NQ$6,5&lt;=$NR$6),IF($NO$6="Single_Point",IF(5=$NQ$6,$NM$6,0),IF($NO$6="Bell_Curve",$NM$6*(5-$NQ$6+1)*($NR$6-5+1)/$NT$6,$NM$6/$NS$6)),0)</f>
        <v/>
      </c>
      <c r="I6" s="18">
        <f>IF(AND(6&gt;=$NQ$6,6&lt;=$NR$6),IF($NO$6="Single_Point",IF(6=$NQ$6,$NM$6,0),IF($NO$6="Bell_Curve",$NM$6*(6-$NQ$6+1)*($NR$6-6+1)/$NT$6,$NM$6/$NS$6)),0)</f>
        <v/>
      </c>
      <c r="J6" s="18">
        <f>IF(AND(7&gt;=$NQ$6,7&lt;=$NR$6),IF($NO$6="Single_Point",IF(7=$NQ$6,$NM$6,0),IF($NO$6="Bell_Curve",$NM$6*(7-$NQ$6+1)*($NR$6-7+1)/$NT$6,$NM$6/$NS$6)),0)</f>
        <v/>
      </c>
      <c r="K6" s="18">
        <f>IF(AND(8&gt;=$NQ$6,8&lt;=$NR$6),IF($NO$6="Single_Point",IF(8=$NQ$6,$NM$6,0),IF($NO$6="Bell_Curve",$NM$6*(8-$NQ$6+1)*($NR$6-8+1)/$NT$6,$NM$6/$NS$6)),0)</f>
        <v/>
      </c>
      <c r="L6" s="18">
        <f>IF(AND(9&gt;=$NQ$6,9&lt;=$NR$6),IF($NO$6="Single_Point",IF(9=$NQ$6,$NM$6,0),IF($NO$6="Bell_Curve",$NM$6*(9-$NQ$6+1)*($NR$6-9+1)/$NT$6,$NM$6/$NS$6)),0)</f>
        <v/>
      </c>
      <c r="M6" s="18">
        <f>IF(AND(10&gt;=$NQ$6,10&lt;=$NR$6),IF($NO$6="Single_Point",IF(10=$NQ$6,$NM$6,0),IF($NO$6="Bell_Curve",$NM$6*(10-$NQ$6+1)*($NR$6-10+1)/$NT$6,$NM$6/$NS$6)),0)</f>
        <v/>
      </c>
      <c r="N6" s="18">
        <f>IF(AND(11&gt;=$NQ$6,11&lt;=$NR$6),IF($NO$6="Single_Point",IF(11=$NQ$6,$NM$6,0),IF($NO$6="Bell_Curve",$NM$6*(11-$NQ$6+1)*($NR$6-11+1)/$NT$6,$NM$6/$NS$6)),0)</f>
        <v/>
      </c>
      <c r="O6" s="18">
        <f>IF(AND(12&gt;=$NQ$6,12&lt;=$NR$6),IF($NO$6="Single_Point",IF(12=$NQ$6,$NM$6,0),IF($NO$6="Bell_Curve",$NM$6*(12-$NQ$6+1)*($NR$6-12+1)/$NT$6,$NM$6/$NS$6)),0)</f>
        <v/>
      </c>
      <c r="P6" s="18">
        <f>IF(AND(13&gt;=$NQ$6,13&lt;=$NR$6),IF($NO$6="Single_Point",IF(13=$NQ$6,$NM$6,0),IF($NO$6="Bell_Curve",$NM$6*(13-$NQ$6+1)*($NR$6-13+1)/$NT$6,$NM$6/$NS$6)),0)</f>
        <v/>
      </c>
      <c r="Q6" s="18">
        <f>IF(AND(14&gt;=$NQ$6,14&lt;=$NR$6),IF($NO$6="Single_Point",IF(14=$NQ$6,$NM$6,0),IF($NO$6="Bell_Curve",$NM$6*(14-$NQ$6+1)*($NR$6-14+1)/$NT$6,$NM$6/$NS$6)),0)</f>
        <v/>
      </c>
      <c r="R6" s="18">
        <f>IF(AND(15&gt;=$NQ$6,15&lt;=$NR$6),IF($NO$6="Single_Point",IF(15=$NQ$6,$NM$6,0),IF($NO$6="Bell_Curve",$NM$6*(15-$NQ$6+1)*($NR$6-15+1)/$NT$6,$NM$6/$NS$6)),0)</f>
        <v/>
      </c>
      <c r="S6" s="18">
        <f>IF(AND(16&gt;=$NQ$6,16&lt;=$NR$6),IF($NO$6="Single_Point",IF(16=$NQ$6,$NM$6,0),IF($NO$6="Bell_Curve",$NM$6*(16-$NQ$6+1)*($NR$6-16+1)/$NT$6,$NM$6/$NS$6)),0)</f>
        <v/>
      </c>
      <c r="T6" s="18">
        <f>IF(AND(17&gt;=$NQ$6,17&lt;=$NR$6),IF($NO$6="Single_Point",IF(17=$NQ$6,$NM$6,0),IF($NO$6="Bell_Curve",$NM$6*(17-$NQ$6+1)*($NR$6-17+1)/$NT$6,$NM$6/$NS$6)),0)</f>
        <v/>
      </c>
      <c r="U6" s="18">
        <f>IF(AND(18&gt;=$NQ$6,18&lt;=$NR$6),IF($NO$6="Single_Point",IF(18=$NQ$6,$NM$6,0),IF($NO$6="Bell_Curve",$NM$6*(18-$NQ$6+1)*($NR$6-18+1)/$NT$6,$NM$6/$NS$6)),0)</f>
        <v/>
      </c>
      <c r="V6" s="18">
        <f>IF(AND(19&gt;=$NQ$6,19&lt;=$NR$6),IF($NO$6="Single_Point",IF(19=$NQ$6,$NM$6,0),IF($NO$6="Bell_Curve",$NM$6*(19-$NQ$6+1)*($NR$6-19+1)/$NT$6,$NM$6/$NS$6)),0)</f>
        <v/>
      </c>
      <c r="W6" s="18">
        <f>IF(AND(20&gt;=$NQ$6,20&lt;=$NR$6),IF($NO$6="Single_Point",IF(20=$NQ$6,$NM$6,0),IF($NO$6="Bell_Curve",$NM$6*(20-$NQ$6+1)*($NR$6-20+1)/$NT$6,$NM$6/$NS$6)),0)</f>
        <v/>
      </c>
      <c r="X6" s="18">
        <f>IF(AND(21&gt;=$NQ$6,21&lt;=$NR$6),IF($NO$6="Single_Point",IF(21=$NQ$6,$NM$6,0),IF($NO$6="Bell_Curve",$NM$6*(21-$NQ$6+1)*($NR$6-21+1)/$NT$6,$NM$6/$NS$6)),0)</f>
        <v/>
      </c>
      <c r="Y6" s="18">
        <f>IF(AND(22&gt;=$NQ$6,22&lt;=$NR$6),IF($NO$6="Single_Point",IF(22=$NQ$6,$NM$6,0),IF($NO$6="Bell_Curve",$NM$6*(22-$NQ$6+1)*($NR$6-22+1)/$NT$6,$NM$6/$NS$6)),0)</f>
        <v/>
      </c>
      <c r="Z6" s="18">
        <f>IF(AND(23&gt;=$NQ$6,23&lt;=$NR$6),IF($NO$6="Single_Point",IF(23=$NQ$6,$NM$6,0),IF($NO$6="Bell_Curve",$NM$6*(23-$NQ$6+1)*($NR$6-23+1)/$NT$6,$NM$6/$NS$6)),0)</f>
        <v/>
      </c>
      <c r="AA6" s="18">
        <f>IF(AND(24&gt;=$NQ$6,24&lt;=$NR$6),IF($NO$6="Single_Point",IF(24=$NQ$6,$NM$6,0),IF($NO$6="Bell_Curve",$NM$6*(24-$NQ$6+1)*($NR$6-24+1)/$NT$6,$NM$6/$NS$6)),0)</f>
        <v/>
      </c>
      <c r="AB6" s="18">
        <f>IF(AND(25&gt;=$NQ$6,25&lt;=$NR$6),IF($NO$6="Single_Point",IF(25=$NQ$6,$NM$6,0),IF($NO$6="Bell_Curve",$NM$6*(25-$NQ$6+1)*($NR$6-25+1)/$NT$6,$NM$6/$NS$6)),0)</f>
        <v/>
      </c>
      <c r="AC6" s="18">
        <f>IF(AND(26&gt;=$NQ$6,26&lt;=$NR$6),IF($NO$6="Single_Point",IF(26=$NQ$6,$NM$6,0),IF($NO$6="Bell_Curve",$NM$6*(26-$NQ$6+1)*($NR$6-26+1)/$NT$6,$NM$6/$NS$6)),0)</f>
        <v/>
      </c>
      <c r="AD6" s="18">
        <f>IF(AND(27&gt;=$NQ$6,27&lt;=$NR$6),IF($NO$6="Single_Point",IF(27=$NQ$6,$NM$6,0),IF($NO$6="Bell_Curve",$NM$6*(27-$NQ$6+1)*($NR$6-27+1)/$NT$6,$NM$6/$NS$6)),0)</f>
        <v/>
      </c>
      <c r="AE6" s="18">
        <f>IF(AND(28&gt;=$NQ$6,28&lt;=$NR$6),IF($NO$6="Single_Point",IF(28=$NQ$6,$NM$6,0),IF($NO$6="Bell_Curve",$NM$6*(28-$NQ$6+1)*($NR$6-28+1)/$NT$6,$NM$6/$NS$6)),0)</f>
        <v/>
      </c>
      <c r="AF6" s="18">
        <f>IF(AND(29&gt;=$NQ$6,29&lt;=$NR$6),IF($NO$6="Single_Point",IF(29=$NQ$6,$NM$6,0),IF($NO$6="Bell_Curve",$NM$6*(29-$NQ$6+1)*($NR$6-29+1)/$NT$6,$NM$6/$NS$6)),0)</f>
        <v/>
      </c>
      <c r="AG6" s="18">
        <f>IF(AND(30&gt;=$NQ$6,30&lt;=$NR$6),IF($NO$6="Single_Point",IF(30=$NQ$6,$NM$6,0),IF($NO$6="Bell_Curve",$NM$6*(30-$NQ$6+1)*($NR$6-30+1)/$NT$6,$NM$6/$NS$6)),0)</f>
        <v/>
      </c>
      <c r="AH6" s="18">
        <f>IF(AND(31&gt;=$NQ$6,31&lt;=$NR$6),IF($NO$6="Single_Point",IF(31=$NQ$6,$NM$6,0),IF($NO$6="Bell_Curve",$NM$6*(31-$NQ$6+1)*($NR$6-31+1)/$NT$6,$NM$6/$NS$6)),0)</f>
        <v/>
      </c>
      <c r="AI6" s="18">
        <f>IF(AND(32&gt;=$NQ$6,32&lt;=$NR$6),IF($NO$6="Single_Point",IF(32=$NQ$6,$NM$6,0),IF($NO$6="Bell_Curve",$NM$6*(32-$NQ$6+1)*($NR$6-32+1)/$NT$6,$NM$6/$NS$6)),0)</f>
        <v/>
      </c>
      <c r="AJ6" s="18">
        <f>IF(AND(33&gt;=$NQ$6,33&lt;=$NR$6),IF($NO$6="Single_Point",IF(33=$NQ$6,$NM$6,0),IF($NO$6="Bell_Curve",$NM$6*(33-$NQ$6+1)*($NR$6-33+1)/$NT$6,$NM$6/$NS$6)),0)</f>
        <v/>
      </c>
      <c r="AK6" s="18">
        <f>IF(AND(34&gt;=$NQ$6,34&lt;=$NR$6),IF($NO$6="Single_Point",IF(34=$NQ$6,$NM$6,0),IF($NO$6="Bell_Curve",$NM$6*(34-$NQ$6+1)*($NR$6-34+1)/$NT$6,$NM$6/$NS$6)),0)</f>
        <v/>
      </c>
      <c r="AL6" s="18">
        <f>IF(AND(35&gt;=$NQ$6,35&lt;=$NR$6),IF($NO$6="Single_Point",IF(35=$NQ$6,$NM$6,0),IF($NO$6="Bell_Curve",$NM$6*(35-$NQ$6+1)*($NR$6-35+1)/$NT$6,$NM$6/$NS$6)),0)</f>
        <v/>
      </c>
      <c r="AM6" s="18">
        <f>IF(AND(36&gt;=$NQ$6,36&lt;=$NR$6),IF($NO$6="Single_Point",IF(36=$NQ$6,$NM$6,0),IF($NO$6="Bell_Curve",$NM$6*(36-$NQ$6+1)*($NR$6-36+1)/$NT$6,$NM$6/$NS$6)),0)</f>
        <v/>
      </c>
      <c r="AN6" s="18">
        <f>IF(AND(37&gt;=$NQ$6,37&lt;=$NR$6),IF($NO$6="Single_Point",IF(37=$NQ$6,$NM$6,0),IF($NO$6="Bell_Curve",$NM$6*(37-$NQ$6+1)*($NR$6-37+1)/$NT$6,$NM$6/$NS$6)),0)</f>
        <v/>
      </c>
      <c r="AO6" s="18">
        <f>IF(AND(38&gt;=$NQ$6,38&lt;=$NR$6),IF($NO$6="Single_Point",IF(38=$NQ$6,$NM$6,0),IF($NO$6="Bell_Curve",$NM$6*(38-$NQ$6+1)*($NR$6-38+1)/$NT$6,$NM$6/$NS$6)),0)</f>
        <v/>
      </c>
      <c r="AP6" s="18">
        <f>IF(AND(39&gt;=$NQ$6,39&lt;=$NR$6),IF($NO$6="Single_Point",IF(39=$NQ$6,$NM$6,0),IF($NO$6="Bell_Curve",$NM$6*(39-$NQ$6+1)*($NR$6-39+1)/$NT$6,$NM$6/$NS$6)),0)</f>
        <v/>
      </c>
      <c r="AQ6" s="18">
        <f>IF(AND(40&gt;=$NQ$6,40&lt;=$NR$6),IF($NO$6="Single_Point",IF(40=$NQ$6,$NM$6,0),IF($NO$6="Bell_Curve",$NM$6*(40-$NQ$6+1)*($NR$6-40+1)/$NT$6,$NM$6/$NS$6)),0)</f>
        <v/>
      </c>
      <c r="AR6" s="18">
        <f>IF(AND(41&gt;=$NQ$6,41&lt;=$NR$6),IF($NO$6="Single_Point",IF(41=$NQ$6,$NM$6,0),IF($NO$6="Bell_Curve",$NM$6*(41-$NQ$6+1)*($NR$6-41+1)/$NT$6,$NM$6/$NS$6)),0)</f>
        <v/>
      </c>
      <c r="AS6" s="18">
        <f>IF(AND(42&gt;=$NQ$6,42&lt;=$NR$6),IF($NO$6="Single_Point",IF(42=$NQ$6,$NM$6,0),IF($NO$6="Bell_Curve",$NM$6*(42-$NQ$6+1)*($NR$6-42+1)/$NT$6,$NM$6/$NS$6)),0)</f>
        <v/>
      </c>
      <c r="AT6" s="18">
        <f>IF(AND(43&gt;=$NQ$6,43&lt;=$NR$6),IF($NO$6="Single_Point",IF(43=$NQ$6,$NM$6,0),IF($NO$6="Bell_Curve",$NM$6*(43-$NQ$6+1)*($NR$6-43+1)/$NT$6,$NM$6/$NS$6)),0)</f>
        <v/>
      </c>
      <c r="AU6" s="18">
        <f>IF(AND(44&gt;=$NQ$6,44&lt;=$NR$6),IF($NO$6="Single_Point",IF(44=$NQ$6,$NM$6,0),IF($NO$6="Bell_Curve",$NM$6*(44-$NQ$6+1)*($NR$6-44+1)/$NT$6,$NM$6/$NS$6)),0)</f>
        <v/>
      </c>
      <c r="AV6" s="18">
        <f>IF(AND(45&gt;=$NQ$6,45&lt;=$NR$6),IF($NO$6="Single_Point",IF(45=$NQ$6,$NM$6,0),IF($NO$6="Bell_Curve",$NM$6*(45-$NQ$6+1)*($NR$6-45+1)/$NT$6,$NM$6/$NS$6)),0)</f>
        <v/>
      </c>
      <c r="AW6" s="18">
        <f>IF(AND(46&gt;=$NQ$6,46&lt;=$NR$6),IF($NO$6="Single_Point",IF(46=$NQ$6,$NM$6,0),IF($NO$6="Bell_Curve",$NM$6*(46-$NQ$6+1)*($NR$6-46+1)/$NT$6,$NM$6/$NS$6)),0)</f>
        <v/>
      </c>
      <c r="AX6" s="18">
        <f>IF(AND(47&gt;=$NQ$6,47&lt;=$NR$6),IF($NO$6="Single_Point",IF(47=$NQ$6,$NM$6,0),IF($NO$6="Bell_Curve",$NM$6*(47-$NQ$6+1)*($NR$6-47+1)/$NT$6,$NM$6/$NS$6)),0)</f>
        <v/>
      </c>
      <c r="AY6" s="18">
        <f>IF(AND(48&gt;=$NQ$6,48&lt;=$NR$6),IF($NO$6="Single_Point",IF(48=$NQ$6,$NM$6,0),IF($NO$6="Bell_Curve",$NM$6*(48-$NQ$6+1)*($NR$6-48+1)/$NT$6,$NM$6/$NS$6)),0)</f>
        <v/>
      </c>
      <c r="AZ6" s="18">
        <f>IF(AND(49&gt;=$NQ$6,49&lt;=$NR$6),IF($NO$6="Single_Point",IF(49=$NQ$6,$NM$6,0),IF($NO$6="Bell_Curve",$NM$6*(49-$NQ$6+1)*($NR$6-49+1)/$NT$6,$NM$6/$NS$6)),0)</f>
        <v/>
      </c>
      <c r="BA6" s="18">
        <f>IF(AND(50&gt;=$NQ$6,50&lt;=$NR$6),IF($NO$6="Single_Point",IF(50=$NQ$6,$NM$6,0),IF($NO$6="Bell_Curve",$NM$6*(50-$NQ$6+1)*($NR$6-50+1)/$NT$6,$NM$6/$NS$6)),0)</f>
        <v/>
      </c>
      <c r="BB6" s="18">
        <f>IF(AND(51&gt;=$NQ$6,51&lt;=$NR$6),IF($NO$6="Single_Point",IF(51=$NQ$6,$NM$6,0),IF($NO$6="Bell_Curve",$NM$6*(51-$NQ$6+1)*($NR$6-51+1)/$NT$6,$NM$6/$NS$6)),0)</f>
        <v/>
      </c>
      <c r="BC6" s="18">
        <f>IF(AND(52&gt;=$NQ$6,52&lt;=$NR$6),IF($NO$6="Single_Point",IF(52=$NQ$6,$NM$6,0),IF($NO$6="Bell_Curve",$NM$6*(52-$NQ$6+1)*($NR$6-52+1)/$NT$6,$NM$6/$NS$6)),0)</f>
        <v/>
      </c>
      <c r="BD6" s="18">
        <f>IF(AND(53&gt;=$NQ$6,53&lt;=$NR$6),IF($NO$6="Single_Point",IF(53=$NQ$6,$NM$6,0),IF($NO$6="Bell_Curve",$NM$6*(53-$NQ$6+1)*($NR$6-53+1)/$NT$6,$NM$6/$NS$6)),0)</f>
        <v/>
      </c>
      <c r="BE6" s="18">
        <f>IF(AND(54&gt;=$NQ$6,54&lt;=$NR$6),IF($NO$6="Single_Point",IF(54=$NQ$6,$NM$6,0),IF($NO$6="Bell_Curve",$NM$6*(54-$NQ$6+1)*($NR$6-54+1)/$NT$6,$NM$6/$NS$6)),0)</f>
        <v/>
      </c>
      <c r="BF6" s="18">
        <f>IF(AND(55&gt;=$NQ$6,55&lt;=$NR$6),IF($NO$6="Single_Point",IF(55=$NQ$6,$NM$6,0),IF($NO$6="Bell_Curve",$NM$6*(55-$NQ$6+1)*($NR$6-55+1)/$NT$6,$NM$6/$NS$6)),0)</f>
        <v/>
      </c>
      <c r="BG6" s="18">
        <f>IF(AND(56&gt;=$NQ$6,56&lt;=$NR$6),IF($NO$6="Single_Point",IF(56=$NQ$6,$NM$6,0),IF($NO$6="Bell_Curve",$NM$6*(56-$NQ$6+1)*($NR$6-56+1)/$NT$6,$NM$6/$NS$6)),0)</f>
        <v/>
      </c>
      <c r="BH6" s="18">
        <f>IF(AND(57&gt;=$NQ$6,57&lt;=$NR$6),IF($NO$6="Single_Point",IF(57=$NQ$6,$NM$6,0),IF($NO$6="Bell_Curve",$NM$6*(57-$NQ$6+1)*($NR$6-57+1)/$NT$6,$NM$6/$NS$6)),0)</f>
        <v/>
      </c>
      <c r="BI6" s="18">
        <f>IF(AND(58&gt;=$NQ$6,58&lt;=$NR$6),IF($NO$6="Single_Point",IF(58=$NQ$6,$NM$6,0),IF($NO$6="Bell_Curve",$NM$6*(58-$NQ$6+1)*($NR$6-58+1)/$NT$6,$NM$6/$NS$6)),0)</f>
        <v/>
      </c>
      <c r="BJ6" s="18">
        <f>IF(AND(59&gt;=$NQ$6,59&lt;=$NR$6),IF($NO$6="Single_Point",IF(59=$NQ$6,$NM$6,0),IF($NO$6="Bell_Curve",$NM$6*(59-$NQ$6+1)*($NR$6-59+1)/$NT$6,$NM$6/$NS$6)),0)</f>
        <v/>
      </c>
      <c r="BK6" s="18">
        <f>IF(AND(60&gt;=$NQ$6,60&lt;=$NR$6),IF($NO$6="Single_Point",IF(60=$NQ$6,$NM$6,0),IF($NO$6="Bell_Curve",$NM$6*(60-$NQ$6+1)*($NR$6-60+1)/$NT$6,$NM$6/$NS$6)),0)</f>
        <v/>
      </c>
      <c r="BL6" s="18">
        <f>IF(AND(61&gt;=$NQ$6,61&lt;=$NR$6),IF($NO$6="Single_Point",IF(61=$NQ$6,$NM$6,0),IF($NO$6="Bell_Curve",$NM$6*(61-$NQ$6+1)*($NR$6-61+1)/$NT$6,$NM$6/$NS$6)),0)</f>
        <v/>
      </c>
      <c r="BM6" s="18">
        <f>IF(AND(62&gt;=$NQ$6,62&lt;=$NR$6),IF($NO$6="Single_Point",IF(62=$NQ$6,$NM$6,0),IF($NO$6="Bell_Curve",$NM$6*(62-$NQ$6+1)*($NR$6-62+1)/$NT$6,$NM$6/$NS$6)),0)</f>
        <v/>
      </c>
      <c r="BN6" s="18">
        <f>IF(AND(63&gt;=$NQ$6,63&lt;=$NR$6),IF($NO$6="Single_Point",IF(63=$NQ$6,$NM$6,0),IF($NO$6="Bell_Curve",$NM$6*(63-$NQ$6+1)*($NR$6-63+1)/$NT$6,$NM$6/$NS$6)),0)</f>
        <v/>
      </c>
      <c r="BO6" s="18">
        <f>IF(AND(64&gt;=$NQ$6,64&lt;=$NR$6),IF($NO$6="Single_Point",IF(64=$NQ$6,$NM$6,0),IF($NO$6="Bell_Curve",$NM$6*(64-$NQ$6+1)*($NR$6-64+1)/$NT$6,$NM$6/$NS$6)),0)</f>
        <v/>
      </c>
      <c r="BP6" s="18">
        <f>IF(AND(65&gt;=$NQ$6,65&lt;=$NR$6),IF($NO$6="Single_Point",IF(65=$NQ$6,$NM$6,0),IF($NO$6="Bell_Curve",$NM$6*(65-$NQ$6+1)*($NR$6-65+1)/$NT$6,$NM$6/$NS$6)),0)</f>
        <v/>
      </c>
      <c r="BQ6" s="18">
        <f>IF(AND(66&gt;=$NQ$6,66&lt;=$NR$6),IF($NO$6="Single_Point",IF(66=$NQ$6,$NM$6,0),IF($NO$6="Bell_Curve",$NM$6*(66-$NQ$6+1)*($NR$6-66+1)/$NT$6,$NM$6/$NS$6)),0)</f>
        <v/>
      </c>
      <c r="BR6" s="18">
        <f>IF(AND(67&gt;=$NQ$6,67&lt;=$NR$6),IF($NO$6="Single_Point",IF(67=$NQ$6,$NM$6,0),IF($NO$6="Bell_Curve",$NM$6*(67-$NQ$6+1)*($NR$6-67+1)/$NT$6,$NM$6/$NS$6)),0)</f>
        <v/>
      </c>
      <c r="BS6" s="18">
        <f>IF(AND(68&gt;=$NQ$6,68&lt;=$NR$6),IF($NO$6="Single_Point",IF(68=$NQ$6,$NM$6,0),IF($NO$6="Bell_Curve",$NM$6*(68-$NQ$6+1)*($NR$6-68+1)/$NT$6,$NM$6/$NS$6)),0)</f>
        <v/>
      </c>
      <c r="BT6" s="18">
        <f>IF(AND(69&gt;=$NQ$6,69&lt;=$NR$6),IF($NO$6="Single_Point",IF(69=$NQ$6,$NM$6,0),IF($NO$6="Bell_Curve",$NM$6*(69-$NQ$6+1)*($NR$6-69+1)/$NT$6,$NM$6/$NS$6)),0)</f>
        <v/>
      </c>
      <c r="BU6" s="18">
        <f>IF(AND(70&gt;=$NQ$6,70&lt;=$NR$6),IF($NO$6="Single_Point",IF(70=$NQ$6,$NM$6,0),IF($NO$6="Bell_Curve",$NM$6*(70-$NQ$6+1)*($NR$6-70+1)/$NT$6,$NM$6/$NS$6)),0)</f>
        <v/>
      </c>
      <c r="BV6" s="18">
        <f>IF(AND(71&gt;=$NQ$6,71&lt;=$NR$6),IF($NO$6="Single_Point",IF(71=$NQ$6,$NM$6,0),IF($NO$6="Bell_Curve",$NM$6*(71-$NQ$6+1)*($NR$6-71+1)/$NT$6,$NM$6/$NS$6)),0)</f>
        <v/>
      </c>
      <c r="BW6" s="18">
        <f>IF(AND(72&gt;=$NQ$6,72&lt;=$NR$6),IF($NO$6="Single_Point",IF(72=$NQ$6,$NM$6,0),IF($NO$6="Bell_Curve",$NM$6*(72-$NQ$6+1)*($NR$6-72+1)/$NT$6,$NM$6/$NS$6)),0)</f>
        <v/>
      </c>
      <c r="BX6" s="18">
        <f>IF(AND(73&gt;=$NQ$6,73&lt;=$NR$6),IF($NO$6="Single_Point",IF(73=$NQ$6,$NM$6,0),IF($NO$6="Bell_Curve",$NM$6*(73-$NQ$6+1)*($NR$6-73+1)/$NT$6,$NM$6/$NS$6)),0)</f>
        <v/>
      </c>
      <c r="BY6" s="18">
        <f>IF(AND(74&gt;=$NQ$6,74&lt;=$NR$6),IF($NO$6="Single_Point",IF(74=$NQ$6,$NM$6,0),IF($NO$6="Bell_Curve",$NM$6*(74-$NQ$6+1)*($NR$6-74+1)/$NT$6,$NM$6/$NS$6)),0)</f>
        <v/>
      </c>
      <c r="BZ6" s="18">
        <f>IF(AND(75&gt;=$NQ$6,75&lt;=$NR$6),IF($NO$6="Single_Point",IF(75=$NQ$6,$NM$6,0),IF($NO$6="Bell_Curve",$NM$6*(75-$NQ$6+1)*($NR$6-75+1)/$NT$6,$NM$6/$NS$6)),0)</f>
        <v/>
      </c>
      <c r="CA6" s="18">
        <f>IF(AND(76&gt;=$NQ$6,76&lt;=$NR$6),IF($NO$6="Single_Point",IF(76=$NQ$6,$NM$6,0),IF($NO$6="Bell_Curve",$NM$6*(76-$NQ$6+1)*($NR$6-76+1)/$NT$6,$NM$6/$NS$6)),0)</f>
        <v/>
      </c>
      <c r="CB6" s="18">
        <f>IF(AND(77&gt;=$NQ$6,77&lt;=$NR$6),IF($NO$6="Single_Point",IF(77=$NQ$6,$NM$6,0),IF($NO$6="Bell_Curve",$NM$6*(77-$NQ$6+1)*($NR$6-77+1)/$NT$6,$NM$6/$NS$6)),0)</f>
        <v/>
      </c>
      <c r="CC6" s="18">
        <f>IF(AND(78&gt;=$NQ$6,78&lt;=$NR$6),IF($NO$6="Single_Point",IF(78=$NQ$6,$NM$6,0),IF($NO$6="Bell_Curve",$NM$6*(78-$NQ$6+1)*($NR$6-78+1)/$NT$6,$NM$6/$NS$6)),0)</f>
        <v/>
      </c>
      <c r="CD6" s="18">
        <f>IF(AND(79&gt;=$NQ$6,79&lt;=$NR$6),IF($NO$6="Single_Point",IF(79=$NQ$6,$NM$6,0),IF($NO$6="Bell_Curve",$NM$6*(79-$NQ$6+1)*($NR$6-79+1)/$NT$6,$NM$6/$NS$6)),0)</f>
        <v/>
      </c>
      <c r="CE6" s="18">
        <f>IF(AND(80&gt;=$NQ$6,80&lt;=$NR$6),IF($NO$6="Single_Point",IF(80=$NQ$6,$NM$6,0),IF($NO$6="Bell_Curve",$NM$6*(80-$NQ$6+1)*($NR$6-80+1)/$NT$6,$NM$6/$NS$6)),0)</f>
        <v/>
      </c>
      <c r="CF6" s="18">
        <f>IF(AND(81&gt;=$NQ$6,81&lt;=$NR$6),IF($NO$6="Single_Point",IF(81=$NQ$6,$NM$6,0),IF($NO$6="Bell_Curve",$NM$6*(81-$NQ$6+1)*($NR$6-81+1)/$NT$6,$NM$6/$NS$6)),0)</f>
        <v/>
      </c>
      <c r="CG6" s="18">
        <f>IF(AND(82&gt;=$NQ$6,82&lt;=$NR$6),IF($NO$6="Single_Point",IF(82=$NQ$6,$NM$6,0),IF($NO$6="Bell_Curve",$NM$6*(82-$NQ$6+1)*($NR$6-82+1)/$NT$6,$NM$6/$NS$6)),0)</f>
        <v/>
      </c>
      <c r="CH6" s="18">
        <f>IF(AND(83&gt;=$NQ$6,83&lt;=$NR$6),IF($NO$6="Single_Point",IF(83=$NQ$6,$NM$6,0),IF($NO$6="Bell_Curve",$NM$6*(83-$NQ$6+1)*($NR$6-83+1)/$NT$6,$NM$6/$NS$6)),0)</f>
        <v/>
      </c>
      <c r="CI6" s="18">
        <f>IF(AND(84&gt;=$NQ$6,84&lt;=$NR$6),IF($NO$6="Single_Point",IF(84=$NQ$6,$NM$6,0),IF($NO$6="Bell_Curve",$NM$6*(84-$NQ$6+1)*($NR$6-84+1)/$NT$6,$NM$6/$NS$6)),0)</f>
        <v/>
      </c>
      <c r="CJ6" s="18">
        <f>IF(AND(85&gt;=$NQ$6,85&lt;=$NR$6),IF($NO$6="Single_Point",IF(85=$NQ$6,$NM$6,0),IF($NO$6="Bell_Curve",$NM$6*(85-$NQ$6+1)*($NR$6-85+1)/$NT$6,$NM$6/$NS$6)),0)</f>
        <v/>
      </c>
      <c r="CK6" s="18">
        <f>IF(AND(86&gt;=$NQ$6,86&lt;=$NR$6),IF($NO$6="Single_Point",IF(86=$NQ$6,$NM$6,0),IF($NO$6="Bell_Curve",$NM$6*(86-$NQ$6+1)*($NR$6-86+1)/$NT$6,$NM$6/$NS$6)),0)</f>
        <v/>
      </c>
      <c r="CL6" s="18">
        <f>IF(AND(87&gt;=$NQ$6,87&lt;=$NR$6),IF($NO$6="Single_Point",IF(87=$NQ$6,$NM$6,0),IF($NO$6="Bell_Curve",$NM$6*(87-$NQ$6+1)*($NR$6-87+1)/$NT$6,$NM$6/$NS$6)),0)</f>
        <v/>
      </c>
      <c r="CM6" s="18">
        <f>IF(AND(88&gt;=$NQ$6,88&lt;=$NR$6),IF($NO$6="Single_Point",IF(88=$NQ$6,$NM$6,0),IF($NO$6="Bell_Curve",$NM$6*(88-$NQ$6+1)*($NR$6-88+1)/$NT$6,$NM$6/$NS$6)),0)</f>
        <v/>
      </c>
      <c r="CN6" s="18">
        <f>IF(AND(89&gt;=$NQ$6,89&lt;=$NR$6),IF($NO$6="Single_Point",IF(89=$NQ$6,$NM$6,0),IF($NO$6="Bell_Curve",$NM$6*(89-$NQ$6+1)*($NR$6-89+1)/$NT$6,$NM$6/$NS$6)),0)</f>
        <v/>
      </c>
      <c r="CO6" s="18">
        <f>IF(AND(90&gt;=$NQ$6,90&lt;=$NR$6),IF($NO$6="Single_Point",IF(90=$NQ$6,$NM$6,0),IF($NO$6="Bell_Curve",$NM$6*(90-$NQ$6+1)*($NR$6-90+1)/$NT$6,$NM$6/$NS$6)),0)</f>
        <v/>
      </c>
      <c r="CP6" s="18">
        <f>IF(AND(91&gt;=$NQ$6,91&lt;=$NR$6),IF($NO$6="Single_Point",IF(91=$NQ$6,$NM$6,0),IF($NO$6="Bell_Curve",$NM$6*(91-$NQ$6+1)*($NR$6-91+1)/$NT$6,$NM$6/$NS$6)),0)</f>
        <v/>
      </c>
      <c r="CQ6" s="18">
        <f>IF(AND(92&gt;=$NQ$6,92&lt;=$NR$6),IF($NO$6="Single_Point",IF(92=$NQ$6,$NM$6,0),IF($NO$6="Bell_Curve",$NM$6*(92-$NQ$6+1)*($NR$6-92+1)/$NT$6,$NM$6/$NS$6)),0)</f>
        <v/>
      </c>
      <c r="CR6" s="18">
        <f>IF(AND(93&gt;=$NQ$6,93&lt;=$NR$6),IF($NO$6="Single_Point",IF(93=$NQ$6,$NM$6,0),IF($NO$6="Bell_Curve",$NM$6*(93-$NQ$6+1)*($NR$6-93+1)/$NT$6,$NM$6/$NS$6)),0)</f>
        <v/>
      </c>
      <c r="CS6" s="18">
        <f>IF(AND(94&gt;=$NQ$6,94&lt;=$NR$6),IF($NO$6="Single_Point",IF(94=$NQ$6,$NM$6,0),IF($NO$6="Bell_Curve",$NM$6*(94-$NQ$6+1)*($NR$6-94+1)/$NT$6,$NM$6/$NS$6)),0)</f>
        <v/>
      </c>
      <c r="CT6" s="18">
        <f>IF(AND(95&gt;=$NQ$6,95&lt;=$NR$6),IF($NO$6="Single_Point",IF(95=$NQ$6,$NM$6,0),IF($NO$6="Bell_Curve",$NM$6*(95-$NQ$6+1)*($NR$6-95+1)/$NT$6,$NM$6/$NS$6)),0)</f>
        <v/>
      </c>
      <c r="CU6" s="18">
        <f>IF(AND(96&gt;=$NQ$6,96&lt;=$NR$6),IF($NO$6="Single_Point",IF(96=$NQ$6,$NM$6,0),IF($NO$6="Bell_Curve",$NM$6*(96-$NQ$6+1)*($NR$6-96+1)/$NT$6,$NM$6/$NS$6)),0)</f>
        <v/>
      </c>
      <c r="CV6" s="18">
        <f>IF(AND(97&gt;=$NQ$6,97&lt;=$NR$6),IF($NO$6="Single_Point",IF(97=$NQ$6,$NM$6,0),IF($NO$6="Bell_Curve",$NM$6*(97-$NQ$6+1)*($NR$6-97+1)/$NT$6,$NM$6/$NS$6)),0)</f>
        <v/>
      </c>
      <c r="CW6" s="18">
        <f>IF(AND(98&gt;=$NQ$6,98&lt;=$NR$6),IF($NO$6="Single_Point",IF(98=$NQ$6,$NM$6,0),IF($NO$6="Bell_Curve",$NM$6*(98-$NQ$6+1)*($NR$6-98+1)/$NT$6,$NM$6/$NS$6)),0)</f>
        <v/>
      </c>
      <c r="CX6" s="18">
        <f>IF(AND(99&gt;=$NQ$6,99&lt;=$NR$6),IF($NO$6="Single_Point",IF(99=$NQ$6,$NM$6,0),IF($NO$6="Bell_Curve",$NM$6*(99-$NQ$6+1)*($NR$6-99+1)/$NT$6,$NM$6/$NS$6)),0)</f>
        <v/>
      </c>
      <c r="CY6" s="18">
        <f>IF(AND(100&gt;=$NQ$6,100&lt;=$NR$6),IF($NO$6="Single_Point",IF(100=$NQ$6,$NM$6,0),IF($NO$6="Bell_Curve",$NM$6*(100-$NQ$6+1)*($NR$6-100+1)/$NT$6,$NM$6/$NS$6)),0)</f>
        <v/>
      </c>
      <c r="CZ6" s="18">
        <f>IF(AND(101&gt;=$NQ$6,101&lt;=$NR$6),IF($NO$6="Single_Point",IF(101=$NQ$6,$NM$6,0),IF($NO$6="Bell_Curve",$NM$6*(101-$NQ$6+1)*($NR$6-101+1)/$NT$6,$NM$6/$NS$6)),0)</f>
        <v/>
      </c>
      <c r="DA6" s="18">
        <f>IF(AND(102&gt;=$NQ$6,102&lt;=$NR$6),IF($NO$6="Single_Point",IF(102=$NQ$6,$NM$6,0),IF($NO$6="Bell_Curve",$NM$6*(102-$NQ$6+1)*($NR$6-102+1)/$NT$6,$NM$6/$NS$6)),0)</f>
        <v/>
      </c>
      <c r="DB6" s="18">
        <f>IF(AND(103&gt;=$NQ$6,103&lt;=$NR$6),IF($NO$6="Single_Point",IF(103=$NQ$6,$NM$6,0),IF($NO$6="Bell_Curve",$NM$6*(103-$NQ$6+1)*($NR$6-103+1)/$NT$6,$NM$6/$NS$6)),0)</f>
        <v/>
      </c>
      <c r="DC6" s="18">
        <f>IF(AND(104&gt;=$NQ$6,104&lt;=$NR$6),IF($NO$6="Single_Point",IF(104=$NQ$6,$NM$6,0),IF($NO$6="Bell_Curve",$NM$6*(104-$NQ$6+1)*($NR$6-104+1)/$NT$6,$NM$6/$NS$6)),0)</f>
        <v/>
      </c>
      <c r="DD6" s="18">
        <f>IF(AND(105&gt;=$NQ$6,105&lt;=$NR$6),IF($NO$6="Single_Point",IF(105=$NQ$6,$NM$6,0),IF($NO$6="Bell_Curve",$NM$6*(105-$NQ$6+1)*($NR$6-105+1)/$NT$6,$NM$6/$NS$6)),0)</f>
        <v/>
      </c>
      <c r="DE6" s="18">
        <f>IF(AND(106&gt;=$NQ$6,106&lt;=$NR$6),IF($NO$6="Single_Point",IF(106=$NQ$6,$NM$6,0),IF($NO$6="Bell_Curve",$NM$6*(106-$NQ$6+1)*($NR$6-106+1)/$NT$6,$NM$6/$NS$6)),0)</f>
        <v/>
      </c>
      <c r="DF6" s="18">
        <f>IF(AND(107&gt;=$NQ$6,107&lt;=$NR$6),IF($NO$6="Single_Point",IF(107=$NQ$6,$NM$6,0),IF($NO$6="Bell_Curve",$NM$6*(107-$NQ$6+1)*($NR$6-107+1)/$NT$6,$NM$6/$NS$6)),0)</f>
        <v/>
      </c>
      <c r="DG6" s="18">
        <f>IF(AND(108&gt;=$NQ$6,108&lt;=$NR$6),IF($NO$6="Single_Point",IF(108=$NQ$6,$NM$6,0),IF($NO$6="Bell_Curve",$NM$6*(108-$NQ$6+1)*($NR$6-108+1)/$NT$6,$NM$6/$NS$6)),0)</f>
        <v/>
      </c>
      <c r="DH6" s="18">
        <f>IF(AND(109&gt;=$NQ$6,109&lt;=$NR$6),IF($NO$6="Single_Point",IF(109=$NQ$6,$NM$6,0),IF($NO$6="Bell_Curve",$NM$6*(109-$NQ$6+1)*($NR$6-109+1)/$NT$6,$NM$6/$NS$6)),0)</f>
        <v/>
      </c>
      <c r="DI6" s="18">
        <f>IF(AND(110&gt;=$NQ$6,110&lt;=$NR$6),IF($NO$6="Single_Point",IF(110=$NQ$6,$NM$6,0),IF($NO$6="Bell_Curve",$NM$6*(110-$NQ$6+1)*($NR$6-110+1)/$NT$6,$NM$6/$NS$6)),0)</f>
        <v/>
      </c>
      <c r="DJ6" s="18">
        <f>IF(AND(111&gt;=$NQ$6,111&lt;=$NR$6),IF($NO$6="Single_Point",IF(111=$NQ$6,$NM$6,0),IF($NO$6="Bell_Curve",$NM$6*(111-$NQ$6+1)*($NR$6-111+1)/$NT$6,$NM$6/$NS$6)),0)</f>
        <v/>
      </c>
      <c r="DK6" s="18">
        <f>IF(AND(112&gt;=$NQ$6,112&lt;=$NR$6),IF($NO$6="Single_Point",IF(112=$NQ$6,$NM$6,0),IF($NO$6="Bell_Curve",$NM$6*(112-$NQ$6+1)*($NR$6-112+1)/$NT$6,$NM$6/$NS$6)),0)</f>
        <v/>
      </c>
      <c r="DL6" s="18">
        <f>IF(AND(113&gt;=$NQ$6,113&lt;=$NR$6),IF($NO$6="Single_Point",IF(113=$NQ$6,$NM$6,0),IF($NO$6="Bell_Curve",$NM$6*(113-$NQ$6+1)*($NR$6-113+1)/$NT$6,$NM$6/$NS$6)),0)</f>
        <v/>
      </c>
      <c r="DM6" s="18">
        <f>IF(AND(114&gt;=$NQ$6,114&lt;=$NR$6),IF($NO$6="Single_Point",IF(114=$NQ$6,$NM$6,0),IF($NO$6="Bell_Curve",$NM$6*(114-$NQ$6+1)*($NR$6-114+1)/$NT$6,$NM$6/$NS$6)),0)</f>
        <v/>
      </c>
      <c r="DN6" s="18">
        <f>IF(AND(115&gt;=$NQ$6,115&lt;=$NR$6),IF($NO$6="Single_Point",IF(115=$NQ$6,$NM$6,0),IF($NO$6="Bell_Curve",$NM$6*(115-$NQ$6+1)*($NR$6-115+1)/$NT$6,$NM$6/$NS$6)),0)</f>
        <v/>
      </c>
      <c r="DO6" s="18">
        <f>IF(AND(116&gt;=$NQ$6,116&lt;=$NR$6),IF($NO$6="Single_Point",IF(116=$NQ$6,$NM$6,0),IF($NO$6="Bell_Curve",$NM$6*(116-$NQ$6+1)*($NR$6-116+1)/$NT$6,$NM$6/$NS$6)),0)</f>
        <v/>
      </c>
      <c r="DP6" s="18">
        <f>IF(AND(117&gt;=$NQ$6,117&lt;=$NR$6),IF($NO$6="Single_Point",IF(117=$NQ$6,$NM$6,0),IF($NO$6="Bell_Curve",$NM$6*(117-$NQ$6+1)*($NR$6-117+1)/$NT$6,$NM$6/$NS$6)),0)</f>
        <v/>
      </c>
      <c r="DQ6" s="18">
        <f>IF(AND(118&gt;=$NQ$6,118&lt;=$NR$6),IF($NO$6="Single_Point",IF(118=$NQ$6,$NM$6,0),IF($NO$6="Bell_Curve",$NM$6*(118-$NQ$6+1)*($NR$6-118+1)/$NT$6,$NM$6/$NS$6)),0)</f>
        <v/>
      </c>
      <c r="DR6" s="18">
        <f>IF(AND(119&gt;=$NQ$6,119&lt;=$NR$6),IF($NO$6="Single_Point",IF(119=$NQ$6,$NM$6,0),IF($NO$6="Bell_Curve",$NM$6*(119-$NQ$6+1)*($NR$6-119+1)/$NT$6,$NM$6/$NS$6)),0)</f>
        <v/>
      </c>
      <c r="DS6" s="18">
        <f>IF(AND(120&gt;=$NQ$6,120&lt;=$NR$6),IF($NO$6="Single_Point",IF(120=$NQ$6,$NM$6,0),IF($NO$6="Bell_Curve",$NM$6*(120-$NQ$6+1)*($NR$6-120+1)/$NT$6,$NM$6/$NS$6)),0)</f>
        <v/>
      </c>
      <c r="DT6" s="18">
        <f>IF(AND(121&gt;=$NQ$6,121&lt;=$NR$6),IF($NO$6="Single_Point",IF(121=$NQ$6,$NM$6,0),IF($NO$6="Bell_Curve",$NM$6*(121-$NQ$6+1)*($NR$6-121+1)/$NT$6,$NM$6/$NS$6)),0)</f>
        <v/>
      </c>
      <c r="DU6" s="18">
        <f>IF(AND(122&gt;=$NQ$6,122&lt;=$NR$6),IF($NO$6="Single_Point",IF(122=$NQ$6,$NM$6,0),IF($NO$6="Bell_Curve",$NM$6*(122-$NQ$6+1)*($NR$6-122+1)/$NT$6,$NM$6/$NS$6)),0)</f>
        <v/>
      </c>
      <c r="DV6" s="18">
        <f>IF(AND(123&gt;=$NQ$6,123&lt;=$NR$6),IF($NO$6="Single_Point",IF(123=$NQ$6,$NM$6,0),IF($NO$6="Bell_Curve",$NM$6*(123-$NQ$6+1)*($NR$6-123+1)/$NT$6,$NM$6/$NS$6)),0)</f>
        <v/>
      </c>
      <c r="DW6" s="18">
        <f>IF(AND(124&gt;=$NQ$6,124&lt;=$NR$6),IF($NO$6="Single_Point",IF(124=$NQ$6,$NM$6,0),IF($NO$6="Bell_Curve",$NM$6*(124-$NQ$6+1)*($NR$6-124+1)/$NT$6,$NM$6/$NS$6)),0)</f>
        <v/>
      </c>
      <c r="DX6" s="18">
        <f>IF(AND(125&gt;=$NQ$6,125&lt;=$NR$6),IF($NO$6="Single_Point",IF(125=$NQ$6,$NM$6,0),IF($NO$6="Bell_Curve",$NM$6*(125-$NQ$6+1)*($NR$6-125+1)/$NT$6,$NM$6/$NS$6)),0)</f>
        <v/>
      </c>
      <c r="DY6" s="18">
        <f>IF(AND(126&gt;=$NQ$6,126&lt;=$NR$6),IF($NO$6="Single_Point",IF(126=$NQ$6,$NM$6,0),IF($NO$6="Bell_Curve",$NM$6*(126-$NQ$6+1)*($NR$6-126+1)/$NT$6,$NM$6/$NS$6)),0)</f>
        <v/>
      </c>
      <c r="DZ6" s="18">
        <f>IF(AND(127&gt;=$NQ$6,127&lt;=$NR$6),IF($NO$6="Single_Point",IF(127=$NQ$6,$NM$6,0),IF($NO$6="Bell_Curve",$NM$6*(127-$NQ$6+1)*($NR$6-127+1)/$NT$6,$NM$6/$NS$6)),0)</f>
        <v/>
      </c>
      <c r="EA6" s="18">
        <f>IF(AND(128&gt;=$NQ$6,128&lt;=$NR$6),IF($NO$6="Single_Point",IF(128=$NQ$6,$NM$6,0),IF($NO$6="Bell_Curve",$NM$6*(128-$NQ$6+1)*($NR$6-128+1)/$NT$6,$NM$6/$NS$6)),0)</f>
        <v/>
      </c>
      <c r="EB6" s="18">
        <f>IF(AND(129&gt;=$NQ$6,129&lt;=$NR$6),IF($NO$6="Single_Point",IF(129=$NQ$6,$NM$6,0),IF($NO$6="Bell_Curve",$NM$6*(129-$NQ$6+1)*($NR$6-129+1)/$NT$6,$NM$6/$NS$6)),0)</f>
        <v/>
      </c>
      <c r="EC6" s="18">
        <f>IF(AND(130&gt;=$NQ$6,130&lt;=$NR$6),IF($NO$6="Single_Point",IF(130=$NQ$6,$NM$6,0),IF($NO$6="Bell_Curve",$NM$6*(130-$NQ$6+1)*($NR$6-130+1)/$NT$6,$NM$6/$NS$6)),0)</f>
        <v/>
      </c>
      <c r="ED6" s="18">
        <f>IF(AND(131&gt;=$NQ$6,131&lt;=$NR$6),IF($NO$6="Single_Point",IF(131=$NQ$6,$NM$6,0),IF($NO$6="Bell_Curve",$NM$6*(131-$NQ$6+1)*($NR$6-131+1)/$NT$6,$NM$6/$NS$6)),0)</f>
        <v/>
      </c>
      <c r="EE6" s="18">
        <f>IF(AND(132&gt;=$NQ$6,132&lt;=$NR$6),IF($NO$6="Single_Point",IF(132=$NQ$6,$NM$6,0),IF($NO$6="Bell_Curve",$NM$6*(132-$NQ$6+1)*($NR$6-132+1)/$NT$6,$NM$6/$NS$6)),0)</f>
        <v/>
      </c>
      <c r="EF6" s="18">
        <f>IF(AND(133&gt;=$NQ$6,133&lt;=$NR$6),IF($NO$6="Single_Point",IF(133=$NQ$6,$NM$6,0),IF($NO$6="Bell_Curve",$NM$6*(133-$NQ$6+1)*($NR$6-133+1)/$NT$6,$NM$6/$NS$6)),0)</f>
        <v/>
      </c>
      <c r="EG6" s="18">
        <f>IF(AND(134&gt;=$NQ$6,134&lt;=$NR$6),IF($NO$6="Single_Point",IF(134=$NQ$6,$NM$6,0),IF($NO$6="Bell_Curve",$NM$6*(134-$NQ$6+1)*($NR$6-134+1)/$NT$6,$NM$6/$NS$6)),0)</f>
        <v/>
      </c>
      <c r="EH6" s="18">
        <f>IF(AND(135&gt;=$NQ$6,135&lt;=$NR$6),IF($NO$6="Single_Point",IF(135=$NQ$6,$NM$6,0),IF($NO$6="Bell_Curve",$NM$6*(135-$NQ$6+1)*($NR$6-135+1)/$NT$6,$NM$6/$NS$6)),0)</f>
        <v/>
      </c>
      <c r="EI6" s="18">
        <f>IF(AND(136&gt;=$NQ$6,136&lt;=$NR$6),IF($NO$6="Single_Point",IF(136=$NQ$6,$NM$6,0),IF($NO$6="Bell_Curve",$NM$6*(136-$NQ$6+1)*($NR$6-136+1)/$NT$6,$NM$6/$NS$6)),0)</f>
        <v/>
      </c>
      <c r="EJ6" s="18">
        <f>IF(AND(137&gt;=$NQ$6,137&lt;=$NR$6),IF($NO$6="Single_Point",IF(137=$NQ$6,$NM$6,0),IF($NO$6="Bell_Curve",$NM$6*(137-$NQ$6+1)*($NR$6-137+1)/$NT$6,$NM$6/$NS$6)),0)</f>
        <v/>
      </c>
      <c r="EK6" s="18">
        <f>IF(AND(138&gt;=$NQ$6,138&lt;=$NR$6),IF($NO$6="Single_Point",IF(138=$NQ$6,$NM$6,0),IF($NO$6="Bell_Curve",$NM$6*(138-$NQ$6+1)*($NR$6-138+1)/$NT$6,$NM$6/$NS$6)),0)</f>
        <v/>
      </c>
      <c r="EL6" s="18">
        <f>IF(AND(139&gt;=$NQ$6,139&lt;=$NR$6),IF($NO$6="Single_Point",IF(139=$NQ$6,$NM$6,0),IF($NO$6="Bell_Curve",$NM$6*(139-$NQ$6+1)*($NR$6-139+1)/$NT$6,$NM$6/$NS$6)),0)</f>
        <v/>
      </c>
      <c r="EM6" s="18">
        <f>IF(AND(140&gt;=$NQ$6,140&lt;=$NR$6),IF($NO$6="Single_Point",IF(140=$NQ$6,$NM$6,0),IF($NO$6="Bell_Curve",$NM$6*(140-$NQ$6+1)*($NR$6-140+1)/$NT$6,$NM$6/$NS$6)),0)</f>
        <v/>
      </c>
      <c r="EN6" s="18">
        <f>IF(AND(141&gt;=$NQ$6,141&lt;=$NR$6),IF($NO$6="Single_Point",IF(141=$NQ$6,$NM$6,0),IF($NO$6="Bell_Curve",$NM$6*(141-$NQ$6+1)*($NR$6-141+1)/$NT$6,$NM$6/$NS$6)),0)</f>
        <v/>
      </c>
      <c r="EO6" s="18">
        <f>IF(AND(142&gt;=$NQ$6,142&lt;=$NR$6),IF($NO$6="Single_Point",IF(142=$NQ$6,$NM$6,0),IF($NO$6="Bell_Curve",$NM$6*(142-$NQ$6+1)*($NR$6-142+1)/$NT$6,$NM$6/$NS$6)),0)</f>
        <v/>
      </c>
      <c r="EP6" s="18">
        <f>IF(AND(143&gt;=$NQ$6,143&lt;=$NR$6),IF($NO$6="Single_Point",IF(143=$NQ$6,$NM$6,0),IF($NO$6="Bell_Curve",$NM$6*(143-$NQ$6+1)*($NR$6-143+1)/$NT$6,$NM$6/$NS$6)),0)</f>
        <v/>
      </c>
      <c r="EQ6" s="18">
        <f>IF(AND(144&gt;=$NQ$6,144&lt;=$NR$6),IF($NO$6="Single_Point",IF(144=$NQ$6,$NM$6,0),IF($NO$6="Bell_Curve",$NM$6*(144-$NQ$6+1)*($NR$6-144+1)/$NT$6,$NM$6/$NS$6)),0)</f>
        <v/>
      </c>
      <c r="ER6" s="18">
        <f>IF(AND(145&gt;=$NQ$6,145&lt;=$NR$6),IF($NO$6="Single_Point",IF(145=$NQ$6,$NM$6,0),IF($NO$6="Bell_Curve",$NM$6*(145-$NQ$6+1)*($NR$6-145+1)/$NT$6,$NM$6/$NS$6)),0)</f>
        <v/>
      </c>
      <c r="ES6" s="18">
        <f>IF(AND(146&gt;=$NQ$6,146&lt;=$NR$6),IF($NO$6="Single_Point",IF(146=$NQ$6,$NM$6,0),IF($NO$6="Bell_Curve",$NM$6*(146-$NQ$6+1)*($NR$6-146+1)/$NT$6,$NM$6/$NS$6)),0)</f>
        <v/>
      </c>
      <c r="ET6" s="18">
        <f>IF(AND(147&gt;=$NQ$6,147&lt;=$NR$6),IF($NO$6="Single_Point",IF(147=$NQ$6,$NM$6,0),IF($NO$6="Bell_Curve",$NM$6*(147-$NQ$6+1)*($NR$6-147+1)/$NT$6,$NM$6/$NS$6)),0)</f>
        <v/>
      </c>
      <c r="EU6" s="18">
        <f>IF(AND(148&gt;=$NQ$6,148&lt;=$NR$6),IF($NO$6="Single_Point",IF(148=$NQ$6,$NM$6,0),IF($NO$6="Bell_Curve",$NM$6*(148-$NQ$6+1)*($NR$6-148+1)/$NT$6,$NM$6/$NS$6)),0)</f>
        <v/>
      </c>
      <c r="EV6" s="18">
        <f>IF(AND(149&gt;=$NQ$6,149&lt;=$NR$6),IF($NO$6="Single_Point",IF(149=$NQ$6,$NM$6,0),IF($NO$6="Bell_Curve",$NM$6*(149-$NQ$6+1)*($NR$6-149+1)/$NT$6,$NM$6/$NS$6)),0)</f>
        <v/>
      </c>
      <c r="EW6" s="18">
        <f>IF(AND(150&gt;=$NQ$6,150&lt;=$NR$6),IF($NO$6="Single_Point",IF(150=$NQ$6,$NM$6,0),IF($NO$6="Bell_Curve",$NM$6*(150-$NQ$6+1)*($NR$6-150+1)/$NT$6,$NM$6/$NS$6)),0)</f>
        <v/>
      </c>
      <c r="EX6" s="18">
        <f>IF(AND(151&gt;=$NQ$6,151&lt;=$NR$6),IF($NO$6="Single_Point",IF(151=$NQ$6,$NM$6,0),IF($NO$6="Bell_Curve",$NM$6*(151-$NQ$6+1)*($NR$6-151+1)/$NT$6,$NM$6/$NS$6)),0)</f>
        <v/>
      </c>
      <c r="EY6" s="18">
        <f>IF(AND(152&gt;=$NQ$6,152&lt;=$NR$6),IF($NO$6="Single_Point",IF(152=$NQ$6,$NM$6,0),IF($NO$6="Bell_Curve",$NM$6*(152-$NQ$6+1)*($NR$6-152+1)/$NT$6,$NM$6/$NS$6)),0)</f>
        <v/>
      </c>
      <c r="EZ6" s="18">
        <f>IF(AND(153&gt;=$NQ$6,153&lt;=$NR$6),IF($NO$6="Single_Point",IF(153=$NQ$6,$NM$6,0),IF($NO$6="Bell_Curve",$NM$6*(153-$NQ$6+1)*($NR$6-153+1)/$NT$6,$NM$6/$NS$6)),0)</f>
        <v/>
      </c>
      <c r="FA6" s="18">
        <f>IF(AND(154&gt;=$NQ$6,154&lt;=$NR$6),IF($NO$6="Single_Point",IF(154=$NQ$6,$NM$6,0),IF($NO$6="Bell_Curve",$NM$6*(154-$NQ$6+1)*($NR$6-154+1)/$NT$6,$NM$6/$NS$6)),0)</f>
        <v/>
      </c>
      <c r="FB6" s="18">
        <f>IF(AND(155&gt;=$NQ$6,155&lt;=$NR$6),IF($NO$6="Single_Point",IF(155=$NQ$6,$NM$6,0),IF($NO$6="Bell_Curve",$NM$6*(155-$NQ$6+1)*($NR$6-155+1)/$NT$6,$NM$6/$NS$6)),0)</f>
        <v/>
      </c>
      <c r="FC6" s="18">
        <f>IF(AND(156&gt;=$NQ$6,156&lt;=$NR$6),IF($NO$6="Single_Point",IF(156=$NQ$6,$NM$6,0),IF($NO$6="Bell_Curve",$NM$6*(156-$NQ$6+1)*($NR$6-156+1)/$NT$6,$NM$6/$NS$6)),0)</f>
        <v/>
      </c>
      <c r="FD6" s="18">
        <f>IF(AND(157&gt;=$NQ$6,157&lt;=$NR$6),IF($NO$6="Single_Point",IF(157=$NQ$6,$NM$6,0),IF($NO$6="Bell_Curve",$NM$6*(157-$NQ$6+1)*($NR$6-157+1)/$NT$6,$NM$6/$NS$6)),0)</f>
        <v/>
      </c>
      <c r="FE6" s="18">
        <f>IF(AND(158&gt;=$NQ$6,158&lt;=$NR$6),IF($NO$6="Single_Point",IF(158=$NQ$6,$NM$6,0),IF($NO$6="Bell_Curve",$NM$6*(158-$NQ$6+1)*($NR$6-158+1)/$NT$6,$NM$6/$NS$6)),0)</f>
        <v/>
      </c>
      <c r="FF6" s="18">
        <f>IF(AND(159&gt;=$NQ$6,159&lt;=$NR$6),IF($NO$6="Single_Point",IF(159=$NQ$6,$NM$6,0),IF($NO$6="Bell_Curve",$NM$6*(159-$NQ$6+1)*($NR$6-159+1)/$NT$6,$NM$6/$NS$6)),0)</f>
        <v/>
      </c>
      <c r="FG6" s="18">
        <f>IF(AND(160&gt;=$NQ$6,160&lt;=$NR$6),IF($NO$6="Single_Point",IF(160=$NQ$6,$NM$6,0),IF($NO$6="Bell_Curve",$NM$6*(160-$NQ$6+1)*($NR$6-160+1)/$NT$6,$NM$6/$NS$6)),0)</f>
        <v/>
      </c>
      <c r="FH6" s="18">
        <f>IF(AND(161&gt;=$NQ$6,161&lt;=$NR$6),IF($NO$6="Single_Point",IF(161=$NQ$6,$NM$6,0),IF($NO$6="Bell_Curve",$NM$6*(161-$NQ$6+1)*($NR$6-161+1)/$NT$6,$NM$6/$NS$6)),0)</f>
        <v/>
      </c>
      <c r="FI6" s="18">
        <f>IF(AND(162&gt;=$NQ$6,162&lt;=$NR$6),IF($NO$6="Single_Point",IF(162=$NQ$6,$NM$6,0),IF($NO$6="Bell_Curve",$NM$6*(162-$NQ$6+1)*($NR$6-162+1)/$NT$6,$NM$6/$NS$6)),0)</f>
        <v/>
      </c>
      <c r="FJ6" s="18">
        <f>IF(AND(163&gt;=$NQ$6,163&lt;=$NR$6),IF($NO$6="Single_Point",IF(163=$NQ$6,$NM$6,0),IF($NO$6="Bell_Curve",$NM$6*(163-$NQ$6+1)*($NR$6-163+1)/$NT$6,$NM$6/$NS$6)),0)</f>
        <v/>
      </c>
      <c r="FK6" s="18">
        <f>IF(AND(164&gt;=$NQ$6,164&lt;=$NR$6),IF($NO$6="Single_Point",IF(164=$NQ$6,$NM$6,0),IF($NO$6="Bell_Curve",$NM$6*(164-$NQ$6+1)*($NR$6-164+1)/$NT$6,$NM$6/$NS$6)),0)</f>
        <v/>
      </c>
      <c r="FL6" s="18">
        <f>IF(AND(165&gt;=$NQ$6,165&lt;=$NR$6),IF($NO$6="Single_Point",IF(165=$NQ$6,$NM$6,0),IF($NO$6="Bell_Curve",$NM$6*(165-$NQ$6+1)*($NR$6-165+1)/$NT$6,$NM$6/$NS$6)),0)</f>
        <v/>
      </c>
      <c r="FM6" s="18">
        <f>IF(AND(166&gt;=$NQ$6,166&lt;=$NR$6),IF($NO$6="Single_Point",IF(166=$NQ$6,$NM$6,0),IF($NO$6="Bell_Curve",$NM$6*(166-$NQ$6+1)*($NR$6-166+1)/$NT$6,$NM$6/$NS$6)),0)</f>
        <v/>
      </c>
      <c r="FN6" s="18">
        <f>IF(AND(167&gt;=$NQ$6,167&lt;=$NR$6),IF($NO$6="Single_Point",IF(167=$NQ$6,$NM$6,0),IF($NO$6="Bell_Curve",$NM$6*(167-$NQ$6+1)*($NR$6-167+1)/$NT$6,$NM$6/$NS$6)),0)</f>
        <v/>
      </c>
      <c r="FO6" s="18">
        <f>IF(AND(168&gt;=$NQ$6,168&lt;=$NR$6),IF($NO$6="Single_Point",IF(168=$NQ$6,$NM$6,0),IF($NO$6="Bell_Curve",$NM$6*(168-$NQ$6+1)*($NR$6-168+1)/$NT$6,$NM$6/$NS$6)),0)</f>
        <v/>
      </c>
      <c r="FP6" s="18">
        <f>IF(AND(169&gt;=$NQ$6,169&lt;=$NR$6),IF($NO$6="Single_Point",IF(169=$NQ$6,$NM$6,0),IF($NO$6="Bell_Curve",$NM$6*(169-$NQ$6+1)*($NR$6-169+1)/$NT$6,$NM$6/$NS$6)),0)</f>
        <v/>
      </c>
      <c r="FQ6" s="18">
        <f>IF(AND(170&gt;=$NQ$6,170&lt;=$NR$6),IF($NO$6="Single_Point",IF(170=$NQ$6,$NM$6,0),IF($NO$6="Bell_Curve",$NM$6*(170-$NQ$6+1)*($NR$6-170+1)/$NT$6,$NM$6/$NS$6)),0)</f>
        <v/>
      </c>
      <c r="FR6" s="18">
        <f>IF(AND(171&gt;=$NQ$6,171&lt;=$NR$6),IF($NO$6="Single_Point",IF(171=$NQ$6,$NM$6,0),IF($NO$6="Bell_Curve",$NM$6*(171-$NQ$6+1)*($NR$6-171+1)/$NT$6,$NM$6/$NS$6)),0)</f>
        <v/>
      </c>
      <c r="FS6" s="18">
        <f>IF(AND(172&gt;=$NQ$6,172&lt;=$NR$6),IF($NO$6="Single_Point",IF(172=$NQ$6,$NM$6,0),IF($NO$6="Bell_Curve",$NM$6*(172-$NQ$6+1)*($NR$6-172+1)/$NT$6,$NM$6/$NS$6)),0)</f>
        <v/>
      </c>
      <c r="FT6" s="18">
        <f>IF(AND(173&gt;=$NQ$6,173&lt;=$NR$6),IF($NO$6="Single_Point",IF(173=$NQ$6,$NM$6,0),IF($NO$6="Bell_Curve",$NM$6*(173-$NQ$6+1)*($NR$6-173+1)/$NT$6,$NM$6/$NS$6)),0)</f>
        <v/>
      </c>
      <c r="FU6" s="18">
        <f>IF(AND(174&gt;=$NQ$6,174&lt;=$NR$6),IF($NO$6="Single_Point",IF(174=$NQ$6,$NM$6,0),IF($NO$6="Bell_Curve",$NM$6*(174-$NQ$6+1)*($NR$6-174+1)/$NT$6,$NM$6/$NS$6)),0)</f>
        <v/>
      </c>
      <c r="FV6" s="18">
        <f>IF(AND(175&gt;=$NQ$6,175&lt;=$NR$6),IF($NO$6="Single_Point",IF(175=$NQ$6,$NM$6,0),IF($NO$6="Bell_Curve",$NM$6*(175-$NQ$6+1)*($NR$6-175+1)/$NT$6,$NM$6/$NS$6)),0)</f>
        <v/>
      </c>
      <c r="FW6" s="18">
        <f>IF(AND(176&gt;=$NQ$6,176&lt;=$NR$6),IF($NO$6="Single_Point",IF(176=$NQ$6,$NM$6,0),IF($NO$6="Bell_Curve",$NM$6*(176-$NQ$6+1)*($NR$6-176+1)/$NT$6,$NM$6/$NS$6)),0)</f>
        <v/>
      </c>
      <c r="FX6" s="18">
        <f>IF(AND(177&gt;=$NQ$6,177&lt;=$NR$6),IF($NO$6="Single_Point",IF(177=$NQ$6,$NM$6,0),IF($NO$6="Bell_Curve",$NM$6*(177-$NQ$6+1)*($NR$6-177+1)/$NT$6,$NM$6/$NS$6)),0)</f>
        <v/>
      </c>
      <c r="FY6" s="18">
        <f>IF(AND(178&gt;=$NQ$6,178&lt;=$NR$6),IF($NO$6="Single_Point",IF(178=$NQ$6,$NM$6,0),IF($NO$6="Bell_Curve",$NM$6*(178-$NQ$6+1)*($NR$6-178+1)/$NT$6,$NM$6/$NS$6)),0)</f>
        <v/>
      </c>
      <c r="FZ6" s="18">
        <f>IF(AND(179&gt;=$NQ$6,179&lt;=$NR$6),IF($NO$6="Single_Point",IF(179=$NQ$6,$NM$6,0),IF($NO$6="Bell_Curve",$NM$6*(179-$NQ$6+1)*($NR$6-179+1)/$NT$6,$NM$6/$NS$6)),0)</f>
        <v/>
      </c>
      <c r="GA6" s="18">
        <f>IF(AND(180&gt;=$NQ$6,180&lt;=$NR$6),IF($NO$6="Single_Point",IF(180=$NQ$6,$NM$6,0),IF($NO$6="Bell_Curve",$NM$6*(180-$NQ$6+1)*($NR$6-180+1)/$NT$6,$NM$6/$NS$6)),0)</f>
        <v/>
      </c>
      <c r="GB6" s="18">
        <f>IF(AND(181&gt;=$NQ$6,181&lt;=$NR$6),IF($NO$6="Single_Point",IF(181=$NQ$6,$NM$6,0),IF($NO$6="Bell_Curve",$NM$6*(181-$NQ$6+1)*($NR$6-181+1)/$NT$6,$NM$6/$NS$6)),0)</f>
        <v/>
      </c>
      <c r="GC6" s="18">
        <f>IF(AND(182&gt;=$NQ$6,182&lt;=$NR$6),IF($NO$6="Single_Point",IF(182=$NQ$6,$NM$6,0),IF($NO$6="Bell_Curve",$NM$6*(182-$NQ$6+1)*($NR$6-182+1)/$NT$6,$NM$6/$NS$6)),0)</f>
        <v/>
      </c>
      <c r="GD6" s="18">
        <f>IF(AND(183&gt;=$NQ$6,183&lt;=$NR$6),IF($NO$6="Single_Point",IF(183=$NQ$6,$NM$6,0),IF($NO$6="Bell_Curve",$NM$6*(183-$NQ$6+1)*($NR$6-183+1)/$NT$6,$NM$6/$NS$6)),0)</f>
        <v/>
      </c>
      <c r="GE6" s="18">
        <f>IF(AND(184&gt;=$NQ$6,184&lt;=$NR$6),IF($NO$6="Single_Point",IF(184=$NQ$6,$NM$6,0),IF($NO$6="Bell_Curve",$NM$6*(184-$NQ$6+1)*($NR$6-184+1)/$NT$6,$NM$6/$NS$6)),0)</f>
        <v/>
      </c>
      <c r="GF6" s="18">
        <f>IF(AND(185&gt;=$NQ$6,185&lt;=$NR$6),IF($NO$6="Single_Point",IF(185=$NQ$6,$NM$6,0),IF($NO$6="Bell_Curve",$NM$6*(185-$NQ$6+1)*($NR$6-185+1)/$NT$6,$NM$6/$NS$6)),0)</f>
        <v/>
      </c>
      <c r="GG6" s="18">
        <f>IF(AND(186&gt;=$NQ$6,186&lt;=$NR$6),IF($NO$6="Single_Point",IF(186=$NQ$6,$NM$6,0),IF($NO$6="Bell_Curve",$NM$6*(186-$NQ$6+1)*($NR$6-186+1)/$NT$6,$NM$6/$NS$6)),0)</f>
        <v/>
      </c>
      <c r="GH6" s="18">
        <f>IF(AND(187&gt;=$NQ$6,187&lt;=$NR$6),IF($NO$6="Single_Point",IF(187=$NQ$6,$NM$6,0),IF($NO$6="Bell_Curve",$NM$6*(187-$NQ$6+1)*($NR$6-187+1)/$NT$6,$NM$6/$NS$6)),0)</f>
        <v/>
      </c>
      <c r="GI6" s="18">
        <f>IF(AND(188&gt;=$NQ$6,188&lt;=$NR$6),IF($NO$6="Single_Point",IF(188=$NQ$6,$NM$6,0),IF($NO$6="Bell_Curve",$NM$6*(188-$NQ$6+1)*($NR$6-188+1)/$NT$6,$NM$6/$NS$6)),0)</f>
        <v/>
      </c>
      <c r="GJ6" s="18">
        <f>IF(AND(189&gt;=$NQ$6,189&lt;=$NR$6),IF($NO$6="Single_Point",IF(189=$NQ$6,$NM$6,0),IF($NO$6="Bell_Curve",$NM$6*(189-$NQ$6+1)*($NR$6-189+1)/$NT$6,$NM$6/$NS$6)),0)</f>
        <v/>
      </c>
      <c r="GK6" s="18">
        <f>IF(AND(190&gt;=$NQ$6,190&lt;=$NR$6),IF($NO$6="Single_Point",IF(190=$NQ$6,$NM$6,0),IF($NO$6="Bell_Curve",$NM$6*(190-$NQ$6+1)*($NR$6-190+1)/$NT$6,$NM$6/$NS$6)),0)</f>
        <v/>
      </c>
      <c r="GL6" s="18">
        <f>IF(AND(191&gt;=$NQ$6,191&lt;=$NR$6),IF($NO$6="Single_Point",IF(191=$NQ$6,$NM$6,0),IF($NO$6="Bell_Curve",$NM$6*(191-$NQ$6+1)*($NR$6-191+1)/$NT$6,$NM$6/$NS$6)),0)</f>
        <v/>
      </c>
      <c r="GM6" s="18">
        <f>IF(AND(192&gt;=$NQ$6,192&lt;=$NR$6),IF($NO$6="Single_Point",IF(192=$NQ$6,$NM$6,0),IF($NO$6="Bell_Curve",$NM$6*(192-$NQ$6+1)*($NR$6-192+1)/$NT$6,$NM$6/$NS$6)),0)</f>
        <v/>
      </c>
      <c r="GN6" s="18">
        <f>IF(AND(193&gt;=$NQ$6,193&lt;=$NR$6),IF($NO$6="Single_Point",IF(193=$NQ$6,$NM$6,0),IF($NO$6="Bell_Curve",$NM$6*(193-$NQ$6+1)*($NR$6-193+1)/$NT$6,$NM$6/$NS$6)),0)</f>
        <v/>
      </c>
      <c r="GO6" s="18">
        <f>IF(AND(194&gt;=$NQ$6,194&lt;=$NR$6),IF($NO$6="Single_Point",IF(194=$NQ$6,$NM$6,0),IF($NO$6="Bell_Curve",$NM$6*(194-$NQ$6+1)*($NR$6-194+1)/$NT$6,$NM$6/$NS$6)),0)</f>
        <v/>
      </c>
      <c r="GP6" s="18">
        <f>IF(AND(195&gt;=$NQ$6,195&lt;=$NR$6),IF($NO$6="Single_Point",IF(195=$NQ$6,$NM$6,0),IF($NO$6="Bell_Curve",$NM$6*(195-$NQ$6+1)*($NR$6-195+1)/$NT$6,$NM$6/$NS$6)),0)</f>
        <v/>
      </c>
      <c r="GQ6" s="18">
        <f>IF(AND(196&gt;=$NQ$6,196&lt;=$NR$6),IF($NO$6="Single_Point",IF(196=$NQ$6,$NM$6,0),IF($NO$6="Bell_Curve",$NM$6*(196-$NQ$6+1)*($NR$6-196+1)/$NT$6,$NM$6/$NS$6)),0)</f>
        <v/>
      </c>
      <c r="GR6" s="18">
        <f>IF(AND(197&gt;=$NQ$6,197&lt;=$NR$6),IF($NO$6="Single_Point",IF(197=$NQ$6,$NM$6,0),IF($NO$6="Bell_Curve",$NM$6*(197-$NQ$6+1)*($NR$6-197+1)/$NT$6,$NM$6/$NS$6)),0)</f>
        <v/>
      </c>
      <c r="GS6" s="18">
        <f>IF(AND(198&gt;=$NQ$6,198&lt;=$NR$6),IF($NO$6="Single_Point",IF(198=$NQ$6,$NM$6,0),IF($NO$6="Bell_Curve",$NM$6*(198-$NQ$6+1)*($NR$6-198+1)/$NT$6,$NM$6/$NS$6)),0)</f>
        <v/>
      </c>
      <c r="GT6" s="18">
        <f>IF(AND(199&gt;=$NQ$6,199&lt;=$NR$6),IF($NO$6="Single_Point",IF(199=$NQ$6,$NM$6,0),IF($NO$6="Bell_Curve",$NM$6*(199-$NQ$6+1)*($NR$6-199+1)/$NT$6,$NM$6/$NS$6)),0)</f>
        <v/>
      </c>
      <c r="GU6" s="18">
        <f>IF(AND(200&gt;=$NQ$6,200&lt;=$NR$6),IF($NO$6="Single_Point",IF(200=$NQ$6,$NM$6,0),IF($NO$6="Bell_Curve",$NM$6*(200-$NQ$6+1)*($NR$6-200+1)/$NT$6,$NM$6/$NS$6)),0)</f>
        <v/>
      </c>
      <c r="GV6" s="18">
        <f>IF(AND(201&gt;=$NQ$6,201&lt;=$NR$6),IF($NO$6="Single_Point",IF(201=$NQ$6,$NM$6,0),IF($NO$6="Bell_Curve",$NM$6*(201-$NQ$6+1)*($NR$6-201+1)/$NT$6,$NM$6/$NS$6)),0)</f>
        <v/>
      </c>
      <c r="GW6" s="18">
        <f>IF(AND(202&gt;=$NQ$6,202&lt;=$NR$6),IF($NO$6="Single_Point",IF(202=$NQ$6,$NM$6,0),IF($NO$6="Bell_Curve",$NM$6*(202-$NQ$6+1)*($NR$6-202+1)/$NT$6,$NM$6/$NS$6)),0)</f>
        <v/>
      </c>
      <c r="GX6" s="18">
        <f>IF(AND(203&gt;=$NQ$6,203&lt;=$NR$6),IF($NO$6="Single_Point",IF(203=$NQ$6,$NM$6,0),IF($NO$6="Bell_Curve",$NM$6*(203-$NQ$6+1)*($NR$6-203+1)/$NT$6,$NM$6/$NS$6)),0)</f>
        <v/>
      </c>
      <c r="GY6" s="18">
        <f>IF(AND(204&gt;=$NQ$6,204&lt;=$NR$6),IF($NO$6="Single_Point",IF(204=$NQ$6,$NM$6,0),IF($NO$6="Bell_Curve",$NM$6*(204-$NQ$6+1)*($NR$6-204+1)/$NT$6,$NM$6/$NS$6)),0)</f>
        <v/>
      </c>
      <c r="GZ6" s="18">
        <f>IF(AND(205&gt;=$NQ$6,205&lt;=$NR$6),IF($NO$6="Single_Point",IF(205=$NQ$6,$NM$6,0),IF($NO$6="Bell_Curve",$NM$6*(205-$NQ$6+1)*($NR$6-205+1)/$NT$6,$NM$6/$NS$6)),0)</f>
        <v/>
      </c>
      <c r="HA6" s="18">
        <f>IF(AND(206&gt;=$NQ$6,206&lt;=$NR$6),IF($NO$6="Single_Point",IF(206=$NQ$6,$NM$6,0),IF($NO$6="Bell_Curve",$NM$6*(206-$NQ$6+1)*($NR$6-206+1)/$NT$6,$NM$6/$NS$6)),0)</f>
        <v/>
      </c>
      <c r="HB6" s="18">
        <f>IF(AND(207&gt;=$NQ$6,207&lt;=$NR$6),IF($NO$6="Single_Point",IF(207=$NQ$6,$NM$6,0),IF($NO$6="Bell_Curve",$NM$6*(207-$NQ$6+1)*($NR$6-207+1)/$NT$6,$NM$6/$NS$6)),0)</f>
        <v/>
      </c>
      <c r="HC6" s="18">
        <f>IF(AND(208&gt;=$NQ$6,208&lt;=$NR$6),IF($NO$6="Single_Point",IF(208=$NQ$6,$NM$6,0),IF($NO$6="Bell_Curve",$NM$6*(208-$NQ$6+1)*($NR$6-208+1)/$NT$6,$NM$6/$NS$6)),0)</f>
        <v/>
      </c>
      <c r="HD6" s="18">
        <f>IF(AND(209&gt;=$NQ$6,209&lt;=$NR$6),IF($NO$6="Single_Point",IF(209=$NQ$6,$NM$6,0),IF($NO$6="Bell_Curve",$NM$6*(209-$NQ$6+1)*($NR$6-209+1)/$NT$6,$NM$6/$NS$6)),0)</f>
        <v/>
      </c>
      <c r="HE6" s="18">
        <f>IF(AND(210&gt;=$NQ$6,210&lt;=$NR$6),IF($NO$6="Single_Point",IF(210=$NQ$6,$NM$6,0),IF($NO$6="Bell_Curve",$NM$6*(210-$NQ$6+1)*($NR$6-210+1)/$NT$6,$NM$6/$NS$6)),0)</f>
        <v/>
      </c>
      <c r="HF6" s="18">
        <f>IF(AND(211&gt;=$NQ$6,211&lt;=$NR$6),IF($NO$6="Single_Point",IF(211=$NQ$6,$NM$6,0),IF($NO$6="Bell_Curve",$NM$6*(211-$NQ$6+1)*($NR$6-211+1)/$NT$6,$NM$6/$NS$6)),0)</f>
        <v/>
      </c>
      <c r="HG6" s="18">
        <f>IF(AND(212&gt;=$NQ$6,212&lt;=$NR$6),IF($NO$6="Single_Point",IF(212=$NQ$6,$NM$6,0),IF($NO$6="Bell_Curve",$NM$6*(212-$NQ$6+1)*($NR$6-212+1)/$NT$6,$NM$6/$NS$6)),0)</f>
        <v/>
      </c>
      <c r="HH6" s="18">
        <f>IF(AND(213&gt;=$NQ$6,213&lt;=$NR$6),IF($NO$6="Single_Point",IF(213=$NQ$6,$NM$6,0),IF($NO$6="Bell_Curve",$NM$6*(213-$NQ$6+1)*($NR$6-213+1)/$NT$6,$NM$6/$NS$6)),0)</f>
        <v/>
      </c>
      <c r="HI6" s="18">
        <f>IF(AND(214&gt;=$NQ$6,214&lt;=$NR$6),IF($NO$6="Single_Point",IF(214=$NQ$6,$NM$6,0),IF($NO$6="Bell_Curve",$NM$6*(214-$NQ$6+1)*($NR$6-214+1)/$NT$6,$NM$6/$NS$6)),0)</f>
        <v/>
      </c>
      <c r="HJ6" s="18">
        <f>IF(AND(215&gt;=$NQ$6,215&lt;=$NR$6),IF($NO$6="Single_Point",IF(215=$NQ$6,$NM$6,0),IF($NO$6="Bell_Curve",$NM$6*(215-$NQ$6+1)*($NR$6-215+1)/$NT$6,$NM$6/$NS$6)),0)</f>
        <v/>
      </c>
      <c r="HK6" s="18">
        <f>IF(AND(216&gt;=$NQ$6,216&lt;=$NR$6),IF($NO$6="Single_Point",IF(216=$NQ$6,$NM$6,0),IF($NO$6="Bell_Curve",$NM$6*(216-$NQ$6+1)*($NR$6-216+1)/$NT$6,$NM$6/$NS$6)),0)</f>
        <v/>
      </c>
      <c r="HL6" s="18">
        <f>IF(AND(217&gt;=$NQ$6,217&lt;=$NR$6),IF($NO$6="Single_Point",IF(217=$NQ$6,$NM$6,0),IF($NO$6="Bell_Curve",$NM$6*(217-$NQ$6+1)*($NR$6-217+1)/$NT$6,$NM$6/$NS$6)),0)</f>
        <v/>
      </c>
      <c r="HM6" s="18">
        <f>IF(AND(218&gt;=$NQ$6,218&lt;=$NR$6),IF($NO$6="Single_Point",IF(218=$NQ$6,$NM$6,0),IF($NO$6="Bell_Curve",$NM$6*(218-$NQ$6+1)*($NR$6-218+1)/$NT$6,$NM$6/$NS$6)),0)</f>
        <v/>
      </c>
      <c r="HN6" s="18">
        <f>IF(AND(219&gt;=$NQ$6,219&lt;=$NR$6),IF($NO$6="Single_Point",IF(219=$NQ$6,$NM$6,0),IF($NO$6="Bell_Curve",$NM$6*(219-$NQ$6+1)*($NR$6-219+1)/$NT$6,$NM$6/$NS$6)),0)</f>
        <v/>
      </c>
      <c r="HO6" s="18">
        <f>IF(AND(220&gt;=$NQ$6,220&lt;=$NR$6),IF($NO$6="Single_Point",IF(220=$NQ$6,$NM$6,0),IF($NO$6="Bell_Curve",$NM$6*(220-$NQ$6+1)*($NR$6-220+1)/$NT$6,$NM$6/$NS$6)),0)</f>
        <v/>
      </c>
      <c r="HP6" s="18">
        <f>IF(AND(221&gt;=$NQ$6,221&lt;=$NR$6),IF($NO$6="Single_Point",IF(221=$NQ$6,$NM$6,0),IF($NO$6="Bell_Curve",$NM$6*(221-$NQ$6+1)*($NR$6-221+1)/$NT$6,$NM$6/$NS$6)),0)</f>
        <v/>
      </c>
      <c r="HQ6" s="18">
        <f>IF(AND(222&gt;=$NQ$6,222&lt;=$NR$6),IF($NO$6="Single_Point",IF(222=$NQ$6,$NM$6,0),IF($NO$6="Bell_Curve",$NM$6*(222-$NQ$6+1)*($NR$6-222+1)/$NT$6,$NM$6/$NS$6)),0)</f>
        <v/>
      </c>
      <c r="HR6" s="18">
        <f>IF(AND(223&gt;=$NQ$6,223&lt;=$NR$6),IF($NO$6="Single_Point",IF(223=$NQ$6,$NM$6,0),IF($NO$6="Bell_Curve",$NM$6*(223-$NQ$6+1)*($NR$6-223+1)/$NT$6,$NM$6/$NS$6)),0)</f>
        <v/>
      </c>
      <c r="HS6" s="18">
        <f>IF(AND(224&gt;=$NQ$6,224&lt;=$NR$6),IF($NO$6="Single_Point",IF(224=$NQ$6,$NM$6,0),IF($NO$6="Bell_Curve",$NM$6*(224-$NQ$6+1)*($NR$6-224+1)/$NT$6,$NM$6/$NS$6)),0)</f>
        <v/>
      </c>
      <c r="HT6" s="18">
        <f>IF(AND(225&gt;=$NQ$6,225&lt;=$NR$6),IF($NO$6="Single_Point",IF(225=$NQ$6,$NM$6,0),IF($NO$6="Bell_Curve",$NM$6*(225-$NQ$6+1)*($NR$6-225+1)/$NT$6,$NM$6/$NS$6)),0)</f>
        <v/>
      </c>
      <c r="HU6" s="18">
        <f>IF(AND(226&gt;=$NQ$6,226&lt;=$NR$6),IF($NO$6="Single_Point",IF(226=$NQ$6,$NM$6,0),IF($NO$6="Bell_Curve",$NM$6*(226-$NQ$6+1)*($NR$6-226+1)/$NT$6,$NM$6/$NS$6)),0)</f>
        <v/>
      </c>
      <c r="HV6" s="18">
        <f>IF(AND(227&gt;=$NQ$6,227&lt;=$NR$6),IF($NO$6="Single_Point",IF(227=$NQ$6,$NM$6,0),IF($NO$6="Bell_Curve",$NM$6*(227-$NQ$6+1)*($NR$6-227+1)/$NT$6,$NM$6/$NS$6)),0)</f>
        <v/>
      </c>
      <c r="HW6" s="18">
        <f>IF(AND(228&gt;=$NQ$6,228&lt;=$NR$6),IF($NO$6="Single_Point",IF(228=$NQ$6,$NM$6,0),IF($NO$6="Bell_Curve",$NM$6*(228-$NQ$6+1)*($NR$6-228+1)/$NT$6,$NM$6/$NS$6)),0)</f>
        <v/>
      </c>
      <c r="HX6" s="18">
        <f>IF(AND(229&gt;=$NQ$6,229&lt;=$NR$6),IF($NO$6="Single_Point",IF(229=$NQ$6,$NM$6,0),IF($NO$6="Bell_Curve",$NM$6*(229-$NQ$6+1)*($NR$6-229+1)/$NT$6,$NM$6/$NS$6)),0)</f>
        <v/>
      </c>
      <c r="HY6" s="18">
        <f>IF(AND(230&gt;=$NQ$6,230&lt;=$NR$6),IF($NO$6="Single_Point",IF(230=$NQ$6,$NM$6,0),IF($NO$6="Bell_Curve",$NM$6*(230-$NQ$6+1)*($NR$6-230+1)/$NT$6,$NM$6/$NS$6)),0)</f>
        <v/>
      </c>
      <c r="HZ6" s="18">
        <f>IF(AND(231&gt;=$NQ$6,231&lt;=$NR$6),IF($NO$6="Single_Point",IF(231=$NQ$6,$NM$6,0),IF($NO$6="Bell_Curve",$NM$6*(231-$NQ$6+1)*($NR$6-231+1)/$NT$6,$NM$6/$NS$6)),0)</f>
        <v/>
      </c>
      <c r="IA6" s="18">
        <f>IF(AND(232&gt;=$NQ$6,232&lt;=$NR$6),IF($NO$6="Single_Point",IF(232=$NQ$6,$NM$6,0),IF($NO$6="Bell_Curve",$NM$6*(232-$NQ$6+1)*($NR$6-232+1)/$NT$6,$NM$6/$NS$6)),0)</f>
        <v/>
      </c>
      <c r="IB6" s="18">
        <f>IF(AND(233&gt;=$NQ$6,233&lt;=$NR$6),IF($NO$6="Single_Point",IF(233=$NQ$6,$NM$6,0),IF($NO$6="Bell_Curve",$NM$6*(233-$NQ$6+1)*($NR$6-233+1)/$NT$6,$NM$6/$NS$6)),0)</f>
        <v/>
      </c>
      <c r="IC6" s="18">
        <f>IF(AND(234&gt;=$NQ$6,234&lt;=$NR$6),IF($NO$6="Single_Point",IF(234=$NQ$6,$NM$6,0),IF($NO$6="Bell_Curve",$NM$6*(234-$NQ$6+1)*($NR$6-234+1)/$NT$6,$NM$6/$NS$6)),0)</f>
        <v/>
      </c>
      <c r="ID6" s="18">
        <f>IF(AND(235&gt;=$NQ$6,235&lt;=$NR$6),IF($NO$6="Single_Point",IF(235=$NQ$6,$NM$6,0),IF($NO$6="Bell_Curve",$NM$6*(235-$NQ$6+1)*($NR$6-235+1)/$NT$6,$NM$6/$NS$6)),0)</f>
        <v/>
      </c>
      <c r="IE6" s="18">
        <f>IF(AND(236&gt;=$NQ$6,236&lt;=$NR$6),IF($NO$6="Single_Point",IF(236=$NQ$6,$NM$6,0),IF($NO$6="Bell_Curve",$NM$6*(236-$NQ$6+1)*($NR$6-236+1)/$NT$6,$NM$6/$NS$6)),0)</f>
        <v/>
      </c>
      <c r="IF6" s="18">
        <f>IF(AND(237&gt;=$NQ$6,237&lt;=$NR$6),IF($NO$6="Single_Point",IF(237=$NQ$6,$NM$6,0),IF($NO$6="Bell_Curve",$NM$6*(237-$NQ$6+1)*($NR$6-237+1)/$NT$6,$NM$6/$NS$6)),0)</f>
        <v/>
      </c>
      <c r="IG6" s="18">
        <f>IF(AND(238&gt;=$NQ$6,238&lt;=$NR$6),IF($NO$6="Single_Point",IF(238=$NQ$6,$NM$6,0),IF($NO$6="Bell_Curve",$NM$6*(238-$NQ$6+1)*($NR$6-238+1)/$NT$6,$NM$6/$NS$6)),0)</f>
        <v/>
      </c>
      <c r="IH6" s="18">
        <f>IF(AND(239&gt;=$NQ$6,239&lt;=$NR$6),IF($NO$6="Single_Point",IF(239=$NQ$6,$NM$6,0),IF($NO$6="Bell_Curve",$NM$6*(239-$NQ$6+1)*($NR$6-239+1)/$NT$6,$NM$6/$NS$6)),0)</f>
        <v/>
      </c>
      <c r="II6" s="18">
        <f>IF(AND(240&gt;=$NQ$6,240&lt;=$NR$6),IF($NO$6="Single_Point",IF(240=$NQ$6,$NM$6,0),IF($NO$6="Bell_Curve",$NM$6*(240-$NQ$6+1)*($NR$6-240+1)/$NT$6,$NM$6/$NS$6)),0)</f>
        <v/>
      </c>
      <c r="IJ6" s="18">
        <f>IF(AND(241&gt;=$NQ$6,241&lt;=$NR$6),IF($NO$6="Single_Point",IF(241=$NQ$6,$NM$6,0),IF($NO$6="Bell_Curve",$NM$6*(241-$NQ$6+1)*($NR$6-241+1)/$NT$6,$NM$6/$NS$6)),0)</f>
        <v/>
      </c>
      <c r="IK6" s="18">
        <f>IF(AND(242&gt;=$NQ$6,242&lt;=$NR$6),IF($NO$6="Single_Point",IF(242=$NQ$6,$NM$6,0),IF($NO$6="Bell_Curve",$NM$6*(242-$NQ$6+1)*($NR$6-242+1)/$NT$6,$NM$6/$NS$6)),0)</f>
        <v/>
      </c>
      <c r="IL6" s="18">
        <f>IF(AND(243&gt;=$NQ$6,243&lt;=$NR$6),IF($NO$6="Single_Point",IF(243=$NQ$6,$NM$6,0),IF($NO$6="Bell_Curve",$NM$6*(243-$NQ$6+1)*($NR$6-243+1)/$NT$6,$NM$6/$NS$6)),0)</f>
        <v/>
      </c>
      <c r="IM6" s="18">
        <f>IF(AND(244&gt;=$NQ$6,244&lt;=$NR$6),IF($NO$6="Single_Point",IF(244=$NQ$6,$NM$6,0),IF($NO$6="Bell_Curve",$NM$6*(244-$NQ$6+1)*($NR$6-244+1)/$NT$6,$NM$6/$NS$6)),0)</f>
        <v/>
      </c>
      <c r="IN6" s="18">
        <f>IF(AND(245&gt;=$NQ$6,245&lt;=$NR$6),IF($NO$6="Single_Point",IF(245=$NQ$6,$NM$6,0),IF($NO$6="Bell_Curve",$NM$6*(245-$NQ$6+1)*($NR$6-245+1)/$NT$6,$NM$6/$NS$6)),0)</f>
        <v/>
      </c>
      <c r="IO6" s="18">
        <f>IF(AND(246&gt;=$NQ$6,246&lt;=$NR$6),IF($NO$6="Single_Point",IF(246=$NQ$6,$NM$6,0),IF($NO$6="Bell_Curve",$NM$6*(246-$NQ$6+1)*($NR$6-246+1)/$NT$6,$NM$6/$NS$6)),0)</f>
        <v/>
      </c>
      <c r="IP6" s="18">
        <f>IF(AND(247&gt;=$NQ$6,247&lt;=$NR$6),IF($NO$6="Single_Point",IF(247=$NQ$6,$NM$6,0),IF($NO$6="Bell_Curve",$NM$6*(247-$NQ$6+1)*($NR$6-247+1)/$NT$6,$NM$6/$NS$6)),0)</f>
        <v/>
      </c>
      <c r="IQ6" s="18">
        <f>IF(AND(248&gt;=$NQ$6,248&lt;=$NR$6),IF($NO$6="Single_Point",IF(248=$NQ$6,$NM$6,0),IF($NO$6="Bell_Curve",$NM$6*(248-$NQ$6+1)*($NR$6-248+1)/$NT$6,$NM$6/$NS$6)),0)</f>
        <v/>
      </c>
      <c r="IR6" s="18">
        <f>IF(AND(249&gt;=$NQ$6,249&lt;=$NR$6),IF($NO$6="Single_Point",IF(249=$NQ$6,$NM$6,0),IF($NO$6="Bell_Curve",$NM$6*(249-$NQ$6+1)*($NR$6-249+1)/$NT$6,$NM$6/$NS$6)),0)</f>
        <v/>
      </c>
      <c r="IS6" s="18">
        <f>IF(AND(250&gt;=$NQ$6,250&lt;=$NR$6),IF($NO$6="Single_Point",IF(250=$NQ$6,$NM$6,0),IF($NO$6="Bell_Curve",$NM$6*(250-$NQ$6+1)*($NR$6-250+1)/$NT$6,$NM$6/$NS$6)),0)</f>
        <v/>
      </c>
      <c r="IT6" s="18">
        <f>IF(AND(251&gt;=$NQ$6,251&lt;=$NR$6),IF($NO$6="Single_Point",IF(251=$NQ$6,$NM$6,0),IF($NO$6="Bell_Curve",$NM$6*(251-$NQ$6+1)*($NR$6-251+1)/$NT$6,$NM$6/$NS$6)),0)</f>
        <v/>
      </c>
      <c r="IU6" s="18">
        <f>IF(AND(252&gt;=$NQ$6,252&lt;=$NR$6),IF($NO$6="Single_Point",IF(252=$NQ$6,$NM$6,0),IF($NO$6="Bell_Curve",$NM$6*(252-$NQ$6+1)*($NR$6-252+1)/$NT$6,$NM$6/$NS$6)),0)</f>
        <v/>
      </c>
      <c r="IV6" s="18">
        <f>IF(AND(253&gt;=$NQ$6,253&lt;=$NR$6),IF($NO$6="Single_Point",IF(253=$NQ$6,$NM$6,0),IF($NO$6="Bell_Curve",$NM$6*(253-$NQ$6+1)*($NR$6-253+1)/$NT$6,$NM$6/$NS$6)),0)</f>
        <v/>
      </c>
      <c r="IW6" s="18">
        <f>IF(AND(254&gt;=$NQ$6,254&lt;=$NR$6),IF($NO$6="Single_Point",IF(254=$NQ$6,$NM$6,0),IF($NO$6="Bell_Curve",$NM$6*(254-$NQ$6+1)*($NR$6-254+1)/$NT$6,$NM$6/$NS$6)),0)</f>
        <v/>
      </c>
      <c r="IX6" s="18">
        <f>IF(AND(255&gt;=$NQ$6,255&lt;=$NR$6),IF($NO$6="Single_Point",IF(255=$NQ$6,$NM$6,0),IF($NO$6="Bell_Curve",$NM$6*(255-$NQ$6+1)*($NR$6-255+1)/$NT$6,$NM$6/$NS$6)),0)</f>
        <v/>
      </c>
      <c r="IY6" s="18">
        <f>IF(AND(256&gt;=$NQ$6,256&lt;=$NR$6),IF($NO$6="Single_Point",IF(256=$NQ$6,$NM$6,0),IF($NO$6="Bell_Curve",$NM$6*(256-$NQ$6+1)*($NR$6-256+1)/$NT$6,$NM$6/$NS$6)),0)</f>
        <v/>
      </c>
      <c r="IZ6" s="18">
        <f>IF(AND(257&gt;=$NQ$6,257&lt;=$NR$6),IF($NO$6="Single_Point",IF(257=$NQ$6,$NM$6,0),IF($NO$6="Bell_Curve",$NM$6*(257-$NQ$6+1)*($NR$6-257+1)/$NT$6,$NM$6/$NS$6)),0)</f>
        <v/>
      </c>
      <c r="JA6" s="18">
        <f>IF(AND(258&gt;=$NQ$6,258&lt;=$NR$6),IF($NO$6="Single_Point",IF(258=$NQ$6,$NM$6,0),IF($NO$6="Bell_Curve",$NM$6*(258-$NQ$6+1)*($NR$6-258+1)/$NT$6,$NM$6/$NS$6)),0)</f>
        <v/>
      </c>
      <c r="JB6" s="18">
        <f>IF(AND(259&gt;=$NQ$6,259&lt;=$NR$6),IF($NO$6="Single_Point",IF(259=$NQ$6,$NM$6,0),IF($NO$6="Bell_Curve",$NM$6*(259-$NQ$6+1)*($NR$6-259+1)/$NT$6,$NM$6/$NS$6)),0)</f>
        <v/>
      </c>
      <c r="JC6" s="18">
        <f>IF(AND(260&gt;=$NQ$6,260&lt;=$NR$6),IF($NO$6="Single_Point",IF(260=$NQ$6,$NM$6,0),IF($NO$6="Bell_Curve",$NM$6*(260-$NQ$6+1)*($NR$6-260+1)/$NT$6,$NM$6/$NS$6)),0)</f>
        <v/>
      </c>
      <c r="JD6" s="18">
        <f>IF(AND(261&gt;=$NQ$6,261&lt;=$NR$6),IF($NO$6="Single_Point",IF(261=$NQ$6,$NM$6,0),IF($NO$6="Bell_Curve",$NM$6*(261-$NQ$6+1)*($NR$6-261+1)/$NT$6,$NM$6/$NS$6)),0)</f>
        <v/>
      </c>
      <c r="JE6" s="18">
        <f>IF(AND(262&gt;=$NQ$6,262&lt;=$NR$6),IF($NO$6="Single_Point",IF(262=$NQ$6,$NM$6,0),IF($NO$6="Bell_Curve",$NM$6*(262-$NQ$6+1)*($NR$6-262+1)/$NT$6,$NM$6/$NS$6)),0)</f>
        <v/>
      </c>
      <c r="JF6" s="18">
        <f>IF(AND(263&gt;=$NQ$6,263&lt;=$NR$6),IF($NO$6="Single_Point",IF(263=$NQ$6,$NM$6,0),IF($NO$6="Bell_Curve",$NM$6*(263-$NQ$6+1)*($NR$6-263+1)/$NT$6,$NM$6/$NS$6)),0)</f>
        <v/>
      </c>
      <c r="JG6" s="18">
        <f>IF(AND(264&gt;=$NQ$6,264&lt;=$NR$6),IF($NO$6="Single_Point",IF(264=$NQ$6,$NM$6,0),IF($NO$6="Bell_Curve",$NM$6*(264-$NQ$6+1)*($NR$6-264+1)/$NT$6,$NM$6/$NS$6)),0)</f>
        <v/>
      </c>
      <c r="JH6" s="18">
        <f>IF(AND(265&gt;=$NQ$6,265&lt;=$NR$6),IF($NO$6="Single_Point",IF(265=$NQ$6,$NM$6,0),IF($NO$6="Bell_Curve",$NM$6*(265-$NQ$6+1)*($NR$6-265+1)/$NT$6,$NM$6/$NS$6)),0)</f>
        <v/>
      </c>
      <c r="JI6" s="18">
        <f>IF(AND(266&gt;=$NQ$6,266&lt;=$NR$6),IF($NO$6="Single_Point",IF(266=$NQ$6,$NM$6,0),IF($NO$6="Bell_Curve",$NM$6*(266-$NQ$6+1)*($NR$6-266+1)/$NT$6,$NM$6/$NS$6)),0)</f>
        <v/>
      </c>
      <c r="JJ6" s="18">
        <f>IF(AND(267&gt;=$NQ$6,267&lt;=$NR$6),IF($NO$6="Single_Point",IF(267=$NQ$6,$NM$6,0),IF($NO$6="Bell_Curve",$NM$6*(267-$NQ$6+1)*($NR$6-267+1)/$NT$6,$NM$6/$NS$6)),0)</f>
        <v/>
      </c>
      <c r="JK6" s="18">
        <f>IF(AND(268&gt;=$NQ$6,268&lt;=$NR$6),IF($NO$6="Single_Point",IF(268=$NQ$6,$NM$6,0),IF($NO$6="Bell_Curve",$NM$6*(268-$NQ$6+1)*($NR$6-268+1)/$NT$6,$NM$6/$NS$6)),0)</f>
        <v/>
      </c>
      <c r="JL6" s="18">
        <f>IF(AND(269&gt;=$NQ$6,269&lt;=$NR$6),IF($NO$6="Single_Point",IF(269=$NQ$6,$NM$6,0),IF($NO$6="Bell_Curve",$NM$6*(269-$NQ$6+1)*($NR$6-269+1)/$NT$6,$NM$6/$NS$6)),0)</f>
        <v/>
      </c>
      <c r="JM6" s="18">
        <f>IF(AND(270&gt;=$NQ$6,270&lt;=$NR$6),IF($NO$6="Single_Point",IF(270=$NQ$6,$NM$6,0),IF($NO$6="Bell_Curve",$NM$6*(270-$NQ$6+1)*($NR$6-270+1)/$NT$6,$NM$6/$NS$6)),0)</f>
        <v/>
      </c>
      <c r="JN6" s="18">
        <f>IF(AND(271&gt;=$NQ$6,271&lt;=$NR$6),IF($NO$6="Single_Point",IF(271=$NQ$6,$NM$6,0),IF($NO$6="Bell_Curve",$NM$6*(271-$NQ$6+1)*($NR$6-271+1)/$NT$6,$NM$6/$NS$6)),0)</f>
        <v/>
      </c>
      <c r="JO6" s="18">
        <f>IF(AND(272&gt;=$NQ$6,272&lt;=$NR$6),IF($NO$6="Single_Point",IF(272=$NQ$6,$NM$6,0),IF($NO$6="Bell_Curve",$NM$6*(272-$NQ$6+1)*($NR$6-272+1)/$NT$6,$NM$6/$NS$6)),0)</f>
        <v/>
      </c>
      <c r="JP6" s="18">
        <f>IF(AND(273&gt;=$NQ$6,273&lt;=$NR$6),IF($NO$6="Single_Point",IF(273=$NQ$6,$NM$6,0),IF($NO$6="Bell_Curve",$NM$6*(273-$NQ$6+1)*($NR$6-273+1)/$NT$6,$NM$6/$NS$6)),0)</f>
        <v/>
      </c>
      <c r="JQ6" s="18">
        <f>IF(AND(274&gt;=$NQ$6,274&lt;=$NR$6),IF($NO$6="Single_Point",IF(274=$NQ$6,$NM$6,0),IF($NO$6="Bell_Curve",$NM$6*(274-$NQ$6+1)*($NR$6-274+1)/$NT$6,$NM$6/$NS$6)),0)</f>
        <v/>
      </c>
      <c r="JR6" s="18">
        <f>IF(AND(275&gt;=$NQ$6,275&lt;=$NR$6),IF($NO$6="Single_Point",IF(275=$NQ$6,$NM$6,0),IF($NO$6="Bell_Curve",$NM$6*(275-$NQ$6+1)*($NR$6-275+1)/$NT$6,$NM$6/$NS$6)),0)</f>
        <v/>
      </c>
      <c r="JS6" s="18">
        <f>IF(AND(276&gt;=$NQ$6,276&lt;=$NR$6),IF($NO$6="Single_Point",IF(276=$NQ$6,$NM$6,0),IF($NO$6="Bell_Curve",$NM$6*(276-$NQ$6+1)*($NR$6-276+1)/$NT$6,$NM$6/$NS$6)),0)</f>
        <v/>
      </c>
      <c r="JT6" s="18">
        <f>IF(AND(277&gt;=$NQ$6,277&lt;=$NR$6),IF($NO$6="Single_Point",IF(277=$NQ$6,$NM$6,0),IF($NO$6="Bell_Curve",$NM$6*(277-$NQ$6+1)*($NR$6-277+1)/$NT$6,$NM$6/$NS$6)),0)</f>
        <v/>
      </c>
      <c r="JU6" s="18">
        <f>IF(AND(278&gt;=$NQ$6,278&lt;=$NR$6),IF($NO$6="Single_Point",IF(278=$NQ$6,$NM$6,0),IF($NO$6="Bell_Curve",$NM$6*(278-$NQ$6+1)*($NR$6-278+1)/$NT$6,$NM$6/$NS$6)),0)</f>
        <v/>
      </c>
      <c r="JV6" s="18">
        <f>IF(AND(279&gt;=$NQ$6,279&lt;=$NR$6),IF($NO$6="Single_Point",IF(279=$NQ$6,$NM$6,0),IF($NO$6="Bell_Curve",$NM$6*(279-$NQ$6+1)*($NR$6-279+1)/$NT$6,$NM$6/$NS$6)),0)</f>
        <v/>
      </c>
      <c r="JW6" s="18">
        <f>IF(AND(280&gt;=$NQ$6,280&lt;=$NR$6),IF($NO$6="Single_Point",IF(280=$NQ$6,$NM$6,0),IF($NO$6="Bell_Curve",$NM$6*(280-$NQ$6+1)*($NR$6-280+1)/$NT$6,$NM$6/$NS$6)),0)</f>
        <v/>
      </c>
      <c r="JX6" s="18">
        <f>IF(AND(281&gt;=$NQ$6,281&lt;=$NR$6),IF($NO$6="Single_Point",IF(281=$NQ$6,$NM$6,0),IF($NO$6="Bell_Curve",$NM$6*(281-$NQ$6+1)*($NR$6-281+1)/$NT$6,$NM$6/$NS$6)),0)</f>
        <v/>
      </c>
      <c r="JY6" s="18">
        <f>IF(AND(282&gt;=$NQ$6,282&lt;=$NR$6),IF($NO$6="Single_Point",IF(282=$NQ$6,$NM$6,0),IF($NO$6="Bell_Curve",$NM$6*(282-$NQ$6+1)*($NR$6-282+1)/$NT$6,$NM$6/$NS$6)),0)</f>
        <v/>
      </c>
      <c r="JZ6" s="18">
        <f>IF(AND(283&gt;=$NQ$6,283&lt;=$NR$6),IF($NO$6="Single_Point",IF(283=$NQ$6,$NM$6,0),IF($NO$6="Bell_Curve",$NM$6*(283-$NQ$6+1)*($NR$6-283+1)/$NT$6,$NM$6/$NS$6)),0)</f>
        <v/>
      </c>
      <c r="KA6" s="18">
        <f>IF(AND(284&gt;=$NQ$6,284&lt;=$NR$6),IF($NO$6="Single_Point",IF(284=$NQ$6,$NM$6,0),IF($NO$6="Bell_Curve",$NM$6*(284-$NQ$6+1)*($NR$6-284+1)/$NT$6,$NM$6/$NS$6)),0)</f>
        <v/>
      </c>
      <c r="KB6" s="18">
        <f>IF(AND(285&gt;=$NQ$6,285&lt;=$NR$6),IF($NO$6="Single_Point",IF(285=$NQ$6,$NM$6,0),IF($NO$6="Bell_Curve",$NM$6*(285-$NQ$6+1)*($NR$6-285+1)/$NT$6,$NM$6/$NS$6)),0)</f>
        <v/>
      </c>
      <c r="KC6" s="18">
        <f>IF(AND(286&gt;=$NQ$6,286&lt;=$NR$6),IF($NO$6="Single_Point",IF(286=$NQ$6,$NM$6,0),IF($NO$6="Bell_Curve",$NM$6*(286-$NQ$6+1)*($NR$6-286+1)/$NT$6,$NM$6/$NS$6)),0)</f>
        <v/>
      </c>
      <c r="KD6" s="18">
        <f>IF(AND(287&gt;=$NQ$6,287&lt;=$NR$6),IF($NO$6="Single_Point",IF(287=$NQ$6,$NM$6,0),IF($NO$6="Bell_Curve",$NM$6*(287-$NQ$6+1)*($NR$6-287+1)/$NT$6,$NM$6/$NS$6)),0)</f>
        <v/>
      </c>
      <c r="KE6" s="18">
        <f>IF(AND(288&gt;=$NQ$6,288&lt;=$NR$6),IF($NO$6="Single_Point",IF(288=$NQ$6,$NM$6,0),IF($NO$6="Bell_Curve",$NM$6*(288-$NQ$6+1)*($NR$6-288+1)/$NT$6,$NM$6/$NS$6)),0)</f>
        <v/>
      </c>
      <c r="KF6" s="18">
        <f>IF(AND(289&gt;=$NQ$6,289&lt;=$NR$6),IF($NO$6="Single_Point",IF(289=$NQ$6,$NM$6,0),IF($NO$6="Bell_Curve",$NM$6*(289-$NQ$6+1)*($NR$6-289+1)/$NT$6,$NM$6/$NS$6)),0)</f>
        <v/>
      </c>
      <c r="KG6" s="18">
        <f>IF(AND(290&gt;=$NQ$6,290&lt;=$NR$6),IF($NO$6="Single_Point",IF(290=$NQ$6,$NM$6,0),IF($NO$6="Bell_Curve",$NM$6*(290-$NQ$6+1)*($NR$6-290+1)/$NT$6,$NM$6/$NS$6)),0)</f>
        <v/>
      </c>
      <c r="KH6" s="18">
        <f>IF(AND(291&gt;=$NQ$6,291&lt;=$NR$6),IF($NO$6="Single_Point",IF(291=$NQ$6,$NM$6,0),IF($NO$6="Bell_Curve",$NM$6*(291-$NQ$6+1)*($NR$6-291+1)/$NT$6,$NM$6/$NS$6)),0)</f>
        <v/>
      </c>
      <c r="KI6" s="18">
        <f>IF(AND(292&gt;=$NQ$6,292&lt;=$NR$6),IF($NO$6="Single_Point",IF(292=$NQ$6,$NM$6,0),IF($NO$6="Bell_Curve",$NM$6*(292-$NQ$6+1)*($NR$6-292+1)/$NT$6,$NM$6/$NS$6)),0)</f>
        <v/>
      </c>
      <c r="KJ6" s="18">
        <f>IF(AND(293&gt;=$NQ$6,293&lt;=$NR$6),IF($NO$6="Single_Point",IF(293=$NQ$6,$NM$6,0),IF($NO$6="Bell_Curve",$NM$6*(293-$NQ$6+1)*($NR$6-293+1)/$NT$6,$NM$6/$NS$6)),0)</f>
        <v/>
      </c>
      <c r="KK6" s="18">
        <f>IF(AND(294&gt;=$NQ$6,294&lt;=$NR$6),IF($NO$6="Single_Point",IF(294=$NQ$6,$NM$6,0),IF($NO$6="Bell_Curve",$NM$6*(294-$NQ$6+1)*($NR$6-294+1)/$NT$6,$NM$6/$NS$6)),0)</f>
        <v/>
      </c>
      <c r="KL6" s="18">
        <f>IF(AND(295&gt;=$NQ$6,295&lt;=$NR$6),IF($NO$6="Single_Point",IF(295=$NQ$6,$NM$6,0),IF($NO$6="Bell_Curve",$NM$6*(295-$NQ$6+1)*($NR$6-295+1)/$NT$6,$NM$6/$NS$6)),0)</f>
        <v/>
      </c>
      <c r="KM6" s="18">
        <f>IF(AND(296&gt;=$NQ$6,296&lt;=$NR$6),IF($NO$6="Single_Point",IF(296=$NQ$6,$NM$6,0),IF($NO$6="Bell_Curve",$NM$6*(296-$NQ$6+1)*($NR$6-296+1)/$NT$6,$NM$6/$NS$6)),0)</f>
        <v/>
      </c>
      <c r="KN6" s="18">
        <f>IF(AND(297&gt;=$NQ$6,297&lt;=$NR$6),IF($NO$6="Single_Point",IF(297=$NQ$6,$NM$6,0),IF($NO$6="Bell_Curve",$NM$6*(297-$NQ$6+1)*($NR$6-297+1)/$NT$6,$NM$6/$NS$6)),0)</f>
        <v/>
      </c>
      <c r="KO6" s="18">
        <f>IF(AND(298&gt;=$NQ$6,298&lt;=$NR$6),IF($NO$6="Single_Point",IF(298=$NQ$6,$NM$6,0),IF($NO$6="Bell_Curve",$NM$6*(298-$NQ$6+1)*($NR$6-298+1)/$NT$6,$NM$6/$NS$6)),0)</f>
        <v/>
      </c>
      <c r="KP6" s="18">
        <f>IF(AND(299&gt;=$NQ$6,299&lt;=$NR$6),IF($NO$6="Single_Point",IF(299=$NQ$6,$NM$6,0),IF($NO$6="Bell_Curve",$NM$6*(299-$NQ$6+1)*($NR$6-299+1)/$NT$6,$NM$6/$NS$6)),0)</f>
        <v/>
      </c>
      <c r="KQ6" s="18">
        <f>IF(AND(300&gt;=$NQ$6,300&lt;=$NR$6),IF($NO$6="Single_Point",IF(300=$NQ$6,$NM$6,0),IF($NO$6="Bell_Curve",$NM$6*(300-$NQ$6+1)*($NR$6-300+1)/$NT$6,$NM$6/$NS$6)),0)</f>
        <v/>
      </c>
      <c r="KR6" s="18">
        <f>IF(AND(301&gt;=$NQ$6,301&lt;=$NR$6),IF($NO$6="Single_Point",IF(301=$NQ$6,$NM$6,0),IF($NO$6="Bell_Curve",$NM$6*(301-$NQ$6+1)*($NR$6-301+1)/$NT$6,$NM$6/$NS$6)),0)</f>
        <v/>
      </c>
      <c r="KS6" s="18">
        <f>IF(AND(302&gt;=$NQ$6,302&lt;=$NR$6),IF($NO$6="Single_Point",IF(302=$NQ$6,$NM$6,0),IF($NO$6="Bell_Curve",$NM$6*(302-$NQ$6+1)*($NR$6-302+1)/$NT$6,$NM$6/$NS$6)),0)</f>
        <v/>
      </c>
      <c r="KT6" s="18">
        <f>IF(AND(303&gt;=$NQ$6,303&lt;=$NR$6),IF($NO$6="Single_Point",IF(303=$NQ$6,$NM$6,0),IF($NO$6="Bell_Curve",$NM$6*(303-$NQ$6+1)*($NR$6-303+1)/$NT$6,$NM$6/$NS$6)),0)</f>
        <v/>
      </c>
      <c r="KU6" s="18">
        <f>IF(AND(304&gt;=$NQ$6,304&lt;=$NR$6),IF($NO$6="Single_Point",IF(304=$NQ$6,$NM$6,0),IF($NO$6="Bell_Curve",$NM$6*(304-$NQ$6+1)*($NR$6-304+1)/$NT$6,$NM$6/$NS$6)),0)</f>
        <v/>
      </c>
      <c r="KV6" s="18">
        <f>IF(AND(305&gt;=$NQ$6,305&lt;=$NR$6),IF($NO$6="Single_Point",IF(305=$NQ$6,$NM$6,0),IF($NO$6="Bell_Curve",$NM$6*(305-$NQ$6+1)*($NR$6-305+1)/$NT$6,$NM$6/$NS$6)),0)</f>
        <v/>
      </c>
      <c r="KW6" s="18">
        <f>IF(AND(306&gt;=$NQ$6,306&lt;=$NR$6),IF($NO$6="Single_Point",IF(306=$NQ$6,$NM$6,0),IF($NO$6="Bell_Curve",$NM$6*(306-$NQ$6+1)*($NR$6-306+1)/$NT$6,$NM$6/$NS$6)),0)</f>
        <v/>
      </c>
      <c r="KX6" s="18">
        <f>IF(AND(307&gt;=$NQ$6,307&lt;=$NR$6),IF($NO$6="Single_Point",IF(307=$NQ$6,$NM$6,0),IF($NO$6="Bell_Curve",$NM$6*(307-$NQ$6+1)*($NR$6-307+1)/$NT$6,$NM$6/$NS$6)),0)</f>
        <v/>
      </c>
      <c r="KY6" s="18">
        <f>IF(AND(308&gt;=$NQ$6,308&lt;=$NR$6),IF($NO$6="Single_Point",IF(308=$NQ$6,$NM$6,0),IF($NO$6="Bell_Curve",$NM$6*(308-$NQ$6+1)*($NR$6-308+1)/$NT$6,$NM$6/$NS$6)),0)</f>
        <v/>
      </c>
      <c r="KZ6" s="18">
        <f>IF(AND(309&gt;=$NQ$6,309&lt;=$NR$6),IF($NO$6="Single_Point",IF(309=$NQ$6,$NM$6,0),IF($NO$6="Bell_Curve",$NM$6*(309-$NQ$6+1)*($NR$6-309+1)/$NT$6,$NM$6/$NS$6)),0)</f>
        <v/>
      </c>
      <c r="LA6" s="18">
        <f>IF(AND(310&gt;=$NQ$6,310&lt;=$NR$6),IF($NO$6="Single_Point",IF(310=$NQ$6,$NM$6,0),IF($NO$6="Bell_Curve",$NM$6*(310-$NQ$6+1)*($NR$6-310+1)/$NT$6,$NM$6/$NS$6)),0)</f>
        <v/>
      </c>
      <c r="LB6" s="18">
        <f>IF(AND(311&gt;=$NQ$6,311&lt;=$NR$6),IF($NO$6="Single_Point",IF(311=$NQ$6,$NM$6,0),IF($NO$6="Bell_Curve",$NM$6*(311-$NQ$6+1)*($NR$6-311+1)/$NT$6,$NM$6/$NS$6)),0)</f>
        <v/>
      </c>
      <c r="LC6" s="18">
        <f>IF(AND(312&gt;=$NQ$6,312&lt;=$NR$6),IF($NO$6="Single_Point",IF(312=$NQ$6,$NM$6,0),IF($NO$6="Bell_Curve",$NM$6*(312-$NQ$6+1)*($NR$6-312+1)/$NT$6,$NM$6/$NS$6)),0)</f>
        <v/>
      </c>
      <c r="LD6" s="18">
        <f>IF(AND(313&gt;=$NQ$6,313&lt;=$NR$6),IF($NO$6="Single_Point",IF(313=$NQ$6,$NM$6,0),IF($NO$6="Bell_Curve",$NM$6*(313-$NQ$6+1)*($NR$6-313+1)/$NT$6,$NM$6/$NS$6)),0)</f>
        <v/>
      </c>
      <c r="LE6" s="18">
        <f>IF(AND(314&gt;=$NQ$6,314&lt;=$NR$6),IF($NO$6="Single_Point",IF(314=$NQ$6,$NM$6,0),IF($NO$6="Bell_Curve",$NM$6*(314-$NQ$6+1)*($NR$6-314+1)/$NT$6,$NM$6/$NS$6)),0)</f>
        <v/>
      </c>
      <c r="LF6" s="18">
        <f>IF(AND(315&gt;=$NQ$6,315&lt;=$NR$6),IF($NO$6="Single_Point",IF(315=$NQ$6,$NM$6,0),IF($NO$6="Bell_Curve",$NM$6*(315-$NQ$6+1)*($NR$6-315+1)/$NT$6,$NM$6/$NS$6)),0)</f>
        <v/>
      </c>
      <c r="LG6" s="18">
        <f>IF(AND(316&gt;=$NQ$6,316&lt;=$NR$6),IF($NO$6="Single_Point",IF(316=$NQ$6,$NM$6,0),IF($NO$6="Bell_Curve",$NM$6*(316-$NQ$6+1)*($NR$6-316+1)/$NT$6,$NM$6/$NS$6)),0)</f>
        <v/>
      </c>
      <c r="LH6" s="18">
        <f>IF(AND(317&gt;=$NQ$6,317&lt;=$NR$6),IF($NO$6="Single_Point",IF(317=$NQ$6,$NM$6,0),IF($NO$6="Bell_Curve",$NM$6*(317-$NQ$6+1)*($NR$6-317+1)/$NT$6,$NM$6/$NS$6)),0)</f>
        <v/>
      </c>
      <c r="LI6" s="18">
        <f>IF(AND(318&gt;=$NQ$6,318&lt;=$NR$6),IF($NO$6="Single_Point",IF(318=$NQ$6,$NM$6,0),IF($NO$6="Bell_Curve",$NM$6*(318-$NQ$6+1)*($NR$6-318+1)/$NT$6,$NM$6/$NS$6)),0)</f>
        <v/>
      </c>
      <c r="LJ6" s="18">
        <f>IF(AND(319&gt;=$NQ$6,319&lt;=$NR$6),IF($NO$6="Single_Point",IF(319=$NQ$6,$NM$6,0),IF($NO$6="Bell_Curve",$NM$6*(319-$NQ$6+1)*($NR$6-319+1)/$NT$6,$NM$6/$NS$6)),0)</f>
        <v/>
      </c>
      <c r="LK6" s="18">
        <f>IF(AND(320&gt;=$NQ$6,320&lt;=$NR$6),IF($NO$6="Single_Point",IF(320=$NQ$6,$NM$6,0),IF($NO$6="Bell_Curve",$NM$6*(320-$NQ$6+1)*($NR$6-320+1)/$NT$6,$NM$6/$NS$6)),0)</f>
        <v/>
      </c>
      <c r="LL6" s="18">
        <f>IF(AND(321&gt;=$NQ$6,321&lt;=$NR$6),IF($NO$6="Single_Point",IF(321=$NQ$6,$NM$6,0),IF($NO$6="Bell_Curve",$NM$6*(321-$NQ$6+1)*($NR$6-321+1)/$NT$6,$NM$6/$NS$6)),0)</f>
        <v/>
      </c>
      <c r="LM6" s="18">
        <f>IF(AND(322&gt;=$NQ$6,322&lt;=$NR$6),IF($NO$6="Single_Point",IF(322=$NQ$6,$NM$6,0),IF($NO$6="Bell_Curve",$NM$6*(322-$NQ$6+1)*($NR$6-322+1)/$NT$6,$NM$6/$NS$6)),0)</f>
        <v/>
      </c>
      <c r="LN6" s="18">
        <f>IF(AND(323&gt;=$NQ$6,323&lt;=$NR$6),IF($NO$6="Single_Point",IF(323=$NQ$6,$NM$6,0),IF($NO$6="Bell_Curve",$NM$6*(323-$NQ$6+1)*($NR$6-323+1)/$NT$6,$NM$6/$NS$6)),0)</f>
        <v/>
      </c>
      <c r="LO6" s="18">
        <f>IF(AND(324&gt;=$NQ$6,324&lt;=$NR$6),IF($NO$6="Single_Point",IF(324=$NQ$6,$NM$6,0),IF($NO$6="Bell_Curve",$NM$6*(324-$NQ$6+1)*($NR$6-324+1)/$NT$6,$NM$6/$NS$6)),0)</f>
        <v/>
      </c>
      <c r="LP6" s="18">
        <f>IF(AND(325&gt;=$NQ$6,325&lt;=$NR$6),IF($NO$6="Single_Point",IF(325=$NQ$6,$NM$6,0),IF($NO$6="Bell_Curve",$NM$6*(325-$NQ$6+1)*($NR$6-325+1)/$NT$6,$NM$6/$NS$6)),0)</f>
        <v/>
      </c>
      <c r="LQ6" s="18">
        <f>IF(AND(326&gt;=$NQ$6,326&lt;=$NR$6),IF($NO$6="Single_Point",IF(326=$NQ$6,$NM$6,0),IF($NO$6="Bell_Curve",$NM$6*(326-$NQ$6+1)*($NR$6-326+1)/$NT$6,$NM$6/$NS$6)),0)</f>
        <v/>
      </c>
      <c r="LR6" s="18">
        <f>IF(AND(327&gt;=$NQ$6,327&lt;=$NR$6),IF($NO$6="Single_Point",IF(327=$NQ$6,$NM$6,0),IF($NO$6="Bell_Curve",$NM$6*(327-$NQ$6+1)*($NR$6-327+1)/$NT$6,$NM$6/$NS$6)),0)</f>
        <v/>
      </c>
      <c r="LS6" s="18">
        <f>IF(AND(328&gt;=$NQ$6,328&lt;=$NR$6),IF($NO$6="Single_Point",IF(328=$NQ$6,$NM$6,0),IF($NO$6="Bell_Curve",$NM$6*(328-$NQ$6+1)*($NR$6-328+1)/$NT$6,$NM$6/$NS$6)),0)</f>
        <v/>
      </c>
      <c r="LT6" s="18">
        <f>IF(AND(329&gt;=$NQ$6,329&lt;=$NR$6),IF($NO$6="Single_Point",IF(329=$NQ$6,$NM$6,0),IF($NO$6="Bell_Curve",$NM$6*(329-$NQ$6+1)*($NR$6-329+1)/$NT$6,$NM$6/$NS$6)),0)</f>
        <v/>
      </c>
      <c r="LU6" s="18">
        <f>IF(AND(330&gt;=$NQ$6,330&lt;=$NR$6),IF($NO$6="Single_Point",IF(330=$NQ$6,$NM$6,0),IF($NO$6="Bell_Curve",$NM$6*(330-$NQ$6+1)*($NR$6-330+1)/$NT$6,$NM$6/$NS$6)),0)</f>
        <v/>
      </c>
      <c r="LV6" s="18">
        <f>IF(AND(331&gt;=$NQ$6,331&lt;=$NR$6),IF($NO$6="Single_Point",IF(331=$NQ$6,$NM$6,0),IF($NO$6="Bell_Curve",$NM$6*(331-$NQ$6+1)*($NR$6-331+1)/$NT$6,$NM$6/$NS$6)),0)</f>
        <v/>
      </c>
      <c r="LW6" s="18">
        <f>IF(AND(332&gt;=$NQ$6,332&lt;=$NR$6),IF($NO$6="Single_Point",IF(332=$NQ$6,$NM$6,0),IF($NO$6="Bell_Curve",$NM$6*(332-$NQ$6+1)*($NR$6-332+1)/$NT$6,$NM$6/$NS$6)),0)</f>
        <v/>
      </c>
      <c r="LX6" s="18">
        <f>IF(AND(333&gt;=$NQ$6,333&lt;=$NR$6),IF($NO$6="Single_Point",IF(333=$NQ$6,$NM$6,0),IF($NO$6="Bell_Curve",$NM$6*(333-$NQ$6+1)*($NR$6-333+1)/$NT$6,$NM$6/$NS$6)),0)</f>
        <v/>
      </c>
      <c r="LY6" s="18">
        <f>IF(AND(334&gt;=$NQ$6,334&lt;=$NR$6),IF($NO$6="Single_Point",IF(334=$NQ$6,$NM$6,0),IF($NO$6="Bell_Curve",$NM$6*(334-$NQ$6+1)*($NR$6-334+1)/$NT$6,$NM$6/$NS$6)),0)</f>
        <v/>
      </c>
      <c r="LZ6" s="18">
        <f>IF(AND(335&gt;=$NQ$6,335&lt;=$NR$6),IF($NO$6="Single_Point",IF(335=$NQ$6,$NM$6,0),IF($NO$6="Bell_Curve",$NM$6*(335-$NQ$6+1)*($NR$6-335+1)/$NT$6,$NM$6/$NS$6)),0)</f>
        <v/>
      </c>
      <c r="MA6" s="18">
        <f>IF(AND(336&gt;=$NQ$6,336&lt;=$NR$6),IF($NO$6="Single_Point",IF(336=$NQ$6,$NM$6,0),IF($NO$6="Bell_Curve",$NM$6*(336-$NQ$6+1)*($NR$6-336+1)/$NT$6,$NM$6/$NS$6)),0)</f>
        <v/>
      </c>
      <c r="MB6" s="18">
        <f>IF(AND(337&gt;=$NQ$6,337&lt;=$NR$6),IF($NO$6="Single_Point",IF(337=$NQ$6,$NM$6,0),IF($NO$6="Bell_Curve",$NM$6*(337-$NQ$6+1)*($NR$6-337+1)/$NT$6,$NM$6/$NS$6)),0)</f>
        <v/>
      </c>
      <c r="MC6" s="18">
        <f>IF(AND(338&gt;=$NQ$6,338&lt;=$NR$6),IF($NO$6="Single_Point",IF(338=$NQ$6,$NM$6,0),IF($NO$6="Bell_Curve",$NM$6*(338-$NQ$6+1)*($NR$6-338+1)/$NT$6,$NM$6/$NS$6)),0)</f>
        <v/>
      </c>
      <c r="MD6" s="18">
        <f>IF(AND(339&gt;=$NQ$6,339&lt;=$NR$6),IF($NO$6="Single_Point",IF(339=$NQ$6,$NM$6,0),IF($NO$6="Bell_Curve",$NM$6*(339-$NQ$6+1)*($NR$6-339+1)/$NT$6,$NM$6/$NS$6)),0)</f>
        <v/>
      </c>
      <c r="ME6" s="18">
        <f>IF(AND(340&gt;=$NQ$6,340&lt;=$NR$6),IF($NO$6="Single_Point",IF(340=$NQ$6,$NM$6,0),IF($NO$6="Bell_Curve",$NM$6*(340-$NQ$6+1)*($NR$6-340+1)/$NT$6,$NM$6/$NS$6)),0)</f>
        <v/>
      </c>
      <c r="MF6" s="18">
        <f>IF(AND(341&gt;=$NQ$6,341&lt;=$NR$6),IF($NO$6="Single_Point",IF(341=$NQ$6,$NM$6,0),IF($NO$6="Bell_Curve",$NM$6*(341-$NQ$6+1)*($NR$6-341+1)/$NT$6,$NM$6/$NS$6)),0)</f>
        <v/>
      </c>
      <c r="MG6" s="18">
        <f>IF(AND(342&gt;=$NQ$6,342&lt;=$NR$6),IF($NO$6="Single_Point",IF(342=$NQ$6,$NM$6,0),IF($NO$6="Bell_Curve",$NM$6*(342-$NQ$6+1)*($NR$6-342+1)/$NT$6,$NM$6/$NS$6)),0)</f>
        <v/>
      </c>
      <c r="MH6" s="18">
        <f>IF(AND(343&gt;=$NQ$6,343&lt;=$NR$6),IF($NO$6="Single_Point",IF(343=$NQ$6,$NM$6,0),IF($NO$6="Bell_Curve",$NM$6*(343-$NQ$6+1)*($NR$6-343+1)/$NT$6,$NM$6/$NS$6)),0)</f>
        <v/>
      </c>
      <c r="MI6" s="18">
        <f>IF(AND(344&gt;=$NQ$6,344&lt;=$NR$6),IF($NO$6="Single_Point",IF(344=$NQ$6,$NM$6,0),IF($NO$6="Bell_Curve",$NM$6*(344-$NQ$6+1)*($NR$6-344+1)/$NT$6,$NM$6/$NS$6)),0)</f>
        <v/>
      </c>
      <c r="MJ6" s="18">
        <f>IF(AND(345&gt;=$NQ$6,345&lt;=$NR$6),IF($NO$6="Single_Point",IF(345=$NQ$6,$NM$6,0),IF($NO$6="Bell_Curve",$NM$6*(345-$NQ$6+1)*($NR$6-345+1)/$NT$6,$NM$6/$NS$6)),0)</f>
        <v/>
      </c>
      <c r="MK6" s="18">
        <f>IF(AND(346&gt;=$NQ$6,346&lt;=$NR$6),IF($NO$6="Single_Point",IF(346=$NQ$6,$NM$6,0),IF($NO$6="Bell_Curve",$NM$6*(346-$NQ$6+1)*($NR$6-346+1)/$NT$6,$NM$6/$NS$6)),0)</f>
        <v/>
      </c>
      <c r="ML6" s="18">
        <f>IF(AND(347&gt;=$NQ$6,347&lt;=$NR$6),IF($NO$6="Single_Point",IF(347=$NQ$6,$NM$6,0),IF($NO$6="Bell_Curve",$NM$6*(347-$NQ$6+1)*($NR$6-347+1)/$NT$6,$NM$6/$NS$6)),0)</f>
        <v/>
      </c>
      <c r="MM6" s="18">
        <f>IF(AND(348&gt;=$NQ$6,348&lt;=$NR$6),IF($NO$6="Single_Point",IF(348=$NQ$6,$NM$6,0),IF($NO$6="Bell_Curve",$NM$6*(348-$NQ$6+1)*($NR$6-348+1)/$NT$6,$NM$6/$NS$6)),0)</f>
        <v/>
      </c>
      <c r="MN6" s="18">
        <f>IF(AND(349&gt;=$NQ$6,349&lt;=$NR$6),IF($NO$6="Single_Point",IF(349=$NQ$6,$NM$6,0),IF($NO$6="Bell_Curve",$NM$6*(349-$NQ$6+1)*($NR$6-349+1)/$NT$6,$NM$6/$NS$6)),0)</f>
        <v/>
      </c>
      <c r="MO6" s="18">
        <f>IF(AND(350&gt;=$NQ$6,350&lt;=$NR$6),IF($NO$6="Single_Point",IF(350=$NQ$6,$NM$6,0),IF($NO$6="Bell_Curve",$NM$6*(350-$NQ$6+1)*($NR$6-350+1)/$NT$6,$NM$6/$NS$6)),0)</f>
        <v/>
      </c>
      <c r="MP6" s="18">
        <f>IF(AND(351&gt;=$NQ$6,351&lt;=$NR$6),IF($NO$6="Single_Point",IF(351=$NQ$6,$NM$6,0),IF($NO$6="Bell_Curve",$NM$6*(351-$NQ$6+1)*($NR$6-351+1)/$NT$6,$NM$6/$NS$6)),0)</f>
        <v/>
      </c>
      <c r="MQ6" s="18">
        <f>IF(AND(352&gt;=$NQ$6,352&lt;=$NR$6),IF($NO$6="Single_Point",IF(352=$NQ$6,$NM$6,0),IF($NO$6="Bell_Curve",$NM$6*(352-$NQ$6+1)*($NR$6-352+1)/$NT$6,$NM$6/$NS$6)),0)</f>
        <v/>
      </c>
      <c r="MR6" s="18">
        <f>IF(AND(353&gt;=$NQ$6,353&lt;=$NR$6),IF($NO$6="Single_Point",IF(353=$NQ$6,$NM$6,0),IF($NO$6="Bell_Curve",$NM$6*(353-$NQ$6+1)*($NR$6-353+1)/$NT$6,$NM$6/$NS$6)),0)</f>
        <v/>
      </c>
      <c r="MS6" s="18">
        <f>IF(AND(354&gt;=$NQ$6,354&lt;=$NR$6),IF($NO$6="Single_Point",IF(354=$NQ$6,$NM$6,0),IF($NO$6="Bell_Curve",$NM$6*(354-$NQ$6+1)*($NR$6-354+1)/$NT$6,$NM$6/$NS$6)),0)</f>
        <v/>
      </c>
      <c r="MT6" s="18">
        <f>IF(AND(355&gt;=$NQ$6,355&lt;=$NR$6),IF($NO$6="Single_Point",IF(355=$NQ$6,$NM$6,0),IF($NO$6="Bell_Curve",$NM$6*(355-$NQ$6+1)*($NR$6-355+1)/$NT$6,$NM$6/$NS$6)),0)</f>
        <v/>
      </c>
      <c r="MU6" s="18">
        <f>IF(AND(356&gt;=$NQ$6,356&lt;=$NR$6),IF($NO$6="Single_Point",IF(356=$NQ$6,$NM$6,0),IF($NO$6="Bell_Curve",$NM$6*(356-$NQ$6+1)*($NR$6-356+1)/$NT$6,$NM$6/$NS$6)),0)</f>
        <v/>
      </c>
      <c r="MV6" s="18">
        <f>IF(AND(357&gt;=$NQ$6,357&lt;=$NR$6),IF($NO$6="Single_Point",IF(357=$NQ$6,$NM$6,0),IF($NO$6="Bell_Curve",$NM$6*(357-$NQ$6+1)*($NR$6-357+1)/$NT$6,$NM$6/$NS$6)),0)</f>
        <v/>
      </c>
      <c r="MW6" s="18">
        <f>IF(AND(358&gt;=$NQ$6,358&lt;=$NR$6),IF($NO$6="Single_Point",IF(358=$NQ$6,$NM$6,0),IF($NO$6="Bell_Curve",$NM$6*(358-$NQ$6+1)*($NR$6-358+1)/$NT$6,$NM$6/$NS$6)),0)</f>
        <v/>
      </c>
      <c r="MX6" s="18">
        <f>IF(AND(359&gt;=$NQ$6,359&lt;=$NR$6),IF($NO$6="Single_Point",IF(359=$NQ$6,$NM$6,0),IF($NO$6="Bell_Curve",$NM$6*(359-$NQ$6+1)*($NR$6-359+1)/$NT$6,$NM$6/$NS$6)),0)</f>
        <v/>
      </c>
      <c r="MY6" s="18">
        <f>IF(AND(360&gt;=$NQ$6,360&lt;=$NR$6),IF($NO$6="Single_Point",IF(360=$NQ$6,$NM$6,0),IF($NO$6="Bell_Curve",$NM$6*(360-$NQ$6+1)*($NR$6-360+1)/$NT$6,$NM$6/$NS$6)),0)</f>
        <v/>
      </c>
      <c r="MZ6" s="18">
        <f>IF(AND(361&gt;=$NQ$6,361&lt;=$NR$6),IF($NO$6="Single_Point",IF(361=$NQ$6,$NM$6,0),IF($NO$6="Bell_Curve",$NM$6*(361-$NQ$6+1)*($NR$6-361+1)/$NT$6,$NM$6/$NS$6)),0)</f>
        <v/>
      </c>
      <c r="NA6" s="18">
        <f>IF(AND(362&gt;=$NQ$6,362&lt;=$NR$6),IF($NO$6="Single_Point",IF(362=$NQ$6,$NM$6,0),IF($NO$6="Bell_Curve",$NM$6*(362-$NQ$6+1)*($NR$6-362+1)/$NT$6,$NM$6/$NS$6)),0)</f>
        <v/>
      </c>
      <c r="NB6" s="18">
        <f>IF(AND(363&gt;=$NQ$6,363&lt;=$NR$6),IF($NO$6="Single_Point",IF(363=$NQ$6,$NM$6,0),IF($NO$6="Bell_Curve",$NM$6*(363-$NQ$6+1)*($NR$6-363+1)/$NT$6,$NM$6/$NS$6)),0)</f>
        <v/>
      </c>
      <c r="NC6" s="18">
        <f>IF(AND(364&gt;=$NQ$6,364&lt;=$NR$6),IF($NO$6="Single_Point",IF(364=$NQ$6,$NM$6,0),IF($NO$6="Bell_Curve",$NM$6*(364-$NQ$6+1)*($NR$6-364+1)/$NT$6,$NM$6/$NS$6)),0)</f>
        <v/>
      </c>
      <c r="ND6" s="18">
        <f>IF(AND(365&gt;=$NQ$6,365&lt;=$NR$6),IF($NO$6="Single_Point",IF(365=$NQ$6,$NM$6,0),IF($NO$6="Bell_Curve",$NM$6*(365-$NQ$6+1)*($NR$6-365+1)/$NT$6,$NM$6/$NS$6)),0)</f>
        <v/>
      </c>
      <c r="NE6" s="18">
        <f>IF(AND(366&gt;=$NQ$6,366&lt;=$NR$6),IF($NO$6="Single_Point",IF(366=$NQ$6,$NM$6,0),IF($NO$6="Bell_Curve",$NM$6*(366-$NQ$6+1)*($NR$6-366+1)/$NT$6,$NM$6/$NS$6)),0)</f>
        <v/>
      </c>
      <c r="NF6" s="18">
        <f>IF(AND(367&gt;=$NQ$6,367&lt;=$NR$6),IF($NO$6="Single_Point",IF(367=$NQ$6,$NM$6,0),IF($NO$6="Bell_Curve",$NM$6*(367-$NQ$6+1)*($NR$6-367+1)/$NT$6,$NM$6/$NS$6)),0)</f>
        <v/>
      </c>
      <c r="NG6" s="18">
        <f>IF(AND(368&gt;=$NQ$6,368&lt;=$NR$6),IF($NO$6="Single_Point",IF(368=$NQ$6,$NM$6,0),IF($NO$6="Bell_Curve",$NM$6*(368-$NQ$6+1)*($NR$6-368+1)/$NT$6,$NM$6/$NS$6)),0)</f>
        <v/>
      </c>
      <c r="NH6" s="18">
        <f>IF(AND(369&gt;=$NQ$6,369&lt;=$NR$6),IF($NO$6="Single_Point",IF(369=$NQ$6,$NM$6,0),IF($NO$6="Bell_Curve",$NM$6*(369-$NQ$6+1)*($NR$6-369+1)/$NT$6,$NM$6/$NS$6)),0)</f>
        <v/>
      </c>
      <c r="NI6" s="18">
        <f>IF(AND(370&gt;=$NQ$6,370&lt;=$NR$6),IF($NO$6="Single_Point",IF(370=$NQ$6,$NM$6,0),IF($NO$6="Bell_Curve",$NM$6*(370-$NQ$6+1)*($NR$6-370+1)/$NT$6,$NM$6/$NS$6)),0)</f>
        <v/>
      </c>
      <c r="NJ6" s="18">
        <f>IF(AND(371&gt;=$NQ$6,371&lt;=$NR$6),IF($NO$6="Single_Point",IF(371=$NQ$6,$NM$6,0),IF($NO$6="Bell_Curve",$NM$6*(371-$NQ$6+1)*($NR$6-371+1)/$NT$6,$NM$6/$NS$6)),0)</f>
        <v/>
      </c>
      <c r="NK6" s="18">
        <f>IF(AND(372&gt;=$NQ$6,372&lt;=$NR$6),IF($NO$6="Single_Point",IF(372=$NQ$6,$NM$6,0),IF($NO$6="Bell_Curve",$NM$6*(372-$NQ$6+1)*($NR$6-372+1)/$NT$6,$NM$6/$NS$6)),0)</f>
        <v/>
      </c>
      <c r="NM6" s="18">
        <f>Budget!I5</f>
        <v/>
      </c>
      <c r="NN6" s="42">
        <f>Budget!F5</f>
        <v/>
      </c>
      <c r="NO6" s="42">
        <f>Budget!G5</f>
        <v/>
      </c>
      <c r="NP6" s="17">
        <f>Budget!H5</f>
        <v/>
      </c>
      <c r="NQ6" s="32">
        <f>MAX(1,MIN(372,INDEX(MilestoneStart,MATCH(NN6,MilestoneNames,0))+NP6))</f>
        <v/>
      </c>
      <c r="NR6" s="32">
        <f>MAX(NQ6,MIN(372,INDEX(MilestoneEnd,MATCH(NN6,MilestoneNames,0))+NP6))</f>
        <v/>
      </c>
      <c r="NS6" s="17">
        <f>NR6-NQ6+1</f>
        <v/>
      </c>
      <c r="NT6" s="17">
        <f>NS6*(NS6+1)*(NS6+2)/6</f>
        <v/>
      </c>
    </row>
    <row r="7">
      <c r="A7" s="5" t="inlineStr">
        <is>
          <t>Existing Structure/Demo</t>
        </is>
      </c>
      <c r="C7" s="41">
        <f>SUM(D7:NK7)</f>
        <v/>
      </c>
      <c r="D7" s="18">
        <f>IF(AND(1&gt;=$NQ$7,1&lt;=$NR$7),IF($NO$7="Single_Point",IF(1=$NQ$7,$NM$7,0),IF($NO$7="Bell_Curve",$NM$7*(1-$NQ$7+1)*($NR$7-1+1)/$NT$7,$NM$7/$NS$7)),0)</f>
        <v/>
      </c>
      <c r="E7" s="18">
        <f>IF(AND(2&gt;=$NQ$7,2&lt;=$NR$7),IF($NO$7="Single_Point",IF(2=$NQ$7,$NM$7,0),IF($NO$7="Bell_Curve",$NM$7*(2-$NQ$7+1)*($NR$7-2+1)/$NT$7,$NM$7/$NS$7)),0)</f>
        <v/>
      </c>
      <c r="F7" s="18">
        <f>IF(AND(3&gt;=$NQ$7,3&lt;=$NR$7),IF($NO$7="Single_Point",IF(3=$NQ$7,$NM$7,0),IF($NO$7="Bell_Curve",$NM$7*(3-$NQ$7+1)*($NR$7-3+1)/$NT$7,$NM$7/$NS$7)),0)</f>
        <v/>
      </c>
      <c r="G7" s="18">
        <f>IF(AND(4&gt;=$NQ$7,4&lt;=$NR$7),IF($NO$7="Single_Point",IF(4=$NQ$7,$NM$7,0),IF($NO$7="Bell_Curve",$NM$7*(4-$NQ$7+1)*($NR$7-4+1)/$NT$7,$NM$7/$NS$7)),0)</f>
        <v/>
      </c>
      <c r="H7" s="18">
        <f>IF(AND(5&gt;=$NQ$7,5&lt;=$NR$7),IF($NO$7="Single_Point",IF(5=$NQ$7,$NM$7,0),IF($NO$7="Bell_Curve",$NM$7*(5-$NQ$7+1)*($NR$7-5+1)/$NT$7,$NM$7/$NS$7)),0)</f>
        <v/>
      </c>
      <c r="I7" s="18">
        <f>IF(AND(6&gt;=$NQ$7,6&lt;=$NR$7),IF($NO$7="Single_Point",IF(6=$NQ$7,$NM$7,0),IF($NO$7="Bell_Curve",$NM$7*(6-$NQ$7+1)*($NR$7-6+1)/$NT$7,$NM$7/$NS$7)),0)</f>
        <v/>
      </c>
      <c r="J7" s="18">
        <f>IF(AND(7&gt;=$NQ$7,7&lt;=$NR$7),IF($NO$7="Single_Point",IF(7=$NQ$7,$NM$7,0),IF($NO$7="Bell_Curve",$NM$7*(7-$NQ$7+1)*($NR$7-7+1)/$NT$7,$NM$7/$NS$7)),0)</f>
        <v/>
      </c>
      <c r="K7" s="18">
        <f>IF(AND(8&gt;=$NQ$7,8&lt;=$NR$7),IF($NO$7="Single_Point",IF(8=$NQ$7,$NM$7,0),IF($NO$7="Bell_Curve",$NM$7*(8-$NQ$7+1)*($NR$7-8+1)/$NT$7,$NM$7/$NS$7)),0)</f>
        <v/>
      </c>
      <c r="L7" s="18">
        <f>IF(AND(9&gt;=$NQ$7,9&lt;=$NR$7),IF($NO$7="Single_Point",IF(9=$NQ$7,$NM$7,0),IF($NO$7="Bell_Curve",$NM$7*(9-$NQ$7+1)*($NR$7-9+1)/$NT$7,$NM$7/$NS$7)),0)</f>
        <v/>
      </c>
      <c r="M7" s="18">
        <f>IF(AND(10&gt;=$NQ$7,10&lt;=$NR$7),IF($NO$7="Single_Point",IF(10=$NQ$7,$NM$7,0),IF($NO$7="Bell_Curve",$NM$7*(10-$NQ$7+1)*($NR$7-10+1)/$NT$7,$NM$7/$NS$7)),0)</f>
        <v/>
      </c>
      <c r="N7" s="18">
        <f>IF(AND(11&gt;=$NQ$7,11&lt;=$NR$7),IF($NO$7="Single_Point",IF(11=$NQ$7,$NM$7,0),IF($NO$7="Bell_Curve",$NM$7*(11-$NQ$7+1)*($NR$7-11+1)/$NT$7,$NM$7/$NS$7)),0)</f>
        <v/>
      </c>
      <c r="O7" s="18">
        <f>IF(AND(12&gt;=$NQ$7,12&lt;=$NR$7),IF($NO$7="Single_Point",IF(12=$NQ$7,$NM$7,0),IF($NO$7="Bell_Curve",$NM$7*(12-$NQ$7+1)*($NR$7-12+1)/$NT$7,$NM$7/$NS$7)),0)</f>
        <v/>
      </c>
      <c r="P7" s="18">
        <f>IF(AND(13&gt;=$NQ$7,13&lt;=$NR$7),IF($NO$7="Single_Point",IF(13=$NQ$7,$NM$7,0),IF($NO$7="Bell_Curve",$NM$7*(13-$NQ$7+1)*($NR$7-13+1)/$NT$7,$NM$7/$NS$7)),0)</f>
        <v/>
      </c>
      <c r="Q7" s="18">
        <f>IF(AND(14&gt;=$NQ$7,14&lt;=$NR$7),IF($NO$7="Single_Point",IF(14=$NQ$7,$NM$7,0),IF($NO$7="Bell_Curve",$NM$7*(14-$NQ$7+1)*($NR$7-14+1)/$NT$7,$NM$7/$NS$7)),0)</f>
        <v/>
      </c>
      <c r="R7" s="18">
        <f>IF(AND(15&gt;=$NQ$7,15&lt;=$NR$7),IF($NO$7="Single_Point",IF(15=$NQ$7,$NM$7,0),IF($NO$7="Bell_Curve",$NM$7*(15-$NQ$7+1)*($NR$7-15+1)/$NT$7,$NM$7/$NS$7)),0)</f>
        <v/>
      </c>
      <c r="S7" s="18">
        <f>IF(AND(16&gt;=$NQ$7,16&lt;=$NR$7),IF($NO$7="Single_Point",IF(16=$NQ$7,$NM$7,0),IF($NO$7="Bell_Curve",$NM$7*(16-$NQ$7+1)*($NR$7-16+1)/$NT$7,$NM$7/$NS$7)),0)</f>
        <v/>
      </c>
      <c r="T7" s="18">
        <f>IF(AND(17&gt;=$NQ$7,17&lt;=$NR$7),IF($NO$7="Single_Point",IF(17=$NQ$7,$NM$7,0),IF($NO$7="Bell_Curve",$NM$7*(17-$NQ$7+1)*($NR$7-17+1)/$NT$7,$NM$7/$NS$7)),0)</f>
        <v/>
      </c>
      <c r="U7" s="18">
        <f>IF(AND(18&gt;=$NQ$7,18&lt;=$NR$7),IF($NO$7="Single_Point",IF(18=$NQ$7,$NM$7,0),IF($NO$7="Bell_Curve",$NM$7*(18-$NQ$7+1)*($NR$7-18+1)/$NT$7,$NM$7/$NS$7)),0)</f>
        <v/>
      </c>
      <c r="V7" s="18">
        <f>IF(AND(19&gt;=$NQ$7,19&lt;=$NR$7),IF($NO$7="Single_Point",IF(19=$NQ$7,$NM$7,0),IF($NO$7="Bell_Curve",$NM$7*(19-$NQ$7+1)*($NR$7-19+1)/$NT$7,$NM$7/$NS$7)),0)</f>
        <v/>
      </c>
      <c r="W7" s="18">
        <f>IF(AND(20&gt;=$NQ$7,20&lt;=$NR$7),IF($NO$7="Single_Point",IF(20=$NQ$7,$NM$7,0),IF($NO$7="Bell_Curve",$NM$7*(20-$NQ$7+1)*($NR$7-20+1)/$NT$7,$NM$7/$NS$7)),0)</f>
        <v/>
      </c>
      <c r="X7" s="18">
        <f>IF(AND(21&gt;=$NQ$7,21&lt;=$NR$7),IF($NO$7="Single_Point",IF(21=$NQ$7,$NM$7,0),IF($NO$7="Bell_Curve",$NM$7*(21-$NQ$7+1)*($NR$7-21+1)/$NT$7,$NM$7/$NS$7)),0)</f>
        <v/>
      </c>
      <c r="Y7" s="18">
        <f>IF(AND(22&gt;=$NQ$7,22&lt;=$NR$7),IF($NO$7="Single_Point",IF(22=$NQ$7,$NM$7,0),IF($NO$7="Bell_Curve",$NM$7*(22-$NQ$7+1)*($NR$7-22+1)/$NT$7,$NM$7/$NS$7)),0)</f>
        <v/>
      </c>
      <c r="Z7" s="18">
        <f>IF(AND(23&gt;=$NQ$7,23&lt;=$NR$7),IF($NO$7="Single_Point",IF(23=$NQ$7,$NM$7,0),IF($NO$7="Bell_Curve",$NM$7*(23-$NQ$7+1)*($NR$7-23+1)/$NT$7,$NM$7/$NS$7)),0)</f>
        <v/>
      </c>
      <c r="AA7" s="18">
        <f>IF(AND(24&gt;=$NQ$7,24&lt;=$NR$7),IF($NO$7="Single_Point",IF(24=$NQ$7,$NM$7,0),IF($NO$7="Bell_Curve",$NM$7*(24-$NQ$7+1)*($NR$7-24+1)/$NT$7,$NM$7/$NS$7)),0)</f>
        <v/>
      </c>
      <c r="AB7" s="18">
        <f>IF(AND(25&gt;=$NQ$7,25&lt;=$NR$7),IF($NO$7="Single_Point",IF(25=$NQ$7,$NM$7,0),IF($NO$7="Bell_Curve",$NM$7*(25-$NQ$7+1)*($NR$7-25+1)/$NT$7,$NM$7/$NS$7)),0)</f>
        <v/>
      </c>
      <c r="AC7" s="18">
        <f>IF(AND(26&gt;=$NQ$7,26&lt;=$NR$7),IF($NO$7="Single_Point",IF(26=$NQ$7,$NM$7,0),IF($NO$7="Bell_Curve",$NM$7*(26-$NQ$7+1)*($NR$7-26+1)/$NT$7,$NM$7/$NS$7)),0)</f>
        <v/>
      </c>
      <c r="AD7" s="18">
        <f>IF(AND(27&gt;=$NQ$7,27&lt;=$NR$7),IF($NO$7="Single_Point",IF(27=$NQ$7,$NM$7,0),IF($NO$7="Bell_Curve",$NM$7*(27-$NQ$7+1)*($NR$7-27+1)/$NT$7,$NM$7/$NS$7)),0)</f>
        <v/>
      </c>
      <c r="AE7" s="18">
        <f>IF(AND(28&gt;=$NQ$7,28&lt;=$NR$7),IF($NO$7="Single_Point",IF(28=$NQ$7,$NM$7,0),IF($NO$7="Bell_Curve",$NM$7*(28-$NQ$7+1)*($NR$7-28+1)/$NT$7,$NM$7/$NS$7)),0)</f>
        <v/>
      </c>
      <c r="AF7" s="18">
        <f>IF(AND(29&gt;=$NQ$7,29&lt;=$NR$7),IF($NO$7="Single_Point",IF(29=$NQ$7,$NM$7,0),IF($NO$7="Bell_Curve",$NM$7*(29-$NQ$7+1)*($NR$7-29+1)/$NT$7,$NM$7/$NS$7)),0)</f>
        <v/>
      </c>
      <c r="AG7" s="18">
        <f>IF(AND(30&gt;=$NQ$7,30&lt;=$NR$7),IF($NO$7="Single_Point",IF(30=$NQ$7,$NM$7,0),IF($NO$7="Bell_Curve",$NM$7*(30-$NQ$7+1)*($NR$7-30+1)/$NT$7,$NM$7/$NS$7)),0)</f>
        <v/>
      </c>
      <c r="AH7" s="18">
        <f>IF(AND(31&gt;=$NQ$7,31&lt;=$NR$7),IF($NO$7="Single_Point",IF(31=$NQ$7,$NM$7,0),IF($NO$7="Bell_Curve",$NM$7*(31-$NQ$7+1)*($NR$7-31+1)/$NT$7,$NM$7/$NS$7)),0)</f>
        <v/>
      </c>
      <c r="AI7" s="18">
        <f>IF(AND(32&gt;=$NQ$7,32&lt;=$NR$7),IF($NO$7="Single_Point",IF(32=$NQ$7,$NM$7,0),IF($NO$7="Bell_Curve",$NM$7*(32-$NQ$7+1)*($NR$7-32+1)/$NT$7,$NM$7/$NS$7)),0)</f>
        <v/>
      </c>
      <c r="AJ7" s="18">
        <f>IF(AND(33&gt;=$NQ$7,33&lt;=$NR$7),IF($NO$7="Single_Point",IF(33=$NQ$7,$NM$7,0),IF($NO$7="Bell_Curve",$NM$7*(33-$NQ$7+1)*($NR$7-33+1)/$NT$7,$NM$7/$NS$7)),0)</f>
        <v/>
      </c>
      <c r="AK7" s="18">
        <f>IF(AND(34&gt;=$NQ$7,34&lt;=$NR$7),IF($NO$7="Single_Point",IF(34=$NQ$7,$NM$7,0),IF($NO$7="Bell_Curve",$NM$7*(34-$NQ$7+1)*($NR$7-34+1)/$NT$7,$NM$7/$NS$7)),0)</f>
        <v/>
      </c>
      <c r="AL7" s="18">
        <f>IF(AND(35&gt;=$NQ$7,35&lt;=$NR$7),IF($NO$7="Single_Point",IF(35=$NQ$7,$NM$7,0),IF($NO$7="Bell_Curve",$NM$7*(35-$NQ$7+1)*($NR$7-35+1)/$NT$7,$NM$7/$NS$7)),0)</f>
        <v/>
      </c>
      <c r="AM7" s="18">
        <f>IF(AND(36&gt;=$NQ$7,36&lt;=$NR$7),IF($NO$7="Single_Point",IF(36=$NQ$7,$NM$7,0),IF($NO$7="Bell_Curve",$NM$7*(36-$NQ$7+1)*($NR$7-36+1)/$NT$7,$NM$7/$NS$7)),0)</f>
        <v/>
      </c>
      <c r="AN7" s="18">
        <f>IF(AND(37&gt;=$NQ$7,37&lt;=$NR$7),IF($NO$7="Single_Point",IF(37=$NQ$7,$NM$7,0),IF($NO$7="Bell_Curve",$NM$7*(37-$NQ$7+1)*($NR$7-37+1)/$NT$7,$NM$7/$NS$7)),0)</f>
        <v/>
      </c>
      <c r="AO7" s="18">
        <f>IF(AND(38&gt;=$NQ$7,38&lt;=$NR$7),IF($NO$7="Single_Point",IF(38=$NQ$7,$NM$7,0),IF($NO$7="Bell_Curve",$NM$7*(38-$NQ$7+1)*($NR$7-38+1)/$NT$7,$NM$7/$NS$7)),0)</f>
        <v/>
      </c>
      <c r="AP7" s="18">
        <f>IF(AND(39&gt;=$NQ$7,39&lt;=$NR$7),IF($NO$7="Single_Point",IF(39=$NQ$7,$NM$7,0),IF($NO$7="Bell_Curve",$NM$7*(39-$NQ$7+1)*($NR$7-39+1)/$NT$7,$NM$7/$NS$7)),0)</f>
        <v/>
      </c>
      <c r="AQ7" s="18">
        <f>IF(AND(40&gt;=$NQ$7,40&lt;=$NR$7),IF($NO$7="Single_Point",IF(40=$NQ$7,$NM$7,0),IF($NO$7="Bell_Curve",$NM$7*(40-$NQ$7+1)*($NR$7-40+1)/$NT$7,$NM$7/$NS$7)),0)</f>
        <v/>
      </c>
      <c r="AR7" s="18">
        <f>IF(AND(41&gt;=$NQ$7,41&lt;=$NR$7),IF($NO$7="Single_Point",IF(41=$NQ$7,$NM$7,0),IF($NO$7="Bell_Curve",$NM$7*(41-$NQ$7+1)*($NR$7-41+1)/$NT$7,$NM$7/$NS$7)),0)</f>
        <v/>
      </c>
      <c r="AS7" s="18">
        <f>IF(AND(42&gt;=$NQ$7,42&lt;=$NR$7),IF($NO$7="Single_Point",IF(42=$NQ$7,$NM$7,0),IF($NO$7="Bell_Curve",$NM$7*(42-$NQ$7+1)*($NR$7-42+1)/$NT$7,$NM$7/$NS$7)),0)</f>
        <v/>
      </c>
      <c r="AT7" s="18">
        <f>IF(AND(43&gt;=$NQ$7,43&lt;=$NR$7),IF($NO$7="Single_Point",IF(43=$NQ$7,$NM$7,0),IF($NO$7="Bell_Curve",$NM$7*(43-$NQ$7+1)*($NR$7-43+1)/$NT$7,$NM$7/$NS$7)),0)</f>
        <v/>
      </c>
      <c r="AU7" s="18">
        <f>IF(AND(44&gt;=$NQ$7,44&lt;=$NR$7),IF($NO$7="Single_Point",IF(44=$NQ$7,$NM$7,0),IF($NO$7="Bell_Curve",$NM$7*(44-$NQ$7+1)*($NR$7-44+1)/$NT$7,$NM$7/$NS$7)),0)</f>
        <v/>
      </c>
      <c r="AV7" s="18">
        <f>IF(AND(45&gt;=$NQ$7,45&lt;=$NR$7),IF($NO$7="Single_Point",IF(45=$NQ$7,$NM$7,0),IF($NO$7="Bell_Curve",$NM$7*(45-$NQ$7+1)*($NR$7-45+1)/$NT$7,$NM$7/$NS$7)),0)</f>
        <v/>
      </c>
      <c r="AW7" s="18">
        <f>IF(AND(46&gt;=$NQ$7,46&lt;=$NR$7),IF($NO$7="Single_Point",IF(46=$NQ$7,$NM$7,0),IF($NO$7="Bell_Curve",$NM$7*(46-$NQ$7+1)*($NR$7-46+1)/$NT$7,$NM$7/$NS$7)),0)</f>
        <v/>
      </c>
      <c r="AX7" s="18">
        <f>IF(AND(47&gt;=$NQ$7,47&lt;=$NR$7),IF($NO$7="Single_Point",IF(47=$NQ$7,$NM$7,0),IF($NO$7="Bell_Curve",$NM$7*(47-$NQ$7+1)*($NR$7-47+1)/$NT$7,$NM$7/$NS$7)),0)</f>
        <v/>
      </c>
      <c r="AY7" s="18">
        <f>IF(AND(48&gt;=$NQ$7,48&lt;=$NR$7),IF($NO$7="Single_Point",IF(48=$NQ$7,$NM$7,0),IF($NO$7="Bell_Curve",$NM$7*(48-$NQ$7+1)*($NR$7-48+1)/$NT$7,$NM$7/$NS$7)),0)</f>
        <v/>
      </c>
      <c r="AZ7" s="18">
        <f>IF(AND(49&gt;=$NQ$7,49&lt;=$NR$7),IF($NO$7="Single_Point",IF(49=$NQ$7,$NM$7,0),IF($NO$7="Bell_Curve",$NM$7*(49-$NQ$7+1)*($NR$7-49+1)/$NT$7,$NM$7/$NS$7)),0)</f>
        <v/>
      </c>
      <c r="BA7" s="18">
        <f>IF(AND(50&gt;=$NQ$7,50&lt;=$NR$7),IF($NO$7="Single_Point",IF(50=$NQ$7,$NM$7,0),IF($NO$7="Bell_Curve",$NM$7*(50-$NQ$7+1)*($NR$7-50+1)/$NT$7,$NM$7/$NS$7)),0)</f>
        <v/>
      </c>
      <c r="BB7" s="18">
        <f>IF(AND(51&gt;=$NQ$7,51&lt;=$NR$7),IF($NO$7="Single_Point",IF(51=$NQ$7,$NM$7,0),IF($NO$7="Bell_Curve",$NM$7*(51-$NQ$7+1)*($NR$7-51+1)/$NT$7,$NM$7/$NS$7)),0)</f>
        <v/>
      </c>
      <c r="BC7" s="18">
        <f>IF(AND(52&gt;=$NQ$7,52&lt;=$NR$7),IF($NO$7="Single_Point",IF(52=$NQ$7,$NM$7,0),IF($NO$7="Bell_Curve",$NM$7*(52-$NQ$7+1)*($NR$7-52+1)/$NT$7,$NM$7/$NS$7)),0)</f>
        <v/>
      </c>
      <c r="BD7" s="18">
        <f>IF(AND(53&gt;=$NQ$7,53&lt;=$NR$7),IF($NO$7="Single_Point",IF(53=$NQ$7,$NM$7,0),IF($NO$7="Bell_Curve",$NM$7*(53-$NQ$7+1)*($NR$7-53+1)/$NT$7,$NM$7/$NS$7)),0)</f>
        <v/>
      </c>
      <c r="BE7" s="18">
        <f>IF(AND(54&gt;=$NQ$7,54&lt;=$NR$7),IF($NO$7="Single_Point",IF(54=$NQ$7,$NM$7,0),IF($NO$7="Bell_Curve",$NM$7*(54-$NQ$7+1)*($NR$7-54+1)/$NT$7,$NM$7/$NS$7)),0)</f>
        <v/>
      </c>
      <c r="BF7" s="18">
        <f>IF(AND(55&gt;=$NQ$7,55&lt;=$NR$7),IF($NO$7="Single_Point",IF(55=$NQ$7,$NM$7,0),IF($NO$7="Bell_Curve",$NM$7*(55-$NQ$7+1)*($NR$7-55+1)/$NT$7,$NM$7/$NS$7)),0)</f>
        <v/>
      </c>
      <c r="BG7" s="18">
        <f>IF(AND(56&gt;=$NQ$7,56&lt;=$NR$7),IF($NO$7="Single_Point",IF(56=$NQ$7,$NM$7,0),IF($NO$7="Bell_Curve",$NM$7*(56-$NQ$7+1)*($NR$7-56+1)/$NT$7,$NM$7/$NS$7)),0)</f>
        <v/>
      </c>
      <c r="BH7" s="18">
        <f>IF(AND(57&gt;=$NQ$7,57&lt;=$NR$7),IF($NO$7="Single_Point",IF(57=$NQ$7,$NM$7,0),IF($NO$7="Bell_Curve",$NM$7*(57-$NQ$7+1)*($NR$7-57+1)/$NT$7,$NM$7/$NS$7)),0)</f>
        <v/>
      </c>
      <c r="BI7" s="18">
        <f>IF(AND(58&gt;=$NQ$7,58&lt;=$NR$7),IF($NO$7="Single_Point",IF(58=$NQ$7,$NM$7,0),IF($NO$7="Bell_Curve",$NM$7*(58-$NQ$7+1)*($NR$7-58+1)/$NT$7,$NM$7/$NS$7)),0)</f>
        <v/>
      </c>
      <c r="BJ7" s="18">
        <f>IF(AND(59&gt;=$NQ$7,59&lt;=$NR$7),IF($NO$7="Single_Point",IF(59=$NQ$7,$NM$7,0),IF($NO$7="Bell_Curve",$NM$7*(59-$NQ$7+1)*($NR$7-59+1)/$NT$7,$NM$7/$NS$7)),0)</f>
        <v/>
      </c>
      <c r="BK7" s="18">
        <f>IF(AND(60&gt;=$NQ$7,60&lt;=$NR$7),IF($NO$7="Single_Point",IF(60=$NQ$7,$NM$7,0),IF($NO$7="Bell_Curve",$NM$7*(60-$NQ$7+1)*($NR$7-60+1)/$NT$7,$NM$7/$NS$7)),0)</f>
        <v/>
      </c>
      <c r="BL7" s="18">
        <f>IF(AND(61&gt;=$NQ$7,61&lt;=$NR$7),IF($NO$7="Single_Point",IF(61=$NQ$7,$NM$7,0),IF($NO$7="Bell_Curve",$NM$7*(61-$NQ$7+1)*($NR$7-61+1)/$NT$7,$NM$7/$NS$7)),0)</f>
        <v/>
      </c>
      <c r="BM7" s="18">
        <f>IF(AND(62&gt;=$NQ$7,62&lt;=$NR$7),IF($NO$7="Single_Point",IF(62=$NQ$7,$NM$7,0),IF($NO$7="Bell_Curve",$NM$7*(62-$NQ$7+1)*($NR$7-62+1)/$NT$7,$NM$7/$NS$7)),0)</f>
        <v/>
      </c>
      <c r="BN7" s="18">
        <f>IF(AND(63&gt;=$NQ$7,63&lt;=$NR$7),IF($NO$7="Single_Point",IF(63=$NQ$7,$NM$7,0),IF($NO$7="Bell_Curve",$NM$7*(63-$NQ$7+1)*($NR$7-63+1)/$NT$7,$NM$7/$NS$7)),0)</f>
        <v/>
      </c>
      <c r="BO7" s="18">
        <f>IF(AND(64&gt;=$NQ$7,64&lt;=$NR$7),IF($NO$7="Single_Point",IF(64=$NQ$7,$NM$7,0),IF($NO$7="Bell_Curve",$NM$7*(64-$NQ$7+1)*($NR$7-64+1)/$NT$7,$NM$7/$NS$7)),0)</f>
        <v/>
      </c>
      <c r="BP7" s="18">
        <f>IF(AND(65&gt;=$NQ$7,65&lt;=$NR$7),IF($NO$7="Single_Point",IF(65=$NQ$7,$NM$7,0),IF($NO$7="Bell_Curve",$NM$7*(65-$NQ$7+1)*($NR$7-65+1)/$NT$7,$NM$7/$NS$7)),0)</f>
        <v/>
      </c>
      <c r="BQ7" s="18">
        <f>IF(AND(66&gt;=$NQ$7,66&lt;=$NR$7),IF($NO$7="Single_Point",IF(66=$NQ$7,$NM$7,0),IF($NO$7="Bell_Curve",$NM$7*(66-$NQ$7+1)*($NR$7-66+1)/$NT$7,$NM$7/$NS$7)),0)</f>
        <v/>
      </c>
      <c r="BR7" s="18">
        <f>IF(AND(67&gt;=$NQ$7,67&lt;=$NR$7),IF($NO$7="Single_Point",IF(67=$NQ$7,$NM$7,0),IF($NO$7="Bell_Curve",$NM$7*(67-$NQ$7+1)*($NR$7-67+1)/$NT$7,$NM$7/$NS$7)),0)</f>
        <v/>
      </c>
      <c r="BS7" s="18">
        <f>IF(AND(68&gt;=$NQ$7,68&lt;=$NR$7),IF($NO$7="Single_Point",IF(68=$NQ$7,$NM$7,0),IF($NO$7="Bell_Curve",$NM$7*(68-$NQ$7+1)*($NR$7-68+1)/$NT$7,$NM$7/$NS$7)),0)</f>
        <v/>
      </c>
      <c r="BT7" s="18">
        <f>IF(AND(69&gt;=$NQ$7,69&lt;=$NR$7),IF($NO$7="Single_Point",IF(69=$NQ$7,$NM$7,0),IF($NO$7="Bell_Curve",$NM$7*(69-$NQ$7+1)*($NR$7-69+1)/$NT$7,$NM$7/$NS$7)),0)</f>
        <v/>
      </c>
      <c r="BU7" s="18">
        <f>IF(AND(70&gt;=$NQ$7,70&lt;=$NR$7),IF($NO$7="Single_Point",IF(70=$NQ$7,$NM$7,0),IF($NO$7="Bell_Curve",$NM$7*(70-$NQ$7+1)*($NR$7-70+1)/$NT$7,$NM$7/$NS$7)),0)</f>
        <v/>
      </c>
      <c r="BV7" s="18">
        <f>IF(AND(71&gt;=$NQ$7,71&lt;=$NR$7),IF($NO$7="Single_Point",IF(71=$NQ$7,$NM$7,0),IF($NO$7="Bell_Curve",$NM$7*(71-$NQ$7+1)*($NR$7-71+1)/$NT$7,$NM$7/$NS$7)),0)</f>
        <v/>
      </c>
      <c r="BW7" s="18">
        <f>IF(AND(72&gt;=$NQ$7,72&lt;=$NR$7),IF($NO$7="Single_Point",IF(72=$NQ$7,$NM$7,0),IF($NO$7="Bell_Curve",$NM$7*(72-$NQ$7+1)*($NR$7-72+1)/$NT$7,$NM$7/$NS$7)),0)</f>
        <v/>
      </c>
      <c r="BX7" s="18">
        <f>IF(AND(73&gt;=$NQ$7,73&lt;=$NR$7),IF($NO$7="Single_Point",IF(73=$NQ$7,$NM$7,0),IF($NO$7="Bell_Curve",$NM$7*(73-$NQ$7+1)*($NR$7-73+1)/$NT$7,$NM$7/$NS$7)),0)</f>
        <v/>
      </c>
      <c r="BY7" s="18">
        <f>IF(AND(74&gt;=$NQ$7,74&lt;=$NR$7),IF($NO$7="Single_Point",IF(74=$NQ$7,$NM$7,0),IF($NO$7="Bell_Curve",$NM$7*(74-$NQ$7+1)*($NR$7-74+1)/$NT$7,$NM$7/$NS$7)),0)</f>
        <v/>
      </c>
      <c r="BZ7" s="18">
        <f>IF(AND(75&gt;=$NQ$7,75&lt;=$NR$7),IF($NO$7="Single_Point",IF(75=$NQ$7,$NM$7,0),IF($NO$7="Bell_Curve",$NM$7*(75-$NQ$7+1)*($NR$7-75+1)/$NT$7,$NM$7/$NS$7)),0)</f>
        <v/>
      </c>
      <c r="CA7" s="18">
        <f>IF(AND(76&gt;=$NQ$7,76&lt;=$NR$7),IF($NO$7="Single_Point",IF(76=$NQ$7,$NM$7,0),IF($NO$7="Bell_Curve",$NM$7*(76-$NQ$7+1)*($NR$7-76+1)/$NT$7,$NM$7/$NS$7)),0)</f>
        <v/>
      </c>
      <c r="CB7" s="18">
        <f>IF(AND(77&gt;=$NQ$7,77&lt;=$NR$7),IF($NO$7="Single_Point",IF(77=$NQ$7,$NM$7,0),IF($NO$7="Bell_Curve",$NM$7*(77-$NQ$7+1)*($NR$7-77+1)/$NT$7,$NM$7/$NS$7)),0)</f>
        <v/>
      </c>
      <c r="CC7" s="18">
        <f>IF(AND(78&gt;=$NQ$7,78&lt;=$NR$7),IF($NO$7="Single_Point",IF(78=$NQ$7,$NM$7,0),IF($NO$7="Bell_Curve",$NM$7*(78-$NQ$7+1)*($NR$7-78+1)/$NT$7,$NM$7/$NS$7)),0)</f>
        <v/>
      </c>
      <c r="CD7" s="18">
        <f>IF(AND(79&gt;=$NQ$7,79&lt;=$NR$7),IF($NO$7="Single_Point",IF(79=$NQ$7,$NM$7,0),IF($NO$7="Bell_Curve",$NM$7*(79-$NQ$7+1)*($NR$7-79+1)/$NT$7,$NM$7/$NS$7)),0)</f>
        <v/>
      </c>
      <c r="CE7" s="18">
        <f>IF(AND(80&gt;=$NQ$7,80&lt;=$NR$7),IF($NO$7="Single_Point",IF(80=$NQ$7,$NM$7,0),IF($NO$7="Bell_Curve",$NM$7*(80-$NQ$7+1)*($NR$7-80+1)/$NT$7,$NM$7/$NS$7)),0)</f>
        <v/>
      </c>
      <c r="CF7" s="18">
        <f>IF(AND(81&gt;=$NQ$7,81&lt;=$NR$7),IF($NO$7="Single_Point",IF(81=$NQ$7,$NM$7,0),IF($NO$7="Bell_Curve",$NM$7*(81-$NQ$7+1)*($NR$7-81+1)/$NT$7,$NM$7/$NS$7)),0)</f>
        <v/>
      </c>
      <c r="CG7" s="18">
        <f>IF(AND(82&gt;=$NQ$7,82&lt;=$NR$7),IF($NO$7="Single_Point",IF(82=$NQ$7,$NM$7,0),IF($NO$7="Bell_Curve",$NM$7*(82-$NQ$7+1)*($NR$7-82+1)/$NT$7,$NM$7/$NS$7)),0)</f>
        <v/>
      </c>
      <c r="CH7" s="18">
        <f>IF(AND(83&gt;=$NQ$7,83&lt;=$NR$7),IF($NO$7="Single_Point",IF(83=$NQ$7,$NM$7,0),IF($NO$7="Bell_Curve",$NM$7*(83-$NQ$7+1)*($NR$7-83+1)/$NT$7,$NM$7/$NS$7)),0)</f>
        <v/>
      </c>
      <c r="CI7" s="18">
        <f>IF(AND(84&gt;=$NQ$7,84&lt;=$NR$7),IF($NO$7="Single_Point",IF(84=$NQ$7,$NM$7,0),IF($NO$7="Bell_Curve",$NM$7*(84-$NQ$7+1)*($NR$7-84+1)/$NT$7,$NM$7/$NS$7)),0)</f>
        <v/>
      </c>
      <c r="CJ7" s="18">
        <f>IF(AND(85&gt;=$NQ$7,85&lt;=$NR$7),IF($NO$7="Single_Point",IF(85=$NQ$7,$NM$7,0),IF($NO$7="Bell_Curve",$NM$7*(85-$NQ$7+1)*($NR$7-85+1)/$NT$7,$NM$7/$NS$7)),0)</f>
        <v/>
      </c>
      <c r="CK7" s="18">
        <f>IF(AND(86&gt;=$NQ$7,86&lt;=$NR$7),IF($NO$7="Single_Point",IF(86=$NQ$7,$NM$7,0),IF($NO$7="Bell_Curve",$NM$7*(86-$NQ$7+1)*($NR$7-86+1)/$NT$7,$NM$7/$NS$7)),0)</f>
        <v/>
      </c>
      <c r="CL7" s="18">
        <f>IF(AND(87&gt;=$NQ$7,87&lt;=$NR$7),IF($NO$7="Single_Point",IF(87=$NQ$7,$NM$7,0),IF($NO$7="Bell_Curve",$NM$7*(87-$NQ$7+1)*($NR$7-87+1)/$NT$7,$NM$7/$NS$7)),0)</f>
        <v/>
      </c>
      <c r="CM7" s="18">
        <f>IF(AND(88&gt;=$NQ$7,88&lt;=$NR$7),IF($NO$7="Single_Point",IF(88=$NQ$7,$NM$7,0),IF($NO$7="Bell_Curve",$NM$7*(88-$NQ$7+1)*($NR$7-88+1)/$NT$7,$NM$7/$NS$7)),0)</f>
        <v/>
      </c>
      <c r="CN7" s="18">
        <f>IF(AND(89&gt;=$NQ$7,89&lt;=$NR$7),IF($NO$7="Single_Point",IF(89=$NQ$7,$NM$7,0),IF($NO$7="Bell_Curve",$NM$7*(89-$NQ$7+1)*($NR$7-89+1)/$NT$7,$NM$7/$NS$7)),0)</f>
        <v/>
      </c>
      <c r="CO7" s="18">
        <f>IF(AND(90&gt;=$NQ$7,90&lt;=$NR$7),IF($NO$7="Single_Point",IF(90=$NQ$7,$NM$7,0),IF($NO$7="Bell_Curve",$NM$7*(90-$NQ$7+1)*($NR$7-90+1)/$NT$7,$NM$7/$NS$7)),0)</f>
        <v/>
      </c>
      <c r="CP7" s="18">
        <f>IF(AND(91&gt;=$NQ$7,91&lt;=$NR$7),IF($NO$7="Single_Point",IF(91=$NQ$7,$NM$7,0),IF($NO$7="Bell_Curve",$NM$7*(91-$NQ$7+1)*($NR$7-91+1)/$NT$7,$NM$7/$NS$7)),0)</f>
        <v/>
      </c>
      <c r="CQ7" s="18">
        <f>IF(AND(92&gt;=$NQ$7,92&lt;=$NR$7),IF($NO$7="Single_Point",IF(92=$NQ$7,$NM$7,0),IF($NO$7="Bell_Curve",$NM$7*(92-$NQ$7+1)*($NR$7-92+1)/$NT$7,$NM$7/$NS$7)),0)</f>
        <v/>
      </c>
      <c r="CR7" s="18">
        <f>IF(AND(93&gt;=$NQ$7,93&lt;=$NR$7),IF($NO$7="Single_Point",IF(93=$NQ$7,$NM$7,0),IF($NO$7="Bell_Curve",$NM$7*(93-$NQ$7+1)*($NR$7-93+1)/$NT$7,$NM$7/$NS$7)),0)</f>
        <v/>
      </c>
      <c r="CS7" s="18">
        <f>IF(AND(94&gt;=$NQ$7,94&lt;=$NR$7),IF($NO$7="Single_Point",IF(94=$NQ$7,$NM$7,0),IF($NO$7="Bell_Curve",$NM$7*(94-$NQ$7+1)*($NR$7-94+1)/$NT$7,$NM$7/$NS$7)),0)</f>
        <v/>
      </c>
      <c r="CT7" s="18">
        <f>IF(AND(95&gt;=$NQ$7,95&lt;=$NR$7),IF($NO$7="Single_Point",IF(95=$NQ$7,$NM$7,0),IF($NO$7="Bell_Curve",$NM$7*(95-$NQ$7+1)*($NR$7-95+1)/$NT$7,$NM$7/$NS$7)),0)</f>
        <v/>
      </c>
      <c r="CU7" s="18">
        <f>IF(AND(96&gt;=$NQ$7,96&lt;=$NR$7),IF($NO$7="Single_Point",IF(96=$NQ$7,$NM$7,0),IF($NO$7="Bell_Curve",$NM$7*(96-$NQ$7+1)*($NR$7-96+1)/$NT$7,$NM$7/$NS$7)),0)</f>
        <v/>
      </c>
      <c r="CV7" s="18">
        <f>IF(AND(97&gt;=$NQ$7,97&lt;=$NR$7),IF($NO$7="Single_Point",IF(97=$NQ$7,$NM$7,0),IF($NO$7="Bell_Curve",$NM$7*(97-$NQ$7+1)*($NR$7-97+1)/$NT$7,$NM$7/$NS$7)),0)</f>
        <v/>
      </c>
      <c r="CW7" s="18">
        <f>IF(AND(98&gt;=$NQ$7,98&lt;=$NR$7),IF($NO$7="Single_Point",IF(98=$NQ$7,$NM$7,0),IF($NO$7="Bell_Curve",$NM$7*(98-$NQ$7+1)*($NR$7-98+1)/$NT$7,$NM$7/$NS$7)),0)</f>
        <v/>
      </c>
      <c r="CX7" s="18">
        <f>IF(AND(99&gt;=$NQ$7,99&lt;=$NR$7),IF($NO$7="Single_Point",IF(99=$NQ$7,$NM$7,0),IF($NO$7="Bell_Curve",$NM$7*(99-$NQ$7+1)*($NR$7-99+1)/$NT$7,$NM$7/$NS$7)),0)</f>
        <v/>
      </c>
      <c r="CY7" s="18">
        <f>IF(AND(100&gt;=$NQ$7,100&lt;=$NR$7),IF($NO$7="Single_Point",IF(100=$NQ$7,$NM$7,0),IF($NO$7="Bell_Curve",$NM$7*(100-$NQ$7+1)*($NR$7-100+1)/$NT$7,$NM$7/$NS$7)),0)</f>
        <v/>
      </c>
      <c r="CZ7" s="18">
        <f>IF(AND(101&gt;=$NQ$7,101&lt;=$NR$7),IF($NO$7="Single_Point",IF(101=$NQ$7,$NM$7,0),IF($NO$7="Bell_Curve",$NM$7*(101-$NQ$7+1)*($NR$7-101+1)/$NT$7,$NM$7/$NS$7)),0)</f>
        <v/>
      </c>
      <c r="DA7" s="18">
        <f>IF(AND(102&gt;=$NQ$7,102&lt;=$NR$7),IF($NO$7="Single_Point",IF(102=$NQ$7,$NM$7,0),IF($NO$7="Bell_Curve",$NM$7*(102-$NQ$7+1)*($NR$7-102+1)/$NT$7,$NM$7/$NS$7)),0)</f>
        <v/>
      </c>
      <c r="DB7" s="18">
        <f>IF(AND(103&gt;=$NQ$7,103&lt;=$NR$7),IF($NO$7="Single_Point",IF(103=$NQ$7,$NM$7,0),IF($NO$7="Bell_Curve",$NM$7*(103-$NQ$7+1)*($NR$7-103+1)/$NT$7,$NM$7/$NS$7)),0)</f>
        <v/>
      </c>
      <c r="DC7" s="18">
        <f>IF(AND(104&gt;=$NQ$7,104&lt;=$NR$7),IF($NO$7="Single_Point",IF(104=$NQ$7,$NM$7,0),IF($NO$7="Bell_Curve",$NM$7*(104-$NQ$7+1)*($NR$7-104+1)/$NT$7,$NM$7/$NS$7)),0)</f>
        <v/>
      </c>
      <c r="DD7" s="18">
        <f>IF(AND(105&gt;=$NQ$7,105&lt;=$NR$7),IF($NO$7="Single_Point",IF(105=$NQ$7,$NM$7,0),IF($NO$7="Bell_Curve",$NM$7*(105-$NQ$7+1)*($NR$7-105+1)/$NT$7,$NM$7/$NS$7)),0)</f>
        <v/>
      </c>
      <c r="DE7" s="18">
        <f>IF(AND(106&gt;=$NQ$7,106&lt;=$NR$7),IF($NO$7="Single_Point",IF(106=$NQ$7,$NM$7,0),IF($NO$7="Bell_Curve",$NM$7*(106-$NQ$7+1)*($NR$7-106+1)/$NT$7,$NM$7/$NS$7)),0)</f>
        <v/>
      </c>
      <c r="DF7" s="18">
        <f>IF(AND(107&gt;=$NQ$7,107&lt;=$NR$7),IF($NO$7="Single_Point",IF(107=$NQ$7,$NM$7,0),IF($NO$7="Bell_Curve",$NM$7*(107-$NQ$7+1)*($NR$7-107+1)/$NT$7,$NM$7/$NS$7)),0)</f>
        <v/>
      </c>
      <c r="DG7" s="18">
        <f>IF(AND(108&gt;=$NQ$7,108&lt;=$NR$7),IF($NO$7="Single_Point",IF(108=$NQ$7,$NM$7,0),IF($NO$7="Bell_Curve",$NM$7*(108-$NQ$7+1)*($NR$7-108+1)/$NT$7,$NM$7/$NS$7)),0)</f>
        <v/>
      </c>
      <c r="DH7" s="18">
        <f>IF(AND(109&gt;=$NQ$7,109&lt;=$NR$7),IF($NO$7="Single_Point",IF(109=$NQ$7,$NM$7,0),IF($NO$7="Bell_Curve",$NM$7*(109-$NQ$7+1)*($NR$7-109+1)/$NT$7,$NM$7/$NS$7)),0)</f>
        <v/>
      </c>
      <c r="DI7" s="18">
        <f>IF(AND(110&gt;=$NQ$7,110&lt;=$NR$7),IF($NO$7="Single_Point",IF(110=$NQ$7,$NM$7,0),IF($NO$7="Bell_Curve",$NM$7*(110-$NQ$7+1)*($NR$7-110+1)/$NT$7,$NM$7/$NS$7)),0)</f>
        <v/>
      </c>
      <c r="DJ7" s="18">
        <f>IF(AND(111&gt;=$NQ$7,111&lt;=$NR$7),IF($NO$7="Single_Point",IF(111=$NQ$7,$NM$7,0),IF($NO$7="Bell_Curve",$NM$7*(111-$NQ$7+1)*($NR$7-111+1)/$NT$7,$NM$7/$NS$7)),0)</f>
        <v/>
      </c>
      <c r="DK7" s="18">
        <f>IF(AND(112&gt;=$NQ$7,112&lt;=$NR$7),IF($NO$7="Single_Point",IF(112=$NQ$7,$NM$7,0),IF($NO$7="Bell_Curve",$NM$7*(112-$NQ$7+1)*($NR$7-112+1)/$NT$7,$NM$7/$NS$7)),0)</f>
        <v/>
      </c>
      <c r="DL7" s="18">
        <f>IF(AND(113&gt;=$NQ$7,113&lt;=$NR$7),IF($NO$7="Single_Point",IF(113=$NQ$7,$NM$7,0),IF($NO$7="Bell_Curve",$NM$7*(113-$NQ$7+1)*($NR$7-113+1)/$NT$7,$NM$7/$NS$7)),0)</f>
        <v/>
      </c>
      <c r="DM7" s="18">
        <f>IF(AND(114&gt;=$NQ$7,114&lt;=$NR$7),IF($NO$7="Single_Point",IF(114=$NQ$7,$NM$7,0),IF($NO$7="Bell_Curve",$NM$7*(114-$NQ$7+1)*($NR$7-114+1)/$NT$7,$NM$7/$NS$7)),0)</f>
        <v/>
      </c>
      <c r="DN7" s="18">
        <f>IF(AND(115&gt;=$NQ$7,115&lt;=$NR$7),IF($NO$7="Single_Point",IF(115=$NQ$7,$NM$7,0),IF($NO$7="Bell_Curve",$NM$7*(115-$NQ$7+1)*($NR$7-115+1)/$NT$7,$NM$7/$NS$7)),0)</f>
        <v/>
      </c>
      <c r="DO7" s="18">
        <f>IF(AND(116&gt;=$NQ$7,116&lt;=$NR$7),IF($NO$7="Single_Point",IF(116=$NQ$7,$NM$7,0),IF($NO$7="Bell_Curve",$NM$7*(116-$NQ$7+1)*($NR$7-116+1)/$NT$7,$NM$7/$NS$7)),0)</f>
        <v/>
      </c>
      <c r="DP7" s="18">
        <f>IF(AND(117&gt;=$NQ$7,117&lt;=$NR$7),IF($NO$7="Single_Point",IF(117=$NQ$7,$NM$7,0),IF($NO$7="Bell_Curve",$NM$7*(117-$NQ$7+1)*($NR$7-117+1)/$NT$7,$NM$7/$NS$7)),0)</f>
        <v/>
      </c>
      <c r="DQ7" s="18">
        <f>IF(AND(118&gt;=$NQ$7,118&lt;=$NR$7),IF($NO$7="Single_Point",IF(118=$NQ$7,$NM$7,0),IF($NO$7="Bell_Curve",$NM$7*(118-$NQ$7+1)*($NR$7-118+1)/$NT$7,$NM$7/$NS$7)),0)</f>
        <v/>
      </c>
      <c r="DR7" s="18">
        <f>IF(AND(119&gt;=$NQ$7,119&lt;=$NR$7),IF($NO$7="Single_Point",IF(119=$NQ$7,$NM$7,0),IF($NO$7="Bell_Curve",$NM$7*(119-$NQ$7+1)*($NR$7-119+1)/$NT$7,$NM$7/$NS$7)),0)</f>
        <v/>
      </c>
      <c r="DS7" s="18">
        <f>IF(AND(120&gt;=$NQ$7,120&lt;=$NR$7),IF($NO$7="Single_Point",IF(120=$NQ$7,$NM$7,0),IF($NO$7="Bell_Curve",$NM$7*(120-$NQ$7+1)*($NR$7-120+1)/$NT$7,$NM$7/$NS$7)),0)</f>
        <v/>
      </c>
      <c r="DT7" s="18">
        <f>IF(AND(121&gt;=$NQ$7,121&lt;=$NR$7),IF($NO$7="Single_Point",IF(121=$NQ$7,$NM$7,0),IF($NO$7="Bell_Curve",$NM$7*(121-$NQ$7+1)*($NR$7-121+1)/$NT$7,$NM$7/$NS$7)),0)</f>
        <v/>
      </c>
      <c r="DU7" s="18">
        <f>IF(AND(122&gt;=$NQ$7,122&lt;=$NR$7),IF($NO$7="Single_Point",IF(122=$NQ$7,$NM$7,0),IF($NO$7="Bell_Curve",$NM$7*(122-$NQ$7+1)*($NR$7-122+1)/$NT$7,$NM$7/$NS$7)),0)</f>
        <v/>
      </c>
      <c r="DV7" s="18">
        <f>IF(AND(123&gt;=$NQ$7,123&lt;=$NR$7),IF($NO$7="Single_Point",IF(123=$NQ$7,$NM$7,0),IF($NO$7="Bell_Curve",$NM$7*(123-$NQ$7+1)*($NR$7-123+1)/$NT$7,$NM$7/$NS$7)),0)</f>
        <v/>
      </c>
      <c r="DW7" s="18">
        <f>IF(AND(124&gt;=$NQ$7,124&lt;=$NR$7),IF($NO$7="Single_Point",IF(124=$NQ$7,$NM$7,0),IF($NO$7="Bell_Curve",$NM$7*(124-$NQ$7+1)*($NR$7-124+1)/$NT$7,$NM$7/$NS$7)),0)</f>
        <v/>
      </c>
      <c r="DX7" s="18">
        <f>IF(AND(125&gt;=$NQ$7,125&lt;=$NR$7),IF($NO$7="Single_Point",IF(125=$NQ$7,$NM$7,0),IF($NO$7="Bell_Curve",$NM$7*(125-$NQ$7+1)*($NR$7-125+1)/$NT$7,$NM$7/$NS$7)),0)</f>
        <v/>
      </c>
      <c r="DY7" s="18">
        <f>IF(AND(126&gt;=$NQ$7,126&lt;=$NR$7),IF($NO$7="Single_Point",IF(126=$NQ$7,$NM$7,0),IF($NO$7="Bell_Curve",$NM$7*(126-$NQ$7+1)*($NR$7-126+1)/$NT$7,$NM$7/$NS$7)),0)</f>
        <v/>
      </c>
      <c r="DZ7" s="18">
        <f>IF(AND(127&gt;=$NQ$7,127&lt;=$NR$7),IF($NO$7="Single_Point",IF(127=$NQ$7,$NM$7,0),IF($NO$7="Bell_Curve",$NM$7*(127-$NQ$7+1)*($NR$7-127+1)/$NT$7,$NM$7/$NS$7)),0)</f>
        <v/>
      </c>
      <c r="EA7" s="18">
        <f>IF(AND(128&gt;=$NQ$7,128&lt;=$NR$7),IF($NO$7="Single_Point",IF(128=$NQ$7,$NM$7,0),IF($NO$7="Bell_Curve",$NM$7*(128-$NQ$7+1)*($NR$7-128+1)/$NT$7,$NM$7/$NS$7)),0)</f>
        <v/>
      </c>
      <c r="EB7" s="18">
        <f>IF(AND(129&gt;=$NQ$7,129&lt;=$NR$7),IF($NO$7="Single_Point",IF(129=$NQ$7,$NM$7,0),IF($NO$7="Bell_Curve",$NM$7*(129-$NQ$7+1)*($NR$7-129+1)/$NT$7,$NM$7/$NS$7)),0)</f>
        <v/>
      </c>
      <c r="EC7" s="18">
        <f>IF(AND(130&gt;=$NQ$7,130&lt;=$NR$7),IF($NO$7="Single_Point",IF(130=$NQ$7,$NM$7,0),IF($NO$7="Bell_Curve",$NM$7*(130-$NQ$7+1)*($NR$7-130+1)/$NT$7,$NM$7/$NS$7)),0)</f>
        <v/>
      </c>
      <c r="ED7" s="18">
        <f>IF(AND(131&gt;=$NQ$7,131&lt;=$NR$7),IF($NO$7="Single_Point",IF(131=$NQ$7,$NM$7,0),IF($NO$7="Bell_Curve",$NM$7*(131-$NQ$7+1)*($NR$7-131+1)/$NT$7,$NM$7/$NS$7)),0)</f>
        <v/>
      </c>
      <c r="EE7" s="18">
        <f>IF(AND(132&gt;=$NQ$7,132&lt;=$NR$7),IF($NO$7="Single_Point",IF(132=$NQ$7,$NM$7,0),IF($NO$7="Bell_Curve",$NM$7*(132-$NQ$7+1)*($NR$7-132+1)/$NT$7,$NM$7/$NS$7)),0)</f>
        <v/>
      </c>
      <c r="EF7" s="18">
        <f>IF(AND(133&gt;=$NQ$7,133&lt;=$NR$7),IF($NO$7="Single_Point",IF(133=$NQ$7,$NM$7,0),IF($NO$7="Bell_Curve",$NM$7*(133-$NQ$7+1)*($NR$7-133+1)/$NT$7,$NM$7/$NS$7)),0)</f>
        <v/>
      </c>
      <c r="EG7" s="18">
        <f>IF(AND(134&gt;=$NQ$7,134&lt;=$NR$7),IF($NO$7="Single_Point",IF(134=$NQ$7,$NM$7,0),IF($NO$7="Bell_Curve",$NM$7*(134-$NQ$7+1)*($NR$7-134+1)/$NT$7,$NM$7/$NS$7)),0)</f>
        <v/>
      </c>
      <c r="EH7" s="18">
        <f>IF(AND(135&gt;=$NQ$7,135&lt;=$NR$7),IF($NO$7="Single_Point",IF(135=$NQ$7,$NM$7,0),IF($NO$7="Bell_Curve",$NM$7*(135-$NQ$7+1)*($NR$7-135+1)/$NT$7,$NM$7/$NS$7)),0)</f>
        <v/>
      </c>
      <c r="EI7" s="18">
        <f>IF(AND(136&gt;=$NQ$7,136&lt;=$NR$7),IF($NO$7="Single_Point",IF(136=$NQ$7,$NM$7,0),IF($NO$7="Bell_Curve",$NM$7*(136-$NQ$7+1)*($NR$7-136+1)/$NT$7,$NM$7/$NS$7)),0)</f>
        <v/>
      </c>
      <c r="EJ7" s="18">
        <f>IF(AND(137&gt;=$NQ$7,137&lt;=$NR$7),IF($NO$7="Single_Point",IF(137=$NQ$7,$NM$7,0),IF($NO$7="Bell_Curve",$NM$7*(137-$NQ$7+1)*($NR$7-137+1)/$NT$7,$NM$7/$NS$7)),0)</f>
        <v/>
      </c>
      <c r="EK7" s="18">
        <f>IF(AND(138&gt;=$NQ$7,138&lt;=$NR$7),IF($NO$7="Single_Point",IF(138=$NQ$7,$NM$7,0),IF($NO$7="Bell_Curve",$NM$7*(138-$NQ$7+1)*($NR$7-138+1)/$NT$7,$NM$7/$NS$7)),0)</f>
        <v/>
      </c>
      <c r="EL7" s="18">
        <f>IF(AND(139&gt;=$NQ$7,139&lt;=$NR$7),IF($NO$7="Single_Point",IF(139=$NQ$7,$NM$7,0),IF($NO$7="Bell_Curve",$NM$7*(139-$NQ$7+1)*($NR$7-139+1)/$NT$7,$NM$7/$NS$7)),0)</f>
        <v/>
      </c>
      <c r="EM7" s="18">
        <f>IF(AND(140&gt;=$NQ$7,140&lt;=$NR$7),IF($NO$7="Single_Point",IF(140=$NQ$7,$NM$7,0),IF($NO$7="Bell_Curve",$NM$7*(140-$NQ$7+1)*($NR$7-140+1)/$NT$7,$NM$7/$NS$7)),0)</f>
        <v/>
      </c>
      <c r="EN7" s="18">
        <f>IF(AND(141&gt;=$NQ$7,141&lt;=$NR$7),IF($NO$7="Single_Point",IF(141=$NQ$7,$NM$7,0),IF($NO$7="Bell_Curve",$NM$7*(141-$NQ$7+1)*($NR$7-141+1)/$NT$7,$NM$7/$NS$7)),0)</f>
        <v/>
      </c>
      <c r="EO7" s="18">
        <f>IF(AND(142&gt;=$NQ$7,142&lt;=$NR$7),IF($NO$7="Single_Point",IF(142=$NQ$7,$NM$7,0),IF($NO$7="Bell_Curve",$NM$7*(142-$NQ$7+1)*($NR$7-142+1)/$NT$7,$NM$7/$NS$7)),0)</f>
        <v/>
      </c>
      <c r="EP7" s="18">
        <f>IF(AND(143&gt;=$NQ$7,143&lt;=$NR$7),IF($NO$7="Single_Point",IF(143=$NQ$7,$NM$7,0),IF($NO$7="Bell_Curve",$NM$7*(143-$NQ$7+1)*($NR$7-143+1)/$NT$7,$NM$7/$NS$7)),0)</f>
        <v/>
      </c>
      <c r="EQ7" s="18">
        <f>IF(AND(144&gt;=$NQ$7,144&lt;=$NR$7),IF($NO$7="Single_Point",IF(144=$NQ$7,$NM$7,0),IF($NO$7="Bell_Curve",$NM$7*(144-$NQ$7+1)*($NR$7-144+1)/$NT$7,$NM$7/$NS$7)),0)</f>
        <v/>
      </c>
      <c r="ER7" s="18">
        <f>IF(AND(145&gt;=$NQ$7,145&lt;=$NR$7),IF($NO$7="Single_Point",IF(145=$NQ$7,$NM$7,0),IF($NO$7="Bell_Curve",$NM$7*(145-$NQ$7+1)*($NR$7-145+1)/$NT$7,$NM$7/$NS$7)),0)</f>
        <v/>
      </c>
      <c r="ES7" s="18">
        <f>IF(AND(146&gt;=$NQ$7,146&lt;=$NR$7),IF($NO$7="Single_Point",IF(146=$NQ$7,$NM$7,0),IF($NO$7="Bell_Curve",$NM$7*(146-$NQ$7+1)*($NR$7-146+1)/$NT$7,$NM$7/$NS$7)),0)</f>
        <v/>
      </c>
      <c r="ET7" s="18">
        <f>IF(AND(147&gt;=$NQ$7,147&lt;=$NR$7),IF($NO$7="Single_Point",IF(147=$NQ$7,$NM$7,0),IF($NO$7="Bell_Curve",$NM$7*(147-$NQ$7+1)*($NR$7-147+1)/$NT$7,$NM$7/$NS$7)),0)</f>
        <v/>
      </c>
      <c r="EU7" s="18">
        <f>IF(AND(148&gt;=$NQ$7,148&lt;=$NR$7),IF($NO$7="Single_Point",IF(148=$NQ$7,$NM$7,0),IF($NO$7="Bell_Curve",$NM$7*(148-$NQ$7+1)*($NR$7-148+1)/$NT$7,$NM$7/$NS$7)),0)</f>
        <v/>
      </c>
      <c r="EV7" s="18">
        <f>IF(AND(149&gt;=$NQ$7,149&lt;=$NR$7),IF($NO$7="Single_Point",IF(149=$NQ$7,$NM$7,0),IF($NO$7="Bell_Curve",$NM$7*(149-$NQ$7+1)*($NR$7-149+1)/$NT$7,$NM$7/$NS$7)),0)</f>
        <v/>
      </c>
      <c r="EW7" s="18">
        <f>IF(AND(150&gt;=$NQ$7,150&lt;=$NR$7),IF($NO$7="Single_Point",IF(150=$NQ$7,$NM$7,0),IF($NO$7="Bell_Curve",$NM$7*(150-$NQ$7+1)*($NR$7-150+1)/$NT$7,$NM$7/$NS$7)),0)</f>
        <v/>
      </c>
      <c r="EX7" s="18">
        <f>IF(AND(151&gt;=$NQ$7,151&lt;=$NR$7),IF($NO$7="Single_Point",IF(151=$NQ$7,$NM$7,0),IF($NO$7="Bell_Curve",$NM$7*(151-$NQ$7+1)*($NR$7-151+1)/$NT$7,$NM$7/$NS$7)),0)</f>
        <v/>
      </c>
      <c r="EY7" s="18">
        <f>IF(AND(152&gt;=$NQ$7,152&lt;=$NR$7),IF($NO$7="Single_Point",IF(152=$NQ$7,$NM$7,0),IF($NO$7="Bell_Curve",$NM$7*(152-$NQ$7+1)*($NR$7-152+1)/$NT$7,$NM$7/$NS$7)),0)</f>
        <v/>
      </c>
      <c r="EZ7" s="18">
        <f>IF(AND(153&gt;=$NQ$7,153&lt;=$NR$7),IF($NO$7="Single_Point",IF(153=$NQ$7,$NM$7,0),IF($NO$7="Bell_Curve",$NM$7*(153-$NQ$7+1)*($NR$7-153+1)/$NT$7,$NM$7/$NS$7)),0)</f>
        <v/>
      </c>
      <c r="FA7" s="18">
        <f>IF(AND(154&gt;=$NQ$7,154&lt;=$NR$7),IF($NO$7="Single_Point",IF(154=$NQ$7,$NM$7,0),IF($NO$7="Bell_Curve",$NM$7*(154-$NQ$7+1)*($NR$7-154+1)/$NT$7,$NM$7/$NS$7)),0)</f>
        <v/>
      </c>
      <c r="FB7" s="18">
        <f>IF(AND(155&gt;=$NQ$7,155&lt;=$NR$7),IF($NO$7="Single_Point",IF(155=$NQ$7,$NM$7,0),IF($NO$7="Bell_Curve",$NM$7*(155-$NQ$7+1)*($NR$7-155+1)/$NT$7,$NM$7/$NS$7)),0)</f>
        <v/>
      </c>
      <c r="FC7" s="18">
        <f>IF(AND(156&gt;=$NQ$7,156&lt;=$NR$7),IF($NO$7="Single_Point",IF(156=$NQ$7,$NM$7,0),IF($NO$7="Bell_Curve",$NM$7*(156-$NQ$7+1)*($NR$7-156+1)/$NT$7,$NM$7/$NS$7)),0)</f>
        <v/>
      </c>
      <c r="FD7" s="18">
        <f>IF(AND(157&gt;=$NQ$7,157&lt;=$NR$7),IF($NO$7="Single_Point",IF(157=$NQ$7,$NM$7,0),IF($NO$7="Bell_Curve",$NM$7*(157-$NQ$7+1)*($NR$7-157+1)/$NT$7,$NM$7/$NS$7)),0)</f>
        <v/>
      </c>
      <c r="FE7" s="18">
        <f>IF(AND(158&gt;=$NQ$7,158&lt;=$NR$7),IF($NO$7="Single_Point",IF(158=$NQ$7,$NM$7,0),IF($NO$7="Bell_Curve",$NM$7*(158-$NQ$7+1)*($NR$7-158+1)/$NT$7,$NM$7/$NS$7)),0)</f>
        <v/>
      </c>
      <c r="FF7" s="18">
        <f>IF(AND(159&gt;=$NQ$7,159&lt;=$NR$7),IF($NO$7="Single_Point",IF(159=$NQ$7,$NM$7,0),IF($NO$7="Bell_Curve",$NM$7*(159-$NQ$7+1)*($NR$7-159+1)/$NT$7,$NM$7/$NS$7)),0)</f>
        <v/>
      </c>
      <c r="FG7" s="18">
        <f>IF(AND(160&gt;=$NQ$7,160&lt;=$NR$7),IF($NO$7="Single_Point",IF(160=$NQ$7,$NM$7,0),IF($NO$7="Bell_Curve",$NM$7*(160-$NQ$7+1)*($NR$7-160+1)/$NT$7,$NM$7/$NS$7)),0)</f>
        <v/>
      </c>
      <c r="FH7" s="18">
        <f>IF(AND(161&gt;=$NQ$7,161&lt;=$NR$7),IF($NO$7="Single_Point",IF(161=$NQ$7,$NM$7,0),IF($NO$7="Bell_Curve",$NM$7*(161-$NQ$7+1)*($NR$7-161+1)/$NT$7,$NM$7/$NS$7)),0)</f>
        <v/>
      </c>
      <c r="FI7" s="18">
        <f>IF(AND(162&gt;=$NQ$7,162&lt;=$NR$7),IF($NO$7="Single_Point",IF(162=$NQ$7,$NM$7,0),IF($NO$7="Bell_Curve",$NM$7*(162-$NQ$7+1)*($NR$7-162+1)/$NT$7,$NM$7/$NS$7)),0)</f>
        <v/>
      </c>
      <c r="FJ7" s="18">
        <f>IF(AND(163&gt;=$NQ$7,163&lt;=$NR$7),IF($NO$7="Single_Point",IF(163=$NQ$7,$NM$7,0),IF($NO$7="Bell_Curve",$NM$7*(163-$NQ$7+1)*($NR$7-163+1)/$NT$7,$NM$7/$NS$7)),0)</f>
        <v/>
      </c>
      <c r="FK7" s="18">
        <f>IF(AND(164&gt;=$NQ$7,164&lt;=$NR$7),IF($NO$7="Single_Point",IF(164=$NQ$7,$NM$7,0),IF($NO$7="Bell_Curve",$NM$7*(164-$NQ$7+1)*($NR$7-164+1)/$NT$7,$NM$7/$NS$7)),0)</f>
        <v/>
      </c>
      <c r="FL7" s="18">
        <f>IF(AND(165&gt;=$NQ$7,165&lt;=$NR$7),IF($NO$7="Single_Point",IF(165=$NQ$7,$NM$7,0),IF($NO$7="Bell_Curve",$NM$7*(165-$NQ$7+1)*($NR$7-165+1)/$NT$7,$NM$7/$NS$7)),0)</f>
        <v/>
      </c>
      <c r="FM7" s="18">
        <f>IF(AND(166&gt;=$NQ$7,166&lt;=$NR$7),IF($NO$7="Single_Point",IF(166=$NQ$7,$NM$7,0),IF($NO$7="Bell_Curve",$NM$7*(166-$NQ$7+1)*($NR$7-166+1)/$NT$7,$NM$7/$NS$7)),0)</f>
        <v/>
      </c>
      <c r="FN7" s="18">
        <f>IF(AND(167&gt;=$NQ$7,167&lt;=$NR$7),IF($NO$7="Single_Point",IF(167=$NQ$7,$NM$7,0),IF($NO$7="Bell_Curve",$NM$7*(167-$NQ$7+1)*($NR$7-167+1)/$NT$7,$NM$7/$NS$7)),0)</f>
        <v/>
      </c>
      <c r="FO7" s="18">
        <f>IF(AND(168&gt;=$NQ$7,168&lt;=$NR$7),IF($NO$7="Single_Point",IF(168=$NQ$7,$NM$7,0),IF($NO$7="Bell_Curve",$NM$7*(168-$NQ$7+1)*($NR$7-168+1)/$NT$7,$NM$7/$NS$7)),0)</f>
        <v/>
      </c>
      <c r="FP7" s="18">
        <f>IF(AND(169&gt;=$NQ$7,169&lt;=$NR$7),IF($NO$7="Single_Point",IF(169=$NQ$7,$NM$7,0),IF($NO$7="Bell_Curve",$NM$7*(169-$NQ$7+1)*($NR$7-169+1)/$NT$7,$NM$7/$NS$7)),0)</f>
        <v/>
      </c>
      <c r="FQ7" s="18">
        <f>IF(AND(170&gt;=$NQ$7,170&lt;=$NR$7),IF($NO$7="Single_Point",IF(170=$NQ$7,$NM$7,0),IF($NO$7="Bell_Curve",$NM$7*(170-$NQ$7+1)*($NR$7-170+1)/$NT$7,$NM$7/$NS$7)),0)</f>
        <v/>
      </c>
      <c r="FR7" s="18">
        <f>IF(AND(171&gt;=$NQ$7,171&lt;=$NR$7),IF($NO$7="Single_Point",IF(171=$NQ$7,$NM$7,0),IF($NO$7="Bell_Curve",$NM$7*(171-$NQ$7+1)*($NR$7-171+1)/$NT$7,$NM$7/$NS$7)),0)</f>
        <v/>
      </c>
      <c r="FS7" s="18">
        <f>IF(AND(172&gt;=$NQ$7,172&lt;=$NR$7),IF($NO$7="Single_Point",IF(172=$NQ$7,$NM$7,0),IF($NO$7="Bell_Curve",$NM$7*(172-$NQ$7+1)*($NR$7-172+1)/$NT$7,$NM$7/$NS$7)),0)</f>
        <v/>
      </c>
      <c r="FT7" s="18">
        <f>IF(AND(173&gt;=$NQ$7,173&lt;=$NR$7),IF($NO$7="Single_Point",IF(173=$NQ$7,$NM$7,0),IF($NO$7="Bell_Curve",$NM$7*(173-$NQ$7+1)*($NR$7-173+1)/$NT$7,$NM$7/$NS$7)),0)</f>
        <v/>
      </c>
      <c r="FU7" s="18">
        <f>IF(AND(174&gt;=$NQ$7,174&lt;=$NR$7),IF($NO$7="Single_Point",IF(174=$NQ$7,$NM$7,0),IF($NO$7="Bell_Curve",$NM$7*(174-$NQ$7+1)*($NR$7-174+1)/$NT$7,$NM$7/$NS$7)),0)</f>
        <v/>
      </c>
      <c r="FV7" s="18">
        <f>IF(AND(175&gt;=$NQ$7,175&lt;=$NR$7),IF($NO$7="Single_Point",IF(175=$NQ$7,$NM$7,0),IF($NO$7="Bell_Curve",$NM$7*(175-$NQ$7+1)*($NR$7-175+1)/$NT$7,$NM$7/$NS$7)),0)</f>
        <v/>
      </c>
      <c r="FW7" s="18">
        <f>IF(AND(176&gt;=$NQ$7,176&lt;=$NR$7),IF($NO$7="Single_Point",IF(176=$NQ$7,$NM$7,0),IF($NO$7="Bell_Curve",$NM$7*(176-$NQ$7+1)*($NR$7-176+1)/$NT$7,$NM$7/$NS$7)),0)</f>
        <v/>
      </c>
      <c r="FX7" s="18">
        <f>IF(AND(177&gt;=$NQ$7,177&lt;=$NR$7),IF($NO$7="Single_Point",IF(177=$NQ$7,$NM$7,0),IF($NO$7="Bell_Curve",$NM$7*(177-$NQ$7+1)*($NR$7-177+1)/$NT$7,$NM$7/$NS$7)),0)</f>
        <v/>
      </c>
      <c r="FY7" s="18">
        <f>IF(AND(178&gt;=$NQ$7,178&lt;=$NR$7),IF($NO$7="Single_Point",IF(178=$NQ$7,$NM$7,0),IF($NO$7="Bell_Curve",$NM$7*(178-$NQ$7+1)*($NR$7-178+1)/$NT$7,$NM$7/$NS$7)),0)</f>
        <v/>
      </c>
      <c r="FZ7" s="18">
        <f>IF(AND(179&gt;=$NQ$7,179&lt;=$NR$7),IF($NO$7="Single_Point",IF(179=$NQ$7,$NM$7,0),IF($NO$7="Bell_Curve",$NM$7*(179-$NQ$7+1)*($NR$7-179+1)/$NT$7,$NM$7/$NS$7)),0)</f>
        <v/>
      </c>
      <c r="GA7" s="18">
        <f>IF(AND(180&gt;=$NQ$7,180&lt;=$NR$7),IF($NO$7="Single_Point",IF(180=$NQ$7,$NM$7,0),IF($NO$7="Bell_Curve",$NM$7*(180-$NQ$7+1)*($NR$7-180+1)/$NT$7,$NM$7/$NS$7)),0)</f>
        <v/>
      </c>
      <c r="GB7" s="18">
        <f>IF(AND(181&gt;=$NQ$7,181&lt;=$NR$7),IF($NO$7="Single_Point",IF(181=$NQ$7,$NM$7,0),IF($NO$7="Bell_Curve",$NM$7*(181-$NQ$7+1)*($NR$7-181+1)/$NT$7,$NM$7/$NS$7)),0)</f>
        <v/>
      </c>
      <c r="GC7" s="18">
        <f>IF(AND(182&gt;=$NQ$7,182&lt;=$NR$7),IF($NO$7="Single_Point",IF(182=$NQ$7,$NM$7,0),IF($NO$7="Bell_Curve",$NM$7*(182-$NQ$7+1)*($NR$7-182+1)/$NT$7,$NM$7/$NS$7)),0)</f>
        <v/>
      </c>
      <c r="GD7" s="18">
        <f>IF(AND(183&gt;=$NQ$7,183&lt;=$NR$7),IF($NO$7="Single_Point",IF(183=$NQ$7,$NM$7,0),IF($NO$7="Bell_Curve",$NM$7*(183-$NQ$7+1)*($NR$7-183+1)/$NT$7,$NM$7/$NS$7)),0)</f>
        <v/>
      </c>
      <c r="GE7" s="18">
        <f>IF(AND(184&gt;=$NQ$7,184&lt;=$NR$7),IF($NO$7="Single_Point",IF(184=$NQ$7,$NM$7,0),IF($NO$7="Bell_Curve",$NM$7*(184-$NQ$7+1)*($NR$7-184+1)/$NT$7,$NM$7/$NS$7)),0)</f>
        <v/>
      </c>
      <c r="GF7" s="18">
        <f>IF(AND(185&gt;=$NQ$7,185&lt;=$NR$7),IF($NO$7="Single_Point",IF(185=$NQ$7,$NM$7,0),IF($NO$7="Bell_Curve",$NM$7*(185-$NQ$7+1)*($NR$7-185+1)/$NT$7,$NM$7/$NS$7)),0)</f>
        <v/>
      </c>
      <c r="GG7" s="18">
        <f>IF(AND(186&gt;=$NQ$7,186&lt;=$NR$7),IF($NO$7="Single_Point",IF(186=$NQ$7,$NM$7,0),IF($NO$7="Bell_Curve",$NM$7*(186-$NQ$7+1)*($NR$7-186+1)/$NT$7,$NM$7/$NS$7)),0)</f>
        <v/>
      </c>
      <c r="GH7" s="18">
        <f>IF(AND(187&gt;=$NQ$7,187&lt;=$NR$7),IF($NO$7="Single_Point",IF(187=$NQ$7,$NM$7,0),IF($NO$7="Bell_Curve",$NM$7*(187-$NQ$7+1)*($NR$7-187+1)/$NT$7,$NM$7/$NS$7)),0)</f>
        <v/>
      </c>
      <c r="GI7" s="18">
        <f>IF(AND(188&gt;=$NQ$7,188&lt;=$NR$7),IF($NO$7="Single_Point",IF(188=$NQ$7,$NM$7,0),IF($NO$7="Bell_Curve",$NM$7*(188-$NQ$7+1)*($NR$7-188+1)/$NT$7,$NM$7/$NS$7)),0)</f>
        <v/>
      </c>
      <c r="GJ7" s="18">
        <f>IF(AND(189&gt;=$NQ$7,189&lt;=$NR$7),IF($NO$7="Single_Point",IF(189=$NQ$7,$NM$7,0),IF($NO$7="Bell_Curve",$NM$7*(189-$NQ$7+1)*($NR$7-189+1)/$NT$7,$NM$7/$NS$7)),0)</f>
        <v/>
      </c>
      <c r="GK7" s="18">
        <f>IF(AND(190&gt;=$NQ$7,190&lt;=$NR$7),IF($NO$7="Single_Point",IF(190=$NQ$7,$NM$7,0),IF($NO$7="Bell_Curve",$NM$7*(190-$NQ$7+1)*($NR$7-190+1)/$NT$7,$NM$7/$NS$7)),0)</f>
        <v/>
      </c>
      <c r="GL7" s="18">
        <f>IF(AND(191&gt;=$NQ$7,191&lt;=$NR$7),IF($NO$7="Single_Point",IF(191=$NQ$7,$NM$7,0),IF($NO$7="Bell_Curve",$NM$7*(191-$NQ$7+1)*($NR$7-191+1)/$NT$7,$NM$7/$NS$7)),0)</f>
        <v/>
      </c>
      <c r="GM7" s="18">
        <f>IF(AND(192&gt;=$NQ$7,192&lt;=$NR$7),IF($NO$7="Single_Point",IF(192=$NQ$7,$NM$7,0),IF($NO$7="Bell_Curve",$NM$7*(192-$NQ$7+1)*($NR$7-192+1)/$NT$7,$NM$7/$NS$7)),0)</f>
        <v/>
      </c>
      <c r="GN7" s="18">
        <f>IF(AND(193&gt;=$NQ$7,193&lt;=$NR$7),IF($NO$7="Single_Point",IF(193=$NQ$7,$NM$7,0),IF($NO$7="Bell_Curve",$NM$7*(193-$NQ$7+1)*($NR$7-193+1)/$NT$7,$NM$7/$NS$7)),0)</f>
        <v/>
      </c>
      <c r="GO7" s="18">
        <f>IF(AND(194&gt;=$NQ$7,194&lt;=$NR$7),IF($NO$7="Single_Point",IF(194=$NQ$7,$NM$7,0),IF($NO$7="Bell_Curve",$NM$7*(194-$NQ$7+1)*($NR$7-194+1)/$NT$7,$NM$7/$NS$7)),0)</f>
        <v/>
      </c>
      <c r="GP7" s="18">
        <f>IF(AND(195&gt;=$NQ$7,195&lt;=$NR$7),IF($NO$7="Single_Point",IF(195=$NQ$7,$NM$7,0),IF($NO$7="Bell_Curve",$NM$7*(195-$NQ$7+1)*($NR$7-195+1)/$NT$7,$NM$7/$NS$7)),0)</f>
        <v/>
      </c>
      <c r="GQ7" s="18">
        <f>IF(AND(196&gt;=$NQ$7,196&lt;=$NR$7),IF($NO$7="Single_Point",IF(196=$NQ$7,$NM$7,0),IF($NO$7="Bell_Curve",$NM$7*(196-$NQ$7+1)*($NR$7-196+1)/$NT$7,$NM$7/$NS$7)),0)</f>
        <v/>
      </c>
      <c r="GR7" s="18">
        <f>IF(AND(197&gt;=$NQ$7,197&lt;=$NR$7),IF($NO$7="Single_Point",IF(197=$NQ$7,$NM$7,0),IF($NO$7="Bell_Curve",$NM$7*(197-$NQ$7+1)*($NR$7-197+1)/$NT$7,$NM$7/$NS$7)),0)</f>
        <v/>
      </c>
      <c r="GS7" s="18">
        <f>IF(AND(198&gt;=$NQ$7,198&lt;=$NR$7),IF($NO$7="Single_Point",IF(198=$NQ$7,$NM$7,0),IF($NO$7="Bell_Curve",$NM$7*(198-$NQ$7+1)*($NR$7-198+1)/$NT$7,$NM$7/$NS$7)),0)</f>
        <v/>
      </c>
      <c r="GT7" s="18">
        <f>IF(AND(199&gt;=$NQ$7,199&lt;=$NR$7),IF($NO$7="Single_Point",IF(199=$NQ$7,$NM$7,0),IF($NO$7="Bell_Curve",$NM$7*(199-$NQ$7+1)*($NR$7-199+1)/$NT$7,$NM$7/$NS$7)),0)</f>
        <v/>
      </c>
      <c r="GU7" s="18">
        <f>IF(AND(200&gt;=$NQ$7,200&lt;=$NR$7),IF($NO$7="Single_Point",IF(200=$NQ$7,$NM$7,0),IF($NO$7="Bell_Curve",$NM$7*(200-$NQ$7+1)*($NR$7-200+1)/$NT$7,$NM$7/$NS$7)),0)</f>
        <v/>
      </c>
      <c r="GV7" s="18">
        <f>IF(AND(201&gt;=$NQ$7,201&lt;=$NR$7),IF($NO$7="Single_Point",IF(201=$NQ$7,$NM$7,0),IF($NO$7="Bell_Curve",$NM$7*(201-$NQ$7+1)*($NR$7-201+1)/$NT$7,$NM$7/$NS$7)),0)</f>
        <v/>
      </c>
      <c r="GW7" s="18">
        <f>IF(AND(202&gt;=$NQ$7,202&lt;=$NR$7),IF($NO$7="Single_Point",IF(202=$NQ$7,$NM$7,0),IF($NO$7="Bell_Curve",$NM$7*(202-$NQ$7+1)*($NR$7-202+1)/$NT$7,$NM$7/$NS$7)),0)</f>
        <v/>
      </c>
      <c r="GX7" s="18">
        <f>IF(AND(203&gt;=$NQ$7,203&lt;=$NR$7),IF($NO$7="Single_Point",IF(203=$NQ$7,$NM$7,0),IF($NO$7="Bell_Curve",$NM$7*(203-$NQ$7+1)*($NR$7-203+1)/$NT$7,$NM$7/$NS$7)),0)</f>
        <v/>
      </c>
      <c r="GY7" s="18">
        <f>IF(AND(204&gt;=$NQ$7,204&lt;=$NR$7),IF($NO$7="Single_Point",IF(204=$NQ$7,$NM$7,0),IF($NO$7="Bell_Curve",$NM$7*(204-$NQ$7+1)*($NR$7-204+1)/$NT$7,$NM$7/$NS$7)),0)</f>
        <v/>
      </c>
      <c r="GZ7" s="18">
        <f>IF(AND(205&gt;=$NQ$7,205&lt;=$NR$7),IF($NO$7="Single_Point",IF(205=$NQ$7,$NM$7,0),IF($NO$7="Bell_Curve",$NM$7*(205-$NQ$7+1)*($NR$7-205+1)/$NT$7,$NM$7/$NS$7)),0)</f>
        <v/>
      </c>
      <c r="HA7" s="18">
        <f>IF(AND(206&gt;=$NQ$7,206&lt;=$NR$7),IF($NO$7="Single_Point",IF(206=$NQ$7,$NM$7,0),IF($NO$7="Bell_Curve",$NM$7*(206-$NQ$7+1)*($NR$7-206+1)/$NT$7,$NM$7/$NS$7)),0)</f>
        <v/>
      </c>
      <c r="HB7" s="18">
        <f>IF(AND(207&gt;=$NQ$7,207&lt;=$NR$7),IF($NO$7="Single_Point",IF(207=$NQ$7,$NM$7,0),IF($NO$7="Bell_Curve",$NM$7*(207-$NQ$7+1)*($NR$7-207+1)/$NT$7,$NM$7/$NS$7)),0)</f>
        <v/>
      </c>
      <c r="HC7" s="18">
        <f>IF(AND(208&gt;=$NQ$7,208&lt;=$NR$7),IF($NO$7="Single_Point",IF(208=$NQ$7,$NM$7,0),IF($NO$7="Bell_Curve",$NM$7*(208-$NQ$7+1)*($NR$7-208+1)/$NT$7,$NM$7/$NS$7)),0)</f>
        <v/>
      </c>
      <c r="HD7" s="18">
        <f>IF(AND(209&gt;=$NQ$7,209&lt;=$NR$7),IF($NO$7="Single_Point",IF(209=$NQ$7,$NM$7,0),IF($NO$7="Bell_Curve",$NM$7*(209-$NQ$7+1)*($NR$7-209+1)/$NT$7,$NM$7/$NS$7)),0)</f>
        <v/>
      </c>
      <c r="HE7" s="18">
        <f>IF(AND(210&gt;=$NQ$7,210&lt;=$NR$7),IF($NO$7="Single_Point",IF(210=$NQ$7,$NM$7,0),IF($NO$7="Bell_Curve",$NM$7*(210-$NQ$7+1)*($NR$7-210+1)/$NT$7,$NM$7/$NS$7)),0)</f>
        <v/>
      </c>
      <c r="HF7" s="18">
        <f>IF(AND(211&gt;=$NQ$7,211&lt;=$NR$7),IF($NO$7="Single_Point",IF(211=$NQ$7,$NM$7,0),IF($NO$7="Bell_Curve",$NM$7*(211-$NQ$7+1)*($NR$7-211+1)/$NT$7,$NM$7/$NS$7)),0)</f>
        <v/>
      </c>
      <c r="HG7" s="18">
        <f>IF(AND(212&gt;=$NQ$7,212&lt;=$NR$7),IF($NO$7="Single_Point",IF(212=$NQ$7,$NM$7,0),IF($NO$7="Bell_Curve",$NM$7*(212-$NQ$7+1)*($NR$7-212+1)/$NT$7,$NM$7/$NS$7)),0)</f>
        <v/>
      </c>
      <c r="HH7" s="18">
        <f>IF(AND(213&gt;=$NQ$7,213&lt;=$NR$7),IF($NO$7="Single_Point",IF(213=$NQ$7,$NM$7,0),IF($NO$7="Bell_Curve",$NM$7*(213-$NQ$7+1)*($NR$7-213+1)/$NT$7,$NM$7/$NS$7)),0)</f>
        <v/>
      </c>
      <c r="HI7" s="18">
        <f>IF(AND(214&gt;=$NQ$7,214&lt;=$NR$7),IF($NO$7="Single_Point",IF(214=$NQ$7,$NM$7,0),IF($NO$7="Bell_Curve",$NM$7*(214-$NQ$7+1)*($NR$7-214+1)/$NT$7,$NM$7/$NS$7)),0)</f>
        <v/>
      </c>
      <c r="HJ7" s="18">
        <f>IF(AND(215&gt;=$NQ$7,215&lt;=$NR$7),IF($NO$7="Single_Point",IF(215=$NQ$7,$NM$7,0),IF($NO$7="Bell_Curve",$NM$7*(215-$NQ$7+1)*($NR$7-215+1)/$NT$7,$NM$7/$NS$7)),0)</f>
        <v/>
      </c>
      <c r="HK7" s="18">
        <f>IF(AND(216&gt;=$NQ$7,216&lt;=$NR$7),IF($NO$7="Single_Point",IF(216=$NQ$7,$NM$7,0),IF($NO$7="Bell_Curve",$NM$7*(216-$NQ$7+1)*($NR$7-216+1)/$NT$7,$NM$7/$NS$7)),0)</f>
        <v/>
      </c>
      <c r="HL7" s="18">
        <f>IF(AND(217&gt;=$NQ$7,217&lt;=$NR$7),IF($NO$7="Single_Point",IF(217=$NQ$7,$NM$7,0),IF($NO$7="Bell_Curve",$NM$7*(217-$NQ$7+1)*($NR$7-217+1)/$NT$7,$NM$7/$NS$7)),0)</f>
        <v/>
      </c>
      <c r="HM7" s="18">
        <f>IF(AND(218&gt;=$NQ$7,218&lt;=$NR$7),IF($NO$7="Single_Point",IF(218=$NQ$7,$NM$7,0),IF($NO$7="Bell_Curve",$NM$7*(218-$NQ$7+1)*($NR$7-218+1)/$NT$7,$NM$7/$NS$7)),0)</f>
        <v/>
      </c>
      <c r="HN7" s="18">
        <f>IF(AND(219&gt;=$NQ$7,219&lt;=$NR$7),IF($NO$7="Single_Point",IF(219=$NQ$7,$NM$7,0),IF($NO$7="Bell_Curve",$NM$7*(219-$NQ$7+1)*($NR$7-219+1)/$NT$7,$NM$7/$NS$7)),0)</f>
        <v/>
      </c>
      <c r="HO7" s="18">
        <f>IF(AND(220&gt;=$NQ$7,220&lt;=$NR$7),IF($NO$7="Single_Point",IF(220=$NQ$7,$NM$7,0),IF($NO$7="Bell_Curve",$NM$7*(220-$NQ$7+1)*($NR$7-220+1)/$NT$7,$NM$7/$NS$7)),0)</f>
        <v/>
      </c>
      <c r="HP7" s="18">
        <f>IF(AND(221&gt;=$NQ$7,221&lt;=$NR$7),IF($NO$7="Single_Point",IF(221=$NQ$7,$NM$7,0),IF($NO$7="Bell_Curve",$NM$7*(221-$NQ$7+1)*($NR$7-221+1)/$NT$7,$NM$7/$NS$7)),0)</f>
        <v/>
      </c>
      <c r="HQ7" s="18">
        <f>IF(AND(222&gt;=$NQ$7,222&lt;=$NR$7),IF($NO$7="Single_Point",IF(222=$NQ$7,$NM$7,0),IF($NO$7="Bell_Curve",$NM$7*(222-$NQ$7+1)*($NR$7-222+1)/$NT$7,$NM$7/$NS$7)),0)</f>
        <v/>
      </c>
      <c r="HR7" s="18">
        <f>IF(AND(223&gt;=$NQ$7,223&lt;=$NR$7),IF($NO$7="Single_Point",IF(223=$NQ$7,$NM$7,0),IF($NO$7="Bell_Curve",$NM$7*(223-$NQ$7+1)*($NR$7-223+1)/$NT$7,$NM$7/$NS$7)),0)</f>
        <v/>
      </c>
      <c r="HS7" s="18">
        <f>IF(AND(224&gt;=$NQ$7,224&lt;=$NR$7),IF($NO$7="Single_Point",IF(224=$NQ$7,$NM$7,0),IF($NO$7="Bell_Curve",$NM$7*(224-$NQ$7+1)*($NR$7-224+1)/$NT$7,$NM$7/$NS$7)),0)</f>
        <v/>
      </c>
      <c r="HT7" s="18">
        <f>IF(AND(225&gt;=$NQ$7,225&lt;=$NR$7),IF($NO$7="Single_Point",IF(225=$NQ$7,$NM$7,0),IF($NO$7="Bell_Curve",$NM$7*(225-$NQ$7+1)*($NR$7-225+1)/$NT$7,$NM$7/$NS$7)),0)</f>
        <v/>
      </c>
      <c r="HU7" s="18">
        <f>IF(AND(226&gt;=$NQ$7,226&lt;=$NR$7),IF($NO$7="Single_Point",IF(226=$NQ$7,$NM$7,0),IF($NO$7="Bell_Curve",$NM$7*(226-$NQ$7+1)*($NR$7-226+1)/$NT$7,$NM$7/$NS$7)),0)</f>
        <v/>
      </c>
      <c r="HV7" s="18">
        <f>IF(AND(227&gt;=$NQ$7,227&lt;=$NR$7),IF($NO$7="Single_Point",IF(227=$NQ$7,$NM$7,0),IF($NO$7="Bell_Curve",$NM$7*(227-$NQ$7+1)*($NR$7-227+1)/$NT$7,$NM$7/$NS$7)),0)</f>
        <v/>
      </c>
      <c r="HW7" s="18">
        <f>IF(AND(228&gt;=$NQ$7,228&lt;=$NR$7),IF($NO$7="Single_Point",IF(228=$NQ$7,$NM$7,0),IF($NO$7="Bell_Curve",$NM$7*(228-$NQ$7+1)*($NR$7-228+1)/$NT$7,$NM$7/$NS$7)),0)</f>
        <v/>
      </c>
      <c r="HX7" s="18">
        <f>IF(AND(229&gt;=$NQ$7,229&lt;=$NR$7),IF($NO$7="Single_Point",IF(229=$NQ$7,$NM$7,0),IF($NO$7="Bell_Curve",$NM$7*(229-$NQ$7+1)*($NR$7-229+1)/$NT$7,$NM$7/$NS$7)),0)</f>
        <v/>
      </c>
      <c r="HY7" s="18">
        <f>IF(AND(230&gt;=$NQ$7,230&lt;=$NR$7),IF($NO$7="Single_Point",IF(230=$NQ$7,$NM$7,0),IF($NO$7="Bell_Curve",$NM$7*(230-$NQ$7+1)*($NR$7-230+1)/$NT$7,$NM$7/$NS$7)),0)</f>
        <v/>
      </c>
      <c r="HZ7" s="18">
        <f>IF(AND(231&gt;=$NQ$7,231&lt;=$NR$7),IF($NO$7="Single_Point",IF(231=$NQ$7,$NM$7,0),IF($NO$7="Bell_Curve",$NM$7*(231-$NQ$7+1)*($NR$7-231+1)/$NT$7,$NM$7/$NS$7)),0)</f>
        <v/>
      </c>
      <c r="IA7" s="18">
        <f>IF(AND(232&gt;=$NQ$7,232&lt;=$NR$7),IF($NO$7="Single_Point",IF(232=$NQ$7,$NM$7,0),IF($NO$7="Bell_Curve",$NM$7*(232-$NQ$7+1)*($NR$7-232+1)/$NT$7,$NM$7/$NS$7)),0)</f>
        <v/>
      </c>
      <c r="IB7" s="18">
        <f>IF(AND(233&gt;=$NQ$7,233&lt;=$NR$7),IF($NO$7="Single_Point",IF(233=$NQ$7,$NM$7,0),IF($NO$7="Bell_Curve",$NM$7*(233-$NQ$7+1)*($NR$7-233+1)/$NT$7,$NM$7/$NS$7)),0)</f>
        <v/>
      </c>
      <c r="IC7" s="18">
        <f>IF(AND(234&gt;=$NQ$7,234&lt;=$NR$7),IF($NO$7="Single_Point",IF(234=$NQ$7,$NM$7,0),IF($NO$7="Bell_Curve",$NM$7*(234-$NQ$7+1)*($NR$7-234+1)/$NT$7,$NM$7/$NS$7)),0)</f>
        <v/>
      </c>
      <c r="ID7" s="18">
        <f>IF(AND(235&gt;=$NQ$7,235&lt;=$NR$7),IF($NO$7="Single_Point",IF(235=$NQ$7,$NM$7,0),IF($NO$7="Bell_Curve",$NM$7*(235-$NQ$7+1)*($NR$7-235+1)/$NT$7,$NM$7/$NS$7)),0)</f>
        <v/>
      </c>
      <c r="IE7" s="18">
        <f>IF(AND(236&gt;=$NQ$7,236&lt;=$NR$7),IF($NO$7="Single_Point",IF(236=$NQ$7,$NM$7,0),IF($NO$7="Bell_Curve",$NM$7*(236-$NQ$7+1)*($NR$7-236+1)/$NT$7,$NM$7/$NS$7)),0)</f>
        <v/>
      </c>
      <c r="IF7" s="18">
        <f>IF(AND(237&gt;=$NQ$7,237&lt;=$NR$7),IF($NO$7="Single_Point",IF(237=$NQ$7,$NM$7,0),IF($NO$7="Bell_Curve",$NM$7*(237-$NQ$7+1)*($NR$7-237+1)/$NT$7,$NM$7/$NS$7)),0)</f>
        <v/>
      </c>
      <c r="IG7" s="18">
        <f>IF(AND(238&gt;=$NQ$7,238&lt;=$NR$7),IF($NO$7="Single_Point",IF(238=$NQ$7,$NM$7,0),IF($NO$7="Bell_Curve",$NM$7*(238-$NQ$7+1)*($NR$7-238+1)/$NT$7,$NM$7/$NS$7)),0)</f>
        <v/>
      </c>
      <c r="IH7" s="18">
        <f>IF(AND(239&gt;=$NQ$7,239&lt;=$NR$7),IF($NO$7="Single_Point",IF(239=$NQ$7,$NM$7,0),IF($NO$7="Bell_Curve",$NM$7*(239-$NQ$7+1)*($NR$7-239+1)/$NT$7,$NM$7/$NS$7)),0)</f>
        <v/>
      </c>
      <c r="II7" s="18">
        <f>IF(AND(240&gt;=$NQ$7,240&lt;=$NR$7),IF($NO$7="Single_Point",IF(240=$NQ$7,$NM$7,0),IF($NO$7="Bell_Curve",$NM$7*(240-$NQ$7+1)*($NR$7-240+1)/$NT$7,$NM$7/$NS$7)),0)</f>
        <v/>
      </c>
      <c r="IJ7" s="18">
        <f>IF(AND(241&gt;=$NQ$7,241&lt;=$NR$7),IF($NO$7="Single_Point",IF(241=$NQ$7,$NM$7,0),IF($NO$7="Bell_Curve",$NM$7*(241-$NQ$7+1)*($NR$7-241+1)/$NT$7,$NM$7/$NS$7)),0)</f>
        <v/>
      </c>
      <c r="IK7" s="18">
        <f>IF(AND(242&gt;=$NQ$7,242&lt;=$NR$7),IF($NO$7="Single_Point",IF(242=$NQ$7,$NM$7,0),IF($NO$7="Bell_Curve",$NM$7*(242-$NQ$7+1)*($NR$7-242+1)/$NT$7,$NM$7/$NS$7)),0)</f>
        <v/>
      </c>
      <c r="IL7" s="18">
        <f>IF(AND(243&gt;=$NQ$7,243&lt;=$NR$7),IF($NO$7="Single_Point",IF(243=$NQ$7,$NM$7,0),IF($NO$7="Bell_Curve",$NM$7*(243-$NQ$7+1)*($NR$7-243+1)/$NT$7,$NM$7/$NS$7)),0)</f>
        <v/>
      </c>
      <c r="IM7" s="18">
        <f>IF(AND(244&gt;=$NQ$7,244&lt;=$NR$7),IF($NO$7="Single_Point",IF(244=$NQ$7,$NM$7,0),IF($NO$7="Bell_Curve",$NM$7*(244-$NQ$7+1)*($NR$7-244+1)/$NT$7,$NM$7/$NS$7)),0)</f>
        <v/>
      </c>
      <c r="IN7" s="18">
        <f>IF(AND(245&gt;=$NQ$7,245&lt;=$NR$7),IF($NO$7="Single_Point",IF(245=$NQ$7,$NM$7,0),IF($NO$7="Bell_Curve",$NM$7*(245-$NQ$7+1)*($NR$7-245+1)/$NT$7,$NM$7/$NS$7)),0)</f>
        <v/>
      </c>
      <c r="IO7" s="18">
        <f>IF(AND(246&gt;=$NQ$7,246&lt;=$NR$7),IF($NO$7="Single_Point",IF(246=$NQ$7,$NM$7,0),IF($NO$7="Bell_Curve",$NM$7*(246-$NQ$7+1)*($NR$7-246+1)/$NT$7,$NM$7/$NS$7)),0)</f>
        <v/>
      </c>
      <c r="IP7" s="18">
        <f>IF(AND(247&gt;=$NQ$7,247&lt;=$NR$7),IF($NO$7="Single_Point",IF(247=$NQ$7,$NM$7,0),IF($NO$7="Bell_Curve",$NM$7*(247-$NQ$7+1)*($NR$7-247+1)/$NT$7,$NM$7/$NS$7)),0)</f>
        <v/>
      </c>
      <c r="IQ7" s="18">
        <f>IF(AND(248&gt;=$NQ$7,248&lt;=$NR$7),IF($NO$7="Single_Point",IF(248=$NQ$7,$NM$7,0),IF($NO$7="Bell_Curve",$NM$7*(248-$NQ$7+1)*($NR$7-248+1)/$NT$7,$NM$7/$NS$7)),0)</f>
        <v/>
      </c>
      <c r="IR7" s="18">
        <f>IF(AND(249&gt;=$NQ$7,249&lt;=$NR$7),IF($NO$7="Single_Point",IF(249=$NQ$7,$NM$7,0),IF($NO$7="Bell_Curve",$NM$7*(249-$NQ$7+1)*($NR$7-249+1)/$NT$7,$NM$7/$NS$7)),0)</f>
        <v/>
      </c>
      <c r="IS7" s="18">
        <f>IF(AND(250&gt;=$NQ$7,250&lt;=$NR$7),IF($NO$7="Single_Point",IF(250=$NQ$7,$NM$7,0),IF($NO$7="Bell_Curve",$NM$7*(250-$NQ$7+1)*($NR$7-250+1)/$NT$7,$NM$7/$NS$7)),0)</f>
        <v/>
      </c>
      <c r="IT7" s="18">
        <f>IF(AND(251&gt;=$NQ$7,251&lt;=$NR$7),IF($NO$7="Single_Point",IF(251=$NQ$7,$NM$7,0),IF($NO$7="Bell_Curve",$NM$7*(251-$NQ$7+1)*($NR$7-251+1)/$NT$7,$NM$7/$NS$7)),0)</f>
        <v/>
      </c>
      <c r="IU7" s="18">
        <f>IF(AND(252&gt;=$NQ$7,252&lt;=$NR$7),IF($NO$7="Single_Point",IF(252=$NQ$7,$NM$7,0),IF($NO$7="Bell_Curve",$NM$7*(252-$NQ$7+1)*($NR$7-252+1)/$NT$7,$NM$7/$NS$7)),0)</f>
        <v/>
      </c>
      <c r="IV7" s="18">
        <f>IF(AND(253&gt;=$NQ$7,253&lt;=$NR$7),IF($NO$7="Single_Point",IF(253=$NQ$7,$NM$7,0),IF($NO$7="Bell_Curve",$NM$7*(253-$NQ$7+1)*($NR$7-253+1)/$NT$7,$NM$7/$NS$7)),0)</f>
        <v/>
      </c>
      <c r="IW7" s="18">
        <f>IF(AND(254&gt;=$NQ$7,254&lt;=$NR$7),IF($NO$7="Single_Point",IF(254=$NQ$7,$NM$7,0),IF($NO$7="Bell_Curve",$NM$7*(254-$NQ$7+1)*($NR$7-254+1)/$NT$7,$NM$7/$NS$7)),0)</f>
        <v/>
      </c>
      <c r="IX7" s="18">
        <f>IF(AND(255&gt;=$NQ$7,255&lt;=$NR$7),IF($NO$7="Single_Point",IF(255=$NQ$7,$NM$7,0),IF($NO$7="Bell_Curve",$NM$7*(255-$NQ$7+1)*($NR$7-255+1)/$NT$7,$NM$7/$NS$7)),0)</f>
        <v/>
      </c>
      <c r="IY7" s="18">
        <f>IF(AND(256&gt;=$NQ$7,256&lt;=$NR$7),IF($NO$7="Single_Point",IF(256=$NQ$7,$NM$7,0),IF($NO$7="Bell_Curve",$NM$7*(256-$NQ$7+1)*($NR$7-256+1)/$NT$7,$NM$7/$NS$7)),0)</f>
        <v/>
      </c>
      <c r="IZ7" s="18">
        <f>IF(AND(257&gt;=$NQ$7,257&lt;=$NR$7),IF($NO$7="Single_Point",IF(257=$NQ$7,$NM$7,0),IF($NO$7="Bell_Curve",$NM$7*(257-$NQ$7+1)*($NR$7-257+1)/$NT$7,$NM$7/$NS$7)),0)</f>
        <v/>
      </c>
      <c r="JA7" s="18">
        <f>IF(AND(258&gt;=$NQ$7,258&lt;=$NR$7),IF($NO$7="Single_Point",IF(258=$NQ$7,$NM$7,0),IF($NO$7="Bell_Curve",$NM$7*(258-$NQ$7+1)*($NR$7-258+1)/$NT$7,$NM$7/$NS$7)),0)</f>
        <v/>
      </c>
      <c r="JB7" s="18">
        <f>IF(AND(259&gt;=$NQ$7,259&lt;=$NR$7),IF($NO$7="Single_Point",IF(259=$NQ$7,$NM$7,0),IF($NO$7="Bell_Curve",$NM$7*(259-$NQ$7+1)*($NR$7-259+1)/$NT$7,$NM$7/$NS$7)),0)</f>
        <v/>
      </c>
      <c r="JC7" s="18">
        <f>IF(AND(260&gt;=$NQ$7,260&lt;=$NR$7),IF($NO$7="Single_Point",IF(260=$NQ$7,$NM$7,0),IF($NO$7="Bell_Curve",$NM$7*(260-$NQ$7+1)*($NR$7-260+1)/$NT$7,$NM$7/$NS$7)),0)</f>
        <v/>
      </c>
      <c r="JD7" s="18">
        <f>IF(AND(261&gt;=$NQ$7,261&lt;=$NR$7),IF($NO$7="Single_Point",IF(261=$NQ$7,$NM$7,0),IF($NO$7="Bell_Curve",$NM$7*(261-$NQ$7+1)*($NR$7-261+1)/$NT$7,$NM$7/$NS$7)),0)</f>
        <v/>
      </c>
      <c r="JE7" s="18">
        <f>IF(AND(262&gt;=$NQ$7,262&lt;=$NR$7),IF($NO$7="Single_Point",IF(262=$NQ$7,$NM$7,0),IF($NO$7="Bell_Curve",$NM$7*(262-$NQ$7+1)*($NR$7-262+1)/$NT$7,$NM$7/$NS$7)),0)</f>
        <v/>
      </c>
      <c r="JF7" s="18">
        <f>IF(AND(263&gt;=$NQ$7,263&lt;=$NR$7),IF($NO$7="Single_Point",IF(263=$NQ$7,$NM$7,0),IF($NO$7="Bell_Curve",$NM$7*(263-$NQ$7+1)*($NR$7-263+1)/$NT$7,$NM$7/$NS$7)),0)</f>
        <v/>
      </c>
      <c r="JG7" s="18">
        <f>IF(AND(264&gt;=$NQ$7,264&lt;=$NR$7),IF($NO$7="Single_Point",IF(264=$NQ$7,$NM$7,0),IF($NO$7="Bell_Curve",$NM$7*(264-$NQ$7+1)*($NR$7-264+1)/$NT$7,$NM$7/$NS$7)),0)</f>
        <v/>
      </c>
      <c r="JH7" s="18">
        <f>IF(AND(265&gt;=$NQ$7,265&lt;=$NR$7),IF($NO$7="Single_Point",IF(265=$NQ$7,$NM$7,0),IF($NO$7="Bell_Curve",$NM$7*(265-$NQ$7+1)*($NR$7-265+1)/$NT$7,$NM$7/$NS$7)),0)</f>
        <v/>
      </c>
      <c r="JI7" s="18">
        <f>IF(AND(266&gt;=$NQ$7,266&lt;=$NR$7),IF($NO$7="Single_Point",IF(266=$NQ$7,$NM$7,0),IF($NO$7="Bell_Curve",$NM$7*(266-$NQ$7+1)*($NR$7-266+1)/$NT$7,$NM$7/$NS$7)),0)</f>
        <v/>
      </c>
      <c r="JJ7" s="18">
        <f>IF(AND(267&gt;=$NQ$7,267&lt;=$NR$7),IF($NO$7="Single_Point",IF(267=$NQ$7,$NM$7,0),IF($NO$7="Bell_Curve",$NM$7*(267-$NQ$7+1)*($NR$7-267+1)/$NT$7,$NM$7/$NS$7)),0)</f>
        <v/>
      </c>
      <c r="JK7" s="18">
        <f>IF(AND(268&gt;=$NQ$7,268&lt;=$NR$7),IF($NO$7="Single_Point",IF(268=$NQ$7,$NM$7,0),IF($NO$7="Bell_Curve",$NM$7*(268-$NQ$7+1)*($NR$7-268+1)/$NT$7,$NM$7/$NS$7)),0)</f>
        <v/>
      </c>
      <c r="JL7" s="18">
        <f>IF(AND(269&gt;=$NQ$7,269&lt;=$NR$7),IF($NO$7="Single_Point",IF(269=$NQ$7,$NM$7,0),IF($NO$7="Bell_Curve",$NM$7*(269-$NQ$7+1)*($NR$7-269+1)/$NT$7,$NM$7/$NS$7)),0)</f>
        <v/>
      </c>
      <c r="JM7" s="18">
        <f>IF(AND(270&gt;=$NQ$7,270&lt;=$NR$7),IF($NO$7="Single_Point",IF(270=$NQ$7,$NM$7,0),IF($NO$7="Bell_Curve",$NM$7*(270-$NQ$7+1)*($NR$7-270+1)/$NT$7,$NM$7/$NS$7)),0)</f>
        <v/>
      </c>
      <c r="JN7" s="18">
        <f>IF(AND(271&gt;=$NQ$7,271&lt;=$NR$7),IF($NO$7="Single_Point",IF(271=$NQ$7,$NM$7,0),IF($NO$7="Bell_Curve",$NM$7*(271-$NQ$7+1)*($NR$7-271+1)/$NT$7,$NM$7/$NS$7)),0)</f>
        <v/>
      </c>
      <c r="JO7" s="18">
        <f>IF(AND(272&gt;=$NQ$7,272&lt;=$NR$7),IF($NO$7="Single_Point",IF(272=$NQ$7,$NM$7,0),IF($NO$7="Bell_Curve",$NM$7*(272-$NQ$7+1)*($NR$7-272+1)/$NT$7,$NM$7/$NS$7)),0)</f>
        <v/>
      </c>
      <c r="JP7" s="18">
        <f>IF(AND(273&gt;=$NQ$7,273&lt;=$NR$7),IF($NO$7="Single_Point",IF(273=$NQ$7,$NM$7,0),IF($NO$7="Bell_Curve",$NM$7*(273-$NQ$7+1)*($NR$7-273+1)/$NT$7,$NM$7/$NS$7)),0)</f>
        <v/>
      </c>
      <c r="JQ7" s="18">
        <f>IF(AND(274&gt;=$NQ$7,274&lt;=$NR$7),IF($NO$7="Single_Point",IF(274=$NQ$7,$NM$7,0),IF($NO$7="Bell_Curve",$NM$7*(274-$NQ$7+1)*($NR$7-274+1)/$NT$7,$NM$7/$NS$7)),0)</f>
        <v/>
      </c>
      <c r="JR7" s="18">
        <f>IF(AND(275&gt;=$NQ$7,275&lt;=$NR$7),IF($NO$7="Single_Point",IF(275=$NQ$7,$NM$7,0),IF($NO$7="Bell_Curve",$NM$7*(275-$NQ$7+1)*($NR$7-275+1)/$NT$7,$NM$7/$NS$7)),0)</f>
        <v/>
      </c>
      <c r="JS7" s="18">
        <f>IF(AND(276&gt;=$NQ$7,276&lt;=$NR$7),IF($NO$7="Single_Point",IF(276=$NQ$7,$NM$7,0),IF($NO$7="Bell_Curve",$NM$7*(276-$NQ$7+1)*($NR$7-276+1)/$NT$7,$NM$7/$NS$7)),0)</f>
        <v/>
      </c>
      <c r="JT7" s="18">
        <f>IF(AND(277&gt;=$NQ$7,277&lt;=$NR$7),IF($NO$7="Single_Point",IF(277=$NQ$7,$NM$7,0),IF($NO$7="Bell_Curve",$NM$7*(277-$NQ$7+1)*($NR$7-277+1)/$NT$7,$NM$7/$NS$7)),0)</f>
        <v/>
      </c>
      <c r="JU7" s="18">
        <f>IF(AND(278&gt;=$NQ$7,278&lt;=$NR$7),IF($NO$7="Single_Point",IF(278=$NQ$7,$NM$7,0),IF($NO$7="Bell_Curve",$NM$7*(278-$NQ$7+1)*($NR$7-278+1)/$NT$7,$NM$7/$NS$7)),0)</f>
        <v/>
      </c>
      <c r="JV7" s="18">
        <f>IF(AND(279&gt;=$NQ$7,279&lt;=$NR$7),IF($NO$7="Single_Point",IF(279=$NQ$7,$NM$7,0),IF($NO$7="Bell_Curve",$NM$7*(279-$NQ$7+1)*($NR$7-279+1)/$NT$7,$NM$7/$NS$7)),0)</f>
        <v/>
      </c>
      <c r="JW7" s="18">
        <f>IF(AND(280&gt;=$NQ$7,280&lt;=$NR$7),IF($NO$7="Single_Point",IF(280=$NQ$7,$NM$7,0),IF($NO$7="Bell_Curve",$NM$7*(280-$NQ$7+1)*($NR$7-280+1)/$NT$7,$NM$7/$NS$7)),0)</f>
        <v/>
      </c>
      <c r="JX7" s="18">
        <f>IF(AND(281&gt;=$NQ$7,281&lt;=$NR$7),IF($NO$7="Single_Point",IF(281=$NQ$7,$NM$7,0),IF($NO$7="Bell_Curve",$NM$7*(281-$NQ$7+1)*($NR$7-281+1)/$NT$7,$NM$7/$NS$7)),0)</f>
        <v/>
      </c>
      <c r="JY7" s="18">
        <f>IF(AND(282&gt;=$NQ$7,282&lt;=$NR$7),IF($NO$7="Single_Point",IF(282=$NQ$7,$NM$7,0),IF($NO$7="Bell_Curve",$NM$7*(282-$NQ$7+1)*($NR$7-282+1)/$NT$7,$NM$7/$NS$7)),0)</f>
        <v/>
      </c>
      <c r="JZ7" s="18">
        <f>IF(AND(283&gt;=$NQ$7,283&lt;=$NR$7),IF($NO$7="Single_Point",IF(283=$NQ$7,$NM$7,0),IF($NO$7="Bell_Curve",$NM$7*(283-$NQ$7+1)*($NR$7-283+1)/$NT$7,$NM$7/$NS$7)),0)</f>
        <v/>
      </c>
      <c r="KA7" s="18">
        <f>IF(AND(284&gt;=$NQ$7,284&lt;=$NR$7),IF($NO$7="Single_Point",IF(284=$NQ$7,$NM$7,0),IF($NO$7="Bell_Curve",$NM$7*(284-$NQ$7+1)*($NR$7-284+1)/$NT$7,$NM$7/$NS$7)),0)</f>
        <v/>
      </c>
      <c r="KB7" s="18">
        <f>IF(AND(285&gt;=$NQ$7,285&lt;=$NR$7),IF($NO$7="Single_Point",IF(285=$NQ$7,$NM$7,0),IF($NO$7="Bell_Curve",$NM$7*(285-$NQ$7+1)*($NR$7-285+1)/$NT$7,$NM$7/$NS$7)),0)</f>
        <v/>
      </c>
      <c r="KC7" s="18">
        <f>IF(AND(286&gt;=$NQ$7,286&lt;=$NR$7),IF($NO$7="Single_Point",IF(286=$NQ$7,$NM$7,0),IF($NO$7="Bell_Curve",$NM$7*(286-$NQ$7+1)*($NR$7-286+1)/$NT$7,$NM$7/$NS$7)),0)</f>
        <v/>
      </c>
      <c r="KD7" s="18">
        <f>IF(AND(287&gt;=$NQ$7,287&lt;=$NR$7),IF($NO$7="Single_Point",IF(287=$NQ$7,$NM$7,0),IF($NO$7="Bell_Curve",$NM$7*(287-$NQ$7+1)*($NR$7-287+1)/$NT$7,$NM$7/$NS$7)),0)</f>
        <v/>
      </c>
      <c r="KE7" s="18">
        <f>IF(AND(288&gt;=$NQ$7,288&lt;=$NR$7),IF($NO$7="Single_Point",IF(288=$NQ$7,$NM$7,0),IF($NO$7="Bell_Curve",$NM$7*(288-$NQ$7+1)*($NR$7-288+1)/$NT$7,$NM$7/$NS$7)),0)</f>
        <v/>
      </c>
      <c r="KF7" s="18">
        <f>IF(AND(289&gt;=$NQ$7,289&lt;=$NR$7),IF($NO$7="Single_Point",IF(289=$NQ$7,$NM$7,0),IF($NO$7="Bell_Curve",$NM$7*(289-$NQ$7+1)*($NR$7-289+1)/$NT$7,$NM$7/$NS$7)),0)</f>
        <v/>
      </c>
      <c r="KG7" s="18">
        <f>IF(AND(290&gt;=$NQ$7,290&lt;=$NR$7),IF($NO$7="Single_Point",IF(290=$NQ$7,$NM$7,0),IF($NO$7="Bell_Curve",$NM$7*(290-$NQ$7+1)*($NR$7-290+1)/$NT$7,$NM$7/$NS$7)),0)</f>
        <v/>
      </c>
      <c r="KH7" s="18">
        <f>IF(AND(291&gt;=$NQ$7,291&lt;=$NR$7),IF($NO$7="Single_Point",IF(291=$NQ$7,$NM$7,0),IF($NO$7="Bell_Curve",$NM$7*(291-$NQ$7+1)*($NR$7-291+1)/$NT$7,$NM$7/$NS$7)),0)</f>
        <v/>
      </c>
      <c r="KI7" s="18">
        <f>IF(AND(292&gt;=$NQ$7,292&lt;=$NR$7),IF($NO$7="Single_Point",IF(292=$NQ$7,$NM$7,0),IF($NO$7="Bell_Curve",$NM$7*(292-$NQ$7+1)*($NR$7-292+1)/$NT$7,$NM$7/$NS$7)),0)</f>
        <v/>
      </c>
      <c r="KJ7" s="18">
        <f>IF(AND(293&gt;=$NQ$7,293&lt;=$NR$7),IF($NO$7="Single_Point",IF(293=$NQ$7,$NM$7,0),IF($NO$7="Bell_Curve",$NM$7*(293-$NQ$7+1)*($NR$7-293+1)/$NT$7,$NM$7/$NS$7)),0)</f>
        <v/>
      </c>
      <c r="KK7" s="18">
        <f>IF(AND(294&gt;=$NQ$7,294&lt;=$NR$7),IF($NO$7="Single_Point",IF(294=$NQ$7,$NM$7,0),IF($NO$7="Bell_Curve",$NM$7*(294-$NQ$7+1)*($NR$7-294+1)/$NT$7,$NM$7/$NS$7)),0)</f>
        <v/>
      </c>
      <c r="KL7" s="18">
        <f>IF(AND(295&gt;=$NQ$7,295&lt;=$NR$7),IF($NO$7="Single_Point",IF(295=$NQ$7,$NM$7,0),IF($NO$7="Bell_Curve",$NM$7*(295-$NQ$7+1)*($NR$7-295+1)/$NT$7,$NM$7/$NS$7)),0)</f>
        <v/>
      </c>
      <c r="KM7" s="18">
        <f>IF(AND(296&gt;=$NQ$7,296&lt;=$NR$7),IF($NO$7="Single_Point",IF(296=$NQ$7,$NM$7,0),IF($NO$7="Bell_Curve",$NM$7*(296-$NQ$7+1)*($NR$7-296+1)/$NT$7,$NM$7/$NS$7)),0)</f>
        <v/>
      </c>
      <c r="KN7" s="18">
        <f>IF(AND(297&gt;=$NQ$7,297&lt;=$NR$7),IF($NO$7="Single_Point",IF(297=$NQ$7,$NM$7,0),IF($NO$7="Bell_Curve",$NM$7*(297-$NQ$7+1)*($NR$7-297+1)/$NT$7,$NM$7/$NS$7)),0)</f>
        <v/>
      </c>
      <c r="KO7" s="18">
        <f>IF(AND(298&gt;=$NQ$7,298&lt;=$NR$7),IF($NO$7="Single_Point",IF(298=$NQ$7,$NM$7,0),IF($NO$7="Bell_Curve",$NM$7*(298-$NQ$7+1)*($NR$7-298+1)/$NT$7,$NM$7/$NS$7)),0)</f>
        <v/>
      </c>
      <c r="KP7" s="18">
        <f>IF(AND(299&gt;=$NQ$7,299&lt;=$NR$7),IF($NO$7="Single_Point",IF(299=$NQ$7,$NM$7,0),IF($NO$7="Bell_Curve",$NM$7*(299-$NQ$7+1)*($NR$7-299+1)/$NT$7,$NM$7/$NS$7)),0)</f>
        <v/>
      </c>
      <c r="KQ7" s="18">
        <f>IF(AND(300&gt;=$NQ$7,300&lt;=$NR$7),IF($NO$7="Single_Point",IF(300=$NQ$7,$NM$7,0),IF($NO$7="Bell_Curve",$NM$7*(300-$NQ$7+1)*($NR$7-300+1)/$NT$7,$NM$7/$NS$7)),0)</f>
        <v/>
      </c>
      <c r="KR7" s="18">
        <f>IF(AND(301&gt;=$NQ$7,301&lt;=$NR$7),IF($NO$7="Single_Point",IF(301=$NQ$7,$NM$7,0),IF($NO$7="Bell_Curve",$NM$7*(301-$NQ$7+1)*($NR$7-301+1)/$NT$7,$NM$7/$NS$7)),0)</f>
        <v/>
      </c>
      <c r="KS7" s="18">
        <f>IF(AND(302&gt;=$NQ$7,302&lt;=$NR$7),IF($NO$7="Single_Point",IF(302=$NQ$7,$NM$7,0),IF($NO$7="Bell_Curve",$NM$7*(302-$NQ$7+1)*($NR$7-302+1)/$NT$7,$NM$7/$NS$7)),0)</f>
        <v/>
      </c>
      <c r="KT7" s="18">
        <f>IF(AND(303&gt;=$NQ$7,303&lt;=$NR$7),IF($NO$7="Single_Point",IF(303=$NQ$7,$NM$7,0),IF($NO$7="Bell_Curve",$NM$7*(303-$NQ$7+1)*($NR$7-303+1)/$NT$7,$NM$7/$NS$7)),0)</f>
        <v/>
      </c>
      <c r="KU7" s="18">
        <f>IF(AND(304&gt;=$NQ$7,304&lt;=$NR$7),IF($NO$7="Single_Point",IF(304=$NQ$7,$NM$7,0),IF($NO$7="Bell_Curve",$NM$7*(304-$NQ$7+1)*($NR$7-304+1)/$NT$7,$NM$7/$NS$7)),0)</f>
        <v/>
      </c>
      <c r="KV7" s="18">
        <f>IF(AND(305&gt;=$NQ$7,305&lt;=$NR$7),IF($NO$7="Single_Point",IF(305=$NQ$7,$NM$7,0),IF($NO$7="Bell_Curve",$NM$7*(305-$NQ$7+1)*($NR$7-305+1)/$NT$7,$NM$7/$NS$7)),0)</f>
        <v/>
      </c>
      <c r="KW7" s="18">
        <f>IF(AND(306&gt;=$NQ$7,306&lt;=$NR$7),IF($NO$7="Single_Point",IF(306=$NQ$7,$NM$7,0),IF($NO$7="Bell_Curve",$NM$7*(306-$NQ$7+1)*($NR$7-306+1)/$NT$7,$NM$7/$NS$7)),0)</f>
        <v/>
      </c>
      <c r="KX7" s="18">
        <f>IF(AND(307&gt;=$NQ$7,307&lt;=$NR$7),IF($NO$7="Single_Point",IF(307=$NQ$7,$NM$7,0),IF($NO$7="Bell_Curve",$NM$7*(307-$NQ$7+1)*($NR$7-307+1)/$NT$7,$NM$7/$NS$7)),0)</f>
        <v/>
      </c>
      <c r="KY7" s="18">
        <f>IF(AND(308&gt;=$NQ$7,308&lt;=$NR$7),IF($NO$7="Single_Point",IF(308=$NQ$7,$NM$7,0),IF($NO$7="Bell_Curve",$NM$7*(308-$NQ$7+1)*($NR$7-308+1)/$NT$7,$NM$7/$NS$7)),0)</f>
        <v/>
      </c>
      <c r="KZ7" s="18">
        <f>IF(AND(309&gt;=$NQ$7,309&lt;=$NR$7),IF($NO$7="Single_Point",IF(309=$NQ$7,$NM$7,0),IF($NO$7="Bell_Curve",$NM$7*(309-$NQ$7+1)*($NR$7-309+1)/$NT$7,$NM$7/$NS$7)),0)</f>
        <v/>
      </c>
      <c r="LA7" s="18">
        <f>IF(AND(310&gt;=$NQ$7,310&lt;=$NR$7),IF($NO$7="Single_Point",IF(310=$NQ$7,$NM$7,0),IF($NO$7="Bell_Curve",$NM$7*(310-$NQ$7+1)*($NR$7-310+1)/$NT$7,$NM$7/$NS$7)),0)</f>
        <v/>
      </c>
      <c r="LB7" s="18">
        <f>IF(AND(311&gt;=$NQ$7,311&lt;=$NR$7),IF($NO$7="Single_Point",IF(311=$NQ$7,$NM$7,0),IF($NO$7="Bell_Curve",$NM$7*(311-$NQ$7+1)*($NR$7-311+1)/$NT$7,$NM$7/$NS$7)),0)</f>
        <v/>
      </c>
      <c r="LC7" s="18">
        <f>IF(AND(312&gt;=$NQ$7,312&lt;=$NR$7),IF($NO$7="Single_Point",IF(312=$NQ$7,$NM$7,0),IF($NO$7="Bell_Curve",$NM$7*(312-$NQ$7+1)*($NR$7-312+1)/$NT$7,$NM$7/$NS$7)),0)</f>
        <v/>
      </c>
      <c r="LD7" s="18">
        <f>IF(AND(313&gt;=$NQ$7,313&lt;=$NR$7),IF($NO$7="Single_Point",IF(313=$NQ$7,$NM$7,0),IF($NO$7="Bell_Curve",$NM$7*(313-$NQ$7+1)*($NR$7-313+1)/$NT$7,$NM$7/$NS$7)),0)</f>
        <v/>
      </c>
      <c r="LE7" s="18">
        <f>IF(AND(314&gt;=$NQ$7,314&lt;=$NR$7),IF($NO$7="Single_Point",IF(314=$NQ$7,$NM$7,0),IF($NO$7="Bell_Curve",$NM$7*(314-$NQ$7+1)*($NR$7-314+1)/$NT$7,$NM$7/$NS$7)),0)</f>
        <v/>
      </c>
      <c r="LF7" s="18">
        <f>IF(AND(315&gt;=$NQ$7,315&lt;=$NR$7),IF($NO$7="Single_Point",IF(315=$NQ$7,$NM$7,0),IF($NO$7="Bell_Curve",$NM$7*(315-$NQ$7+1)*($NR$7-315+1)/$NT$7,$NM$7/$NS$7)),0)</f>
        <v/>
      </c>
      <c r="LG7" s="18">
        <f>IF(AND(316&gt;=$NQ$7,316&lt;=$NR$7),IF($NO$7="Single_Point",IF(316=$NQ$7,$NM$7,0),IF($NO$7="Bell_Curve",$NM$7*(316-$NQ$7+1)*($NR$7-316+1)/$NT$7,$NM$7/$NS$7)),0)</f>
        <v/>
      </c>
      <c r="LH7" s="18">
        <f>IF(AND(317&gt;=$NQ$7,317&lt;=$NR$7),IF($NO$7="Single_Point",IF(317=$NQ$7,$NM$7,0),IF($NO$7="Bell_Curve",$NM$7*(317-$NQ$7+1)*($NR$7-317+1)/$NT$7,$NM$7/$NS$7)),0)</f>
        <v/>
      </c>
      <c r="LI7" s="18">
        <f>IF(AND(318&gt;=$NQ$7,318&lt;=$NR$7),IF($NO$7="Single_Point",IF(318=$NQ$7,$NM$7,0),IF($NO$7="Bell_Curve",$NM$7*(318-$NQ$7+1)*($NR$7-318+1)/$NT$7,$NM$7/$NS$7)),0)</f>
        <v/>
      </c>
      <c r="LJ7" s="18">
        <f>IF(AND(319&gt;=$NQ$7,319&lt;=$NR$7),IF($NO$7="Single_Point",IF(319=$NQ$7,$NM$7,0),IF($NO$7="Bell_Curve",$NM$7*(319-$NQ$7+1)*($NR$7-319+1)/$NT$7,$NM$7/$NS$7)),0)</f>
        <v/>
      </c>
      <c r="LK7" s="18">
        <f>IF(AND(320&gt;=$NQ$7,320&lt;=$NR$7),IF($NO$7="Single_Point",IF(320=$NQ$7,$NM$7,0),IF($NO$7="Bell_Curve",$NM$7*(320-$NQ$7+1)*($NR$7-320+1)/$NT$7,$NM$7/$NS$7)),0)</f>
        <v/>
      </c>
      <c r="LL7" s="18">
        <f>IF(AND(321&gt;=$NQ$7,321&lt;=$NR$7),IF($NO$7="Single_Point",IF(321=$NQ$7,$NM$7,0),IF($NO$7="Bell_Curve",$NM$7*(321-$NQ$7+1)*($NR$7-321+1)/$NT$7,$NM$7/$NS$7)),0)</f>
        <v/>
      </c>
      <c r="LM7" s="18">
        <f>IF(AND(322&gt;=$NQ$7,322&lt;=$NR$7),IF($NO$7="Single_Point",IF(322=$NQ$7,$NM$7,0),IF($NO$7="Bell_Curve",$NM$7*(322-$NQ$7+1)*($NR$7-322+1)/$NT$7,$NM$7/$NS$7)),0)</f>
        <v/>
      </c>
      <c r="LN7" s="18">
        <f>IF(AND(323&gt;=$NQ$7,323&lt;=$NR$7),IF($NO$7="Single_Point",IF(323=$NQ$7,$NM$7,0),IF($NO$7="Bell_Curve",$NM$7*(323-$NQ$7+1)*($NR$7-323+1)/$NT$7,$NM$7/$NS$7)),0)</f>
        <v/>
      </c>
      <c r="LO7" s="18">
        <f>IF(AND(324&gt;=$NQ$7,324&lt;=$NR$7),IF($NO$7="Single_Point",IF(324=$NQ$7,$NM$7,0),IF($NO$7="Bell_Curve",$NM$7*(324-$NQ$7+1)*($NR$7-324+1)/$NT$7,$NM$7/$NS$7)),0)</f>
        <v/>
      </c>
      <c r="LP7" s="18">
        <f>IF(AND(325&gt;=$NQ$7,325&lt;=$NR$7),IF($NO$7="Single_Point",IF(325=$NQ$7,$NM$7,0),IF($NO$7="Bell_Curve",$NM$7*(325-$NQ$7+1)*($NR$7-325+1)/$NT$7,$NM$7/$NS$7)),0)</f>
        <v/>
      </c>
      <c r="LQ7" s="18">
        <f>IF(AND(326&gt;=$NQ$7,326&lt;=$NR$7),IF($NO$7="Single_Point",IF(326=$NQ$7,$NM$7,0),IF($NO$7="Bell_Curve",$NM$7*(326-$NQ$7+1)*($NR$7-326+1)/$NT$7,$NM$7/$NS$7)),0)</f>
        <v/>
      </c>
      <c r="LR7" s="18">
        <f>IF(AND(327&gt;=$NQ$7,327&lt;=$NR$7),IF($NO$7="Single_Point",IF(327=$NQ$7,$NM$7,0),IF($NO$7="Bell_Curve",$NM$7*(327-$NQ$7+1)*($NR$7-327+1)/$NT$7,$NM$7/$NS$7)),0)</f>
        <v/>
      </c>
      <c r="LS7" s="18">
        <f>IF(AND(328&gt;=$NQ$7,328&lt;=$NR$7),IF($NO$7="Single_Point",IF(328=$NQ$7,$NM$7,0),IF($NO$7="Bell_Curve",$NM$7*(328-$NQ$7+1)*($NR$7-328+1)/$NT$7,$NM$7/$NS$7)),0)</f>
        <v/>
      </c>
      <c r="LT7" s="18">
        <f>IF(AND(329&gt;=$NQ$7,329&lt;=$NR$7),IF($NO$7="Single_Point",IF(329=$NQ$7,$NM$7,0),IF($NO$7="Bell_Curve",$NM$7*(329-$NQ$7+1)*($NR$7-329+1)/$NT$7,$NM$7/$NS$7)),0)</f>
        <v/>
      </c>
      <c r="LU7" s="18">
        <f>IF(AND(330&gt;=$NQ$7,330&lt;=$NR$7),IF($NO$7="Single_Point",IF(330=$NQ$7,$NM$7,0),IF($NO$7="Bell_Curve",$NM$7*(330-$NQ$7+1)*($NR$7-330+1)/$NT$7,$NM$7/$NS$7)),0)</f>
        <v/>
      </c>
      <c r="LV7" s="18">
        <f>IF(AND(331&gt;=$NQ$7,331&lt;=$NR$7),IF($NO$7="Single_Point",IF(331=$NQ$7,$NM$7,0),IF($NO$7="Bell_Curve",$NM$7*(331-$NQ$7+1)*($NR$7-331+1)/$NT$7,$NM$7/$NS$7)),0)</f>
        <v/>
      </c>
      <c r="LW7" s="18">
        <f>IF(AND(332&gt;=$NQ$7,332&lt;=$NR$7),IF($NO$7="Single_Point",IF(332=$NQ$7,$NM$7,0),IF($NO$7="Bell_Curve",$NM$7*(332-$NQ$7+1)*($NR$7-332+1)/$NT$7,$NM$7/$NS$7)),0)</f>
        <v/>
      </c>
      <c r="LX7" s="18">
        <f>IF(AND(333&gt;=$NQ$7,333&lt;=$NR$7),IF($NO$7="Single_Point",IF(333=$NQ$7,$NM$7,0),IF($NO$7="Bell_Curve",$NM$7*(333-$NQ$7+1)*($NR$7-333+1)/$NT$7,$NM$7/$NS$7)),0)</f>
        <v/>
      </c>
      <c r="LY7" s="18">
        <f>IF(AND(334&gt;=$NQ$7,334&lt;=$NR$7),IF($NO$7="Single_Point",IF(334=$NQ$7,$NM$7,0),IF($NO$7="Bell_Curve",$NM$7*(334-$NQ$7+1)*($NR$7-334+1)/$NT$7,$NM$7/$NS$7)),0)</f>
        <v/>
      </c>
      <c r="LZ7" s="18">
        <f>IF(AND(335&gt;=$NQ$7,335&lt;=$NR$7),IF($NO$7="Single_Point",IF(335=$NQ$7,$NM$7,0),IF($NO$7="Bell_Curve",$NM$7*(335-$NQ$7+1)*($NR$7-335+1)/$NT$7,$NM$7/$NS$7)),0)</f>
        <v/>
      </c>
      <c r="MA7" s="18">
        <f>IF(AND(336&gt;=$NQ$7,336&lt;=$NR$7),IF($NO$7="Single_Point",IF(336=$NQ$7,$NM$7,0),IF($NO$7="Bell_Curve",$NM$7*(336-$NQ$7+1)*($NR$7-336+1)/$NT$7,$NM$7/$NS$7)),0)</f>
        <v/>
      </c>
      <c r="MB7" s="18">
        <f>IF(AND(337&gt;=$NQ$7,337&lt;=$NR$7),IF($NO$7="Single_Point",IF(337=$NQ$7,$NM$7,0),IF($NO$7="Bell_Curve",$NM$7*(337-$NQ$7+1)*($NR$7-337+1)/$NT$7,$NM$7/$NS$7)),0)</f>
        <v/>
      </c>
      <c r="MC7" s="18">
        <f>IF(AND(338&gt;=$NQ$7,338&lt;=$NR$7),IF($NO$7="Single_Point",IF(338=$NQ$7,$NM$7,0),IF($NO$7="Bell_Curve",$NM$7*(338-$NQ$7+1)*($NR$7-338+1)/$NT$7,$NM$7/$NS$7)),0)</f>
        <v/>
      </c>
      <c r="MD7" s="18">
        <f>IF(AND(339&gt;=$NQ$7,339&lt;=$NR$7),IF($NO$7="Single_Point",IF(339=$NQ$7,$NM$7,0),IF($NO$7="Bell_Curve",$NM$7*(339-$NQ$7+1)*($NR$7-339+1)/$NT$7,$NM$7/$NS$7)),0)</f>
        <v/>
      </c>
      <c r="ME7" s="18">
        <f>IF(AND(340&gt;=$NQ$7,340&lt;=$NR$7),IF($NO$7="Single_Point",IF(340=$NQ$7,$NM$7,0),IF($NO$7="Bell_Curve",$NM$7*(340-$NQ$7+1)*($NR$7-340+1)/$NT$7,$NM$7/$NS$7)),0)</f>
        <v/>
      </c>
      <c r="MF7" s="18">
        <f>IF(AND(341&gt;=$NQ$7,341&lt;=$NR$7),IF($NO$7="Single_Point",IF(341=$NQ$7,$NM$7,0),IF($NO$7="Bell_Curve",$NM$7*(341-$NQ$7+1)*($NR$7-341+1)/$NT$7,$NM$7/$NS$7)),0)</f>
        <v/>
      </c>
      <c r="MG7" s="18">
        <f>IF(AND(342&gt;=$NQ$7,342&lt;=$NR$7),IF($NO$7="Single_Point",IF(342=$NQ$7,$NM$7,0),IF($NO$7="Bell_Curve",$NM$7*(342-$NQ$7+1)*($NR$7-342+1)/$NT$7,$NM$7/$NS$7)),0)</f>
        <v/>
      </c>
      <c r="MH7" s="18">
        <f>IF(AND(343&gt;=$NQ$7,343&lt;=$NR$7),IF($NO$7="Single_Point",IF(343=$NQ$7,$NM$7,0),IF($NO$7="Bell_Curve",$NM$7*(343-$NQ$7+1)*($NR$7-343+1)/$NT$7,$NM$7/$NS$7)),0)</f>
        <v/>
      </c>
      <c r="MI7" s="18">
        <f>IF(AND(344&gt;=$NQ$7,344&lt;=$NR$7),IF($NO$7="Single_Point",IF(344=$NQ$7,$NM$7,0),IF($NO$7="Bell_Curve",$NM$7*(344-$NQ$7+1)*($NR$7-344+1)/$NT$7,$NM$7/$NS$7)),0)</f>
        <v/>
      </c>
      <c r="MJ7" s="18">
        <f>IF(AND(345&gt;=$NQ$7,345&lt;=$NR$7),IF($NO$7="Single_Point",IF(345=$NQ$7,$NM$7,0),IF($NO$7="Bell_Curve",$NM$7*(345-$NQ$7+1)*($NR$7-345+1)/$NT$7,$NM$7/$NS$7)),0)</f>
        <v/>
      </c>
      <c r="MK7" s="18">
        <f>IF(AND(346&gt;=$NQ$7,346&lt;=$NR$7),IF($NO$7="Single_Point",IF(346=$NQ$7,$NM$7,0),IF($NO$7="Bell_Curve",$NM$7*(346-$NQ$7+1)*($NR$7-346+1)/$NT$7,$NM$7/$NS$7)),0)</f>
        <v/>
      </c>
      <c r="ML7" s="18">
        <f>IF(AND(347&gt;=$NQ$7,347&lt;=$NR$7),IF($NO$7="Single_Point",IF(347=$NQ$7,$NM$7,0),IF($NO$7="Bell_Curve",$NM$7*(347-$NQ$7+1)*($NR$7-347+1)/$NT$7,$NM$7/$NS$7)),0)</f>
        <v/>
      </c>
      <c r="MM7" s="18">
        <f>IF(AND(348&gt;=$NQ$7,348&lt;=$NR$7),IF($NO$7="Single_Point",IF(348=$NQ$7,$NM$7,0),IF($NO$7="Bell_Curve",$NM$7*(348-$NQ$7+1)*($NR$7-348+1)/$NT$7,$NM$7/$NS$7)),0)</f>
        <v/>
      </c>
      <c r="MN7" s="18">
        <f>IF(AND(349&gt;=$NQ$7,349&lt;=$NR$7),IF($NO$7="Single_Point",IF(349=$NQ$7,$NM$7,0),IF($NO$7="Bell_Curve",$NM$7*(349-$NQ$7+1)*($NR$7-349+1)/$NT$7,$NM$7/$NS$7)),0)</f>
        <v/>
      </c>
      <c r="MO7" s="18">
        <f>IF(AND(350&gt;=$NQ$7,350&lt;=$NR$7),IF($NO$7="Single_Point",IF(350=$NQ$7,$NM$7,0),IF($NO$7="Bell_Curve",$NM$7*(350-$NQ$7+1)*($NR$7-350+1)/$NT$7,$NM$7/$NS$7)),0)</f>
        <v/>
      </c>
      <c r="MP7" s="18">
        <f>IF(AND(351&gt;=$NQ$7,351&lt;=$NR$7),IF($NO$7="Single_Point",IF(351=$NQ$7,$NM$7,0),IF($NO$7="Bell_Curve",$NM$7*(351-$NQ$7+1)*($NR$7-351+1)/$NT$7,$NM$7/$NS$7)),0)</f>
        <v/>
      </c>
      <c r="MQ7" s="18">
        <f>IF(AND(352&gt;=$NQ$7,352&lt;=$NR$7),IF($NO$7="Single_Point",IF(352=$NQ$7,$NM$7,0),IF($NO$7="Bell_Curve",$NM$7*(352-$NQ$7+1)*($NR$7-352+1)/$NT$7,$NM$7/$NS$7)),0)</f>
        <v/>
      </c>
      <c r="MR7" s="18">
        <f>IF(AND(353&gt;=$NQ$7,353&lt;=$NR$7),IF($NO$7="Single_Point",IF(353=$NQ$7,$NM$7,0),IF($NO$7="Bell_Curve",$NM$7*(353-$NQ$7+1)*($NR$7-353+1)/$NT$7,$NM$7/$NS$7)),0)</f>
        <v/>
      </c>
      <c r="MS7" s="18">
        <f>IF(AND(354&gt;=$NQ$7,354&lt;=$NR$7),IF($NO$7="Single_Point",IF(354=$NQ$7,$NM$7,0),IF($NO$7="Bell_Curve",$NM$7*(354-$NQ$7+1)*($NR$7-354+1)/$NT$7,$NM$7/$NS$7)),0)</f>
        <v/>
      </c>
      <c r="MT7" s="18">
        <f>IF(AND(355&gt;=$NQ$7,355&lt;=$NR$7),IF($NO$7="Single_Point",IF(355=$NQ$7,$NM$7,0),IF($NO$7="Bell_Curve",$NM$7*(355-$NQ$7+1)*($NR$7-355+1)/$NT$7,$NM$7/$NS$7)),0)</f>
        <v/>
      </c>
      <c r="MU7" s="18">
        <f>IF(AND(356&gt;=$NQ$7,356&lt;=$NR$7),IF($NO$7="Single_Point",IF(356=$NQ$7,$NM$7,0),IF($NO$7="Bell_Curve",$NM$7*(356-$NQ$7+1)*($NR$7-356+1)/$NT$7,$NM$7/$NS$7)),0)</f>
        <v/>
      </c>
      <c r="MV7" s="18">
        <f>IF(AND(357&gt;=$NQ$7,357&lt;=$NR$7),IF($NO$7="Single_Point",IF(357=$NQ$7,$NM$7,0),IF($NO$7="Bell_Curve",$NM$7*(357-$NQ$7+1)*($NR$7-357+1)/$NT$7,$NM$7/$NS$7)),0)</f>
        <v/>
      </c>
      <c r="MW7" s="18">
        <f>IF(AND(358&gt;=$NQ$7,358&lt;=$NR$7),IF($NO$7="Single_Point",IF(358=$NQ$7,$NM$7,0),IF($NO$7="Bell_Curve",$NM$7*(358-$NQ$7+1)*($NR$7-358+1)/$NT$7,$NM$7/$NS$7)),0)</f>
        <v/>
      </c>
      <c r="MX7" s="18">
        <f>IF(AND(359&gt;=$NQ$7,359&lt;=$NR$7),IF($NO$7="Single_Point",IF(359=$NQ$7,$NM$7,0),IF($NO$7="Bell_Curve",$NM$7*(359-$NQ$7+1)*($NR$7-359+1)/$NT$7,$NM$7/$NS$7)),0)</f>
        <v/>
      </c>
      <c r="MY7" s="18">
        <f>IF(AND(360&gt;=$NQ$7,360&lt;=$NR$7),IF($NO$7="Single_Point",IF(360=$NQ$7,$NM$7,0),IF($NO$7="Bell_Curve",$NM$7*(360-$NQ$7+1)*($NR$7-360+1)/$NT$7,$NM$7/$NS$7)),0)</f>
        <v/>
      </c>
      <c r="MZ7" s="18">
        <f>IF(AND(361&gt;=$NQ$7,361&lt;=$NR$7),IF($NO$7="Single_Point",IF(361=$NQ$7,$NM$7,0),IF($NO$7="Bell_Curve",$NM$7*(361-$NQ$7+1)*($NR$7-361+1)/$NT$7,$NM$7/$NS$7)),0)</f>
        <v/>
      </c>
      <c r="NA7" s="18">
        <f>IF(AND(362&gt;=$NQ$7,362&lt;=$NR$7),IF($NO$7="Single_Point",IF(362=$NQ$7,$NM$7,0),IF($NO$7="Bell_Curve",$NM$7*(362-$NQ$7+1)*($NR$7-362+1)/$NT$7,$NM$7/$NS$7)),0)</f>
        <v/>
      </c>
      <c r="NB7" s="18">
        <f>IF(AND(363&gt;=$NQ$7,363&lt;=$NR$7),IF($NO$7="Single_Point",IF(363=$NQ$7,$NM$7,0),IF($NO$7="Bell_Curve",$NM$7*(363-$NQ$7+1)*($NR$7-363+1)/$NT$7,$NM$7/$NS$7)),0)</f>
        <v/>
      </c>
      <c r="NC7" s="18">
        <f>IF(AND(364&gt;=$NQ$7,364&lt;=$NR$7),IF($NO$7="Single_Point",IF(364=$NQ$7,$NM$7,0),IF($NO$7="Bell_Curve",$NM$7*(364-$NQ$7+1)*($NR$7-364+1)/$NT$7,$NM$7/$NS$7)),0)</f>
        <v/>
      </c>
      <c r="ND7" s="18">
        <f>IF(AND(365&gt;=$NQ$7,365&lt;=$NR$7),IF($NO$7="Single_Point",IF(365=$NQ$7,$NM$7,0),IF($NO$7="Bell_Curve",$NM$7*(365-$NQ$7+1)*($NR$7-365+1)/$NT$7,$NM$7/$NS$7)),0)</f>
        <v/>
      </c>
      <c r="NE7" s="18">
        <f>IF(AND(366&gt;=$NQ$7,366&lt;=$NR$7),IF($NO$7="Single_Point",IF(366=$NQ$7,$NM$7,0),IF($NO$7="Bell_Curve",$NM$7*(366-$NQ$7+1)*($NR$7-366+1)/$NT$7,$NM$7/$NS$7)),0)</f>
        <v/>
      </c>
      <c r="NF7" s="18">
        <f>IF(AND(367&gt;=$NQ$7,367&lt;=$NR$7),IF($NO$7="Single_Point",IF(367=$NQ$7,$NM$7,0),IF($NO$7="Bell_Curve",$NM$7*(367-$NQ$7+1)*($NR$7-367+1)/$NT$7,$NM$7/$NS$7)),0)</f>
        <v/>
      </c>
      <c r="NG7" s="18">
        <f>IF(AND(368&gt;=$NQ$7,368&lt;=$NR$7),IF($NO$7="Single_Point",IF(368=$NQ$7,$NM$7,0),IF($NO$7="Bell_Curve",$NM$7*(368-$NQ$7+1)*($NR$7-368+1)/$NT$7,$NM$7/$NS$7)),0)</f>
        <v/>
      </c>
      <c r="NH7" s="18">
        <f>IF(AND(369&gt;=$NQ$7,369&lt;=$NR$7),IF($NO$7="Single_Point",IF(369=$NQ$7,$NM$7,0),IF($NO$7="Bell_Curve",$NM$7*(369-$NQ$7+1)*($NR$7-369+1)/$NT$7,$NM$7/$NS$7)),0)</f>
        <v/>
      </c>
      <c r="NI7" s="18">
        <f>IF(AND(370&gt;=$NQ$7,370&lt;=$NR$7),IF($NO$7="Single_Point",IF(370=$NQ$7,$NM$7,0),IF($NO$7="Bell_Curve",$NM$7*(370-$NQ$7+1)*($NR$7-370+1)/$NT$7,$NM$7/$NS$7)),0)</f>
        <v/>
      </c>
      <c r="NJ7" s="18">
        <f>IF(AND(371&gt;=$NQ$7,371&lt;=$NR$7),IF($NO$7="Single_Point",IF(371=$NQ$7,$NM$7,0),IF($NO$7="Bell_Curve",$NM$7*(371-$NQ$7+1)*($NR$7-371+1)/$NT$7,$NM$7/$NS$7)),0)</f>
        <v/>
      </c>
      <c r="NK7" s="18">
        <f>IF(AND(372&gt;=$NQ$7,372&lt;=$NR$7),IF($NO$7="Single_Point",IF(372=$NQ$7,$NM$7,0),IF($NO$7="Bell_Curve",$NM$7*(372-$NQ$7+1)*($NR$7-372+1)/$NT$7,$NM$7/$NS$7)),0)</f>
        <v/>
      </c>
      <c r="NM7" s="18">
        <f>Budget!I6</f>
        <v/>
      </c>
      <c r="NN7" s="42">
        <f>Budget!F6</f>
        <v/>
      </c>
      <c r="NO7" s="42">
        <f>Budget!G6</f>
        <v/>
      </c>
      <c r="NP7" s="17">
        <f>Budget!H6</f>
        <v/>
      </c>
      <c r="NQ7" s="32">
        <f>MAX(1,MIN(372,INDEX(MilestoneStart,MATCH(NN7,MilestoneNames,0))+NP7))</f>
        <v/>
      </c>
      <c r="NR7" s="32">
        <f>MAX(NQ7,MIN(372,INDEX(MilestoneEnd,MATCH(NN7,MilestoneNames,0))+NP7))</f>
        <v/>
      </c>
      <c r="NS7" s="17">
        <f>NR7-NQ7+1</f>
        <v/>
      </c>
      <c r="NT7" s="17">
        <f>NS7*(NS7+1)*(NS7+2)/6</f>
        <v/>
      </c>
    </row>
    <row r="8">
      <c r="A8" s="5" t="inlineStr">
        <is>
          <t>Due Diligence</t>
        </is>
      </c>
      <c r="C8" s="41">
        <f>SUM(D8:NK8)</f>
        <v/>
      </c>
      <c r="D8" s="18">
        <f>IF(AND(1&gt;=$NQ$8,1&lt;=$NR$8),IF($NO$8="Single_Point",IF(1=$NQ$8,$NM$8,0),IF($NO$8="Bell_Curve",$NM$8*(1-$NQ$8+1)*($NR$8-1+1)/$NT$8,$NM$8/$NS$8)),0)</f>
        <v/>
      </c>
      <c r="E8" s="18">
        <f>IF(AND(2&gt;=$NQ$8,2&lt;=$NR$8),IF($NO$8="Single_Point",IF(2=$NQ$8,$NM$8,0),IF($NO$8="Bell_Curve",$NM$8*(2-$NQ$8+1)*($NR$8-2+1)/$NT$8,$NM$8/$NS$8)),0)</f>
        <v/>
      </c>
      <c r="F8" s="18">
        <f>IF(AND(3&gt;=$NQ$8,3&lt;=$NR$8),IF($NO$8="Single_Point",IF(3=$NQ$8,$NM$8,0),IF($NO$8="Bell_Curve",$NM$8*(3-$NQ$8+1)*($NR$8-3+1)/$NT$8,$NM$8/$NS$8)),0)</f>
        <v/>
      </c>
      <c r="G8" s="18">
        <f>IF(AND(4&gt;=$NQ$8,4&lt;=$NR$8),IF($NO$8="Single_Point",IF(4=$NQ$8,$NM$8,0),IF($NO$8="Bell_Curve",$NM$8*(4-$NQ$8+1)*($NR$8-4+1)/$NT$8,$NM$8/$NS$8)),0)</f>
        <v/>
      </c>
      <c r="H8" s="18">
        <f>IF(AND(5&gt;=$NQ$8,5&lt;=$NR$8),IF($NO$8="Single_Point",IF(5=$NQ$8,$NM$8,0),IF($NO$8="Bell_Curve",$NM$8*(5-$NQ$8+1)*($NR$8-5+1)/$NT$8,$NM$8/$NS$8)),0)</f>
        <v/>
      </c>
      <c r="I8" s="18">
        <f>IF(AND(6&gt;=$NQ$8,6&lt;=$NR$8),IF($NO$8="Single_Point",IF(6=$NQ$8,$NM$8,0),IF($NO$8="Bell_Curve",$NM$8*(6-$NQ$8+1)*($NR$8-6+1)/$NT$8,$NM$8/$NS$8)),0)</f>
        <v/>
      </c>
      <c r="J8" s="18">
        <f>IF(AND(7&gt;=$NQ$8,7&lt;=$NR$8),IF($NO$8="Single_Point",IF(7=$NQ$8,$NM$8,0),IF($NO$8="Bell_Curve",$NM$8*(7-$NQ$8+1)*($NR$8-7+1)/$NT$8,$NM$8/$NS$8)),0)</f>
        <v/>
      </c>
      <c r="K8" s="18">
        <f>IF(AND(8&gt;=$NQ$8,8&lt;=$NR$8),IF($NO$8="Single_Point",IF(8=$NQ$8,$NM$8,0),IF($NO$8="Bell_Curve",$NM$8*(8-$NQ$8+1)*($NR$8-8+1)/$NT$8,$NM$8/$NS$8)),0)</f>
        <v/>
      </c>
      <c r="L8" s="18">
        <f>IF(AND(9&gt;=$NQ$8,9&lt;=$NR$8),IF($NO$8="Single_Point",IF(9=$NQ$8,$NM$8,0),IF($NO$8="Bell_Curve",$NM$8*(9-$NQ$8+1)*($NR$8-9+1)/$NT$8,$NM$8/$NS$8)),0)</f>
        <v/>
      </c>
      <c r="M8" s="18">
        <f>IF(AND(10&gt;=$NQ$8,10&lt;=$NR$8),IF($NO$8="Single_Point",IF(10=$NQ$8,$NM$8,0),IF($NO$8="Bell_Curve",$NM$8*(10-$NQ$8+1)*($NR$8-10+1)/$NT$8,$NM$8/$NS$8)),0)</f>
        <v/>
      </c>
      <c r="N8" s="18">
        <f>IF(AND(11&gt;=$NQ$8,11&lt;=$NR$8),IF($NO$8="Single_Point",IF(11=$NQ$8,$NM$8,0),IF($NO$8="Bell_Curve",$NM$8*(11-$NQ$8+1)*($NR$8-11+1)/$NT$8,$NM$8/$NS$8)),0)</f>
        <v/>
      </c>
      <c r="O8" s="18">
        <f>IF(AND(12&gt;=$NQ$8,12&lt;=$NR$8),IF($NO$8="Single_Point",IF(12=$NQ$8,$NM$8,0),IF($NO$8="Bell_Curve",$NM$8*(12-$NQ$8+1)*($NR$8-12+1)/$NT$8,$NM$8/$NS$8)),0)</f>
        <v/>
      </c>
      <c r="P8" s="18">
        <f>IF(AND(13&gt;=$NQ$8,13&lt;=$NR$8),IF($NO$8="Single_Point",IF(13=$NQ$8,$NM$8,0),IF($NO$8="Bell_Curve",$NM$8*(13-$NQ$8+1)*($NR$8-13+1)/$NT$8,$NM$8/$NS$8)),0)</f>
        <v/>
      </c>
      <c r="Q8" s="18">
        <f>IF(AND(14&gt;=$NQ$8,14&lt;=$NR$8),IF($NO$8="Single_Point",IF(14=$NQ$8,$NM$8,0),IF($NO$8="Bell_Curve",$NM$8*(14-$NQ$8+1)*($NR$8-14+1)/$NT$8,$NM$8/$NS$8)),0)</f>
        <v/>
      </c>
      <c r="R8" s="18">
        <f>IF(AND(15&gt;=$NQ$8,15&lt;=$NR$8),IF($NO$8="Single_Point",IF(15=$NQ$8,$NM$8,0),IF($NO$8="Bell_Curve",$NM$8*(15-$NQ$8+1)*($NR$8-15+1)/$NT$8,$NM$8/$NS$8)),0)</f>
        <v/>
      </c>
      <c r="S8" s="18">
        <f>IF(AND(16&gt;=$NQ$8,16&lt;=$NR$8),IF($NO$8="Single_Point",IF(16=$NQ$8,$NM$8,0),IF($NO$8="Bell_Curve",$NM$8*(16-$NQ$8+1)*($NR$8-16+1)/$NT$8,$NM$8/$NS$8)),0)</f>
        <v/>
      </c>
      <c r="T8" s="18">
        <f>IF(AND(17&gt;=$NQ$8,17&lt;=$NR$8),IF($NO$8="Single_Point",IF(17=$NQ$8,$NM$8,0),IF($NO$8="Bell_Curve",$NM$8*(17-$NQ$8+1)*($NR$8-17+1)/$NT$8,$NM$8/$NS$8)),0)</f>
        <v/>
      </c>
      <c r="U8" s="18">
        <f>IF(AND(18&gt;=$NQ$8,18&lt;=$NR$8),IF($NO$8="Single_Point",IF(18=$NQ$8,$NM$8,0),IF($NO$8="Bell_Curve",$NM$8*(18-$NQ$8+1)*($NR$8-18+1)/$NT$8,$NM$8/$NS$8)),0)</f>
        <v/>
      </c>
      <c r="V8" s="18">
        <f>IF(AND(19&gt;=$NQ$8,19&lt;=$NR$8),IF($NO$8="Single_Point",IF(19=$NQ$8,$NM$8,0),IF($NO$8="Bell_Curve",$NM$8*(19-$NQ$8+1)*($NR$8-19+1)/$NT$8,$NM$8/$NS$8)),0)</f>
        <v/>
      </c>
      <c r="W8" s="18">
        <f>IF(AND(20&gt;=$NQ$8,20&lt;=$NR$8),IF($NO$8="Single_Point",IF(20=$NQ$8,$NM$8,0),IF($NO$8="Bell_Curve",$NM$8*(20-$NQ$8+1)*($NR$8-20+1)/$NT$8,$NM$8/$NS$8)),0)</f>
        <v/>
      </c>
      <c r="X8" s="18">
        <f>IF(AND(21&gt;=$NQ$8,21&lt;=$NR$8),IF($NO$8="Single_Point",IF(21=$NQ$8,$NM$8,0),IF($NO$8="Bell_Curve",$NM$8*(21-$NQ$8+1)*($NR$8-21+1)/$NT$8,$NM$8/$NS$8)),0)</f>
        <v/>
      </c>
      <c r="Y8" s="18">
        <f>IF(AND(22&gt;=$NQ$8,22&lt;=$NR$8),IF($NO$8="Single_Point",IF(22=$NQ$8,$NM$8,0),IF($NO$8="Bell_Curve",$NM$8*(22-$NQ$8+1)*($NR$8-22+1)/$NT$8,$NM$8/$NS$8)),0)</f>
        <v/>
      </c>
      <c r="Z8" s="18">
        <f>IF(AND(23&gt;=$NQ$8,23&lt;=$NR$8),IF($NO$8="Single_Point",IF(23=$NQ$8,$NM$8,0),IF($NO$8="Bell_Curve",$NM$8*(23-$NQ$8+1)*($NR$8-23+1)/$NT$8,$NM$8/$NS$8)),0)</f>
        <v/>
      </c>
      <c r="AA8" s="18">
        <f>IF(AND(24&gt;=$NQ$8,24&lt;=$NR$8),IF($NO$8="Single_Point",IF(24=$NQ$8,$NM$8,0),IF($NO$8="Bell_Curve",$NM$8*(24-$NQ$8+1)*($NR$8-24+1)/$NT$8,$NM$8/$NS$8)),0)</f>
        <v/>
      </c>
      <c r="AB8" s="18">
        <f>IF(AND(25&gt;=$NQ$8,25&lt;=$NR$8),IF($NO$8="Single_Point",IF(25=$NQ$8,$NM$8,0),IF($NO$8="Bell_Curve",$NM$8*(25-$NQ$8+1)*($NR$8-25+1)/$NT$8,$NM$8/$NS$8)),0)</f>
        <v/>
      </c>
      <c r="AC8" s="18">
        <f>IF(AND(26&gt;=$NQ$8,26&lt;=$NR$8),IF($NO$8="Single_Point",IF(26=$NQ$8,$NM$8,0),IF($NO$8="Bell_Curve",$NM$8*(26-$NQ$8+1)*($NR$8-26+1)/$NT$8,$NM$8/$NS$8)),0)</f>
        <v/>
      </c>
      <c r="AD8" s="18">
        <f>IF(AND(27&gt;=$NQ$8,27&lt;=$NR$8),IF($NO$8="Single_Point",IF(27=$NQ$8,$NM$8,0),IF($NO$8="Bell_Curve",$NM$8*(27-$NQ$8+1)*($NR$8-27+1)/$NT$8,$NM$8/$NS$8)),0)</f>
        <v/>
      </c>
      <c r="AE8" s="18">
        <f>IF(AND(28&gt;=$NQ$8,28&lt;=$NR$8),IF($NO$8="Single_Point",IF(28=$NQ$8,$NM$8,0),IF($NO$8="Bell_Curve",$NM$8*(28-$NQ$8+1)*($NR$8-28+1)/$NT$8,$NM$8/$NS$8)),0)</f>
        <v/>
      </c>
      <c r="AF8" s="18">
        <f>IF(AND(29&gt;=$NQ$8,29&lt;=$NR$8),IF($NO$8="Single_Point",IF(29=$NQ$8,$NM$8,0),IF($NO$8="Bell_Curve",$NM$8*(29-$NQ$8+1)*($NR$8-29+1)/$NT$8,$NM$8/$NS$8)),0)</f>
        <v/>
      </c>
      <c r="AG8" s="18">
        <f>IF(AND(30&gt;=$NQ$8,30&lt;=$NR$8),IF($NO$8="Single_Point",IF(30=$NQ$8,$NM$8,0),IF($NO$8="Bell_Curve",$NM$8*(30-$NQ$8+1)*($NR$8-30+1)/$NT$8,$NM$8/$NS$8)),0)</f>
        <v/>
      </c>
      <c r="AH8" s="18">
        <f>IF(AND(31&gt;=$NQ$8,31&lt;=$NR$8),IF($NO$8="Single_Point",IF(31=$NQ$8,$NM$8,0),IF($NO$8="Bell_Curve",$NM$8*(31-$NQ$8+1)*($NR$8-31+1)/$NT$8,$NM$8/$NS$8)),0)</f>
        <v/>
      </c>
      <c r="AI8" s="18">
        <f>IF(AND(32&gt;=$NQ$8,32&lt;=$NR$8),IF($NO$8="Single_Point",IF(32=$NQ$8,$NM$8,0),IF($NO$8="Bell_Curve",$NM$8*(32-$NQ$8+1)*($NR$8-32+1)/$NT$8,$NM$8/$NS$8)),0)</f>
        <v/>
      </c>
      <c r="AJ8" s="18">
        <f>IF(AND(33&gt;=$NQ$8,33&lt;=$NR$8),IF($NO$8="Single_Point",IF(33=$NQ$8,$NM$8,0),IF($NO$8="Bell_Curve",$NM$8*(33-$NQ$8+1)*($NR$8-33+1)/$NT$8,$NM$8/$NS$8)),0)</f>
        <v/>
      </c>
      <c r="AK8" s="18">
        <f>IF(AND(34&gt;=$NQ$8,34&lt;=$NR$8),IF($NO$8="Single_Point",IF(34=$NQ$8,$NM$8,0),IF($NO$8="Bell_Curve",$NM$8*(34-$NQ$8+1)*($NR$8-34+1)/$NT$8,$NM$8/$NS$8)),0)</f>
        <v/>
      </c>
      <c r="AL8" s="18">
        <f>IF(AND(35&gt;=$NQ$8,35&lt;=$NR$8),IF($NO$8="Single_Point",IF(35=$NQ$8,$NM$8,0),IF($NO$8="Bell_Curve",$NM$8*(35-$NQ$8+1)*($NR$8-35+1)/$NT$8,$NM$8/$NS$8)),0)</f>
        <v/>
      </c>
      <c r="AM8" s="18">
        <f>IF(AND(36&gt;=$NQ$8,36&lt;=$NR$8),IF($NO$8="Single_Point",IF(36=$NQ$8,$NM$8,0),IF($NO$8="Bell_Curve",$NM$8*(36-$NQ$8+1)*($NR$8-36+1)/$NT$8,$NM$8/$NS$8)),0)</f>
        <v/>
      </c>
      <c r="AN8" s="18">
        <f>IF(AND(37&gt;=$NQ$8,37&lt;=$NR$8),IF($NO$8="Single_Point",IF(37=$NQ$8,$NM$8,0),IF($NO$8="Bell_Curve",$NM$8*(37-$NQ$8+1)*($NR$8-37+1)/$NT$8,$NM$8/$NS$8)),0)</f>
        <v/>
      </c>
      <c r="AO8" s="18">
        <f>IF(AND(38&gt;=$NQ$8,38&lt;=$NR$8),IF($NO$8="Single_Point",IF(38=$NQ$8,$NM$8,0),IF($NO$8="Bell_Curve",$NM$8*(38-$NQ$8+1)*($NR$8-38+1)/$NT$8,$NM$8/$NS$8)),0)</f>
        <v/>
      </c>
      <c r="AP8" s="18">
        <f>IF(AND(39&gt;=$NQ$8,39&lt;=$NR$8),IF($NO$8="Single_Point",IF(39=$NQ$8,$NM$8,0),IF($NO$8="Bell_Curve",$NM$8*(39-$NQ$8+1)*($NR$8-39+1)/$NT$8,$NM$8/$NS$8)),0)</f>
        <v/>
      </c>
      <c r="AQ8" s="18">
        <f>IF(AND(40&gt;=$NQ$8,40&lt;=$NR$8),IF($NO$8="Single_Point",IF(40=$NQ$8,$NM$8,0),IF($NO$8="Bell_Curve",$NM$8*(40-$NQ$8+1)*($NR$8-40+1)/$NT$8,$NM$8/$NS$8)),0)</f>
        <v/>
      </c>
      <c r="AR8" s="18">
        <f>IF(AND(41&gt;=$NQ$8,41&lt;=$NR$8),IF($NO$8="Single_Point",IF(41=$NQ$8,$NM$8,0),IF($NO$8="Bell_Curve",$NM$8*(41-$NQ$8+1)*($NR$8-41+1)/$NT$8,$NM$8/$NS$8)),0)</f>
        <v/>
      </c>
      <c r="AS8" s="18">
        <f>IF(AND(42&gt;=$NQ$8,42&lt;=$NR$8),IF($NO$8="Single_Point",IF(42=$NQ$8,$NM$8,0),IF($NO$8="Bell_Curve",$NM$8*(42-$NQ$8+1)*($NR$8-42+1)/$NT$8,$NM$8/$NS$8)),0)</f>
        <v/>
      </c>
      <c r="AT8" s="18">
        <f>IF(AND(43&gt;=$NQ$8,43&lt;=$NR$8),IF($NO$8="Single_Point",IF(43=$NQ$8,$NM$8,0),IF($NO$8="Bell_Curve",$NM$8*(43-$NQ$8+1)*($NR$8-43+1)/$NT$8,$NM$8/$NS$8)),0)</f>
        <v/>
      </c>
      <c r="AU8" s="18">
        <f>IF(AND(44&gt;=$NQ$8,44&lt;=$NR$8),IF($NO$8="Single_Point",IF(44=$NQ$8,$NM$8,0),IF($NO$8="Bell_Curve",$NM$8*(44-$NQ$8+1)*($NR$8-44+1)/$NT$8,$NM$8/$NS$8)),0)</f>
        <v/>
      </c>
      <c r="AV8" s="18">
        <f>IF(AND(45&gt;=$NQ$8,45&lt;=$NR$8),IF($NO$8="Single_Point",IF(45=$NQ$8,$NM$8,0),IF($NO$8="Bell_Curve",$NM$8*(45-$NQ$8+1)*($NR$8-45+1)/$NT$8,$NM$8/$NS$8)),0)</f>
        <v/>
      </c>
      <c r="AW8" s="18">
        <f>IF(AND(46&gt;=$NQ$8,46&lt;=$NR$8),IF($NO$8="Single_Point",IF(46=$NQ$8,$NM$8,0),IF($NO$8="Bell_Curve",$NM$8*(46-$NQ$8+1)*($NR$8-46+1)/$NT$8,$NM$8/$NS$8)),0)</f>
        <v/>
      </c>
      <c r="AX8" s="18">
        <f>IF(AND(47&gt;=$NQ$8,47&lt;=$NR$8),IF($NO$8="Single_Point",IF(47=$NQ$8,$NM$8,0),IF($NO$8="Bell_Curve",$NM$8*(47-$NQ$8+1)*($NR$8-47+1)/$NT$8,$NM$8/$NS$8)),0)</f>
        <v/>
      </c>
      <c r="AY8" s="18">
        <f>IF(AND(48&gt;=$NQ$8,48&lt;=$NR$8),IF($NO$8="Single_Point",IF(48=$NQ$8,$NM$8,0),IF($NO$8="Bell_Curve",$NM$8*(48-$NQ$8+1)*($NR$8-48+1)/$NT$8,$NM$8/$NS$8)),0)</f>
        <v/>
      </c>
      <c r="AZ8" s="18">
        <f>IF(AND(49&gt;=$NQ$8,49&lt;=$NR$8),IF($NO$8="Single_Point",IF(49=$NQ$8,$NM$8,0),IF($NO$8="Bell_Curve",$NM$8*(49-$NQ$8+1)*($NR$8-49+1)/$NT$8,$NM$8/$NS$8)),0)</f>
        <v/>
      </c>
      <c r="BA8" s="18">
        <f>IF(AND(50&gt;=$NQ$8,50&lt;=$NR$8),IF($NO$8="Single_Point",IF(50=$NQ$8,$NM$8,0),IF($NO$8="Bell_Curve",$NM$8*(50-$NQ$8+1)*($NR$8-50+1)/$NT$8,$NM$8/$NS$8)),0)</f>
        <v/>
      </c>
      <c r="BB8" s="18">
        <f>IF(AND(51&gt;=$NQ$8,51&lt;=$NR$8),IF($NO$8="Single_Point",IF(51=$NQ$8,$NM$8,0),IF($NO$8="Bell_Curve",$NM$8*(51-$NQ$8+1)*($NR$8-51+1)/$NT$8,$NM$8/$NS$8)),0)</f>
        <v/>
      </c>
      <c r="BC8" s="18">
        <f>IF(AND(52&gt;=$NQ$8,52&lt;=$NR$8),IF($NO$8="Single_Point",IF(52=$NQ$8,$NM$8,0),IF($NO$8="Bell_Curve",$NM$8*(52-$NQ$8+1)*($NR$8-52+1)/$NT$8,$NM$8/$NS$8)),0)</f>
        <v/>
      </c>
      <c r="BD8" s="18">
        <f>IF(AND(53&gt;=$NQ$8,53&lt;=$NR$8),IF($NO$8="Single_Point",IF(53=$NQ$8,$NM$8,0),IF($NO$8="Bell_Curve",$NM$8*(53-$NQ$8+1)*($NR$8-53+1)/$NT$8,$NM$8/$NS$8)),0)</f>
        <v/>
      </c>
      <c r="BE8" s="18">
        <f>IF(AND(54&gt;=$NQ$8,54&lt;=$NR$8),IF($NO$8="Single_Point",IF(54=$NQ$8,$NM$8,0),IF($NO$8="Bell_Curve",$NM$8*(54-$NQ$8+1)*($NR$8-54+1)/$NT$8,$NM$8/$NS$8)),0)</f>
        <v/>
      </c>
      <c r="BF8" s="18">
        <f>IF(AND(55&gt;=$NQ$8,55&lt;=$NR$8),IF($NO$8="Single_Point",IF(55=$NQ$8,$NM$8,0),IF($NO$8="Bell_Curve",$NM$8*(55-$NQ$8+1)*($NR$8-55+1)/$NT$8,$NM$8/$NS$8)),0)</f>
        <v/>
      </c>
      <c r="BG8" s="18">
        <f>IF(AND(56&gt;=$NQ$8,56&lt;=$NR$8),IF($NO$8="Single_Point",IF(56=$NQ$8,$NM$8,0),IF($NO$8="Bell_Curve",$NM$8*(56-$NQ$8+1)*($NR$8-56+1)/$NT$8,$NM$8/$NS$8)),0)</f>
        <v/>
      </c>
      <c r="BH8" s="18">
        <f>IF(AND(57&gt;=$NQ$8,57&lt;=$NR$8),IF($NO$8="Single_Point",IF(57=$NQ$8,$NM$8,0),IF($NO$8="Bell_Curve",$NM$8*(57-$NQ$8+1)*($NR$8-57+1)/$NT$8,$NM$8/$NS$8)),0)</f>
        <v/>
      </c>
      <c r="BI8" s="18">
        <f>IF(AND(58&gt;=$NQ$8,58&lt;=$NR$8),IF($NO$8="Single_Point",IF(58=$NQ$8,$NM$8,0),IF($NO$8="Bell_Curve",$NM$8*(58-$NQ$8+1)*($NR$8-58+1)/$NT$8,$NM$8/$NS$8)),0)</f>
        <v/>
      </c>
      <c r="BJ8" s="18">
        <f>IF(AND(59&gt;=$NQ$8,59&lt;=$NR$8),IF($NO$8="Single_Point",IF(59=$NQ$8,$NM$8,0),IF($NO$8="Bell_Curve",$NM$8*(59-$NQ$8+1)*($NR$8-59+1)/$NT$8,$NM$8/$NS$8)),0)</f>
        <v/>
      </c>
      <c r="BK8" s="18">
        <f>IF(AND(60&gt;=$NQ$8,60&lt;=$NR$8),IF($NO$8="Single_Point",IF(60=$NQ$8,$NM$8,0),IF($NO$8="Bell_Curve",$NM$8*(60-$NQ$8+1)*($NR$8-60+1)/$NT$8,$NM$8/$NS$8)),0)</f>
        <v/>
      </c>
      <c r="BL8" s="18">
        <f>IF(AND(61&gt;=$NQ$8,61&lt;=$NR$8),IF($NO$8="Single_Point",IF(61=$NQ$8,$NM$8,0),IF($NO$8="Bell_Curve",$NM$8*(61-$NQ$8+1)*($NR$8-61+1)/$NT$8,$NM$8/$NS$8)),0)</f>
        <v/>
      </c>
      <c r="BM8" s="18">
        <f>IF(AND(62&gt;=$NQ$8,62&lt;=$NR$8),IF($NO$8="Single_Point",IF(62=$NQ$8,$NM$8,0),IF($NO$8="Bell_Curve",$NM$8*(62-$NQ$8+1)*($NR$8-62+1)/$NT$8,$NM$8/$NS$8)),0)</f>
        <v/>
      </c>
      <c r="BN8" s="18">
        <f>IF(AND(63&gt;=$NQ$8,63&lt;=$NR$8),IF($NO$8="Single_Point",IF(63=$NQ$8,$NM$8,0),IF($NO$8="Bell_Curve",$NM$8*(63-$NQ$8+1)*($NR$8-63+1)/$NT$8,$NM$8/$NS$8)),0)</f>
        <v/>
      </c>
      <c r="BO8" s="18">
        <f>IF(AND(64&gt;=$NQ$8,64&lt;=$NR$8),IF($NO$8="Single_Point",IF(64=$NQ$8,$NM$8,0),IF($NO$8="Bell_Curve",$NM$8*(64-$NQ$8+1)*($NR$8-64+1)/$NT$8,$NM$8/$NS$8)),0)</f>
        <v/>
      </c>
      <c r="BP8" s="18">
        <f>IF(AND(65&gt;=$NQ$8,65&lt;=$NR$8),IF($NO$8="Single_Point",IF(65=$NQ$8,$NM$8,0),IF($NO$8="Bell_Curve",$NM$8*(65-$NQ$8+1)*($NR$8-65+1)/$NT$8,$NM$8/$NS$8)),0)</f>
        <v/>
      </c>
      <c r="BQ8" s="18">
        <f>IF(AND(66&gt;=$NQ$8,66&lt;=$NR$8),IF($NO$8="Single_Point",IF(66=$NQ$8,$NM$8,0),IF($NO$8="Bell_Curve",$NM$8*(66-$NQ$8+1)*($NR$8-66+1)/$NT$8,$NM$8/$NS$8)),0)</f>
        <v/>
      </c>
      <c r="BR8" s="18">
        <f>IF(AND(67&gt;=$NQ$8,67&lt;=$NR$8),IF($NO$8="Single_Point",IF(67=$NQ$8,$NM$8,0),IF($NO$8="Bell_Curve",$NM$8*(67-$NQ$8+1)*($NR$8-67+1)/$NT$8,$NM$8/$NS$8)),0)</f>
        <v/>
      </c>
      <c r="BS8" s="18">
        <f>IF(AND(68&gt;=$NQ$8,68&lt;=$NR$8),IF($NO$8="Single_Point",IF(68=$NQ$8,$NM$8,0),IF($NO$8="Bell_Curve",$NM$8*(68-$NQ$8+1)*($NR$8-68+1)/$NT$8,$NM$8/$NS$8)),0)</f>
        <v/>
      </c>
      <c r="BT8" s="18">
        <f>IF(AND(69&gt;=$NQ$8,69&lt;=$NR$8),IF($NO$8="Single_Point",IF(69=$NQ$8,$NM$8,0),IF($NO$8="Bell_Curve",$NM$8*(69-$NQ$8+1)*($NR$8-69+1)/$NT$8,$NM$8/$NS$8)),0)</f>
        <v/>
      </c>
      <c r="BU8" s="18">
        <f>IF(AND(70&gt;=$NQ$8,70&lt;=$NR$8),IF($NO$8="Single_Point",IF(70=$NQ$8,$NM$8,0),IF($NO$8="Bell_Curve",$NM$8*(70-$NQ$8+1)*($NR$8-70+1)/$NT$8,$NM$8/$NS$8)),0)</f>
        <v/>
      </c>
      <c r="BV8" s="18">
        <f>IF(AND(71&gt;=$NQ$8,71&lt;=$NR$8),IF($NO$8="Single_Point",IF(71=$NQ$8,$NM$8,0),IF($NO$8="Bell_Curve",$NM$8*(71-$NQ$8+1)*($NR$8-71+1)/$NT$8,$NM$8/$NS$8)),0)</f>
        <v/>
      </c>
      <c r="BW8" s="18">
        <f>IF(AND(72&gt;=$NQ$8,72&lt;=$NR$8),IF($NO$8="Single_Point",IF(72=$NQ$8,$NM$8,0),IF($NO$8="Bell_Curve",$NM$8*(72-$NQ$8+1)*($NR$8-72+1)/$NT$8,$NM$8/$NS$8)),0)</f>
        <v/>
      </c>
      <c r="BX8" s="18">
        <f>IF(AND(73&gt;=$NQ$8,73&lt;=$NR$8),IF($NO$8="Single_Point",IF(73=$NQ$8,$NM$8,0),IF($NO$8="Bell_Curve",$NM$8*(73-$NQ$8+1)*($NR$8-73+1)/$NT$8,$NM$8/$NS$8)),0)</f>
        <v/>
      </c>
      <c r="BY8" s="18">
        <f>IF(AND(74&gt;=$NQ$8,74&lt;=$NR$8),IF($NO$8="Single_Point",IF(74=$NQ$8,$NM$8,0),IF($NO$8="Bell_Curve",$NM$8*(74-$NQ$8+1)*($NR$8-74+1)/$NT$8,$NM$8/$NS$8)),0)</f>
        <v/>
      </c>
      <c r="BZ8" s="18">
        <f>IF(AND(75&gt;=$NQ$8,75&lt;=$NR$8),IF($NO$8="Single_Point",IF(75=$NQ$8,$NM$8,0),IF($NO$8="Bell_Curve",$NM$8*(75-$NQ$8+1)*($NR$8-75+1)/$NT$8,$NM$8/$NS$8)),0)</f>
        <v/>
      </c>
      <c r="CA8" s="18">
        <f>IF(AND(76&gt;=$NQ$8,76&lt;=$NR$8),IF($NO$8="Single_Point",IF(76=$NQ$8,$NM$8,0),IF($NO$8="Bell_Curve",$NM$8*(76-$NQ$8+1)*($NR$8-76+1)/$NT$8,$NM$8/$NS$8)),0)</f>
        <v/>
      </c>
      <c r="CB8" s="18">
        <f>IF(AND(77&gt;=$NQ$8,77&lt;=$NR$8),IF($NO$8="Single_Point",IF(77=$NQ$8,$NM$8,0),IF($NO$8="Bell_Curve",$NM$8*(77-$NQ$8+1)*($NR$8-77+1)/$NT$8,$NM$8/$NS$8)),0)</f>
        <v/>
      </c>
      <c r="CC8" s="18">
        <f>IF(AND(78&gt;=$NQ$8,78&lt;=$NR$8),IF($NO$8="Single_Point",IF(78=$NQ$8,$NM$8,0),IF($NO$8="Bell_Curve",$NM$8*(78-$NQ$8+1)*($NR$8-78+1)/$NT$8,$NM$8/$NS$8)),0)</f>
        <v/>
      </c>
      <c r="CD8" s="18">
        <f>IF(AND(79&gt;=$NQ$8,79&lt;=$NR$8),IF($NO$8="Single_Point",IF(79=$NQ$8,$NM$8,0),IF($NO$8="Bell_Curve",$NM$8*(79-$NQ$8+1)*($NR$8-79+1)/$NT$8,$NM$8/$NS$8)),0)</f>
        <v/>
      </c>
      <c r="CE8" s="18">
        <f>IF(AND(80&gt;=$NQ$8,80&lt;=$NR$8),IF($NO$8="Single_Point",IF(80=$NQ$8,$NM$8,0),IF($NO$8="Bell_Curve",$NM$8*(80-$NQ$8+1)*($NR$8-80+1)/$NT$8,$NM$8/$NS$8)),0)</f>
        <v/>
      </c>
      <c r="CF8" s="18">
        <f>IF(AND(81&gt;=$NQ$8,81&lt;=$NR$8),IF($NO$8="Single_Point",IF(81=$NQ$8,$NM$8,0),IF($NO$8="Bell_Curve",$NM$8*(81-$NQ$8+1)*($NR$8-81+1)/$NT$8,$NM$8/$NS$8)),0)</f>
        <v/>
      </c>
      <c r="CG8" s="18">
        <f>IF(AND(82&gt;=$NQ$8,82&lt;=$NR$8),IF($NO$8="Single_Point",IF(82=$NQ$8,$NM$8,0),IF($NO$8="Bell_Curve",$NM$8*(82-$NQ$8+1)*($NR$8-82+1)/$NT$8,$NM$8/$NS$8)),0)</f>
        <v/>
      </c>
      <c r="CH8" s="18">
        <f>IF(AND(83&gt;=$NQ$8,83&lt;=$NR$8),IF($NO$8="Single_Point",IF(83=$NQ$8,$NM$8,0),IF($NO$8="Bell_Curve",$NM$8*(83-$NQ$8+1)*($NR$8-83+1)/$NT$8,$NM$8/$NS$8)),0)</f>
        <v/>
      </c>
      <c r="CI8" s="18">
        <f>IF(AND(84&gt;=$NQ$8,84&lt;=$NR$8),IF($NO$8="Single_Point",IF(84=$NQ$8,$NM$8,0),IF($NO$8="Bell_Curve",$NM$8*(84-$NQ$8+1)*($NR$8-84+1)/$NT$8,$NM$8/$NS$8)),0)</f>
        <v/>
      </c>
      <c r="CJ8" s="18">
        <f>IF(AND(85&gt;=$NQ$8,85&lt;=$NR$8),IF($NO$8="Single_Point",IF(85=$NQ$8,$NM$8,0),IF($NO$8="Bell_Curve",$NM$8*(85-$NQ$8+1)*($NR$8-85+1)/$NT$8,$NM$8/$NS$8)),0)</f>
        <v/>
      </c>
      <c r="CK8" s="18">
        <f>IF(AND(86&gt;=$NQ$8,86&lt;=$NR$8),IF($NO$8="Single_Point",IF(86=$NQ$8,$NM$8,0),IF($NO$8="Bell_Curve",$NM$8*(86-$NQ$8+1)*($NR$8-86+1)/$NT$8,$NM$8/$NS$8)),0)</f>
        <v/>
      </c>
      <c r="CL8" s="18">
        <f>IF(AND(87&gt;=$NQ$8,87&lt;=$NR$8),IF($NO$8="Single_Point",IF(87=$NQ$8,$NM$8,0),IF($NO$8="Bell_Curve",$NM$8*(87-$NQ$8+1)*($NR$8-87+1)/$NT$8,$NM$8/$NS$8)),0)</f>
        <v/>
      </c>
      <c r="CM8" s="18">
        <f>IF(AND(88&gt;=$NQ$8,88&lt;=$NR$8),IF($NO$8="Single_Point",IF(88=$NQ$8,$NM$8,0),IF($NO$8="Bell_Curve",$NM$8*(88-$NQ$8+1)*($NR$8-88+1)/$NT$8,$NM$8/$NS$8)),0)</f>
        <v/>
      </c>
      <c r="CN8" s="18">
        <f>IF(AND(89&gt;=$NQ$8,89&lt;=$NR$8),IF($NO$8="Single_Point",IF(89=$NQ$8,$NM$8,0),IF($NO$8="Bell_Curve",$NM$8*(89-$NQ$8+1)*($NR$8-89+1)/$NT$8,$NM$8/$NS$8)),0)</f>
        <v/>
      </c>
      <c r="CO8" s="18">
        <f>IF(AND(90&gt;=$NQ$8,90&lt;=$NR$8),IF($NO$8="Single_Point",IF(90=$NQ$8,$NM$8,0),IF($NO$8="Bell_Curve",$NM$8*(90-$NQ$8+1)*($NR$8-90+1)/$NT$8,$NM$8/$NS$8)),0)</f>
        <v/>
      </c>
      <c r="CP8" s="18">
        <f>IF(AND(91&gt;=$NQ$8,91&lt;=$NR$8),IF($NO$8="Single_Point",IF(91=$NQ$8,$NM$8,0),IF($NO$8="Bell_Curve",$NM$8*(91-$NQ$8+1)*($NR$8-91+1)/$NT$8,$NM$8/$NS$8)),0)</f>
        <v/>
      </c>
      <c r="CQ8" s="18">
        <f>IF(AND(92&gt;=$NQ$8,92&lt;=$NR$8),IF($NO$8="Single_Point",IF(92=$NQ$8,$NM$8,0),IF($NO$8="Bell_Curve",$NM$8*(92-$NQ$8+1)*($NR$8-92+1)/$NT$8,$NM$8/$NS$8)),0)</f>
        <v/>
      </c>
      <c r="CR8" s="18">
        <f>IF(AND(93&gt;=$NQ$8,93&lt;=$NR$8),IF($NO$8="Single_Point",IF(93=$NQ$8,$NM$8,0),IF($NO$8="Bell_Curve",$NM$8*(93-$NQ$8+1)*($NR$8-93+1)/$NT$8,$NM$8/$NS$8)),0)</f>
        <v/>
      </c>
      <c r="CS8" s="18">
        <f>IF(AND(94&gt;=$NQ$8,94&lt;=$NR$8),IF($NO$8="Single_Point",IF(94=$NQ$8,$NM$8,0),IF($NO$8="Bell_Curve",$NM$8*(94-$NQ$8+1)*($NR$8-94+1)/$NT$8,$NM$8/$NS$8)),0)</f>
        <v/>
      </c>
      <c r="CT8" s="18">
        <f>IF(AND(95&gt;=$NQ$8,95&lt;=$NR$8),IF($NO$8="Single_Point",IF(95=$NQ$8,$NM$8,0),IF($NO$8="Bell_Curve",$NM$8*(95-$NQ$8+1)*($NR$8-95+1)/$NT$8,$NM$8/$NS$8)),0)</f>
        <v/>
      </c>
      <c r="CU8" s="18">
        <f>IF(AND(96&gt;=$NQ$8,96&lt;=$NR$8),IF($NO$8="Single_Point",IF(96=$NQ$8,$NM$8,0),IF($NO$8="Bell_Curve",$NM$8*(96-$NQ$8+1)*($NR$8-96+1)/$NT$8,$NM$8/$NS$8)),0)</f>
        <v/>
      </c>
      <c r="CV8" s="18">
        <f>IF(AND(97&gt;=$NQ$8,97&lt;=$NR$8),IF($NO$8="Single_Point",IF(97=$NQ$8,$NM$8,0),IF($NO$8="Bell_Curve",$NM$8*(97-$NQ$8+1)*($NR$8-97+1)/$NT$8,$NM$8/$NS$8)),0)</f>
        <v/>
      </c>
      <c r="CW8" s="18">
        <f>IF(AND(98&gt;=$NQ$8,98&lt;=$NR$8),IF($NO$8="Single_Point",IF(98=$NQ$8,$NM$8,0),IF($NO$8="Bell_Curve",$NM$8*(98-$NQ$8+1)*($NR$8-98+1)/$NT$8,$NM$8/$NS$8)),0)</f>
        <v/>
      </c>
      <c r="CX8" s="18">
        <f>IF(AND(99&gt;=$NQ$8,99&lt;=$NR$8),IF($NO$8="Single_Point",IF(99=$NQ$8,$NM$8,0),IF($NO$8="Bell_Curve",$NM$8*(99-$NQ$8+1)*($NR$8-99+1)/$NT$8,$NM$8/$NS$8)),0)</f>
        <v/>
      </c>
      <c r="CY8" s="18">
        <f>IF(AND(100&gt;=$NQ$8,100&lt;=$NR$8),IF($NO$8="Single_Point",IF(100=$NQ$8,$NM$8,0),IF($NO$8="Bell_Curve",$NM$8*(100-$NQ$8+1)*($NR$8-100+1)/$NT$8,$NM$8/$NS$8)),0)</f>
        <v/>
      </c>
      <c r="CZ8" s="18">
        <f>IF(AND(101&gt;=$NQ$8,101&lt;=$NR$8),IF($NO$8="Single_Point",IF(101=$NQ$8,$NM$8,0),IF($NO$8="Bell_Curve",$NM$8*(101-$NQ$8+1)*($NR$8-101+1)/$NT$8,$NM$8/$NS$8)),0)</f>
        <v/>
      </c>
      <c r="DA8" s="18">
        <f>IF(AND(102&gt;=$NQ$8,102&lt;=$NR$8),IF($NO$8="Single_Point",IF(102=$NQ$8,$NM$8,0),IF($NO$8="Bell_Curve",$NM$8*(102-$NQ$8+1)*($NR$8-102+1)/$NT$8,$NM$8/$NS$8)),0)</f>
        <v/>
      </c>
      <c r="DB8" s="18">
        <f>IF(AND(103&gt;=$NQ$8,103&lt;=$NR$8),IF($NO$8="Single_Point",IF(103=$NQ$8,$NM$8,0),IF($NO$8="Bell_Curve",$NM$8*(103-$NQ$8+1)*($NR$8-103+1)/$NT$8,$NM$8/$NS$8)),0)</f>
        <v/>
      </c>
      <c r="DC8" s="18">
        <f>IF(AND(104&gt;=$NQ$8,104&lt;=$NR$8),IF($NO$8="Single_Point",IF(104=$NQ$8,$NM$8,0),IF($NO$8="Bell_Curve",$NM$8*(104-$NQ$8+1)*($NR$8-104+1)/$NT$8,$NM$8/$NS$8)),0)</f>
        <v/>
      </c>
      <c r="DD8" s="18">
        <f>IF(AND(105&gt;=$NQ$8,105&lt;=$NR$8),IF($NO$8="Single_Point",IF(105=$NQ$8,$NM$8,0),IF($NO$8="Bell_Curve",$NM$8*(105-$NQ$8+1)*($NR$8-105+1)/$NT$8,$NM$8/$NS$8)),0)</f>
        <v/>
      </c>
      <c r="DE8" s="18">
        <f>IF(AND(106&gt;=$NQ$8,106&lt;=$NR$8),IF($NO$8="Single_Point",IF(106=$NQ$8,$NM$8,0),IF($NO$8="Bell_Curve",$NM$8*(106-$NQ$8+1)*($NR$8-106+1)/$NT$8,$NM$8/$NS$8)),0)</f>
        <v/>
      </c>
      <c r="DF8" s="18">
        <f>IF(AND(107&gt;=$NQ$8,107&lt;=$NR$8),IF($NO$8="Single_Point",IF(107=$NQ$8,$NM$8,0),IF($NO$8="Bell_Curve",$NM$8*(107-$NQ$8+1)*($NR$8-107+1)/$NT$8,$NM$8/$NS$8)),0)</f>
        <v/>
      </c>
      <c r="DG8" s="18">
        <f>IF(AND(108&gt;=$NQ$8,108&lt;=$NR$8),IF($NO$8="Single_Point",IF(108=$NQ$8,$NM$8,0),IF($NO$8="Bell_Curve",$NM$8*(108-$NQ$8+1)*($NR$8-108+1)/$NT$8,$NM$8/$NS$8)),0)</f>
        <v/>
      </c>
      <c r="DH8" s="18">
        <f>IF(AND(109&gt;=$NQ$8,109&lt;=$NR$8),IF($NO$8="Single_Point",IF(109=$NQ$8,$NM$8,0),IF($NO$8="Bell_Curve",$NM$8*(109-$NQ$8+1)*($NR$8-109+1)/$NT$8,$NM$8/$NS$8)),0)</f>
        <v/>
      </c>
      <c r="DI8" s="18">
        <f>IF(AND(110&gt;=$NQ$8,110&lt;=$NR$8),IF($NO$8="Single_Point",IF(110=$NQ$8,$NM$8,0),IF($NO$8="Bell_Curve",$NM$8*(110-$NQ$8+1)*($NR$8-110+1)/$NT$8,$NM$8/$NS$8)),0)</f>
        <v/>
      </c>
      <c r="DJ8" s="18">
        <f>IF(AND(111&gt;=$NQ$8,111&lt;=$NR$8),IF($NO$8="Single_Point",IF(111=$NQ$8,$NM$8,0),IF($NO$8="Bell_Curve",$NM$8*(111-$NQ$8+1)*($NR$8-111+1)/$NT$8,$NM$8/$NS$8)),0)</f>
        <v/>
      </c>
      <c r="DK8" s="18">
        <f>IF(AND(112&gt;=$NQ$8,112&lt;=$NR$8),IF($NO$8="Single_Point",IF(112=$NQ$8,$NM$8,0),IF($NO$8="Bell_Curve",$NM$8*(112-$NQ$8+1)*($NR$8-112+1)/$NT$8,$NM$8/$NS$8)),0)</f>
        <v/>
      </c>
      <c r="DL8" s="18">
        <f>IF(AND(113&gt;=$NQ$8,113&lt;=$NR$8),IF($NO$8="Single_Point",IF(113=$NQ$8,$NM$8,0),IF($NO$8="Bell_Curve",$NM$8*(113-$NQ$8+1)*($NR$8-113+1)/$NT$8,$NM$8/$NS$8)),0)</f>
        <v/>
      </c>
      <c r="DM8" s="18">
        <f>IF(AND(114&gt;=$NQ$8,114&lt;=$NR$8),IF($NO$8="Single_Point",IF(114=$NQ$8,$NM$8,0),IF($NO$8="Bell_Curve",$NM$8*(114-$NQ$8+1)*($NR$8-114+1)/$NT$8,$NM$8/$NS$8)),0)</f>
        <v/>
      </c>
      <c r="DN8" s="18">
        <f>IF(AND(115&gt;=$NQ$8,115&lt;=$NR$8),IF($NO$8="Single_Point",IF(115=$NQ$8,$NM$8,0),IF($NO$8="Bell_Curve",$NM$8*(115-$NQ$8+1)*($NR$8-115+1)/$NT$8,$NM$8/$NS$8)),0)</f>
        <v/>
      </c>
      <c r="DO8" s="18">
        <f>IF(AND(116&gt;=$NQ$8,116&lt;=$NR$8),IF($NO$8="Single_Point",IF(116=$NQ$8,$NM$8,0),IF($NO$8="Bell_Curve",$NM$8*(116-$NQ$8+1)*($NR$8-116+1)/$NT$8,$NM$8/$NS$8)),0)</f>
        <v/>
      </c>
      <c r="DP8" s="18">
        <f>IF(AND(117&gt;=$NQ$8,117&lt;=$NR$8),IF($NO$8="Single_Point",IF(117=$NQ$8,$NM$8,0),IF($NO$8="Bell_Curve",$NM$8*(117-$NQ$8+1)*($NR$8-117+1)/$NT$8,$NM$8/$NS$8)),0)</f>
        <v/>
      </c>
      <c r="DQ8" s="18">
        <f>IF(AND(118&gt;=$NQ$8,118&lt;=$NR$8),IF($NO$8="Single_Point",IF(118=$NQ$8,$NM$8,0),IF($NO$8="Bell_Curve",$NM$8*(118-$NQ$8+1)*($NR$8-118+1)/$NT$8,$NM$8/$NS$8)),0)</f>
        <v/>
      </c>
      <c r="DR8" s="18">
        <f>IF(AND(119&gt;=$NQ$8,119&lt;=$NR$8),IF($NO$8="Single_Point",IF(119=$NQ$8,$NM$8,0),IF($NO$8="Bell_Curve",$NM$8*(119-$NQ$8+1)*($NR$8-119+1)/$NT$8,$NM$8/$NS$8)),0)</f>
        <v/>
      </c>
      <c r="DS8" s="18">
        <f>IF(AND(120&gt;=$NQ$8,120&lt;=$NR$8),IF($NO$8="Single_Point",IF(120=$NQ$8,$NM$8,0),IF($NO$8="Bell_Curve",$NM$8*(120-$NQ$8+1)*($NR$8-120+1)/$NT$8,$NM$8/$NS$8)),0)</f>
        <v/>
      </c>
      <c r="DT8" s="18">
        <f>IF(AND(121&gt;=$NQ$8,121&lt;=$NR$8),IF($NO$8="Single_Point",IF(121=$NQ$8,$NM$8,0),IF($NO$8="Bell_Curve",$NM$8*(121-$NQ$8+1)*($NR$8-121+1)/$NT$8,$NM$8/$NS$8)),0)</f>
        <v/>
      </c>
      <c r="DU8" s="18">
        <f>IF(AND(122&gt;=$NQ$8,122&lt;=$NR$8),IF($NO$8="Single_Point",IF(122=$NQ$8,$NM$8,0),IF($NO$8="Bell_Curve",$NM$8*(122-$NQ$8+1)*($NR$8-122+1)/$NT$8,$NM$8/$NS$8)),0)</f>
        <v/>
      </c>
      <c r="DV8" s="18">
        <f>IF(AND(123&gt;=$NQ$8,123&lt;=$NR$8),IF($NO$8="Single_Point",IF(123=$NQ$8,$NM$8,0),IF($NO$8="Bell_Curve",$NM$8*(123-$NQ$8+1)*($NR$8-123+1)/$NT$8,$NM$8/$NS$8)),0)</f>
        <v/>
      </c>
      <c r="DW8" s="18">
        <f>IF(AND(124&gt;=$NQ$8,124&lt;=$NR$8),IF($NO$8="Single_Point",IF(124=$NQ$8,$NM$8,0),IF($NO$8="Bell_Curve",$NM$8*(124-$NQ$8+1)*($NR$8-124+1)/$NT$8,$NM$8/$NS$8)),0)</f>
        <v/>
      </c>
      <c r="DX8" s="18">
        <f>IF(AND(125&gt;=$NQ$8,125&lt;=$NR$8),IF($NO$8="Single_Point",IF(125=$NQ$8,$NM$8,0),IF($NO$8="Bell_Curve",$NM$8*(125-$NQ$8+1)*($NR$8-125+1)/$NT$8,$NM$8/$NS$8)),0)</f>
        <v/>
      </c>
      <c r="DY8" s="18">
        <f>IF(AND(126&gt;=$NQ$8,126&lt;=$NR$8),IF($NO$8="Single_Point",IF(126=$NQ$8,$NM$8,0),IF($NO$8="Bell_Curve",$NM$8*(126-$NQ$8+1)*($NR$8-126+1)/$NT$8,$NM$8/$NS$8)),0)</f>
        <v/>
      </c>
      <c r="DZ8" s="18">
        <f>IF(AND(127&gt;=$NQ$8,127&lt;=$NR$8),IF($NO$8="Single_Point",IF(127=$NQ$8,$NM$8,0),IF($NO$8="Bell_Curve",$NM$8*(127-$NQ$8+1)*($NR$8-127+1)/$NT$8,$NM$8/$NS$8)),0)</f>
        <v/>
      </c>
      <c r="EA8" s="18">
        <f>IF(AND(128&gt;=$NQ$8,128&lt;=$NR$8),IF($NO$8="Single_Point",IF(128=$NQ$8,$NM$8,0),IF($NO$8="Bell_Curve",$NM$8*(128-$NQ$8+1)*($NR$8-128+1)/$NT$8,$NM$8/$NS$8)),0)</f>
        <v/>
      </c>
      <c r="EB8" s="18">
        <f>IF(AND(129&gt;=$NQ$8,129&lt;=$NR$8),IF($NO$8="Single_Point",IF(129=$NQ$8,$NM$8,0),IF($NO$8="Bell_Curve",$NM$8*(129-$NQ$8+1)*($NR$8-129+1)/$NT$8,$NM$8/$NS$8)),0)</f>
        <v/>
      </c>
      <c r="EC8" s="18">
        <f>IF(AND(130&gt;=$NQ$8,130&lt;=$NR$8),IF($NO$8="Single_Point",IF(130=$NQ$8,$NM$8,0),IF($NO$8="Bell_Curve",$NM$8*(130-$NQ$8+1)*($NR$8-130+1)/$NT$8,$NM$8/$NS$8)),0)</f>
        <v/>
      </c>
      <c r="ED8" s="18">
        <f>IF(AND(131&gt;=$NQ$8,131&lt;=$NR$8),IF($NO$8="Single_Point",IF(131=$NQ$8,$NM$8,0),IF($NO$8="Bell_Curve",$NM$8*(131-$NQ$8+1)*($NR$8-131+1)/$NT$8,$NM$8/$NS$8)),0)</f>
        <v/>
      </c>
      <c r="EE8" s="18">
        <f>IF(AND(132&gt;=$NQ$8,132&lt;=$NR$8),IF($NO$8="Single_Point",IF(132=$NQ$8,$NM$8,0),IF($NO$8="Bell_Curve",$NM$8*(132-$NQ$8+1)*($NR$8-132+1)/$NT$8,$NM$8/$NS$8)),0)</f>
        <v/>
      </c>
      <c r="EF8" s="18">
        <f>IF(AND(133&gt;=$NQ$8,133&lt;=$NR$8),IF($NO$8="Single_Point",IF(133=$NQ$8,$NM$8,0),IF($NO$8="Bell_Curve",$NM$8*(133-$NQ$8+1)*($NR$8-133+1)/$NT$8,$NM$8/$NS$8)),0)</f>
        <v/>
      </c>
      <c r="EG8" s="18">
        <f>IF(AND(134&gt;=$NQ$8,134&lt;=$NR$8),IF($NO$8="Single_Point",IF(134=$NQ$8,$NM$8,0),IF($NO$8="Bell_Curve",$NM$8*(134-$NQ$8+1)*($NR$8-134+1)/$NT$8,$NM$8/$NS$8)),0)</f>
        <v/>
      </c>
      <c r="EH8" s="18">
        <f>IF(AND(135&gt;=$NQ$8,135&lt;=$NR$8),IF($NO$8="Single_Point",IF(135=$NQ$8,$NM$8,0),IF($NO$8="Bell_Curve",$NM$8*(135-$NQ$8+1)*($NR$8-135+1)/$NT$8,$NM$8/$NS$8)),0)</f>
        <v/>
      </c>
      <c r="EI8" s="18">
        <f>IF(AND(136&gt;=$NQ$8,136&lt;=$NR$8),IF($NO$8="Single_Point",IF(136=$NQ$8,$NM$8,0),IF($NO$8="Bell_Curve",$NM$8*(136-$NQ$8+1)*($NR$8-136+1)/$NT$8,$NM$8/$NS$8)),0)</f>
        <v/>
      </c>
      <c r="EJ8" s="18">
        <f>IF(AND(137&gt;=$NQ$8,137&lt;=$NR$8),IF($NO$8="Single_Point",IF(137=$NQ$8,$NM$8,0),IF($NO$8="Bell_Curve",$NM$8*(137-$NQ$8+1)*($NR$8-137+1)/$NT$8,$NM$8/$NS$8)),0)</f>
        <v/>
      </c>
      <c r="EK8" s="18">
        <f>IF(AND(138&gt;=$NQ$8,138&lt;=$NR$8),IF($NO$8="Single_Point",IF(138=$NQ$8,$NM$8,0),IF($NO$8="Bell_Curve",$NM$8*(138-$NQ$8+1)*($NR$8-138+1)/$NT$8,$NM$8/$NS$8)),0)</f>
        <v/>
      </c>
      <c r="EL8" s="18">
        <f>IF(AND(139&gt;=$NQ$8,139&lt;=$NR$8),IF($NO$8="Single_Point",IF(139=$NQ$8,$NM$8,0),IF($NO$8="Bell_Curve",$NM$8*(139-$NQ$8+1)*($NR$8-139+1)/$NT$8,$NM$8/$NS$8)),0)</f>
        <v/>
      </c>
      <c r="EM8" s="18">
        <f>IF(AND(140&gt;=$NQ$8,140&lt;=$NR$8),IF($NO$8="Single_Point",IF(140=$NQ$8,$NM$8,0),IF($NO$8="Bell_Curve",$NM$8*(140-$NQ$8+1)*($NR$8-140+1)/$NT$8,$NM$8/$NS$8)),0)</f>
        <v/>
      </c>
      <c r="EN8" s="18">
        <f>IF(AND(141&gt;=$NQ$8,141&lt;=$NR$8),IF($NO$8="Single_Point",IF(141=$NQ$8,$NM$8,0),IF($NO$8="Bell_Curve",$NM$8*(141-$NQ$8+1)*($NR$8-141+1)/$NT$8,$NM$8/$NS$8)),0)</f>
        <v/>
      </c>
      <c r="EO8" s="18">
        <f>IF(AND(142&gt;=$NQ$8,142&lt;=$NR$8),IF($NO$8="Single_Point",IF(142=$NQ$8,$NM$8,0),IF($NO$8="Bell_Curve",$NM$8*(142-$NQ$8+1)*($NR$8-142+1)/$NT$8,$NM$8/$NS$8)),0)</f>
        <v/>
      </c>
      <c r="EP8" s="18">
        <f>IF(AND(143&gt;=$NQ$8,143&lt;=$NR$8),IF($NO$8="Single_Point",IF(143=$NQ$8,$NM$8,0),IF($NO$8="Bell_Curve",$NM$8*(143-$NQ$8+1)*($NR$8-143+1)/$NT$8,$NM$8/$NS$8)),0)</f>
        <v/>
      </c>
      <c r="EQ8" s="18">
        <f>IF(AND(144&gt;=$NQ$8,144&lt;=$NR$8),IF($NO$8="Single_Point",IF(144=$NQ$8,$NM$8,0),IF($NO$8="Bell_Curve",$NM$8*(144-$NQ$8+1)*($NR$8-144+1)/$NT$8,$NM$8/$NS$8)),0)</f>
        <v/>
      </c>
      <c r="ER8" s="18">
        <f>IF(AND(145&gt;=$NQ$8,145&lt;=$NR$8),IF($NO$8="Single_Point",IF(145=$NQ$8,$NM$8,0),IF($NO$8="Bell_Curve",$NM$8*(145-$NQ$8+1)*($NR$8-145+1)/$NT$8,$NM$8/$NS$8)),0)</f>
        <v/>
      </c>
      <c r="ES8" s="18">
        <f>IF(AND(146&gt;=$NQ$8,146&lt;=$NR$8),IF($NO$8="Single_Point",IF(146=$NQ$8,$NM$8,0),IF($NO$8="Bell_Curve",$NM$8*(146-$NQ$8+1)*($NR$8-146+1)/$NT$8,$NM$8/$NS$8)),0)</f>
        <v/>
      </c>
      <c r="ET8" s="18">
        <f>IF(AND(147&gt;=$NQ$8,147&lt;=$NR$8),IF($NO$8="Single_Point",IF(147=$NQ$8,$NM$8,0),IF($NO$8="Bell_Curve",$NM$8*(147-$NQ$8+1)*($NR$8-147+1)/$NT$8,$NM$8/$NS$8)),0)</f>
        <v/>
      </c>
      <c r="EU8" s="18">
        <f>IF(AND(148&gt;=$NQ$8,148&lt;=$NR$8),IF($NO$8="Single_Point",IF(148=$NQ$8,$NM$8,0),IF($NO$8="Bell_Curve",$NM$8*(148-$NQ$8+1)*($NR$8-148+1)/$NT$8,$NM$8/$NS$8)),0)</f>
        <v/>
      </c>
      <c r="EV8" s="18">
        <f>IF(AND(149&gt;=$NQ$8,149&lt;=$NR$8),IF($NO$8="Single_Point",IF(149=$NQ$8,$NM$8,0),IF($NO$8="Bell_Curve",$NM$8*(149-$NQ$8+1)*($NR$8-149+1)/$NT$8,$NM$8/$NS$8)),0)</f>
        <v/>
      </c>
      <c r="EW8" s="18">
        <f>IF(AND(150&gt;=$NQ$8,150&lt;=$NR$8),IF($NO$8="Single_Point",IF(150=$NQ$8,$NM$8,0),IF($NO$8="Bell_Curve",$NM$8*(150-$NQ$8+1)*($NR$8-150+1)/$NT$8,$NM$8/$NS$8)),0)</f>
        <v/>
      </c>
      <c r="EX8" s="18">
        <f>IF(AND(151&gt;=$NQ$8,151&lt;=$NR$8),IF($NO$8="Single_Point",IF(151=$NQ$8,$NM$8,0),IF($NO$8="Bell_Curve",$NM$8*(151-$NQ$8+1)*($NR$8-151+1)/$NT$8,$NM$8/$NS$8)),0)</f>
        <v/>
      </c>
      <c r="EY8" s="18">
        <f>IF(AND(152&gt;=$NQ$8,152&lt;=$NR$8),IF($NO$8="Single_Point",IF(152=$NQ$8,$NM$8,0),IF($NO$8="Bell_Curve",$NM$8*(152-$NQ$8+1)*($NR$8-152+1)/$NT$8,$NM$8/$NS$8)),0)</f>
        <v/>
      </c>
      <c r="EZ8" s="18">
        <f>IF(AND(153&gt;=$NQ$8,153&lt;=$NR$8),IF($NO$8="Single_Point",IF(153=$NQ$8,$NM$8,0),IF($NO$8="Bell_Curve",$NM$8*(153-$NQ$8+1)*($NR$8-153+1)/$NT$8,$NM$8/$NS$8)),0)</f>
        <v/>
      </c>
      <c r="FA8" s="18">
        <f>IF(AND(154&gt;=$NQ$8,154&lt;=$NR$8),IF($NO$8="Single_Point",IF(154=$NQ$8,$NM$8,0),IF($NO$8="Bell_Curve",$NM$8*(154-$NQ$8+1)*($NR$8-154+1)/$NT$8,$NM$8/$NS$8)),0)</f>
        <v/>
      </c>
      <c r="FB8" s="18">
        <f>IF(AND(155&gt;=$NQ$8,155&lt;=$NR$8),IF($NO$8="Single_Point",IF(155=$NQ$8,$NM$8,0),IF($NO$8="Bell_Curve",$NM$8*(155-$NQ$8+1)*($NR$8-155+1)/$NT$8,$NM$8/$NS$8)),0)</f>
        <v/>
      </c>
      <c r="FC8" s="18">
        <f>IF(AND(156&gt;=$NQ$8,156&lt;=$NR$8),IF($NO$8="Single_Point",IF(156=$NQ$8,$NM$8,0),IF($NO$8="Bell_Curve",$NM$8*(156-$NQ$8+1)*($NR$8-156+1)/$NT$8,$NM$8/$NS$8)),0)</f>
        <v/>
      </c>
      <c r="FD8" s="18">
        <f>IF(AND(157&gt;=$NQ$8,157&lt;=$NR$8),IF($NO$8="Single_Point",IF(157=$NQ$8,$NM$8,0),IF($NO$8="Bell_Curve",$NM$8*(157-$NQ$8+1)*($NR$8-157+1)/$NT$8,$NM$8/$NS$8)),0)</f>
        <v/>
      </c>
      <c r="FE8" s="18">
        <f>IF(AND(158&gt;=$NQ$8,158&lt;=$NR$8),IF($NO$8="Single_Point",IF(158=$NQ$8,$NM$8,0),IF($NO$8="Bell_Curve",$NM$8*(158-$NQ$8+1)*($NR$8-158+1)/$NT$8,$NM$8/$NS$8)),0)</f>
        <v/>
      </c>
      <c r="FF8" s="18">
        <f>IF(AND(159&gt;=$NQ$8,159&lt;=$NR$8),IF($NO$8="Single_Point",IF(159=$NQ$8,$NM$8,0),IF($NO$8="Bell_Curve",$NM$8*(159-$NQ$8+1)*($NR$8-159+1)/$NT$8,$NM$8/$NS$8)),0)</f>
        <v/>
      </c>
      <c r="FG8" s="18">
        <f>IF(AND(160&gt;=$NQ$8,160&lt;=$NR$8),IF($NO$8="Single_Point",IF(160=$NQ$8,$NM$8,0),IF($NO$8="Bell_Curve",$NM$8*(160-$NQ$8+1)*($NR$8-160+1)/$NT$8,$NM$8/$NS$8)),0)</f>
        <v/>
      </c>
      <c r="FH8" s="18">
        <f>IF(AND(161&gt;=$NQ$8,161&lt;=$NR$8),IF($NO$8="Single_Point",IF(161=$NQ$8,$NM$8,0),IF($NO$8="Bell_Curve",$NM$8*(161-$NQ$8+1)*($NR$8-161+1)/$NT$8,$NM$8/$NS$8)),0)</f>
        <v/>
      </c>
      <c r="FI8" s="18">
        <f>IF(AND(162&gt;=$NQ$8,162&lt;=$NR$8),IF($NO$8="Single_Point",IF(162=$NQ$8,$NM$8,0),IF($NO$8="Bell_Curve",$NM$8*(162-$NQ$8+1)*($NR$8-162+1)/$NT$8,$NM$8/$NS$8)),0)</f>
        <v/>
      </c>
      <c r="FJ8" s="18">
        <f>IF(AND(163&gt;=$NQ$8,163&lt;=$NR$8),IF($NO$8="Single_Point",IF(163=$NQ$8,$NM$8,0),IF($NO$8="Bell_Curve",$NM$8*(163-$NQ$8+1)*($NR$8-163+1)/$NT$8,$NM$8/$NS$8)),0)</f>
        <v/>
      </c>
      <c r="FK8" s="18">
        <f>IF(AND(164&gt;=$NQ$8,164&lt;=$NR$8),IF($NO$8="Single_Point",IF(164=$NQ$8,$NM$8,0),IF($NO$8="Bell_Curve",$NM$8*(164-$NQ$8+1)*($NR$8-164+1)/$NT$8,$NM$8/$NS$8)),0)</f>
        <v/>
      </c>
      <c r="FL8" s="18">
        <f>IF(AND(165&gt;=$NQ$8,165&lt;=$NR$8),IF($NO$8="Single_Point",IF(165=$NQ$8,$NM$8,0),IF($NO$8="Bell_Curve",$NM$8*(165-$NQ$8+1)*($NR$8-165+1)/$NT$8,$NM$8/$NS$8)),0)</f>
        <v/>
      </c>
      <c r="FM8" s="18">
        <f>IF(AND(166&gt;=$NQ$8,166&lt;=$NR$8),IF($NO$8="Single_Point",IF(166=$NQ$8,$NM$8,0),IF($NO$8="Bell_Curve",$NM$8*(166-$NQ$8+1)*($NR$8-166+1)/$NT$8,$NM$8/$NS$8)),0)</f>
        <v/>
      </c>
      <c r="FN8" s="18">
        <f>IF(AND(167&gt;=$NQ$8,167&lt;=$NR$8),IF($NO$8="Single_Point",IF(167=$NQ$8,$NM$8,0),IF($NO$8="Bell_Curve",$NM$8*(167-$NQ$8+1)*($NR$8-167+1)/$NT$8,$NM$8/$NS$8)),0)</f>
        <v/>
      </c>
      <c r="FO8" s="18">
        <f>IF(AND(168&gt;=$NQ$8,168&lt;=$NR$8),IF($NO$8="Single_Point",IF(168=$NQ$8,$NM$8,0),IF($NO$8="Bell_Curve",$NM$8*(168-$NQ$8+1)*($NR$8-168+1)/$NT$8,$NM$8/$NS$8)),0)</f>
        <v/>
      </c>
      <c r="FP8" s="18">
        <f>IF(AND(169&gt;=$NQ$8,169&lt;=$NR$8),IF($NO$8="Single_Point",IF(169=$NQ$8,$NM$8,0),IF($NO$8="Bell_Curve",$NM$8*(169-$NQ$8+1)*($NR$8-169+1)/$NT$8,$NM$8/$NS$8)),0)</f>
        <v/>
      </c>
      <c r="FQ8" s="18">
        <f>IF(AND(170&gt;=$NQ$8,170&lt;=$NR$8),IF($NO$8="Single_Point",IF(170=$NQ$8,$NM$8,0),IF($NO$8="Bell_Curve",$NM$8*(170-$NQ$8+1)*($NR$8-170+1)/$NT$8,$NM$8/$NS$8)),0)</f>
        <v/>
      </c>
      <c r="FR8" s="18">
        <f>IF(AND(171&gt;=$NQ$8,171&lt;=$NR$8),IF($NO$8="Single_Point",IF(171=$NQ$8,$NM$8,0),IF($NO$8="Bell_Curve",$NM$8*(171-$NQ$8+1)*($NR$8-171+1)/$NT$8,$NM$8/$NS$8)),0)</f>
        <v/>
      </c>
      <c r="FS8" s="18">
        <f>IF(AND(172&gt;=$NQ$8,172&lt;=$NR$8),IF($NO$8="Single_Point",IF(172=$NQ$8,$NM$8,0),IF($NO$8="Bell_Curve",$NM$8*(172-$NQ$8+1)*($NR$8-172+1)/$NT$8,$NM$8/$NS$8)),0)</f>
        <v/>
      </c>
      <c r="FT8" s="18">
        <f>IF(AND(173&gt;=$NQ$8,173&lt;=$NR$8),IF($NO$8="Single_Point",IF(173=$NQ$8,$NM$8,0),IF($NO$8="Bell_Curve",$NM$8*(173-$NQ$8+1)*($NR$8-173+1)/$NT$8,$NM$8/$NS$8)),0)</f>
        <v/>
      </c>
      <c r="FU8" s="18">
        <f>IF(AND(174&gt;=$NQ$8,174&lt;=$NR$8),IF($NO$8="Single_Point",IF(174=$NQ$8,$NM$8,0),IF($NO$8="Bell_Curve",$NM$8*(174-$NQ$8+1)*($NR$8-174+1)/$NT$8,$NM$8/$NS$8)),0)</f>
        <v/>
      </c>
      <c r="FV8" s="18">
        <f>IF(AND(175&gt;=$NQ$8,175&lt;=$NR$8),IF($NO$8="Single_Point",IF(175=$NQ$8,$NM$8,0),IF($NO$8="Bell_Curve",$NM$8*(175-$NQ$8+1)*($NR$8-175+1)/$NT$8,$NM$8/$NS$8)),0)</f>
        <v/>
      </c>
      <c r="FW8" s="18">
        <f>IF(AND(176&gt;=$NQ$8,176&lt;=$NR$8),IF($NO$8="Single_Point",IF(176=$NQ$8,$NM$8,0),IF($NO$8="Bell_Curve",$NM$8*(176-$NQ$8+1)*($NR$8-176+1)/$NT$8,$NM$8/$NS$8)),0)</f>
        <v/>
      </c>
      <c r="FX8" s="18">
        <f>IF(AND(177&gt;=$NQ$8,177&lt;=$NR$8),IF($NO$8="Single_Point",IF(177=$NQ$8,$NM$8,0),IF($NO$8="Bell_Curve",$NM$8*(177-$NQ$8+1)*($NR$8-177+1)/$NT$8,$NM$8/$NS$8)),0)</f>
        <v/>
      </c>
      <c r="FY8" s="18">
        <f>IF(AND(178&gt;=$NQ$8,178&lt;=$NR$8),IF($NO$8="Single_Point",IF(178=$NQ$8,$NM$8,0),IF($NO$8="Bell_Curve",$NM$8*(178-$NQ$8+1)*($NR$8-178+1)/$NT$8,$NM$8/$NS$8)),0)</f>
        <v/>
      </c>
      <c r="FZ8" s="18">
        <f>IF(AND(179&gt;=$NQ$8,179&lt;=$NR$8),IF($NO$8="Single_Point",IF(179=$NQ$8,$NM$8,0),IF($NO$8="Bell_Curve",$NM$8*(179-$NQ$8+1)*($NR$8-179+1)/$NT$8,$NM$8/$NS$8)),0)</f>
        <v/>
      </c>
      <c r="GA8" s="18">
        <f>IF(AND(180&gt;=$NQ$8,180&lt;=$NR$8),IF($NO$8="Single_Point",IF(180=$NQ$8,$NM$8,0),IF($NO$8="Bell_Curve",$NM$8*(180-$NQ$8+1)*($NR$8-180+1)/$NT$8,$NM$8/$NS$8)),0)</f>
        <v/>
      </c>
      <c r="GB8" s="18">
        <f>IF(AND(181&gt;=$NQ$8,181&lt;=$NR$8),IF($NO$8="Single_Point",IF(181=$NQ$8,$NM$8,0),IF($NO$8="Bell_Curve",$NM$8*(181-$NQ$8+1)*($NR$8-181+1)/$NT$8,$NM$8/$NS$8)),0)</f>
        <v/>
      </c>
      <c r="GC8" s="18">
        <f>IF(AND(182&gt;=$NQ$8,182&lt;=$NR$8),IF($NO$8="Single_Point",IF(182=$NQ$8,$NM$8,0),IF($NO$8="Bell_Curve",$NM$8*(182-$NQ$8+1)*($NR$8-182+1)/$NT$8,$NM$8/$NS$8)),0)</f>
        <v/>
      </c>
      <c r="GD8" s="18">
        <f>IF(AND(183&gt;=$NQ$8,183&lt;=$NR$8),IF($NO$8="Single_Point",IF(183=$NQ$8,$NM$8,0),IF($NO$8="Bell_Curve",$NM$8*(183-$NQ$8+1)*($NR$8-183+1)/$NT$8,$NM$8/$NS$8)),0)</f>
        <v/>
      </c>
      <c r="GE8" s="18">
        <f>IF(AND(184&gt;=$NQ$8,184&lt;=$NR$8),IF($NO$8="Single_Point",IF(184=$NQ$8,$NM$8,0),IF($NO$8="Bell_Curve",$NM$8*(184-$NQ$8+1)*($NR$8-184+1)/$NT$8,$NM$8/$NS$8)),0)</f>
        <v/>
      </c>
      <c r="GF8" s="18">
        <f>IF(AND(185&gt;=$NQ$8,185&lt;=$NR$8),IF($NO$8="Single_Point",IF(185=$NQ$8,$NM$8,0),IF($NO$8="Bell_Curve",$NM$8*(185-$NQ$8+1)*($NR$8-185+1)/$NT$8,$NM$8/$NS$8)),0)</f>
        <v/>
      </c>
      <c r="GG8" s="18">
        <f>IF(AND(186&gt;=$NQ$8,186&lt;=$NR$8),IF($NO$8="Single_Point",IF(186=$NQ$8,$NM$8,0),IF($NO$8="Bell_Curve",$NM$8*(186-$NQ$8+1)*($NR$8-186+1)/$NT$8,$NM$8/$NS$8)),0)</f>
        <v/>
      </c>
      <c r="GH8" s="18">
        <f>IF(AND(187&gt;=$NQ$8,187&lt;=$NR$8),IF($NO$8="Single_Point",IF(187=$NQ$8,$NM$8,0),IF($NO$8="Bell_Curve",$NM$8*(187-$NQ$8+1)*($NR$8-187+1)/$NT$8,$NM$8/$NS$8)),0)</f>
        <v/>
      </c>
      <c r="GI8" s="18">
        <f>IF(AND(188&gt;=$NQ$8,188&lt;=$NR$8),IF($NO$8="Single_Point",IF(188=$NQ$8,$NM$8,0),IF($NO$8="Bell_Curve",$NM$8*(188-$NQ$8+1)*($NR$8-188+1)/$NT$8,$NM$8/$NS$8)),0)</f>
        <v/>
      </c>
      <c r="GJ8" s="18">
        <f>IF(AND(189&gt;=$NQ$8,189&lt;=$NR$8),IF($NO$8="Single_Point",IF(189=$NQ$8,$NM$8,0),IF($NO$8="Bell_Curve",$NM$8*(189-$NQ$8+1)*($NR$8-189+1)/$NT$8,$NM$8/$NS$8)),0)</f>
        <v/>
      </c>
      <c r="GK8" s="18">
        <f>IF(AND(190&gt;=$NQ$8,190&lt;=$NR$8),IF($NO$8="Single_Point",IF(190=$NQ$8,$NM$8,0),IF($NO$8="Bell_Curve",$NM$8*(190-$NQ$8+1)*($NR$8-190+1)/$NT$8,$NM$8/$NS$8)),0)</f>
        <v/>
      </c>
      <c r="GL8" s="18">
        <f>IF(AND(191&gt;=$NQ$8,191&lt;=$NR$8),IF($NO$8="Single_Point",IF(191=$NQ$8,$NM$8,0),IF($NO$8="Bell_Curve",$NM$8*(191-$NQ$8+1)*($NR$8-191+1)/$NT$8,$NM$8/$NS$8)),0)</f>
        <v/>
      </c>
      <c r="GM8" s="18">
        <f>IF(AND(192&gt;=$NQ$8,192&lt;=$NR$8),IF($NO$8="Single_Point",IF(192=$NQ$8,$NM$8,0),IF($NO$8="Bell_Curve",$NM$8*(192-$NQ$8+1)*($NR$8-192+1)/$NT$8,$NM$8/$NS$8)),0)</f>
        <v/>
      </c>
      <c r="GN8" s="18">
        <f>IF(AND(193&gt;=$NQ$8,193&lt;=$NR$8),IF($NO$8="Single_Point",IF(193=$NQ$8,$NM$8,0),IF($NO$8="Bell_Curve",$NM$8*(193-$NQ$8+1)*($NR$8-193+1)/$NT$8,$NM$8/$NS$8)),0)</f>
        <v/>
      </c>
      <c r="GO8" s="18">
        <f>IF(AND(194&gt;=$NQ$8,194&lt;=$NR$8),IF($NO$8="Single_Point",IF(194=$NQ$8,$NM$8,0),IF($NO$8="Bell_Curve",$NM$8*(194-$NQ$8+1)*($NR$8-194+1)/$NT$8,$NM$8/$NS$8)),0)</f>
        <v/>
      </c>
      <c r="GP8" s="18">
        <f>IF(AND(195&gt;=$NQ$8,195&lt;=$NR$8),IF($NO$8="Single_Point",IF(195=$NQ$8,$NM$8,0),IF($NO$8="Bell_Curve",$NM$8*(195-$NQ$8+1)*($NR$8-195+1)/$NT$8,$NM$8/$NS$8)),0)</f>
        <v/>
      </c>
      <c r="GQ8" s="18">
        <f>IF(AND(196&gt;=$NQ$8,196&lt;=$NR$8),IF($NO$8="Single_Point",IF(196=$NQ$8,$NM$8,0),IF($NO$8="Bell_Curve",$NM$8*(196-$NQ$8+1)*($NR$8-196+1)/$NT$8,$NM$8/$NS$8)),0)</f>
        <v/>
      </c>
      <c r="GR8" s="18">
        <f>IF(AND(197&gt;=$NQ$8,197&lt;=$NR$8),IF($NO$8="Single_Point",IF(197=$NQ$8,$NM$8,0),IF($NO$8="Bell_Curve",$NM$8*(197-$NQ$8+1)*($NR$8-197+1)/$NT$8,$NM$8/$NS$8)),0)</f>
        <v/>
      </c>
      <c r="GS8" s="18">
        <f>IF(AND(198&gt;=$NQ$8,198&lt;=$NR$8),IF($NO$8="Single_Point",IF(198=$NQ$8,$NM$8,0),IF($NO$8="Bell_Curve",$NM$8*(198-$NQ$8+1)*($NR$8-198+1)/$NT$8,$NM$8/$NS$8)),0)</f>
        <v/>
      </c>
      <c r="GT8" s="18">
        <f>IF(AND(199&gt;=$NQ$8,199&lt;=$NR$8),IF($NO$8="Single_Point",IF(199=$NQ$8,$NM$8,0),IF($NO$8="Bell_Curve",$NM$8*(199-$NQ$8+1)*($NR$8-199+1)/$NT$8,$NM$8/$NS$8)),0)</f>
        <v/>
      </c>
      <c r="GU8" s="18">
        <f>IF(AND(200&gt;=$NQ$8,200&lt;=$NR$8),IF($NO$8="Single_Point",IF(200=$NQ$8,$NM$8,0),IF($NO$8="Bell_Curve",$NM$8*(200-$NQ$8+1)*($NR$8-200+1)/$NT$8,$NM$8/$NS$8)),0)</f>
        <v/>
      </c>
      <c r="GV8" s="18">
        <f>IF(AND(201&gt;=$NQ$8,201&lt;=$NR$8),IF($NO$8="Single_Point",IF(201=$NQ$8,$NM$8,0),IF($NO$8="Bell_Curve",$NM$8*(201-$NQ$8+1)*($NR$8-201+1)/$NT$8,$NM$8/$NS$8)),0)</f>
        <v/>
      </c>
      <c r="GW8" s="18">
        <f>IF(AND(202&gt;=$NQ$8,202&lt;=$NR$8),IF($NO$8="Single_Point",IF(202=$NQ$8,$NM$8,0),IF($NO$8="Bell_Curve",$NM$8*(202-$NQ$8+1)*($NR$8-202+1)/$NT$8,$NM$8/$NS$8)),0)</f>
        <v/>
      </c>
      <c r="GX8" s="18">
        <f>IF(AND(203&gt;=$NQ$8,203&lt;=$NR$8),IF($NO$8="Single_Point",IF(203=$NQ$8,$NM$8,0),IF($NO$8="Bell_Curve",$NM$8*(203-$NQ$8+1)*($NR$8-203+1)/$NT$8,$NM$8/$NS$8)),0)</f>
        <v/>
      </c>
      <c r="GY8" s="18">
        <f>IF(AND(204&gt;=$NQ$8,204&lt;=$NR$8),IF($NO$8="Single_Point",IF(204=$NQ$8,$NM$8,0),IF($NO$8="Bell_Curve",$NM$8*(204-$NQ$8+1)*($NR$8-204+1)/$NT$8,$NM$8/$NS$8)),0)</f>
        <v/>
      </c>
      <c r="GZ8" s="18">
        <f>IF(AND(205&gt;=$NQ$8,205&lt;=$NR$8),IF($NO$8="Single_Point",IF(205=$NQ$8,$NM$8,0),IF($NO$8="Bell_Curve",$NM$8*(205-$NQ$8+1)*($NR$8-205+1)/$NT$8,$NM$8/$NS$8)),0)</f>
        <v/>
      </c>
      <c r="HA8" s="18">
        <f>IF(AND(206&gt;=$NQ$8,206&lt;=$NR$8),IF($NO$8="Single_Point",IF(206=$NQ$8,$NM$8,0),IF($NO$8="Bell_Curve",$NM$8*(206-$NQ$8+1)*($NR$8-206+1)/$NT$8,$NM$8/$NS$8)),0)</f>
        <v/>
      </c>
      <c r="HB8" s="18">
        <f>IF(AND(207&gt;=$NQ$8,207&lt;=$NR$8),IF($NO$8="Single_Point",IF(207=$NQ$8,$NM$8,0),IF($NO$8="Bell_Curve",$NM$8*(207-$NQ$8+1)*($NR$8-207+1)/$NT$8,$NM$8/$NS$8)),0)</f>
        <v/>
      </c>
      <c r="HC8" s="18">
        <f>IF(AND(208&gt;=$NQ$8,208&lt;=$NR$8),IF($NO$8="Single_Point",IF(208=$NQ$8,$NM$8,0),IF($NO$8="Bell_Curve",$NM$8*(208-$NQ$8+1)*($NR$8-208+1)/$NT$8,$NM$8/$NS$8)),0)</f>
        <v/>
      </c>
      <c r="HD8" s="18">
        <f>IF(AND(209&gt;=$NQ$8,209&lt;=$NR$8),IF($NO$8="Single_Point",IF(209=$NQ$8,$NM$8,0),IF($NO$8="Bell_Curve",$NM$8*(209-$NQ$8+1)*($NR$8-209+1)/$NT$8,$NM$8/$NS$8)),0)</f>
        <v/>
      </c>
      <c r="HE8" s="18">
        <f>IF(AND(210&gt;=$NQ$8,210&lt;=$NR$8),IF($NO$8="Single_Point",IF(210=$NQ$8,$NM$8,0),IF($NO$8="Bell_Curve",$NM$8*(210-$NQ$8+1)*($NR$8-210+1)/$NT$8,$NM$8/$NS$8)),0)</f>
        <v/>
      </c>
      <c r="HF8" s="18">
        <f>IF(AND(211&gt;=$NQ$8,211&lt;=$NR$8),IF($NO$8="Single_Point",IF(211=$NQ$8,$NM$8,0),IF($NO$8="Bell_Curve",$NM$8*(211-$NQ$8+1)*($NR$8-211+1)/$NT$8,$NM$8/$NS$8)),0)</f>
        <v/>
      </c>
      <c r="HG8" s="18">
        <f>IF(AND(212&gt;=$NQ$8,212&lt;=$NR$8),IF($NO$8="Single_Point",IF(212=$NQ$8,$NM$8,0),IF($NO$8="Bell_Curve",$NM$8*(212-$NQ$8+1)*($NR$8-212+1)/$NT$8,$NM$8/$NS$8)),0)</f>
        <v/>
      </c>
      <c r="HH8" s="18">
        <f>IF(AND(213&gt;=$NQ$8,213&lt;=$NR$8),IF($NO$8="Single_Point",IF(213=$NQ$8,$NM$8,0),IF($NO$8="Bell_Curve",$NM$8*(213-$NQ$8+1)*($NR$8-213+1)/$NT$8,$NM$8/$NS$8)),0)</f>
        <v/>
      </c>
      <c r="HI8" s="18">
        <f>IF(AND(214&gt;=$NQ$8,214&lt;=$NR$8),IF($NO$8="Single_Point",IF(214=$NQ$8,$NM$8,0),IF($NO$8="Bell_Curve",$NM$8*(214-$NQ$8+1)*($NR$8-214+1)/$NT$8,$NM$8/$NS$8)),0)</f>
        <v/>
      </c>
      <c r="HJ8" s="18">
        <f>IF(AND(215&gt;=$NQ$8,215&lt;=$NR$8),IF($NO$8="Single_Point",IF(215=$NQ$8,$NM$8,0),IF($NO$8="Bell_Curve",$NM$8*(215-$NQ$8+1)*($NR$8-215+1)/$NT$8,$NM$8/$NS$8)),0)</f>
        <v/>
      </c>
      <c r="HK8" s="18">
        <f>IF(AND(216&gt;=$NQ$8,216&lt;=$NR$8),IF($NO$8="Single_Point",IF(216=$NQ$8,$NM$8,0),IF($NO$8="Bell_Curve",$NM$8*(216-$NQ$8+1)*($NR$8-216+1)/$NT$8,$NM$8/$NS$8)),0)</f>
        <v/>
      </c>
      <c r="HL8" s="18">
        <f>IF(AND(217&gt;=$NQ$8,217&lt;=$NR$8),IF($NO$8="Single_Point",IF(217=$NQ$8,$NM$8,0),IF($NO$8="Bell_Curve",$NM$8*(217-$NQ$8+1)*($NR$8-217+1)/$NT$8,$NM$8/$NS$8)),0)</f>
        <v/>
      </c>
      <c r="HM8" s="18">
        <f>IF(AND(218&gt;=$NQ$8,218&lt;=$NR$8),IF($NO$8="Single_Point",IF(218=$NQ$8,$NM$8,0),IF($NO$8="Bell_Curve",$NM$8*(218-$NQ$8+1)*($NR$8-218+1)/$NT$8,$NM$8/$NS$8)),0)</f>
        <v/>
      </c>
      <c r="HN8" s="18">
        <f>IF(AND(219&gt;=$NQ$8,219&lt;=$NR$8),IF($NO$8="Single_Point",IF(219=$NQ$8,$NM$8,0),IF($NO$8="Bell_Curve",$NM$8*(219-$NQ$8+1)*($NR$8-219+1)/$NT$8,$NM$8/$NS$8)),0)</f>
        <v/>
      </c>
      <c r="HO8" s="18">
        <f>IF(AND(220&gt;=$NQ$8,220&lt;=$NR$8),IF($NO$8="Single_Point",IF(220=$NQ$8,$NM$8,0),IF($NO$8="Bell_Curve",$NM$8*(220-$NQ$8+1)*($NR$8-220+1)/$NT$8,$NM$8/$NS$8)),0)</f>
        <v/>
      </c>
      <c r="HP8" s="18">
        <f>IF(AND(221&gt;=$NQ$8,221&lt;=$NR$8),IF($NO$8="Single_Point",IF(221=$NQ$8,$NM$8,0),IF($NO$8="Bell_Curve",$NM$8*(221-$NQ$8+1)*($NR$8-221+1)/$NT$8,$NM$8/$NS$8)),0)</f>
        <v/>
      </c>
      <c r="HQ8" s="18">
        <f>IF(AND(222&gt;=$NQ$8,222&lt;=$NR$8),IF($NO$8="Single_Point",IF(222=$NQ$8,$NM$8,0),IF($NO$8="Bell_Curve",$NM$8*(222-$NQ$8+1)*($NR$8-222+1)/$NT$8,$NM$8/$NS$8)),0)</f>
        <v/>
      </c>
      <c r="HR8" s="18">
        <f>IF(AND(223&gt;=$NQ$8,223&lt;=$NR$8),IF($NO$8="Single_Point",IF(223=$NQ$8,$NM$8,0),IF($NO$8="Bell_Curve",$NM$8*(223-$NQ$8+1)*($NR$8-223+1)/$NT$8,$NM$8/$NS$8)),0)</f>
        <v/>
      </c>
      <c r="HS8" s="18">
        <f>IF(AND(224&gt;=$NQ$8,224&lt;=$NR$8),IF($NO$8="Single_Point",IF(224=$NQ$8,$NM$8,0),IF($NO$8="Bell_Curve",$NM$8*(224-$NQ$8+1)*($NR$8-224+1)/$NT$8,$NM$8/$NS$8)),0)</f>
        <v/>
      </c>
      <c r="HT8" s="18">
        <f>IF(AND(225&gt;=$NQ$8,225&lt;=$NR$8),IF($NO$8="Single_Point",IF(225=$NQ$8,$NM$8,0),IF($NO$8="Bell_Curve",$NM$8*(225-$NQ$8+1)*($NR$8-225+1)/$NT$8,$NM$8/$NS$8)),0)</f>
        <v/>
      </c>
      <c r="HU8" s="18">
        <f>IF(AND(226&gt;=$NQ$8,226&lt;=$NR$8),IF($NO$8="Single_Point",IF(226=$NQ$8,$NM$8,0),IF($NO$8="Bell_Curve",$NM$8*(226-$NQ$8+1)*($NR$8-226+1)/$NT$8,$NM$8/$NS$8)),0)</f>
        <v/>
      </c>
      <c r="HV8" s="18">
        <f>IF(AND(227&gt;=$NQ$8,227&lt;=$NR$8),IF($NO$8="Single_Point",IF(227=$NQ$8,$NM$8,0),IF($NO$8="Bell_Curve",$NM$8*(227-$NQ$8+1)*($NR$8-227+1)/$NT$8,$NM$8/$NS$8)),0)</f>
        <v/>
      </c>
      <c r="HW8" s="18">
        <f>IF(AND(228&gt;=$NQ$8,228&lt;=$NR$8),IF($NO$8="Single_Point",IF(228=$NQ$8,$NM$8,0),IF($NO$8="Bell_Curve",$NM$8*(228-$NQ$8+1)*($NR$8-228+1)/$NT$8,$NM$8/$NS$8)),0)</f>
        <v/>
      </c>
      <c r="HX8" s="18">
        <f>IF(AND(229&gt;=$NQ$8,229&lt;=$NR$8),IF($NO$8="Single_Point",IF(229=$NQ$8,$NM$8,0),IF($NO$8="Bell_Curve",$NM$8*(229-$NQ$8+1)*($NR$8-229+1)/$NT$8,$NM$8/$NS$8)),0)</f>
        <v/>
      </c>
      <c r="HY8" s="18">
        <f>IF(AND(230&gt;=$NQ$8,230&lt;=$NR$8),IF($NO$8="Single_Point",IF(230=$NQ$8,$NM$8,0),IF($NO$8="Bell_Curve",$NM$8*(230-$NQ$8+1)*($NR$8-230+1)/$NT$8,$NM$8/$NS$8)),0)</f>
        <v/>
      </c>
      <c r="HZ8" s="18">
        <f>IF(AND(231&gt;=$NQ$8,231&lt;=$NR$8),IF($NO$8="Single_Point",IF(231=$NQ$8,$NM$8,0),IF($NO$8="Bell_Curve",$NM$8*(231-$NQ$8+1)*($NR$8-231+1)/$NT$8,$NM$8/$NS$8)),0)</f>
        <v/>
      </c>
      <c r="IA8" s="18">
        <f>IF(AND(232&gt;=$NQ$8,232&lt;=$NR$8),IF($NO$8="Single_Point",IF(232=$NQ$8,$NM$8,0),IF($NO$8="Bell_Curve",$NM$8*(232-$NQ$8+1)*($NR$8-232+1)/$NT$8,$NM$8/$NS$8)),0)</f>
        <v/>
      </c>
      <c r="IB8" s="18">
        <f>IF(AND(233&gt;=$NQ$8,233&lt;=$NR$8),IF($NO$8="Single_Point",IF(233=$NQ$8,$NM$8,0),IF($NO$8="Bell_Curve",$NM$8*(233-$NQ$8+1)*($NR$8-233+1)/$NT$8,$NM$8/$NS$8)),0)</f>
        <v/>
      </c>
      <c r="IC8" s="18">
        <f>IF(AND(234&gt;=$NQ$8,234&lt;=$NR$8),IF($NO$8="Single_Point",IF(234=$NQ$8,$NM$8,0),IF($NO$8="Bell_Curve",$NM$8*(234-$NQ$8+1)*($NR$8-234+1)/$NT$8,$NM$8/$NS$8)),0)</f>
        <v/>
      </c>
      <c r="ID8" s="18">
        <f>IF(AND(235&gt;=$NQ$8,235&lt;=$NR$8),IF($NO$8="Single_Point",IF(235=$NQ$8,$NM$8,0),IF($NO$8="Bell_Curve",$NM$8*(235-$NQ$8+1)*($NR$8-235+1)/$NT$8,$NM$8/$NS$8)),0)</f>
        <v/>
      </c>
      <c r="IE8" s="18">
        <f>IF(AND(236&gt;=$NQ$8,236&lt;=$NR$8),IF($NO$8="Single_Point",IF(236=$NQ$8,$NM$8,0),IF($NO$8="Bell_Curve",$NM$8*(236-$NQ$8+1)*($NR$8-236+1)/$NT$8,$NM$8/$NS$8)),0)</f>
        <v/>
      </c>
      <c r="IF8" s="18">
        <f>IF(AND(237&gt;=$NQ$8,237&lt;=$NR$8),IF($NO$8="Single_Point",IF(237=$NQ$8,$NM$8,0),IF($NO$8="Bell_Curve",$NM$8*(237-$NQ$8+1)*($NR$8-237+1)/$NT$8,$NM$8/$NS$8)),0)</f>
        <v/>
      </c>
      <c r="IG8" s="18">
        <f>IF(AND(238&gt;=$NQ$8,238&lt;=$NR$8),IF($NO$8="Single_Point",IF(238=$NQ$8,$NM$8,0),IF($NO$8="Bell_Curve",$NM$8*(238-$NQ$8+1)*($NR$8-238+1)/$NT$8,$NM$8/$NS$8)),0)</f>
        <v/>
      </c>
      <c r="IH8" s="18">
        <f>IF(AND(239&gt;=$NQ$8,239&lt;=$NR$8),IF($NO$8="Single_Point",IF(239=$NQ$8,$NM$8,0),IF($NO$8="Bell_Curve",$NM$8*(239-$NQ$8+1)*($NR$8-239+1)/$NT$8,$NM$8/$NS$8)),0)</f>
        <v/>
      </c>
      <c r="II8" s="18">
        <f>IF(AND(240&gt;=$NQ$8,240&lt;=$NR$8),IF($NO$8="Single_Point",IF(240=$NQ$8,$NM$8,0),IF($NO$8="Bell_Curve",$NM$8*(240-$NQ$8+1)*($NR$8-240+1)/$NT$8,$NM$8/$NS$8)),0)</f>
        <v/>
      </c>
      <c r="IJ8" s="18">
        <f>IF(AND(241&gt;=$NQ$8,241&lt;=$NR$8),IF($NO$8="Single_Point",IF(241=$NQ$8,$NM$8,0),IF($NO$8="Bell_Curve",$NM$8*(241-$NQ$8+1)*($NR$8-241+1)/$NT$8,$NM$8/$NS$8)),0)</f>
        <v/>
      </c>
      <c r="IK8" s="18">
        <f>IF(AND(242&gt;=$NQ$8,242&lt;=$NR$8),IF($NO$8="Single_Point",IF(242=$NQ$8,$NM$8,0),IF($NO$8="Bell_Curve",$NM$8*(242-$NQ$8+1)*($NR$8-242+1)/$NT$8,$NM$8/$NS$8)),0)</f>
        <v/>
      </c>
      <c r="IL8" s="18">
        <f>IF(AND(243&gt;=$NQ$8,243&lt;=$NR$8),IF($NO$8="Single_Point",IF(243=$NQ$8,$NM$8,0),IF($NO$8="Bell_Curve",$NM$8*(243-$NQ$8+1)*($NR$8-243+1)/$NT$8,$NM$8/$NS$8)),0)</f>
        <v/>
      </c>
      <c r="IM8" s="18">
        <f>IF(AND(244&gt;=$NQ$8,244&lt;=$NR$8),IF($NO$8="Single_Point",IF(244=$NQ$8,$NM$8,0),IF($NO$8="Bell_Curve",$NM$8*(244-$NQ$8+1)*($NR$8-244+1)/$NT$8,$NM$8/$NS$8)),0)</f>
        <v/>
      </c>
      <c r="IN8" s="18">
        <f>IF(AND(245&gt;=$NQ$8,245&lt;=$NR$8),IF($NO$8="Single_Point",IF(245=$NQ$8,$NM$8,0),IF($NO$8="Bell_Curve",$NM$8*(245-$NQ$8+1)*($NR$8-245+1)/$NT$8,$NM$8/$NS$8)),0)</f>
        <v/>
      </c>
      <c r="IO8" s="18">
        <f>IF(AND(246&gt;=$NQ$8,246&lt;=$NR$8),IF($NO$8="Single_Point",IF(246=$NQ$8,$NM$8,0),IF($NO$8="Bell_Curve",$NM$8*(246-$NQ$8+1)*($NR$8-246+1)/$NT$8,$NM$8/$NS$8)),0)</f>
        <v/>
      </c>
      <c r="IP8" s="18">
        <f>IF(AND(247&gt;=$NQ$8,247&lt;=$NR$8),IF($NO$8="Single_Point",IF(247=$NQ$8,$NM$8,0),IF($NO$8="Bell_Curve",$NM$8*(247-$NQ$8+1)*($NR$8-247+1)/$NT$8,$NM$8/$NS$8)),0)</f>
        <v/>
      </c>
      <c r="IQ8" s="18">
        <f>IF(AND(248&gt;=$NQ$8,248&lt;=$NR$8),IF($NO$8="Single_Point",IF(248=$NQ$8,$NM$8,0),IF($NO$8="Bell_Curve",$NM$8*(248-$NQ$8+1)*($NR$8-248+1)/$NT$8,$NM$8/$NS$8)),0)</f>
        <v/>
      </c>
      <c r="IR8" s="18">
        <f>IF(AND(249&gt;=$NQ$8,249&lt;=$NR$8),IF($NO$8="Single_Point",IF(249=$NQ$8,$NM$8,0),IF($NO$8="Bell_Curve",$NM$8*(249-$NQ$8+1)*($NR$8-249+1)/$NT$8,$NM$8/$NS$8)),0)</f>
        <v/>
      </c>
      <c r="IS8" s="18">
        <f>IF(AND(250&gt;=$NQ$8,250&lt;=$NR$8),IF($NO$8="Single_Point",IF(250=$NQ$8,$NM$8,0),IF($NO$8="Bell_Curve",$NM$8*(250-$NQ$8+1)*($NR$8-250+1)/$NT$8,$NM$8/$NS$8)),0)</f>
        <v/>
      </c>
      <c r="IT8" s="18">
        <f>IF(AND(251&gt;=$NQ$8,251&lt;=$NR$8),IF($NO$8="Single_Point",IF(251=$NQ$8,$NM$8,0),IF($NO$8="Bell_Curve",$NM$8*(251-$NQ$8+1)*($NR$8-251+1)/$NT$8,$NM$8/$NS$8)),0)</f>
        <v/>
      </c>
      <c r="IU8" s="18">
        <f>IF(AND(252&gt;=$NQ$8,252&lt;=$NR$8),IF($NO$8="Single_Point",IF(252=$NQ$8,$NM$8,0),IF($NO$8="Bell_Curve",$NM$8*(252-$NQ$8+1)*($NR$8-252+1)/$NT$8,$NM$8/$NS$8)),0)</f>
        <v/>
      </c>
      <c r="IV8" s="18">
        <f>IF(AND(253&gt;=$NQ$8,253&lt;=$NR$8),IF($NO$8="Single_Point",IF(253=$NQ$8,$NM$8,0),IF($NO$8="Bell_Curve",$NM$8*(253-$NQ$8+1)*($NR$8-253+1)/$NT$8,$NM$8/$NS$8)),0)</f>
        <v/>
      </c>
      <c r="IW8" s="18">
        <f>IF(AND(254&gt;=$NQ$8,254&lt;=$NR$8),IF($NO$8="Single_Point",IF(254=$NQ$8,$NM$8,0),IF($NO$8="Bell_Curve",$NM$8*(254-$NQ$8+1)*($NR$8-254+1)/$NT$8,$NM$8/$NS$8)),0)</f>
        <v/>
      </c>
      <c r="IX8" s="18">
        <f>IF(AND(255&gt;=$NQ$8,255&lt;=$NR$8),IF($NO$8="Single_Point",IF(255=$NQ$8,$NM$8,0),IF($NO$8="Bell_Curve",$NM$8*(255-$NQ$8+1)*($NR$8-255+1)/$NT$8,$NM$8/$NS$8)),0)</f>
        <v/>
      </c>
      <c r="IY8" s="18">
        <f>IF(AND(256&gt;=$NQ$8,256&lt;=$NR$8),IF($NO$8="Single_Point",IF(256=$NQ$8,$NM$8,0),IF($NO$8="Bell_Curve",$NM$8*(256-$NQ$8+1)*($NR$8-256+1)/$NT$8,$NM$8/$NS$8)),0)</f>
        <v/>
      </c>
      <c r="IZ8" s="18">
        <f>IF(AND(257&gt;=$NQ$8,257&lt;=$NR$8),IF($NO$8="Single_Point",IF(257=$NQ$8,$NM$8,0),IF($NO$8="Bell_Curve",$NM$8*(257-$NQ$8+1)*($NR$8-257+1)/$NT$8,$NM$8/$NS$8)),0)</f>
        <v/>
      </c>
      <c r="JA8" s="18">
        <f>IF(AND(258&gt;=$NQ$8,258&lt;=$NR$8),IF($NO$8="Single_Point",IF(258=$NQ$8,$NM$8,0),IF($NO$8="Bell_Curve",$NM$8*(258-$NQ$8+1)*($NR$8-258+1)/$NT$8,$NM$8/$NS$8)),0)</f>
        <v/>
      </c>
      <c r="JB8" s="18">
        <f>IF(AND(259&gt;=$NQ$8,259&lt;=$NR$8),IF($NO$8="Single_Point",IF(259=$NQ$8,$NM$8,0),IF($NO$8="Bell_Curve",$NM$8*(259-$NQ$8+1)*($NR$8-259+1)/$NT$8,$NM$8/$NS$8)),0)</f>
        <v/>
      </c>
      <c r="JC8" s="18">
        <f>IF(AND(260&gt;=$NQ$8,260&lt;=$NR$8),IF($NO$8="Single_Point",IF(260=$NQ$8,$NM$8,0),IF($NO$8="Bell_Curve",$NM$8*(260-$NQ$8+1)*($NR$8-260+1)/$NT$8,$NM$8/$NS$8)),0)</f>
        <v/>
      </c>
      <c r="JD8" s="18">
        <f>IF(AND(261&gt;=$NQ$8,261&lt;=$NR$8),IF($NO$8="Single_Point",IF(261=$NQ$8,$NM$8,0),IF($NO$8="Bell_Curve",$NM$8*(261-$NQ$8+1)*($NR$8-261+1)/$NT$8,$NM$8/$NS$8)),0)</f>
        <v/>
      </c>
      <c r="JE8" s="18">
        <f>IF(AND(262&gt;=$NQ$8,262&lt;=$NR$8),IF($NO$8="Single_Point",IF(262=$NQ$8,$NM$8,0),IF($NO$8="Bell_Curve",$NM$8*(262-$NQ$8+1)*($NR$8-262+1)/$NT$8,$NM$8/$NS$8)),0)</f>
        <v/>
      </c>
      <c r="JF8" s="18">
        <f>IF(AND(263&gt;=$NQ$8,263&lt;=$NR$8),IF($NO$8="Single_Point",IF(263=$NQ$8,$NM$8,0),IF($NO$8="Bell_Curve",$NM$8*(263-$NQ$8+1)*($NR$8-263+1)/$NT$8,$NM$8/$NS$8)),0)</f>
        <v/>
      </c>
      <c r="JG8" s="18">
        <f>IF(AND(264&gt;=$NQ$8,264&lt;=$NR$8),IF($NO$8="Single_Point",IF(264=$NQ$8,$NM$8,0),IF($NO$8="Bell_Curve",$NM$8*(264-$NQ$8+1)*($NR$8-264+1)/$NT$8,$NM$8/$NS$8)),0)</f>
        <v/>
      </c>
      <c r="JH8" s="18">
        <f>IF(AND(265&gt;=$NQ$8,265&lt;=$NR$8),IF($NO$8="Single_Point",IF(265=$NQ$8,$NM$8,0),IF($NO$8="Bell_Curve",$NM$8*(265-$NQ$8+1)*($NR$8-265+1)/$NT$8,$NM$8/$NS$8)),0)</f>
        <v/>
      </c>
      <c r="JI8" s="18">
        <f>IF(AND(266&gt;=$NQ$8,266&lt;=$NR$8),IF($NO$8="Single_Point",IF(266=$NQ$8,$NM$8,0),IF($NO$8="Bell_Curve",$NM$8*(266-$NQ$8+1)*($NR$8-266+1)/$NT$8,$NM$8/$NS$8)),0)</f>
        <v/>
      </c>
      <c r="JJ8" s="18">
        <f>IF(AND(267&gt;=$NQ$8,267&lt;=$NR$8),IF($NO$8="Single_Point",IF(267=$NQ$8,$NM$8,0),IF($NO$8="Bell_Curve",$NM$8*(267-$NQ$8+1)*($NR$8-267+1)/$NT$8,$NM$8/$NS$8)),0)</f>
        <v/>
      </c>
      <c r="JK8" s="18">
        <f>IF(AND(268&gt;=$NQ$8,268&lt;=$NR$8),IF($NO$8="Single_Point",IF(268=$NQ$8,$NM$8,0),IF($NO$8="Bell_Curve",$NM$8*(268-$NQ$8+1)*($NR$8-268+1)/$NT$8,$NM$8/$NS$8)),0)</f>
        <v/>
      </c>
      <c r="JL8" s="18">
        <f>IF(AND(269&gt;=$NQ$8,269&lt;=$NR$8),IF($NO$8="Single_Point",IF(269=$NQ$8,$NM$8,0),IF($NO$8="Bell_Curve",$NM$8*(269-$NQ$8+1)*($NR$8-269+1)/$NT$8,$NM$8/$NS$8)),0)</f>
        <v/>
      </c>
      <c r="JM8" s="18">
        <f>IF(AND(270&gt;=$NQ$8,270&lt;=$NR$8),IF($NO$8="Single_Point",IF(270=$NQ$8,$NM$8,0),IF($NO$8="Bell_Curve",$NM$8*(270-$NQ$8+1)*($NR$8-270+1)/$NT$8,$NM$8/$NS$8)),0)</f>
        <v/>
      </c>
      <c r="JN8" s="18">
        <f>IF(AND(271&gt;=$NQ$8,271&lt;=$NR$8),IF($NO$8="Single_Point",IF(271=$NQ$8,$NM$8,0),IF($NO$8="Bell_Curve",$NM$8*(271-$NQ$8+1)*($NR$8-271+1)/$NT$8,$NM$8/$NS$8)),0)</f>
        <v/>
      </c>
      <c r="JO8" s="18">
        <f>IF(AND(272&gt;=$NQ$8,272&lt;=$NR$8),IF($NO$8="Single_Point",IF(272=$NQ$8,$NM$8,0),IF($NO$8="Bell_Curve",$NM$8*(272-$NQ$8+1)*($NR$8-272+1)/$NT$8,$NM$8/$NS$8)),0)</f>
        <v/>
      </c>
      <c r="JP8" s="18">
        <f>IF(AND(273&gt;=$NQ$8,273&lt;=$NR$8),IF($NO$8="Single_Point",IF(273=$NQ$8,$NM$8,0),IF($NO$8="Bell_Curve",$NM$8*(273-$NQ$8+1)*($NR$8-273+1)/$NT$8,$NM$8/$NS$8)),0)</f>
        <v/>
      </c>
      <c r="JQ8" s="18">
        <f>IF(AND(274&gt;=$NQ$8,274&lt;=$NR$8),IF($NO$8="Single_Point",IF(274=$NQ$8,$NM$8,0),IF($NO$8="Bell_Curve",$NM$8*(274-$NQ$8+1)*($NR$8-274+1)/$NT$8,$NM$8/$NS$8)),0)</f>
        <v/>
      </c>
      <c r="JR8" s="18">
        <f>IF(AND(275&gt;=$NQ$8,275&lt;=$NR$8),IF($NO$8="Single_Point",IF(275=$NQ$8,$NM$8,0),IF($NO$8="Bell_Curve",$NM$8*(275-$NQ$8+1)*($NR$8-275+1)/$NT$8,$NM$8/$NS$8)),0)</f>
        <v/>
      </c>
      <c r="JS8" s="18">
        <f>IF(AND(276&gt;=$NQ$8,276&lt;=$NR$8),IF($NO$8="Single_Point",IF(276=$NQ$8,$NM$8,0),IF($NO$8="Bell_Curve",$NM$8*(276-$NQ$8+1)*($NR$8-276+1)/$NT$8,$NM$8/$NS$8)),0)</f>
        <v/>
      </c>
      <c r="JT8" s="18">
        <f>IF(AND(277&gt;=$NQ$8,277&lt;=$NR$8),IF($NO$8="Single_Point",IF(277=$NQ$8,$NM$8,0),IF($NO$8="Bell_Curve",$NM$8*(277-$NQ$8+1)*($NR$8-277+1)/$NT$8,$NM$8/$NS$8)),0)</f>
        <v/>
      </c>
      <c r="JU8" s="18">
        <f>IF(AND(278&gt;=$NQ$8,278&lt;=$NR$8),IF($NO$8="Single_Point",IF(278=$NQ$8,$NM$8,0),IF($NO$8="Bell_Curve",$NM$8*(278-$NQ$8+1)*($NR$8-278+1)/$NT$8,$NM$8/$NS$8)),0)</f>
        <v/>
      </c>
      <c r="JV8" s="18">
        <f>IF(AND(279&gt;=$NQ$8,279&lt;=$NR$8),IF($NO$8="Single_Point",IF(279=$NQ$8,$NM$8,0),IF($NO$8="Bell_Curve",$NM$8*(279-$NQ$8+1)*($NR$8-279+1)/$NT$8,$NM$8/$NS$8)),0)</f>
        <v/>
      </c>
      <c r="JW8" s="18">
        <f>IF(AND(280&gt;=$NQ$8,280&lt;=$NR$8),IF($NO$8="Single_Point",IF(280=$NQ$8,$NM$8,0),IF($NO$8="Bell_Curve",$NM$8*(280-$NQ$8+1)*($NR$8-280+1)/$NT$8,$NM$8/$NS$8)),0)</f>
        <v/>
      </c>
      <c r="JX8" s="18">
        <f>IF(AND(281&gt;=$NQ$8,281&lt;=$NR$8),IF($NO$8="Single_Point",IF(281=$NQ$8,$NM$8,0),IF($NO$8="Bell_Curve",$NM$8*(281-$NQ$8+1)*($NR$8-281+1)/$NT$8,$NM$8/$NS$8)),0)</f>
        <v/>
      </c>
      <c r="JY8" s="18">
        <f>IF(AND(282&gt;=$NQ$8,282&lt;=$NR$8),IF($NO$8="Single_Point",IF(282=$NQ$8,$NM$8,0),IF($NO$8="Bell_Curve",$NM$8*(282-$NQ$8+1)*($NR$8-282+1)/$NT$8,$NM$8/$NS$8)),0)</f>
        <v/>
      </c>
      <c r="JZ8" s="18">
        <f>IF(AND(283&gt;=$NQ$8,283&lt;=$NR$8),IF($NO$8="Single_Point",IF(283=$NQ$8,$NM$8,0),IF($NO$8="Bell_Curve",$NM$8*(283-$NQ$8+1)*($NR$8-283+1)/$NT$8,$NM$8/$NS$8)),0)</f>
        <v/>
      </c>
      <c r="KA8" s="18">
        <f>IF(AND(284&gt;=$NQ$8,284&lt;=$NR$8),IF($NO$8="Single_Point",IF(284=$NQ$8,$NM$8,0),IF($NO$8="Bell_Curve",$NM$8*(284-$NQ$8+1)*($NR$8-284+1)/$NT$8,$NM$8/$NS$8)),0)</f>
        <v/>
      </c>
      <c r="KB8" s="18">
        <f>IF(AND(285&gt;=$NQ$8,285&lt;=$NR$8),IF($NO$8="Single_Point",IF(285=$NQ$8,$NM$8,0),IF($NO$8="Bell_Curve",$NM$8*(285-$NQ$8+1)*($NR$8-285+1)/$NT$8,$NM$8/$NS$8)),0)</f>
        <v/>
      </c>
      <c r="KC8" s="18">
        <f>IF(AND(286&gt;=$NQ$8,286&lt;=$NR$8),IF($NO$8="Single_Point",IF(286=$NQ$8,$NM$8,0),IF($NO$8="Bell_Curve",$NM$8*(286-$NQ$8+1)*($NR$8-286+1)/$NT$8,$NM$8/$NS$8)),0)</f>
        <v/>
      </c>
      <c r="KD8" s="18">
        <f>IF(AND(287&gt;=$NQ$8,287&lt;=$NR$8),IF($NO$8="Single_Point",IF(287=$NQ$8,$NM$8,0),IF($NO$8="Bell_Curve",$NM$8*(287-$NQ$8+1)*($NR$8-287+1)/$NT$8,$NM$8/$NS$8)),0)</f>
        <v/>
      </c>
      <c r="KE8" s="18">
        <f>IF(AND(288&gt;=$NQ$8,288&lt;=$NR$8),IF($NO$8="Single_Point",IF(288=$NQ$8,$NM$8,0),IF($NO$8="Bell_Curve",$NM$8*(288-$NQ$8+1)*($NR$8-288+1)/$NT$8,$NM$8/$NS$8)),0)</f>
        <v/>
      </c>
      <c r="KF8" s="18">
        <f>IF(AND(289&gt;=$NQ$8,289&lt;=$NR$8),IF($NO$8="Single_Point",IF(289=$NQ$8,$NM$8,0),IF($NO$8="Bell_Curve",$NM$8*(289-$NQ$8+1)*($NR$8-289+1)/$NT$8,$NM$8/$NS$8)),0)</f>
        <v/>
      </c>
      <c r="KG8" s="18">
        <f>IF(AND(290&gt;=$NQ$8,290&lt;=$NR$8),IF($NO$8="Single_Point",IF(290=$NQ$8,$NM$8,0),IF($NO$8="Bell_Curve",$NM$8*(290-$NQ$8+1)*($NR$8-290+1)/$NT$8,$NM$8/$NS$8)),0)</f>
        <v/>
      </c>
      <c r="KH8" s="18">
        <f>IF(AND(291&gt;=$NQ$8,291&lt;=$NR$8),IF($NO$8="Single_Point",IF(291=$NQ$8,$NM$8,0),IF($NO$8="Bell_Curve",$NM$8*(291-$NQ$8+1)*($NR$8-291+1)/$NT$8,$NM$8/$NS$8)),0)</f>
        <v/>
      </c>
      <c r="KI8" s="18">
        <f>IF(AND(292&gt;=$NQ$8,292&lt;=$NR$8),IF($NO$8="Single_Point",IF(292=$NQ$8,$NM$8,0),IF($NO$8="Bell_Curve",$NM$8*(292-$NQ$8+1)*($NR$8-292+1)/$NT$8,$NM$8/$NS$8)),0)</f>
        <v/>
      </c>
      <c r="KJ8" s="18">
        <f>IF(AND(293&gt;=$NQ$8,293&lt;=$NR$8),IF($NO$8="Single_Point",IF(293=$NQ$8,$NM$8,0),IF($NO$8="Bell_Curve",$NM$8*(293-$NQ$8+1)*($NR$8-293+1)/$NT$8,$NM$8/$NS$8)),0)</f>
        <v/>
      </c>
      <c r="KK8" s="18">
        <f>IF(AND(294&gt;=$NQ$8,294&lt;=$NR$8),IF($NO$8="Single_Point",IF(294=$NQ$8,$NM$8,0),IF($NO$8="Bell_Curve",$NM$8*(294-$NQ$8+1)*($NR$8-294+1)/$NT$8,$NM$8/$NS$8)),0)</f>
        <v/>
      </c>
      <c r="KL8" s="18">
        <f>IF(AND(295&gt;=$NQ$8,295&lt;=$NR$8),IF($NO$8="Single_Point",IF(295=$NQ$8,$NM$8,0),IF($NO$8="Bell_Curve",$NM$8*(295-$NQ$8+1)*($NR$8-295+1)/$NT$8,$NM$8/$NS$8)),0)</f>
        <v/>
      </c>
      <c r="KM8" s="18">
        <f>IF(AND(296&gt;=$NQ$8,296&lt;=$NR$8),IF($NO$8="Single_Point",IF(296=$NQ$8,$NM$8,0),IF($NO$8="Bell_Curve",$NM$8*(296-$NQ$8+1)*($NR$8-296+1)/$NT$8,$NM$8/$NS$8)),0)</f>
        <v/>
      </c>
      <c r="KN8" s="18">
        <f>IF(AND(297&gt;=$NQ$8,297&lt;=$NR$8),IF($NO$8="Single_Point",IF(297=$NQ$8,$NM$8,0),IF($NO$8="Bell_Curve",$NM$8*(297-$NQ$8+1)*($NR$8-297+1)/$NT$8,$NM$8/$NS$8)),0)</f>
        <v/>
      </c>
      <c r="KO8" s="18">
        <f>IF(AND(298&gt;=$NQ$8,298&lt;=$NR$8),IF($NO$8="Single_Point",IF(298=$NQ$8,$NM$8,0),IF($NO$8="Bell_Curve",$NM$8*(298-$NQ$8+1)*($NR$8-298+1)/$NT$8,$NM$8/$NS$8)),0)</f>
        <v/>
      </c>
      <c r="KP8" s="18">
        <f>IF(AND(299&gt;=$NQ$8,299&lt;=$NR$8),IF($NO$8="Single_Point",IF(299=$NQ$8,$NM$8,0),IF($NO$8="Bell_Curve",$NM$8*(299-$NQ$8+1)*($NR$8-299+1)/$NT$8,$NM$8/$NS$8)),0)</f>
        <v/>
      </c>
      <c r="KQ8" s="18">
        <f>IF(AND(300&gt;=$NQ$8,300&lt;=$NR$8),IF($NO$8="Single_Point",IF(300=$NQ$8,$NM$8,0),IF($NO$8="Bell_Curve",$NM$8*(300-$NQ$8+1)*($NR$8-300+1)/$NT$8,$NM$8/$NS$8)),0)</f>
        <v/>
      </c>
      <c r="KR8" s="18">
        <f>IF(AND(301&gt;=$NQ$8,301&lt;=$NR$8),IF($NO$8="Single_Point",IF(301=$NQ$8,$NM$8,0),IF($NO$8="Bell_Curve",$NM$8*(301-$NQ$8+1)*($NR$8-301+1)/$NT$8,$NM$8/$NS$8)),0)</f>
        <v/>
      </c>
      <c r="KS8" s="18">
        <f>IF(AND(302&gt;=$NQ$8,302&lt;=$NR$8),IF($NO$8="Single_Point",IF(302=$NQ$8,$NM$8,0),IF($NO$8="Bell_Curve",$NM$8*(302-$NQ$8+1)*($NR$8-302+1)/$NT$8,$NM$8/$NS$8)),0)</f>
        <v/>
      </c>
      <c r="KT8" s="18">
        <f>IF(AND(303&gt;=$NQ$8,303&lt;=$NR$8),IF($NO$8="Single_Point",IF(303=$NQ$8,$NM$8,0),IF($NO$8="Bell_Curve",$NM$8*(303-$NQ$8+1)*($NR$8-303+1)/$NT$8,$NM$8/$NS$8)),0)</f>
        <v/>
      </c>
      <c r="KU8" s="18">
        <f>IF(AND(304&gt;=$NQ$8,304&lt;=$NR$8),IF($NO$8="Single_Point",IF(304=$NQ$8,$NM$8,0),IF($NO$8="Bell_Curve",$NM$8*(304-$NQ$8+1)*($NR$8-304+1)/$NT$8,$NM$8/$NS$8)),0)</f>
        <v/>
      </c>
      <c r="KV8" s="18">
        <f>IF(AND(305&gt;=$NQ$8,305&lt;=$NR$8),IF($NO$8="Single_Point",IF(305=$NQ$8,$NM$8,0),IF($NO$8="Bell_Curve",$NM$8*(305-$NQ$8+1)*($NR$8-305+1)/$NT$8,$NM$8/$NS$8)),0)</f>
        <v/>
      </c>
      <c r="KW8" s="18">
        <f>IF(AND(306&gt;=$NQ$8,306&lt;=$NR$8),IF($NO$8="Single_Point",IF(306=$NQ$8,$NM$8,0),IF($NO$8="Bell_Curve",$NM$8*(306-$NQ$8+1)*($NR$8-306+1)/$NT$8,$NM$8/$NS$8)),0)</f>
        <v/>
      </c>
      <c r="KX8" s="18">
        <f>IF(AND(307&gt;=$NQ$8,307&lt;=$NR$8),IF($NO$8="Single_Point",IF(307=$NQ$8,$NM$8,0),IF($NO$8="Bell_Curve",$NM$8*(307-$NQ$8+1)*($NR$8-307+1)/$NT$8,$NM$8/$NS$8)),0)</f>
        <v/>
      </c>
      <c r="KY8" s="18">
        <f>IF(AND(308&gt;=$NQ$8,308&lt;=$NR$8),IF($NO$8="Single_Point",IF(308=$NQ$8,$NM$8,0),IF($NO$8="Bell_Curve",$NM$8*(308-$NQ$8+1)*($NR$8-308+1)/$NT$8,$NM$8/$NS$8)),0)</f>
        <v/>
      </c>
      <c r="KZ8" s="18">
        <f>IF(AND(309&gt;=$NQ$8,309&lt;=$NR$8),IF($NO$8="Single_Point",IF(309=$NQ$8,$NM$8,0),IF($NO$8="Bell_Curve",$NM$8*(309-$NQ$8+1)*($NR$8-309+1)/$NT$8,$NM$8/$NS$8)),0)</f>
        <v/>
      </c>
      <c r="LA8" s="18">
        <f>IF(AND(310&gt;=$NQ$8,310&lt;=$NR$8),IF($NO$8="Single_Point",IF(310=$NQ$8,$NM$8,0),IF($NO$8="Bell_Curve",$NM$8*(310-$NQ$8+1)*($NR$8-310+1)/$NT$8,$NM$8/$NS$8)),0)</f>
        <v/>
      </c>
      <c r="LB8" s="18">
        <f>IF(AND(311&gt;=$NQ$8,311&lt;=$NR$8),IF($NO$8="Single_Point",IF(311=$NQ$8,$NM$8,0),IF($NO$8="Bell_Curve",$NM$8*(311-$NQ$8+1)*($NR$8-311+1)/$NT$8,$NM$8/$NS$8)),0)</f>
        <v/>
      </c>
      <c r="LC8" s="18">
        <f>IF(AND(312&gt;=$NQ$8,312&lt;=$NR$8),IF($NO$8="Single_Point",IF(312=$NQ$8,$NM$8,0),IF($NO$8="Bell_Curve",$NM$8*(312-$NQ$8+1)*($NR$8-312+1)/$NT$8,$NM$8/$NS$8)),0)</f>
        <v/>
      </c>
      <c r="LD8" s="18">
        <f>IF(AND(313&gt;=$NQ$8,313&lt;=$NR$8),IF($NO$8="Single_Point",IF(313=$NQ$8,$NM$8,0),IF($NO$8="Bell_Curve",$NM$8*(313-$NQ$8+1)*($NR$8-313+1)/$NT$8,$NM$8/$NS$8)),0)</f>
        <v/>
      </c>
      <c r="LE8" s="18">
        <f>IF(AND(314&gt;=$NQ$8,314&lt;=$NR$8),IF($NO$8="Single_Point",IF(314=$NQ$8,$NM$8,0),IF($NO$8="Bell_Curve",$NM$8*(314-$NQ$8+1)*($NR$8-314+1)/$NT$8,$NM$8/$NS$8)),0)</f>
        <v/>
      </c>
      <c r="LF8" s="18">
        <f>IF(AND(315&gt;=$NQ$8,315&lt;=$NR$8),IF($NO$8="Single_Point",IF(315=$NQ$8,$NM$8,0),IF($NO$8="Bell_Curve",$NM$8*(315-$NQ$8+1)*($NR$8-315+1)/$NT$8,$NM$8/$NS$8)),0)</f>
        <v/>
      </c>
      <c r="LG8" s="18">
        <f>IF(AND(316&gt;=$NQ$8,316&lt;=$NR$8),IF($NO$8="Single_Point",IF(316=$NQ$8,$NM$8,0),IF($NO$8="Bell_Curve",$NM$8*(316-$NQ$8+1)*($NR$8-316+1)/$NT$8,$NM$8/$NS$8)),0)</f>
        <v/>
      </c>
      <c r="LH8" s="18">
        <f>IF(AND(317&gt;=$NQ$8,317&lt;=$NR$8),IF($NO$8="Single_Point",IF(317=$NQ$8,$NM$8,0),IF($NO$8="Bell_Curve",$NM$8*(317-$NQ$8+1)*($NR$8-317+1)/$NT$8,$NM$8/$NS$8)),0)</f>
        <v/>
      </c>
      <c r="LI8" s="18">
        <f>IF(AND(318&gt;=$NQ$8,318&lt;=$NR$8),IF($NO$8="Single_Point",IF(318=$NQ$8,$NM$8,0),IF($NO$8="Bell_Curve",$NM$8*(318-$NQ$8+1)*($NR$8-318+1)/$NT$8,$NM$8/$NS$8)),0)</f>
        <v/>
      </c>
      <c r="LJ8" s="18">
        <f>IF(AND(319&gt;=$NQ$8,319&lt;=$NR$8),IF($NO$8="Single_Point",IF(319=$NQ$8,$NM$8,0),IF($NO$8="Bell_Curve",$NM$8*(319-$NQ$8+1)*($NR$8-319+1)/$NT$8,$NM$8/$NS$8)),0)</f>
        <v/>
      </c>
      <c r="LK8" s="18">
        <f>IF(AND(320&gt;=$NQ$8,320&lt;=$NR$8),IF($NO$8="Single_Point",IF(320=$NQ$8,$NM$8,0),IF($NO$8="Bell_Curve",$NM$8*(320-$NQ$8+1)*($NR$8-320+1)/$NT$8,$NM$8/$NS$8)),0)</f>
        <v/>
      </c>
      <c r="LL8" s="18">
        <f>IF(AND(321&gt;=$NQ$8,321&lt;=$NR$8),IF($NO$8="Single_Point",IF(321=$NQ$8,$NM$8,0),IF($NO$8="Bell_Curve",$NM$8*(321-$NQ$8+1)*($NR$8-321+1)/$NT$8,$NM$8/$NS$8)),0)</f>
        <v/>
      </c>
      <c r="LM8" s="18">
        <f>IF(AND(322&gt;=$NQ$8,322&lt;=$NR$8),IF($NO$8="Single_Point",IF(322=$NQ$8,$NM$8,0),IF($NO$8="Bell_Curve",$NM$8*(322-$NQ$8+1)*($NR$8-322+1)/$NT$8,$NM$8/$NS$8)),0)</f>
        <v/>
      </c>
      <c r="LN8" s="18">
        <f>IF(AND(323&gt;=$NQ$8,323&lt;=$NR$8),IF($NO$8="Single_Point",IF(323=$NQ$8,$NM$8,0),IF($NO$8="Bell_Curve",$NM$8*(323-$NQ$8+1)*($NR$8-323+1)/$NT$8,$NM$8/$NS$8)),0)</f>
        <v/>
      </c>
      <c r="LO8" s="18">
        <f>IF(AND(324&gt;=$NQ$8,324&lt;=$NR$8),IF($NO$8="Single_Point",IF(324=$NQ$8,$NM$8,0),IF($NO$8="Bell_Curve",$NM$8*(324-$NQ$8+1)*($NR$8-324+1)/$NT$8,$NM$8/$NS$8)),0)</f>
        <v/>
      </c>
      <c r="LP8" s="18">
        <f>IF(AND(325&gt;=$NQ$8,325&lt;=$NR$8),IF($NO$8="Single_Point",IF(325=$NQ$8,$NM$8,0),IF($NO$8="Bell_Curve",$NM$8*(325-$NQ$8+1)*($NR$8-325+1)/$NT$8,$NM$8/$NS$8)),0)</f>
        <v/>
      </c>
      <c r="LQ8" s="18">
        <f>IF(AND(326&gt;=$NQ$8,326&lt;=$NR$8),IF($NO$8="Single_Point",IF(326=$NQ$8,$NM$8,0),IF($NO$8="Bell_Curve",$NM$8*(326-$NQ$8+1)*($NR$8-326+1)/$NT$8,$NM$8/$NS$8)),0)</f>
        <v/>
      </c>
      <c r="LR8" s="18">
        <f>IF(AND(327&gt;=$NQ$8,327&lt;=$NR$8),IF($NO$8="Single_Point",IF(327=$NQ$8,$NM$8,0),IF($NO$8="Bell_Curve",$NM$8*(327-$NQ$8+1)*($NR$8-327+1)/$NT$8,$NM$8/$NS$8)),0)</f>
        <v/>
      </c>
      <c r="LS8" s="18">
        <f>IF(AND(328&gt;=$NQ$8,328&lt;=$NR$8),IF($NO$8="Single_Point",IF(328=$NQ$8,$NM$8,0),IF($NO$8="Bell_Curve",$NM$8*(328-$NQ$8+1)*($NR$8-328+1)/$NT$8,$NM$8/$NS$8)),0)</f>
        <v/>
      </c>
      <c r="LT8" s="18">
        <f>IF(AND(329&gt;=$NQ$8,329&lt;=$NR$8),IF($NO$8="Single_Point",IF(329=$NQ$8,$NM$8,0),IF($NO$8="Bell_Curve",$NM$8*(329-$NQ$8+1)*($NR$8-329+1)/$NT$8,$NM$8/$NS$8)),0)</f>
        <v/>
      </c>
      <c r="LU8" s="18">
        <f>IF(AND(330&gt;=$NQ$8,330&lt;=$NR$8),IF($NO$8="Single_Point",IF(330=$NQ$8,$NM$8,0),IF($NO$8="Bell_Curve",$NM$8*(330-$NQ$8+1)*($NR$8-330+1)/$NT$8,$NM$8/$NS$8)),0)</f>
        <v/>
      </c>
      <c r="LV8" s="18">
        <f>IF(AND(331&gt;=$NQ$8,331&lt;=$NR$8),IF($NO$8="Single_Point",IF(331=$NQ$8,$NM$8,0),IF($NO$8="Bell_Curve",$NM$8*(331-$NQ$8+1)*($NR$8-331+1)/$NT$8,$NM$8/$NS$8)),0)</f>
        <v/>
      </c>
      <c r="LW8" s="18">
        <f>IF(AND(332&gt;=$NQ$8,332&lt;=$NR$8),IF($NO$8="Single_Point",IF(332=$NQ$8,$NM$8,0),IF($NO$8="Bell_Curve",$NM$8*(332-$NQ$8+1)*($NR$8-332+1)/$NT$8,$NM$8/$NS$8)),0)</f>
        <v/>
      </c>
      <c r="LX8" s="18">
        <f>IF(AND(333&gt;=$NQ$8,333&lt;=$NR$8),IF($NO$8="Single_Point",IF(333=$NQ$8,$NM$8,0),IF($NO$8="Bell_Curve",$NM$8*(333-$NQ$8+1)*($NR$8-333+1)/$NT$8,$NM$8/$NS$8)),0)</f>
        <v/>
      </c>
      <c r="LY8" s="18">
        <f>IF(AND(334&gt;=$NQ$8,334&lt;=$NR$8),IF($NO$8="Single_Point",IF(334=$NQ$8,$NM$8,0),IF($NO$8="Bell_Curve",$NM$8*(334-$NQ$8+1)*($NR$8-334+1)/$NT$8,$NM$8/$NS$8)),0)</f>
        <v/>
      </c>
      <c r="LZ8" s="18">
        <f>IF(AND(335&gt;=$NQ$8,335&lt;=$NR$8),IF($NO$8="Single_Point",IF(335=$NQ$8,$NM$8,0),IF($NO$8="Bell_Curve",$NM$8*(335-$NQ$8+1)*($NR$8-335+1)/$NT$8,$NM$8/$NS$8)),0)</f>
        <v/>
      </c>
      <c r="MA8" s="18">
        <f>IF(AND(336&gt;=$NQ$8,336&lt;=$NR$8),IF($NO$8="Single_Point",IF(336=$NQ$8,$NM$8,0),IF($NO$8="Bell_Curve",$NM$8*(336-$NQ$8+1)*($NR$8-336+1)/$NT$8,$NM$8/$NS$8)),0)</f>
        <v/>
      </c>
      <c r="MB8" s="18">
        <f>IF(AND(337&gt;=$NQ$8,337&lt;=$NR$8),IF($NO$8="Single_Point",IF(337=$NQ$8,$NM$8,0),IF($NO$8="Bell_Curve",$NM$8*(337-$NQ$8+1)*($NR$8-337+1)/$NT$8,$NM$8/$NS$8)),0)</f>
        <v/>
      </c>
      <c r="MC8" s="18">
        <f>IF(AND(338&gt;=$NQ$8,338&lt;=$NR$8),IF($NO$8="Single_Point",IF(338=$NQ$8,$NM$8,0),IF($NO$8="Bell_Curve",$NM$8*(338-$NQ$8+1)*($NR$8-338+1)/$NT$8,$NM$8/$NS$8)),0)</f>
        <v/>
      </c>
      <c r="MD8" s="18">
        <f>IF(AND(339&gt;=$NQ$8,339&lt;=$NR$8),IF($NO$8="Single_Point",IF(339=$NQ$8,$NM$8,0),IF($NO$8="Bell_Curve",$NM$8*(339-$NQ$8+1)*($NR$8-339+1)/$NT$8,$NM$8/$NS$8)),0)</f>
        <v/>
      </c>
      <c r="ME8" s="18">
        <f>IF(AND(340&gt;=$NQ$8,340&lt;=$NR$8),IF($NO$8="Single_Point",IF(340=$NQ$8,$NM$8,0),IF($NO$8="Bell_Curve",$NM$8*(340-$NQ$8+1)*($NR$8-340+1)/$NT$8,$NM$8/$NS$8)),0)</f>
        <v/>
      </c>
      <c r="MF8" s="18">
        <f>IF(AND(341&gt;=$NQ$8,341&lt;=$NR$8),IF($NO$8="Single_Point",IF(341=$NQ$8,$NM$8,0),IF($NO$8="Bell_Curve",$NM$8*(341-$NQ$8+1)*($NR$8-341+1)/$NT$8,$NM$8/$NS$8)),0)</f>
        <v/>
      </c>
      <c r="MG8" s="18">
        <f>IF(AND(342&gt;=$NQ$8,342&lt;=$NR$8),IF($NO$8="Single_Point",IF(342=$NQ$8,$NM$8,0),IF($NO$8="Bell_Curve",$NM$8*(342-$NQ$8+1)*($NR$8-342+1)/$NT$8,$NM$8/$NS$8)),0)</f>
        <v/>
      </c>
      <c r="MH8" s="18">
        <f>IF(AND(343&gt;=$NQ$8,343&lt;=$NR$8),IF($NO$8="Single_Point",IF(343=$NQ$8,$NM$8,0),IF($NO$8="Bell_Curve",$NM$8*(343-$NQ$8+1)*($NR$8-343+1)/$NT$8,$NM$8/$NS$8)),0)</f>
        <v/>
      </c>
      <c r="MI8" s="18">
        <f>IF(AND(344&gt;=$NQ$8,344&lt;=$NR$8),IF($NO$8="Single_Point",IF(344=$NQ$8,$NM$8,0),IF($NO$8="Bell_Curve",$NM$8*(344-$NQ$8+1)*($NR$8-344+1)/$NT$8,$NM$8/$NS$8)),0)</f>
        <v/>
      </c>
      <c r="MJ8" s="18">
        <f>IF(AND(345&gt;=$NQ$8,345&lt;=$NR$8),IF($NO$8="Single_Point",IF(345=$NQ$8,$NM$8,0),IF($NO$8="Bell_Curve",$NM$8*(345-$NQ$8+1)*($NR$8-345+1)/$NT$8,$NM$8/$NS$8)),0)</f>
        <v/>
      </c>
      <c r="MK8" s="18">
        <f>IF(AND(346&gt;=$NQ$8,346&lt;=$NR$8),IF($NO$8="Single_Point",IF(346=$NQ$8,$NM$8,0),IF($NO$8="Bell_Curve",$NM$8*(346-$NQ$8+1)*($NR$8-346+1)/$NT$8,$NM$8/$NS$8)),0)</f>
        <v/>
      </c>
      <c r="ML8" s="18">
        <f>IF(AND(347&gt;=$NQ$8,347&lt;=$NR$8),IF($NO$8="Single_Point",IF(347=$NQ$8,$NM$8,0),IF($NO$8="Bell_Curve",$NM$8*(347-$NQ$8+1)*($NR$8-347+1)/$NT$8,$NM$8/$NS$8)),0)</f>
        <v/>
      </c>
      <c r="MM8" s="18">
        <f>IF(AND(348&gt;=$NQ$8,348&lt;=$NR$8),IF($NO$8="Single_Point",IF(348=$NQ$8,$NM$8,0),IF($NO$8="Bell_Curve",$NM$8*(348-$NQ$8+1)*($NR$8-348+1)/$NT$8,$NM$8/$NS$8)),0)</f>
        <v/>
      </c>
      <c r="MN8" s="18">
        <f>IF(AND(349&gt;=$NQ$8,349&lt;=$NR$8),IF($NO$8="Single_Point",IF(349=$NQ$8,$NM$8,0),IF($NO$8="Bell_Curve",$NM$8*(349-$NQ$8+1)*($NR$8-349+1)/$NT$8,$NM$8/$NS$8)),0)</f>
        <v/>
      </c>
      <c r="MO8" s="18">
        <f>IF(AND(350&gt;=$NQ$8,350&lt;=$NR$8),IF($NO$8="Single_Point",IF(350=$NQ$8,$NM$8,0),IF($NO$8="Bell_Curve",$NM$8*(350-$NQ$8+1)*($NR$8-350+1)/$NT$8,$NM$8/$NS$8)),0)</f>
        <v/>
      </c>
      <c r="MP8" s="18">
        <f>IF(AND(351&gt;=$NQ$8,351&lt;=$NR$8),IF($NO$8="Single_Point",IF(351=$NQ$8,$NM$8,0),IF($NO$8="Bell_Curve",$NM$8*(351-$NQ$8+1)*($NR$8-351+1)/$NT$8,$NM$8/$NS$8)),0)</f>
        <v/>
      </c>
      <c r="MQ8" s="18">
        <f>IF(AND(352&gt;=$NQ$8,352&lt;=$NR$8),IF($NO$8="Single_Point",IF(352=$NQ$8,$NM$8,0),IF($NO$8="Bell_Curve",$NM$8*(352-$NQ$8+1)*($NR$8-352+1)/$NT$8,$NM$8/$NS$8)),0)</f>
        <v/>
      </c>
      <c r="MR8" s="18">
        <f>IF(AND(353&gt;=$NQ$8,353&lt;=$NR$8),IF($NO$8="Single_Point",IF(353=$NQ$8,$NM$8,0),IF($NO$8="Bell_Curve",$NM$8*(353-$NQ$8+1)*($NR$8-353+1)/$NT$8,$NM$8/$NS$8)),0)</f>
        <v/>
      </c>
      <c r="MS8" s="18">
        <f>IF(AND(354&gt;=$NQ$8,354&lt;=$NR$8),IF($NO$8="Single_Point",IF(354=$NQ$8,$NM$8,0),IF($NO$8="Bell_Curve",$NM$8*(354-$NQ$8+1)*($NR$8-354+1)/$NT$8,$NM$8/$NS$8)),0)</f>
        <v/>
      </c>
      <c r="MT8" s="18">
        <f>IF(AND(355&gt;=$NQ$8,355&lt;=$NR$8),IF($NO$8="Single_Point",IF(355=$NQ$8,$NM$8,0),IF($NO$8="Bell_Curve",$NM$8*(355-$NQ$8+1)*($NR$8-355+1)/$NT$8,$NM$8/$NS$8)),0)</f>
        <v/>
      </c>
      <c r="MU8" s="18">
        <f>IF(AND(356&gt;=$NQ$8,356&lt;=$NR$8),IF($NO$8="Single_Point",IF(356=$NQ$8,$NM$8,0),IF($NO$8="Bell_Curve",$NM$8*(356-$NQ$8+1)*($NR$8-356+1)/$NT$8,$NM$8/$NS$8)),0)</f>
        <v/>
      </c>
      <c r="MV8" s="18">
        <f>IF(AND(357&gt;=$NQ$8,357&lt;=$NR$8),IF($NO$8="Single_Point",IF(357=$NQ$8,$NM$8,0),IF($NO$8="Bell_Curve",$NM$8*(357-$NQ$8+1)*($NR$8-357+1)/$NT$8,$NM$8/$NS$8)),0)</f>
        <v/>
      </c>
      <c r="MW8" s="18">
        <f>IF(AND(358&gt;=$NQ$8,358&lt;=$NR$8),IF($NO$8="Single_Point",IF(358=$NQ$8,$NM$8,0),IF($NO$8="Bell_Curve",$NM$8*(358-$NQ$8+1)*($NR$8-358+1)/$NT$8,$NM$8/$NS$8)),0)</f>
        <v/>
      </c>
      <c r="MX8" s="18">
        <f>IF(AND(359&gt;=$NQ$8,359&lt;=$NR$8),IF($NO$8="Single_Point",IF(359=$NQ$8,$NM$8,0),IF($NO$8="Bell_Curve",$NM$8*(359-$NQ$8+1)*($NR$8-359+1)/$NT$8,$NM$8/$NS$8)),0)</f>
        <v/>
      </c>
      <c r="MY8" s="18">
        <f>IF(AND(360&gt;=$NQ$8,360&lt;=$NR$8),IF($NO$8="Single_Point",IF(360=$NQ$8,$NM$8,0),IF($NO$8="Bell_Curve",$NM$8*(360-$NQ$8+1)*($NR$8-360+1)/$NT$8,$NM$8/$NS$8)),0)</f>
        <v/>
      </c>
      <c r="MZ8" s="18">
        <f>IF(AND(361&gt;=$NQ$8,361&lt;=$NR$8),IF($NO$8="Single_Point",IF(361=$NQ$8,$NM$8,0),IF($NO$8="Bell_Curve",$NM$8*(361-$NQ$8+1)*($NR$8-361+1)/$NT$8,$NM$8/$NS$8)),0)</f>
        <v/>
      </c>
      <c r="NA8" s="18">
        <f>IF(AND(362&gt;=$NQ$8,362&lt;=$NR$8),IF($NO$8="Single_Point",IF(362=$NQ$8,$NM$8,0),IF($NO$8="Bell_Curve",$NM$8*(362-$NQ$8+1)*($NR$8-362+1)/$NT$8,$NM$8/$NS$8)),0)</f>
        <v/>
      </c>
      <c r="NB8" s="18">
        <f>IF(AND(363&gt;=$NQ$8,363&lt;=$NR$8),IF($NO$8="Single_Point",IF(363=$NQ$8,$NM$8,0),IF($NO$8="Bell_Curve",$NM$8*(363-$NQ$8+1)*($NR$8-363+1)/$NT$8,$NM$8/$NS$8)),0)</f>
        <v/>
      </c>
      <c r="NC8" s="18">
        <f>IF(AND(364&gt;=$NQ$8,364&lt;=$NR$8),IF($NO$8="Single_Point",IF(364=$NQ$8,$NM$8,0),IF($NO$8="Bell_Curve",$NM$8*(364-$NQ$8+1)*($NR$8-364+1)/$NT$8,$NM$8/$NS$8)),0)</f>
        <v/>
      </c>
      <c r="ND8" s="18">
        <f>IF(AND(365&gt;=$NQ$8,365&lt;=$NR$8),IF($NO$8="Single_Point",IF(365=$NQ$8,$NM$8,0),IF($NO$8="Bell_Curve",$NM$8*(365-$NQ$8+1)*($NR$8-365+1)/$NT$8,$NM$8/$NS$8)),0)</f>
        <v/>
      </c>
      <c r="NE8" s="18">
        <f>IF(AND(366&gt;=$NQ$8,366&lt;=$NR$8),IF($NO$8="Single_Point",IF(366=$NQ$8,$NM$8,0),IF($NO$8="Bell_Curve",$NM$8*(366-$NQ$8+1)*($NR$8-366+1)/$NT$8,$NM$8/$NS$8)),0)</f>
        <v/>
      </c>
      <c r="NF8" s="18">
        <f>IF(AND(367&gt;=$NQ$8,367&lt;=$NR$8),IF($NO$8="Single_Point",IF(367=$NQ$8,$NM$8,0),IF($NO$8="Bell_Curve",$NM$8*(367-$NQ$8+1)*($NR$8-367+1)/$NT$8,$NM$8/$NS$8)),0)</f>
        <v/>
      </c>
      <c r="NG8" s="18">
        <f>IF(AND(368&gt;=$NQ$8,368&lt;=$NR$8),IF($NO$8="Single_Point",IF(368=$NQ$8,$NM$8,0),IF($NO$8="Bell_Curve",$NM$8*(368-$NQ$8+1)*($NR$8-368+1)/$NT$8,$NM$8/$NS$8)),0)</f>
        <v/>
      </c>
      <c r="NH8" s="18">
        <f>IF(AND(369&gt;=$NQ$8,369&lt;=$NR$8),IF($NO$8="Single_Point",IF(369=$NQ$8,$NM$8,0),IF($NO$8="Bell_Curve",$NM$8*(369-$NQ$8+1)*($NR$8-369+1)/$NT$8,$NM$8/$NS$8)),0)</f>
        <v/>
      </c>
      <c r="NI8" s="18">
        <f>IF(AND(370&gt;=$NQ$8,370&lt;=$NR$8),IF($NO$8="Single_Point",IF(370=$NQ$8,$NM$8,0),IF($NO$8="Bell_Curve",$NM$8*(370-$NQ$8+1)*($NR$8-370+1)/$NT$8,$NM$8/$NS$8)),0)</f>
        <v/>
      </c>
      <c r="NJ8" s="18">
        <f>IF(AND(371&gt;=$NQ$8,371&lt;=$NR$8),IF($NO$8="Single_Point",IF(371=$NQ$8,$NM$8,0),IF($NO$8="Bell_Curve",$NM$8*(371-$NQ$8+1)*($NR$8-371+1)/$NT$8,$NM$8/$NS$8)),0)</f>
        <v/>
      </c>
      <c r="NK8" s="18">
        <f>IF(AND(372&gt;=$NQ$8,372&lt;=$NR$8),IF($NO$8="Single_Point",IF(372=$NQ$8,$NM$8,0),IF($NO$8="Bell_Curve",$NM$8*(372-$NQ$8+1)*($NR$8-372+1)/$NT$8,$NM$8/$NS$8)),0)</f>
        <v/>
      </c>
      <c r="NM8" s="18">
        <f>Budget!I7</f>
        <v/>
      </c>
      <c r="NN8" s="42">
        <f>Budget!F7</f>
        <v/>
      </c>
      <c r="NO8" s="42">
        <f>Budget!G7</f>
        <v/>
      </c>
      <c r="NP8" s="17">
        <f>Budget!H7</f>
        <v/>
      </c>
      <c r="NQ8" s="32">
        <f>MAX(1,MIN(372,INDEX(MilestoneStart,MATCH(NN8,MilestoneNames,0))+NP8))</f>
        <v/>
      </c>
      <c r="NR8" s="32">
        <f>MAX(NQ8,MIN(372,INDEX(MilestoneEnd,MATCH(NN8,MilestoneNames,0))+NP8))</f>
        <v/>
      </c>
      <c r="NS8" s="17">
        <f>NR8-NQ8+1</f>
        <v/>
      </c>
      <c r="NT8" s="17">
        <f>NS8*(NS8+1)*(NS8+2)/6</f>
        <v/>
      </c>
    </row>
    <row r="9">
      <c r="A9" s="5" t="inlineStr">
        <is>
          <t>Entitlements</t>
        </is>
      </c>
      <c r="C9" s="41">
        <f>SUM(D9:NK9)</f>
        <v/>
      </c>
      <c r="D9" s="18">
        <f>IF(AND(1&gt;=$NQ$9,1&lt;=$NR$9),IF($NO$9="Single_Point",IF(1=$NQ$9,$NM$9,0),IF($NO$9="Bell_Curve",$NM$9*(1-$NQ$9+1)*($NR$9-1+1)/$NT$9,$NM$9/$NS$9)),0)</f>
        <v/>
      </c>
      <c r="E9" s="18">
        <f>IF(AND(2&gt;=$NQ$9,2&lt;=$NR$9),IF($NO$9="Single_Point",IF(2=$NQ$9,$NM$9,0),IF($NO$9="Bell_Curve",$NM$9*(2-$NQ$9+1)*($NR$9-2+1)/$NT$9,$NM$9/$NS$9)),0)</f>
        <v/>
      </c>
      <c r="F9" s="18">
        <f>IF(AND(3&gt;=$NQ$9,3&lt;=$NR$9),IF($NO$9="Single_Point",IF(3=$NQ$9,$NM$9,0),IF($NO$9="Bell_Curve",$NM$9*(3-$NQ$9+1)*($NR$9-3+1)/$NT$9,$NM$9/$NS$9)),0)</f>
        <v/>
      </c>
      <c r="G9" s="18">
        <f>IF(AND(4&gt;=$NQ$9,4&lt;=$NR$9),IF($NO$9="Single_Point",IF(4=$NQ$9,$NM$9,0),IF($NO$9="Bell_Curve",$NM$9*(4-$NQ$9+1)*($NR$9-4+1)/$NT$9,$NM$9/$NS$9)),0)</f>
        <v/>
      </c>
      <c r="H9" s="18">
        <f>IF(AND(5&gt;=$NQ$9,5&lt;=$NR$9),IF($NO$9="Single_Point",IF(5=$NQ$9,$NM$9,0),IF($NO$9="Bell_Curve",$NM$9*(5-$NQ$9+1)*($NR$9-5+1)/$NT$9,$NM$9/$NS$9)),0)</f>
        <v/>
      </c>
      <c r="I9" s="18">
        <f>IF(AND(6&gt;=$NQ$9,6&lt;=$NR$9),IF($NO$9="Single_Point",IF(6=$NQ$9,$NM$9,0),IF($NO$9="Bell_Curve",$NM$9*(6-$NQ$9+1)*($NR$9-6+1)/$NT$9,$NM$9/$NS$9)),0)</f>
        <v/>
      </c>
      <c r="J9" s="18">
        <f>IF(AND(7&gt;=$NQ$9,7&lt;=$NR$9),IF($NO$9="Single_Point",IF(7=$NQ$9,$NM$9,0),IF($NO$9="Bell_Curve",$NM$9*(7-$NQ$9+1)*($NR$9-7+1)/$NT$9,$NM$9/$NS$9)),0)</f>
        <v/>
      </c>
      <c r="K9" s="18">
        <f>IF(AND(8&gt;=$NQ$9,8&lt;=$NR$9),IF($NO$9="Single_Point",IF(8=$NQ$9,$NM$9,0),IF($NO$9="Bell_Curve",$NM$9*(8-$NQ$9+1)*($NR$9-8+1)/$NT$9,$NM$9/$NS$9)),0)</f>
        <v/>
      </c>
      <c r="L9" s="18">
        <f>IF(AND(9&gt;=$NQ$9,9&lt;=$NR$9),IF($NO$9="Single_Point",IF(9=$NQ$9,$NM$9,0),IF($NO$9="Bell_Curve",$NM$9*(9-$NQ$9+1)*($NR$9-9+1)/$NT$9,$NM$9/$NS$9)),0)</f>
        <v/>
      </c>
      <c r="M9" s="18">
        <f>IF(AND(10&gt;=$NQ$9,10&lt;=$NR$9),IF($NO$9="Single_Point",IF(10=$NQ$9,$NM$9,0),IF($NO$9="Bell_Curve",$NM$9*(10-$NQ$9+1)*($NR$9-10+1)/$NT$9,$NM$9/$NS$9)),0)</f>
        <v/>
      </c>
      <c r="N9" s="18">
        <f>IF(AND(11&gt;=$NQ$9,11&lt;=$NR$9),IF($NO$9="Single_Point",IF(11=$NQ$9,$NM$9,0),IF($NO$9="Bell_Curve",$NM$9*(11-$NQ$9+1)*($NR$9-11+1)/$NT$9,$NM$9/$NS$9)),0)</f>
        <v/>
      </c>
      <c r="O9" s="18">
        <f>IF(AND(12&gt;=$NQ$9,12&lt;=$NR$9),IF($NO$9="Single_Point",IF(12=$NQ$9,$NM$9,0),IF($NO$9="Bell_Curve",$NM$9*(12-$NQ$9+1)*($NR$9-12+1)/$NT$9,$NM$9/$NS$9)),0)</f>
        <v/>
      </c>
      <c r="P9" s="18">
        <f>IF(AND(13&gt;=$NQ$9,13&lt;=$NR$9),IF($NO$9="Single_Point",IF(13=$NQ$9,$NM$9,0),IF($NO$9="Bell_Curve",$NM$9*(13-$NQ$9+1)*($NR$9-13+1)/$NT$9,$NM$9/$NS$9)),0)</f>
        <v/>
      </c>
      <c r="Q9" s="18">
        <f>IF(AND(14&gt;=$NQ$9,14&lt;=$NR$9),IF($NO$9="Single_Point",IF(14=$NQ$9,$NM$9,0),IF($NO$9="Bell_Curve",$NM$9*(14-$NQ$9+1)*($NR$9-14+1)/$NT$9,$NM$9/$NS$9)),0)</f>
        <v/>
      </c>
      <c r="R9" s="18">
        <f>IF(AND(15&gt;=$NQ$9,15&lt;=$NR$9),IF($NO$9="Single_Point",IF(15=$NQ$9,$NM$9,0),IF($NO$9="Bell_Curve",$NM$9*(15-$NQ$9+1)*($NR$9-15+1)/$NT$9,$NM$9/$NS$9)),0)</f>
        <v/>
      </c>
      <c r="S9" s="18">
        <f>IF(AND(16&gt;=$NQ$9,16&lt;=$NR$9),IF($NO$9="Single_Point",IF(16=$NQ$9,$NM$9,0),IF($NO$9="Bell_Curve",$NM$9*(16-$NQ$9+1)*($NR$9-16+1)/$NT$9,$NM$9/$NS$9)),0)</f>
        <v/>
      </c>
      <c r="T9" s="18">
        <f>IF(AND(17&gt;=$NQ$9,17&lt;=$NR$9),IF($NO$9="Single_Point",IF(17=$NQ$9,$NM$9,0),IF($NO$9="Bell_Curve",$NM$9*(17-$NQ$9+1)*($NR$9-17+1)/$NT$9,$NM$9/$NS$9)),0)</f>
        <v/>
      </c>
      <c r="U9" s="18">
        <f>IF(AND(18&gt;=$NQ$9,18&lt;=$NR$9),IF($NO$9="Single_Point",IF(18=$NQ$9,$NM$9,0),IF($NO$9="Bell_Curve",$NM$9*(18-$NQ$9+1)*($NR$9-18+1)/$NT$9,$NM$9/$NS$9)),0)</f>
        <v/>
      </c>
      <c r="V9" s="18">
        <f>IF(AND(19&gt;=$NQ$9,19&lt;=$NR$9),IF($NO$9="Single_Point",IF(19=$NQ$9,$NM$9,0),IF($NO$9="Bell_Curve",$NM$9*(19-$NQ$9+1)*($NR$9-19+1)/$NT$9,$NM$9/$NS$9)),0)</f>
        <v/>
      </c>
      <c r="W9" s="18">
        <f>IF(AND(20&gt;=$NQ$9,20&lt;=$NR$9),IF($NO$9="Single_Point",IF(20=$NQ$9,$NM$9,0),IF($NO$9="Bell_Curve",$NM$9*(20-$NQ$9+1)*($NR$9-20+1)/$NT$9,$NM$9/$NS$9)),0)</f>
        <v/>
      </c>
      <c r="X9" s="18">
        <f>IF(AND(21&gt;=$NQ$9,21&lt;=$NR$9),IF($NO$9="Single_Point",IF(21=$NQ$9,$NM$9,0),IF($NO$9="Bell_Curve",$NM$9*(21-$NQ$9+1)*($NR$9-21+1)/$NT$9,$NM$9/$NS$9)),0)</f>
        <v/>
      </c>
      <c r="Y9" s="18">
        <f>IF(AND(22&gt;=$NQ$9,22&lt;=$NR$9),IF($NO$9="Single_Point",IF(22=$NQ$9,$NM$9,0),IF($NO$9="Bell_Curve",$NM$9*(22-$NQ$9+1)*($NR$9-22+1)/$NT$9,$NM$9/$NS$9)),0)</f>
        <v/>
      </c>
      <c r="Z9" s="18">
        <f>IF(AND(23&gt;=$NQ$9,23&lt;=$NR$9),IF($NO$9="Single_Point",IF(23=$NQ$9,$NM$9,0),IF($NO$9="Bell_Curve",$NM$9*(23-$NQ$9+1)*($NR$9-23+1)/$NT$9,$NM$9/$NS$9)),0)</f>
        <v/>
      </c>
      <c r="AA9" s="18">
        <f>IF(AND(24&gt;=$NQ$9,24&lt;=$NR$9),IF($NO$9="Single_Point",IF(24=$NQ$9,$NM$9,0),IF($NO$9="Bell_Curve",$NM$9*(24-$NQ$9+1)*($NR$9-24+1)/$NT$9,$NM$9/$NS$9)),0)</f>
        <v/>
      </c>
      <c r="AB9" s="18">
        <f>IF(AND(25&gt;=$NQ$9,25&lt;=$NR$9),IF($NO$9="Single_Point",IF(25=$NQ$9,$NM$9,0),IF($NO$9="Bell_Curve",$NM$9*(25-$NQ$9+1)*($NR$9-25+1)/$NT$9,$NM$9/$NS$9)),0)</f>
        <v/>
      </c>
      <c r="AC9" s="18">
        <f>IF(AND(26&gt;=$NQ$9,26&lt;=$NR$9),IF($NO$9="Single_Point",IF(26=$NQ$9,$NM$9,0),IF($NO$9="Bell_Curve",$NM$9*(26-$NQ$9+1)*($NR$9-26+1)/$NT$9,$NM$9/$NS$9)),0)</f>
        <v/>
      </c>
      <c r="AD9" s="18">
        <f>IF(AND(27&gt;=$NQ$9,27&lt;=$NR$9),IF($NO$9="Single_Point",IF(27=$NQ$9,$NM$9,0),IF($NO$9="Bell_Curve",$NM$9*(27-$NQ$9+1)*($NR$9-27+1)/$NT$9,$NM$9/$NS$9)),0)</f>
        <v/>
      </c>
      <c r="AE9" s="18">
        <f>IF(AND(28&gt;=$NQ$9,28&lt;=$NR$9),IF($NO$9="Single_Point",IF(28=$NQ$9,$NM$9,0),IF($NO$9="Bell_Curve",$NM$9*(28-$NQ$9+1)*($NR$9-28+1)/$NT$9,$NM$9/$NS$9)),0)</f>
        <v/>
      </c>
      <c r="AF9" s="18">
        <f>IF(AND(29&gt;=$NQ$9,29&lt;=$NR$9),IF($NO$9="Single_Point",IF(29=$NQ$9,$NM$9,0),IF($NO$9="Bell_Curve",$NM$9*(29-$NQ$9+1)*($NR$9-29+1)/$NT$9,$NM$9/$NS$9)),0)</f>
        <v/>
      </c>
      <c r="AG9" s="18">
        <f>IF(AND(30&gt;=$NQ$9,30&lt;=$NR$9),IF($NO$9="Single_Point",IF(30=$NQ$9,$NM$9,0),IF($NO$9="Bell_Curve",$NM$9*(30-$NQ$9+1)*($NR$9-30+1)/$NT$9,$NM$9/$NS$9)),0)</f>
        <v/>
      </c>
      <c r="AH9" s="18">
        <f>IF(AND(31&gt;=$NQ$9,31&lt;=$NR$9),IF($NO$9="Single_Point",IF(31=$NQ$9,$NM$9,0),IF($NO$9="Bell_Curve",$NM$9*(31-$NQ$9+1)*($NR$9-31+1)/$NT$9,$NM$9/$NS$9)),0)</f>
        <v/>
      </c>
      <c r="AI9" s="18">
        <f>IF(AND(32&gt;=$NQ$9,32&lt;=$NR$9),IF($NO$9="Single_Point",IF(32=$NQ$9,$NM$9,0),IF($NO$9="Bell_Curve",$NM$9*(32-$NQ$9+1)*($NR$9-32+1)/$NT$9,$NM$9/$NS$9)),0)</f>
        <v/>
      </c>
      <c r="AJ9" s="18">
        <f>IF(AND(33&gt;=$NQ$9,33&lt;=$NR$9),IF($NO$9="Single_Point",IF(33=$NQ$9,$NM$9,0),IF($NO$9="Bell_Curve",$NM$9*(33-$NQ$9+1)*($NR$9-33+1)/$NT$9,$NM$9/$NS$9)),0)</f>
        <v/>
      </c>
      <c r="AK9" s="18">
        <f>IF(AND(34&gt;=$NQ$9,34&lt;=$NR$9),IF($NO$9="Single_Point",IF(34=$NQ$9,$NM$9,0),IF($NO$9="Bell_Curve",$NM$9*(34-$NQ$9+1)*($NR$9-34+1)/$NT$9,$NM$9/$NS$9)),0)</f>
        <v/>
      </c>
      <c r="AL9" s="18">
        <f>IF(AND(35&gt;=$NQ$9,35&lt;=$NR$9),IF($NO$9="Single_Point",IF(35=$NQ$9,$NM$9,0),IF($NO$9="Bell_Curve",$NM$9*(35-$NQ$9+1)*($NR$9-35+1)/$NT$9,$NM$9/$NS$9)),0)</f>
        <v/>
      </c>
      <c r="AM9" s="18">
        <f>IF(AND(36&gt;=$NQ$9,36&lt;=$NR$9),IF($NO$9="Single_Point",IF(36=$NQ$9,$NM$9,0),IF($NO$9="Bell_Curve",$NM$9*(36-$NQ$9+1)*($NR$9-36+1)/$NT$9,$NM$9/$NS$9)),0)</f>
        <v/>
      </c>
      <c r="AN9" s="18">
        <f>IF(AND(37&gt;=$NQ$9,37&lt;=$NR$9),IF($NO$9="Single_Point",IF(37=$NQ$9,$NM$9,0),IF($NO$9="Bell_Curve",$NM$9*(37-$NQ$9+1)*($NR$9-37+1)/$NT$9,$NM$9/$NS$9)),0)</f>
        <v/>
      </c>
      <c r="AO9" s="18">
        <f>IF(AND(38&gt;=$NQ$9,38&lt;=$NR$9),IF($NO$9="Single_Point",IF(38=$NQ$9,$NM$9,0),IF($NO$9="Bell_Curve",$NM$9*(38-$NQ$9+1)*($NR$9-38+1)/$NT$9,$NM$9/$NS$9)),0)</f>
        <v/>
      </c>
      <c r="AP9" s="18">
        <f>IF(AND(39&gt;=$NQ$9,39&lt;=$NR$9),IF($NO$9="Single_Point",IF(39=$NQ$9,$NM$9,0),IF($NO$9="Bell_Curve",$NM$9*(39-$NQ$9+1)*($NR$9-39+1)/$NT$9,$NM$9/$NS$9)),0)</f>
        <v/>
      </c>
      <c r="AQ9" s="18">
        <f>IF(AND(40&gt;=$NQ$9,40&lt;=$NR$9),IF($NO$9="Single_Point",IF(40=$NQ$9,$NM$9,0),IF($NO$9="Bell_Curve",$NM$9*(40-$NQ$9+1)*($NR$9-40+1)/$NT$9,$NM$9/$NS$9)),0)</f>
        <v/>
      </c>
      <c r="AR9" s="18">
        <f>IF(AND(41&gt;=$NQ$9,41&lt;=$NR$9),IF($NO$9="Single_Point",IF(41=$NQ$9,$NM$9,0),IF($NO$9="Bell_Curve",$NM$9*(41-$NQ$9+1)*($NR$9-41+1)/$NT$9,$NM$9/$NS$9)),0)</f>
        <v/>
      </c>
      <c r="AS9" s="18">
        <f>IF(AND(42&gt;=$NQ$9,42&lt;=$NR$9),IF($NO$9="Single_Point",IF(42=$NQ$9,$NM$9,0),IF($NO$9="Bell_Curve",$NM$9*(42-$NQ$9+1)*($NR$9-42+1)/$NT$9,$NM$9/$NS$9)),0)</f>
        <v/>
      </c>
      <c r="AT9" s="18">
        <f>IF(AND(43&gt;=$NQ$9,43&lt;=$NR$9),IF($NO$9="Single_Point",IF(43=$NQ$9,$NM$9,0),IF($NO$9="Bell_Curve",$NM$9*(43-$NQ$9+1)*($NR$9-43+1)/$NT$9,$NM$9/$NS$9)),0)</f>
        <v/>
      </c>
      <c r="AU9" s="18">
        <f>IF(AND(44&gt;=$NQ$9,44&lt;=$NR$9),IF($NO$9="Single_Point",IF(44=$NQ$9,$NM$9,0),IF($NO$9="Bell_Curve",$NM$9*(44-$NQ$9+1)*($NR$9-44+1)/$NT$9,$NM$9/$NS$9)),0)</f>
        <v/>
      </c>
      <c r="AV9" s="18">
        <f>IF(AND(45&gt;=$NQ$9,45&lt;=$NR$9),IF($NO$9="Single_Point",IF(45=$NQ$9,$NM$9,0),IF($NO$9="Bell_Curve",$NM$9*(45-$NQ$9+1)*($NR$9-45+1)/$NT$9,$NM$9/$NS$9)),0)</f>
        <v/>
      </c>
      <c r="AW9" s="18">
        <f>IF(AND(46&gt;=$NQ$9,46&lt;=$NR$9),IF($NO$9="Single_Point",IF(46=$NQ$9,$NM$9,0),IF($NO$9="Bell_Curve",$NM$9*(46-$NQ$9+1)*($NR$9-46+1)/$NT$9,$NM$9/$NS$9)),0)</f>
        <v/>
      </c>
      <c r="AX9" s="18">
        <f>IF(AND(47&gt;=$NQ$9,47&lt;=$NR$9),IF($NO$9="Single_Point",IF(47=$NQ$9,$NM$9,0),IF($NO$9="Bell_Curve",$NM$9*(47-$NQ$9+1)*($NR$9-47+1)/$NT$9,$NM$9/$NS$9)),0)</f>
        <v/>
      </c>
      <c r="AY9" s="18">
        <f>IF(AND(48&gt;=$NQ$9,48&lt;=$NR$9),IF($NO$9="Single_Point",IF(48=$NQ$9,$NM$9,0),IF($NO$9="Bell_Curve",$NM$9*(48-$NQ$9+1)*($NR$9-48+1)/$NT$9,$NM$9/$NS$9)),0)</f>
        <v/>
      </c>
      <c r="AZ9" s="18">
        <f>IF(AND(49&gt;=$NQ$9,49&lt;=$NR$9),IF($NO$9="Single_Point",IF(49=$NQ$9,$NM$9,0),IF($NO$9="Bell_Curve",$NM$9*(49-$NQ$9+1)*($NR$9-49+1)/$NT$9,$NM$9/$NS$9)),0)</f>
        <v/>
      </c>
      <c r="BA9" s="18">
        <f>IF(AND(50&gt;=$NQ$9,50&lt;=$NR$9),IF($NO$9="Single_Point",IF(50=$NQ$9,$NM$9,0),IF($NO$9="Bell_Curve",$NM$9*(50-$NQ$9+1)*($NR$9-50+1)/$NT$9,$NM$9/$NS$9)),0)</f>
        <v/>
      </c>
      <c r="BB9" s="18">
        <f>IF(AND(51&gt;=$NQ$9,51&lt;=$NR$9),IF($NO$9="Single_Point",IF(51=$NQ$9,$NM$9,0),IF($NO$9="Bell_Curve",$NM$9*(51-$NQ$9+1)*($NR$9-51+1)/$NT$9,$NM$9/$NS$9)),0)</f>
        <v/>
      </c>
      <c r="BC9" s="18">
        <f>IF(AND(52&gt;=$NQ$9,52&lt;=$NR$9),IF($NO$9="Single_Point",IF(52=$NQ$9,$NM$9,0),IF($NO$9="Bell_Curve",$NM$9*(52-$NQ$9+1)*($NR$9-52+1)/$NT$9,$NM$9/$NS$9)),0)</f>
        <v/>
      </c>
      <c r="BD9" s="18">
        <f>IF(AND(53&gt;=$NQ$9,53&lt;=$NR$9),IF($NO$9="Single_Point",IF(53=$NQ$9,$NM$9,0),IF($NO$9="Bell_Curve",$NM$9*(53-$NQ$9+1)*($NR$9-53+1)/$NT$9,$NM$9/$NS$9)),0)</f>
        <v/>
      </c>
      <c r="BE9" s="18">
        <f>IF(AND(54&gt;=$NQ$9,54&lt;=$NR$9),IF($NO$9="Single_Point",IF(54=$NQ$9,$NM$9,0),IF($NO$9="Bell_Curve",$NM$9*(54-$NQ$9+1)*($NR$9-54+1)/$NT$9,$NM$9/$NS$9)),0)</f>
        <v/>
      </c>
      <c r="BF9" s="18">
        <f>IF(AND(55&gt;=$NQ$9,55&lt;=$NR$9),IF($NO$9="Single_Point",IF(55=$NQ$9,$NM$9,0),IF($NO$9="Bell_Curve",$NM$9*(55-$NQ$9+1)*($NR$9-55+1)/$NT$9,$NM$9/$NS$9)),0)</f>
        <v/>
      </c>
      <c r="BG9" s="18">
        <f>IF(AND(56&gt;=$NQ$9,56&lt;=$NR$9),IF($NO$9="Single_Point",IF(56=$NQ$9,$NM$9,0),IF($NO$9="Bell_Curve",$NM$9*(56-$NQ$9+1)*($NR$9-56+1)/$NT$9,$NM$9/$NS$9)),0)</f>
        <v/>
      </c>
      <c r="BH9" s="18">
        <f>IF(AND(57&gt;=$NQ$9,57&lt;=$NR$9),IF($NO$9="Single_Point",IF(57=$NQ$9,$NM$9,0),IF($NO$9="Bell_Curve",$NM$9*(57-$NQ$9+1)*($NR$9-57+1)/$NT$9,$NM$9/$NS$9)),0)</f>
        <v/>
      </c>
      <c r="BI9" s="18">
        <f>IF(AND(58&gt;=$NQ$9,58&lt;=$NR$9),IF($NO$9="Single_Point",IF(58=$NQ$9,$NM$9,0),IF($NO$9="Bell_Curve",$NM$9*(58-$NQ$9+1)*($NR$9-58+1)/$NT$9,$NM$9/$NS$9)),0)</f>
        <v/>
      </c>
      <c r="BJ9" s="18">
        <f>IF(AND(59&gt;=$NQ$9,59&lt;=$NR$9),IF($NO$9="Single_Point",IF(59=$NQ$9,$NM$9,0),IF($NO$9="Bell_Curve",$NM$9*(59-$NQ$9+1)*($NR$9-59+1)/$NT$9,$NM$9/$NS$9)),0)</f>
        <v/>
      </c>
      <c r="BK9" s="18">
        <f>IF(AND(60&gt;=$NQ$9,60&lt;=$NR$9),IF($NO$9="Single_Point",IF(60=$NQ$9,$NM$9,0),IF($NO$9="Bell_Curve",$NM$9*(60-$NQ$9+1)*($NR$9-60+1)/$NT$9,$NM$9/$NS$9)),0)</f>
        <v/>
      </c>
      <c r="BL9" s="18">
        <f>IF(AND(61&gt;=$NQ$9,61&lt;=$NR$9),IF($NO$9="Single_Point",IF(61=$NQ$9,$NM$9,0),IF($NO$9="Bell_Curve",$NM$9*(61-$NQ$9+1)*($NR$9-61+1)/$NT$9,$NM$9/$NS$9)),0)</f>
        <v/>
      </c>
      <c r="BM9" s="18">
        <f>IF(AND(62&gt;=$NQ$9,62&lt;=$NR$9),IF($NO$9="Single_Point",IF(62=$NQ$9,$NM$9,0),IF($NO$9="Bell_Curve",$NM$9*(62-$NQ$9+1)*($NR$9-62+1)/$NT$9,$NM$9/$NS$9)),0)</f>
        <v/>
      </c>
      <c r="BN9" s="18">
        <f>IF(AND(63&gt;=$NQ$9,63&lt;=$NR$9),IF($NO$9="Single_Point",IF(63=$NQ$9,$NM$9,0),IF($NO$9="Bell_Curve",$NM$9*(63-$NQ$9+1)*($NR$9-63+1)/$NT$9,$NM$9/$NS$9)),0)</f>
        <v/>
      </c>
      <c r="BO9" s="18">
        <f>IF(AND(64&gt;=$NQ$9,64&lt;=$NR$9),IF($NO$9="Single_Point",IF(64=$NQ$9,$NM$9,0),IF($NO$9="Bell_Curve",$NM$9*(64-$NQ$9+1)*($NR$9-64+1)/$NT$9,$NM$9/$NS$9)),0)</f>
        <v/>
      </c>
      <c r="BP9" s="18">
        <f>IF(AND(65&gt;=$NQ$9,65&lt;=$NR$9),IF($NO$9="Single_Point",IF(65=$NQ$9,$NM$9,0),IF($NO$9="Bell_Curve",$NM$9*(65-$NQ$9+1)*($NR$9-65+1)/$NT$9,$NM$9/$NS$9)),0)</f>
        <v/>
      </c>
      <c r="BQ9" s="18">
        <f>IF(AND(66&gt;=$NQ$9,66&lt;=$NR$9),IF($NO$9="Single_Point",IF(66=$NQ$9,$NM$9,0),IF($NO$9="Bell_Curve",$NM$9*(66-$NQ$9+1)*($NR$9-66+1)/$NT$9,$NM$9/$NS$9)),0)</f>
        <v/>
      </c>
      <c r="BR9" s="18">
        <f>IF(AND(67&gt;=$NQ$9,67&lt;=$NR$9),IF($NO$9="Single_Point",IF(67=$NQ$9,$NM$9,0),IF($NO$9="Bell_Curve",$NM$9*(67-$NQ$9+1)*($NR$9-67+1)/$NT$9,$NM$9/$NS$9)),0)</f>
        <v/>
      </c>
      <c r="BS9" s="18">
        <f>IF(AND(68&gt;=$NQ$9,68&lt;=$NR$9),IF($NO$9="Single_Point",IF(68=$NQ$9,$NM$9,0),IF($NO$9="Bell_Curve",$NM$9*(68-$NQ$9+1)*($NR$9-68+1)/$NT$9,$NM$9/$NS$9)),0)</f>
        <v/>
      </c>
      <c r="BT9" s="18">
        <f>IF(AND(69&gt;=$NQ$9,69&lt;=$NR$9),IF($NO$9="Single_Point",IF(69=$NQ$9,$NM$9,0),IF($NO$9="Bell_Curve",$NM$9*(69-$NQ$9+1)*($NR$9-69+1)/$NT$9,$NM$9/$NS$9)),0)</f>
        <v/>
      </c>
      <c r="BU9" s="18">
        <f>IF(AND(70&gt;=$NQ$9,70&lt;=$NR$9),IF($NO$9="Single_Point",IF(70=$NQ$9,$NM$9,0),IF($NO$9="Bell_Curve",$NM$9*(70-$NQ$9+1)*($NR$9-70+1)/$NT$9,$NM$9/$NS$9)),0)</f>
        <v/>
      </c>
      <c r="BV9" s="18">
        <f>IF(AND(71&gt;=$NQ$9,71&lt;=$NR$9),IF($NO$9="Single_Point",IF(71=$NQ$9,$NM$9,0),IF($NO$9="Bell_Curve",$NM$9*(71-$NQ$9+1)*($NR$9-71+1)/$NT$9,$NM$9/$NS$9)),0)</f>
        <v/>
      </c>
      <c r="BW9" s="18">
        <f>IF(AND(72&gt;=$NQ$9,72&lt;=$NR$9),IF($NO$9="Single_Point",IF(72=$NQ$9,$NM$9,0),IF($NO$9="Bell_Curve",$NM$9*(72-$NQ$9+1)*($NR$9-72+1)/$NT$9,$NM$9/$NS$9)),0)</f>
        <v/>
      </c>
      <c r="BX9" s="18">
        <f>IF(AND(73&gt;=$NQ$9,73&lt;=$NR$9),IF($NO$9="Single_Point",IF(73=$NQ$9,$NM$9,0),IF($NO$9="Bell_Curve",$NM$9*(73-$NQ$9+1)*($NR$9-73+1)/$NT$9,$NM$9/$NS$9)),0)</f>
        <v/>
      </c>
      <c r="BY9" s="18">
        <f>IF(AND(74&gt;=$NQ$9,74&lt;=$NR$9),IF($NO$9="Single_Point",IF(74=$NQ$9,$NM$9,0),IF($NO$9="Bell_Curve",$NM$9*(74-$NQ$9+1)*($NR$9-74+1)/$NT$9,$NM$9/$NS$9)),0)</f>
        <v/>
      </c>
      <c r="BZ9" s="18">
        <f>IF(AND(75&gt;=$NQ$9,75&lt;=$NR$9),IF($NO$9="Single_Point",IF(75=$NQ$9,$NM$9,0),IF($NO$9="Bell_Curve",$NM$9*(75-$NQ$9+1)*($NR$9-75+1)/$NT$9,$NM$9/$NS$9)),0)</f>
        <v/>
      </c>
      <c r="CA9" s="18">
        <f>IF(AND(76&gt;=$NQ$9,76&lt;=$NR$9),IF($NO$9="Single_Point",IF(76=$NQ$9,$NM$9,0),IF($NO$9="Bell_Curve",$NM$9*(76-$NQ$9+1)*($NR$9-76+1)/$NT$9,$NM$9/$NS$9)),0)</f>
        <v/>
      </c>
      <c r="CB9" s="18">
        <f>IF(AND(77&gt;=$NQ$9,77&lt;=$NR$9),IF($NO$9="Single_Point",IF(77=$NQ$9,$NM$9,0),IF($NO$9="Bell_Curve",$NM$9*(77-$NQ$9+1)*($NR$9-77+1)/$NT$9,$NM$9/$NS$9)),0)</f>
        <v/>
      </c>
      <c r="CC9" s="18">
        <f>IF(AND(78&gt;=$NQ$9,78&lt;=$NR$9),IF($NO$9="Single_Point",IF(78=$NQ$9,$NM$9,0),IF($NO$9="Bell_Curve",$NM$9*(78-$NQ$9+1)*($NR$9-78+1)/$NT$9,$NM$9/$NS$9)),0)</f>
        <v/>
      </c>
      <c r="CD9" s="18">
        <f>IF(AND(79&gt;=$NQ$9,79&lt;=$NR$9),IF($NO$9="Single_Point",IF(79=$NQ$9,$NM$9,0),IF($NO$9="Bell_Curve",$NM$9*(79-$NQ$9+1)*($NR$9-79+1)/$NT$9,$NM$9/$NS$9)),0)</f>
        <v/>
      </c>
      <c r="CE9" s="18">
        <f>IF(AND(80&gt;=$NQ$9,80&lt;=$NR$9),IF($NO$9="Single_Point",IF(80=$NQ$9,$NM$9,0),IF($NO$9="Bell_Curve",$NM$9*(80-$NQ$9+1)*($NR$9-80+1)/$NT$9,$NM$9/$NS$9)),0)</f>
        <v/>
      </c>
      <c r="CF9" s="18">
        <f>IF(AND(81&gt;=$NQ$9,81&lt;=$NR$9),IF($NO$9="Single_Point",IF(81=$NQ$9,$NM$9,0),IF($NO$9="Bell_Curve",$NM$9*(81-$NQ$9+1)*($NR$9-81+1)/$NT$9,$NM$9/$NS$9)),0)</f>
        <v/>
      </c>
      <c r="CG9" s="18">
        <f>IF(AND(82&gt;=$NQ$9,82&lt;=$NR$9),IF($NO$9="Single_Point",IF(82=$NQ$9,$NM$9,0),IF($NO$9="Bell_Curve",$NM$9*(82-$NQ$9+1)*($NR$9-82+1)/$NT$9,$NM$9/$NS$9)),0)</f>
        <v/>
      </c>
      <c r="CH9" s="18">
        <f>IF(AND(83&gt;=$NQ$9,83&lt;=$NR$9),IF($NO$9="Single_Point",IF(83=$NQ$9,$NM$9,0),IF($NO$9="Bell_Curve",$NM$9*(83-$NQ$9+1)*($NR$9-83+1)/$NT$9,$NM$9/$NS$9)),0)</f>
        <v/>
      </c>
      <c r="CI9" s="18">
        <f>IF(AND(84&gt;=$NQ$9,84&lt;=$NR$9),IF($NO$9="Single_Point",IF(84=$NQ$9,$NM$9,0),IF($NO$9="Bell_Curve",$NM$9*(84-$NQ$9+1)*($NR$9-84+1)/$NT$9,$NM$9/$NS$9)),0)</f>
        <v/>
      </c>
      <c r="CJ9" s="18">
        <f>IF(AND(85&gt;=$NQ$9,85&lt;=$NR$9),IF($NO$9="Single_Point",IF(85=$NQ$9,$NM$9,0),IF($NO$9="Bell_Curve",$NM$9*(85-$NQ$9+1)*($NR$9-85+1)/$NT$9,$NM$9/$NS$9)),0)</f>
        <v/>
      </c>
      <c r="CK9" s="18">
        <f>IF(AND(86&gt;=$NQ$9,86&lt;=$NR$9),IF($NO$9="Single_Point",IF(86=$NQ$9,$NM$9,0),IF($NO$9="Bell_Curve",$NM$9*(86-$NQ$9+1)*($NR$9-86+1)/$NT$9,$NM$9/$NS$9)),0)</f>
        <v/>
      </c>
      <c r="CL9" s="18">
        <f>IF(AND(87&gt;=$NQ$9,87&lt;=$NR$9),IF($NO$9="Single_Point",IF(87=$NQ$9,$NM$9,0),IF($NO$9="Bell_Curve",$NM$9*(87-$NQ$9+1)*($NR$9-87+1)/$NT$9,$NM$9/$NS$9)),0)</f>
        <v/>
      </c>
      <c r="CM9" s="18">
        <f>IF(AND(88&gt;=$NQ$9,88&lt;=$NR$9),IF($NO$9="Single_Point",IF(88=$NQ$9,$NM$9,0),IF($NO$9="Bell_Curve",$NM$9*(88-$NQ$9+1)*($NR$9-88+1)/$NT$9,$NM$9/$NS$9)),0)</f>
        <v/>
      </c>
      <c r="CN9" s="18">
        <f>IF(AND(89&gt;=$NQ$9,89&lt;=$NR$9),IF($NO$9="Single_Point",IF(89=$NQ$9,$NM$9,0),IF($NO$9="Bell_Curve",$NM$9*(89-$NQ$9+1)*($NR$9-89+1)/$NT$9,$NM$9/$NS$9)),0)</f>
        <v/>
      </c>
      <c r="CO9" s="18">
        <f>IF(AND(90&gt;=$NQ$9,90&lt;=$NR$9),IF($NO$9="Single_Point",IF(90=$NQ$9,$NM$9,0),IF($NO$9="Bell_Curve",$NM$9*(90-$NQ$9+1)*($NR$9-90+1)/$NT$9,$NM$9/$NS$9)),0)</f>
        <v/>
      </c>
      <c r="CP9" s="18">
        <f>IF(AND(91&gt;=$NQ$9,91&lt;=$NR$9),IF($NO$9="Single_Point",IF(91=$NQ$9,$NM$9,0),IF($NO$9="Bell_Curve",$NM$9*(91-$NQ$9+1)*($NR$9-91+1)/$NT$9,$NM$9/$NS$9)),0)</f>
        <v/>
      </c>
      <c r="CQ9" s="18">
        <f>IF(AND(92&gt;=$NQ$9,92&lt;=$NR$9),IF($NO$9="Single_Point",IF(92=$NQ$9,$NM$9,0),IF($NO$9="Bell_Curve",$NM$9*(92-$NQ$9+1)*($NR$9-92+1)/$NT$9,$NM$9/$NS$9)),0)</f>
        <v/>
      </c>
      <c r="CR9" s="18">
        <f>IF(AND(93&gt;=$NQ$9,93&lt;=$NR$9),IF($NO$9="Single_Point",IF(93=$NQ$9,$NM$9,0),IF($NO$9="Bell_Curve",$NM$9*(93-$NQ$9+1)*($NR$9-93+1)/$NT$9,$NM$9/$NS$9)),0)</f>
        <v/>
      </c>
      <c r="CS9" s="18">
        <f>IF(AND(94&gt;=$NQ$9,94&lt;=$NR$9),IF($NO$9="Single_Point",IF(94=$NQ$9,$NM$9,0),IF($NO$9="Bell_Curve",$NM$9*(94-$NQ$9+1)*($NR$9-94+1)/$NT$9,$NM$9/$NS$9)),0)</f>
        <v/>
      </c>
      <c r="CT9" s="18">
        <f>IF(AND(95&gt;=$NQ$9,95&lt;=$NR$9),IF($NO$9="Single_Point",IF(95=$NQ$9,$NM$9,0),IF($NO$9="Bell_Curve",$NM$9*(95-$NQ$9+1)*($NR$9-95+1)/$NT$9,$NM$9/$NS$9)),0)</f>
        <v/>
      </c>
      <c r="CU9" s="18">
        <f>IF(AND(96&gt;=$NQ$9,96&lt;=$NR$9),IF($NO$9="Single_Point",IF(96=$NQ$9,$NM$9,0),IF($NO$9="Bell_Curve",$NM$9*(96-$NQ$9+1)*($NR$9-96+1)/$NT$9,$NM$9/$NS$9)),0)</f>
        <v/>
      </c>
      <c r="CV9" s="18">
        <f>IF(AND(97&gt;=$NQ$9,97&lt;=$NR$9),IF($NO$9="Single_Point",IF(97=$NQ$9,$NM$9,0),IF($NO$9="Bell_Curve",$NM$9*(97-$NQ$9+1)*($NR$9-97+1)/$NT$9,$NM$9/$NS$9)),0)</f>
        <v/>
      </c>
      <c r="CW9" s="18">
        <f>IF(AND(98&gt;=$NQ$9,98&lt;=$NR$9),IF($NO$9="Single_Point",IF(98=$NQ$9,$NM$9,0),IF($NO$9="Bell_Curve",$NM$9*(98-$NQ$9+1)*($NR$9-98+1)/$NT$9,$NM$9/$NS$9)),0)</f>
        <v/>
      </c>
      <c r="CX9" s="18">
        <f>IF(AND(99&gt;=$NQ$9,99&lt;=$NR$9),IF($NO$9="Single_Point",IF(99=$NQ$9,$NM$9,0),IF($NO$9="Bell_Curve",$NM$9*(99-$NQ$9+1)*($NR$9-99+1)/$NT$9,$NM$9/$NS$9)),0)</f>
        <v/>
      </c>
      <c r="CY9" s="18">
        <f>IF(AND(100&gt;=$NQ$9,100&lt;=$NR$9),IF($NO$9="Single_Point",IF(100=$NQ$9,$NM$9,0),IF($NO$9="Bell_Curve",$NM$9*(100-$NQ$9+1)*($NR$9-100+1)/$NT$9,$NM$9/$NS$9)),0)</f>
        <v/>
      </c>
      <c r="CZ9" s="18">
        <f>IF(AND(101&gt;=$NQ$9,101&lt;=$NR$9),IF($NO$9="Single_Point",IF(101=$NQ$9,$NM$9,0),IF($NO$9="Bell_Curve",$NM$9*(101-$NQ$9+1)*($NR$9-101+1)/$NT$9,$NM$9/$NS$9)),0)</f>
        <v/>
      </c>
      <c r="DA9" s="18">
        <f>IF(AND(102&gt;=$NQ$9,102&lt;=$NR$9),IF($NO$9="Single_Point",IF(102=$NQ$9,$NM$9,0),IF($NO$9="Bell_Curve",$NM$9*(102-$NQ$9+1)*($NR$9-102+1)/$NT$9,$NM$9/$NS$9)),0)</f>
        <v/>
      </c>
      <c r="DB9" s="18">
        <f>IF(AND(103&gt;=$NQ$9,103&lt;=$NR$9),IF($NO$9="Single_Point",IF(103=$NQ$9,$NM$9,0),IF($NO$9="Bell_Curve",$NM$9*(103-$NQ$9+1)*($NR$9-103+1)/$NT$9,$NM$9/$NS$9)),0)</f>
        <v/>
      </c>
      <c r="DC9" s="18">
        <f>IF(AND(104&gt;=$NQ$9,104&lt;=$NR$9),IF($NO$9="Single_Point",IF(104=$NQ$9,$NM$9,0),IF($NO$9="Bell_Curve",$NM$9*(104-$NQ$9+1)*($NR$9-104+1)/$NT$9,$NM$9/$NS$9)),0)</f>
        <v/>
      </c>
      <c r="DD9" s="18">
        <f>IF(AND(105&gt;=$NQ$9,105&lt;=$NR$9),IF($NO$9="Single_Point",IF(105=$NQ$9,$NM$9,0),IF($NO$9="Bell_Curve",$NM$9*(105-$NQ$9+1)*($NR$9-105+1)/$NT$9,$NM$9/$NS$9)),0)</f>
        <v/>
      </c>
      <c r="DE9" s="18">
        <f>IF(AND(106&gt;=$NQ$9,106&lt;=$NR$9),IF($NO$9="Single_Point",IF(106=$NQ$9,$NM$9,0),IF($NO$9="Bell_Curve",$NM$9*(106-$NQ$9+1)*($NR$9-106+1)/$NT$9,$NM$9/$NS$9)),0)</f>
        <v/>
      </c>
      <c r="DF9" s="18">
        <f>IF(AND(107&gt;=$NQ$9,107&lt;=$NR$9),IF($NO$9="Single_Point",IF(107=$NQ$9,$NM$9,0),IF($NO$9="Bell_Curve",$NM$9*(107-$NQ$9+1)*($NR$9-107+1)/$NT$9,$NM$9/$NS$9)),0)</f>
        <v/>
      </c>
      <c r="DG9" s="18">
        <f>IF(AND(108&gt;=$NQ$9,108&lt;=$NR$9),IF($NO$9="Single_Point",IF(108=$NQ$9,$NM$9,0),IF($NO$9="Bell_Curve",$NM$9*(108-$NQ$9+1)*($NR$9-108+1)/$NT$9,$NM$9/$NS$9)),0)</f>
        <v/>
      </c>
      <c r="DH9" s="18">
        <f>IF(AND(109&gt;=$NQ$9,109&lt;=$NR$9),IF($NO$9="Single_Point",IF(109=$NQ$9,$NM$9,0),IF($NO$9="Bell_Curve",$NM$9*(109-$NQ$9+1)*($NR$9-109+1)/$NT$9,$NM$9/$NS$9)),0)</f>
        <v/>
      </c>
      <c r="DI9" s="18">
        <f>IF(AND(110&gt;=$NQ$9,110&lt;=$NR$9),IF($NO$9="Single_Point",IF(110=$NQ$9,$NM$9,0),IF($NO$9="Bell_Curve",$NM$9*(110-$NQ$9+1)*($NR$9-110+1)/$NT$9,$NM$9/$NS$9)),0)</f>
        <v/>
      </c>
      <c r="DJ9" s="18">
        <f>IF(AND(111&gt;=$NQ$9,111&lt;=$NR$9),IF($NO$9="Single_Point",IF(111=$NQ$9,$NM$9,0),IF($NO$9="Bell_Curve",$NM$9*(111-$NQ$9+1)*($NR$9-111+1)/$NT$9,$NM$9/$NS$9)),0)</f>
        <v/>
      </c>
      <c r="DK9" s="18">
        <f>IF(AND(112&gt;=$NQ$9,112&lt;=$NR$9),IF($NO$9="Single_Point",IF(112=$NQ$9,$NM$9,0),IF($NO$9="Bell_Curve",$NM$9*(112-$NQ$9+1)*($NR$9-112+1)/$NT$9,$NM$9/$NS$9)),0)</f>
        <v/>
      </c>
      <c r="DL9" s="18">
        <f>IF(AND(113&gt;=$NQ$9,113&lt;=$NR$9),IF($NO$9="Single_Point",IF(113=$NQ$9,$NM$9,0),IF($NO$9="Bell_Curve",$NM$9*(113-$NQ$9+1)*($NR$9-113+1)/$NT$9,$NM$9/$NS$9)),0)</f>
        <v/>
      </c>
      <c r="DM9" s="18">
        <f>IF(AND(114&gt;=$NQ$9,114&lt;=$NR$9),IF($NO$9="Single_Point",IF(114=$NQ$9,$NM$9,0),IF($NO$9="Bell_Curve",$NM$9*(114-$NQ$9+1)*($NR$9-114+1)/$NT$9,$NM$9/$NS$9)),0)</f>
        <v/>
      </c>
      <c r="DN9" s="18">
        <f>IF(AND(115&gt;=$NQ$9,115&lt;=$NR$9),IF($NO$9="Single_Point",IF(115=$NQ$9,$NM$9,0),IF($NO$9="Bell_Curve",$NM$9*(115-$NQ$9+1)*($NR$9-115+1)/$NT$9,$NM$9/$NS$9)),0)</f>
        <v/>
      </c>
      <c r="DO9" s="18">
        <f>IF(AND(116&gt;=$NQ$9,116&lt;=$NR$9),IF($NO$9="Single_Point",IF(116=$NQ$9,$NM$9,0),IF($NO$9="Bell_Curve",$NM$9*(116-$NQ$9+1)*($NR$9-116+1)/$NT$9,$NM$9/$NS$9)),0)</f>
        <v/>
      </c>
      <c r="DP9" s="18">
        <f>IF(AND(117&gt;=$NQ$9,117&lt;=$NR$9),IF($NO$9="Single_Point",IF(117=$NQ$9,$NM$9,0),IF($NO$9="Bell_Curve",$NM$9*(117-$NQ$9+1)*($NR$9-117+1)/$NT$9,$NM$9/$NS$9)),0)</f>
        <v/>
      </c>
      <c r="DQ9" s="18">
        <f>IF(AND(118&gt;=$NQ$9,118&lt;=$NR$9),IF($NO$9="Single_Point",IF(118=$NQ$9,$NM$9,0),IF($NO$9="Bell_Curve",$NM$9*(118-$NQ$9+1)*($NR$9-118+1)/$NT$9,$NM$9/$NS$9)),0)</f>
        <v/>
      </c>
      <c r="DR9" s="18">
        <f>IF(AND(119&gt;=$NQ$9,119&lt;=$NR$9),IF($NO$9="Single_Point",IF(119=$NQ$9,$NM$9,0),IF($NO$9="Bell_Curve",$NM$9*(119-$NQ$9+1)*($NR$9-119+1)/$NT$9,$NM$9/$NS$9)),0)</f>
        <v/>
      </c>
      <c r="DS9" s="18">
        <f>IF(AND(120&gt;=$NQ$9,120&lt;=$NR$9),IF($NO$9="Single_Point",IF(120=$NQ$9,$NM$9,0),IF($NO$9="Bell_Curve",$NM$9*(120-$NQ$9+1)*($NR$9-120+1)/$NT$9,$NM$9/$NS$9)),0)</f>
        <v/>
      </c>
      <c r="DT9" s="18">
        <f>IF(AND(121&gt;=$NQ$9,121&lt;=$NR$9),IF($NO$9="Single_Point",IF(121=$NQ$9,$NM$9,0),IF($NO$9="Bell_Curve",$NM$9*(121-$NQ$9+1)*($NR$9-121+1)/$NT$9,$NM$9/$NS$9)),0)</f>
        <v/>
      </c>
      <c r="DU9" s="18">
        <f>IF(AND(122&gt;=$NQ$9,122&lt;=$NR$9),IF($NO$9="Single_Point",IF(122=$NQ$9,$NM$9,0),IF($NO$9="Bell_Curve",$NM$9*(122-$NQ$9+1)*($NR$9-122+1)/$NT$9,$NM$9/$NS$9)),0)</f>
        <v/>
      </c>
      <c r="DV9" s="18">
        <f>IF(AND(123&gt;=$NQ$9,123&lt;=$NR$9),IF($NO$9="Single_Point",IF(123=$NQ$9,$NM$9,0),IF($NO$9="Bell_Curve",$NM$9*(123-$NQ$9+1)*($NR$9-123+1)/$NT$9,$NM$9/$NS$9)),0)</f>
        <v/>
      </c>
      <c r="DW9" s="18">
        <f>IF(AND(124&gt;=$NQ$9,124&lt;=$NR$9),IF($NO$9="Single_Point",IF(124=$NQ$9,$NM$9,0),IF($NO$9="Bell_Curve",$NM$9*(124-$NQ$9+1)*($NR$9-124+1)/$NT$9,$NM$9/$NS$9)),0)</f>
        <v/>
      </c>
      <c r="DX9" s="18">
        <f>IF(AND(125&gt;=$NQ$9,125&lt;=$NR$9),IF($NO$9="Single_Point",IF(125=$NQ$9,$NM$9,0),IF($NO$9="Bell_Curve",$NM$9*(125-$NQ$9+1)*($NR$9-125+1)/$NT$9,$NM$9/$NS$9)),0)</f>
        <v/>
      </c>
      <c r="DY9" s="18">
        <f>IF(AND(126&gt;=$NQ$9,126&lt;=$NR$9),IF($NO$9="Single_Point",IF(126=$NQ$9,$NM$9,0),IF($NO$9="Bell_Curve",$NM$9*(126-$NQ$9+1)*($NR$9-126+1)/$NT$9,$NM$9/$NS$9)),0)</f>
        <v/>
      </c>
      <c r="DZ9" s="18">
        <f>IF(AND(127&gt;=$NQ$9,127&lt;=$NR$9),IF($NO$9="Single_Point",IF(127=$NQ$9,$NM$9,0),IF($NO$9="Bell_Curve",$NM$9*(127-$NQ$9+1)*($NR$9-127+1)/$NT$9,$NM$9/$NS$9)),0)</f>
        <v/>
      </c>
      <c r="EA9" s="18">
        <f>IF(AND(128&gt;=$NQ$9,128&lt;=$NR$9),IF($NO$9="Single_Point",IF(128=$NQ$9,$NM$9,0),IF($NO$9="Bell_Curve",$NM$9*(128-$NQ$9+1)*($NR$9-128+1)/$NT$9,$NM$9/$NS$9)),0)</f>
        <v/>
      </c>
      <c r="EB9" s="18">
        <f>IF(AND(129&gt;=$NQ$9,129&lt;=$NR$9),IF($NO$9="Single_Point",IF(129=$NQ$9,$NM$9,0),IF($NO$9="Bell_Curve",$NM$9*(129-$NQ$9+1)*($NR$9-129+1)/$NT$9,$NM$9/$NS$9)),0)</f>
        <v/>
      </c>
      <c r="EC9" s="18">
        <f>IF(AND(130&gt;=$NQ$9,130&lt;=$NR$9),IF($NO$9="Single_Point",IF(130=$NQ$9,$NM$9,0),IF($NO$9="Bell_Curve",$NM$9*(130-$NQ$9+1)*($NR$9-130+1)/$NT$9,$NM$9/$NS$9)),0)</f>
        <v/>
      </c>
      <c r="ED9" s="18">
        <f>IF(AND(131&gt;=$NQ$9,131&lt;=$NR$9),IF($NO$9="Single_Point",IF(131=$NQ$9,$NM$9,0),IF($NO$9="Bell_Curve",$NM$9*(131-$NQ$9+1)*($NR$9-131+1)/$NT$9,$NM$9/$NS$9)),0)</f>
        <v/>
      </c>
      <c r="EE9" s="18">
        <f>IF(AND(132&gt;=$NQ$9,132&lt;=$NR$9),IF($NO$9="Single_Point",IF(132=$NQ$9,$NM$9,0),IF($NO$9="Bell_Curve",$NM$9*(132-$NQ$9+1)*($NR$9-132+1)/$NT$9,$NM$9/$NS$9)),0)</f>
        <v/>
      </c>
      <c r="EF9" s="18">
        <f>IF(AND(133&gt;=$NQ$9,133&lt;=$NR$9),IF($NO$9="Single_Point",IF(133=$NQ$9,$NM$9,0),IF($NO$9="Bell_Curve",$NM$9*(133-$NQ$9+1)*($NR$9-133+1)/$NT$9,$NM$9/$NS$9)),0)</f>
        <v/>
      </c>
      <c r="EG9" s="18">
        <f>IF(AND(134&gt;=$NQ$9,134&lt;=$NR$9),IF($NO$9="Single_Point",IF(134=$NQ$9,$NM$9,0),IF($NO$9="Bell_Curve",$NM$9*(134-$NQ$9+1)*($NR$9-134+1)/$NT$9,$NM$9/$NS$9)),0)</f>
        <v/>
      </c>
      <c r="EH9" s="18">
        <f>IF(AND(135&gt;=$NQ$9,135&lt;=$NR$9),IF($NO$9="Single_Point",IF(135=$NQ$9,$NM$9,0),IF($NO$9="Bell_Curve",$NM$9*(135-$NQ$9+1)*($NR$9-135+1)/$NT$9,$NM$9/$NS$9)),0)</f>
        <v/>
      </c>
      <c r="EI9" s="18">
        <f>IF(AND(136&gt;=$NQ$9,136&lt;=$NR$9),IF($NO$9="Single_Point",IF(136=$NQ$9,$NM$9,0),IF($NO$9="Bell_Curve",$NM$9*(136-$NQ$9+1)*($NR$9-136+1)/$NT$9,$NM$9/$NS$9)),0)</f>
        <v/>
      </c>
      <c r="EJ9" s="18">
        <f>IF(AND(137&gt;=$NQ$9,137&lt;=$NR$9),IF($NO$9="Single_Point",IF(137=$NQ$9,$NM$9,0),IF($NO$9="Bell_Curve",$NM$9*(137-$NQ$9+1)*($NR$9-137+1)/$NT$9,$NM$9/$NS$9)),0)</f>
        <v/>
      </c>
      <c r="EK9" s="18">
        <f>IF(AND(138&gt;=$NQ$9,138&lt;=$NR$9),IF($NO$9="Single_Point",IF(138=$NQ$9,$NM$9,0),IF($NO$9="Bell_Curve",$NM$9*(138-$NQ$9+1)*($NR$9-138+1)/$NT$9,$NM$9/$NS$9)),0)</f>
        <v/>
      </c>
      <c r="EL9" s="18">
        <f>IF(AND(139&gt;=$NQ$9,139&lt;=$NR$9),IF($NO$9="Single_Point",IF(139=$NQ$9,$NM$9,0),IF($NO$9="Bell_Curve",$NM$9*(139-$NQ$9+1)*($NR$9-139+1)/$NT$9,$NM$9/$NS$9)),0)</f>
        <v/>
      </c>
      <c r="EM9" s="18">
        <f>IF(AND(140&gt;=$NQ$9,140&lt;=$NR$9),IF($NO$9="Single_Point",IF(140=$NQ$9,$NM$9,0),IF($NO$9="Bell_Curve",$NM$9*(140-$NQ$9+1)*($NR$9-140+1)/$NT$9,$NM$9/$NS$9)),0)</f>
        <v/>
      </c>
      <c r="EN9" s="18">
        <f>IF(AND(141&gt;=$NQ$9,141&lt;=$NR$9),IF($NO$9="Single_Point",IF(141=$NQ$9,$NM$9,0),IF($NO$9="Bell_Curve",$NM$9*(141-$NQ$9+1)*($NR$9-141+1)/$NT$9,$NM$9/$NS$9)),0)</f>
        <v/>
      </c>
      <c r="EO9" s="18">
        <f>IF(AND(142&gt;=$NQ$9,142&lt;=$NR$9),IF($NO$9="Single_Point",IF(142=$NQ$9,$NM$9,0),IF($NO$9="Bell_Curve",$NM$9*(142-$NQ$9+1)*($NR$9-142+1)/$NT$9,$NM$9/$NS$9)),0)</f>
        <v/>
      </c>
      <c r="EP9" s="18">
        <f>IF(AND(143&gt;=$NQ$9,143&lt;=$NR$9),IF($NO$9="Single_Point",IF(143=$NQ$9,$NM$9,0),IF($NO$9="Bell_Curve",$NM$9*(143-$NQ$9+1)*($NR$9-143+1)/$NT$9,$NM$9/$NS$9)),0)</f>
        <v/>
      </c>
      <c r="EQ9" s="18">
        <f>IF(AND(144&gt;=$NQ$9,144&lt;=$NR$9),IF($NO$9="Single_Point",IF(144=$NQ$9,$NM$9,0),IF($NO$9="Bell_Curve",$NM$9*(144-$NQ$9+1)*($NR$9-144+1)/$NT$9,$NM$9/$NS$9)),0)</f>
        <v/>
      </c>
      <c r="ER9" s="18">
        <f>IF(AND(145&gt;=$NQ$9,145&lt;=$NR$9),IF($NO$9="Single_Point",IF(145=$NQ$9,$NM$9,0),IF($NO$9="Bell_Curve",$NM$9*(145-$NQ$9+1)*($NR$9-145+1)/$NT$9,$NM$9/$NS$9)),0)</f>
        <v/>
      </c>
      <c r="ES9" s="18">
        <f>IF(AND(146&gt;=$NQ$9,146&lt;=$NR$9),IF($NO$9="Single_Point",IF(146=$NQ$9,$NM$9,0),IF($NO$9="Bell_Curve",$NM$9*(146-$NQ$9+1)*($NR$9-146+1)/$NT$9,$NM$9/$NS$9)),0)</f>
        <v/>
      </c>
      <c r="ET9" s="18">
        <f>IF(AND(147&gt;=$NQ$9,147&lt;=$NR$9),IF($NO$9="Single_Point",IF(147=$NQ$9,$NM$9,0),IF($NO$9="Bell_Curve",$NM$9*(147-$NQ$9+1)*($NR$9-147+1)/$NT$9,$NM$9/$NS$9)),0)</f>
        <v/>
      </c>
      <c r="EU9" s="18">
        <f>IF(AND(148&gt;=$NQ$9,148&lt;=$NR$9),IF($NO$9="Single_Point",IF(148=$NQ$9,$NM$9,0),IF($NO$9="Bell_Curve",$NM$9*(148-$NQ$9+1)*($NR$9-148+1)/$NT$9,$NM$9/$NS$9)),0)</f>
        <v/>
      </c>
      <c r="EV9" s="18">
        <f>IF(AND(149&gt;=$NQ$9,149&lt;=$NR$9),IF($NO$9="Single_Point",IF(149=$NQ$9,$NM$9,0),IF($NO$9="Bell_Curve",$NM$9*(149-$NQ$9+1)*($NR$9-149+1)/$NT$9,$NM$9/$NS$9)),0)</f>
        <v/>
      </c>
      <c r="EW9" s="18">
        <f>IF(AND(150&gt;=$NQ$9,150&lt;=$NR$9),IF($NO$9="Single_Point",IF(150=$NQ$9,$NM$9,0),IF($NO$9="Bell_Curve",$NM$9*(150-$NQ$9+1)*($NR$9-150+1)/$NT$9,$NM$9/$NS$9)),0)</f>
        <v/>
      </c>
      <c r="EX9" s="18">
        <f>IF(AND(151&gt;=$NQ$9,151&lt;=$NR$9),IF($NO$9="Single_Point",IF(151=$NQ$9,$NM$9,0),IF($NO$9="Bell_Curve",$NM$9*(151-$NQ$9+1)*($NR$9-151+1)/$NT$9,$NM$9/$NS$9)),0)</f>
        <v/>
      </c>
      <c r="EY9" s="18">
        <f>IF(AND(152&gt;=$NQ$9,152&lt;=$NR$9),IF($NO$9="Single_Point",IF(152=$NQ$9,$NM$9,0),IF($NO$9="Bell_Curve",$NM$9*(152-$NQ$9+1)*($NR$9-152+1)/$NT$9,$NM$9/$NS$9)),0)</f>
        <v/>
      </c>
      <c r="EZ9" s="18">
        <f>IF(AND(153&gt;=$NQ$9,153&lt;=$NR$9),IF($NO$9="Single_Point",IF(153=$NQ$9,$NM$9,0),IF($NO$9="Bell_Curve",$NM$9*(153-$NQ$9+1)*($NR$9-153+1)/$NT$9,$NM$9/$NS$9)),0)</f>
        <v/>
      </c>
      <c r="FA9" s="18">
        <f>IF(AND(154&gt;=$NQ$9,154&lt;=$NR$9),IF($NO$9="Single_Point",IF(154=$NQ$9,$NM$9,0),IF($NO$9="Bell_Curve",$NM$9*(154-$NQ$9+1)*($NR$9-154+1)/$NT$9,$NM$9/$NS$9)),0)</f>
        <v/>
      </c>
      <c r="FB9" s="18">
        <f>IF(AND(155&gt;=$NQ$9,155&lt;=$NR$9),IF($NO$9="Single_Point",IF(155=$NQ$9,$NM$9,0),IF($NO$9="Bell_Curve",$NM$9*(155-$NQ$9+1)*($NR$9-155+1)/$NT$9,$NM$9/$NS$9)),0)</f>
        <v/>
      </c>
      <c r="FC9" s="18">
        <f>IF(AND(156&gt;=$NQ$9,156&lt;=$NR$9),IF($NO$9="Single_Point",IF(156=$NQ$9,$NM$9,0),IF($NO$9="Bell_Curve",$NM$9*(156-$NQ$9+1)*($NR$9-156+1)/$NT$9,$NM$9/$NS$9)),0)</f>
        <v/>
      </c>
      <c r="FD9" s="18">
        <f>IF(AND(157&gt;=$NQ$9,157&lt;=$NR$9),IF($NO$9="Single_Point",IF(157=$NQ$9,$NM$9,0),IF($NO$9="Bell_Curve",$NM$9*(157-$NQ$9+1)*($NR$9-157+1)/$NT$9,$NM$9/$NS$9)),0)</f>
        <v/>
      </c>
      <c r="FE9" s="18">
        <f>IF(AND(158&gt;=$NQ$9,158&lt;=$NR$9),IF($NO$9="Single_Point",IF(158=$NQ$9,$NM$9,0),IF($NO$9="Bell_Curve",$NM$9*(158-$NQ$9+1)*($NR$9-158+1)/$NT$9,$NM$9/$NS$9)),0)</f>
        <v/>
      </c>
      <c r="FF9" s="18">
        <f>IF(AND(159&gt;=$NQ$9,159&lt;=$NR$9),IF($NO$9="Single_Point",IF(159=$NQ$9,$NM$9,0),IF($NO$9="Bell_Curve",$NM$9*(159-$NQ$9+1)*($NR$9-159+1)/$NT$9,$NM$9/$NS$9)),0)</f>
        <v/>
      </c>
      <c r="FG9" s="18">
        <f>IF(AND(160&gt;=$NQ$9,160&lt;=$NR$9),IF($NO$9="Single_Point",IF(160=$NQ$9,$NM$9,0),IF($NO$9="Bell_Curve",$NM$9*(160-$NQ$9+1)*($NR$9-160+1)/$NT$9,$NM$9/$NS$9)),0)</f>
        <v/>
      </c>
      <c r="FH9" s="18">
        <f>IF(AND(161&gt;=$NQ$9,161&lt;=$NR$9),IF($NO$9="Single_Point",IF(161=$NQ$9,$NM$9,0),IF($NO$9="Bell_Curve",$NM$9*(161-$NQ$9+1)*($NR$9-161+1)/$NT$9,$NM$9/$NS$9)),0)</f>
        <v/>
      </c>
      <c r="FI9" s="18">
        <f>IF(AND(162&gt;=$NQ$9,162&lt;=$NR$9),IF($NO$9="Single_Point",IF(162=$NQ$9,$NM$9,0),IF($NO$9="Bell_Curve",$NM$9*(162-$NQ$9+1)*($NR$9-162+1)/$NT$9,$NM$9/$NS$9)),0)</f>
        <v/>
      </c>
      <c r="FJ9" s="18">
        <f>IF(AND(163&gt;=$NQ$9,163&lt;=$NR$9),IF($NO$9="Single_Point",IF(163=$NQ$9,$NM$9,0),IF($NO$9="Bell_Curve",$NM$9*(163-$NQ$9+1)*($NR$9-163+1)/$NT$9,$NM$9/$NS$9)),0)</f>
        <v/>
      </c>
      <c r="FK9" s="18">
        <f>IF(AND(164&gt;=$NQ$9,164&lt;=$NR$9),IF($NO$9="Single_Point",IF(164=$NQ$9,$NM$9,0),IF($NO$9="Bell_Curve",$NM$9*(164-$NQ$9+1)*($NR$9-164+1)/$NT$9,$NM$9/$NS$9)),0)</f>
        <v/>
      </c>
      <c r="FL9" s="18">
        <f>IF(AND(165&gt;=$NQ$9,165&lt;=$NR$9),IF($NO$9="Single_Point",IF(165=$NQ$9,$NM$9,0),IF($NO$9="Bell_Curve",$NM$9*(165-$NQ$9+1)*($NR$9-165+1)/$NT$9,$NM$9/$NS$9)),0)</f>
        <v/>
      </c>
      <c r="FM9" s="18">
        <f>IF(AND(166&gt;=$NQ$9,166&lt;=$NR$9),IF($NO$9="Single_Point",IF(166=$NQ$9,$NM$9,0),IF($NO$9="Bell_Curve",$NM$9*(166-$NQ$9+1)*($NR$9-166+1)/$NT$9,$NM$9/$NS$9)),0)</f>
        <v/>
      </c>
      <c r="FN9" s="18">
        <f>IF(AND(167&gt;=$NQ$9,167&lt;=$NR$9),IF($NO$9="Single_Point",IF(167=$NQ$9,$NM$9,0),IF($NO$9="Bell_Curve",$NM$9*(167-$NQ$9+1)*($NR$9-167+1)/$NT$9,$NM$9/$NS$9)),0)</f>
        <v/>
      </c>
      <c r="FO9" s="18">
        <f>IF(AND(168&gt;=$NQ$9,168&lt;=$NR$9),IF($NO$9="Single_Point",IF(168=$NQ$9,$NM$9,0),IF($NO$9="Bell_Curve",$NM$9*(168-$NQ$9+1)*($NR$9-168+1)/$NT$9,$NM$9/$NS$9)),0)</f>
        <v/>
      </c>
      <c r="FP9" s="18">
        <f>IF(AND(169&gt;=$NQ$9,169&lt;=$NR$9),IF($NO$9="Single_Point",IF(169=$NQ$9,$NM$9,0),IF($NO$9="Bell_Curve",$NM$9*(169-$NQ$9+1)*($NR$9-169+1)/$NT$9,$NM$9/$NS$9)),0)</f>
        <v/>
      </c>
      <c r="FQ9" s="18">
        <f>IF(AND(170&gt;=$NQ$9,170&lt;=$NR$9),IF($NO$9="Single_Point",IF(170=$NQ$9,$NM$9,0),IF($NO$9="Bell_Curve",$NM$9*(170-$NQ$9+1)*($NR$9-170+1)/$NT$9,$NM$9/$NS$9)),0)</f>
        <v/>
      </c>
      <c r="FR9" s="18">
        <f>IF(AND(171&gt;=$NQ$9,171&lt;=$NR$9),IF($NO$9="Single_Point",IF(171=$NQ$9,$NM$9,0),IF($NO$9="Bell_Curve",$NM$9*(171-$NQ$9+1)*($NR$9-171+1)/$NT$9,$NM$9/$NS$9)),0)</f>
        <v/>
      </c>
      <c r="FS9" s="18">
        <f>IF(AND(172&gt;=$NQ$9,172&lt;=$NR$9),IF($NO$9="Single_Point",IF(172=$NQ$9,$NM$9,0),IF($NO$9="Bell_Curve",$NM$9*(172-$NQ$9+1)*($NR$9-172+1)/$NT$9,$NM$9/$NS$9)),0)</f>
        <v/>
      </c>
      <c r="FT9" s="18">
        <f>IF(AND(173&gt;=$NQ$9,173&lt;=$NR$9),IF($NO$9="Single_Point",IF(173=$NQ$9,$NM$9,0),IF($NO$9="Bell_Curve",$NM$9*(173-$NQ$9+1)*($NR$9-173+1)/$NT$9,$NM$9/$NS$9)),0)</f>
        <v/>
      </c>
      <c r="FU9" s="18">
        <f>IF(AND(174&gt;=$NQ$9,174&lt;=$NR$9),IF($NO$9="Single_Point",IF(174=$NQ$9,$NM$9,0),IF($NO$9="Bell_Curve",$NM$9*(174-$NQ$9+1)*($NR$9-174+1)/$NT$9,$NM$9/$NS$9)),0)</f>
        <v/>
      </c>
      <c r="FV9" s="18">
        <f>IF(AND(175&gt;=$NQ$9,175&lt;=$NR$9),IF($NO$9="Single_Point",IF(175=$NQ$9,$NM$9,0),IF($NO$9="Bell_Curve",$NM$9*(175-$NQ$9+1)*($NR$9-175+1)/$NT$9,$NM$9/$NS$9)),0)</f>
        <v/>
      </c>
      <c r="FW9" s="18">
        <f>IF(AND(176&gt;=$NQ$9,176&lt;=$NR$9),IF($NO$9="Single_Point",IF(176=$NQ$9,$NM$9,0),IF($NO$9="Bell_Curve",$NM$9*(176-$NQ$9+1)*($NR$9-176+1)/$NT$9,$NM$9/$NS$9)),0)</f>
        <v/>
      </c>
      <c r="FX9" s="18">
        <f>IF(AND(177&gt;=$NQ$9,177&lt;=$NR$9),IF($NO$9="Single_Point",IF(177=$NQ$9,$NM$9,0),IF($NO$9="Bell_Curve",$NM$9*(177-$NQ$9+1)*($NR$9-177+1)/$NT$9,$NM$9/$NS$9)),0)</f>
        <v/>
      </c>
      <c r="FY9" s="18">
        <f>IF(AND(178&gt;=$NQ$9,178&lt;=$NR$9),IF($NO$9="Single_Point",IF(178=$NQ$9,$NM$9,0),IF($NO$9="Bell_Curve",$NM$9*(178-$NQ$9+1)*($NR$9-178+1)/$NT$9,$NM$9/$NS$9)),0)</f>
        <v/>
      </c>
      <c r="FZ9" s="18">
        <f>IF(AND(179&gt;=$NQ$9,179&lt;=$NR$9),IF($NO$9="Single_Point",IF(179=$NQ$9,$NM$9,0),IF($NO$9="Bell_Curve",$NM$9*(179-$NQ$9+1)*($NR$9-179+1)/$NT$9,$NM$9/$NS$9)),0)</f>
        <v/>
      </c>
      <c r="GA9" s="18">
        <f>IF(AND(180&gt;=$NQ$9,180&lt;=$NR$9),IF($NO$9="Single_Point",IF(180=$NQ$9,$NM$9,0),IF($NO$9="Bell_Curve",$NM$9*(180-$NQ$9+1)*($NR$9-180+1)/$NT$9,$NM$9/$NS$9)),0)</f>
        <v/>
      </c>
      <c r="GB9" s="18">
        <f>IF(AND(181&gt;=$NQ$9,181&lt;=$NR$9),IF($NO$9="Single_Point",IF(181=$NQ$9,$NM$9,0),IF($NO$9="Bell_Curve",$NM$9*(181-$NQ$9+1)*($NR$9-181+1)/$NT$9,$NM$9/$NS$9)),0)</f>
        <v/>
      </c>
      <c r="GC9" s="18">
        <f>IF(AND(182&gt;=$NQ$9,182&lt;=$NR$9),IF($NO$9="Single_Point",IF(182=$NQ$9,$NM$9,0),IF($NO$9="Bell_Curve",$NM$9*(182-$NQ$9+1)*($NR$9-182+1)/$NT$9,$NM$9/$NS$9)),0)</f>
        <v/>
      </c>
      <c r="GD9" s="18">
        <f>IF(AND(183&gt;=$NQ$9,183&lt;=$NR$9),IF($NO$9="Single_Point",IF(183=$NQ$9,$NM$9,0),IF($NO$9="Bell_Curve",$NM$9*(183-$NQ$9+1)*($NR$9-183+1)/$NT$9,$NM$9/$NS$9)),0)</f>
        <v/>
      </c>
      <c r="GE9" s="18">
        <f>IF(AND(184&gt;=$NQ$9,184&lt;=$NR$9),IF($NO$9="Single_Point",IF(184=$NQ$9,$NM$9,0),IF($NO$9="Bell_Curve",$NM$9*(184-$NQ$9+1)*($NR$9-184+1)/$NT$9,$NM$9/$NS$9)),0)</f>
        <v/>
      </c>
      <c r="GF9" s="18">
        <f>IF(AND(185&gt;=$NQ$9,185&lt;=$NR$9),IF($NO$9="Single_Point",IF(185=$NQ$9,$NM$9,0),IF($NO$9="Bell_Curve",$NM$9*(185-$NQ$9+1)*($NR$9-185+1)/$NT$9,$NM$9/$NS$9)),0)</f>
        <v/>
      </c>
      <c r="GG9" s="18">
        <f>IF(AND(186&gt;=$NQ$9,186&lt;=$NR$9),IF($NO$9="Single_Point",IF(186=$NQ$9,$NM$9,0),IF($NO$9="Bell_Curve",$NM$9*(186-$NQ$9+1)*($NR$9-186+1)/$NT$9,$NM$9/$NS$9)),0)</f>
        <v/>
      </c>
      <c r="GH9" s="18">
        <f>IF(AND(187&gt;=$NQ$9,187&lt;=$NR$9),IF($NO$9="Single_Point",IF(187=$NQ$9,$NM$9,0),IF($NO$9="Bell_Curve",$NM$9*(187-$NQ$9+1)*($NR$9-187+1)/$NT$9,$NM$9/$NS$9)),0)</f>
        <v/>
      </c>
      <c r="GI9" s="18">
        <f>IF(AND(188&gt;=$NQ$9,188&lt;=$NR$9),IF($NO$9="Single_Point",IF(188=$NQ$9,$NM$9,0),IF($NO$9="Bell_Curve",$NM$9*(188-$NQ$9+1)*($NR$9-188+1)/$NT$9,$NM$9/$NS$9)),0)</f>
        <v/>
      </c>
      <c r="GJ9" s="18">
        <f>IF(AND(189&gt;=$NQ$9,189&lt;=$NR$9),IF($NO$9="Single_Point",IF(189=$NQ$9,$NM$9,0),IF($NO$9="Bell_Curve",$NM$9*(189-$NQ$9+1)*($NR$9-189+1)/$NT$9,$NM$9/$NS$9)),0)</f>
        <v/>
      </c>
      <c r="GK9" s="18">
        <f>IF(AND(190&gt;=$NQ$9,190&lt;=$NR$9),IF($NO$9="Single_Point",IF(190=$NQ$9,$NM$9,0),IF($NO$9="Bell_Curve",$NM$9*(190-$NQ$9+1)*($NR$9-190+1)/$NT$9,$NM$9/$NS$9)),0)</f>
        <v/>
      </c>
      <c r="GL9" s="18">
        <f>IF(AND(191&gt;=$NQ$9,191&lt;=$NR$9),IF($NO$9="Single_Point",IF(191=$NQ$9,$NM$9,0),IF($NO$9="Bell_Curve",$NM$9*(191-$NQ$9+1)*($NR$9-191+1)/$NT$9,$NM$9/$NS$9)),0)</f>
        <v/>
      </c>
      <c r="GM9" s="18">
        <f>IF(AND(192&gt;=$NQ$9,192&lt;=$NR$9),IF($NO$9="Single_Point",IF(192=$NQ$9,$NM$9,0),IF($NO$9="Bell_Curve",$NM$9*(192-$NQ$9+1)*($NR$9-192+1)/$NT$9,$NM$9/$NS$9)),0)</f>
        <v/>
      </c>
      <c r="GN9" s="18">
        <f>IF(AND(193&gt;=$NQ$9,193&lt;=$NR$9),IF($NO$9="Single_Point",IF(193=$NQ$9,$NM$9,0),IF($NO$9="Bell_Curve",$NM$9*(193-$NQ$9+1)*($NR$9-193+1)/$NT$9,$NM$9/$NS$9)),0)</f>
        <v/>
      </c>
      <c r="GO9" s="18">
        <f>IF(AND(194&gt;=$NQ$9,194&lt;=$NR$9),IF($NO$9="Single_Point",IF(194=$NQ$9,$NM$9,0),IF($NO$9="Bell_Curve",$NM$9*(194-$NQ$9+1)*($NR$9-194+1)/$NT$9,$NM$9/$NS$9)),0)</f>
        <v/>
      </c>
      <c r="GP9" s="18">
        <f>IF(AND(195&gt;=$NQ$9,195&lt;=$NR$9),IF($NO$9="Single_Point",IF(195=$NQ$9,$NM$9,0),IF($NO$9="Bell_Curve",$NM$9*(195-$NQ$9+1)*($NR$9-195+1)/$NT$9,$NM$9/$NS$9)),0)</f>
        <v/>
      </c>
      <c r="GQ9" s="18">
        <f>IF(AND(196&gt;=$NQ$9,196&lt;=$NR$9),IF($NO$9="Single_Point",IF(196=$NQ$9,$NM$9,0),IF($NO$9="Bell_Curve",$NM$9*(196-$NQ$9+1)*($NR$9-196+1)/$NT$9,$NM$9/$NS$9)),0)</f>
        <v/>
      </c>
      <c r="GR9" s="18">
        <f>IF(AND(197&gt;=$NQ$9,197&lt;=$NR$9),IF($NO$9="Single_Point",IF(197=$NQ$9,$NM$9,0),IF($NO$9="Bell_Curve",$NM$9*(197-$NQ$9+1)*($NR$9-197+1)/$NT$9,$NM$9/$NS$9)),0)</f>
        <v/>
      </c>
      <c r="GS9" s="18">
        <f>IF(AND(198&gt;=$NQ$9,198&lt;=$NR$9),IF($NO$9="Single_Point",IF(198=$NQ$9,$NM$9,0),IF($NO$9="Bell_Curve",$NM$9*(198-$NQ$9+1)*($NR$9-198+1)/$NT$9,$NM$9/$NS$9)),0)</f>
        <v/>
      </c>
      <c r="GT9" s="18">
        <f>IF(AND(199&gt;=$NQ$9,199&lt;=$NR$9),IF($NO$9="Single_Point",IF(199=$NQ$9,$NM$9,0),IF($NO$9="Bell_Curve",$NM$9*(199-$NQ$9+1)*($NR$9-199+1)/$NT$9,$NM$9/$NS$9)),0)</f>
        <v/>
      </c>
      <c r="GU9" s="18">
        <f>IF(AND(200&gt;=$NQ$9,200&lt;=$NR$9),IF($NO$9="Single_Point",IF(200=$NQ$9,$NM$9,0),IF($NO$9="Bell_Curve",$NM$9*(200-$NQ$9+1)*($NR$9-200+1)/$NT$9,$NM$9/$NS$9)),0)</f>
        <v/>
      </c>
      <c r="GV9" s="18">
        <f>IF(AND(201&gt;=$NQ$9,201&lt;=$NR$9),IF($NO$9="Single_Point",IF(201=$NQ$9,$NM$9,0),IF($NO$9="Bell_Curve",$NM$9*(201-$NQ$9+1)*($NR$9-201+1)/$NT$9,$NM$9/$NS$9)),0)</f>
        <v/>
      </c>
      <c r="GW9" s="18">
        <f>IF(AND(202&gt;=$NQ$9,202&lt;=$NR$9),IF($NO$9="Single_Point",IF(202=$NQ$9,$NM$9,0),IF($NO$9="Bell_Curve",$NM$9*(202-$NQ$9+1)*($NR$9-202+1)/$NT$9,$NM$9/$NS$9)),0)</f>
        <v/>
      </c>
      <c r="GX9" s="18">
        <f>IF(AND(203&gt;=$NQ$9,203&lt;=$NR$9),IF($NO$9="Single_Point",IF(203=$NQ$9,$NM$9,0),IF($NO$9="Bell_Curve",$NM$9*(203-$NQ$9+1)*($NR$9-203+1)/$NT$9,$NM$9/$NS$9)),0)</f>
        <v/>
      </c>
      <c r="GY9" s="18">
        <f>IF(AND(204&gt;=$NQ$9,204&lt;=$NR$9),IF($NO$9="Single_Point",IF(204=$NQ$9,$NM$9,0),IF($NO$9="Bell_Curve",$NM$9*(204-$NQ$9+1)*($NR$9-204+1)/$NT$9,$NM$9/$NS$9)),0)</f>
        <v/>
      </c>
      <c r="GZ9" s="18">
        <f>IF(AND(205&gt;=$NQ$9,205&lt;=$NR$9),IF($NO$9="Single_Point",IF(205=$NQ$9,$NM$9,0),IF($NO$9="Bell_Curve",$NM$9*(205-$NQ$9+1)*($NR$9-205+1)/$NT$9,$NM$9/$NS$9)),0)</f>
        <v/>
      </c>
      <c r="HA9" s="18">
        <f>IF(AND(206&gt;=$NQ$9,206&lt;=$NR$9),IF($NO$9="Single_Point",IF(206=$NQ$9,$NM$9,0),IF($NO$9="Bell_Curve",$NM$9*(206-$NQ$9+1)*($NR$9-206+1)/$NT$9,$NM$9/$NS$9)),0)</f>
        <v/>
      </c>
      <c r="HB9" s="18">
        <f>IF(AND(207&gt;=$NQ$9,207&lt;=$NR$9),IF($NO$9="Single_Point",IF(207=$NQ$9,$NM$9,0),IF($NO$9="Bell_Curve",$NM$9*(207-$NQ$9+1)*($NR$9-207+1)/$NT$9,$NM$9/$NS$9)),0)</f>
        <v/>
      </c>
      <c r="HC9" s="18">
        <f>IF(AND(208&gt;=$NQ$9,208&lt;=$NR$9),IF($NO$9="Single_Point",IF(208=$NQ$9,$NM$9,0),IF($NO$9="Bell_Curve",$NM$9*(208-$NQ$9+1)*($NR$9-208+1)/$NT$9,$NM$9/$NS$9)),0)</f>
        <v/>
      </c>
      <c r="HD9" s="18">
        <f>IF(AND(209&gt;=$NQ$9,209&lt;=$NR$9),IF($NO$9="Single_Point",IF(209=$NQ$9,$NM$9,0),IF($NO$9="Bell_Curve",$NM$9*(209-$NQ$9+1)*($NR$9-209+1)/$NT$9,$NM$9/$NS$9)),0)</f>
        <v/>
      </c>
      <c r="HE9" s="18">
        <f>IF(AND(210&gt;=$NQ$9,210&lt;=$NR$9),IF($NO$9="Single_Point",IF(210=$NQ$9,$NM$9,0),IF($NO$9="Bell_Curve",$NM$9*(210-$NQ$9+1)*($NR$9-210+1)/$NT$9,$NM$9/$NS$9)),0)</f>
        <v/>
      </c>
      <c r="HF9" s="18">
        <f>IF(AND(211&gt;=$NQ$9,211&lt;=$NR$9),IF($NO$9="Single_Point",IF(211=$NQ$9,$NM$9,0),IF($NO$9="Bell_Curve",$NM$9*(211-$NQ$9+1)*($NR$9-211+1)/$NT$9,$NM$9/$NS$9)),0)</f>
        <v/>
      </c>
      <c r="HG9" s="18">
        <f>IF(AND(212&gt;=$NQ$9,212&lt;=$NR$9),IF($NO$9="Single_Point",IF(212=$NQ$9,$NM$9,0),IF($NO$9="Bell_Curve",$NM$9*(212-$NQ$9+1)*($NR$9-212+1)/$NT$9,$NM$9/$NS$9)),0)</f>
        <v/>
      </c>
      <c r="HH9" s="18">
        <f>IF(AND(213&gt;=$NQ$9,213&lt;=$NR$9),IF($NO$9="Single_Point",IF(213=$NQ$9,$NM$9,0),IF($NO$9="Bell_Curve",$NM$9*(213-$NQ$9+1)*($NR$9-213+1)/$NT$9,$NM$9/$NS$9)),0)</f>
        <v/>
      </c>
      <c r="HI9" s="18">
        <f>IF(AND(214&gt;=$NQ$9,214&lt;=$NR$9),IF($NO$9="Single_Point",IF(214=$NQ$9,$NM$9,0),IF($NO$9="Bell_Curve",$NM$9*(214-$NQ$9+1)*($NR$9-214+1)/$NT$9,$NM$9/$NS$9)),0)</f>
        <v/>
      </c>
      <c r="HJ9" s="18">
        <f>IF(AND(215&gt;=$NQ$9,215&lt;=$NR$9),IF($NO$9="Single_Point",IF(215=$NQ$9,$NM$9,0),IF($NO$9="Bell_Curve",$NM$9*(215-$NQ$9+1)*($NR$9-215+1)/$NT$9,$NM$9/$NS$9)),0)</f>
        <v/>
      </c>
      <c r="HK9" s="18">
        <f>IF(AND(216&gt;=$NQ$9,216&lt;=$NR$9),IF($NO$9="Single_Point",IF(216=$NQ$9,$NM$9,0),IF($NO$9="Bell_Curve",$NM$9*(216-$NQ$9+1)*($NR$9-216+1)/$NT$9,$NM$9/$NS$9)),0)</f>
        <v/>
      </c>
      <c r="HL9" s="18">
        <f>IF(AND(217&gt;=$NQ$9,217&lt;=$NR$9),IF($NO$9="Single_Point",IF(217=$NQ$9,$NM$9,0),IF($NO$9="Bell_Curve",$NM$9*(217-$NQ$9+1)*($NR$9-217+1)/$NT$9,$NM$9/$NS$9)),0)</f>
        <v/>
      </c>
      <c r="HM9" s="18">
        <f>IF(AND(218&gt;=$NQ$9,218&lt;=$NR$9),IF($NO$9="Single_Point",IF(218=$NQ$9,$NM$9,0),IF($NO$9="Bell_Curve",$NM$9*(218-$NQ$9+1)*($NR$9-218+1)/$NT$9,$NM$9/$NS$9)),0)</f>
        <v/>
      </c>
      <c r="HN9" s="18">
        <f>IF(AND(219&gt;=$NQ$9,219&lt;=$NR$9),IF($NO$9="Single_Point",IF(219=$NQ$9,$NM$9,0),IF($NO$9="Bell_Curve",$NM$9*(219-$NQ$9+1)*($NR$9-219+1)/$NT$9,$NM$9/$NS$9)),0)</f>
        <v/>
      </c>
      <c r="HO9" s="18">
        <f>IF(AND(220&gt;=$NQ$9,220&lt;=$NR$9),IF($NO$9="Single_Point",IF(220=$NQ$9,$NM$9,0),IF($NO$9="Bell_Curve",$NM$9*(220-$NQ$9+1)*($NR$9-220+1)/$NT$9,$NM$9/$NS$9)),0)</f>
        <v/>
      </c>
      <c r="HP9" s="18">
        <f>IF(AND(221&gt;=$NQ$9,221&lt;=$NR$9),IF($NO$9="Single_Point",IF(221=$NQ$9,$NM$9,0),IF($NO$9="Bell_Curve",$NM$9*(221-$NQ$9+1)*($NR$9-221+1)/$NT$9,$NM$9/$NS$9)),0)</f>
        <v/>
      </c>
      <c r="HQ9" s="18">
        <f>IF(AND(222&gt;=$NQ$9,222&lt;=$NR$9),IF($NO$9="Single_Point",IF(222=$NQ$9,$NM$9,0),IF($NO$9="Bell_Curve",$NM$9*(222-$NQ$9+1)*($NR$9-222+1)/$NT$9,$NM$9/$NS$9)),0)</f>
        <v/>
      </c>
      <c r="HR9" s="18">
        <f>IF(AND(223&gt;=$NQ$9,223&lt;=$NR$9),IF($NO$9="Single_Point",IF(223=$NQ$9,$NM$9,0),IF($NO$9="Bell_Curve",$NM$9*(223-$NQ$9+1)*($NR$9-223+1)/$NT$9,$NM$9/$NS$9)),0)</f>
        <v/>
      </c>
      <c r="HS9" s="18">
        <f>IF(AND(224&gt;=$NQ$9,224&lt;=$NR$9),IF($NO$9="Single_Point",IF(224=$NQ$9,$NM$9,0),IF($NO$9="Bell_Curve",$NM$9*(224-$NQ$9+1)*($NR$9-224+1)/$NT$9,$NM$9/$NS$9)),0)</f>
        <v/>
      </c>
      <c r="HT9" s="18">
        <f>IF(AND(225&gt;=$NQ$9,225&lt;=$NR$9),IF($NO$9="Single_Point",IF(225=$NQ$9,$NM$9,0),IF($NO$9="Bell_Curve",$NM$9*(225-$NQ$9+1)*($NR$9-225+1)/$NT$9,$NM$9/$NS$9)),0)</f>
        <v/>
      </c>
      <c r="HU9" s="18">
        <f>IF(AND(226&gt;=$NQ$9,226&lt;=$NR$9),IF($NO$9="Single_Point",IF(226=$NQ$9,$NM$9,0),IF($NO$9="Bell_Curve",$NM$9*(226-$NQ$9+1)*($NR$9-226+1)/$NT$9,$NM$9/$NS$9)),0)</f>
        <v/>
      </c>
      <c r="HV9" s="18">
        <f>IF(AND(227&gt;=$NQ$9,227&lt;=$NR$9),IF($NO$9="Single_Point",IF(227=$NQ$9,$NM$9,0),IF($NO$9="Bell_Curve",$NM$9*(227-$NQ$9+1)*($NR$9-227+1)/$NT$9,$NM$9/$NS$9)),0)</f>
        <v/>
      </c>
      <c r="HW9" s="18">
        <f>IF(AND(228&gt;=$NQ$9,228&lt;=$NR$9),IF($NO$9="Single_Point",IF(228=$NQ$9,$NM$9,0),IF($NO$9="Bell_Curve",$NM$9*(228-$NQ$9+1)*($NR$9-228+1)/$NT$9,$NM$9/$NS$9)),0)</f>
        <v/>
      </c>
      <c r="HX9" s="18">
        <f>IF(AND(229&gt;=$NQ$9,229&lt;=$NR$9),IF($NO$9="Single_Point",IF(229=$NQ$9,$NM$9,0),IF($NO$9="Bell_Curve",$NM$9*(229-$NQ$9+1)*($NR$9-229+1)/$NT$9,$NM$9/$NS$9)),0)</f>
        <v/>
      </c>
      <c r="HY9" s="18">
        <f>IF(AND(230&gt;=$NQ$9,230&lt;=$NR$9),IF($NO$9="Single_Point",IF(230=$NQ$9,$NM$9,0),IF($NO$9="Bell_Curve",$NM$9*(230-$NQ$9+1)*($NR$9-230+1)/$NT$9,$NM$9/$NS$9)),0)</f>
        <v/>
      </c>
      <c r="HZ9" s="18">
        <f>IF(AND(231&gt;=$NQ$9,231&lt;=$NR$9),IF($NO$9="Single_Point",IF(231=$NQ$9,$NM$9,0),IF($NO$9="Bell_Curve",$NM$9*(231-$NQ$9+1)*($NR$9-231+1)/$NT$9,$NM$9/$NS$9)),0)</f>
        <v/>
      </c>
      <c r="IA9" s="18">
        <f>IF(AND(232&gt;=$NQ$9,232&lt;=$NR$9),IF($NO$9="Single_Point",IF(232=$NQ$9,$NM$9,0),IF($NO$9="Bell_Curve",$NM$9*(232-$NQ$9+1)*($NR$9-232+1)/$NT$9,$NM$9/$NS$9)),0)</f>
        <v/>
      </c>
      <c r="IB9" s="18">
        <f>IF(AND(233&gt;=$NQ$9,233&lt;=$NR$9),IF($NO$9="Single_Point",IF(233=$NQ$9,$NM$9,0),IF($NO$9="Bell_Curve",$NM$9*(233-$NQ$9+1)*($NR$9-233+1)/$NT$9,$NM$9/$NS$9)),0)</f>
        <v/>
      </c>
      <c r="IC9" s="18">
        <f>IF(AND(234&gt;=$NQ$9,234&lt;=$NR$9),IF($NO$9="Single_Point",IF(234=$NQ$9,$NM$9,0),IF($NO$9="Bell_Curve",$NM$9*(234-$NQ$9+1)*($NR$9-234+1)/$NT$9,$NM$9/$NS$9)),0)</f>
        <v/>
      </c>
      <c r="ID9" s="18">
        <f>IF(AND(235&gt;=$NQ$9,235&lt;=$NR$9),IF($NO$9="Single_Point",IF(235=$NQ$9,$NM$9,0),IF($NO$9="Bell_Curve",$NM$9*(235-$NQ$9+1)*($NR$9-235+1)/$NT$9,$NM$9/$NS$9)),0)</f>
        <v/>
      </c>
      <c r="IE9" s="18">
        <f>IF(AND(236&gt;=$NQ$9,236&lt;=$NR$9),IF($NO$9="Single_Point",IF(236=$NQ$9,$NM$9,0),IF($NO$9="Bell_Curve",$NM$9*(236-$NQ$9+1)*($NR$9-236+1)/$NT$9,$NM$9/$NS$9)),0)</f>
        <v/>
      </c>
      <c r="IF9" s="18">
        <f>IF(AND(237&gt;=$NQ$9,237&lt;=$NR$9),IF($NO$9="Single_Point",IF(237=$NQ$9,$NM$9,0),IF($NO$9="Bell_Curve",$NM$9*(237-$NQ$9+1)*($NR$9-237+1)/$NT$9,$NM$9/$NS$9)),0)</f>
        <v/>
      </c>
      <c r="IG9" s="18">
        <f>IF(AND(238&gt;=$NQ$9,238&lt;=$NR$9),IF($NO$9="Single_Point",IF(238=$NQ$9,$NM$9,0),IF($NO$9="Bell_Curve",$NM$9*(238-$NQ$9+1)*($NR$9-238+1)/$NT$9,$NM$9/$NS$9)),0)</f>
        <v/>
      </c>
      <c r="IH9" s="18">
        <f>IF(AND(239&gt;=$NQ$9,239&lt;=$NR$9),IF($NO$9="Single_Point",IF(239=$NQ$9,$NM$9,0),IF($NO$9="Bell_Curve",$NM$9*(239-$NQ$9+1)*($NR$9-239+1)/$NT$9,$NM$9/$NS$9)),0)</f>
        <v/>
      </c>
      <c r="II9" s="18">
        <f>IF(AND(240&gt;=$NQ$9,240&lt;=$NR$9),IF($NO$9="Single_Point",IF(240=$NQ$9,$NM$9,0),IF($NO$9="Bell_Curve",$NM$9*(240-$NQ$9+1)*($NR$9-240+1)/$NT$9,$NM$9/$NS$9)),0)</f>
        <v/>
      </c>
      <c r="IJ9" s="18">
        <f>IF(AND(241&gt;=$NQ$9,241&lt;=$NR$9),IF($NO$9="Single_Point",IF(241=$NQ$9,$NM$9,0),IF($NO$9="Bell_Curve",$NM$9*(241-$NQ$9+1)*($NR$9-241+1)/$NT$9,$NM$9/$NS$9)),0)</f>
        <v/>
      </c>
      <c r="IK9" s="18">
        <f>IF(AND(242&gt;=$NQ$9,242&lt;=$NR$9),IF($NO$9="Single_Point",IF(242=$NQ$9,$NM$9,0),IF($NO$9="Bell_Curve",$NM$9*(242-$NQ$9+1)*($NR$9-242+1)/$NT$9,$NM$9/$NS$9)),0)</f>
        <v/>
      </c>
      <c r="IL9" s="18">
        <f>IF(AND(243&gt;=$NQ$9,243&lt;=$NR$9),IF($NO$9="Single_Point",IF(243=$NQ$9,$NM$9,0),IF($NO$9="Bell_Curve",$NM$9*(243-$NQ$9+1)*($NR$9-243+1)/$NT$9,$NM$9/$NS$9)),0)</f>
        <v/>
      </c>
      <c r="IM9" s="18">
        <f>IF(AND(244&gt;=$NQ$9,244&lt;=$NR$9),IF($NO$9="Single_Point",IF(244=$NQ$9,$NM$9,0),IF($NO$9="Bell_Curve",$NM$9*(244-$NQ$9+1)*($NR$9-244+1)/$NT$9,$NM$9/$NS$9)),0)</f>
        <v/>
      </c>
      <c r="IN9" s="18">
        <f>IF(AND(245&gt;=$NQ$9,245&lt;=$NR$9),IF($NO$9="Single_Point",IF(245=$NQ$9,$NM$9,0),IF($NO$9="Bell_Curve",$NM$9*(245-$NQ$9+1)*($NR$9-245+1)/$NT$9,$NM$9/$NS$9)),0)</f>
        <v/>
      </c>
      <c r="IO9" s="18">
        <f>IF(AND(246&gt;=$NQ$9,246&lt;=$NR$9),IF($NO$9="Single_Point",IF(246=$NQ$9,$NM$9,0),IF($NO$9="Bell_Curve",$NM$9*(246-$NQ$9+1)*($NR$9-246+1)/$NT$9,$NM$9/$NS$9)),0)</f>
        <v/>
      </c>
      <c r="IP9" s="18">
        <f>IF(AND(247&gt;=$NQ$9,247&lt;=$NR$9),IF($NO$9="Single_Point",IF(247=$NQ$9,$NM$9,0),IF($NO$9="Bell_Curve",$NM$9*(247-$NQ$9+1)*($NR$9-247+1)/$NT$9,$NM$9/$NS$9)),0)</f>
        <v/>
      </c>
      <c r="IQ9" s="18">
        <f>IF(AND(248&gt;=$NQ$9,248&lt;=$NR$9),IF($NO$9="Single_Point",IF(248=$NQ$9,$NM$9,0),IF($NO$9="Bell_Curve",$NM$9*(248-$NQ$9+1)*($NR$9-248+1)/$NT$9,$NM$9/$NS$9)),0)</f>
        <v/>
      </c>
      <c r="IR9" s="18">
        <f>IF(AND(249&gt;=$NQ$9,249&lt;=$NR$9),IF($NO$9="Single_Point",IF(249=$NQ$9,$NM$9,0),IF($NO$9="Bell_Curve",$NM$9*(249-$NQ$9+1)*($NR$9-249+1)/$NT$9,$NM$9/$NS$9)),0)</f>
        <v/>
      </c>
      <c r="IS9" s="18">
        <f>IF(AND(250&gt;=$NQ$9,250&lt;=$NR$9),IF($NO$9="Single_Point",IF(250=$NQ$9,$NM$9,0),IF($NO$9="Bell_Curve",$NM$9*(250-$NQ$9+1)*($NR$9-250+1)/$NT$9,$NM$9/$NS$9)),0)</f>
        <v/>
      </c>
      <c r="IT9" s="18">
        <f>IF(AND(251&gt;=$NQ$9,251&lt;=$NR$9),IF($NO$9="Single_Point",IF(251=$NQ$9,$NM$9,0),IF($NO$9="Bell_Curve",$NM$9*(251-$NQ$9+1)*($NR$9-251+1)/$NT$9,$NM$9/$NS$9)),0)</f>
        <v/>
      </c>
      <c r="IU9" s="18">
        <f>IF(AND(252&gt;=$NQ$9,252&lt;=$NR$9),IF($NO$9="Single_Point",IF(252=$NQ$9,$NM$9,0),IF($NO$9="Bell_Curve",$NM$9*(252-$NQ$9+1)*($NR$9-252+1)/$NT$9,$NM$9/$NS$9)),0)</f>
        <v/>
      </c>
      <c r="IV9" s="18">
        <f>IF(AND(253&gt;=$NQ$9,253&lt;=$NR$9),IF($NO$9="Single_Point",IF(253=$NQ$9,$NM$9,0),IF($NO$9="Bell_Curve",$NM$9*(253-$NQ$9+1)*($NR$9-253+1)/$NT$9,$NM$9/$NS$9)),0)</f>
        <v/>
      </c>
      <c r="IW9" s="18">
        <f>IF(AND(254&gt;=$NQ$9,254&lt;=$NR$9),IF($NO$9="Single_Point",IF(254=$NQ$9,$NM$9,0),IF($NO$9="Bell_Curve",$NM$9*(254-$NQ$9+1)*($NR$9-254+1)/$NT$9,$NM$9/$NS$9)),0)</f>
        <v/>
      </c>
      <c r="IX9" s="18">
        <f>IF(AND(255&gt;=$NQ$9,255&lt;=$NR$9),IF($NO$9="Single_Point",IF(255=$NQ$9,$NM$9,0),IF($NO$9="Bell_Curve",$NM$9*(255-$NQ$9+1)*($NR$9-255+1)/$NT$9,$NM$9/$NS$9)),0)</f>
        <v/>
      </c>
      <c r="IY9" s="18">
        <f>IF(AND(256&gt;=$NQ$9,256&lt;=$NR$9),IF($NO$9="Single_Point",IF(256=$NQ$9,$NM$9,0),IF($NO$9="Bell_Curve",$NM$9*(256-$NQ$9+1)*($NR$9-256+1)/$NT$9,$NM$9/$NS$9)),0)</f>
        <v/>
      </c>
      <c r="IZ9" s="18">
        <f>IF(AND(257&gt;=$NQ$9,257&lt;=$NR$9),IF($NO$9="Single_Point",IF(257=$NQ$9,$NM$9,0),IF($NO$9="Bell_Curve",$NM$9*(257-$NQ$9+1)*($NR$9-257+1)/$NT$9,$NM$9/$NS$9)),0)</f>
        <v/>
      </c>
      <c r="JA9" s="18">
        <f>IF(AND(258&gt;=$NQ$9,258&lt;=$NR$9),IF($NO$9="Single_Point",IF(258=$NQ$9,$NM$9,0),IF($NO$9="Bell_Curve",$NM$9*(258-$NQ$9+1)*($NR$9-258+1)/$NT$9,$NM$9/$NS$9)),0)</f>
        <v/>
      </c>
      <c r="JB9" s="18">
        <f>IF(AND(259&gt;=$NQ$9,259&lt;=$NR$9),IF($NO$9="Single_Point",IF(259=$NQ$9,$NM$9,0),IF($NO$9="Bell_Curve",$NM$9*(259-$NQ$9+1)*($NR$9-259+1)/$NT$9,$NM$9/$NS$9)),0)</f>
        <v/>
      </c>
      <c r="JC9" s="18">
        <f>IF(AND(260&gt;=$NQ$9,260&lt;=$NR$9),IF($NO$9="Single_Point",IF(260=$NQ$9,$NM$9,0),IF($NO$9="Bell_Curve",$NM$9*(260-$NQ$9+1)*($NR$9-260+1)/$NT$9,$NM$9/$NS$9)),0)</f>
        <v/>
      </c>
      <c r="JD9" s="18">
        <f>IF(AND(261&gt;=$NQ$9,261&lt;=$NR$9),IF($NO$9="Single_Point",IF(261=$NQ$9,$NM$9,0),IF($NO$9="Bell_Curve",$NM$9*(261-$NQ$9+1)*($NR$9-261+1)/$NT$9,$NM$9/$NS$9)),0)</f>
        <v/>
      </c>
      <c r="JE9" s="18">
        <f>IF(AND(262&gt;=$NQ$9,262&lt;=$NR$9),IF($NO$9="Single_Point",IF(262=$NQ$9,$NM$9,0),IF($NO$9="Bell_Curve",$NM$9*(262-$NQ$9+1)*($NR$9-262+1)/$NT$9,$NM$9/$NS$9)),0)</f>
        <v/>
      </c>
      <c r="JF9" s="18">
        <f>IF(AND(263&gt;=$NQ$9,263&lt;=$NR$9),IF($NO$9="Single_Point",IF(263=$NQ$9,$NM$9,0),IF($NO$9="Bell_Curve",$NM$9*(263-$NQ$9+1)*($NR$9-263+1)/$NT$9,$NM$9/$NS$9)),0)</f>
        <v/>
      </c>
      <c r="JG9" s="18">
        <f>IF(AND(264&gt;=$NQ$9,264&lt;=$NR$9),IF($NO$9="Single_Point",IF(264=$NQ$9,$NM$9,0),IF($NO$9="Bell_Curve",$NM$9*(264-$NQ$9+1)*($NR$9-264+1)/$NT$9,$NM$9/$NS$9)),0)</f>
        <v/>
      </c>
      <c r="JH9" s="18">
        <f>IF(AND(265&gt;=$NQ$9,265&lt;=$NR$9),IF($NO$9="Single_Point",IF(265=$NQ$9,$NM$9,0),IF($NO$9="Bell_Curve",$NM$9*(265-$NQ$9+1)*($NR$9-265+1)/$NT$9,$NM$9/$NS$9)),0)</f>
        <v/>
      </c>
      <c r="JI9" s="18">
        <f>IF(AND(266&gt;=$NQ$9,266&lt;=$NR$9),IF($NO$9="Single_Point",IF(266=$NQ$9,$NM$9,0),IF($NO$9="Bell_Curve",$NM$9*(266-$NQ$9+1)*($NR$9-266+1)/$NT$9,$NM$9/$NS$9)),0)</f>
        <v/>
      </c>
      <c r="JJ9" s="18">
        <f>IF(AND(267&gt;=$NQ$9,267&lt;=$NR$9),IF($NO$9="Single_Point",IF(267=$NQ$9,$NM$9,0),IF($NO$9="Bell_Curve",$NM$9*(267-$NQ$9+1)*($NR$9-267+1)/$NT$9,$NM$9/$NS$9)),0)</f>
        <v/>
      </c>
      <c r="JK9" s="18">
        <f>IF(AND(268&gt;=$NQ$9,268&lt;=$NR$9),IF($NO$9="Single_Point",IF(268=$NQ$9,$NM$9,0),IF($NO$9="Bell_Curve",$NM$9*(268-$NQ$9+1)*($NR$9-268+1)/$NT$9,$NM$9/$NS$9)),0)</f>
        <v/>
      </c>
      <c r="JL9" s="18">
        <f>IF(AND(269&gt;=$NQ$9,269&lt;=$NR$9),IF($NO$9="Single_Point",IF(269=$NQ$9,$NM$9,0),IF($NO$9="Bell_Curve",$NM$9*(269-$NQ$9+1)*($NR$9-269+1)/$NT$9,$NM$9/$NS$9)),0)</f>
        <v/>
      </c>
      <c r="JM9" s="18">
        <f>IF(AND(270&gt;=$NQ$9,270&lt;=$NR$9),IF($NO$9="Single_Point",IF(270=$NQ$9,$NM$9,0),IF($NO$9="Bell_Curve",$NM$9*(270-$NQ$9+1)*($NR$9-270+1)/$NT$9,$NM$9/$NS$9)),0)</f>
        <v/>
      </c>
      <c r="JN9" s="18">
        <f>IF(AND(271&gt;=$NQ$9,271&lt;=$NR$9),IF($NO$9="Single_Point",IF(271=$NQ$9,$NM$9,0),IF($NO$9="Bell_Curve",$NM$9*(271-$NQ$9+1)*($NR$9-271+1)/$NT$9,$NM$9/$NS$9)),0)</f>
        <v/>
      </c>
      <c r="JO9" s="18">
        <f>IF(AND(272&gt;=$NQ$9,272&lt;=$NR$9),IF($NO$9="Single_Point",IF(272=$NQ$9,$NM$9,0),IF($NO$9="Bell_Curve",$NM$9*(272-$NQ$9+1)*($NR$9-272+1)/$NT$9,$NM$9/$NS$9)),0)</f>
        <v/>
      </c>
      <c r="JP9" s="18">
        <f>IF(AND(273&gt;=$NQ$9,273&lt;=$NR$9),IF($NO$9="Single_Point",IF(273=$NQ$9,$NM$9,0),IF($NO$9="Bell_Curve",$NM$9*(273-$NQ$9+1)*($NR$9-273+1)/$NT$9,$NM$9/$NS$9)),0)</f>
        <v/>
      </c>
      <c r="JQ9" s="18">
        <f>IF(AND(274&gt;=$NQ$9,274&lt;=$NR$9),IF($NO$9="Single_Point",IF(274=$NQ$9,$NM$9,0),IF($NO$9="Bell_Curve",$NM$9*(274-$NQ$9+1)*($NR$9-274+1)/$NT$9,$NM$9/$NS$9)),0)</f>
        <v/>
      </c>
      <c r="JR9" s="18">
        <f>IF(AND(275&gt;=$NQ$9,275&lt;=$NR$9),IF($NO$9="Single_Point",IF(275=$NQ$9,$NM$9,0),IF($NO$9="Bell_Curve",$NM$9*(275-$NQ$9+1)*($NR$9-275+1)/$NT$9,$NM$9/$NS$9)),0)</f>
        <v/>
      </c>
      <c r="JS9" s="18">
        <f>IF(AND(276&gt;=$NQ$9,276&lt;=$NR$9),IF($NO$9="Single_Point",IF(276=$NQ$9,$NM$9,0),IF($NO$9="Bell_Curve",$NM$9*(276-$NQ$9+1)*($NR$9-276+1)/$NT$9,$NM$9/$NS$9)),0)</f>
        <v/>
      </c>
      <c r="JT9" s="18">
        <f>IF(AND(277&gt;=$NQ$9,277&lt;=$NR$9),IF($NO$9="Single_Point",IF(277=$NQ$9,$NM$9,0),IF($NO$9="Bell_Curve",$NM$9*(277-$NQ$9+1)*($NR$9-277+1)/$NT$9,$NM$9/$NS$9)),0)</f>
        <v/>
      </c>
      <c r="JU9" s="18">
        <f>IF(AND(278&gt;=$NQ$9,278&lt;=$NR$9),IF($NO$9="Single_Point",IF(278=$NQ$9,$NM$9,0),IF($NO$9="Bell_Curve",$NM$9*(278-$NQ$9+1)*($NR$9-278+1)/$NT$9,$NM$9/$NS$9)),0)</f>
        <v/>
      </c>
      <c r="JV9" s="18">
        <f>IF(AND(279&gt;=$NQ$9,279&lt;=$NR$9),IF($NO$9="Single_Point",IF(279=$NQ$9,$NM$9,0),IF($NO$9="Bell_Curve",$NM$9*(279-$NQ$9+1)*($NR$9-279+1)/$NT$9,$NM$9/$NS$9)),0)</f>
        <v/>
      </c>
      <c r="JW9" s="18">
        <f>IF(AND(280&gt;=$NQ$9,280&lt;=$NR$9),IF($NO$9="Single_Point",IF(280=$NQ$9,$NM$9,0),IF($NO$9="Bell_Curve",$NM$9*(280-$NQ$9+1)*($NR$9-280+1)/$NT$9,$NM$9/$NS$9)),0)</f>
        <v/>
      </c>
      <c r="JX9" s="18">
        <f>IF(AND(281&gt;=$NQ$9,281&lt;=$NR$9),IF($NO$9="Single_Point",IF(281=$NQ$9,$NM$9,0),IF($NO$9="Bell_Curve",$NM$9*(281-$NQ$9+1)*($NR$9-281+1)/$NT$9,$NM$9/$NS$9)),0)</f>
        <v/>
      </c>
      <c r="JY9" s="18">
        <f>IF(AND(282&gt;=$NQ$9,282&lt;=$NR$9),IF($NO$9="Single_Point",IF(282=$NQ$9,$NM$9,0),IF($NO$9="Bell_Curve",$NM$9*(282-$NQ$9+1)*($NR$9-282+1)/$NT$9,$NM$9/$NS$9)),0)</f>
        <v/>
      </c>
      <c r="JZ9" s="18">
        <f>IF(AND(283&gt;=$NQ$9,283&lt;=$NR$9),IF($NO$9="Single_Point",IF(283=$NQ$9,$NM$9,0),IF($NO$9="Bell_Curve",$NM$9*(283-$NQ$9+1)*($NR$9-283+1)/$NT$9,$NM$9/$NS$9)),0)</f>
        <v/>
      </c>
      <c r="KA9" s="18">
        <f>IF(AND(284&gt;=$NQ$9,284&lt;=$NR$9),IF($NO$9="Single_Point",IF(284=$NQ$9,$NM$9,0),IF($NO$9="Bell_Curve",$NM$9*(284-$NQ$9+1)*($NR$9-284+1)/$NT$9,$NM$9/$NS$9)),0)</f>
        <v/>
      </c>
      <c r="KB9" s="18">
        <f>IF(AND(285&gt;=$NQ$9,285&lt;=$NR$9),IF($NO$9="Single_Point",IF(285=$NQ$9,$NM$9,0),IF($NO$9="Bell_Curve",$NM$9*(285-$NQ$9+1)*($NR$9-285+1)/$NT$9,$NM$9/$NS$9)),0)</f>
        <v/>
      </c>
      <c r="KC9" s="18">
        <f>IF(AND(286&gt;=$NQ$9,286&lt;=$NR$9),IF($NO$9="Single_Point",IF(286=$NQ$9,$NM$9,0),IF($NO$9="Bell_Curve",$NM$9*(286-$NQ$9+1)*($NR$9-286+1)/$NT$9,$NM$9/$NS$9)),0)</f>
        <v/>
      </c>
      <c r="KD9" s="18">
        <f>IF(AND(287&gt;=$NQ$9,287&lt;=$NR$9),IF($NO$9="Single_Point",IF(287=$NQ$9,$NM$9,0),IF($NO$9="Bell_Curve",$NM$9*(287-$NQ$9+1)*($NR$9-287+1)/$NT$9,$NM$9/$NS$9)),0)</f>
        <v/>
      </c>
      <c r="KE9" s="18">
        <f>IF(AND(288&gt;=$NQ$9,288&lt;=$NR$9),IF($NO$9="Single_Point",IF(288=$NQ$9,$NM$9,0),IF($NO$9="Bell_Curve",$NM$9*(288-$NQ$9+1)*($NR$9-288+1)/$NT$9,$NM$9/$NS$9)),0)</f>
        <v/>
      </c>
      <c r="KF9" s="18">
        <f>IF(AND(289&gt;=$NQ$9,289&lt;=$NR$9),IF($NO$9="Single_Point",IF(289=$NQ$9,$NM$9,0),IF($NO$9="Bell_Curve",$NM$9*(289-$NQ$9+1)*($NR$9-289+1)/$NT$9,$NM$9/$NS$9)),0)</f>
        <v/>
      </c>
      <c r="KG9" s="18">
        <f>IF(AND(290&gt;=$NQ$9,290&lt;=$NR$9),IF($NO$9="Single_Point",IF(290=$NQ$9,$NM$9,0),IF($NO$9="Bell_Curve",$NM$9*(290-$NQ$9+1)*($NR$9-290+1)/$NT$9,$NM$9/$NS$9)),0)</f>
        <v/>
      </c>
      <c r="KH9" s="18">
        <f>IF(AND(291&gt;=$NQ$9,291&lt;=$NR$9),IF($NO$9="Single_Point",IF(291=$NQ$9,$NM$9,0),IF($NO$9="Bell_Curve",$NM$9*(291-$NQ$9+1)*($NR$9-291+1)/$NT$9,$NM$9/$NS$9)),0)</f>
        <v/>
      </c>
      <c r="KI9" s="18">
        <f>IF(AND(292&gt;=$NQ$9,292&lt;=$NR$9),IF($NO$9="Single_Point",IF(292=$NQ$9,$NM$9,0),IF($NO$9="Bell_Curve",$NM$9*(292-$NQ$9+1)*($NR$9-292+1)/$NT$9,$NM$9/$NS$9)),0)</f>
        <v/>
      </c>
      <c r="KJ9" s="18">
        <f>IF(AND(293&gt;=$NQ$9,293&lt;=$NR$9),IF($NO$9="Single_Point",IF(293=$NQ$9,$NM$9,0),IF($NO$9="Bell_Curve",$NM$9*(293-$NQ$9+1)*($NR$9-293+1)/$NT$9,$NM$9/$NS$9)),0)</f>
        <v/>
      </c>
      <c r="KK9" s="18">
        <f>IF(AND(294&gt;=$NQ$9,294&lt;=$NR$9),IF($NO$9="Single_Point",IF(294=$NQ$9,$NM$9,0),IF($NO$9="Bell_Curve",$NM$9*(294-$NQ$9+1)*($NR$9-294+1)/$NT$9,$NM$9/$NS$9)),0)</f>
        <v/>
      </c>
      <c r="KL9" s="18">
        <f>IF(AND(295&gt;=$NQ$9,295&lt;=$NR$9),IF($NO$9="Single_Point",IF(295=$NQ$9,$NM$9,0),IF($NO$9="Bell_Curve",$NM$9*(295-$NQ$9+1)*($NR$9-295+1)/$NT$9,$NM$9/$NS$9)),0)</f>
        <v/>
      </c>
      <c r="KM9" s="18">
        <f>IF(AND(296&gt;=$NQ$9,296&lt;=$NR$9),IF($NO$9="Single_Point",IF(296=$NQ$9,$NM$9,0),IF($NO$9="Bell_Curve",$NM$9*(296-$NQ$9+1)*($NR$9-296+1)/$NT$9,$NM$9/$NS$9)),0)</f>
        <v/>
      </c>
      <c r="KN9" s="18">
        <f>IF(AND(297&gt;=$NQ$9,297&lt;=$NR$9),IF($NO$9="Single_Point",IF(297=$NQ$9,$NM$9,0),IF($NO$9="Bell_Curve",$NM$9*(297-$NQ$9+1)*($NR$9-297+1)/$NT$9,$NM$9/$NS$9)),0)</f>
        <v/>
      </c>
      <c r="KO9" s="18">
        <f>IF(AND(298&gt;=$NQ$9,298&lt;=$NR$9),IF($NO$9="Single_Point",IF(298=$NQ$9,$NM$9,0),IF($NO$9="Bell_Curve",$NM$9*(298-$NQ$9+1)*($NR$9-298+1)/$NT$9,$NM$9/$NS$9)),0)</f>
        <v/>
      </c>
      <c r="KP9" s="18">
        <f>IF(AND(299&gt;=$NQ$9,299&lt;=$NR$9),IF($NO$9="Single_Point",IF(299=$NQ$9,$NM$9,0),IF($NO$9="Bell_Curve",$NM$9*(299-$NQ$9+1)*($NR$9-299+1)/$NT$9,$NM$9/$NS$9)),0)</f>
        <v/>
      </c>
      <c r="KQ9" s="18">
        <f>IF(AND(300&gt;=$NQ$9,300&lt;=$NR$9),IF($NO$9="Single_Point",IF(300=$NQ$9,$NM$9,0),IF($NO$9="Bell_Curve",$NM$9*(300-$NQ$9+1)*($NR$9-300+1)/$NT$9,$NM$9/$NS$9)),0)</f>
        <v/>
      </c>
      <c r="KR9" s="18">
        <f>IF(AND(301&gt;=$NQ$9,301&lt;=$NR$9),IF($NO$9="Single_Point",IF(301=$NQ$9,$NM$9,0),IF($NO$9="Bell_Curve",$NM$9*(301-$NQ$9+1)*($NR$9-301+1)/$NT$9,$NM$9/$NS$9)),0)</f>
        <v/>
      </c>
      <c r="KS9" s="18">
        <f>IF(AND(302&gt;=$NQ$9,302&lt;=$NR$9),IF($NO$9="Single_Point",IF(302=$NQ$9,$NM$9,0),IF($NO$9="Bell_Curve",$NM$9*(302-$NQ$9+1)*($NR$9-302+1)/$NT$9,$NM$9/$NS$9)),0)</f>
        <v/>
      </c>
      <c r="KT9" s="18">
        <f>IF(AND(303&gt;=$NQ$9,303&lt;=$NR$9),IF($NO$9="Single_Point",IF(303=$NQ$9,$NM$9,0),IF($NO$9="Bell_Curve",$NM$9*(303-$NQ$9+1)*($NR$9-303+1)/$NT$9,$NM$9/$NS$9)),0)</f>
        <v/>
      </c>
      <c r="KU9" s="18">
        <f>IF(AND(304&gt;=$NQ$9,304&lt;=$NR$9),IF($NO$9="Single_Point",IF(304=$NQ$9,$NM$9,0),IF($NO$9="Bell_Curve",$NM$9*(304-$NQ$9+1)*($NR$9-304+1)/$NT$9,$NM$9/$NS$9)),0)</f>
        <v/>
      </c>
      <c r="KV9" s="18">
        <f>IF(AND(305&gt;=$NQ$9,305&lt;=$NR$9),IF($NO$9="Single_Point",IF(305=$NQ$9,$NM$9,0),IF($NO$9="Bell_Curve",$NM$9*(305-$NQ$9+1)*($NR$9-305+1)/$NT$9,$NM$9/$NS$9)),0)</f>
        <v/>
      </c>
      <c r="KW9" s="18">
        <f>IF(AND(306&gt;=$NQ$9,306&lt;=$NR$9),IF($NO$9="Single_Point",IF(306=$NQ$9,$NM$9,0),IF($NO$9="Bell_Curve",$NM$9*(306-$NQ$9+1)*($NR$9-306+1)/$NT$9,$NM$9/$NS$9)),0)</f>
        <v/>
      </c>
      <c r="KX9" s="18">
        <f>IF(AND(307&gt;=$NQ$9,307&lt;=$NR$9),IF($NO$9="Single_Point",IF(307=$NQ$9,$NM$9,0),IF($NO$9="Bell_Curve",$NM$9*(307-$NQ$9+1)*($NR$9-307+1)/$NT$9,$NM$9/$NS$9)),0)</f>
        <v/>
      </c>
      <c r="KY9" s="18">
        <f>IF(AND(308&gt;=$NQ$9,308&lt;=$NR$9),IF($NO$9="Single_Point",IF(308=$NQ$9,$NM$9,0),IF($NO$9="Bell_Curve",$NM$9*(308-$NQ$9+1)*($NR$9-308+1)/$NT$9,$NM$9/$NS$9)),0)</f>
        <v/>
      </c>
      <c r="KZ9" s="18">
        <f>IF(AND(309&gt;=$NQ$9,309&lt;=$NR$9),IF($NO$9="Single_Point",IF(309=$NQ$9,$NM$9,0),IF($NO$9="Bell_Curve",$NM$9*(309-$NQ$9+1)*($NR$9-309+1)/$NT$9,$NM$9/$NS$9)),0)</f>
        <v/>
      </c>
      <c r="LA9" s="18">
        <f>IF(AND(310&gt;=$NQ$9,310&lt;=$NR$9),IF($NO$9="Single_Point",IF(310=$NQ$9,$NM$9,0),IF($NO$9="Bell_Curve",$NM$9*(310-$NQ$9+1)*($NR$9-310+1)/$NT$9,$NM$9/$NS$9)),0)</f>
        <v/>
      </c>
      <c r="LB9" s="18">
        <f>IF(AND(311&gt;=$NQ$9,311&lt;=$NR$9),IF($NO$9="Single_Point",IF(311=$NQ$9,$NM$9,0),IF($NO$9="Bell_Curve",$NM$9*(311-$NQ$9+1)*($NR$9-311+1)/$NT$9,$NM$9/$NS$9)),0)</f>
        <v/>
      </c>
      <c r="LC9" s="18">
        <f>IF(AND(312&gt;=$NQ$9,312&lt;=$NR$9),IF($NO$9="Single_Point",IF(312=$NQ$9,$NM$9,0),IF($NO$9="Bell_Curve",$NM$9*(312-$NQ$9+1)*($NR$9-312+1)/$NT$9,$NM$9/$NS$9)),0)</f>
        <v/>
      </c>
      <c r="LD9" s="18">
        <f>IF(AND(313&gt;=$NQ$9,313&lt;=$NR$9),IF($NO$9="Single_Point",IF(313=$NQ$9,$NM$9,0),IF($NO$9="Bell_Curve",$NM$9*(313-$NQ$9+1)*($NR$9-313+1)/$NT$9,$NM$9/$NS$9)),0)</f>
        <v/>
      </c>
      <c r="LE9" s="18">
        <f>IF(AND(314&gt;=$NQ$9,314&lt;=$NR$9),IF($NO$9="Single_Point",IF(314=$NQ$9,$NM$9,0),IF($NO$9="Bell_Curve",$NM$9*(314-$NQ$9+1)*($NR$9-314+1)/$NT$9,$NM$9/$NS$9)),0)</f>
        <v/>
      </c>
      <c r="LF9" s="18">
        <f>IF(AND(315&gt;=$NQ$9,315&lt;=$NR$9),IF($NO$9="Single_Point",IF(315=$NQ$9,$NM$9,0),IF($NO$9="Bell_Curve",$NM$9*(315-$NQ$9+1)*($NR$9-315+1)/$NT$9,$NM$9/$NS$9)),0)</f>
        <v/>
      </c>
      <c r="LG9" s="18">
        <f>IF(AND(316&gt;=$NQ$9,316&lt;=$NR$9),IF($NO$9="Single_Point",IF(316=$NQ$9,$NM$9,0),IF($NO$9="Bell_Curve",$NM$9*(316-$NQ$9+1)*($NR$9-316+1)/$NT$9,$NM$9/$NS$9)),0)</f>
        <v/>
      </c>
      <c r="LH9" s="18">
        <f>IF(AND(317&gt;=$NQ$9,317&lt;=$NR$9),IF($NO$9="Single_Point",IF(317=$NQ$9,$NM$9,0),IF($NO$9="Bell_Curve",$NM$9*(317-$NQ$9+1)*($NR$9-317+1)/$NT$9,$NM$9/$NS$9)),0)</f>
        <v/>
      </c>
      <c r="LI9" s="18">
        <f>IF(AND(318&gt;=$NQ$9,318&lt;=$NR$9),IF($NO$9="Single_Point",IF(318=$NQ$9,$NM$9,0),IF($NO$9="Bell_Curve",$NM$9*(318-$NQ$9+1)*($NR$9-318+1)/$NT$9,$NM$9/$NS$9)),0)</f>
        <v/>
      </c>
      <c r="LJ9" s="18">
        <f>IF(AND(319&gt;=$NQ$9,319&lt;=$NR$9),IF($NO$9="Single_Point",IF(319=$NQ$9,$NM$9,0),IF($NO$9="Bell_Curve",$NM$9*(319-$NQ$9+1)*($NR$9-319+1)/$NT$9,$NM$9/$NS$9)),0)</f>
        <v/>
      </c>
      <c r="LK9" s="18">
        <f>IF(AND(320&gt;=$NQ$9,320&lt;=$NR$9),IF($NO$9="Single_Point",IF(320=$NQ$9,$NM$9,0),IF($NO$9="Bell_Curve",$NM$9*(320-$NQ$9+1)*($NR$9-320+1)/$NT$9,$NM$9/$NS$9)),0)</f>
        <v/>
      </c>
      <c r="LL9" s="18">
        <f>IF(AND(321&gt;=$NQ$9,321&lt;=$NR$9),IF($NO$9="Single_Point",IF(321=$NQ$9,$NM$9,0),IF($NO$9="Bell_Curve",$NM$9*(321-$NQ$9+1)*($NR$9-321+1)/$NT$9,$NM$9/$NS$9)),0)</f>
        <v/>
      </c>
      <c r="LM9" s="18">
        <f>IF(AND(322&gt;=$NQ$9,322&lt;=$NR$9),IF($NO$9="Single_Point",IF(322=$NQ$9,$NM$9,0),IF($NO$9="Bell_Curve",$NM$9*(322-$NQ$9+1)*($NR$9-322+1)/$NT$9,$NM$9/$NS$9)),0)</f>
        <v/>
      </c>
      <c r="LN9" s="18">
        <f>IF(AND(323&gt;=$NQ$9,323&lt;=$NR$9),IF($NO$9="Single_Point",IF(323=$NQ$9,$NM$9,0),IF($NO$9="Bell_Curve",$NM$9*(323-$NQ$9+1)*($NR$9-323+1)/$NT$9,$NM$9/$NS$9)),0)</f>
        <v/>
      </c>
      <c r="LO9" s="18">
        <f>IF(AND(324&gt;=$NQ$9,324&lt;=$NR$9),IF($NO$9="Single_Point",IF(324=$NQ$9,$NM$9,0),IF($NO$9="Bell_Curve",$NM$9*(324-$NQ$9+1)*($NR$9-324+1)/$NT$9,$NM$9/$NS$9)),0)</f>
        <v/>
      </c>
      <c r="LP9" s="18">
        <f>IF(AND(325&gt;=$NQ$9,325&lt;=$NR$9),IF($NO$9="Single_Point",IF(325=$NQ$9,$NM$9,0),IF($NO$9="Bell_Curve",$NM$9*(325-$NQ$9+1)*($NR$9-325+1)/$NT$9,$NM$9/$NS$9)),0)</f>
        <v/>
      </c>
      <c r="LQ9" s="18">
        <f>IF(AND(326&gt;=$NQ$9,326&lt;=$NR$9),IF($NO$9="Single_Point",IF(326=$NQ$9,$NM$9,0),IF($NO$9="Bell_Curve",$NM$9*(326-$NQ$9+1)*($NR$9-326+1)/$NT$9,$NM$9/$NS$9)),0)</f>
        <v/>
      </c>
      <c r="LR9" s="18">
        <f>IF(AND(327&gt;=$NQ$9,327&lt;=$NR$9),IF($NO$9="Single_Point",IF(327=$NQ$9,$NM$9,0),IF($NO$9="Bell_Curve",$NM$9*(327-$NQ$9+1)*($NR$9-327+1)/$NT$9,$NM$9/$NS$9)),0)</f>
        <v/>
      </c>
      <c r="LS9" s="18">
        <f>IF(AND(328&gt;=$NQ$9,328&lt;=$NR$9),IF($NO$9="Single_Point",IF(328=$NQ$9,$NM$9,0),IF($NO$9="Bell_Curve",$NM$9*(328-$NQ$9+1)*($NR$9-328+1)/$NT$9,$NM$9/$NS$9)),0)</f>
        <v/>
      </c>
      <c r="LT9" s="18">
        <f>IF(AND(329&gt;=$NQ$9,329&lt;=$NR$9),IF($NO$9="Single_Point",IF(329=$NQ$9,$NM$9,0),IF($NO$9="Bell_Curve",$NM$9*(329-$NQ$9+1)*($NR$9-329+1)/$NT$9,$NM$9/$NS$9)),0)</f>
        <v/>
      </c>
      <c r="LU9" s="18">
        <f>IF(AND(330&gt;=$NQ$9,330&lt;=$NR$9),IF($NO$9="Single_Point",IF(330=$NQ$9,$NM$9,0),IF($NO$9="Bell_Curve",$NM$9*(330-$NQ$9+1)*($NR$9-330+1)/$NT$9,$NM$9/$NS$9)),0)</f>
        <v/>
      </c>
      <c r="LV9" s="18">
        <f>IF(AND(331&gt;=$NQ$9,331&lt;=$NR$9),IF($NO$9="Single_Point",IF(331=$NQ$9,$NM$9,0),IF($NO$9="Bell_Curve",$NM$9*(331-$NQ$9+1)*($NR$9-331+1)/$NT$9,$NM$9/$NS$9)),0)</f>
        <v/>
      </c>
      <c r="LW9" s="18">
        <f>IF(AND(332&gt;=$NQ$9,332&lt;=$NR$9),IF($NO$9="Single_Point",IF(332=$NQ$9,$NM$9,0),IF($NO$9="Bell_Curve",$NM$9*(332-$NQ$9+1)*($NR$9-332+1)/$NT$9,$NM$9/$NS$9)),0)</f>
        <v/>
      </c>
      <c r="LX9" s="18">
        <f>IF(AND(333&gt;=$NQ$9,333&lt;=$NR$9),IF($NO$9="Single_Point",IF(333=$NQ$9,$NM$9,0),IF($NO$9="Bell_Curve",$NM$9*(333-$NQ$9+1)*($NR$9-333+1)/$NT$9,$NM$9/$NS$9)),0)</f>
        <v/>
      </c>
      <c r="LY9" s="18">
        <f>IF(AND(334&gt;=$NQ$9,334&lt;=$NR$9),IF($NO$9="Single_Point",IF(334=$NQ$9,$NM$9,0),IF($NO$9="Bell_Curve",$NM$9*(334-$NQ$9+1)*($NR$9-334+1)/$NT$9,$NM$9/$NS$9)),0)</f>
        <v/>
      </c>
      <c r="LZ9" s="18">
        <f>IF(AND(335&gt;=$NQ$9,335&lt;=$NR$9),IF($NO$9="Single_Point",IF(335=$NQ$9,$NM$9,0),IF($NO$9="Bell_Curve",$NM$9*(335-$NQ$9+1)*($NR$9-335+1)/$NT$9,$NM$9/$NS$9)),0)</f>
        <v/>
      </c>
      <c r="MA9" s="18">
        <f>IF(AND(336&gt;=$NQ$9,336&lt;=$NR$9),IF($NO$9="Single_Point",IF(336=$NQ$9,$NM$9,0),IF($NO$9="Bell_Curve",$NM$9*(336-$NQ$9+1)*($NR$9-336+1)/$NT$9,$NM$9/$NS$9)),0)</f>
        <v/>
      </c>
      <c r="MB9" s="18">
        <f>IF(AND(337&gt;=$NQ$9,337&lt;=$NR$9),IF($NO$9="Single_Point",IF(337=$NQ$9,$NM$9,0),IF($NO$9="Bell_Curve",$NM$9*(337-$NQ$9+1)*($NR$9-337+1)/$NT$9,$NM$9/$NS$9)),0)</f>
        <v/>
      </c>
      <c r="MC9" s="18">
        <f>IF(AND(338&gt;=$NQ$9,338&lt;=$NR$9),IF($NO$9="Single_Point",IF(338=$NQ$9,$NM$9,0),IF($NO$9="Bell_Curve",$NM$9*(338-$NQ$9+1)*($NR$9-338+1)/$NT$9,$NM$9/$NS$9)),0)</f>
        <v/>
      </c>
      <c r="MD9" s="18">
        <f>IF(AND(339&gt;=$NQ$9,339&lt;=$NR$9),IF($NO$9="Single_Point",IF(339=$NQ$9,$NM$9,0),IF($NO$9="Bell_Curve",$NM$9*(339-$NQ$9+1)*($NR$9-339+1)/$NT$9,$NM$9/$NS$9)),0)</f>
        <v/>
      </c>
      <c r="ME9" s="18">
        <f>IF(AND(340&gt;=$NQ$9,340&lt;=$NR$9),IF($NO$9="Single_Point",IF(340=$NQ$9,$NM$9,0),IF($NO$9="Bell_Curve",$NM$9*(340-$NQ$9+1)*($NR$9-340+1)/$NT$9,$NM$9/$NS$9)),0)</f>
        <v/>
      </c>
      <c r="MF9" s="18">
        <f>IF(AND(341&gt;=$NQ$9,341&lt;=$NR$9),IF($NO$9="Single_Point",IF(341=$NQ$9,$NM$9,0),IF($NO$9="Bell_Curve",$NM$9*(341-$NQ$9+1)*($NR$9-341+1)/$NT$9,$NM$9/$NS$9)),0)</f>
        <v/>
      </c>
      <c r="MG9" s="18">
        <f>IF(AND(342&gt;=$NQ$9,342&lt;=$NR$9),IF($NO$9="Single_Point",IF(342=$NQ$9,$NM$9,0),IF($NO$9="Bell_Curve",$NM$9*(342-$NQ$9+1)*($NR$9-342+1)/$NT$9,$NM$9/$NS$9)),0)</f>
        <v/>
      </c>
      <c r="MH9" s="18">
        <f>IF(AND(343&gt;=$NQ$9,343&lt;=$NR$9),IF($NO$9="Single_Point",IF(343=$NQ$9,$NM$9,0),IF($NO$9="Bell_Curve",$NM$9*(343-$NQ$9+1)*($NR$9-343+1)/$NT$9,$NM$9/$NS$9)),0)</f>
        <v/>
      </c>
      <c r="MI9" s="18">
        <f>IF(AND(344&gt;=$NQ$9,344&lt;=$NR$9),IF($NO$9="Single_Point",IF(344=$NQ$9,$NM$9,0),IF($NO$9="Bell_Curve",$NM$9*(344-$NQ$9+1)*($NR$9-344+1)/$NT$9,$NM$9/$NS$9)),0)</f>
        <v/>
      </c>
      <c r="MJ9" s="18">
        <f>IF(AND(345&gt;=$NQ$9,345&lt;=$NR$9),IF($NO$9="Single_Point",IF(345=$NQ$9,$NM$9,0),IF($NO$9="Bell_Curve",$NM$9*(345-$NQ$9+1)*($NR$9-345+1)/$NT$9,$NM$9/$NS$9)),0)</f>
        <v/>
      </c>
      <c r="MK9" s="18">
        <f>IF(AND(346&gt;=$NQ$9,346&lt;=$NR$9),IF($NO$9="Single_Point",IF(346=$NQ$9,$NM$9,0),IF($NO$9="Bell_Curve",$NM$9*(346-$NQ$9+1)*($NR$9-346+1)/$NT$9,$NM$9/$NS$9)),0)</f>
        <v/>
      </c>
      <c r="ML9" s="18">
        <f>IF(AND(347&gt;=$NQ$9,347&lt;=$NR$9),IF($NO$9="Single_Point",IF(347=$NQ$9,$NM$9,0),IF($NO$9="Bell_Curve",$NM$9*(347-$NQ$9+1)*($NR$9-347+1)/$NT$9,$NM$9/$NS$9)),0)</f>
        <v/>
      </c>
      <c r="MM9" s="18">
        <f>IF(AND(348&gt;=$NQ$9,348&lt;=$NR$9),IF($NO$9="Single_Point",IF(348=$NQ$9,$NM$9,0),IF($NO$9="Bell_Curve",$NM$9*(348-$NQ$9+1)*($NR$9-348+1)/$NT$9,$NM$9/$NS$9)),0)</f>
        <v/>
      </c>
      <c r="MN9" s="18">
        <f>IF(AND(349&gt;=$NQ$9,349&lt;=$NR$9),IF($NO$9="Single_Point",IF(349=$NQ$9,$NM$9,0),IF($NO$9="Bell_Curve",$NM$9*(349-$NQ$9+1)*($NR$9-349+1)/$NT$9,$NM$9/$NS$9)),0)</f>
        <v/>
      </c>
      <c r="MO9" s="18">
        <f>IF(AND(350&gt;=$NQ$9,350&lt;=$NR$9),IF($NO$9="Single_Point",IF(350=$NQ$9,$NM$9,0),IF($NO$9="Bell_Curve",$NM$9*(350-$NQ$9+1)*($NR$9-350+1)/$NT$9,$NM$9/$NS$9)),0)</f>
        <v/>
      </c>
      <c r="MP9" s="18">
        <f>IF(AND(351&gt;=$NQ$9,351&lt;=$NR$9),IF($NO$9="Single_Point",IF(351=$NQ$9,$NM$9,0),IF($NO$9="Bell_Curve",$NM$9*(351-$NQ$9+1)*($NR$9-351+1)/$NT$9,$NM$9/$NS$9)),0)</f>
        <v/>
      </c>
      <c r="MQ9" s="18">
        <f>IF(AND(352&gt;=$NQ$9,352&lt;=$NR$9),IF($NO$9="Single_Point",IF(352=$NQ$9,$NM$9,0),IF($NO$9="Bell_Curve",$NM$9*(352-$NQ$9+1)*($NR$9-352+1)/$NT$9,$NM$9/$NS$9)),0)</f>
        <v/>
      </c>
      <c r="MR9" s="18">
        <f>IF(AND(353&gt;=$NQ$9,353&lt;=$NR$9),IF($NO$9="Single_Point",IF(353=$NQ$9,$NM$9,0),IF($NO$9="Bell_Curve",$NM$9*(353-$NQ$9+1)*($NR$9-353+1)/$NT$9,$NM$9/$NS$9)),0)</f>
        <v/>
      </c>
      <c r="MS9" s="18">
        <f>IF(AND(354&gt;=$NQ$9,354&lt;=$NR$9),IF($NO$9="Single_Point",IF(354=$NQ$9,$NM$9,0),IF($NO$9="Bell_Curve",$NM$9*(354-$NQ$9+1)*($NR$9-354+1)/$NT$9,$NM$9/$NS$9)),0)</f>
        <v/>
      </c>
      <c r="MT9" s="18">
        <f>IF(AND(355&gt;=$NQ$9,355&lt;=$NR$9),IF($NO$9="Single_Point",IF(355=$NQ$9,$NM$9,0),IF($NO$9="Bell_Curve",$NM$9*(355-$NQ$9+1)*($NR$9-355+1)/$NT$9,$NM$9/$NS$9)),0)</f>
        <v/>
      </c>
      <c r="MU9" s="18">
        <f>IF(AND(356&gt;=$NQ$9,356&lt;=$NR$9),IF($NO$9="Single_Point",IF(356=$NQ$9,$NM$9,0),IF($NO$9="Bell_Curve",$NM$9*(356-$NQ$9+1)*($NR$9-356+1)/$NT$9,$NM$9/$NS$9)),0)</f>
        <v/>
      </c>
      <c r="MV9" s="18">
        <f>IF(AND(357&gt;=$NQ$9,357&lt;=$NR$9),IF($NO$9="Single_Point",IF(357=$NQ$9,$NM$9,0),IF($NO$9="Bell_Curve",$NM$9*(357-$NQ$9+1)*($NR$9-357+1)/$NT$9,$NM$9/$NS$9)),0)</f>
        <v/>
      </c>
      <c r="MW9" s="18">
        <f>IF(AND(358&gt;=$NQ$9,358&lt;=$NR$9),IF($NO$9="Single_Point",IF(358=$NQ$9,$NM$9,0),IF($NO$9="Bell_Curve",$NM$9*(358-$NQ$9+1)*($NR$9-358+1)/$NT$9,$NM$9/$NS$9)),0)</f>
        <v/>
      </c>
      <c r="MX9" s="18">
        <f>IF(AND(359&gt;=$NQ$9,359&lt;=$NR$9),IF($NO$9="Single_Point",IF(359=$NQ$9,$NM$9,0),IF($NO$9="Bell_Curve",$NM$9*(359-$NQ$9+1)*($NR$9-359+1)/$NT$9,$NM$9/$NS$9)),0)</f>
        <v/>
      </c>
      <c r="MY9" s="18">
        <f>IF(AND(360&gt;=$NQ$9,360&lt;=$NR$9),IF($NO$9="Single_Point",IF(360=$NQ$9,$NM$9,0),IF($NO$9="Bell_Curve",$NM$9*(360-$NQ$9+1)*($NR$9-360+1)/$NT$9,$NM$9/$NS$9)),0)</f>
        <v/>
      </c>
      <c r="MZ9" s="18">
        <f>IF(AND(361&gt;=$NQ$9,361&lt;=$NR$9),IF($NO$9="Single_Point",IF(361=$NQ$9,$NM$9,0),IF($NO$9="Bell_Curve",$NM$9*(361-$NQ$9+1)*($NR$9-361+1)/$NT$9,$NM$9/$NS$9)),0)</f>
        <v/>
      </c>
      <c r="NA9" s="18">
        <f>IF(AND(362&gt;=$NQ$9,362&lt;=$NR$9),IF($NO$9="Single_Point",IF(362=$NQ$9,$NM$9,0),IF($NO$9="Bell_Curve",$NM$9*(362-$NQ$9+1)*($NR$9-362+1)/$NT$9,$NM$9/$NS$9)),0)</f>
        <v/>
      </c>
      <c r="NB9" s="18">
        <f>IF(AND(363&gt;=$NQ$9,363&lt;=$NR$9),IF($NO$9="Single_Point",IF(363=$NQ$9,$NM$9,0),IF($NO$9="Bell_Curve",$NM$9*(363-$NQ$9+1)*($NR$9-363+1)/$NT$9,$NM$9/$NS$9)),0)</f>
        <v/>
      </c>
      <c r="NC9" s="18">
        <f>IF(AND(364&gt;=$NQ$9,364&lt;=$NR$9),IF($NO$9="Single_Point",IF(364=$NQ$9,$NM$9,0),IF($NO$9="Bell_Curve",$NM$9*(364-$NQ$9+1)*($NR$9-364+1)/$NT$9,$NM$9/$NS$9)),0)</f>
        <v/>
      </c>
      <c r="ND9" s="18">
        <f>IF(AND(365&gt;=$NQ$9,365&lt;=$NR$9),IF($NO$9="Single_Point",IF(365=$NQ$9,$NM$9,0),IF($NO$9="Bell_Curve",$NM$9*(365-$NQ$9+1)*($NR$9-365+1)/$NT$9,$NM$9/$NS$9)),0)</f>
        <v/>
      </c>
      <c r="NE9" s="18">
        <f>IF(AND(366&gt;=$NQ$9,366&lt;=$NR$9),IF($NO$9="Single_Point",IF(366=$NQ$9,$NM$9,0),IF($NO$9="Bell_Curve",$NM$9*(366-$NQ$9+1)*($NR$9-366+1)/$NT$9,$NM$9/$NS$9)),0)</f>
        <v/>
      </c>
      <c r="NF9" s="18">
        <f>IF(AND(367&gt;=$NQ$9,367&lt;=$NR$9),IF($NO$9="Single_Point",IF(367=$NQ$9,$NM$9,0),IF($NO$9="Bell_Curve",$NM$9*(367-$NQ$9+1)*($NR$9-367+1)/$NT$9,$NM$9/$NS$9)),0)</f>
        <v/>
      </c>
      <c r="NG9" s="18">
        <f>IF(AND(368&gt;=$NQ$9,368&lt;=$NR$9),IF($NO$9="Single_Point",IF(368=$NQ$9,$NM$9,0),IF($NO$9="Bell_Curve",$NM$9*(368-$NQ$9+1)*($NR$9-368+1)/$NT$9,$NM$9/$NS$9)),0)</f>
        <v/>
      </c>
      <c r="NH9" s="18">
        <f>IF(AND(369&gt;=$NQ$9,369&lt;=$NR$9),IF($NO$9="Single_Point",IF(369=$NQ$9,$NM$9,0),IF($NO$9="Bell_Curve",$NM$9*(369-$NQ$9+1)*($NR$9-369+1)/$NT$9,$NM$9/$NS$9)),0)</f>
        <v/>
      </c>
      <c r="NI9" s="18">
        <f>IF(AND(370&gt;=$NQ$9,370&lt;=$NR$9),IF($NO$9="Single_Point",IF(370=$NQ$9,$NM$9,0),IF($NO$9="Bell_Curve",$NM$9*(370-$NQ$9+1)*($NR$9-370+1)/$NT$9,$NM$9/$NS$9)),0)</f>
        <v/>
      </c>
      <c r="NJ9" s="18">
        <f>IF(AND(371&gt;=$NQ$9,371&lt;=$NR$9),IF($NO$9="Single_Point",IF(371=$NQ$9,$NM$9,0),IF($NO$9="Bell_Curve",$NM$9*(371-$NQ$9+1)*($NR$9-371+1)/$NT$9,$NM$9/$NS$9)),0)</f>
        <v/>
      </c>
      <c r="NK9" s="18">
        <f>IF(AND(372&gt;=$NQ$9,372&lt;=$NR$9),IF($NO$9="Single_Point",IF(372=$NQ$9,$NM$9,0),IF($NO$9="Bell_Curve",$NM$9*(372-$NQ$9+1)*($NR$9-372+1)/$NT$9,$NM$9/$NS$9)),0)</f>
        <v/>
      </c>
      <c r="NM9" s="18">
        <f>Budget!I8</f>
        <v/>
      </c>
      <c r="NN9" s="42">
        <f>Budget!F8</f>
        <v/>
      </c>
      <c r="NO9" s="42">
        <f>Budget!G8</f>
        <v/>
      </c>
      <c r="NP9" s="17">
        <f>Budget!H8</f>
        <v/>
      </c>
      <c r="NQ9" s="32">
        <f>MAX(1,MIN(372,INDEX(MilestoneStart,MATCH(NN9,MilestoneNames,0))+NP9))</f>
        <v/>
      </c>
      <c r="NR9" s="32">
        <f>MAX(NQ9,MIN(372,INDEX(MilestoneEnd,MATCH(NN9,MilestoneNames,0))+NP9))</f>
        <v/>
      </c>
      <c r="NS9" s="17">
        <f>NR9-NQ9+1</f>
        <v/>
      </c>
      <c r="NT9" s="17">
        <f>NS9*(NS9+1)*(NS9+2)/6</f>
        <v/>
      </c>
    </row>
    <row r="10">
      <c r="A10" s="5" t="inlineStr">
        <is>
          <t>Architecture &amp; Eng.</t>
        </is>
      </c>
      <c r="C10" s="41">
        <f>SUM(D10:NK10)</f>
        <v/>
      </c>
      <c r="D10" s="18">
        <f>IF(AND(1&gt;=$NQ$10,1&lt;=$NR$10),IF($NO$10="Single_Point",IF(1=$NQ$10,$NM$10,0),IF($NO$10="Bell_Curve",$NM$10*(1-$NQ$10+1)*($NR$10-1+1)/$NT$10,$NM$10/$NS$10)),0)</f>
        <v/>
      </c>
      <c r="E10" s="18">
        <f>IF(AND(2&gt;=$NQ$10,2&lt;=$NR$10),IF($NO$10="Single_Point",IF(2=$NQ$10,$NM$10,0),IF($NO$10="Bell_Curve",$NM$10*(2-$NQ$10+1)*($NR$10-2+1)/$NT$10,$NM$10/$NS$10)),0)</f>
        <v/>
      </c>
      <c r="F10" s="18">
        <f>IF(AND(3&gt;=$NQ$10,3&lt;=$NR$10),IF($NO$10="Single_Point",IF(3=$NQ$10,$NM$10,0),IF($NO$10="Bell_Curve",$NM$10*(3-$NQ$10+1)*($NR$10-3+1)/$NT$10,$NM$10/$NS$10)),0)</f>
        <v/>
      </c>
      <c r="G10" s="18">
        <f>IF(AND(4&gt;=$NQ$10,4&lt;=$NR$10),IF($NO$10="Single_Point",IF(4=$NQ$10,$NM$10,0),IF($NO$10="Bell_Curve",$NM$10*(4-$NQ$10+1)*($NR$10-4+1)/$NT$10,$NM$10/$NS$10)),0)</f>
        <v/>
      </c>
      <c r="H10" s="18">
        <f>IF(AND(5&gt;=$NQ$10,5&lt;=$NR$10),IF($NO$10="Single_Point",IF(5=$NQ$10,$NM$10,0),IF($NO$10="Bell_Curve",$NM$10*(5-$NQ$10+1)*($NR$10-5+1)/$NT$10,$NM$10/$NS$10)),0)</f>
        <v/>
      </c>
      <c r="I10" s="18">
        <f>IF(AND(6&gt;=$NQ$10,6&lt;=$NR$10),IF($NO$10="Single_Point",IF(6=$NQ$10,$NM$10,0),IF($NO$10="Bell_Curve",$NM$10*(6-$NQ$10+1)*($NR$10-6+1)/$NT$10,$NM$10/$NS$10)),0)</f>
        <v/>
      </c>
      <c r="J10" s="18">
        <f>IF(AND(7&gt;=$NQ$10,7&lt;=$NR$10),IF($NO$10="Single_Point",IF(7=$NQ$10,$NM$10,0),IF($NO$10="Bell_Curve",$NM$10*(7-$NQ$10+1)*($NR$10-7+1)/$NT$10,$NM$10/$NS$10)),0)</f>
        <v/>
      </c>
      <c r="K10" s="18">
        <f>IF(AND(8&gt;=$NQ$10,8&lt;=$NR$10),IF($NO$10="Single_Point",IF(8=$NQ$10,$NM$10,0),IF($NO$10="Bell_Curve",$NM$10*(8-$NQ$10+1)*($NR$10-8+1)/$NT$10,$NM$10/$NS$10)),0)</f>
        <v/>
      </c>
      <c r="L10" s="18">
        <f>IF(AND(9&gt;=$NQ$10,9&lt;=$NR$10),IF($NO$10="Single_Point",IF(9=$NQ$10,$NM$10,0),IF($NO$10="Bell_Curve",$NM$10*(9-$NQ$10+1)*($NR$10-9+1)/$NT$10,$NM$10/$NS$10)),0)</f>
        <v/>
      </c>
      <c r="M10" s="18">
        <f>IF(AND(10&gt;=$NQ$10,10&lt;=$NR$10),IF($NO$10="Single_Point",IF(10=$NQ$10,$NM$10,0),IF($NO$10="Bell_Curve",$NM$10*(10-$NQ$10+1)*($NR$10-10+1)/$NT$10,$NM$10/$NS$10)),0)</f>
        <v/>
      </c>
      <c r="N10" s="18">
        <f>IF(AND(11&gt;=$NQ$10,11&lt;=$NR$10),IF($NO$10="Single_Point",IF(11=$NQ$10,$NM$10,0),IF($NO$10="Bell_Curve",$NM$10*(11-$NQ$10+1)*($NR$10-11+1)/$NT$10,$NM$10/$NS$10)),0)</f>
        <v/>
      </c>
      <c r="O10" s="18">
        <f>IF(AND(12&gt;=$NQ$10,12&lt;=$NR$10),IF($NO$10="Single_Point",IF(12=$NQ$10,$NM$10,0),IF($NO$10="Bell_Curve",$NM$10*(12-$NQ$10+1)*($NR$10-12+1)/$NT$10,$NM$10/$NS$10)),0)</f>
        <v/>
      </c>
      <c r="P10" s="18">
        <f>IF(AND(13&gt;=$NQ$10,13&lt;=$NR$10),IF($NO$10="Single_Point",IF(13=$NQ$10,$NM$10,0),IF($NO$10="Bell_Curve",$NM$10*(13-$NQ$10+1)*($NR$10-13+1)/$NT$10,$NM$10/$NS$10)),0)</f>
        <v/>
      </c>
      <c r="Q10" s="18">
        <f>IF(AND(14&gt;=$NQ$10,14&lt;=$NR$10),IF($NO$10="Single_Point",IF(14=$NQ$10,$NM$10,0),IF($NO$10="Bell_Curve",$NM$10*(14-$NQ$10+1)*($NR$10-14+1)/$NT$10,$NM$10/$NS$10)),0)</f>
        <v/>
      </c>
      <c r="R10" s="18">
        <f>IF(AND(15&gt;=$NQ$10,15&lt;=$NR$10),IF($NO$10="Single_Point",IF(15=$NQ$10,$NM$10,0),IF($NO$10="Bell_Curve",$NM$10*(15-$NQ$10+1)*($NR$10-15+1)/$NT$10,$NM$10/$NS$10)),0)</f>
        <v/>
      </c>
      <c r="S10" s="18">
        <f>IF(AND(16&gt;=$NQ$10,16&lt;=$NR$10),IF($NO$10="Single_Point",IF(16=$NQ$10,$NM$10,0),IF($NO$10="Bell_Curve",$NM$10*(16-$NQ$10+1)*($NR$10-16+1)/$NT$10,$NM$10/$NS$10)),0)</f>
        <v/>
      </c>
      <c r="T10" s="18">
        <f>IF(AND(17&gt;=$NQ$10,17&lt;=$NR$10),IF($NO$10="Single_Point",IF(17=$NQ$10,$NM$10,0),IF($NO$10="Bell_Curve",$NM$10*(17-$NQ$10+1)*($NR$10-17+1)/$NT$10,$NM$10/$NS$10)),0)</f>
        <v/>
      </c>
      <c r="U10" s="18">
        <f>IF(AND(18&gt;=$NQ$10,18&lt;=$NR$10),IF($NO$10="Single_Point",IF(18=$NQ$10,$NM$10,0),IF($NO$10="Bell_Curve",$NM$10*(18-$NQ$10+1)*($NR$10-18+1)/$NT$10,$NM$10/$NS$10)),0)</f>
        <v/>
      </c>
      <c r="V10" s="18">
        <f>IF(AND(19&gt;=$NQ$10,19&lt;=$NR$10),IF($NO$10="Single_Point",IF(19=$NQ$10,$NM$10,0),IF($NO$10="Bell_Curve",$NM$10*(19-$NQ$10+1)*($NR$10-19+1)/$NT$10,$NM$10/$NS$10)),0)</f>
        <v/>
      </c>
      <c r="W10" s="18">
        <f>IF(AND(20&gt;=$NQ$10,20&lt;=$NR$10),IF($NO$10="Single_Point",IF(20=$NQ$10,$NM$10,0),IF($NO$10="Bell_Curve",$NM$10*(20-$NQ$10+1)*($NR$10-20+1)/$NT$10,$NM$10/$NS$10)),0)</f>
        <v/>
      </c>
      <c r="X10" s="18">
        <f>IF(AND(21&gt;=$NQ$10,21&lt;=$NR$10),IF($NO$10="Single_Point",IF(21=$NQ$10,$NM$10,0),IF($NO$10="Bell_Curve",$NM$10*(21-$NQ$10+1)*($NR$10-21+1)/$NT$10,$NM$10/$NS$10)),0)</f>
        <v/>
      </c>
      <c r="Y10" s="18">
        <f>IF(AND(22&gt;=$NQ$10,22&lt;=$NR$10),IF($NO$10="Single_Point",IF(22=$NQ$10,$NM$10,0),IF($NO$10="Bell_Curve",$NM$10*(22-$NQ$10+1)*($NR$10-22+1)/$NT$10,$NM$10/$NS$10)),0)</f>
        <v/>
      </c>
      <c r="Z10" s="18">
        <f>IF(AND(23&gt;=$NQ$10,23&lt;=$NR$10),IF($NO$10="Single_Point",IF(23=$NQ$10,$NM$10,0),IF($NO$10="Bell_Curve",$NM$10*(23-$NQ$10+1)*($NR$10-23+1)/$NT$10,$NM$10/$NS$10)),0)</f>
        <v/>
      </c>
      <c r="AA10" s="18">
        <f>IF(AND(24&gt;=$NQ$10,24&lt;=$NR$10),IF($NO$10="Single_Point",IF(24=$NQ$10,$NM$10,0),IF($NO$10="Bell_Curve",$NM$10*(24-$NQ$10+1)*($NR$10-24+1)/$NT$10,$NM$10/$NS$10)),0)</f>
        <v/>
      </c>
      <c r="AB10" s="18">
        <f>IF(AND(25&gt;=$NQ$10,25&lt;=$NR$10),IF($NO$10="Single_Point",IF(25=$NQ$10,$NM$10,0),IF($NO$10="Bell_Curve",$NM$10*(25-$NQ$10+1)*($NR$10-25+1)/$NT$10,$NM$10/$NS$10)),0)</f>
        <v/>
      </c>
      <c r="AC10" s="18">
        <f>IF(AND(26&gt;=$NQ$10,26&lt;=$NR$10),IF($NO$10="Single_Point",IF(26=$NQ$10,$NM$10,0),IF($NO$10="Bell_Curve",$NM$10*(26-$NQ$10+1)*($NR$10-26+1)/$NT$10,$NM$10/$NS$10)),0)</f>
        <v/>
      </c>
      <c r="AD10" s="18">
        <f>IF(AND(27&gt;=$NQ$10,27&lt;=$NR$10),IF($NO$10="Single_Point",IF(27=$NQ$10,$NM$10,0),IF($NO$10="Bell_Curve",$NM$10*(27-$NQ$10+1)*($NR$10-27+1)/$NT$10,$NM$10/$NS$10)),0)</f>
        <v/>
      </c>
      <c r="AE10" s="18">
        <f>IF(AND(28&gt;=$NQ$10,28&lt;=$NR$10),IF($NO$10="Single_Point",IF(28=$NQ$10,$NM$10,0),IF($NO$10="Bell_Curve",$NM$10*(28-$NQ$10+1)*($NR$10-28+1)/$NT$10,$NM$10/$NS$10)),0)</f>
        <v/>
      </c>
      <c r="AF10" s="18">
        <f>IF(AND(29&gt;=$NQ$10,29&lt;=$NR$10),IF($NO$10="Single_Point",IF(29=$NQ$10,$NM$10,0),IF($NO$10="Bell_Curve",$NM$10*(29-$NQ$10+1)*($NR$10-29+1)/$NT$10,$NM$10/$NS$10)),0)</f>
        <v/>
      </c>
      <c r="AG10" s="18">
        <f>IF(AND(30&gt;=$NQ$10,30&lt;=$NR$10),IF($NO$10="Single_Point",IF(30=$NQ$10,$NM$10,0),IF($NO$10="Bell_Curve",$NM$10*(30-$NQ$10+1)*($NR$10-30+1)/$NT$10,$NM$10/$NS$10)),0)</f>
        <v/>
      </c>
      <c r="AH10" s="18">
        <f>IF(AND(31&gt;=$NQ$10,31&lt;=$NR$10),IF($NO$10="Single_Point",IF(31=$NQ$10,$NM$10,0),IF($NO$10="Bell_Curve",$NM$10*(31-$NQ$10+1)*($NR$10-31+1)/$NT$10,$NM$10/$NS$10)),0)</f>
        <v/>
      </c>
      <c r="AI10" s="18">
        <f>IF(AND(32&gt;=$NQ$10,32&lt;=$NR$10),IF($NO$10="Single_Point",IF(32=$NQ$10,$NM$10,0),IF($NO$10="Bell_Curve",$NM$10*(32-$NQ$10+1)*($NR$10-32+1)/$NT$10,$NM$10/$NS$10)),0)</f>
        <v/>
      </c>
      <c r="AJ10" s="18">
        <f>IF(AND(33&gt;=$NQ$10,33&lt;=$NR$10),IF($NO$10="Single_Point",IF(33=$NQ$10,$NM$10,0),IF($NO$10="Bell_Curve",$NM$10*(33-$NQ$10+1)*($NR$10-33+1)/$NT$10,$NM$10/$NS$10)),0)</f>
        <v/>
      </c>
      <c r="AK10" s="18">
        <f>IF(AND(34&gt;=$NQ$10,34&lt;=$NR$10),IF($NO$10="Single_Point",IF(34=$NQ$10,$NM$10,0),IF($NO$10="Bell_Curve",$NM$10*(34-$NQ$10+1)*($NR$10-34+1)/$NT$10,$NM$10/$NS$10)),0)</f>
        <v/>
      </c>
      <c r="AL10" s="18">
        <f>IF(AND(35&gt;=$NQ$10,35&lt;=$NR$10),IF($NO$10="Single_Point",IF(35=$NQ$10,$NM$10,0),IF($NO$10="Bell_Curve",$NM$10*(35-$NQ$10+1)*($NR$10-35+1)/$NT$10,$NM$10/$NS$10)),0)</f>
        <v/>
      </c>
      <c r="AM10" s="18">
        <f>IF(AND(36&gt;=$NQ$10,36&lt;=$NR$10),IF($NO$10="Single_Point",IF(36=$NQ$10,$NM$10,0),IF($NO$10="Bell_Curve",$NM$10*(36-$NQ$10+1)*($NR$10-36+1)/$NT$10,$NM$10/$NS$10)),0)</f>
        <v/>
      </c>
      <c r="AN10" s="18">
        <f>IF(AND(37&gt;=$NQ$10,37&lt;=$NR$10),IF($NO$10="Single_Point",IF(37=$NQ$10,$NM$10,0),IF($NO$10="Bell_Curve",$NM$10*(37-$NQ$10+1)*($NR$10-37+1)/$NT$10,$NM$10/$NS$10)),0)</f>
        <v/>
      </c>
      <c r="AO10" s="18">
        <f>IF(AND(38&gt;=$NQ$10,38&lt;=$NR$10),IF($NO$10="Single_Point",IF(38=$NQ$10,$NM$10,0),IF($NO$10="Bell_Curve",$NM$10*(38-$NQ$10+1)*($NR$10-38+1)/$NT$10,$NM$10/$NS$10)),0)</f>
        <v/>
      </c>
      <c r="AP10" s="18">
        <f>IF(AND(39&gt;=$NQ$10,39&lt;=$NR$10),IF($NO$10="Single_Point",IF(39=$NQ$10,$NM$10,0),IF($NO$10="Bell_Curve",$NM$10*(39-$NQ$10+1)*($NR$10-39+1)/$NT$10,$NM$10/$NS$10)),0)</f>
        <v/>
      </c>
      <c r="AQ10" s="18">
        <f>IF(AND(40&gt;=$NQ$10,40&lt;=$NR$10),IF($NO$10="Single_Point",IF(40=$NQ$10,$NM$10,0),IF($NO$10="Bell_Curve",$NM$10*(40-$NQ$10+1)*($NR$10-40+1)/$NT$10,$NM$10/$NS$10)),0)</f>
        <v/>
      </c>
      <c r="AR10" s="18">
        <f>IF(AND(41&gt;=$NQ$10,41&lt;=$NR$10),IF($NO$10="Single_Point",IF(41=$NQ$10,$NM$10,0),IF($NO$10="Bell_Curve",$NM$10*(41-$NQ$10+1)*($NR$10-41+1)/$NT$10,$NM$10/$NS$10)),0)</f>
        <v/>
      </c>
      <c r="AS10" s="18">
        <f>IF(AND(42&gt;=$NQ$10,42&lt;=$NR$10),IF($NO$10="Single_Point",IF(42=$NQ$10,$NM$10,0),IF($NO$10="Bell_Curve",$NM$10*(42-$NQ$10+1)*($NR$10-42+1)/$NT$10,$NM$10/$NS$10)),0)</f>
        <v/>
      </c>
      <c r="AT10" s="18">
        <f>IF(AND(43&gt;=$NQ$10,43&lt;=$NR$10),IF($NO$10="Single_Point",IF(43=$NQ$10,$NM$10,0),IF($NO$10="Bell_Curve",$NM$10*(43-$NQ$10+1)*($NR$10-43+1)/$NT$10,$NM$10/$NS$10)),0)</f>
        <v/>
      </c>
      <c r="AU10" s="18">
        <f>IF(AND(44&gt;=$NQ$10,44&lt;=$NR$10),IF($NO$10="Single_Point",IF(44=$NQ$10,$NM$10,0),IF($NO$10="Bell_Curve",$NM$10*(44-$NQ$10+1)*($NR$10-44+1)/$NT$10,$NM$10/$NS$10)),0)</f>
        <v/>
      </c>
      <c r="AV10" s="18">
        <f>IF(AND(45&gt;=$NQ$10,45&lt;=$NR$10),IF($NO$10="Single_Point",IF(45=$NQ$10,$NM$10,0),IF($NO$10="Bell_Curve",$NM$10*(45-$NQ$10+1)*($NR$10-45+1)/$NT$10,$NM$10/$NS$10)),0)</f>
        <v/>
      </c>
      <c r="AW10" s="18">
        <f>IF(AND(46&gt;=$NQ$10,46&lt;=$NR$10),IF($NO$10="Single_Point",IF(46=$NQ$10,$NM$10,0),IF($NO$10="Bell_Curve",$NM$10*(46-$NQ$10+1)*($NR$10-46+1)/$NT$10,$NM$10/$NS$10)),0)</f>
        <v/>
      </c>
      <c r="AX10" s="18">
        <f>IF(AND(47&gt;=$NQ$10,47&lt;=$NR$10),IF($NO$10="Single_Point",IF(47=$NQ$10,$NM$10,0),IF($NO$10="Bell_Curve",$NM$10*(47-$NQ$10+1)*($NR$10-47+1)/$NT$10,$NM$10/$NS$10)),0)</f>
        <v/>
      </c>
      <c r="AY10" s="18">
        <f>IF(AND(48&gt;=$NQ$10,48&lt;=$NR$10),IF($NO$10="Single_Point",IF(48=$NQ$10,$NM$10,0),IF($NO$10="Bell_Curve",$NM$10*(48-$NQ$10+1)*($NR$10-48+1)/$NT$10,$NM$10/$NS$10)),0)</f>
        <v/>
      </c>
      <c r="AZ10" s="18">
        <f>IF(AND(49&gt;=$NQ$10,49&lt;=$NR$10),IF($NO$10="Single_Point",IF(49=$NQ$10,$NM$10,0),IF($NO$10="Bell_Curve",$NM$10*(49-$NQ$10+1)*($NR$10-49+1)/$NT$10,$NM$10/$NS$10)),0)</f>
        <v/>
      </c>
      <c r="BA10" s="18">
        <f>IF(AND(50&gt;=$NQ$10,50&lt;=$NR$10),IF($NO$10="Single_Point",IF(50=$NQ$10,$NM$10,0),IF($NO$10="Bell_Curve",$NM$10*(50-$NQ$10+1)*($NR$10-50+1)/$NT$10,$NM$10/$NS$10)),0)</f>
        <v/>
      </c>
      <c r="BB10" s="18">
        <f>IF(AND(51&gt;=$NQ$10,51&lt;=$NR$10),IF($NO$10="Single_Point",IF(51=$NQ$10,$NM$10,0),IF($NO$10="Bell_Curve",$NM$10*(51-$NQ$10+1)*($NR$10-51+1)/$NT$10,$NM$10/$NS$10)),0)</f>
        <v/>
      </c>
      <c r="BC10" s="18">
        <f>IF(AND(52&gt;=$NQ$10,52&lt;=$NR$10),IF($NO$10="Single_Point",IF(52=$NQ$10,$NM$10,0),IF($NO$10="Bell_Curve",$NM$10*(52-$NQ$10+1)*($NR$10-52+1)/$NT$10,$NM$10/$NS$10)),0)</f>
        <v/>
      </c>
      <c r="BD10" s="18">
        <f>IF(AND(53&gt;=$NQ$10,53&lt;=$NR$10),IF($NO$10="Single_Point",IF(53=$NQ$10,$NM$10,0),IF($NO$10="Bell_Curve",$NM$10*(53-$NQ$10+1)*($NR$10-53+1)/$NT$10,$NM$10/$NS$10)),0)</f>
        <v/>
      </c>
      <c r="BE10" s="18">
        <f>IF(AND(54&gt;=$NQ$10,54&lt;=$NR$10),IF($NO$10="Single_Point",IF(54=$NQ$10,$NM$10,0),IF($NO$10="Bell_Curve",$NM$10*(54-$NQ$10+1)*($NR$10-54+1)/$NT$10,$NM$10/$NS$10)),0)</f>
        <v/>
      </c>
      <c r="BF10" s="18">
        <f>IF(AND(55&gt;=$NQ$10,55&lt;=$NR$10),IF($NO$10="Single_Point",IF(55=$NQ$10,$NM$10,0),IF($NO$10="Bell_Curve",$NM$10*(55-$NQ$10+1)*($NR$10-55+1)/$NT$10,$NM$10/$NS$10)),0)</f>
        <v/>
      </c>
      <c r="BG10" s="18">
        <f>IF(AND(56&gt;=$NQ$10,56&lt;=$NR$10),IF($NO$10="Single_Point",IF(56=$NQ$10,$NM$10,0),IF($NO$10="Bell_Curve",$NM$10*(56-$NQ$10+1)*($NR$10-56+1)/$NT$10,$NM$10/$NS$10)),0)</f>
        <v/>
      </c>
      <c r="BH10" s="18">
        <f>IF(AND(57&gt;=$NQ$10,57&lt;=$NR$10),IF($NO$10="Single_Point",IF(57=$NQ$10,$NM$10,0),IF($NO$10="Bell_Curve",$NM$10*(57-$NQ$10+1)*($NR$10-57+1)/$NT$10,$NM$10/$NS$10)),0)</f>
        <v/>
      </c>
      <c r="BI10" s="18">
        <f>IF(AND(58&gt;=$NQ$10,58&lt;=$NR$10),IF($NO$10="Single_Point",IF(58=$NQ$10,$NM$10,0),IF($NO$10="Bell_Curve",$NM$10*(58-$NQ$10+1)*($NR$10-58+1)/$NT$10,$NM$10/$NS$10)),0)</f>
        <v/>
      </c>
      <c r="BJ10" s="18">
        <f>IF(AND(59&gt;=$NQ$10,59&lt;=$NR$10),IF($NO$10="Single_Point",IF(59=$NQ$10,$NM$10,0),IF($NO$10="Bell_Curve",$NM$10*(59-$NQ$10+1)*($NR$10-59+1)/$NT$10,$NM$10/$NS$10)),0)</f>
        <v/>
      </c>
      <c r="BK10" s="18">
        <f>IF(AND(60&gt;=$NQ$10,60&lt;=$NR$10),IF($NO$10="Single_Point",IF(60=$NQ$10,$NM$10,0),IF($NO$10="Bell_Curve",$NM$10*(60-$NQ$10+1)*($NR$10-60+1)/$NT$10,$NM$10/$NS$10)),0)</f>
        <v/>
      </c>
      <c r="BL10" s="18">
        <f>IF(AND(61&gt;=$NQ$10,61&lt;=$NR$10),IF($NO$10="Single_Point",IF(61=$NQ$10,$NM$10,0),IF($NO$10="Bell_Curve",$NM$10*(61-$NQ$10+1)*($NR$10-61+1)/$NT$10,$NM$10/$NS$10)),0)</f>
        <v/>
      </c>
      <c r="BM10" s="18">
        <f>IF(AND(62&gt;=$NQ$10,62&lt;=$NR$10),IF($NO$10="Single_Point",IF(62=$NQ$10,$NM$10,0),IF($NO$10="Bell_Curve",$NM$10*(62-$NQ$10+1)*($NR$10-62+1)/$NT$10,$NM$10/$NS$10)),0)</f>
        <v/>
      </c>
      <c r="BN10" s="18">
        <f>IF(AND(63&gt;=$NQ$10,63&lt;=$NR$10),IF($NO$10="Single_Point",IF(63=$NQ$10,$NM$10,0),IF($NO$10="Bell_Curve",$NM$10*(63-$NQ$10+1)*($NR$10-63+1)/$NT$10,$NM$10/$NS$10)),0)</f>
        <v/>
      </c>
      <c r="BO10" s="18">
        <f>IF(AND(64&gt;=$NQ$10,64&lt;=$NR$10),IF($NO$10="Single_Point",IF(64=$NQ$10,$NM$10,0),IF($NO$10="Bell_Curve",$NM$10*(64-$NQ$10+1)*($NR$10-64+1)/$NT$10,$NM$10/$NS$10)),0)</f>
        <v/>
      </c>
      <c r="BP10" s="18">
        <f>IF(AND(65&gt;=$NQ$10,65&lt;=$NR$10),IF($NO$10="Single_Point",IF(65=$NQ$10,$NM$10,0),IF($NO$10="Bell_Curve",$NM$10*(65-$NQ$10+1)*($NR$10-65+1)/$NT$10,$NM$10/$NS$10)),0)</f>
        <v/>
      </c>
      <c r="BQ10" s="18">
        <f>IF(AND(66&gt;=$NQ$10,66&lt;=$NR$10),IF($NO$10="Single_Point",IF(66=$NQ$10,$NM$10,0),IF($NO$10="Bell_Curve",$NM$10*(66-$NQ$10+1)*($NR$10-66+1)/$NT$10,$NM$10/$NS$10)),0)</f>
        <v/>
      </c>
      <c r="BR10" s="18">
        <f>IF(AND(67&gt;=$NQ$10,67&lt;=$NR$10),IF($NO$10="Single_Point",IF(67=$NQ$10,$NM$10,0),IF($NO$10="Bell_Curve",$NM$10*(67-$NQ$10+1)*($NR$10-67+1)/$NT$10,$NM$10/$NS$10)),0)</f>
        <v/>
      </c>
      <c r="BS10" s="18">
        <f>IF(AND(68&gt;=$NQ$10,68&lt;=$NR$10),IF($NO$10="Single_Point",IF(68=$NQ$10,$NM$10,0),IF($NO$10="Bell_Curve",$NM$10*(68-$NQ$10+1)*($NR$10-68+1)/$NT$10,$NM$10/$NS$10)),0)</f>
        <v/>
      </c>
      <c r="BT10" s="18">
        <f>IF(AND(69&gt;=$NQ$10,69&lt;=$NR$10),IF($NO$10="Single_Point",IF(69=$NQ$10,$NM$10,0),IF($NO$10="Bell_Curve",$NM$10*(69-$NQ$10+1)*($NR$10-69+1)/$NT$10,$NM$10/$NS$10)),0)</f>
        <v/>
      </c>
      <c r="BU10" s="18">
        <f>IF(AND(70&gt;=$NQ$10,70&lt;=$NR$10),IF($NO$10="Single_Point",IF(70=$NQ$10,$NM$10,0),IF($NO$10="Bell_Curve",$NM$10*(70-$NQ$10+1)*($NR$10-70+1)/$NT$10,$NM$10/$NS$10)),0)</f>
        <v/>
      </c>
      <c r="BV10" s="18">
        <f>IF(AND(71&gt;=$NQ$10,71&lt;=$NR$10),IF($NO$10="Single_Point",IF(71=$NQ$10,$NM$10,0),IF($NO$10="Bell_Curve",$NM$10*(71-$NQ$10+1)*($NR$10-71+1)/$NT$10,$NM$10/$NS$10)),0)</f>
        <v/>
      </c>
      <c r="BW10" s="18">
        <f>IF(AND(72&gt;=$NQ$10,72&lt;=$NR$10),IF($NO$10="Single_Point",IF(72=$NQ$10,$NM$10,0),IF($NO$10="Bell_Curve",$NM$10*(72-$NQ$10+1)*($NR$10-72+1)/$NT$10,$NM$10/$NS$10)),0)</f>
        <v/>
      </c>
      <c r="BX10" s="18">
        <f>IF(AND(73&gt;=$NQ$10,73&lt;=$NR$10),IF($NO$10="Single_Point",IF(73=$NQ$10,$NM$10,0),IF($NO$10="Bell_Curve",$NM$10*(73-$NQ$10+1)*($NR$10-73+1)/$NT$10,$NM$10/$NS$10)),0)</f>
        <v/>
      </c>
      <c r="BY10" s="18">
        <f>IF(AND(74&gt;=$NQ$10,74&lt;=$NR$10),IF($NO$10="Single_Point",IF(74=$NQ$10,$NM$10,0),IF($NO$10="Bell_Curve",$NM$10*(74-$NQ$10+1)*($NR$10-74+1)/$NT$10,$NM$10/$NS$10)),0)</f>
        <v/>
      </c>
      <c r="BZ10" s="18">
        <f>IF(AND(75&gt;=$NQ$10,75&lt;=$NR$10),IF($NO$10="Single_Point",IF(75=$NQ$10,$NM$10,0),IF($NO$10="Bell_Curve",$NM$10*(75-$NQ$10+1)*($NR$10-75+1)/$NT$10,$NM$10/$NS$10)),0)</f>
        <v/>
      </c>
      <c r="CA10" s="18">
        <f>IF(AND(76&gt;=$NQ$10,76&lt;=$NR$10),IF($NO$10="Single_Point",IF(76=$NQ$10,$NM$10,0),IF($NO$10="Bell_Curve",$NM$10*(76-$NQ$10+1)*($NR$10-76+1)/$NT$10,$NM$10/$NS$10)),0)</f>
        <v/>
      </c>
      <c r="CB10" s="18">
        <f>IF(AND(77&gt;=$NQ$10,77&lt;=$NR$10),IF($NO$10="Single_Point",IF(77=$NQ$10,$NM$10,0),IF($NO$10="Bell_Curve",$NM$10*(77-$NQ$10+1)*($NR$10-77+1)/$NT$10,$NM$10/$NS$10)),0)</f>
        <v/>
      </c>
      <c r="CC10" s="18">
        <f>IF(AND(78&gt;=$NQ$10,78&lt;=$NR$10),IF($NO$10="Single_Point",IF(78=$NQ$10,$NM$10,0),IF($NO$10="Bell_Curve",$NM$10*(78-$NQ$10+1)*($NR$10-78+1)/$NT$10,$NM$10/$NS$10)),0)</f>
        <v/>
      </c>
      <c r="CD10" s="18">
        <f>IF(AND(79&gt;=$NQ$10,79&lt;=$NR$10),IF($NO$10="Single_Point",IF(79=$NQ$10,$NM$10,0),IF($NO$10="Bell_Curve",$NM$10*(79-$NQ$10+1)*($NR$10-79+1)/$NT$10,$NM$10/$NS$10)),0)</f>
        <v/>
      </c>
      <c r="CE10" s="18">
        <f>IF(AND(80&gt;=$NQ$10,80&lt;=$NR$10),IF($NO$10="Single_Point",IF(80=$NQ$10,$NM$10,0),IF($NO$10="Bell_Curve",$NM$10*(80-$NQ$10+1)*($NR$10-80+1)/$NT$10,$NM$10/$NS$10)),0)</f>
        <v/>
      </c>
      <c r="CF10" s="18">
        <f>IF(AND(81&gt;=$NQ$10,81&lt;=$NR$10),IF($NO$10="Single_Point",IF(81=$NQ$10,$NM$10,0),IF($NO$10="Bell_Curve",$NM$10*(81-$NQ$10+1)*($NR$10-81+1)/$NT$10,$NM$10/$NS$10)),0)</f>
        <v/>
      </c>
      <c r="CG10" s="18">
        <f>IF(AND(82&gt;=$NQ$10,82&lt;=$NR$10),IF($NO$10="Single_Point",IF(82=$NQ$10,$NM$10,0),IF($NO$10="Bell_Curve",$NM$10*(82-$NQ$10+1)*($NR$10-82+1)/$NT$10,$NM$10/$NS$10)),0)</f>
        <v/>
      </c>
      <c r="CH10" s="18">
        <f>IF(AND(83&gt;=$NQ$10,83&lt;=$NR$10),IF($NO$10="Single_Point",IF(83=$NQ$10,$NM$10,0),IF($NO$10="Bell_Curve",$NM$10*(83-$NQ$10+1)*($NR$10-83+1)/$NT$10,$NM$10/$NS$10)),0)</f>
        <v/>
      </c>
      <c r="CI10" s="18">
        <f>IF(AND(84&gt;=$NQ$10,84&lt;=$NR$10),IF($NO$10="Single_Point",IF(84=$NQ$10,$NM$10,0),IF($NO$10="Bell_Curve",$NM$10*(84-$NQ$10+1)*($NR$10-84+1)/$NT$10,$NM$10/$NS$10)),0)</f>
        <v/>
      </c>
      <c r="CJ10" s="18">
        <f>IF(AND(85&gt;=$NQ$10,85&lt;=$NR$10),IF($NO$10="Single_Point",IF(85=$NQ$10,$NM$10,0),IF($NO$10="Bell_Curve",$NM$10*(85-$NQ$10+1)*($NR$10-85+1)/$NT$10,$NM$10/$NS$10)),0)</f>
        <v/>
      </c>
      <c r="CK10" s="18">
        <f>IF(AND(86&gt;=$NQ$10,86&lt;=$NR$10),IF($NO$10="Single_Point",IF(86=$NQ$10,$NM$10,0),IF($NO$10="Bell_Curve",$NM$10*(86-$NQ$10+1)*($NR$10-86+1)/$NT$10,$NM$10/$NS$10)),0)</f>
        <v/>
      </c>
      <c r="CL10" s="18">
        <f>IF(AND(87&gt;=$NQ$10,87&lt;=$NR$10),IF($NO$10="Single_Point",IF(87=$NQ$10,$NM$10,0),IF($NO$10="Bell_Curve",$NM$10*(87-$NQ$10+1)*($NR$10-87+1)/$NT$10,$NM$10/$NS$10)),0)</f>
        <v/>
      </c>
      <c r="CM10" s="18">
        <f>IF(AND(88&gt;=$NQ$10,88&lt;=$NR$10),IF($NO$10="Single_Point",IF(88=$NQ$10,$NM$10,0),IF($NO$10="Bell_Curve",$NM$10*(88-$NQ$10+1)*($NR$10-88+1)/$NT$10,$NM$10/$NS$10)),0)</f>
        <v/>
      </c>
      <c r="CN10" s="18">
        <f>IF(AND(89&gt;=$NQ$10,89&lt;=$NR$10),IF($NO$10="Single_Point",IF(89=$NQ$10,$NM$10,0),IF($NO$10="Bell_Curve",$NM$10*(89-$NQ$10+1)*($NR$10-89+1)/$NT$10,$NM$10/$NS$10)),0)</f>
        <v/>
      </c>
      <c r="CO10" s="18">
        <f>IF(AND(90&gt;=$NQ$10,90&lt;=$NR$10),IF($NO$10="Single_Point",IF(90=$NQ$10,$NM$10,0),IF($NO$10="Bell_Curve",$NM$10*(90-$NQ$10+1)*($NR$10-90+1)/$NT$10,$NM$10/$NS$10)),0)</f>
        <v/>
      </c>
      <c r="CP10" s="18">
        <f>IF(AND(91&gt;=$NQ$10,91&lt;=$NR$10),IF($NO$10="Single_Point",IF(91=$NQ$10,$NM$10,0),IF($NO$10="Bell_Curve",$NM$10*(91-$NQ$10+1)*($NR$10-91+1)/$NT$10,$NM$10/$NS$10)),0)</f>
        <v/>
      </c>
      <c r="CQ10" s="18">
        <f>IF(AND(92&gt;=$NQ$10,92&lt;=$NR$10),IF($NO$10="Single_Point",IF(92=$NQ$10,$NM$10,0),IF($NO$10="Bell_Curve",$NM$10*(92-$NQ$10+1)*($NR$10-92+1)/$NT$10,$NM$10/$NS$10)),0)</f>
        <v/>
      </c>
      <c r="CR10" s="18">
        <f>IF(AND(93&gt;=$NQ$10,93&lt;=$NR$10),IF($NO$10="Single_Point",IF(93=$NQ$10,$NM$10,0),IF($NO$10="Bell_Curve",$NM$10*(93-$NQ$10+1)*($NR$10-93+1)/$NT$10,$NM$10/$NS$10)),0)</f>
        <v/>
      </c>
      <c r="CS10" s="18">
        <f>IF(AND(94&gt;=$NQ$10,94&lt;=$NR$10),IF($NO$10="Single_Point",IF(94=$NQ$10,$NM$10,0),IF($NO$10="Bell_Curve",$NM$10*(94-$NQ$10+1)*($NR$10-94+1)/$NT$10,$NM$10/$NS$10)),0)</f>
        <v/>
      </c>
      <c r="CT10" s="18">
        <f>IF(AND(95&gt;=$NQ$10,95&lt;=$NR$10),IF($NO$10="Single_Point",IF(95=$NQ$10,$NM$10,0),IF($NO$10="Bell_Curve",$NM$10*(95-$NQ$10+1)*($NR$10-95+1)/$NT$10,$NM$10/$NS$10)),0)</f>
        <v/>
      </c>
      <c r="CU10" s="18">
        <f>IF(AND(96&gt;=$NQ$10,96&lt;=$NR$10),IF($NO$10="Single_Point",IF(96=$NQ$10,$NM$10,0),IF($NO$10="Bell_Curve",$NM$10*(96-$NQ$10+1)*($NR$10-96+1)/$NT$10,$NM$10/$NS$10)),0)</f>
        <v/>
      </c>
      <c r="CV10" s="18">
        <f>IF(AND(97&gt;=$NQ$10,97&lt;=$NR$10),IF($NO$10="Single_Point",IF(97=$NQ$10,$NM$10,0),IF($NO$10="Bell_Curve",$NM$10*(97-$NQ$10+1)*($NR$10-97+1)/$NT$10,$NM$10/$NS$10)),0)</f>
        <v/>
      </c>
      <c r="CW10" s="18">
        <f>IF(AND(98&gt;=$NQ$10,98&lt;=$NR$10),IF($NO$10="Single_Point",IF(98=$NQ$10,$NM$10,0),IF($NO$10="Bell_Curve",$NM$10*(98-$NQ$10+1)*($NR$10-98+1)/$NT$10,$NM$10/$NS$10)),0)</f>
        <v/>
      </c>
      <c r="CX10" s="18">
        <f>IF(AND(99&gt;=$NQ$10,99&lt;=$NR$10),IF($NO$10="Single_Point",IF(99=$NQ$10,$NM$10,0),IF($NO$10="Bell_Curve",$NM$10*(99-$NQ$10+1)*($NR$10-99+1)/$NT$10,$NM$10/$NS$10)),0)</f>
        <v/>
      </c>
      <c r="CY10" s="18">
        <f>IF(AND(100&gt;=$NQ$10,100&lt;=$NR$10),IF($NO$10="Single_Point",IF(100=$NQ$10,$NM$10,0),IF($NO$10="Bell_Curve",$NM$10*(100-$NQ$10+1)*($NR$10-100+1)/$NT$10,$NM$10/$NS$10)),0)</f>
        <v/>
      </c>
      <c r="CZ10" s="18">
        <f>IF(AND(101&gt;=$NQ$10,101&lt;=$NR$10),IF($NO$10="Single_Point",IF(101=$NQ$10,$NM$10,0),IF($NO$10="Bell_Curve",$NM$10*(101-$NQ$10+1)*($NR$10-101+1)/$NT$10,$NM$10/$NS$10)),0)</f>
        <v/>
      </c>
      <c r="DA10" s="18">
        <f>IF(AND(102&gt;=$NQ$10,102&lt;=$NR$10),IF($NO$10="Single_Point",IF(102=$NQ$10,$NM$10,0),IF($NO$10="Bell_Curve",$NM$10*(102-$NQ$10+1)*($NR$10-102+1)/$NT$10,$NM$10/$NS$10)),0)</f>
        <v/>
      </c>
      <c r="DB10" s="18">
        <f>IF(AND(103&gt;=$NQ$10,103&lt;=$NR$10),IF($NO$10="Single_Point",IF(103=$NQ$10,$NM$10,0),IF($NO$10="Bell_Curve",$NM$10*(103-$NQ$10+1)*($NR$10-103+1)/$NT$10,$NM$10/$NS$10)),0)</f>
        <v/>
      </c>
      <c r="DC10" s="18">
        <f>IF(AND(104&gt;=$NQ$10,104&lt;=$NR$10),IF($NO$10="Single_Point",IF(104=$NQ$10,$NM$10,0),IF($NO$10="Bell_Curve",$NM$10*(104-$NQ$10+1)*($NR$10-104+1)/$NT$10,$NM$10/$NS$10)),0)</f>
        <v/>
      </c>
      <c r="DD10" s="18">
        <f>IF(AND(105&gt;=$NQ$10,105&lt;=$NR$10),IF($NO$10="Single_Point",IF(105=$NQ$10,$NM$10,0),IF($NO$10="Bell_Curve",$NM$10*(105-$NQ$10+1)*($NR$10-105+1)/$NT$10,$NM$10/$NS$10)),0)</f>
        <v/>
      </c>
      <c r="DE10" s="18">
        <f>IF(AND(106&gt;=$NQ$10,106&lt;=$NR$10),IF($NO$10="Single_Point",IF(106=$NQ$10,$NM$10,0),IF($NO$10="Bell_Curve",$NM$10*(106-$NQ$10+1)*($NR$10-106+1)/$NT$10,$NM$10/$NS$10)),0)</f>
        <v/>
      </c>
      <c r="DF10" s="18">
        <f>IF(AND(107&gt;=$NQ$10,107&lt;=$NR$10),IF($NO$10="Single_Point",IF(107=$NQ$10,$NM$10,0),IF($NO$10="Bell_Curve",$NM$10*(107-$NQ$10+1)*($NR$10-107+1)/$NT$10,$NM$10/$NS$10)),0)</f>
        <v/>
      </c>
      <c r="DG10" s="18">
        <f>IF(AND(108&gt;=$NQ$10,108&lt;=$NR$10),IF($NO$10="Single_Point",IF(108=$NQ$10,$NM$10,0),IF($NO$10="Bell_Curve",$NM$10*(108-$NQ$10+1)*($NR$10-108+1)/$NT$10,$NM$10/$NS$10)),0)</f>
        <v/>
      </c>
      <c r="DH10" s="18">
        <f>IF(AND(109&gt;=$NQ$10,109&lt;=$NR$10),IF($NO$10="Single_Point",IF(109=$NQ$10,$NM$10,0),IF($NO$10="Bell_Curve",$NM$10*(109-$NQ$10+1)*($NR$10-109+1)/$NT$10,$NM$10/$NS$10)),0)</f>
        <v/>
      </c>
      <c r="DI10" s="18">
        <f>IF(AND(110&gt;=$NQ$10,110&lt;=$NR$10),IF($NO$10="Single_Point",IF(110=$NQ$10,$NM$10,0),IF($NO$10="Bell_Curve",$NM$10*(110-$NQ$10+1)*($NR$10-110+1)/$NT$10,$NM$10/$NS$10)),0)</f>
        <v/>
      </c>
      <c r="DJ10" s="18">
        <f>IF(AND(111&gt;=$NQ$10,111&lt;=$NR$10),IF($NO$10="Single_Point",IF(111=$NQ$10,$NM$10,0),IF($NO$10="Bell_Curve",$NM$10*(111-$NQ$10+1)*($NR$10-111+1)/$NT$10,$NM$10/$NS$10)),0)</f>
        <v/>
      </c>
      <c r="DK10" s="18">
        <f>IF(AND(112&gt;=$NQ$10,112&lt;=$NR$10),IF($NO$10="Single_Point",IF(112=$NQ$10,$NM$10,0),IF($NO$10="Bell_Curve",$NM$10*(112-$NQ$10+1)*($NR$10-112+1)/$NT$10,$NM$10/$NS$10)),0)</f>
        <v/>
      </c>
      <c r="DL10" s="18">
        <f>IF(AND(113&gt;=$NQ$10,113&lt;=$NR$10),IF($NO$10="Single_Point",IF(113=$NQ$10,$NM$10,0),IF($NO$10="Bell_Curve",$NM$10*(113-$NQ$10+1)*($NR$10-113+1)/$NT$10,$NM$10/$NS$10)),0)</f>
        <v/>
      </c>
      <c r="DM10" s="18">
        <f>IF(AND(114&gt;=$NQ$10,114&lt;=$NR$10),IF($NO$10="Single_Point",IF(114=$NQ$10,$NM$10,0),IF($NO$10="Bell_Curve",$NM$10*(114-$NQ$10+1)*($NR$10-114+1)/$NT$10,$NM$10/$NS$10)),0)</f>
        <v/>
      </c>
      <c r="DN10" s="18">
        <f>IF(AND(115&gt;=$NQ$10,115&lt;=$NR$10),IF($NO$10="Single_Point",IF(115=$NQ$10,$NM$10,0),IF($NO$10="Bell_Curve",$NM$10*(115-$NQ$10+1)*($NR$10-115+1)/$NT$10,$NM$10/$NS$10)),0)</f>
        <v/>
      </c>
      <c r="DO10" s="18">
        <f>IF(AND(116&gt;=$NQ$10,116&lt;=$NR$10),IF($NO$10="Single_Point",IF(116=$NQ$10,$NM$10,0),IF($NO$10="Bell_Curve",$NM$10*(116-$NQ$10+1)*($NR$10-116+1)/$NT$10,$NM$10/$NS$10)),0)</f>
        <v/>
      </c>
      <c r="DP10" s="18">
        <f>IF(AND(117&gt;=$NQ$10,117&lt;=$NR$10),IF($NO$10="Single_Point",IF(117=$NQ$10,$NM$10,0),IF($NO$10="Bell_Curve",$NM$10*(117-$NQ$10+1)*($NR$10-117+1)/$NT$10,$NM$10/$NS$10)),0)</f>
        <v/>
      </c>
      <c r="DQ10" s="18">
        <f>IF(AND(118&gt;=$NQ$10,118&lt;=$NR$10),IF($NO$10="Single_Point",IF(118=$NQ$10,$NM$10,0),IF($NO$10="Bell_Curve",$NM$10*(118-$NQ$10+1)*($NR$10-118+1)/$NT$10,$NM$10/$NS$10)),0)</f>
        <v/>
      </c>
      <c r="DR10" s="18">
        <f>IF(AND(119&gt;=$NQ$10,119&lt;=$NR$10),IF($NO$10="Single_Point",IF(119=$NQ$10,$NM$10,0),IF($NO$10="Bell_Curve",$NM$10*(119-$NQ$10+1)*($NR$10-119+1)/$NT$10,$NM$10/$NS$10)),0)</f>
        <v/>
      </c>
      <c r="DS10" s="18">
        <f>IF(AND(120&gt;=$NQ$10,120&lt;=$NR$10),IF($NO$10="Single_Point",IF(120=$NQ$10,$NM$10,0),IF($NO$10="Bell_Curve",$NM$10*(120-$NQ$10+1)*($NR$10-120+1)/$NT$10,$NM$10/$NS$10)),0)</f>
        <v/>
      </c>
      <c r="DT10" s="18">
        <f>IF(AND(121&gt;=$NQ$10,121&lt;=$NR$10),IF($NO$10="Single_Point",IF(121=$NQ$10,$NM$10,0),IF($NO$10="Bell_Curve",$NM$10*(121-$NQ$10+1)*($NR$10-121+1)/$NT$10,$NM$10/$NS$10)),0)</f>
        <v/>
      </c>
      <c r="DU10" s="18">
        <f>IF(AND(122&gt;=$NQ$10,122&lt;=$NR$10),IF($NO$10="Single_Point",IF(122=$NQ$10,$NM$10,0),IF($NO$10="Bell_Curve",$NM$10*(122-$NQ$10+1)*($NR$10-122+1)/$NT$10,$NM$10/$NS$10)),0)</f>
        <v/>
      </c>
      <c r="DV10" s="18">
        <f>IF(AND(123&gt;=$NQ$10,123&lt;=$NR$10),IF($NO$10="Single_Point",IF(123=$NQ$10,$NM$10,0),IF($NO$10="Bell_Curve",$NM$10*(123-$NQ$10+1)*($NR$10-123+1)/$NT$10,$NM$10/$NS$10)),0)</f>
        <v/>
      </c>
      <c r="DW10" s="18">
        <f>IF(AND(124&gt;=$NQ$10,124&lt;=$NR$10),IF($NO$10="Single_Point",IF(124=$NQ$10,$NM$10,0),IF($NO$10="Bell_Curve",$NM$10*(124-$NQ$10+1)*($NR$10-124+1)/$NT$10,$NM$10/$NS$10)),0)</f>
        <v/>
      </c>
      <c r="DX10" s="18">
        <f>IF(AND(125&gt;=$NQ$10,125&lt;=$NR$10),IF($NO$10="Single_Point",IF(125=$NQ$10,$NM$10,0),IF($NO$10="Bell_Curve",$NM$10*(125-$NQ$10+1)*($NR$10-125+1)/$NT$10,$NM$10/$NS$10)),0)</f>
        <v/>
      </c>
      <c r="DY10" s="18">
        <f>IF(AND(126&gt;=$NQ$10,126&lt;=$NR$10),IF($NO$10="Single_Point",IF(126=$NQ$10,$NM$10,0),IF($NO$10="Bell_Curve",$NM$10*(126-$NQ$10+1)*($NR$10-126+1)/$NT$10,$NM$10/$NS$10)),0)</f>
        <v/>
      </c>
      <c r="DZ10" s="18">
        <f>IF(AND(127&gt;=$NQ$10,127&lt;=$NR$10),IF($NO$10="Single_Point",IF(127=$NQ$10,$NM$10,0),IF($NO$10="Bell_Curve",$NM$10*(127-$NQ$10+1)*($NR$10-127+1)/$NT$10,$NM$10/$NS$10)),0)</f>
        <v/>
      </c>
      <c r="EA10" s="18">
        <f>IF(AND(128&gt;=$NQ$10,128&lt;=$NR$10),IF($NO$10="Single_Point",IF(128=$NQ$10,$NM$10,0),IF($NO$10="Bell_Curve",$NM$10*(128-$NQ$10+1)*($NR$10-128+1)/$NT$10,$NM$10/$NS$10)),0)</f>
        <v/>
      </c>
      <c r="EB10" s="18">
        <f>IF(AND(129&gt;=$NQ$10,129&lt;=$NR$10),IF($NO$10="Single_Point",IF(129=$NQ$10,$NM$10,0),IF($NO$10="Bell_Curve",$NM$10*(129-$NQ$10+1)*($NR$10-129+1)/$NT$10,$NM$10/$NS$10)),0)</f>
        <v/>
      </c>
      <c r="EC10" s="18">
        <f>IF(AND(130&gt;=$NQ$10,130&lt;=$NR$10),IF($NO$10="Single_Point",IF(130=$NQ$10,$NM$10,0),IF($NO$10="Bell_Curve",$NM$10*(130-$NQ$10+1)*($NR$10-130+1)/$NT$10,$NM$10/$NS$10)),0)</f>
        <v/>
      </c>
      <c r="ED10" s="18">
        <f>IF(AND(131&gt;=$NQ$10,131&lt;=$NR$10),IF($NO$10="Single_Point",IF(131=$NQ$10,$NM$10,0),IF($NO$10="Bell_Curve",$NM$10*(131-$NQ$10+1)*($NR$10-131+1)/$NT$10,$NM$10/$NS$10)),0)</f>
        <v/>
      </c>
      <c r="EE10" s="18">
        <f>IF(AND(132&gt;=$NQ$10,132&lt;=$NR$10),IF($NO$10="Single_Point",IF(132=$NQ$10,$NM$10,0),IF($NO$10="Bell_Curve",$NM$10*(132-$NQ$10+1)*($NR$10-132+1)/$NT$10,$NM$10/$NS$10)),0)</f>
        <v/>
      </c>
      <c r="EF10" s="18">
        <f>IF(AND(133&gt;=$NQ$10,133&lt;=$NR$10),IF($NO$10="Single_Point",IF(133=$NQ$10,$NM$10,0),IF($NO$10="Bell_Curve",$NM$10*(133-$NQ$10+1)*($NR$10-133+1)/$NT$10,$NM$10/$NS$10)),0)</f>
        <v/>
      </c>
      <c r="EG10" s="18">
        <f>IF(AND(134&gt;=$NQ$10,134&lt;=$NR$10),IF($NO$10="Single_Point",IF(134=$NQ$10,$NM$10,0),IF($NO$10="Bell_Curve",$NM$10*(134-$NQ$10+1)*($NR$10-134+1)/$NT$10,$NM$10/$NS$10)),0)</f>
        <v/>
      </c>
      <c r="EH10" s="18">
        <f>IF(AND(135&gt;=$NQ$10,135&lt;=$NR$10),IF($NO$10="Single_Point",IF(135=$NQ$10,$NM$10,0),IF($NO$10="Bell_Curve",$NM$10*(135-$NQ$10+1)*($NR$10-135+1)/$NT$10,$NM$10/$NS$10)),0)</f>
        <v/>
      </c>
      <c r="EI10" s="18">
        <f>IF(AND(136&gt;=$NQ$10,136&lt;=$NR$10),IF($NO$10="Single_Point",IF(136=$NQ$10,$NM$10,0),IF($NO$10="Bell_Curve",$NM$10*(136-$NQ$10+1)*($NR$10-136+1)/$NT$10,$NM$10/$NS$10)),0)</f>
        <v/>
      </c>
      <c r="EJ10" s="18">
        <f>IF(AND(137&gt;=$NQ$10,137&lt;=$NR$10),IF($NO$10="Single_Point",IF(137=$NQ$10,$NM$10,0),IF($NO$10="Bell_Curve",$NM$10*(137-$NQ$10+1)*($NR$10-137+1)/$NT$10,$NM$10/$NS$10)),0)</f>
        <v/>
      </c>
      <c r="EK10" s="18">
        <f>IF(AND(138&gt;=$NQ$10,138&lt;=$NR$10),IF($NO$10="Single_Point",IF(138=$NQ$10,$NM$10,0),IF($NO$10="Bell_Curve",$NM$10*(138-$NQ$10+1)*($NR$10-138+1)/$NT$10,$NM$10/$NS$10)),0)</f>
        <v/>
      </c>
      <c r="EL10" s="18">
        <f>IF(AND(139&gt;=$NQ$10,139&lt;=$NR$10),IF($NO$10="Single_Point",IF(139=$NQ$10,$NM$10,0),IF($NO$10="Bell_Curve",$NM$10*(139-$NQ$10+1)*($NR$10-139+1)/$NT$10,$NM$10/$NS$10)),0)</f>
        <v/>
      </c>
      <c r="EM10" s="18">
        <f>IF(AND(140&gt;=$NQ$10,140&lt;=$NR$10),IF($NO$10="Single_Point",IF(140=$NQ$10,$NM$10,0),IF($NO$10="Bell_Curve",$NM$10*(140-$NQ$10+1)*($NR$10-140+1)/$NT$10,$NM$10/$NS$10)),0)</f>
        <v/>
      </c>
      <c r="EN10" s="18">
        <f>IF(AND(141&gt;=$NQ$10,141&lt;=$NR$10),IF($NO$10="Single_Point",IF(141=$NQ$10,$NM$10,0),IF($NO$10="Bell_Curve",$NM$10*(141-$NQ$10+1)*($NR$10-141+1)/$NT$10,$NM$10/$NS$10)),0)</f>
        <v/>
      </c>
      <c r="EO10" s="18">
        <f>IF(AND(142&gt;=$NQ$10,142&lt;=$NR$10),IF($NO$10="Single_Point",IF(142=$NQ$10,$NM$10,0),IF($NO$10="Bell_Curve",$NM$10*(142-$NQ$10+1)*($NR$10-142+1)/$NT$10,$NM$10/$NS$10)),0)</f>
        <v/>
      </c>
      <c r="EP10" s="18">
        <f>IF(AND(143&gt;=$NQ$10,143&lt;=$NR$10),IF($NO$10="Single_Point",IF(143=$NQ$10,$NM$10,0),IF($NO$10="Bell_Curve",$NM$10*(143-$NQ$10+1)*($NR$10-143+1)/$NT$10,$NM$10/$NS$10)),0)</f>
        <v/>
      </c>
      <c r="EQ10" s="18">
        <f>IF(AND(144&gt;=$NQ$10,144&lt;=$NR$10),IF($NO$10="Single_Point",IF(144=$NQ$10,$NM$10,0),IF($NO$10="Bell_Curve",$NM$10*(144-$NQ$10+1)*($NR$10-144+1)/$NT$10,$NM$10/$NS$10)),0)</f>
        <v/>
      </c>
      <c r="ER10" s="18">
        <f>IF(AND(145&gt;=$NQ$10,145&lt;=$NR$10),IF($NO$10="Single_Point",IF(145=$NQ$10,$NM$10,0),IF($NO$10="Bell_Curve",$NM$10*(145-$NQ$10+1)*($NR$10-145+1)/$NT$10,$NM$10/$NS$10)),0)</f>
        <v/>
      </c>
      <c r="ES10" s="18">
        <f>IF(AND(146&gt;=$NQ$10,146&lt;=$NR$10),IF($NO$10="Single_Point",IF(146=$NQ$10,$NM$10,0),IF($NO$10="Bell_Curve",$NM$10*(146-$NQ$10+1)*($NR$10-146+1)/$NT$10,$NM$10/$NS$10)),0)</f>
        <v/>
      </c>
      <c r="ET10" s="18">
        <f>IF(AND(147&gt;=$NQ$10,147&lt;=$NR$10),IF($NO$10="Single_Point",IF(147=$NQ$10,$NM$10,0),IF($NO$10="Bell_Curve",$NM$10*(147-$NQ$10+1)*($NR$10-147+1)/$NT$10,$NM$10/$NS$10)),0)</f>
        <v/>
      </c>
      <c r="EU10" s="18">
        <f>IF(AND(148&gt;=$NQ$10,148&lt;=$NR$10),IF($NO$10="Single_Point",IF(148=$NQ$10,$NM$10,0),IF($NO$10="Bell_Curve",$NM$10*(148-$NQ$10+1)*($NR$10-148+1)/$NT$10,$NM$10/$NS$10)),0)</f>
        <v/>
      </c>
      <c r="EV10" s="18">
        <f>IF(AND(149&gt;=$NQ$10,149&lt;=$NR$10),IF($NO$10="Single_Point",IF(149=$NQ$10,$NM$10,0),IF($NO$10="Bell_Curve",$NM$10*(149-$NQ$10+1)*($NR$10-149+1)/$NT$10,$NM$10/$NS$10)),0)</f>
        <v/>
      </c>
      <c r="EW10" s="18">
        <f>IF(AND(150&gt;=$NQ$10,150&lt;=$NR$10),IF($NO$10="Single_Point",IF(150=$NQ$10,$NM$10,0),IF($NO$10="Bell_Curve",$NM$10*(150-$NQ$10+1)*($NR$10-150+1)/$NT$10,$NM$10/$NS$10)),0)</f>
        <v/>
      </c>
      <c r="EX10" s="18">
        <f>IF(AND(151&gt;=$NQ$10,151&lt;=$NR$10),IF($NO$10="Single_Point",IF(151=$NQ$10,$NM$10,0),IF($NO$10="Bell_Curve",$NM$10*(151-$NQ$10+1)*($NR$10-151+1)/$NT$10,$NM$10/$NS$10)),0)</f>
        <v/>
      </c>
      <c r="EY10" s="18">
        <f>IF(AND(152&gt;=$NQ$10,152&lt;=$NR$10),IF($NO$10="Single_Point",IF(152=$NQ$10,$NM$10,0),IF($NO$10="Bell_Curve",$NM$10*(152-$NQ$10+1)*($NR$10-152+1)/$NT$10,$NM$10/$NS$10)),0)</f>
        <v/>
      </c>
      <c r="EZ10" s="18">
        <f>IF(AND(153&gt;=$NQ$10,153&lt;=$NR$10),IF($NO$10="Single_Point",IF(153=$NQ$10,$NM$10,0),IF($NO$10="Bell_Curve",$NM$10*(153-$NQ$10+1)*($NR$10-153+1)/$NT$10,$NM$10/$NS$10)),0)</f>
        <v/>
      </c>
      <c r="FA10" s="18">
        <f>IF(AND(154&gt;=$NQ$10,154&lt;=$NR$10),IF($NO$10="Single_Point",IF(154=$NQ$10,$NM$10,0),IF($NO$10="Bell_Curve",$NM$10*(154-$NQ$10+1)*($NR$10-154+1)/$NT$10,$NM$10/$NS$10)),0)</f>
        <v/>
      </c>
      <c r="FB10" s="18">
        <f>IF(AND(155&gt;=$NQ$10,155&lt;=$NR$10),IF($NO$10="Single_Point",IF(155=$NQ$10,$NM$10,0),IF($NO$10="Bell_Curve",$NM$10*(155-$NQ$10+1)*($NR$10-155+1)/$NT$10,$NM$10/$NS$10)),0)</f>
        <v/>
      </c>
      <c r="FC10" s="18">
        <f>IF(AND(156&gt;=$NQ$10,156&lt;=$NR$10),IF($NO$10="Single_Point",IF(156=$NQ$10,$NM$10,0),IF($NO$10="Bell_Curve",$NM$10*(156-$NQ$10+1)*($NR$10-156+1)/$NT$10,$NM$10/$NS$10)),0)</f>
        <v/>
      </c>
      <c r="FD10" s="18">
        <f>IF(AND(157&gt;=$NQ$10,157&lt;=$NR$10),IF($NO$10="Single_Point",IF(157=$NQ$10,$NM$10,0),IF($NO$10="Bell_Curve",$NM$10*(157-$NQ$10+1)*($NR$10-157+1)/$NT$10,$NM$10/$NS$10)),0)</f>
        <v/>
      </c>
      <c r="FE10" s="18">
        <f>IF(AND(158&gt;=$NQ$10,158&lt;=$NR$10),IF($NO$10="Single_Point",IF(158=$NQ$10,$NM$10,0),IF($NO$10="Bell_Curve",$NM$10*(158-$NQ$10+1)*($NR$10-158+1)/$NT$10,$NM$10/$NS$10)),0)</f>
        <v/>
      </c>
      <c r="FF10" s="18">
        <f>IF(AND(159&gt;=$NQ$10,159&lt;=$NR$10),IF($NO$10="Single_Point",IF(159=$NQ$10,$NM$10,0),IF($NO$10="Bell_Curve",$NM$10*(159-$NQ$10+1)*($NR$10-159+1)/$NT$10,$NM$10/$NS$10)),0)</f>
        <v/>
      </c>
      <c r="FG10" s="18">
        <f>IF(AND(160&gt;=$NQ$10,160&lt;=$NR$10),IF($NO$10="Single_Point",IF(160=$NQ$10,$NM$10,0),IF($NO$10="Bell_Curve",$NM$10*(160-$NQ$10+1)*($NR$10-160+1)/$NT$10,$NM$10/$NS$10)),0)</f>
        <v/>
      </c>
      <c r="FH10" s="18">
        <f>IF(AND(161&gt;=$NQ$10,161&lt;=$NR$10),IF($NO$10="Single_Point",IF(161=$NQ$10,$NM$10,0),IF($NO$10="Bell_Curve",$NM$10*(161-$NQ$10+1)*($NR$10-161+1)/$NT$10,$NM$10/$NS$10)),0)</f>
        <v/>
      </c>
      <c r="FI10" s="18">
        <f>IF(AND(162&gt;=$NQ$10,162&lt;=$NR$10),IF($NO$10="Single_Point",IF(162=$NQ$10,$NM$10,0),IF($NO$10="Bell_Curve",$NM$10*(162-$NQ$10+1)*($NR$10-162+1)/$NT$10,$NM$10/$NS$10)),0)</f>
        <v/>
      </c>
      <c r="FJ10" s="18">
        <f>IF(AND(163&gt;=$NQ$10,163&lt;=$NR$10),IF($NO$10="Single_Point",IF(163=$NQ$10,$NM$10,0),IF($NO$10="Bell_Curve",$NM$10*(163-$NQ$10+1)*($NR$10-163+1)/$NT$10,$NM$10/$NS$10)),0)</f>
        <v/>
      </c>
      <c r="FK10" s="18">
        <f>IF(AND(164&gt;=$NQ$10,164&lt;=$NR$10),IF($NO$10="Single_Point",IF(164=$NQ$10,$NM$10,0),IF($NO$10="Bell_Curve",$NM$10*(164-$NQ$10+1)*($NR$10-164+1)/$NT$10,$NM$10/$NS$10)),0)</f>
        <v/>
      </c>
      <c r="FL10" s="18">
        <f>IF(AND(165&gt;=$NQ$10,165&lt;=$NR$10),IF($NO$10="Single_Point",IF(165=$NQ$10,$NM$10,0),IF($NO$10="Bell_Curve",$NM$10*(165-$NQ$10+1)*($NR$10-165+1)/$NT$10,$NM$10/$NS$10)),0)</f>
        <v/>
      </c>
      <c r="FM10" s="18">
        <f>IF(AND(166&gt;=$NQ$10,166&lt;=$NR$10),IF($NO$10="Single_Point",IF(166=$NQ$10,$NM$10,0),IF($NO$10="Bell_Curve",$NM$10*(166-$NQ$10+1)*($NR$10-166+1)/$NT$10,$NM$10/$NS$10)),0)</f>
        <v/>
      </c>
      <c r="FN10" s="18">
        <f>IF(AND(167&gt;=$NQ$10,167&lt;=$NR$10),IF($NO$10="Single_Point",IF(167=$NQ$10,$NM$10,0),IF($NO$10="Bell_Curve",$NM$10*(167-$NQ$10+1)*($NR$10-167+1)/$NT$10,$NM$10/$NS$10)),0)</f>
        <v/>
      </c>
      <c r="FO10" s="18">
        <f>IF(AND(168&gt;=$NQ$10,168&lt;=$NR$10),IF($NO$10="Single_Point",IF(168=$NQ$10,$NM$10,0),IF($NO$10="Bell_Curve",$NM$10*(168-$NQ$10+1)*($NR$10-168+1)/$NT$10,$NM$10/$NS$10)),0)</f>
        <v/>
      </c>
      <c r="FP10" s="18">
        <f>IF(AND(169&gt;=$NQ$10,169&lt;=$NR$10),IF($NO$10="Single_Point",IF(169=$NQ$10,$NM$10,0),IF($NO$10="Bell_Curve",$NM$10*(169-$NQ$10+1)*($NR$10-169+1)/$NT$10,$NM$10/$NS$10)),0)</f>
        <v/>
      </c>
      <c r="FQ10" s="18">
        <f>IF(AND(170&gt;=$NQ$10,170&lt;=$NR$10),IF($NO$10="Single_Point",IF(170=$NQ$10,$NM$10,0),IF($NO$10="Bell_Curve",$NM$10*(170-$NQ$10+1)*($NR$10-170+1)/$NT$10,$NM$10/$NS$10)),0)</f>
        <v/>
      </c>
      <c r="FR10" s="18">
        <f>IF(AND(171&gt;=$NQ$10,171&lt;=$NR$10),IF($NO$10="Single_Point",IF(171=$NQ$10,$NM$10,0),IF($NO$10="Bell_Curve",$NM$10*(171-$NQ$10+1)*($NR$10-171+1)/$NT$10,$NM$10/$NS$10)),0)</f>
        <v/>
      </c>
      <c r="FS10" s="18">
        <f>IF(AND(172&gt;=$NQ$10,172&lt;=$NR$10),IF($NO$10="Single_Point",IF(172=$NQ$10,$NM$10,0),IF($NO$10="Bell_Curve",$NM$10*(172-$NQ$10+1)*($NR$10-172+1)/$NT$10,$NM$10/$NS$10)),0)</f>
        <v/>
      </c>
      <c r="FT10" s="18">
        <f>IF(AND(173&gt;=$NQ$10,173&lt;=$NR$10),IF($NO$10="Single_Point",IF(173=$NQ$10,$NM$10,0),IF($NO$10="Bell_Curve",$NM$10*(173-$NQ$10+1)*($NR$10-173+1)/$NT$10,$NM$10/$NS$10)),0)</f>
        <v/>
      </c>
      <c r="FU10" s="18">
        <f>IF(AND(174&gt;=$NQ$10,174&lt;=$NR$10),IF($NO$10="Single_Point",IF(174=$NQ$10,$NM$10,0),IF($NO$10="Bell_Curve",$NM$10*(174-$NQ$10+1)*($NR$10-174+1)/$NT$10,$NM$10/$NS$10)),0)</f>
        <v/>
      </c>
      <c r="FV10" s="18">
        <f>IF(AND(175&gt;=$NQ$10,175&lt;=$NR$10),IF($NO$10="Single_Point",IF(175=$NQ$10,$NM$10,0),IF($NO$10="Bell_Curve",$NM$10*(175-$NQ$10+1)*($NR$10-175+1)/$NT$10,$NM$10/$NS$10)),0)</f>
        <v/>
      </c>
      <c r="FW10" s="18">
        <f>IF(AND(176&gt;=$NQ$10,176&lt;=$NR$10),IF($NO$10="Single_Point",IF(176=$NQ$10,$NM$10,0),IF($NO$10="Bell_Curve",$NM$10*(176-$NQ$10+1)*($NR$10-176+1)/$NT$10,$NM$10/$NS$10)),0)</f>
        <v/>
      </c>
      <c r="FX10" s="18">
        <f>IF(AND(177&gt;=$NQ$10,177&lt;=$NR$10),IF($NO$10="Single_Point",IF(177=$NQ$10,$NM$10,0),IF($NO$10="Bell_Curve",$NM$10*(177-$NQ$10+1)*($NR$10-177+1)/$NT$10,$NM$10/$NS$10)),0)</f>
        <v/>
      </c>
      <c r="FY10" s="18">
        <f>IF(AND(178&gt;=$NQ$10,178&lt;=$NR$10),IF($NO$10="Single_Point",IF(178=$NQ$10,$NM$10,0),IF($NO$10="Bell_Curve",$NM$10*(178-$NQ$10+1)*($NR$10-178+1)/$NT$10,$NM$10/$NS$10)),0)</f>
        <v/>
      </c>
      <c r="FZ10" s="18">
        <f>IF(AND(179&gt;=$NQ$10,179&lt;=$NR$10),IF($NO$10="Single_Point",IF(179=$NQ$10,$NM$10,0),IF($NO$10="Bell_Curve",$NM$10*(179-$NQ$10+1)*($NR$10-179+1)/$NT$10,$NM$10/$NS$10)),0)</f>
        <v/>
      </c>
      <c r="GA10" s="18">
        <f>IF(AND(180&gt;=$NQ$10,180&lt;=$NR$10),IF($NO$10="Single_Point",IF(180=$NQ$10,$NM$10,0),IF($NO$10="Bell_Curve",$NM$10*(180-$NQ$10+1)*($NR$10-180+1)/$NT$10,$NM$10/$NS$10)),0)</f>
        <v/>
      </c>
      <c r="GB10" s="18">
        <f>IF(AND(181&gt;=$NQ$10,181&lt;=$NR$10),IF($NO$10="Single_Point",IF(181=$NQ$10,$NM$10,0),IF($NO$10="Bell_Curve",$NM$10*(181-$NQ$10+1)*($NR$10-181+1)/$NT$10,$NM$10/$NS$10)),0)</f>
        <v/>
      </c>
      <c r="GC10" s="18">
        <f>IF(AND(182&gt;=$NQ$10,182&lt;=$NR$10),IF($NO$10="Single_Point",IF(182=$NQ$10,$NM$10,0),IF($NO$10="Bell_Curve",$NM$10*(182-$NQ$10+1)*($NR$10-182+1)/$NT$10,$NM$10/$NS$10)),0)</f>
        <v/>
      </c>
      <c r="GD10" s="18">
        <f>IF(AND(183&gt;=$NQ$10,183&lt;=$NR$10),IF($NO$10="Single_Point",IF(183=$NQ$10,$NM$10,0),IF($NO$10="Bell_Curve",$NM$10*(183-$NQ$10+1)*($NR$10-183+1)/$NT$10,$NM$10/$NS$10)),0)</f>
        <v/>
      </c>
      <c r="GE10" s="18">
        <f>IF(AND(184&gt;=$NQ$10,184&lt;=$NR$10),IF($NO$10="Single_Point",IF(184=$NQ$10,$NM$10,0),IF($NO$10="Bell_Curve",$NM$10*(184-$NQ$10+1)*($NR$10-184+1)/$NT$10,$NM$10/$NS$10)),0)</f>
        <v/>
      </c>
      <c r="GF10" s="18">
        <f>IF(AND(185&gt;=$NQ$10,185&lt;=$NR$10),IF($NO$10="Single_Point",IF(185=$NQ$10,$NM$10,0),IF($NO$10="Bell_Curve",$NM$10*(185-$NQ$10+1)*($NR$10-185+1)/$NT$10,$NM$10/$NS$10)),0)</f>
        <v/>
      </c>
      <c r="GG10" s="18">
        <f>IF(AND(186&gt;=$NQ$10,186&lt;=$NR$10),IF($NO$10="Single_Point",IF(186=$NQ$10,$NM$10,0),IF($NO$10="Bell_Curve",$NM$10*(186-$NQ$10+1)*($NR$10-186+1)/$NT$10,$NM$10/$NS$10)),0)</f>
        <v/>
      </c>
      <c r="GH10" s="18">
        <f>IF(AND(187&gt;=$NQ$10,187&lt;=$NR$10),IF($NO$10="Single_Point",IF(187=$NQ$10,$NM$10,0),IF($NO$10="Bell_Curve",$NM$10*(187-$NQ$10+1)*($NR$10-187+1)/$NT$10,$NM$10/$NS$10)),0)</f>
        <v/>
      </c>
      <c r="GI10" s="18">
        <f>IF(AND(188&gt;=$NQ$10,188&lt;=$NR$10),IF($NO$10="Single_Point",IF(188=$NQ$10,$NM$10,0),IF($NO$10="Bell_Curve",$NM$10*(188-$NQ$10+1)*($NR$10-188+1)/$NT$10,$NM$10/$NS$10)),0)</f>
        <v/>
      </c>
      <c r="GJ10" s="18">
        <f>IF(AND(189&gt;=$NQ$10,189&lt;=$NR$10),IF($NO$10="Single_Point",IF(189=$NQ$10,$NM$10,0),IF($NO$10="Bell_Curve",$NM$10*(189-$NQ$10+1)*($NR$10-189+1)/$NT$10,$NM$10/$NS$10)),0)</f>
        <v/>
      </c>
      <c r="GK10" s="18">
        <f>IF(AND(190&gt;=$NQ$10,190&lt;=$NR$10),IF($NO$10="Single_Point",IF(190=$NQ$10,$NM$10,0),IF($NO$10="Bell_Curve",$NM$10*(190-$NQ$10+1)*($NR$10-190+1)/$NT$10,$NM$10/$NS$10)),0)</f>
        <v/>
      </c>
      <c r="GL10" s="18">
        <f>IF(AND(191&gt;=$NQ$10,191&lt;=$NR$10),IF($NO$10="Single_Point",IF(191=$NQ$10,$NM$10,0),IF($NO$10="Bell_Curve",$NM$10*(191-$NQ$10+1)*($NR$10-191+1)/$NT$10,$NM$10/$NS$10)),0)</f>
        <v/>
      </c>
      <c r="GM10" s="18">
        <f>IF(AND(192&gt;=$NQ$10,192&lt;=$NR$10),IF($NO$10="Single_Point",IF(192=$NQ$10,$NM$10,0),IF($NO$10="Bell_Curve",$NM$10*(192-$NQ$10+1)*($NR$10-192+1)/$NT$10,$NM$10/$NS$10)),0)</f>
        <v/>
      </c>
      <c r="GN10" s="18">
        <f>IF(AND(193&gt;=$NQ$10,193&lt;=$NR$10),IF($NO$10="Single_Point",IF(193=$NQ$10,$NM$10,0),IF($NO$10="Bell_Curve",$NM$10*(193-$NQ$10+1)*($NR$10-193+1)/$NT$10,$NM$10/$NS$10)),0)</f>
        <v/>
      </c>
      <c r="GO10" s="18">
        <f>IF(AND(194&gt;=$NQ$10,194&lt;=$NR$10),IF($NO$10="Single_Point",IF(194=$NQ$10,$NM$10,0),IF($NO$10="Bell_Curve",$NM$10*(194-$NQ$10+1)*($NR$10-194+1)/$NT$10,$NM$10/$NS$10)),0)</f>
        <v/>
      </c>
      <c r="GP10" s="18">
        <f>IF(AND(195&gt;=$NQ$10,195&lt;=$NR$10),IF($NO$10="Single_Point",IF(195=$NQ$10,$NM$10,0),IF($NO$10="Bell_Curve",$NM$10*(195-$NQ$10+1)*($NR$10-195+1)/$NT$10,$NM$10/$NS$10)),0)</f>
        <v/>
      </c>
      <c r="GQ10" s="18">
        <f>IF(AND(196&gt;=$NQ$10,196&lt;=$NR$10),IF($NO$10="Single_Point",IF(196=$NQ$10,$NM$10,0),IF($NO$10="Bell_Curve",$NM$10*(196-$NQ$10+1)*($NR$10-196+1)/$NT$10,$NM$10/$NS$10)),0)</f>
        <v/>
      </c>
      <c r="GR10" s="18">
        <f>IF(AND(197&gt;=$NQ$10,197&lt;=$NR$10),IF($NO$10="Single_Point",IF(197=$NQ$10,$NM$10,0),IF($NO$10="Bell_Curve",$NM$10*(197-$NQ$10+1)*($NR$10-197+1)/$NT$10,$NM$10/$NS$10)),0)</f>
        <v/>
      </c>
      <c r="GS10" s="18">
        <f>IF(AND(198&gt;=$NQ$10,198&lt;=$NR$10),IF($NO$10="Single_Point",IF(198=$NQ$10,$NM$10,0),IF($NO$10="Bell_Curve",$NM$10*(198-$NQ$10+1)*($NR$10-198+1)/$NT$10,$NM$10/$NS$10)),0)</f>
        <v/>
      </c>
      <c r="GT10" s="18">
        <f>IF(AND(199&gt;=$NQ$10,199&lt;=$NR$10),IF($NO$10="Single_Point",IF(199=$NQ$10,$NM$10,0),IF($NO$10="Bell_Curve",$NM$10*(199-$NQ$10+1)*($NR$10-199+1)/$NT$10,$NM$10/$NS$10)),0)</f>
        <v/>
      </c>
      <c r="GU10" s="18">
        <f>IF(AND(200&gt;=$NQ$10,200&lt;=$NR$10),IF($NO$10="Single_Point",IF(200=$NQ$10,$NM$10,0),IF($NO$10="Bell_Curve",$NM$10*(200-$NQ$10+1)*($NR$10-200+1)/$NT$10,$NM$10/$NS$10)),0)</f>
        <v/>
      </c>
      <c r="GV10" s="18">
        <f>IF(AND(201&gt;=$NQ$10,201&lt;=$NR$10),IF($NO$10="Single_Point",IF(201=$NQ$10,$NM$10,0),IF($NO$10="Bell_Curve",$NM$10*(201-$NQ$10+1)*($NR$10-201+1)/$NT$10,$NM$10/$NS$10)),0)</f>
        <v/>
      </c>
      <c r="GW10" s="18">
        <f>IF(AND(202&gt;=$NQ$10,202&lt;=$NR$10),IF($NO$10="Single_Point",IF(202=$NQ$10,$NM$10,0),IF($NO$10="Bell_Curve",$NM$10*(202-$NQ$10+1)*($NR$10-202+1)/$NT$10,$NM$10/$NS$10)),0)</f>
        <v/>
      </c>
      <c r="GX10" s="18">
        <f>IF(AND(203&gt;=$NQ$10,203&lt;=$NR$10),IF($NO$10="Single_Point",IF(203=$NQ$10,$NM$10,0),IF($NO$10="Bell_Curve",$NM$10*(203-$NQ$10+1)*($NR$10-203+1)/$NT$10,$NM$10/$NS$10)),0)</f>
        <v/>
      </c>
      <c r="GY10" s="18">
        <f>IF(AND(204&gt;=$NQ$10,204&lt;=$NR$10),IF($NO$10="Single_Point",IF(204=$NQ$10,$NM$10,0),IF($NO$10="Bell_Curve",$NM$10*(204-$NQ$10+1)*($NR$10-204+1)/$NT$10,$NM$10/$NS$10)),0)</f>
        <v/>
      </c>
      <c r="GZ10" s="18">
        <f>IF(AND(205&gt;=$NQ$10,205&lt;=$NR$10),IF($NO$10="Single_Point",IF(205=$NQ$10,$NM$10,0),IF($NO$10="Bell_Curve",$NM$10*(205-$NQ$10+1)*($NR$10-205+1)/$NT$10,$NM$10/$NS$10)),0)</f>
        <v/>
      </c>
      <c r="HA10" s="18">
        <f>IF(AND(206&gt;=$NQ$10,206&lt;=$NR$10),IF($NO$10="Single_Point",IF(206=$NQ$10,$NM$10,0),IF($NO$10="Bell_Curve",$NM$10*(206-$NQ$10+1)*($NR$10-206+1)/$NT$10,$NM$10/$NS$10)),0)</f>
        <v/>
      </c>
      <c r="HB10" s="18">
        <f>IF(AND(207&gt;=$NQ$10,207&lt;=$NR$10),IF($NO$10="Single_Point",IF(207=$NQ$10,$NM$10,0),IF($NO$10="Bell_Curve",$NM$10*(207-$NQ$10+1)*($NR$10-207+1)/$NT$10,$NM$10/$NS$10)),0)</f>
        <v/>
      </c>
      <c r="HC10" s="18">
        <f>IF(AND(208&gt;=$NQ$10,208&lt;=$NR$10),IF($NO$10="Single_Point",IF(208=$NQ$10,$NM$10,0),IF($NO$10="Bell_Curve",$NM$10*(208-$NQ$10+1)*($NR$10-208+1)/$NT$10,$NM$10/$NS$10)),0)</f>
        <v/>
      </c>
      <c r="HD10" s="18">
        <f>IF(AND(209&gt;=$NQ$10,209&lt;=$NR$10),IF($NO$10="Single_Point",IF(209=$NQ$10,$NM$10,0),IF($NO$10="Bell_Curve",$NM$10*(209-$NQ$10+1)*($NR$10-209+1)/$NT$10,$NM$10/$NS$10)),0)</f>
        <v/>
      </c>
      <c r="HE10" s="18">
        <f>IF(AND(210&gt;=$NQ$10,210&lt;=$NR$10),IF($NO$10="Single_Point",IF(210=$NQ$10,$NM$10,0),IF($NO$10="Bell_Curve",$NM$10*(210-$NQ$10+1)*($NR$10-210+1)/$NT$10,$NM$10/$NS$10)),0)</f>
        <v/>
      </c>
      <c r="HF10" s="18">
        <f>IF(AND(211&gt;=$NQ$10,211&lt;=$NR$10),IF($NO$10="Single_Point",IF(211=$NQ$10,$NM$10,0),IF($NO$10="Bell_Curve",$NM$10*(211-$NQ$10+1)*($NR$10-211+1)/$NT$10,$NM$10/$NS$10)),0)</f>
        <v/>
      </c>
      <c r="HG10" s="18">
        <f>IF(AND(212&gt;=$NQ$10,212&lt;=$NR$10),IF($NO$10="Single_Point",IF(212=$NQ$10,$NM$10,0),IF($NO$10="Bell_Curve",$NM$10*(212-$NQ$10+1)*($NR$10-212+1)/$NT$10,$NM$10/$NS$10)),0)</f>
        <v/>
      </c>
      <c r="HH10" s="18">
        <f>IF(AND(213&gt;=$NQ$10,213&lt;=$NR$10),IF($NO$10="Single_Point",IF(213=$NQ$10,$NM$10,0),IF($NO$10="Bell_Curve",$NM$10*(213-$NQ$10+1)*($NR$10-213+1)/$NT$10,$NM$10/$NS$10)),0)</f>
        <v/>
      </c>
      <c r="HI10" s="18">
        <f>IF(AND(214&gt;=$NQ$10,214&lt;=$NR$10),IF($NO$10="Single_Point",IF(214=$NQ$10,$NM$10,0),IF($NO$10="Bell_Curve",$NM$10*(214-$NQ$10+1)*($NR$10-214+1)/$NT$10,$NM$10/$NS$10)),0)</f>
        <v/>
      </c>
      <c r="HJ10" s="18">
        <f>IF(AND(215&gt;=$NQ$10,215&lt;=$NR$10),IF($NO$10="Single_Point",IF(215=$NQ$10,$NM$10,0),IF($NO$10="Bell_Curve",$NM$10*(215-$NQ$10+1)*($NR$10-215+1)/$NT$10,$NM$10/$NS$10)),0)</f>
        <v/>
      </c>
      <c r="HK10" s="18">
        <f>IF(AND(216&gt;=$NQ$10,216&lt;=$NR$10),IF($NO$10="Single_Point",IF(216=$NQ$10,$NM$10,0),IF($NO$10="Bell_Curve",$NM$10*(216-$NQ$10+1)*($NR$10-216+1)/$NT$10,$NM$10/$NS$10)),0)</f>
        <v/>
      </c>
      <c r="HL10" s="18">
        <f>IF(AND(217&gt;=$NQ$10,217&lt;=$NR$10),IF($NO$10="Single_Point",IF(217=$NQ$10,$NM$10,0),IF($NO$10="Bell_Curve",$NM$10*(217-$NQ$10+1)*($NR$10-217+1)/$NT$10,$NM$10/$NS$10)),0)</f>
        <v/>
      </c>
      <c r="HM10" s="18">
        <f>IF(AND(218&gt;=$NQ$10,218&lt;=$NR$10),IF($NO$10="Single_Point",IF(218=$NQ$10,$NM$10,0),IF($NO$10="Bell_Curve",$NM$10*(218-$NQ$10+1)*($NR$10-218+1)/$NT$10,$NM$10/$NS$10)),0)</f>
        <v/>
      </c>
      <c r="HN10" s="18">
        <f>IF(AND(219&gt;=$NQ$10,219&lt;=$NR$10),IF($NO$10="Single_Point",IF(219=$NQ$10,$NM$10,0),IF($NO$10="Bell_Curve",$NM$10*(219-$NQ$10+1)*($NR$10-219+1)/$NT$10,$NM$10/$NS$10)),0)</f>
        <v/>
      </c>
      <c r="HO10" s="18">
        <f>IF(AND(220&gt;=$NQ$10,220&lt;=$NR$10),IF($NO$10="Single_Point",IF(220=$NQ$10,$NM$10,0),IF($NO$10="Bell_Curve",$NM$10*(220-$NQ$10+1)*($NR$10-220+1)/$NT$10,$NM$10/$NS$10)),0)</f>
        <v/>
      </c>
      <c r="HP10" s="18">
        <f>IF(AND(221&gt;=$NQ$10,221&lt;=$NR$10),IF($NO$10="Single_Point",IF(221=$NQ$10,$NM$10,0),IF($NO$10="Bell_Curve",$NM$10*(221-$NQ$10+1)*($NR$10-221+1)/$NT$10,$NM$10/$NS$10)),0)</f>
        <v/>
      </c>
      <c r="HQ10" s="18">
        <f>IF(AND(222&gt;=$NQ$10,222&lt;=$NR$10),IF($NO$10="Single_Point",IF(222=$NQ$10,$NM$10,0),IF($NO$10="Bell_Curve",$NM$10*(222-$NQ$10+1)*($NR$10-222+1)/$NT$10,$NM$10/$NS$10)),0)</f>
        <v/>
      </c>
      <c r="HR10" s="18">
        <f>IF(AND(223&gt;=$NQ$10,223&lt;=$NR$10),IF($NO$10="Single_Point",IF(223=$NQ$10,$NM$10,0),IF($NO$10="Bell_Curve",$NM$10*(223-$NQ$10+1)*($NR$10-223+1)/$NT$10,$NM$10/$NS$10)),0)</f>
        <v/>
      </c>
      <c r="HS10" s="18">
        <f>IF(AND(224&gt;=$NQ$10,224&lt;=$NR$10),IF($NO$10="Single_Point",IF(224=$NQ$10,$NM$10,0),IF($NO$10="Bell_Curve",$NM$10*(224-$NQ$10+1)*($NR$10-224+1)/$NT$10,$NM$10/$NS$10)),0)</f>
        <v/>
      </c>
      <c r="HT10" s="18">
        <f>IF(AND(225&gt;=$NQ$10,225&lt;=$NR$10),IF($NO$10="Single_Point",IF(225=$NQ$10,$NM$10,0),IF($NO$10="Bell_Curve",$NM$10*(225-$NQ$10+1)*($NR$10-225+1)/$NT$10,$NM$10/$NS$10)),0)</f>
        <v/>
      </c>
      <c r="HU10" s="18">
        <f>IF(AND(226&gt;=$NQ$10,226&lt;=$NR$10),IF($NO$10="Single_Point",IF(226=$NQ$10,$NM$10,0),IF($NO$10="Bell_Curve",$NM$10*(226-$NQ$10+1)*($NR$10-226+1)/$NT$10,$NM$10/$NS$10)),0)</f>
        <v/>
      </c>
      <c r="HV10" s="18">
        <f>IF(AND(227&gt;=$NQ$10,227&lt;=$NR$10),IF($NO$10="Single_Point",IF(227=$NQ$10,$NM$10,0),IF($NO$10="Bell_Curve",$NM$10*(227-$NQ$10+1)*($NR$10-227+1)/$NT$10,$NM$10/$NS$10)),0)</f>
        <v/>
      </c>
      <c r="HW10" s="18">
        <f>IF(AND(228&gt;=$NQ$10,228&lt;=$NR$10),IF($NO$10="Single_Point",IF(228=$NQ$10,$NM$10,0),IF($NO$10="Bell_Curve",$NM$10*(228-$NQ$10+1)*($NR$10-228+1)/$NT$10,$NM$10/$NS$10)),0)</f>
        <v/>
      </c>
      <c r="HX10" s="18">
        <f>IF(AND(229&gt;=$NQ$10,229&lt;=$NR$10),IF($NO$10="Single_Point",IF(229=$NQ$10,$NM$10,0),IF($NO$10="Bell_Curve",$NM$10*(229-$NQ$10+1)*($NR$10-229+1)/$NT$10,$NM$10/$NS$10)),0)</f>
        <v/>
      </c>
      <c r="HY10" s="18">
        <f>IF(AND(230&gt;=$NQ$10,230&lt;=$NR$10),IF($NO$10="Single_Point",IF(230=$NQ$10,$NM$10,0),IF($NO$10="Bell_Curve",$NM$10*(230-$NQ$10+1)*($NR$10-230+1)/$NT$10,$NM$10/$NS$10)),0)</f>
        <v/>
      </c>
      <c r="HZ10" s="18">
        <f>IF(AND(231&gt;=$NQ$10,231&lt;=$NR$10),IF($NO$10="Single_Point",IF(231=$NQ$10,$NM$10,0),IF($NO$10="Bell_Curve",$NM$10*(231-$NQ$10+1)*($NR$10-231+1)/$NT$10,$NM$10/$NS$10)),0)</f>
        <v/>
      </c>
      <c r="IA10" s="18">
        <f>IF(AND(232&gt;=$NQ$10,232&lt;=$NR$10),IF($NO$10="Single_Point",IF(232=$NQ$10,$NM$10,0),IF($NO$10="Bell_Curve",$NM$10*(232-$NQ$10+1)*($NR$10-232+1)/$NT$10,$NM$10/$NS$10)),0)</f>
        <v/>
      </c>
      <c r="IB10" s="18">
        <f>IF(AND(233&gt;=$NQ$10,233&lt;=$NR$10),IF($NO$10="Single_Point",IF(233=$NQ$10,$NM$10,0),IF($NO$10="Bell_Curve",$NM$10*(233-$NQ$10+1)*($NR$10-233+1)/$NT$10,$NM$10/$NS$10)),0)</f>
        <v/>
      </c>
      <c r="IC10" s="18">
        <f>IF(AND(234&gt;=$NQ$10,234&lt;=$NR$10),IF($NO$10="Single_Point",IF(234=$NQ$10,$NM$10,0),IF($NO$10="Bell_Curve",$NM$10*(234-$NQ$10+1)*($NR$10-234+1)/$NT$10,$NM$10/$NS$10)),0)</f>
        <v/>
      </c>
      <c r="ID10" s="18">
        <f>IF(AND(235&gt;=$NQ$10,235&lt;=$NR$10),IF($NO$10="Single_Point",IF(235=$NQ$10,$NM$10,0),IF($NO$10="Bell_Curve",$NM$10*(235-$NQ$10+1)*($NR$10-235+1)/$NT$10,$NM$10/$NS$10)),0)</f>
        <v/>
      </c>
      <c r="IE10" s="18">
        <f>IF(AND(236&gt;=$NQ$10,236&lt;=$NR$10),IF($NO$10="Single_Point",IF(236=$NQ$10,$NM$10,0),IF($NO$10="Bell_Curve",$NM$10*(236-$NQ$10+1)*($NR$10-236+1)/$NT$10,$NM$10/$NS$10)),0)</f>
        <v/>
      </c>
      <c r="IF10" s="18">
        <f>IF(AND(237&gt;=$NQ$10,237&lt;=$NR$10),IF($NO$10="Single_Point",IF(237=$NQ$10,$NM$10,0),IF($NO$10="Bell_Curve",$NM$10*(237-$NQ$10+1)*($NR$10-237+1)/$NT$10,$NM$10/$NS$10)),0)</f>
        <v/>
      </c>
      <c r="IG10" s="18">
        <f>IF(AND(238&gt;=$NQ$10,238&lt;=$NR$10),IF($NO$10="Single_Point",IF(238=$NQ$10,$NM$10,0),IF($NO$10="Bell_Curve",$NM$10*(238-$NQ$10+1)*($NR$10-238+1)/$NT$10,$NM$10/$NS$10)),0)</f>
        <v/>
      </c>
      <c r="IH10" s="18">
        <f>IF(AND(239&gt;=$NQ$10,239&lt;=$NR$10),IF($NO$10="Single_Point",IF(239=$NQ$10,$NM$10,0),IF($NO$10="Bell_Curve",$NM$10*(239-$NQ$10+1)*($NR$10-239+1)/$NT$10,$NM$10/$NS$10)),0)</f>
        <v/>
      </c>
      <c r="II10" s="18">
        <f>IF(AND(240&gt;=$NQ$10,240&lt;=$NR$10),IF($NO$10="Single_Point",IF(240=$NQ$10,$NM$10,0),IF($NO$10="Bell_Curve",$NM$10*(240-$NQ$10+1)*($NR$10-240+1)/$NT$10,$NM$10/$NS$10)),0)</f>
        <v/>
      </c>
      <c r="IJ10" s="18">
        <f>IF(AND(241&gt;=$NQ$10,241&lt;=$NR$10),IF($NO$10="Single_Point",IF(241=$NQ$10,$NM$10,0),IF($NO$10="Bell_Curve",$NM$10*(241-$NQ$10+1)*($NR$10-241+1)/$NT$10,$NM$10/$NS$10)),0)</f>
        <v/>
      </c>
      <c r="IK10" s="18">
        <f>IF(AND(242&gt;=$NQ$10,242&lt;=$NR$10),IF($NO$10="Single_Point",IF(242=$NQ$10,$NM$10,0),IF($NO$10="Bell_Curve",$NM$10*(242-$NQ$10+1)*($NR$10-242+1)/$NT$10,$NM$10/$NS$10)),0)</f>
        <v/>
      </c>
      <c r="IL10" s="18">
        <f>IF(AND(243&gt;=$NQ$10,243&lt;=$NR$10),IF($NO$10="Single_Point",IF(243=$NQ$10,$NM$10,0),IF($NO$10="Bell_Curve",$NM$10*(243-$NQ$10+1)*($NR$10-243+1)/$NT$10,$NM$10/$NS$10)),0)</f>
        <v/>
      </c>
      <c r="IM10" s="18">
        <f>IF(AND(244&gt;=$NQ$10,244&lt;=$NR$10),IF($NO$10="Single_Point",IF(244=$NQ$10,$NM$10,0),IF($NO$10="Bell_Curve",$NM$10*(244-$NQ$10+1)*($NR$10-244+1)/$NT$10,$NM$10/$NS$10)),0)</f>
        <v/>
      </c>
      <c r="IN10" s="18">
        <f>IF(AND(245&gt;=$NQ$10,245&lt;=$NR$10),IF($NO$10="Single_Point",IF(245=$NQ$10,$NM$10,0),IF($NO$10="Bell_Curve",$NM$10*(245-$NQ$10+1)*($NR$10-245+1)/$NT$10,$NM$10/$NS$10)),0)</f>
        <v/>
      </c>
      <c r="IO10" s="18">
        <f>IF(AND(246&gt;=$NQ$10,246&lt;=$NR$10),IF($NO$10="Single_Point",IF(246=$NQ$10,$NM$10,0),IF($NO$10="Bell_Curve",$NM$10*(246-$NQ$10+1)*($NR$10-246+1)/$NT$10,$NM$10/$NS$10)),0)</f>
        <v/>
      </c>
      <c r="IP10" s="18">
        <f>IF(AND(247&gt;=$NQ$10,247&lt;=$NR$10),IF($NO$10="Single_Point",IF(247=$NQ$10,$NM$10,0),IF($NO$10="Bell_Curve",$NM$10*(247-$NQ$10+1)*($NR$10-247+1)/$NT$10,$NM$10/$NS$10)),0)</f>
        <v/>
      </c>
      <c r="IQ10" s="18">
        <f>IF(AND(248&gt;=$NQ$10,248&lt;=$NR$10),IF($NO$10="Single_Point",IF(248=$NQ$10,$NM$10,0),IF($NO$10="Bell_Curve",$NM$10*(248-$NQ$10+1)*($NR$10-248+1)/$NT$10,$NM$10/$NS$10)),0)</f>
        <v/>
      </c>
      <c r="IR10" s="18">
        <f>IF(AND(249&gt;=$NQ$10,249&lt;=$NR$10),IF($NO$10="Single_Point",IF(249=$NQ$10,$NM$10,0),IF($NO$10="Bell_Curve",$NM$10*(249-$NQ$10+1)*($NR$10-249+1)/$NT$10,$NM$10/$NS$10)),0)</f>
        <v/>
      </c>
      <c r="IS10" s="18">
        <f>IF(AND(250&gt;=$NQ$10,250&lt;=$NR$10),IF($NO$10="Single_Point",IF(250=$NQ$10,$NM$10,0),IF($NO$10="Bell_Curve",$NM$10*(250-$NQ$10+1)*($NR$10-250+1)/$NT$10,$NM$10/$NS$10)),0)</f>
        <v/>
      </c>
      <c r="IT10" s="18">
        <f>IF(AND(251&gt;=$NQ$10,251&lt;=$NR$10),IF($NO$10="Single_Point",IF(251=$NQ$10,$NM$10,0),IF($NO$10="Bell_Curve",$NM$10*(251-$NQ$10+1)*($NR$10-251+1)/$NT$10,$NM$10/$NS$10)),0)</f>
        <v/>
      </c>
      <c r="IU10" s="18">
        <f>IF(AND(252&gt;=$NQ$10,252&lt;=$NR$10),IF($NO$10="Single_Point",IF(252=$NQ$10,$NM$10,0),IF($NO$10="Bell_Curve",$NM$10*(252-$NQ$10+1)*($NR$10-252+1)/$NT$10,$NM$10/$NS$10)),0)</f>
        <v/>
      </c>
      <c r="IV10" s="18">
        <f>IF(AND(253&gt;=$NQ$10,253&lt;=$NR$10),IF($NO$10="Single_Point",IF(253=$NQ$10,$NM$10,0),IF($NO$10="Bell_Curve",$NM$10*(253-$NQ$10+1)*($NR$10-253+1)/$NT$10,$NM$10/$NS$10)),0)</f>
        <v/>
      </c>
      <c r="IW10" s="18">
        <f>IF(AND(254&gt;=$NQ$10,254&lt;=$NR$10),IF($NO$10="Single_Point",IF(254=$NQ$10,$NM$10,0),IF($NO$10="Bell_Curve",$NM$10*(254-$NQ$10+1)*($NR$10-254+1)/$NT$10,$NM$10/$NS$10)),0)</f>
        <v/>
      </c>
      <c r="IX10" s="18">
        <f>IF(AND(255&gt;=$NQ$10,255&lt;=$NR$10),IF($NO$10="Single_Point",IF(255=$NQ$10,$NM$10,0),IF($NO$10="Bell_Curve",$NM$10*(255-$NQ$10+1)*($NR$10-255+1)/$NT$10,$NM$10/$NS$10)),0)</f>
        <v/>
      </c>
      <c r="IY10" s="18">
        <f>IF(AND(256&gt;=$NQ$10,256&lt;=$NR$10),IF($NO$10="Single_Point",IF(256=$NQ$10,$NM$10,0),IF($NO$10="Bell_Curve",$NM$10*(256-$NQ$10+1)*($NR$10-256+1)/$NT$10,$NM$10/$NS$10)),0)</f>
        <v/>
      </c>
      <c r="IZ10" s="18">
        <f>IF(AND(257&gt;=$NQ$10,257&lt;=$NR$10),IF($NO$10="Single_Point",IF(257=$NQ$10,$NM$10,0),IF($NO$10="Bell_Curve",$NM$10*(257-$NQ$10+1)*($NR$10-257+1)/$NT$10,$NM$10/$NS$10)),0)</f>
        <v/>
      </c>
      <c r="JA10" s="18">
        <f>IF(AND(258&gt;=$NQ$10,258&lt;=$NR$10),IF($NO$10="Single_Point",IF(258=$NQ$10,$NM$10,0),IF($NO$10="Bell_Curve",$NM$10*(258-$NQ$10+1)*($NR$10-258+1)/$NT$10,$NM$10/$NS$10)),0)</f>
        <v/>
      </c>
      <c r="JB10" s="18">
        <f>IF(AND(259&gt;=$NQ$10,259&lt;=$NR$10),IF($NO$10="Single_Point",IF(259=$NQ$10,$NM$10,0),IF($NO$10="Bell_Curve",$NM$10*(259-$NQ$10+1)*($NR$10-259+1)/$NT$10,$NM$10/$NS$10)),0)</f>
        <v/>
      </c>
      <c r="JC10" s="18">
        <f>IF(AND(260&gt;=$NQ$10,260&lt;=$NR$10),IF($NO$10="Single_Point",IF(260=$NQ$10,$NM$10,0),IF($NO$10="Bell_Curve",$NM$10*(260-$NQ$10+1)*($NR$10-260+1)/$NT$10,$NM$10/$NS$10)),0)</f>
        <v/>
      </c>
      <c r="JD10" s="18">
        <f>IF(AND(261&gt;=$NQ$10,261&lt;=$NR$10),IF($NO$10="Single_Point",IF(261=$NQ$10,$NM$10,0),IF($NO$10="Bell_Curve",$NM$10*(261-$NQ$10+1)*($NR$10-261+1)/$NT$10,$NM$10/$NS$10)),0)</f>
        <v/>
      </c>
      <c r="JE10" s="18">
        <f>IF(AND(262&gt;=$NQ$10,262&lt;=$NR$10),IF($NO$10="Single_Point",IF(262=$NQ$10,$NM$10,0),IF($NO$10="Bell_Curve",$NM$10*(262-$NQ$10+1)*($NR$10-262+1)/$NT$10,$NM$10/$NS$10)),0)</f>
        <v/>
      </c>
      <c r="JF10" s="18">
        <f>IF(AND(263&gt;=$NQ$10,263&lt;=$NR$10),IF($NO$10="Single_Point",IF(263=$NQ$10,$NM$10,0),IF($NO$10="Bell_Curve",$NM$10*(263-$NQ$10+1)*($NR$10-263+1)/$NT$10,$NM$10/$NS$10)),0)</f>
        <v/>
      </c>
      <c r="JG10" s="18">
        <f>IF(AND(264&gt;=$NQ$10,264&lt;=$NR$10),IF($NO$10="Single_Point",IF(264=$NQ$10,$NM$10,0),IF($NO$10="Bell_Curve",$NM$10*(264-$NQ$10+1)*($NR$10-264+1)/$NT$10,$NM$10/$NS$10)),0)</f>
        <v/>
      </c>
      <c r="JH10" s="18">
        <f>IF(AND(265&gt;=$NQ$10,265&lt;=$NR$10),IF($NO$10="Single_Point",IF(265=$NQ$10,$NM$10,0),IF($NO$10="Bell_Curve",$NM$10*(265-$NQ$10+1)*($NR$10-265+1)/$NT$10,$NM$10/$NS$10)),0)</f>
        <v/>
      </c>
      <c r="JI10" s="18">
        <f>IF(AND(266&gt;=$NQ$10,266&lt;=$NR$10),IF($NO$10="Single_Point",IF(266=$NQ$10,$NM$10,0),IF($NO$10="Bell_Curve",$NM$10*(266-$NQ$10+1)*($NR$10-266+1)/$NT$10,$NM$10/$NS$10)),0)</f>
        <v/>
      </c>
      <c r="JJ10" s="18">
        <f>IF(AND(267&gt;=$NQ$10,267&lt;=$NR$10),IF($NO$10="Single_Point",IF(267=$NQ$10,$NM$10,0),IF($NO$10="Bell_Curve",$NM$10*(267-$NQ$10+1)*($NR$10-267+1)/$NT$10,$NM$10/$NS$10)),0)</f>
        <v/>
      </c>
      <c r="JK10" s="18">
        <f>IF(AND(268&gt;=$NQ$10,268&lt;=$NR$10),IF($NO$10="Single_Point",IF(268=$NQ$10,$NM$10,0),IF($NO$10="Bell_Curve",$NM$10*(268-$NQ$10+1)*($NR$10-268+1)/$NT$10,$NM$10/$NS$10)),0)</f>
        <v/>
      </c>
      <c r="JL10" s="18">
        <f>IF(AND(269&gt;=$NQ$10,269&lt;=$NR$10),IF($NO$10="Single_Point",IF(269=$NQ$10,$NM$10,0),IF($NO$10="Bell_Curve",$NM$10*(269-$NQ$10+1)*($NR$10-269+1)/$NT$10,$NM$10/$NS$10)),0)</f>
        <v/>
      </c>
      <c r="JM10" s="18">
        <f>IF(AND(270&gt;=$NQ$10,270&lt;=$NR$10),IF($NO$10="Single_Point",IF(270=$NQ$10,$NM$10,0),IF($NO$10="Bell_Curve",$NM$10*(270-$NQ$10+1)*($NR$10-270+1)/$NT$10,$NM$10/$NS$10)),0)</f>
        <v/>
      </c>
      <c r="JN10" s="18">
        <f>IF(AND(271&gt;=$NQ$10,271&lt;=$NR$10),IF($NO$10="Single_Point",IF(271=$NQ$10,$NM$10,0),IF($NO$10="Bell_Curve",$NM$10*(271-$NQ$10+1)*($NR$10-271+1)/$NT$10,$NM$10/$NS$10)),0)</f>
        <v/>
      </c>
      <c r="JO10" s="18">
        <f>IF(AND(272&gt;=$NQ$10,272&lt;=$NR$10),IF($NO$10="Single_Point",IF(272=$NQ$10,$NM$10,0),IF($NO$10="Bell_Curve",$NM$10*(272-$NQ$10+1)*($NR$10-272+1)/$NT$10,$NM$10/$NS$10)),0)</f>
        <v/>
      </c>
      <c r="JP10" s="18">
        <f>IF(AND(273&gt;=$NQ$10,273&lt;=$NR$10),IF($NO$10="Single_Point",IF(273=$NQ$10,$NM$10,0),IF($NO$10="Bell_Curve",$NM$10*(273-$NQ$10+1)*($NR$10-273+1)/$NT$10,$NM$10/$NS$10)),0)</f>
        <v/>
      </c>
      <c r="JQ10" s="18">
        <f>IF(AND(274&gt;=$NQ$10,274&lt;=$NR$10),IF($NO$10="Single_Point",IF(274=$NQ$10,$NM$10,0),IF($NO$10="Bell_Curve",$NM$10*(274-$NQ$10+1)*($NR$10-274+1)/$NT$10,$NM$10/$NS$10)),0)</f>
        <v/>
      </c>
      <c r="JR10" s="18">
        <f>IF(AND(275&gt;=$NQ$10,275&lt;=$NR$10),IF($NO$10="Single_Point",IF(275=$NQ$10,$NM$10,0),IF($NO$10="Bell_Curve",$NM$10*(275-$NQ$10+1)*($NR$10-275+1)/$NT$10,$NM$10/$NS$10)),0)</f>
        <v/>
      </c>
      <c r="JS10" s="18">
        <f>IF(AND(276&gt;=$NQ$10,276&lt;=$NR$10),IF($NO$10="Single_Point",IF(276=$NQ$10,$NM$10,0),IF($NO$10="Bell_Curve",$NM$10*(276-$NQ$10+1)*($NR$10-276+1)/$NT$10,$NM$10/$NS$10)),0)</f>
        <v/>
      </c>
      <c r="JT10" s="18">
        <f>IF(AND(277&gt;=$NQ$10,277&lt;=$NR$10),IF($NO$10="Single_Point",IF(277=$NQ$10,$NM$10,0),IF($NO$10="Bell_Curve",$NM$10*(277-$NQ$10+1)*($NR$10-277+1)/$NT$10,$NM$10/$NS$10)),0)</f>
        <v/>
      </c>
      <c r="JU10" s="18">
        <f>IF(AND(278&gt;=$NQ$10,278&lt;=$NR$10),IF($NO$10="Single_Point",IF(278=$NQ$10,$NM$10,0),IF($NO$10="Bell_Curve",$NM$10*(278-$NQ$10+1)*($NR$10-278+1)/$NT$10,$NM$10/$NS$10)),0)</f>
        <v/>
      </c>
      <c r="JV10" s="18">
        <f>IF(AND(279&gt;=$NQ$10,279&lt;=$NR$10),IF($NO$10="Single_Point",IF(279=$NQ$10,$NM$10,0),IF($NO$10="Bell_Curve",$NM$10*(279-$NQ$10+1)*($NR$10-279+1)/$NT$10,$NM$10/$NS$10)),0)</f>
        <v/>
      </c>
      <c r="JW10" s="18">
        <f>IF(AND(280&gt;=$NQ$10,280&lt;=$NR$10),IF($NO$10="Single_Point",IF(280=$NQ$10,$NM$10,0),IF($NO$10="Bell_Curve",$NM$10*(280-$NQ$10+1)*($NR$10-280+1)/$NT$10,$NM$10/$NS$10)),0)</f>
        <v/>
      </c>
      <c r="JX10" s="18">
        <f>IF(AND(281&gt;=$NQ$10,281&lt;=$NR$10),IF($NO$10="Single_Point",IF(281=$NQ$10,$NM$10,0),IF($NO$10="Bell_Curve",$NM$10*(281-$NQ$10+1)*($NR$10-281+1)/$NT$10,$NM$10/$NS$10)),0)</f>
        <v/>
      </c>
      <c r="JY10" s="18">
        <f>IF(AND(282&gt;=$NQ$10,282&lt;=$NR$10),IF($NO$10="Single_Point",IF(282=$NQ$10,$NM$10,0),IF($NO$10="Bell_Curve",$NM$10*(282-$NQ$10+1)*($NR$10-282+1)/$NT$10,$NM$10/$NS$10)),0)</f>
        <v/>
      </c>
      <c r="JZ10" s="18">
        <f>IF(AND(283&gt;=$NQ$10,283&lt;=$NR$10),IF($NO$10="Single_Point",IF(283=$NQ$10,$NM$10,0),IF($NO$10="Bell_Curve",$NM$10*(283-$NQ$10+1)*($NR$10-283+1)/$NT$10,$NM$10/$NS$10)),0)</f>
        <v/>
      </c>
      <c r="KA10" s="18">
        <f>IF(AND(284&gt;=$NQ$10,284&lt;=$NR$10),IF($NO$10="Single_Point",IF(284=$NQ$10,$NM$10,0),IF($NO$10="Bell_Curve",$NM$10*(284-$NQ$10+1)*($NR$10-284+1)/$NT$10,$NM$10/$NS$10)),0)</f>
        <v/>
      </c>
      <c r="KB10" s="18">
        <f>IF(AND(285&gt;=$NQ$10,285&lt;=$NR$10),IF($NO$10="Single_Point",IF(285=$NQ$10,$NM$10,0),IF($NO$10="Bell_Curve",$NM$10*(285-$NQ$10+1)*($NR$10-285+1)/$NT$10,$NM$10/$NS$10)),0)</f>
        <v/>
      </c>
      <c r="KC10" s="18">
        <f>IF(AND(286&gt;=$NQ$10,286&lt;=$NR$10),IF($NO$10="Single_Point",IF(286=$NQ$10,$NM$10,0),IF($NO$10="Bell_Curve",$NM$10*(286-$NQ$10+1)*($NR$10-286+1)/$NT$10,$NM$10/$NS$10)),0)</f>
        <v/>
      </c>
      <c r="KD10" s="18">
        <f>IF(AND(287&gt;=$NQ$10,287&lt;=$NR$10),IF($NO$10="Single_Point",IF(287=$NQ$10,$NM$10,0),IF($NO$10="Bell_Curve",$NM$10*(287-$NQ$10+1)*($NR$10-287+1)/$NT$10,$NM$10/$NS$10)),0)</f>
        <v/>
      </c>
      <c r="KE10" s="18">
        <f>IF(AND(288&gt;=$NQ$10,288&lt;=$NR$10),IF($NO$10="Single_Point",IF(288=$NQ$10,$NM$10,0),IF($NO$10="Bell_Curve",$NM$10*(288-$NQ$10+1)*($NR$10-288+1)/$NT$10,$NM$10/$NS$10)),0)</f>
        <v/>
      </c>
      <c r="KF10" s="18">
        <f>IF(AND(289&gt;=$NQ$10,289&lt;=$NR$10),IF($NO$10="Single_Point",IF(289=$NQ$10,$NM$10,0),IF($NO$10="Bell_Curve",$NM$10*(289-$NQ$10+1)*($NR$10-289+1)/$NT$10,$NM$10/$NS$10)),0)</f>
        <v/>
      </c>
      <c r="KG10" s="18">
        <f>IF(AND(290&gt;=$NQ$10,290&lt;=$NR$10),IF($NO$10="Single_Point",IF(290=$NQ$10,$NM$10,0),IF($NO$10="Bell_Curve",$NM$10*(290-$NQ$10+1)*($NR$10-290+1)/$NT$10,$NM$10/$NS$10)),0)</f>
        <v/>
      </c>
      <c r="KH10" s="18">
        <f>IF(AND(291&gt;=$NQ$10,291&lt;=$NR$10),IF($NO$10="Single_Point",IF(291=$NQ$10,$NM$10,0),IF($NO$10="Bell_Curve",$NM$10*(291-$NQ$10+1)*($NR$10-291+1)/$NT$10,$NM$10/$NS$10)),0)</f>
        <v/>
      </c>
      <c r="KI10" s="18">
        <f>IF(AND(292&gt;=$NQ$10,292&lt;=$NR$10),IF($NO$10="Single_Point",IF(292=$NQ$10,$NM$10,0),IF($NO$10="Bell_Curve",$NM$10*(292-$NQ$10+1)*($NR$10-292+1)/$NT$10,$NM$10/$NS$10)),0)</f>
        <v/>
      </c>
      <c r="KJ10" s="18">
        <f>IF(AND(293&gt;=$NQ$10,293&lt;=$NR$10),IF($NO$10="Single_Point",IF(293=$NQ$10,$NM$10,0),IF($NO$10="Bell_Curve",$NM$10*(293-$NQ$10+1)*($NR$10-293+1)/$NT$10,$NM$10/$NS$10)),0)</f>
        <v/>
      </c>
      <c r="KK10" s="18">
        <f>IF(AND(294&gt;=$NQ$10,294&lt;=$NR$10),IF($NO$10="Single_Point",IF(294=$NQ$10,$NM$10,0),IF($NO$10="Bell_Curve",$NM$10*(294-$NQ$10+1)*($NR$10-294+1)/$NT$10,$NM$10/$NS$10)),0)</f>
        <v/>
      </c>
      <c r="KL10" s="18">
        <f>IF(AND(295&gt;=$NQ$10,295&lt;=$NR$10),IF($NO$10="Single_Point",IF(295=$NQ$10,$NM$10,0),IF($NO$10="Bell_Curve",$NM$10*(295-$NQ$10+1)*($NR$10-295+1)/$NT$10,$NM$10/$NS$10)),0)</f>
        <v/>
      </c>
      <c r="KM10" s="18">
        <f>IF(AND(296&gt;=$NQ$10,296&lt;=$NR$10),IF($NO$10="Single_Point",IF(296=$NQ$10,$NM$10,0),IF($NO$10="Bell_Curve",$NM$10*(296-$NQ$10+1)*($NR$10-296+1)/$NT$10,$NM$10/$NS$10)),0)</f>
        <v/>
      </c>
      <c r="KN10" s="18">
        <f>IF(AND(297&gt;=$NQ$10,297&lt;=$NR$10),IF($NO$10="Single_Point",IF(297=$NQ$10,$NM$10,0),IF($NO$10="Bell_Curve",$NM$10*(297-$NQ$10+1)*($NR$10-297+1)/$NT$10,$NM$10/$NS$10)),0)</f>
        <v/>
      </c>
      <c r="KO10" s="18">
        <f>IF(AND(298&gt;=$NQ$10,298&lt;=$NR$10),IF($NO$10="Single_Point",IF(298=$NQ$10,$NM$10,0),IF($NO$10="Bell_Curve",$NM$10*(298-$NQ$10+1)*($NR$10-298+1)/$NT$10,$NM$10/$NS$10)),0)</f>
        <v/>
      </c>
      <c r="KP10" s="18">
        <f>IF(AND(299&gt;=$NQ$10,299&lt;=$NR$10),IF($NO$10="Single_Point",IF(299=$NQ$10,$NM$10,0),IF($NO$10="Bell_Curve",$NM$10*(299-$NQ$10+1)*($NR$10-299+1)/$NT$10,$NM$10/$NS$10)),0)</f>
        <v/>
      </c>
      <c r="KQ10" s="18">
        <f>IF(AND(300&gt;=$NQ$10,300&lt;=$NR$10),IF($NO$10="Single_Point",IF(300=$NQ$10,$NM$10,0),IF($NO$10="Bell_Curve",$NM$10*(300-$NQ$10+1)*($NR$10-300+1)/$NT$10,$NM$10/$NS$10)),0)</f>
        <v/>
      </c>
      <c r="KR10" s="18">
        <f>IF(AND(301&gt;=$NQ$10,301&lt;=$NR$10),IF($NO$10="Single_Point",IF(301=$NQ$10,$NM$10,0),IF($NO$10="Bell_Curve",$NM$10*(301-$NQ$10+1)*($NR$10-301+1)/$NT$10,$NM$10/$NS$10)),0)</f>
        <v/>
      </c>
      <c r="KS10" s="18">
        <f>IF(AND(302&gt;=$NQ$10,302&lt;=$NR$10),IF($NO$10="Single_Point",IF(302=$NQ$10,$NM$10,0),IF($NO$10="Bell_Curve",$NM$10*(302-$NQ$10+1)*($NR$10-302+1)/$NT$10,$NM$10/$NS$10)),0)</f>
        <v/>
      </c>
      <c r="KT10" s="18">
        <f>IF(AND(303&gt;=$NQ$10,303&lt;=$NR$10),IF($NO$10="Single_Point",IF(303=$NQ$10,$NM$10,0),IF($NO$10="Bell_Curve",$NM$10*(303-$NQ$10+1)*($NR$10-303+1)/$NT$10,$NM$10/$NS$10)),0)</f>
        <v/>
      </c>
      <c r="KU10" s="18">
        <f>IF(AND(304&gt;=$NQ$10,304&lt;=$NR$10),IF($NO$10="Single_Point",IF(304=$NQ$10,$NM$10,0),IF($NO$10="Bell_Curve",$NM$10*(304-$NQ$10+1)*($NR$10-304+1)/$NT$10,$NM$10/$NS$10)),0)</f>
        <v/>
      </c>
      <c r="KV10" s="18">
        <f>IF(AND(305&gt;=$NQ$10,305&lt;=$NR$10),IF($NO$10="Single_Point",IF(305=$NQ$10,$NM$10,0),IF($NO$10="Bell_Curve",$NM$10*(305-$NQ$10+1)*($NR$10-305+1)/$NT$10,$NM$10/$NS$10)),0)</f>
        <v/>
      </c>
      <c r="KW10" s="18">
        <f>IF(AND(306&gt;=$NQ$10,306&lt;=$NR$10),IF($NO$10="Single_Point",IF(306=$NQ$10,$NM$10,0),IF($NO$10="Bell_Curve",$NM$10*(306-$NQ$10+1)*($NR$10-306+1)/$NT$10,$NM$10/$NS$10)),0)</f>
        <v/>
      </c>
      <c r="KX10" s="18">
        <f>IF(AND(307&gt;=$NQ$10,307&lt;=$NR$10),IF($NO$10="Single_Point",IF(307=$NQ$10,$NM$10,0),IF($NO$10="Bell_Curve",$NM$10*(307-$NQ$10+1)*($NR$10-307+1)/$NT$10,$NM$10/$NS$10)),0)</f>
        <v/>
      </c>
      <c r="KY10" s="18">
        <f>IF(AND(308&gt;=$NQ$10,308&lt;=$NR$10),IF($NO$10="Single_Point",IF(308=$NQ$10,$NM$10,0),IF($NO$10="Bell_Curve",$NM$10*(308-$NQ$10+1)*($NR$10-308+1)/$NT$10,$NM$10/$NS$10)),0)</f>
        <v/>
      </c>
      <c r="KZ10" s="18">
        <f>IF(AND(309&gt;=$NQ$10,309&lt;=$NR$10),IF($NO$10="Single_Point",IF(309=$NQ$10,$NM$10,0),IF($NO$10="Bell_Curve",$NM$10*(309-$NQ$10+1)*($NR$10-309+1)/$NT$10,$NM$10/$NS$10)),0)</f>
        <v/>
      </c>
      <c r="LA10" s="18">
        <f>IF(AND(310&gt;=$NQ$10,310&lt;=$NR$10),IF($NO$10="Single_Point",IF(310=$NQ$10,$NM$10,0),IF($NO$10="Bell_Curve",$NM$10*(310-$NQ$10+1)*($NR$10-310+1)/$NT$10,$NM$10/$NS$10)),0)</f>
        <v/>
      </c>
      <c r="LB10" s="18">
        <f>IF(AND(311&gt;=$NQ$10,311&lt;=$NR$10),IF($NO$10="Single_Point",IF(311=$NQ$10,$NM$10,0),IF($NO$10="Bell_Curve",$NM$10*(311-$NQ$10+1)*($NR$10-311+1)/$NT$10,$NM$10/$NS$10)),0)</f>
        <v/>
      </c>
      <c r="LC10" s="18">
        <f>IF(AND(312&gt;=$NQ$10,312&lt;=$NR$10),IF($NO$10="Single_Point",IF(312=$NQ$10,$NM$10,0),IF($NO$10="Bell_Curve",$NM$10*(312-$NQ$10+1)*($NR$10-312+1)/$NT$10,$NM$10/$NS$10)),0)</f>
        <v/>
      </c>
      <c r="LD10" s="18">
        <f>IF(AND(313&gt;=$NQ$10,313&lt;=$NR$10),IF($NO$10="Single_Point",IF(313=$NQ$10,$NM$10,0),IF($NO$10="Bell_Curve",$NM$10*(313-$NQ$10+1)*($NR$10-313+1)/$NT$10,$NM$10/$NS$10)),0)</f>
        <v/>
      </c>
      <c r="LE10" s="18">
        <f>IF(AND(314&gt;=$NQ$10,314&lt;=$NR$10),IF($NO$10="Single_Point",IF(314=$NQ$10,$NM$10,0),IF($NO$10="Bell_Curve",$NM$10*(314-$NQ$10+1)*($NR$10-314+1)/$NT$10,$NM$10/$NS$10)),0)</f>
        <v/>
      </c>
      <c r="LF10" s="18">
        <f>IF(AND(315&gt;=$NQ$10,315&lt;=$NR$10),IF($NO$10="Single_Point",IF(315=$NQ$10,$NM$10,0),IF($NO$10="Bell_Curve",$NM$10*(315-$NQ$10+1)*($NR$10-315+1)/$NT$10,$NM$10/$NS$10)),0)</f>
        <v/>
      </c>
      <c r="LG10" s="18">
        <f>IF(AND(316&gt;=$NQ$10,316&lt;=$NR$10),IF($NO$10="Single_Point",IF(316=$NQ$10,$NM$10,0),IF($NO$10="Bell_Curve",$NM$10*(316-$NQ$10+1)*($NR$10-316+1)/$NT$10,$NM$10/$NS$10)),0)</f>
        <v/>
      </c>
      <c r="LH10" s="18">
        <f>IF(AND(317&gt;=$NQ$10,317&lt;=$NR$10),IF($NO$10="Single_Point",IF(317=$NQ$10,$NM$10,0),IF($NO$10="Bell_Curve",$NM$10*(317-$NQ$10+1)*($NR$10-317+1)/$NT$10,$NM$10/$NS$10)),0)</f>
        <v/>
      </c>
      <c r="LI10" s="18">
        <f>IF(AND(318&gt;=$NQ$10,318&lt;=$NR$10),IF($NO$10="Single_Point",IF(318=$NQ$10,$NM$10,0),IF($NO$10="Bell_Curve",$NM$10*(318-$NQ$10+1)*($NR$10-318+1)/$NT$10,$NM$10/$NS$10)),0)</f>
        <v/>
      </c>
      <c r="LJ10" s="18">
        <f>IF(AND(319&gt;=$NQ$10,319&lt;=$NR$10),IF($NO$10="Single_Point",IF(319=$NQ$10,$NM$10,0),IF($NO$10="Bell_Curve",$NM$10*(319-$NQ$10+1)*($NR$10-319+1)/$NT$10,$NM$10/$NS$10)),0)</f>
        <v/>
      </c>
      <c r="LK10" s="18">
        <f>IF(AND(320&gt;=$NQ$10,320&lt;=$NR$10),IF($NO$10="Single_Point",IF(320=$NQ$10,$NM$10,0),IF($NO$10="Bell_Curve",$NM$10*(320-$NQ$10+1)*($NR$10-320+1)/$NT$10,$NM$10/$NS$10)),0)</f>
        <v/>
      </c>
      <c r="LL10" s="18">
        <f>IF(AND(321&gt;=$NQ$10,321&lt;=$NR$10),IF($NO$10="Single_Point",IF(321=$NQ$10,$NM$10,0),IF($NO$10="Bell_Curve",$NM$10*(321-$NQ$10+1)*($NR$10-321+1)/$NT$10,$NM$10/$NS$10)),0)</f>
        <v/>
      </c>
      <c r="LM10" s="18">
        <f>IF(AND(322&gt;=$NQ$10,322&lt;=$NR$10),IF($NO$10="Single_Point",IF(322=$NQ$10,$NM$10,0),IF($NO$10="Bell_Curve",$NM$10*(322-$NQ$10+1)*($NR$10-322+1)/$NT$10,$NM$10/$NS$10)),0)</f>
        <v/>
      </c>
      <c r="LN10" s="18">
        <f>IF(AND(323&gt;=$NQ$10,323&lt;=$NR$10),IF($NO$10="Single_Point",IF(323=$NQ$10,$NM$10,0),IF($NO$10="Bell_Curve",$NM$10*(323-$NQ$10+1)*($NR$10-323+1)/$NT$10,$NM$10/$NS$10)),0)</f>
        <v/>
      </c>
      <c r="LO10" s="18">
        <f>IF(AND(324&gt;=$NQ$10,324&lt;=$NR$10),IF($NO$10="Single_Point",IF(324=$NQ$10,$NM$10,0),IF($NO$10="Bell_Curve",$NM$10*(324-$NQ$10+1)*($NR$10-324+1)/$NT$10,$NM$10/$NS$10)),0)</f>
        <v/>
      </c>
      <c r="LP10" s="18">
        <f>IF(AND(325&gt;=$NQ$10,325&lt;=$NR$10),IF($NO$10="Single_Point",IF(325=$NQ$10,$NM$10,0),IF($NO$10="Bell_Curve",$NM$10*(325-$NQ$10+1)*($NR$10-325+1)/$NT$10,$NM$10/$NS$10)),0)</f>
        <v/>
      </c>
      <c r="LQ10" s="18">
        <f>IF(AND(326&gt;=$NQ$10,326&lt;=$NR$10),IF($NO$10="Single_Point",IF(326=$NQ$10,$NM$10,0),IF($NO$10="Bell_Curve",$NM$10*(326-$NQ$10+1)*($NR$10-326+1)/$NT$10,$NM$10/$NS$10)),0)</f>
        <v/>
      </c>
      <c r="LR10" s="18">
        <f>IF(AND(327&gt;=$NQ$10,327&lt;=$NR$10),IF($NO$10="Single_Point",IF(327=$NQ$10,$NM$10,0),IF($NO$10="Bell_Curve",$NM$10*(327-$NQ$10+1)*($NR$10-327+1)/$NT$10,$NM$10/$NS$10)),0)</f>
        <v/>
      </c>
      <c r="LS10" s="18">
        <f>IF(AND(328&gt;=$NQ$10,328&lt;=$NR$10),IF($NO$10="Single_Point",IF(328=$NQ$10,$NM$10,0),IF($NO$10="Bell_Curve",$NM$10*(328-$NQ$10+1)*($NR$10-328+1)/$NT$10,$NM$10/$NS$10)),0)</f>
        <v/>
      </c>
      <c r="LT10" s="18">
        <f>IF(AND(329&gt;=$NQ$10,329&lt;=$NR$10),IF($NO$10="Single_Point",IF(329=$NQ$10,$NM$10,0),IF($NO$10="Bell_Curve",$NM$10*(329-$NQ$10+1)*($NR$10-329+1)/$NT$10,$NM$10/$NS$10)),0)</f>
        <v/>
      </c>
      <c r="LU10" s="18">
        <f>IF(AND(330&gt;=$NQ$10,330&lt;=$NR$10),IF($NO$10="Single_Point",IF(330=$NQ$10,$NM$10,0),IF($NO$10="Bell_Curve",$NM$10*(330-$NQ$10+1)*($NR$10-330+1)/$NT$10,$NM$10/$NS$10)),0)</f>
        <v/>
      </c>
      <c r="LV10" s="18">
        <f>IF(AND(331&gt;=$NQ$10,331&lt;=$NR$10),IF($NO$10="Single_Point",IF(331=$NQ$10,$NM$10,0),IF($NO$10="Bell_Curve",$NM$10*(331-$NQ$10+1)*($NR$10-331+1)/$NT$10,$NM$10/$NS$10)),0)</f>
        <v/>
      </c>
      <c r="LW10" s="18">
        <f>IF(AND(332&gt;=$NQ$10,332&lt;=$NR$10),IF($NO$10="Single_Point",IF(332=$NQ$10,$NM$10,0),IF($NO$10="Bell_Curve",$NM$10*(332-$NQ$10+1)*($NR$10-332+1)/$NT$10,$NM$10/$NS$10)),0)</f>
        <v/>
      </c>
      <c r="LX10" s="18">
        <f>IF(AND(333&gt;=$NQ$10,333&lt;=$NR$10),IF($NO$10="Single_Point",IF(333=$NQ$10,$NM$10,0),IF($NO$10="Bell_Curve",$NM$10*(333-$NQ$10+1)*($NR$10-333+1)/$NT$10,$NM$10/$NS$10)),0)</f>
        <v/>
      </c>
      <c r="LY10" s="18">
        <f>IF(AND(334&gt;=$NQ$10,334&lt;=$NR$10),IF($NO$10="Single_Point",IF(334=$NQ$10,$NM$10,0),IF($NO$10="Bell_Curve",$NM$10*(334-$NQ$10+1)*($NR$10-334+1)/$NT$10,$NM$10/$NS$10)),0)</f>
        <v/>
      </c>
      <c r="LZ10" s="18">
        <f>IF(AND(335&gt;=$NQ$10,335&lt;=$NR$10),IF($NO$10="Single_Point",IF(335=$NQ$10,$NM$10,0),IF($NO$10="Bell_Curve",$NM$10*(335-$NQ$10+1)*($NR$10-335+1)/$NT$10,$NM$10/$NS$10)),0)</f>
        <v/>
      </c>
      <c r="MA10" s="18">
        <f>IF(AND(336&gt;=$NQ$10,336&lt;=$NR$10),IF($NO$10="Single_Point",IF(336=$NQ$10,$NM$10,0),IF($NO$10="Bell_Curve",$NM$10*(336-$NQ$10+1)*($NR$10-336+1)/$NT$10,$NM$10/$NS$10)),0)</f>
        <v/>
      </c>
      <c r="MB10" s="18">
        <f>IF(AND(337&gt;=$NQ$10,337&lt;=$NR$10),IF($NO$10="Single_Point",IF(337=$NQ$10,$NM$10,0),IF($NO$10="Bell_Curve",$NM$10*(337-$NQ$10+1)*($NR$10-337+1)/$NT$10,$NM$10/$NS$10)),0)</f>
        <v/>
      </c>
      <c r="MC10" s="18">
        <f>IF(AND(338&gt;=$NQ$10,338&lt;=$NR$10),IF($NO$10="Single_Point",IF(338=$NQ$10,$NM$10,0),IF($NO$10="Bell_Curve",$NM$10*(338-$NQ$10+1)*($NR$10-338+1)/$NT$10,$NM$10/$NS$10)),0)</f>
        <v/>
      </c>
      <c r="MD10" s="18">
        <f>IF(AND(339&gt;=$NQ$10,339&lt;=$NR$10),IF($NO$10="Single_Point",IF(339=$NQ$10,$NM$10,0),IF($NO$10="Bell_Curve",$NM$10*(339-$NQ$10+1)*($NR$10-339+1)/$NT$10,$NM$10/$NS$10)),0)</f>
        <v/>
      </c>
      <c r="ME10" s="18">
        <f>IF(AND(340&gt;=$NQ$10,340&lt;=$NR$10),IF($NO$10="Single_Point",IF(340=$NQ$10,$NM$10,0),IF($NO$10="Bell_Curve",$NM$10*(340-$NQ$10+1)*($NR$10-340+1)/$NT$10,$NM$10/$NS$10)),0)</f>
        <v/>
      </c>
      <c r="MF10" s="18">
        <f>IF(AND(341&gt;=$NQ$10,341&lt;=$NR$10),IF($NO$10="Single_Point",IF(341=$NQ$10,$NM$10,0),IF($NO$10="Bell_Curve",$NM$10*(341-$NQ$10+1)*($NR$10-341+1)/$NT$10,$NM$10/$NS$10)),0)</f>
        <v/>
      </c>
      <c r="MG10" s="18">
        <f>IF(AND(342&gt;=$NQ$10,342&lt;=$NR$10),IF($NO$10="Single_Point",IF(342=$NQ$10,$NM$10,0),IF($NO$10="Bell_Curve",$NM$10*(342-$NQ$10+1)*($NR$10-342+1)/$NT$10,$NM$10/$NS$10)),0)</f>
        <v/>
      </c>
      <c r="MH10" s="18">
        <f>IF(AND(343&gt;=$NQ$10,343&lt;=$NR$10),IF($NO$10="Single_Point",IF(343=$NQ$10,$NM$10,0),IF($NO$10="Bell_Curve",$NM$10*(343-$NQ$10+1)*($NR$10-343+1)/$NT$10,$NM$10/$NS$10)),0)</f>
        <v/>
      </c>
      <c r="MI10" s="18">
        <f>IF(AND(344&gt;=$NQ$10,344&lt;=$NR$10),IF($NO$10="Single_Point",IF(344=$NQ$10,$NM$10,0),IF($NO$10="Bell_Curve",$NM$10*(344-$NQ$10+1)*($NR$10-344+1)/$NT$10,$NM$10/$NS$10)),0)</f>
        <v/>
      </c>
      <c r="MJ10" s="18">
        <f>IF(AND(345&gt;=$NQ$10,345&lt;=$NR$10),IF($NO$10="Single_Point",IF(345=$NQ$10,$NM$10,0),IF($NO$10="Bell_Curve",$NM$10*(345-$NQ$10+1)*($NR$10-345+1)/$NT$10,$NM$10/$NS$10)),0)</f>
        <v/>
      </c>
      <c r="MK10" s="18">
        <f>IF(AND(346&gt;=$NQ$10,346&lt;=$NR$10),IF($NO$10="Single_Point",IF(346=$NQ$10,$NM$10,0),IF($NO$10="Bell_Curve",$NM$10*(346-$NQ$10+1)*($NR$10-346+1)/$NT$10,$NM$10/$NS$10)),0)</f>
        <v/>
      </c>
      <c r="ML10" s="18">
        <f>IF(AND(347&gt;=$NQ$10,347&lt;=$NR$10),IF($NO$10="Single_Point",IF(347=$NQ$10,$NM$10,0),IF($NO$10="Bell_Curve",$NM$10*(347-$NQ$10+1)*($NR$10-347+1)/$NT$10,$NM$10/$NS$10)),0)</f>
        <v/>
      </c>
      <c r="MM10" s="18">
        <f>IF(AND(348&gt;=$NQ$10,348&lt;=$NR$10),IF($NO$10="Single_Point",IF(348=$NQ$10,$NM$10,0),IF($NO$10="Bell_Curve",$NM$10*(348-$NQ$10+1)*($NR$10-348+1)/$NT$10,$NM$10/$NS$10)),0)</f>
        <v/>
      </c>
      <c r="MN10" s="18">
        <f>IF(AND(349&gt;=$NQ$10,349&lt;=$NR$10),IF($NO$10="Single_Point",IF(349=$NQ$10,$NM$10,0),IF($NO$10="Bell_Curve",$NM$10*(349-$NQ$10+1)*($NR$10-349+1)/$NT$10,$NM$10/$NS$10)),0)</f>
        <v/>
      </c>
      <c r="MO10" s="18">
        <f>IF(AND(350&gt;=$NQ$10,350&lt;=$NR$10),IF($NO$10="Single_Point",IF(350=$NQ$10,$NM$10,0),IF($NO$10="Bell_Curve",$NM$10*(350-$NQ$10+1)*($NR$10-350+1)/$NT$10,$NM$10/$NS$10)),0)</f>
        <v/>
      </c>
      <c r="MP10" s="18">
        <f>IF(AND(351&gt;=$NQ$10,351&lt;=$NR$10),IF($NO$10="Single_Point",IF(351=$NQ$10,$NM$10,0),IF($NO$10="Bell_Curve",$NM$10*(351-$NQ$10+1)*($NR$10-351+1)/$NT$10,$NM$10/$NS$10)),0)</f>
        <v/>
      </c>
      <c r="MQ10" s="18">
        <f>IF(AND(352&gt;=$NQ$10,352&lt;=$NR$10),IF($NO$10="Single_Point",IF(352=$NQ$10,$NM$10,0),IF($NO$10="Bell_Curve",$NM$10*(352-$NQ$10+1)*($NR$10-352+1)/$NT$10,$NM$10/$NS$10)),0)</f>
        <v/>
      </c>
      <c r="MR10" s="18">
        <f>IF(AND(353&gt;=$NQ$10,353&lt;=$NR$10),IF($NO$10="Single_Point",IF(353=$NQ$10,$NM$10,0),IF($NO$10="Bell_Curve",$NM$10*(353-$NQ$10+1)*($NR$10-353+1)/$NT$10,$NM$10/$NS$10)),0)</f>
        <v/>
      </c>
      <c r="MS10" s="18">
        <f>IF(AND(354&gt;=$NQ$10,354&lt;=$NR$10),IF($NO$10="Single_Point",IF(354=$NQ$10,$NM$10,0),IF($NO$10="Bell_Curve",$NM$10*(354-$NQ$10+1)*($NR$10-354+1)/$NT$10,$NM$10/$NS$10)),0)</f>
        <v/>
      </c>
      <c r="MT10" s="18">
        <f>IF(AND(355&gt;=$NQ$10,355&lt;=$NR$10),IF($NO$10="Single_Point",IF(355=$NQ$10,$NM$10,0),IF($NO$10="Bell_Curve",$NM$10*(355-$NQ$10+1)*($NR$10-355+1)/$NT$10,$NM$10/$NS$10)),0)</f>
        <v/>
      </c>
      <c r="MU10" s="18">
        <f>IF(AND(356&gt;=$NQ$10,356&lt;=$NR$10),IF($NO$10="Single_Point",IF(356=$NQ$10,$NM$10,0),IF($NO$10="Bell_Curve",$NM$10*(356-$NQ$10+1)*($NR$10-356+1)/$NT$10,$NM$10/$NS$10)),0)</f>
        <v/>
      </c>
      <c r="MV10" s="18">
        <f>IF(AND(357&gt;=$NQ$10,357&lt;=$NR$10),IF($NO$10="Single_Point",IF(357=$NQ$10,$NM$10,0),IF($NO$10="Bell_Curve",$NM$10*(357-$NQ$10+1)*($NR$10-357+1)/$NT$10,$NM$10/$NS$10)),0)</f>
        <v/>
      </c>
      <c r="MW10" s="18">
        <f>IF(AND(358&gt;=$NQ$10,358&lt;=$NR$10),IF($NO$10="Single_Point",IF(358=$NQ$10,$NM$10,0),IF($NO$10="Bell_Curve",$NM$10*(358-$NQ$10+1)*($NR$10-358+1)/$NT$10,$NM$10/$NS$10)),0)</f>
        <v/>
      </c>
      <c r="MX10" s="18">
        <f>IF(AND(359&gt;=$NQ$10,359&lt;=$NR$10),IF($NO$10="Single_Point",IF(359=$NQ$10,$NM$10,0),IF($NO$10="Bell_Curve",$NM$10*(359-$NQ$10+1)*($NR$10-359+1)/$NT$10,$NM$10/$NS$10)),0)</f>
        <v/>
      </c>
      <c r="MY10" s="18">
        <f>IF(AND(360&gt;=$NQ$10,360&lt;=$NR$10),IF($NO$10="Single_Point",IF(360=$NQ$10,$NM$10,0),IF($NO$10="Bell_Curve",$NM$10*(360-$NQ$10+1)*($NR$10-360+1)/$NT$10,$NM$10/$NS$10)),0)</f>
        <v/>
      </c>
      <c r="MZ10" s="18">
        <f>IF(AND(361&gt;=$NQ$10,361&lt;=$NR$10),IF($NO$10="Single_Point",IF(361=$NQ$10,$NM$10,0),IF($NO$10="Bell_Curve",$NM$10*(361-$NQ$10+1)*($NR$10-361+1)/$NT$10,$NM$10/$NS$10)),0)</f>
        <v/>
      </c>
      <c r="NA10" s="18">
        <f>IF(AND(362&gt;=$NQ$10,362&lt;=$NR$10),IF($NO$10="Single_Point",IF(362=$NQ$10,$NM$10,0),IF($NO$10="Bell_Curve",$NM$10*(362-$NQ$10+1)*($NR$10-362+1)/$NT$10,$NM$10/$NS$10)),0)</f>
        <v/>
      </c>
      <c r="NB10" s="18">
        <f>IF(AND(363&gt;=$NQ$10,363&lt;=$NR$10),IF($NO$10="Single_Point",IF(363=$NQ$10,$NM$10,0),IF($NO$10="Bell_Curve",$NM$10*(363-$NQ$10+1)*($NR$10-363+1)/$NT$10,$NM$10/$NS$10)),0)</f>
        <v/>
      </c>
      <c r="NC10" s="18">
        <f>IF(AND(364&gt;=$NQ$10,364&lt;=$NR$10),IF($NO$10="Single_Point",IF(364=$NQ$10,$NM$10,0),IF($NO$10="Bell_Curve",$NM$10*(364-$NQ$10+1)*($NR$10-364+1)/$NT$10,$NM$10/$NS$10)),0)</f>
        <v/>
      </c>
      <c r="ND10" s="18">
        <f>IF(AND(365&gt;=$NQ$10,365&lt;=$NR$10),IF($NO$10="Single_Point",IF(365=$NQ$10,$NM$10,0),IF($NO$10="Bell_Curve",$NM$10*(365-$NQ$10+1)*($NR$10-365+1)/$NT$10,$NM$10/$NS$10)),0)</f>
        <v/>
      </c>
      <c r="NE10" s="18">
        <f>IF(AND(366&gt;=$NQ$10,366&lt;=$NR$10),IF($NO$10="Single_Point",IF(366=$NQ$10,$NM$10,0),IF($NO$10="Bell_Curve",$NM$10*(366-$NQ$10+1)*($NR$10-366+1)/$NT$10,$NM$10/$NS$10)),0)</f>
        <v/>
      </c>
      <c r="NF10" s="18">
        <f>IF(AND(367&gt;=$NQ$10,367&lt;=$NR$10),IF($NO$10="Single_Point",IF(367=$NQ$10,$NM$10,0),IF($NO$10="Bell_Curve",$NM$10*(367-$NQ$10+1)*($NR$10-367+1)/$NT$10,$NM$10/$NS$10)),0)</f>
        <v/>
      </c>
      <c r="NG10" s="18">
        <f>IF(AND(368&gt;=$NQ$10,368&lt;=$NR$10),IF($NO$10="Single_Point",IF(368=$NQ$10,$NM$10,0),IF($NO$10="Bell_Curve",$NM$10*(368-$NQ$10+1)*($NR$10-368+1)/$NT$10,$NM$10/$NS$10)),0)</f>
        <v/>
      </c>
      <c r="NH10" s="18">
        <f>IF(AND(369&gt;=$NQ$10,369&lt;=$NR$10),IF($NO$10="Single_Point",IF(369=$NQ$10,$NM$10,0),IF($NO$10="Bell_Curve",$NM$10*(369-$NQ$10+1)*($NR$10-369+1)/$NT$10,$NM$10/$NS$10)),0)</f>
        <v/>
      </c>
      <c r="NI10" s="18">
        <f>IF(AND(370&gt;=$NQ$10,370&lt;=$NR$10),IF($NO$10="Single_Point",IF(370=$NQ$10,$NM$10,0),IF($NO$10="Bell_Curve",$NM$10*(370-$NQ$10+1)*($NR$10-370+1)/$NT$10,$NM$10/$NS$10)),0)</f>
        <v/>
      </c>
      <c r="NJ10" s="18">
        <f>IF(AND(371&gt;=$NQ$10,371&lt;=$NR$10),IF($NO$10="Single_Point",IF(371=$NQ$10,$NM$10,0),IF($NO$10="Bell_Curve",$NM$10*(371-$NQ$10+1)*($NR$10-371+1)/$NT$10,$NM$10/$NS$10)),0)</f>
        <v/>
      </c>
      <c r="NK10" s="18">
        <f>IF(AND(372&gt;=$NQ$10,372&lt;=$NR$10),IF($NO$10="Single_Point",IF(372=$NQ$10,$NM$10,0),IF($NO$10="Bell_Curve",$NM$10*(372-$NQ$10+1)*($NR$10-372+1)/$NT$10,$NM$10/$NS$10)),0)</f>
        <v/>
      </c>
      <c r="NM10" s="18">
        <f>Budget!I9</f>
        <v/>
      </c>
      <c r="NN10" s="42">
        <f>Budget!F9</f>
        <v/>
      </c>
      <c r="NO10" s="42">
        <f>Budget!G9</f>
        <v/>
      </c>
      <c r="NP10" s="17">
        <f>Budget!H9</f>
        <v/>
      </c>
      <c r="NQ10" s="32">
        <f>MAX(1,MIN(372,INDEX(MilestoneStart,MATCH(NN10,MilestoneNames,0))+NP10))</f>
        <v/>
      </c>
      <c r="NR10" s="32">
        <f>MAX(NQ10,MIN(372,INDEX(MilestoneEnd,MATCH(NN10,MilestoneNames,0))+NP10))</f>
        <v/>
      </c>
      <c r="NS10" s="17">
        <f>NR10-NQ10+1</f>
        <v/>
      </c>
      <c r="NT10" s="17">
        <f>NS10*(NS10+1)*(NS10+2)/6</f>
        <v/>
      </c>
    </row>
    <row r="11">
      <c r="A11" s="5" t="inlineStr">
        <is>
          <t>Consultants</t>
        </is>
      </c>
      <c r="C11" s="41">
        <f>SUM(D11:NK11)</f>
        <v/>
      </c>
      <c r="D11" s="18">
        <f>IF(AND(1&gt;=$NQ$11,1&lt;=$NR$11),IF($NO$11="Single_Point",IF(1=$NQ$11,$NM$11,0),IF($NO$11="Bell_Curve",$NM$11*(1-$NQ$11+1)*($NR$11-1+1)/$NT$11,$NM$11/$NS$11)),0)</f>
        <v/>
      </c>
      <c r="E11" s="18">
        <f>IF(AND(2&gt;=$NQ$11,2&lt;=$NR$11),IF($NO$11="Single_Point",IF(2=$NQ$11,$NM$11,0),IF($NO$11="Bell_Curve",$NM$11*(2-$NQ$11+1)*($NR$11-2+1)/$NT$11,$NM$11/$NS$11)),0)</f>
        <v/>
      </c>
      <c r="F11" s="18">
        <f>IF(AND(3&gt;=$NQ$11,3&lt;=$NR$11),IF($NO$11="Single_Point",IF(3=$NQ$11,$NM$11,0),IF($NO$11="Bell_Curve",$NM$11*(3-$NQ$11+1)*($NR$11-3+1)/$NT$11,$NM$11/$NS$11)),0)</f>
        <v/>
      </c>
      <c r="G11" s="18">
        <f>IF(AND(4&gt;=$NQ$11,4&lt;=$NR$11),IF($NO$11="Single_Point",IF(4=$NQ$11,$NM$11,0),IF($NO$11="Bell_Curve",$NM$11*(4-$NQ$11+1)*($NR$11-4+1)/$NT$11,$NM$11/$NS$11)),0)</f>
        <v/>
      </c>
      <c r="H11" s="18">
        <f>IF(AND(5&gt;=$NQ$11,5&lt;=$NR$11),IF($NO$11="Single_Point",IF(5=$NQ$11,$NM$11,0),IF($NO$11="Bell_Curve",$NM$11*(5-$NQ$11+1)*($NR$11-5+1)/$NT$11,$NM$11/$NS$11)),0)</f>
        <v/>
      </c>
      <c r="I11" s="18">
        <f>IF(AND(6&gt;=$NQ$11,6&lt;=$NR$11),IF($NO$11="Single_Point",IF(6=$NQ$11,$NM$11,0),IF($NO$11="Bell_Curve",$NM$11*(6-$NQ$11+1)*($NR$11-6+1)/$NT$11,$NM$11/$NS$11)),0)</f>
        <v/>
      </c>
      <c r="J11" s="18">
        <f>IF(AND(7&gt;=$NQ$11,7&lt;=$NR$11),IF($NO$11="Single_Point",IF(7=$NQ$11,$NM$11,0),IF($NO$11="Bell_Curve",$NM$11*(7-$NQ$11+1)*($NR$11-7+1)/$NT$11,$NM$11/$NS$11)),0)</f>
        <v/>
      </c>
      <c r="K11" s="18">
        <f>IF(AND(8&gt;=$NQ$11,8&lt;=$NR$11),IF($NO$11="Single_Point",IF(8=$NQ$11,$NM$11,0),IF($NO$11="Bell_Curve",$NM$11*(8-$NQ$11+1)*($NR$11-8+1)/$NT$11,$NM$11/$NS$11)),0)</f>
        <v/>
      </c>
      <c r="L11" s="18">
        <f>IF(AND(9&gt;=$NQ$11,9&lt;=$NR$11),IF($NO$11="Single_Point",IF(9=$NQ$11,$NM$11,0),IF($NO$11="Bell_Curve",$NM$11*(9-$NQ$11+1)*($NR$11-9+1)/$NT$11,$NM$11/$NS$11)),0)</f>
        <v/>
      </c>
      <c r="M11" s="18">
        <f>IF(AND(10&gt;=$NQ$11,10&lt;=$NR$11),IF($NO$11="Single_Point",IF(10=$NQ$11,$NM$11,0),IF($NO$11="Bell_Curve",$NM$11*(10-$NQ$11+1)*($NR$11-10+1)/$NT$11,$NM$11/$NS$11)),0)</f>
        <v/>
      </c>
      <c r="N11" s="18">
        <f>IF(AND(11&gt;=$NQ$11,11&lt;=$NR$11),IF($NO$11="Single_Point",IF(11=$NQ$11,$NM$11,0),IF($NO$11="Bell_Curve",$NM$11*(11-$NQ$11+1)*($NR$11-11+1)/$NT$11,$NM$11/$NS$11)),0)</f>
        <v/>
      </c>
      <c r="O11" s="18">
        <f>IF(AND(12&gt;=$NQ$11,12&lt;=$NR$11),IF($NO$11="Single_Point",IF(12=$NQ$11,$NM$11,0),IF($NO$11="Bell_Curve",$NM$11*(12-$NQ$11+1)*($NR$11-12+1)/$NT$11,$NM$11/$NS$11)),0)</f>
        <v/>
      </c>
      <c r="P11" s="18">
        <f>IF(AND(13&gt;=$NQ$11,13&lt;=$NR$11),IF($NO$11="Single_Point",IF(13=$NQ$11,$NM$11,0),IF($NO$11="Bell_Curve",$NM$11*(13-$NQ$11+1)*($NR$11-13+1)/$NT$11,$NM$11/$NS$11)),0)</f>
        <v/>
      </c>
      <c r="Q11" s="18">
        <f>IF(AND(14&gt;=$NQ$11,14&lt;=$NR$11),IF($NO$11="Single_Point",IF(14=$NQ$11,$NM$11,0),IF($NO$11="Bell_Curve",$NM$11*(14-$NQ$11+1)*($NR$11-14+1)/$NT$11,$NM$11/$NS$11)),0)</f>
        <v/>
      </c>
      <c r="R11" s="18">
        <f>IF(AND(15&gt;=$NQ$11,15&lt;=$NR$11),IF($NO$11="Single_Point",IF(15=$NQ$11,$NM$11,0),IF($NO$11="Bell_Curve",$NM$11*(15-$NQ$11+1)*($NR$11-15+1)/$NT$11,$NM$11/$NS$11)),0)</f>
        <v/>
      </c>
      <c r="S11" s="18">
        <f>IF(AND(16&gt;=$NQ$11,16&lt;=$NR$11),IF($NO$11="Single_Point",IF(16=$NQ$11,$NM$11,0),IF($NO$11="Bell_Curve",$NM$11*(16-$NQ$11+1)*($NR$11-16+1)/$NT$11,$NM$11/$NS$11)),0)</f>
        <v/>
      </c>
      <c r="T11" s="18">
        <f>IF(AND(17&gt;=$NQ$11,17&lt;=$NR$11),IF($NO$11="Single_Point",IF(17=$NQ$11,$NM$11,0),IF($NO$11="Bell_Curve",$NM$11*(17-$NQ$11+1)*($NR$11-17+1)/$NT$11,$NM$11/$NS$11)),0)</f>
        <v/>
      </c>
      <c r="U11" s="18">
        <f>IF(AND(18&gt;=$NQ$11,18&lt;=$NR$11),IF($NO$11="Single_Point",IF(18=$NQ$11,$NM$11,0),IF($NO$11="Bell_Curve",$NM$11*(18-$NQ$11+1)*($NR$11-18+1)/$NT$11,$NM$11/$NS$11)),0)</f>
        <v/>
      </c>
      <c r="V11" s="18">
        <f>IF(AND(19&gt;=$NQ$11,19&lt;=$NR$11),IF($NO$11="Single_Point",IF(19=$NQ$11,$NM$11,0),IF($NO$11="Bell_Curve",$NM$11*(19-$NQ$11+1)*($NR$11-19+1)/$NT$11,$NM$11/$NS$11)),0)</f>
        <v/>
      </c>
      <c r="W11" s="18">
        <f>IF(AND(20&gt;=$NQ$11,20&lt;=$NR$11),IF($NO$11="Single_Point",IF(20=$NQ$11,$NM$11,0),IF($NO$11="Bell_Curve",$NM$11*(20-$NQ$11+1)*($NR$11-20+1)/$NT$11,$NM$11/$NS$11)),0)</f>
        <v/>
      </c>
      <c r="X11" s="18">
        <f>IF(AND(21&gt;=$NQ$11,21&lt;=$NR$11),IF($NO$11="Single_Point",IF(21=$NQ$11,$NM$11,0),IF($NO$11="Bell_Curve",$NM$11*(21-$NQ$11+1)*($NR$11-21+1)/$NT$11,$NM$11/$NS$11)),0)</f>
        <v/>
      </c>
      <c r="Y11" s="18">
        <f>IF(AND(22&gt;=$NQ$11,22&lt;=$NR$11),IF($NO$11="Single_Point",IF(22=$NQ$11,$NM$11,0),IF($NO$11="Bell_Curve",$NM$11*(22-$NQ$11+1)*($NR$11-22+1)/$NT$11,$NM$11/$NS$11)),0)</f>
        <v/>
      </c>
      <c r="Z11" s="18">
        <f>IF(AND(23&gt;=$NQ$11,23&lt;=$NR$11),IF($NO$11="Single_Point",IF(23=$NQ$11,$NM$11,0),IF($NO$11="Bell_Curve",$NM$11*(23-$NQ$11+1)*($NR$11-23+1)/$NT$11,$NM$11/$NS$11)),0)</f>
        <v/>
      </c>
      <c r="AA11" s="18">
        <f>IF(AND(24&gt;=$NQ$11,24&lt;=$NR$11),IF($NO$11="Single_Point",IF(24=$NQ$11,$NM$11,0),IF($NO$11="Bell_Curve",$NM$11*(24-$NQ$11+1)*($NR$11-24+1)/$NT$11,$NM$11/$NS$11)),0)</f>
        <v/>
      </c>
      <c r="AB11" s="18">
        <f>IF(AND(25&gt;=$NQ$11,25&lt;=$NR$11),IF($NO$11="Single_Point",IF(25=$NQ$11,$NM$11,0),IF($NO$11="Bell_Curve",$NM$11*(25-$NQ$11+1)*($NR$11-25+1)/$NT$11,$NM$11/$NS$11)),0)</f>
        <v/>
      </c>
      <c r="AC11" s="18">
        <f>IF(AND(26&gt;=$NQ$11,26&lt;=$NR$11),IF($NO$11="Single_Point",IF(26=$NQ$11,$NM$11,0),IF($NO$11="Bell_Curve",$NM$11*(26-$NQ$11+1)*($NR$11-26+1)/$NT$11,$NM$11/$NS$11)),0)</f>
        <v/>
      </c>
      <c r="AD11" s="18">
        <f>IF(AND(27&gt;=$NQ$11,27&lt;=$NR$11),IF($NO$11="Single_Point",IF(27=$NQ$11,$NM$11,0),IF($NO$11="Bell_Curve",$NM$11*(27-$NQ$11+1)*($NR$11-27+1)/$NT$11,$NM$11/$NS$11)),0)</f>
        <v/>
      </c>
      <c r="AE11" s="18">
        <f>IF(AND(28&gt;=$NQ$11,28&lt;=$NR$11),IF($NO$11="Single_Point",IF(28=$NQ$11,$NM$11,0),IF($NO$11="Bell_Curve",$NM$11*(28-$NQ$11+1)*($NR$11-28+1)/$NT$11,$NM$11/$NS$11)),0)</f>
        <v/>
      </c>
      <c r="AF11" s="18">
        <f>IF(AND(29&gt;=$NQ$11,29&lt;=$NR$11),IF($NO$11="Single_Point",IF(29=$NQ$11,$NM$11,0),IF($NO$11="Bell_Curve",$NM$11*(29-$NQ$11+1)*($NR$11-29+1)/$NT$11,$NM$11/$NS$11)),0)</f>
        <v/>
      </c>
      <c r="AG11" s="18">
        <f>IF(AND(30&gt;=$NQ$11,30&lt;=$NR$11),IF($NO$11="Single_Point",IF(30=$NQ$11,$NM$11,0),IF($NO$11="Bell_Curve",$NM$11*(30-$NQ$11+1)*($NR$11-30+1)/$NT$11,$NM$11/$NS$11)),0)</f>
        <v/>
      </c>
      <c r="AH11" s="18">
        <f>IF(AND(31&gt;=$NQ$11,31&lt;=$NR$11),IF($NO$11="Single_Point",IF(31=$NQ$11,$NM$11,0),IF($NO$11="Bell_Curve",$NM$11*(31-$NQ$11+1)*($NR$11-31+1)/$NT$11,$NM$11/$NS$11)),0)</f>
        <v/>
      </c>
      <c r="AI11" s="18">
        <f>IF(AND(32&gt;=$NQ$11,32&lt;=$NR$11),IF($NO$11="Single_Point",IF(32=$NQ$11,$NM$11,0),IF($NO$11="Bell_Curve",$NM$11*(32-$NQ$11+1)*($NR$11-32+1)/$NT$11,$NM$11/$NS$11)),0)</f>
        <v/>
      </c>
      <c r="AJ11" s="18">
        <f>IF(AND(33&gt;=$NQ$11,33&lt;=$NR$11),IF($NO$11="Single_Point",IF(33=$NQ$11,$NM$11,0),IF($NO$11="Bell_Curve",$NM$11*(33-$NQ$11+1)*($NR$11-33+1)/$NT$11,$NM$11/$NS$11)),0)</f>
        <v/>
      </c>
      <c r="AK11" s="18">
        <f>IF(AND(34&gt;=$NQ$11,34&lt;=$NR$11),IF($NO$11="Single_Point",IF(34=$NQ$11,$NM$11,0),IF($NO$11="Bell_Curve",$NM$11*(34-$NQ$11+1)*($NR$11-34+1)/$NT$11,$NM$11/$NS$11)),0)</f>
        <v/>
      </c>
      <c r="AL11" s="18">
        <f>IF(AND(35&gt;=$NQ$11,35&lt;=$NR$11),IF($NO$11="Single_Point",IF(35=$NQ$11,$NM$11,0),IF($NO$11="Bell_Curve",$NM$11*(35-$NQ$11+1)*($NR$11-35+1)/$NT$11,$NM$11/$NS$11)),0)</f>
        <v/>
      </c>
      <c r="AM11" s="18">
        <f>IF(AND(36&gt;=$NQ$11,36&lt;=$NR$11),IF($NO$11="Single_Point",IF(36=$NQ$11,$NM$11,0),IF($NO$11="Bell_Curve",$NM$11*(36-$NQ$11+1)*($NR$11-36+1)/$NT$11,$NM$11/$NS$11)),0)</f>
        <v/>
      </c>
      <c r="AN11" s="18">
        <f>IF(AND(37&gt;=$NQ$11,37&lt;=$NR$11),IF($NO$11="Single_Point",IF(37=$NQ$11,$NM$11,0),IF($NO$11="Bell_Curve",$NM$11*(37-$NQ$11+1)*($NR$11-37+1)/$NT$11,$NM$11/$NS$11)),0)</f>
        <v/>
      </c>
      <c r="AO11" s="18">
        <f>IF(AND(38&gt;=$NQ$11,38&lt;=$NR$11),IF($NO$11="Single_Point",IF(38=$NQ$11,$NM$11,0),IF($NO$11="Bell_Curve",$NM$11*(38-$NQ$11+1)*($NR$11-38+1)/$NT$11,$NM$11/$NS$11)),0)</f>
        <v/>
      </c>
      <c r="AP11" s="18">
        <f>IF(AND(39&gt;=$NQ$11,39&lt;=$NR$11),IF($NO$11="Single_Point",IF(39=$NQ$11,$NM$11,0),IF($NO$11="Bell_Curve",$NM$11*(39-$NQ$11+1)*($NR$11-39+1)/$NT$11,$NM$11/$NS$11)),0)</f>
        <v/>
      </c>
      <c r="AQ11" s="18">
        <f>IF(AND(40&gt;=$NQ$11,40&lt;=$NR$11),IF($NO$11="Single_Point",IF(40=$NQ$11,$NM$11,0),IF($NO$11="Bell_Curve",$NM$11*(40-$NQ$11+1)*($NR$11-40+1)/$NT$11,$NM$11/$NS$11)),0)</f>
        <v/>
      </c>
      <c r="AR11" s="18">
        <f>IF(AND(41&gt;=$NQ$11,41&lt;=$NR$11),IF($NO$11="Single_Point",IF(41=$NQ$11,$NM$11,0),IF($NO$11="Bell_Curve",$NM$11*(41-$NQ$11+1)*($NR$11-41+1)/$NT$11,$NM$11/$NS$11)),0)</f>
        <v/>
      </c>
      <c r="AS11" s="18">
        <f>IF(AND(42&gt;=$NQ$11,42&lt;=$NR$11),IF($NO$11="Single_Point",IF(42=$NQ$11,$NM$11,0),IF($NO$11="Bell_Curve",$NM$11*(42-$NQ$11+1)*($NR$11-42+1)/$NT$11,$NM$11/$NS$11)),0)</f>
        <v/>
      </c>
      <c r="AT11" s="18">
        <f>IF(AND(43&gt;=$NQ$11,43&lt;=$NR$11),IF($NO$11="Single_Point",IF(43=$NQ$11,$NM$11,0),IF($NO$11="Bell_Curve",$NM$11*(43-$NQ$11+1)*($NR$11-43+1)/$NT$11,$NM$11/$NS$11)),0)</f>
        <v/>
      </c>
      <c r="AU11" s="18">
        <f>IF(AND(44&gt;=$NQ$11,44&lt;=$NR$11),IF($NO$11="Single_Point",IF(44=$NQ$11,$NM$11,0),IF($NO$11="Bell_Curve",$NM$11*(44-$NQ$11+1)*($NR$11-44+1)/$NT$11,$NM$11/$NS$11)),0)</f>
        <v/>
      </c>
      <c r="AV11" s="18">
        <f>IF(AND(45&gt;=$NQ$11,45&lt;=$NR$11),IF($NO$11="Single_Point",IF(45=$NQ$11,$NM$11,0),IF($NO$11="Bell_Curve",$NM$11*(45-$NQ$11+1)*($NR$11-45+1)/$NT$11,$NM$11/$NS$11)),0)</f>
        <v/>
      </c>
      <c r="AW11" s="18">
        <f>IF(AND(46&gt;=$NQ$11,46&lt;=$NR$11),IF($NO$11="Single_Point",IF(46=$NQ$11,$NM$11,0),IF($NO$11="Bell_Curve",$NM$11*(46-$NQ$11+1)*($NR$11-46+1)/$NT$11,$NM$11/$NS$11)),0)</f>
        <v/>
      </c>
      <c r="AX11" s="18">
        <f>IF(AND(47&gt;=$NQ$11,47&lt;=$NR$11),IF($NO$11="Single_Point",IF(47=$NQ$11,$NM$11,0),IF($NO$11="Bell_Curve",$NM$11*(47-$NQ$11+1)*($NR$11-47+1)/$NT$11,$NM$11/$NS$11)),0)</f>
        <v/>
      </c>
      <c r="AY11" s="18">
        <f>IF(AND(48&gt;=$NQ$11,48&lt;=$NR$11),IF($NO$11="Single_Point",IF(48=$NQ$11,$NM$11,0),IF($NO$11="Bell_Curve",$NM$11*(48-$NQ$11+1)*($NR$11-48+1)/$NT$11,$NM$11/$NS$11)),0)</f>
        <v/>
      </c>
      <c r="AZ11" s="18">
        <f>IF(AND(49&gt;=$NQ$11,49&lt;=$NR$11),IF($NO$11="Single_Point",IF(49=$NQ$11,$NM$11,0),IF($NO$11="Bell_Curve",$NM$11*(49-$NQ$11+1)*($NR$11-49+1)/$NT$11,$NM$11/$NS$11)),0)</f>
        <v/>
      </c>
      <c r="BA11" s="18">
        <f>IF(AND(50&gt;=$NQ$11,50&lt;=$NR$11),IF($NO$11="Single_Point",IF(50=$NQ$11,$NM$11,0),IF($NO$11="Bell_Curve",$NM$11*(50-$NQ$11+1)*($NR$11-50+1)/$NT$11,$NM$11/$NS$11)),0)</f>
        <v/>
      </c>
      <c r="BB11" s="18">
        <f>IF(AND(51&gt;=$NQ$11,51&lt;=$NR$11),IF($NO$11="Single_Point",IF(51=$NQ$11,$NM$11,0),IF($NO$11="Bell_Curve",$NM$11*(51-$NQ$11+1)*($NR$11-51+1)/$NT$11,$NM$11/$NS$11)),0)</f>
        <v/>
      </c>
      <c r="BC11" s="18">
        <f>IF(AND(52&gt;=$NQ$11,52&lt;=$NR$11),IF($NO$11="Single_Point",IF(52=$NQ$11,$NM$11,0),IF($NO$11="Bell_Curve",$NM$11*(52-$NQ$11+1)*($NR$11-52+1)/$NT$11,$NM$11/$NS$11)),0)</f>
        <v/>
      </c>
      <c r="BD11" s="18">
        <f>IF(AND(53&gt;=$NQ$11,53&lt;=$NR$11),IF($NO$11="Single_Point",IF(53=$NQ$11,$NM$11,0),IF($NO$11="Bell_Curve",$NM$11*(53-$NQ$11+1)*($NR$11-53+1)/$NT$11,$NM$11/$NS$11)),0)</f>
        <v/>
      </c>
      <c r="BE11" s="18">
        <f>IF(AND(54&gt;=$NQ$11,54&lt;=$NR$11),IF($NO$11="Single_Point",IF(54=$NQ$11,$NM$11,0),IF($NO$11="Bell_Curve",$NM$11*(54-$NQ$11+1)*($NR$11-54+1)/$NT$11,$NM$11/$NS$11)),0)</f>
        <v/>
      </c>
      <c r="BF11" s="18">
        <f>IF(AND(55&gt;=$NQ$11,55&lt;=$NR$11),IF($NO$11="Single_Point",IF(55=$NQ$11,$NM$11,0),IF($NO$11="Bell_Curve",$NM$11*(55-$NQ$11+1)*($NR$11-55+1)/$NT$11,$NM$11/$NS$11)),0)</f>
        <v/>
      </c>
      <c r="BG11" s="18">
        <f>IF(AND(56&gt;=$NQ$11,56&lt;=$NR$11),IF($NO$11="Single_Point",IF(56=$NQ$11,$NM$11,0),IF($NO$11="Bell_Curve",$NM$11*(56-$NQ$11+1)*($NR$11-56+1)/$NT$11,$NM$11/$NS$11)),0)</f>
        <v/>
      </c>
      <c r="BH11" s="18">
        <f>IF(AND(57&gt;=$NQ$11,57&lt;=$NR$11),IF($NO$11="Single_Point",IF(57=$NQ$11,$NM$11,0),IF($NO$11="Bell_Curve",$NM$11*(57-$NQ$11+1)*($NR$11-57+1)/$NT$11,$NM$11/$NS$11)),0)</f>
        <v/>
      </c>
      <c r="BI11" s="18">
        <f>IF(AND(58&gt;=$NQ$11,58&lt;=$NR$11),IF($NO$11="Single_Point",IF(58=$NQ$11,$NM$11,0),IF($NO$11="Bell_Curve",$NM$11*(58-$NQ$11+1)*($NR$11-58+1)/$NT$11,$NM$11/$NS$11)),0)</f>
        <v/>
      </c>
      <c r="BJ11" s="18">
        <f>IF(AND(59&gt;=$NQ$11,59&lt;=$NR$11),IF($NO$11="Single_Point",IF(59=$NQ$11,$NM$11,0),IF($NO$11="Bell_Curve",$NM$11*(59-$NQ$11+1)*($NR$11-59+1)/$NT$11,$NM$11/$NS$11)),0)</f>
        <v/>
      </c>
      <c r="BK11" s="18">
        <f>IF(AND(60&gt;=$NQ$11,60&lt;=$NR$11),IF($NO$11="Single_Point",IF(60=$NQ$11,$NM$11,0),IF($NO$11="Bell_Curve",$NM$11*(60-$NQ$11+1)*($NR$11-60+1)/$NT$11,$NM$11/$NS$11)),0)</f>
        <v/>
      </c>
      <c r="BL11" s="18">
        <f>IF(AND(61&gt;=$NQ$11,61&lt;=$NR$11),IF($NO$11="Single_Point",IF(61=$NQ$11,$NM$11,0),IF($NO$11="Bell_Curve",$NM$11*(61-$NQ$11+1)*($NR$11-61+1)/$NT$11,$NM$11/$NS$11)),0)</f>
        <v/>
      </c>
      <c r="BM11" s="18">
        <f>IF(AND(62&gt;=$NQ$11,62&lt;=$NR$11),IF($NO$11="Single_Point",IF(62=$NQ$11,$NM$11,0),IF($NO$11="Bell_Curve",$NM$11*(62-$NQ$11+1)*($NR$11-62+1)/$NT$11,$NM$11/$NS$11)),0)</f>
        <v/>
      </c>
      <c r="BN11" s="18">
        <f>IF(AND(63&gt;=$NQ$11,63&lt;=$NR$11),IF($NO$11="Single_Point",IF(63=$NQ$11,$NM$11,0),IF($NO$11="Bell_Curve",$NM$11*(63-$NQ$11+1)*($NR$11-63+1)/$NT$11,$NM$11/$NS$11)),0)</f>
        <v/>
      </c>
      <c r="BO11" s="18">
        <f>IF(AND(64&gt;=$NQ$11,64&lt;=$NR$11),IF($NO$11="Single_Point",IF(64=$NQ$11,$NM$11,0),IF($NO$11="Bell_Curve",$NM$11*(64-$NQ$11+1)*($NR$11-64+1)/$NT$11,$NM$11/$NS$11)),0)</f>
        <v/>
      </c>
      <c r="BP11" s="18">
        <f>IF(AND(65&gt;=$NQ$11,65&lt;=$NR$11),IF($NO$11="Single_Point",IF(65=$NQ$11,$NM$11,0),IF($NO$11="Bell_Curve",$NM$11*(65-$NQ$11+1)*($NR$11-65+1)/$NT$11,$NM$11/$NS$11)),0)</f>
        <v/>
      </c>
      <c r="BQ11" s="18">
        <f>IF(AND(66&gt;=$NQ$11,66&lt;=$NR$11),IF($NO$11="Single_Point",IF(66=$NQ$11,$NM$11,0),IF($NO$11="Bell_Curve",$NM$11*(66-$NQ$11+1)*($NR$11-66+1)/$NT$11,$NM$11/$NS$11)),0)</f>
        <v/>
      </c>
      <c r="BR11" s="18">
        <f>IF(AND(67&gt;=$NQ$11,67&lt;=$NR$11),IF($NO$11="Single_Point",IF(67=$NQ$11,$NM$11,0),IF($NO$11="Bell_Curve",$NM$11*(67-$NQ$11+1)*($NR$11-67+1)/$NT$11,$NM$11/$NS$11)),0)</f>
        <v/>
      </c>
      <c r="BS11" s="18">
        <f>IF(AND(68&gt;=$NQ$11,68&lt;=$NR$11),IF($NO$11="Single_Point",IF(68=$NQ$11,$NM$11,0),IF($NO$11="Bell_Curve",$NM$11*(68-$NQ$11+1)*($NR$11-68+1)/$NT$11,$NM$11/$NS$11)),0)</f>
        <v/>
      </c>
      <c r="BT11" s="18">
        <f>IF(AND(69&gt;=$NQ$11,69&lt;=$NR$11),IF($NO$11="Single_Point",IF(69=$NQ$11,$NM$11,0),IF($NO$11="Bell_Curve",$NM$11*(69-$NQ$11+1)*($NR$11-69+1)/$NT$11,$NM$11/$NS$11)),0)</f>
        <v/>
      </c>
      <c r="BU11" s="18">
        <f>IF(AND(70&gt;=$NQ$11,70&lt;=$NR$11),IF($NO$11="Single_Point",IF(70=$NQ$11,$NM$11,0),IF($NO$11="Bell_Curve",$NM$11*(70-$NQ$11+1)*($NR$11-70+1)/$NT$11,$NM$11/$NS$11)),0)</f>
        <v/>
      </c>
      <c r="BV11" s="18">
        <f>IF(AND(71&gt;=$NQ$11,71&lt;=$NR$11),IF($NO$11="Single_Point",IF(71=$NQ$11,$NM$11,0),IF($NO$11="Bell_Curve",$NM$11*(71-$NQ$11+1)*($NR$11-71+1)/$NT$11,$NM$11/$NS$11)),0)</f>
        <v/>
      </c>
      <c r="BW11" s="18">
        <f>IF(AND(72&gt;=$NQ$11,72&lt;=$NR$11),IF($NO$11="Single_Point",IF(72=$NQ$11,$NM$11,0),IF($NO$11="Bell_Curve",$NM$11*(72-$NQ$11+1)*($NR$11-72+1)/$NT$11,$NM$11/$NS$11)),0)</f>
        <v/>
      </c>
      <c r="BX11" s="18">
        <f>IF(AND(73&gt;=$NQ$11,73&lt;=$NR$11),IF($NO$11="Single_Point",IF(73=$NQ$11,$NM$11,0),IF($NO$11="Bell_Curve",$NM$11*(73-$NQ$11+1)*($NR$11-73+1)/$NT$11,$NM$11/$NS$11)),0)</f>
        <v/>
      </c>
      <c r="BY11" s="18">
        <f>IF(AND(74&gt;=$NQ$11,74&lt;=$NR$11),IF($NO$11="Single_Point",IF(74=$NQ$11,$NM$11,0),IF($NO$11="Bell_Curve",$NM$11*(74-$NQ$11+1)*($NR$11-74+1)/$NT$11,$NM$11/$NS$11)),0)</f>
        <v/>
      </c>
      <c r="BZ11" s="18">
        <f>IF(AND(75&gt;=$NQ$11,75&lt;=$NR$11),IF($NO$11="Single_Point",IF(75=$NQ$11,$NM$11,0),IF($NO$11="Bell_Curve",$NM$11*(75-$NQ$11+1)*($NR$11-75+1)/$NT$11,$NM$11/$NS$11)),0)</f>
        <v/>
      </c>
      <c r="CA11" s="18">
        <f>IF(AND(76&gt;=$NQ$11,76&lt;=$NR$11),IF($NO$11="Single_Point",IF(76=$NQ$11,$NM$11,0),IF($NO$11="Bell_Curve",$NM$11*(76-$NQ$11+1)*($NR$11-76+1)/$NT$11,$NM$11/$NS$11)),0)</f>
        <v/>
      </c>
      <c r="CB11" s="18">
        <f>IF(AND(77&gt;=$NQ$11,77&lt;=$NR$11),IF($NO$11="Single_Point",IF(77=$NQ$11,$NM$11,0),IF($NO$11="Bell_Curve",$NM$11*(77-$NQ$11+1)*($NR$11-77+1)/$NT$11,$NM$11/$NS$11)),0)</f>
        <v/>
      </c>
      <c r="CC11" s="18">
        <f>IF(AND(78&gt;=$NQ$11,78&lt;=$NR$11),IF($NO$11="Single_Point",IF(78=$NQ$11,$NM$11,0),IF($NO$11="Bell_Curve",$NM$11*(78-$NQ$11+1)*($NR$11-78+1)/$NT$11,$NM$11/$NS$11)),0)</f>
        <v/>
      </c>
      <c r="CD11" s="18">
        <f>IF(AND(79&gt;=$NQ$11,79&lt;=$NR$11),IF($NO$11="Single_Point",IF(79=$NQ$11,$NM$11,0),IF($NO$11="Bell_Curve",$NM$11*(79-$NQ$11+1)*($NR$11-79+1)/$NT$11,$NM$11/$NS$11)),0)</f>
        <v/>
      </c>
      <c r="CE11" s="18">
        <f>IF(AND(80&gt;=$NQ$11,80&lt;=$NR$11),IF($NO$11="Single_Point",IF(80=$NQ$11,$NM$11,0),IF($NO$11="Bell_Curve",$NM$11*(80-$NQ$11+1)*($NR$11-80+1)/$NT$11,$NM$11/$NS$11)),0)</f>
        <v/>
      </c>
      <c r="CF11" s="18">
        <f>IF(AND(81&gt;=$NQ$11,81&lt;=$NR$11),IF($NO$11="Single_Point",IF(81=$NQ$11,$NM$11,0),IF($NO$11="Bell_Curve",$NM$11*(81-$NQ$11+1)*($NR$11-81+1)/$NT$11,$NM$11/$NS$11)),0)</f>
        <v/>
      </c>
      <c r="CG11" s="18">
        <f>IF(AND(82&gt;=$NQ$11,82&lt;=$NR$11),IF($NO$11="Single_Point",IF(82=$NQ$11,$NM$11,0),IF($NO$11="Bell_Curve",$NM$11*(82-$NQ$11+1)*($NR$11-82+1)/$NT$11,$NM$11/$NS$11)),0)</f>
        <v/>
      </c>
      <c r="CH11" s="18">
        <f>IF(AND(83&gt;=$NQ$11,83&lt;=$NR$11),IF($NO$11="Single_Point",IF(83=$NQ$11,$NM$11,0),IF($NO$11="Bell_Curve",$NM$11*(83-$NQ$11+1)*($NR$11-83+1)/$NT$11,$NM$11/$NS$11)),0)</f>
        <v/>
      </c>
      <c r="CI11" s="18">
        <f>IF(AND(84&gt;=$NQ$11,84&lt;=$NR$11),IF($NO$11="Single_Point",IF(84=$NQ$11,$NM$11,0),IF($NO$11="Bell_Curve",$NM$11*(84-$NQ$11+1)*($NR$11-84+1)/$NT$11,$NM$11/$NS$11)),0)</f>
        <v/>
      </c>
      <c r="CJ11" s="18">
        <f>IF(AND(85&gt;=$NQ$11,85&lt;=$NR$11),IF($NO$11="Single_Point",IF(85=$NQ$11,$NM$11,0),IF($NO$11="Bell_Curve",$NM$11*(85-$NQ$11+1)*($NR$11-85+1)/$NT$11,$NM$11/$NS$11)),0)</f>
        <v/>
      </c>
      <c r="CK11" s="18">
        <f>IF(AND(86&gt;=$NQ$11,86&lt;=$NR$11),IF($NO$11="Single_Point",IF(86=$NQ$11,$NM$11,0),IF($NO$11="Bell_Curve",$NM$11*(86-$NQ$11+1)*($NR$11-86+1)/$NT$11,$NM$11/$NS$11)),0)</f>
        <v/>
      </c>
      <c r="CL11" s="18">
        <f>IF(AND(87&gt;=$NQ$11,87&lt;=$NR$11),IF($NO$11="Single_Point",IF(87=$NQ$11,$NM$11,0),IF($NO$11="Bell_Curve",$NM$11*(87-$NQ$11+1)*($NR$11-87+1)/$NT$11,$NM$11/$NS$11)),0)</f>
        <v/>
      </c>
      <c r="CM11" s="18">
        <f>IF(AND(88&gt;=$NQ$11,88&lt;=$NR$11),IF($NO$11="Single_Point",IF(88=$NQ$11,$NM$11,0),IF($NO$11="Bell_Curve",$NM$11*(88-$NQ$11+1)*($NR$11-88+1)/$NT$11,$NM$11/$NS$11)),0)</f>
        <v/>
      </c>
      <c r="CN11" s="18">
        <f>IF(AND(89&gt;=$NQ$11,89&lt;=$NR$11),IF($NO$11="Single_Point",IF(89=$NQ$11,$NM$11,0),IF($NO$11="Bell_Curve",$NM$11*(89-$NQ$11+1)*($NR$11-89+1)/$NT$11,$NM$11/$NS$11)),0)</f>
        <v/>
      </c>
      <c r="CO11" s="18">
        <f>IF(AND(90&gt;=$NQ$11,90&lt;=$NR$11),IF($NO$11="Single_Point",IF(90=$NQ$11,$NM$11,0),IF($NO$11="Bell_Curve",$NM$11*(90-$NQ$11+1)*($NR$11-90+1)/$NT$11,$NM$11/$NS$11)),0)</f>
        <v/>
      </c>
      <c r="CP11" s="18">
        <f>IF(AND(91&gt;=$NQ$11,91&lt;=$NR$11),IF($NO$11="Single_Point",IF(91=$NQ$11,$NM$11,0),IF($NO$11="Bell_Curve",$NM$11*(91-$NQ$11+1)*($NR$11-91+1)/$NT$11,$NM$11/$NS$11)),0)</f>
        <v/>
      </c>
      <c r="CQ11" s="18">
        <f>IF(AND(92&gt;=$NQ$11,92&lt;=$NR$11),IF($NO$11="Single_Point",IF(92=$NQ$11,$NM$11,0),IF($NO$11="Bell_Curve",$NM$11*(92-$NQ$11+1)*($NR$11-92+1)/$NT$11,$NM$11/$NS$11)),0)</f>
        <v/>
      </c>
      <c r="CR11" s="18">
        <f>IF(AND(93&gt;=$NQ$11,93&lt;=$NR$11),IF($NO$11="Single_Point",IF(93=$NQ$11,$NM$11,0),IF($NO$11="Bell_Curve",$NM$11*(93-$NQ$11+1)*($NR$11-93+1)/$NT$11,$NM$11/$NS$11)),0)</f>
        <v/>
      </c>
      <c r="CS11" s="18">
        <f>IF(AND(94&gt;=$NQ$11,94&lt;=$NR$11),IF($NO$11="Single_Point",IF(94=$NQ$11,$NM$11,0),IF($NO$11="Bell_Curve",$NM$11*(94-$NQ$11+1)*($NR$11-94+1)/$NT$11,$NM$11/$NS$11)),0)</f>
        <v/>
      </c>
      <c r="CT11" s="18">
        <f>IF(AND(95&gt;=$NQ$11,95&lt;=$NR$11),IF($NO$11="Single_Point",IF(95=$NQ$11,$NM$11,0),IF($NO$11="Bell_Curve",$NM$11*(95-$NQ$11+1)*($NR$11-95+1)/$NT$11,$NM$11/$NS$11)),0)</f>
        <v/>
      </c>
      <c r="CU11" s="18">
        <f>IF(AND(96&gt;=$NQ$11,96&lt;=$NR$11),IF($NO$11="Single_Point",IF(96=$NQ$11,$NM$11,0),IF($NO$11="Bell_Curve",$NM$11*(96-$NQ$11+1)*($NR$11-96+1)/$NT$11,$NM$11/$NS$11)),0)</f>
        <v/>
      </c>
      <c r="CV11" s="18">
        <f>IF(AND(97&gt;=$NQ$11,97&lt;=$NR$11),IF($NO$11="Single_Point",IF(97=$NQ$11,$NM$11,0),IF($NO$11="Bell_Curve",$NM$11*(97-$NQ$11+1)*($NR$11-97+1)/$NT$11,$NM$11/$NS$11)),0)</f>
        <v/>
      </c>
      <c r="CW11" s="18">
        <f>IF(AND(98&gt;=$NQ$11,98&lt;=$NR$11),IF($NO$11="Single_Point",IF(98=$NQ$11,$NM$11,0),IF($NO$11="Bell_Curve",$NM$11*(98-$NQ$11+1)*($NR$11-98+1)/$NT$11,$NM$11/$NS$11)),0)</f>
        <v/>
      </c>
      <c r="CX11" s="18">
        <f>IF(AND(99&gt;=$NQ$11,99&lt;=$NR$11),IF($NO$11="Single_Point",IF(99=$NQ$11,$NM$11,0),IF($NO$11="Bell_Curve",$NM$11*(99-$NQ$11+1)*($NR$11-99+1)/$NT$11,$NM$11/$NS$11)),0)</f>
        <v/>
      </c>
      <c r="CY11" s="18">
        <f>IF(AND(100&gt;=$NQ$11,100&lt;=$NR$11),IF($NO$11="Single_Point",IF(100=$NQ$11,$NM$11,0),IF($NO$11="Bell_Curve",$NM$11*(100-$NQ$11+1)*($NR$11-100+1)/$NT$11,$NM$11/$NS$11)),0)</f>
        <v/>
      </c>
      <c r="CZ11" s="18">
        <f>IF(AND(101&gt;=$NQ$11,101&lt;=$NR$11),IF($NO$11="Single_Point",IF(101=$NQ$11,$NM$11,0),IF($NO$11="Bell_Curve",$NM$11*(101-$NQ$11+1)*($NR$11-101+1)/$NT$11,$NM$11/$NS$11)),0)</f>
        <v/>
      </c>
      <c r="DA11" s="18">
        <f>IF(AND(102&gt;=$NQ$11,102&lt;=$NR$11),IF($NO$11="Single_Point",IF(102=$NQ$11,$NM$11,0),IF($NO$11="Bell_Curve",$NM$11*(102-$NQ$11+1)*($NR$11-102+1)/$NT$11,$NM$11/$NS$11)),0)</f>
        <v/>
      </c>
      <c r="DB11" s="18">
        <f>IF(AND(103&gt;=$NQ$11,103&lt;=$NR$11),IF($NO$11="Single_Point",IF(103=$NQ$11,$NM$11,0),IF($NO$11="Bell_Curve",$NM$11*(103-$NQ$11+1)*($NR$11-103+1)/$NT$11,$NM$11/$NS$11)),0)</f>
        <v/>
      </c>
      <c r="DC11" s="18">
        <f>IF(AND(104&gt;=$NQ$11,104&lt;=$NR$11),IF($NO$11="Single_Point",IF(104=$NQ$11,$NM$11,0),IF($NO$11="Bell_Curve",$NM$11*(104-$NQ$11+1)*($NR$11-104+1)/$NT$11,$NM$11/$NS$11)),0)</f>
        <v/>
      </c>
      <c r="DD11" s="18">
        <f>IF(AND(105&gt;=$NQ$11,105&lt;=$NR$11),IF($NO$11="Single_Point",IF(105=$NQ$11,$NM$11,0),IF($NO$11="Bell_Curve",$NM$11*(105-$NQ$11+1)*($NR$11-105+1)/$NT$11,$NM$11/$NS$11)),0)</f>
        <v/>
      </c>
      <c r="DE11" s="18">
        <f>IF(AND(106&gt;=$NQ$11,106&lt;=$NR$11),IF($NO$11="Single_Point",IF(106=$NQ$11,$NM$11,0),IF($NO$11="Bell_Curve",$NM$11*(106-$NQ$11+1)*($NR$11-106+1)/$NT$11,$NM$11/$NS$11)),0)</f>
        <v/>
      </c>
      <c r="DF11" s="18">
        <f>IF(AND(107&gt;=$NQ$11,107&lt;=$NR$11),IF($NO$11="Single_Point",IF(107=$NQ$11,$NM$11,0),IF($NO$11="Bell_Curve",$NM$11*(107-$NQ$11+1)*($NR$11-107+1)/$NT$11,$NM$11/$NS$11)),0)</f>
        <v/>
      </c>
      <c r="DG11" s="18">
        <f>IF(AND(108&gt;=$NQ$11,108&lt;=$NR$11),IF($NO$11="Single_Point",IF(108=$NQ$11,$NM$11,0),IF($NO$11="Bell_Curve",$NM$11*(108-$NQ$11+1)*($NR$11-108+1)/$NT$11,$NM$11/$NS$11)),0)</f>
        <v/>
      </c>
      <c r="DH11" s="18">
        <f>IF(AND(109&gt;=$NQ$11,109&lt;=$NR$11),IF($NO$11="Single_Point",IF(109=$NQ$11,$NM$11,0),IF($NO$11="Bell_Curve",$NM$11*(109-$NQ$11+1)*($NR$11-109+1)/$NT$11,$NM$11/$NS$11)),0)</f>
        <v/>
      </c>
      <c r="DI11" s="18">
        <f>IF(AND(110&gt;=$NQ$11,110&lt;=$NR$11),IF($NO$11="Single_Point",IF(110=$NQ$11,$NM$11,0),IF($NO$11="Bell_Curve",$NM$11*(110-$NQ$11+1)*($NR$11-110+1)/$NT$11,$NM$11/$NS$11)),0)</f>
        <v/>
      </c>
      <c r="DJ11" s="18">
        <f>IF(AND(111&gt;=$NQ$11,111&lt;=$NR$11),IF($NO$11="Single_Point",IF(111=$NQ$11,$NM$11,0),IF($NO$11="Bell_Curve",$NM$11*(111-$NQ$11+1)*($NR$11-111+1)/$NT$11,$NM$11/$NS$11)),0)</f>
        <v/>
      </c>
      <c r="DK11" s="18">
        <f>IF(AND(112&gt;=$NQ$11,112&lt;=$NR$11),IF($NO$11="Single_Point",IF(112=$NQ$11,$NM$11,0),IF($NO$11="Bell_Curve",$NM$11*(112-$NQ$11+1)*($NR$11-112+1)/$NT$11,$NM$11/$NS$11)),0)</f>
        <v/>
      </c>
      <c r="DL11" s="18">
        <f>IF(AND(113&gt;=$NQ$11,113&lt;=$NR$11),IF($NO$11="Single_Point",IF(113=$NQ$11,$NM$11,0),IF($NO$11="Bell_Curve",$NM$11*(113-$NQ$11+1)*($NR$11-113+1)/$NT$11,$NM$11/$NS$11)),0)</f>
        <v/>
      </c>
      <c r="DM11" s="18">
        <f>IF(AND(114&gt;=$NQ$11,114&lt;=$NR$11),IF($NO$11="Single_Point",IF(114=$NQ$11,$NM$11,0),IF($NO$11="Bell_Curve",$NM$11*(114-$NQ$11+1)*($NR$11-114+1)/$NT$11,$NM$11/$NS$11)),0)</f>
        <v/>
      </c>
      <c r="DN11" s="18">
        <f>IF(AND(115&gt;=$NQ$11,115&lt;=$NR$11),IF($NO$11="Single_Point",IF(115=$NQ$11,$NM$11,0),IF($NO$11="Bell_Curve",$NM$11*(115-$NQ$11+1)*($NR$11-115+1)/$NT$11,$NM$11/$NS$11)),0)</f>
        <v/>
      </c>
      <c r="DO11" s="18">
        <f>IF(AND(116&gt;=$NQ$11,116&lt;=$NR$11),IF($NO$11="Single_Point",IF(116=$NQ$11,$NM$11,0),IF($NO$11="Bell_Curve",$NM$11*(116-$NQ$11+1)*($NR$11-116+1)/$NT$11,$NM$11/$NS$11)),0)</f>
        <v/>
      </c>
      <c r="DP11" s="18">
        <f>IF(AND(117&gt;=$NQ$11,117&lt;=$NR$11),IF($NO$11="Single_Point",IF(117=$NQ$11,$NM$11,0),IF($NO$11="Bell_Curve",$NM$11*(117-$NQ$11+1)*($NR$11-117+1)/$NT$11,$NM$11/$NS$11)),0)</f>
        <v/>
      </c>
      <c r="DQ11" s="18">
        <f>IF(AND(118&gt;=$NQ$11,118&lt;=$NR$11),IF($NO$11="Single_Point",IF(118=$NQ$11,$NM$11,0),IF($NO$11="Bell_Curve",$NM$11*(118-$NQ$11+1)*($NR$11-118+1)/$NT$11,$NM$11/$NS$11)),0)</f>
        <v/>
      </c>
      <c r="DR11" s="18">
        <f>IF(AND(119&gt;=$NQ$11,119&lt;=$NR$11),IF($NO$11="Single_Point",IF(119=$NQ$11,$NM$11,0),IF($NO$11="Bell_Curve",$NM$11*(119-$NQ$11+1)*($NR$11-119+1)/$NT$11,$NM$11/$NS$11)),0)</f>
        <v/>
      </c>
      <c r="DS11" s="18">
        <f>IF(AND(120&gt;=$NQ$11,120&lt;=$NR$11),IF($NO$11="Single_Point",IF(120=$NQ$11,$NM$11,0),IF($NO$11="Bell_Curve",$NM$11*(120-$NQ$11+1)*($NR$11-120+1)/$NT$11,$NM$11/$NS$11)),0)</f>
        <v/>
      </c>
      <c r="DT11" s="18">
        <f>IF(AND(121&gt;=$NQ$11,121&lt;=$NR$11),IF($NO$11="Single_Point",IF(121=$NQ$11,$NM$11,0),IF($NO$11="Bell_Curve",$NM$11*(121-$NQ$11+1)*($NR$11-121+1)/$NT$11,$NM$11/$NS$11)),0)</f>
        <v/>
      </c>
      <c r="DU11" s="18">
        <f>IF(AND(122&gt;=$NQ$11,122&lt;=$NR$11),IF($NO$11="Single_Point",IF(122=$NQ$11,$NM$11,0),IF($NO$11="Bell_Curve",$NM$11*(122-$NQ$11+1)*($NR$11-122+1)/$NT$11,$NM$11/$NS$11)),0)</f>
        <v/>
      </c>
      <c r="DV11" s="18">
        <f>IF(AND(123&gt;=$NQ$11,123&lt;=$NR$11),IF($NO$11="Single_Point",IF(123=$NQ$11,$NM$11,0),IF($NO$11="Bell_Curve",$NM$11*(123-$NQ$11+1)*($NR$11-123+1)/$NT$11,$NM$11/$NS$11)),0)</f>
        <v/>
      </c>
      <c r="DW11" s="18">
        <f>IF(AND(124&gt;=$NQ$11,124&lt;=$NR$11),IF($NO$11="Single_Point",IF(124=$NQ$11,$NM$11,0),IF($NO$11="Bell_Curve",$NM$11*(124-$NQ$11+1)*($NR$11-124+1)/$NT$11,$NM$11/$NS$11)),0)</f>
        <v/>
      </c>
      <c r="DX11" s="18">
        <f>IF(AND(125&gt;=$NQ$11,125&lt;=$NR$11),IF($NO$11="Single_Point",IF(125=$NQ$11,$NM$11,0),IF($NO$11="Bell_Curve",$NM$11*(125-$NQ$11+1)*($NR$11-125+1)/$NT$11,$NM$11/$NS$11)),0)</f>
        <v/>
      </c>
      <c r="DY11" s="18">
        <f>IF(AND(126&gt;=$NQ$11,126&lt;=$NR$11),IF($NO$11="Single_Point",IF(126=$NQ$11,$NM$11,0),IF($NO$11="Bell_Curve",$NM$11*(126-$NQ$11+1)*($NR$11-126+1)/$NT$11,$NM$11/$NS$11)),0)</f>
        <v/>
      </c>
      <c r="DZ11" s="18">
        <f>IF(AND(127&gt;=$NQ$11,127&lt;=$NR$11),IF($NO$11="Single_Point",IF(127=$NQ$11,$NM$11,0),IF($NO$11="Bell_Curve",$NM$11*(127-$NQ$11+1)*($NR$11-127+1)/$NT$11,$NM$11/$NS$11)),0)</f>
        <v/>
      </c>
      <c r="EA11" s="18">
        <f>IF(AND(128&gt;=$NQ$11,128&lt;=$NR$11),IF($NO$11="Single_Point",IF(128=$NQ$11,$NM$11,0),IF($NO$11="Bell_Curve",$NM$11*(128-$NQ$11+1)*($NR$11-128+1)/$NT$11,$NM$11/$NS$11)),0)</f>
        <v/>
      </c>
      <c r="EB11" s="18">
        <f>IF(AND(129&gt;=$NQ$11,129&lt;=$NR$11),IF($NO$11="Single_Point",IF(129=$NQ$11,$NM$11,0),IF($NO$11="Bell_Curve",$NM$11*(129-$NQ$11+1)*($NR$11-129+1)/$NT$11,$NM$11/$NS$11)),0)</f>
        <v/>
      </c>
      <c r="EC11" s="18">
        <f>IF(AND(130&gt;=$NQ$11,130&lt;=$NR$11),IF($NO$11="Single_Point",IF(130=$NQ$11,$NM$11,0),IF($NO$11="Bell_Curve",$NM$11*(130-$NQ$11+1)*($NR$11-130+1)/$NT$11,$NM$11/$NS$11)),0)</f>
        <v/>
      </c>
      <c r="ED11" s="18">
        <f>IF(AND(131&gt;=$NQ$11,131&lt;=$NR$11),IF($NO$11="Single_Point",IF(131=$NQ$11,$NM$11,0),IF($NO$11="Bell_Curve",$NM$11*(131-$NQ$11+1)*($NR$11-131+1)/$NT$11,$NM$11/$NS$11)),0)</f>
        <v/>
      </c>
      <c r="EE11" s="18">
        <f>IF(AND(132&gt;=$NQ$11,132&lt;=$NR$11),IF($NO$11="Single_Point",IF(132=$NQ$11,$NM$11,0),IF($NO$11="Bell_Curve",$NM$11*(132-$NQ$11+1)*($NR$11-132+1)/$NT$11,$NM$11/$NS$11)),0)</f>
        <v/>
      </c>
      <c r="EF11" s="18">
        <f>IF(AND(133&gt;=$NQ$11,133&lt;=$NR$11),IF($NO$11="Single_Point",IF(133=$NQ$11,$NM$11,0),IF($NO$11="Bell_Curve",$NM$11*(133-$NQ$11+1)*($NR$11-133+1)/$NT$11,$NM$11/$NS$11)),0)</f>
        <v/>
      </c>
      <c r="EG11" s="18">
        <f>IF(AND(134&gt;=$NQ$11,134&lt;=$NR$11),IF($NO$11="Single_Point",IF(134=$NQ$11,$NM$11,0),IF($NO$11="Bell_Curve",$NM$11*(134-$NQ$11+1)*($NR$11-134+1)/$NT$11,$NM$11/$NS$11)),0)</f>
        <v/>
      </c>
      <c r="EH11" s="18">
        <f>IF(AND(135&gt;=$NQ$11,135&lt;=$NR$11),IF($NO$11="Single_Point",IF(135=$NQ$11,$NM$11,0),IF($NO$11="Bell_Curve",$NM$11*(135-$NQ$11+1)*($NR$11-135+1)/$NT$11,$NM$11/$NS$11)),0)</f>
        <v/>
      </c>
      <c r="EI11" s="18">
        <f>IF(AND(136&gt;=$NQ$11,136&lt;=$NR$11),IF($NO$11="Single_Point",IF(136=$NQ$11,$NM$11,0),IF($NO$11="Bell_Curve",$NM$11*(136-$NQ$11+1)*($NR$11-136+1)/$NT$11,$NM$11/$NS$11)),0)</f>
        <v/>
      </c>
      <c r="EJ11" s="18">
        <f>IF(AND(137&gt;=$NQ$11,137&lt;=$NR$11),IF($NO$11="Single_Point",IF(137=$NQ$11,$NM$11,0),IF($NO$11="Bell_Curve",$NM$11*(137-$NQ$11+1)*($NR$11-137+1)/$NT$11,$NM$11/$NS$11)),0)</f>
        <v/>
      </c>
      <c r="EK11" s="18">
        <f>IF(AND(138&gt;=$NQ$11,138&lt;=$NR$11),IF($NO$11="Single_Point",IF(138=$NQ$11,$NM$11,0),IF($NO$11="Bell_Curve",$NM$11*(138-$NQ$11+1)*($NR$11-138+1)/$NT$11,$NM$11/$NS$11)),0)</f>
        <v/>
      </c>
      <c r="EL11" s="18">
        <f>IF(AND(139&gt;=$NQ$11,139&lt;=$NR$11),IF($NO$11="Single_Point",IF(139=$NQ$11,$NM$11,0),IF($NO$11="Bell_Curve",$NM$11*(139-$NQ$11+1)*($NR$11-139+1)/$NT$11,$NM$11/$NS$11)),0)</f>
        <v/>
      </c>
      <c r="EM11" s="18">
        <f>IF(AND(140&gt;=$NQ$11,140&lt;=$NR$11),IF($NO$11="Single_Point",IF(140=$NQ$11,$NM$11,0),IF($NO$11="Bell_Curve",$NM$11*(140-$NQ$11+1)*($NR$11-140+1)/$NT$11,$NM$11/$NS$11)),0)</f>
        <v/>
      </c>
      <c r="EN11" s="18">
        <f>IF(AND(141&gt;=$NQ$11,141&lt;=$NR$11),IF($NO$11="Single_Point",IF(141=$NQ$11,$NM$11,0),IF($NO$11="Bell_Curve",$NM$11*(141-$NQ$11+1)*($NR$11-141+1)/$NT$11,$NM$11/$NS$11)),0)</f>
        <v/>
      </c>
      <c r="EO11" s="18">
        <f>IF(AND(142&gt;=$NQ$11,142&lt;=$NR$11),IF($NO$11="Single_Point",IF(142=$NQ$11,$NM$11,0),IF($NO$11="Bell_Curve",$NM$11*(142-$NQ$11+1)*($NR$11-142+1)/$NT$11,$NM$11/$NS$11)),0)</f>
        <v/>
      </c>
      <c r="EP11" s="18">
        <f>IF(AND(143&gt;=$NQ$11,143&lt;=$NR$11),IF($NO$11="Single_Point",IF(143=$NQ$11,$NM$11,0),IF($NO$11="Bell_Curve",$NM$11*(143-$NQ$11+1)*($NR$11-143+1)/$NT$11,$NM$11/$NS$11)),0)</f>
        <v/>
      </c>
      <c r="EQ11" s="18">
        <f>IF(AND(144&gt;=$NQ$11,144&lt;=$NR$11),IF($NO$11="Single_Point",IF(144=$NQ$11,$NM$11,0),IF($NO$11="Bell_Curve",$NM$11*(144-$NQ$11+1)*($NR$11-144+1)/$NT$11,$NM$11/$NS$11)),0)</f>
        <v/>
      </c>
      <c r="ER11" s="18">
        <f>IF(AND(145&gt;=$NQ$11,145&lt;=$NR$11),IF($NO$11="Single_Point",IF(145=$NQ$11,$NM$11,0),IF($NO$11="Bell_Curve",$NM$11*(145-$NQ$11+1)*($NR$11-145+1)/$NT$11,$NM$11/$NS$11)),0)</f>
        <v/>
      </c>
      <c r="ES11" s="18">
        <f>IF(AND(146&gt;=$NQ$11,146&lt;=$NR$11),IF($NO$11="Single_Point",IF(146=$NQ$11,$NM$11,0),IF($NO$11="Bell_Curve",$NM$11*(146-$NQ$11+1)*($NR$11-146+1)/$NT$11,$NM$11/$NS$11)),0)</f>
        <v/>
      </c>
      <c r="ET11" s="18">
        <f>IF(AND(147&gt;=$NQ$11,147&lt;=$NR$11),IF($NO$11="Single_Point",IF(147=$NQ$11,$NM$11,0),IF($NO$11="Bell_Curve",$NM$11*(147-$NQ$11+1)*($NR$11-147+1)/$NT$11,$NM$11/$NS$11)),0)</f>
        <v/>
      </c>
      <c r="EU11" s="18">
        <f>IF(AND(148&gt;=$NQ$11,148&lt;=$NR$11),IF($NO$11="Single_Point",IF(148=$NQ$11,$NM$11,0),IF($NO$11="Bell_Curve",$NM$11*(148-$NQ$11+1)*($NR$11-148+1)/$NT$11,$NM$11/$NS$11)),0)</f>
        <v/>
      </c>
      <c r="EV11" s="18">
        <f>IF(AND(149&gt;=$NQ$11,149&lt;=$NR$11),IF($NO$11="Single_Point",IF(149=$NQ$11,$NM$11,0),IF($NO$11="Bell_Curve",$NM$11*(149-$NQ$11+1)*($NR$11-149+1)/$NT$11,$NM$11/$NS$11)),0)</f>
        <v/>
      </c>
      <c r="EW11" s="18">
        <f>IF(AND(150&gt;=$NQ$11,150&lt;=$NR$11),IF($NO$11="Single_Point",IF(150=$NQ$11,$NM$11,0),IF($NO$11="Bell_Curve",$NM$11*(150-$NQ$11+1)*($NR$11-150+1)/$NT$11,$NM$11/$NS$11)),0)</f>
        <v/>
      </c>
      <c r="EX11" s="18">
        <f>IF(AND(151&gt;=$NQ$11,151&lt;=$NR$11),IF($NO$11="Single_Point",IF(151=$NQ$11,$NM$11,0),IF($NO$11="Bell_Curve",$NM$11*(151-$NQ$11+1)*($NR$11-151+1)/$NT$11,$NM$11/$NS$11)),0)</f>
        <v/>
      </c>
      <c r="EY11" s="18">
        <f>IF(AND(152&gt;=$NQ$11,152&lt;=$NR$11),IF($NO$11="Single_Point",IF(152=$NQ$11,$NM$11,0),IF($NO$11="Bell_Curve",$NM$11*(152-$NQ$11+1)*($NR$11-152+1)/$NT$11,$NM$11/$NS$11)),0)</f>
        <v/>
      </c>
      <c r="EZ11" s="18">
        <f>IF(AND(153&gt;=$NQ$11,153&lt;=$NR$11),IF($NO$11="Single_Point",IF(153=$NQ$11,$NM$11,0),IF($NO$11="Bell_Curve",$NM$11*(153-$NQ$11+1)*($NR$11-153+1)/$NT$11,$NM$11/$NS$11)),0)</f>
        <v/>
      </c>
      <c r="FA11" s="18">
        <f>IF(AND(154&gt;=$NQ$11,154&lt;=$NR$11),IF($NO$11="Single_Point",IF(154=$NQ$11,$NM$11,0),IF($NO$11="Bell_Curve",$NM$11*(154-$NQ$11+1)*($NR$11-154+1)/$NT$11,$NM$11/$NS$11)),0)</f>
        <v/>
      </c>
      <c r="FB11" s="18">
        <f>IF(AND(155&gt;=$NQ$11,155&lt;=$NR$11),IF($NO$11="Single_Point",IF(155=$NQ$11,$NM$11,0),IF($NO$11="Bell_Curve",$NM$11*(155-$NQ$11+1)*($NR$11-155+1)/$NT$11,$NM$11/$NS$11)),0)</f>
        <v/>
      </c>
      <c r="FC11" s="18">
        <f>IF(AND(156&gt;=$NQ$11,156&lt;=$NR$11),IF($NO$11="Single_Point",IF(156=$NQ$11,$NM$11,0),IF($NO$11="Bell_Curve",$NM$11*(156-$NQ$11+1)*($NR$11-156+1)/$NT$11,$NM$11/$NS$11)),0)</f>
        <v/>
      </c>
      <c r="FD11" s="18">
        <f>IF(AND(157&gt;=$NQ$11,157&lt;=$NR$11),IF($NO$11="Single_Point",IF(157=$NQ$11,$NM$11,0),IF($NO$11="Bell_Curve",$NM$11*(157-$NQ$11+1)*($NR$11-157+1)/$NT$11,$NM$11/$NS$11)),0)</f>
        <v/>
      </c>
      <c r="FE11" s="18">
        <f>IF(AND(158&gt;=$NQ$11,158&lt;=$NR$11),IF($NO$11="Single_Point",IF(158=$NQ$11,$NM$11,0),IF($NO$11="Bell_Curve",$NM$11*(158-$NQ$11+1)*($NR$11-158+1)/$NT$11,$NM$11/$NS$11)),0)</f>
        <v/>
      </c>
      <c r="FF11" s="18">
        <f>IF(AND(159&gt;=$NQ$11,159&lt;=$NR$11),IF($NO$11="Single_Point",IF(159=$NQ$11,$NM$11,0),IF($NO$11="Bell_Curve",$NM$11*(159-$NQ$11+1)*($NR$11-159+1)/$NT$11,$NM$11/$NS$11)),0)</f>
        <v/>
      </c>
      <c r="FG11" s="18">
        <f>IF(AND(160&gt;=$NQ$11,160&lt;=$NR$11),IF($NO$11="Single_Point",IF(160=$NQ$11,$NM$11,0),IF($NO$11="Bell_Curve",$NM$11*(160-$NQ$11+1)*($NR$11-160+1)/$NT$11,$NM$11/$NS$11)),0)</f>
        <v/>
      </c>
      <c r="FH11" s="18">
        <f>IF(AND(161&gt;=$NQ$11,161&lt;=$NR$11),IF($NO$11="Single_Point",IF(161=$NQ$11,$NM$11,0),IF($NO$11="Bell_Curve",$NM$11*(161-$NQ$11+1)*($NR$11-161+1)/$NT$11,$NM$11/$NS$11)),0)</f>
        <v/>
      </c>
      <c r="FI11" s="18">
        <f>IF(AND(162&gt;=$NQ$11,162&lt;=$NR$11),IF($NO$11="Single_Point",IF(162=$NQ$11,$NM$11,0),IF($NO$11="Bell_Curve",$NM$11*(162-$NQ$11+1)*($NR$11-162+1)/$NT$11,$NM$11/$NS$11)),0)</f>
        <v/>
      </c>
      <c r="FJ11" s="18">
        <f>IF(AND(163&gt;=$NQ$11,163&lt;=$NR$11),IF($NO$11="Single_Point",IF(163=$NQ$11,$NM$11,0),IF($NO$11="Bell_Curve",$NM$11*(163-$NQ$11+1)*($NR$11-163+1)/$NT$11,$NM$11/$NS$11)),0)</f>
        <v/>
      </c>
      <c r="FK11" s="18">
        <f>IF(AND(164&gt;=$NQ$11,164&lt;=$NR$11),IF($NO$11="Single_Point",IF(164=$NQ$11,$NM$11,0),IF($NO$11="Bell_Curve",$NM$11*(164-$NQ$11+1)*($NR$11-164+1)/$NT$11,$NM$11/$NS$11)),0)</f>
        <v/>
      </c>
      <c r="FL11" s="18">
        <f>IF(AND(165&gt;=$NQ$11,165&lt;=$NR$11),IF($NO$11="Single_Point",IF(165=$NQ$11,$NM$11,0),IF($NO$11="Bell_Curve",$NM$11*(165-$NQ$11+1)*($NR$11-165+1)/$NT$11,$NM$11/$NS$11)),0)</f>
        <v/>
      </c>
      <c r="FM11" s="18">
        <f>IF(AND(166&gt;=$NQ$11,166&lt;=$NR$11),IF($NO$11="Single_Point",IF(166=$NQ$11,$NM$11,0),IF($NO$11="Bell_Curve",$NM$11*(166-$NQ$11+1)*($NR$11-166+1)/$NT$11,$NM$11/$NS$11)),0)</f>
        <v/>
      </c>
      <c r="FN11" s="18">
        <f>IF(AND(167&gt;=$NQ$11,167&lt;=$NR$11),IF($NO$11="Single_Point",IF(167=$NQ$11,$NM$11,0),IF($NO$11="Bell_Curve",$NM$11*(167-$NQ$11+1)*($NR$11-167+1)/$NT$11,$NM$11/$NS$11)),0)</f>
        <v/>
      </c>
      <c r="FO11" s="18">
        <f>IF(AND(168&gt;=$NQ$11,168&lt;=$NR$11),IF($NO$11="Single_Point",IF(168=$NQ$11,$NM$11,0),IF($NO$11="Bell_Curve",$NM$11*(168-$NQ$11+1)*($NR$11-168+1)/$NT$11,$NM$11/$NS$11)),0)</f>
        <v/>
      </c>
      <c r="FP11" s="18">
        <f>IF(AND(169&gt;=$NQ$11,169&lt;=$NR$11),IF($NO$11="Single_Point",IF(169=$NQ$11,$NM$11,0),IF($NO$11="Bell_Curve",$NM$11*(169-$NQ$11+1)*($NR$11-169+1)/$NT$11,$NM$11/$NS$11)),0)</f>
        <v/>
      </c>
      <c r="FQ11" s="18">
        <f>IF(AND(170&gt;=$NQ$11,170&lt;=$NR$11),IF($NO$11="Single_Point",IF(170=$NQ$11,$NM$11,0),IF($NO$11="Bell_Curve",$NM$11*(170-$NQ$11+1)*($NR$11-170+1)/$NT$11,$NM$11/$NS$11)),0)</f>
        <v/>
      </c>
      <c r="FR11" s="18">
        <f>IF(AND(171&gt;=$NQ$11,171&lt;=$NR$11),IF($NO$11="Single_Point",IF(171=$NQ$11,$NM$11,0),IF($NO$11="Bell_Curve",$NM$11*(171-$NQ$11+1)*($NR$11-171+1)/$NT$11,$NM$11/$NS$11)),0)</f>
        <v/>
      </c>
      <c r="FS11" s="18">
        <f>IF(AND(172&gt;=$NQ$11,172&lt;=$NR$11),IF($NO$11="Single_Point",IF(172=$NQ$11,$NM$11,0),IF($NO$11="Bell_Curve",$NM$11*(172-$NQ$11+1)*($NR$11-172+1)/$NT$11,$NM$11/$NS$11)),0)</f>
        <v/>
      </c>
      <c r="FT11" s="18">
        <f>IF(AND(173&gt;=$NQ$11,173&lt;=$NR$11),IF($NO$11="Single_Point",IF(173=$NQ$11,$NM$11,0),IF($NO$11="Bell_Curve",$NM$11*(173-$NQ$11+1)*($NR$11-173+1)/$NT$11,$NM$11/$NS$11)),0)</f>
        <v/>
      </c>
      <c r="FU11" s="18">
        <f>IF(AND(174&gt;=$NQ$11,174&lt;=$NR$11),IF($NO$11="Single_Point",IF(174=$NQ$11,$NM$11,0),IF($NO$11="Bell_Curve",$NM$11*(174-$NQ$11+1)*($NR$11-174+1)/$NT$11,$NM$11/$NS$11)),0)</f>
        <v/>
      </c>
      <c r="FV11" s="18">
        <f>IF(AND(175&gt;=$NQ$11,175&lt;=$NR$11),IF($NO$11="Single_Point",IF(175=$NQ$11,$NM$11,0),IF($NO$11="Bell_Curve",$NM$11*(175-$NQ$11+1)*($NR$11-175+1)/$NT$11,$NM$11/$NS$11)),0)</f>
        <v/>
      </c>
      <c r="FW11" s="18">
        <f>IF(AND(176&gt;=$NQ$11,176&lt;=$NR$11),IF($NO$11="Single_Point",IF(176=$NQ$11,$NM$11,0),IF($NO$11="Bell_Curve",$NM$11*(176-$NQ$11+1)*($NR$11-176+1)/$NT$11,$NM$11/$NS$11)),0)</f>
        <v/>
      </c>
      <c r="FX11" s="18">
        <f>IF(AND(177&gt;=$NQ$11,177&lt;=$NR$11),IF($NO$11="Single_Point",IF(177=$NQ$11,$NM$11,0),IF($NO$11="Bell_Curve",$NM$11*(177-$NQ$11+1)*($NR$11-177+1)/$NT$11,$NM$11/$NS$11)),0)</f>
        <v/>
      </c>
      <c r="FY11" s="18">
        <f>IF(AND(178&gt;=$NQ$11,178&lt;=$NR$11),IF($NO$11="Single_Point",IF(178=$NQ$11,$NM$11,0),IF($NO$11="Bell_Curve",$NM$11*(178-$NQ$11+1)*($NR$11-178+1)/$NT$11,$NM$11/$NS$11)),0)</f>
        <v/>
      </c>
      <c r="FZ11" s="18">
        <f>IF(AND(179&gt;=$NQ$11,179&lt;=$NR$11),IF($NO$11="Single_Point",IF(179=$NQ$11,$NM$11,0),IF($NO$11="Bell_Curve",$NM$11*(179-$NQ$11+1)*($NR$11-179+1)/$NT$11,$NM$11/$NS$11)),0)</f>
        <v/>
      </c>
      <c r="GA11" s="18">
        <f>IF(AND(180&gt;=$NQ$11,180&lt;=$NR$11),IF($NO$11="Single_Point",IF(180=$NQ$11,$NM$11,0),IF($NO$11="Bell_Curve",$NM$11*(180-$NQ$11+1)*($NR$11-180+1)/$NT$11,$NM$11/$NS$11)),0)</f>
        <v/>
      </c>
      <c r="GB11" s="18">
        <f>IF(AND(181&gt;=$NQ$11,181&lt;=$NR$11),IF($NO$11="Single_Point",IF(181=$NQ$11,$NM$11,0),IF($NO$11="Bell_Curve",$NM$11*(181-$NQ$11+1)*($NR$11-181+1)/$NT$11,$NM$11/$NS$11)),0)</f>
        <v/>
      </c>
      <c r="GC11" s="18">
        <f>IF(AND(182&gt;=$NQ$11,182&lt;=$NR$11),IF($NO$11="Single_Point",IF(182=$NQ$11,$NM$11,0),IF($NO$11="Bell_Curve",$NM$11*(182-$NQ$11+1)*($NR$11-182+1)/$NT$11,$NM$11/$NS$11)),0)</f>
        <v/>
      </c>
      <c r="GD11" s="18">
        <f>IF(AND(183&gt;=$NQ$11,183&lt;=$NR$11),IF($NO$11="Single_Point",IF(183=$NQ$11,$NM$11,0),IF($NO$11="Bell_Curve",$NM$11*(183-$NQ$11+1)*($NR$11-183+1)/$NT$11,$NM$11/$NS$11)),0)</f>
        <v/>
      </c>
      <c r="GE11" s="18">
        <f>IF(AND(184&gt;=$NQ$11,184&lt;=$NR$11),IF($NO$11="Single_Point",IF(184=$NQ$11,$NM$11,0),IF($NO$11="Bell_Curve",$NM$11*(184-$NQ$11+1)*($NR$11-184+1)/$NT$11,$NM$11/$NS$11)),0)</f>
        <v/>
      </c>
      <c r="GF11" s="18">
        <f>IF(AND(185&gt;=$NQ$11,185&lt;=$NR$11),IF($NO$11="Single_Point",IF(185=$NQ$11,$NM$11,0),IF($NO$11="Bell_Curve",$NM$11*(185-$NQ$11+1)*($NR$11-185+1)/$NT$11,$NM$11/$NS$11)),0)</f>
        <v/>
      </c>
      <c r="GG11" s="18">
        <f>IF(AND(186&gt;=$NQ$11,186&lt;=$NR$11),IF($NO$11="Single_Point",IF(186=$NQ$11,$NM$11,0),IF($NO$11="Bell_Curve",$NM$11*(186-$NQ$11+1)*($NR$11-186+1)/$NT$11,$NM$11/$NS$11)),0)</f>
        <v/>
      </c>
      <c r="GH11" s="18">
        <f>IF(AND(187&gt;=$NQ$11,187&lt;=$NR$11),IF($NO$11="Single_Point",IF(187=$NQ$11,$NM$11,0),IF($NO$11="Bell_Curve",$NM$11*(187-$NQ$11+1)*($NR$11-187+1)/$NT$11,$NM$11/$NS$11)),0)</f>
        <v/>
      </c>
      <c r="GI11" s="18">
        <f>IF(AND(188&gt;=$NQ$11,188&lt;=$NR$11),IF($NO$11="Single_Point",IF(188=$NQ$11,$NM$11,0),IF($NO$11="Bell_Curve",$NM$11*(188-$NQ$11+1)*($NR$11-188+1)/$NT$11,$NM$11/$NS$11)),0)</f>
        <v/>
      </c>
      <c r="GJ11" s="18">
        <f>IF(AND(189&gt;=$NQ$11,189&lt;=$NR$11),IF($NO$11="Single_Point",IF(189=$NQ$11,$NM$11,0),IF($NO$11="Bell_Curve",$NM$11*(189-$NQ$11+1)*($NR$11-189+1)/$NT$11,$NM$11/$NS$11)),0)</f>
        <v/>
      </c>
      <c r="GK11" s="18">
        <f>IF(AND(190&gt;=$NQ$11,190&lt;=$NR$11),IF($NO$11="Single_Point",IF(190=$NQ$11,$NM$11,0),IF($NO$11="Bell_Curve",$NM$11*(190-$NQ$11+1)*($NR$11-190+1)/$NT$11,$NM$11/$NS$11)),0)</f>
        <v/>
      </c>
      <c r="GL11" s="18">
        <f>IF(AND(191&gt;=$NQ$11,191&lt;=$NR$11),IF($NO$11="Single_Point",IF(191=$NQ$11,$NM$11,0),IF($NO$11="Bell_Curve",$NM$11*(191-$NQ$11+1)*($NR$11-191+1)/$NT$11,$NM$11/$NS$11)),0)</f>
        <v/>
      </c>
      <c r="GM11" s="18">
        <f>IF(AND(192&gt;=$NQ$11,192&lt;=$NR$11),IF($NO$11="Single_Point",IF(192=$NQ$11,$NM$11,0),IF($NO$11="Bell_Curve",$NM$11*(192-$NQ$11+1)*($NR$11-192+1)/$NT$11,$NM$11/$NS$11)),0)</f>
        <v/>
      </c>
      <c r="GN11" s="18">
        <f>IF(AND(193&gt;=$NQ$11,193&lt;=$NR$11),IF($NO$11="Single_Point",IF(193=$NQ$11,$NM$11,0),IF($NO$11="Bell_Curve",$NM$11*(193-$NQ$11+1)*($NR$11-193+1)/$NT$11,$NM$11/$NS$11)),0)</f>
        <v/>
      </c>
      <c r="GO11" s="18">
        <f>IF(AND(194&gt;=$NQ$11,194&lt;=$NR$11),IF($NO$11="Single_Point",IF(194=$NQ$11,$NM$11,0),IF($NO$11="Bell_Curve",$NM$11*(194-$NQ$11+1)*($NR$11-194+1)/$NT$11,$NM$11/$NS$11)),0)</f>
        <v/>
      </c>
      <c r="GP11" s="18">
        <f>IF(AND(195&gt;=$NQ$11,195&lt;=$NR$11),IF($NO$11="Single_Point",IF(195=$NQ$11,$NM$11,0),IF($NO$11="Bell_Curve",$NM$11*(195-$NQ$11+1)*($NR$11-195+1)/$NT$11,$NM$11/$NS$11)),0)</f>
        <v/>
      </c>
      <c r="GQ11" s="18">
        <f>IF(AND(196&gt;=$NQ$11,196&lt;=$NR$11),IF($NO$11="Single_Point",IF(196=$NQ$11,$NM$11,0),IF($NO$11="Bell_Curve",$NM$11*(196-$NQ$11+1)*($NR$11-196+1)/$NT$11,$NM$11/$NS$11)),0)</f>
        <v/>
      </c>
      <c r="GR11" s="18">
        <f>IF(AND(197&gt;=$NQ$11,197&lt;=$NR$11),IF($NO$11="Single_Point",IF(197=$NQ$11,$NM$11,0),IF($NO$11="Bell_Curve",$NM$11*(197-$NQ$11+1)*($NR$11-197+1)/$NT$11,$NM$11/$NS$11)),0)</f>
        <v/>
      </c>
      <c r="GS11" s="18">
        <f>IF(AND(198&gt;=$NQ$11,198&lt;=$NR$11),IF($NO$11="Single_Point",IF(198=$NQ$11,$NM$11,0),IF($NO$11="Bell_Curve",$NM$11*(198-$NQ$11+1)*($NR$11-198+1)/$NT$11,$NM$11/$NS$11)),0)</f>
        <v/>
      </c>
      <c r="GT11" s="18">
        <f>IF(AND(199&gt;=$NQ$11,199&lt;=$NR$11),IF($NO$11="Single_Point",IF(199=$NQ$11,$NM$11,0),IF($NO$11="Bell_Curve",$NM$11*(199-$NQ$11+1)*($NR$11-199+1)/$NT$11,$NM$11/$NS$11)),0)</f>
        <v/>
      </c>
      <c r="GU11" s="18">
        <f>IF(AND(200&gt;=$NQ$11,200&lt;=$NR$11),IF($NO$11="Single_Point",IF(200=$NQ$11,$NM$11,0),IF($NO$11="Bell_Curve",$NM$11*(200-$NQ$11+1)*($NR$11-200+1)/$NT$11,$NM$11/$NS$11)),0)</f>
        <v/>
      </c>
      <c r="GV11" s="18">
        <f>IF(AND(201&gt;=$NQ$11,201&lt;=$NR$11),IF($NO$11="Single_Point",IF(201=$NQ$11,$NM$11,0),IF($NO$11="Bell_Curve",$NM$11*(201-$NQ$11+1)*($NR$11-201+1)/$NT$11,$NM$11/$NS$11)),0)</f>
        <v/>
      </c>
      <c r="GW11" s="18">
        <f>IF(AND(202&gt;=$NQ$11,202&lt;=$NR$11),IF($NO$11="Single_Point",IF(202=$NQ$11,$NM$11,0),IF($NO$11="Bell_Curve",$NM$11*(202-$NQ$11+1)*($NR$11-202+1)/$NT$11,$NM$11/$NS$11)),0)</f>
        <v/>
      </c>
      <c r="GX11" s="18">
        <f>IF(AND(203&gt;=$NQ$11,203&lt;=$NR$11),IF($NO$11="Single_Point",IF(203=$NQ$11,$NM$11,0),IF($NO$11="Bell_Curve",$NM$11*(203-$NQ$11+1)*($NR$11-203+1)/$NT$11,$NM$11/$NS$11)),0)</f>
        <v/>
      </c>
      <c r="GY11" s="18">
        <f>IF(AND(204&gt;=$NQ$11,204&lt;=$NR$11),IF($NO$11="Single_Point",IF(204=$NQ$11,$NM$11,0),IF($NO$11="Bell_Curve",$NM$11*(204-$NQ$11+1)*($NR$11-204+1)/$NT$11,$NM$11/$NS$11)),0)</f>
        <v/>
      </c>
      <c r="GZ11" s="18">
        <f>IF(AND(205&gt;=$NQ$11,205&lt;=$NR$11),IF($NO$11="Single_Point",IF(205=$NQ$11,$NM$11,0),IF($NO$11="Bell_Curve",$NM$11*(205-$NQ$11+1)*($NR$11-205+1)/$NT$11,$NM$11/$NS$11)),0)</f>
        <v/>
      </c>
      <c r="HA11" s="18">
        <f>IF(AND(206&gt;=$NQ$11,206&lt;=$NR$11),IF($NO$11="Single_Point",IF(206=$NQ$11,$NM$11,0),IF($NO$11="Bell_Curve",$NM$11*(206-$NQ$11+1)*($NR$11-206+1)/$NT$11,$NM$11/$NS$11)),0)</f>
        <v/>
      </c>
      <c r="HB11" s="18">
        <f>IF(AND(207&gt;=$NQ$11,207&lt;=$NR$11),IF($NO$11="Single_Point",IF(207=$NQ$11,$NM$11,0),IF($NO$11="Bell_Curve",$NM$11*(207-$NQ$11+1)*($NR$11-207+1)/$NT$11,$NM$11/$NS$11)),0)</f>
        <v/>
      </c>
      <c r="HC11" s="18">
        <f>IF(AND(208&gt;=$NQ$11,208&lt;=$NR$11),IF($NO$11="Single_Point",IF(208=$NQ$11,$NM$11,0),IF($NO$11="Bell_Curve",$NM$11*(208-$NQ$11+1)*($NR$11-208+1)/$NT$11,$NM$11/$NS$11)),0)</f>
        <v/>
      </c>
      <c r="HD11" s="18">
        <f>IF(AND(209&gt;=$NQ$11,209&lt;=$NR$11),IF($NO$11="Single_Point",IF(209=$NQ$11,$NM$11,0),IF($NO$11="Bell_Curve",$NM$11*(209-$NQ$11+1)*($NR$11-209+1)/$NT$11,$NM$11/$NS$11)),0)</f>
        <v/>
      </c>
      <c r="HE11" s="18">
        <f>IF(AND(210&gt;=$NQ$11,210&lt;=$NR$11),IF($NO$11="Single_Point",IF(210=$NQ$11,$NM$11,0),IF($NO$11="Bell_Curve",$NM$11*(210-$NQ$11+1)*($NR$11-210+1)/$NT$11,$NM$11/$NS$11)),0)</f>
        <v/>
      </c>
      <c r="HF11" s="18">
        <f>IF(AND(211&gt;=$NQ$11,211&lt;=$NR$11),IF($NO$11="Single_Point",IF(211=$NQ$11,$NM$11,0),IF($NO$11="Bell_Curve",$NM$11*(211-$NQ$11+1)*($NR$11-211+1)/$NT$11,$NM$11/$NS$11)),0)</f>
        <v/>
      </c>
      <c r="HG11" s="18">
        <f>IF(AND(212&gt;=$NQ$11,212&lt;=$NR$11),IF($NO$11="Single_Point",IF(212=$NQ$11,$NM$11,0),IF($NO$11="Bell_Curve",$NM$11*(212-$NQ$11+1)*($NR$11-212+1)/$NT$11,$NM$11/$NS$11)),0)</f>
        <v/>
      </c>
      <c r="HH11" s="18">
        <f>IF(AND(213&gt;=$NQ$11,213&lt;=$NR$11),IF($NO$11="Single_Point",IF(213=$NQ$11,$NM$11,0),IF($NO$11="Bell_Curve",$NM$11*(213-$NQ$11+1)*($NR$11-213+1)/$NT$11,$NM$11/$NS$11)),0)</f>
        <v/>
      </c>
      <c r="HI11" s="18">
        <f>IF(AND(214&gt;=$NQ$11,214&lt;=$NR$11),IF($NO$11="Single_Point",IF(214=$NQ$11,$NM$11,0),IF($NO$11="Bell_Curve",$NM$11*(214-$NQ$11+1)*($NR$11-214+1)/$NT$11,$NM$11/$NS$11)),0)</f>
        <v/>
      </c>
      <c r="HJ11" s="18">
        <f>IF(AND(215&gt;=$NQ$11,215&lt;=$NR$11),IF($NO$11="Single_Point",IF(215=$NQ$11,$NM$11,0),IF($NO$11="Bell_Curve",$NM$11*(215-$NQ$11+1)*($NR$11-215+1)/$NT$11,$NM$11/$NS$11)),0)</f>
        <v/>
      </c>
      <c r="HK11" s="18">
        <f>IF(AND(216&gt;=$NQ$11,216&lt;=$NR$11),IF($NO$11="Single_Point",IF(216=$NQ$11,$NM$11,0),IF($NO$11="Bell_Curve",$NM$11*(216-$NQ$11+1)*($NR$11-216+1)/$NT$11,$NM$11/$NS$11)),0)</f>
        <v/>
      </c>
      <c r="HL11" s="18">
        <f>IF(AND(217&gt;=$NQ$11,217&lt;=$NR$11),IF($NO$11="Single_Point",IF(217=$NQ$11,$NM$11,0),IF($NO$11="Bell_Curve",$NM$11*(217-$NQ$11+1)*($NR$11-217+1)/$NT$11,$NM$11/$NS$11)),0)</f>
        <v/>
      </c>
      <c r="HM11" s="18">
        <f>IF(AND(218&gt;=$NQ$11,218&lt;=$NR$11),IF($NO$11="Single_Point",IF(218=$NQ$11,$NM$11,0),IF($NO$11="Bell_Curve",$NM$11*(218-$NQ$11+1)*($NR$11-218+1)/$NT$11,$NM$11/$NS$11)),0)</f>
        <v/>
      </c>
      <c r="HN11" s="18">
        <f>IF(AND(219&gt;=$NQ$11,219&lt;=$NR$11),IF($NO$11="Single_Point",IF(219=$NQ$11,$NM$11,0),IF($NO$11="Bell_Curve",$NM$11*(219-$NQ$11+1)*($NR$11-219+1)/$NT$11,$NM$11/$NS$11)),0)</f>
        <v/>
      </c>
      <c r="HO11" s="18">
        <f>IF(AND(220&gt;=$NQ$11,220&lt;=$NR$11),IF($NO$11="Single_Point",IF(220=$NQ$11,$NM$11,0),IF($NO$11="Bell_Curve",$NM$11*(220-$NQ$11+1)*($NR$11-220+1)/$NT$11,$NM$11/$NS$11)),0)</f>
        <v/>
      </c>
      <c r="HP11" s="18">
        <f>IF(AND(221&gt;=$NQ$11,221&lt;=$NR$11),IF($NO$11="Single_Point",IF(221=$NQ$11,$NM$11,0),IF($NO$11="Bell_Curve",$NM$11*(221-$NQ$11+1)*($NR$11-221+1)/$NT$11,$NM$11/$NS$11)),0)</f>
        <v/>
      </c>
      <c r="HQ11" s="18">
        <f>IF(AND(222&gt;=$NQ$11,222&lt;=$NR$11),IF($NO$11="Single_Point",IF(222=$NQ$11,$NM$11,0),IF($NO$11="Bell_Curve",$NM$11*(222-$NQ$11+1)*($NR$11-222+1)/$NT$11,$NM$11/$NS$11)),0)</f>
        <v/>
      </c>
      <c r="HR11" s="18">
        <f>IF(AND(223&gt;=$NQ$11,223&lt;=$NR$11),IF($NO$11="Single_Point",IF(223=$NQ$11,$NM$11,0),IF($NO$11="Bell_Curve",$NM$11*(223-$NQ$11+1)*($NR$11-223+1)/$NT$11,$NM$11/$NS$11)),0)</f>
        <v/>
      </c>
      <c r="HS11" s="18">
        <f>IF(AND(224&gt;=$NQ$11,224&lt;=$NR$11),IF($NO$11="Single_Point",IF(224=$NQ$11,$NM$11,0),IF($NO$11="Bell_Curve",$NM$11*(224-$NQ$11+1)*($NR$11-224+1)/$NT$11,$NM$11/$NS$11)),0)</f>
        <v/>
      </c>
      <c r="HT11" s="18">
        <f>IF(AND(225&gt;=$NQ$11,225&lt;=$NR$11),IF($NO$11="Single_Point",IF(225=$NQ$11,$NM$11,0),IF($NO$11="Bell_Curve",$NM$11*(225-$NQ$11+1)*($NR$11-225+1)/$NT$11,$NM$11/$NS$11)),0)</f>
        <v/>
      </c>
      <c r="HU11" s="18">
        <f>IF(AND(226&gt;=$NQ$11,226&lt;=$NR$11),IF($NO$11="Single_Point",IF(226=$NQ$11,$NM$11,0),IF($NO$11="Bell_Curve",$NM$11*(226-$NQ$11+1)*($NR$11-226+1)/$NT$11,$NM$11/$NS$11)),0)</f>
        <v/>
      </c>
      <c r="HV11" s="18">
        <f>IF(AND(227&gt;=$NQ$11,227&lt;=$NR$11),IF($NO$11="Single_Point",IF(227=$NQ$11,$NM$11,0),IF($NO$11="Bell_Curve",$NM$11*(227-$NQ$11+1)*($NR$11-227+1)/$NT$11,$NM$11/$NS$11)),0)</f>
        <v/>
      </c>
      <c r="HW11" s="18">
        <f>IF(AND(228&gt;=$NQ$11,228&lt;=$NR$11),IF($NO$11="Single_Point",IF(228=$NQ$11,$NM$11,0),IF($NO$11="Bell_Curve",$NM$11*(228-$NQ$11+1)*($NR$11-228+1)/$NT$11,$NM$11/$NS$11)),0)</f>
        <v/>
      </c>
      <c r="HX11" s="18">
        <f>IF(AND(229&gt;=$NQ$11,229&lt;=$NR$11),IF($NO$11="Single_Point",IF(229=$NQ$11,$NM$11,0),IF($NO$11="Bell_Curve",$NM$11*(229-$NQ$11+1)*($NR$11-229+1)/$NT$11,$NM$11/$NS$11)),0)</f>
        <v/>
      </c>
      <c r="HY11" s="18">
        <f>IF(AND(230&gt;=$NQ$11,230&lt;=$NR$11),IF($NO$11="Single_Point",IF(230=$NQ$11,$NM$11,0),IF($NO$11="Bell_Curve",$NM$11*(230-$NQ$11+1)*($NR$11-230+1)/$NT$11,$NM$11/$NS$11)),0)</f>
        <v/>
      </c>
      <c r="HZ11" s="18">
        <f>IF(AND(231&gt;=$NQ$11,231&lt;=$NR$11),IF($NO$11="Single_Point",IF(231=$NQ$11,$NM$11,0),IF($NO$11="Bell_Curve",$NM$11*(231-$NQ$11+1)*($NR$11-231+1)/$NT$11,$NM$11/$NS$11)),0)</f>
        <v/>
      </c>
      <c r="IA11" s="18">
        <f>IF(AND(232&gt;=$NQ$11,232&lt;=$NR$11),IF($NO$11="Single_Point",IF(232=$NQ$11,$NM$11,0),IF($NO$11="Bell_Curve",$NM$11*(232-$NQ$11+1)*($NR$11-232+1)/$NT$11,$NM$11/$NS$11)),0)</f>
        <v/>
      </c>
      <c r="IB11" s="18">
        <f>IF(AND(233&gt;=$NQ$11,233&lt;=$NR$11),IF($NO$11="Single_Point",IF(233=$NQ$11,$NM$11,0),IF($NO$11="Bell_Curve",$NM$11*(233-$NQ$11+1)*($NR$11-233+1)/$NT$11,$NM$11/$NS$11)),0)</f>
        <v/>
      </c>
      <c r="IC11" s="18">
        <f>IF(AND(234&gt;=$NQ$11,234&lt;=$NR$11),IF($NO$11="Single_Point",IF(234=$NQ$11,$NM$11,0),IF($NO$11="Bell_Curve",$NM$11*(234-$NQ$11+1)*($NR$11-234+1)/$NT$11,$NM$11/$NS$11)),0)</f>
        <v/>
      </c>
      <c r="ID11" s="18">
        <f>IF(AND(235&gt;=$NQ$11,235&lt;=$NR$11),IF($NO$11="Single_Point",IF(235=$NQ$11,$NM$11,0),IF($NO$11="Bell_Curve",$NM$11*(235-$NQ$11+1)*($NR$11-235+1)/$NT$11,$NM$11/$NS$11)),0)</f>
        <v/>
      </c>
      <c r="IE11" s="18">
        <f>IF(AND(236&gt;=$NQ$11,236&lt;=$NR$11),IF($NO$11="Single_Point",IF(236=$NQ$11,$NM$11,0),IF($NO$11="Bell_Curve",$NM$11*(236-$NQ$11+1)*($NR$11-236+1)/$NT$11,$NM$11/$NS$11)),0)</f>
        <v/>
      </c>
      <c r="IF11" s="18">
        <f>IF(AND(237&gt;=$NQ$11,237&lt;=$NR$11),IF($NO$11="Single_Point",IF(237=$NQ$11,$NM$11,0),IF($NO$11="Bell_Curve",$NM$11*(237-$NQ$11+1)*($NR$11-237+1)/$NT$11,$NM$11/$NS$11)),0)</f>
        <v/>
      </c>
      <c r="IG11" s="18">
        <f>IF(AND(238&gt;=$NQ$11,238&lt;=$NR$11),IF($NO$11="Single_Point",IF(238=$NQ$11,$NM$11,0),IF($NO$11="Bell_Curve",$NM$11*(238-$NQ$11+1)*($NR$11-238+1)/$NT$11,$NM$11/$NS$11)),0)</f>
        <v/>
      </c>
      <c r="IH11" s="18">
        <f>IF(AND(239&gt;=$NQ$11,239&lt;=$NR$11),IF($NO$11="Single_Point",IF(239=$NQ$11,$NM$11,0),IF($NO$11="Bell_Curve",$NM$11*(239-$NQ$11+1)*($NR$11-239+1)/$NT$11,$NM$11/$NS$11)),0)</f>
        <v/>
      </c>
      <c r="II11" s="18">
        <f>IF(AND(240&gt;=$NQ$11,240&lt;=$NR$11),IF($NO$11="Single_Point",IF(240=$NQ$11,$NM$11,0),IF($NO$11="Bell_Curve",$NM$11*(240-$NQ$11+1)*($NR$11-240+1)/$NT$11,$NM$11/$NS$11)),0)</f>
        <v/>
      </c>
      <c r="IJ11" s="18">
        <f>IF(AND(241&gt;=$NQ$11,241&lt;=$NR$11),IF($NO$11="Single_Point",IF(241=$NQ$11,$NM$11,0),IF($NO$11="Bell_Curve",$NM$11*(241-$NQ$11+1)*($NR$11-241+1)/$NT$11,$NM$11/$NS$11)),0)</f>
        <v/>
      </c>
      <c r="IK11" s="18">
        <f>IF(AND(242&gt;=$NQ$11,242&lt;=$NR$11),IF($NO$11="Single_Point",IF(242=$NQ$11,$NM$11,0),IF($NO$11="Bell_Curve",$NM$11*(242-$NQ$11+1)*($NR$11-242+1)/$NT$11,$NM$11/$NS$11)),0)</f>
        <v/>
      </c>
      <c r="IL11" s="18">
        <f>IF(AND(243&gt;=$NQ$11,243&lt;=$NR$11),IF($NO$11="Single_Point",IF(243=$NQ$11,$NM$11,0),IF($NO$11="Bell_Curve",$NM$11*(243-$NQ$11+1)*($NR$11-243+1)/$NT$11,$NM$11/$NS$11)),0)</f>
        <v/>
      </c>
      <c r="IM11" s="18">
        <f>IF(AND(244&gt;=$NQ$11,244&lt;=$NR$11),IF($NO$11="Single_Point",IF(244=$NQ$11,$NM$11,0),IF($NO$11="Bell_Curve",$NM$11*(244-$NQ$11+1)*($NR$11-244+1)/$NT$11,$NM$11/$NS$11)),0)</f>
        <v/>
      </c>
      <c r="IN11" s="18">
        <f>IF(AND(245&gt;=$NQ$11,245&lt;=$NR$11),IF($NO$11="Single_Point",IF(245=$NQ$11,$NM$11,0),IF($NO$11="Bell_Curve",$NM$11*(245-$NQ$11+1)*($NR$11-245+1)/$NT$11,$NM$11/$NS$11)),0)</f>
        <v/>
      </c>
      <c r="IO11" s="18">
        <f>IF(AND(246&gt;=$NQ$11,246&lt;=$NR$11),IF($NO$11="Single_Point",IF(246=$NQ$11,$NM$11,0),IF($NO$11="Bell_Curve",$NM$11*(246-$NQ$11+1)*($NR$11-246+1)/$NT$11,$NM$11/$NS$11)),0)</f>
        <v/>
      </c>
      <c r="IP11" s="18">
        <f>IF(AND(247&gt;=$NQ$11,247&lt;=$NR$11),IF($NO$11="Single_Point",IF(247=$NQ$11,$NM$11,0),IF($NO$11="Bell_Curve",$NM$11*(247-$NQ$11+1)*($NR$11-247+1)/$NT$11,$NM$11/$NS$11)),0)</f>
        <v/>
      </c>
      <c r="IQ11" s="18">
        <f>IF(AND(248&gt;=$NQ$11,248&lt;=$NR$11),IF($NO$11="Single_Point",IF(248=$NQ$11,$NM$11,0),IF($NO$11="Bell_Curve",$NM$11*(248-$NQ$11+1)*($NR$11-248+1)/$NT$11,$NM$11/$NS$11)),0)</f>
        <v/>
      </c>
      <c r="IR11" s="18">
        <f>IF(AND(249&gt;=$NQ$11,249&lt;=$NR$11),IF($NO$11="Single_Point",IF(249=$NQ$11,$NM$11,0),IF($NO$11="Bell_Curve",$NM$11*(249-$NQ$11+1)*($NR$11-249+1)/$NT$11,$NM$11/$NS$11)),0)</f>
        <v/>
      </c>
      <c r="IS11" s="18">
        <f>IF(AND(250&gt;=$NQ$11,250&lt;=$NR$11),IF($NO$11="Single_Point",IF(250=$NQ$11,$NM$11,0),IF($NO$11="Bell_Curve",$NM$11*(250-$NQ$11+1)*($NR$11-250+1)/$NT$11,$NM$11/$NS$11)),0)</f>
        <v/>
      </c>
      <c r="IT11" s="18">
        <f>IF(AND(251&gt;=$NQ$11,251&lt;=$NR$11),IF($NO$11="Single_Point",IF(251=$NQ$11,$NM$11,0),IF($NO$11="Bell_Curve",$NM$11*(251-$NQ$11+1)*($NR$11-251+1)/$NT$11,$NM$11/$NS$11)),0)</f>
        <v/>
      </c>
      <c r="IU11" s="18">
        <f>IF(AND(252&gt;=$NQ$11,252&lt;=$NR$11),IF($NO$11="Single_Point",IF(252=$NQ$11,$NM$11,0),IF($NO$11="Bell_Curve",$NM$11*(252-$NQ$11+1)*($NR$11-252+1)/$NT$11,$NM$11/$NS$11)),0)</f>
        <v/>
      </c>
      <c r="IV11" s="18">
        <f>IF(AND(253&gt;=$NQ$11,253&lt;=$NR$11),IF($NO$11="Single_Point",IF(253=$NQ$11,$NM$11,0),IF($NO$11="Bell_Curve",$NM$11*(253-$NQ$11+1)*($NR$11-253+1)/$NT$11,$NM$11/$NS$11)),0)</f>
        <v/>
      </c>
      <c r="IW11" s="18">
        <f>IF(AND(254&gt;=$NQ$11,254&lt;=$NR$11),IF($NO$11="Single_Point",IF(254=$NQ$11,$NM$11,0),IF($NO$11="Bell_Curve",$NM$11*(254-$NQ$11+1)*($NR$11-254+1)/$NT$11,$NM$11/$NS$11)),0)</f>
        <v/>
      </c>
      <c r="IX11" s="18">
        <f>IF(AND(255&gt;=$NQ$11,255&lt;=$NR$11),IF($NO$11="Single_Point",IF(255=$NQ$11,$NM$11,0),IF($NO$11="Bell_Curve",$NM$11*(255-$NQ$11+1)*($NR$11-255+1)/$NT$11,$NM$11/$NS$11)),0)</f>
        <v/>
      </c>
      <c r="IY11" s="18">
        <f>IF(AND(256&gt;=$NQ$11,256&lt;=$NR$11),IF($NO$11="Single_Point",IF(256=$NQ$11,$NM$11,0),IF($NO$11="Bell_Curve",$NM$11*(256-$NQ$11+1)*($NR$11-256+1)/$NT$11,$NM$11/$NS$11)),0)</f>
        <v/>
      </c>
      <c r="IZ11" s="18">
        <f>IF(AND(257&gt;=$NQ$11,257&lt;=$NR$11),IF($NO$11="Single_Point",IF(257=$NQ$11,$NM$11,0),IF($NO$11="Bell_Curve",$NM$11*(257-$NQ$11+1)*($NR$11-257+1)/$NT$11,$NM$11/$NS$11)),0)</f>
        <v/>
      </c>
      <c r="JA11" s="18">
        <f>IF(AND(258&gt;=$NQ$11,258&lt;=$NR$11),IF($NO$11="Single_Point",IF(258=$NQ$11,$NM$11,0),IF($NO$11="Bell_Curve",$NM$11*(258-$NQ$11+1)*($NR$11-258+1)/$NT$11,$NM$11/$NS$11)),0)</f>
        <v/>
      </c>
      <c r="JB11" s="18">
        <f>IF(AND(259&gt;=$NQ$11,259&lt;=$NR$11),IF($NO$11="Single_Point",IF(259=$NQ$11,$NM$11,0),IF($NO$11="Bell_Curve",$NM$11*(259-$NQ$11+1)*($NR$11-259+1)/$NT$11,$NM$11/$NS$11)),0)</f>
        <v/>
      </c>
      <c r="JC11" s="18">
        <f>IF(AND(260&gt;=$NQ$11,260&lt;=$NR$11),IF($NO$11="Single_Point",IF(260=$NQ$11,$NM$11,0),IF($NO$11="Bell_Curve",$NM$11*(260-$NQ$11+1)*($NR$11-260+1)/$NT$11,$NM$11/$NS$11)),0)</f>
        <v/>
      </c>
      <c r="JD11" s="18">
        <f>IF(AND(261&gt;=$NQ$11,261&lt;=$NR$11),IF($NO$11="Single_Point",IF(261=$NQ$11,$NM$11,0),IF($NO$11="Bell_Curve",$NM$11*(261-$NQ$11+1)*($NR$11-261+1)/$NT$11,$NM$11/$NS$11)),0)</f>
        <v/>
      </c>
      <c r="JE11" s="18">
        <f>IF(AND(262&gt;=$NQ$11,262&lt;=$NR$11),IF($NO$11="Single_Point",IF(262=$NQ$11,$NM$11,0),IF($NO$11="Bell_Curve",$NM$11*(262-$NQ$11+1)*($NR$11-262+1)/$NT$11,$NM$11/$NS$11)),0)</f>
        <v/>
      </c>
      <c r="JF11" s="18">
        <f>IF(AND(263&gt;=$NQ$11,263&lt;=$NR$11),IF($NO$11="Single_Point",IF(263=$NQ$11,$NM$11,0),IF($NO$11="Bell_Curve",$NM$11*(263-$NQ$11+1)*($NR$11-263+1)/$NT$11,$NM$11/$NS$11)),0)</f>
        <v/>
      </c>
      <c r="JG11" s="18">
        <f>IF(AND(264&gt;=$NQ$11,264&lt;=$NR$11),IF($NO$11="Single_Point",IF(264=$NQ$11,$NM$11,0),IF($NO$11="Bell_Curve",$NM$11*(264-$NQ$11+1)*($NR$11-264+1)/$NT$11,$NM$11/$NS$11)),0)</f>
        <v/>
      </c>
      <c r="JH11" s="18">
        <f>IF(AND(265&gt;=$NQ$11,265&lt;=$NR$11),IF($NO$11="Single_Point",IF(265=$NQ$11,$NM$11,0),IF($NO$11="Bell_Curve",$NM$11*(265-$NQ$11+1)*($NR$11-265+1)/$NT$11,$NM$11/$NS$11)),0)</f>
        <v/>
      </c>
      <c r="JI11" s="18">
        <f>IF(AND(266&gt;=$NQ$11,266&lt;=$NR$11),IF($NO$11="Single_Point",IF(266=$NQ$11,$NM$11,0),IF($NO$11="Bell_Curve",$NM$11*(266-$NQ$11+1)*($NR$11-266+1)/$NT$11,$NM$11/$NS$11)),0)</f>
        <v/>
      </c>
      <c r="JJ11" s="18">
        <f>IF(AND(267&gt;=$NQ$11,267&lt;=$NR$11),IF($NO$11="Single_Point",IF(267=$NQ$11,$NM$11,0),IF($NO$11="Bell_Curve",$NM$11*(267-$NQ$11+1)*($NR$11-267+1)/$NT$11,$NM$11/$NS$11)),0)</f>
        <v/>
      </c>
      <c r="JK11" s="18">
        <f>IF(AND(268&gt;=$NQ$11,268&lt;=$NR$11),IF($NO$11="Single_Point",IF(268=$NQ$11,$NM$11,0),IF($NO$11="Bell_Curve",$NM$11*(268-$NQ$11+1)*($NR$11-268+1)/$NT$11,$NM$11/$NS$11)),0)</f>
        <v/>
      </c>
      <c r="JL11" s="18">
        <f>IF(AND(269&gt;=$NQ$11,269&lt;=$NR$11),IF($NO$11="Single_Point",IF(269=$NQ$11,$NM$11,0),IF($NO$11="Bell_Curve",$NM$11*(269-$NQ$11+1)*($NR$11-269+1)/$NT$11,$NM$11/$NS$11)),0)</f>
        <v/>
      </c>
      <c r="JM11" s="18">
        <f>IF(AND(270&gt;=$NQ$11,270&lt;=$NR$11),IF($NO$11="Single_Point",IF(270=$NQ$11,$NM$11,0),IF($NO$11="Bell_Curve",$NM$11*(270-$NQ$11+1)*($NR$11-270+1)/$NT$11,$NM$11/$NS$11)),0)</f>
        <v/>
      </c>
      <c r="JN11" s="18">
        <f>IF(AND(271&gt;=$NQ$11,271&lt;=$NR$11),IF($NO$11="Single_Point",IF(271=$NQ$11,$NM$11,0),IF($NO$11="Bell_Curve",$NM$11*(271-$NQ$11+1)*($NR$11-271+1)/$NT$11,$NM$11/$NS$11)),0)</f>
        <v/>
      </c>
      <c r="JO11" s="18">
        <f>IF(AND(272&gt;=$NQ$11,272&lt;=$NR$11),IF($NO$11="Single_Point",IF(272=$NQ$11,$NM$11,0),IF($NO$11="Bell_Curve",$NM$11*(272-$NQ$11+1)*($NR$11-272+1)/$NT$11,$NM$11/$NS$11)),0)</f>
        <v/>
      </c>
      <c r="JP11" s="18">
        <f>IF(AND(273&gt;=$NQ$11,273&lt;=$NR$11),IF($NO$11="Single_Point",IF(273=$NQ$11,$NM$11,0),IF($NO$11="Bell_Curve",$NM$11*(273-$NQ$11+1)*($NR$11-273+1)/$NT$11,$NM$11/$NS$11)),0)</f>
        <v/>
      </c>
      <c r="JQ11" s="18">
        <f>IF(AND(274&gt;=$NQ$11,274&lt;=$NR$11),IF($NO$11="Single_Point",IF(274=$NQ$11,$NM$11,0),IF($NO$11="Bell_Curve",$NM$11*(274-$NQ$11+1)*($NR$11-274+1)/$NT$11,$NM$11/$NS$11)),0)</f>
        <v/>
      </c>
      <c r="JR11" s="18">
        <f>IF(AND(275&gt;=$NQ$11,275&lt;=$NR$11),IF($NO$11="Single_Point",IF(275=$NQ$11,$NM$11,0),IF($NO$11="Bell_Curve",$NM$11*(275-$NQ$11+1)*($NR$11-275+1)/$NT$11,$NM$11/$NS$11)),0)</f>
        <v/>
      </c>
      <c r="JS11" s="18">
        <f>IF(AND(276&gt;=$NQ$11,276&lt;=$NR$11),IF($NO$11="Single_Point",IF(276=$NQ$11,$NM$11,0),IF($NO$11="Bell_Curve",$NM$11*(276-$NQ$11+1)*($NR$11-276+1)/$NT$11,$NM$11/$NS$11)),0)</f>
        <v/>
      </c>
      <c r="JT11" s="18">
        <f>IF(AND(277&gt;=$NQ$11,277&lt;=$NR$11),IF($NO$11="Single_Point",IF(277=$NQ$11,$NM$11,0),IF($NO$11="Bell_Curve",$NM$11*(277-$NQ$11+1)*($NR$11-277+1)/$NT$11,$NM$11/$NS$11)),0)</f>
        <v/>
      </c>
      <c r="JU11" s="18">
        <f>IF(AND(278&gt;=$NQ$11,278&lt;=$NR$11),IF($NO$11="Single_Point",IF(278=$NQ$11,$NM$11,0),IF($NO$11="Bell_Curve",$NM$11*(278-$NQ$11+1)*($NR$11-278+1)/$NT$11,$NM$11/$NS$11)),0)</f>
        <v/>
      </c>
      <c r="JV11" s="18">
        <f>IF(AND(279&gt;=$NQ$11,279&lt;=$NR$11),IF($NO$11="Single_Point",IF(279=$NQ$11,$NM$11,0),IF($NO$11="Bell_Curve",$NM$11*(279-$NQ$11+1)*($NR$11-279+1)/$NT$11,$NM$11/$NS$11)),0)</f>
        <v/>
      </c>
      <c r="JW11" s="18">
        <f>IF(AND(280&gt;=$NQ$11,280&lt;=$NR$11),IF($NO$11="Single_Point",IF(280=$NQ$11,$NM$11,0),IF($NO$11="Bell_Curve",$NM$11*(280-$NQ$11+1)*($NR$11-280+1)/$NT$11,$NM$11/$NS$11)),0)</f>
        <v/>
      </c>
      <c r="JX11" s="18">
        <f>IF(AND(281&gt;=$NQ$11,281&lt;=$NR$11),IF($NO$11="Single_Point",IF(281=$NQ$11,$NM$11,0),IF($NO$11="Bell_Curve",$NM$11*(281-$NQ$11+1)*($NR$11-281+1)/$NT$11,$NM$11/$NS$11)),0)</f>
        <v/>
      </c>
      <c r="JY11" s="18">
        <f>IF(AND(282&gt;=$NQ$11,282&lt;=$NR$11),IF($NO$11="Single_Point",IF(282=$NQ$11,$NM$11,0),IF($NO$11="Bell_Curve",$NM$11*(282-$NQ$11+1)*($NR$11-282+1)/$NT$11,$NM$11/$NS$11)),0)</f>
        <v/>
      </c>
      <c r="JZ11" s="18">
        <f>IF(AND(283&gt;=$NQ$11,283&lt;=$NR$11),IF($NO$11="Single_Point",IF(283=$NQ$11,$NM$11,0),IF($NO$11="Bell_Curve",$NM$11*(283-$NQ$11+1)*($NR$11-283+1)/$NT$11,$NM$11/$NS$11)),0)</f>
        <v/>
      </c>
      <c r="KA11" s="18">
        <f>IF(AND(284&gt;=$NQ$11,284&lt;=$NR$11),IF($NO$11="Single_Point",IF(284=$NQ$11,$NM$11,0),IF($NO$11="Bell_Curve",$NM$11*(284-$NQ$11+1)*($NR$11-284+1)/$NT$11,$NM$11/$NS$11)),0)</f>
        <v/>
      </c>
      <c r="KB11" s="18">
        <f>IF(AND(285&gt;=$NQ$11,285&lt;=$NR$11),IF($NO$11="Single_Point",IF(285=$NQ$11,$NM$11,0),IF($NO$11="Bell_Curve",$NM$11*(285-$NQ$11+1)*($NR$11-285+1)/$NT$11,$NM$11/$NS$11)),0)</f>
        <v/>
      </c>
      <c r="KC11" s="18">
        <f>IF(AND(286&gt;=$NQ$11,286&lt;=$NR$11),IF($NO$11="Single_Point",IF(286=$NQ$11,$NM$11,0),IF($NO$11="Bell_Curve",$NM$11*(286-$NQ$11+1)*($NR$11-286+1)/$NT$11,$NM$11/$NS$11)),0)</f>
        <v/>
      </c>
      <c r="KD11" s="18">
        <f>IF(AND(287&gt;=$NQ$11,287&lt;=$NR$11),IF($NO$11="Single_Point",IF(287=$NQ$11,$NM$11,0),IF($NO$11="Bell_Curve",$NM$11*(287-$NQ$11+1)*($NR$11-287+1)/$NT$11,$NM$11/$NS$11)),0)</f>
        <v/>
      </c>
      <c r="KE11" s="18">
        <f>IF(AND(288&gt;=$NQ$11,288&lt;=$NR$11),IF($NO$11="Single_Point",IF(288=$NQ$11,$NM$11,0),IF($NO$11="Bell_Curve",$NM$11*(288-$NQ$11+1)*($NR$11-288+1)/$NT$11,$NM$11/$NS$11)),0)</f>
        <v/>
      </c>
      <c r="KF11" s="18">
        <f>IF(AND(289&gt;=$NQ$11,289&lt;=$NR$11),IF($NO$11="Single_Point",IF(289=$NQ$11,$NM$11,0),IF($NO$11="Bell_Curve",$NM$11*(289-$NQ$11+1)*($NR$11-289+1)/$NT$11,$NM$11/$NS$11)),0)</f>
        <v/>
      </c>
      <c r="KG11" s="18">
        <f>IF(AND(290&gt;=$NQ$11,290&lt;=$NR$11),IF($NO$11="Single_Point",IF(290=$NQ$11,$NM$11,0),IF($NO$11="Bell_Curve",$NM$11*(290-$NQ$11+1)*($NR$11-290+1)/$NT$11,$NM$11/$NS$11)),0)</f>
        <v/>
      </c>
      <c r="KH11" s="18">
        <f>IF(AND(291&gt;=$NQ$11,291&lt;=$NR$11),IF($NO$11="Single_Point",IF(291=$NQ$11,$NM$11,0),IF($NO$11="Bell_Curve",$NM$11*(291-$NQ$11+1)*($NR$11-291+1)/$NT$11,$NM$11/$NS$11)),0)</f>
        <v/>
      </c>
      <c r="KI11" s="18">
        <f>IF(AND(292&gt;=$NQ$11,292&lt;=$NR$11),IF($NO$11="Single_Point",IF(292=$NQ$11,$NM$11,0),IF($NO$11="Bell_Curve",$NM$11*(292-$NQ$11+1)*($NR$11-292+1)/$NT$11,$NM$11/$NS$11)),0)</f>
        <v/>
      </c>
      <c r="KJ11" s="18">
        <f>IF(AND(293&gt;=$NQ$11,293&lt;=$NR$11),IF($NO$11="Single_Point",IF(293=$NQ$11,$NM$11,0),IF($NO$11="Bell_Curve",$NM$11*(293-$NQ$11+1)*($NR$11-293+1)/$NT$11,$NM$11/$NS$11)),0)</f>
        <v/>
      </c>
      <c r="KK11" s="18">
        <f>IF(AND(294&gt;=$NQ$11,294&lt;=$NR$11),IF($NO$11="Single_Point",IF(294=$NQ$11,$NM$11,0),IF($NO$11="Bell_Curve",$NM$11*(294-$NQ$11+1)*($NR$11-294+1)/$NT$11,$NM$11/$NS$11)),0)</f>
        <v/>
      </c>
      <c r="KL11" s="18">
        <f>IF(AND(295&gt;=$NQ$11,295&lt;=$NR$11),IF($NO$11="Single_Point",IF(295=$NQ$11,$NM$11,0),IF($NO$11="Bell_Curve",$NM$11*(295-$NQ$11+1)*($NR$11-295+1)/$NT$11,$NM$11/$NS$11)),0)</f>
        <v/>
      </c>
      <c r="KM11" s="18">
        <f>IF(AND(296&gt;=$NQ$11,296&lt;=$NR$11),IF($NO$11="Single_Point",IF(296=$NQ$11,$NM$11,0),IF($NO$11="Bell_Curve",$NM$11*(296-$NQ$11+1)*($NR$11-296+1)/$NT$11,$NM$11/$NS$11)),0)</f>
        <v/>
      </c>
      <c r="KN11" s="18">
        <f>IF(AND(297&gt;=$NQ$11,297&lt;=$NR$11),IF($NO$11="Single_Point",IF(297=$NQ$11,$NM$11,0),IF($NO$11="Bell_Curve",$NM$11*(297-$NQ$11+1)*($NR$11-297+1)/$NT$11,$NM$11/$NS$11)),0)</f>
        <v/>
      </c>
      <c r="KO11" s="18">
        <f>IF(AND(298&gt;=$NQ$11,298&lt;=$NR$11),IF($NO$11="Single_Point",IF(298=$NQ$11,$NM$11,0),IF($NO$11="Bell_Curve",$NM$11*(298-$NQ$11+1)*($NR$11-298+1)/$NT$11,$NM$11/$NS$11)),0)</f>
        <v/>
      </c>
      <c r="KP11" s="18">
        <f>IF(AND(299&gt;=$NQ$11,299&lt;=$NR$11),IF($NO$11="Single_Point",IF(299=$NQ$11,$NM$11,0),IF($NO$11="Bell_Curve",$NM$11*(299-$NQ$11+1)*($NR$11-299+1)/$NT$11,$NM$11/$NS$11)),0)</f>
        <v/>
      </c>
      <c r="KQ11" s="18">
        <f>IF(AND(300&gt;=$NQ$11,300&lt;=$NR$11),IF($NO$11="Single_Point",IF(300=$NQ$11,$NM$11,0),IF($NO$11="Bell_Curve",$NM$11*(300-$NQ$11+1)*($NR$11-300+1)/$NT$11,$NM$11/$NS$11)),0)</f>
        <v/>
      </c>
      <c r="KR11" s="18">
        <f>IF(AND(301&gt;=$NQ$11,301&lt;=$NR$11),IF($NO$11="Single_Point",IF(301=$NQ$11,$NM$11,0),IF($NO$11="Bell_Curve",$NM$11*(301-$NQ$11+1)*($NR$11-301+1)/$NT$11,$NM$11/$NS$11)),0)</f>
        <v/>
      </c>
      <c r="KS11" s="18">
        <f>IF(AND(302&gt;=$NQ$11,302&lt;=$NR$11),IF($NO$11="Single_Point",IF(302=$NQ$11,$NM$11,0),IF($NO$11="Bell_Curve",$NM$11*(302-$NQ$11+1)*($NR$11-302+1)/$NT$11,$NM$11/$NS$11)),0)</f>
        <v/>
      </c>
      <c r="KT11" s="18">
        <f>IF(AND(303&gt;=$NQ$11,303&lt;=$NR$11),IF($NO$11="Single_Point",IF(303=$NQ$11,$NM$11,0),IF($NO$11="Bell_Curve",$NM$11*(303-$NQ$11+1)*($NR$11-303+1)/$NT$11,$NM$11/$NS$11)),0)</f>
        <v/>
      </c>
      <c r="KU11" s="18">
        <f>IF(AND(304&gt;=$NQ$11,304&lt;=$NR$11),IF($NO$11="Single_Point",IF(304=$NQ$11,$NM$11,0),IF($NO$11="Bell_Curve",$NM$11*(304-$NQ$11+1)*($NR$11-304+1)/$NT$11,$NM$11/$NS$11)),0)</f>
        <v/>
      </c>
      <c r="KV11" s="18">
        <f>IF(AND(305&gt;=$NQ$11,305&lt;=$NR$11),IF($NO$11="Single_Point",IF(305=$NQ$11,$NM$11,0),IF($NO$11="Bell_Curve",$NM$11*(305-$NQ$11+1)*($NR$11-305+1)/$NT$11,$NM$11/$NS$11)),0)</f>
        <v/>
      </c>
      <c r="KW11" s="18">
        <f>IF(AND(306&gt;=$NQ$11,306&lt;=$NR$11),IF($NO$11="Single_Point",IF(306=$NQ$11,$NM$11,0),IF($NO$11="Bell_Curve",$NM$11*(306-$NQ$11+1)*($NR$11-306+1)/$NT$11,$NM$11/$NS$11)),0)</f>
        <v/>
      </c>
      <c r="KX11" s="18">
        <f>IF(AND(307&gt;=$NQ$11,307&lt;=$NR$11),IF($NO$11="Single_Point",IF(307=$NQ$11,$NM$11,0),IF($NO$11="Bell_Curve",$NM$11*(307-$NQ$11+1)*($NR$11-307+1)/$NT$11,$NM$11/$NS$11)),0)</f>
        <v/>
      </c>
      <c r="KY11" s="18">
        <f>IF(AND(308&gt;=$NQ$11,308&lt;=$NR$11),IF($NO$11="Single_Point",IF(308=$NQ$11,$NM$11,0),IF($NO$11="Bell_Curve",$NM$11*(308-$NQ$11+1)*($NR$11-308+1)/$NT$11,$NM$11/$NS$11)),0)</f>
        <v/>
      </c>
      <c r="KZ11" s="18">
        <f>IF(AND(309&gt;=$NQ$11,309&lt;=$NR$11),IF($NO$11="Single_Point",IF(309=$NQ$11,$NM$11,0),IF($NO$11="Bell_Curve",$NM$11*(309-$NQ$11+1)*($NR$11-309+1)/$NT$11,$NM$11/$NS$11)),0)</f>
        <v/>
      </c>
      <c r="LA11" s="18">
        <f>IF(AND(310&gt;=$NQ$11,310&lt;=$NR$11),IF($NO$11="Single_Point",IF(310=$NQ$11,$NM$11,0),IF($NO$11="Bell_Curve",$NM$11*(310-$NQ$11+1)*($NR$11-310+1)/$NT$11,$NM$11/$NS$11)),0)</f>
        <v/>
      </c>
      <c r="LB11" s="18">
        <f>IF(AND(311&gt;=$NQ$11,311&lt;=$NR$11),IF($NO$11="Single_Point",IF(311=$NQ$11,$NM$11,0),IF($NO$11="Bell_Curve",$NM$11*(311-$NQ$11+1)*($NR$11-311+1)/$NT$11,$NM$11/$NS$11)),0)</f>
        <v/>
      </c>
      <c r="LC11" s="18">
        <f>IF(AND(312&gt;=$NQ$11,312&lt;=$NR$11),IF($NO$11="Single_Point",IF(312=$NQ$11,$NM$11,0),IF($NO$11="Bell_Curve",$NM$11*(312-$NQ$11+1)*($NR$11-312+1)/$NT$11,$NM$11/$NS$11)),0)</f>
        <v/>
      </c>
      <c r="LD11" s="18">
        <f>IF(AND(313&gt;=$NQ$11,313&lt;=$NR$11),IF($NO$11="Single_Point",IF(313=$NQ$11,$NM$11,0),IF($NO$11="Bell_Curve",$NM$11*(313-$NQ$11+1)*($NR$11-313+1)/$NT$11,$NM$11/$NS$11)),0)</f>
        <v/>
      </c>
      <c r="LE11" s="18">
        <f>IF(AND(314&gt;=$NQ$11,314&lt;=$NR$11),IF($NO$11="Single_Point",IF(314=$NQ$11,$NM$11,0),IF($NO$11="Bell_Curve",$NM$11*(314-$NQ$11+1)*($NR$11-314+1)/$NT$11,$NM$11/$NS$11)),0)</f>
        <v/>
      </c>
      <c r="LF11" s="18">
        <f>IF(AND(315&gt;=$NQ$11,315&lt;=$NR$11),IF($NO$11="Single_Point",IF(315=$NQ$11,$NM$11,0),IF($NO$11="Bell_Curve",$NM$11*(315-$NQ$11+1)*($NR$11-315+1)/$NT$11,$NM$11/$NS$11)),0)</f>
        <v/>
      </c>
      <c r="LG11" s="18">
        <f>IF(AND(316&gt;=$NQ$11,316&lt;=$NR$11),IF($NO$11="Single_Point",IF(316=$NQ$11,$NM$11,0),IF($NO$11="Bell_Curve",$NM$11*(316-$NQ$11+1)*($NR$11-316+1)/$NT$11,$NM$11/$NS$11)),0)</f>
        <v/>
      </c>
      <c r="LH11" s="18">
        <f>IF(AND(317&gt;=$NQ$11,317&lt;=$NR$11),IF($NO$11="Single_Point",IF(317=$NQ$11,$NM$11,0),IF($NO$11="Bell_Curve",$NM$11*(317-$NQ$11+1)*($NR$11-317+1)/$NT$11,$NM$11/$NS$11)),0)</f>
        <v/>
      </c>
      <c r="LI11" s="18">
        <f>IF(AND(318&gt;=$NQ$11,318&lt;=$NR$11),IF($NO$11="Single_Point",IF(318=$NQ$11,$NM$11,0),IF($NO$11="Bell_Curve",$NM$11*(318-$NQ$11+1)*($NR$11-318+1)/$NT$11,$NM$11/$NS$11)),0)</f>
        <v/>
      </c>
      <c r="LJ11" s="18">
        <f>IF(AND(319&gt;=$NQ$11,319&lt;=$NR$11),IF($NO$11="Single_Point",IF(319=$NQ$11,$NM$11,0),IF($NO$11="Bell_Curve",$NM$11*(319-$NQ$11+1)*($NR$11-319+1)/$NT$11,$NM$11/$NS$11)),0)</f>
        <v/>
      </c>
      <c r="LK11" s="18">
        <f>IF(AND(320&gt;=$NQ$11,320&lt;=$NR$11),IF($NO$11="Single_Point",IF(320=$NQ$11,$NM$11,0),IF($NO$11="Bell_Curve",$NM$11*(320-$NQ$11+1)*($NR$11-320+1)/$NT$11,$NM$11/$NS$11)),0)</f>
        <v/>
      </c>
      <c r="LL11" s="18">
        <f>IF(AND(321&gt;=$NQ$11,321&lt;=$NR$11),IF($NO$11="Single_Point",IF(321=$NQ$11,$NM$11,0),IF($NO$11="Bell_Curve",$NM$11*(321-$NQ$11+1)*($NR$11-321+1)/$NT$11,$NM$11/$NS$11)),0)</f>
        <v/>
      </c>
      <c r="LM11" s="18">
        <f>IF(AND(322&gt;=$NQ$11,322&lt;=$NR$11),IF($NO$11="Single_Point",IF(322=$NQ$11,$NM$11,0),IF($NO$11="Bell_Curve",$NM$11*(322-$NQ$11+1)*($NR$11-322+1)/$NT$11,$NM$11/$NS$11)),0)</f>
        <v/>
      </c>
      <c r="LN11" s="18">
        <f>IF(AND(323&gt;=$NQ$11,323&lt;=$NR$11),IF($NO$11="Single_Point",IF(323=$NQ$11,$NM$11,0),IF($NO$11="Bell_Curve",$NM$11*(323-$NQ$11+1)*($NR$11-323+1)/$NT$11,$NM$11/$NS$11)),0)</f>
        <v/>
      </c>
      <c r="LO11" s="18">
        <f>IF(AND(324&gt;=$NQ$11,324&lt;=$NR$11),IF($NO$11="Single_Point",IF(324=$NQ$11,$NM$11,0),IF($NO$11="Bell_Curve",$NM$11*(324-$NQ$11+1)*($NR$11-324+1)/$NT$11,$NM$11/$NS$11)),0)</f>
        <v/>
      </c>
      <c r="LP11" s="18">
        <f>IF(AND(325&gt;=$NQ$11,325&lt;=$NR$11),IF($NO$11="Single_Point",IF(325=$NQ$11,$NM$11,0),IF($NO$11="Bell_Curve",$NM$11*(325-$NQ$11+1)*($NR$11-325+1)/$NT$11,$NM$11/$NS$11)),0)</f>
        <v/>
      </c>
      <c r="LQ11" s="18">
        <f>IF(AND(326&gt;=$NQ$11,326&lt;=$NR$11),IF($NO$11="Single_Point",IF(326=$NQ$11,$NM$11,0),IF($NO$11="Bell_Curve",$NM$11*(326-$NQ$11+1)*($NR$11-326+1)/$NT$11,$NM$11/$NS$11)),0)</f>
        <v/>
      </c>
      <c r="LR11" s="18">
        <f>IF(AND(327&gt;=$NQ$11,327&lt;=$NR$11),IF($NO$11="Single_Point",IF(327=$NQ$11,$NM$11,0),IF($NO$11="Bell_Curve",$NM$11*(327-$NQ$11+1)*($NR$11-327+1)/$NT$11,$NM$11/$NS$11)),0)</f>
        <v/>
      </c>
      <c r="LS11" s="18">
        <f>IF(AND(328&gt;=$NQ$11,328&lt;=$NR$11),IF($NO$11="Single_Point",IF(328=$NQ$11,$NM$11,0),IF($NO$11="Bell_Curve",$NM$11*(328-$NQ$11+1)*($NR$11-328+1)/$NT$11,$NM$11/$NS$11)),0)</f>
        <v/>
      </c>
      <c r="LT11" s="18">
        <f>IF(AND(329&gt;=$NQ$11,329&lt;=$NR$11),IF($NO$11="Single_Point",IF(329=$NQ$11,$NM$11,0),IF($NO$11="Bell_Curve",$NM$11*(329-$NQ$11+1)*($NR$11-329+1)/$NT$11,$NM$11/$NS$11)),0)</f>
        <v/>
      </c>
      <c r="LU11" s="18">
        <f>IF(AND(330&gt;=$NQ$11,330&lt;=$NR$11),IF($NO$11="Single_Point",IF(330=$NQ$11,$NM$11,0),IF($NO$11="Bell_Curve",$NM$11*(330-$NQ$11+1)*($NR$11-330+1)/$NT$11,$NM$11/$NS$11)),0)</f>
        <v/>
      </c>
      <c r="LV11" s="18">
        <f>IF(AND(331&gt;=$NQ$11,331&lt;=$NR$11),IF($NO$11="Single_Point",IF(331=$NQ$11,$NM$11,0),IF($NO$11="Bell_Curve",$NM$11*(331-$NQ$11+1)*($NR$11-331+1)/$NT$11,$NM$11/$NS$11)),0)</f>
        <v/>
      </c>
      <c r="LW11" s="18">
        <f>IF(AND(332&gt;=$NQ$11,332&lt;=$NR$11),IF($NO$11="Single_Point",IF(332=$NQ$11,$NM$11,0),IF($NO$11="Bell_Curve",$NM$11*(332-$NQ$11+1)*($NR$11-332+1)/$NT$11,$NM$11/$NS$11)),0)</f>
        <v/>
      </c>
      <c r="LX11" s="18">
        <f>IF(AND(333&gt;=$NQ$11,333&lt;=$NR$11),IF($NO$11="Single_Point",IF(333=$NQ$11,$NM$11,0),IF($NO$11="Bell_Curve",$NM$11*(333-$NQ$11+1)*($NR$11-333+1)/$NT$11,$NM$11/$NS$11)),0)</f>
        <v/>
      </c>
      <c r="LY11" s="18">
        <f>IF(AND(334&gt;=$NQ$11,334&lt;=$NR$11),IF($NO$11="Single_Point",IF(334=$NQ$11,$NM$11,0),IF($NO$11="Bell_Curve",$NM$11*(334-$NQ$11+1)*($NR$11-334+1)/$NT$11,$NM$11/$NS$11)),0)</f>
        <v/>
      </c>
      <c r="LZ11" s="18">
        <f>IF(AND(335&gt;=$NQ$11,335&lt;=$NR$11),IF($NO$11="Single_Point",IF(335=$NQ$11,$NM$11,0),IF($NO$11="Bell_Curve",$NM$11*(335-$NQ$11+1)*($NR$11-335+1)/$NT$11,$NM$11/$NS$11)),0)</f>
        <v/>
      </c>
      <c r="MA11" s="18">
        <f>IF(AND(336&gt;=$NQ$11,336&lt;=$NR$11),IF($NO$11="Single_Point",IF(336=$NQ$11,$NM$11,0),IF($NO$11="Bell_Curve",$NM$11*(336-$NQ$11+1)*($NR$11-336+1)/$NT$11,$NM$11/$NS$11)),0)</f>
        <v/>
      </c>
      <c r="MB11" s="18">
        <f>IF(AND(337&gt;=$NQ$11,337&lt;=$NR$11),IF($NO$11="Single_Point",IF(337=$NQ$11,$NM$11,0),IF($NO$11="Bell_Curve",$NM$11*(337-$NQ$11+1)*($NR$11-337+1)/$NT$11,$NM$11/$NS$11)),0)</f>
        <v/>
      </c>
      <c r="MC11" s="18">
        <f>IF(AND(338&gt;=$NQ$11,338&lt;=$NR$11),IF($NO$11="Single_Point",IF(338=$NQ$11,$NM$11,0),IF($NO$11="Bell_Curve",$NM$11*(338-$NQ$11+1)*($NR$11-338+1)/$NT$11,$NM$11/$NS$11)),0)</f>
        <v/>
      </c>
      <c r="MD11" s="18">
        <f>IF(AND(339&gt;=$NQ$11,339&lt;=$NR$11),IF($NO$11="Single_Point",IF(339=$NQ$11,$NM$11,0),IF($NO$11="Bell_Curve",$NM$11*(339-$NQ$11+1)*($NR$11-339+1)/$NT$11,$NM$11/$NS$11)),0)</f>
        <v/>
      </c>
      <c r="ME11" s="18">
        <f>IF(AND(340&gt;=$NQ$11,340&lt;=$NR$11),IF($NO$11="Single_Point",IF(340=$NQ$11,$NM$11,0),IF($NO$11="Bell_Curve",$NM$11*(340-$NQ$11+1)*($NR$11-340+1)/$NT$11,$NM$11/$NS$11)),0)</f>
        <v/>
      </c>
      <c r="MF11" s="18">
        <f>IF(AND(341&gt;=$NQ$11,341&lt;=$NR$11),IF($NO$11="Single_Point",IF(341=$NQ$11,$NM$11,0),IF($NO$11="Bell_Curve",$NM$11*(341-$NQ$11+1)*($NR$11-341+1)/$NT$11,$NM$11/$NS$11)),0)</f>
        <v/>
      </c>
      <c r="MG11" s="18">
        <f>IF(AND(342&gt;=$NQ$11,342&lt;=$NR$11),IF($NO$11="Single_Point",IF(342=$NQ$11,$NM$11,0),IF($NO$11="Bell_Curve",$NM$11*(342-$NQ$11+1)*($NR$11-342+1)/$NT$11,$NM$11/$NS$11)),0)</f>
        <v/>
      </c>
      <c r="MH11" s="18">
        <f>IF(AND(343&gt;=$NQ$11,343&lt;=$NR$11),IF($NO$11="Single_Point",IF(343=$NQ$11,$NM$11,0),IF($NO$11="Bell_Curve",$NM$11*(343-$NQ$11+1)*($NR$11-343+1)/$NT$11,$NM$11/$NS$11)),0)</f>
        <v/>
      </c>
      <c r="MI11" s="18">
        <f>IF(AND(344&gt;=$NQ$11,344&lt;=$NR$11),IF($NO$11="Single_Point",IF(344=$NQ$11,$NM$11,0),IF($NO$11="Bell_Curve",$NM$11*(344-$NQ$11+1)*($NR$11-344+1)/$NT$11,$NM$11/$NS$11)),0)</f>
        <v/>
      </c>
      <c r="MJ11" s="18">
        <f>IF(AND(345&gt;=$NQ$11,345&lt;=$NR$11),IF($NO$11="Single_Point",IF(345=$NQ$11,$NM$11,0),IF($NO$11="Bell_Curve",$NM$11*(345-$NQ$11+1)*($NR$11-345+1)/$NT$11,$NM$11/$NS$11)),0)</f>
        <v/>
      </c>
      <c r="MK11" s="18">
        <f>IF(AND(346&gt;=$NQ$11,346&lt;=$NR$11),IF($NO$11="Single_Point",IF(346=$NQ$11,$NM$11,0),IF($NO$11="Bell_Curve",$NM$11*(346-$NQ$11+1)*($NR$11-346+1)/$NT$11,$NM$11/$NS$11)),0)</f>
        <v/>
      </c>
      <c r="ML11" s="18">
        <f>IF(AND(347&gt;=$NQ$11,347&lt;=$NR$11),IF($NO$11="Single_Point",IF(347=$NQ$11,$NM$11,0),IF($NO$11="Bell_Curve",$NM$11*(347-$NQ$11+1)*($NR$11-347+1)/$NT$11,$NM$11/$NS$11)),0)</f>
        <v/>
      </c>
      <c r="MM11" s="18">
        <f>IF(AND(348&gt;=$NQ$11,348&lt;=$NR$11),IF($NO$11="Single_Point",IF(348=$NQ$11,$NM$11,0),IF($NO$11="Bell_Curve",$NM$11*(348-$NQ$11+1)*($NR$11-348+1)/$NT$11,$NM$11/$NS$11)),0)</f>
        <v/>
      </c>
      <c r="MN11" s="18">
        <f>IF(AND(349&gt;=$NQ$11,349&lt;=$NR$11),IF($NO$11="Single_Point",IF(349=$NQ$11,$NM$11,0),IF($NO$11="Bell_Curve",$NM$11*(349-$NQ$11+1)*($NR$11-349+1)/$NT$11,$NM$11/$NS$11)),0)</f>
        <v/>
      </c>
      <c r="MO11" s="18">
        <f>IF(AND(350&gt;=$NQ$11,350&lt;=$NR$11),IF($NO$11="Single_Point",IF(350=$NQ$11,$NM$11,0),IF($NO$11="Bell_Curve",$NM$11*(350-$NQ$11+1)*($NR$11-350+1)/$NT$11,$NM$11/$NS$11)),0)</f>
        <v/>
      </c>
      <c r="MP11" s="18">
        <f>IF(AND(351&gt;=$NQ$11,351&lt;=$NR$11),IF($NO$11="Single_Point",IF(351=$NQ$11,$NM$11,0),IF($NO$11="Bell_Curve",$NM$11*(351-$NQ$11+1)*($NR$11-351+1)/$NT$11,$NM$11/$NS$11)),0)</f>
        <v/>
      </c>
      <c r="MQ11" s="18">
        <f>IF(AND(352&gt;=$NQ$11,352&lt;=$NR$11),IF($NO$11="Single_Point",IF(352=$NQ$11,$NM$11,0),IF($NO$11="Bell_Curve",$NM$11*(352-$NQ$11+1)*($NR$11-352+1)/$NT$11,$NM$11/$NS$11)),0)</f>
        <v/>
      </c>
      <c r="MR11" s="18">
        <f>IF(AND(353&gt;=$NQ$11,353&lt;=$NR$11),IF($NO$11="Single_Point",IF(353=$NQ$11,$NM$11,0),IF($NO$11="Bell_Curve",$NM$11*(353-$NQ$11+1)*($NR$11-353+1)/$NT$11,$NM$11/$NS$11)),0)</f>
        <v/>
      </c>
      <c r="MS11" s="18">
        <f>IF(AND(354&gt;=$NQ$11,354&lt;=$NR$11),IF($NO$11="Single_Point",IF(354=$NQ$11,$NM$11,0),IF($NO$11="Bell_Curve",$NM$11*(354-$NQ$11+1)*($NR$11-354+1)/$NT$11,$NM$11/$NS$11)),0)</f>
        <v/>
      </c>
      <c r="MT11" s="18">
        <f>IF(AND(355&gt;=$NQ$11,355&lt;=$NR$11),IF($NO$11="Single_Point",IF(355=$NQ$11,$NM$11,0),IF($NO$11="Bell_Curve",$NM$11*(355-$NQ$11+1)*($NR$11-355+1)/$NT$11,$NM$11/$NS$11)),0)</f>
        <v/>
      </c>
      <c r="MU11" s="18">
        <f>IF(AND(356&gt;=$NQ$11,356&lt;=$NR$11),IF($NO$11="Single_Point",IF(356=$NQ$11,$NM$11,0),IF($NO$11="Bell_Curve",$NM$11*(356-$NQ$11+1)*($NR$11-356+1)/$NT$11,$NM$11/$NS$11)),0)</f>
        <v/>
      </c>
      <c r="MV11" s="18">
        <f>IF(AND(357&gt;=$NQ$11,357&lt;=$NR$11),IF($NO$11="Single_Point",IF(357=$NQ$11,$NM$11,0),IF($NO$11="Bell_Curve",$NM$11*(357-$NQ$11+1)*($NR$11-357+1)/$NT$11,$NM$11/$NS$11)),0)</f>
        <v/>
      </c>
      <c r="MW11" s="18">
        <f>IF(AND(358&gt;=$NQ$11,358&lt;=$NR$11),IF($NO$11="Single_Point",IF(358=$NQ$11,$NM$11,0),IF($NO$11="Bell_Curve",$NM$11*(358-$NQ$11+1)*($NR$11-358+1)/$NT$11,$NM$11/$NS$11)),0)</f>
        <v/>
      </c>
      <c r="MX11" s="18">
        <f>IF(AND(359&gt;=$NQ$11,359&lt;=$NR$11),IF($NO$11="Single_Point",IF(359=$NQ$11,$NM$11,0),IF($NO$11="Bell_Curve",$NM$11*(359-$NQ$11+1)*($NR$11-359+1)/$NT$11,$NM$11/$NS$11)),0)</f>
        <v/>
      </c>
      <c r="MY11" s="18">
        <f>IF(AND(360&gt;=$NQ$11,360&lt;=$NR$11),IF($NO$11="Single_Point",IF(360=$NQ$11,$NM$11,0),IF($NO$11="Bell_Curve",$NM$11*(360-$NQ$11+1)*($NR$11-360+1)/$NT$11,$NM$11/$NS$11)),0)</f>
        <v/>
      </c>
      <c r="MZ11" s="18">
        <f>IF(AND(361&gt;=$NQ$11,361&lt;=$NR$11),IF($NO$11="Single_Point",IF(361=$NQ$11,$NM$11,0),IF($NO$11="Bell_Curve",$NM$11*(361-$NQ$11+1)*($NR$11-361+1)/$NT$11,$NM$11/$NS$11)),0)</f>
        <v/>
      </c>
      <c r="NA11" s="18">
        <f>IF(AND(362&gt;=$NQ$11,362&lt;=$NR$11),IF($NO$11="Single_Point",IF(362=$NQ$11,$NM$11,0),IF($NO$11="Bell_Curve",$NM$11*(362-$NQ$11+1)*($NR$11-362+1)/$NT$11,$NM$11/$NS$11)),0)</f>
        <v/>
      </c>
      <c r="NB11" s="18">
        <f>IF(AND(363&gt;=$NQ$11,363&lt;=$NR$11),IF($NO$11="Single_Point",IF(363=$NQ$11,$NM$11,0),IF($NO$11="Bell_Curve",$NM$11*(363-$NQ$11+1)*($NR$11-363+1)/$NT$11,$NM$11/$NS$11)),0)</f>
        <v/>
      </c>
      <c r="NC11" s="18">
        <f>IF(AND(364&gt;=$NQ$11,364&lt;=$NR$11),IF($NO$11="Single_Point",IF(364=$NQ$11,$NM$11,0),IF($NO$11="Bell_Curve",$NM$11*(364-$NQ$11+1)*($NR$11-364+1)/$NT$11,$NM$11/$NS$11)),0)</f>
        <v/>
      </c>
      <c r="ND11" s="18">
        <f>IF(AND(365&gt;=$NQ$11,365&lt;=$NR$11),IF($NO$11="Single_Point",IF(365=$NQ$11,$NM$11,0),IF($NO$11="Bell_Curve",$NM$11*(365-$NQ$11+1)*($NR$11-365+1)/$NT$11,$NM$11/$NS$11)),0)</f>
        <v/>
      </c>
      <c r="NE11" s="18">
        <f>IF(AND(366&gt;=$NQ$11,366&lt;=$NR$11),IF($NO$11="Single_Point",IF(366=$NQ$11,$NM$11,0),IF($NO$11="Bell_Curve",$NM$11*(366-$NQ$11+1)*($NR$11-366+1)/$NT$11,$NM$11/$NS$11)),0)</f>
        <v/>
      </c>
      <c r="NF11" s="18">
        <f>IF(AND(367&gt;=$NQ$11,367&lt;=$NR$11),IF($NO$11="Single_Point",IF(367=$NQ$11,$NM$11,0),IF($NO$11="Bell_Curve",$NM$11*(367-$NQ$11+1)*($NR$11-367+1)/$NT$11,$NM$11/$NS$11)),0)</f>
        <v/>
      </c>
      <c r="NG11" s="18">
        <f>IF(AND(368&gt;=$NQ$11,368&lt;=$NR$11),IF($NO$11="Single_Point",IF(368=$NQ$11,$NM$11,0),IF($NO$11="Bell_Curve",$NM$11*(368-$NQ$11+1)*($NR$11-368+1)/$NT$11,$NM$11/$NS$11)),0)</f>
        <v/>
      </c>
      <c r="NH11" s="18">
        <f>IF(AND(369&gt;=$NQ$11,369&lt;=$NR$11),IF($NO$11="Single_Point",IF(369=$NQ$11,$NM$11,0),IF($NO$11="Bell_Curve",$NM$11*(369-$NQ$11+1)*($NR$11-369+1)/$NT$11,$NM$11/$NS$11)),0)</f>
        <v/>
      </c>
      <c r="NI11" s="18">
        <f>IF(AND(370&gt;=$NQ$11,370&lt;=$NR$11),IF($NO$11="Single_Point",IF(370=$NQ$11,$NM$11,0),IF($NO$11="Bell_Curve",$NM$11*(370-$NQ$11+1)*($NR$11-370+1)/$NT$11,$NM$11/$NS$11)),0)</f>
        <v/>
      </c>
      <c r="NJ11" s="18">
        <f>IF(AND(371&gt;=$NQ$11,371&lt;=$NR$11),IF($NO$11="Single_Point",IF(371=$NQ$11,$NM$11,0),IF($NO$11="Bell_Curve",$NM$11*(371-$NQ$11+1)*($NR$11-371+1)/$NT$11,$NM$11/$NS$11)),0)</f>
        <v/>
      </c>
      <c r="NK11" s="18">
        <f>IF(AND(372&gt;=$NQ$11,372&lt;=$NR$11),IF($NO$11="Single_Point",IF(372=$NQ$11,$NM$11,0),IF($NO$11="Bell_Curve",$NM$11*(372-$NQ$11+1)*($NR$11-372+1)/$NT$11,$NM$11/$NS$11)),0)</f>
        <v/>
      </c>
      <c r="NM11" s="18">
        <f>Budget!I10</f>
        <v/>
      </c>
      <c r="NN11" s="42">
        <f>Budget!F10</f>
        <v/>
      </c>
      <c r="NO11" s="42">
        <f>Budget!G10</f>
        <v/>
      </c>
      <c r="NP11" s="17">
        <f>Budget!H10</f>
        <v/>
      </c>
      <c r="NQ11" s="32">
        <f>MAX(1,MIN(372,INDEX(MilestoneStart,MATCH(NN11,MilestoneNames,0))+NP11))</f>
        <v/>
      </c>
      <c r="NR11" s="32">
        <f>MAX(NQ11,MIN(372,INDEX(MilestoneEnd,MATCH(NN11,MilestoneNames,0))+NP11))</f>
        <v/>
      </c>
      <c r="NS11" s="17">
        <f>NR11-NQ11+1</f>
        <v/>
      </c>
      <c r="NT11" s="17">
        <f>NS11*(NS11+1)*(NS11+2)/6</f>
        <v/>
      </c>
    </row>
    <row r="12">
      <c r="A12" s="5" t="inlineStr">
        <is>
          <t>Legal &amp; Org.</t>
        </is>
      </c>
      <c r="C12" s="41">
        <f>SUM(D12:NK12)</f>
        <v/>
      </c>
      <c r="D12" s="18">
        <f>IF(AND(1&gt;=$NQ$12,1&lt;=$NR$12),IF($NO$12="Single_Point",IF(1=$NQ$12,$NM$12,0),IF($NO$12="Bell_Curve",$NM$12*(1-$NQ$12+1)*($NR$12-1+1)/$NT$12,$NM$12/$NS$12)),0)</f>
        <v/>
      </c>
      <c r="E12" s="18">
        <f>IF(AND(2&gt;=$NQ$12,2&lt;=$NR$12),IF($NO$12="Single_Point",IF(2=$NQ$12,$NM$12,0),IF($NO$12="Bell_Curve",$NM$12*(2-$NQ$12+1)*($NR$12-2+1)/$NT$12,$NM$12/$NS$12)),0)</f>
        <v/>
      </c>
      <c r="F12" s="18">
        <f>IF(AND(3&gt;=$NQ$12,3&lt;=$NR$12),IF($NO$12="Single_Point",IF(3=$NQ$12,$NM$12,0),IF($NO$12="Bell_Curve",$NM$12*(3-$NQ$12+1)*($NR$12-3+1)/$NT$12,$NM$12/$NS$12)),0)</f>
        <v/>
      </c>
      <c r="G12" s="18">
        <f>IF(AND(4&gt;=$NQ$12,4&lt;=$NR$12),IF($NO$12="Single_Point",IF(4=$NQ$12,$NM$12,0),IF($NO$12="Bell_Curve",$NM$12*(4-$NQ$12+1)*($NR$12-4+1)/$NT$12,$NM$12/$NS$12)),0)</f>
        <v/>
      </c>
      <c r="H12" s="18">
        <f>IF(AND(5&gt;=$NQ$12,5&lt;=$NR$12),IF($NO$12="Single_Point",IF(5=$NQ$12,$NM$12,0),IF($NO$12="Bell_Curve",$NM$12*(5-$NQ$12+1)*($NR$12-5+1)/$NT$12,$NM$12/$NS$12)),0)</f>
        <v/>
      </c>
      <c r="I12" s="18">
        <f>IF(AND(6&gt;=$NQ$12,6&lt;=$NR$12),IF($NO$12="Single_Point",IF(6=$NQ$12,$NM$12,0),IF($NO$12="Bell_Curve",$NM$12*(6-$NQ$12+1)*($NR$12-6+1)/$NT$12,$NM$12/$NS$12)),0)</f>
        <v/>
      </c>
      <c r="J12" s="18">
        <f>IF(AND(7&gt;=$NQ$12,7&lt;=$NR$12),IF($NO$12="Single_Point",IF(7=$NQ$12,$NM$12,0),IF($NO$12="Bell_Curve",$NM$12*(7-$NQ$12+1)*($NR$12-7+1)/$NT$12,$NM$12/$NS$12)),0)</f>
        <v/>
      </c>
      <c r="K12" s="18">
        <f>IF(AND(8&gt;=$NQ$12,8&lt;=$NR$12),IF($NO$12="Single_Point",IF(8=$NQ$12,$NM$12,0),IF($NO$12="Bell_Curve",$NM$12*(8-$NQ$12+1)*($NR$12-8+1)/$NT$12,$NM$12/$NS$12)),0)</f>
        <v/>
      </c>
      <c r="L12" s="18">
        <f>IF(AND(9&gt;=$NQ$12,9&lt;=$NR$12),IF($NO$12="Single_Point",IF(9=$NQ$12,$NM$12,0),IF($NO$12="Bell_Curve",$NM$12*(9-$NQ$12+1)*($NR$12-9+1)/$NT$12,$NM$12/$NS$12)),0)</f>
        <v/>
      </c>
      <c r="M12" s="18">
        <f>IF(AND(10&gt;=$NQ$12,10&lt;=$NR$12),IF($NO$12="Single_Point",IF(10=$NQ$12,$NM$12,0),IF($NO$12="Bell_Curve",$NM$12*(10-$NQ$12+1)*($NR$12-10+1)/$NT$12,$NM$12/$NS$12)),0)</f>
        <v/>
      </c>
      <c r="N12" s="18">
        <f>IF(AND(11&gt;=$NQ$12,11&lt;=$NR$12),IF($NO$12="Single_Point",IF(11=$NQ$12,$NM$12,0),IF($NO$12="Bell_Curve",$NM$12*(11-$NQ$12+1)*($NR$12-11+1)/$NT$12,$NM$12/$NS$12)),0)</f>
        <v/>
      </c>
      <c r="O12" s="18">
        <f>IF(AND(12&gt;=$NQ$12,12&lt;=$NR$12),IF($NO$12="Single_Point",IF(12=$NQ$12,$NM$12,0),IF($NO$12="Bell_Curve",$NM$12*(12-$NQ$12+1)*($NR$12-12+1)/$NT$12,$NM$12/$NS$12)),0)</f>
        <v/>
      </c>
      <c r="P12" s="18">
        <f>IF(AND(13&gt;=$NQ$12,13&lt;=$NR$12),IF($NO$12="Single_Point",IF(13=$NQ$12,$NM$12,0),IF($NO$12="Bell_Curve",$NM$12*(13-$NQ$12+1)*($NR$12-13+1)/$NT$12,$NM$12/$NS$12)),0)</f>
        <v/>
      </c>
      <c r="Q12" s="18">
        <f>IF(AND(14&gt;=$NQ$12,14&lt;=$NR$12),IF($NO$12="Single_Point",IF(14=$NQ$12,$NM$12,0),IF($NO$12="Bell_Curve",$NM$12*(14-$NQ$12+1)*($NR$12-14+1)/$NT$12,$NM$12/$NS$12)),0)</f>
        <v/>
      </c>
      <c r="R12" s="18">
        <f>IF(AND(15&gt;=$NQ$12,15&lt;=$NR$12),IF($NO$12="Single_Point",IF(15=$NQ$12,$NM$12,0),IF($NO$12="Bell_Curve",$NM$12*(15-$NQ$12+1)*($NR$12-15+1)/$NT$12,$NM$12/$NS$12)),0)</f>
        <v/>
      </c>
      <c r="S12" s="18">
        <f>IF(AND(16&gt;=$NQ$12,16&lt;=$NR$12),IF($NO$12="Single_Point",IF(16=$NQ$12,$NM$12,0),IF($NO$12="Bell_Curve",$NM$12*(16-$NQ$12+1)*($NR$12-16+1)/$NT$12,$NM$12/$NS$12)),0)</f>
        <v/>
      </c>
      <c r="T12" s="18">
        <f>IF(AND(17&gt;=$NQ$12,17&lt;=$NR$12),IF($NO$12="Single_Point",IF(17=$NQ$12,$NM$12,0),IF($NO$12="Bell_Curve",$NM$12*(17-$NQ$12+1)*($NR$12-17+1)/$NT$12,$NM$12/$NS$12)),0)</f>
        <v/>
      </c>
      <c r="U12" s="18">
        <f>IF(AND(18&gt;=$NQ$12,18&lt;=$NR$12),IF($NO$12="Single_Point",IF(18=$NQ$12,$NM$12,0),IF($NO$12="Bell_Curve",$NM$12*(18-$NQ$12+1)*($NR$12-18+1)/$NT$12,$NM$12/$NS$12)),0)</f>
        <v/>
      </c>
      <c r="V12" s="18">
        <f>IF(AND(19&gt;=$NQ$12,19&lt;=$NR$12),IF($NO$12="Single_Point",IF(19=$NQ$12,$NM$12,0),IF($NO$12="Bell_Curve",$NM$12*(19-$NQ$12+1)*($NR$12-19+1)/$NT$12,$NM$12/$NS$12)),0)</f>
        <v/>
      </c>
      <c r="W12" s="18">
        <f>IF(AND(20&gt;=$NQ$12,20&lt;=$NR$12),IF($NO$12="Single_Point",IF(20=$NQ$12,$NM$12,0),IF($NO$12="Bell_Curve",$NM$12*(20-$NQ$12+1)*($NR$12-20+1)/$NT$12,$NM$12/$NS$12)),0)</f>
        <v/>
      </c>
      <c r="X12" s="18">
        <f>IF(AND(21&gt;=$NQ$12,21&lt;=$NR$12),IF($NO$12="Single_Point",IF(21=$NQ$12,$NM$12,0),IF($NO$12="Bell_Curve",$NM$12*(21-$NQ$12+1)*($NR$12-21+1)/$NT$12,$NM$12/$NS$12)),0)</f>
        <v/>
      </c>
      <c r="Y12" s="18">
        <f>IF(AND(22&gt;=$NQ$12,22&lt;=$NR$12),IF($NO$12="Single_Point",IF(22=$NQ$12,$NM$12,0),IF($NO$12="Bell_Curve",$NM$12*(22-$NQ$12+1)*($NR$12-22+1)/$NT$12,$NM$12/$NS$12)),0)</f>
        <v/>
      </c>
      <c r="Z12" s="18">
        <f>IF(AND(23&gt;=$NQ$12,23&lt;=$NR$12),IF($NO$12="Single_Point",IF(23=$NQ$12,$NM$12,0),IF($NO$12="Bell_Curve",$NM$12*(23-$NQ$12+1)*($NR$12-23+1)/$NT$12,$NM$12/$NS$12)),0)</f>
        <v/>
      </c>
      <c r="AA12" s="18">
        <f>IF(AND(24&gt;=$NQ$12,24&lt;=$NR$12),IF($NO$12="Single_Point",IF(24=$NQ$12,$NM$12,0),IF($NO$12="Bell_Curve",$NM$12*(24-$NQ$12+1)*($NR$12-24+1)/$NT$12,$NM$12/$NS$12)),0)</f>
        <v/>
      </c>
      <c r="AB12" s="18">
        <f>IF(AND(25&gt;=$NQ$12,25&lt;=$NR$12),IF($NO$12="Single_Point",IF(25=$NQ$12,$NM$12,0),IF($NO$12="Bell_Curve",$NM$12*(25-$NQ$12+1)*($NR$12-25+1)/$NT$12,$NM$12/$NS$12)),0)</f>
        <v/>
      </c>
      <c r="AC12" s="18">
        <f>IF(AND(26&gt;=$NQ$12,26&lt;=$NR$12),IF($NO$12="Single_Point",IF(26=$NQ$12,$NM$12,0),IF($NO$12="Bell_Curve",$NM$12*(26-$NQ$12+1)*($NR$12-26+1)/$NT$12,$NM$12/$NS$12)),0)</f>
        <v/>
      </c>
      <c r="AD12" s="18">
        <f>IF(AND(27&gt;=$NQ$12,27&lt;=$NR$12),IF($NO$12="Single_Point",IF(27=$NQ$12,$NM$12,0),IF($NO$12="Bell_Curve",$NM$12*(27-$NQ$12+1)*($NR$12-27+1)/$NT$12,$NM$12/$NS$12)),0)</f>
        <v/>
      </c>
      <c r="AE12" s="18">
        <f>IF(AND(28&gt;=$NQ$12,28&lt;=$NR$12),IF($NO$12="Single_Point",IF(28=$NQ$12,$NM$12,0),IF($NO$12="Bell_Curve",$NM$12*(28-$NQ$12+1)*($NR$12-28+1)/$NT$12,$NM$12/$NS$12)),0)</f>
        <v/>
      </c>
      <c r="AF12" s="18">
        <f>IF(AND(29&gt;=$NQ$12,29&lt;=$NR$12),IF($NO$12="Single_Point",IF(29=$NQ$12,$NM$12,0),IF($NO$12="Bell_Curve",$NM$12*(29-$NQ$12+1)*($NR$12-29+1)/$NT$12,$NM$12/$NS$12)),0)</f>
        <v/>
      </c>
      <c r="AG12" s="18">
        <f>IF(AND(30&gt;=$NQ$12,30&lt;=$NR$12),IF($NO$12="Single_Point",IF(30=$NQ$12,$NM$12,0),IF($NO$12="Bell_Curve",$NM$12*(30-$NQ$12+1)*($NR$12-30+1)/$NT$12,$NM$12/$NS$12)),0)</f>
        <v/>
      </c>
      <c r="AH12" s="18">
        <f>IF(AND(31&gt;=$NQ$12,31&lt;=$NR$12),IF($NO$12="Single_Point",IF(31=$NQ$12,$NM$12,0),IF($NO$12="Bell_Curve",$NM$12*(31-$NQ$12+1)*($NR$12-31+1)/$NT$12,$NM$12/$NS$12)),0)</f>
        <v/>
      </c>
      <c r="AI12" s="18">
        <f>IF(AND(32&gt;=$NQ$12,32&lt;=$NR$12),IF($NO$12="Single_Point",IF(32=$NQ$12,$NM$12,0),IF($NO$12="Bell_Curve",$NM$12*(32-$NQ$12+1)*($NR$12-32+1)/$NT$12,$NM$12/$NS$12)),0)</f>
        <v/>
      </c>
      <c r="AJ12" s="18">
        <f>IF(AND(33&gt;=$NQ$12,33&lt;=$NR$12),IF($NO$12="Single_Point",IF(33=$NQ$12,$NM$12,0),IF($NO$12="Bell_Curve",$NM$12*(33-$NQ$12+1)*($NR$12-33+1)/$NT$12,$NM$12/$NS$12)),0)</f>
        <v/>
      </c>
      <c r="AK12" s="18">
        <f>IF(AND(34&gt;=$NQ$12,34&lt;=$NR$12),IF($NO$12="Single_Point",IF(34=$NQ$12,$NM$12,0),IF($NO$12="Bell_Curve",$NM$12*(34-$NQ$12+1)*($NR$12-34+1)/$NT$12,$NM$12/$NS$12)),0)</f>
        <v/>
      </c>
      <c r="AL12" s="18">
        <f>IF(AND(35&gt;=$NQ$12,35&lt;=$NR$12),IF($NO$12="Single_Point",IF(35=$NQ$12,$NM$12,0),IF($NO$12="Bell_Curve",$NM$12*(35-$NQ$12+1)*($NR$12-35+1)/$NT$12,$NM$12/$NS$12)),0)</f>
        <v/>
      </c>
      <c r="AM12" s="18">
        <f>IF(AND(36&gt;=$NQ$12,36&lt;=$NR$12),IF($NO$12="Single_Point",IF(36=$NQ$12,$NM$12,0),IF($NO$12="Bell_Curve",$NM$12*(36-$NQ$12+1)*($NR$12-36+1)/$NT$12,$NM$12/$NS$12)),0)</f>
        <v/>
      </c>
      <c r="AN12" s="18">
        <f>IF(AND(37&gt;=$NQ$12,37&lt;=$NR$12),IF($NO$12="Single_Point",IF(37=$NQ$12,$NM$12,0),IF($NO$12="Bell_Curve",$NM$12*(37-$NQ$12+1)*($NR$12-37+1)/$NT$12,$NM$12/$NS$12)),0)</f>
        <v/>
      </c>
      <c r="AO12" s="18">
        <f>IF(AND(38&gt;=$NQ$12,38&lt;=$NR$12),IF($NO$12="Single_Point",IF(38=$NQ$12,$NM$12,0),IF($NO$12="Bell_Curve",$NM$12*(38-$NQ$12+1)*($NR$12-38+1)/$NT$12,$NM$12/$NS$12)),0)</f>
        <v/>
      </c>
      <c r="AP12" s="18">
        <f>IF(AND(39&gt;=$NQ$12,39&lt;=$NR$12),IF($NO$12="Single_Point",IF(39=$NQ$12,$NM$12,0),IF($NO$12="Bell_Curve",$NM$12*(39-$NQ$12+1)*($NR$12-39+1)/$NT$12,$NM$12/$NS$12)),0)</f>
        <v/>
      </c>
      <c r="AQ12" s="18">
        <f>IF(AND(40&gt;=$NQ$12,40&lt;=$NR$12),IF($NO$12="Single_Point",IF(40=$NQ$12,$NM$12,0),IF($NO$12="Bell_Curve",$NM$12*(40-$NQ$12+1)*($NR$12-40+1)/$NT$12,$NM$12/$NS$12)),0)</f>
        <v/>
      </c>
      <c r="AR12" s="18">
        <f>IF(AND(41&gt;=$NQ$12,41&lt;=$NR$12),IF($NO$12="Single_Point",IF(41=$NQ$12,$NM$12,0),IF($NO$12="Bell_Curve",$NM$12*(41-$NQ$12+1)*($NR$12-41+1)/$NT$12,$NM$12/$NS$12)),0)</f>
        <v/>
      </c>
      <c r="AS12" s="18">
        <f>IF(AND(42&gt;=$NQ$12,42&lt;=$NR$12),IF($NO$12="Single_Point",IF(42=$NQ$12,$NM$12,0),IF($NO$12="Bell_Curve",$NM$12*(42-$NQ$12+1)*($NR$12-42+1)/$NT$12,$NM$12/$NS$12)),0)</f>
        <v/>
      </c>
      <c r="AT12" s="18">
        <f>IF(AND(43&gt;=$NQ$12,43&lt;=$NR$12),IF($NO$12="Single_Point",IF(43=$NQ$12,$NM$12,0),IF($NO$12="Bell_Curve",$NM$12*(43-$NQ$12+1)*($NR$12-43+1)/$NT$12,$NM$12/$NS$12)),0)</f>
        <v/>
      </c>
      <c r="AU12" s="18">
        <f>IF(AND(44&gt;=$NQ$12,44&lt;=$NR$12),IF($NO$12="Single_Point",IF(44=$NQ$12,$NM$12,0),IF($NO$12="Bell_Curve",$NM$12*(44-$NQ$12+1)*($NR$12-44+1)/$NT$12,$NM$12/$NS$12)),0)</f>
        <v/>
      </c>
      <c r="AV12" s="18">
        <f>IF(AND(45&gt;=$NQ$12,45&lt;=$NR$12),IF($NO$12="Single_Point",IF(45=$NQ$12,$NM$12,0),IF($NO$12="Bell_Curve",$NM$12*(45-$NQ$12+1)*($NR$12-45+1)/$NT$12,$NM$12/$NS$12)),0)</f>
        <v/>
      </c>
      <c r="AW12" s="18">
        <f>IF(AND(46&gt;=$NQ$12,46&lt;=$NR$12),IF($NO$12="Single_Point",IF(46=$NQ$12,$NM$12,0),IF($NO$12="Bell_Curve",$NM$12*(46-$NQ$12+1)*($NR$12-46+1)/$NT$12,$NM$12/$NS$12)),0)</f>
        <v/>
      </c>
      <c r="AX12" s="18">
        <f>IF(AND(47&gt;=$NQ$12,47&lt;=$NR$12),IF($NO$12="Single_Point",IF(47=$NQ$12,$NM$12,0),IF($NO$12="Bell_Curve",$NM$12*(47-$NQ$12+1)*($NR$12-47+1)/$NT$12,$NM$12/$NS$12)),0)</f>
        <v/>
      </c>
      <c r="AY12" s="18">
        <f>IF(AND(48&gt;=$NQ$12,48&lt;=$NR$12),IF($NO$12="Single_Point",IF(48=$NQ$12,$NM$12,0),IF($NO$12="Bell_Curve",$NM$12*(48-$NQ$12+1)*($NR$12-48+1)/$NT$12,$NM$12/$NS$12)),0)</f>
        <v/>
      </c>
      <c r="AZ12" s="18">
        <f>IF(AND(49&gt;=$NQ$12,49&lt;=$NR$12),IF($NO$12="Single_Point",IF(49=$NQ$12,$NM$12,0),IF($NO$12="Bell_Curve",$NM$12*(49-$NQ$12+1)*($NR$12-49+1)/$NT$12,$NM$12/$NS$12)),0)</f>
        <v/>
      </c>
      <c r="BA12" s="18">
        <f>IF(AND(50&gt;=$NQ$12,50&lt;=$NR$12),IF($NO$12="Single_Point",IF(50=$NQ$12,$NM$12,0),IF($NO$12="Bell_Curve",$NM$12*(50-$NQ$12+1)*($NR$12-50+1)/$NT$12,$NM$12/$NS$12)),0)</f>
        <v/>
      </c>
      <c r="BB12" s="18">
        <f>IF(AND(51&gt;=$NQ$12,51&lt;=$NR$12),IF($NO$12="Single_Point",IF(51=$NQ$12,$NM$12,0),IF($NO$12="Bell_Curve",$NM$12*(51-$NQ$12+1)*($NR$12-51+1)/$NT$12,$NM$12/$NS$12)),0)</f>
        <v/>
      </c>
      <c r="BC12" s="18">
        <f>IF(AND(52&gt;=$NQ$12,52&lt;=$NR$12),IF($NO$12="Single_Point",IF(52=$NQ$12,$NM$12,0),IF($NO$12="Bell_Curve",$NM$12*(52-$NQ$12+1)*($NR$12-52+1)/$NT$12,$NM$12/$NS$12)),0)</f>
        <v/>
      </c>
      <c r="BD12" s="18">
        <f>IF(AND(53&gt;=$NQ$12,53&lt;=$NR$12),IF($NO$12="Single_Point",IF(53=$NQ$12,$NM$12,0),IF($NO$12="Bell_Curve",$NM$12*(53-$NQ$12+1)*($NR$12-53+1)/$NT$12,$NM$12/$NS$12)),0)</f>
        <v/>
      </c>
      <c r="BE12" s="18">
        <f>IF(AND(54&gt;=$NQ$12,54&lt;=$NR$12),IF($NO$12="Single_Point",IF(54=$NQ$12,$NM$12,0),IF($NO$12="Bell_Curve",$NM$12*(54-$NQ$12+1)*($NR$12-54+1)/$NT$12,$NM$12/$NS$12)),0)</f>
        <v/>
      </c>
      <c r="BF12" s="18">
        <f>IF(AND(55&gt;=$NQ$12,55&lt;=$NR$12),IF($NO$12="Single_Point",IF(55=$NQ$12,$NM$12,0),IF($NO$12="Bell_Curve",$NM$12*(55-$NQ$12+1)*($NR$12-55+1)/$NT$12,$NM$12/$NS$12)),0)</f>
        <v/>
      </c>
      <c r="BG12" s="18">
        <f>IF(AND(56&gt;=$NQ$12,56&lt;=$NR$12),IF($NO$12="Single_Point",IF(56=$NQ$12,$NM$12,0),IF($NO$12="Bell_Curve",$NM$12*(56-$NQ$12+1)*($NR$12-56+1)/$NT$12,$NM$12/$NS$12)),0)</f>
        <v/>
      </c>
      <c r="BH12" s="18">
        <f>IF(AND(57&gt;=$NQ$12,57&lt;=$NR$12),IF($NO$12="Single_Point",IF(57=$NQ$12,$NM$12,0),IF($NO$12="Bell_Curve",$NM$12*(57-$NQ$12+1)*($NR$12-57+1)/$NT$12,$NM$12/$NS$12)),0)</f>
        <v/>
      </c>
      <c r="BI12" s="18">
        <f>IF(AND(58&gt;=$NQ$12,58&lt;=$NR$12),IF($NO$12="Single_Point",IF(58=$NQ$12,$NM$12,0),IF($NO$12="Bell_Curve",$NM$12*(58-$NQ$12+1)*($NR$12-58+1)/$NT$12,$NM$12/$NS$12)),0)</f>
        <v/>
      </c>
      <c r="BJ12" s="18">
        <f>IF(AND(59&gt;=$NQ$12,59&lt;=$NR$12),IF($NO$12="Single_Point",IF(59=$NQ$12,$NM$12,0),IF($NO$12="Bell_Curve",$NM$12*(59-$NQ$12+1)*($NR$12-59+1)/$NT$12,$NM$12/$NS$12)),0)</f>
        <v/>
      </c>
      <c r="BK12" s="18">
        <f>IF(AND(60&gt;=$NQ$12,60&lt;=$NR$12),IF($NO$12="Single_Point",IF(60=$NQ$12,$NM$12,0),IF($NO$12="Bell_Curve",$NM$12*(60-$NQ$12+1)*($NR$12-60+1)/$NT$12,$NM$12/$NS$12)),0)</f>
        <v/>
      </c>
      <c r="BL12" s="18">
        <f>IF(AND(61&gt;=$NQ$12,61&lt;=$NR$12),IF($NO$12="Single_Point",IF(61=$NQ$12,$NM$12,0),IF($NO$12="Bell_Curve",$NM$12*(61-$NQ$12+1)*($NR$12-61+1)/$NT$12,$NM$12/$NS$12)),0)</f>
        <v/>
      </c>
      <c r="BM12" s="18">
        <f>IF(AND(62&gt;=$NQ$12,62&lt;=$NR$12),IF($NO$12="Single_Point",IF(62=$NQ$12,$NM$12,0),IF($NO$12="Bell_Curve",$NM$12*(62-$NQ$12+1)*($NR$12-62+1)/$NT$12,$NM$12/$NS$12)),0)</f>
        <v/>
      </c>
      <c r="BN12" s="18">
        <f>IF(AND(63&gt;=$NQ$12,63&lt;=$NR$12),IF($NO$12="Single_Point",IF(63=$NQ$12,$NM$12,0),IF($NO$12="Bell_Curve",$NM$12*(63-$NQ$12+1)*($NR$12-63+1)/$NT$12,$NM$12/$NS$12)),0)</f>
        <v/>
      </c>
      <c r="BO12" s="18">
        <f>IF(AND(64&gt;=$NQ$12,64&lt;=$NR$12),IF($NO$12="Single_Point",IF(64=$NQ$12,$NM$12,0),IF($NO$12="Bell_Curve",$NM$12*(64-$NQ$12+1)*($NR$12-64+1)/$NT$12,$NM$12/$NS$12)),0)</f>
        <v/>
      </c>
      <c r="BP12" s="18">
        <f>IF(AND(65&gt;=$NQ$12,65&lt;=$NR$12),IF($NO$12="Single_Point",IF(65=$NQ$12,$NM$12,0),IF($NO$12="Bell_Curve",$NM$12*(65-$NQ$12+1)*($NR$12-65+1)/$NT$12,$NM$12/$NS$12)),0)</f>
        <v/>
      </c>
      <c r="BQ12" s="18">
        <f>IF(AND(66&gt;=$NQ$12,66&lt;=$NR$12),IF($NO$12="Single_Point",IF(66=$NQ$12,$NM$12,0),IF($NO$12="Bell_Curve",$NM$12*(66-$NQ$12+1)*($NR$12-66+1)/$NT$12,$NM$12/$NS$12)),0)</f>
        <v/>
      </c>
      <c r="BR12" s="18">
        <f>IF(AND(67&gt;=$NQ$12,67&lt;=$NR$12),IF($NO$12="Single_Point",IF(67=$NQ$12,$NM$12,0),IF($NO$12="Bell_Curve",$NM$12*(67-$NQ$12+1)*($NR$12-67+1)/$NT$12,$NM$12/$NS$12)),0)</f>
        <v/>
      </c>
      <c r="BS12" s="18">
        <f>IF(AND(68&gt;=$NQ$12,68&lt;=$NR$12),IF($NO$12="Single_Point",IF(68=$NQ$12,$NM$12,0),IF($NO$12="Bell_Curve",$NM$12*(68-$NQ$12+1)*($NR$12-68+1)/$NT$12,$NM$12/$NS$12)),0)</f>
        <v/>
      </c>
      <c r="BT12" s="18">
        <f>IF(AND(69&gt;=$NQ$12,69&lt;=$NR$12),IF($NO$12="Single_Point",IF(69=$NQ$12,$NM$12,0),IF($NO$12="Bell_Curve",$NM$12*(69-$NQ$12+1)*($NR$12-69+1)/$NT$12,$NM$12/$NS$12)),0)</f>
        <v/>
      </c>
      <c r="BU12" s="18">
        <f>IF(AND(70&gt;=$NQ$12,70&lt;=$NR$12),IF($NO$12="Single_Point",IF(70=$NQ$12,$NM$12,0),IF($NO$12="Bell_Curve",$NM$12*(70-$NQ$12+1)*($NR$12-70+1)/$NT$12,$NM$12/$NS$12)),0)</f>
        <v/>
      </c>
      <c r="BV12" s="18">
        <f>IF(AND(71&gt;=$NQ$12,71&lt;=$NR$12),IF($NO$12="Single_Point",IF(71=$NQ$12,$NM$12,0),IF($NO$12="Bell_Curve",$NM$12*(71-$NQ$12+1)*($NR$12-71+1)/$NT$12,$NM$12/$NS$12)),0)</f>
        <v/>
      </c>
      <c r="BW12" s="18">
        <f>IF(AND(72&gt;=$NQ$12,72&lt;=$NR$12),IF($NO$12="Single_Point",IF(72=$NQ$12,$NM$12,0),IF($NO$12="Bell_Curve",$NM$12*(72-$NQ$12+1)*($NR$12-72+1)/$NT$12,$NM$12/$NS$12)),0)</f>
        <v/>
      </c>
      <c r="BX12" s="18">
        <f>IF(AND(73&gt;=$NQ$12,73&lt;=$NR$12),IF($NO$12="Single_Point",IF(73=$NQ$12,$NM$12,0),IF($NO$12="Bell_Curve",$NM$12*(73-$NQ$12+1)*($NR$12-73+1)/$NT$12,$NM$12/$NS$12)),0)</f>
        <v/>
      </c>
      <c r="BY12" s="18">
        <f>IF(AND(74&gt;=$NQ$12,74&lt;=$NR$12),IF($NO$12="Single_Point",IF(74=$NQ$12,$NM$12,0),IF($NO$12="Bell_Curve",$NM$12*(74-$NQ$12+1)*($NR$12-74+1)/$NT$12,$NM$12/$NS$12)),0)</f>
        <v/>
      </c>
      <c r="BZ12" s="18">
        <f>IF(AND(75&gt;=$NQ$12,75&lt;=$NR$12),IF($NO$12="Single_Point",IF(75=$NQ$12,$NM$12,0),IF($NO$12="Bell_Curve",$NM$12*(75-$NQ$12+1)*($NR$12-75+1)/$NT$12,$NM$12/$NS$12)),0)</f>
        <v/>
      </c>
      <c r="CA12" s="18">
        <f>IF(AND(76&gt;=$NQ$12,76&lt;=$NR$12),IF($NO$12="Single_Point",IF(76=$NQ$12,$NM$12,0),IF($NO$12="Bell_Curve",$NM$12*(76-$NQ$12+1)*($NR$12-76+1)/$NT$12,$NM$12/$NS$12)),0)</f>
        <v/>
      </c>
      <c r="CB12" s="18">
        <f>IF(AND(77&gt;=$NQ$12,77&lt;=$NR$12),IF($NO$12="Single_Point",IF(77=$NQ$12,$NM$12,0),IF($NO$12="Bell_Curve",$NM$12*(77-$NQ$12+1)*($NR$12-77+1)/$NT$12,$NM$12/$NS$12)),0)</f>
        <v/>
      </c>
      <c r="CC12" s="18">
        <f>IF(AND(78&gt;=$NQ$12,78&lt;=$NR$12),IF($NO$12="Single_Point",IF(78=$NQ$12,$NM$12,0),IF($NO$12="Bell_Curve",$NM$12*(78-$NQ$12+1)*($NR$12-78+1)/$NT$12,$NM$12/$NS$12)),0)</f>
        <v/>
      </c>
      <c r="CD12" s="18">
        <f>IF(AND(79&gt;=$NQ$12,79&lt;=$NR$12),IF($NO$12="Single_Point",IF(79=$NQ$12,$NM$12,0),IF($NO$12="Bell_Curve",$NM$12*(79-$NQ$12+1)*($NR$12-79+1)/$NT$12,$NM$12/$NS$12)),0)</f>
        <v/>
      </c>
      <c r="CE12" s="18">
        <f>IF(AND(80&gt;=$NQ$12,80&lt;=$NR$12),IF($NO$12="Single_Point",IF(80=$NQ$12,$NM$12,0),IF($NO$12="Bell_Curve",$NM$12*(80-$NQ$12+1)*($NR$12-80+1)/$NT$12,$NM$12/$NS$12)),0)</f>
        <v/>
      </c>
      <c r="CF12" s="18">
        <f>IF(AND(81&gt;=$NQ$12,81&lt;=$NR$12),IF($NO$12="Single_Point",IF(81=$NQ$12,$NM$12,0),IF($NO$12="Bell_Curve",$NM$12*(81-$NQ$12+1)*($NR$12-81+1)/$NT$12,$NM$12/$NS$12)),0)</f>
        <v/>
      </c>
      <c r="CG12" s="18">
        <f>IF(AND(82&gt;=$NQ$12,82&lt;=$NR$12),IF($NO$12="Single_Point",IF(82=$NQ$12,$NM$12,0),IF($NO$12="Bell_Curve",$NM$12*(82-$NQ$12+1)*($NR$12-82+1)/$NT$12,$NM$12/$NS$12)),0)</f>
        <v/>
      </c>
      <c r="CH12" s="18">
        <f>IF(AND(83&gt;=$NQ$12,83&lt;=$NR$12),IF($NO$12="Single_Point",IF(83=$NQ$12,$NM$12,0),IF($NO$12="Bell_Curve",$NM$12*(83-$NQ$12+1)*($NR$12-83+1)/$NT$12,$NM$12/$NS$12)),0)</f>
        <v/>
      </c>
      <c r="CI12" s="18">
        <f>IF(AND(84&gt;=$NQ$12,84&lt;=$NR$12),IF($NO$12="Single_Point",IF(84=$NQ$12,$NM$12,0),IF($NO$12="Bell_Curve",$NM$12*(84-$NQ$12+1)*($NR$12-84+1)/$NT$12,$NM$12/$NS$12)),0)</f>
        <v/>
      </c>
      <c r="CJ12" s="18">
        <f>IF(AND(85&gt;=$NQ$12,85&lt;=$NR$12),IF($NO$12="Single_Point",IF(85=$NQ$12,$NM$12,0),IF($NO$12="Bell_Curve",$NM$12*(85-$NQ$12+1)*($NR$12-85+1)/$NT$12,$NM$12/$NS$12)),0)</f>
        <v/>
      </c>
      <c r="CK12" s="18">
        <f>IF(AND(86&gt;=$NQ$12,86&lt;=$NR$12),IF($NO$12="Single_Point",IF(86=$NQ$12,$NM$12,0),IF($NO$12="Bell_Curve",$NM$12*(86-$NQ$12+1)*($NR$12-86+1)/$NT$12,$NM$12/$NS$12)),0)</f>
        <v/>
      </c>
      <c r="CL12" s="18">
        <f>IF(AND(87&gt;=$NQ$12,87&lt;=$NR$12),IF($NO$12="Single_Point",IF(87=$NQ$12,$NM$12,0),IF($NO$12="Bell_Curve",$NM$12*(87-$NQ$12+1)*($NR$12-87+1)/$NT$12,$NM$12/$NS$12)),0)</f>
        <v/>
      </c>
      <c r="CM12" s="18">
        <f>IF(AND(88&gt;=$NQ$12,88&lt;=$NR$12),IF($NO$12="Single_Point",IF(88=$NQ$12,$NM$12,0),IF($NO$12="Bell_Curve",$NM$12*(88-$NQ$12+1)*($NR$12-88+1)/$NT$12,$NM$12/$NS$12)),0)</f>
        <v/>
      </c>
      <c r="CN12" s="18">
        <f>IF(AND(89&gt;=$NQ$12,89&lt;=$NR$12),IF($NO$12="Single_Point",IF(89=$NQ$12,$NM$12,0),IF($NO$12="Bell_Curve",$NM$12*(89-$NQ$12+1)*($NR$12-89+1)/$NT$12,$NM$12/$NS$12)),0)</f>
        <v/>
      </c>
      <c r="CO12" s="18">
        <f>IF(AND(90&gt;=$NQ$12,90&lt;=$NR$12),IF($NO$12="Single_Point",IF(90=$NQ$12,$NM$12,0),IF($NO$12="Bell_Curve",$NM$12*(90-$NQ$12+1)*($NR$12-90+1)/$NT$12,$NM$12/$NS$12)),0)</f>
        <v/>
      </c>
      <c r="CP12" s="18">
        <f>IF(AND(91&gt;=$NQ$12,91&lt;=$NR$12),IF($NO$12="Single_Point",IF(91=$NQ$12,$NM$12,0),IF($NO$12="Bell_Curve",$NM$12*(91-$NQ$12+1)*($NR$12-91+1)/$NT$12,$NM$12/$NS$12)),0)</f>
        <v/>
      </c>
      <c r="CQ12" s="18">
        <f>IF(AND(92&gt;=$NQ$12,92&lt;=$NR$12),IF($NO$12="Single_Point",IF(92=$NQ$12,$NM$12,0),IF($NO$12="Bell_Curve",$NM$12*(92-$NQ$12+1)*($NR$12-92+1)/$NT$12,$NM$12/$NS$12)),0)</f>
        <v/>
      </c>
      <c r="CR12" s="18">
        <f>IF(AND(93&gt;=$NQ$12,93&lt;=$NR$12),IF($NO$12="Single_Point",IF(93=$NQ$12,$NM$12,0),IF($NO$12="Bell_Curve",$NM$12*(93-$NQ$12+1)*($NR$12-93+1)/$NT$12,$NM$12/$NS$12)),0)</f>
        <v/>
      </c>
      <c r="CS12" s="18">
        <f>IF(AND(94&gt;=$NQ$12,94&lt;=$NR$12),IF($NO$12="Single_Point",IF(94=$NQ$12,$NM$12,0),IF($NO$12="Bell_Curve",$NM$12*(94-$NQ$12+1)*($NR$12-94+1)/$NT$12,$NM$12/$NS$12)),0)</f>
        <v/>
      </c>
      <c r="CT12" s="18">
        <f>IF(AND(95&gt;=$NQ$12,95&lt;=$NR$12),IF($NO$12="Single_Point",IF(95=$NQ$12,$NM$12,0),IF($NO$12="Bell_Curve",$NM$12*(95-$NQ$12+1)*($NR$12-95+1)/$NT$12,$NM$12/$NS$12)),0)</f>
        <v/>
      </c>
      <c r="CU12" s="18">
        <f>IF(AND(96&gt;=$NQ$12,96&lt;=$NR$12),IF($NO$12="Single_Point",IF(96=$NQ$12,$NM$12,0),IF($NO$12="Bell_Curve",$NM$12*(96-$NQ$12+1)*($NR$12-96+1)/$NT$12,$NM$12/$NS$12)),0)</f>
        <v/>
      </c>
      <c r="CV12" s="18">
        <f>IF(AND(97&gt;=$NQ$12,97&lt;=$NR$12),IF($NO$12="Single_Point",IF(97=$NQ$12,$NM$12,0),IF($NO$12="Bell_Curve",$NM$12*(97-$NQ$12+1)*($NR$12-97+1)/$NT$12,$NM$12/$NS$12)),0)</f>
        <v/>
      </c>
      <c r="CW12" s="18">
        <f>IF(AND(98&gt;=$NQ$12,98&lt;=$NR$12),IF($NO$12="Single_Point",IF(98=$NQ$12,$NM$12,0),IF($NO$12="Bell_Curve",$NM$12*(98-$NQ$12+1)*($NR$12-98+1)/$NT$12,$NM$12/$NS$12)),0)</f>
        <v/>
      </c>
      <c r="CX12" s="18">
        <f>IF(AND(99&gt;=$NQ$12,99&lt;=$NR$12),IF($NO$12="Single_Point",IF(99=$NQ$12,$NM$12,0),IF($NO$12="Bell_Curve",$NM$12*(99-$NQ$12+1)*($NR$12-99+1)/$NT$12,$NM$12/$NS$12)),0)</f>
        <v/>
      </c>
      <c r="CY12" s="18">
        <f>IF(AND(100&gt;=$NQ$12,100&lt;=$NR$12),IF($NO$12="Single_Point",IF(100=$NQ$12,$NM$12,0),IF($NO$12="Bell_Curve",$NM$12*(100-$NQ$12+1)*($NR$12-100+1)/$NT$12,$NM$12/$NS$12)),0)</f>
        <v/>
      </c>
      <c r="CZ12" s="18">
        <f>IF(AND(101&gt;=$NQ$12,101&lt;=$NR$12),IF($NO$12="Single_Point",IF(101=$NQ$12,$NM$12,0),IF($NO$12="Bell_Curve",$NM$12*(101-$NQ$12+1)*($NR$12-101+1)/$NT$12,$NM$12/$NS$12)),0)</f>
        <v/>
      </c>
      <c r="DA12" s="18">
        <f>IF(AND(102&gt;=$NQ$12,102&lt;=$NR$12),IF($NO$12="Single_Point",IF(102=$NQ$12,$NM$12,0),IF($NO$12="Bell_Curve",$NM$12*(102-$NQ$12+1)*($NR$12-102+1)/$NT$12,$NM$12/$NS$12)),0)</f>
        <v/>
      </c>
      <c r="DB12" s="18">
        <f>IF(AND(103&gt;=$NQ$12,103&lt;=$NR$12),IF($NO$12="Single_Point",IF(103=$NQ$12,$NM$12,0),IF($NO$12="Bell_Curve",$NM$12*(103-$NQ$12+1)*($NR$12-103+1)/$NT$12,$NM$12/$NS$12)),0)</f>
        <v/>
      </c>
      <c r="DC12" s="18">
        <f>IF(AND(104&gt;=$NQ$12,104&lt;=$NR$12),IF($NO$12="Single_Point",IF(104=$NQ$12,$NM$12,0),IF($NO$12="Bell_Curve",$NM$12*(104-$NQ$12+1)*($NR$12-104+1)/$NT$12,$NM$12/$NS$12)),0)</f>
        <v/>
      </c>
      <c r="DD12" s="18">
        <f>IF(AND(105&gt;=$NQ$12,105&lt;=$NR$12),IF($NO$12="Single_Point",IF(105=$NQ$12,$NM$12,0),IF($NO$12="Bell_Curve",$NM$12*(105-$NQ$12+1)*($NR$12-105+1)/$NT$12,$NM$12/$NS$12)),0)</f>
        <v/>
      </c>
      <c r="DE12" s="18">
        <f>IF(AND(106&gt;=$NQ$12,106&lt;=$NR$12),IF($NO$12="Single_Point",IF(106=$NQ$12,$NM$12,0),IF($NO$12="Bell_Curve",$NM$12*(106-$NQ$12+1)*($NR$12-106+1)/$NT$12,$NM$12/$NS$12)),0)</f>
        <v/>
      </c>
      <c r="DF12" s="18">
        <f>IF(AND(107&gt;=$NQ$12,107&lt;=$NR$12),IF($NO$12="Single_Point",IF(107=$NQ$12,$NM$12,0),IF($NO$12="Bell_Curve",$NM$12*(107-$NQ$12+1)*($NR$12-107+1)/$NT$12,$NM$12/$NS$12)),0)</f>
        <v/>
      </c>
      <c r="DG12" s="18">
        <f>IF(AND(108&gt;=$NQ$12,108&lt;=$NR$12),IF($NO$12="Single_Point",IF(108=$NQ$12,$NM$12,0),IF($NO$12="Bell_Curve",$NM$12*(108-$NQ$12+1)*($NR$12-108+1)/$NT$12,$NM$12/$NS$12)),0)</f>
        <v/>
      </c>
      <c r="DH12" s="18">
        <f>IF(AND(109&gt;=$NQ$12,109&lt;=$NR$12),IF($NO$12="Single_Point",IF(109=$NQ$12,$NM$12,0),IF($NO$12="Bell_Curve",$NM$12*(109-$NQ$12+1)*($NR$12-109+1)/$NT$12,$NM$12/$NS$12)),0)</f>
        <v/>
      </c>
      <c r="DI12" s="18">
        <f>IF(AND(110&gt;=$NQ$12,110&lt;=$NR$12),IF($NO$12="Single_Point",IF(110=$NQ$12,$NM$12,0),IF($NO$12="Bell_Curve",$NM$12*(110-$NQ$12+1)*($NR$12-110+1)/$NT$12,$NM$12/$NS$12)),0)</f>
        <v/>
      </c>
      <c r="DJ12" s="18">
        <f>IF(AND(111&gt;=$NQ$12,111&lt;=$NR$12),IF($NO$12="Single_Point",IF(111=$NQ$12,$NM$12,0),IF($NO$12="Bell_Curve",$NM$12*(111-$NQ$12+1)*($NR$12-111+1)/$NT$12,$NM$12/$NS$12)),0)</f>
        <v/>
      </c>
      <c r="DK12" s="18">
        <f>IF(AND(112&gt;=$NQ$12,112&lt;=$NR$12),IF($NO$12="Single_Point",IF(112=$NQ$12,$NM$12,0),IF($NO$12="Bell_Curve",$NM$12*(112-$NQ$12+1)*($NR$12-112+1)/$NT$12,$NM$12/$NS$12)),0)</f>
        <v/>
      </c>
      <c r="DL12" s="18">
        <f>IF(AND(113&gt;=$NQ$12,113&lt;=$NR$12),IF($NO$12="Single_Point",IF(113=$NQ$12,$NM$12,0),IF($NO$12="Bell_Curve",$NM$12*(113-$NQ$12+1)*($NR$12-113+1)/$NT$12,$NM$12/$NS$12)),0)</f>
        <v/>
      </c>
      <c r="DM12" s="18">
        <f>IF(AND(114&gt;=$NQ$12,114&lt;=$NR$12),IF($NO$12="Single_Point",IF(114=$NQ$12,$NM$12,0),IF($NO$12="Bell_Curve",$NM$12*(114-$NQ$12+1)*($NR$12-114+1)/$NT$12,$NM$12/$NS$12)),0)</f>
        <v/>
      </c>
      <c r="DN12" s="18">
        <f>IF(AND(115&gt;=$NQ$12,115&lt;=$NR$12),IF($NO$12="Single_Point",IF(115=$NQ$12,$NM$12,0),IF($NO$12="Bell_Curve",$NM$12*(115-$NQ$12+1)*($NR$12-115+1)/$NT$12,$NM$12/$NS$12)),0)</f>
        <v/>
      </c>
      <c r="DO12" s="18">
        <f>IF(AND(116&gt;=$NQ$12,116&lt;=$NR$12),IF($NO$12="Single_Point",IF(116=$NQ$12,$NM$12,0),IF($NO$12="Bell_Curve",$NM$12*(116-$NQ$12+1)*($NR$12-116+1)/$NT$12,$NM$12/$NS$12)),0)</f>
        <v/>
      </c>
      <c r="DP12" s="18">
        <f>IF(AND(117&gt;=$NQ$12,117&lt;=$NR$12),IF($NO$12="Single_Point",IF(117=$NQ$12,$NM$12,0),IF($NO$12="Bell_Curve",$NM$12*(117-$NQ$12+1)*($NR$12-117+1)/$NT$12,$NM$12/$NS$12)),0)</f>
        <v/>
      </c>
      <c r="DQ12" s="18">
        <f>IF(AND(118&gt;=$NQ$12,118&lt;=$NR$12),IF($NO$12="Single_Point",IF(118=$NQ$12,$NM$12,0),IF($NO$12="Bell_Curve",$NM$12*(118-$NQ$12+1)*($NR$12-118+1)/$NT$12,$NM$12/$NS$12)),0)</f>
        <v/>
      </c>
      <c r="DR12" s="18">
        <f>IF(AND(119&gt;=$NQ$12,119&lt;=$NR$12),IF($NO$12="Single_Point",IF(119=$NQ$12,$NM$12,0),IF($NO$12="Bell_Curve",$NM$12*(119-$NQ$12+1)*($NR$12-119+1)/$NT$12,$NM$12/$NS$12)),0)</f>
        <v/>
      </c>
      <c r="DS12" s="18">
        <f>IF(AND(120&gt;=$NQ$12,120&lt;=$NR$12),IF($NO$12="Single_Point",IF(120=$NQ$12,$NM$12,0),IF($NO$12="Bell_Curve",$NM$12*(120-$NQ$12+1)*($NR$12-120+1)/$NT$12,$NM$12/$NS$12)),0)</f>
        <v/>
      </c>
      <c r="DT12" s="18">
        <f>IF(AND(121&gt;=$NQ$12,121&lt;=$NR$12),IF($NO$12="Single_Point",IF(121=$NQ$12,$NM$12,0),IF($NO$12="Bell_Curve",$NM$12*(121-$NQ$12+1)*($NR$12-121+1)/$NT$12,$NM$12/$NS$12)),0)</f>
        <v/>
      </c>
      <c r="DU12" s="18">
        <f>IF(AND(122&gt;=$NQ$12,122&lt;=$NR$12),IF($NO$12="Single_Point",IF(122=$NQ$12,$NM$12,0),IF($NO$12="Bell_Curve",$NM$12*(122-$NQ$12+1)*($NR$12-122+1)/$NT$12,$NM$12/$NS$12)),0)</f>
        <v/>
      </c>
      <c r="DV12" s="18">
        <f>IF(AND(123&gt;=$NQ$12,123&lt;=$NR$12),IF($NO$12="Single_Point",IF(123=$NQ$12,$NM$12,0),IF($NO$12="Bell_Curve",$NM$12*(123-$NQ$12+1)*($NR$12-123+1)/$NT$12,$NM$12/$NS$12)),0)</f>
        <v/>
      </c>
      <c r="DW12" s="18">
        <f>IF(AND(124&gt;=$NQ$12,124&lt;=$NR$12),IF($NO$12="Single_Point",IF(124=$NQ$12,$NM$12,0),IF($NO$12="Bell_Curve",$NM$12*(124-$NQ$12+1)*($NR$12-124+1)/$NT$12,$NM$12/$NS$12)),0)</f>
        <v/>
      </c>
      <c r="DX12" s="18">
        <f>IF(AND(125&gt;=$NQ$12,125&lt;=$NR$12),IF($NO$12="Single_Point",IF(125=$NQ$12,$NM$12,0),IF($NO$12="Bell_Curve",$NM$12*(125-$NQ$12+1)*($NR$12-125+1)/$NT$12,$NM$12/$NS$12)),0)</f>
        <v/>
      </c>
      <c r="DY12" s="18">
        <f>IF(AND(126&gt;=$NQ$12,126&lt;=$NR$12),IF($NO$12="Single_Point",IF(126=$NQ$12,$NM$12,0),IF($NO$12="Bell_Curve",$NM$12*(126-$NQ$12+1)*($NR$12-126+1)/$NT$12,$NM$12/$NS$12)),0)</f>
        <v/>
      </c>
      <c r="DZ12" s="18">
        <f>IF(AND(127&gt;=$NQ$12,127&lt;=$NR$12),IF($NO$12="Single_Point",IF(127=$NQ$12,$NM$12,0),IF($NO$12="Bell_Curve",$NM$12*(127-$NQ$12+1)*($NR$12-127+1)/$NT$12,$NM$12/$NS$12)),0)</f>
        <v/>
      </c>
      <c r="EA12" s="18">
        <f>IF(AND(128&gt;=$NQ$12,128&lt;=$NR$12),IF($NO$12="Single_Point",IF(128=$NQ$12,$NM$12,0),IF($NO$12="Bell_Curve",$NM$12*(128-$NQ$12+1)*($NR$12-128+1)/$NT$12,$NM$12/$NS$12)),0)</f>
        <v/>
      </c>
      <c r="EB12" s="18">
        <f>IF(AND(129&gt;=$NQ$12,129&lt;=$NR$12),IF($NO$12="Single_Point",IF(129=$NQ$12,$NM$12,0),IF($NO$12="Bell_Curve",$NM$12*(129-$NQ$12+1)*($NR$12-129+1)/$NT$12,$NM$12/$NS$12)),0)</f>
        <v/>
      </c>
      <c r="EC12" s="18">
        <f>IF(AND(130&gt;=$NQ$12,130&lt;=$NR$12),IF($NO$12="Single_Point",IF(130=$NQ$12,$NM$12,0),IF($NO$12="Bell_Curve",$NM$12*(130-$NQ$12+1)*($NR$12-130+1)/$NT$12,$NM$12/$NS$12)),0)</f>
        <v/>
      </c>
      <c r="ED12" s="18">
        <f>IF(AND(131&gt;=$NQ$12,131&lt;=$NR$12),IF($NO$12="Single_Point",IF(131=$NQ$12,$NM$12,0),IF($NO$12="Bell_Curve",$NM$12*(131-$NQ$12+1)*($NR$12-131+1)/$NT$12,$NM$12/$NS$12)),0)</f>
        <v/>
      </c>
      <c r="EE12" s="18">
        <f>IF(AND(132&gt;=$NQ$12,132&lt;=$NR$12),IF($NO$12="Single_Point",IF(132=$NQ$12,$NM$12,0),IF($NO$12="Bell_Curve",$NM$12*(132-$NQ$12+1)*($NR$12-132+1)/$NT$12,$NM$12/$NS$12)),0)</f>
        <v/>
      </c>
      <c r="EF12" s="18">
        <f>IF(AND(133&gt;=$NQ$12,133&lt;=$NR$12),IF($NO$12="Single_Point",IF(133=$NQ$12,$NM$12,0),IF($NO$12="Bell_Curve",$NM$12*(133-$NQ$12+1)*($NR$12-133+1)/$NT$12,$NM$12/$NS$12)),0)</f>
        <v/>
      </c>
      <c r="EG12" s="18">
        <f>IF(AND(134&gt;=$NQ$12,134&lt;=$NR$12),IF($NO$12="Single_Point",IF(134=$NQ$12,$NM$12,0),IF($NO$12="Bell_Curve",$NM$12*(134-$NQ$12+1)*($NR$12-134+1)/$NT$12,$NM$12/$NS$12)),0)</f>
        <v/>
      </c>
      <c r="EH12" s="18">
        <f>IF(AND(135&gt;=$NQ$12,135&lt;=$NR$12),IF($NO$12="Single_Point",IF(135=$NQ$12,$NM$12,0),IF($NO$12="Bell_Curve",$NM$12*(135-$NQ$12+1)*($NR$12-135+1)/$NT$12,$NM$12/$NS$12)),0)</f>
        <v/>
      </c>
      <c r="EI12" s="18">
        <f>IF(AND(136&gt;=$NQ$12,136&lt;=$NR$12),IF($NO$12="Single_Point",IF(136=$NQ$12,$NM$12,0),IF($NO$12="Bell_Curve",$NM$12*(136-$NQ$12+1)*($NR$12-136+1)/$NT$12,$NM$12/$NS$12)),0)</f>
        <v/>
      </c>
      <c r="EJ12" s="18">
        <f>IF(AND(137&gt;=$NQ$12,137&lt;=$NR$12),IF($NO$12="Single_Point",IF(137=$NQ$12,$NM$12,0),IF($NO$12="Bell_Curve",$NM$12*(137-$NQ$12+1)*($NR$12-137+1)/$NT$12,$NM$12/$NS$12)),0)</f>
        <v/>
      </c>
      <c r="EK12" s="18">
        <f>IF(AND(138&gt;=$NQ$12,138&lt;=$NR$12),IF($NO$12="Single_Point",IF(138=$NQ$12,$NM$12,0),IF($NO$12="Bell_Curve",$NM$12*(138-$NQ$12+1)*($NR$12-138+1)/$NT$12,$NM$12/$NS$12)),0)</f>
        <v/>
      </c>
      <c r="EL12" s="18">
        <f>IF(AND(139&gt;=$NQ$12,139&lt;=$NR$12),IF($NO$12="Single_Point",IF(139=$NQ$12,$NM$12,0),IF($NO$12="Bell_Curve",$NM$12*(139-$NQ$12+1)*($NR$12-139+1)/$NT$12,$NM$12/$NS$12)),0)</f>
        <v/>
      </c>
      <c r="EM12" s="18">
        <f>IF(AND(140&gt;=$NQ$12,140&lt;=$NR$12),IF($NO$12="Single_Point",IF(140=$NQ$12,$NM$12,0),IF($NO$12="Bell_Curve",$NM$12*(140-$NQ$12+1)*($NR$12-140+1)/$NT$12,$NM$12/$NS$12)),0)</f>
        <v/>
      </c>
      <c r="EN12" s="18">
        <f>IF(AND(141&gt;=$NQ$12,141&lt;=$NR$12),IF($NO$12="Single_Point",IF(141=$NQ$12,$NM$12,0),IF($NO$12="Bell_Curve",$NM$12*(141-$NQ$12+1)*($NR$12-141+1)/$NT$12,$NM$12/$NS$12)),0)</f>
        <v/>
      </c>
      <c r="EO12" s="18">
        <f>IF(AND(142&gt;=$NQ$12,142&lt;=$NR$12),IF($NO$12="Single_Point",IF(142=$NQ$12,$NM$12,0),IF($NO$12="Bell_Curve",$NM$12*(142-$NQ$12+1)*($NR$12-142+1)/$NT$12,$NM$12/$NS$12)),0)</f>
        <v/>
      </c>
      <c r="EP12" s="18">
        <f>IF(AND(143&gt;=$NQ$12,143&lt;=$NR$12),IF($NO$12="Single_Point",IF(143=$NQ$12,$NM$12,0),IF($NO$12="Bell_Curve",$NM$12*(143-$NQ$12+1)*($NR$12-143+1)/$NT$12,$NM$12/$NS$12)),0)</f>
        <v/>
      </c>
      <c r="EQ12" s="18">
        <f>IF(AND(144&gt;=$NQ$12,144&lt;=$NR$12),IF($NO$12="Single_Point",IF(144=$NQ$12,$NM$12,0),IF($NO$12="Bell_Curve",$NM$12*(144-$NQ$12+1)*($NR$12-144+1)/$NT$12,$NM$12/$NS$12)),0)</f>
        <v/>
      </c>
      <c r="ER12" s="18">
        <f>IF(AND(145&gt;=$NQ$12,145&lt;=$NR$12),IF($NO$12="Single_Point",IF(145=$NQ$12,$NM$12,0),IF($NO$12="Bell_Curve",$NM$12*(145-$NQ$12+1)*($NR$12-145+1)/$NT$12,$NM$12/$NS$12)),0)</f>
        <v/>
      </c>
      <c r="ES12" s="18">
        <f>IF(AND(146&gt;=$NQ$12,146&lt;=$NR$12),IF($NO$12="Single_Point",IF(146=$NQ$12,$NM$12,0),IF($NO$12="Bell_Curve",$NM$12*(146-$NQ$12+1)*($NR$12-146+1)/$NT$12,$NM$12/$NS$12)),0)</f>
        <v/>
      </c>
      <c r="ET12" s="18">
        <f>IF(AND(147&gt;=$NQ$12,147&lt;=$NR$12),IF($NO$12="Single_Point",IF(147=$NQ$12,$NM$12,0),IF($NO$12="Bell_Curve",$NM$12*(147-$NQ$12+1)*($NR$12-147+1)/$NT$12,$NM$12/$NS$12)),0)</f>
        <v/>
      </c>
      <c r="EU12" s="18">
        <f>IF(AND(148&gt;=$NQ$12,148&lt;=$NR$12),IF($NO$12="Single_Point",IF(148=$NQ$12,$NM$12,0),IF($NO$12="Bell_Curve",$NM$12*(148-$NQ$12+1)*($NR$12-148+1)/$NT$12,$NM$12/$NS$12)),0)</f>
        <v/>
      </c>
      <c r="EV12" s="18">
        <f>IF(AND(149&gt;=$NQ$12,149&lt;=$NR$12),IF($NO$12="Single_Point",IF(149=$NQ$12,$NM$12,0),IF($NO$12="Bell_Curve",$NM$12*(149-$NQ$12+1)*($NR$12-149+1)/$NT$12,$NM$12/$NS$12)),0)</f>
        <v/>
      </c>
      <c r="EW12" s="18">
        <f>IF(AND(150&gt;=$NQ$12,150&lt;=$NR$12),IF($NO$12="Single_Point",IF(150=$NQ$12,$NM$12,0),IF($NO$12="Bell_Curve",$NM$12*(150-$NQ$12+1)*($NR$12-150+1)/$NT$12,$NM$12/$NS$12)),0)</f>
        <v/>
      </c>
      <c r="EX12" s="18">
        <f>IF(AND(151&gt;=$NQ$12,151&lt;=$NR$12),IF($NO$12="Single_Point",IF(151=$NQ$12,$NM$12,0),IF($NO$12="Bell_Curve",$NM$12*(151-$NQ$12+1)*($NR$12-151+1)/$NT$12,$NM$12/$NS$12)),0)</f>
        <v/>
      </c>
      <c r="EY12" s="18">
        <f>IF(AND(152&gt;=$NQ$12,152&lt;=$NR$12),IF($NO$12="Single_Point",IF(152=$NQ$12,$NM$12,0),IF($NO$12="Bell_Curve",$NM$12*(152-$NQ$12+1)*($NR$12-152+1)/$NT$12,$NM$12/$NS$12)),0)</f>
        <v/>
      </c>
      <c r="EZ12" s="18">
        <f>IF(AND(153&gt;=$NQ$12,153&lt;=$NR$12),IF($NO$12="Single_Point",IF(153=$NQ$12,$NM$12,0),IF($NO$12="Bell_Curve",$NM$12*(153-$NQ$12+1)*($NR$12-153+1)/$NT$12,$NM$12/$NS$12)),0)</f>
        <v/>
      </c>
      <c r="FA12" s="18">
        <f>IF(AND(154&gt;=$NQ$12,154&lt;=$NR$12),IF($NO$12="Single_Point",IF(154=$NQ$12,$NM$12,0),IF($NO$12="Bell_Curve",$NM$12*(154-$NQ$12+1)*($NR$12-154+1)/$NT$12,$NM$12/$NS$12)),0)</f>
        <v/>
      </c>
      <c r="FB12" s="18">
        <f>IF(AND(155&gt;=$NQ$12,155&lt;=$NR$12),IF($NO$12="Single_Point",IF(155=$NQ$12,$NM$12,0),IF($NO$12="Bell_Curve",$NM$12*(155-$NQ$12+1)*($NR$12-155+1)/$NT$12,$NM$12/$NS$12)),0)</f>
        <v/>
      </c>
      <c r="FC12" s="18">
        <f>IF(AND(156&gt;=$NQ$12,156&lt;=$NR$12),IF($NO$12="Single_Point",IF(156=$NQ$12,$NM$12,0),IF($NO$12="Bell_Curve",$NM$12*(156-$NQ$12+1)*($NR$12-156+1)/$NT$12,$NM$12/$NS$12)),0)</f>
        <v/>
      </c>
      <c r="FD12" s="18">
        <f>IF(AND(157&gt;=$NQ$12,157&lt;=$NR$12),IF($NO$12="Single_Point",IF(157=$NQ$12,$NM$12,0),IF($NO$12="Bell_Curve",$NM$12*(157-$NQ$12+1)*($NR$12-157+1)/$NT$12,$NM$12/$NS$12)),0)</f>
        <v/>
      </c>
      <c r="FE12" s="18">
        <f>IF(AND(158&gt;=$NQ$12,158&lt;=$NR$12),IF($NO$12="Single_Point",IF(158=$NQ$12,$NM$12,0),IF($NO$12="Bell_Curve",$NM$12*(158-$NQ$12+1)*($NR$12-158+1)/$NT$12,$NM$12/$NS$12)),0)</f>
        <v/>
      </c>
      <c r="FF12" s="18">
        <f>IF(AND(159&gt;=$NQ$12,159&lt;=$NR$12),IF($NO$12="Single_Point",IF(159=$NQ$12,$NM$12,0),IF($NO$12="Bell_Curve",$NM$12*(159-$NQ$12+1)*($NR$12-159+1)/$NT$12,$NM$12/$NS$12)),0)</f>
        <v/>
      </c>
      <c r="FG12" s="18">
        <f>IF(AND(160&gt;=$NQ$12,160&lt;=$NR$12),IF($NO$12="Single_Point",IF(160=$NQ$12,$NM$12,0),IF($NO$12="Bell_Curve",$NM$12*(160-$NQ$12+1)*($NR$12-160+1)/$NT$12,$NM$12/$NS$12)),0)</f>
        <v/>
      </c>
      <c r="FH12" s="18">
        <f>IF(AND(161&gt;=$NQ$12,161&lt;=$NR$12),IF($NO$12="Single_Point",IF(161=$NQ$12,$NM$12,0),IF($NO$12="Bell_Curve",$NM$12*(161-$NQ$12+1)*($NR$12-161+1)/$NT$12,$NM$12/$NS$12)),0)</f>
        <v/>
      </c>
      <c r="FI12" s="18">
        <f>IF(AND(162&gt;=$NQ$12,162&lt;=$NR$12),IF($NO$12="Single_Point",IF(162=$NQ$12,$NM$12,0),IF($NO$12="Bell_Curve",$NM$12*(162-$NQ$12+1)*($NR$12-162+1)/$NT$12,$NM$12/$NS$12)),0)</f>
        <v/>
      </c>
      <c r="FJ12" s="18">
        <f>IF(AND(163&gt;=$NQ$12,163&lt;=$NR$12),IF($NO$12="Single_Point",IF(163=$NQ$12,$NM$12,0),IF($NO$12="Bell_Curve",$NM$12*(163-$NQ$12+1)*($NR$12-163+1)/$NT$12,$NM$12/$NS$12)),0)</f>
        <v/>
      </c>
      <c r="FK12" s="18">
        <f>IF(AND(164&gt;=$NQ$12,164&lt;=$NR$12),IF($NO$12="Single_Point",IF(164=$NQ$12,$NM$12,0),IF($NO$12="Bell_Curve",$NM$12*(164-$NQ$12+1)*($NR$12-164+1)/$NT$12,$NM$12/$NS$12)),0)</f>
        <v/>
      </c>
      <c r="FL12" s="18">
        <f>IF(AND(165&gt;=$NQ$12,165&lt;=$NR$12),IF($NO$12="Single_Point",IF(165=$NQ$12,$NM$12,0),IF($NO$12="Bell_Curve",$NM$12*(165-$NQ$12+1)*($NR$12-165+1)/$NT$12,$NM$12/$NS$12)),0)</f>
        <v/>
      </c>
      <c r="FM12" s="18">
        <f>IF(AND(166&gt;=$NQ$12,166&lt;=$NR$12),IF($NO$12="Single_Point",IF(166=$NQ$12,$NM$12,0),IF($NO$12="Bell_Curve",$NM$12*(166-$NQ$12+1)*($NR$12-166+1)/$NT$12,$NM$12/$NS$12)),0)</f>
        <v/>
      </c>
      <c r="FN12" s="18">
        <f>IF(AND(167&gt;=$NQ$12,167&lt;=$NR$12),IF($NO$12="Single_Point",IF(167=$NQ$12,$NM$12,0),IF($NO$12="Bell_Curve",$NM$12*(167-$NQ$12+1)*($NR$12-167+1)/$NT$12,$NM$12/$NS$12)),0)</f>
        <v/>
      </c>
      <c r="FO12" s="18">
        <f>IF(AND(168&gt;=$NQ$12,168&lt;=$NR$12),IF($NO$12="Single_Point",IF(168=$NQ$12,$NM$12,0),IF($NO$12="Bell_Curve",$NM$12*(168-$NQ$12+1)*($NR$12-168+1)/$NT$12,$NM$12/$NS$12)),0)</f>
        <v/>
      </c>
      <c r="FP12" s="18">
        <f>IF(AND(169&gt;=$NQ$12,169&lt;=$NR$12),IF($NO$12="Single_Point",IF(169=$NQ$12,$NM$12,0),IF($NO$12="Bell_Curve",$NM$12*(169-$NQ$12+1)*($NR$12-169+1)/$NT$12,$NM$12/$NS$12)),0)</f>
        <v/>
      </c>
      <c r="FQ12" s="18">
        <f>IF(AND(170&gt;=$NQ$12,170&lt;=$NR$12),IF($NO$12="Single_Point",IF(170=$NQ$12,$NM$12,0),IF($NO$12="Bell_Curve",$NM$12*(170-$NQ$12+1)*($NR$12-170+1)/$NT$12,$NM$12/$NS$12)),0)</f>
        <v/>
      </c>
      <c r="FR12" s="18">
        <f>IF(AND(171&gt;=$NQ$12,171&lt;=$NR$12),IF($NO$12="Single_Point",IF(171=$NQ$12,$NM$12,0),IF($NO$12="Bell_Curve",$NM$12*(171-$NQ$12+1)*($NR$12-171+1)/$NT$12,$NM$12/$NS$12)),0)</f>
        <v/>
      </c>
      <c r="FS12" s="18">
        <f>IF(AND(172&gt;=$NQ$12,172&lt;=$NR$12),IF($NO$12="Single_Point",IF(172=$NQ$12,$NM$12,0),IF($NO$12="Bell_Curve",$NM$12*(172-$NQ$12+1)*($NR$12-172+1)/$NT$12,$NM$12/$NS$12)),0)</f>
        <v/>
      </c>
      <c r="FT12" s="18">
        <f>IF(AND(173&gt;=$NQ$12,173&lt;=$NR$12),IF($NO$12="Single_Point",IF(173=$NQ$12,$NM$12,0),IF($NO$12="Bell_Curve",$NM$12*(173-$NQ$12+1)*($NR$12-173+1)/$NT$12,$NM$12/$NS$12)),0)</f>
        <v/>
      </c>
      <c r="FU12" s="18">
        <f>IF(AND(174&gt;=$NQ$12,174&lt;=$NR$12),IF($NO$12="Single_Point",IF(174=$NQ$12,$NM$12,0),IF($NO$12="Bell_Curve",$NM$12*(174-$NQ$12+1)*($NR$12-174+1)/$NT$12,$NM$12/$NS$12)),0)</f>
        <v/>
      </c>
      <c r="FV12" s="18">
        <f>IF(AND(175&gt;=$NQ$12,175&lt;=$NR$12),IF($NO$12="Single_Point",IF(175=$NQ$12,$NM$12,0),IF($NO$12="Bell_Curve",$NM$12*(175-$NQ$12+1)*($NR$12-175+1)/$NT$12,$NM$12/$NS$12)),0)</f>
        <v/>
      </c>
      <c r="FW12" s="18">
        <f>IF(AND(176&gt;=$NQ$12,176&lt;=$NR$12),IF($NO$12="Single_Point",IF(176=$NQ$12,$NM$12,0),IF($NO$12="Bell_Curve",$NM$12*(176-$NQ$12+1)*($NR$12-176+1)/$NT$12,$NM$12/$NS$12)),0)</f>
        <v/>
      </c>
      <c r="FX12" s="18">
        <f>IF(AND(177&gt;=$NQ$12,177&lt;=$NR$12),IF($NO$12="Single_Point",IF(177=$NQ$12,$NM$12,0),IF($NO$12="Bell_Curve",$NM$12*(177-$NQ$12+1)*($NR$12-177+1)/$NT$12,$NM$12/$NS$12)),0)</f>
        <v/>
      </c>
      <c r="FY12" s="18">
        <f>IF(AND(178&gt;=$NQ$12,178&lt;=$NR$12),IF($NO$12="Single_Point",IF(178=$NQ$12,$NM$12,0),IF($NO$12="Bell_Curve",$NM$12*(178-$NQ$12+1)*($NR$12-178+1)/$NT$12,$NM$12/$NS$12)),0)</f>
        <v/>
      </c>
      <c r="FZ12" s="18">
        <f>IF(AND(179&gt;=$NQ$12,179&lt;=$NR$12),IF($NO$12="Single_Point",IF(179=$NQ$12,$NM$12,0),IF($NO$12="Bell_Curve",$NM$12*(179-$NQ$12+1)*($NR$12-179+1)/$NT$12,$NM$12/$NS$12)),0)</f>
        <v/>
      </c>
      <c r="GA12" s="18">
        <f>IF(AND(180&gt;=$NQ$12,180&lt;=$NR$12),IF($NO$12="Single_Point",IF(180=$NQ$12,$NM$12,0),IF($NO$12="Bell_Curve",$NM$12*(180-$NQ$12+1)*($NR$12-180+1)/$NT$12,$NM$12/$NS$12)),0)</f>
        <v/>
      </c>
      <c r="GB12" s="18">
        <f>IF(AND(181&gt;=$NQ$12,181&lt;=$NR$12),IF($NO$12="Single_Point",IF(181=$NQ$12,$NM$12,0),IF($NO$12="Bell_Curve",$NM$12*(181-$NQ$12+1)*($NR$12-181+1)/$NT$12,$NM$12/$NS$12)),0)</f>
        <v/>
      </c>
      <c r="GC12" s="18">
        <f>IF(AND(182&gt;=$NQ$12,182&lt;=$NR$12),IF($NO$12="Single_Point",IF(182=$NQ$12,$NM$12,0),IF($NO$12="Bell_Curve",$NM$12*(182-$NQ$12+1)*($NR$12-182+1)/$NT$12,$NM$12/$NS$12)),0)</f>
        <v/>
      </c>
      <c r="GD12" s="18">
        <f>IF(AND(183&gt;=$NQ$12,183&lt;=$NR$12),IF($NO$12="Single_Point",IF(183=$NQ$12,$NM$12,0),IF($NO$12="Bell_Curve",$NM$12*(183-$NQ$12+1)*($NR$12-183+1)/$NT$12,$NM$12/$NS$12)),0)</f>
        <v/>
      </c>
      <c r="GE12" s="18">
        <f>IF(AND(184&gt;=$NQ$12,184&lt;=$NR$12),IF($NO$12="Single_Point",IF(184=$NQ$12,$NM$12,0),IF($NO$12="Bell_Curve",$NM$12*(184-$NQ$12+1)*($NR$12-184+1)/$NT$12,$NM$12/$NS$12)),0)</f>
        <v/>
      </c>
      <c r="GF12" s="18">
        <f>IF(AND(185&gt;=$NQ$12,185&lt;=$NR$12),IF($NO$12="Single_Point",IF(185=$NQ$12,$NM$12,0),IF($NO$12="Bell_Curve",$NM$12*(185-$NQ$12+1)*($NR$12-185+1)/$NT$12,$NM$12/$NS$12)),0)</f>
        <v/>
      </c>
      <c r="GG12" s="18">
        <f>IF(AND(186&gt;=$NQ$12,186&lt;=$NR$12),IF($NO$12="Single_Point",IF(186=$NQ$12,$NM$12,0),IF($NO$12="Bell_Curve",$NM$12*(186-$NQ$12+1)*($NR$12-186+1)/$NT$12,$NM$12/$NS$12)),0)</f>
        <v/>
      </c>
      <c r="GH12" s="18">
        <f>IF(AND(187&gt;=$NQ$12,187&lt;=$NR$12),IF($NO$12="Single_Point",IF(187=$NQ$12,$NM$12,0),IF($NO$12="Bell_Curve",$NM$12*(187-$NQ$12+1)*($NR$12-187+1)/$NT$12,$NM$12/$NS$12)),0)</f>
        <v/>
      </c>
      <c r="GI12" s="18">
        <f>IF(AND(188&gt;=$NQ$12,188&lt;=$NR$12),IF($NO$12="Single_Point",IF(188=$NQ$12,$NM$12,0),IF($NO$12="Bell_Curve",$NM$12*(188-$NQ$12+1)*($NR$12-188+1)/$NT$12,$NM$12/$NS$12)),0)</f>
        <v/>
      </c>
      <c r="GJ12" s="18">
        <f>IF(AND(189&gt;=$NQ$12,189&lt;=$NR$12),IF($NO$12="Single_Point",IF(189=$NQ$12,$NM$12,0),IF($NO$12="Bell_Curve",$NM$12*(189-$NQ$12+1)*($NR$12-189+1)/$NT$12,$NM$12/$NS$12)),0)</f>
        <v/>
      </c>
      <c r="GK12" s="18">
        <f>IF(AND(190&gt;=$NQ$12,190&lt;=$NR$12),IF($NO$12="Single_Point",IF(190=$NQ$12,$NM$12,0),IF($NO$12="Bell_Curve",$NM$12*(190-$NQ$12+1)*($NR$12-190+1)/$NT$12,$NM$12/$NS$12)),0)</f>
        <v/>
      </c>
      <c r="GL12" s="18">
        <f>IF(AND(191&gt;=$NQ$12,191&lt;=$NR$12),IF($NO$12="Single_Point",IF(191=$NQ$12,$NM$12,0),IF($NO$12="Bell_Curve",$NM$12*(191-$NQ$12+1)*($NR$12-191+1)/$NT$12,$NM$12/$NS$12)),0)</f>
        <v/>
      </c>
      <c r="GM12" s="18">
        <f>IF(AND(192&gt;=$NQ$12,192&lt;=$NR$12),IF($NO$12="Single_Point",IF(192=$NQ$12,$NM$12,0),IF($NO$12="Bell_Curve",$NM$12*(192-$NQ$12+1)*($NR$12-192+1)/$NT$12,$NM$12/$NS$12)),0)</f>
        <v/>
      </c>
      <c r="GN12" s="18">
        <f>IF(AND(193&gt;=$NQ$12,193&lt;=$NR$12),IF($NO$12="Single_Point",IF(193=$NQ$12,$NM$12,0),IF($NO$12="Bell_Curve",$NM$12*(193-$NQ$12+1)*($NR$12-193+1)/$NT$12,$NM$12/$NS$12)),0)</f>
        <v/>
      </c>
      <c r="GO12" s="18">
        <f>IF(AND(194&gt;=$NQ$12,194&lt;=$NR$12),IF($NO$12="Single_Point",IF(194=$NQ$12,$NM$12,0),IF($NO$12="Bell_Curve",$NM$12*(194-$NQ$12+1)*($NR$12-194+1)/$NT$12,$NM$12/$NS$12)),0)</f>
        <v/>
      </c>
      <c r="GP12" s="18">
        <f>IF(AND(195&gt;=$NQ$12,195&lt;=$NR$12),IF($NO$12="Single_Point",IF(195=$NQ$12,$NM$12,0),IF($NO$12="Bell_Curve",$NM$12*(195-$NQ$12+1)*($NR$12-195+1)/$NT$12,$NM$12/$NS$12)),0)</f>
        <v/>
      </c>
      <c r="GQ12" s="18">
        <f>IF(AND(196&gt;=$NQ$12,196&lt;=$NR$12),IF($NO$12="Single_Point",IF(196=$NQ$12,$NM$12,0),IF($NO$12="Bell_Curve",$NM$12*(196-$NQ$12+1)*($NR$12-196+1)/$NT$12,$NM$12/$NS$12)),0)</f>
        <v/>
      </c>
      <c r="GR12" s="18">
        <f>IF(AND(197&gt;=$NQ$12,197&lt;=$NR$12),IF($NO$12="Single_Point",IF(197=$NQ$12,$NM$12,0),IF($NO$12="Bell_Curve",$NM$12*(197-$NQ$12+1)*($NR$12-197+1)/$NT$12,$NM$12/$NS$12)),0)</f>
        <v/>
      </c>
      <c r="GS12" s="18">
        <f>IF(AND(198&gt;=$NQ$12,198&lt;=$NR$12),IF($NO$12="Single_Point",IF(198=$NQ$12,$NM$12,0),IF($NO$12="Bell_Curve",$NM$12*(198-$NQ$12+1)*($NR$12-198+1)/$NT$12,$NM$12/$NS$12)),0)</f>
        <v/>
      </c>
      <c r="GT12" s="18">
        <f>IF(AND(199&gt;=$NQ$12,199&lt;=$NR$12),IF($NO$12="Single_Point",IF(199=$NQ$12,$NM$12,0),IF($NO$12="Bell_Curve",$NM$12*(199-$NQ$12+1)*($NR$12-199+1)/$NT$12,$NM$12/$NS$12)),0)</f>
        <v/>
      </c>
      <c r="GU12" s="18">
        <f>IF(AND(200&gt;=$NQ$12,200&lt;=$NR$12),IF($NO$12="Single_Point",IF(200=$NQ$12,$NM$12,0),IF($NO$12="Bell_Curve",$NM$12*(200-$NQ$12+1)*($NR$12-200+1)/$NT$12,$NM$12/$NS$12)),0)</f>
        <v/>
      </c>
      <c r="GV12" s="18">
        <f>IF(AND(201&gt;=$NQ$12,201&lt;=$NR$12),IF($NO$12="Single_Point",IF(201=$NQ$12,$NM$12,0),IF($NO$12="Bell_Curve",$NM$12*(201-$NQ$12+1)*($NR$12-201+1)/$NT$12,$NM$12/$NS$12)),0)</f>
        <v/>
      </c>
      <c r="GW12" s="18">
        <f>IF(AND(202&gt;=$NQ$12,202&lt;=$NR$12),IF($NO$12="Single_Point",IF(202=$NQ$12,$NM$12,0),IF($NO$12="Bell_Curve",$NM$12*(202-$NQ$12+1)*($NR$12-202+1)/$NT$12,$NM$12/$NS$12)),0)</f>
        <v/>
      </c>
      <c r="GX12" s="18">
        <f>IF(AND(203&gt;=$NQ$12,203&lt;=$NR$12),IF($NO$12="Single_Point",IF(203=$NQ$12,$NM$12,0),IF($NO$12="Bell_Curve",$NM$12*(203-$NQ$12+1)*($NR$12-203+1)/$NT$12,$NM$12/$NS$12)),0)</f>
        <v/>
      </c>
      <c r="GY12" s="18">
        <f>IF(AND(204&gt;=$NQ$12,204&lt;=$NR$12),IF($NO$12="Single_Point",IF(204=$NQ$12,$NM$12,0),IF($NO$12="Bell_Curve",$NM$12*(204-$NQ$12+1)*($NR$12-204+1)/$NT$12,$NM$12/$NS$12)),0)</f>
        <v/>
      </c>
      <c r="GZ12" s="18">
        <f>IF(AND(205&gt;=$NQ$12,205&lt;=$NR$12),IF($NO$12="Single_Point",IF(205=$NQ$12,$NM$12,0),IF($NO$12="Bell_Curve",$NM$12*(205-$NQ$12+1)*($NR$12-205+1)/$NT$12,$NM$12/$NS$12)),0)</f>
        <v/>
      </c>
      <c r="HA12" s="18">
        <f>IF(AND(206&gt;=$NQ$12,206&lt;=$NR$12),IF($NO$12="Single_Point",IF(206=$NQ$12,$NM$12,0),IF($NO$12="Bell_Curve",$NM$12*(206-$NQ$12+1)*($NR$12-206+1)/$NT$12,$NM$12/$NS$12)),0)</f>
        <v/>
      </c>
      <c r="HB12" s="18">
        <f>IF(AND(207&gt;=$NQ$12,207&lt;=$NR$12),IF($NO$12="Single_Point",IF(207=$NQ$12,$NM$12,0),IF($NO$12="Bell_Curve",$NM$12*(207-$NQ$12+1)*($NR$12-207+1)/$NT$12,$NM$12/$NS$12)),0)</f>
        <v/>
      </c>
      <c r="HC12" s="18">
        <f>IF(AND(208&gt;=$NQ$12,208&lt;=$NR$12),IF($NO$12="Single_Point",IF(208=$NQ$12,$NM$12,0),IF($NO$12="Bell_Curve",$NM$12*(208-$NQ$12+1)*($NR$12-208+1)/$NT$12,$NM$12/$NS$12)),0)</f>
        <v/>
      </c>
      <c r="HD12" s="18">
        <f>IF(AND(209&gt;=$NQ$12,209&lt;=$NR$12),IF($NO$12="Single_Point",IF(209=$NQ$12,$NM$12,0),IF($NO$12="Bell_Curve",$NM$12*(209-$NQ$12+1)*($NR$12-209+1)/$NT$12,$NM$12/$NS$12)),0)</f>
        <v/>
      </c>
      <c r="HE12" s="18">
        <f>IF(AND(210&gt;=$NQ$12,210&lt;=$NR$12),IF($NO$12="Single_Point",IF(210=$NQ$12,$NM$12,0),IF($NO$12="Bell_Curve",$NM$12*(210-$NQ$12+1)*($NR$12-210+1)/$NT$12,$NM$12/$NS$12)),0)</f>
        <v/>
      </c>
      <c r="HF12" s="18">
        <f>IF(AND(211&gt;=$NQ$12,211&lt;=$NR$12),IF($NO$12="Single_Point",IF(211=$NQ$12,$NM$12,0),IF($NO$12="Bell_Curve",$NM$12*(211-$NQ$12+1)*($NR$12-211+1)/$NT$12,$NM$12/$NS$12)),0)</f>
        <v/>
      </c>
      <c r="HG12" s="18">
        <f>IF(AND(212&gt;=$NQ$12,212&lt;=$NR$12),IF($NO$12="Single_Point",IF(212=$NQ$12,$NM$12,0),IF($NO$12="Bell_Curve",$NM$12*(212-$NQ$12+1)*($NR$12-212+1)/$NT$12,$NM$12/$NS$12)),0)</f>
        <v/>
      </c>
      <c r="HH12" s="18">
        <f>IF(AND(213&gt;=$NQ$12,213&lt;=$NR$12),IF($NO$12="Single_Point",IF(213=$NQ$12,$NM$12,0),IF($NO$12="Bell_Curve",$NM$12*(213-$NQ$12+1)*($NR$12-213+1)/$NT$12,$NM$12/$NS$12)),0)</f>
        <v/>
      </c>
      <c r="HI12" s="18">
        <f>IF(AND(214&gt;=$NQ$12,214&lt;=$NR$12),IF($NO$12="Single_Point",IF(214=$NQ$12,$NM$12,0),IF($NO$12="Bell_Curve",$NM$12*(214-$NQ$12+1)*($NR$12-214+1)/$NT$12,$NM$12/$NS$12)),0)</f>
        <v/>
      </c>
      <c r="HJ12" s="18">
        <f>IF(AND(215&gt;=$NQ$12,215&lt;=$NR$12),IF($NO$12="Single_Point",IF(215=$NQ$12,$NM$12,0),IF($NO$12="Bell_Curve",$NM$12*(215-$NQ$12+1)*($NR$12-215+1)/$NT$12,$NM$12/$NS$12)),0)</f>
        <v/>
      </c>
      <c r="HK12" s="18">
        <f>IF(AND(216&gt;=$NQ$12,216&lt;=$NR$12),IF($NO$12="Single_Point",IF(216=$NQ$12,$NM$12,0),IF($NO$12="Bell_Curve",$NM$12*(216-$NQ$12+1)*($NR$12-216+1)/$NT$12,$NM$12/$NS$12)),0)</f>
        <v/>
      </c>
      <c r="HL12" s="18">
        <f>IF(AND(217&gt;=$NQ$12,217&lt;=$NR$12),IF($NO$12="Single_Point",IF(217=$NQ$12,$NM$12,0),IF($NO$12="Bell_Curve",$NM$12*(217-$NQ$12+1)*($NR$12-217+1)/$NT$12,$NM$12/$NS$12)),0)</f>
        <v/>
      </c>
      <c r="HM12" s="18">
        <f>IF(AND(218&gt;=$NQ$12,218&lt;=$NR$12),IF($NO$12="Single_Point",IF(218=$NQ$12,$NM$12,0),IF($NO$12="Bell_Curve",$NM$12*(218-$NQ$12+1)*($NR$12-218+1)/$NT$12,$NM$12/$NS$12)),0)</f>
        <v/>
      </c>
      <c r="HN12" s="18">
        <f>IF(AND(219&gt;=$NQ$12,219&lt;=$NR$12),IF($NO$12="Single_Point",IF(219=$NQ$12,$NM$12,0),IF($NO$12="Bell_Curve",$NM$12*(219-$NQ$12+1)*($NR$12-219+1)/$NT$12,$NM$12/$NS$12)),0)</f>
        <v/>
      </c>
      <c r="HO12" s="18">
        <f>IF(AND(220&gt;=$NQ$12,220&lt;=$NR$12),IF($NO$12="Single_Point",IF(220=$NQ$12,$NM$12,0),IF($NO$12="Bell_Curve",$NM$12*(220-$NQ$12+1)*($NR$12-220+1)/$NT$12,$NM$12/$NS$12)),0)</f>
        <v/>
      </c>
      <c r="HP12" s="18">
        <f>IF(AND(221&gt;=$NQ$12,221&lt;=$NR$12),IF($NO$12="Single_Point",IF(221=$NQ$12,$NM$12,0),IF($NO$12="Bell_Curve",$NM$12*(221-$NQ$12+1)*($NR$12-221+1)/$NT$12,$NM$12/$NS$12)),0)</f>
        <v/>
      </c>
      <c r="HQ12" s="18">
        <f>IF(AND(222&gt;=$NQ$12,222&lt;=$NR$12),IF($NO$12="Single_Point",IF(222=$NQ$12,$NM$12,0),IF($NO$12="Bell_Curve",$NM$12*(222-$NQ$12+1)*($NR$12-222+1)/$NT$12,$NM$12/$NS$12)),0)</f>
        <v/>
      </c>
      <c r="HR12" s="18">
        <f>IF(AND(223&gt;=$NQ$12,223&lt;=$NR$12),IF($NO$12="Single_Point",IF(223=$NQ$12,$NM$12,0),IF($NO$12="Bell_Curve",$NM$12*(223-$NQ$12+1)*($NR$12-223+1)/$NT$12,$NM$12/$NS$12)),0)</f>
        <v/>
      </c>
      <c r="HS12" s="18">
        <f>IF(AND(224&gt;=$NQ$12,224&lt;=$NR$12),IF($NO$12="Single_Point",IF(224=$NQ$12,$NM$12,0),IF($NO$12="Bell_Curve",$NM$12*(224-$NQ$12+1)*($NR$12-224+1)/$NT$12,$NM$12/$NS$12)),0)</f>
        <v/>
      </c>
      <c r="HT12" s="18">
        <f>IF(AND(225&gt;=$NQ$12,225&lt;=$NR$12),IF($NO$12="Single_Point",IF(225=$NQ$12,$NM$12,0),IF($NO$12="Bell_Curve",$NM$12*(225-$NQ$12+1)*($NR$12-225+1)/$NT$12,$NM$12/$NS$12)),0)</f>
        <v/>
      </c>
      <c r="HU12" s="18">
        <f>IF(AND(226&gt;=$NQ$12,226&lt;=$NR$12),IF($NO$12="Single_Point",IF(226=$NQ$12,$NM$12,0),IF($NO$12="Bell_Curve",$NM$12*(226-$NQ$12+1)*($NR$12-226+1)/$NT$12,$NM$12/$NS$12)),0)</f>
        <v/>
      </c>
      <c r="HV12" s="18">
        <f>IF(AND(227&gt;=$NQ$12,227&lt;=$NR$12),IF($NO$12="Single_Point",IF(227=$NQ$12,$NM$12,0),IF($NO$12="Bell_Curve",$NM$12*(227-$NQ$12+1)*($NR$12-227+1)/$NT$12,$NM$12/$NS$12)),0)</f>
        <v/>
      </c>
      <c r="HW12" s="18">
        <f>IF(AND(228&gt;=$NQ$12,228&lt;=$NR$12),IF($NO$12="Single_Point",IF(228=$NQ$12,$NM$12,0),IF($NO$12="Bell_Curve",$NM$12*(228-$NQ$12+1)*($NR$12-228+1)/$NT$12,$NM$12/$NS$12)),0)</f>
        <v/>
      </c>
      <c r="HX12" s="18">
        <f>IF(AND(229&gt;=$NQ$12,229&lt;=$NR$12),IF($NO$12="Single_Point",IF(229=$NQ$12,$NM$12,0),IF($NO$12="Bell_Curve",$NM$12*(229-$NQ$12+1)*($NR$12-229+1)/$NT$12,$NM$12/$NS$12)),0)</f>
        <v/>
      </c>
      <c r="HY12" s="18">
        <f>IF(AND(230&gt;=$NQ$12,230&lt;=$NR$12),IF($NO$12="Single_Point",IF(230=$NQ$12,$NM$12,0),IF($NO$12="Bell_Curve",$NM$12*(230-$NQ$12+1)*($NR$12-230+1)/$NT$12,$NM$12/$NS$12)),0)</f>
        <v/>
      </c>
      <c r="HZ12" s="18">
        <f>IF(AND(231&gt;=$NQ$12,231&lt;=$NR$12),IF($NO$12="Single_Point",IF(231=$NQ$12,$NM$12,0),IF($NO$12="Bell_Curve",$NM$12*(231-$NQ$12+1)*($NR$12-231+1)/$NT$12,$NM$12/$NS$12)),0)</f>
        <v/>
      </c>
      <c r="IA12" s="18">
        <f>IF(AND(232&gt;=$NQ$12,232&lt;=$NR$12),IF($NO$12="Single_Point",IF(232=$NQ$12,$NM$12,0),IF($NO$12="Bell_Curve",$NM$12*(232-$NQ$12+1)*($NR$12-232+1)/$NT$12,$NM$12/$NS$12)),0)</f>
        <v/>
      </c>
      <c r="IB12" s="18">
        <f>IF(AND(233&gt;=$NQ$12,233&lt;=$NR$12),IF($NO$12="Single_Point",IF(233=$NQ$12,$NM$12,0),IF($NO$12="Bell_Curve",$NM$12*(233-$NQ$12+1)*($NR$12-233+1)/$NT$12,$NM$12/$NS$12)),0)</f>
        <v/>
      </c>
      <c r="IC12" s="18">
        <f>IF(AND(234&gt;=$NQ$12,234&lt;=$NR$12),IF($NO$12="Single_Point",IF(234=$NQ$12,$NM$12,0),IF($NO$12="Bell_Curve",$NM$12*(234-$NQ$12+1)*($NR$12-234+1)/$NT$12,$NM$12/$NS$12)),0)</f>
        <v/>
      </c>
      <c r="ID12" s="18">
        <f>IF(AND(235&gt;=$NQ$12,235&lt;=$NR$12),IF($NO$12="Single_Point",IF(235=$NQ$12,$NM$12,0),IF($NO$12="Bell_Curve",$NM$12*(235-$NQ$12+1)*($NR$12-235+1)/$NT$12,$NM$12/$NS$12)),0)</f>
        <v/>
      </c>
      <c r="IE12" s="18">
        <f>IF(AND(236&gt;=$NQ$12,236&lt;=$NR$12),IF($NO$12="Single_Point",IF(236=$NQ$12,$NM$12,0),IF($NO$12="Bell_Curve",$NM$12*(236-$NQ$12+1)*($NR$12-236+1)/$NT$12,$NM$12/$NS$12)),0)</f>
        <v/>
      </c>
      <c r="IF12" s="18">
        <f>IF(AND(237&gt;=$NQ$12,237&lt;=$NR$12),IF($NO$12="Single_Point",IF(237=$NQ$12,$NM$12,0),IF($NO$12="Bell_Curve",$NM$12*(237-$NQ$12+1)*($NR$12-237+1)/$NT$12,$NM$12/$NS$12)),0)</f>
        <v/>
      </c>
      <c r="IG12" s="18">
        <f>IF(AND(238&gt;=$NQ$12,238&lt;=$NR$12),IF($NO$12="Single_Point",IF(238=$NQ$12,$NM$12,0),IF($NO$12="Bell_Curve",$NM$12*(238-$NQ$12+1)*($NR$12-238+1)/$NT$12,$NM$12/$NS$12)),0)</f>
        <v/>
      </c>
      <c r="IH12" s="18">
        <f>IF(AND(239&gt;=$NQ$12,239&lt;=$NR$12),IF($NO$12="Single_Point",IF(239=$NQ$12,$NM$12,0),IF($NO$12="Bell_Curve",$NM$12*(239-$NQ$12+1)*($NR$12-239+1)/$NT$12,$NM$12/$NS$12)),0)</f>
        <v/>
      </c>
      <c r="II12" s="18">
        <f>IF(AND(240&gt;=$NQ$12,240&lt;=$NR$12),IF($NO$12="Single_Point",IF(240=$NQ$12,$NM$12,0),IF($NO$12="Bell_Curve",$NM$12*(240-$NQ$12+1)*($NR$12-240+1)/$NT$12,$NM$12/$NS$12)),0)</f>
        <v/>
      </c>
      <c r="IJ12" s="18">
        <f>IF(AND(241&gt;=$NQ$12,241&lt;=$NR$12),IF($NO$12="Single_Point",IF(241=$NQ$12,$NM$12,0),IF($NO$12="Bell_Curve",$NM$12*(241-$NQ$12+1)*($NR$12-241+1)/$NT$12,$NM$12/$NS$12)),0)</f>
        <v/>
      </c>
      <c r="IK12" s="18">
        <f>IF(AND(242&gt;=$NQ$12,242&lt;=$NR$12),IF($NO$12="Single_Point",IF(242=$NQ$12,$NM$12,0),IF($NO$12="Bell_Curve",$NM$12*(242-$NQ$12+1)*($NR$12-242+1)/$NT$12,$NM$12/$NS$12)),0)</f>
        <v/>
      </c>
      <c r="IL12" s="18">
        <f>IF(AND(243&gt;=$NQ$12,243&lt;=$NR$12),IF($NO$12="Single_Point",IF(243=$NQ$12,$NM$12,0),IF($NO$12="Bell_Curve",$NM$12*(243-$NQ$12+1)*($NR$12-243+1)/$NT$12,$NM$12/$NS$12)),0)</f>
        <v/>
      </c>
      <c r="IM12" s="18">
        <f>IF(AND(244&gt;=$NQ$12,244&lt;=$NR$12),IF($NO$12="Single_Point",IF(244=$NQ$12,$NM$12,0),IF($NO$12="Bell_Curve",$NM$12*(244-$NQ$12+1)*($NR$12-244+1)/$NT$12,$NM$12/$NS$12)),0)</f>
        <v/>
      </c>
      <c r="IN12" s="18">
        <f>IF(AND(245&gt;=$NQ$12,245&lt;=$NR$12),IF($NO$12="Single_Point",IF(245=$NQ$12,$NM$12,0),IF($NO$12="Bell_Curve",$NM$12*(245-$NQ$12+1)*($NR$12-245+1)/$NT$12,$NM$12/$NS$12)),0)</f>
        <v/>
      </c>
      <c r="IO12" s="18">
        <f>IF(AND(246&gt;=$NQ$12,246&lt;=$NR$12),IF($NO$12="Single_Point",IF(246=$NQ$12,$NM$12,0),IF($NO$12="Bell_Curve",$NM$12*(246-$NQ$12+1)*($NR$12-246+1)/$NT$12,$NM$12/$NS$12)),0)</f>
        <v/>
      </c>
      <c r="IP12" s="18">
        <f>IF(AND(247&gt;=$NQ$12,247&lt;=$NR$12),IF($NO$12="Single_Point",IF(247=$NQ$12,$NM$12,0),IF($NO$12="Bell_Curve",$NM$12*(247-$NQ$12+1)*($NR$12-247+1)/$NT$12,$NM$12/$NS$12)),0)</f>
        <v/>
      </c>
      <c r="IQ12" s="18">
        <f>IF(AND(248&gt;=$NQ$12,248&lt;=$NR$12),IF($NO$12="Single_Point",IF(248=$NQ$12,$NM$12,0),IF($NO$12="Bell_Curve",$NM$12*(248-$NQ$12+1)*($NR$12-248+1)/$NT$12,$NM$12/$NS$12)),0)</f>
        <v/>
      </c>
      <c r="IR12" s="18">
        <f>IF(AND(249&gt;=$NQ$12,249&lt;=$NR$12),IF($NO$12="Single_Point",IF(249=$NQ$12,$NM$12,0),IF($NO$12="Bell_Curve",$NM$12*(249-$NQ$12+1)*($NR$12-249+1)/$NT$12,$NM$12/$NS$12)),0)</f>
        <v/>
      </c>
      <c r="IS12" s="18">
        <f>IF(AND(250&gt;=$NQ$12,250&lt;=$NR$12),IF($NO$12="Single_Point",IF(250=$NQ$12,$NM$12,0),IF($NO$12="Bell_Curve",$NM$12*(250-$NQ$12+1)*($NR$12-250+1)/$NT$12,$NM$12/$NS$12)),0)</f>
        <v/>
      </c>
      <c r="IT12" s="18">
        <f>IF(AND(251&gt;=$NQ$12,251&lt;=$NR$12),IF($NO$12="Single_Point",IF(251=$NQ$12,$NM$12,0),IF($NO$12="Bell_Curve",$NM$12*(251-$NQ$12+1)*($NR$12-251+1)/$NT$12,$NM$12/$NS$12)),0)</f>
        <v/>
      </c>
      <c r="IU12" s="18">
        <f>IF(AND(252&gt;=$NQ$12,252&lt;=$NR$12),IF($NO$12="Single_Point",IF(252=$NQ$12,$NM$12,0),IF($NO$12="Bell_Curve",$NM$12*(252-$NQ$12+1)*($NR$12-252+1)/$NT$12,$NM$12/$NS$12)),0)</f>
        <v/>
      </c>
      <c r="IV12" s="18">
        <f>IF(AND(253&gt;=$NQ$12,253&lt;=$NR$12),IF($NO$12="Single_Point",IF(253=$NQ$12,$NM$12,0),IF($NO$12="Bell_Curve",$NM$12*(253-$NQ$12+1)*($NR$12-253+1)/$NT$12,$NM$12/$NS$12)),0)</f>
        <v/>
      </c>
      <c r="IW12" s="18">
        <f>IF(AND(254&gt;=$NQ$12,254&lt;=$NR$12),IF($NO$12="Single_Point",IF(254=$NQ$12,$NM$12,0),IF($NO$12="Bell_Curve",$NM$12*(254-$NQ$12+1)*($NR$12-254+1)/$NT$12,$NM$12/$NS$12)),0)</f>
        <v/>
      </c>
      <c r="IX12" s="18">
        <f>IF(AND(255&gt;=$NQ$12,255&lt;=$NR$12),IF($NO$12="Single_Point",IF(255=$NQ$12,$NM$12,0),IF($NO$12="Bell_Curve",$NM$12*(255-$NQ$12+1)*($NR$12-255+1)/$NT$12,$NM$12/$NS$12)),0)</f>
        <v/>
      </c>
      <c r="IY12" s="18">
        <f>IF(AND(256&gt;=$NQ$12,256&lt;=$NR$12),IF($NO$12="Single_Point",IF(256=$NQ$12,$NM$12,0),IF($NO$12="Bell_Curve",$NM$12*(256-$NQ$12+1)*($NR$12-256+1)/$NT$12,$NM$12/$NS$12)),0)</f>
        <v/>
      </c>
      <c r="IZ12" s="18">
        <f>IF(AND(257&gt;=$NQ$12,257&lt;=$NR$12),IF($NO$12="Single_Point",IF(257=$NQ$12,$NM$12,0),IF($NO$12="Bell_Curve",$NM$12*(257-$NQ$12+1)*($NR$12-257+1)/$NT$12,$NM$12/$NS$12)),0)</f>
        <v/>
      </c>
      <c r="JA12" s="18">
        <f>IF(AND(258&gt;=$NQ$12,258&lt;=$NR$12),IF($NO$12="Single_Point",IF(258=$NQ$12,$NM$12,0),IF($NO$12="Bell_Curve",$NM$12*(258-$NQ$12+1)*($NR$12-258+1)/$NT$12,$NM$12/$NS$12)),0)</f>
        <v/>
      </c>
      <c r="JB12" s="18">
        <f>IF(AND(259&gt;=$NQ$12,259&lt;=$NR$12),IF($NO$12="Single_Point",IF(259=$NQ$12,$NM$12,0),IF($NO$12="Bell_Curve",$NM$12*(259-$NQ$12+1)*($NR$12-259+1)/$NT$12,$NM$12/$NS$12)),0)</f>
        <v/>
      </c>
      <c r="JC12" s="18">
        <f>IF(AND(260&gt;=$NQ$12,260&lt;=$NR$12),IF($NO$12="Single_Point",IF(260=$NQ$12,$NM$12,0),IF($NO$12="Bell_Curve",$NM$12*(260-$NQ$12+1)*($NR$12-260+1)/$NT$12,$NM$12/$NS$12)),0)</f>
        <v/>
      </c>
      <c r="JD12" s="18">
        <f>IF(AND(261&gt;=$NQ$12,261&lt;=$NR$12),IF($NO$12="Single_Point",IF(261=$NQ$12,$NM$12,0),IF($NO$12="Bell_Curve",$NM$12*(261-$NQ$12+1)*($NR$12-261+1)/$NT$12,$NM$12/$NS$12)),0)</f>
        <v/>
      </c>
      <c r="JE12" s="18">
        <f>IF(AND(262&gt;=$NQ$12,262&lt;=$NR$12),IF($NO$12="Single_Point",IF(262=$NQ$12,$NM$12,0),IF($NO$12="Bell_Curve",$NM$12*(262-$NQ$12+1)*($NR$12-262+1)/$NT$12,$NM$12/$NS$12)),0)</f>
        <v/>
      </c>
      <c r="JF12" s="18">
        <f>IF(AND(263&gt;=$NQ$12,263&lt;=$NR$12),IF($NO$12="Single_Point",IF(263=$NQ$12,$NM$12,0),IF($NO$12="Bell_Curve",$NM$12*(263-$NQ$12+1)*($NR$12-263+1)/$NT$12,$NM$12/$NS$12)),0)</f>
        <v/>
      </c>
      <c r="JG12" s="18">
        <f>IF(AND(264&gt;=$NQ$12,264&lt;=$NR$12),IF($NO$12="Single_Point",IF(264=$NQ$12,$NM$12,0),IF($NO$12="Bell_Curve",$NM$12*(264-$NQ$12+1)*($NR$12-264+1)/$NT$12,$NM$12/$NS$12)),0)</f>
        <v/>
      </c>
      <c r="JH12" s="18">
        <f>IF(AND(265&gt;=$NQ$12,265&lt;=$NR$12),IF($NO$12="Single_Point",IF(265=$NQ$12,$NM$12,0),IF($NO$12="Bell_Curve",$NM$12*(265-$NQ$12+1)*($NR$12-265+1)/$NT$12,$NM$12/$NS$12)),0)</f>
        <v/>
      </c>
      <c r="JI12" s="18">
        <f>IF(AND(266&gt;=$NQ$12,266&lt;=$NR$12),IF($NO$12="Single_Point",IF(266=$NQ$12,$NM$12,0),IF($NO$12="Bell_Curve",$NM$12*(266-$NQ$12+1)*($NR$12-266+1)/$NT$12,$NM$12/$NS$12)),0)</f>
        <v/>
      </c>
      <c r="JJ12" s="18">
        <f>IF(AND(267&gt;=$NQ$12,267&lt;=$NR$12),IF($NO$12="Single_Point",IF(267=$NQ$12,$NM$12,0),IF($NO$12="Bell_Curve",$NM$12*(267-$NQ$12+1)*($NR$12-267+1)/$NT$12,$NM$12/$NS$12)),0)</f>
        <v/>
      </c>
      <c r="JK12" s="18">
        <f>IF(AND(268&gt;=$NQ$12,268&lt;=$NR$12),IF($NO$12="Single_Point",IF(268=$NQ$12,$NM$12,0),IF($NO$12="Bell_Curve",$NM$12*(268-$NQ$12+1)*($NR$12-268+1)/$NT$12,$NM$12/$NS$12)),0)</f>
        <v/>
      </c>
      <c r="JL12" s="18">
        <f>IF(AND(269&gt;=$NQ$12,269&lt;=$NR$12),IF($NO$12="Single_Point",IF(269=$NQ$12,$NM$12,0),IF($NO$12="Bell_Curve",$NM$12*(269-$NQ$12+1)*($NR$12-269+1)/$NT$12,$NM$12/$NS$12)),0)</f>
        <v/>
      </c>
      <c r="JM12" s="18">
        <f>IF(AND(270&gt;=$NQ$12,270&lt;=$NR$12),IF($NO$12="Single_Point",IF(270=$NQ$12,$NM$12,0),IF($NO$12="Bell_Curve",$NM$12*(270-$NQ$12+1)*($NR$12-270+1)/$NT$12,$NM$12/$NS$12)),0)</f>
        <v/>
      </c>
      <c r="JN12" s="18">
        <f>IF(AND(271&gt;=$NQ$12,271&lt;=$NR$12),IF($NO$12="Single_Point",IF(271=$NQ$12,$NM$12,0),IF($NO$12="Bell_Curve",$NM$12*(271-$NQ$12+1)*($NR$12-271+1)/$NT$12,$NM$12/$NS$12)),0)</f>
        <v/>
      </c>
      <c r="JO12" s="18">
        <f>IF(AND(272&gt;=$NQ$12,272&lt;=$NR$12),IF($NO$12="Single_Point",IF(272=$NQ$12,$NM$12,0),IF($NO$12="Bell_Curve",$NM$12*(272-$NQ$12+1)*($NR$12-272+1)/$NT$12,$NM$12/$NS$12)),0)</f>
        <v/>
      </c>
      <c r="JP12" s="18">
        <f>IF(AND(273&gt;=$NQ$12,273&lt;=$NR$12),IF($NO$12="Single_Point",IF(273=$NQ$12,$NM$12,0),IF($NO$12="Bell_Curve",$NM$12*(273-$NQ$12+1)*($NR$12-273+1)/$NT$12,$NM$12/$NS$12)),0)</f>
        <v/>
      </c>
      <c r="JQ12" s="18">
        <f>IF(AND(274&gt;=$NQ$12,274&lt;=$NR$12),IF($NO$12="Single_Point",IF(274=$NQ$12,$NM$12,0),IF($NO$12="Bell_Curve",$NM$12*(274-$NQ$12+1)*($NR$12-274+1)/$NT$12,$NM$12/$NS$12)),0)</f>
        <v/>
      </c>
      <c r="JR12" s="18">
        <f>IF(AND(275&gt;=$NQ$12,275&lt;=$NR$12),IF($NO$12="Single_Point",IF(275=$NQ$12,$NM$12,0),IF($NO$12="Bell_Curve",$NM$12*(275-$NQ$12+1)*($NR$12-275+1)/$NT$12,$NM$12/$NS$12)),0)</f>
        <v/>
      </c>
      <c r="JS12" s="18">
        <f>IF(AND(276&gt;=$NQ$12,276&lt;=$NR$12),IF($NO$12="Single_Point",IF(276=$NQ$12,$NM$12,0),IF($NO$12="Bell_Curve",$NM$12*(276-$NQ$12+1)*($NR$12-276+1)/$NT$12,$NM$12/$NS$12)),0)</f>
        <v/>
      </c>
      <c r="JT12" s="18">
        <f>IF(AND(277&gt;=$NQ$12,277&lt;=$NR$12),IF($NO$12="Single_Point",IF(277=$NQ$12,$NM$12,0),IF($NO$12="Bell_Curve",$NM$12*(277-$NQ$12+1)*($NR$12-277+1)/$NT$12,$NM$12/$NS$12)),0)</f>
        <v/>
      </c>
      <c r="JU12" s="18">
        <f>IF(AND(278&gt;=$NQ$12,278&lt;=$NR$12),IF($NO$12="Single_Point",IF(278=$NQ$12,$NM$12,0),IF($NO$12="Bell_Curve",$NM$12*(278-$NQ$12+1)*($NR$12-278+1)/$NT$12,$NM$12/$NS$12)),0)</f>
        <v/>
      </c>
      <c r="JV12" s="18">
        <f>IF(AND(279&gt;=$NQ$12,279&lt;=$NR$12),IF($NO$12="Single_Point",IF(279=$NQ$12,$NM$12,0),IF($NO$12="Bell_Curve",$NM$12*(279-$NQ$12+1)*($NR$12-279+1)/$NT$12,$NM$12/$NS$12)),0)</f>
        <v/>
      </c>
      <c r="JW12" s="18">
        <f>IF(AND(280&gt;=$NQ$12,280&lt;=$NR$12),IF($NO$12="Single_Point",IF(280=$NQ$12,$NM$12,0),IF($NO$12="Bell_Curve",$NM$12*(280-$NQ$12+1)*($NR$12-280+1)/$NT$12,$NM$12/$NS$12)),0)</f>
        <v/>
      </c>
      <c r="JX12" s="18">
        <f>IF(AND(281&gt;=$NQ$12,281&lt;=$NR$12),IF($NO$12="Single_Point",IF(281=$NQ$12,$NM$12,0),IF($NO$12="Bell_Curve",$NM$12*(281-$NQ$12+1)*($NR$12-281+1)/$NT$12,$NM$12/$NS$12)),0)</f>
        <v/>
      </c>
      <c r="JY12" s="18">
        <f>IF(AND(282&gt;=$NQ$12,282&lt;=$NR$12),IF($NO$12="Single_Point",IF(282=$NQ$12,$NM$12,0),IF($NO$12="Bell_Curve",$NM$12*(282-$NQ$12+1)*($NR$12-282+1)/$NT$12,$NM$12/$NS$12)),0)</f>
        <v/>
      </c>
      <c r="JZ12" s="18">
        <f>IF(AND(283&gt;=$NQ$12,283&lt;=$NR$12),IF($NO$12="Single_Point",IF(283=$NQ$12,$NM$12,0),IF($NO$12="Bell_Curve",$NM$12*(283-$NQ$12+1)*($NR$12-283+1)/$NT$12,$NM$12/$NS$12)),0)</f>
        <v/>
      </c>
      <c r="KA12" s="18">
        <f>IF(AND(284&gt;=$NQ$12,284&lt;=$NR$12),IF($NO$12="Single_Point",IF(284=$NQ$12,$NM$12,0),IF($NO$12="Bell_Curve",$NM$12*(284-$NQ$12+1)*($NR$12-284+1)/$NT$12,$NM$12/$NS$12)),0)</f>
        <v/>
      </c>
      <c r="KB12" s="18">
        <f>IF(AND(285&gt;=$NQ$12,285&lt;=$NR$12),IF($NO$12="Single_Point",IF(285=$NQ$12,$NM$12,0),IF($NO$12="Bell_Curve",$NM$12*(285-$NQ$12+1)*($NR$12-285+1)/$NT$12,$NM$12/$NS$12)),0)</f>
        <v/>
      </c>
      <c r="KC12" s="18">
        <f>IF(AND(286&gt;=$NQ$12,286&lt;=$NR$12),IF($NO$12="Single_Point",IF(286=$NQ$12,$NM$12,0),IF($NO$12="Bell_Curve",$NM$12*(286-$NQ$12+1)*($NR$12-286+1)/$NT$12,$NM$12/$NS$12)),0)</f>
        <v/>
      </c>
      <c r="KD12" s="18">
        <f>IF(AND(287&gt;=$NQ$12,287&lt;=$NR$12),IF($NO$12="Single_Point",IF(287=$NQ$12,$NM$12,0),IF($NO$12="Bell_Curve",$NM$12*(287-$NQ$12+1)*($NR$12-287+1)/$NT$12,$NM$12/$NS$12)),0)</f>
        <v/>
      </c>
      <c r="KE12" s="18">
        <f>IF(AND(288&gt;=$NQ$12,288&lt;=$NR$12),IF($NO$12="Single_Point",IF(288=$NQ$12,$NM$12,0),IF($NO$12="Bell_Curve",$NM$12*(288-$NQ$12+1)*($NR$12-288+1)/$NT$12,$NM$12/$NS$12)),0)</f>
        <v/>
      </c>
      <c r="KF12" s="18">
        <f>IF(AND(289&gt;=$NQ$12,289&lt;=$NR$12),IF($NO$12="Single_Point",IF(289=$NQ$12,$NM$12,0),IF($NO$12="Bell_Curve",$NM$12*(289-$NQ$12+1)*($NR$12-289+1)/$NT$12,$NM$12/$NS$12)),0)</f>
        <v/>
      </c>
      <c r="KG12" s="18">
        <f>IF(AND(290&gt;=$NQ$12,290&lt;=$NR$12),IF($NO$12="Single_Point",IF(290=$NQ$12,$NM$12,0),IF($NO$12="Bell_Curve",$NM$12*(290-$NQ$12+1)*($NR$12-290+1)/$NT$12,$NM$12/$NS$12)),0)</f>
        <v/>
      </c>
      <c r="KH12" s="18">
        <f>IF(AND(291&gt;=$NQ$12,291&lt;=$NR$12),IF($NO$12="Single_Point",IF(291=$NQ$12,$NM$12,0),IF($NO$12="Bell_Curve",$NM$12*(291-$NQ$12+1)*($NR$12-291+1)/$NT$12,$NM$12/$NS$12)),0)</f>
        <v/>
      </c>
      <c r="KI12" s="18">
        <f>IF(AND(292&gt;=$NQ$12,292&lt;=$NR$12),IF($NO$12="Single_Point",IF(292=$NQ$12,$NM$12,0),IF($NO$12="Bell_Curve",$NM$12*(292-$NQ$12+1)*($NR$12-292+1)/$NT$12,$NM$12/$NS$12)),0)</f>
        <v/>
      </c>
      <c r="KJ12" s="18">
        <f>IF(AND(293&gt;=$NQ$12,293&lt;=$NR$12),IF($NO$12="Single_Point",IF(293=$NQ$12,$NM$12,0),IF($NO$12="Bell_Curve",$NM$12*(293-$NQ$12+1)*($NR$12-293+1)/$NT$12,$NM$12/$NS$12)),0)</f>
        <v/>
      </c>
      <c r="KK12" s="18">
        <f>IF(AND(294&gt;=$NQ$12,294&lt;=$NR$12),IF($NO$12="Single_Point",IF(294=$NQ$12,$NM$12,0),IF($NO$12="Bell_Curve",$NM$12*(294-$NQ$12+1)*($NR$12-294+1)/$NT$12,$NM$12/$NS$12)),0)</f>
        <v/>
      </c>
      <c r="KL12" s="18">
        <f>IF(AND(295&gt;=$NQ$12,295&lt;=$NR$12),IF($NO$12="Single_Point",IF(295=$NQ$12,$NM$12,0),IF($NO$12="Bell_Curve",$NM$12*(295-$NQ$12+1)*($NR$12-295+1)/$NT$12,$NM$12/$NS$12)),0)</f>
        <v/>
      </c>
      <c r="KM12" s="18">
        <f>IF(AND(296&gt;=$NQ$12,296&lt;=$NR$12),IF($NO$12="Single_Point",IF(296=$NQ$12,$NM$12,0),IF($NO$12="Bell_Curve",$NM$12*(296-$NQ$12+1)*($NR$12-296+1)/$NT$12,$NM$12/$NS$12)),0)</f>
        <v/>
      </c>
      <c r="KN12" s="18">
        <f>IF(AND(297&gt;=$NQ$12,297&lt;=$NR$12),IF($NO$12="Single_Point",IF(297=$NQ$12,$NM$12,0),IF($NO$12="Bell_Curve",$NM$12*(297-$NQ$12+1)*($NR$12-297+1)/$NT$12,$NM$12/$NS$12)),0)</f>
        <v/>
      </c>
      <c r="KO12" s="18">
        <f>IF(AND(298&gt;=$NQ$12,298&lt;=$NR$12),IF($NO$12="Single_Point",IF(298=$NQ$12,$NM$12,0),IF($NO$12="Bell_Curve",$NM$12*(298-$NQ$12+1)*($NR$12-298+1)/$NT$12,$NM$12/$NS$12)),0)</f>
        <v/>
      </c>
      <c r="KP12" s="18">
        <f>IF(AND(299&gt;=$NQ$12,299&lt;=$NR$12),IF($NO$12="Single_Point",IF(299=$NQ$12,$NM$12,0),IF($NO$12="Bell_Curve",$NM$12*(299-$NQ$12+1)*($NR$12-299+1)/$NT$12,$NM$12/$NS$12)),0)</f>
        <v/>
      </c>
      <c r="KQ12" s="18">
        <f>IF(AND(300&gt;=$NQ$12,300&lt;=$NR$12),IF($NO$12="Single_Point",IF(300=$NQ$12,$NM$12,0),IF($NO$12="Bell_Curve",$NM$12*(300-$NQ$12+1)*($NR$12-300+1)/$NT$12,$NM$12/$NS$12)),0)</f>
        <v/>
      </c>
      <c r="KR12" s="18">
        <f>IF(AND(301&gt;=$NQ$12,301&lt;=$NR$12),IF($NO$12="Single_Point",IF(301=$NQ$12,$NM$12,0),IF($NO$12="Bell_Curve",$NM$12*(301-$NQ$12+1)*($NR$12-301+1)/$NT$12,$NM$12/$NS$12)),0)</f>
        <v/>
      </c>
      <c r="KS12" s="18">
        <f>IF(AND(302&gt;=$NQ$12,302&lt;=$NR$12),IF($NO$12="Single_Point",IF(302=$NQ$12,$NM$12,0),IF($NO$12="Bell_Curve",$NM$12*(302-$NQ$12+1)*($NR$12-302+1)/$NT$12,$NM$12/$NS$12)),0)</f>
        <v/>
      </c>
      <c r="KT12" s="18">
        <f>IF(AND(303&gt;=$NQ$12,303&lt;=$NR$12),IF($NO$12="Single_Point",IF(303=$NQ$12,$NM$12,0),IF($NO$12="Bell_Curve",$NM$12*(303-$NQ$12+1)*($NR$12-303+1)/$NT$12,$NM$12/$NS$12)),0)</f>
        <v/>
      </c>
      <c r="KU12" s="18">
        <f>IF(AND(304&gt;=$NQ$12,304&lt;=$NR$12),IF($NO$12="Single_Point",IF(304=$NQ$12,$NM$12,0),IF($NO$12="Bell_Curve",$NM$12*(304-$NQ$12+1)*($NR$12-304+1)/$NT$12,$NM$12/$NS$12)),0)</f>
        <v/>
      </c>
      <c r="KV12" s="18">
        <f>IF(AND(305&gt;=$NQ$12,305&lt;=$NR$12),IF($NO$12="Single_Point",IF(305=$NQ$12,$NM$12,0),IF($NO$12="Bell_Curve",$NM$12*(305-$NQ$12+1)*($NR$12-305+1)/$NT$12,$NM$12/$NS$12)),0)</f>
        <v/>
      </c>
      <c r="KW12" s="18">
        <f>IF(AND(306&gt;=$NQ$12,306&lt;=$NR$12),IF($NO$12="Single_Point",IF(306=$NQ$12,$NM$12,0),IF($NO$12="Bell_Curve",$NM$12*(306-$NQ$12+1)*($NR$12-306+1)/$NT$12,$NM$12/$NS$12)),0)</f>
        <v/>
      </c>
      <c r="KX12" s="18">
        <f>IF(AND(307&gt;=$NQ$12,307&lt;=$NR$12),IF($NO$12="Single_Point",IF(307=$NQ$12,$NM$12,0),IF($NO$12="Bell_Curve",$NM$12*(307-$NQ$12+1)*($NR$12-307+1)/$NT$12,$NM$12/$NS$12)),0)</f>
        <v/>
      </c>
      <c r="KY12" s="18">
        <f>IF(AND(308&gt;=$NQ$12,308&lt;=$NR$12),IF($NO$12="Single_Point",IF(308=$NQ$12,$NM$12,0),IF($NO$12="Bell_Curve",$NM$12*(308-$NQ$12+1)*($NR$12-308+1)/$NT$12,$NM$12/$NS$12)),0)</f>
        <v/>
      </c>
      <c r="KZ12" s="18">
        <f>IF(AND(309&gt;=$NQ$12,309&lt;=$NR$12),IF($NO$12="Single_Point",IF(309=$NQ$12,$NM$12,0),IF($NO$12="Bell_Curve",$NM$12*(309-$NQ$12+1)*($NR$12-309+1)/$NT$12,$NM$12/$NS$12)),0)</f>
        <v/>
      </c>
      <c r="LA12" s="18">
        <f>IF(AND(310&gt;=$NQ$12,310&lt;=$NR$12),IF($NO$12="Single_Point",IF(310=$NQ$12,$NM$12,0),IF($NO$12="Bell_Curve",$NM$12*(310-$NQ$12+1)*($NR$12-310+1)/$NT$12,$NM$12/$NS$12)),0)</f>
        <v/>
      </c>
      <c r="LB12" s="18">
        <f>IF(AND(311&gt;=$NQ$12,311&lt;=$NR$12),IF($NO$12="Single_Point",IF(311=$NQ$12,$NM$12,0),IF($NO$12="Bell_Curve",$NM$12*(311-$NQ$12+1)*($NR$12-311+1)/$NT$12,$NM$12/$NS$12)),0)</f>
        <v/>
      </c>
      <c r="LC12" s="18">
        <f>IF(AND(312&gt;=$NQ$12,312&lt;=$NR$12),IF($NO$12="Single_Point",IF(312=$NQ$12,$NM$12,0),IF($NO$12="Bell_Curve",$NM$12*(312-$NQ$12+1)*($NR$12-312+1)/$NT$12,$NM$12/$NS$12)),0)</f>
        <v/>
      </c>
      <c r="LD12" s="18">
        <f>IF(AND(313&gt;=$NQ$12,313&lt;=$NR$12),IF($NO$12="Single_Point",IF(313=$NQ$12,$NM$12,0),IF($NO$12="Bell_Curve",$NM$12*(313-$NQ$12+1)*($NR$12-313+1)/$NT$12,$NM$12/$NS$12)),0)</f>
        <v/>
      </c>
      <c r="LE12" s="18">
        <f>IF(AND(314&gt;=$NQ$12,314&lt;=$NR$12),IF($NO$12="Single_Point",IF(314=$NQ$12,$NM$12,0),IF($NO$12="Bell_Curve",$NM$12*(314-$NQ$12+1)*($NR$12-314+1)/$NT$12,$NM$12/$NS$12)),0)</f>
        <v/>
      </c>
      <c r="LF12" s="18">
        <f>IF(AND(315&gt;=$NQ$12,315&lt;=$NR$12),IF($NO$12="Single_Point",IF(315=$NQ$12,$NM$12,0),IF($NO$12="Bell_Curve",$NM$12*(315-$NQ$12+1)*($NR$12-315+1)/$NT$12,$NM$12/$NS$12)),0)</f>
        <v/>
      </c>
      <c r="LG12" s="18">
        <f>IF(AND(316&gt;=$NQ$12,316&lt;=$NR$12),IF($NO$12="Single_Point",IF(316=$NQ$12,$NM$12,0),IF($NO$12="Bell_Curve",$NM$12*(316-$NQ$12+1)*($NR$12-316+1)/$NT$12,$NM$12/$NS$12)),0)</f>
        <v/>
      </c>
      <c r="LH12" s="18">
        <f>IF(AND(317&gt;=$NQ$12,317&lt;=$NR$12),IF($NO$12="Single_Point",IF(317=$NQ$12,$NM$12,0),IF($NO$12="Bell_Curve",$NM$12*(317-$NQ$12+1)*($NR$12-317+1)/$NT$12,$NM$12/$NS$12)),0)</f>
        <v/>
      </c>
      <c r="LI12" s="18">
        <f>IF(AND(318&gt;=$NQ$12,318&lt;=$NR$12),IF($NO$12="Single_Point",IF(318=$NQ$12,$NM$12,0),IF($NO$12="Bell_Curve",$NM$12*(318-$NQ$12+1)*($NR$12-318+1)/$NT$12,$NM$12/$NS$12)),0)</f>
        <v/>
      </c>
      <c r="LJ12" s="18">
        <f>IF(AND(319&gt;=$NQ$12,319&lt;=$NR$12),IF($NO$12="Single_Point",IF(319=$NQ$12,$NM$12,0),IF($NO$12="Bell_Curve",$NM$12*(319-$NQ$12+1)*($NR$12-319+1)/$NT$12,$NM$12/$NS$12)),0)</f>
        <v/>
      </c>
      <c r="LK12" s="18">
        <f>IF(AND(320&gt;=$NQ$12,320&lt;=$NR$12),IF($NO$12="Single_Point",IF(320=$NQ$12,$NM$12,0),IF($NO$12="Bell_Curve",$NM$12*(320-$NQ$12+1)*($NR$12-320+1)/$NT$12,$NM$12/$NS$12)),0)</f>
        <v/>
      </c>
      <c r="LL12" s="18">
        <f>IF(AND(321&gt;=$NQ$12,321&lt;=$NR$12),IF($NO$12="Single_Point",IF(321=$NQ$12,$NM$12,0),IF($NO$12="Bell_Curve",$NM$12*(321-$NQ$12+1)*($NR$12-321+1)/$NT$12,$NM$12/$NS$12)),0)</f>
        <v/>
      </c>
      <c r="LM12" s="18">
        <f>IF(AND(322&gt;=$NQ$12,322&lt;=$NR$12),IF($NO$12="Single_Point",IF(322=$NQ$12,$NM$12,0),IF($NO$12="Bell_Curve",$NM$12*(322-$NQ$12+1)*($NR$12-322+1)/$NT$12,$NM$12/$NS$12)),0)</f>
        <v/>
      </c>
      <c r="LN12" s="18">
        <f>IF(AND(323&gt;=$NQ$12,323&lt;=$NR$12),IF($NO$12="Single_Point",IF(323=$NQ$12,$NM$12,0),IF($NO$12="Bell_Curve",$NM$12*(323-$NQ$12+1)*($NR$12-323+1)/$NT$12,$NM$12/$NS$12)),0)</f>
        <v/>
      </c>
      <c r="LO12" s="18">
        <f>IF(AND(324&gt;=$NQ$12,324&lt;=$NR$12),IF($NO$12="Single_Point",IF(324=$NQ$12,$NM$12,0),IF($NO$12="Bell_Curve",$NM$12*(324-$NQ$12+1)*($NR$12-324+1)/$NT$12,$NM$12/$NS$12)),0)</f>
        <v/>
      </c>
      <c r="LP12" s="18">
        <f>IF(AND(325&gt;=$NQ$12,325&lt;=$NR$12),IF($NO$12="Single_Point",IF(325=$NQ$12,$NM$12,0),IF($NO$12="Bell_Curve",$NM$12*(325-$NQ$12+1)*($NR$12-325+1)/$NT$12,$NM$12/$NS$12)),0)</f>
        <v/>
      </c>
      <c r="LQ12" s="18">
        <f>IF(AND(326&gt;=$NQ$12,326&lt;=$NR$12),IF($NO$12="Single_Point",IF(326=$NQ$12,$NM$12,0),IF($NO$12="Bell_Curve",$NM$12*(326-$NQ$12+1)*($NR$12-326+1)/$NT$12,$NM$12/$NS$12)),0)</f>
        <v/>
      </c>
      <c r="LR12" s="18">
        <f>IF(AND(327&gt;=$NQ$12,327&lt;=$NR$12),IF($NO$12="Single_Point",IF(327=$NQ$12,$NM$12,0),IF($NO$12="Bell_Curve",$NM$12*(327-$NQ$12+1)*($NR$12-327+1)/$NT$12,$NM$12/$NS$12)),0)</f>
        <v/>
      </c>
      <c r="LS12" s="18">
        <f>IF(AND(328&gt;=$NQ$12,328&lt;=$NR$12),IF($NO$12="Single_Point",IF(328=$NQ$12,$NM$12,0),IF($NO$12="Bell_Curve",$NM$12*(328-$NQ$12+1)*($NR$12-328+1)/$NT$12,$NM$12/$NS$12)),0)</f>
        <v/>
      </c>
      <c r="LT12" s="18">
        <f>IF(AND(329&gt;=$NQ$12,329&lt;=$NR$12),IF($NO$12="Single_Point",IF(329=$NQ$12,$NM$12,0),IF($NO$12="Bell_Curve",$NM$12*(329-$NQ$12+1)*($NR$12-329+1)/$NT$12,$NM$12/$NS$12)),0)</f>
        <v/>
      </c>
      <c r="LU12" s="18">
        <f>IF(AND(330&gt;=$NQ$12,330&lt;=$NR$12),IF($NO$12="Single_Point",IF(330=$NQ$12,$NM$12,0),IF($NO$12="Bell_Curve",$NM$12*(330-$NQ$12+1)*($NR$12-330+1)/$NT$12,$NM$12/$NS$12)),0)</f>
        <v/>
      </c>
      <c r="LV12" s="18">
        <f>IF(AND(331&gt;=$NQ$12,331&lt;=$NR$12),IF($NO$12="Single_Point",IF(331=$NQ$12,$NM$12,0),IF($NO$12="Bell_Curve",$NM$12*(331-$NQ$12+1)*($NR$12-331+1)/$NT$12,$NM$12/$NS$12)),0)</f>
        <v/>
      </c>
      <c r="LW12" s="18">
        <f>IF(AND(332&gt;=$NQ$12,332&lt;=$NR$12),IF($NO$12="Single_Point",IF(332=$NQ$12,$NM$12,0),IF($NO$12="Bell_Curve",$NM$12*(332-$NQ$12+1)*($NR$12-332+1)/$NT$12,$NM$12/$NS$12)),0)</f>
        <v/>
      </c>
      <c r="LX12" s="18">
        <f>IF(AND(333&gt;=$NQ$12,333&lt;=$NR$12),IF($NO$12="Single_Point",IF(333=$NQ$12,$NM$12,0),IF($NO$12="Bell_Curve",$NM$12*(333-$NQ$12+1)*($NR$12-333+1)/$NT$12,$NM$12/$NS$12)),0)</f>
        <v/>
      </c>
      <c r="LY12" s="18">
        <f>IF(AND(334&gt;=$NQ$12,334&lt;=$NR$12),IF($NO$12="Single_Point",IF(334=$NQ$12,$NM$12,0),IF($NO$12="Bell_Curve",$NM$12*(334-$NQ$12+1)*($NR$12-334+1)/$NT$12,$NM$12/$NS$12)),0)</f>
        <v/>
      </c>
      <c r="LZ12" s="18">
        <f>IF(AND(335&gt;=$NQ$12,335&lt;=$NR$12),IF($NO$12="Single_Point",IF(335=$NQ$12,$NM$12,0),IF($NO$12="Bell_Curve",$NM$12*(335-$NQ$12+1)*($NR$12-335+1)/$NT$12,$NM$12/$NS$12)),0)</f>
        <v/>
      </c>
      <c r="MA12" s="18">
        <f>IF(AND(336&gt;=$NQ$12,336&lt;=$NR$12),IF($NO$12="Single_Point",IF(336=$NQ$12,$NM$12,0),IF($NO$12="Bell_Curve",$NM$12*(336-$NQ$12+1)*($NR$12-336+1)/$NT$12,$NM$12/$NS$12)),0)</f>
        <v/>
      </c>
      <c r="MB12" s="18">
        <f>IF(AND(337&gt;=$NQ$12,337&lt;=$NR$12),IF($NO$12="Single_Point",IF(337=$NQ$12,$NM$12,0),IF($NO$12="Bell_Curve",$NM$12*(337-$NQ$12+1)*($NR$12-337+1)/$NT$12,$NM$12/$NS$12)),0)</f>
        <v/>
      </c>
      <c r="MC12" s="18">
        <f>IF(AND(338&gt;=$NQ$12,338&lt;=$NR$12),IF($NO$12="Single_Point",IF(338=$NQ$12,$NM$12,0),IF($NO$12="Bell_Curve",$NM$12*(338-$NQ$12+1)*($NR$12-338+1)/$NT$12,$NM$12/$NS$12)),0)</f>
        <v/>
      </c>
      <c r="MD12" s="18">
        <f>IF(AND(339&gt;=$NQ$12,339&lt;=$NR$12),IF($NO$12="Single_Point",IF(339=$NQ$12,$NM$12,0),IF($NO$12="Bell_Curve",$NM$12*(339-$NQ$12+1)*($NR$12-339+1)/$NT$12,$NM$12/$NS$12)),0)</f>
        <v/>
      </c>
      <c r="ME12" s="18">
        <f>IF(AND(340&gt;=$NQ$12,340&lt;=$NR$12),IF($NO$12="Single_Point",IF(340=$NQ$12,$NM$12,0),IF($NO$12="Bell_Curve",$NM$12*(340-$NQ$12+1)*($NR$12-340+1)/$NT$12,$NM$12/$NS$12)),0)</f>
        <v/>
      </c>
      <c r="MF12" s="18">
        <f>IF(AND(341&gt;=$NQ$12,341&lt;=$NR$12),IF($NO$12="Single_Point",IF(341=$NQ$12,$NM$12,0),IF($NO$12="Bell_Curve",$NM$12*(341-$NQ$12+1)*($NR$12-341+1)/$NT$12,$NM$12/$NS$12)),0)</f>
        <v/>
      </c>
      <c r="MG12" s="18">
        <f>IF(AND(342&gt;=$NQ$12,342&lt;=$NR$12),IF($NO$12="Single_Point",IF(342=$NQ$12,$NM$12,0),IF($NO$12="Bell_Curve",$NM$12*(342-$NQ$12+1)*($NR$12-342+1)/$NT$12,$NM$12/$NS$12)),0)</f>
        <v/>
      </c>
      <c r="MH12" s="18">
        <f>IF(AND(343&gt;=$NQ$12,343&lt;=$NR$12),IF($NO$12="Single_Point",IF(343=$NQ$12,$NM$12,0),IF($NO$12="Bell_Curve",$NM$12*(343-$NQ$12+1)*($NR$12-343+1)/$NT$12,$NM$12/$NS$12)),0)</f>
        <v/>
      </c>
      <c r="MI12" s="18">
        <f>IF(AND(344&gt;=$NQ$12,344&lt;=$NR$12),IF($NO$12="Single_Point",IF(344=$NQ$12,$NM$12,0),IF($NO$12="Bell_Curve",$NM$12*(344-$NQ$12+1)*($NR$12-344+1)/$NT$12,$NM$12/$NS$12)),0)</f>
        <v/>
      </c>
      <c r="MJ12" s="18">
        <f>IF(AND(345&gt;=$NQ$12,345&lt;=$NR$12),IF($NO$12="Single_Point",IF(345=$NQ$12,$NM$12,0),IF($NO$12="Bell_Curve",$NM$12*(345-$NQ$12+1)*($NR$12-345+1)/$NT$12,$NM$12/$NS$12)),0)</f>
        <v/>
      </c>
      <c r="MK12" s="18">
        <f>IF(AND(346&gt;=$NQ$12,346&lt;=$NR$12),IF($NO$12="Single_Point",IF(346=$NQ$12,$NM$12,0),IF($NO$12="Bell_Curve",$NM$12*(346-$NQ$12+1)*($NR$12-346+1)/$NT$12,$NM$12/$NS$12)),0)</f>
        <v/>
      </c>
      <c r="ML12" s="18">
        <f>IF(AND(347&gt;=$NQ$12,347&lt;=$NR$12),IF($NO$12="Single_Point",IF(347=$NQ$12,$NM$12,0),IF($NO$12="Bell_Curve",$NM$12*(347-$NQ$12+1)*($NR$12-347+1)/$NT$12,$NM$12/$NS$12)),0)</f>
        <v/>
      </c>
      <c r="MM12" s="18">
        <f>IF(AND(348&gt;=$NQ$12,348&lt;=$NR$12),IF($NO$12="Single_Point",IF(348=$NQ$12,$NM$12,0),IF($NO$12="Bell_Curve",$NM$12*(348-$NQ$12+1)*($NR$12-348+1)/$NT$12,$NM$12/$NS$12)),0)</f>
        <v/>
      </c>
      <c r="MN12" s="18">
        <f>IF(AND(349&gt;=$NQ$12,349&lt;=$NR$12),IF($NO$12="Single_Point",IF(349=$NQ$12,$NM$12,0),IF($NO$12="Bell_Curve",$NM$12*(349-$NQ$12+1)*($NR$12-349+1)/$NT$12,$NM$12/$NS$12)),0)</f>
        <v/>
      </c>
      <c r="MO12" s="18">
        <f>IF(AND(350&gt;=$NQ$12,350&lt;=$NR$12),IF($NO$12="Single_Point",IF(350=$NQ$12,$NM$12,0),IF($NO$12="Bell_Curve",$NM$12*(350-$NQ$12+1)*($NR$12-350+1)/$NT$12,$NM$12/$NS$12)),0)</f>
        <v/>
      </c>
      <c r="MP12" s="18">
        <f>IF(AND(351&gt;=$NQ$12,351&lt;=$NR$12),IF($NO$12="Single_Point",IF(351=$NQ$12,$NM$12,0),IF($NO$12="Bell_Curve",$NM$12*(351-$NQ$12+1)*($NR$12-351+1)/$NT$12,$NM$12/$NS$12)),0)</f>
        <v/>
      </c>
      <c r="MQ12" s="18">
        <f>IF(AND(352&gt;=$NQ$12,352&lt;=$NR$12),IF($NO$12="Single_Point",IF(352=$NQ$12,$NM$12,0),IF($NO$12="Bell_Curve",$NM$12*(352-$NQ$12+1)*($NR$12-352+1)/$NT$12,$NM$12/$NS$12)),0)</f>
        <v/>
      </c>
      <c r="MR12" s="18">
        <f>IF(AND(353&gt;=$NQ$12,353&lt;=$NR$12),IF($NO$12="Single_Point",IF(353=$NQ$12,$NM$12,0),IF($NO$12="Bell_Curve",$NM$12*(353-$NQ$12+1)*($NR$12-353+1)/$NT$12,$NM$12/$NS$12)),0)</f>
        <v/>
      </c>
      <c r="MS12" s="18">
        <f>IF(AND(354&gt;=$NQ$12,354&lt;=$NR$12),IF($NO$12="Single_Point",IF(354=$NQ$12,$NM$12,0),IF($NO$12="Bell_Curve",$NM$12*(354-$NQ$12+1)*($NR$12-354+1)/$NT$12,$NM$12/$NS$12)),0)</f>
        <v/>
      </c>
      <c r="MT12" s="18">
        <f>IF(AND(355&gt;=$NQ$12,355&lt;=$NR$12),IF($NO$12="Single_Point",IF(355=$NQ$12,$NM$12,0),IF($NO$12="Bell_Curve",$NM$12*(355-$NQ$12+1)*($NR$12-355+1)/$NT$12,$NM$12/$NS$12)),0)</f>
        <v/>
      </c>
      <c r="MU12" s="18">
        <f>IF(AND(356&gt;=$NQ$12,356&lt;=$NR$12),IF($NO$12="Single_Point",IF(356=$NQ$12,$NM$12,0),IF($NO$12="Bell_Curve",$NM$12*(356-$NQ$12+1)*($NR$12-356+1)/$NT$12,$NM$12/$NS$12)),0)</f>
        <v/>
      </c>
      <c r="MV12" s="18">
        <f>IF(AND(357&gt;=$NQ$12,357&lt;=$NR$12),IF($NO$12="Single_Point",IF(357=$NQ$12,$NM$12,0),IF($NO$12="Bell_Curve",$NM$12*(357-$NQ$12+1)*($NR$12-357+1)/$NT$12,$NM$12/$NS$12)),0)</f>
        <v/>
      </c>
      <c r="MW12" s="18">
        <f>IF(AND(358&gt;=$NQ$12,358&lt;=$NR$12),IF($NO$12="Single_Point",IF(358=$NQ$12,$NM$12,0),IF($NO$12="Bell_Curve",$NM$12*(358-$NQ$12+1)*($NR$12-358+1)/$NT$12,$NM$12/$NS$12)),0)</f>
        <v/>
      </c>
      <c r="MX12" s="18">
        <f>IF(AND(359&gt;=$NQ$12,359&lt;=$NR$12),IF($NO$12="Single_Point",IF(359=$NQ$12,$NM$12,0),IF($NO$12="Bell_Curve",$NM$12*(359-$NQ$12+1)*($NR$12-359+1)/$NT$12,$NM$12/$NS$12)),0)</f>
        <v/>
      </c>
      <c r="MY12" s="18">
        <f>IF(AND(360&gt;=$NQ$12,360&lt;=$NR$12),IF($NO$12="Single_Point",IF(360=$NQ$12,$NM$12,0),IF($NO$12="Bell_Curve",$NM$12*(360-$NQ$12+1)*($NR$12-360+1)/$NT$12,$NM$12/$NS$12)),0)</f>
        <v/>
      </c>
      <c r="MZ12" s="18">
        <f>IF(AND(361&gt;=$NQ$12,361&lt;=$NR$12),IF($NO$12="Single_Point",IF(361=$NQ$12,$NM$12,0),IF($NO$12="Bell_Curve",$NM$12*(361-$NQ$12+1)*($NR$12-361+1)/$NT$12,$NM$12/$NS$12)),0)</f>
        <v/>
      </c>
      <c r="NA12" s="18">
        <f>IF(AND(362&gt;=$NQ$12,362&lt;=$NR$12),IF($NO$12="Single_Point",IF(362=$NQ$12,$NM$12,0),IF($NO$12="Bell_Curve",$NM$12*(362-$NQ$12+1)*($NR$12-362+1)/$NT$12,$NM$12/$NS$12)),0)</f>
        <v/>
      </c>
      <c r="NB12" s="18">
        <f>IF(AND(363&gt;=$NQ$12,363&lt;=$NR$12),IF($NO$12="Single_Point",IF(363=$NQ$12,$NM$12,0),IF($NO$12="Bell_Curve",$NM$12*(363-$NQ$12+1)*($NR$12-363+1)/$NT$12,$NM$12/$NS$12)),0)</f>
        <v/>
      </c>
      <c r="NC12" s="18">
        <f>IF(AND(364&gt;=$NQ$12,364&lt;=$NR$12),IF($NO$12="Single_Point",IF(364=$NQ$12,$NM$12,0),IF($NO$12="Bell_Curve",$NM$12*(364-$NQ$12+1)*($NR$12-364+1)/$NT$12,$NM$12/$NS$12)),0)</f>
        <v/>
      </c>
      <c r="ND12" s="18">
        <f>IF(AND(365&gt;=$NQ$12,365&lt;=$NR$12),IF($NO$12="Single_Point",IF(365=$NQ$12,$NM$12,0),IF($NO$12="Bell_Curve",$NM$12*(365-$NQ$12+1)*($NR$12-365+1)/$NT$12,$NM$12/$NS$12)),0)</f>
        <v/>
      </c>
      <c r="NE12" s="18">
        <f>IF(AND(366&gt;=$NQ$12,366&lt;=$NR$12),IF($NO$12="Single_Point",IF(366=$NQ$12,$NM$12,0),IF($NO$12="Bell_Curve",$NM$12*(366-$NQ$12+1)*($NR$12-366+1)/$NT$12,$NM$12/$NS$12)),0)</f>
        <v/>
      </c>
      <c r="NF12" s="18">
        <f>IF(AND(367&gt;=$NQ$12,367&lt;=$NR$12),IF($NO$12="Single_Point",IF(367=$NQ$12,$NM$12,0),IF($NO$12="Bell_Curve",$NM$12*(367-$NQ$12+1)*($NR$12-367+1)/$NT$12,$NM$12/$NS$12)),0)</f>
        <v/>
      </c>
      <c r="NG12" s="18">
        <f>IF(AND(368&gt;=$NQ$12,368&lt;=$NR$12),IF($NO$12="Single_Point",IF(368=$NQ$12,$NM$12,0),IF($NO$12="Bell_Curve",$NM$12*(368-$NQ$12+1)*($NR$12-368+1)/$NT$12,$NM$12/$NS$12)),0)</f>
        <v/>
      </c>
      <c r="NH12" s="18">
        <f>IF(AND(369&gt;=$NQ$12,369&lt;=$NR$12),IF($NO$12="Single_Point",IF(369=$NQ$12,$NM$12,0),IF($NO$12="Bell_Curve",$NM$12*(369-$NQ$12+1)*($NR$12-369+1)/$NT$12,$NM$12/$NS$12)),0)</f>
        <v/>
      </c>
      <c r="NI12" s="18">
        <f>IF(AND(370&gt;=$NQ$12,370&lt;=$NR$12),IF($NO$12="Single_Point",IF(370=$NQ$12,$NM$12,0),IF($NO$12="Bell_Curve",$NM$12*(370-$NQ$12+1)*($NR$12-370+1)/$NT$12,$NM$12/$NS$12)),0)</f>
        <v/>
      </c>
      <c r="NJ12" s="18">
        <f>IF(AND(371&gt;=$NQ$12,371&lt;=$NR$12),IF($NO$12="Single_Point",IF(371=$NQ$12,$NM$12,0),IF($NO$12="Bell_Curve",$NM$12*(371-$NQ$12+1)*($NR$12-371+1)/$NT$12,$NM$12/$NS$12)),0)</f>
        <v/>
      </c>
      <c r="NK12" s="18">
        <f>IF(AND(372&gt;=$NQ$12,372&lt;=$NR$12),IF($NO$12="Single_Point",IF(372=$NQ$12,$NM$12,0),IF($NO$12="Bell_Curve",$NM$12*(372-$NQ$12+1)*($NR$12-372+1)/$NT$12,$NM$12/$NS$12)),0)</f>
        <v/>
      </c>
      <c r="NM12" s="18">
        <f>Budget!I11</f>
        <v/>
      </c>
      <c r="NN12" s="42">
        <f>Budget!F11</f>
        <v/>
      </c>
      <c r="NO12" s="42">
        <f>Budget!G11</f>
        <v/>
      </c>
      <c r="NP12" s="17">
        <f>Budget!H11</f>
        <v/>
      </c>
      <c r="NQ12" s="32">
        <f>MAX(1,MIN(372,INDEX(MilestoneStart,MATCH(NN12,MilestoneNames,0))+NP12))</f>
        <v/>
      </c>
      <c r="NR12" s="32">
        <f>MAX(NQ12,MIN(372,INDEX(MilestoneEnd,MATCH(NN12,MilestoneNames,0))+NP12))</f>
        <v/>
      </c>
      <c r="NS12" s="17">
        <f>NR12-NQ12+1</f>
        <v/>
      </c>
      <c r="NT12" s="17">
        <f>NS12*(NS12+1)*(NS12+2)/6</f>
        <v/>
      </c>
    </row>
    <row r="13">
      <c r="A13" s="5" t="inlineStr">
        <is>
          <t>Marketing &amp; Lease-Up</t>
        </is>
      </c>
      <c r="C13" s="41">
        <f>SUM(D13:NK13)</f>
        <v/>
      </c>
      <c r="D13" s="18">
        <f>IF(AND(1&gt;=$NQ$13,1&lt;=$NR$13),IF($NO$13="Single_Point",IF(1=$NQ$13,$NM$13,0),IF($NO$13="Bell_Curve",$NM$13*(1-$NQ$13+1)*($NR$13-1+1)/$NT$13,$NM$13/$NS$13)),0)</f>
        <v/>
      </c>
      <c r="E13" s="18">
        <f>IF(AND(2&gt;=$NQ$13,2&lt;=$NR$13),IF($NO$13="Single_Point",IF(2=$NQ$13,$NM$13,0),IF($NO$13="Bell_Curve",$NM$13*(2-$NQ$13+1)*($NR$13-2+1)/$NT$13,$NM$13/$NS$13)),0)</f>
        <v/>
      </c>
      <c r="F13" s="18">
        <f>IF(AND(3&gt;=$NQ$13,3&lt;=$NR$13),IF($NO$13="Single_Point",IF(3=$NQ$13,$NM$13,0),IF($NO$13="Bell_Curve",$NM$13*(3-$NQ$13+1)*($NR$13-3+1)/$NT$13,$NM$13/$NS$13)),0)</f>
        <v/>
      </c>
      <c r="G13" s="18">
        <f>IF(AND(4&gt;=$NQ$13,4&lt;=$NR$13),IF($NO$13="Single_Point",IF(4=$NQ$13,$NM$13,0),IF($NO$13="Bell_Curve",$NM$13*(4-$NQ$13+1)*($NR$13-4+1)/$NT$13,$NM$13/$NS$13)),0)</f>
        <v/>
      </c>
      <c r="H13" s="18">
        <f>IF(AND(5&gt;=$NQ$13,5&lt;=$NR$13),IF($NO$13="Single_Point",IF(5=$NQ$13,$NM$13,0),IF($NO$13="Bell_Curve",$NM$13*(5-$NQ$13+1)*($NR$13-5+1)/$NT$13,$NM$13/$NS$13)),0)</f>
        <v/>
      </c>
      <c r="I13" s="18">
        <f>IF(AND(6&gt;=$NQ$13,6&lt;=$NR$13),IF($NO$13="Single_Point",IF(6=$NQ$13,$NM$13,0),IF($NO$13="Bell_Curve",$NM$13*(6-$NQ$13+1)*($NR$13-6+1)/$NT$13,$NM$13/$NS$13)),0)</f>
        <v/>
      </c>
      <c r="J13" s="18">
        <f>IF(AND(7&gt;=$NQ$13,7&lt;=$NR$13),IF($NO$13="Single_Point",IF(7=$NQ$13,$NM$13,0),IF($NO$13="Bell_Curve",$NM$13*(7-$NQ$13+1)*($NR$13-7+1)/$NT$13,$NM$13/$NS$13)),0)</f>
        <v/>
      </c>
      <c r="K13" s="18">
        <f>IF(AND(8&gt;=$NQ$13,8&lt;=$NR$13),IF($NO$13="Single_Point",IF(8=$NQ$13,$NM$13,0),IF($NO$13="Bell_Curve",$NM$13*(8-$NQ$13+1)*($NR$13-8+1)/$NT$13,$NM$13/$NS$13)),0)</f>
        <v/>
      </c>
      <c r="L13" s="18">
        <f>IF(AND(9&gt;=$NQ$13,9&lt;=$NR$13),IF($NO$13="Single_Point",IF(9=$NQ$13,$NM$13,0),IF($NO$13="Bell_Curve",$NM$13*(9-$NQ$13+1)*($NR$13-9+1)/$NT$13,$NM$13/$NS$13)),0)</f>
        <v/>
      </c>
      <c r="M13" s="18">
        <f>IF(AND(10&gt;=$NQ$13,10&lt;=$NR$13),IF($NO$13="Single_Point",IF(10=$NQ$13,$NM$13,0),IF($NO$13="Bell_Curve",$NM$13*(10-$NQ$13+1)*($NR$13-10+1)/$NT$13,$NM$13/$NS$13)),0)</f>
        <v/>
      </c>
      <c r="N13" s="18">
        <f>IF(AND(11&gt;=$NQ$13,11&lt;=$NR$13),IF($NO$13="Single_Point",IF(11=$NQ$13,$NM$13,0),IF($NO$13="Bell_Curve",$NM$13*(11-$NQ$13+1)*($NR$13-11+1)/$NT$13,$NM$13/$NS$13)),0)</f>
        <v/>
      </c>
      <c r="O13" s="18">
        <f>IF(AND(12&gt;=$NQ$13,12&lt;=$NR$13),IF($NO$13="Single_Point",IF(12=$NQ$13,$NM$13,0),IF($NO$13="Bell_Curve",$NM$13*(12-$NQ$13+1)*($NR$13-12+1)/$NT$13,$NM$13/$NS$13)),0)</f>
        <v/>
      </c>
      <c r="P13" s="18">
        <f>IF(AND(13&gt;=$NQ$13,13&lt;=$NR$13),IF($NO$13="Single_Point",IF(13=$NQ$13,$NM$13,0),IF($NO$13="Bell_Curve",$NM$13*(13-$NQ$13+1)*($NR$13-13+1)/$NT$13,$NM$13/$NS$13)),0)</f>
        <v/>
      </c>
      <c r="Q13" s="18">
        <f>IF(AND(14&gt;=$NQ$13,14&lt;=$NR$13),IF($NO$13="Single_Point",IF(14=$NQ$13,$NM$13,0),IF($NO$13="Bell_Curve",$NM$13*(14-$NQ$13+1)*($NR$13-14+1)/$NT$13,$NM$13/$NS$13)),0)</f>
        <v/>
      </c>
      <c r="R13" s="18">
        <f>IF(AND(15&gt;=$NQ$13,15&lt;=$NR$13),IF($NO$13="Single_Point",IF(15=$NQ$13,$NM$13,0),IF($NO$13="Bell_Curve",$NM$13*(15-$NQ$13+1)*($NR$13-15+1)/$NT$13,$NM$13/$NS$13)),0)</f>
        <v/>
      </c>
      <c r="S13" s="18">
        <f>IF(AND(16&gt;=$NQ$13,16&lt;=$NR$13),IF($NO$13="Single_Point",IF(16=$NQ$13,$NM$13,0),IF($NO$13="Bell_Curve",$NM$13*(16-$NQ$13+1)*($NR$13-16+1)/$NT$13,$NM$13/$NS$13)),0)</f>
        <v/>
      </c>
      <c r="T13" s="18">
        <f>IF(AND(17&gt;=$NQ$13,17&lt;=$NR$13),IF($NO$13="Single_Point",IF(17=$NQ$13,$NM$13,0),IF($NO$13="Bell_Curve",$NM$13*(17-$NQ$13+1)*($NR$13-17+1)/$NT$13,$NM$13/$NS$13)),0)</f>
        <v/>
      </c>
      <c r="U13" s="18">
        <f>IF(AND(18&gt;=$NQ$13,18&lt;=$NR$13),IF($NO$13="Single_Point",IF(18=$NQ$13,$NM$13,0),IF($NO$13="Bell_Curve",$NM$13*(18-$NQ$13+1)*($NR$13-18+1)/$NT$13,$NM$13/$NS$13)),0)</f>
        <v/>
      </c>
      <c r="V13" s="18">
        <f>IF(AND(19&gt;=$NQ$13,19&lt;=$NR$13),IF($NO$13="Single_Point",IF(19=$NQ$13,$NM$13,0),IF($NO$13="Bell_Curve",$NM$13*(19-$NQ$13+1)*($NR$13-19+1)/$NT$13,$NM$13/$NS$13)),0)</f>
        <v/>
      </c>
      <c r="W13" s="18">
        <f>IF(AND(20&gt;=$NQ$13,20&lt;=$NR$13),IF($NO$13="Single_Point",IF(20=$NQ$13,$NM$13,0),IF($NO$13="Bell_Curve",$NM$13*(20-$NQ$13+1)*($NR$13-20+1)/$NT$13,$NM$13/$NS$13)),0)</f>
        <v/>
      </c>
      <c r="X13" s="18">
        <f>IF(AND(21&gt;=$NQ$13,21&lt;=$NR$13),IF($NO$13="Single_Point",IF(21=$NQ$13,$NM$13,0),IF($NO$13="Bell_Curve",$NM$13*(21-$NQ$13+1)*($NR$13-21+1)/$NT$13,$NM$13/$NS$13)),0)</f>
        <v/>
      </c>
      <c r="Y13" s="18">
        <f>IF(AND(22&gt;=$NQ$13,22&lt;=$NR$13),IF($NO$13="Single_Point",IF(22=$NQ$13,$NM$13,0),IF($NO$13="Bell_Curve",$NM$13*(22-$NQ$13+1)*($NR$13-22+1)/$NT$13,$NM$13/$NS$13)),0)</f>
        <v/>
      </c>
      <c r="Z13" s="18">
        <f>IF(AND(23&gt;=$NQ$13,23&lt;=$NR$13),IF($NO$13="Single_Point",IF(23=$NQ$13,$NM$13,0),IF($NO$13="Bell_Curve",$NM$13*(23-$NQ$13+1)*($NR$13-23+1)/$NT$13,$NM$13/$NS$13)),0)</f>
        <v/>
      </c>
      <c r="AA13" s="18">
        <f>IF(AND(24&gt;=$NQ$13,24&lt;=$NR$13),IF($NO$13="Single_Point",IF(24=$NQ$13,$NM$13,0),IF($NO$13="Bell_Curve",$NM$13*(24-$NQ$13+1)*($NR$13-24+1)/$NT$13,$NM$13/$NS$13)),0)</f>
        <v/>
      </c>
      <c r="AB13" s="18">
        <f>IF(AND(25&gt;=$NQ$13,25&lt;=$NR$13),IF($NO$13="Single_Point",IF(25=$NQ$13,$NM$13,0),IF($NO$13="Bell_Curve",$NM$13*(25-$NQ$13+1)*($NR$13-25+1)/$NT$13,$NM$13/$NS$13)),0)</f>
        <v/>
      </c>
      <c r="AC13" s="18">
        <f>IF(AND(26&gt;=$NQ$13,26&lt;=$NR$13),IF($NO$13="Single_Point",IF(26=$NQ$13,$NM$13,0),IF($NO$13="Bell_Curve",$NM$13*(26-$NQ$13+1)*($NR$13-26+1)/$NT$13,$NM$13/$NS$13)),0)</f>
        <v/>
      </c>
      <c r="AD13" s="18">
        <f>IF(AND(27&gt;=$NQ$13,27&lt;=$NR$13),IF($NO$13="Single_Point",IF(27=$NQ$13,$NM$13,0),IF($NO$13="Bell_Curve",$NM$13*(27-$NQ$13+1)*($NR$13-27+1)/$NT$13,$NM$13/$NS$13)),0)</f>
        <v/>
      </c>
      <c r="AE13" s="18">
        <f>IF(AND(28&gt;=$NQ$13,28&lt;=$NR$13),IF($NO$13="Single_Point",IF(28=$NQ$13,$NM$13,0),IF($NO$13="Bell_Curve",$NM$13*(28-$NQ$13+1)*($NR$13-28+1)/$NT$13,$NM$13/$NS$13)),0)</f>
        <v/>
      </c>
      <c r="AF13" s="18">
        <f>IF(AND(29&gt;=$NQ$13,29&lt;=$NR$13),IF($NO$13="Single_Point",IF(29=$NQ$13,$NM$13,0),IF($NO$13="Bell_Curve",$NM$13*(29-$NQ$13+1)*($NR$13-29+1)/$NT$13,$NM$13/$NS$13)),0)</f>
        <v/>
      </c>
      <c r="AG13" s="18">
        <f>IF(AND(30&gt;=$NQ$13,30&lt;=$NR$13),IF($NO$13="Single_Point",IF(30=$NQ$13,$NM$13,0),IF($NO$13="Bell_Curve",$NM$13*(30-$NQ$13+1)*($NR$13-30+1)/$NT$13,$NM$13/$NS$13)),0)</f>
        <v/>
      </c>
      <c r="AH13" s="18">
        <f>IF(AND(31&gt;=$NQ$13,31&lt;=$NR$13),IF($NO$13="Single_Point",IF(31=$NQ$13,$NM$13,0),IF($NO$13="Bell_Curve",$NM$13*(31-$NQ$13+1)*($NR$13-31+1)/$NT$13,$NM$13/$NS$13)),0)</f>
        <v/>
      </c>
      <c r="AI13" s="18">
        <f>IF(AND(32&gt;=$NQ$13,32&lt;=$NR$13),IF($NO$13="Single_Point",IF(32=$NQ$13,$NM$13,0),IF($NO$13="Bell_Curve",$NM$13*(32-$NQ$13+1)*($NR$13-32+1)/$NT$13,$NM$13/$NS$13)),0)</f>
        <v/>
      </c>
      <c r="AJ13" s="18">
        <f>IF(AND(33&gt;=$NQ$13,33&lt;=$NR$13),IF($NO$13="Single_Point",IF(33=$NQ$13,$NM$13,0),IF($NO$13="Bell_Curve",$NM$13*(33-$NQ$13+1)*($NR$13-33+1)/$NT$13,$NM$13/$NS$13)),0)</f>
        <v/>
      </c>
      <c r="AK13" s="18">
        <f>IF(AND(34&gt;=$NQ$13,34&lt;=$NR$13),IF($NO$13="Single_Point",IF(34=$NQ$13,$NM$13,0),IF($NO$13="Bell_Curve",$NM$13*(34-$NQ$13+1)*($NR$13-34+1)/$NT$13,$NM$13/$NS$13)),0)</f>
        <v/>
      </c>
      <c r="AL13" s="18">
        <f>IF(AND(35&gt;=$NQ$13,35&lt;=$NR$13),IF($NO$13="Single_Point",IF(35=$NQ$13,$NM$13,0),IF($NO$13="Bell_Curve",$NM$13*(35-$NQ$13+1)*($NR$13-35+1)/$NT$13,$NM$13/$NS$13)),0)</f>
        <v/>
      </c>
      <c r="AM13" s="18">
        <f>IF(AND(36&gt;=$NQ$13,36&lt;=$NR$13),IF($NO$13="Single_Point",IF(36=$NQ$13,$NM$13,0),IF($NO$13="Bell_Curve",$NM$13*(36-$NQ$13+1)*($NR$13-36+1)/$NT$13,$NM$13/$NS$13)),0)</f>
        <v/>
      </c>
      <c r="AN13" s="18">
        <f>IF(AND(37&gt;=$NQ$13,37&lt;=$NR$13),IF($NO$13="Single_Point",IF(37=$NQ$13,$NM$13,0),IF($NO$13="Bell_Curve",$NM$13*(37-$NQ$13+1)*($NR$13-37+1)/$NT$13,$NM$13/$NS$13)),0)</f>
        <v/>
      </c>
      <c r="AO13" s="18">
        <f>IF(AND(38&gt;=$NQ$13,38&lt;=$NR$13),IF($NO$13="Single_Point",IF(38=$NQ$13,$NM$13,0),IF($NO$13="Bell_Curve",$NM$13*(38-$NQ$13+1)*($NR$13-38+1)/$NT$13,$NM$13/$NS$13)),0)</f>
        <v/>
      </c>
      <c r="AP13" s="18">
        <f>IF(AND(39&gt;=$NQ$13,39&lt;=$NR$13),IF($NO$13="Single_Point",IF(39=$NQ$13,$NM$13,0),IF($NO$13="Bell_Curve",$NM$13*(39-$NQ$13+1)*($NR$13-39+1)/$NT$13,$NM$13/$NS$13)),0)</f>
        <v/>
      </c>
      <c r="AQ13" s="18">
        <f>IF(AND(40&gt;=$NQ$13,40&lt;=$NR$13),IF($NO$13="Single_Point",IF(40=$NQ$13,$NM$13,0),IF($NO$13="Bell_Curve",$NM$13*(40-$NQ$13+1)*($NR$13-40+1)/$NT$13,$NM$13/$NS$13)),0)</f>
        <v/>
      </c>
      <c r="AR13" s="18">
        <f>IF(AND(41&gt;=$NQ$13,41&lt;=$NR$13),IF($NO$13="Single_Point",IF(41=$NQ$13,$NM$13,0),IF($NO$13="Bell_Curve",$NM$13*(41-$NQ$13+1)*($NR$13-41+1)/$NT$13,$NM$13/$NS$13)),0)</f>
        <v/>
      </c>
      <c r="AS13" s="18">
        <f>IF(AND(42&gt;=$NQ$13,42&lt;=$NR$13),IF($NO$13="Single_Point",IF(42=$NQ$13,$NM$13,0),IF($NO$13="Bell_Curve",$NM$13*(42-$NQ$13+1)*($NR$13-42+1)/$NT$13,$NM$13/$NS$13)),0)</f>
        <v/>
      </c>
      <c r="AT13" s="18">
        <f>IF(AND(43&gt;=$NQ$13,43&lt;=$NR$13),IF($NO$13="Single_Point",IF(43=$NQ$13,$NM$13,0),IF($NO$13="Bell_Curve",$NM$13*(43-$NQ$13+1)*($NR$13-43+1)/$NT$13,$NM$13/$NS$13)),0)</f>
        <v/>
      </c>
      <c r="AU13" s="18">
        <f>IF(AND(44&gt;=$NQ$13,44&lt;=$NR$13),IF($NO$13="Single_Point",IF(44=$NQ$13,$NM$13,0),IF($NO$13="Bell_Curve",$NM$13*(44-$NQ$13+1)*($NR$13-44+1)/$NT$13,$NM$13/$NS$13)),0)</f>
        <v/>
      </c>
      <c r="AV13" s="18">
        <f>IF(AND(45&gt;=$NQ$13,45&lt;=$NR$13),IF($NO$13="Single_Point",IF(45=$NQ$13,$NM$13,0),IF($NO$13="Bell_Curve",$NM$13*(45-$NQ$13+1)*($NR$13-45+1)/$NT$13,$NM$13/$NS$13)),0)</f>
        <v/>
      </c>
      <c r="AW13" s="18">
        <f>IF(AND(46&gt;=$NQ$13,46&lt;=$NR$13),IF($NO$13="Single_Point",IF(46=$NQ$13,$NM$13,0),IF($NO$13="Bell_Curve",$NM$13*(46-$NQ$13+1)*($NR$13-46+1)/$NT$13,$NM$13/$NS$13)),0)</f>
        <v/>
      </c>
      <c r="AX13" s="18">
        <f>IF(AND(47&gt;=$NQ$13,47&lt;=$NR$13),IF($NO$13="Single_Point",IF(47=$NQ$13,$NM$13,0),IF($NO$13="Bell_Curve",$NM$13*(47-$NQ$13+1)*($NR$13-47+1)/$NT$13,$NM$13/$NS$13)),0)</f>
        <v/>
      </c>
      <c r="AY13" s="18">
        <f>IF(AND(48&gt;=$NQ$13,48&lt;=$NR$13),IF($NO$13="Single_Point",IF(48=$NQ$13,$NM$13,0),IF($NO$13="Bell_Curve",$NM$13*(48-$NQ$13+1)*($NR$13-48+1)/$NT$13,$NM$13/$NS$13)),0)</f>
        <v/>
      </c>
      <c r="AZ13" s="18">
        <f>IF(AND(49&gt;=$NQ$13,49&lt;=$NR$13),IF($NO$13="Single_Point",IF(49=$NQ$13,$NM$13,0),IF($NO$13="Bell_Curve",$NM$13*(49-$NQ$13+1)*($NR$13-49+1)/$NT$13,$NM$13/$NS$13)),0)</f>
        <v/>
      </c>
      <c r="BA13" s="18">
        <f>IF(AND(50&gt;=$NQ$13,50&lt;=$NR$13),IF($NO$13="Single_Point",IF(50=$NQ$13,$NM$13,0),IF($NO$13="Bell_Curve",$NM$13*(50-$NQ$13+1)*($NR$13-50+1)/$NT$13,$NM$13/$NS$13)),0)</f>
        <v/>
      </c>
      <c r="BB13" s="18">
        <f>IF(AND(51&gt;=$NQ$13,51&lt;=$NR$13),IF($NO$13="Single_Point",IF(51=$NQ$13,$NM$13,0),IF($NO$13="Bell_Curve",$NM$13*(51-$NQ$13+1)*($NR$13-51+1)/$NT$13,$NM$13/$NS$13)),0)</f>
        <v/>
      </c>
      <c r="BC13" s="18">
        <f>IF(AND(52&gt;=$NQ$13,52&lt;=$NR$13),IF($NO$13="Single_Point",IF(52=$NQ$13,$NM$13,0),IF($NO$13="Bell_Curve",$NM$13*(52-$NQ$13+1)*($NR$13-52+1)/$NT$13,$NM$13/$NS$13)),0)</f>
        <v/>
      </c>
      <c r="BD13" s="18">
        <f>IF(AND(53&gt;=$NQ$13,53&lt;=$NR$13),IF($NO$13="Single_Point",IF(53=$NQ$13,$NM$13,0),IF($NO$13="Bell_Curve",$NM$13*(53-$NQ$13+1)*($NR$13-53+1)/$NT$13,$NM$13/$NS$13)),0)</f>
        <v/>
      </c>
      <c r="BE13" s="18">
        <f>IF(AND(54&gt;=$NQ$13,54&lt;=$NR$13),IF($NO$13="Single_Point",IF(54=$NQ$13,$NM$13,0),IF($NO$13="Bell_Curve",$NM$13*(54-$NQ$13+1)*($NR$13-54+1)/$NT$13,$NM$13/$NS$13)),0)</f>
        <v/>
      </c>
      <c r="BF13" s="18">
        <f>IF(AND(55&gt;=$NQ$13,55&lt;=$NR$13),IF($NO$13="Single_Point",IF(55=$NQ$13,$NM$13,0),IF($NO$13="Bell_Curve",$NM$13*(55-$NQ$13+1)*($NR$13-55+1)/$NT$13,$NM$13/$NS$13)),0)</f>
        <v/>
      </c>
      <c r="BG13" s="18">
        <f>IF(AND(56&gt;=$NQ$13,56&lt;=$NR$13),IF($NO$13="Single_Point",IF(56=$NQ$13,$NM$13,0),IF($NO$13="Bell_Curve",$NM$13*(56-$NQ$13+1)*($NR$13-56+1)/$NT$13,$NM$13/$NS$13)),0)</f>
        <v/>
      </c>
      <c r="BH13" s="18">
        <f>IF(AND(57&gt;=$NQ$13,57&lt;=$NR$13),IF($NO$13="Single_Point",IF(57=$NQ$13,$NM$13,0),IF($NO$13="Bell_Curve",$NM$13*(57-$NQ$13+1)*($NR$13-57+1)/$NT$13,$NM$13/$NS$13)),0)</f>
        <v/>
      </c>
      <c r="BI13" s="18">
        <f>IF(AND(58&gt;=$NQ$13,58&lt;=$NR$13),IF($NO$13="Single_Point",IF(58=$NQ$13,$NM$13,0),IF($NO$13="Bell_Curve",$NM$13*(58-$NQ$13+1)*($NR$13-58+1)/$NT$13,$NM$13/$NS$13)),0)</f>
        <v/>
      </c>
      <c r="BJ13" s="18">
        <f>IF(AND(59&gt;=$NQ$13,59&lt;=$NR$13),IF($NO$13="Single_Point",IF(59=$NQ$13,$NM$13,0),IF($NO$13="Bell_Curve",$NM$13*(59-$NQ$13+1)*($NR$13-59+1)/$NT$13,$NM$13/$NS$13)),0)</f>
        <v/>
      </c>
      <c r="BK13" s="18">
        <f>IF(AND(60&gt;=$NQ$13,60&lt;=$NR$13),IF($NO$13="Single_Point",IF(60=$NQ$13,$NM$13,0),IF($NO$13="Bell_Curve",$NM$13*(60-$NQ$13+1)*($NR$13-60+1)/$NT$13,$NM$13/$NS$13)),0)</f>
        <v/>
      </c>
      <c r="BL13" s="18">
        <f>IF(AND(61&gt;=$NQ$13,61&lt;=$NR$13),IF($NO$13="Single_Point",IF(61=$NQ$13,$NM$13,0),IF($NO$13="Bell_Curve",$NM$13*(61-$NQ$13+1)*($NR$13-61+1)/$NT$13,$NM$13/$NS$13)),0)</f>
        <v/>
      </c>
      <c r="BM13" s="18">
        <f>IF(AND(62&gt;=$NQ$13,62&lt;=$NR$13),IF($NO$13="Single_Point",IF(62=$NQ$13,$NM$13,0),IF($NO$13="Bell_Curve",$NM$13*(62-$NQ$13+1)*($NR$13-62+1)/$NT$13,$NM$13/$NS$13)),0)</f>
        <v/>
      </c>
      <c r="BN13" s="18">
        <f>IF(AND(63&gt;=$NQ$13,63&lt;=$NR$13),IF($NO$13="Single_Point",IF(63=$NQ$13,$NM$13,0),IF($NO$13="Bell_Curve",$NM$13*(63-$NQ$13+1)*($NR$13-63+1)/$NT$13,$NM$13/$NS$13)),0)</f>
        <v/>
      </c>
      <c r="BO13" s="18">
        <f>IF(AND(64&gt;=$NQ$13,64&lt;=$NR$13),IF($NO$13="Single_Point",IF(64=$NQ$13,$NM$13,0),IF($NO$13="Bell_Curve",$NM$13*(64-$NQ$13+1)*($NR$13-64+1)/$NT$13,$NM$13/$NS$13)),0)</f>
        <v/>
      </c>
      <c r="BP13" s="18">
        <f>IF(AND(65&gt;=$NQ$13,65&lt;=$NR$13),IF($NO$13="Single_Point",IF(65=$NQ$13,$NM$13,0),IF($NO$13="Bell_Curve",$NM$13*(65-$NQ$13+1)*($NR$13-65+1)/$NT$13,$NM$13/$NS$13)),0)</f>
        <v/>
      </c>
      <c r="BQ13" s="18">
        <f>IF(AND(66&gt;=$NQ$13,66&lt;=$NR$13),IF($NO$13="Single_Point",IF(66=$NQ$13,$NM$13,0),IF($NO$13="Bell_Curve",$NM$13*(66-$NQ$13+1)*($NR$13-66+1)/$NT$13,$NM$13/$NS$13)),0)</f>
        <v/>
      </c>
      <c r="BR13" s="18">
        <f>IF(AND(67&gt;=$NQ$13,67&lt;=$NR$13),IF($NO$13="Single_Point",IF(67=$NQ$13,$NM$13,0),IF($NO$13="Bell_Curve",$NM$13*(67-$NQ$13+1)*($NR$13-67+1)/$NT$13,$NM$13/$NS$13)),0)</f>
        <v/>
      </c>
      <c r="BS13" s="18">
        <f>IF(AND(68&gt;=$NQ$13,68&lt;=$NR$13),IF($NO$13="Single_Point",IF(68=$NQ$13,$NM$13,0),IF($NO$13="Bell_Curve",$NM$13*(68-$NQ$13+1)*($NR$13-68+1)/$NT$13,$NM$13/$NS$13)),0)</f>
        <v/>
      </c>
      <c r="BT13" s="18">
        <f>IF(AND(69&gt;=$NQ$13,69&lt;=$NR$13),IF($NO$13="Single_Point",IF(69=$NQ$13,$NM$13,0),IF($NO$13="Bell_Curve",$NM$13*(69-$NQ$13+1)*($NR$13-69+1)/$NT$13,$NM$13/$NS$13)),0)</f>
        <v/>
      </c>
      <c r="BU13" s="18">
        <f>IF(AND(70&gt;=$NQ$13,70&lt;=$NR$13),IF($NO$13="Single_Point",IF(70=$NQ$13,$NM$13,0),IF($NO$13="Bell_Curve",$NM$13*(70-$NQ$13+1)*($NR$13-70+1)/$NT$13,$NM$13/$NS$13)),0)</f>
        <v/>
      </c>
      <c r="BV13" s="18">
        <f>IF(AND(71&gt;=$NQ$13,71&lt;=$NR$13),IF($NO$13="Single_Point",IF(71=$NQ$13,$NM$13,0),IF($NO$13="Bell_Curve",$NM$13*(71-$NQ$13+1)*($NR$13-71+1)/$NT$13,$NM$13/$NS$13)),0)</f>
        <v/>
      </c>
      <c r="BW13" s="18">
        <f>IF(AND(72&gt;=$NQ$13,72&lt;=$NR$13),IF($NO$13="Single_Point",IF(72=$NQ$13,$NM$13,0),IF($NO$13="Bell_Curve",$NM$13*(72-$NQ$13+1)*($NR$13-72+1)/$NT$13,$NM$13/$NS$13)),0)</f>
        <v/>
      </c>
      <c r="BX13" s="18">
        <f>IF(AND(73&gt;=$NQ$13,73&lt;=$NR$13),IF($NO$13="Single_Point",IF(73=$NQ$13,$NM$13,0),IF($NO$13="Bell_Curve",$NM$13*(73-$NQ$13+1)*($NR$13-73+1)/$NT$13,$NM$13/$NS$13)),0)</f>
        <v/>
      </c>
      <c r="BY13" s="18">
        <f>IF(AND(74&gt;=$NQ$13,74&lt;=$NR$13),IF($NO$13="Single_Point",IF(74=$NQ$13,$NM$13,0),IF($NO$13="Bell_Curve",$NM$13*(74-$NQ$13+1)*($NR$13-74+1)/$NT$13,$NM$13/$NS$13)),0)</f>
        <v/>
      </c>
      <c r="BZ13" s="18">
        <f>IF(AND(75&gt;=$NQ$13,75&lt;=$NR$13),IF($NO$13="Single_Point",IF(75=$NQ$13,$NM$13,0),IF($NO$13="Bell_Curve",$NM$13*(75-$NQ$13+1)*($NR$13-75+1)/$NT$13,$NM$13/$NS$13)),0)</f>
        <v/>
      </c>
      <c r="CA13" s="18">
        <f>IF(AND(76&gt;=$NQ$13,76&lt;=$NR$13),IF($NO$13="Single_Point",IF(76=$NQ$13,$NM$13,0),IF($NO$13="Bell_Curve",$NM$13*(76-$NQ$13+1)*($NR$13-76+1)/$NT$13,$NM$13/$NS$13)),0)</f>
        <v/>
      </c>
      <c r="CB13" s="18">
        <f>IF(AND(77&gt;=$NQ$13,77&lt;=$NR$13),IF($NO$13="Single_Point",IF(77=$NQ$13,$NM$13,0),IF($NO$13="Bell_Curve",$NM$13*(77-$NQ$13+1)*($NR$13-77+1)/$NT$13,$NM$13/$NS$13)),0)</f>
        <v/>
      </c>
      <c r="CC13" s="18">
        <f>IF(AND(78&gt;=$NQ$13,78&lt;=$NR$13),IF($NO$13="Single_Point",IF(78=$NQ$13,$NM$13,0),IF($NO$13="Bell_Curve",$NM$13*(78-$NQ$13+1)*($NR$13-78+1)/$NT$13,$NM$13/$NS$13)),0)</f>
        <v/>
      </c>
      <c r="CD13" s="18">
        <f>IF(AND(79&gt;=$NQ$13,79&lt;=$NR$13),IF($NO$13="Single_Point",IF(79=$NQ$13,$NM$13,0),IF($NO$13="Bell_Curve",$NM$13*(79-$NQ$13+1)*($NR$13-79+1)/$NT$13,$NM$13/$NS$13)),0)</f>
        <v/>
      </c>
      <c r="CE13" s="18">
        <f>IF(AND(80&gt;=$NQ$13,80&lt;=$NR$13),IF($NO$13="Single_Point",IF(80=$NQ$13,$NM$13,0),IF($NO$13="Bell_Curve",$NM$13*(80-$NQ$13+1)*($NR$13-80+1)/$NT$13,$NM$13/$NS$13)),0)</f>
        <v/>
      </c>
      <c r="CF13" s="18">
        <f>IF(AND(81&gt;=$NQ$13,81&lt;=$NR$13),IF($NO$13="Single_Point",IF(81=$NQ$13,$NM$13,0),IF($NO$13="Bell_Curve",$NM$13*(81-$NQ$13+1)*($NR$13-81+1)/$NT$13,$NM$13/$NS$13)),0)</f>
        <v/>
      </c>
      <c r="CG13" s="18">
        <f>IF(AND(82&gt;=$NQ$13,82&lt;=$NR$13),IF($NO$13="Single_Point",IF(82=$NQ$13,$NM$13,0),IF($NO$13="Bell_Curve",$NM$13*(82-$NQ$13+1)*($NR$13-82+1)/$NT$13,$NM$13/$NS$13)),0)</f>
        <v/>
      </c>
      <c r="CH13" s="18">
        <f>IF(AND(83&gt;=$NQ$13,83&lt;=$NR$13),IF($NO$13="Single_Point",IF(83=$NQ$13,$NM$13,0),IF($NO$13="Bell_Curve",$NM$13*(83-$NQ$13+1)*($NR$13-83+1)/$NT$13,$NM$13/$NS$13)),0)</f>
        <v/>
      </c>
      <c r="CI13" s="18">
        <f>IF(AND(84&gt;=$NQ$13,84&lt;=$NR$13),IF($NO$13="Single_Point",IF(84=$NQ$13,$NM$13,0),IF($NO$13="Bell_Curve",$NM$13*(84-$NQ$13+1)*($NR$13-84+1)/$NT$13,$NM$13/$NS$13)),0)</f>
        <v/>
      </c>
      <c r="CJ13" s="18">
        <f>IF(AND(85&gt;=$NQ$13,85&lt;=$NR$13),IF($NO$13="Single_Point",IF(85=$NQ$13,$NM$13,0),IF($NO$13="Bell_Curve",$NM$13*(85-$NQ$13+1)*($NR$13-85+1)/$NT$13,$NM$13/$NS$13)),0)</f>
        <v/>
      </c>
      <c r="CK13" s="18">
        <f>IF(AND(86&gt;=$NQ$13,86&lt;=$NR$13),IF($NO$13="Single_Point",IF(86=$NQ$13,$NM$13,0),IF($NO$13="Bell_Curve",$NM$13*(86-$NQ$13+1)*($NR$13-86+1)/$NT$13,$NM$13/$NS$13)),0)</f>
        <v/>
      </c>
      <c r="CL13" s="18">
        <f>IF(AND(87&gt;=$NQ$13,87&lt;=$NR$13),IF($NO$13="Single_Point",IF(87=$NQ$13,$NM$13,0),IF($NO$13="Bell_Curve",$NM$13*(87-$NQ$13+1)*($NR$13-87+1)/$NT$13,$NM$13/$NS$13)),0)</f>
        <v/>
      </c>
      <c r="CM13" s="18">
        <f>IF(AND(88&gt;=$NQ$13,88&lt;=$NR$13),IF($NO$13="Single_Point",IF(88=$NQ$13,$NM$13,0),IF($NO$13="Bell_Curve",$NM$13*(88-$NQ$13+1)*($NR$13-88+1)/$NT$13,$NM$13/$NS$13)),0)</f>
        <v/>
      </c>
      <c r="CN13" s="18">
        <f>IF(AND(89&gt;=$NQ$13,89&lt;=$NR$13),IF($NO$13="Single_Point",IF(89=$NQ$13,$NM$13,0),IF($NO$13="Bell_Curve",$NM$13*(89-$NQ$13+1)*($NR$13-89+1)/$NT$13,$NM$13/$NS$13)),0)</f>
        <v/>
      </c>
      <c r="CO13" s="18">
        <f>IF(AND(90&gt;=$NQ$13,90&lt;=$NR$13),IF($NO$13="Single_Point",IF(90=$NQ$13,$NM$13,0),IF($NO$13="Bell_Curve",$NM$13*(90-$NQ$13+1)*($NR$13-90+1)/$NT$13,$NM$13/$NS$13)),0)</f>
        <v/>
      </c>
      <c r="CP13" s="18">
        <f>IF(AND(91&gt;=$NQ$13,91&lt;=$NR$13),IF($NO$13="Single_Point",IF(91=$NQ$13,$NM$13,0),IF($NO$13="Bell_Curve",$NM$13*(91-$NQ$13+1)*($NR$13-91+1)/$NT$13,$NM$13/$NS$13)),0)</f>
        <v/>
      </c>
      <c r="CQ13" s="18">
        <f>IF(AND(92&gt;=$NQ$13,92&lt;=$NR$13),IF($NO$13="Single_Point",IF(92=$NQ$13,$NM$13,0),IF($NO$13="Bell_Curve",$NM$13*(92-$NQ$13+1)*($NR$13-92+1)/$NT$13,$NM$13/$NS$13)),0)</f>
        <v/>
      </c>
      <c r="CR13" s="18">
        <f>IF(AND(93&gt;=$NQ$13,93&lt;=$NR$13),IF($NO$13="Single_Point",IF(93=$NQ$13,$NM$13,0),IF($NO$13="Bell_Curve",$NM$13*(93-$NQ$13+1)*($NR$13-93+1)/$NT$13,$NM$13/$NS$13)),0)</f>
        <v/>
      </c>
      <c r="CS13" s="18">
        <f>IF(AND(94&gt;=$NQ$13,94&lt;=$NR$13),IF($NO$13="Single_Point",IF(94=$NQ$13,$NM$13,0),IF($NO$13="Bell_Curve",$NM$13*(94-$NQ$13+1)*($NR$13-94+1)/$NT$13,$NM$13/$NS$13)),0)</f>
        <v/>
      </c>
      <c r="CT13" s="18">
        <f>IF(AND(95&gt;=$NQ$13,95&lt;=$NR$13),IF($NO$13="Single_Point",IF(95=$NQ$13,$NM$13,0),IF($NO$13="Bell_Curve",$NM$13*(95-$NQ$13+1)*($NR$13-95+1)/$NT$13,$NM$13/$NS$13)),0)</f>
        <v/>
      </c>
      <c r="CU13" s="18">
        <f>IF(AND(96&gt;=$NQ$13,96&lt;=$NR$13),IF($NO$13="Single_Point",IF(96=$NQ$13,$NM$13,0),IF($NO$13="Bell_Curve",$NM$13*(96-$NQ$13+1)*($NR$13-96+1)/$NT$13,$NM$13/$NS$13)),0)</f>
        <v/>
      </c>
      <c r="CV13" s="18">
        <f>IF(AND(97&gt;=$NQ$13,97&lt;=$NR$13),IF($NO$13="Single_Point",IF(97=$NQ$13,$NM$13,0),IF($NO$13="Bell_Curve",$NM$13*(97-$NQ$13+1)*($NR$13-97+1)/$NT$13,$NM$13/$NS$13)),0)</f>
        <v/>
      </c>
      <c r="CW13" s="18">
        <f>IF(AND(98&gt;=$NQ$13,98&lt;=$NR$13),IF($NO$13="Single_Point",IF(98=$NQ$13,$NM$13,0),IF($NO$13="Bell_Curve",$NM$13*(98-$NQ$13+1)*($NR$13-98+1)/$NT$13,$NM$13/$NS$13)),0)</f>
        <v/>
      </c>
      <c r="CX13" s="18">
        <f>IF(AND(99&gt;=$NQ$13,99&lt;=$NR$13),IF($NO$13="Single_Point",IF(99=$NQ$13,$NM$13,0),IF($NO$13="Bell_Curve",$NM$13*(99-$NQ$13+1)*($NR$13-99+1)/$NT$13,$NM$13/$NS$13)),0)</f>
        <v/>
      </c>
      <c r="CY13" s="18">
        <f>IF(AND(100&gt;=$NQ$13,100&lt;=$NR$13),IF($NO$13="Single_Point",IF(100=$NQ$13,$NM$13,0),IF($NO$13="Bell_Curve",$NM$13*(100-$NQ$13+1)*($NR$13-100+1)/$NT$13,$NM$13/$NS$13)),0)</f>
        <v/>
      </c>
      <c r="CZ13" s="18">
        <f>IF(AND(101&gt;=$NQ$13,101&lt;=$NR$13),IF($NO$13="Single_Point",IF(101=$NQ$13,$NM$13,0),IF($NO$13="Bell_Curve",$NM$13*(101-$NQ$13+1)*($NR$13-101+1)/$NT$13,$NM$13/$NS$13)),0)</f>
        <v/>
      </c>
      <c r="DA13" s="18">
        <f>IF(AND(102&gt;=$NQ$13,102&lt;=$NR$13),IF($NO$13="Single_Point",IF(102=$NQ$13,$NM$13,0),IF($NO$13="Bell_Curve",$NM$13*(102-$NQ$13+1)*($NR$13-102+1)/$NT$13,$NM$13/$NS$13)),0)</f>
        <v/>
      </c>
      <c r="DB13" s="18">
        <f>IF(AND(103&gt;=$NQ$13,103&lt;=$NR$13),IF($NO$13="Single_Point",IF(103=$NQ$13,$NM$13,0),IF($NO$13="Bell_Curve",$NM$13*(103-$NQ$13+1)*($NR$13-103+1)/$NT$13,$NM$13/$NS$13)),0)</f>
        <v/>
      </c>
      <c r="DC13" s="18">
        <f>IF(AND(104&gt;=$NQ$13,104&lt;=$NR$13),IF($NO$13="Single_Point",IF(104=$NQ$13,$NM$13,0),IF($NO$13="Bell_Curve",$NM$13*(104-$NQ$13+1)*($NR$13-104+1)/$NT$13,$NM$13/$NS$13)),0)</f>
        <v/>
      </c>
      <c r="DD13" s="18">
        <f>IF(AND(105&gt;=$NQ$13,105&lt;=$NR$13),IF($NO$13="Single_Point",IF(105=$NQ$13,$NM$13,0),IF($NO$13="Bell_Curve",$NM$13*(105-$NQ$13+1)*($NR$13-105+1)/$NT$13,$NM$13/$NS$13)),0)</f>
        <v/>
      </c>
      <c r="DE13" s="18">
        <f>IF(AND(106&gt;=$NQ$13,106&lt;=$NR$13),IF($NO$13="Single_Point",IF(106=$NQ$13,$NM$13,0),IF($NO$13="Bell_Curve",$NM$13*(106-$NQ$13+1)*($NR$13-106+1)/$NT$13,$NM$13/$NS$13)),0)</f>
        <v/>
      </c>
      <c r="DF13" s="18">
        <f>IF(AND(107&gt;=$NQ$13,107&lt;=$NR$13),IF($NO$13="Single_Point",IF(107=$NQ$13,$NM$13,0),IF($NO$13="Bell_Curve",$NM$13*(107-$NQ$13+1)*($NR$13-107+1)/$NT$13,$NM$13/$NS$13)),0)</f>
        <v/>
      </c>
      <c r="DG13" s="18">
        <f>IF(AND(108&gt;=$NQ$13,108&lt;=$NR$13),IF($NO$13="Single_Point",IF(108=$NQ$13,$NM$13,0),IF($NO$13="Bell_Curve",$NM$13*(108-$NQ$13+1)*($NR$13-108+1)/$NT$13,$NM$13/$NS$13)),0)</f>
        <v/>
      </c>
      <c r="DH13" s="18">
        <f>IF(AND(109&gt;=$NQ$13,109&lt;=$NR$13),IF($NO$13="Single_Point",IF(109=$NQ$13,$NM$13,0),IF($NO$13="Bell_Curve",$NM$13*(109-$NQ$13+1)*($NR$13-109+1)/$NT$13,$NM$13/$NS$13)),0)</f>
        <v/>
      </c>
      <c r="DI13" s="18">
        <f>IF(AND(110&gt;=$NQ$13,110&lt;=$NR$13),IF($NO$13="Single_Point",IF(110=$NQ$13,$NM$13,0),IF($NO$13="Bell_Curve",$NM$13*(110-$NQ$13+1)*($NR$13-110+1)/$NT$13,$NM$13/$NS$13)),0)</f>
        <v/>
      </c>
      <c r="DJ13" s="18">
        <f>IF(AND(111&gt;=$NQ$13,111&lt;=$NR$13),IF($NO$13="Single_Point",IF(111=$NQ$13,$NM$13,0),IF($NO$13="Bell_Curve",$NM$13*(111-$NQ$13+1)*($NR$13-111+1)/$NT$13,$NM$13/$NS$13)),0)</f>
        <v/>
      </c>
      <c r="DK13" s="18">
        <f>IF(AND(112&gt;=$NQ$13,112&lt;=$NR$13),IF($NO$13="Single_Point",IF(112=$NQ$13,$NM$13,0),IF($NO$13="Bell_Curve",$NM$13*(112-$NQ$13+1)*($NR$13-112+1)/$NT$13,$NM$13/$NS$13)),0)</f>
        <v/>
      </c>
      <c r="DL13" s="18">
        <f>IF(AND(113&gt;=$NQ$13,113&lt;=$NR$13),IF($NO$13="Single_Point",IF(113=$NQ$13,$NM$13,0),IF($NO$13="Bell_Curve",$NM$13*(113-$NQ$13+1)*($NR$13-113+1)/$NT$13,$NM$13/$NS$13)),0)</f>
        <v/>
      </c>
      <c r="DM13" s="18">
        <f>IF(AND(114&gt;=$NQ$13,114&lt;=$NR$13),IF($NO$13="Single_Point",IF(114=$NQ$13,$NM$13,0),IF($NO$13="Bell_Curve",$NM$13*(114-$NQ$13+1)*($NR$13-114+1)/$NT$13,$NM$13/$NS$13)),0)</f>
        <v/>
      </c>
      <c r="DN13" s="18">
        <f>IF(AND(115&gt;=$NQ$13,115&lt;=$NR$13),IF($NO$13="Single_Point",IF(115=$NQ$13,$NM$13,0),IF($NO$13="Bell_Curve",$NM$13*(115-$NQ$13+1)*($NR$13-115+1)/$NT$13,$NM$13/$NS$13)),0)</f>
        <v/>
      </c>
      <c r="DO13" s="18">
        <f>IF(AND(116&gt;=$NQ$13,116&lt;=$NR$13),IF($NO$13="Single_Point",IF(116=$NQ$13,$NM$13,0),IF($NO$13="Bell_Curve",$NM$13*(116-$NQ$13+1)*($NR$13-116+1)/$NT$13,$NM$13/$NS$13)),0)</f>
        <v/>
      </c>
      <c r="DP13" s="18">
        <f>IF(AND(117&gt;=$NQ$13,117&lt;=$NR$13),IF($NO$13="Single_Point",IF(117=$NQ$13,$NM$13,0),IF($NO$13="Bell_Curve",$NM$13*(117-$NQ$13+1)*($NR$13-117+1)/$NT$13,$NM$13/$NS$13)),0)</f>
        <v/>
      </c>
      <c r="DQ13" s="18">
        <f>IF(AND(118&gt;=$NQ$13,118&lt;=$NR$13),IF($NO$13="Single_Point",IF(118=$NQ$13,$NM$13,0),IF($NO$13="Bell_Curve",$NM$13*(118-$NQ$13+1)*($NR$13-118+1)/$NT$13,$NM$13/$NS$13)),0)</f>
        <v/>
      </c>
      <c r="DR13" s="18">
        <f>IF(AND(119&gt;=$NQ$13,119&lt;=$NR$13),IF($NO$13="Single_Point",IF(119=$NQ$13,$NM$13,0),IF($NO$13="Bell_Curve",$NM$13*(119-$NQ$13+1)*($NR$13-119+1)/$NT$13,$NM$13/$NS$13)),0)</f>
        <v/>
      </c>
      <c r="DS13" s="18">
        <f>IF(AND(120&gt;=$NQ$13,120&lt;=$NR$13),IF($NO$13="Single_Point",IF(120=$NQ$13,$NM$13,0),IF($NO$13="Bell_Curve",$NM$13*(120-$NQ$13+1)*($NR$13-120+1)/$NT$13,$NM$13/$NS$13)),0)</f>
        <v/>
      </c>
      <c r="DT13" s="18">
        <f>IF(AND(121&gt;=$NQ$13,121&lt;=$NR$13),IF($NO$13="Single_Point",IF(121=$NQ$13,$NM$13,0),IF($NO$13="Bell_Curve",$NM$13*(121-$NQ$13+1)*($NR$13-121+1)/$NT$13,$NM$13/$NS$13)),0)</f>
        <v/>
      </c>
      <c r="DU13" s="18">
        <f>IF(AND(122&gt;=$NQ$13,122&lt;=$NR$13),IF($NO$13="Single_Point",IF(122=$NQ$13,$NM$13,0),IF($NO$13="Bell_Curve",$NM$13*(122-$NQ$13+1)*($NR$13-122+1)/$NT$13,$NM$13/$NS$13)),0)</f>
        <v/>
      </c>
      <c r="DV13" s="18">
        <f>IF(AND(123&gt;=$NQ$13,123&lt;=$NR$13),IF($NO$13="Single_Point",IF(123=$NQ$13,$NM$13,0),IF($NO$13="Bell_Curve",$NM$13*(123-$NQ$13+1)*($NR$13-123+1)/$NT$13,$NM$13/$NS$13)),0)</f>
        <v/>
      </c>
      <c r="DW13" s="18">
        <f>IF(AND(124&gt;=$NQ$13,124&lt;=$NR$13),IF($NO$13="Single_Point",IF(124=$NQ$13,$NM$13,0),IF($NO$13="Bell_Curve",$NM$13*(124-$NQ$13+1)*($NR$13-124+1)/$NT$13,$NM$13/$NS$13)),0)</f>
        <v/>
      </c>
      <c r="DX13" s="18">
        <f>IF(AND(125&gt;=$NQ$13,125&lt;=$NR$13),IF($NO$13="Single_Point",IF(125=$NQ$13,$NM$13,0),IF($NO$13="Bell_Curve",$NM$13*(125-$NQ$13+1)*($NR$13-125+1)/$NT$13,$NM$13/$NS$13)),0)</f>
        <v/>
      </c>
      <c r="DY13" s="18">
        <f>IF(AND(126&gt;=$NQ$13,126&lt;=$NR$13),IF($NO$13="Single_Point",IF(126=$NQ$13,$NM$13,0),IF($NO$13="Bell_Curve",$NM$13*(126-$NQ$13+1)*($NR$13-126+1)/$NT$13,$NM$13/$NS$13)),0)</f>
        <v/>
      </c>
      <c r="DZ13" s="18">
        <f>IF(AND(127&gt;=$NQ$13,127&lt;=$NR$13),IF($NO$13="Single_Point",IF(127=$NQ$13,$NM$13,0),IF($NO$13="Bell_Curve",$NM$13*(127-$NQ$13+1)*($NR$13-127+1)/$NT$13,$NM$13/$NS$13)),0)</f>
        <v/>
      </c>
      <c r="EA13" s="18">
        <f>IF(AND(128&gt;=$NQ$13,128&lt;=$NR$13),IF($NO$13="Single_Point",IF(128=$NQ$13,$NM$13,0),IF($NO$13="Bell_Curve",$NM$13*(128-$NQ$13+1)*($NR$13-128+1)/$NT$13,$NM$13/$NS$13)),0)</f>
        <v/>
      </c>
      <c r="EB13" s="18">
        <f>IF(AND(129&gt;=$NQ$13,129&lt;=$NR$13),IF($NO$13="Single_Point",IF(129=$NQ$13,$NM$13,0),IF($NO$13="Bell_Curve",$NM$13*(129-$NQ$13+1)*($NR$13-129+1)/$NT$13,$NM$13/$NS$13)),0)</f>
        <v/>
      </c>
      <c r="EC13" s="18">
        <f>IF(AND(130&gt;=$NQ$13,130&lt;=$NR$13),IF($NO$13="Single_Point",IF(130=$NQ$13,$NM$13,0),IF($NO$13="Bell_Curve",$NM$13*(130-$NQ$13+1)*($NR$13-130+1)/$NT$13,$NM$13/$NS$13)),0)</f>
        <v/>
      </c>
      <c r="ED13" s="18">
        <f>IF(AND(131&gt;=$NQ$13,131&lt;=$NR$13),IF($NO$13="Single_Point",IF(131=$NQ$13,$NM$13,0),IF($NO$13="Bell_Curve",$NM$13*(131-$NQ$13+1)*($NR$13-131+1)/$NT$13,$NM$13/$NS$13)),0)</f>
        <v/>
      </c>
      <c r="EE13" s="18">
        <f>IF(AND(132&gt;=$NQ$13,132&lt;=$NR$13),IF($NO$13="Single_Point",IF(132=$NQ$13,$NM$13,0),IF($NO$13="Bell_Curve",$NM$13*(132-$NQ$13+1)*($NR$13-132+1)/$NT$13,$NM$13/$NS$13)),0)</f>
        <v/>
      </c>
      <c r="EF13" s="18">
        <f>IF(AND(133&gt;=$NQ$13,133&lt;=$NR$13),IF($NO$13="Single_Point",IF(133=$NQ$13,$NM$13,0),IF($NO$13="Bell_Curve",$NM$13*(133-$NQ$13+1)*($NR$13-133+1)/$NT$13,$NM$13/$NS$13)),0)</f>
        <v/>
      </c>
      <c r="EG13" s="18">
        <f>IF(AND(134&gt;=$NQ$13,134&lt;=$NR$13),IF($NO$13="Single_Point",IF(134=$NQ$13,$NM$13,0),IF($NO$13="Bell_Curve",$NM$13*(134-$NQ$13+1)*($NR$13-134+1)/$NT$13,$NM$13/$NS$13)),0)</f>
        <v/>
      </c>
      <c r="EH13" s="18">
        <f>IF(AND(135&gt;=$NQ$13,135&lt;=$NR$13),IF($NO$13="Single_Point",IF(135=$NQ$13,$NM$13,0),IF($NO$13="Bell_Curve",$NM$13*(135-$NQ$13+1)*($NR$13-135+1)/$NT$13,$NM$13/$NS$13)),0)</f>
        <v/>
      </c>
      <c r="EI13" s="18">
        <f>IF(AND(136&gt;=$NQ$13,136&lt;=$NR$13),IF($NO$13="Single_Point",IF(136=$NQ$13,$NM$13,0),IF($NO$13="Bell_Curve",$NM$13*(136-$NQ$13+1)*($NR$13-136+1)/$NT$13,$NM$13/$NS$13)),0)</f>
        <v/>
      </c>
      <c r="EJ13" s="18">
        <f>IF(AND(137&gt;=$NQ$13,137&lt;=$NR$13),IF($NO$13="Single_Point",IF(137=$NQ$13,$NM$13,0),IF($NO$13="Bell_Curve",$NM$13*(137-$NQ$13+1)*($NR$13-137+1)/$NT$13,$NM$13/$NS$13)),0)</f>
        <v/>
      </c>
      <c r="EK13" s="18">
        <f>IF(AND(138&gt;=$NQ$13,138&lt;=$NR$13),IF($NO$13="Single_Point",IF(138=$NQ$13,$NM$13,0),IF($NO$13="Bell_Curve",$NM$13*(138-$NQ$13+1)*($NR$13-138+1)/$NT$13,$NM$13/$NS$13)),0)</f>
        <v/>
      </c>
      <c r="EL13" s="18">
        <f>IF(AND(139&gt;=$NQ$13,139&lt;=$NR$13),IF($NO$13="Single_Point",IF(139=$NQ$13,$NM$13,0),IF($NO$13="Bell_Curve",$NM$13*(139-$NQ$13+1)*($NR$13-139+1)/$NT$13,$NM$13/$NS$13)),0)</f>
        <v/>
      </c>
      <c r="EM13" s="18">
        <f>IF(AND(140&gt;=$NQ$13,140&lt;=$NR$13),IF($NO$13="Single_Point",IF(140=$NQ$13,$NM$13,0),IF($NO$13="Bell_Curve",$NM$13*(140-$NQ$13+1)*($NR$13-140+1)/$NT$13,$NM$13/$NS$13)),0)</f>
        <v/>
      </c>
      <c r="EN13" s="18">
        <f>IF(AND(141&gt;=$NQ$13,141&lt;=$NR$13),IF($NO$13="Single_Point",IF(141=$NQ$13,$NM$13,0),IF($NO$13="Bell_Curve",$NM$13*(141-$NQ$13+1)*($NR$13-141+1)/$NT$13,$NM$13/$NS$13)),0)</f>
        <v/>
      </c>
      <c r="EO13" s="18">
        <f>IF(AND(142&gt;=$NQ$13,142&lt;=$NR$13),IF($NO$13="Single_Point",IF(142=$NQ$13,$NM$13,0),IF($NO$13="Bell_Curve",$NM$13*(142-$NQ$13+1)*($NR$13-142+1)/$NT$13,$NM$13/$NS$13)),0)</f>
        <v/>
      </c>
      <c r="EP13" s="18">
        <f>IF(AND(143&gt;=$NQ$13,143&lt;=$NR$13),IF($NO$13="Single_Point",IF(143=$NQ$13,$NM$13,0),IF($NO$13="Bell_Curve",$NM$13*(143-$NQ$13+1)*($NR$13-143+1)/$NT$13,$NM$13/$NS$13)),0)</f>
        <v/>
      </c>
      <c r="EQ13" s="18">
        <f>IF(AND(144&gt;=$NQ$13,144&lt;=$NR$13),IF($NO$13="Single_Point",IF(144=$NQ$13,$NM$13,0),IF($NO$13="Bell_Curve",$NM$13*(144-$NQ$13+1)*($NR$13-144+1)/$NT$13,$NM$13/$NS$13)),0)</f>
        <v/>
      </c>
      <c r="ER13" s="18">
        <f>IF(AND(145&gt;=$NQ$13,145&lt;=$NR$13),IF($NO$13="Single_Point",IF(145=$NQ$13,$NM$13,0),IF($NO$13="Bell_Curve",$NM$13*(145-$NQ$13+1)*($NR$13-145+1)/$NT$13,$NM$13/$NS$13)),0)</f>
        <v/>
      </c>
      <c r="ES13" s="18">
        <f>IF(AND(146&gt;=$NQ$13,146&lt;=$NR$13),IF($NO$13="Single_Point",IF(146=$NQ$13,$NM$13,0),IF($NO$13="Bell_Curve",$NM$13*(146-$NQ$13+1)*($NR$13-146+1)/$NT$13,$NM$13/$NS$13)),0)</f>
        <v/>
      </c>
      <c r="ET13" s="18">
        <f>IF(AND(147&gt;=$NQ$13,147&lt;=$NR$13),IF($NO$13="Single_Point",IF(147=$NQ$13,$NM$13,0),IF($NO$13="Bell_Curve",$NM$13*(147-$NQ$13+1)*($NR$13-147+1)/$NT$13,$NM$13/$NS$13)),0)</f>
        <v/>
      </c>
      <c r="EU13" s="18">
        <f>IF(AND(148&gt;=$NQ$13,148&lt;=$NR$13),IF($NO$13="Single_Point",IF(148=$NQ$13,$NM$13,0),IF($NO$13="Bell_Curve",$NM$13*(148-$NQ$13+1)*($NR$13-148+1)/$NT$13,$NM$13/$NS$13)),0)</f>
        <v/>
      </c>
      <c r="EV13" s="18">
        <f>IF(AND(149&gt;=$NQ$13,149&lt;=$NR$13),IF($NO$13="Single_Point",IF(149=$NQ$13,$NM$13,0),IF($NO$13="Bell_Curve",$NM$13*(149-$NQ$13+1)*($NR$13-149+1)/$NT$13,$NM$13/$NS$13)),0)</f>
        <v/>
      </c>
      <c r="EW13" s="18">
        <f>IF(AND(150&gt;=$NQ$13,150&lt;=$NR$13),IF($NO$13="Single_Point",IF(150=$NQ$13,$NM$13,0),IF($NO$13="Bell_Curve",$NM$13*(150-$NQ$13+1)*($NR$13-150+1)/$NT$13,$NM$13/$NS$13)),0)</f>
        <v/>
      </c>
      <c r="EX13" s="18">
        <f>IF(AND(151&gt;=$NQ$13,151&lt;=$NR$13),IF($NO$13="Single_Point",IF(151=$NQ$13,$NM$13,0),IF($NO$13="Bell_Curve",$NM$13*(151-$NQ$13+1)*($NR$13-151+1)/$NT$13,$NM$13/$NS$13)),0)</f>
        <v/>
      </c>
      <c r="EY13" s="18">
        <f>IF(AND(152&gt;=$NQ$13,152&lt;=$NR$13),IF($NO$13="Single_Point",IF(152=$NQ$13,$NM$13,0),IF($NO$13="Bell_Curve",$NM$13*(152-$NQ$13+1)*($NR$13-152+1)/$NT$13,$NM$13/$NS$13)),0)</f>
        <v/>
      </c>
      <c r="EZ13" s="18">
        <f>IF(AND(153&gt;=$NQ$13,153&lt;=$NR$13),IF($NO$13="Single_Point",IF(153=$NQ$13,$NM$13,0),IF($NO$13="Bell_Curve",$NM$13*(153-$NQ$13+1)*($NR$13-153+1)/$NT$13,$NM$13/$NS$13)),0)</f>
        <v/>
      </c>
      <c r="FA13" s="18">
        <f>IF(AND(154&gt;=$NQ$13,154&lt;=$NR$13),IF($NO$13="Single_Point",IF(154=$NQ$13,$NM$13,0),IF($NO$13="Bell_Curve",$NM$13*(154-$NQ$13+1)*($NR$13-154+1)/$NT$13,$NM$13/$NS$13)),0)</f>
        <v/>
      </c>
      <c r="FB13" s="18">
        <f>IF(AND(155&gt;=$NQ$13,155&lt;=$NR$13),IF($NO$13="Single_Point",IF(155=$NQ$13,$NM$13,0),IF($NO$13="Bell_Curve",$NM$13*(155-$NQ$13+1)*($NR$13-155+1)/$NT$13,$NM$13/$NS$13)),0)</f>
        <v/>
      </c>
      <c r="FC13" s="18">
        <f>IF(AND(156&gt;=$NQ$13,156&lt;=$NR$13),IF($NO$13="Single_Point",IF(156=$NQ$13,$NM$13,0),IF($NO$13="Bell_Curve",$NM$13*(156-$NQ$13+1)*($NR$13-156+1)/$NT$13,$NM$13/$NS$13)),0)</f>
        <v/>
      </c>
      <c r="FD13" s="18">
        <f>IF(AND(157&gt;=$NQ$13,157&lt;=$NR$13),IF($NO$13="Single_Point",IF(157=$NQ$13,$NM$13,0),IF($NO$13="Bell_Curve",$NM$13*(157-$NQ$13+1)*($NR$13-157+1)/$NT$13,$NM$13/$NS$13)),0)</f>
        <v/>
      </c>
      <c r="FE13" s="18">
        <f>IF(AND(158&gt;=$NQ$13,158&lt;=$NR$13),IF($NO$13="Single_Point",IF(158=$NQ$13,$NM$13,0),IF($NO$13="Bell_Curve",$NM$13*(158-$NQ$13+1)*($NR$13-158+1)/$NT$13,$NM$13/$NS$13)),0)</f>
        <v/>
      </c>
      <c r="FF13" s="18">
        <f>IF(AND(159&gt;=$NQ$13,159&lt;=$NR$13),IF($NO$13="Single_Point",IF(159=$NQ$13,$NM$13,0),IF($NO$13="Bell_Curve",$NM$13*(159-$NQ$13+1)*($NR$13-159+1)/$NT$13,$NM$13/$NS$13)),0)</f>
        <v/>
      </c>
      <c r="FG13" s="18">
        <f>IF(AND(160&gt;=$NQ$13,160&lt;=$NR$13),IF($NO$13="Single_Point",IF(160=$NQ$13,$NM$13,0),IF($NO$13="Bell_Curve",$NM$13*(160-$NQ$13+1)*($NR$13-160+1)/$NT$13,$NM$13/$NS$13)),0)</f>
        <v/>
      </c>
      <c r="FH13" s="18">
        <f>IF(AND(161&gt;=$NQ$13,161&lt;=$NR$13),IF($NO$13="Single_Point",IF(161=$NQ$13,$NM$13,0),IF($NO$13="Bell_Curve",$NM$13*(161-$NQ$13+1)*($NR$13-161+1)/$NT$13,$NM$13/$NS$13)),0)</f>
        <v/>
      </c>
      <c r="FI13" s="18">
        <f>IF(AND(162&gt;=$NQ$13,162&lt;=$NR$13),IF($NO$13="Single_Point",IF(162=$NQ$13,$NM$13,0),IF($NO$13="Bell_Curve",$NM$13*(162-$NQ$13+1)*($NR$13-162+1)/$NT$13,$NM$13/$NS$13)),0)</f>
        <v/>
      </c>
      <c r="FJ13" s="18">
        <f>IF(AND(163&gt;=$NQ$13,163&lt;=$NR$13),IF($NO$13="Single_Point",IF(163=$NQ$13,$NM$13,0),IF($NO$13="Bell_Curve",$NM$13*(163-$NQ$13+1)*($NR$13-163+1)/$NT$13,$NM$13/$NS$13)),0)</f>
        <v/>
      </c>
      <c r="FK13" s="18">
        <f>IF(AND(164&gt;=$NQ$13,164&lt;=$NR$13),IF($NO$13="Single_Point",IF(164=$NQ$13,$NM$13,0),IF($NO$13="Bell_Curve",$NM$13*(164-$NQ$13+1)*($NR$13-164+1)/$NT$13,$NM$13/$NS$13)),0)</f>
        <v/>
      </c>
      <c r="FL13" s="18">
        <f>IF(AND(165&gt;=$NQ$13,165&lt;=$NR$13),IF($NO$13="Single_Point",IF(165=$NQ$13,$NM$13,0),IF($NO$13="Bell_Curve",$NM$13*(165-$NQ$13+1)*($NR$13-165+1)/$NT$13,$NM$13/$NS$13)),0)</f>
        <v/>
      </c>
      <c r="FM13" s="18">
        <f>IF(AND(166&gt;=$NQ$13,166&lt;=$NR$13),IF($NO$13="Single_Point",IF(166=$NQ$13,$NM$13,0),IF($NO$13="Bell_Curve",$NM$13*(166-$NQ$13+1)*($NR$13-166+1)/$NT$13,$NM$13/$NS$13)),0)</f>
        <v/>
      </c>
      <c r="FN13" s="18">
        <f>IF(AND(167&gt;=$NQ$13,167&lt;=$NR$13),IF($NO$13="Single_Point",IF(167=$NQ$13,$NM$13,0),IF($NO$13="Bell_Curve",$NM$13*(167-$NQ$13+1)*($NR$13-167+1)/$NT$13,$NM$13/$NS$13)),0)</f>
        <v/>
      </c>
      <c r="FO13" s="18">
        <f>IF(AND(168&gt;=$NQ$13,168&lt;=$NR$13),IF($NO$13="Single_Point",IF(168=$NQ$13,$NM$13,0),IF($NO$13="Bell_Curve",$NM$13*(168-$NQ$13+1)*($NR$13-168+1)/$NT$13,$NM$13/$NS$13)),0)</f>
        <v/>
      </c>
      <c r="FP13" s="18">
        <f>IF(AND(169&gt;=$NQ$13,169&lt;=$NR$13),IF($NO$13="Single_Point",IF(169=$NQ$13,$NM$13,0),IF($NO$13="Bell_Curve",$NM$13*(169-$NQ$13+1)*($NR$13-169+1)/$NT$13,$NM$13/$NS$13)),0)</f>
        <v/>
      </c>
      <c r="FQ13" s="18">
        <f>IF(AND(170&gt;=$NQ$13,170&lt;=$NR$13),IF($NO$13="Single_Point",IF(170=$NQ$13,$NM$13,0),IF($NO$13="Bell_Curve",$NM$13*(170-$NQ$13+1)*($NR$13-170+1)/$NT$13,$NM$13/$NS$13)),0)</f>
        <v/>
      </c>
      <c r="FR13" s="18">
        <f>IF(AND(171&gt;=$NQ$13,171&lt;=$NR$13),IF($NO$13="Single_Point",IF(171=$NQ$13,$NM$13,0),IF($NO$13="Bell_Curve",$NM$13*(171-$NQ$13+1)*($NR$13-171+1)/$NT$13,$NM$13/$NS$13)),0)</f>
        <v/>
      </c>
      <c r="FS13" s="18">
        <f>IF(AND(172&gt;=$NQ$13,172&lt;=$NR$13),IF($NO$13="Single_Point",IF(172=$NQ$13,$NM$13,0),IF($NO$13="Bell_Curve",$NM$13*(172-$NQ$13+1)*($NR$13-172+1)/$NT$13,$NM$13/$NS$13)),0)</f>
        <v/>
      </c>
      <c r="FT13" s="18">
        <f>IF(AND(173&gt;=$NQ$13,173&lt;=$NR$13),IF($NO$13="Single_Point",IF(173=$NQ$13,$NM$13,0),IF($NO$13="Bell_Curve",$NM$13*(173-$NQ$13+1)*($NR$13-173+1)/$NT$13,$NM$13/$NS$13)),0)</f>
        <v/>
      </c>
      <c r="FU13" s="18">
        <f>IF(AND(174&gt;=$NQ$13,174&lt;=$NR$13),IF($NO$13="Single_Point",IF(174=$NQ$13,$NM$13,0),IF($NO$13="Bell_Curve",$NM$13*(174-$NQ$13+1)*($NR$13-174+1)/$NT$13,$NM$13/$NS$13)),0)</f>
        <v/>
      </c>
      <c r="FV13" s="18">
        <f>IF(AND(175&gt;=$NQ$13,175&lt;=$NR$13),IF($NO$13="Single_Point",IF(175=$NQ$13,$NM$13,0),IF($NO$13="Bell_Curve",$NM$13*(175-$NQ$13+1)*($NR$13-175+1)/$NT$13,$NM$13/$NS$13)),0)</f>
        <v/>
      </c>
      <c r="FW13" s="18">
        <f>IF(AND(176&gt;=$NQ$13,176&lt;=$NR$13),IF($NO$13="Single_Point",IF(176=$NQ$13,$NM$13,0),IF($NO$13="Bell_Curve",$NM$13*(176-$NQ$13+1)*($NR$13-176+1)/$NT$13,$NM$13/$NS$13)),0)</f>
        <v/>
      </c>
      <c r="FX13" s="18">
        <f>IF(AND(177&gt;=$NQ$13,177&lt;=$NR$13),IF($NO$13="Single_Point",IF(177=$NQ$13,$NM$13,0),IF($NO$13="Bell_Curve",$NM$13*(177-$NQ$13+1)*($NR$13-177+1)/$NT$13,$NM$13/$NS$13)),0)</f>
        <v/>
      </c>
      <c r="FY13" s="18">
        <f>IF(AND(178&gt;=$NQ$13,178&lt;=$NR$13),IF($NO$13="Single_Point",IF(178=$NQ$13,$NM$13,0),IF($NO$13="Bell_Curve",$NM$13*(178-$NQ$13+1)*($NR$13-178+1)/$NT$13,$NM$13/$NS$13)),0)</f>
        <v/>
      </c>
      <c r="FZ13" s="18">
        <f>IF(AND(179&gt;=$NQ$13,179&lt;=$NR$13),IF($NO$13="Single_Point",IF(179=$NQ$13,$NM$13,0),IF($NO$13="Bell_Curve",$NM$13*(179-$NQ$13+1)*($NR$13-179+1)/$NT$13,$NM$13/$NS$13)),0)</f>
        <v/>
      </c>
      <c r="GA13" s="18">
        <f>IF(AND(180&gt;=$NQ$13,180&lt;=$NR$13),IF($NO$13="Single_Point",IF(180=$NQ$13,$NM$13,0),IF($NO$13="Bell_Curve",$NM$13*(180-$NQ$13+1)*($NR$13-180+1)/$NT$13,$NM$13/$NS$13)),0)</f>
        <v/>
      </c>
      <c r="GB13" s="18">
        <f>IF(AND(181&gt;=$NQ$13,181&lt;=$NR$13),IF($NO$13="Single_Point",IF(181=$NQ$13,$NM$13,0),IF($NO$13="Bell_Curve",$NM$13*(181-$NQ$13+1)*($NR$13-181+1)/$NT$13,$NM$13/$NS$13)),0)</f>
        <v/>
      </c>
      <c r="GC13" s="18">
        <f>IF(AND(182&gt;=$NQ$13,182&lt;=$NR$13),IF($NO$13="Single_Point",IF(182=$NQ$13,$NM$13,0),IF($NO$13="Bell_Curve",$NM$13*(182-$NQ$13+1)*($NR$13-182+1)/$NT$13,$NM$13/$NS$13)),0)</f>
        <v/>
      </c>
      <c r="GD13" s="18">
        <f>IF(AND(183&gt;=$NQ$13,183&lt;=$NR$13),IF($NO$13="Single_Point",IF(183=$NQ$13,$NM$13,0),IF($NO$13="Bell_Curve",$NM$13*(183-$NQ$13+1)*($NR$13-183+1)/$NT$13,$NM$13/$NS$13)),0)</f>
        <v/>
      </c>
      <c r="GE13" s="18">
        <f>IF(AND(184&gt;=$NQ$13,184&lt;=$NR$13),IF($NO$13="Single_Point",IF(184=$NQ$13,$NM$13,0),IF($NO$13="Bell_Curve",$NM$13*(184-$NQ$13+1)*($NR$13-184+1)/$NT$13,$NM$13/$NS$13)),0)</f>
        <v/>
      </c>
      <c r="GF13" s="18">
        <f>IF(AND(185&gt;=$NQ$13,185&lt;=$NR$13),IF($NO$13="Single_Point",IF(185=$NQ$13,$NM$13,0),IF($NO$13="Bell_Curve",$NM$13*(185-$NQ$13+1)*($NR$13-185+1)/$NT$13,$NM$13/$NS$13)),0)</f>
        <v/>
      </c>
      <c r="GG13" s="18">
        <f>IF(AND(186&gt;=$NQ$13,186&lt;=$NR$13),IF($NO$13="Single_Point",IF(186=$NQ$13,$NM$13,0),IF($NO$13="Bell_Curve",$NM$13*(186-$NQ$13+1)*($NR$13-186+1)/$NT$13,$NM$13/$NS$13)),0)</f>
        <v/>
      </c>
      <c r="GH13" s="18">
        <f>IF(AND(187&gt;=$NQ$13,187&lt;=$NR$13),IF($NO$13="Single_Point",IF(187=$NQ$13,$NM$13,0),IF($NO$13="Bell_Curve",$NM$13*(187-$NQ$13+1)*($NR$13-187+1)/$NT$13,$NM$13/$NS$13)),0)</f>
        <v/>
      </c>
      <c r="GI13" s="18">
        <f>IF(AND(188&gt;=$NQ$13,188&lt;=$NR$13),IF($NO$13="Single_Point",IF(188=$NQ$13,$NM$13,0),IF($NO$13="Bell_Curve",$NM$13*(188-$NQ$13+1)*($NR$13-188+1)/$NT$13,$NM$13/$NS$13)),0)</f>
        <v/>
      </c>
      <c r="GJ13" s="18">
        <f>IF(AND(189&gt;=$NQ$13,189&lt;=$NR$13),IF($NO$13="Single_Point",IF(189=$NQ$13,$NM$13,0),IF($NO$13="Bell_Curve",$NM$13*(189-$NQ$13+1)*($NR$13-189+1)/$NT$13,$NM$13/$NS$13)),0)</f>
        <v/>
      </c>
      <c r="GK13" s="18">
        <f>IF(AND(190&gt;=$NQ$13,190&lt;=$NR$13),IF($NO$13="Single_Point",IF(190=$NQ$13,$NM$13,0),IF($NO$13="Bell_Curve",$NM$13*(190-$NQ$13+1)*($NR$13-190+1)/$NT$13,$NM$13/$NS$13)),0)</f>
        <v/>
      </c>
      <c r="GL13" s="18">
        <f>IF(AND(191&gt;=$NQ$13,191&lt;=$NR$13),IF($NO$13="Single_Point",IF(191=$NQ$13,$NM$13,0),IF($NO$13="Bell_Curve",$NM$13*(191-$NQ$13+1)*($NR$13-191+1)/$NT$13,$NM$13/$NS$13)),0)</f>
        <v/>
      </c>
      <c r="GM13" s="18">
        <f>IF(AND(192&gt;=$NQ$13,192&lt;=$NR$13),IF($NO$13="Single_Point",IF(192=$NQ$13,$NM$13,0),IF($NO$13="Bell_Curve",$NM$13*(192-$NQ$13+1)*($NR$13-192+1)/$NT$13,$NM$13/$NS$13)),0)</f>
        <v/>
      </c>
      <c r="GN13" s="18">
        <f>IF(AND(193&gt;=$NQ$13,193&lt;=$NR$13),IF($NO$13="Single_Point",IF(193=$NQ$13,$NM$13,0),IF($NO$13="Bell_Curve",$NM$13*(193-$NQ$13+1)*($NR$13-193+1)/$NT$13,$NM$13/$NS$13)),0)</f>
        <v/>
      </c>
      <c r="GO13" s="18">
        <f>IF(AND(194&gt;=$NQ$13,194&lt;=$NR$13),IF($NO$13="Single_Point",IF(194=$NQ$13,$NM$13,0),IF($NO$13="Bell_Curve",$NM$13*(194-$NQ$13+1)*($NR$13-194+1)/$NT$13,$NM$13/$NS$13)),0)</f>
        <v/>
      </c>
      <c r="GP13" s="18">
        <f>IF(AND(195&gt;=$NQ$13,195&lt;=$NR$13),IF($NO$13="Single_Point",IF(195=$NQ$13,$NM$13,0),IF($NO$13="Bell_Curve",$NM$13*(195-$NQ$13+1)*($NR$13-195+1)/$NT$13,$NM$13/$NS$13)),0)</f>
        <v/>
      </c>
      <c r="GQ13" s="18">
        <f>IF(AND(196&gt;=$NQ$13,196&lt;=$NR$13),IF($NO$13="Single_Point",IF(196=$NQ$13,$NM$13,0),IF($NO$13="Bell_Curve",$NM$13*(196-$NQ$13+1)*($NR$13-196+1)/$NT$13,$NM$13/$NS$13)),0)</f>
        <v/>
      </c>
      <c r="GR13" s="18">
        <f>IF(AND(197&gt;=$NQ$13,197&lt;=$NR$13),IF($NO$13="Single_Point",IF(197=$NQ$13,$NM$13,0),IF($NO$13="Bell_Curve",$NM$13*(197-$NQ$13+1)*($NR$13-197+1)/$NT$13,$NM$13/$NS$13)),0)</f>
        <v/>
      </c>
      <c r="GS13" s="18">
        <f>IF(AND(198&gt;=$NQ$13,198&lt;=$NR$13),IF($NO$13="Single_Point",IF(198=$NQ$13,$NM$13,0),IF($NO$13="Bell_Curve",$NM$13*(198-$NQ$13+1)*($NR$13-198+1)/$NT$13,$NM$13/$NS$13)),0)</f>
        <v/>
      </c>
      <c r="GT13" s="18">
        <f>IF(AND(199&gt;=$NQ$13,199&lt;=$NR$13),IF($NO$13="Single_Point",IF(199=$NQ$13,$NM$13,0),IF($NO$13="Bell_Curve",$NM$13*(199-$NQ$13+1)*($NR$13-199+1)/$NT$13,$NM$13/$NS$13)),0)</f>
        <v/>
      </c>
      <c r="GU13" s="18">
        <f>IF(AND(200&gt;=$NQ$13,200&lt;=$NR$13),IF($NO$13="Single_Point",IF(200=$NQ$13,$NM$13,0),IF($NO$13="Bell_Curve",$NM$13*(200-$NQ$13+1)*($NR$13-200+1)/$NT$13,$NM$13/$NS$13)),0)</f>
        <v/>
      </c>
      <c r="GV13" s="18">
        <f>IF(AND(201&gt;=$NQ$13,201&lt;=$NR$13),IF($NO$13="Single_Point",IF(201=$NQ$13,$NM$13,0),IF($NO$13="Bell_Curve",$NM$13*(201-$NQ$13+1)*($NR$13-201+1)/$NT$13,$NM$13/$NS$13)),0)</f>
        <v/>
      </c>
      <c r="GW13" s="18">
        <f>IF(AND(202&gt;=$NQ$13,202&lt;=$NR$13),IF($NO$13="Single_Point",IF(202=$NQ$13,$NM$13,0),IF($NO$13="Bell_Curve",$NM$13*(202-$NQ$13+1)*($NR$13-202+1)/$NT$13,$NM$13/$NS$13)),0)</f>
        <v/>
      </c>
      <c r="GX13" s="18">
        <f>IF(AND(203&gt;=$NQ$13,203&lt;=$NR$13),IF($NO$13="Single_Point",IF(203=$NQ$13,$NM$13,0),IF($NO$13="Bell_Curve",$NM$13*(203-$NQ$13+1)*($NR$13-203+1)/$NT$13,$NM$13/$NS$13)),0)</f>
        <v/>
      </c>
      <c r="GY13" s="18">
        <f>IF(AND(204&gt;=$NQ$13,204&lt;=$NR$13),IF($NO$13="Single_Point",IF(204=$NQ$13,$NM$13,0),IF($NO$13="Bell_Curve",$NM$13*(204-$NQ$13+1)*($NR$13-204+1)/$NT$13,$NM$13/$NS$13)),0)</f>
        <v/>
      </c>
      <c r="GZ13" s="18">
        <f>IF(AND(205&gt;=$NQ$13,205&lt;=$NR$13),IF($NO$13="Single_Point",IF(205=$NQ$13,$NM$13,0),IF($NO$13="Bell_Curve",$NM$13*(205-$NQ$13+1)*($NR$13-205+1)/$NT$13,$NM$13/$NS$13)),0)</f>
        <v/>
      </c>
      <c r="HA13" s="18">
        <f>IF(AND(206&gt;=$NQ$13,206&lt;=$NR$13),IF($NO$13="Single_Point",IF(206=$NQ$13,$NM$13,0),IF($NO$13="Bell_Curve",$NM$13*(206-$NQ$13+1)*($NR$13-206+1)/$NT$13,$NM$13/$NS$13)),0)</f>
        <v/>
      </c>
      <c r="HB13" s="18">
        <f>IF(AND(207&gt;=$NQ$13,207&lt;=$NR$13),IF($NO$13="Single_Point",IF(207=$NQ$13,$NM$13,0),IF($NO$13="Bell_Curve",$NM$13*(207-$NQ$13+1)*($NR$13-207+1)/$NT$13,$NM$13/$NS$13)),0)</f>
        <v/>
      </c>
      <c r="HC13" s="18">
        <f>IF(AND(208&gt;=$NQ$13,208&lt;=$NR$13),IF($NO$13="Single_Point",IF(208=$NQ$13,$NM$13,0),IF($NO$13="Bell_Curve",$NM$13*(208-$NQ$13+1)*($NR$13-208+1)/$NT$13,$NM$13/$NS$13)),0)</f>
        <v/>
      </c>
      <c r="HD13" s="18">
        <f>IF(AND(209&gt;=$NQ$13,209&lt;=$NR$13),IF($NO$13="Single_Point",IF(209=$NQ$13,$NM$13,0),IF($NO$13="Bell_Curve",$NM$13*(209-$NQ$13+1)*($NR$13-209+1)/$NT$13,$NM$13/$NS$13)),0)</f>
        <v/>
      </c>
      <c r="HE13" s="18">
        <f>IF(AND(210&gt;=$NQ$13,210&lt;=$NR$13),IF($NO$13="Single_Point",IF(210=$NQ$13,$NM$13,0),IF($NO$13="Bell_Curve",$NM$13*(210-$NQ$13+1)*($NR$13-210+1)/$NT$13,$NM$13/$NS$13)),0)</f>
        <v/>
      </c>
      <c r="HF13" s="18">
        <f>IF(AND(211&gt;=$NQ$13,211&lt;=$NR$13),IF($NO$13="Single_Point",IF(211=$NQ$13,$NM$13,0),IF($NO$13="Bell_Curve",$NM$13*(211-$NQ$13+1)*($NR$13-211+1)/$NT$13,$NM$13/$NS$13)),0)</f>
        <v/>
      </c>
      <c r="HG13" s="18">
        <f>IF(AND(212&gt;=$NQ$13,212&lt;=$NR$13),IF($NO$13="Single_Point",IF(212=$NQ$13,$NM$13,0),IF($NO$13="Bell_Curve",$NM$13*(212-$NQ$13+1)*($NR$13-212+1)/$NT$13,$NM$13/$NS$13)),0)</f>
        <v/>
      </c>
      <c r="HH13" s="18">
        <f>IF(AND(213&gt;=$NQ$13,213&lt;=$NR$13),IF($NO$13="Single_Point",IF(213=$NQ$13,$NM$13,0),IF($NO$13="Bell_Curve",$NM$13*(213-$NQ$13+1)*($NR$13-213+1)/$NT$13,$NM$13/$NS$13)),0)</f>
        <v/>
      </c>
      <c r="HI13" s="18">
        <f>IF(AND(214&gt;=$NQ$13,214&lt;=$NR$13),IF($NO$13="Single_Point",IF(214=$NQ$13,$NM$13,0),IF($NO$13="Bell_Curve",$NM$13*(214-$NQ$13+1)*($NR$13-214+1)/$NT$13,$NM$13/$NS$13)),0)</f>
        <v/>
      </c>
      <c r="HJ13" s="18">
        <f>IF(AND(215&gt;=$NQ$13,215&lt;=$NR$13),IF($NO$13="Single_Point",IF(215=$NQ$13,$NM$13,0),IF($NO$13="Bell_Curve",$NM$13*(215-$NQ$13+1)*($NR$13-215+1)/$NT$13,$NM$13/$NS$13)),0)</f>
        <v/>
      </c>
      <c r="HK13" s="18">
        <f>IF(AND(216&gt;=$NQ$13,216&lt;=$NR$13),IF($NO$13="Single_Point",IF(216=$NQ$13,$NM$13,0),IF($NO$13="Bell_Curve",$NM$13*(216-$NQ$13+1)*($NR$13-216+1)/$NT$13,$NM$13/$NS$13)),0)</f>
        <v/>
      </c>
      <c r="HL13" s="18">
        <f>IF(AND(217&gt;=$NQ$13,217&lt;=$NR$13),IF($NO$13="Single_Point",IF(217=$NQ$13,$NM$13,0),IF($NO$13="Bell_Curve",$NM$13*(217-$NQ$13+1)*($NR$13-217+1)/$NT$13,$NM$13/$NS$13)),0)</f>
        <v/>
      </c>
      <c r="HM13" s="18">
        <f>IF(AND(218&gt;=$NQ$13,218&lt;=$NR$13),IF($NO$13="Single_Point",IF(218=$NQ$13,$NM$13,0),IF($NO$13="Bell_Curve",$NM$13*(218-$NQ$13+1)*($NR$13-218+1)/$NT$13,$NM$13/$NS$13)),0)</f>
        <v/>
      </c>
      <c r="HN13" s="18">
        <f>IF(AND(219&gt;=$NQ$13,219&lt;=$NR$13),IF($NO$13="Single_Point",IF(219=$NQ$13,$NM$13,0),IF($NO$13="Bell_Curve",$NM$13*(219-$NQ$13+1)*($NR$13-219+1)/$NT$13,$NM$13/$NS$13)),0)</f>
        <v/>
      </c>
      <c r="HO13" s="18">
        <f>IF(AND(220&gt;=$NQ$13,220&lt;=$NR$13),IF($NO$13="Single_Point",IF(220=$NQ$13,$NM$13,0),IF($NO$13="Bell_Curve",$NM$13*(220-$NQ$13+1)*($NR$13-220+1)/$NT$13,$NM$13/$NS$13)),0)</f>
        <v/>
      </c>
      <c r="HP13" s="18">
        <f>IF(AND(221&gt;=$NQ$13,221&lt;=$NR$13),IF($NO$13="Single_Point",IF(221=$NQ$13,$NM$13,0),IF($NO$13="Bell_Curve",$NM$13*(221-$NQ$13+1)*($NR$13-221+1)/$NT$13,$NM$13/$NS$13)),0)</f>
        <v/>
      </c>
      <c r="HQ13" s="18">
        <f>IF(AND(222&gt;=$NQ$13,222&lt;=$NR$13),IF($NO$13="Single_Point",IF(222=$NQ$13,$NM$13,0),IF($NO$13="Bell_Curve",$NM$13*(222-$NQ$13+1)*($NR$13-222+1)/$NT$13,$NM$13/$NS$13)),0)</f>
        <v/>
      </c>
      <c r="HR13" s="18">
        <f>IF(AND(223&gt;=$NQ$13,223&lt;=$NR$13),IF($NO$13="Single_Point",IF(223=$NQ$13,$NM$13,0),IF($NO$13="Bell_Curve",$NM$13*(223-$NQ$13+1)*($NR$13-223+1)/$NT$13,$NM$13/$NS$13)),0)</f>
        <v/>
      </c>
      <c r="HS13" s="18">
        <f>IF(AND(224&gt;=$NQ$13,224&lt;=$NR$13),IF($NO$13="Single_Point",IF(224=$NQ$13,$NM$13,0),IF($NO$13="Bell_Curve",$NM$13*(224-$NQ$13+1)*($NR$13-224+1)/$NT$13,$NM$13/$NS$13)),0)</f>
        <v/>
      </c>
      <c r="HT13" s="18">
        <f>IF(AND(225&gt;=$NQ$13,225&lt;=$NR$13),IF($NO$13="Single_Point",IF(225=$NQ$13,$NM$13,0),IF($NO$13="Bell_Curve",$NM$13*(225-$NQ$13+1)*($NR$13-225+1)/$NT$13,$NM$13/$NS$13)),0)</f>
        <v/>
      </c>
      <c r="HU13" s="18">
        <f>IF(AND(226&gt;=$NQ$13,226&lt;=$NR$13),IF($NO$13="Single_Point",IF(226=$NQ$13,$NM$13,0),IF($NO$13="Bell_Curve",$NM$13*(226-$NQ$13+1)*($NR$13-226+1)/$NT$13,$NM$13/$NS$13)),0)</f>
        <v/>
      </c>
      <c r="HV13" s="18">
        <f>IF(AND(227&gt;=$NQ$13,227&lt;=$NR$13),IF($NO$13="Single_Point",IF(227=$NQ$13,$NM$13,0),IF($NO$13="Bell_Curve",$NM$13*(227-$NQ$13+1)*($NR$13-227+1)/$NT$13,$NM$13/$NS$13)),0)</f>
        <v/>
      </c>
      <c r="HW13" s="18">
        <f>IF(AND(228&gt;=$NQ$13,228&lt;=$NR$13),IF($NO$13="Single_Point",IF(228=$NQ$13,$NM$13,0),IF($NO$13="Bell_Curve",$NM$13*(228-$NQ$13+1)*($NR$13-228+1)/$NT$13,$NM$13/$NS$13)),0)</f>
        <v/>
      </c>
      <c r="HX13" s="18">
        <f>IF(AND(229&gt;=$NQ$13,229&lt;=$NR$13),IF($NO$13="Single_Point",IF(229=$NQ$13,$NM$13,0),IF($NO$13="Bell_Curve",$NM$13*(229-$NQ$13+1)*($NR$13-229+1)/$NT$13,$NM$13/$NS$13)),0)</f>
        <v/>
      </c>
      <c r="HY13" s="18">
        <f>IF(AND(230&gt;=$NQ$13,230&lt;=$NR$13),IF($NO$13="Single_Point",IF(230=$NQ$13,$NM$13,0),IF($NO$13="Bell_Curve",$NM$13*(230-$NQ$13+1)*($NR$13-230+1)/$NT$13,$NM$13/$NS$13)),0)</f>
        <v/>
      </c>
      <c r="HZ13" s="18">
        <f>IF(AND(231&gt;=$NQ$13,231&lt;=$NR$13),IF($NO$13="Single_Point",IF(231=$NQ$13,$NM$13,0),IF($NO$13="Bell_Curve",$NM$13*(231-$NQ$13+1)*($NR$13-231+1)/$NT$13,$NM$13/$NS$13)),0)</f>
        <v/>
      </c>
      <c r="IA13" s="18">
        <f>IF(AND(232&gt;=$NQ$13,232&lt;=$NR$13),IF($NO$13="Single_Point",IF(232=$NQ$13,$NM$13,0),IF($NO$13="Bell_Curve",$NM$13*(232-$NQ$13+1)*($NR$13-232+1)/$NT$13,$NM$13/$NS$13)),0)</f>
        <v/>
      </c>
      <c r="IB13" s="18">
        <f>IF(AND(233&gt;=$NQ$13,233&lt;=$NR$13),IF($NO$13="Single_Point",IF(233=$NQ$13,$NM$13,0),IF($NO$13="Bell_Curve",$NM$13*(233-$NQ$13+1)*($NR$13-233+1)/$NT$13,$NM$13/$NS$13)),0)</f>
        <v/>
      </c>
      <c r="IC13" s="18">
        <f>IF(AND(234&gt;=$NQ$13,234&lt;=$NR$13),IF($NO$13="Single_Point",IF(234=$NQ$13,$NM$13,0),IF($NO$13="Bell_Curve",$NM$13*(234-$NQ$13+1)*($NR$13-234+1)/$NT$13,$NM$13/$NS$13)),0)</f>
        <v/>
      </c>
      <c r="ID13" s="18">
        <f>IF(AND(235&gt;=$NQ$13,235&lt;=$NR$13),IF($NO$13="Single_Point",IF(235=$NQ$13,$NM$13,0),IF($NO$13="Bell_Curve",$NM$13*(235-$NQ$13+1)*($NR$13-235+1)/$NT$13,$NM$13/$NS$13)),0)</f>
        <v/>
      </c>
      <c r="IE13" s="18">
        <f>IF(AND(236&gt;=$NQ$13,236&lt;=$NR$13),IF($NO$13="Single_Point",IF(236=$NQ$13,$NM$13,0),IF($NO$13="Bell_Curve",$NM$13*(236-$NQ$13+1)*($NR$13-236+1)/$NT$13,$NM$13/$NS$13)),0)</f>
        <v/>
      </c>
      <c r="IF13" s="18">
        <f>IF(AND(237&gt;=$NQ$13,237&lt;=$NR$13),IF($NO$13="Single_Point",IF(237=$NQ$13,$NM$13,0),IF($NO$13="Bell_Curve",$NM$13*(237-$NQ$13+1)*($NR$13-237+1)/$NT$13,$NM$13/$NS$13)),0)</f>
        <v/>
      </c>
      <c r="IG13" s="18">
        <f>IF(AND(238&gt;=$NQ$13,238&lt;=$NR$13),IF($NO$13="Single_Point",IF(238=$NQ$13,$NM$13,0),IF($NO$13="Bell_Curve",$NM$13*(238-$NQ$13+1)*($NR$13-238+1)/$NT$13,$NM$13/$NS$13)),0)</f>
        <v/>
      </c>
      <c r="IH13" s="18">
        <f>IF(AND(239&gt;=$NQ$13,239&lt;=$NR$13),IF($NO$13="Single_Point",IF(239=$NQ$13,$NM$13,0),IF($NO$13="Bell_Curve",$NM$13*(239-$NQ$13+1)*($NR$13-239+1)/$NT$13,$NM$13/$NS$13)),0)</f>
        <v/>
      </c>
      <c r="II13" s="18">
        <f>IF(AND(240&gt;=$NQ$13,240&lt;=$NR$13),IF($NO$13="Single_Point",IF(240=$NQ$13,$NM$13,0),IF($NO$13="Bell_Curve",$NM$13*(240-$NQ$13+1)*($NR$13-240+1)/$NT$13,$NM$13/$NS$13)),0)</f>
        <v/>
      </c>
      <c r="IJ13" s="18">
        <f>IF(AND(241&gt;=$NQ$13,241&lt;=$NR$13),IF($NO$13="Single_Point",IF(241=$NQ$13,$NM$13,0),IF($NO$13="Bell_Curve",$NM$13*(241-$NQ$13+1)*($NR$13-241+1)/$NT$13,$NM$13/$NS$13)),0)</f>
        <v/>
      </c>
      <c r="IK13" s="18">
        <f>IF(AND(242&gt;=$NQ$13,242&lt;=$NR$13),IF($NO$13="Single_Point",IF(242=$NQ$13,$NM$13,0),IF($NO$13="Bell_Curve",$NM$13*(242-$NQ$13+1)*($NR$13-242+1)/$NT$13,$NM$13/$NS$13)),0)</f>
        <v/>
      </c>
      <c r="IL13" s="18">
        <f>IF(AND(243&gt;=$NQ$13,243&lt;=$NR$13),IF($NO$13="Single_Point",IF(243=$NQ$13,$NM$13,0),IF($NO$13="Bell_Curve",$NM$13*(243-$NQ$13+1)*($NR$13-243+1)/$NT$13,$NM$13/$NS$13)),0)</f>
        <v/>
      </c>
      <c r="IM13" s="18">
        <f>IF(AND(244&gt;=$NQ$13,244&lt;=$NR$13),IF($NO$13="Single_Point",IF(244=$NQ$13,$NM$13,0),IF($NO$13="Bell_Curve",$NM$13*(244-$NQ$13+1)*($NR$13-244+1)/$NT$13,$NM$13/$NS$13)),0)</f>
        <v/>
      </c>
      <c r="IN13" s="18">
        <f>IF(AND(245&gt;=$NQ$13,245&lt;=$NR$13),IF($NO$13="Single_Point",IF(245=$NQ$13,$NM$13,0),IF($NO$13="Bell_Curve",$NM$13*(245-$NQ$13+1)*($NR$13-245+1)/$NT$13,$NM$13/$NS$13)),0)</f>
        <v/>
      </c>
      <c r="IO13" s="18">
        <f>IF(AND(246&gt;=$NQ$13,246&lt;=$NR$13),IF($NO$13="Single_Point",IF(246=$NQ$13,$NM$13,0),IF($NO$13="Bell_Curve",$NM$13*(246-$NQ$13+1)*($NR$13-246+1)/$NT$13,$NM$13/$NS$13)),0)</f>
        <v/>
      </c>
      <c r="IP13" s="18">
        <f>IF(AND(247&gt;=$NQ$13,247&lt;=$NR$13),IF($NO$13="Single_Point",IF(247=$NQ$13,$NM$13,0),IF($NO$13="Bell_Curve",$NM$13*(247-$NQ$13+1)*($NR$13-247+1)/$NT$13,$NM$13/$NS$13)),0)</f>
        <v/>
      </c>
      <c r="IQ13" s="18">
        <f>IF(AND(248&gt;=$NQ$13,248&lt;=$NR$13),IF($NO$13="Single_Point",IF(248=$NQ$13,$NM$13,0),IF($NO$13="Bell_Curve",$NM$13*(248-$NQ$13+1)*($NR$13-248+1)/$NT$13,$NM$13/$NS$13)),0)</f>
        <v/>
      </c>
      <c r="IR13" s="18">
        <f>IF(AND(249&gt;=$NQ$13,249&lt;=$NR$13),IF($NO$13="Single_Point",IF(249=$NQ$13,$NM$13,0),IF($NO$13="Bell_Curve",$NM$13*(249-$NQ$13+1)*($NR$13-249+1)/$NT$13,$NM$13/$NS$13)),0)</f>
        <v/>
      </c>
      <c r="IS13" s="18">
        <f>IF(AND(250&gt;=$NQ$13,250&lt;=$NR$13),IF($NO$13="Single_Point",IF(250=$NQ$13,$NM$13,0),IF($NO$13="Bell_Curve",$NM$13*(250-$NQ$13+1)*($NR$13-250+1)/$NT$13,$NM$13/$NS$13)),0)</f>
        <v/>
      </c>
      <c r="IT13" s="18">
        <f>IF(AND(251&gt;=$NQ$13,251&lt;=$NR$13),IF($NO$13="Single_Point",IF(251=$NQ$13,$NM$13,0),IF($NO$13="Bell_Curve",$NM$13*(251-$NQ$13+1)*($NR$13-251+1)/$NT$13,$NM$13/$NS$13)),0)</f>
        <v/>
      </c>
      <c r="IU13" s="18">
        <f>IF(AND(252&gt;=$NQ$13,252&lt;=$NR$13),IF($NO$13="Single_Point",IF(252=$NQ$13,$NM$13,0),IF($NO$13="Bell_Curve",$NM$13*(252-$NQ$13+1)*($NR$13-252+1)/$NT$13,$NM$13/$NS$13)),0)</f>
        <v/>
      </c>
      <c r="IV13" s="18">
        <f>IF(AND(253&gt;=$NQ$13,253&lt;=$NR$13),IF($NO$13="Single_Point",IF(253=$NQ$13,$NM$13,0),IF($NO$13="Bell_Curve",$NM$13*(253-$NQ$13+1)*($NR$13-253+1)/$NT$13,$NM$13/$NS$13)),0)</f>
        <v/>
      </c>
      <c r="IW13" s="18">
        <f>IF(AND(254&gt;=$NQ$13,254&lt;=$NR$13),IF($NO$13="Single_Point",IF(254=$NQ$13,$NM$13,0),IF($NO$13="Bell_Curve",$NM$13*(254-$NQ$13+1)*($NR$13-254+1)/$NT$13,$NM$13/$NS$13)),0)</f>
        <v/>
      </c>
      <c r="IX13" s="18">
        <f>IF(AND(255&gt;=$NQ$13,255&lt;=$NR$13),IF($NO$13="Single_Point",IF(255=$NQ$13,$NM$13,0),IF($NO$13="Bell_Curve",$NM$13*(255-$NQ$13+1)*($NR$13-255+1)/$NT$13,$NM$13/$NS$13)),0)</f>
        <v/>
      </c>
      <c r="IY13" s="18">
        <f>IF(AND(256&gt;=$NQ$13,256&lt;=$NR$13),IF($NO$13="Single_Point",IF(256=$NQ$13,$NM$13,0),IF($NO$13="Bell_Curve",$NM$13*(256-$NQ$13+1)*($NR$13-256+1)/$NT$13,$NM$13/$NS$13)),0)</f>
        <v/>
      </c>
      <c r="IZ13" s="18">
        <f>IF(AND(257&gt;=$NQ$13,257&lt;=$NR$13),IF($NO$13="Single_Point",IF(257=$NQ$13,$NM$13,0),IF($NO$13="Bell_Curve",$NM$13*(257-$NQ$13+1)*($NR$13-257+1)/$NT$13,$NM$13/$NS$13)),0)</f>
        <v/>
      </c>
      <c r="JA13" s="18">
        <f>IF(AND(258&gt;=$NQ$13,258&lt;=$NR$13),IF($NO$13="Single_Point",IF(258=$NQ$13,$NM$13,0),IF($NO$13="Bell_Curve",$NM$13*(258-$NQ$13+1)*($NR$13-258+1)/$NT$13,$NM$13/$NS$13)),0)</f>
        <v/>
      </c>
      <c r="JB13" s="18">
        <f>IF(AND(259&gt;=$NQ$13,259&lt;=$NR$13),IF($NO$13="Single_Point",IF(259=$NQ$13,$NM$13,0),IF($NO$13="Bell_Curve",$NM$13*(259-$NQ$13+1)*($NR$13-259+1)/$NT$13,$NM$13/$NS$13)),0)</f>
        <v/>
      </c>
      <c r="JC13" s="18">
        <f>IF(AND(260&gt;=$NQ$13,260&lt;=$NR$13),IF($NO$13="Single_Point",IF(260=$NQ$13,$NM$13,0),IF($NO$13="Bell_Curve",$NM$13*(260-$NQ$13+1)*($NR$13-260+1)/$NT$13,$NM$13/$NS$13)),0)</f>
        <v/>
      </c>
      <c r="JD13" s="18">
        <f>IF(AND(261&gt;=$NQ$13,261&lt;=$NR$13),IF($NO$13="Single_Point",IF(261=$NQ$13,$NM$13,0),IF($NO$13="Bell_Curve",$NM$13*(261-$NQ$13+1)*($NR$13-261+1)/$NT$13,$NM$13/$NS$13)),0)</f>
        <v/>
      </c>
      <c r="JE13" s="18">
        <f>IF(AND(262&gt;=$NQ$13,262&lt;=$NR$13),IF($NO$13="Single_Point",IF(262=$NQ$13,$NM$13,0),IF($NO$13="Bell_Curve",$NM$13*(262-$NQ$13+1)*($NR$13-262+1)/$NT$13,$NM$13/$NS$13)),0)</f>
        <v/>
      </c>
      <c r="JF13" s="18">
        <f>IF(AND(263&gt;=$NQ$13,263&lt;=$NR$13),IF($NO$13="Single_Point",IF(263=$NQ$13,$NM$13,0),IF($NO$13="Bell_Curve",$NM$13*(263-$NQ$13+1)*($NR$13-263+1)/$NT$13,$NM$13/$NS$13)),0)</f>
        <v/>
      </c>
      <c r="JG13" s="18">
        <f>IF(AND(264&gt;=$NQ$13,264&lt;=$NR$13),IF($NO$13="Single_Point",IF(264=$NQ$13,$NM$13,0),IF($NO$13="Bell_Curve",$NM$13*(264-$NQ$13+1)*($NR$13-264+1)/$NT$13,$NM$13/$NS$13)),0)</f>
        <v/>
      </c>
      <c r="JH13" s="18">
        <f>IF(AND(265&gt;=$NQ$13,265&lt;=$NR$13),IF($NO$13="Single_Point",IF(265=$NQ$13,$NM$13,0),IF($NO$13="Bell_Curve",$NM$13*(265-$NQ$13+1)*($NR$13-265+1)/$NT$13,$NM$13/$NS$13)),0)</f>
        <v/>
      </c>
      <c r="JI13" s="18">
        <f>IF(AND(266&gt;=$NQ$13,266&lt;=$NR$13),IF($NO$13="Single_Point",IF(266=$NQ$13,$NM$13,0),IF($NO$13="Bell_Curve",$NM$13*(266-$NQ$13+1)*($NR$13-266+1)/$NT$13,$NM$13/$NS$13)),0)</f>
        <v/>
      </c>
      <c r="JJ13" s="18">
        <f>IF(AND(267&gt;=$NQ$13,267&lt;=$NR$13),IF($NO$13="Single_Point",IF(267=$NQ$13,$NM$13,0),IF($NO$13="Bell_Curve",$NM$13*(267-$NQ$13+1)*($NR$13-267+1)/$NT$13,$NM$13/$NS$13)),0)</f>
        <v/>
      </c>
      <c r="JK13" s="18">
        <f>IF(AND(268&gt;=$NQ$13,268&lt;=$NR$13),IF($NO$13="Single_Point",IF(268=$NQ$13,$NM$13,0),IF($NO$13="Bell_Curve",$NM$13*(268-$NQ$13+1)*($NR$13-268+1)/$NT$13,$NM$13/$NS$13)),0)</f>
        <v/>
      </c>
      <c r="JL13" s="18">
        <f>IF(AND(269&gt;=$NQ$13,269&lt;=$NR$13),IF($NO$13="Single_Point",IF(269=$NQ$13,$NM$13,0),IF($NO$13="Bell_Curve",$NM$13*(269-$NQ$13+1)*($NR$13-269+1)/$NT$13,$NM$13/$NS$13)),0)</f>
        <v/>
      </c>
      <c r="JM13" s="18">
        <f>IF(AND(270&gt;=$NQ$13,270&lt;=$NR$13),IF($NO$13="Single_Point",IF(270=$NQ$13,$NM$13,0),IF($NO$13="Bell_Curve",$NM$13*(270-$NQ$13+1)*($NR$13-270+1)/$NT$13,$NM$13/$NS$13)),0)</f>
        <v/>
      </c>
      <c r="JN13" s="18">
        <f>IF(AND(271&gt;=$NQ$13,271&lt;=$NR$13),IF($NO$13="Single_Point",IF(271=$NQ$13,$NM$13,0),IF($NO$13="Bell_Curve",$NM$13*(271-$NQ$13+1)*($NR$13-271+1)/$NT$13,$NM$13/$NS$13)),0)</f>
        <v/>
      </c>
      <c r="JO13" s="18">
        <f>IF(AND(272&gt;=$NQ$13,272&lt;=$NR$13),IF($NO$13="Single_Point",IF(272=$NQ$13,$NM$13,0),IF($NO$13="Bell_Curve",$NM$13*(272-$NQ$13+1)*($NR$13-272+1)/$NT$13,$NM$13/$NS$13)),0)</f>
        <v/>
      </c>
      <c r="JP13" s="18">
        <f>IF(AND(273&gt;=$NQ$13,273&lt;=$NR$13),IF($NO$13="Single_Point",IF(273=$NQ$13,$NM$13,0),IF($NO$13="Bell_Curve",$NM$13*(273-$NQ$13+1)*($NR$13-273+1)/$NT$13,$NM$13/$NS$13)),0)</f>
        <v/>
      </c>
      <c r="JQ13" s="18">
        <f>IF(AND(274&gt;=$NQ$13,274&lt;=$NR$13),IF($NO$13="Single_Point",IF(274=$NQ$13,$NM$13,0),IF($NO$13="Bell_Curve",$NM$13*(274-$NQ$13+1)*($NR$13-274+1)/$NT$13,$NM$13/$NS$13)),0)</f>
        <v/>
      </c>
      <c r="JR13" s="18">
        <f>IF(AND(275&gt;=$NQ$13,275&lt;=$NR$13),IF($NO$13="Single_Point",IF(275=$NQ$13,$NM$13,0),IF($NO$13="Bell_Curve",$NM$13*(275-$NQ$13+1)*($NR$13-275+1)/$NT$13,$NM$13/$NS$13)),0)</f>
        <v/>
      </c>
      <c r="JS13" s="18">
        <f>IF(AND(276&gt;=$NQ$13,276&lt;=$NR$13),IF($NO$13="Single_Point",IF(276=$NQ$13,$NM$13,0),IF($NO$13="Bell_Curve",$NM$13*(276-$NQ$13+1)*($NR$13-276+1)/$NT$13,$NM$13/$NS$13)),0)</f>
        <v/>
      </c>
      <c r="JT13" s="18">
        <f>IF(AND(277&gt;=$NQ$13,277&lt;=$NR$13),IF($NO$13="Single_Point",IF(277=$NQ$13,$NM$13,0),IF($NO$13="Bell_Curve",$NM$13*(277-$NQ$13+1)*($NR$13-277+1)/$NT$13,$NM$13/$NS$13)),0)</f>
        <v/>
      </c>
      <c r="JU13" s="18">
        <f>IF(AND(278&gt;=$NQ$13,278&lt;=$NR$13),IF($NO$13="Single_Point",IF(278=$NQ$13,$NM$13,0),IF($NO$13="Bell_Curve",$NM$13*(278-$NQ$13+1)*($NR$13-278+1)/$NT$13,$NM$13/$NS$13)),0)</f>
        <v/>
      </c>
      <c r="JV13" s="18">
        <f>IF(AND(279&gt;=$NQ$13,279&lt;=$NR$13),IF($NO$13="Single_Point",IF(279=$NQ$13,$NM$13,0),IF($NO$13="Bell_Curve",$NM$13*(279-$NQ$13+1)*($NR$13-279+1)/$NT$13,$NM$13/$NS$13)),0)</f>
        <v/>
      </c>
      <c r="JW13" s="18">
        <f>IF(AND(280&gt;=$NQ$13,280&lt;=$NR$13),IF($NO$13="Single_Point",IF(280=$NQ$13,$NM$13,0),IF($NO$13="Bell_Curve",$NM$13*(280-$NQ$13+1)*($NR$13-280+1)/$NT$13,$NM$13/$NS$13)),0)</f>
        <v/>
      </c>
      <c r="JX13" s="18">
        <f>IF(AND(281&gt;=$NQ$13,281&lt;=$NR$13),IF($NO$13="Single_Point",IF(281=$NQ$13,$NM$13,0),IF($NO$13="Bell_Curve",$NM$13*(281-$NQ$13+1)*($NR$13-281+1)/$NT$13,$NM$13/$NS$13)),0)</f>
        <v/>
      </c>
      <c r="JY13" s="18">
        <f>IF(AND(282&gt;=$NQ$13,282&lt;=$NR$13),IF($NO$13="Single_Point",IF(282=$NQ$13,$NM$13,0),IF($NO$13="Bell_Curve",$NM$13*(282-$NQ$13+1)*($NR$13-282+1)/$NT$13,$NM$13/$NS$13)),0)</f>
        <v/>
      </c>
      <c r="JZ13" s="18">
        <f>IF(AND(283&gt;=$NQ$13,283&lt;=$NR$13),IF($NO$13="Single_Point",IF(283=$NQ$13,$NM$13,0),IF($NO$13="Bell_Curve",$NM$13*(283-$NQ$13+1)*($NR$13-283+1)/$NT$13,$NM$13/$NS$13)),0)</f>
        <v/>
      </c>
      <c r="KA13" s="18">
        <f>IF(AND(284&gt;=$NQ$13,284&lt;=$NR$13),IF($NO$13="Single_Point",IF(284=$NQ$13,$NM$13,0),IF($NO$13="Bell_Curve",$NM$13*(284-$NQ$13+1)*($NR$13-284+1)/$NT$13,$NM$13/$NS$13)),0)</f>
        <v/>
      </c>
      <c r="KB13" s="18">
        <f>IF(AND(285&gt;=$NQ$13,285&lt;=$NR$13),IF($NO$13="Single_Point",IF(285=$NQ$13,$NM$13,0),IF($NO$13="Bell_Curve",$NM$13*(285-$NQ$13+1)*($NR$13-285+1)/$NT$13,$NM$13/$NS$13)),0)</f>
        <v/>
      </c>
      <c r="KC13" s="18">
        <f>IF(AND(286&gt;=$NQ$13,286&lt;=$NR$13),IF($NO$13="Single_Point",IF(286=$NQ$13,$NM$13,0),IF($NO$13="Bell_Curve",$NM$13*(286-$NQ$13+1)*($NR$13-286+1)/$NT$13,$NM$13/$NS$13)),0)</f>
        <v/>
      </c>
      <c r="KD13" s="18">
        <f>IF(AND(287&gt;=$NQ$13,287&lt;=$NR$13),IF($NO$13="Single_Point",IF(287=$NQ$13,$NM$13,0),IF($NO$13="Bell_Curve",$NM$13*(287-$NQ$13+1)*($NR$13-287+1)/$NT$13,$NM$13/$NS$13)),0)</f>
        <v/>
      </c>
      <c r="KE13" s="18">
        <f>IF(AND(288&gt;=$NQ$13,288&lt;=$NR$13),IF($NO$13="Single_Point",IF(288=$NQ$13,$NM$13,0),IF($NO$13="Bell_Curve",$NM$13*(288-$NQ$13+1)*($NR$13-288+1)/$NT$13,$NM$13/$NS$13)),0)</f>
        <v/>
      </c>
      <c r="KF13" s="18">
        <f>IF(AND(289&gt;=$NQ$13,289&lt;=$NR$13),IF($NO$13="Single_Point",IF(289=$NQ$13,$NM$13,0),IF($NO$13="Bell_Curve",$NM$13*(289-$NQ$13+1)*($NR$13-289+1)/$NT$13,$NM$13/$NS$13)),0)</f>
        <v/>
      </c>
      <c r="KG13" s="18">
        <f>IF(AND(290&gt;=$NQ$13,290&lt;=$NR$13),IF($NO$13="Single_Point",IF(290=$NQ$13,$NM$13,0),IF($NO$13="Bell_Curve",$NM$13*(290-$NQ$13+1)*($NR$13-290+1)/$NT$13,$NM$13/$NS$13)),0)</f>
        <v/>
      </c>
      <c r="KH13" s="18">
        <f>IF(AND(291&gt;=$NQ$13,291&lt;=$NR$13),IF($NO$13="Single_Point",IF(291=$NQ$13,$NM$13,0),IF($NO$13="Bell_Curve",$NM$13*(291-$NQ$13+1)*($NR$13-291+1)/$NT$13,$NM$13/$NS$13)),0)</f>
        <v/>
      </c>
      <c r="KI13" s="18">
        <f>IF(AND(292&gt;=$NQ$13,292&lt;=$NR$13),IF($NO$13="Single_Point",IF(292=$NQ$13,$NM$13,0),IF($NO$13="Bell_Curve",$NM$13*(292-$NQ$13+1)*($NR$13-292+1)/$NT$13,$NM$13/$NS$13)),0)</f>
        <v/>
      </c>
      <c r="KJ13" s="18">
        <f>IF(AND(293&gt;=$NQ$13,293&lt;=$NR$13),IF($NO$13="Single_Point",IF(293=$NQ$13,$NM$13,0),IF($NO$13="Bell_Curve",$NM$13*(293-$NQ$13+1)*($NR$13-293+1)/$NT$13,$NM$13/$NS$13)),0)</f>
        <v/>
      </c>
      <c r="KK13" s="18">
        <f>IF(AND(294&gt;=$NQ$13,294&lt;=$NR$13),IF($NO$13="Single_Point",IF(294=$NQ$13,$NM$13,0),IF($NO$13="Bell_Curve",$NM$13*(294-$NQ$13+1)*($NR$13-294+1)/$NT$13,$NM$13/$NS$13)),0)</f>
        <v/>
      </c>
      <c r="KL13" s="18">
        <f>IF(AND(295&gt;=$NQ$13,295&lt;=$NR$13),IF($NO$13="Single_Point",IF(295=$NQ$13,$NM$13,0),IF($NO$13="Bell_Curve",$NM$13*(295-$NQ$13+1)*($NR$13-295+1)/$NT$13,$NM$13/$NS$13)),0)</f>
        <v/>
      </c>
      <c r="KM13" s="18">
        <f>IF(AND(296&gt;=$NQ$13,296&lt;=$NR$13),IF($NO$13="Single_Point",IF(296=$NQ$13,$NM$13,0),IF($NO$13="Bell_Curve",$NM$13*(296-$NQ$13+1)*($NR$13-296+1)/$NT$13,$NM$13/$NS$13)),0)</f>
        <v/>
      </c>
      <c r="KN13" s="18">
        <f>IF(AND(297&gt;=$NQ$13,297&lt;=$NR$13),IF($NO$13="Single_Point",IF(297=$NQ$13,$NM$13,0),IF($NO$13="Bell_Curve",$NM$13*(297-$NQ$13+1)*($NR$13-297+1)/$NT$13,$NM$13/$NS$13)),0)</f>
        <v/>
      </c>
      <c r="KO13" s="18">
        <f>IF(AND(298&gt;=$NQ$13,298&lt;=$NR$13),IF($NO$13="Single_Point",IF(298=$NQ$13,$NM$13,0),IF($NO$13="Bell_Curve",$NM$13*(298-$NQ$13+1)*($NR$13-298+1)/$NT$13,$NM$13/$NS$13)),0)</f>
        <v/>
      </c>
      <c r="KP13" s="18">
        <f>IF(AND(299&gt;=$NQ$13,299&lt;=$NR$13),IF($NO$13="Single_Point",IF(299=$NQ$13,$NM$13,0),IF($NO$13="Bell_Curve",$NM$13*(299-$NQ$13+1)*($NR$13-299+1)/$NT$13,$NM$13/$NS$13)),0)</f>
        <v/>
      </c>
      <c r="KQ13" s="18">
        <f>IF(AND(300&gt;=$NQ$13,300&lt;=$NR$13),IF($NO$13="Single_Point",IF(300=$NQ$13,$NM$13,0),IF($NO$13="Bell_Curve",$NM$13*(300-$NQ$13+1)*($NR$13-300+1)/$NT$13,$NM$13/$NS$13)),0)</f>
        <v/>
      </c>
      <c r="KR13" s="18">
        <f>IF(AND(301&gt;=$NQ$13,301&lt;=$NR$13),IF($NO$13="Single_Point",IF(301=$NQ$13,$NM$13,0),IF($NO$13="Bell_Curve",$NM$13*(301-$NQ$13+1)*($NR$13-301+1)/$NT$13,$NM$13/$NS$13)),0)</f>
        <v/>
      </c>
      <c r="KS13" s="18">
        <f>IF(AND(302&gt;=$NQ$13,302&lt;=$NR$13),IF($NO$13="Single_Point",IF(302=$NQ$13,$NM$13,0),IF($NO$13="Bell_Curve",$NM$13*(302-$NQ$13+1)*($NR$13-302+1)/$NT$13,$NM$13/$NS$13)),0)</f>
        <v/>
      </c>
      <c r="KT13" s="18">
        <f>IF(AND(303&gt;=$NQ$13,303&lt;=$NR$13),IF($NO$13="Single_Point",IF(303=$NQ$13,$NM$13,0),IF($NO$13="Bell_Curve",$NM$13*(303-$NQ$13+1)*($NR$13-303+1)/$NT$13,$NM$13/$NS$13)),0)</f>
        <v/>
      </c>
      <c r="KU13" s="18">
        <f>IF(AND(304&gt;=$NQ$13,304&lt;=$NR$13),IF($NO$13="Single_Point",IF(304=$NQ$13,$NM$13,0),IF($NO$13="Bell_Curve",$NM$13*(304-$NQ$13+1)*($NR$13-304+1)/$NT$13,$NM$13/$NS$13)),0)</f>
        <v/>
      </c>
      <c r="KV13" s="18">
        <f>IF(AND(305&gt;=$NQ$13,305&lt;=$NR$13),IF($NO$13="Single_Point",IF(305=$NQ$13,$NM$13,0),IF($NO$13="Bell_Curve",$NM$13*(305-$NQ$13+1)*($NR$13-305+1)/$NT$13,$NM$13/$NS$13)),0)</f>
        <v/>
      </c>
      <c r="KW13" s="18">
        <f>IF(AND(306&gt;=$NQ$13,306&lt;=$NR$13),IF($NO$13="Single_Point",IF(306=$NQ$13,$NM$13,0),IF($NO$13="Bell_Curve",$NM$13*(306-$NQ$13+1)*($NR$13-306+1)/$NT$13,$NM$13/$NS$13)),0)</f>
        <v/>
      </c>
      <c r="KX13" s="18">
        <f>IF(AND(307&gt;=$NQ$13,307&lt;=$NR$13),IF($NO$13="Single_Point",IF(307=$NQ$13,$NM$13,0),IF($NO$13="Bell_Curve",$NM$13*(307-$NQ$13+1)*($NR$13-307+1)/$NT$13,$NM$13/$NS$13)),0)</f>
        <v/>
      </c>
      <c r="KY13" s="18">
        <f>IF(AND(308&gt;=$NQ$13,308&lt;=$NR$13),IF($NO$13="Single_Point",IF(308=$NQ$13,$NM$13,0),IF($NO$13="Bell_Curve",$NM$13*(308-$NQ$13+1)*($NR$13-308+1)/$NT$13,$NM$13/$NS$13)),0)</f>
        <v/>
      </c>
      <c r="KZ13" s="18">
        <f>IF(AND(309&gt;=$NQ$13,309&lt;=$NR$13),IF($NO$13="Single_Point",IF(309=$NQ$13,$NM$13,0),IF($NO$13="Bell_Curve",$NM$13*(309-$NQ$13+1)*($NR$13-309+1)/$NT$13,$NM$13/$NS$13)),0)</f>
        <v/>
      </c>
      <c r="LA13" s="18">
        <f>IF(AND(310&gt;=$NQ$13,310&lt;=$NR$13),IF($NO$13="Single_Point",IF(310=$NQ$13,$NM$13,0),IF($NO$13="Bell_Curve",$NM$13*(310-$NQ$13+1)*($NR$13-310+1)/$NT$13,$NM$13/$NS$13)),0)</f>
        <v/>
      </c>
      <c r="LB13" s="18">
        <f>IF(AND(311&gt;=$NQ$13,311&lt;=$NR$13),IF($NO$13="Single_Point",IF(311=$NQ$13,$NM$13,0),IF($NO$13="Bell_Curve",$NM$13*(311-$NQ$13+1)*($NR$13-311+1)/$NT$13,$NM$13/$NS$13)),0)</f>
        <v/>
      </c>
      <c r="LC13" s="18">
        <f>IF(AND(312&gt;=$NQ$13,312&lt;=$NR$13),IF($NO$13="Single_Point",IF(312=$NQ$13,$NM$13,0),IF($NO$13="Bell_Curve",$NM$13*(312-$NQ$13+1)*($NR$13-312+1)/$NT$13,$NM$13/$NS$13)),0)</f>
        <v/>
      </c>
      <c r="LD13" s="18">
        <f>IF(AND(313&gt;=$NQ$13,313&lt;=$NR$13),IF($NO$13="Single_Point",IF(313=$NQ$13,$NM$13,0),IF($NO$13="Bell_Curve",$NM$13*(313-$NQ$13+1)*($NR$13-313+1)/$NT$13,$NM$13/$NS$13)),0)</f>
        <v/>
      </c>
      <c r="LE13" s="18">
        <f>IF(AND(314&gt;=$NQ$13,314&lt;=$NR$13),IF($NO$13="Single_Point",IF(314=$NQ$13,$NM$13,0),IF($NO$13="Bell_Curve",$NM$13*(314-$NQ$13+1)*($NR$13-314+1)/$NT$13,$NM$13/$NS$13)),0)</f>
        <v/>
      </c>
      <c r="LF13" s="18">
        <f>IF(AND(315&gt;=$NQ$13,315&lt;=$NR$13),IF($NO$13="Single_Point",IF(315=$NQ$13,$NM$13,0),IF($NO$13="Bell_Curve",$NM$13*(315-$NQ$13+1)*($NR$13-315+1)/$NT$13,$NM$13/$NS$13)),0)</f>
        <v/>
      </c>
      <c r="LG13" s="18">
        <f>IF(AND(316&gt;=$NQ$13,316&lt;=$NR$13),IF($NO$13="Single_Point",IF(316=$NQ$13,$NM$13,0),IF($NO$13="Bell_Curve",$NM$13*(316-$NQ$13+1)*($NR$13-316+1)/$NT$13,$NM$13/$NS$13)),0)</f>
        <v/>
      </c>
      <c r="LH13" s="18">
        <f>IF(AND(317&gt;=$NQ$13,317&lt;=$NR$13),IF($NO$13="Single_Point",IF(317=$NQ$13,$NM$13,0),IF($NO$13="Bell_Curve",$NM$13*(317-$NQ$13+1)*($NR$13-317+1)/$NT$13,$NM$13/$NS$13)),0)</f>
        <v/>
      </c>
      <c r="LI13" s="18">
        <f>IF(AND(318&gt;=$NQ$13,318&lt;=$NR$13),IF($NO$13="Single_Point",IF(318=$NQ$13,$NM$13,0),IF($NO$13="Bell_Curve",$NM$13*(318-$NQ$13+1)*($NR$13-318+1)/$NT$13,$NM$13/$NS$13)),0)</f>
        <v/>
      </c>
      <c r="LJ13" s="18">
        <f>IF(AND(319&gt;=$NQ$13,319&lt;=$NR$13),IF($NO$13="Single_Point",IF(319=$NQ$13,$NM$13,0),IF($NO$13="Bell_Curve",$NM$13*(319-$NQ$13+1)*($NR$13-319+1)/$NT$13,$NM$13/$NS$13)),0)</f>
        <v/>
      </c>
      <c r="LK13" s="18">
        <f>IF(AND(320&gt;=$NQ$13,320&lt;=$NR$13),IF($NO$13="Single_Point",IF(320=$NQ$13,$NM$13,0),IF($NO$13="Bell_Curve",$NM$13*(320-$NQ$13+1)*($NR$13-320+1)/$NT$13,$NM$13/$NS$13)),0)</f>
        <v/>
      </c>
      <c r="LL13" s="18">
        <f>IF(AND(321&gt;=$NQ$13,321&lt;=$NR$13),IF($NO$13="Single_Point",IF(321=$NQ$13,$NM$13,0),IF($NO$13="Bell_Curve",$NM$13*(321-$NQ$13+1)*($NR$13-321+1)/$NT$13,$NM$13/$NS$13)),0)</f>
        <v/>
      </c>
      <c r="LM13" s="18">
        <f>IF(AND(322&gt;=$NQ$13,322&lt;=$NR$13),IF($NO$13="Single_Point",IF(322=$NQ$13,$NM$13,0),IF($NO$13="Bell_Curve",$NM$13*(322-$NQ$13+1)*($NR$13-322+1)/$NT$13,$NM$13/$NS$13)),0)</f>
        <v/>
      </c>
      <c r="LN13" s="18">
        <f>IF(AND(323&gt;=$NQ$13,323&lt;=$NR$13),IF($NO$13="Single_Point",IF(323=$NQ$13,$NM$13,0),IF($NO$13="Bell_Curve",$NM$13*(323-$NQ$13+1)*($NR$13-323+1)/$NT$13,$NM$13/$NS$13)),0)</f>
        <v/>
      </c>
      <c r="LO13" s="18">
        <f>IF(AND(324&gt;=$NQ$13,324&lt;=$NR$13),IF($NO$13="Single_Point",IF(324=$NQ$13,$NM$13,0),IF($NO$13="Bell_Curve",$NM$13*(324-$NQ$13+1)*($NR$13-324+1)/$NT$13,$NM$13/$NS$13)),0)</f>
        <v/>
      </c>
      <c r="LP13" s="18">
        <f>IF(AND(325&gt;=$NQ$13,325&lt;=$NR$13),IF($NO$13="Single_Point",IF(325=$NQ$13,$NM$13,0),IF($NO$13="Bell_Curve",$NM$13*(325-$NQ$13+1)*($NR$13-325+1)/$NT$13,$NM$13/$NS$13)),0)</f>
        <v/>
      </c>
      <c r="LQ13" s="18">
        <f>IF(AND(326&gt;=$NQ$13,326&lt;=$NR$13),IF($NO$13="Single_Point",IF(326=$NQ$13,$NM$13,0),IF($NO$13="Bell_Curve",$NM$13*(326-$NQ$13+1)*($NR$13-326+1)/$NT$13,$NM$13/$NS$13)),0)</f>
        <v/>
      </c>
      <c r="LR13" s="18">
        <f>IF(AND(327&gt;=$NQ$13,327&lt;=$NR$13),IF($NO$13="Single_Point",IF(327=$NQ$13,$NM$13,0),IF($NO$13="Bell_Curve",$NM$13*(327-$NQ$13+1)*($NR$13-327+1)/$NT$13,$NM$13/$NS$13)),0)</f>
        <v/>
      </c>
      <c r="LS13" s="18">
        <f>IF(AND(328&gt;=$NQ$13,328&lt;=$NR$13),IF($NO$13="Single_Point",IF(328=$NQ$13,$NM$13,0),IF($NO$13="Bell_Curve",$NM$13*(328-$NQ$13+1)*($NR$13-328+1)/$NT$13,$NM$13/$NS$13)),0)</f>
        <v/>
      </c>
      <c r="LT13" s="18">
        <f>IF(AND(329&gt;=$NQ$13,329&lt;=$NR$13),IF($NO$13="Single_Point",IF(329=$NQ$13,$NM$13,0),IF($NO$13="Bell_Curve",$NM$13*(329-$NQ$13+1)*($NR$13-329+1)/$NT$13,$NM$13/$NS$13)),0)</f>
        <v/>
      </c>
      <c r="LU13" s="18">
        <f>IF(AND(330&gt;=$NQ$13,330&lt;=$NR$13),IF($NO$13="Single_Point",IF(330=$NQ$13,$NM$13,0),IF($NO$13="Bell_Curve",$NM$13*(330-$NQ$13+1)*($NR$13-330+1)/$NT$13,$NM$13/$NS$13)),0)</f>
        <v/>
      </c>
      <c r="LV13" s="18">
        <f>IF(AND(331&gt;=$NQ$13,331&lt;=$NR$13),IF($NO$13="Single_Point",IF(331=$NQ$13,$NM$13,0),IF($NO$13="Bell_Curve",$NM$13*(331-$NQ$13+1)*($NR$13-331+1)/$NT$13,$NM$13/$NS$13)),0)</f>
        <v/>
      </c>
      <c r="LW13" s="18">
        <f>IF(AND(332&gt;=$NQ$13,332&lt;=$NR$13),IF($NO$13="Single_Point",IF(332=$NQ$13,$NM$13,0),IF($NO$13="Bell_Curve",$NM$13*(332-$NQ$13+1)*($NR$13-332+1)/$NT$13,$NM$13/$NS$13)),0)</f>
        <v/>
      </c>
      <c r="LX13" s="18">
        <f>IF(AND(333&gt;=$NQ$13,333&lt;=$NR$13),IF($NO$13="Single_Point",IF(333=$NQ$13,$NM$13,0),IF($NO$13="Bell_Curve",$NM$13*(333-$NQ$13+1)*($NR$13-333+1)/$NT$13,$NM$13/$NS$13)),0)</f>
        <v/>
      </c>
      <c r="LY13" s="18">
        <f>IF(AND(334&gt;=$NQ$13,334&lt;=$NR$13),IF($NO$13="Single_Point",IF(334=$NQ$13,$NM$13,0),IF($NO$13="Bell_Curve",$NM$13*(334-$NQ$13+1)*($NR$13-334+1)/$NT$13,$NM$13/$NS$13)),0)</f>
        <v/>
      </c>
      <c r="LZ13" s="18">
        <f>IF(AND(335&gt;=$NQ$13,335&lt;=$NR$13),IF($NO$13="Single_Point",IF(335=$NQ$13,$NM$13,0),IF($NO$13="Bell_Curve",$NM$13*(335-$NQ$13+1)*($NR$13-335+1)/$NT$13,$NM$13/$NS$13)),0)</f>
        <v/>
      </c>
      <c r="MA13" s="18">
        <f>IF(AND(336&gt;=$NQ$13,336&lt;=$NR$13),IF($NO$13="Single_Point",IF(336=$NQ$13,$NM$13,0),IF($NO$13="Bell_Curve",$NM$13*(336-$NQ$13+1)*($NR$13-336+1)/$NT$13,$NM$13/$NS$13)),0)</f>
        <v/>
      </c>
      <c r="MB13" s="18">
        <f>IF(AND(337&gt;=$NQ$13,337&lt;=$NR$13),IF($NO$13="Single_Point",IF(337=$NQ$13,$NM$13,0),IF($NO$13="Bell_Curve",$NM$13*(337-$NQ$13+1)*($NR$13-337+1)/$NT$13,$NM$13/$NS$13)),0)</f>
        <v/>
      </c>
      <c r="MC13" s="18">
        <f>IF(AND(338&gt;=$NQ$13,338&lt;=$NR$13),IF($NO$13="Single_Point",IF(338=$NQ$13,$NM$13,0),IF($NO$13="Bell_Curve",$NM$13*(338-$NQ$13+1)*($NR$13-338+1)/$NT$13,$NM$13/$NS$13)),0)</f>
        <v/>
      </c>
      <c r="MD13" s="18">
        <f>IF(AND(339&gt;=$NQ$13,339&lt;=$NR$13),IF($NO$13="Single_Point",IF(339=$NQ$13,$NM$13,0),IF($NO$13="Bell_Curve",$NM$13*(339-$NQ$13+1)*($NR$13-339+1)/$NT$13,$NM$13/$NS$13)),0)</f>
        <v/>
      </c>
      <c r="ME13" s="18">
        <f>IF(AND(340&gt;=$NQ$13,340&lt;=$NR$13),IF($NO$13="Single_Point",IF(340=$NQ$13,$NM$13,0),IF($NO$13="Bell_Curve",$NM$13*(340-$NQ$13+1)*($NR$13-340+1)/$NT$13,$NM$13/$NS$13)),0)</f>
        <v/>
      </c>
      <c r="MF13" s="18">
        <f>IF(AND(341&gt;=$NQ$13,341&lt;=$NR$13),IF($NO$13="Single_Point",IF(341=$NQ$13,$NM$13,0),IF($NO$13="Bell_Curve",$NM$13*(341-$NQ$13+1)*($NR$13-341+1)/$NT$13,$NM$13/$NS$13)),0)</f>
        <v/>
      </c>
      <c r="MG13" s="18">
        <f>IF(AND(342&gt;=$NQ$13,342&lt;=$NR$13),IF($NO$13="Single_Point",IF(342=$NQ$13,$NM$13,0),IF($NO$13="Bell_Curve",$NM$13*(342-$NQ$13+1)*($NR$13-342+1)/$NT$13,$NM$13/$NS$13)),0)</f>
        <v/>
      </c>
      <c r="MH13" s="18">
        <f>IF(AND(343&gt;=$NQ$13,343&lt;=$NR$13),IF($NO$13="Single_Point",IF(343=$NQ$13,$NM$13,0),IF($NO$13="Bell_Curve",$NM$13*(343-$NQ$13+1)*($NR$13-343+1)/$NT$13,$NM$13/$NS$13)),0)</f>
        <v/>
      </c>
      <c r="MI13" s="18">
        <f>IF(AND(344&gt;=$NQ$13,344&lt;=$NR$13),IF($NO$13="Single_Point",IF(344=$NQ$13,$NM$13,0),IF($NO$13="Bell_Curve",$NM$13*(344-$NQ$13+1)*($NR$13-344+1)/$NT$13,$NM$13/$NS$13)),0)</f>
        <v/>
      </c>
      <c r="MJ13" s="18">
        <f>IF(AND(345&gt;=$NQ$13,345&lt;=$NR$13),IF($NO$13="Single_Point",IF(345=$NQ$13,$NM$13,0),IF($NO$13="Bell_Curve",$NM$13*(345-$NQ$13+1)*($NR$13-345+1)/$NT$13,$NM$13/$NS$13)),0)</f>
        <v/>
      </c>
      <c r="MK13" s="18">
        <f>IF(AND(346&gt;=$NQ$13,346&lt;=$NR$13),IF($NO$13="Single_Point",IF(346=$NQ$13,$NM$13,0),IF($NO$13="Bell_Curve",$NM$13*(346-$NQ$13+1)*($NR$13-346+1)/$NT$13,$NM$13/$NS$13)),0)</f>
        <v/>
      </c>
      <c r="ML13" s="18">
        <f>IF(AND(347&gt;=$NQ$13,347&lt;=$NR$13),IF($NO$13="Single_Point",IF(347=$NQ$13,$NM$13,0),IF($NO$13="Bell_Curve",$NM$13*(347-$NQ$13+1)*($NR$13-347+1)/$NT$13,$NM$13/$NS$13)),0)</f>
        <v/>
      </c>
      <c r="MM13" s="18">
        <f>IF(AND(348&gt;=$NQ$13,348&lt;=$NR$13),IF($NO$13="Single_Point",IF(348=$NQ$13,$NM$13,0),IF($NO$13="Bell_Curve",$NM$13*(348-$NQ$13+1)*($NR$13-348+1)/$NT$13,$NM$13/$NS$13)),0)</f>
        <v/>
      </c>
      <c r="MN13" s="18">
        <f>IF(AND(349&gt;=$NQ$13,349&lt;=$NR$13),IF($NO$13="Single_Point",IF(349=$NQ$13,$NM$13,0),IF($NO$13="Bell_Curve",$NM$13*(349-$NQ$13+1)*($NR$13-349+1)/$NT$13,$NM$13/$NS$13)),0)</f>
        <v/>
      </c>
      <c r="MO13" s="18">
        <f>IF(AND(350&gt;=$NQ$13,350&lt;=$NR$13),IF($NO$13="Single_Point",IF(350=$NQ$13,$NM$13,0),IF($NO$13="Bell_Curve",$NM$13*(350-$NQ$13+1)*($NR$13-350+1)/$NT$13,$NM$13/$NS$13)),0)</f>
        <v/>
      </c>
      <c r="MP13" s="18">
        <f>IF(AND(351&gt;=$NQ$13,351&lt;=$NR$13),IF($NO$13="Single_Point",IF(351=$NQ$13,$NM$13,0),IF($NO$13="Bell_Curve",$NM$13*(351-$NQ$13+1)*($NR$13-351+1)/$NT$13,$NM$13/$NS$13)),0)</f>
        <v/>
      </c>
      <c r="MQ13" s="18">
        <f>IF(AND(352&gt;=$NQ$13,352&lt;=$NR$13),IF($NO$13="Single_Point",IF(352=$NQ$13,$NM$13,0),IF($NO$13="Bell_Curve",$NM$13*(352-$NQ$13+1)*($NR$13-352+1)/$NT$13,$NM$13/$NS$13)),0)</f>
        <v/>
      </c>
      <c r="MR13" s="18">
        <f>IF(AND(353&gt;=$NQ$13,353&lt;=$NR$13),IF($NO$13="Single_Point",IF(353=$NQ$13,$NM$13,0),IF($NO$13="Bell_Curve",$NM$13*(353-$NQ$13+1)*($NR$13-353+1)/$NT$13,$NM$13/$NS$13)),0)</f>
        <v/>
      </c>
      <c r="MS13" s="18">
        <f>IF(AND(354&gt;=$NQ$13,354&lt;=$NR$13),IF($NO$13="Single_Point",IF(354=$NQ$13,$NM$13,0),IF($NO$13="Bell_Curve",$NM$13*(354-$NQ$13+1)*($NR$13-354+1)/$NT$13,$NM$13/$NS$13)),0)</f>
        <v/>
      </c>
      <c r="MT13" s="18">
        <f>IF(AND(355&gt;=$NQ$13,355&lt;=$NR$13),IF($NO$13="Single_Point",IF(355=$NQ$13,$NM$13,0),IF($NO$13="Bell_Curve",$NM$13*(355-$NQ$13+1)*($NR$13-355+1)/$NT$13,$NM$13/$NS$13)),0)</f>
        <v/>
      </c>
      <c r="MU13" s="18">
        <f>IF(AND(356&gt;=$NQ$13,356&lt;=$NR$13),IF($NO$13="Single_Point",IF(356=$NQ$13,$NM$13,0),IF($NO$13="Bell_Curve",$NM$13*(356-$NQ$13+1)*($NR$13-356+1)/$NT$13,$NM$13/$NS$13)),0)</f>
        <v/>
      </c>
      <c r="MV13" s="18">
        <f>IF(AND(357&gt;=$NQ$13,357&lt;=$NR$13),IF($NO$13="Single_Point",IF(357=$NQ$13,$NM$13,0),IF($NO$13="Bell_Curve",$NM$13*(357-$NQ$13+1)*($NR$13-357+1)/$NT$13,$NM$13/$NS$13)),0)</f>
        <v/>
      </c>
      <c r="MW13" s="18">
        <f>IF(AND(358&gt;=$NQ$13,358&lt;=$NR$13),IF($NO$13="Single_Point",IF(358=$NQ$13,$NM$13,0),IF($NO$13="Bell_Curve",$NM$13*(358-$NQ$13+1)*($NR$13-358+1)/$NT$13,$NM$13/$NS$13)),0)</f>
        <v/>
      </c>
      <c r="MX13" s="18">
        <f>IF(AND(359&gt;=$NQ$13,359&lt;=$NR$13),IF($NO$13="Single_Point",IF(359=$NQ$13,$NM$13,0),IF($NO$13="Bell_Curve",$NM$13*(359-$NQ$13+1)*($NR$13-359+1)/$NT$13,$NM$13/$NS$13)),0)</f>
        <v/>
      </c>
      <c r="MY13" s="18">
        <f>IF(AND(360&gt;=$NQ$13,360&lt;=$NR$13),IF($NO$13="Single_Point",IF(360=$NQ$13,$NM$13,0),IF($NO$13="Bell_Curve",$NM$13*(360-$NQ$13+1)*($NR$13-360+1)/$NT$13,$NM$13/$NS$13)),0)</f>
        <v/>
      </c>
      <c r="MZ13" s="18">
        <f>IF(AND(361&gt;=$NQ$13,361&lt;=$NR$13),IF($NO$13="Single_Point",IF(361=$NQ$13,$NM$13,0),IF($NO$13="Bell_Curve",$NM$13*(361-$NQ$13+1)*($NR$13-361+1)/$NT$13,$NM$13/$NS$13)),0)</f>
        <v/>
      </c>
      <c r="NA13" s="18">
        <f>IF(AND(362&gt;=$NQ$13,362&lt;=$NR$13),IF($NO$13="Single_Point",IF(362=$NQ$13,$NM$13,0),IF($NO$13="Bell_Curve",$NM$13*(362-$NQ$13+1)*($NR$13-362+1)/$NT$13,$NM$13/$NS$13)),0)</f>
        <v/>
      </c>
      <c r="NB13" s="18">
        <f>IF(AND(363&gt;=$NQ$13,363&lt;=$NR$13),IF($NO$13="Single_Point",IF(363=$NQ$13,$NM$13,0),IF($NO$13="Bell_Curve",$NM$13*(363-$NQ$13+1)*($NR$13-363+1)/$NT$13,$NM$13/$NS$13)),0)</f>
        <v/>
      </c>
      <c r="NC13" s="18">
        <f>IF(AND(364&gt;=$NQ$13,364&lt;=$NR$13),IF($NO$13="Single_Point",IF(364=$NQ$13,$NM$13,0),IF($NO$13="Bell_Curve",$NM$13*(364-$NQ$13+1)*($NR$13-364+1)/$NT$13,$NM$13/$NS$13)),0)</f>
        <v/>
      </c>
      <c r="ND13" s="18">
        <f>IF(AND(365&gt;=$NQ$13,365&lt;=$NR$13),IF($NO$13="Single_Point",IF(365=$NQ$13,$NM$13,0),IF($NO$13="Bell_Curve",$NM$13*(365-$NQ$13+1)*($NR$13-365+1)/$NT$13,$NM$13/$NS$13)),0)</f>
        <v/>
      </c>
      <c r="NE13" s="18">
        <f>IF(AND(366&gt;=$NQ$13,366&lt;=$NR$13),IF($NO$13="Single_Point",IF(366=$NQ$13,$NM$13,0),IF($NO$13="Bell_Curve",$NM$13*(366-$NQ$13+1)*($NR$13-366+1)/$NT$13,$NM$13/$NS$13)),0)</f>
        <v/>
      </c>
      <c r="NF13" s="18">
        <f>IF(AND(367&gt;=$NQ$13,367&lt;=$NR$13),IF($NO$13="Single_Point",IF(367=$NQ$13,$NM$13,0),IF($NO$13="Bell_Curve",$NM$13*(367-$NQ$13+1)*($NR$13-367+1)/$NT$13,$NM$13/$NS$13)),0)</f>
        <v/>
      </c>
      <c r="NG13" s="18">
        <f>IF(AND(368&gt;=$NQ$13,368&lt;=$NR$13),IF($NO$13="Single_Point",IF(368=$NQ$13,$NM$13,0),IF($NO$13="Bell_Curve",$NM$13*(368-$NQ$13+1)*($NR$13-368+1)/$NT$13,$NM$13/$NS$13)),0)</f>
        <v/>
      </c>
      <c r="NH13" s="18">
        <f>IF(AND(369&gt;=$NQ$13,369&lt;=$NR$13),IF($NO$13="Single_Point",IF(369=$NQ$13,$NM$13,0),IF($NO$13="Bell_Curve",$NM$13*(369-$NQ$13+1)*($NR$13-369+1)/$NT$13,$NM$13/$NS$13)),0)</f>
        <v/>
      </c>
      <c r="NI13" s="18">
        <f>IF(AND(370&gt;=$NQ$13,370&lt;=$NR$13),IF($NO$13="Single_Point",IF(370=$NQ$13,$NM$13,0),IF($NO$13="Bell_Curve",$NM$13*(370-$NQ$13+1)*($NR$13-370+1)/$NT$13,$NM$13/$NS$13)),0)</f>
        <v/>
      </c>
      <c r="NJ13" s="18">
        <f>IF(AND(371&gt;=$NQ$13,371&lt;=$NR$13),IF($NO$13="Single_Point",IF(371=$NQ$13,$NM$13,0),IF($NO$13="Bell_Curve",$NM$13*(371-$NQ$13+1)*($NR$13-371+1)/$NT$13,$NM$13/$NS$13)),0)</f>
        <v/>
      </c>
      <c r="NK13" s="18">
        <f>IF(AND(372&gt;=$NQ$13,372&lt;=$NR$13),IF($NO$13="Single_Point",IF(372=$NQ$13,$NM$13,0),IF($NO$13="Bell_Curve",$NM$13*(372-$NQ$13+1)*($NR$13-372+1)/$NT$13,$NM$13/$NS$13)),0)</f>
        <v/>
      </c>
      <c r="NM13" s="18">
        <f>Budget!I12</f>
        <v/>
      </c>
      <c r="NN13" s="42">
        <f>Budget!F12</f>
        <v/>
      </c>
      <c r="NO13" s="42">
        <f>Budget!G12</f>
        <v/>
      </c>
      <c r="NP13" s="17">
        <f>Budget!H12</f>
        <v/>
      </c>
      <c r="NQ13" s="32">
        <f>MAX(1,MIN(372,INDEX(MilestoneStart,MATCH(NN13,MilestoneNames,0))+NP13))</f>
        <v/>
      </c>
      <c r="NR13" s="32">
        <f>MAX(NQ13,MIN(372,INDEX(MilestoneEnd,MATCH(NN13,MilestoneNames,0))+NP13))</f>
        <v/>
      </c>
      <c r="NS13" s="17">
        <f>NR13-NQ13+1</f>
        <v/>
      </c>
      <c r="NT13" s="17">
        <f>NS13*(NS13+1)*(NS13+2)/6</f>
        <v/>
      </c>
    </row>
    <row r="14">
      <c r="A14" s="5" t="inlineStr">
        <is>
          <t>Insurance (Dev)</t>
        </is>
      </c>
      <c r="C14" s="41">
        <f>SUM(D14:NK14)</f>
        <v/>
      </c>
      <c r="D14" s="18">
        <f>IF(AND(1&gt;=$NQ$14,1&lt;=$NR$14),IF($NO$14="Single_Point",IF(1=$NQ$14,$NM$14,0),IF($NO$14="Bell_Curve",$NM$14*(1-$NQ$14+1)*($NR$14-1+1)/$NT$14,$NM$14/$NS$14)),0)</f>
        <v/>
      </c>
      <c r="E14" s="18">
        <f>IF(AND(2&gt;=$NQ$14,2&lt;=$NR$14),IF($NO$14="Single_Point",IF(2=$NQ$14,$NM$14,0),IF($NO$14="Bell_Curve",$NM$14*(2-$NQ$14+1)*($NR$14-2+1)/$NT$14,$NM$14/$NS$14)),0)</f>
        <v/>
      </c>
      <c r="F14" s="18">
        <f>IF(AND(3&gt;=$NQ$14,3&lt;=$NR$14),IF($NO$14="Single_Point",IF(3=$NQ$14,$NM$14,0),IF($NO$14="Bell_Curve",$NM$14*(3-$NQ$14+1)*($NR$14-3+1)/$NT$14,$NM$14/$NS$14)),0)</f>
        <v/>
      </c>
      <c r="G14" s="18">
        <f>IF(AND(4&gt;=$NQ$14,4&lt;=$NR$14),IF($NO$14="Single_Point",IF(4=$NQ$14,$NM$14,0),IF($NO$14="Bell_Curve",$NM$14*(4-$NQ$14+1)*($NR$14-4+1)/$NT$14,$NM$14/$NS$14)),0)</f>
        <v/>
      </c>
      <c r="H14" s="18">
        <f>IF(AND(5&gt;=$NQ$14,5&lt;=$NR$14),IF($NO$14="Single_Point",IF(5=$NQ$14,$NM$14,0),IF($NO$14="Bell_Curve",$NM$14*(5-$NQ$14+1)*($NR$14-5+1)/$NT$14,$NM$14/$NS$14)),0)</f>
        <v/>
      </c>
      <c r="I14" s="18">
        <f>IF(AND(6&gt;=$NQ$14,6&lt;=$NR$14),IF($NO$14="Single_Point",IF(6=$NQ$14,$NM$14,0),IF($NO$14="Bell_Curve",$NM$14*(6-$NQ$14+1)*($NR$14-6+1)/$NT$14,$NM$14/$NS$14)),0)</f>
        <v/>
      </c>
      <c r="J14" s="18">
        <f>IF(AND(7&gt;=$NQ$14,7&lt;=$NR$14),IF($NO$14="Single_Point",IF(7=$NQ$14,$NM$14,0),IF($NO$14="Bell_Curve",$NM$14*(7-$NQ$14+1)*($NR$14-7+1)/$NT$14,$NM$14/$NS$14)),0)</f>
        <v/>
      </c>
      <c r="K14" s="18">
        <f>IF(AND(8&gt;=$NQ$14,8&lt;=$NR$14),IF($NO$14="Single_Point",IF(8=$NQ$14,$NM$14,0),IF($NO$14="Bell_Curve",$NM$14*(8-$NQ$14+1)*($NR$14-8+1)/$NT$14,$NM$14/$NS$14)),0)</f>
        <v/>
      </c>
      <c r="L14" s="18">
        <f>IF(AND(9&gt;=$NQ$14,9&lt;=$NR$14),IF($NO$14="Single_Point",IF(9=$NQ$14,$NM$14,0),IF($NO$14="Bell_Curve",$NM$14*(9-$NQ$14+1)*($NR$14-9+1)/$NT$14,$NM$14/$NS$14)),0)</f>
        <v/>
      </c>
      <c r="M14" s="18">
        <f>IF(AND(10&gt;=$NQ$14,10&lt;=$NR$14),IF($NO$14="Single_Point",IF(10=$NQ$14,$NM$14,0),IF($NO$14="Bell_Curve",$NM$14*(10-$NQ$14+1)*($NR$14-10+1)/$NT$14,$NM$14/$NS$14)),0)</f>
        <v/>
      </c>
      <c r="N14" s="18">
        <f>IF(AND(11&gt;=$NQ$14,11&lt;=$NR$14),IF($NO$14="Single_Point",IF(11=$NQ$14,$NM$14,0),IF($NO$14="Bell_Curve",$NM$14*(11-$NQ$14+1)*($NR$14-11+1)/$NT$14,$NM$14/$NS$14)),0)</f>
        <v/>
      </c>
      <c r="O14" s="18">
        <f>IF(AND(12&gt;=$NQ$14,12&lt;=$NR$14),IF($NO$14="Single_Point",IF(12=$NQ$14,$NM$14,0),IF($NO$14="Bell_Curve",$NM$14*(12-$NQ$14+1)*($NR$14-12+1)/$NT$14,$NM$14/$NS$14)),0)</f>
        <v/>
      </c>
      <c r="P14" s="18">
        <f>IF(AND(13&gt;=$NQ$14,13&lt;=$NR$14),IF($NO$14="Single_Point",IF(13=$NQ$14,$NM$14,0),IF($NO$14="Bell_Curve",$NM$14*(13-$NQ$14+1)*($NR$14-13+1)/$NT$14,$NM$14/$NS$14)),0)</f>
        <v/>
      </c>
      <c r="Q14" s="18">
        <f>IF(AND(14&gt;=$NQ$14,14&lt;=$NR$14),IF($NO$14="Single_Point",IF(14=$NQ$14,$NM$14,0),IF($NO$14="Bell_Curve",$NM$14*(14-$NQ$14+1)*($NR$14-14+1)/$NT$14,$NM$14/$NS$14)),0)</f>
        <v/>
      </c>
      <c r="R14" s="18">
        <f>IF(AND(15&gt;=$NQ$14,15&lt;=$NR$14),IF($NO$14="Single_Point",IF(15=$NQ$14,$NM$14,0),IF($NO$14="Bell_Curve",$NM$14*(15-$NQ$14+1)*($NR$14-15+1)/$NT$14,$NM$14/$NS$14)),0)</f>
        <v/>
      </c>
      <c r="S14" s="18">
        <f>IF(AND(16&gt;=$NQ$14,16&lt;=$NR$14),IF($NO$14="Single_Point",IF(16=$NQ$14,$NM$14,0),IF($NO$14="Bell_Curve",$NM$14*(16-$NQ$14+1)*($NR$14-16+1)/$NT$14,$NM$14/$NS$14)),0)</f>
        <v/>
      </c>
      <c r="T14" s="18">
        <f>IF(AND(17&gt;=$NQ$14,17&lt;=$NR$14),IF($NO$14="Single_Point",IF(17=$NQ$14,$NM$14,0),IF($NO$14="Bell_Curve",$NM$14*(17-$NQ$14+1)*($NR$14-17+1)/$NT$14,$NM$14/$NS$14)),0)</f>
        <v/>
      </c>
      <c r="U14" s="18">
        <f>IF(AND(18&gt;=$NQ$14,18&lt;=$NR$14),IF($NO$14="Single_Point",IF(18=$NQ$14,$NM$14,0),IF($NO$14="Bell_Curve",$NM$14*(18-$NQ$14+1)*($NR$14-18+1)/$NT$14,$NM$14/$NS$14)),0)</f>
        <v/>
      </c>
      <c r="V14" s="18">
        <f>IF(AND(19&gt;=$NQ$14,19&lt;=$NR$14),IF($NO$14="Single_Point",IF(19=$NQ$14,$NM$14,0),IF($NO$14="Bell_Curve",$NM$14*(19-$NQ$14+1)*($NR$14-19+1)/$NT$14,$NM$14/$NS$14)),0)</f>
        <v/>
      </c>
      <c r="W14" s="18">
        <f>IF(AND(20&gt;=$NQ$14,20&lt;=$NR$14),IF($NO$14="Single_Point",IF(20=$NQ$14,$NM$14,0),IF($NO$14="Bell_Curve",$NM$14*(20-$NQ$14+1)*($NR$14-20+1)/$NT$14,$NM$14/$NS$14)),0)</f>
        <v/>
      </c>
      <c r="X14" s="18">
        <f>IF(AND(21&gt;=$NQ$14,21&lt;=$NR$14),IF($NO$14="Single_Point",IF(21=$NQ$14,$NM$14,0),IF($NO$14="Bell_Curve",$NM$14*(21-$NQ$14+1)*($NR$14-21+1)/$NT$14,$NM$14/$NS$14)),0)</f>
        <v/>
      </c>
      <c r="Y14" s="18">
        <f>IF(AND(22&gt;=$NQ$14,22&lt;=$NR$14),IF($NO$14="Single_Point",IF(22=$NQ$14,$NM$14,0),IF($NO$14="Bell_Curve",$NM$14*(22-$NQ$14+1)*($NR$14-22+1)/$NT$14,$NM$14/$NS$14)),0)</f>
        <v/>
      </c>
      <c r="Z14" s="18">
        <f>IF(AND(23&gt;=$NQ$14,23&lt;=$NR$14),IF($NO$14="Single_Point",IF(23=$NQ$14,$NM$14,0),IF($NO$14="Bell_Curve",$NM$14*(23-$NQ$14+1)*($NR$14-23+1)/$NT$14,$NM$14/$NS$14)),0)</f>
        <v/>
      </c>
      <c r="AA14" s="18">
        <f>IF(AND(24&gt;=$NQ$14,24&lt;=$NR$14),IF($NO$14="Single_Point",IF(24=$NQ$14,$NM$14,0),IF($NO$14="Bell_Curve",$NM$14*(24-$NQ$14+1)*($NR$14-24+1)/$NT$14,$NM$14/$NS$14)),0)</f>
        <v/>
      </c>
      <c r="AB14" s="18">
        <f>IF(AND(25&gt;=$NQ$14,25&lt;=$NR$14),IF($NO$14="Single_Point",IF(25=$NQ$14,$NM$14,0),IF($NO$14="Bell_Curve",$NM$14*(25-$NQ$14+1)*($NR$14-25+1)/$NT$14,$NM$14/$NS$14)),0)</f>
        <v/>
      </c>
      <c r="AC14" s="18">
        <f>IF(AND(26&gt;=$NQ$14,26&lt;=$NR$14),IF($NO$14="Single_Point",IF(26=$NQ$14,$NM$14,0),IF($NO$14="Bell_Curve",$NM$14*(26-$NQ$14+1)*($NR$14-26+1)/$NT$14,$NM$14/$NS$14)),0)</f>
        <v/>
      </c>
      <c r="AD14" s="18">
        <f>IF(AND(27&gt;=$NQ$14,27&lt;=$NR$14),IF($NO$14="Single_Point",IF(27=$NQ$14,$NM$14,0),IF($NO$14="Bell_Curve",$NM$14*(27-$NQ$14+1)*($NR$14-27+1)/$NT$14,$NM$14/$NS$14)),0)</f>
        <v/>
      </c>
      <c r="AE14" s="18">
        <f>IF(AND(28&gt;=$NQ$14,28&lt;=$NR$14),IF($NO$14="Single_Point",IF(28=$NQ$14,$NM$14,0),IF($NO$14="Bell_Curve",$NM$14*(28-$NQ$14+1)*($NR$14-28+1)/$NT$14,$NM$14/$NS$14)),0)</f>
        <v/>
      </c>
      <c r="AF14" s="18">
        <f>IF(AND(29&gt;=$NQ$14,29&lt;=$NR$14),IF($NO$14="Single_Point",IF(29=$NQ$14,$NM$14,0),IF($NO$14="Bell_Curve",$NM$14*(29-$NQ$14+1)*($NR$14-29+1)/$NT$14,$NM$14/$NS$14)),0)</f>
        <v/>
      </c>
      <c r="AG14" s="18">
        <f>IF(AND(30&gt;=$NQ$14,30&lt;=$NR$14),IF($NO$14="Single_Point",IF(30=$NQ$14,$NM$14,0),IF($NO$14="Bell_Curve",$NM$14*(30-$NQ$14+1)*($NR$14-30+1)/$NT$14,$NM$14/$NS$14)),0)</f>
        <v/>
      </c>
      <c r="AH14" s="18">
        <f>IF(AND(31&gt;=$NQ$14,31&lt;=$NR$14),IF($NO$14="Single_Point",IF(31=$NQ$14,$NM$14,0),IF($NO$14="Bell_Curve",$NM$14*(31-$NQ$14+1)*($NR$14-31+1)/$NT$14,$NM$14/$NS$14)),0)</f>
        <v/>
      </c>
      <c r="AI14" s="18">
        <f>IF(AND(32&gt;=$NQ$14,32&lt;=$NR$14),IF($NO$14="Single_Point",IF(32=$NQ$14,$NM$14,0),IF($NO$14="Bell_Curve",$NM$14*(32-$NQ$14+1)*($NR$14-32+1)/$NT$14,$NM$14/$NS$14)),0)</f>
        <v/>
      </c>
      <c r="AJ14" s="18">
        <f>IF(AND(33&gt;=$NQ$14,33&lt;=$NR$14),IF($NO$14="Single_Point",IF(33=$NQ$14,$NM$14,0),IF($NO$14="Bell_Curve",$NM$14*(33-$NQ$14+1)*($NR$14-33+1)/$NT$14,$NM$14/$NS$14)),0)</f>
        <v/>
      </c>
      <c r="AK14" s="18">
        <f>IF(AND(34&gt;=$NQ$14,34&lt;=$NR$14),IF($NO$14="Single_Point",IF(34=$NQ$14,$NM$14,0),IF($NO$14="Bell_Curve",$NM$14*(34-$NQ$14+1)*($NR$14-34+1)/$NT$14,$NM$14/$NS$14)),0)</f>
        <v/>
      </c>
      <c r="AL14" s="18">
        <f>IF(AND(35&gt;=$NQ$14,35&lt;=$NR$14),IF($NO$14="Single_Point",IF(35=$NQ$14,$NM$14,0),IF($NO$14="Bell_Curve",$NM$14*(35-$NQ$14+1)*($NR$14-35+1)/$NT$14,$NM$14/$NS$14)),0)</f>
        <v/>
      </c>
      <c r="AM14" s="18">
        <f>IF(AND(36&gt;=$NQ$14,36&lt;=$NR$14),IF($NO$14="Single_Point",IF(36=$NQ$14,$NM$14,0),IF($NO$14="Bell_Curve",$NM$14*(36-$NQ$14+1)*($NR$14-36+1)/$NT$14,$NM$14/$NS$14)),0)</f>
        <v/>
      </c>
      <c r="AN14" s="18">
        <f>IF(AND(37&gt;=$NQ$14,37&lt;=$NR$14),IF($NO$14="Single_Point",IF(37=$NQ$14,$NM$14,0),IF($NO$14="Bell_Curve",$NM$14*(37-$NQ$14+1)*($NR$14-37+1)/$NT$14,$NM$14/$NS$14)),0)</f>
        <v/>
      </c>
      <c r="AO14" s="18">
        <f>IF(AND(38&gt;=$NQ$14,38&lt;=$NR$14),IF($NO$14="Single_Point",IF(38=$NQ$14,$NM$14,0),IF($NO$14="Bell_Curve",$NM$14*(38-$NQ$14+1)*($NR$14-38+1)/$NT$14,$NM$14/$NS$14)),0)</f>
        <v/>
      </c>
      <c r="AP14" s="18">
        <f>IF(AND(39&gt;=$NQ$14,39&lt;=$NR$14),IF($NO$14="Single_Point",IF(39=$NQ$14,$NM$14,0),IF($NO$14="Bell_Curve",$NM$14*(39-$NQ$14+1)*($NR$14-39+1)/$NT$14,$NM$14/$NS$14)),0)</f>
        <v/>
      </c>
      <c r="AQ14" s="18">
        <f>IF(AND(40&gt;=$NQ$14,40&lt;=$NR$14),IF($NO$14="Single_Point",IF(40=$NQ$14,$NM$14,0),IF($NO$14="Bell_Curve",$NM$14*(40-$NQ$14+1)*($NR$14-40+1)/$NT$14,$NM$14/$NS$14)),0)</f>
        <v/>
      </c>
      <c r="AR14" s="18">
        <f>IF(AND(41&gt;=$NQ$14,41&lt;=$NR$14),IF($NO$14="Single_Point",IF(41=$NQ$14,$NM$14,0),IF($NO$14="Bell_Curve",$NM$14*(41-$NQ$14+1)*($NR$14-41+1)/$NT$14,$NM$14/$NS$14)),0)</f>
        <v/>
      </c>
      <c r="AS14" s="18">
        <f>IF(AND(42&gt;=$NQ$14,42&lt;=$NR$14),IF($NO$14="Single_Point",IF(42=$NQ$14,$NM$14,0),IF($NO$14="Bell_Curve",$NM$14*(42-$NQ$14+1)*($NR$14-42+1)/$NT$14,$NM$14/$NS$14)),0)</f>
        <v/>
      </c>
      <c r="AT14" s="18">
        <f>IF(AND(43&gt;=$NQ$14,43&lt;=$NR$14),IF($NO$14="Single_Point",IF(43=$NQ$14,$NM$14,0),IF($NO$14="Bell_Curve",$NM$14*(43-$NQ$14+1)*($NR$14-43+1)/$NT$14,$NM$14/$NS$14)),0)</f>
        <v/>
      </c>
      <c r="AU14" s="18">
        <f>IF(AND(44&gt;=$NQ$14,44&lt;=$NR$14),IF($NO$14="Single_Point",IF(44=$NQ$14,$NM$14,0),IF($NO$14="Bell_Curve",$NM$14*(44-$NQ$14+1)*($NR$14-44+1)/$NT$14,$NM$14/$NS$14)),0)</f>
        <v/>
      </c>
      <c r="AV14" s="18">
        <f>IF(AND(45&gt;=$NQ$14,45&lt;=$NR$14),IF($NO$14="Single_Point",IF(45=$NQ$14,$NM$14,0),IF($NO$14="Bell_Curve",$NM$14*(45-$NQ$14+1)*($NR$14-45+1)/$NT$14,$NM$14/$NS$14)),0)</f>
        <v/>
      </c>
      <c r="AW14" s="18">
        <f>IF(AND(46&gt;=$NQ$14,46&lt;=$NR$14),IF($NO$14="Single_Point",IF(46=$NQ$14,$NM$14,0),IF($NO$14="Bell_Curve",$NM$14*(46-$NQ$14+1)*($NR$14-46+1)/$NT$14,$NM$14/$NS$14)),0)</f>
        <v/>
      </c>
      <c r="AX14" s="18">
        <f>IF(AND(47&gt;=$NQ$14,47&lt;=$NR$14),IF($NO$14="Single_Point",IF(47=$NQ$14,$NM$14,0),IF($NO$14="Bell_Curve",$NM$14*(47-$NQ$14+1)*($NR$14-47+1)/$NT$14,$NM$14/$NS$14)),0)</f>
        <v/>
      </c>
      <c r="AY14" s="18">
        <f>IF(AND(48&gt;=$NQ$14,48&lt;=$NR$14),IF($NO$14="Single_Point",IF(48=$NQ$14,$NM$14,0),IF($NO$14="Bell_Curve",$NM$14*(48-$NQ$14+1)*($NR$14-48+1)/$NT$14,$NM$14/$NS$14)),0)</f>
        <v/>
      </c>
      <c r="AZ14" s="18">
        <f>IF(AND(49&gt;=$NQ$14,49&lt;=$NR$14),IF($NO$14="Single_Point",IF(49=$NQ$14,$NM$14,0),IF($NO$14="Bell_Curve",$NM$14*(49-$NQ$14+1)*($NR$14-49+1)/$NT$14,$NM$14/$NS$14)),0)</f>
        <v/>
      </c>
      <c r="BA14" s="18">
        <f>IF(AND(50&gt;=$NQ$14,50&lt;=$NR$14),IF($NO$14="Single_Point",IF(50=$NQ$14,$NM$14,0),IF($NO$14="Bell_Curve",$NM$14*(50-$NQ$14+1)*($NR$14-50+1)/$NT$14,$NM$14/$NS$14)),0)</f>
        <v/>
      </c>
      <c r="BB14" s="18">
        <f>IF(AND(51&gt;=$NQ$14,51&lt;=$NR$14),IF($NO$14="Single_Point",IF(51=$NQ$14,$NM$14,0),IF($NO$14="Bell_Curve",$NM$14*(51-$NQ$14+1)*($NR$14-51+1)/$NT$14,$NM$14/$NS$14)),0)</f>
        <v/>
      </c>
      <c r="BC14" s="18">
        <f>IF(AND(52&gt;=$NQ$14,52&lt;=$NR$14),IF($NO$14="Single_Point",IF(52=$NQ$14,$NM$14,0),IF($NO$14="Bell_Curve",$NM$14*(52-$NQ$14+1)*($NR$14-52+1)/$NT$14,$NM$14/$NS$14)),0)</f>
        <v/>
      </c>
      <c r="BD14" s="18">
        <f>IF(AND(53&gt;=$NQ$14,53&lt;=$NR$14),IF($NO$14="Single_Point",IF(53=$NQ$14,$NM$14,0),IF($NO$14="Bell_Curve",$NM$14*(53-$NQ$14+1)*($NR$14-53+1)/$NT$14,$NM$14/$NS$14)),0)</f>
        <v/>
      </c>
      <c r="BE14" s="18">
        <f>IF(AND(54&gt;=$NQ$14,54&lt;=$NR$14),IF($NO$14="Single_Point",IF(54=$NQ$14,$NM$14,0),IF($NO$14="Bell_Curve",$NM$14*(54-$NQ$14+1)*($NR$14-54+1)/$NT$14,$NM$14/$NS$14)),0)</f>
        <v/>
      </c>
      <c r="BF14" s="18">
        <f>IF(AND(55&gt;=$NQ$14,55&lt;=$NR$14),IF($NO$14="Single_Point",IF(55=$NQ$14,$NM$14,0),IF($NO$14="Bell_Curve",$NM$14*(55-$NQ$14+1)*($NR$14-55+1)/$NT$14,$NM$14/$NS$14)),0)</f>
        <v/>
      </c>
      <c r="BG14" s="18">
        <f>IF(AND(56&gt;=$NQ$14,56&lt;=$NR$14),IF($NO$14="Single_Point",IF(56=$NQ$14,$NM$14,0),IF($NO$14="Bell_Curve",$NM$14*(56-$NQ$14+1)*($NR$14-56+1)/$NT$14,$NM$14/$NS$14)),0)</f>
        <v/>
      </c>
      <c r="BH14" s="18">
        <f>IF(AND(57&gt;=$NQ$14,57&lt;=$NR$14),IF($NO$14="Single_Point",IF(57=$NQ$14,$NM$14,0),IF($NO$14="Bell_Curve",$NM$14*(57-$NQ$14+1)*($NR$14-57+1)/$NT$14,$NM$14/$NS$14)),0)</f>
        <v/>
      </c>
      <c r="BI14" s="18">
        <f>IF(AND(58&gt;=$NQ$14,58&lt;=$NR$14),IF($NO$14="Single_Point",IF(58=$NQ$14,$NM$14,0),IF($NO$14="Bell_Curve",$NM$14*(58-$NQ$14+1)*($NR$14-58+1)/$NT$14,$NM$14/$NS$14)),0)</f>
        <v/>
      </c>
      <c r="BJ14" s="18">
        <f>IF(AND(59&gt;=$NQ$14,59&lt;=$NR$14),IF($NO$14="Single_Point",IF(59=$NQ$14,$NM$14,0),IF($NO$14="Bell_Curve",$NM$14*(59-$NQ$14+1)*($NR$14-59+1)/$NT$14,$NM$14/$NS$14)),0)</f>
        <v/>
      </c>
      <c r="BK14" s="18">
        <f>IF(AND(60&gt;=$NQ$14,60&lt;=$NR$14),IF($NO$14="Single_Point",IF(60=$NQ$14,$NM$14,0),IF($NO$14="Bell_Curve",$NM$14*(60-$NQ$14+1)*($NR$14-60+1)/$NT$14,$NM$14/$NS$14)),0)</f>
        <v/>
      </c>
      <c r="BL14" s="18">
        <f>IF(AND(61&gt;=$NQ$14,61&lt;=$NR$14),IF($NO$14="Single_Point",IF(61=$NQ$14,$NM$14,0),IF($NO$14="Bell_Curve",$NM$14*(61-$NQ$14+1)*($NR$14-61+1)/$NT$14,$NM$14/$NS$14)),0)</f>
        <v/>
      </c>
      <c r="BM14" s="18">
        <f>IF(AND(62&gt;=$NQ$14,62&lt;=$NR$14),IF($NO$14="Single_Point",IF(62=$NQ$14,$NM$14,0),IF($NO$14="Bell_Curve",$NM$14*(62-$NQ$14+1)*($NR$14-62+1)/$NT$14,$NM$14/$NS$14)),0)</f>
        <v/>
      </c>
      <c r="BN14" s="18">
        <f>IF(AND(63&gt;=$NQ$14,63&lt;=$NR$14),IF($NO$14="Single_Point",IF(63=$NQ$14,$NM$14,0),IF($NO$14="Bell_Curve",$NM$14*(63-$NQ$14+1)*($NR$14-63+1)/$NT$14,$NM$14/$NS$14)),0)</f>
        <v/>
      </c>
      <c r="BO14" s="18">
        <f>IF(AND(64&gt;=$NQ$14,64&lt;=$NR$14),IF($NO$14="Single_Point",IF(64=$NQ$14,$NM$14,0),IF($NO$14="Bell_Curve",$NM$14*(64-$NQ$14+1)*($NR$14-64+1)/$NT$14,$NM$14/$NS$14)),0)</f>
        <v/>
      </c>
      <c r="BP14" s="18">
        <f>IF(AND(65&gt;=$NQ$14,65&lt;=$NR$14),IF($NO$14="Single_Point",IF(65=$NQ$14,$NM$14,0),IF($NO$14="Bell_Curve",$NM$14*(65-$NQ$14+1)*($NR$14-65+1)/$NT$14,$NM$14/$NS$14)),0)</f>
        <v/>
      </c>
      <c r="BQ14" s="18">
        <f>IF(AND(66&gt;=$NQ$14,66&lt;=$NR$14),IF($NO$14="Single_Point",IF(66=$NQ$14,$NM$14,0),IF($NO$14="Bell_Curve",$NM$14*(66-$NQ$14+1)*($NR$14-66+1)/$NT$14,$NM$14/$NS$14)),0)</f>
        <v/>
      </c>
      <c r="BR14" s="18">
        <f>IF(AND(67&gt;=$NQ$14,67&lt;=$NR$14),IF($NO$14="Single_Point",IF(67=$NQ$14,$NM$14,0),IF($NO$14="Bell_Curve",$NM$14*(67-$NQ$14+1)*($NR$14-67+1)/$NT$14,$NM$14/$NS$14)),0)</f>
        <v/>
      </c>
      <c r="BS14" s="18">
        <f>IF(AND(68&gt;=$NQ$14,68&lt;=$NR$14),IF($NO$14="Single_Point",IF(68=$NQ$14,$NM$14,0),IF($NO$14="Bell_Curve",$NM$14*(68-$NQ$14+1)*($NR$14-68+1)/$NT$14,$NM$14/$NS$14)),0)</f>
        <v/>
      </c>
      <c r="BT14" s="18">
        <f>IF(AND(69&gt;=$NQ$14,69&lt;=$NR$14),IF($NO$14="Single_Point",IF(69=$NQ$14,$NM$14,0),IF($NO$14="Bell_Curve",$NM$14*(69-$NQ$14+1)*($NR$14-69+1)/$NT$14,$NM$14/$NS$14)),0)</f>
        <v/>
      </c>
      <c r="BU14" s="18">
        <f>IF(AND(70&gt;=$NQ$14,70&lt;=$NR$14),IF($NO$14="Single_Point",IF(70=$NQ$14,$NM$14,0),IF($NO$14="Bell_Curve",$NM$14*(70-$NQ$14+1)*($NR$14-70+1)/$NT$14,$NM$14/$NS$14)),0)</f>
        <v/>
      </c>
      <c r="BV14" s="18">
        <f>IF(AND(71&gt;=$NQ$14,71&lt;=$NR$14),IF($NO$14="Single_Point",IF(71=$NQ$14,$NM$14,0),IF($NO$14="Bell_Curve",$NM$14*(71-$NQ$14+1)*($NR$14-71+1)/$NT$14,$NM$14/$NS$14)),0)</f>
        <v/>
      </c>
      <c r="BW14" s="18">
        <f>IF(AND(72&gt;=$NQ$14,72&lt;=$NR$14),IF($NO$14="Single_Point",IF(72=$NQ$14,$NM$14,0),IF($NO$14="Bell_Curve",$NM$14*(72-$NQ$14+1)*($NR$14-72+1)/$NT$14,$NM$14/$NS$14)),0)</f>
        <v/>
      </c>
      <c r="BX14" s="18">
        <f>IF(AND(73&gt;=$NQ$14,73&lt;=$NR$14),IF($NO$14="Single_Point",IF(73=$NQ$14,$NM$14,0),IF($NO$14="Bell_Curve",$NM$14*(73-$NQ$14+1)*($NR$14-73+1)/$NT$14,$NM$14/$NS$14)),0)</f>
        <v/>
      </c>
      <c r="BY14" s="18">
        <f>IF(AND(74&gt;=$NQ$14,74&lt;=$NR$14),IF($NO$14="Single_Point",IF(74=$NQ$14,$NM$14,0),IF($NO$14="Bell_Curve",$NM$14*(74-$NQ$14+1)*($NR$14-74+1)/$NT$14,$NM$14/$NS$14)),0)</f>
        <v/>
      </c>
      <c r="BZ14" s="18">
        <f>IF(AND(75&gt;=$NQ$14,75&lt;=$NR$14),IF($NO$14="Single_Point",IF(75=$NQ$14,$NM$14,0),IF($NO$14="Bell_Curve",$NM$14*(75-$NQ$14+1)*($NR$14-75+1)/$NT$14,$NM$14/$NS$14)),0)</f>
        <v/>
      </c>
      <c r="CA14" s="18">
        <f>IF(AND(76&gt;=$NQ$14,76&lt;=$NR$14),IF($NO$14="Single_Point",IF(76=$NQ$14,$NM$14,0),IF($NO$14="Bell_Curve",$NM$14*(76-$NQ$14+1)*($NR$14-76+1)/$NT$14,$NM$14/$NS$14)),0)</f>
        <v/>
      </c>
      <c r="CB14" s="18">
        <f>IF(AND(77&gt;=$NQ$14,77&lt;=$NR$14),IF($NO$14="Single_Point",IF(77=$NQ$14,$NM$14,0),IF($NO$14="Bell_Curve",$NM$14*(77-$NQ$14+1)*($NR$14-77+1)/$NT$14,$NM$14/$NS$14)),0)</f>
        <v/>
      </c>
      <c r="CC14" s="18">
        <f>IF(AND(78&gt;=$NQ$14,78&lt;=$NR$14),IF($NO$14="Single_Point",IF(78=$NQ$14,$NM$14,0),IF($NO$14="Bell_Curve",$NM$14*(78-$NQ$14+1)*($NR$14-78+1)/$NT$14,$NM$14/$NS$14)),0)</f>
        <v/>
      </c>
      <c r="CD14" s="18">
        <f>IF(AND(79&gt;=$NQ$14,79&lt;=$NR$14),IF($NO$14="Single_Point",IF(79=$NQ$14,$NM$14,0),IF($NO$14="Bell_Curve",$NM$14*(79-$NQ$14+1)*($NR$14-79+1)/$NT$14,$NM$14/$NS$14)),0)</f>
        <v/>
      </c>
      <c r="CE14" s="18">
        <f>IF(AND(80&gt;=$NQ$14,80&lt;=$NR$14),IF($NO$14="Single_Point",IF(80=$NQ$14,$NM$14,0),IF($NO$14="Bell_Curve",$NM$14*(80-$NQ$14+1)*($NR$14-80+1)/$NT$14,$NM$14/$NS$14)),0)</f>
        <v/>
      </c>
      <c r="CF14" s="18">
        <f>IF(AND(81&gt;=$NQ$14,81&lt;=$NR$14),IF($NO$14="Single_Point",IF(81=$NQ$14,$NM$14,0),IF($NO$14="Bell_Curve",$NM$14*(81-$NQ$14+1)*($NR$14-81+1)/$NT$14,$NM$14/$NS$14)),0)</f>
        <v/>
      </c>
      <c r="CG14" s="18">
        <f>IF(AND(82&gt;=$NQ$14,82&lt;=$NR$14),IF($NO$14="Single_Point",IF(82=$NQ$14,$NM$14,0),IF($NO$14="Bell_Curve",$NM$14*(82-$NQ$14+1)*($NR$14-82+1)/$NT$14,$NM$14/$NS$14)),0)</f>
        <v/>
      </c>
      <c r="CH14" s="18">
        <f>IF(AND(83&gt;=$NQ$14,83&lt;=$NR$14),IF($NO$14="Single_Point",IF(83=$NQ$14,$NM$14,0),IF($NO$14="Bell_Curve",$NM$14*(83-$NQ$14+1)*($NR$14-83+1)/$NT$14,$NM$14/$NS$14)),0)</f>
        <v/>
      </c>
      <c r="CI14" s="18">
        <f>IF(AND(84&gt;=$NQ$14,84&lt;=$NR$14),IF($NO$14="Single_Point",IF(84=$NQ$14,$NM$14,0),IF($NO$14="Bell_Curve",$NM$14*(84-$NQ$14+1)*($NR$14-84+1)/$NT$14,$NM$14/$NS$14)),0)</f>
        <v/>
      </c>
      <c r="CJ14" s="18">
        <f>IF(AND(85&gt;=$NQ$14,85&lt;=$NR$14),IF($NO$14="Single_Point",IF(85=$NQ$14,$NM$14,0),IF($NO$14="Bell_Curve",$NM$14*(85-$NQ$14+1)*($NR$14-85+1)/$NT$14,$NM$14/$NS$14)),0)</f>
        <v/>
      </c>
      <c r="CK14" s="18">
        <f>IF(AND(86&gt;=$NQ$14,86&lt;=$NR$14),IF($NO$14="Single_Point",IF(86=$NQ$14,$NM$14,0),IF($NO$14="Bell_Curve",$NM$14*(86-$NQ$14+1)*($NR$14-86+1)/$NT$14,$NM$14/$NS$14)),0)</f>
        <v/>
      </c>
      <c r="CL14" s="18">
        <f>IF(AND(87&gt;=$NQ$14,87&lt;=$NR$14),IF($NO$14="Single_Point",IF(87=$NQ$14,$NM$14,0),IF($NO$14="Bell_Curve",$NM$14*(87-$NQ$14+1)*($NR$14-87+1)/$NT$14,$NM$14/$NS$14)),0)</f>
        <v/>
      </c>
      <c r="CM14" s="18">
        <f>IF(AND(88&gt;=$NQ$14,88&lt;=$NR$14),IF($NO$14="Single_Point",IF(88=$NQ$14,$NM$14,0),IF($NO$14="Bell_Curve",$NM$14*(88-$NQ$14+1)*($NR$14-88+1)/$NT$14,$NM$14/$NS$14)),0)</f>
        <v/>
      </c>
      <c r="CN14" s="18">
        <f>IF(AND(89&gt;=$NQ$14,89&lt;=$NR$14),IF($NO$14="Single_Point",IF(89=$NQ$14,$NM$14,0),IF($NO$14="Bell_Curve",$NM$14*(89-$NQ$14+1)*($NR$14-89+1)/$NT$14,$NM$14/$NS$14)),0)</f>
        <v/>
      </c>
      <c r="CO14" s="18">
        <f>IF(AND(90&gt;=$NQ$14,90&lt;=$NR$14),IF($NO$14="Single_Point",IF(90=$NQ$14,$NM$14,0),IF($NO$14="Bell_Curve",$NM$14*(90-$NQ$14+1)*($NR$14-90+1)/$NT$14,$NM$14/$NS$14)),0)</f>
        <v/>
      </c>
      <c r="CP14" s="18">
        <f>IF(AND(91&gt;=$NQ$14,91&lt;=$NR$14),IF($NO$14="Single_Point",IF(91=$NQ$14,$NM$14,0),IF($NO$14="Bell_Curve",$NM$14*(91-$NQ$14+1)*($NR$14-91+1)/$NT$14,$NM$14/$NS$14)),0)</f>
        <v/>
      </c>
      <c r="CQ14" s="18">
        <f>IF(AND(92&gt;=$NQ$14,92&lt;=$NR$14),IF($NO$14="Single_Point",IF(92=$NQ$14,$NM$14,0),IF($NO$14="Bell_Curve",$NM$14*(92-$NQ$14+1)*($NR$14-92+1)/$NT$14,$NM$14/$NS$14)),0)</f>
        <v/>
      </c>
      <c r="CR14" s="18">
        <f>IF(AND(93&gt;=$NQ$14,93&lt;=$NR$14),IF($NO$14="Single_Point",IF(93=$NQ$14,$NM$14,0),IF($NO$14="Bell_Curve",$NM$14*(93-$NQ$14+1)*($NR$14-93+1)/$NT$14,$NM$14/$NS$14)),0)</f>
        <v/>
      </c>
      <c r="CS14" s="18">
        <f>IF(AND(94&gt;=$NQ$14,94&lt;=$NR$14),IF($NO$14="Single_Point",IF(94=$NQ$14,$NM$14,0),IF($NO$14="Bell_Curve",$NM$14*(94-$NQ$14+1)*($NR$14-94+1)/$NT$14,$NM$14/$NS$14)),0)</f>
        <v/>
      </c>
      <c r="CT14" s="18">
        <f>IF(AND(95&gt;=$NQ$14,95&lt;=$NR$14),IF($NO$14="Single_Point",IF(95=$NQ$14,$NM$14,0),IF($NO$14="Bell_Curve",$NM$14*(95-$NQ$14+1)*($NR$14-95+1)/$NT$14,$NM$14/$NS$14)),0)</f>
        <v/>
      </c>
      <c r="CU14" s="18">
        <f>IF(AND(96&gt;=$NQ$14,96&lt;=$NR$14),IF($NO$14="Single_Point",IF(96=$NQ$14,$NM$14,0),IF($NO$14="Bell_Curve",$NM$14*(96-$NQ$14+1)*($NR$14-96+1)/$NT$14,$NM$14/$NS$14)),0)</f>
        <v/>
      </c>
      <c r="CV14" s="18">
        <f>IF(AND(97&gt;=$NQ$14,97&lt;=$NR$14),IF($NO$14="Single_Point",IF(97=$NQ$14,$NM$14,0),IF($NO$14="Bell_Curve",$NM$14*(97-$NQ$14+1)*($NR$14-97+1)/$NT$14,$NM$14/$NS$14)),0)</f>
        <v/>
      </c>
      <c r="CW14" s="18">
        <f>IF(AND(98&gt;=$NQ$14,98&lt;=$NR$14),IF($NO$14="Single_Point",IF(98=$NQ$14,$NM$14,0),IF($NO$14="Bell_Curve",$NM$14*(98-$NQ$14+1)*($NR$14-98+1)/$NT$14,$NM$14/$NS$14)),0)</f>
        <v/>
      </c>
      <c r="CX14" s="18">
        <f>IF(AND(99&gt;=$NQ$14,99&lt;=$NR$14),IF($NO$14="Single_Point",IF(99=$NQ$14,$NM$14,0),IF($NO$14="Bell_Curve",$NM$14*(99-$NQ$14+1)*($NR$14-99+1)/$NT$14,$NM$14/$NS$14)),0)</f>
        <v/>
      </c>
      <c r="CY14" s="18">
        <f>IF(AND(100&gt;=$NQ$14,100&lt;=$NR$14),IF($NO$14="Single_Point",IF(100=$NQ$14,$NM$14,0),IF($NO$14="Bell_Curve",$NM$14*(100-$NQ$14+1)*($NR$14-100+1)/$NT$14,$NM$14/$NS$14)),0)</f>
        <v/>
      </c>
      <c r="CZ14" s="18">
        <f>IF(AND(101&gt;=$NQ$14,101&lt;=$NR$14),IF($NO$14="Single_Point",IF(101=$NQ$14,$NM$14,0),IF($NO$14="Bell_Curve",$NM$14*(101-$NQ$14+1)*($NR$14-101+1)/$NT$14,$NM$14/$NS$14)),0)</f>
        <v/>
      </c>
      <c r="DA14" s="18">
        <f>IF(AND(102&gt;=$NQ$14,102&lt;=$NR$14),IF($NO$14="Single_Point",IF(102=$NQ$14,$NM$14,0),IF($NO$14="Bell_Curve",$NM$14*(102-$NQ$14+1)*($NR$14-102+1)/$NT$14,$NM$14/$NS$14)),0)</f>
        <v/>
      </c>
      <c r="DB14" s="18">
        <f>IF(AND(103&gt;=$NQ$14,103&lt;=$NR$14),IF($NO$14="Single_Point",IF(103=$NQ$14,$NM$14,0),IF($NO$14="Bell_Curve",$NM$14*(103-$NQ$14+1)*($NR$14-103+1)/$NT$14,$NM$14/$NS$14)),0)</f>
        <v/>
      </c>
      <c r="DC14" s="18">
        <f>IF(AND(104&gt;=$NQ$14,104&lt;=$NR$14),IF($NO$14="Single_Point",IF(104=$NQ$14,$NM$14,0),IF($NO$14="Bell_Curve",$NM$14*(104-$NQ$14+1)*($NR$14-104+1)/$NT$14,$NM$14/$NS$14)),0)</f>
        <v/>
      </c>
      <c r="DD14" s="18">
        <f>IF(AND(105&gt;=$NQ$14,105&lt;=$NR$14),IF($NO$14="Single_Point",IF(105=$NQ$14,$NM$14,0),IF($NO$14="Bell_Curve",$NM$14*(105-$NQ$14+1)*($NR$14-105+1)/$NT$14,$NM$14/$NS$14)),0)</f>
        <v/>
      </c>
      <c r="DE14" s="18">
        <f>IF(AND(106&gt;=$NQ$14,106&lt;=$NR$14),IF($NO$14="Single_Point",IF(106=$NQ$14,$NM$14,0),IF($NO$14="Bell_Curve",$NM$14*(106-$NQ$14+1)*($NR$14-106+1)/$NT$14,$NM$14/$NS$14)),0)</f>
        <v/>
      </c>
      <c r="DF14" s="18">
        <f>IF(AND(107&gt;=$NQ$14,107&lt;=$NR$14),IF($NO$14="Single_Point",IF(107=$NQ$14,$NM$14,0),IF($NO$14="Bell_Curve",$NM$14*(107-$NQ$14+1)*($NR$14-107+1)/$NT$14,$NM$14/$NS$14)),0)</f>
        <v/>
      </c>
      <c r="DG14" s="18">
        <f>IF(AND(108&gt;=$NQ$14,108&lt;=$NR$14),IF($NO$14="Single_Point",IF(108=$NQ$14,$NM$14,0),IF($NO$14="Bell_Curve",$NM$14*(108-$NQ$14+1)*($NR$14-108+1)/$NT$14,$NM$14/$NS$14)),0)</f>
        <v/>
      </c>
      <c r="DH14" s="18">
        <f>IF(AND(109&gt;=$NQ$14,109&lt;=$NR$14),IF($NO$14="Single_Point",IF(109=$NQ$14,$NM$14,0),IF($NO$14="Bell_Curve",$NM$14*(109-$NQ$14+1)*($NR$14-109+1)/$NT$14,$NM$14/$NS$14)),0)</f>
        <v/>
      </c>
      <c r="DI14" s="18">
        <f>IF(AND(110&gt;=$NQ$14,110&lt;=$NR$14),IF($NO$14="Single_Point",IF(110=$NQ$14,$NM$14,0),IF($NO$14="Bell_Curve",$NM$14*(110-$NQ$14+1)*($NR$14-110+1)/$NT$14,$NM$14/$NS$14)),0)</f>
        <v/>
      </c>
      <c r="DJ14" s="18">
        <f>IF(AND(111&gt;=$NQ$14,111&lt;=$NR$14),IF($NO$14="Single_Point",IF(111=$NQ$14,$NM$14,0),IF($NO$14="Bell_Curve",$NM$14*(111-$NQ$14+1)*($NR$14-111+1)/$NT$14,$NM$14/$NS$14)),0)</f>
        <v/>
      </c>
      <c r="DK14" s="18">
        <f>IF(AND(112&gt;=$NQ$14,112&lt;=$NR$14),IF($NO$14="Single_Point",IF(112=$NQ$14,$NM$14,0),IF($NO$14="Bell_Curve",$NM$14*(112-$NQ$14+1)*($NR$14-112+1)/$NT$14,$NM$14/$NS$14)),0)</f>
        <v/>
      </c>
      <c r="DL14" s="18">
        <f>IF(AND(113&gt;=$NQ$14,113&lt;=$NR$14),IF($NO$14="Single_Point",IF(113=$NQ$14,$NM$14,0),IF($NO$14="Bell_Curve",$NM$14*(113-$NQ$14+1)*($NR$14-113+1)/$NT$14,$NM$14/$NS$14)),0)</f>
        <v/>
      </c>
      <c r="DM14" s="18">
        <f>IF(AND(114&gt;=$NQ$14,114&lt;=$NR$14),IF($NO$14="Single_Point",IF(114=$NQ$14,$NM$14,0),IF($NO$14="Bell_Curve",$NM$14*(114-$NQ$14+1)*($NR$14-114+1)/$NT$14,$NM$14/$NS$14)),0)</f>
        <v/>
      </c>
      <c r="DN14" s="18">
        <f>IF(AND(115&gt;=$NQ$14,115&lt;=$NR$14),IF($NO$14="Single_Point",IF(115=$NQ$14,$NM$14,0),IF($NO$14="Bell_Curve",$NM$14*(115-$NQ$14+1)*($NR$14-115+1)/$NT$14,$NM$14/$NS$14)),0)</f>
        <v/>
      </c>
      <c r="DO14" s="18">
        <f>IF(AND(116&gt;=$NQ$14,116&lt;=$NR$14),IF($NO$14="Single_Point",IF(116=$NQ$14,$NM$14,0),IF($NO$14="Bell_Curve",$NM$14*(116-$NQ$14+1)*($NR$14-116+1)/$NT$14,$NM$14/$NS$14)),0)</f>
        <v/>
      </c>
      <c r="DP14" s="18">
        <f>IF(AND(117&gt;=$NQ$14,117&lt;=$NR$14),IF($NO$14="Single_Point",IF(117=$NQ$14,$NM$14,0),IF($NO$14="Bell_Curve",$NM$14*(117-$NQ$14+1)*($NR$14-117+1)/$NT$14,$NM$14/$NS$14)),0)</f>
        <v/>
      </c>
      <c r="DQ14" s="18">
        <f>IF(AND(118&gt;=$NQ$14,118&lt;=$NR$14),IF($NO$14="Single_Point",IF(118=$NQ$14,$NM$14,0),IF($NO$14="Bell_Curve",$NM$14*(118-$NQ$14+1)*($NR$14-118+1)/$NT$14,$NM$14/$NS$14)),0)</f>
        <v/>
      </c>
      <c r="DR14" s="18">
        <f>IF(AND(119&gt;=$NQ$14,119&lt;=$NR$14),IF($NO$14="Single_Point",IF(119=$NQ$14,$NM$14,0),IF($NO$14="Bell_Curve",$NM$14*(119-$NQ$14+1)*($NR$14-119+1)/$NT$14,$NM$14/$NS$14)),0)</f>
        <v/>
      </c>
      <c r="DS14" s="18">
        <f>IF(AND(120&gt;=$NQ$14,120&lt;=$NR$14),IF($NO$14="Single_Point",IF(120=$NQ$14,$NM$14,0),IF($NO$14="Bell_Curve",$NM$14*(120-$NQ$14+1)*($NR$14-120+1)/$NT$14,$NM$14/$NS$14)),0)</f>
        <v/>
      </c>
      <c r="DT14" s="18">
        <f>IF(AND(121&gt;=$NQ$14,121&lt;=$NR$14),IF($NO$14="Single_Point",IF(121=$NQ$14,$NM$14,0),IF($NO$14="Bell_Curve",$NM$14*(121-$NQ$14+1)*($NR$14-121+1)/$NT$14,$NM$14/$NS$14)),0)</f>
        <v/>
      </c>
      <c r="DU14" s="18">
        <f>IF(AND(122&gt;=$NQ$14,122&lt;=$NR$14),IF($NO$14="Single_Point",IF(122=$NQ$14,$NM$14,0),IF($NO$14="Bell_Curve",$NM$14*(122-$NQ$14+1)*($NR$14-122+1)/$NT$14,$NM$14/$NS$14)),0)</f>
        <v/>
      </c>
      <c r="DV14" s="18">
        <f>IF(AND(123&gt;=$NQ$14,123&lt;=$NR$14),IF($NO$14="Single_Point",IF(123=$NQ$14,$NM$14,0),IF($NO$14="Bell_Curve",$NM$14*(123-$NQ$14+1)*($NR$14-123+1)/$NT$14,$NM$14/$NS$14)),0)</f>
        <v/>
      </c>
      <c r="DW14" s="18">
        <f>IF(AND(124&gt;=$NQ$14,124&lt;=$NR$14),IF($NO$14="Single_Point",IF(124=$NQ$14,$NM$14,0),IF($NO$14="Bell_Curve",$NM$14*(124-$NQ$14+1)*($NR$14-124+1)/$NT$14,$NM$14/$NS$14)),0)</f>
        <v/>
      </c>
      <c r="DX14" s="18">
        <f>IF(AND(125&gt;=$NQ$14,125&lt;=$NR$14),IF($NO$14="Single_Point",IF(125=$NQ$14,$NM$14,0),IF($NO$14="Bell_Curve",$NM$14*(125-$NQ$14+1)*($NR$14-125+1)/$NT$14,$NM$14/$NS$14)),0)</f>
        <v/>
      </c>
      <c r="DY14" s="18">
        <f>IF(AND(126&gt;=$NQ$14,126&lt;=$NR$14),IF($NO$14="Single_Point",IF(126=$NQ$14,$NM$14,0),IF($NO$14="Bell_Curve",$NM$14*(126-$NQ$14+1)*($NR$14-126+1)/$NT$14,$NM$14/$NS$14)),0)</f>
        <v/>
      </c>
      <c r="DZ14" s="18">
        <f>IF(AND(127&gt;=$NQ$14,127&lt;=$NR$14),IF($NO$14="Single_Point",IF(127=$NQ$14,$NM$14,0),IF($NO$14="Bell_Curve",$NM$14*(127-$NQ$14+1)*($NR$14-127+1)/$NT$14,$NM$14/$NS$14)),0)</f>
        <v/>
      </c>
      <c r="EA14" s="18">
        <f>IF(AND(128&gt;=$NQ$14,128&lt;=$NR$14),IF($NO$14="Single_Point",IF(128=$NQ$14,$NM$14,0),IF($NO$14="Bell_Curve",$NM$14*(128-$NQ$14+1)*($NR$14-128+1)/$NT$14,$NM$14/$NS$14)),0)</f>
        <v/>
      </c>
      <c r="EB14" s="18">
        <f>IF(AND(129&gt;=$NQ$14,129&lt;=$NR$14),IF($NO$14="Single_Point",IF(129=$NQ$14,$NM$14,0),IF($NO$14="Bell_Curve",$NM$14*(129-$NQ$14+1)*($NR$14-129+1)/$NT$14,$NM$14/$NS$14)),0)</f>
        <v/>
      </c>
      <c r="EC14" s="18">
        <f>IF(AND(130&gt;=$NQ$14,130&lt;=$NR$14),IF($NO$14="Single_Point",IF(130=$NQ$14,$NM$14,0),IF($NO$14="Bell_Curve",$NM$14*(130-$NQ$14+1)*($NR$14-130+1)/$NT$14,$NM$14/$NS$14)),0)</f>
        <v/>
      </c>
      <c r="ED14" s="18">
        <f>IF(AND(131&gt;=$NQ$14,131&lt;=$NR$14),IF($NO$14="Single_Point",IF(131=$NQ$14,$NM$14,0),IF($NO$14="Bell_Curve",$NM$14*(131-$NQ$14+1)*($NR$14-131+1)/$NT$14,$NM$14/$NS$14)),0)</f>
        <v/>
      </c>
      <c r="EE14" s="18">
        <f>IF(AND(132&gt;=$NQ$14,132&lt;=$NR$14),IF($NO$14="Single_Point",IF(132=$NQ$14,$NM$14,0),IF($NO$14="Bell_Curve",$NM$14*(132-$NQ$14+1)*($NR$14-132+1)/$NT$14,$NM$14/$NS$14)),0)</f>
        <v/>
      </c>
      <c r="EF14" s="18">
        <f>IF(AND(133&gt;=$NQ$14,133&lt;=$NR$14),IF($NO$14="Single_Point",IF(133=$NQ$14,$NM$14,0),IF($NO$14="Bell_Curve",$NM$14*(133-$NQ$14+1)*($NR$14-133+1)/$NT$14,$NM$14/$NS$14)),0)</f>
        <v/>
      </c>
      <c r="EG14" s="18">
        <f>IF(AND(134&gt;=$NQ$14,134&lt;=$NR$14),IF($NO$14="Single_Point",IF(134=$NQ$14,$NM$14,0),IF($NO$14="Bell_Curve",$NM$14*(134-$NQ$14+1)*($NR$14-134+1)/$NT$14,$NM$14/$NS$14)),0)</f>
        <v/>
      </c>
      <c r="EH14" s="18">
        <f>IF(AND(135&gt;=$NQ$14,135&lt;=$NR$14),IF($NO$14="Single_Point",IF(135=$NQ$14,$NM$14,0),IF($NO$14="Bell_Curve",$NM$14*(135-$NQ$14+1)*($NR$14-135+1)/$NT$14,$NM$14/$NS$14)),0)</f>
        <v/>
      </c>
      <c r="EI14" s="18">
        <f>IF(AND(136&gt;=$NQ$14,136&lt;=$NR$14),IF($NO$14="Single_Point",IF(136=$NQ$14,$NM$14,0),IF($NO$14="Bell_Curve",$NM$14*(136-$NQ$14+1)*($NR$14-136+1)/$NT$14,$NM$14/$NS$14)),0)</f>
        <v/>
      </c>
      <c r="EJ14" s="18">
        <f>IF(AND(137&gt;=$NQ$14,137&lt;=$NR$14),IF($NO$14="Single_Point",IF(137=$NQ$14,$NM$14,0),IF($NO$14="Bell_Curve",$NM$14*(137-$NQ$14+1)*($NR$14-137+1)/$NT$14,$NM$14/$NS$14)),0)</f>
        <v/>
      </c>
      <c r="EK14" s="18">
        <f>IF(AND(138&gt;=$NQ$14,138&lt;=$NR$14),IF($NO$14="Single_Point",IF(138=$NQ$14,$NM$14,0),IF($NO$14="Bell_Curve",$NM$14*(138-$NQ$14+1)*($NR$14-138+1)/$NT$14,$NM$14/$NS$14)),0)</f>
        <v/>
      </c>
      <c r="EL14" s="18">
        <f>IF(AND(139&gt;=$NQ$14,139&lt;=$NR$14),IF($NO$14="Single_Point",IF(139=$NQ$14,$NM$14,0),IF($NO$14="Bell_Curve",$NM$14*(139-$NQ$14+1)*($NR$14-139+1)/$NT$14,$NM$14/$NS$14)),0)</f>
        <v/>
      </c>
      <c r="EM14" s="18">
        <f>IF(AND(140&gt;=$NQ$14,140&lt;=$NR$14),IF($NO$14="Single_Point",IF(140=$NQ$14,$NM$14,0),IF($NO$14="Bell_Curve",$NM$14*(140-$NQ$14+1)*($NR$14-140+1)/$NT$14,$NM$14/$NS$14)),0)</f>
        <v/>
      </c>
      <c r="EN14" s="18">
        <f>IF(AND(141&gt;=$NQ$14,141&lt;=$NR$14),IF($NO$14="Single_Point",IF(141=$NQ$14,$NM$14,0),IF($NO$14="Bell_Curve",$NM$14*(141-$NQ$14+1)*($NR$14-141+1)/$NT$14,$NM$14/$NS$14)),0)</f>
        <v/>
      </c>
      <c r="EO14" s="18">
        <f>IF(AND(142&gt;=$NQ$14,142&lt;=$NR$14),IF($NO$14="Single_Point",IF(142=$NQ$14,$NM$14,0),IF($NO$14="Bell_Curve",$NM$14*(142-$NQ$14+1)*($NR$14-142+1)/$NT$14,$NM$14/$NS$14)),0)</f>
        <v/>
      </c>
      <c r="EP14" s="18">
        <f>IF(AND(143&gt;=$NQ$14,143&lt;=$NR$14),IF($NO$14="Single_Point",IF(143=$NQ$14,$NM$14,0),IF($NO$14="Bell_Curve",$NM$14*(143-$NQ$14+1)*($NR$14-143+1)/$NT$14,$NM$14/$NS$14)),0)</f>
        <v/>
      </c>
      <c r="EQ14" s="18">
        <f>IF(AND(144&gt;=$NQ$14,144&lt;=$NR$14),IF($NO$14="Single_Point",IF(144=$NQ$14,$NM$14,0),IF($NO$14="Bell_Curve",$NM$14*(144-$NQ$14+1)*($NR$14-144+1)/$NT$14,$NM$14/$NS$14)),0)</f>
        <v/>
      </c>
      <c r="ER14" s="18">
        <f>IF(AND(145&gt;=$NQ$14,145&lt;=$NR$14),IF($NO$14="Single_Point",IF(145=$NQ$14,$NM$14,0),IF($NO$14="Bell_Curve",$NM$14*(145-$NQ$14+1)*($NR$14-145+1)/$NT$14,$NM$14/$NS$14)),0)</f>
        <v/>
      </c>
      <c r="ES14" s="18">
        <f>IF(AND(146&gt;=$NQ$14,146&lt;=$NR$14),IF($NO$14="Single_Point",IF(146=$NQ$14,$NM$14,0),IF($NO$14="Bell_Curve",$NM$14*(146-$NQ$14+1)*($NR$14-146+1)/$NT$14,$NM$14/$NS$14)),0)</f>
        <v/>
      </c>
      <c r="ET14" s="18">
        <f>IF(AND(147&gt;=$NQ$14,147&lt;=$NR$14),IF($NO$14="Single_Point",IF(147=$NQ$14,$NM$14,0),IF($NO$14="Bell_Curve",$NM$14*(147-$NQ$14+1)*($NR$14-147+1)/$NT$14,$NM$14/$NS$14)),0)</f>
        <v/>
      </c>
      <c r="EU14" s="18">
        <f>IF(AND(148&gt;=$NQ$14,148&lt;=$NR$14),IF($NO$14="Single_Point",IF(148=$NQ$14,$NM$14,0),IF($NO$14="Bell_Curve",$NM$14*(148-$NQ$14+1)*($NR$14-148+1)/$NT$14,$NM$14/$NS$14)),0)</f>
        <v/>
      </c>
      <c r="EV14" s="18">
        <f>IF(AND(149&gt;=$NQ$14,149&lt;=$NR$14),IF($NO$14="Single_Point",IF(149=$NQ$14,$NM$14,0),IF($NO$14="Bell_Curve",$NM$14*(149-$NQ$14+1)*($NR$14-149+1)/$NT$14,$NM$14/$NS$14)),0)</f>
        <v/>
      </c>
      <c r="EW14" s="18">
        <f>IF(AND(150&gt;=$NQ$14,150&lt;=$NR$14),IF($NO$14="Single_Point",IF(150=$NQ$14,$NM$14,0),IF($NO$14="Bell_Curve",$NM$14*(150-$NQ$14+1)*($NR$14-150+1)/$NT$14,$NM$14/$NS$14)),0)</f>
        <v/>
      </c>
      <c r="EX14" s="18">
        <f>IF(AND(151&gt;=$NQ$14,151&lt;=$NR$14),IF($NO$14="Single_Point",IF(151=$NQ$14,$NM$14,0),IF($NO$14="Bell_Curve",$NM$14*(151-$NQ$14+1)*($NR$14-151+1)/$NT$14,$NM$14/$NS$14)),0)</f>
        <v/>
      </c>
      <c r="EY14" s="18">
        <f>IF(AND(152&gt;=$NQ$14,152&lt;=$NR$14),IF($NO$14="Single_Point",IF(152=$NQ$14,$NM$14,0),IF($NO$14="Bell_Curve",$NM$14*(152-$NQ$14+1)*($NR$14-152+1)/$NT$14,$NM$14/$NS$14)),0)</f>
        <v/>
      </c>
      <c r="EZ14" s="18">
        <f>IF(AND(153&gt;=$NQ$14,153&lt;=$NR$14),IF($NO$14="Single_Point",IF(153=$NQ$14,$NM$14,0),IF($NO$14="Bell_Curve",$NM$14*(153-$NQ$14+1)*($NR$14-153+1)/$NT$14,$NM$14/$NS$14)),0)</f>
        <v/>
      </c>
      <c r="FA14" s="18">
        <f>IF(AND(154&gt;=$NQ$14,154&lt;=$NR$14),IF($NO$14="Single_Point",IF(154=$NQ$14,$NM$14,0),IF($NO$14="Bell_Curve",$NM$14*(154-$NQ$14+1)*($NR$14-154+1)/$NT$14,$NM$14/$NS$14)),0)</f>
        <v/>
      </c>
      <c r="FB14" s="18">
        <f>IF(AND(155&gt;=$NQ$14,155&lt;=$NR$14),IF($NO$14="Single_Point",IF(155=$NQ$14,$NM$14,0),IF($NO$14="Bell_Curve",$NM$14*(155-$NQ$14+1)*($NR$14-155+1)/$NT$14,$NM$14/$NS$14)),0)</f>
        <v/>
      </c>
      <c r="FC14" s="18">
        <f>IF(AND(156&gt;=$NQ$14,156&lt;=$NR$14),IF($NO$14="Single_Point",IF(156=$NQ$14,$NM$14,0),IF($NO$14="Bell_Curve",$NM$14*(156-$NQ$14+1)*($NR$14-156+1)/$NT$14,$NM$14/$NS$14)),0)</f>
        <v/>
      </c>
      <c r="FD14" s="18">
        <f>IF(AND(157&gt;=$NQ$14,157&lt;=$NR$14),IF($NO$14="Single_Point",IF(157=$NQ$14,$NM$14,0),IF($NO$14="Bell_Curve",$NM$14*(157-$NQ$14+1)*($NR$14-157+1)/$NT$14,$NM$14/$NS$14)),0)</f>
        <v/>
      </c>
      <c r="FE14" s="18">
        <f>IF(AND(158&gt;=$NQ$14,158&lt;=$NR$14),IF($NO$14="Single_Point",IF(158=$NQ$14,$NM$14,0),IF($NO$14="Bell_Curve",$NM$14*(158-$NQ$14+1)*($NR$14-158+1)/$NT$14,$NM$14/$NS$14)),0)</f>
        <v/>
      </c>
      <c r="FF14" s="18">
        <f>IF(AND(159&gt;=$NQ$14,159&lt;=$NR$14),IF($NO$14="Single_Point",IF(159=$NQ$14,$NM$14,0),IF($NO$14="Bell_Curve",$NM$14*(159-$NQ$14+1)*($NR$14-159+1)/$NT$14,$NM$14/$NS$14)),0)</f>
        <v/>
      </c>
      <c r="FG14" s="18">
        <f>IF(AND(160&gt;=$NQ$14,160&lt;=$NR$14),IF($NO$14="Single_Point",IF(160=$NQ$14,$NM$14,0),IF($NO$14="Bell_Curve",$NM$14*(160-$NQ$14+1)*($NR$14-160+1)/$NT$14,$NM$14/$NS$14)),0)</f>
        <v/>
      </c>
      <c r="FH14" s="18">
        <f>IF(AND(161&gt;=$NQ$14,161&lt;=$NR$14),IF($NO$14="Single_Point",IF(161=$NQ$14,$NM$14,0),IF($NO$14="Bell_Curve",$NM$14*(161-$NQ$14+1)*($NR$14-161+1)/$NT$14,$NM$14/$NS$14)),0)</f>
        <v/>
      </c>
      <c r="FI14" s="18">
        <f>IF(AND(162&gt;=$NQ$14,162&lt;=$NR$14),IF($NO$14="Single_Point",IF(162=$NQ$14,$NM$14,0),IF($NO$14="Bell_Curve",$NM$14*(162-$NQ$14+1)*($NR$14-162+1)/$NT$14,$NM$14/$NS$14)),0)</f>
        <v/>
      </c>
      <c r="FJ14" s="18">
        <f>IF(AND(163&gt;=$NQ$14,163&lt;=$NR$14),IF($NO$14="Single_Point",IF(163=$NQ$14,$NM$14,0),IF($NO$14="Bell_Curve",$NM$14*(163-$NQ$14+1)*($NR$14-163+1)/$NT$14,$NM$14/$NS$14)),0)</f>
        <v/>
      </c>
      <c r="FK14" s="18">
        <f>IF(AND(164&gt;=$NQ$14,164&lt;=$NR$14),IF($NO$14="Single_Point",IF(164=$NQ$14,$NM$14,0),IF($NO$14="Bell_Curve",$NM$14*(164-$NQ$14+1)*($NR$14-164+1)/$NT$14,$NM$14/$NS$14)),0)</f>
        <v/>
      </c>
      <c r="FL14" s="18">
        <f>IF(AND(165&gt;=$NQ$14,165&lt;=$NR$14),IF($NO$14="Single_Point",IF(165=$NQ$14,$NM$14,0),IF($NO$14="Bell_Curve",$NM$14*(165-$NQ$14+1)*($NR$14-165+1)/$NT$14,$NM$14/$NS$14)),0)</f>
        <v/>
      </c>
      <c r="FM14" s="18">
        <f>IF(AND(166&gt;=$NQ$14,166&lt;=$NR$14),IF($NO$14="Single_Point",IF(166=$NQ$14,$NM$14,0),IF($NO$14="Bell_Curve",$NM$14*(166-$NQ$14+1)*($NR$14-166+1)/$NT$14,$NM$14/$NS$14)),0)</f>
        <v/>
      </c>
      <c r="FN14" s="18">
        <f>IF(AND(167&gt;=$NQ$14,167&lt;=$NR$14),IF($NO$14="Single_Point",IF(167=$NQ$14,$NM$14,0),IF($NO$14="Bell_Curve",$NM$14*(167-$NQ$14+1)*($NR$14-167+1)/$NT$14,$NM$14/$NS$14)),0)</f>
        <v/>
      </c>
      <c r="FO14" s="18">
        <f>IF(AND(168&gt;=$NQ$14,168&lt;=$NR$14),IF($NO$14="Single_Point",IF(168=$NQ$14,$NM$14,0),IF($NO$14="Bell_Curve",$NM$14*(168-$NQ$14+1)*($NR$14-168+1)/$NT$14,$NM$14/$NS$14)),0)</f>
        <v/>
      </c>
      <c r="FP14" s="18">
        <f>IF(AND(169&gt;=$NQ$14,169&lt;=$NR$14),IF($NO$14="Single_Point",IF(169=$NQ$14,$NM$14,0),IF($NO$14="Bell_Curve",$NM$14*(169-$NQ$14+1)*($NR$14-169+1)/$NT$14,$NM$14/$NS$14)),0)</f>
        <v/>
      </c>
      <c r="FQ14" s="18">
        <f>IF(AND(170&gt;=$NQ$14,170&lt;=$NR$14),IF($NO$14="Single_Point",IF(170=$NQ$14,$NM$14,0),IF($NO$14="Bell_Curve",$NM$14*(170-$NQ$14+1)*($NR$14-170+1)/$NT$14,$NM$14/$NS$14)),0)</f>
        <v/>
      </c>
      <c r="FR14" s="18">
        <f>IF(AND(171&gt;=$NQ$14,171&lt;=$NR$14),IF($NO$14="Single_Point",IF(171=$NQ$14,$NM$14,0),IF($NO$14="Bell_Curve",$NM$14*(171-$NQ$14+1)*($NR$14-171+1)/$NT$14,$NM$14/$NS$14)),0)</f>
        <v/>
      </c>
      <c r="FS14" s="18">
        <f>IF(AND(172&gt;=$NQ$14,172&lt;=$NR$14),IF($NO$14="Single_Point",IF(172=$NQ$14,$NM$14,0),IF($NO$14="Bell_Curve",$NM$14*(172-$NQ$14+1)*($NR$14-172+1)/$NT$14,$NM$14/$NS$14)),0)</f>
        <v/>
      </c>
      <c r="FT14" s="18">
        <f>IF(AND(173&gt;=$NQ$14,173&lt;=$NR$14),IF($NO$14="Single_Point",IF(173=$NQ$14,$NM$14,0),IF($NO$14="Bell_Curve",$NM$14*(173-$NQ$14+1)*($NR$14-173+1)/$NT$14,$NM$14/$NS$14)),0)</f>
        <v/>
      </c>
      <c r="FU14" s="18">
        <f>IF(AND(174&gt;=$NQ$14,174&lt;=$NR$14),IF($NO$14="Single_Point",IF(174=$NQ$14,$NM$14,0),IF($NO$14="Bell_Curve",$NM$14*(174-$NQ$14+1)*($NR$14-174+1)/$NT$14,$NM$14/$NS$14)),0)</f>
        <v/>
      </c>
      <c r="FV14" s="18">
        <f>IF(AND(175&gt;=$NQ$14,175&lt;=$NR$14),IF($NO$14="Single_Point",IF(175=$NQ$14,$NM$14,0),IF($NO$14="Bell_Curve",$NM$14*(175-$NQ$14+1)*($NR$14-175+1)/$NT$14,$NM$14/$NS$14)),0)</f>
        <v/>
      </c>
      <c r="FW14" s="18">
        <f>IF(AND(176&gt;=$NQ$14,176&lt;=$NR$14),IF($NO$14="Single_Point",IF(176=$NQ$14,$NM$14,0),IF($NO$14="Bell_Curve",$NM$14*(176-$NQ$14+1)*($NR$14-176+1)/$NT$14,$NM$14/$NS$14)),0)</f>
        <v/>
      </c>
      <c r="FX14" s="18">
        <f>IF(AND(177&gt;=$NQ$14,177&lt;=$NR$14),IF($NO$14="Single_Point",IF(177=$NQ$14,$NM$14,0),IF($NO$14="Bell_Curve",$NM$14*(177-$NQ$14+1)*($NR$14-177+1)/$NT$14,$NM$14/$NS$14)),0)</f>
        <v/>
      </c>
      <c r="FY14" s="18">
        <f>IF(AND(178&gt;=$NQ$14,178&lt;=$NR$14),IF($NO$14="Single_Point",IF(178=$NQ$14,$NM$14,0),IF($NO$14="Bell_Curve",$NM$14*(178-$NQ$14+1)*($NR$14-178+1)/$NT$14,$NM$14/$NS$14)),0)</f>
        <v/>
      </c>
      <c r="FZ14" s="18">
        <f>IF(AND(179&gt;=$NQ$14,179&lt;=$NR$14),IF($NO$14="Single_Point",IF(179=$NQ$14,$NM$14,0),IF($NO$14="Bell_Curve",$NM$14*(179-$NQ$14+1)*($NR$14-179+1)/$NT$14,$NM$14/$NS$14)),0)</f>
        <v/>
      </c>
      <c r="GA14" s="18">
        <f>IF(AND(180&gt;=$NQ$14,180&lt;=$NR$14),IF($NO$14="Single_Point",IF(180=$NQ$14,$NM$14,0),IF($NO$14="Bell_Curve",$NM$14*(180-$NQ$14+1)*($NR$14-180+1)/$NT$14,$NM$14/$NS$14)),0)</f>
        <v/>
      </c>
      <c r="GB14" s="18">
        <f>IF(AND(181&gt;=$NQ$14,181&lt;=$NR$14),IF($NO$14="Single_Point",IF(181=$NQ$14,$NM$14,0),IF($NO$14="Bell_Curve",$NM$14*(181-$NQ$14+1)*($NR$14-181+1)/$NT$14,$NM$14/$NS$14)),0)</f>
        <v/>
      </c>
      <c r="GC14" s="18">
        <f>IF(AND(182&gt;=$NQ$14,182&lt;=$NR$14),IF($NO$14="Single_Point",IF(182=$NQ$14,$NM$14,0),IF($NO$14="Bell_Curve",$NM$14*(182-$NQ$14+1)*($NR$14-182+1)/$NT$14,$NM$14/$NS$14)),0)</f>
        <v/>
      </c>
      <c r="GD14" s="18">
        <f>IF(AND(183&gt;=$NQ$14,183&lt;=$NR$14),IF($NO$14="Single_Point",IF(183=$NQ$14,$NM$14,0),IF($NO$14="Bell_Curve",$NM$14*(183-$NQ$14+1)*($NR$14-183+1)/$NT$14,$NM$14/$NS$14)),0)</f>
        <v/>
      </c>
      <c r="GE14" s="18">
        <f>IF(AND(184&gt;=$NQ$14,184&lt;=$NR$14),IF($NO$14="Single_Point",IF(184=$NQ$14,$NM$14,0),IF($NO$14="Bell_Curve",$NM$14*(184-$NQ$14+1)*($NR$14-184+1)/$NT$14,$NM$14/$NS$14)),0)</f>
        <v/>
      </c>
      <c r="GF14" s="18">
        <f>IF(AND(185&gt;=$NQ$14,185&lt;=$NR$14),IF($NO$14="Single_Point",IF(185=$NQ$14,$NM$14,0),IF($NO$14="Bell_Curve",$NM$14*(185-$NQ$14+1)*($NR$14-185+1)/$NT$14,$NM$14/$NS$14)),0)</f>
        <v/>
      </c>
      <c r="GG14" s="18">
        <f>IF(AND(186&gt;=$NQ$14,186&lt;=$NR$14),IF($NO$14="Single_Point",IF(186=$NQ$14,$NM$14,0),IF($NO$14="Bell_Curve",$NM$14*(186-$NQ$14+1)*($NR$14-186+1)/$NT$14,$NM$14/$NS$14)),0)</f>
        <v/>
      </c>
      <c r="GH14" s="18">
        <f>IF(AND(187&gt;=$NQ$14,187&lt;=$NR$14),IF($NO$14="Single_Point",IF(187=$NQ$14,$NM$14,0),IF($NO$14="Bell_Curve",$NM$14*(187-$NQ$14+1)*($NR$14-187+1)/$NT$14,$NM$14/$NS$14)),0)</f>
        <v/>
      </c>
      <c r="GI14" s="18">
        <f>IF(AND(188&gt;=$NQ$14,188&lt;=$NR$14),IF($NO$14="Single_Point",IF(188=$NQ$14,$NM$14,0),IF($NO$14="Bell_Curve",$NM$14*(188-$NQ$14+1)*($NR$14-188+1)/$NT$14,$NM$14/$NS$14)),0)</f>
        <v/>
      </c>
      <c r="GJ14" s="18">
        <f>IF(AND(189&gt;=$NQ$14,189&lt;=$NR$14),IF($NO$14="Single_Point",IF(189=$NQ$14,$NM$14,0),IF($NO$14="Bell_Curve",$NM$14*(189-$NQ$14+1)*($NR$14-189+1)/$NT$14,$NM$14/$NS$14)),0)</f>
        <v/>
      </c>
      <c r="GK14" s="18">
        <f>IF(AND(190&gt;=$NQ$14,190&lt;=$NR$14),IF($NO$14="Single_Point",IF(190=$NQ$14,$NM$14,0),IF($NO$14="Bell_Curve",$NM$14*(190-$NQ$14+1)*($NR$14-190+1)/$NT$14,$NM$14/$NS$14)),0)</f>
        <v/>
      </c>
      <c r="GL14" s="18">
        <f>IF(AND(191&gt;=$NQ$14,191&lt;=$NR$14),IF($NO$14="Single_Point",IF(191=$NQ$14,$NM$14,0),IF($NO$14="Bell_Curve",$NM$14*(191-$NQ$14+1)*($NR$14-191+1)/$NT$14,$NM$14/$NS$14)),0)</f>
        <v/>
      </c>
      <c r="GM14" s="18">
        <f>IF(AND(192&gt;=$NQ$14,192&lt;=$NR$14),IF($NO$14="Single_Point",IF(192=$NQ$14,$NM$14,0),IF($NO$14="Bell_Curve",$NM$14*(192-$NQ$14+1)*($NR$14-192+1)/$NT$14,$NM$14/$NS$14)),0)</f>
        <v/>
      </c>
      <c r="GN14" s="18">
        <f>IF(AND(193&gt;=$NQ$14,193&lt;=$NR$14),IF($NO$14="Single_Point",IF(193=$NQ$14,$NM$14,0),IF($NO$14="Bell_Curve",$NM$14*(193-$NQ$14+1)*($NR$14-193+1)/$NT$14,$NM$14/$NS$14)),0)</f>
        <v/>
      </c>
      <c r="GO14" s="18">
        <f>IF(AND(194&gt;=$NQ$14,194&lt;=$NR$14),IF($NO$14="Single_Point",IF(194=$NQ$14,$NM$14,0),IF($NO$14="Bell_Curve",$NM$14*(194-$NQ$14+1)*($NR$14-194+1)/$NT$14,$NM$14/$NS$14)),0)</f>
        <v/>
      </c>
      <c r="GP14" s="18">
        <f>IF(AND(195&gt;=$NQ$14,195&lt;=$NR$14),IF($NO$14="Single_Point",IF(195=$NQ$14,$NM$14,0),IF($NO$14="Bell_Curve",$NM$14*(195-$NQ$14+1)*($NR$14-195+1)/$NT$14,$NM$14/$NS$14)),0)</f>
        <v/>
      </c>
      <c r="GQ14" s="18">
        <f>IF(AND(196&gt;=$NQ$14,196&lt;=$NR$14),IF($NO$14="Single_Point",IF(196=$NQ$14,$NM$14,0),IF($NO$14="Bell_Curve",$NM$14*(196-$NQ$14+1)*($NR$14-196+1)/$NT$14,$NM$14/$NS$14)),0)</f>
        <v/>
      </c>
      <c r="GR14" s="18">
        <f>IF(AND(197&gt;=$NQ$14,197&lt;=$NR$14),IF($NO$14="Single_Point",IF(197=$NQ$14,$NM$14,0),IF($NO$14="Bell_Curve",$NM$14*(197-$NQ$14+1)*($NR$14-197+1)/$NT$14,$NM$14/$NS$14)),0)</f>
        <v/>
      </c>
      <c r="GS14" s="18">
        <f>IF(AND(198&gt;=$NQ$14,198&lt;=$NR$14),IF($NO$14="Single_Point",IF(198=$NQ$14,$NM$14,0),IF($NO$14="Bell_Curve",$NM$14*(198-$NQ$14+1)*($NR$14-198+1)/$NT$14,$NM$14/$NS$14)),0)</f>
        <v/>
      </c>
      <c r="GT14" s="18">
        <f>IF(AND(199&gt;=$NQ$14,199&lt;=$NR$14),IF($NO$14="Single_Point",IF(199=$NQ$14,$NM$14,0),IF($NO$14="Bell_Curve",$NM$14*(199-$NQ$14+1)*($NR$14-199+1)/$NT$14,$NM$14/$NS$14)),0)</f>
        <v/>
      </c>
      <c r="GU14" s="18">
        <f>IF(AND(200&gt;=$NQ$14,200&lt;=$NR$14),IF($NO$14="Single_Point",IF(200=$NQ$14,$NM$14,0),IF($NO$14="Bell_Curve",$NM$14*(200-$NQ$14+1)*($NR$14-200+1)/$NT$14,$NM$14/$NS$14)),0)</f>
        <v/>
      </c>
      <c r="GV14" s="18">
        <f>IF(AND(201&gt;=$NQ$14,201&lt;=$NR$14),IF($NO$14="Single_Point",IF(201=$NQ$14,$NM$14,0),IF($NO$14="Bell_Curve",$NM$14*(201-$NQ$14+1)*($NR$14-201+1)/$NT$14,$NM$14/$NS$14)),0)</f>
        <v/>
      </c>
      <c r="GW14" s="18">
        <f>IF(AND(202&gt;=$NQ$14,202&lt;=$NR$14),IF($NO$14="Single_Point",IF(202=$NQ$14,$NM$14,0),IF($NO$14="Bell_Curve",$NM$14*(202-$NQ$14+1)*($NR$14-202+1)/$NT$14,$NM$14/$NS$14)),0)</f>
        <v/>
      </c>
      <c r="GX14" s="18">
        <f>IF(AND(203&gt;=$NQ$14,203&lt;=$NR$14),IF($NO$14="Single_Point",IF(203=$NQ$14,$NM$14,0),IF($NO$14="Bell_Curve",$NM$14*(203-$NQ$14+1)*($NR$14-203+1)/$NT$14,$NM$14/$NS$14)),0)</f>
        <v/>
      </c>
      <c r="GY14" s="18">
        <f>IF(AND(204&gt;=$NQ$14,204&lt;=$NR$14),IF($NO$14="Single_Point",IF(204=$NQ$14,$NM$14,0),IF($NO$14="Bell_Curve",$NM$14*(204-$NQ$14+1)*($NR$14-204+1)/$NT$14,$NM$14/$NS$14)),0)</f>
        <v/>
      </c>
      <c r="GZ14" s="18">
        <f>IF(AND(205&gt;=$NQ$14,205&lt;=$NR$14),IF($NO$14="Single_Point",IF(205=$NQ$14,$NM$14,0),IF($NO$14="Bell_Curve",$NM$14*(205-$NQ$14+1)*($NR$14-205+1)/$NT$14,$NM$14/$NS$14)),0)</f>
        <v/>
      </c>
      <c r="HA14" s="18">
        <f>IF(AND(206&gt;=$NQ$14,206&lt;=$NR$14),IF($NO$14="Single_Point",IF(206=$NQ$14,$NM$14,0),IF($NO$14="Bell_Curve",$NM$14*(206-$NQ$14+1)*($NR$14-206+1)/$NT$14,$NM$14/$NS$14)),0)</f>
        <v/>
      </c>
      <c r="HB14" s="18">
        <f>IF(AND(207&gt;=$NQ$14,207&lt;=$NR$14),IF($NO$14="Single_Point",IF(207=$NQ$14,$NM$14,0),IF($NO$14="Bell_Curve",$NM$14*(207-$NQ$14+1)*($NR$14-207+1)/$NT$14,$NM$14/$NS$14)),0)</f>
        <v/>
      </c>
      <c r="HC14" s="18">
        <f>IF(AND(208&gt;=$NQ$14,208&lt;=$NR$14),IF($NO$14="Single_Point",IF(208=$NQ$14,$NM$14,0),IF($NO$14="Bell_Curve",$NM$14*(208-$NQ$14+1)*($NR$14-208+1)/$NT$14,$NM$14/$NS$14)),0)</f>
        <v/>
      </c>
      <c r="HD14" s="18">
        <f>IF(AND(209&gt;=$NQ$14,209&lt;=$NR$14),IF($NO$14="Single_Point",IF(209=$NQ$14,$NM$14,0),IF($NO$14="Bell_Curve",$NM$14*(209-$NQ$14+1)*($NR$14-209+1)/$NT$14,$NM$14/$NS$14)),0)</f>
        <v/>
      </c>
      <c r="HE14" s="18">
        <f>IF(AND(210&gt;=$NQ$14,210&lt;=$NR$14),IF($NO$14="Single_Point",IF(210=$NQ$14,$NM$14,0),IF($NO$14="Bell_Curve",$NM$14*(210-$NQ$14+1)*($NR$14-210+1)/$NT$14,$NM$14/$NS$14)),0)</f>
        <v/>
      </c>
      <c r="HF14" s="18">
        <f>IF(AND(211&gt;=$NQ$14,211&lt;=$NR$14),IF($NO$14="Single_Point",IF(211=$NQ$14,$NM$14,0),IF($NO$14="Bell_Curve",$NM$14*(211-$NQ$14+1)*($NR$14-211+1)/$NT$14,$NM$14/$NS$14)),0)</f>
        <v/>
      </c>
      <c r="HG14" s="18">
        <f>IF(AND(212&gt;=$NQ$14,212&lt;=$NR$14),IF($NO$14="Single_Point",IF(212=$NQ$14,$NM$14,0),IF($NO$14="Bell_Curve",$NM$14*(212-$NQ$14+1)*($NR$14-212+1)/$NT$14,$NM$14/$NS$14)),0)</f>
        <v/>
      </c>
      <c r="HH14" s="18">
        <f>IF(AND(213&gt;=$NQ$14,213&lt;=$NR$14),IF($NO$14="Single_Point",IF(213=$NQ$14,$NM$14,0),IF($NO$14="Bell_Curve",$NM$14*(213-$NQ$14+1)*($NR$14-213+1)/$NT$14,$NM$14/$NS$14)),0)</f>
        <v/>
      </c>
      <c r="HI14" s="18">
        <f>IF(AND(214&gt;=$NQ$14,214&lt;=$NR$14),IF($NO$14="Single_Point",IF(214=$NQ$14,$NM$14,0),IF($NO$14="Bell_Curve",$NM$14*(214-$NQ$14+1)*($NR$14-214+1)/$NT$14,$NM$14/$NS$14)),0)</f>
        <v/>
      </c>
      <c r="HJ14" s="18">
        <f>IF(AND(215&gt;=$NQ$14,215&lt;=$NR$14),IF($NO$14="Single_Point",IF(215=$NQ$14,$NM$14,0),IF($NO$14="Bell_Curve",$NM$14*(215-$NQ$14+1)*($NR$14-215+1)/$NT$14,$NM$14/$NS$14)),0)</f>
        <v/>
      </c>
      <c r="HK14" s="18">
        <f>IF(AND(216&gt;=$NQ$14,216&lt;=$NR$14),IF($NO$14="Single_Point",IF(216=$NQ$14,$NM$14,0),IF($NO$14="Bell_Curve",$NM$14*(216-$NQ$14+1)*($NR$14-216+1)/$NT$14,$NM$14/$NS$14)),0)</f>
        <v/>
      </c>
      <c r="HL14" s="18">
        <f>IF(AND(217&gt;=$NQ$14,217&lt;=$NR$14),IF($NO$14="Single_Point",IF(217=$NQ$14,$NM$14,0),IF($NO$14="Bell_Curve",$NM$14*(217-$NQ$14+1)*($NR$14-217+1)/$NT$14,$NM$14/$NS$14)),0)</f>
        <v/>
      </c>
      <c r="HM14" s="18">
        <f>IF(AND(218&gt;=$NQ$14,218&lt;=$NR$14),IF($NO$14="Single_Point",IF(218=$NQ$14,$NM$14,0),IF($NO$14="Bell_Curve",$NM$14*(218-$NQ$14+1)*($NR$14-218+1)/$NT$14,$NM$14/$NS$14)),0)</f>
        <v/>
      </c>
      <c r="HN14" s="18">
        <f>IF(AND(219&gt;=$NQ$14,219&lt;=$NR$14),IF($NO$14="Single_Point",IF(219=$NQ$14,$NM$14,0),IF($NO$14="Bell_Curve",$NM$14*(219-$NQ$14+1)*($NR$14-219+1)/$NT$14,$NM$14/$NS$14)),0)</f>
        <v/>
      </c>
      <c r="HO14" s="18">
        <f>IF(AND(220&gt;=$NQ$14,220&lt;=$NR$14),IF($NO$14="Single_Point",IF(220=$NQ$14,$NM$14,0),IF($NO$14="Bell_Curve",$NM$14*(220-$NQ$14+1)*($NR$14-220+1)/$NT$14,$NM$14/$NS$14)),0)</f>
        <v/>
      </c>
      <c r="HP14" s="18">
        <f>IF(AND(221&gt;=$NQ$14,221&lt;=$NR$14),IF($NO$14="Single_Point",IF(221=$NQ$14,$NM$14,0),IF($NO$14="Bell_Curve",$NM$14*(221-$NQ$14+1)*($NR$14-221+1)/$NT$14,$NM$14/$NS$14)),0)</f>
        <v/>
      </c>
      <c r="HQ14" s="18">
        <f>IF(AND(222&gt;=$NQ$14,222&lt;=$NR$14),IF($NO$14="Single_Point",IF(222=$NQ$14,$NM$14,0),IF($NO$14="Bell_Curve",$NM$14*(222-$NQ$14+1)*($NR$14-222+1)/$NT$14,$NM$14/$NS$14)),0)</f>
        <v/>
      </c>
      <c r="HR14" s="18">
        <f>IF(AND(223&gt;=$NQ$14,223&lt;=$NR$14),IF($NO$14="Single_Point",IF(223=$NQ$14,$NM$14,0),IF($NO$14="Bell_Curve",$NM$14*(223-$NQ$14+1)*($NR$14-223+1)/$NT$14,$NM$14/$NS$14)),0)</f>
        <v/>
      </c>
      <c r="HS14" s="18">
        <f>IF(AND(224&gt;=$NQ$14,224&lt;=$NR$14),IF($NO$14="Single_Point",IF(224=$NQ$14,$NM$14,0),IF($NO$14="Bell_Curve",$NM$14*(224-$NQ$14+1)*($NR$14-224+1)/$NT$14,$NM$14/$NS$14)),0)</f>
        <v/>
      </c>
      <c r="HT14" s="18">
        <f>IF(AND(225&gt;=$NQ$14,225&lt;=$NR$14),IF($NO$14="Single_Point",IF(225=$NQ$14,$NM$14,0),IF($NO$14="Bell_Curve",$NM$14*(225-$NQ$14+1)*($NR$14-225+1)/$NT$14,$NM$14/$NS$14)),0)</f>
        <v/>
      </c>
      <c r="HU14" s="18">
        <f>IF(AND(226&gt;=$NQ$14,226&lt;=$NR$14),IF($NO$14="Single_Point",IF(226=$NQ$14,$NM$14,0),IF($NO$14="Bell_Curve",$NM$14*(226-$NQ$14+1)*($NR$14-226+1)/$NT$14,$NM$14/$NS$14)),0)</f>
        <v/>
      </c>
      <c r="HV14" s="18">
        <f>IF(AND(227&gt;=$NQ$14,227&lt;=$NR$14),IF($NO$14="Single_Point",IF(227=$NQ$14,$NM$14,0),IF($NO$14="Bell_Curve",$NM$14*(227-$NQ$14+1)*($NR$14-227+1)/$NT$14,$NM$14/$NS$14)),0)</f>
        <v/>
      </c>
      <c r="HW14" s="18">
        <f>IF(AND(228&gt;=$NQ$14,228&lt;=$NR$14),IF($NO$14="Single_Point",IF(228=$NQ$14,$NM$14,0),IF($NO$14="Bell_Curve",$NM$14*(228-$NQ$14+1)*($NR$14-228+1)/$NT$14,$NM$14/$NS$14)),0)</f>
        <v/>
      </c>
      <c r="HX14" s="18">
        <f>IF(AND(229&gt;=$NQ$14,229&lt;=$NR$14),IF($NO$14="Single_Point",IF(229=$NQ$14,$NM$14,0),IF($NO$14="Bell_Curve",$NM$14*(229-$NQ$14+1)*($NR$14-229+1)/$NT$14,$NM$14/$NS$14)),0)</f>
        <v/>
      </c>
      <c r="HY14" s="18">
        <f>IF(AND(230&gt;=$NQ$14,230&lt;=$NR$14),IF($NO$14="Single_Point",IF(230=$NQ$14,$NM$14,0),IF($NO$14="Bell_Curve",$NM$14*(230-$NQ$14+1)*($NR$14-230+1)/$NT$14,$NM$14/$NS$14)),0)</f>
        <v/>
      </c>
      <c r="HZ14" s="18">
        <f>IF(AND(231&gt;=$NQ$14,231&lt;=$NR$14),IF($NO$14="Single_Point",IF(231=$NQ$14,$NM$14,0),IF($NO$14="Bell_Curve",$NM$14*(231-$NQ$14+1)*($NR$14-231+1)/$NT$14,$NM$14/$NS$14)),0)</f>
        <v/>
      </c>
      <c r="IA14" s="18">
        <f>IF(AND(232&gt;=$NQ$14,232&lt;=$NR$14),IF($NO$14="Single_Point",IF(232=$NQ$14,$NM$14,0),IF($NO$14="Bell_Curve",$NM$14*(232-$NQ$14+1)*($NR$14-232+1)/$NT$14,$NM$14/$NS$14)),0)</f>
        <v/>
      </c>
      <c r="IB14" s="18">
        <f>IF(AND(233&gt;=$NQ$14,233&lt;=$NR$14),IF($NO$14="Single_Point",IF(233=$NQ$14,$NM$14,0),IF($NO$14="Bell_Curve",$NM$14*(233-$NQ$14+1)*($NR$14-233+1)/$NT$14,$NM$14/$NS$14)),0)</f>
        <v/>
      </c>
      <c r="IC14" s="18">
        <f>IF(AND(234&gt;=$NQ$14,234&lt;=$NR$14),IF($NO$14="Single_Point",IF(234=$NQ$14,$NM$14,0),IF($NO$14="Bell_Curve",$NM$14*(234-$NQ$14+1)*($NR$14-234+1)/$NT$14,$NM$14/$NS$14)),0)</f>
        <v/>
      </c>
      <c r="ID14" s="18">
        <f>IF(AND(235&gt;=$NQ$14,235&lt;=$NR$14),IF($NO$14="Single_Point",IF(235=$NQ$14,$NM$14,0),IF($NO$14="Bell_Curve",$NM$14*(235-$NQ$14+1)*($NR$14-235+1)/$NT$14,$NM$14/$NS$14)),0)</f>
        <v/>
      </c>
      <c r="IE14" s="18">
        <f>IF(AND(236&gt;=$NQ$14,236&lt;=$NR$14),IF($NO$14="Single_Point",IF(236=$NQ$14,$NM$14,0),IF($NO$14="Bell_Curve",$NM$14*(236-$NQ$14+1)*($NR$14-236+1)/$NT$14,$NM$14/$NS$14)),0)</f>
        <v/>
      </c>
      <c r="IF14" s="18">
        <f>IF(AND(237&gt;=$NQ$14,237&lt;=$NR$14),IF($NO$14="Single_Point",IF(237=$NQ$14,$NM$14,0),IF($NO$14="Bell_Curve",$NM$14*(237-$NQ$14+1)*($NR$14-237+1)/$NT$14,$NM$14/$NS$14)),0)</f>
        <v/>
      </c>
      <c r="IG14" s="18">
        <f>IF(AND(238&gt;=$NQ$14,238&lt;=$NR$14),IF($NO$14="Single_Point",IF(238=$NQ$14,$NM$14,0),IF($NO$14="Bell_Curve",$NM$14*(238-$NQ$14+1)*($NR$14-238+1)/$NT$14,$NM$14/$NS$14)),0)</f>
        <v/>
      </c>
      <c r="IH14" s="18">
        <f>IF(AND(239&gt;=$NQ$14,239&lt;=$NR$14),IF($NO$14="Single_Point",IF(239=$NQ$14,$NM$14,0),IF($NO$14="Bell_Curve",$NM$14*(239-$NQ$14+1)*($NR$14-239+1)/$NT$14,$NM$14/$NS$14)),0)</f>
        <v/>
      </c>
      <c r="II14" s="18">
        <f>IF(AND(240&gt;=$NQ$14,240&lt;=$NR$14),IF($NO$14="Single_Point",IF(240=$NQ$14,$NM$14,0),IF($NO$14="Bell_Curve",$NM$14*(240-$NQ$14+1)*($NR$14-240+1)/$NT$14,$NM$14/$NS$14)),0)</f>
        <v/>
      </c>
      <c r="IJ14" s="18">
        <f>IF(AND(241&gt;=$NQ$14,241&lt;=$NR$14),IF($NO$14="Single_Point",IF(241=$NQ$14,$NM$14,0),IF($NO$14="Bell_Curve",$NM$14*(241-$NQ$14+1)*($NR$14-241+1)/$NT$14,$NM$14/$NS$14)),0)</f>
        <v/>
      </c>
      <c r="IK14" s="18">
        <f>IF(AND(242&gt;=$NQ$14,242&lt;=$NR$14),IF($NO$14="Single_Point",IF(242=$NQ$14,$NM$14,0),IF($NO$14="Bell_Curve",$NM$14*(242-$NQ$14+1)*($NR$14-242+1)/$NT$14,$NM$14/$NS$14)),0)</f>
        <v/>
      </c>
      <c r="IL14" s="18">
        <f>IF(AND(243&gt;=$NQ$14,243&lt;=$NR$14),IF($NO$14="Single_Point",IF(243=$NQ$14,$NM$14,0),IF($NO$14="Bell_Curve",$NM$14*(243-$NQ$14+1)*($NR$14-243+1)/$NT$14,$NM$14/$NS$14)),0)</f>
        <v/>
      </c>
      <c r="IM14" s="18">
        <f>IF(AND(244&gt;=$NQ$14,244&lt;=$NR$14),IF($NO$14="Single_Point",IF(244=$NQ$14,$NM$14,0),IF($NO$14="Bell_Curve",$NM$14*(244-$NQ$14+1)*($NR$14-244+1)/$NT$14,$NM$14/$NS$14)),0)</f>
        <v/>
      </c>
      <c r="IN14" s="18">
        <f>IF(AND(245&gt;=$NQ$14,245&lt;=$NR$14),IF($NO$14="Single_Point",IF(245=$NQ$14,$NM$14,0),IF($NO$14="Bell_Curve",$NM$14*(245-$NQ$14+1)*($NR$14-245+1)/$NT$14,$NM$14/$NS$14)),0)</f>
        <v/>
      </c>
      <c r="IO14" s="18">
        <f>IF(AND(246&gt;=$NQ$14,246&lt;=$NR$14),IF($NO$14="Single_Point",IF(246=$NQ$14,$NM$14,0),IF($NO$14="Bell_Curve",$NM$14*(246-$NQ$14+1)*($NR$14-246+1)/$NT$14,$NM$14/$NS$14)),0)</f>
        <v/>
      </c>
      <c r="IP14" s="18">
        <f>IF(AND(247&gt;=$NQ$14,247&lt;=$NR$14),IF($NO$14="Single_Point",IF(247=$NQ$14,$NM$14,0),IF($NO$14="Bell_Curve",$NM$14*(247-$NQ$14+1)*($NR$14-247+1)/$NT$14,$NM$14/$NS$14)),0)</f>
        <v/>
      </c>
      <c r="IQ14" s="18">
        <f>IF(AND(248&gt;=$NQ$14,248&lt;=$NR$14),IF($NO$14="Single_Point",IF(248=$NQ$14,$NM$14,0),IF($NO$14="Bell_Curve",$NM$14*(248-$NQ$14+1)*($NR$14-248+1)/$NT$14,$NM$14/$NS$14)),0)</f>
        <v/>
      </c>
      <c r="IR14" s="18">
        <f>IF(AND(249&gt;=$NQ$14,249&lt;=$NR$14),IF($NO$14="Single_Point",IF(249=$NQ$14,$NM$14,0),IF($NO$14="Bell_Curve",$NM$14*(249-$NQ$14+1)*($NR$14-249+1)/$NT$14,$NM$14/$NS$14)),0)</f>
        <v/>
      </c>
      <c r="IS14" s="18">
        <f>IF(AND(250&gt;=$NQ$14,250&lt;=$NR$14),IF($NO$14="Single_Point",IF(250=$NQ$14,$NM$14,0),IF($NO$14="Bell_Curve",$NM$14*(250-$NQ$14+1)*($NR$14-250+1)/$NT$14,$NM$14/$NS$14)),0)</f>
        <v/>
      </c>
      <c r="IT14" s="18">
        <f>IF(AND(251&gt;=$NQ$14,251&lt;=$NR$14),IF($NO$14="Single_Point",IF(251=$NQ$14,$NM$14,0),IF($NO$14="Bell_Curve",$NM$14*(251-$NQ$14+1)*($NR$14-251+1)/$NT$14,$NM$14/$NS$14)),0)</f>
        <v/>
      </c>
      <c r="IU14" s="18">
        <f>IF(AND(252&gt;=$NQ$14,252&lt;=$NR$14),IF($NO$14="Single_Point",IF(252=$NQ$14,$NM$14,0),IF($NO$14="Bell_Curve",$NM$14*(252-$NQ$14+1)*($NR$14-252+1)/$NT$14,$NM$14/$NS$14)),0)</f>
        <v/>
      </c>
      <c r="IV14" s="18">
        <f>IF(AND(253&gt;=$NQ$14,253&lt;=$NR$14),IF($NO$14="Single_Point",IF(253=$NQ$14,$NM$14,0),IF($NO$14="Bell_Curve",$NM$14*(253-$NQ$14+1)*($NR$14-253+1)/$NT$14,$NM$14/$NS$14)),0)</f>
        <v/>
      </c>
      <c r="IW14" s="18">
        <f>IF(AND(254&gt;=$NQ$14,254&lt;=$NR$14),IF($NO$14="Single_Point",IF(254=$NQ$14,$NM$14,0),IF($NO$14="Bell_Curve",$NM$14*(254-$NQ$14+1)*($NR$14-254+1)/$NT$14,$NM$14/$NS$14)),0)</f>
        <v/>
      </c>
      <c r="IX14" s="18">
        <f>IF(AND(255&gt;=$NQ$14,255&lt;=$NR$14),IF($NO$14="Single_Point",IF(255=$NQ$14,$NM$14,0),IF($NO$14="Bell_Curve",$NM$14*(255-$NQ$14+1)*($NR$14-255+1)/$NT$14,$NM$14/$NS$14)),0)</f>
        <v/>
      </c>
      <c r="IY14" s="18">
        <f>IF(AND(256&gt;=$NQ$14,256&lt;=$NR$14),IF($NO$14="Single_Point",IF(256=$NQ$14,$NM$14,0),IF($NO$14="Bell_Curve",$NM$14*(256-$NQ$14+1)*($NR$14-256+1)/$NT$14,$NM$14/$NS$14)),0)</f>
        <v/>
      </c>
      <c r="IZ14" s="18">
        <f>IF(AND(257&gt;=$NQ$14,257&lt;=$NR$14),IF($NO$14="Single_Point",IF(257=$NQ$14,$NM$14,0),IF($NO$14="Bell_Curve",$NM$14*(257-$NQ$14+1)*($NR$14-257+1)/$NT$14,$NM$14/$NS$14)),0)</f>
        <v/>
      </c>
      <c r="JA14" s="18">
        <f>IF(AND(258&gt;=$NQ$14,258&lt;=$NR$14),IF($NO$14="Single_Point",IF(258=$NQ$14,$NM$14,0),IF($NO$14="Bell_Curve",$NM$14*(258-$NQ$14+1)*($NR$14-258+1)/$NT$14,$NM$14/$NS$14)),0)</f>
        <v/>
      </c>
      <c r="JB14" s="18">
        <f>IF(AND(259&gt;=$NQ$14,259&lt;=$NR$14),IF($NO$14="Single_Point",IF(259=$NQ$14,$NM$14,0),IF($NO$14="Bell_Curve",$NM$14*(259-$NQ$14+1)*($NR$14-259+1)/$NT$14,$NM$14/$NS$14)),0)</f>
        <v/>
      </c>
      <c r="JC14" s="18">
        <f>IF(AND(260&gt;=$NQ$14,260&lt;=$NR$14),IF($NO$14="Single_Point",IF(260=$NQ$14,$NM$14,0),IF($NO$14="Bell_Curve",$NM$14*(260-$NQ$14+1)*($NR$14-260+1)/$NT$14,$NM$14/$NS$14)),0)</f>
        <v/>
      </c>
      <c r="JD14" s="18">
        <f>IF(AND(261&gt;=$NQ$14,261&lt;=$NR$14),IF($NO$14="Single_Point",IF(261=$NQ$14,$NM$14,0),IF($NO$14="Bell_Curve",$NM$14*(261-$NQ$14+1)*($NR$14-261+1)/$NT$14,$NM$14/$NS$14)),0)</f>
        <v/>
      </c>
      <c r="JE14" s="18">
        <f>IF(AND(262&gt;=$NQ$14,262&lt;=$NR$14),IF($NO$14="Single_Point",IF(262=$NQ$14,$NM$14,0),IF($NO$14="Bell_Curve",$NM$14*(262-$NQ$14+1)*($NR$14-262+1)/$NT$14,$NM$14/$NS$14)),0)</f>
        <v/>
      </c>
      <c r="JF14" s="18">
        <f>IF(AND(263&gt;=$NQ$14,263&lt;=$NR$14),IF($NO$14="Single_Point",IF(263=$NQ$14,$NM$14,0),IF($NO$14="Bell_Curve",$NM$14*(263-$NQ$14+1)*($NR$14-263+1)/$NT$14,$NM$14/$NS$14)),0)</f>
        <v/>
      </c>
      <c r="JG14" s="18">
        <f>IF(AND(264&gt;=$NQ$14,264&lt;=$NR$14),IF($NO$14="Single_Point",IF(264=$NQ$14,$NM$14,0),IF($NO$14="Bell_Curve",$NM$14*(264-$NQ$14+1)*($NR$14-264+1)/$NT$14,$NM$14/$NS$14)),0)</f>
        <v/>
      </c>
      <c r="JH14" s="18">
        <f>IF(AND(265&gt;=$NQ$14,265&lt;=$NR$14),IF($NO$14="Single_Point",IF(265=$NQ$14,$NM$14,0),IF($NO$14="Bell_Curve",$NM$14*(265-$NQ$14+1)*($NR$14-265+1)/$NT$14,$NM$14/$NS$14)),0)</f>
        <v/>
      </c>
      <c r="JI14" s="18">
        <f>IF(AND(266&gt;=$NQ$14,266&lt;=$NR$14),IF($NO$14="Single_Point",IF(266=$NQ$14,$NM$14,0),IF($NO$14="Bell_Curve",$NM$14*(266-$NQ$14+1)*($NR$14-266+1)/$NT$14,$NM$14/$NS$14)),0)</f>
        <v/>
      </c>
      <c r="JJ14" s="18">
        <f>IF(AND(267&gt;=$NQ$14,267&lt;=$NR$14),IF($NO$14="Single_Point",IF(267=$NQ$14,$NM$14,0),IF($NO$14="Bell_Curve",$NM$14*(267-$NQ$14+1)*($NR$14-267+1)/$NT$14,$NM$14/$NS$14)),0)</f>
        <v/>
      </c>
      <c r="JK14" s="18">
        <f>IF(AND(268&gt;=$NQ$14,268&lt;=$NR$14),IF($NO$14="Single_Point",IF(268=$NQ$14,$NM$14,0),IF($NO$14="Bell_Curve",$NM$14*(268-$NQ$14+1)*($NR$14-268+1)/$NT$14,$NM$14/$NS$14)),0)</f>
        <v/>
      </c>
      <c r="JL14" s="18">
        <f>IF(AND(269&gt;=$NQ$14,269&lt;=$NR$14),IF($NO$14="Single_Point",IF(269=$NQ$14,$NM$14,0),IF($NO$14="Bell_Curve",$NM$14*(269-$NQ$14+1)*($NR$14-269+1)/$NT$14,$NM$14/$NS$14)),0)</f>
        <v/>
      </c>
      <c r="JM14" s="18">
        <f>IF(AND(270&gt;=$NQ$14,270&lt;=$NR$14),IF($NO$14="Single_Point",IF(270=$NQ$14,$NM$14,0),IF($NO$14="Bell_Curve",$NM$14*(270-$NQ$14+1)*($NR$14-270+1)/$NT$14,$NM$14/$NS$14)),0)</f>
        <v/>
      </c>
      <c r="JN14" s="18">
        <f>IF(AND(271&gt;=$NQ$14,271&lt;=$NR$14),IF($NO$14="Single_Point",IF(271=$NQ$14,$NM$14,0),IF($NO$14="Bell_Curve",$NM$14*(271-$NQ$14+1)*($NR$14-271+1)/$NT$14,$NM$14/$NS$14)),0)</f>
        <v/>
      </c>
      <c r="JO14" s="18">
        <f>IF(AND(272&gt;=$NQ$14,272&lt;=$NR$14),IF($NO$14="Single_Point",IF(272=$NQ$14,$NM$14,0),IF($NO$14="Bell_Curve",$NM$14*(272-$NQ$14+1)*($NR$14-272+1)/$NT$14,$NM$14/$NS$14)),0)</f>
        <v/>
      </c>
      <c r="JP14" s="18">
        <f>IF(AND(273&gt;=$NQ$14,273&lt;=$NR$14),IF($NO$14="Single_Point",IF(273=$NQ$14,$NM$14,0),IF($NO$14="Bell_Curve",$NM$14*(273-$NQ$14+1)*($NR$14-273+1)/$NT$14,$NM$14/$NS$14)),0)</f>
        <v/>
      </c>
      <c r="JQ14" s="18">
        <f>IF(AND(274&gt;=$NQ$14,274&lt;=$NR$14),IF($NO$14="Single_Point",IF(274=$NQ$14,$NM$14,0),IF($NO$14="Bell_Curve",$NM$14*(274-$NQ$14+1)*($NR$14-274+1)/$NT$14,$NM$14/$NS$14)),0)</f>
        <v/>
      </c>
      <c r="JR14" s="18">
        <f>IF(AND(275&gt;=$NQ$14,275&lt;=$NR$14),IF($NO$14="Single_Point",IF(275=$NQ$14,$NM$14,0),IF($NO$14="Bell_Curve",$NM$14*(275-$NQ$14+1)*($NR$14-275+1)/$NT$14,$NM$14/$NS$14)),0)</f>
        <v/>
      </c>
      <c r="JS14" s="18">
        <f>IF(AND(276&gt;=$NQ$14,276&lt;=$NR$14),IF($NO$14="Single_Point",IF(276=$NQ$14,$NM$14,0),IF($NO$14="Bell_Curve",$NM$14*(276-$NQ$14+1)*($NR$14-276+1)/$NT$14,$NM$14/$NS$14)),0)</f>
        <v/>
      </c>
      <c r="JT14" s="18">
        <f>IF(AND(277&gt;=$NQ$14,277&lt;=$NR$14),IF($NO$14="Single_Point",IF(277=$NQ$14,$NM$14,0),IF($NO$14="Bell_Curve",$NM$14*(277-$NQ$14+1)*($NR$14-277+1)/$NT$14,$NM$14/$NS$14)),0)</f>
        <v/>
      </c>
      <c r="JU14" s="18">
        <f>IF(AND(278&gt;=$NQ$14,278&lt;=$NR$14),IF($NO$14="Single_Point",IF(278=$NQ$14,$NM$14,0),IF($NO$14="Bell_Curve",$NM$14*(278-$NQ$14+1)*($NR$14-278+1)/$NT$14,$NM$14/$NS$14)),0)</f>
        <v/>
      </c>
      <c r="JV14" s="18">
        <f>IF(AND(279&gt;=$NQ$14,279&lt;=$NR$14),IF($NO$14="Single_Point",IF(279=$NQ$14,$NM$14,0),IF($NO$14="Bell_Curve",$NM$14*(279-$NQ$14+1)*($NR$14-279+1)/$NT$14,$NM$14/$NS$14)),0)</f>
        <v/>
      </c>
      <c r="JW14" s="18">
        <f>IF(AND(280&gt;=$NQ$14,280&lt;=$NR$14),IF($NO$14="Single_Point",IF(280=$NQ$14,$NM$14,0),IF($NO$14="Bell_Curve",$NM$14*(280-$NQ$14+1)*($NR$14-280+1)/$NT$14,$NM$14/$NS$14)),0)</f>
        <v/>
      </c>
      <c r="JX14" s="18">
        <f>IF(AND(281&gt;=$NQ$14,281&lt;=$NR$14),IF($NO$14="Single_Point",IF(281=$NQ$14,$NM$14,0),IF($NO$14="Bell_Curve",$NM$14*(281-$NQ$14+1)*($NR$14-281+1)/$NT$14,$NM$14/$NS$14)),0)</f>
        <v/>
      </c>
      <c r="JY14" s="18">
        <f>IF(AND(282&gt;=$NQ$14,282&lt;=$NR$14),IF($NO$14="Single_Point",IF(282=$NQ$14,$NM$14,0),IF($NO$14="Bell_Curve",$NM$14*(282-$NQ$14+1)*($NR$14-282+1)/$NT$14,$NM$14/$NS$14)),0)</f>
        <v/>
      </c>
      <c r="JZ14" s="18">
        <f>IF(AND(283&gt;=$NQ$14,283&lt;=$NR$14),IF($NO$14="Single_Point",IF(283=$NQ$14,$NM$14,0),IF($NO$14="Bell_Curve",$NM$14*(283-$NQ$14+1)*($NR$14-283+1)/$NT$14,$NM$14/$NS$14)),0)</f>
        <v/>
      </c>
      <c r="KA14" s="18">
        <f>IF(AND(284&gt;=$NQ$14,284&lt;=$NR$14),IF($NO$14="Single_Point",IF(284=$NQ$14,$NM$14,0),IF($NO$14="Bell_Curve",$NM$14*(284-$NQ$14+1)*($NR$14-284+1)/$NT$14,$NM$14/$NS$14)),0)</f>
        <v/>
      </c>
      <c r="KB14" s="18">
        <f>IF(AND(285&gt;=$NQ$14,285&lt;=$NR$14),IF($NO$14="Single_Point",IF(285=$NQ$14,$NM$14,0),IF($NO$14="Bell_Curve",$NM$14*(285-$NQ$14+1)*($NR$14-285+1)/$NT$14,$NM$14/$NS$14)),0)</f>
        <v/>
      </c>
      <c r="KC14" s="18">
        <f>IF(AND(286&gt;=$NQ$14,286&lt;=$NR$14),IF($NO$14="Single_Point",IF(286=$NQ$14,$NM$14,0),IF($NO$14="Bell_Curve",$NM$14*(286-$NQ$14+1)*($NR$14-286+1)/$NT$14,$NM$14/$NS$14)),0)</f>
        <v/>
      </c>
      <c r="KD14" s="18">
        <f>IF(AND(287&gt;=$NQ$14,287&lt;=$NR$14),IF($NO$14="Single_Point",IF(287=$NQ$14,$NM$14,0),IF($NO$14="Bell_Curve",$NM$14*(287-$NQ$14+1)*($NR$14-287+1)/$NT$14,$NM$14/$NS$14)),0)</f>
        <v/>
      </c>
      <c r="KE14" s="18">
        <f>IF(AND(288&gt;=$NQ$14,288&lt;=$NR$14),IF($NO$14="Single_Point",IF(288=$NQ$14,$NM$14,0),IF($NO$14="Bell_Curve",$NM$14*(288-$NQ$14+1)*($NR$14-288+1)/$NT$14,$NM$14/$NS$14)),0)</f>
        <v/>
      </c>
      <c r="KF14" s="18">
        <f>IF(AND(289&gt;=$NQ$14,289&lt;=$NR$14),IF($NO$14="Single_Point",IF(289=$NQ$14,$NM$14,0),IF($NO$14="Bell_Curve",$NM$14*(289-$NQ$14+1)*($NR$14-289+1)/$NT$14,$NM$14/$NS$14)),0)</f>
        <v/>
      </c>
      <c r="KG14" s="18">
        <f>IF(AND(290&gt;=$NQ$14,290&lt;=$NR$14),IF($NO$14="Single_Point",IF(290=$NQ$14,$NM$14,0),IF($NO$14="Bell_Curve",$NM$14*(290-$NQ$14+1)*($NR$14-290+1)/$NT$14,$NM$14/$NS$14)),0)</f>
        <v/>
      </c>
      <c r="KH14" s="18">
        <f>IF(AND(291&gt;=$NQ$14,291&lt;=$NR$14),IF($NO$14="Single_Point",IF(291=$NQ$14,$NM$14,0),IF($NO$14="Bell_Curve",$NM$14*(291-$NQ$14+1)*($NR$14-291+1)/$NT$14,$NM$14/$NS$14)),0)</f>
        <v/>
      </c>
      <c r="KI14" s="18">
        <f>IF(AND(292&gt;=$NQ$14,292&lt;=$NR$14),IF($NO$14="Single_Point",IF(292=$NQ$14,$NM$14,0),IF($NO$14="Bell_Curve",$NM$14*(292-$NQ$14+1)*($NR$14-292+1)/$NT$14,$NM$14/$NS$14)),0)</f>
        <v/>
      </c>
      <c r="KJ14" s="18">
        <f>IF(AND(293&gt;=$NQ$14,293&lt;=$NR$14),IF($NO$14="Single_Point",IF(293=$NQ$14,$NM$14,0),IF($NO$14="Bell_Curve",$NM$14*(293-$NQ$14+1)*($NR$14-293+1)/$NT$14,$NM$14/$NS$14)),0)</f>
        <v/>
      </c>
      <c r="KK14" s="18">
        <f>IF(AND(294&gt;=$NQ$14,294&lt;=$NR$14),IF($NO$14="Single_Point",IF(294=$NQ$14,$NM$14,0),IF($NO$14="Bell_Curve",$NM$14*(294-$NQ$14+1)*($NR$14-294+1)/$NT$14,$NM$14/$NS$14)),0)</f>
        <v/>
      </c>
      <c r="KL14" s="18">
        <f>IF(AND(295&gt;=$NQ$14,295&lt;=$NR$14),IF($NO$14="Single_Point",IF(295=$NQ$14,$NM$14,0),IF($NO$14="Bell_Curve",$NM$14*(295-$NQ$14+1)*($NR$14-295+1)/$NT$14,$NM$14/$NS$14)),0)</f>
        <v/>
      </c>
      <c r="KM14" s="18">
        <f>IF(AND(296&gt;=$NQ$14,296&lt;=$NR$14),IF($NO$14="Single_Point",IF(296=$NQ$14,$NM$14,0),IF($NO$14="Bell_Curve",$NM$14*(296-$NQ$14+1)*($NR$14-296+1)/$NT$14,$NM$14/$NS$14)),0)</f>
        <v/>
      </c>
      <c r="KN14" s="18">
        <f>IF(AND(297&gt;=$NQ$14,297&lt;=$NR$14),IF($NO$14="Single_Point",IF(297=$NQ$14,$NM$14,0),IF($NO$14="Bell_Curve",$NM$14*(297-$NQ$14+1)*($NR$14-297+1)/$NT$14,$NM$14/$NS$14)),0)</f>
        <v/>
      </c>
      <c r="KO14" s="18">
        <f>IF(AND(298&gt;=$NQ$14,298&lt;=$NR$14),IF($NO$14="Single_Point",IF(298=$NQ$14,$NM$14,0),IF($NO$14="Bell_Curve",$NM$14*(298-$NQ$14+1)*($NR$14-298+1)/$NT$14,$NM$14/$NS$14)),0)</f>
        <v/>
      </c>
      <c r="KP14" s="18">
        <f>IF(AND(299&gt;=$NQ$14,299&lt;=$NR$14),IF($NO$14="Single_Point",IF(299=$NQ$14,$NM$14,0),IF($NO$14="Bell_Curve",$NM$14*(299-$NQ$14+1)*($NR$14-299+1)/$NT$14,$NM$14/$NS$14)),0)</f>
        <v/>
      </c>
      <c r="KQ14" s="18">
        <f>IF(AND(300&gt;=$NQ$14,300&lt;=$NR$14),IF($NO$14="Single_Point",IF(300=$NQ$14,$NM$14,0),IF($NO$14="Bell_Curve",$NM$14*(300-$NQ$14+1)*($NR$14-300+1)/$NT$14,$NM$14/$NS$14)),0)</f>
        <v/>
      </c>
      <c r="KR14" s="18">
        <f>IF(AND(301&gt;=$NQ$14,301&lt;=$NR$14),IF($NO$14="Single_Point",IF(301=$NQ$14,$NM$14,0),IF($NO$14="Bell_Curve",$NM$14*(301-$NQ$14+1)*($NR$14-301+1)/$NT$14,$NM$14/$NS$14)),0)</f>
        <v/>
      </c>
      <c r="KS14" s="18">
        <f>IF(AND(302&gt;=$NQ$14,302&lt;=$NR$14),IF($NO$14="Single_Point",IF(302=$NQ$14,$NM$14,0),IF($NO$14="Bell_Curve",$NM$14*(302-$NQ$14+1)*($NR$14-302+1)/$NT$14,$NM$14/$NS$14)),0)</f>
        <v/>
      </c>
      <c r="KT14" s="18">
        <f>IF(AND(303&gt;=$NQ$14,303&lt;=$NR$14),IF($NO$14="Single_Point",IF(303=$NQ$14,$NM$14,0),IF($NO$14="Bell_Curve",$NM$14*(303-$NQ$14+1)*($NR$14-303+1)/$NT$14,$NM$14/$NS$14)),0)</f>
        <v/>
      </c>
      <c r="KU14" s="18">
        <f>IF(AND(304&gt;=$NQ$14,304&lt;=$NR$14),IF($NO$14="Single_Point",IF(304=$NQ$14,$NM$14,0),IF($NO$14="Bell_Curve",$NM$14*(304-$NQ$14+1)*($NR$14-304+1)/$NT$14,$NM$14/$NS$14)),0)</f>
        <v/>
      </c>
      <c r="KV14" s="18">
        <f>IF(AND(305&gt;=$NQ$14,305&lt;=$NR$14),IF($NO$14="Single_Point",IF(305=$NQ$14,$NM$14,0),IF($NO$14="Bell_Curve",$NM$14*(305-$NQ$14+1)*($NR$14-305+1)/$NT$14,$NM$14/$NS$14)),0)</f>
        <v/>
      </c>
      <c r="KW14" s="18">
        <f>IF(AND(306&gt;=$NQ$14,306&lt;=$NR$14),IF($NO$14="Single_Point",IF(306=$NQ$14,$NM$14,0),IF($NO$14="Bell_Curve",$NM$14*(306-$NQ$14+1)*($NR$14-306+1)/$NT$14,$NM$14/$NS$14)),0)</f>
        <v/>
      </c>
      <c r="KX14" s="18">
        <f>IF(AND(307&gt;=$NQ$14,307&lt;=$NR$14),IF($NO$14="Single_Point",IF(307=$NQ$14,$NM$14,0),IF($NO$14="Bell_Curve",$NM$14*(307-$NQ$14+1)*($NR$14-307+1)/$NT$14,$NM$14/$NS$14)),0)</f>
        <v/>
      </c>
      <c r="KY14" s="18">
        <f>IF(AND(308&gt;=$NQ$14,308&lt;=$NR$14),IF($NO$14="Single_Point",IF(308=$NQ$14,$NM$14,0),IF($NO$14="Bell_Curve",$NM$14*(308-$NQ$14+1)*($NR$14-308+1)/$NT$14,$NM$14/$NS$14)),0)</f>
        <v/>
      </c>
      <c r="KZ14" s="18">
        <f>IF(AND(309&gt;=$NQ$14,309&lt;=$NR$14),IF($NO$14="Single_Point",IF(309=$NQ$14,$NM$14,0),IF($NO$14="Bell_Curve",$NM$14*(309-$NQ$14+1)*($NR$14-309+1)/$NT$14,$NM$14/$NS$14)),0)</f>
        <v/>
      </c>
      <c r="LA14" s="18">
        <f>IF(AND(310&gt;=$NQ$14,310&lt;=$NR$14),IF($NO$14="Single_Point",IF(310=$NQ$14,$NM$14,0),IF($NO$14="Bell_Curve",$NM$14*(310-$NQ$14+1)*($NR$14-310+1)/$NT$14,$NM$14/$NS$14)),0)</f>
        <v/>
      </c>
      <c r="LB14" s="18">
        <f>IF(AND(311&gt;=$NQ$14,311&lt;=$NR$14),IF($NO$14="Single_Point",IF(311=$NQ$14,$NM$14,0),IF($NO$14="Bell_Curve",$NM$14*(311-$NQ$14+1)*($NR$14-311+1)/$NT$14,$NM$14/$NS$14)),0)</f>
        <v/>
      </c>
      <c r="LC14" s="18">
        <f>IF(AND(312&gt;=$NQ$14,312&lt;=$NR$14),IF($NO$14="Single_Point",IF(312=$NQ$14,$NM$14,0),IF($NO$14="Bell_Curve",$NM$14*(312-$NQ$14+1)*($NR$14-312+1)/$NT$14,$NM$14/$NS$14)),0)</f>
        <v/>
      </c>
      <c r="LD14" s="18">
        <f>IF(AND(313&gt;=$NQ$14,313&lt;=$NR$14),IF($NO$14="Single_Point",IF(313=$NQ$14,$NM$14,0),IF($NO$14="Bell_Curve",$NM$14*(313-$NQ$14+1)*($NR$14-313+1)/$NT$14,$NM$14/$NS$14)),0)</f>
        <v/>
      </c>
      <c r="LE14" s="18">
        <f>IF(AND(314&gt;=$NQ$14,314&lt;=$NR$14),IF($NO$14="Single_Point",IF(314=$NQ$14,$NM$14,0),IF($NO$14="Bell_Curve",$NM$14*(314-$NQ$14+1)*($NR$14-314+1)/$NT$14,$NM$14/$NS$14)),0)</f>
        <v/>
      </c>
      <c r="LF14" s="18">
        <f>IF(AND(315&gt;=$NQ$14,315&lt;=$NR$14),IF($NO$14="Single_Point",IF(315=$NQ$14,$NM$14,0),IF($NO$14="Bell_Curve",$NM$14*(315-$NQ$14+1)*($NR$14-315+1)/$NT$14,$NM$14/$NS$14)),0)</f>
        <v/>
      </c>
      <c r="LG14" s="18">
        <f>IF(AND(316&gt;=$NQ$14,316&lt;=$NR$14),IF($NO$14="Single_Point",IF(316=$NQ$14,$NM$14,0),IF($NO$14="Bell_Curve",$NM$14*(316-$NQ$14+1)*($NR$14-316+1)/$NT$14,$NM$14/$NS$14)),0)</f>
        <v/>
      </c>
      <c r="LH14" s="18">
        <f>IF(AND(317&gt;=$NQ$14,317&lt;=$NR$14),IF($NO$14="Single_Point",IF(317=$NQ$14,$NM$14,0),IF($NO$14="Bell_Curve",$NM$14*(317-$NQ$14+1)*($NR$14-317+1)/$NT$14,$NM$14/$NS$14)),0)</f>
        <v/>
      </c>
      <c r="LI14" s="18">
        <f>IF(AND(318&gt;=$NQ$14,318&lt;=$NR$14),IF($NO$14="Single_Point",IF(318=$NQ$14,$NM$14,0),IF($NO$14="Bell_Curve",$NM$14*(318-$NQ$14+1)*($NR$14-318+1)/$NT$14,$NM$14/$NS$14)),0)</f>
        <v/>
      </c>
      <c r="LJ14" s="18">
        <f>IF(AND(319&gt;=$NQ$14,319&lt;=$NR$14),IF($NO$14="Single_Point",IF(319=$NQ$14,$NM$14,0),IF($NO$14="Bell_Curve",$NM$14*(319-$NQ$14+1)*($NR$14-319+1)/$NT$14,$NM$14/$NS$14)),0)</f>
        <v/>
      </c>
      <c r="LK14" s="18">
        <f>IF(AND(320&gt;=$NQ$14,320&lt;=$NR$14),IF($NO$14="Single_Point",IF(320=$NQ$14,$NM$14,0),IF($NO$14="Bell_Curve",$NM$14*(320-$NQ$14+1)*($NR$14-320+1)/$NT$14,$NM$14/$NS$14)),0)</f>
        <v/>
      </c>
      <c r="LL14" s="18">
        <f>IF(AND(321&gt;=$NQ$14,321&lt;=$NR$14),IF($NO$14="Single_Point",IF(321=$NQ$14,$NM$14,0),IF($NO$14="Bell_Curve",$NM$14*(321-$NQ$14+1)*($NR$14-321+1)/$NT$14,$NM$14/$NS$14)),0)</f>
        <v/>
      </c>
      <c r="LM14" s="18">
        <f>IF(AND(322&gt;=$NQ$14,322&lt;=$NR$14),IF($NO$14="Single_Point",IF(322=$NQ$14,$NM$14,0),IF($NO$14="Bell_Curve",$NM$14*(322-$NQ$14+1)*($NR$14-322+1)/$NT$14,$NM$14/$NS$14)),0)</f>
        <v/>
      </c>
      <c r="LN14" s="18">
        <f>IF(AND(323&gt;=$NQ$14,323&lt;=$NR$14),IF($NO$14="Single_Point",IF(323=$NQ$14,$NM$14,0),IF($NO$14="Bell_Curve",$NM$14*(323-$NQ$14+1)*($NR$14-323+1)/$NT$14,$NM$14/$NS$14)),0)</f>
        <v/>
      </c>
      <c r="LO14" s="18">
        <f>IF(AND(324&gt;=$NQ$14,324&lt;=$NR$14),IF($NO$14="Single_Point",IF(324=$NQ$14,$NM$14,0),IF($NO$14="Bell_Curve",$NM$14*(324-$NQ$14+1)*($NR$14-324+1)/$NT$14,$NM$14/$NS$14)),0)</f>
        <v/>
      </c>
      <c r="LP14" s="18">
        <f>IF(AND(325&gt;=$NQ$14,325&lt;=$NR$14),IF($NO$14="Single_Point",IF(325=$NQ$14,$NM$14,0),IF($NO$14="Bell_Curve",$NM$14*(325-$NQ$14+1)*($NR$14-325+1)/$NT$14,$NM$14/$NS$14)),0)</f>
        <v/>
      </c>
      <c r="LQ14" s="18">
        <f>IF(AND(326&gt;=$NQ$14,326&lt;=$NR$14),IF($NO$14="Single_Point",IF(326=$NQ$14,$NM$14,0),IF($NO$14="Bell_Curve",$NM$14*(326-$NQ$14+1)*($NR$14-326+1)/$NT$14,$NM$14/$NS$14)),0)</f>
        <v/>
      </c>
      <c r="LR14" s="18">
        <f>IF(AND(327&gt;=$NQ$14,327&lt;=$NR$14),IF($NO$14="Single_Point",IF(327=$NQ$14,$NM$14,0),IF($NO$14="Bell_Curve",$NM$14*(327-$NQ$14+1)*($NR$14-327+1)/$NT$14,$NM$14/$NS$14)),0)</f>
        <v/>
      </c>
      <c r="LS14" s="18">
        <f>IF(AND(328&gt;=$NQ$14,328&lt;=$NR$14),IF($NO$14="Single_Point",IF(328=$NQ$14,$NM$14,0),IF($NO$14="Bell_Curve",$NM$14*(328-$NQ$14+1)*($NR$14-328+1)/$NT$14,$NM$14/$NS$14)),0)</f>
        <v/>
      </c>
      <c r="LT14" s="18">
        <f>IF(AND(329&gt;=$NQ$14,329&lt;=$NR$14),IF($NO$14="Single_Point",IF(329=$NQ$14,$NM$14,0),IF($NO$14="Bell_Curve",$NM$14*(329-$NQ$14+1)*($NR$14-329+1)/$NT$14,$NM$14/$NS$14)),0)</f>
        <v/>
      </c>
      <c r="LU14" s="18">
        <f>IF(AND(330&gt;=$NQ$14,330&lt;=$NR$14),IF($NO$14="Single_Point",IF(330=$NQ$14,$NM$14,0),IF($NO$14="Bell_Curve",$NM$14*(330-$NQ$14+1)*($NR$14-330+1)/$NT$14,$NM$14/$NS$14)),0)</f>
        <v/>
      </c>
      <c r="LV14" s="18">
        <f>IF(AND(331&gt;=$NQ$14,331&lt;=$NR$14),IF($NO$14="Single_Point",IF(331=$NQ$14,$NM$14,0),IF($NO$14="Bell_Curve",$NM$14*(331-$NQ$14+1)*($NR$14-331+1)/$NT$14,$NM$14/$NS$14)),0)</f>
        <v/>
      </c>
      <c r="LW14" s="18">
        <f>IF(AND(332&gt;=$NQ$14,332&lt;=$NR$14),IF($NO$14="Single_Point",IF(332=$NQ$14,$NM$14,0),IF($NO$14="Bell_Curve",$NM$14*(332-$NQ$14+1)*($NR$14-332+1)/$NT$14,$NM$14/$NS$14)),0)</f>
        <v/>
      </c>
      <c r="LX14" s="18">
        <f>IF(AND(333&gt;=$NQ$14,333&lt;=$NR$14),IF($NO$14="Single_Point",IF(333=$NQ$14,$NM$14,0),IF($NO$14="Bell_Curve",$NM$14*(333-$NQ$14+1)*($NR$14-333+1)/$NT$14,$NM$14/$NS$14)),0)</f>
        <v/>
      </c>
      <c r="LY14" s="18">
        <f>IF(AND(334&gt;=$NQ$14,334&lt;=$NR$14),IF($NO$14="Single_Point",IF(334=$NQ$14,$NM$14,0),IF($NO$14="Bell_Curve",$NM$14*(334-$NQ$14+1)*($NR$14-334+1)/$NT$14,$NM$14/$NS$14)),0)</f>
        <v/>
      </c>
      <c r="LZ14" s="18">
        <f>IF(AND(335&gt;=$NQ$14,335&lt;=$NR$14),IF($NO$14="Single_Point",IF(335=$NQ$14,$NM$14,0),IF($NO$14="Bell_Curve",$NM$14*(335-$NQ$14+1)*($NR$14-335+1)/$NT$14,$NM$14/$NS$14)),0)</f>
        <v/>
      </c>
      <c r="MA14" s="18">
        <f>IF(AND(336&gt;=$NQ$14,336&lt;=$NR$14),IF($NO$14="Single_Point",IF(336=$NQ$14,$NM$14,0),IF($NO$14="Bell_Curve",$NM$14*(336-$NQ$14+1)*($NR$14-336+1)/$NT$14,$NM$14/$NS$14)),0)</f>
        <v/>
      </c>
      <c r="MB14" s="18">
        <f>IF(AND(337&gt;=$NQ$14,337&lt;=$NR$14),IF($NO$14="Single_Point",IF(337=$NQ$14,$NM$14,0),IF($NO$14="Bell_Curve",$NM$14*(337-$NQ$14+1)*($NR$14-337+1)/$NT$14,$NM$14/$NS$14)),0)</f>
        <v/>
      </c>
      <c r="MC14" s="18">
        <f>IF(AND(338&gt;=$NQ$14,338&lt;=$NR$14),IF($NO$14="Single_Point",IF(338=$NQ$14,$NM$14,0),IF($NO$14="Bell_Curve",$NM$14*(338-$NQ$14+1)*($NR$14-338+1)/$NT$14,$NM$14/$NS$14)),0)</f>
        <v/>
      </c>
      <c r="MD14" s="18">
        <f>IF(AND(339&gt;=$NQ$14,339&lt;=$NR$14),IF($NO$14="Single_Point",IF(339=$NQ$14,$NM$14,0),IF($NO$14="Bell_Curve",$NM$14*(339-$NQ$14+1)*($NR$14-339+1)/$NT$14,$NM$14/$NS$14)),0)</f>
        <v/>
      </c>
      <c r="ME14" s="18">
        <f>IF(AND(340&gt;=$NQ$14,340&lt;=$NR$14),IF($NO$14="Single_Point",IF(340=$NQ$14,$NM$14,0),IF($NO$14="Bell_Curve",$NM$14*(340-$NQ$14+1)*($NR$14-340+1)/$NT$14,$NM$14/$NS$14)),0)</f>
        <v/>
      </c>
      <c r="MF14" s="18">
        <f>IF(AND(341&gt;=$NQ$14,341&lt;=$NR$14),IF($NO$14="Single_Point",IF(341=$NQ$14,$NM$14,0),IF($NO$14="Bell_Curve",$NM$14*(341-$NQ$14+1)*($NR$14-341+1)/$NT$14,$NM$14/$NS$14)),0)</f>
        <v/>
      </c>
      <c r="MG14" s="18">
        <f>IF(AND(342&gt;=$NQ$14,342&lt;=$NR$14),IF($NO$14="Single_Point",IF(342=$NQ$14,$NM$14,0),IF($NO$14="Bell_Curve",$NM$14*(342-$NQ$14+1)*($NR$14-342+1)/$NT$14,$NM$14/$NS$14)),0)</f>
        <v/>
      </c>
      <c r="MH14" s="18">
        <f>IF(AND(343&gt;=$NQ$14,343&lt;=$NR$14),IF($NO$14="Single_Point",IF(343=$NQ$14,$NM$14,0),IF($NO$14="Bell_Curve",$NM$14*(343-$NQ$14+1)*($NR$14-343+1)/$NT$14,$NM$14/$NS$14)),0)</f>
        <v/>
      </c>
      <c r="MI14" s="18">
        <f>IF(AND(344&gt;=$NQ$14,344&lt;=$NR$14),IF($NO$14="Single_Point",IF(344=$NQ$14,$NM$14,0),IF($NO$14="Bell_Curve",$NM$14*(344-$NQ$14+1)*($NR$14-344+1)/$NT$14,$NM$14/$NS$14)),0)</f>
        <v/>
      </c>
      <c r="MJ14" s="18">
        <f>IF(AND(345&gt;=$NQ$14,345&lt;=$NR$14),IF($NO$14="Single_Point",IF(345=$NQ$14,$NM$14,0),IF($NO$14="Bell_Curve",$NM$14*(345-$NQ$14+1)*($NR$14-345+1)/$NT$14,$NM$14/$NS$14)),0)</f>
        <v/>
      </c>
      <c r="MK14" s="18">
        <f>IF(AND(346&gt;=$NQ$14,346&lt;=$NR$14),IF($NO$14="Single_Point",IF(346=$NQ$14,$NM$14,0),IF($NO$14="Bell_Curve",$NM$14*(346-$NQ$14+1)*($NR$14-346+1)/$NT$14,$NM$14/$NS$14)),0)</f>
        <v/>
      </c>
      <c r="ML14" s="18">
        <f>IF(AND(347&gt;=$NQ$14,347&lt;=$NR$14),IF($NO$14="Single_Point",IF(347=$NQ$14,$NM$14,0),IF($NO$14="Bell_Curve",$NM$14*(347-$NQ$14+1)*($NR$14-347+1)/$NT$14,$NM$14/$NS$14)),0)</f>
        <v/>
      </c>
      <c r="MM14" s="18">
        <f>IF(AND(348&gt;=$NQ$14,348&lt;=$NR$14),IF($NO$14="Single_Point",IF(348=$NQ$14,$NM$14,0),IF($NO$14="Bell_Curve",$NM$14*(348-$NQ$14+1)*($NR$14-348+1)/$NT$14,$NM$14/$NS$14)),0)</f>
        <v/>
      </c>
      <c r="MN14" s="18">
        <f>IF(AND(349&gt;=$NQ$14,349&lt;=$NR$14),IF($NO$14="Single_Point",IF(349=$NQ$14,$NM$14,0),IF($NO$14="Bell_Curve",$NM$14*(349-$NQ$14+1)*($NR$14-349+1)/$NT$14,$NM$14/$NS$14)),0)</f>
        <v/>
      </c>
      <c r="MO14" s="18">
        <f>IF(AND(350&gt;=$NQ$14,350&lt;=$NR$14),IF($NO$14="Single_Point",IF(350=$NQ$14,$NM$14,0),IF($NO$14="Bell_Curve",$NM$14*(350-$NQ$14+1)*($NR$14-350+1)/$NT$14,$NM$14/$NS$14)),0)</f>
        <v/>
      </c>
      <c r="MP14" s="18">
        <f>IF(AND(351&gt;=$NQ$14,351&lt;=$NR$14),IF($NO$14="Single_Point",IF(351=$NQ$14,$NM$14,0),IF($NO$14="Bell_Curve",$NM$14*(351-$NQ$14+1)*($NR$14-351+1)/$NT$14,$NM$14/$NS$14)),0)</f>
        <v/>
      </c>
      <c r="MQ14" s="18">
        <f>IF(AND(352&gt;=$NQ$14,352&lt;=$NR$14),IF($NO$14="Single_Point",IF(352=$NQ$14,$NM$14,0),IF($NO$14="Bell_Curve",$NM$14*(352-$NQ$14+1)*($NR$14-352+1)/$NT$14,$NM$14/$NS$14)),0)</f>
        <v/>
      </c>
      <c r="MR14" s="18">
        <f>IF(AND(353&gt;=$NQ$14,353&lt;=$NR$14),IF($NO$14="Single_Point",IF(353=$NQ$14,$NM$14,0),IF($NO$14="Bell_Curve",$NM$14*(353-$NQ$14+1)*($NR$14-353+1)/$NT$14,$NM$14/$NS$14)),0)</f>
        <v/>
      </c>
      <c r="MS14" s="18">
        <f>IF(AND(354&gt;=$NQ$14,354&lt;=$NR$14),IF($NO$14="Single_Point",IF(354=$NQ$14,$NM$14,0),IF($NO$14="Bell_Curve",$NM$14*(354-$NQ$14+1)*($NR$14-354+1)/$NT$14,$NM$14/$NS$14)),0)</f>
        <v/>
      </c>
      <c r="MT14" s="18">
        <f>IF(AND(355&gt;=$NQ$14,355&lt;=$NR$14),IF($NO$14="Single_Point",IF(355=$NQ$14,$NM$14,0),IF($NO$14="Bell_Curve",$NM$14*(355-$NQ$14+1)*($NR$14-355+1)/$NT$14,$NM$14/$NS$14)),0)</f>
        <v/>
      </c>
      <c r="MU14" s="18">
        <f>IF(AND(356&gt;=$NQ$14,356&lt;=$NR$14),IF($NO$14="Single_Point",IF(356=$NQ$14,$NM$14,0),IF($NO$14="Bell_Curve",$NM$14*(356-$NQ$14+1)*($NR$14-356+1)/$NT$14,$NM$14/$NS$14)),0)</f>
        <v/>
      </c>
      <c r="MV14" s="18">
        <f>IF(AND(357&gt;=$NQ$14,357&lt;=$NR$14),IF($NO$14="Single_Point",IF(357=$NQ$14,$NM$14,0),IF($NO$14="Bell_Curve",$NM$14*(357-$NQ$14+1)*($NR$14-357+1)/$NT$14,$NM$14/$NS$14)),0)</f>
        <v/>
      </c>
      <c r="MW14" s="18">
        <f>IF(AND(358&gt;=$NQ$14,358&lt;=$NR$14),IF($NO$14="Single_Point",IF(358=$NQ$14,$NM$14,0),IF($NO$14="Bell_Curve",$NM$14*(358-$NQ$14+1)*($NR$14-358+1)/$NT$14,$NM$14/$NS$14)),0)</f>
        <v/>
      </c>
      <c r="MX14" s="18">
        <f>IF(AND(359&gt;=$NQ$14,359&lt;=$NR$14),IF($NO$14="Single_Point",IF(359=$NQ$14,$NM$14,0),IF($NO$14="Bell_Curve",$NM$14*(359-$NQ$14+1)*($NR$14-359+1)/$NT$14,$NM$14/$NS$14)),0)</f>
        <v/>
      </c>
      <c r="MY14" s="18">
        <f>IF(AND(360&gt;=$NQ$14,360&lt;=$NR$14),IF($NO$14="Single_Point",IF(360=$NQ$14,$NM$14,0),IF($NO$14="Bell_Curve",$NM$14*(360-$NQ$14+1)*($NR$14-360+1)/$NT$14,$NM$14/$NS$14)),0)</f>
        <v/>
      </c>
      <c r="MZ14" s="18">
        <f>IF(AND(361&gt;=$NQ$14,361&lt;=$NR$14),IF($NO$14="Single_Point",IF(361=$NQ$14,$NM$14,0),IF($NO$14="Bell_Curve",$NM$14*(361-$NQ$14+1)*($NR$14-361+1)/$NT$14,$NM$14/$NS$14)),0)</f>
        <v/>
      </c>
      <c r="NA14" s="18">
        <f>IF(AND(362&gt;=$NQ$14,362&lt;=$NR$14),IF($NO$14="Single_Point",IF(362=$NQ$14,$NM$14,0),IF($NO$14="Bell_Curve",$NM$14*(362-$NQ$14+1)*($NR$14-362+1)/$NT$14,$NM$14/$NS$14)),0)</f>
        <v/>
      </c>
      <c r="NB14" s="18">
        <f>IF(AND(363&gt;=$NQ$14,363&lt;=$NR$14),IF($NO$14="Single_Point",IF(363=$NQ$14,$NM$14,0),IF($NO$14="Bell_Curve",$NM$14*(363-$NQ$14+1)*($NR$14-363+1)/$NT$14,$NM$14/$NS$14)),0)</f>
        <v/>
      </c>
      <c r="NC14" s="18">
        <f>IF(AND(364&gt;=$NQ$14,364&lt;=$NR$14),IF($NO$14="Single_Point",IF(364=$NQ$14,$NM$14,0),IF($NO$14="Bell_Curve",$NM$14*(364-$NQ$14+1)*($NR$14-364+1)/$NT$14,$NM$14/$NS$14)),0)</f>
        <v/>
      </c>
      <c r="ND14" s="18">
        <f>IF(AND(365&gt;=$NQ$14,365&lt;=$NR$14),IF($NO$14="Single_Point",IF(365=$NQ$14,$NM$14,0),IF($NO$14="Bell_Curve",$NM$14*(365-$NQ$14+1)*($NR$14-365+1)/$NT$14,$NM$14/$NS$14)),0)</f>
        <v/>
      </c>
      <c r="NE14" s="18">
        <f>IF(AND(366&gt;=$NQ$14,366&lt;=$NR$14),IF($NO$14="Single_Point",IF(366=$NQ$14,$NM$14,0),IF($NO$14="Bell_Curve",$NM$14*(366-$NQ$14+1)*($NR$14-366+1)/$NT$14,$NM$14/$NS$14)),0)</f>
        <v/>
      </c>
      <c r="NF14" s="18">
        <f>IF(AND(367&gt;=$NQ$14,367&lt;=$NR$14),IF($NO$14="Single_Point",IF(367=$NQ$14,$NM$14,0),IF($NO$14="Bell_Curve",$NM$14*(367-$NQ$14+1)*($NR$14-367+1)/$NT$14,$NM$14/$NS$14)),0)</f>
        <v/>
      </c>
      <c r="NG14" s="18">
        <f>IF(AND(368&gt;=$NQ$14,368&lt;=$NR$14),IF($NO$14="Single_Point",IF(368=$NQ$14,$NM$14,0),IF($NO$14="Bell_Curve",$NM$14*(368-$NQ$14+1)*($NR$14-368+1)/$NT$14,$NM$14/$NS$14)),0)</f>
        <v/>
      </c>
      <c r="NH14" s="18">
        <f>IF(AND(369&gt;=$NQ$14,369&lt;=$NR$14),IF($NO$14="Single_Point",IF(369=$NQ$14,$NM$14,0),IF($NO$14="Bell_Curve",$NM$14*(369-$NQ$14+1)*($NR$14-369+1)/$NT$14,$NM$14/$NS$14)),0)</f>
        <v/>
      </c>
      <c r="NI14" s="18">
        <f>IF(AND(370&gt;=$NQ$14,370&lt;=$NR$14),IF($NO$14="Single_Point",IF(370=$NQ$14,$NM$14,0),IF($NO$14="Bell_Curve",$NM$14*(370-$NQ$14+1)*($NR$14-370+1)/$NT$14,$NM$14/$NS$14)),0)</f>
        <v/>
      </c>
      <c r="NJ14" s="18">
        <f>IF(AND(371&gt;=$NQ$14,371&lt;=$NR$14),IF($NO$14="Single_Point",IF(371=$NQ$14,$NM$14,0),IF($NO$14="Bell_Curve",$NM$14*(371-$NQ$14+1)*($NR$14-371+1)/$NT$14,$NM$14/$NS$14)),0)</f>
        <v/>
      </c>
      <c r="NK14" s="18">
        <f>IF(AND(372&gt;=$NQ$14,372&lt;=$NR$14),IF($NO$14="Single_Point",IF(372=$NQ$14,$NM$14,0),IF($NO$14="Bell_Curve",$NM$14*(372-$NQ$14+1)*($NR$14-372+1)/$NT$14,$NM$14/$NS$14)),0)</f>
        <v/>
      </c>
      <c r="NM14" s="18">
        <f>Budget!I13</f>
        <v/>
      </c>
      <c r="NN14" s="42">
        <f>Budget!F13</f>
        <v/>
      </c>
      <c r="NO14" s="42">
        <f>Budget!G13</f>
        <v/>
      </c>
      <c r="NP14" s="17">
        <f>Budget!H13</f>
        <v/>
      </c>
      <c r="NQ14" s="32">
        <f>MAX(1,MIN(372,INDEX(MilestoneStart,MATCH(NN14,MilestoneNames,0))+NP14))</f>
        <v/>
      </c>
      <c r="NR14" s="32">
        <f>MAX(NQ14,MIN(372,INDEX(MilestoneEnd,MATCH(NN14,MilestoneNames,0))+NP14))</f>
        <v/>
      </c>
      <c r="NS14" s="17">
        <f>NR14-NQ14+1</f>
        <v/>
      </c>
      <c r="NT14" s="17">
        <f>NS14*(NS14+1)*(NS14+2)/6</f>
        <v/>
      </c>
    </row>
    <row r="15">
      <c r="A15" s="5" t="inlineStr">
        <is>
          <t>GC Contract (Hard)</t>
        </is>
      </c>
      <c r="C15" s="41">
        <f>SUM(D15:NK15)</f>
        <v/>
      </c>
      <c r="D15" s="18">
        <f>IF(AND(1&gt;=$NQ$15,1&lt;=$NR$15),IF($NO$15="Single_Point",IF(1=$NQ$15,$NM$15,0),IF($NO$15="Bell_Curve",$NM$15*(1-$NQ$15+1)*($NR$15-1+1)/$NT$15,$NM$15/$NS$15)),0)</f>
        <v/>
      </c>
      <c r="E15" s="18">
        <f>IF(AND(2&gt;=$NQ$15,2&lt;=$NR$15),IF($NO$15="Single_Point",IF(2=$NQ$15,$NM$15,0),IF($NO$15="Bell_Curve",$NM$15*(2-$NQ$15+1)*($NR$15-2+1)/$NT$15,$NM$15/$NS$15)),0)</f>
        <v/>
      </c>
      <c r="F15" s="18">
        <f>IF(AND(3&gt;=$NQ$15,3&lt;=$NR$15),IF($NO$15="Single_Point",IF(3=$NQ$15,$NM$15,0),IF($NO$15="Bell_Curve",$NM$15*(3-$NQ$15+1)*($NR$15-3+1)/$NT$15,$NM$15/$NS$15)),0)</f>
        <v/>
      </c>
      <c r="G15" s="18">
        <f>IF(AND(4&gt;=$NQ$15,4&lt;=$NR$15),IF($NO$15="Single_Point",IF(4=$NQ$15,$NM$15,0),IF($NO$15="Bell_Curve",$NM$15*(4-$NQ$15+1)*($NR$15-4+1)/$NT$15,$NM$15/$NS$15)),0)</f>
        <v/>
      </c>
      <c r="H15" s="18">
        <f>IF(AND(5&gt;=$NQ$15,5&lt;=$NR$15),IF($NO$15="Single_Point",IF(5=$NQ$15,$NM$15,0),IF($NO$15="Bell_Curve",$NM$15*(5-$NQ$15+1)*($NR$15-5+1)/$NT$15,$NM$15/$NS$15)),0)</f>
        <v/>
      </c>
      <c r="I15" s="18">
        <f>IF(AND(6&gt;=$NQ$15,6&lt;=$NR$15),IF($NO$15="Single_Point",IF(6=$NQ$15,$NM$15,0),IF($NO$15="Bell_Curve",$NM$15*(6-$NQ$15+1)*($NR$15-6+1)/$NT$15,$NM$15/$NS$15)),0)</f>
        <v/>
      </c>
      <c r="J15" s="18">
        <f>IF(AND(7&gt;=$NQ$15,7&lt;=$NR$15),IF($NO$15="Single_Point",IF(7=$NQ$15,$NM$15,0),IF($NO$15="Bell_Curve",$NM$15*(7-$NQ$15+1)*($NR$15-7+1)/$NT$15,$NM$15/$NS$15)),0)</f>
        <v/>
      </c>
      <c r="K15" s="18">
        <f>IF(AND(8&gt;=$NQ$15,8&lt;=$NR$15),IF($NO$15="Single_Point",IF(8=$NQ$15,$NM$15,0),IF($NO$15="Bell_Curve",$NM$15*(8-$NQ$15+1)*($NR$15-8+1)/$NT$15,$NM$15/$NS$15)),0)</f>
        <v/>
      </c>
      <c r="L15" s="18">
        <f>IF(AND(9&gt;=$NQ$15,9&lt;=$NR$15),IF($NO$15="Single_Point",IF(9=$NQ$15,$NM$15,0),IF($NO$15="Bell_Curve",$NM$15*(9-$NQ$15+1)*($NR$15-9+1)/$NT$15,$NM$15/$NS$15)),0)</f>
        <v/>
      </c>
      <c r="M15" s="18">
        <f>IF(AND(10&gt;=$NQ$15,10&lt;=$NR$15),IF($NO$15="Single_Point",IF(10=$NQ$15,$NM$15,0),IF($NO$15="Bell_Curve",$NM$15*(10-$NQ$15+1)*($NR$15-10+1)/$NT$15,$NM$15/$NS$15)),0)</f>
        <v/>
      </c>
      <c r="N15" s="18">
        <f>IF(AND(11&gt;=$NQ$15,11&lt;=$NR$15),IF($NO$15="Single_Point",IF(11=$NQ$15,$NM$15,0),IF($NO$15="Bell_Curve",$NM$15*(11-$NQ$15+1)*($NR$15-11+1)/$NT$15,$NM$15/$NS$15)),0)</f>
        <v/>
      </c>
      <c r="O15" s="18">
        <f>IF(AND(12&gt;=$NQ$15,12&lt;=$NR$15),IF($NO$15="Single_Point",IF(12=$NQ$15,$NM$15,0),IF($NO$15="Bell_Curve",$NM$15*(12-$NQ$15+1)*($NR$15-12+1)/$NT$15,$NM$15/$NS$15)),0)</f>
        <v/>
      </c>
      <c r="P15" s="18">
        <f>IF(AND(13&gt;=$NQ$15,13&lt;=$NR$15),IF($NO$15="Single_Point",IF(13=$NQ$15,$NM$15,0),IF($NO$15="Bell_Curve",$NM$15*(13-$NQ$15+1)*($NR$15-13+1)/$NT$15,$NM$15/$NS$15)),0)</f>
        <v/>
      </c>
      <c r="Q15" s="18">
        <f>IF(AND(14&gt;=$NQ$15,14&lt;=$NR$15),IF($NO$15="Single_Point",IF(14=$NQ$15,$NM$15,0),IF($NO$15="Bell_Curve",$NM$15*(14-$NQ$15+1)*($NR$15-14+1)/$NT$15,$NM$15/$NS$15)),0)</f>
        <v/>
      </c>
      <c r="R15" s="18">
        <f>IF(AND(15&gt;=$NQ$15,15&lt;=$NR$15),IF($NO$15="Single_Point",IF(15=$NQ$15,$NM$15,0),IF($NO$15="Bell_Curve",$NM$15*(15-$NQ$15+1)*($NR$15-15+1)/$NT$15,$NM$15/$NS$15)),0)</f>
        <v/>
      </c>
      <c r="S15" s="18">
        <f>IF(AND(16&gt;=$NQ$15,16&lt;=$NR$15),IF($NO$15="Single_Point",IF(16=$NQ$15,$NM$15,0),IF($NO$15="Bell_Curve",$NM$15*(16-$NQ$15+1)*($NR$15-16+1)/$NT$15,$NM$15/$NS$15)),0)</f>
        <v/>
      </c>
      <c r="T15" s="18">
        <f>IF(AND(17&gt;=$NQ$15,17&lt;=$NR$15),IF($NO$15="Single_Point",IF(17=$NQ$15,$NM$15,0),IF($NO$15="Bell_Curve",$NM$15*(17-$NQ$15+1)*($NR$15-17+1)/$NT$15,$NM$15/$NS$15)),0)</f>
        <v/>
      </c>
      <c r="U15" s="18">
        <f>IF(AND(18&gt;=$NQ$15,18&lt;=$NR$15),IF($NO$15="Single_Point",IF(18=$NQ$15,$NM$15,0),IF($NO$15="Bell_Curve",$NM$15*(18-$NQ$15+1)*($NR$15-18+1)/$NT$15,$NM$15/$NS$15)),0)</f>
        <v/>
      </c>
      <c r="V15" s="18">
        <f>IF(AND(19&gt;=$NQ$15,19&lt;=$NR$15),IF($NO$15="Single_Point",IF(19=$NQ$15,$NM$15,0),IF($NO$15="Bell_Curve",$NM$15*(19-$NQ$15+1)*($NR$15-19+1)/$NT$15,$NM$15/$NS$15)),0)</f>
        <v/>
      </c>
      <c r="W15" s="18">
        <f>IF(AND(20&gt;=$NQ$15,20&lt;=$NR$15),IF($NO$15="Single_Point",IF(20=$NQ$15,$NM$15,0),IF($NO$15="Bell_Curve",$NM$15*(20-$NQ$15+1)*($NR$15-20+1)/$NT$15,$NM$15/$NS$15)),0)</f>
        <v/>
      </c>
      <c r="X15" s="18">
        <f>IF(AND(21&gt;=$NQ$15,21&lt;=$NR$15),IF($NO$15="Single_Point",IF(21=$NQ$15,$NM$15,0),IF($NO$15="Bell_Curve",$NM$15*(21-$NQ$15+1)*($NR$15-21+1)/$NT$15,$NM$15/$NS$15)),0)</f>
        <v/>
      </c>
      <c r="Y15" s="18">
        <f>IF(AND(22&gt;=$NQ$15,22&lt;=$NR$15),IF($NO$15="Single_Point",IF(22=$NQ$15,$NM$15,0),IF($NO$15="Bell_Curve",$NM$15*(22-$NQ$15+1)*($NR$15-22+1)/$NT$15,$NM$15/$NS$15)),0)</f>
        <v/>
      </c>
      <c r="Z15" s="18">
        <f>IF(AND(23&gt;=$NQ$15,23&lt;=$NR$15),IF($NO$15="Single_Point",IF(23=$NQ$15,$NM$15,0),IF($NO$15="Bell_Curve",$NM$15*(23-$NQ$15+1)*($NR$15-23+1)/$NT$15,$NM$15/$NS$15)),0)</f>
        <v/>
      </c>
      <c r="AA15" s="18">
        <f>IF(AND(24&gt;=$NQ$15,24&lt;=$NR$15),IF($NO$15="Single_Point",IF(24=$NQ$15,$NM$15,0),IF($NO$15="Bell_Curve",$NM$15*(24-$NQ$15+1)*($NR$15-24+1)/$NT$15,$NM$15/$NS$15)),0)</f>
        <v/>
      </c>
      <c r="AB15" s="18">
        <f>IF(AND(25&gt;=$NQ$15,25&lt;=$NR$15),IF($NO$15="Single_Point",IF(25=$NQ$15,$NM$15,0),IF($NO$15="Bell_Curve",$NM$15*(25-$NQ$15+1)*($NR$15-25+1)/$NT$15,$NM$15/$NS$15)),0)</f>
        <v/>
      </c>
      <c r="AC15" s="18">
        <f>IF(AND(26&gt;=$NQ$15,26&lt;=$NR$15),IF($NO$15="Single_Point",IF(26=$NQ$15,$NM$15,0),IF($NO$15="Bell_Curve",$NM$15*(26-$NQ$15+1)*($NR$15-26+1)/$NT$15,$NM$15/$NS$15)),0)</f>
        <v/>
      </c>
      <c r="AD15" s="18">
        <f>IF(AND(27&gt;=$NQ$15,27&lt;=$NR$15),IF($NO$15="Single_Point",IF(27=$NQ$15,$NM$15,0),IF($NO$15="Bell_Curve",$NM$15*(27-$NQ$15+1)*($NR$15-27+1)/$NT$15,$NM$15/$NS$15)),0)</f>
        <v/>
      </c>
      <c r="AE15" s="18">
        <f>IF(AND(28&gt;=$NQ$15,28&lt;=$NR$15),IF($NO$15="Single_Point",IF(28=$NQ$15,$NM$15,0),IF($NO$15="Bell_Curve",$NM$15*(28-$NQ$15+1)*($NR$15-28+1)/$NT$15,$NM$15/$NS$15)),0)</f>
        <v/>
      </c>
      <c r="AF15" s="18">
        <f>IF(AND(29&gt;=$NQ$15,29&lt;=$NR$15),IF($NO$15="Single_Point",IF(29=$NQ$15,$NM$15,0),IF($NO$15="Bell_Curve",$NM$15*(29-$NQ$15+1)*($NR$15-29+1)/$NT$15,$NM$15/$NS$15)),0)</f>
        <v/>
      </c>
      <c r="AG15" s="18">
        <f>IF(AND(30&gt;=$NQ$15,30&lt;=$NR$15),IF($NO$15="Single_Point",IF(30=$NQ$15,$NM$15,0),IF($NO$15="Bell_Curve",$NM$15*(30-$NQ$15+1)*($NR$15-30+1)/$NT$15,$NM$15/$NS$15)),0)</f>
        <v/>
      </c>
      <c r="AH15" s="18">
        <f>IF(AND(31&gt;=$NQ$15,31&lt;=$NR$15),IF($NO$15="Single_Point",IF(31=$NQ$15,$NM$15,0),IF($NO$15="Bell_Curve",$NM$15*(31-$NQ$15+1)*($NR$15-31+1)/$NT$15,$NM$15/$NS$15)),0)</f>
        <v/>
      </c>
      <c r="AI15" s="18">
        <f>IF(AND(32&gt;=$NQ$15,32&lt;=$NR$15),IF($NO$15="Single_Point",IF(32=$NQ$15,$NM$15,0),IF($NO$15="Bell_Curve",$NM$15*(32-$NQ$15+1)*($NR$15-32+1)/$NT$15,$NM$15/$NS$15)),0)</f>
        <v/>
      </c>
      <c r="AJ15" s="18">
        <f>IF(AND(33&gt;=$NQ$15,33&lt;=$NR$15),IF($NO$15="Single_Point",IF(33=$NQ$15,$NM$15,0),IF($NO$15="Bell_Curve",$NM$15*(33-$NQ$15+1)*($NR$15-33+1)/$NT$15,$NM$15/$NS$15)),0)</f>
        <v/>
      </c>
      <c r="AK15" s="18">
        <f>IF(AND(34&gt;=$NQ$15,34&lt;=$NR$15),IF($NO$15="Single_Point",IF(34=$NQ$15,$NM$15,0),IF($NO$15="Bell_Curve",$NM$15*(34-$NQ$15+1)*($NR$15-34+1)/$NT$15,$NM$15/$NS$15)),0)</f>
        <v/>
      </c>
      <c r="AL15" s="18">
        <f>IF(AND(35&gt;=$NQ$15,35&lt;=$NR$15),IF($NO$15="Single_Point",IF(35=$NQ$15,$NM$15,0),IF($NO$15="Bell_Curve",$NM$15*(35-$NQ$15+1)*($NR$15-35+1)/$NT$15,$NM$15/$NS$15)),0)</f>
        <v/>
      </c>
      <c r="AM15" s="18">
        <f>IF(AND(36&gt;=$NQ$15,36&lt;=$NR$15),IF($NO$15="Single_Point",IF(36=$NQ$15,$NM$15,0),IF($NO$15="Bell_Curve",$NM$15*(36-$NQ$15+1)*($NR$15-36+1)/$NT$15,$NM$15/$NS$15)),0)</f>
        <v/>
      </c>
      <c r="AN15" s="18">
        <f>IF(AND(37&gt;=$NQ$15,37&lt;=$NR$15),IF($NO$15="Single_Point",IF(37=$NQ$15,$NM$15,0),IF($NO$15="Bell_Curve",$NM$15*(37-$NQ$15+1)*($NR$15-37+1)/$NT$15,$NM$15/$NS$15)),0)</f>
        <v/>
      </c>
      <c r="AO15" s="18">
        <f>IF(AND(38&gt;=$NQ$15,38&lt;=$NR$15),IF($NO$15="Single_Point",IF(38=$NQ$15,$NM$15,0),IF($NO$15="Bell_Curve",$NM$15*(38-$NQ$15+1)*($NR$15-38+1)/$NT$15,$NM$15/$NS$15)),0)</f>
        <v/>
      </c>
      <c r="AP15" s="18">
        <f>IF(AND(39&gt;=$NQ$15,39&lt;=$NR$15),IF($NO$15="Single_Point",IF(39=$NQ$15,$NM$15,0),IF($NO$15="Bell_Curve",$NM$15*(39-$NQ$15+1)*($NR$15-39+1)/$NT$15,$NM$15/$NS$15)),0)</f>
        <v/>
      </c>
      <c r="AQ15" s="18">
        <f>IF(AND(40&gt;=$NQ$15,40&lt;=$NR$15),IF($NO$15="Single_Point",IF(40=$NQ$15,$NM$15,0),IF($NO$15="Bell_Curve",$NM$15*(40-$NQ$15+1)*($NR$15-40+1)/$NT$15,$NM$15/$NS$15)),0)</f>
        <v/>
      </c>
      <c r="AR15" s="18">
        <f>IF(AND(41&gt;=$NQ$15,41&lt;=$NR$15),IF($NO$15="Single_Point",IF(41=$NQ$15,$NM$15,0),IF($NO$15="Bell_Curve",$NM$15*(41-$NQ$15+1)*($NR$15-41+1)/$NT$15,$NM$15/$NS$15)),0)</f>
        <v/>
      </c>
      <c r="AS15" s="18">
        <f>IF(AND(42&gt;=$NQ$15,42&lt;=$NR$15),IF($NO$15="Single_Point",IF(42=$NQ$15,$NM$15,0),IF($NO$15="Bell_Curve",$NM$15*(42-$NQ$15+1)*($NR$15-42+1)/$NT$15,$NM$15/$NS$15)),0)</f>
        <v/>
      </c>
      <c r="AT15" s="18">
        <f>IF(AND(43&gt;=$NQ$15,43&lt;=$NR$15),IF($NO$15="Single_Point",IF(43=$NQ$15,$NM$15,0),IF($NO$15="Bell_Curve",$NM$15*(43-$NQ$15+1)*($NR$15-43+1)/$NT$15,$NM$15/$NS$15)),0)</f>
        <v/>
      </c>
      <c r="AU15" s="18">
        <f>IF(AND(44&gt;=$NQ$15,44&lt;=$NR$15),IF($NO$15="Single_Point",IF(44=$NQ$15,$NM$15,0),IF($NO$15="Bell_Curve",$NM$15*(44-$NQ$15+1)*($NR$15-44+1)/$NT$15,$NM$15/$NS$15)),0)</f>
        <v/>
      </c>
      <c r="AV15" s="18">
        <f>IF(AND(45&gt;=$NQ$15,45&lt;=$NR$15),IF($NO$15="Single_Point",IF(45=$NQ$15,$NM$15,0),IF($NO$15="Bell_Curve",$NM$15*(45-$NQ$15+1)*($NR$15-45+1)/$NT$15,$NM$15/$NS$15)),0)</f>
        <v/>
      </c>
      <c r="AW15" s="18">
        <f>IF(AND(46&gt;=$NQ$15,46&lt;=$NR$15),IF($NO$15="Single_Point",IF(46=$NQ$15,$NM$15,0),IF($NO$15="Bell_Curve",$NM$15*(46-$NQ$15+1)*($NR$15-46+1)/$NT$15,$NM$15/$NS$15)),0)</f>
        <v/>
      </c>
      <c r="AX15" s="18">
        <f>IF(AND(47&gt;=$NQ$15,47&lt;=$NR$15),IF($NO$15="Single_Point",IF(47=$NQ$15,$NM$15,0),IF($NO$15="Bell_Curve",$NM$15*(47-$NQ$15+1)*($NR$15-47+1)/$NT$15,$NM$15/$NS$15)),0)</f>
        <v/>
      </c>
      <c r="AY15" s="18">
        <f>IF(AND(48&gt;=$NQ$15,48&lt;=$NR$15),IF($NO$15="Single_Point",IF(48=$NQ$15,$NM$15,0),IF($NO$15="Bell_Curve",$NM$15*(48-$NQ$15+1)*($NR$15-48+1)/$NT$15,$NM$15/$NS$15)),0)</f>
        <v/>
      </c>
      <c r="AZ15" s="18">
        <f>IF(AND(49&gt;=$NQ$15,49&lt;=$NR$15),IF($NO$15="Single_Point",IF(49=$NQ$15,$NM$15,0),IF($NO$15="Bell_Curve",$NM$15*(49-$NQ$15+1)*($NR$15-49+1)/$NT$15,$NM$15/$NS$15)),0)</f>
        <v/>
      </c>
      <c r="BA15" s="18">
        <f>IF(AND(50&gt;=$NQ$15,50&lt;=$NR$15),IF($NO$15="Single_Point",IF(50=$NQ$15,$NM$15,0),IF($NO$15="Bell_Curve",$NM$15*(50-$NQ$15+1)*($NR$15-50+1)/$NT$15,$NM$15/$NS$15)),0)</f>
        <v/>
      </c>
      <c r="BB15" s="18">
        <f>IF(AND(51&gt;=$NQ$15,51&lt;=$NR$15),IF($NO$15="Single_Point",IF(51=$NQ$15,$NM$15,0),IF($NO$15="Bell_Curve",$NM$15*(51-$NQ$15+1)*($NR$15-51+1)/$NT$15,$NM$15/$NS$15)),0)</f>
        <v/>
      </c>
      <c r="BC15" s="18">
        <f>IF(AND(52&gt;=$NQ$15,52&lt;=$NR$15),IF($NO$15="Single_Point",IF(52=$NQ$15,$NM$15,0),IF($NO$15="Bell_Curve",$NM$15*(52-$NQ$15+1)*($NR$15-52+1)/$NT$15,$NM$15/$NS$15)),0)</f>
        <v/>
      </c>
      <c r="BD15" s="18">
        <f>IF(AND(53&gt;=$NQ$15,53&lt;=$NR$15),IF($NO$15="Single_Point",IF(53=$NQ$15,$NM$15,0),IF($NO$15="Bell_Curve",$NM$15*(53-$NQ$15+1)*($NR$15-53+1)/$NT$15,$NM$15/$NS$15)),0)</f>
        <v/>
      </c>
      <c r="BE15" s="18">
        <f>IF(AND(54&gt;=$NQ$15,54&lt;=$NR$15),IF($NO$15="Single_Point",IF(54=$NQ$15,$NM$15,0),IF($NO$15="Bell_Curve",$NM$15*(54-$NQ$15+1)*($NR$15-54+1)/$NT$15,$NM$15/$NS$15)),0)</f>
        <v/>
      </c>
      <c r="BF15" s="18">
        <f>IF(AND(55&gt;=$NQ$15,55&lt;=$NR$15),IF($NO$15="Single_Point",IF(55=$NQ$15,$NM$15,0),IF($NO$15="Bell_Curve",$NM$15*(55-$NQ$15+1)*($NR$15-55+1)/$NT$15,$NM$15/$NS$15)),0)</f>
        <v/>
      </c>
      <c r="BG15" s="18">
        <f>IF(AND(56&gt;=$NQ$15,56&lt;=$NR$15),IF($NO$15="Single_Point",IF(56=$NQ$15,$NM$15,0),IF($NO$15="Bell_Curve",$NM$15*(56-$NQ$15+1)*($NR$15-56+1)/$NT$15,$NM$15/$NS$15)),0)</f>
        <v/>
      </c>
      <c r="BH15" s="18">
        <f>IF(AND(57&gt;=$NQ$15,57&lt;=$NR$15),IF($NO$15="Single_Point",IF(57=$NQ$15,$NM$15,0),IF($NO$15="Bell_Curve",$NM$15*(57-$NQ$15+1)*($NR$15-57+1)/$NT$15,$NM$15/$NS$15)),0)</f>
        <v/>
      </c>
      <c r="BI15" s="18">
        <f>IF(AND(58&gt;=$NQ$15,58&lt;=$NR$15),IF($NO$15="Single_Point",IF(58=$NQ$15,$NM$15,0),IF($NO$15="Bell_Curve",$NM$15*(58-$NQ$15+1)*($NR$15-58+1)/$NT$15,$NM$15/$NS$15)),0)</f>
        <v/>
      </c>
      <c r="BJ15" s="18">
        <f>IF(AND(59&gt;=$NQ$15,59&lt;=$NR$15),IF($NO$15="Single_Point",IF(59=$NQ$15,$NM$15,0),IF($NO$15="Bell_Curve",$NM$15*(59-$NQ$15+1)*($NR$15-59+1)/$NT$15,$NM$15/$NS$15)),0)</f>
        <v/>
      </c>
      <c r="BK15" s="18">
        <f>IF(AND(60&gt;=$NQ$15,60&lt;=$NR$15),IF($NO$15="Single_Point",IF(60=$NQ$15,$NM$15,0),IF($NO$15="Bell_Curve",$NM$15*(60-$NQ$15+1)*($NR$15-60+1)/$NT$15,$NM$15/$NS$15)),0)</f>
        <v/>
      </c>
      <c r="BL15" s="18">
        <f>IF(AND(61&gt;=$NQ$15,61&lt;=$NR$15),IF($NO$15="Single_Point",IF(61=$NQ$15,$NM$15,0),IF($NO$15="Bell_Curve",$NM$15*(61-$NQ$15+1)*($NR$15-61+1)/$NT$15,$NM$15/$NS$15)),0)</f>
        <v/>
      </c>
      <c r="BM15" s="18">
        <f>IF(AND(62&gt;=$NQ$15,62&lt;=$NR$15),IF($NO$15="Single_Point",IF(62=$NQ$15,$NM$15,0),IF($NO$15="Bell_Curve",$NM$15*(62-$NQ$15+1)*($NR$15-62+1)/$NT$15,$NM$15/$NS$15)),0)</f>
        <v/>
      </c>
      <c r="BN15" s="18">
        <f>IF(AND(63&gt;=$NQ$15,63&lt;=$NR$15),IF($NO$15="Single_Point",IF(63=$NQ$15,$NM$15,0),IF($NO$15="Bell_Curve",$NM$15*(63-$NQ$15+1)*($NR$15-63+1)/$NT$15,$NM$15/$NS$15)),0)</f>
        <v/>
      </c>
      <c r="BO15" s="18">
        <f>IF(AND(64&gt;=$NQ$15,64&lt;=$NR$15),IF($NO$15="Single_Point",IF(64=$NQ$15,$NM$15,0),IF($NO$15="Bell_Curve",$NM$15*(64-$NQ$15+1)*($NR$15-64+1)/$NT$15,$NM$15/$NS$15)),0)</f>
        <v/>
      </c>
      <c r="BP15" s="18">
        <f>IF(AND(65&gt;=$NQ$15,65&lt;=$NR$15),IF($NO$15="Single_Point",IF(65=$NQ$15,$NM$15,0),IF($NO$15="Bell_Curve",$NM$15*(65-$NQ$15+1)*($NR$15-65+1)/$NT$15,$NM$15/$NS$15)),0)</f>
        <v/>
      </c>
      <c r="BQ15" s="18">
        <f>IF(AND(66&gt;=$NQ$15,66&lt;=$NR$15),IF($NO$15="Single_Point",IF(66=$NQ$15,$NM$15,0),IF($NO$15="Bell_Curve",$NM$15*(66-$NQ$15+1)*($NR$15-66+1)/$NT$15,$NM$15/$NS$15)),0)</f>
        <v/>
      </c>
      <c r="BR15" s="18">
        <f>IF(AND(67&gt;=$NQ$15,67&lt;=$NR$15),IF($NO$15="Single_Point",IF(67=$NQ$15,$NM$15,0),IF($NO$15="Bell_Curve",$NM$15*(67-$NQ$15+1)*($NR$15-67+1)/$NT$15,$NM$15/$NS$15)),0)</f>
        <v/>
      </c>
      <c r="BS15" s="18">
        <f>IF(AND(68&gt;=$NQ$15,68&lt;=$NR$15),IF($NO$15="Single_Point",IF(68=$NQ$15,$NM$15,0),IF($NO$15="Bell_Curve",$NM$15*(68-$NQ$15+1)*($NR$15-68+1)/$NT$15,$NM$15/$NS$15)),0)</f>
        <v/>
      </c>
      <c r="BT15" s="18">
        <f>IF(AND(69&gt;=$NQ$15,69&lt;=$NR$15),IF($NO$15="Single_Point",IF(69=$NQ$15,$NM$15,0),IF($NO$15="Bell_Curve",$NM$15*(69-$NQ$15+1)*($NR$15-69+1)/$NT$15,$NM$15/$NS$15)),0)</f>
        <v/>
      </c>
      <c r="BU15" s="18">
        <f>IF(AND(70&gt;=$NQ$15,70&lt;=$NR$15),IF($NO$15="Single_Point",IF(70=$NQ$15,$NM$15,0),IF($NO$15="Bell_Curve",$NM$15*(70-$NQ$15+1)*($NR$15-70+1)/$NT$15,$NM$15/$NS$15)),0)</f>
        <v/>
      </c>
      <c r="BV15" s="18">
        <f>IF(AND(71&gt;=$NQ$15,71&lt;=$NR$15),IF($NO$15="Single_Point",IF(71=$NQ$15,$NM$15,0),IF($NO$15="Bell_Curve",$NM$15*(71-$NQ$15+1)*($NR$15-71+1)/$NT$15,$NM$15/$NS$15)),0)</f>
        <v/>
      </c>
      <c r="BW15" s="18">
        <f>IF(AND(72&gt;=$NQ$15,72&lt;=$NR$15),IF($NO$15="Single_Point",IF(72=$NQ$15,$NM$15,0),IF($NO$15="Bell_Curve",$NM$15*(72-$NQ$15+1)*($NR$15-72+1)/$NT$15,$NM$15/$NS$15)),0)</f>
        <v/>
      </c>
      <c r="BX15" s="18">
        <f>IF(AND(73&gt;=$NQ$15,73&lt;=$NR$15),IF($NO$15="Single_Point",IF(73=$NQ$15,$NM$15,0),IF($NO$15="Bell_Curve",$NM$15*(73-$NQ$15+1)*($NR$15-73+1)/$NT$15,$NM$15/$NS$15)),0)</f>
        <v/>
      </c>
      <c r="BY15" s="18">
        <f>IF(AND(74&gt;=$NQ$15,74&lt;=$NR$15),IF($NO$15="Single_Point",IF(74=$NQ$15,$NM$15,0),IF($NO$15="Bell_Curve",$NM$15*(74-$NQ$15+1)*($NR$15-74+1)/$NT$15,$NM$15/$NS$15)),0)</f>
        <v/>
      </c>
      <c r="BZ15" s="18">
        <f>IF(AND(75&gt;=$NQ$15,75&lt;=$NR$15),IF($NO$15="Single_Point",IF(75=$NQ$15,$NM$15,0),IF($NO$15="Bell_Curve",$NM$15*(75-$NQ$15+1)*($NR$15-75+1)/$NT$15,$NM$15/$NS$15)),0)</f>
        <v/>
      </c>
      <c r="CA15" s="18">
        <f>IF(AND(76&gt;=$NQ$15,76&lt;=$NR$15),IF($NO$15="Single_Point",IF(76=$NQ$15,$NM$15,0),IF($NO$15="Bell_Curve",$NM$15*(76-$NQ$15+1)*($NR$15-76+1)/$NT$15,$NM$15/$NS$15)),0)</f>
        <v/>
      </c>
      <c r="CB15" s="18">
        <f>IF(AND(77&gt;=$NQ$15,77&lt;=$NR$15),IF($NO$15="Single_Point",IF(77=$NQ$15,$NM$15,0),IF($NO$15="Bell_Curve",$NM$15*(77-$NQ$15+1)*($NR$15-77+1)/$NT$15,$NM$15/$NS$15)),0)</f>
        <v/>
      </c>
      <c r="CC15" s="18">
        <f>IF(AND(78&gt;=$NQ$15,78&lt;=$NR$15),IF($NO$15="Single_Point",IF(78=$NQ$15,$NM$15,0),IF($NO$15="Bell_Curve",$NM$15*(78-$NQ$15+1)*($NR$15-78+1)/$NT$15,$NM$15/$NS$15)),0)</f>
        <v/>
      </c>
      <c r="CD15" s="18">
        <f>IF(AND(79&gt;=$NQ$15,79&lt;=$NR$15),IF($NO$15="Single_Point",IF(79=$NQ$15,$NM$15,0),IF($NO$15="Bell_Curve",$NM$15*(79-$NQ$15+1)*($NR$15-79+1)/$NT$15,$NM$15/$NS$15)),0)</f>
        <v/>
      </c>
      <c r="CE15" s="18">
        <f>IF(AND(80&gt;=$NQ$15,80&lt;=$NR$15),IF($NO$15="Single_Point",IF(80=$NQ$15,$NM$15,0),IF($NO$15="Bell_Curve",$NM$15*(80-$NQ$15+1)*($NR$15-80+1)/$NT$15,$NM$15/$NS$15)),0)</f>
        <v/>
      </c>
      <c r="CF15" s="18">
        <f>IF(AND(81&gt;=$NQ$15,81&lt;=$NR$15),IF($NO$15="Single_Point",IF(81=$NQ$15,$NM$15,0),IF($NO$15="Bell_Curve",$NM$15*(81-$NQ$15+1)*($NR$15-81+1)/$NT$15,$NM$15/$NS$15)),0)</f>
        <v/>
      </c>
      <c r="CG15" s="18">
        <f>IF(AND(82&gt;=$NQ$15,82&lt;=$NR$15),IF($NO$15="Single_Point",IF(82=$NQ$15,$NM$15,0),IF($NO$15="Bell_Curve",$NM$15*(82-$NQ$15+1)*($NR$15-82+1)/$NT$15,$NM$15/$NS$15)),0)</f>
        <v/>
      </c>
      <c r="CH15" s="18">
        <f>IF(AND(83&gt;=$NQ$15,83&lt;=$NR$15),IF($NO$15="Single_Point",IF(83=$NQ$15,$NM$15,0),IF($NO$15="Bell_Curve",$NM$15*(83-$NQ$15+1)*($NR$15-83+1)/$NT$15,$NM$15/$NS$15)),0)</f>
        <v/>
      </c>
      <c r="CI15" s="18">
        <f>IF(AND(84&gt;=$NQ$15,84&lt;=$NR$15),IF($NO$15="Single_Point",IF(84=$NQ$15,$NM$15,0),IF($NO$15="Bell_Curve",$NM$15*(84-$NQ$15+1)*($NR$15-84+1)/$NT$15,$NM$15/$NS$15)),0)</f>
        <v/>
      </c>
      <c r="CJ15" s="18">
        <f>IF(AND(85&gt;=$NQ$15,85&lt;=$NR$15),IF($NO$15="Single_Point",IF(85=$NQ$15,$NM$15,0),IF($NO$15="Bell_Curve",$NM$15*(85-$NQ$15+1)*($NR$15-85+1)/$NT$15,$NM$15/$NS$15)),0)</f>
        <v/>
      </c>
      <c r="CK15" s="18">
        <f>IF(AND(86&gt;=$NQ$15,86&lt;=$NR$15),IF($NO$15="Single_Point",IF(86=$NQ$15,$NM$15,0),IF($NO$15="Bell_Curve",$NM$15*(86-$NQ$15+1)*($NR$15-86+1)/$NT$15,$NM$15/$NS$15)),0)</f>
        <v/>
      </c>
      <c r="CL15" s="18">
        <f>IF(AND(87&gt;=$NQ$15,87&lt;=$NR$15),IF($NO$15="Single_Point",IF(87=$NQ$15,$NM$15,0),IF($NO$15="Bell_Curve",$NM$15*(87-$NQ$15+1)*($NR$15-87+1)/$NT$15,$NM$15/$NS$15)),0)</f>
        <v/>
      </c>
      <c r="CM15" s="18">
        <f>IF(AND(88&gt;=$NQ$15,88&lt;=$NR$15),IF($NO$15="Single_Point",IF(88=$NQ$15,$NM$15,0),IF($NO$15="Bell_Curve",$NM$15*(88-$NQ$15+1)*($NR$15-88+1)/$NT$15,$NM$15/$NS$15)),0)</f>
        <v/>
      </c>
      <c r="CN15" s="18">
        <f>IF(AND(89&gt;=$NQ$15,89&lt;=$NR$15),IF($NO$15="Single_Point",IF(89=$NQ$15,$NM$15,0),IF($NO$15="Bell_Curve",$NM$15*(89-$NQ$15+1)*($NR$15-89+1)/$NT$15,$NM$15/$NS$15)),0)</f>
        <v/>
      </c>
      <c r="CO15" s="18">
        <f>IF(AND(90&gt;=$NQ$15,90&lt;=$NR$15),IF($NO$15="Single_Point",IF(90=$NQ$15,$NM$15,0),IF($NO$15="Bell_Curve",$NM$15*(90-$NQ$15+1)*($NR$15-90+1)/$NT$15,$NM$15/$NS$15)),0)</f>
        <v/>
      </c>
      <c r="CP15" s="18">
        <f>IF(AND(91&gt;=$NQ$15,91&lt;=$NR$15),IF($NO$15="Single_Point",IF(91=$NQ$15,$NM$15,0),IF($NO$15="Bell_Curve",$NM$15*(91-$NQ$15+1)*($NR$15-91+1)/$NT$15,$NM$15/$NS$15)),0)</f>
        <v/>
      </c>
      <c r="CQ15" s="18">
        <f>IF(AND(92&gt;=$NQ$15,92&lt;=$NR$15),IF($NO$15="Single_Point",IF(92=$NQ$15,$NM$15,0),IF($NO$15="Bell_Curve",$NM$15*(92-$NQ$15+1)*($NR$15-92+1)/$NT$15,$NM$15/$NS$15)),0)</f>
        <v/>
      </c>
      <c r="CR15" s="18">
        <f>IF(AND(93&gt;=$NQ$15,93&lt;=$NR$15),IF($NO$15="Single_Point",IF(93=$NQ$15,$NM$15,0),IF($NO$15="Bell_Curve",$NM$15*(93-$NQ$15+1)*($NR$15-93+1)/$NT$15,$NM$15/$NS$15)),0)</f>
        <v/>
      </c>
      <c r="CS15" s="18">
        <f>IF(AND(94&gt;=$NQ$15,94&lt;=$NR$15),IF($NO$15="Single_Point",IF(94=$NQ$15,$NM$15,0),IF($NO$15="Bell_Curve",$NM$15*(94-$NQ$15+1)*($NR$15-94+1)/$NT$15,$NM$15/$NS$15)),0)</f>
        <v/>
      </c>
      <c r="CT15" s="18">
        <f>IF(AND(95&gt;=$NQ$15,95&lt;=$NR$15),IF($NO$15="Single_Point",IF(95=$NQ$15,$NM$15,0),IF($NO$15="Bell_Curve",$NM$15*(95-$NQ$15+1)*($NR$15-95+1)/$NT$15,$NM$15/$NS$15)),0)</f>
        <v/>
      </c>
      <c r="CU15" s="18">
        <f>IF(AND(96&gt;=$NQ$15,96&lt;=$NR$15),IF($NO$15="Single_Point",IF(96=$NQ$15,$NM$15,0),IF($NO$15="Bell_Curve",$NM$15*(96-$NQ$15+1)*($NR$15-96+1)/$NT$15,$NM$15/$NS$15)),0)</f>
        <v/>
      </c>
      <c r="CV15" s="18">
        <f>IF(AND(97&gt;=$NQ$15,97&lt;=$NR$15),IF($NO$15="Single_Point",IF(97=$NQ$15,$NM$15,0),IF($NO$15="Bell_Curve",$NM$15*(97-$NQ$15+1)*($NR$15-97+1)/$NT$15,$NM$15/$NS$15)),0)</f>
        <v/>
      </c>
      <c r="CW15" s="18">
        <f>IF(AND(98&gt;=$NQ$15,98&lt;=$NR$15),IF($NO$15="Single_Point",IF(98=$NQ$15,$NM$15,0),IF($NO$15="Bell_Curve",$NM$15*(98-$NQ$15+1)*($NR$15-98+1)/$NT$15,$NM$15/$NS$15)),0)</f>
        <v/>
      </c>
      <c r="CX15" s="18">
        <f>IF(AND(99&gt;=$NQ$15,99&lt;=$NR$15),IF($NO$15="Single_Point",IF(99=$NQ$15,$NM$15,0),IF($NO$15="Bell_Curve",$NM$15*(99-$NQ$15+1)*($NR$15-99+1)/$NT$15,$NM$15/$NS$15)),0)</f>
        <v/>
      </c>
      <c r="CY15" s="18">
        <f>IF(AND(100&gt;=$NQ$15,100&lt;=$NR$15),IF($NO$15="Single_Point",IF(100=$NQ$15,$NM$15,0),IF($NO$15="Bell_Curve",$NM$15*(100-$NQ$15+1)*($NR$15-100+1)/$NT$15,$NM$15/$NS$15)),0)</f>
        <v/>
      </c>
      <c r="CZ15" s="18">
        <f>IF(AND(101&gt;=$NQ$15,101&lt;=$NR$15),IF($NO$15="Single_Point",IF(101=$NQ$15,$NM$15,0),IF($NO$15="Bell_Curve",$NM$15*(101-$NQ$15+1)*($NR$15-101+1)/$NT$15,$NM$15/$NS$15)),0)</f>
        <v/>
      </c>
      <c r="DA15" s="18">
        <f>IF(AND(102&gt;=$NQ$15,102&lt;=$NR$15),IF($NO$15="Single_Point",IF(102=$NQ$15,$NM$15,0),IF($NO$15="Bell_Curve",$NM$15*(102-$NQ$15+1)*($NR$15-102+1)/$NT$15,$NM$15/$NS$15)),0)</f>
        <v/>
      </c>
      <c r="DB15" s="18">
        <f>IF(AND(103&gt;=$NQ$15,103&lt;=$NR$15),IF($NO$15="Single_Point",IF(103=$NQ$15,$NM$15,0),IF($NO$15="Bell_Curve",$NM$15*(103-$NQ$15+1)*($NR$15-103+1)/$NT$15,$NM$15/$NS$15)),0)</f>
        <v/>
      </c>
      <c r="DC15" s="18">
        <f>IF(AND(104&gt;=$NQ$15,104&lt;=$NR$15),IF($NO$15="Single_Point",IF(104=$NQ$15,$NM$15,0),IF($NO$15="Bell_Curve",$NM$15*(104-$NQ$15+1)*($NR$15-104+1)/$NT$15,$NM$15/$NS$15)),0)</f>
        <v/>
      </c>
      <c r="DD15" s="18">
        <f>IF(AND(105&gt;=$NQ$15,105&lt;=$NR$15),IF($NO$15="Single_Point",IF(105=$NQ$15,$NM$15,0),IF($NO$15="Bell_Curve",$NM$15*(105-$NQ$15+1)*($NR$15-105+1)/$NT$15,$NM$15/$NS$15)),0)</f>
        <v/>
      </c>
      <c r="DE15" s="18">
        <f>IF(AND(106&gt;=$NQ$15,106&lt;=$NR$15),IF($NO$15="Single_Point",IF(106=$NQ$15,$NM$15,0),IF($NO$15="Bell_Curve",$NM$15*(106-$NQ$15+1)*($NR$15-106+1)/$NT$15,$NM$15/$NS$15)),0)</f>
        <v/>
      </c>
      <c r="DF15" s="18">
        <f>IF(AND(107&gt;=$NQ$15,107&lt;=$NR$15),IF($NO$15="Single_Point",IF(107=$NQ$15,$NM$15,0),IF($NO$15="Bell_Curve",$NM$15*(107-$NQ$15+1)*($NR$15-107+1)/$NT$15,$NM$15/$NS$15)),0)</f>
        <v/>
      </c>
      <c r="DG15" s="18">
        <f>IF(AND(108&gt;=$NQ$15,108&lt;=$NR$15),IF($NO$15="Single_Point",IF(108=$NQ$15,$NM$15,0),IF($NO$15="Bell_Curve",$NM$15*(108-$NQ$15+1)*($NR$15-108+1)/$NT$15,$NM$15/$NS$15)),0)</f>
        <v/>
      </c>
      <c r="DH15" s="18">
        <f>IF(AND(109&gt;=$NQ$15,109&lt;=$NR$15),IF($NO$15="Single_Point",IF(109=$NQ$15,$NM$15,0),IF($NO$15="Bell_Curve",$NM$15*(109-$NQ$15+1)*($NR$15-109+1)/$NT$15,$NM$15/$NS$15)),0)</f>
        <v/>
      </c>
      <c r="DI15" s="18">
        <f>IF(AND(110&gt;=$NQ$15,110&lt;=$NR$15),IF($NO$15="Single_Point",IF(110=$NQ$15,$NM$15,0),IF($NO$15="Bell_Curve",$NM$15*(110-$NQ$15+1)*($NR$15-110+1)/$NT$15,$NM$15/$NS$15)),0)</f>
        <v/>
      </c>
      <c r="DJ15" s="18">
        <f>IF(AND(111&gt;=$NQ$15,111&lt;=$NR$15),IF($NO$15="Single_Point",IF(111=$NQ$15,$NM$15,0),IF($NO$15="Bell_Curve",$NM$15*(111-$NQ$15+1)*($NR$15-111+1)/$NT$15,$NM$15/$NS$15)),0)</f>
        <v/>
      </c>
      <c r="DK15" s="18">
        <f>IF(AND(112&gt;=$NQ$15,112&lt;=$NR$15),IF($NO$15="Single_Point",IF(112=$NQ$15,$NM$15,0),IF($NO$15="Bell_Curve",$NM$15*(112-$NQ$15+1)*($NR$15-112+1)/$NT$15,$NM$15/$NS$15)),0)</f>
        <v/>
      </c>
      <c r="DL15" s="18">
        <f>IF(AND(113&gt;=$NQ$15,113&lt;=$NR$15),IF($NO$15="Single_Point",IF(113=$NQ$15,$NM$15,0),IF($NO$15="Bell_Curve",$NM$15*(113-$NQ$15+1)*($NR$15-113+1)/$NT$15,$NM$15/$NS$15)),0)</f>
        <v/>
      </c>
      <c r="DM15" s="18">
        <f>IF(AND(114&gt;=$NQ$15,114&lt;=$NR$15),IF($NO$15="Single_Point",IF(114=$NQ$15,$NM$15,0),IF($NO$15="Bell_Curve",$NM$15*(114-$NQ$15+1)*($NR$15-114+1)/$NT$15,$NM$15/$NS$15)),0)</f>
        <v/>
      </c>
      <c r="DN15" s="18">
        <f>IF(AND(115&gt;=$NQ$15,115&lt;=$NR$15),IF($NO$15="Single_Point",IF(115=$NQ$15,$NM$15,0),IF($NO$15="Bell_Curve",$NM$15*(115-$NQ$15+1)*($NR$15-115+1)/$NT$15,$NM$15/$NS$15)),0)</f>
        <v/>
      </c>
      <c r="DO15" s="18">
        <f>IF(AND(116&gt;=$NQ$15,116&lt;=$NR$15),IF($NO$15="Single_Point",IF(116=$NQ$15,$NM$15,0),IF($NO$15="Bell_Curve",$NM$15*(116-$NQ$15+1)*($NR$15-116+1)/$NT$15,$NM$15/$NS$15)),0)</f>
        <v/>
      </c>
      <c r="DP15" s="18">
        <f>IF(AND(117&gt;=$NQ$15,117&lt;=$NR$15),IF($NO$15="Single_Point",IF(117=$NQ$15,$NM$15,0),IF($NO$15="Bell_Curve",$NM$15*(117-$NQ$15+1)*($NR$15-117+1)/$NT$15,$NM$15/$NS$15)),0)</f>
        <v/>
      </c>
      <c r="DQ15" s="18">
        <f>IF(AND(118&gt;=$NQ$15,118&lt;=$NR$15),IF($NO$15="Single_Point",IF(118=$NQ$15,$NM$15,0),IF($NO$15="Bell_Curve",$NM$15*(118-$NQ$15+1)*($NR$15-118+1)/$NT$15,$NM$15/$NS$15)),0)</f>
        <v/>
      </c>
      <c r="DR15" s="18">
        <f>IF(AND(119&gt;=$NQ$15,119&lt;=$NR$15),IF($NO$15="Single_Point",IF(119=$NQ$15,$NM$15,0),IF($NO$15="Bell_Curve",$NM$15*(119-$NQ$15+1)*($NR$15-119+1)/$NT$15,$NM$15/$NS$15)),0)</f>
        <v/>
      </c>
      <c r="DS15" s="18">
        <f>IF(AND(120&gt;=$NQ$15,120&lt;=$NR$15),IF($NO$15="Single_Point",IF(120=$NQ$15,$NM$15,0),IF($NO$15="Bell_Curve",$NM$15*(120-$NQ$15+1)*($NR$15-120+1)/$NT$15,$NM$15/$NS$15)),0)</f>
        <v/>
      </c>
      <c r="DT15" s="18">
        <f>IF(AND(121&gt;=$NQ$15,121&lt;=$NR$15),IF($NO$15="Single_Point",IF(121=$NQ$15,$NM$15,0),IF($NO$15="Bell_Curve",$NM$15*(121-$NQ$15+1)*($NR$15-121+1)/$NT$15,$NM$15/$NS$15)),0)</f>
        <v/>
      </c>
      <c r="DU15" s="18">
        <f>IF(AND(122&gt;=$NQ$15,122&lt;=$NR$15),IF($NO$15="Single_Point",IF(122=$NQ$15,$NM$15,0),IF($NO$15="Bell_Curve",$NM$15*(122-$NQ$15+1)*($NR$15-122+1)/$NT$15,$NM$15/$NS$15)),0)</f>
        <v/>
      </c>
      <c r="DV15" s="18">
        <f>IF(AND(123&gt;=$NQ$15,123&lt;=$NR$15),IF($NO$15="Single_Point",IF(123=$NQ$15,$NM$15,0),IF($NO$15="Bell_Curve",$NM$15*(123-$NQ$15+1)*($NR$15-123+1)/$NT$15,$NM$15/$NS$15)),0)</f>
        <v/>
      </c>
      <c r="DW15" s="18">
        <f>IF(AND(124&gt;=$NQ$15,124&lt;=$NR$15),IF($NO$15="Single_Point",IF(124=$NQ$15,$NM$15,0),IF($NO$15="Bell_Curve",$NM$15*(124-$NQ$15+1)*($NR$15-124+1)/$NT$15,$NM$15/$NS$15)),0)</f>
        <v/>
      </c>
      <c r="DX15" s="18">
        <f>IF(AND(125&gt;=$NQ$15,125&lt;=$NR$15),IF($NO$15="Single_Point",IF(125=$NQ$15,$NM$15,0),IF($NO$15="Bell_Curve",$NM$15*(125-$NQ$15+1)*($NR$15-125+1)/$NT$15,$NM$15/$NS$15)),0)</f>
        <v/>
      </c>
      <c r="DY15" s="18">
        <f>IF(AND(126&gt;=$NQ$15,126&lt;=$NR$15),IF($NO$15="Single_Point",IF(126=$NQ$15,$NM$15,0),IF($NO$15="Bell_Curve",$NM$15*(126-$NQ$15+1)*($NR$15-126+1)/$NT$15,$NM$15/$NS$15)),0)</f>
        <v/>
      </c>
      <c r="DZ15" s="18">
        <f>IF(AND(127&gt;=$NQ$15,127&lt;=$NR$15),IF($NO$15="Single_Point",IF(127=$NQ$15,$NM$15,0),IF($NO$15="Bell_Curve",$NM$15*(127-$NQ$15+1)*($NR$15-127+1)/$NT$15,$NM$15/$NS$15)),0)</f>
        <v/>
      </c>
      <c r="EA15" s="18">
        <f>IF(AND(128&gt;=$NQ$15,128&lt;=$NR$15),IF($NO$15="Single_Point",IF(128=$NQ$15,$NM$15,0),IF($NO$15="Bell_Curve",$NM$15*(128-$NQ$15+1)*($NR$15-128+1)/$NT$15,$NM$15/$NS$15)),0)</f>
        <v/>
      </c>
      <c r="EB15" s="18">
        <f>IF(AND(129&gt;=$NQ$15,129&lt;=$NR$15),IF($NO$15="Single_Point",IF(129=$NQ$15,$NM$15,0),IF($NO$15="Bell_Curve",$NM$15*(129-$NQ$15+1)*($NR$15-129+1)/$NT$15,$NM$15/$NS$15)),0)</f>
        <v/>
      </c>
      <c r="EC15" s="18">
        <f>IF(AND(130&gt;=$NQ$15,130&lt;=$NR$15),IF($NO$15="Single_Point",IF(130=$NQ$15,$NM$15,0),IF($NO$15="Bell_Curve",$NM$15*(130-$NQ$15+1)*($NR$15-130+1)/$NT$15,$NM$15/$NS$15)),0)</f>
        <v/>
      </c>
      <c r="ED15" s="18">
        <f>IF(AND(131&gt;=$NQ$15,131&lt;=$NR$15),IF($NO$15="Single_Point",IF(131=$NQ$15,$NM$15,0),IF($NO$15="Bell_Curve",$NM$15*(131-$NQ$15+1)*($NR$15-131+1)/$NT$15,$NM$15/$NS$15)),0)</f>
        <v/>
      </c>
      <c r="EE15" s="18">
        <f>IF(AND(132&gt;=$NQ$15,132&lt;=$NR$15),IF($NO$15="Single_Point",IF(132=$NQ$15,$NM$15,0),IF($NO$15="Bell_Curve",$NM$15*(132-$NQ$15+1)*($NR$15-132+1)/$NT$15,$NM$15/$NS$15)),0)</f>
        <v/>
      </c>
      <c r="EF15" s="18">
        <f>IF(AND(133&gt;=$NQ$15,133&lt;=$NR$15),IF($NO$15="Single_Point",IF(133=$NQ$15,$NM$15,0),IF($NO$15="Bell_Curve",$NM$15*(133-$NQ$15+1)*($NR$15-133+1)/$NT$15,$NM$15/$NS$15)),0)</f>
        <v/>
      </c>
      <c r="EG15" s="18">
        <f>IF(AND(134&gt;=$NQ$15,134&lt;=$NR$15),IF($NO$15="Single_Point",IF(134=$NQ$15,$NM$15,0),IF($NO$15="Bell_Curve",$NM$15*(134-$NQ$15+1)*($NR$15-134+1)/$NT$15,$NM$15/$NS$15)),0)</f>
        <v/>
      </c>
      <c r="EH15" s="18">
        <f>IF(AND(135&gt;=$NQ$15,135&lt;=$NR$15),IF($NO$15="Single_Point",IF(135=$NQ$15,$NM$15,0),IF($NO$15="Bell_Curve",$NM$15*(135-$NQ$15+1)*($NR$15-135+1)/$NT$15,$NM$15/$NS$15)),0)</f>
        <v/>
      </c>
      <c r="EI15" s="18">
        <f>IF(AND(136&gt;=$NQ$15,136&lt;=$NR$15),IF($NO$15="Single_Point",IF(136=$NQ$15,$NM$15,0),IF($NO$15="Bell_Curve",$NM$15*(136-$NQ$15+1)*($NR$15-136+1)/$NT$15,$NM$15/$NS$15)),0)</f>
        <v/>
      </c>
      <c r="EJ15" s="18">
        <f>IF(AND(137&gt;=$NQ$15,137&lt;=$NR$15),IF($NO$15="Single_Point",IF(137=$NQ$15,$NM$15,0),IF($NO$15="Bell_Curve",$NM$15*(137-$NQ$15+1)*($NR$15-137+1)/$NT$15,$NM$15/$NS$15)),0)</f>
        <v/>
      </c>
      <c r="EK15" s="18">
        <f>IF(AND(138&gt;=$NQ$15,138&lt;=$NR$15),IF($NO$15="Single_Point",IF(138=$NQ$15,$NM$15,0),IF($NO$15="Bell_Curve",$NM$15*(138-$NQ$15+1)*($NR$15-138+1)/$NT$15,$NM$15/$NS$15)),0)</f>
        <v/>
      </c>
      <c r="EL15" s="18">
        <f>IF(AND(139&gt;=$NQ$15,139&lt;=$NR$15),IF($NO$15="Single_Point",IF(139=$NQ$15,$NM$15,0),IF($NO$15="Bell_Curve",$NM$15*(139-$NQ$15+1)*($NR$15-139+1)/$NT$15,$NM$15/$NS$15)),0)</f>
        <v/>
      </c>
      <c r="EM15" s="18">
        <f>IF(AND(140&gt;=$NQ$15,140&lt;=$NR$15),IF($NO$15="Single_Point",IF(140=$NQ$15,$NM$15,0),IF($NO$15="Bell_Curve",$NM$15*(140-$NQ$15+1)*($NR$15-140+1)/$NT$15,$NM$15/$NS$15)),0)</f>
        <v/>
      </c>
      <c r="EN15" s="18">
        <f>IF(AND(141&gt;=$NQ$15,141&lt;=$NR$15),IF($NO$15="Single_Point",IF(141=$NQ$15,$NM$15,0),IF($NO$15="Bell_Curve",$NM$15*(141-$NQ$15+1)*($NR$15-141+1)/$NT$15,$NM$15/$NS$15)),0)</f>
        <v/>
      </c>
      <c r="EO15" s="18">
        <f>IF(AND(142&gt;=$NQ$15,142&lt;=$NR$15),IF($NO$15="Single_Point",IF(142=$NQ$15,$NM$15,0),IF($NO$15="Bell_Curve",$NM$15*(142-$NQ$15+1)*($NR$15-142+1)/$NT$15,$NM$15/$NS$15)),0)</f>
        <v/>
      </c>
      <c r="EP15" s="18">
        <f>IF(AND(143&gt;=$NQ$15,143&lt;=$NR$15),IF($NO$15="Single_Point",IF(143=$NQ$15,$NM$15,0),IF($NO$15="Bell_Curve",$NM$15*(143-$NQ$15+1)*($NR$15-143+1)/$NT$15,$NM$15/$NS$15)),0)</f>
        <v/>
      </c>
      <c r="EQ15" s="18">
        <f>IF(AND(144&gt;=$NQ$15,144&lt;=$NR$15),IF($NO$15="Single_Point",IF(144=$NQ$15,$NM$15,0),IF($NO$15="Bell_Curve",$NM$15*(144-$NQ$15+1)*($NR$15-144+1)/$NT$15,$NM$15/$NS$15)),0)</f>
        <v/>
      </c>
      <c r="ER15" s="18">
        <f>IF(AND(145&gt;=$NQ$15,145&lt;=$NR$15),IF($NO$15="Single_Point",IF(145=$NQ$15,$NM$15,0),IF($NO$15="Bell_Curve",$NM$15*(145-$NQ$15+1)*($NR$15-145+1)/$NT$15,$NM$15/$NS$15)),0)</f>
        <v/>
      </c>
      <c r="ES15" s="18">
        <f>IF(AND(146&gt;=$NQ$15,146&lt;=$NR$15),IF($NO$15="Single_Point",IF(146=$NQ$15,$NM$15,0),IF($NO$15="Bell_Curve",$NM$15*(146-$NQ$15+1)*($NR$15-146+1)/$NT$15,$NM$15/$NS$15)),0)</f>
        <v/>
      </c>
      <c r="ET15" s="18">
        <f>IF(AND(147&gt;=$NQ$15,147&lt;=$NR$15),IF($NO$15="Single_Point",IF(147=$NQ$15,$NM$15,0),IF($NO$15="Bell_Curve",$NM$15*(147-$NQ$15+1)*($NR$15-147+1)/$NT$15,$NM$15/$NS$15)),0)</f>
        <v/>
      </c>
      <c r="EU15" s="18">
        <f>IF(AND(148&gt;=$NQ$15,148&lt;=$NR$15),IF($NO$15="Single_Point",IF(148=$NQ$15,$NM$15,0),IF($NO$15="Bell_Curve",$NM$15*(148-$NQ$15+1)*($NR$15-148+1)/$NT$15,$NM$15/$NS$15)),0)</f>
        <v/>
      </c>
      <c r="EV15" s="18">
        <f>IF(AND(149&gt;=$NQ$15,149&lt;=$NR$15),IF($NO$15="Single_Point",IF(149=$NQ$15,$NM$15,0),IF($NO$15="Bell_Curve",$NM$15*(149-$NQ$15+1)*($NR$15-149+1)/$NT$15,$NM$15/$NS$15)),0)</f>
        <v/>
      </c>
      <c r="EW15" s="18">
        <f>IF(AND(150&gt;=$NQ$15,150&lt;=$NR$15),IF($NO$15="Single_Point",IF(150=$NQ$15,$NM$15,0),IF($NO$15="Bell_Curve",$NM$15*(150-$NQ$15+1)*($NR$15-150+1)/$NT$15,$NM$15/$NS$15)),0)</f>
        <v/>
      </c>
      <c r="EX15" s="18">
        <f>IF(AND(151&gt;=$NQ$15,151&lt;=$NR$15),IF($NO$15="Single_Point",IF(151=$NQ$15,$NM$15,0),IF($NO$15="Bell_Curve",$NM$15*(151-$NQ$15+1)*($NR$15-151+1)/$NT$15,$NM$15/$NS$15)),0)</f>
        <v/>
      </c>
      <c r="EY15" s="18">
        <f>IF(AND(152&gt;=$NQ$15,152&lt;=$NR$15),IF($NO$15="Single_Point",IF(152=$NQ$15,$NM$15,0),IF($NO$15="Bell_Curve",$NM$15*(152-$NQ$15+1)*($NR$15-152+1)/$NT$15,$NM$15/$NS$15)),0)</f>
        <v/>
      </c>
      <c r="EZ15" s="18">
        <f>IF(AND(153&gt;=$NQ$15,153&lt;=$NR$15),IF($NO$15="Single_Point",IF(153=$NQ$15,$NM$15,0),IF($NO$15="Bell_Curve",$NM$15*(153-$NQ$15+1)*($NR$15-153+1)/$NT$15,$NM$15/$NS$15)),0)</f>
        <v/>
      </c>
      <c r="FA15" s="18">
        <f>IF(AND(154&gt;=$NQ$15,154&lt;=$NR$15),IF($NO$15="Single_Point",IF(154=$NQ$15,$NM$15,0),IF($NO$15="Bell_Curve",$NM$15*(154-$NQ$15+1)*($NR$15-154+1)/$NT$15,$NM$15/$NS$15)),0)</f>
        <v/>
      </c>
      <c r="FB15" s="18">
        <f>IF(AND(155&gt;=$NQ$15,155&lt;=$NR$15),IF($NO$15="Single_Point",IF(155=$NQ$15,$NM$15,0),IF($NO$15="Bell_Curve",$NM$15*(155-$NQ$15+1)*($NR$15-155+1)/$NT$15,$NM$15/$NS$15)),0)</f>
        <v/>
      </c>
      <c r="FC15" s="18">
        <f>IF(AND(156&gt;=$NQ$15,156&lt;=$NR$15),IF($NO$15="Single_Point",IF(156=$NQ$15,$NM$15,0),IF($NO$15="Bell_Curve",$NM$15*(156-$NQ$15+1)*($NR$15-156+1)/$NT$15,$NM$15/$NS$15)),0)</f>
        <v/>
      </c>
      <c r="FD15" s="18">
        <f>IF(AND(157&gt;=$NQ$15,157&lt;=$NR$15),IF($NO$15="Single_Point",IF(157=$NQ$15,$NM$15,0),IF($NO$15="Bell_Curve",$NM$15*(157-$NQ$15+1)*($NR$15-157+1)/$NT$15,$NM$15/$NS$15)),0)</f>
        <v/>
      </c>
      <c r="FE15" s="18">
        <f>IF(AND(158&gt;=$NQ$15,158&lt;=$NR$15),IF($NO$15="Single_Point",IF(158=$NQ$15,$NM$15,0),IF($NO$15="Bell_Curve",$NM$15*(158-$NQ$15+1)*($NR$15-158+1)/$NT$15,$NM$15/$NS$15)),0)</f>
        <v/>
      </c>
      <c r="FF15" s="18">
        <f>IF(AND(159&gt;=$NQ$15,159&lt;=$NR$15),IF($NO$15="Single_Point",IF(159=$NQ$15,$NM$15,0),IF($NO$15="Bell_Curve",$NM$15*(159-$NQ$15+1)*($NR$15-159+1)/$NT$15,$NM$15/$NS$15)),0)</f>
        <v/>
      </c>
      <c r="FG15" s="18">
        <f>IF(AND(160&gt;=$NQ$15,160&lt;=$NR$15),IF($NO$15="Single_Point",IF(160=$NQ$15,$NM$15,0),IF($NO$15="Bell_Curve",$NM$15*(160-$NQ$15+1)*($NR$15-160+1)/$NT$15,$NM$15/$NS$15)),0)</f>
        <v/>
      </c>
      <c r="FH15" s="18">
        <f>IF(AND(161&gt;=$NQ$15,161&lt;=$NR$15),IF($NO$15="Single_Point",IF(161=$NQ$15,$NM$15,0),IF($NO$15="Bell_Curve",$NM$15*(161-$NQ$15+1)*($NR$15-161+1)/$NT$15,$NM$15/$NS$15)),0)</f>
        <v/>
      </c>
      <c r="FI15" s="18">
        <f>IF(AND(162&gt;=$NQ$15,162&lt;=$NR$15),IF($NO$15="Single_Point",IF(162=$NQ$15,$NM$15,0),IF($NO$15="Bell_Curve",$NM$15*(162-$NQ$15+1)*($NR$15-162+1)/$NT$15,$NM$15/$NS$15)),0)</f>
        <v/>
      </c>
      <c r="FJ15" s="18">
        <f>IF(AND(163&gt;=$NQ$15,163&lt;=$NR$15),IF($NO$15="Single_Point",IF(163=$NQ$15,$NM$15,0),IF($NO$15="Bell_Curve",$NM$15*(163-$NQ$15+1)*($NR$15-163+1)/$NT$15,$NM$15/$NS$15)),0)</f>
        <v/>
      </c>
      <c r="FK15" s="18">
        <f>IF(AND(164&gt;=$NQ$15,164&lt;=$NR$15),IF($NO$15="Single_Point",IF(164=$NQ$15,$NM$15,0),IF($NO$15="Bell_Curve",$NM$15*(164-$NQ$15+1)*($NR$15-164+1)/$NT$15,$NM$15/$NS$15)),0)</f>
        <v/>
      </c>
      <c r="FL15" s="18">
        <f>IF(AND(165&gt;=$NQ$15,165&lt;=$NR$15),IF($NO$15="Single_Point",IF(165=$NQ$15,$NM$15,0),IF($NO$15="Bell_Curve",$NM$15*(165-$NQ$15+1)*($NR$15-165+1)/$NT$15,$NM$15/$NS$15)),0)</f>
        <v/>
      </c>
      <c r="FM15" s="18">
        <f>IF(AND(166&gt;=$NQ$15,166&lt;=$NR$15),IF($NO$15="Single_Point",IF(166=$NQ$15,$NM$15,0),IF($NO$15="Bell_Curve",$NM$15*(166-$NQ$15+1)*($NR$15-166+1)/$NT$15,$NM$15/$NS$15)),0)</f>
        <v/>
      </c>
      <c r="FN15" s="18">
        <f>IF(AND(167&gt;=$NQ$15,167&lt;=$NR$15),IF($NO$15="Single_Point",IF(167=$NQ$15,$NM$15,0),IF($NO$15="Bell_Curve",$NM$15*(167-$NQ$15+1)*($NR$15-167+1)/$NT$15,$NM$15/$NS$15)),0)</f>
        <v/>
      </c>
      <c r="FO15" s="18">
        <f>IF(AND(168&gt;=$NQ$15,168&lt;=$NR$15),IF($NO$15="Single_Point",IF(168=$NQ$15,$NM$15,0),IF($NO$15="Bell_Curve",$NM$15*(168-$NQ$15+1)*($NR$15-168+1)/$NT$15,$NM$15/$NS$15)),0)</f>
        <v/>
      </c>
      <c r="FP15" s="18">
        <f>IF(AND(169&gt;=$NQ$15,169&lt;=$NR$15),IF($NO$15="Single_Point",IF(169=$NQ$15,$NM$15,0),IF($NO$15="Bell_Curve",$NM$15*(169-$NQ$15+1)*($NR$15-169+1)/$NT$15,$NM$15/$NS$15)),0)</f>
        <v/>
      </c>
      <c r="FQ15" s="18">
        <f>IF(AND(170&gt;=$NQ$15,170&lt;=$NR$15),IF($NO$15="Single_Point",IF(170=$NQ$15,$NM$15,0),IF($NO$15="Bell_Curve",$NM$15*(170-$NQ$15+1)*($NR$15-170+1)/$NT$15,$NM$15/$NS$15)),0)</f>
        <v/>
      </c>
      <c r="FR15" s="18">
        <f>IF(AND(171&gt;=$NQ$15,171&lt;=$NR$15),IF($NO$15="Single_Point",IF(171=$NQ$15,$NM$15,0),IF($NO$15="Bell_Curve",$NM$15*(171-$NQ$15+1)*($NR$15-171+1)/$NT$15,$NM$15/$NS$15)),0)</f>
        <v/>
      </c>
      <c r="FS15" s="18">
        <f>IF(AND(172&gt;=$NQ$15,172&lt;=$NR$15),IF($NO$15="Single_Point",IF(172=$NQ$15,$NM$15,0),IF($NO$15="Bell_Curve",$NM$15*(172-$NQ$15+1)*($NR$15-172+1)/$NT$15,$NM$15/$NS$15)),0)</f>
        <v/>
      </c>
      <c r="FT15" s="18">
        <f>IF(AND(173&gt;=$NQ$15,173&lt;=$NR$15),IF($NO$15="Single_Point",IF(173=$NQ$15,$NM$15,0),IF($NO$15="Bell_Curve",$NM$15*(173-$NQ$15+1)*($NR$15-173+1)/$NT$15,$NM$15/$NS$15)),0)</f>
        <v/>
      </c>
      <c r="FU15" s="18">
        <f>IF(AND(174&gt;=$NQ$15,174&lt;=$NR$15),IF($NO$15="Single_Point",IF(174=$NQ$15,$NM$15,0),IF($NO$15="Bell_Curve",$NM$15*(174-$NQ$15+1)*($NR$15-174+1)/$NT$15,$NM$15/$NS$15)),0)</f>
        <v/>
      </c>
      <c r="FV15" s="18">
        <f>IF(AND(175&gt;=$NQ$15,175&lt;=$NR$15),IF($NO$15="Single_Point",IF(175=$NQ$15,$NM$15,0),IF($NO$15="Bell_Curve",$NM$15*(175-$NQ$15+1)*($NR$15-175+1)/$NT$15,$NM$15/$NS$15)),0)</f>
        <v/>
      </c>
      <c r="FW15" s="18">
        <f>IF(AND(176&gt;=$NQ$15,176&lt;=$NR$15),IF($NO$15="Single_Point",IF(176=$NQ$15,$NM$15,0),IF($NO$15="Bell_Curve",$NM$15*(176-$NQ$15+1)*($NR$15-176+1)/$NT$15,$NM$15/$NS$15)),0)</f>
        <v/>
      </c>
      <c r="FX15" s="18">
        <f>IF(AND(177&gt;=$NQ$15,177&lt;=$NR$15),IF($NO$15="Single_Point",IF(177=$NQ$15,$NM$15,0),IF($NO$15="Bell_Curve",$NM$15*(177-$NQ$15+1)*($NR$15-177+1)/$NT$15,$NM$15/$NS$15)),0)</f>
        <v/>
      </c>
      <c r="FY15" s="18">
        <f>IF(AND(178&gt;=$NQ$15,178&lt;=$NR$15),IF($NO$15="Single_Point",IF(178=$NQ$15,$NM$15,0),IF($NO$15="Bell_Curve",$NM$15*(178-$NQ$15+1)*($NR$15-178+1)/$NT$15,$NM$15/$NS$15)),0)</f>
        <v/>
      </c>
      <c r="FZ15" s="18">
        <f>IF(AND(179&gt;=$NQ$15,179&lt;=$NR$15),IF($NO$15="Single_Point",IF(179=$NQ$15,$NM$15,0),IF($NO$15="Bell_Curve",$NM$15*(179-$NQ$15+1)*($NR$15-179+1)/$NT$15,$NM$15/$NS$15)),0)</f>
        <v/>
      </c>
      <c r="GA15" s="18">
        <f>IF(AND(180&gt;=$NQ$15,180&lt;=$NR$15),IF($NO$15="Single_Point",IF(180=$NQ$15,$NM$15,0),IF($NO$15="Bell_Curve",$NM$15*(180-$NQ$15+1)*($NR$15-180+1)/$NT$15,$NM$15/$NS$15)),0)</f>
        <v/>
      </c>
      <c r="GB15" s="18">
        <f>IF(AND(181&gt;=$NQ$15,181&lt;=$NR$15),IF($NO$15="Single_Point",IF(181=$NQ$15,$NM$15,0),IF($NO$15="Bell_Curve",$NM$15*(181-$NQ$15+1)*($NR$15-181+1)/$NT$15,$NM$15/$NS$15)),0)</f>
        <v/>
      </c>
      <c r="GC15" s="18">
        <f>IF(AND(182&gt;=$NQ$15,182&lt;=$NR$15),IF($NO$15="Single_Point",IF(182=$NQ$15,$NM$15,0),IF($NO$15="Bell_Curve",$NM$15*(182-$NQ$15+1)*($NR$15-182+1)/$NT$15,$NM$15/$NS$15)),0)</f>
        <v/>
      </c>
      <c r="GD15" s="18">
        <f>IF(AND(183&gt;=$NQ$15,183&lt;=$NR$15),IF($NO$15="Single_Point",IF(183=$NQ$15,$NM$15,0),IF($NO$15="Bell_Curve",$NM$15*(183-$NQ$15+1)*($NR$15-183+1)/$NT$15,$NM$15/$NS$15)),0)</f>
        <v/>
      </c>
      <c r="GE15" s="18">
        <f>IF(AND(184&gt;=$NQ$15,184&lt;=$NR$15),IF($NO$15="Single_Point",IF(184=$NQ$15,$NM$15,0),IF($NO$15="Bell_Curve",$NM$15*(184-$NQ$15+1)*($NR$15-184+1)/$NT$15,$NM$15/$NS$15)),0)</f>
        <v/>
      </c>
      <c r="GF15" s="18">
        <f>IF(AND(185&gt;=$NQ$15,185&lt;=$NR$15),IF($NO$15="Single_Point",IF(185=$NQ$15,$NM$15,0),IF($NO$15="Bell_Curve",$NM$15*(185-$NQ$15+1)*($NR$15-185+1)/$NT$15,$NM$15/$NS$15)),0)</f>
        <v/>
      </c>
      <c r="GG15" s="18">
        <f>IF(AND(186&gt;=$NQ$15,186&lt;=$NR$15),IF($NO$15="Single_Point",IF(186=$NQ$15,$NM$15,0),IF($NO$15="Bell_Curve",$NM$15*(186-$NQ$15+1)*($NR$15-186+1)/$NT$15,$NM$15/$NS$15)),0)</f>
        <v/>
      </c>
      <c r="GH15" s="18">
        <f>IF(AND(187&gt;=$NQ$15,187&lt;=$NR$15),IF($NO$15="Single_Point",IF(187=$NQ$15,$NM$15,0),IF($NO$15="Bell_Curve",$NM$15*(187-$NQ$15+1)*($NR$15-187+1)/$NT$15,$NM$15/$NS$15)),0)</f>
        <v/>
      </c>
      <c r="GI15" s="18">
        <f>IF(AND(188&gt;=$NQ$15,188&lt;=$NR$15),IF($NO$15="Single_Point",IF(188=$NQ$15,$NM$15,0),IF($NO$15="Bell_Curve",$NM$15*(188-$NQ$15+1)*($NR$15-188+1)/$NT$15,$NM$15/$NS$15)),0)</f>
        <v/>
      </c>
      <c r="GJ15" s="18">
        <f>IF(AND(189&gt;=$NQ$15,189&lt;=$NR$15),IF($NO$15="Single_Point",IF(189=$NQ$15,$NM$15,0),IF($NO$15="Bell_Curve",$NM$15*(189-$NQ$15+1)*($NR$15-189+1)/$NT$15,$NM$15/$NS$15)),0)</f>
        <v/>
      </c>
      <c r="GK15" s="18">
        <f>IF(AND(190&gt;=$NQ$15,190&lt;=$NR$15),IF($NO$15="Single_Point",IF(190=$NQ$15,$NM$15,0),IF($NO$15="Bell_Curve",$NM$15*(190-$NQ$15+1)*($NR$15-190+1)/$NT$15,$NM$15/$NS$15)),0)</f>
        <v/>
      </c>
      <c r="GL15" s="18">
        <f>IF(AND(191&gt;=$NQ$15,191&lt;=$NR$15),IF($NO$15="Single_Point",IF(191=$NQ$15,$NM$15,0),IF($NO$15="Bell_Curve",$NM$15*(191-$NQ$15+1)*($NR$15-191+1)/$NT$15,$NM$15/$NS$15)),0)</f>
        <v/>
      </c>
      <c r="GM15" s="18">
        <f>IF(AND(192&gt;=$NQ$15,192&lt;=$NR$15),IF($NO$15="Single_Point",IF(192=$NQ$15,$NM$15,0),IF($NO$15="Bell_Curve",$NM$15*(192-$NQ$15+1)*($NR$15-192+1)/$NT$15,$NM$15/$NS$15)),0)</f>
        <v/>
      </c>
      <c r="GN15" s="18">
        <f>IF(AND(193&gt;=$NQ$15,193&lt;=$NR$15),IF($NO$15="Single_Point",IF(193=$NQ$15,$NM$15,0),IF($NO$15="Bell_Curve",$NM$15*(193-$NQ$15+1)*($NR$15-193+1)/$NT$15,$NM$15/$NS$15)),0)</f>
        <v/>
      </c>
      <c r="GO15" s="18">
        <f>IF(AND(194&gt;=$NQ$15,194&lt;=$NR$15),IF($NO$15="Single_Point",IF(194=$NQ$15,$NM$15,0),IF($NO$15="Bell_Curve",$NM$15*(194-$NQ$15+1)*($NR$15-194+1)/$NT$15,$NM$15/$NS$15)),0)</f>
        <v/>
      </c>
      <c r="GP15" s="18">
        <f>IF(AND(195&gt;=$NQ$15,195&lt;=$NR$15),IF($NO$15="Single_Point",IF(195=$NQ$15,$NM$15,0),IF($NO$15="Bell_Curve",$NM$15*(195-$NQ$15+1)*($NR$15-195+1)/$NT$15,$NM$15/$NS$15)),0)</f>
        <v/>
      </c>
      <c r="GQ15" s="18">
        <f>IF(AND(196&gt;=$NQ$15,196&lt;=$NR$15),IF($NO$15="Single_Point",IF(196=$NQ$15,$NM$15,0),IF($NO$15="Bell_Curve",$NM$15*(196-$NQ$15+1)*($NR$15-196+1)/$NT$15,$NM$15/$NS$15)),0)</f>
        <v/>
      </c>
      <c r="GR15" s="18">
        <f>IF(AND(197&gt;=$NQ$15,197&lt;=$NR$15),IF($NO$15="Single_Point",IF(197=$NQ$15,$NM$15,0),IF($NO$15="Bell_Curve",$NM$15*(197-$NQ$15+1)*($NR$15-197+1)/$NT$15,$NM$15/$NS$15)),0)</f>
        <v/>
      </c>
      <c r="GS15" s="18">
        <f>IF(AND(198&gt;=$NQ$15,198&lt;=$NR$15),IF($NO$15="Single_Point",IF(198=$NQ$15,$NM$15,0),IF($NO$15="Bell_Curve",$NM$15*(198-$NQ$15+1)*($NR$15-198+1)/$NT$15,$NM$15/$NS$15)),0)</f>
        <v/>
      </c>
      <c r="GT15" s="18">
        <f>IF(AND(199&gt;=$NQ$15,199&lt;=$NR$15),IF($NO$15="Single_Point",IF(199=$NQ$15,$NM$15,0),IF($NO$15="Bell_Curve",$NM$15*(199-$NQ$15+1)*($NR$15-199+1)/$NT$15,$NM$15/$NS$15)),0)</f>
        <v/>
      </c>
      <c r="GU15" s="18">
        <f>IF(AND(200&gt;=$NQ$15,200&lt;=$NR$15),IF($NO$15="Single_Point",IF(200=$NQ$15,$NM$15,0),IF($NO$15="Bell_Curve",$NM$15*(200-$NQ$15+1)*($NR$15-200+1)/$NT$15,$NM$15/$NS$15)),0)</f>
        <v/>
      </c>
      <c r="GV15" s="18">
        <f>IF(AND(201&gt;=$NQ$15,201&lt;=$NR$15),IF($NO$15="Single_Point",IF(201=$NQ$15,$NM$15,0),IF($NO$15="Bell_Curve",$NM$15*(201-$NQ$15+1)*($NR$15-201+1)/$NT$15,$NM$15/$NS$15)),0)</f>
        <v/>
      </c>
      <c r="GW15" s="18">
        <f>IF(AND(202&gt;=$NQ$15,202&lt;=$NR$15),IF($NO$15="Single_Point",IF(202=$NQ$15,$NM$15,0),IF($NO$15="Bell_Curve",$NM$15*(202-$NQ$15+1)*($NR$15-202+1)/$NT$15,$NM$15/$NS$15)),0)</f>
        <v/>
      </c>
      <c r="GX15" s="18">
        <f>IF(AND(203&gt;=$NQ$15,203&lt;=$NR$15),IF($NO$15="Single_Point",IF(203=$NQ$15,$NM$15,0),IF($NO$15="Bell_Curve",$NM$15*(203-$NQ$15+1)*($NR$15-203+1)/$NT$15,$NM$15/$NS$15)),0)</f>
        <v/>
      </c>
      <c r="GY15" s="18">
        <f>IF(AND(204&gt;=$NQ$15,204&lt;=$NR$15),IF($NO$15="Single_Point",IF(204=$NQ$15,$NM$15,0),IF($NO$15="Bell_Curve",$NM$15*(204-$NQ$15+1)*($NR$15-204+1)/$NT$15,$NM$15/$NS$15)),0)</f>
        <v/>
      </c>
      <c r="GZ15" s="18">
        <f>IF(AND(205&gt;=$NQ$15,205&lt;=$NR$15),IF($NO$15="Single_Point",IF(205=$NQ$15,$NM$15,0),IF($NO$15="Bell_Curve",$NM$15*(205-$NQ$15+1)*($NR$15-205+1)/$NT$15,$NM$15/$NS$15)),0)</f>
        <v/>
      </c>
      <c r="HA15" s="18">
        <f>IF(AND(206&gt;=$NQ$15,206&lt;=$NR$15),IF($NO$15="Single_Point",IF(206=$NQ$15,$NM$15,0),IF($NO$15="Bell_Curve",$NM$15*(206-$NQ$15+1)*($NR$15-206+1)/$NT$15,$NM$15/$NS$15)),0)</f>
        <v/>
      </c>
      <c r="HB15" s="18">
        <f>IF(AND(207&gt;=$NQ$15,207&lt;=$NR$15),IF($NO$15="Single_Point",IF(207=$NQ$15,$NM$15,0),IF($NO$15="Bell_Curve",$NM$15*(207-$NQ$15+1)*($NR$15-207+1)/$NT$15,$NM$15/$NS$15)),0)</f>
        <v/>
      </c>
      <c r="HC15" s="18">
        <f>IF(AND(208&gt;=$NQ$15,208&lt;=$NR$15),IF($NO$15="Single_Point",IF(208=$NQ$15,$NM$15,0),IF($NO$15="Bell_Curve",$NM$15*(208-$NQ$15+1)*($NR$15-208+1)/$NT$15,$NM$15/$NS$15)),0)</f>
        <v/>
      </c>
      <c r="HD15" s="18">
        <f>IF(AND(209&gt;=$NQ$15,209&lt;=$NR$15),IF($NO$15="Single_Point",IF(209=$NQ$15,$NM$15,0),IF($NO$15="Bell_Curve",$NM$15*(209-$NQ$15+1)*($NR$15-209+1)/$NT$15,$NM$15/$NS$15)),0)</f>
        <v/>
      </c>
      <c r="HE15" s="18">
        <f>IF(AND(210&gt;=$NQ$15,210&lt;=$NR$15),IF($NO$15="Single_Point",IF(210=$NQ$15,$NM$15,0),IF($NO$15="Bell_Curve",$NM$15*(210-$NQ$15+1)*($NR$15-210+1)/$NT$15,$NM$15/$NS$15)),0)</f>
        <v/>
      </c>
      <c r="HF15" s="18">
        <f>IF(AND(211&gt;=$NQ$15,211&lt;=$NR$15),IF($NO$15="Single_Point",IF(211=$NQ$15,$NM$15,0),IF($NO$15="Bell_Curve",$NM$15*(211-$NQ$15+1)*($NR$15-211+1)/$NT$15,$NM$15/$NS$15)),0)</f>
        <v/>
      </c>
      <c r="HG15" s="18">
        <f>IF(AND(212&gt;=$NQ$15,212&lt;=$NR$15),IF($NO$15="Single_Point",IF(212=$NQ$15,$NM$15,0),IF($NO$15="Bell_Curve",$NM$15*(212-$NQ$15+1)*($NR$15-212+1)/$NT$15,$NM$15/$NS$15)),0)</f>
        <v/>
      </c>
      <c r="HH15" s="18">
        <f>IF(AND(213&gt;=$NQ$15,213&lt;=$NR$15),IF($NO$15="Single_Point",IF(213=$NQ$15,$NM$15,0),IF($NO$15="Bell_Curve",$NM$15*(213-$NQ$15+1)*($NR$15-213+1)/$NT$15,$NM$15/$NS$15)),0)</f>
        <v/>
      </c>
      <c r="HI15" s="18">
        <f>IF(AND(214&gt;=$NQ$15,214&lt;=$NR$15),IF($NO$15="Single_Point",IF(214=$NQ$15,$NM$15,0),IF($NO$15="Bell_Curve",$NM$15*(214-$NQ$15+1)*($NR$15-214+1)/$NT$15,$NM$15/$NS$15)),0)</f>
        <v/>
      </c>
      <c r="HJ15" s="18">
        <f>IF(AND(215&gt;=$NQ$15,215&lt;=$NR$15),IF($NO$15="Single_Point",IF(215=$NQ$15,$NM$15,0),IF($NO$15="Bell_Curve",$NM$15*(215-$NQ$15+1)*($NR$15-215+1)/$NT$15,$NM$15/$NS$15)),0)</f>
        <v/>
      </c>
      <c r="HK15" s="18">
        <f>IF(AND(216&gt;=$NQ$15,216&lt;=$NR$15),IF($NO$15="Single_Point",IF(216=$NQ$15,$NM$15,0),IF($NO$15="Bell_Curve",$NM$15*(216-$NQ$15+1)*($NR$15-216+1)/$NT$15,$NM$15/$NS$15)),0)</f>
        <v/>
      </c>
      <c r="HL15" s="18">
        <f>IF(AND(217&gt;=$NQ$15,217&lt;=$NR$15),IF($NO$15="Single_Point",IF(217=$NQ$15,$NM$15,0),IF($NO$15="Bell_Curve",$NM$15*(217-$NQ$15+1)*($NR$15-217+1)/$NT$15,$NM$15/$NS$15)),0)</f>
        <v/>
      </c>
      <c r="HM15" s="18">
        <f>IF(AND(218&gt;=$NQ$15,218&lt;=$NR$15),IF($NO$15="Single_Point",IF(218=$NQ$15,$NM$15,0),IF($NO$15="Bell_Curve",$NM$15*(218-$NQ$15+1)*($NR$15-218+1)/$NT$15,$NM$15/$NS$15)),0)</f>
        <v/>
      </c>
      <c r="HN15" s="18">
        <f>IF(AND(219&gt;=$NQ$15,219&lt;=$NR$15),IF($NO$15="Single_Point",IF(219=$NQ$15,$NM$15,0),IF($NO$15="Bell_Curve",$NM$15*(219-$NQ$15+1)*($NR$15-219+1)/$NT$15,$NM$15/$NS$15)),0)</f>
        <v/>
      </c>
      <c r="HO15" s="18">
        <f>IF(AND(220&gt;=$NQ$15,220&lt;=$NR$15),IF($NO$15="Single_Point",IF(220=$NQ$15,$NM$15,0),IF($NO$15="Bell_Curve",$NM$15*(220-$NQ$15+1)*($NR$15-220+1)/$NT$15,$NM$15/$NS$15)),0)</f>
        <v/>
      </c>
      <c r="HP15" s="18">
        <f>IF(AND(221&gt;=$NQ$15,221&lt;=$NR$15),IF($NO$15="Single_Point",IF(221=$NQ$15,$NM$15,0),IF($NO$15="Bell_Curve",$NM$15*(221-$NQ$15+1)*($NR$15-221+1)/$NT$15,$NM$15/$NS$15)),0)</f>
        <v/>
      </c>
      <c r="HQ15" s="18">
        <f>IF(AND(222&gt;=$NQ$15,222&lt;=$NR$15),IF($NO$15="Single_Point",IF(222=$NQ$15,$NM$15,0),IF($NO$15="Bell_Curve",$NM$15*(222-$NQ$15+1)*($NR$15-222+1)/$NT$15,$NM$15/$NS$15)),0)</f>
        <v/>
      </c>
      <c r="HR15" s="18">
        <f>IF(AND(223&gt;=$NQ$15,223&lt;=$NR$15),IF($NO$15="Single_Point",IF(223=$NQ$15,$NM$15,0),IF($NO$15="Bell_Curve",$NM$15*(223-$NQ$15+1)*($NR$15-223+1)/$NT$15,$NM$15/$NS$15)),0)</f>
        <v/>
      </c>
      <c r="HS15" s="18">
        <f>IF(AND(224&gt;=$NQ$15,224&lt;=$NR$15),IF($NO$15="Single_Point",IF(224=$NQ$15,$NM$15,0),IF($NO$15="Bell_Curve",$NM$15*(224-$NQ$15+1)*($NR$15-224+1)/$NT$15,$NM$15/$NS$15)),0)</f>
        <v/>
      </c>
      <c r="HT15" s="18">
        <f>IF(AND(225&gt;=$NQ$15,225&lt;=$NR$15),IF($NO$15="Single_Point",IF(225=$NQ$15,$NM$15,0),IF($NO$15="Bell_Curve",$NM$15*(225-$NQ$15+1)*($NR$15-225+1)/$NT$15,$NM$15/$NS$15)),0)</f>
        <v/>
      </c>
      <c r="HU15" s="18">
        <f>IF(AND(226&gt;=$NQ$15,226&lt;=$NR$15),IF($NO$15="Single_Point",IF(226=$NQ$15,$NM$15,0),IF($NO$15="Bell_Curve",$NM$15*(226-$NQ$15+1)*($NR$15-226+1)/$NT$15,$NM$15/$NS$15)),0)</f>
        <v/>
      </c>
      <c r="HV15" s="18">
        <f>IF(AND(227&gt;=$NQ$15,227&lt;=$NR$15),IF($NO$15="Single_Point",IF(227=$NQ$15,$NM$15,0),IF($NO$15="Bell_Curve",$NM$15*(227-$NQ$15+1)*($NR$15-227+1)/$NT$15,$NM$15/$NS$15)),0)</f>
        <v/>
      </c>
      <c r="HW15" s="18">
        <f>IF(AND(228&gt;=$NQ$15,228&lt;=$NR$15),IF($NO$15="Single_Point",IF(228=$NQ$15,$NM$15,0),IF($NO$15="Bell_Curve",$NM$15*(228-$NQ$15+1)*($NR$15-228+1)/$NT$15,$NM$15/$NS$15)),0)</f>
        <v/>
      </c>
      <c r="HX15" s="18">
        <f>IF(AND(229&gt;=$NQ$15,229&lt;=$NR$15),IF($NO$15="Single_Point",IF(229=$NQ$15,$NM$15,0),IF($NO$15="Bell_Curve",$NM$15*(229-$NQ$15+1)*($NR$15-229+1)/$NT$15,$NM$15/$NS$15)),0)</f>
        <v/>
      </c>
      <c r="HY15" s="18">
        <f>IF(AND(230&gt;=$NQ$15,230&lt;=$NR$15),IF($NO$15="Single_Point",IF(230=$NQ$15,$NM$15,0),IF($NO$15="Bell_Curve",$NM$15*(230-$NQ$15+1)*($NR$15-230+1)/$NT$15,$NM$15/$NS$15)),0)</f>
        <v/>
      </c>
      <c r="HZ15" s="18">
        <f>IF(AND(231&gt;=$NQ$15,231&lt;=$NR$15),IF($NO$15="Single_Point",IF(231=$NQ$15,$NM$15,0),IF($NO$15="Bell_Curve",$NM$15*(231-$NQ$15+1)*($NR$15-231+1)/$NT$15,$NM$15/$NS$15)),0)</f>
        <v/>
      </c>
      <c r="IA15" s="18">
        <f>IF(AND(232&gt;=$NQ$15,232&lt;=$NR$15),IF($NO$15="Single_Point",IF(232=$NQ$15,$NM$15,0),IF($NO$15="Bell_Curve",$NM$15*(232-$NQ$15+1)*($NR$15-232+1)/$NT$15,$NM$15/$NS$15)),0)</f>
        <v/>
      </c>
      <c r="IB15" s="18">
        <f>IF(AND(233&gt;=$NQ$15,233&lt;=$NR$15),IF($NO$15="Single_Point",IF(233=$NQ$15,$NM$15,0),IF($NO$15="Bell_Curve",$NM$15*(233-$NQ$15+1)*($NR$15-233+1)/$NT$15,$NM$15/$NS$15)),0)</f>
        <v/>
      </c>
      <c r="IC15" s="18">
        <f>IF(AND(234&gt;=$NQ$15,234&lt;=$NR$15),IF($NO$15="Single_Point",IF(234=$NQ$15,$NM$15,0),IF($NO$15="Bell_Curve",$NM$15*(234-$NQ$15+1)*($NR$15-234+1)/$NT$15,$NM$15/$NS$15)),0)</f>
        <v/>
      </c>
      <c r="ID15" s="18">
        <f>IF(AND(235&gt;=$NQ$15,235&lt;=$NR$15),IF($NO$15="Single_Point",IF(235=$NQ$15,$NM$15,0),IF($NO$15="Bell_Curve",$NM$15*(235-$NQ$15+1)*($NR$15-235+1)/$NT$15,$NM$15/$NS$15)),0)</f>
        <v/>
      </c>
      <c r="IE15" s="18">
        <f>IF(AND(236&gt;=$NQ$15,236&lt;=$NR$15),IF($NO$15="Single_Point",IF(236=$NQ$15,$NM$15,0),IF($NO$15="Bell_Curve",$NM$15*(236-$NQ$15+1)*($NR$15-236+1)/$NT$15,$NM$15/$NS$15)),0)</f>
        <v/>
      </c>
      <c r="IF15" s="18">
        <f>IF(AND(237&gt;=$NQ$15,237&lt;=$NR$15),IF($NO$15="Single_Point",IF(237=$NQ$15,$NM$15,0),IF($NO$15="Bell_Curve",$NM$15*(237-$NQ$15+1)*($NR$15-237+1)/$NT$15,$NM$15/$NS$15)),0)</f>
        <v/>
      </c>
      <c r="IG15" s="18">
        <f>IF(AND(238&gt;=$NQ$15,238&lt;=$NR$15),IF($NO$15="Single_Point",IF(238=$NQ$15,$NM$15,0),IF($NO$15="Bell_Curve",$NM$15*(238-$NQ$15+1)*($NR$15-238+1)/$NT$15,$NM$15/$NS$15)),0)</f>
        <v/>
      </c>
      <c r="IH15" s="18">
        <f>IF(AND(239&gt;=$NQ$15,239&lt;=$NR$15),IF($NO$15="Single_Point",IF(239=$NQ$15,$NM$15,0),IF($NO$15="Bell_Curve",$NM$15*(239-$NQ$15+1)*($NR$15-239+1)/$NT$15,$NM$15/$NS$15)),0)</f>
        <v/>
      </c>
      <c r="II15" s="18">
        <f>IF(AND(240&gt;=$NQ$15,240&lt;=$NR$15),IF($NO$15="Single_Point",IF(240=$NQ$15,$NM$15,0),IF($NO$15="Bell_Curve",$NM$15*(240-$NQ$15+1)*($NR$15-240+1)/$NT$15,$NM$15/$NS$15)),0)</f>
        <v/>
      </c>
      <c r="IJ15" s="18">
        <f>IF(AND(241&gt;=$NQ$15,241&lt;=$NR$15),IF($NO$15="Single_Point",IF(241=$NQ$15,$NM$15,0),IF($NO$15="Bell_Curve",$NM$15*(241-$NQ$15+1)*($NR$15-241+1)/$NT$15,$NM$15/$NS$15)),0)</f>
        <v/>
      </c>
      <c r="IK15" s="18">
        <f>IF(AND(242&gt;=$NQ$15,242&lt;=$NR$15),IF($NO$15="Single_Point",IF(242=$NQ$15,$NM$15,0),IF($NO$15="Bell_Curve",$NM$15*(242-$NQ$15+1)*($NR$15-242+1)/$NT$15,$NM$15/$NS$15)),0)</f>
        <v/>
      </c>
      <c r="IL15" s="18">
        <f>IF(AND(243&gt;=$NQ$15,243&lt;=$NR$15),IF($NO$15="Single_Point",IF(243=$NQ$15,$NM$15,0),IF($NO$15="Bell_Curve",$NM$15*(243-$NQ$15+1)*($NR$15-243+1)/$NT$15,$NM$15/$NS$15)),0)</f>
        <v/>
      </c>
      <c r="IM15" s="18">
        <f>IF(AND(244&gt;=$NQ$15,244&lt;=$NR$15),IF($NO$15="Single_Point",IF(244=$NQ$15,$NM$15,0),IF($NO$15="Bell_Curve",$NM$15*(244-$NQ$15+1)*($NR$15-244+1)/$NT$15,$NM$15/$NS$15)),0)</f>
        <v/>
      </c>
      <c r="IN15" s="18">
        <f>IF(AND(245&gt;=$NQ$15,245&lt;=$NR$15),IF($NO$15="Single_Point",IF(245=$NQ$15,$NM$15,0),IF($NO$15="Bell_Curve",$NM$15*(245-$NQ$15+1)*($NR$15-245+1)/$NT$15,$NM$15/$NS$15)),0)</f>
        <v/>
      </c>
      <c r="IO15" s="18">
        <f>IF(AND(246&gt;=$NQ$15,246&lt;=$NR$15),IF($NO$15="Single_Point",IF(246=$NQ$15,$NM$15,0),IF($NO$15="Bell_Curve",$NM$15*(246-$NQ$15+1)*($NR$15-246+1)/$NT$15,$NM$15/$NS$15)),0)</f>
        <v/>
      </c>
      <c r="IP15" s="18">
        <f>IF(AND(247&gt;=$NQ$15,247&lt;=$NR$15),IF($NO$15="Single_Point",IF(247=$NQ$15,$NM$15,0),IF($NO$15="Bell_Curve",$NM$15*(247-$NQ$15+1)*($NR$15-247+1)/$NT$15,$NM$15/$NS$15)),0)</f>
        <v/>
      </c>
      <c r="IQ15" s="18">
        <f>IF(AND(248&gt;=$NQ$15,248&lt;=$NR$15),IF($NO$15="Single_Point",IF(248=$NQ$15,$NM$15,0),IF($NO$15="Bell_Curve",$NM$15*(248-$NQ$15+1)*($NR$15-248+1)/$NT$15,$NM$15/$NS$15)),0)</f>
        <v/>
      </c>
      <c r="IR15" s="18">
        <f>IF(AND(249&gt;=$NQ$15,249&lt;=$NR$15),IF($NO$15="Single_Point",IF(249=$NQ$15,$NM$15,0),IF($NO$15="Bell_Curve",$NM$15*(249-$NQ$15+1)*($NR$15-249+1)/$NT$15,$NM$15/$NS$15)),0)</f>
        <v/>
      </c>
      <c r="IS15" s="18">
        <f>IF(AND(250&gt;=$NQ$15,250&lt;=$NR$15),IF($NO$15="Single_Point",IF(250=$NQ$15,$NM$15,0),IF($NO$15="Bell_Curve",$NM$15*(250-$NQ$15+1)*($NR$15-250+1)/$NT$15,$NM$15/$NS$15)),0)</f>
        <v/>
      </c>
      <c r="IT15" s="18">
        <f>IF(AND(251&gt;=$NQ$15,251&lt;=$NR$15),IF($NO$15="Single_Point",IF(251=$NQ$15,$NM$15,0),IF($NO$15="Bell_Curve",$NM$15*(251-$NQ$15+1)*($NR$15-251+1)/$NT$15,$NM$15/$NS$15)),0)</f>
        <v/>
      </c>
      <c r="IU15" s="18">
        <f>IF(AND(252&gt;=$NQ$15,252&lt;=$NR$15),IF($NO$15="Single_Point",IF(252=$NQ$15,$NM$15,0),IF($NO$15="Bell_Curve",$NM$15*(252-$NQ$15+1)*($NR$15-252+1)/$NT$15,$NM$15/$NS$15)),0)</f>
        <v/>
      </c>
      <c r="IV15" s="18">
        <f>IF(AND(253&gt;=$NQ$15,253&lt;=$NR$15),IF($NO$15="Single_Point",IF(253=$NQ$15,$NM$15,0),IF($NO$15="Bell_Curve",$NM$15*(253-$NQ$15+1)*($NR$15-253+1)/$NT$15,$NM$15/$NS$15)),0)</f>
        <v/>
      </c>
      <c r="IW15" s="18">
        <f>IF(AND(254&gt;=$NQ$15,254&lt;=$NR$15),IF($NO$15="Single_Point",IF(254=$NQ$15,$NM$15,0),IF($NO$15="Bell_Curve",$NM$15*(254-$NQ$15+1)*($NR$15-254+1)/$NT$15,$NM$15/$NS$15)),0)</f>
        <v/>
      </c>
      <c r="IX15" s="18">
        <f>IF(AND(255&gt;=$NQ$15,255&lt;=$NR$15),IF($NO$15="Single_Point",IF(255=$NQ$15,$NM$15,0),IF($NO$15="Bell_Curve",$NM$15*(255-$NQ$15+1)*($NR$15-255+1)/$NT$15,$NM$15/$NS$15)),0)</f>
        <v/>
      </c>
      <c r="IY15" s="18">
        <f>IF(AND(256&gt;=$NQ$15,256&lt;=$NR$15),IF($NO$15="Single_Point",IF(256=$NQ$15,$NM$15,0),IF($NO$15="Bell_Curve",$NM$15*(256-$NQ$15+1)*($NR$15-256+1)/$NT$15,$NM$15/$NS$15)),0)</f>
        <v/>
      </c>
      <c r="IZ15" s="18">
        <f>IF(AND(257&gt;=$NQ$15,257&lt;=$NR$15),IF($NO$15="Single_Point",IF(257=$NQ$15,$NM$15,0),IF($NO$15="Bell_Curve",$NM$15*(257-$NQ$15+1)*($NR$15-257+1)/$NT$15,$NM$15/$NS$15)),0)</f>
        <v/>
      </c>
      <c r="JA15" s="18">
        <f>IF(AND(258&gt;=$NQ$15,258&lt;=$NR$15),IF($NO$15="Single_Point",IF(258=$NQ$15,$NM$15,0),IF($NO$15="Bell_Curve",$NM$15*(258-$NQ$15+1)*($NR$15-258+1)/$NT$15,$NM$15/$NS$15)),0)</f>
        <v/>
      </c>
      <c r="JB15" s="18">
        <f>IF(AND(259&gt;=$NQ$15,259&lt;=$NR$15),IF($NO$15="Single_Point",IF(259=$NQ$15,$NM$15,0),IF($NO$15="Bell_Curve",$NM$15*(259-$NQ$15+1)*($NR$15-259+1)/$NT$15,$NM$15/$NS$15)),0)</f>
        <v/>
      </c>
      <c r="JC15" s="18">
        <f>IF(AND(260&gt;=$NQ$15,260&lt;=$NR$15),IF($NO$15="Single_Point",IF(260=$NQ$15,$NM$15,0),IF($NO$15="Bell_Curve",$NM$15*(260-$NQ$15+1)*($NR$15-260+1)/$NT$15,$NM$15/$NS$15)),0)</f>
        <v/>
      </c>
      <c r="JD15" s="18">
        <f>IF(AND(261&gt;=$NQ$15,261&lt;=$NR$15),IF($NO$15="Single_Point",IF(261=$NQ$15,$NM$15,0),IF($NO$15="Bell_Curve",$NM$15*(261-$NQ$15+1)*($NR$15-261+1)/$NT$15,$NM$15/$NS$15)),0)</f>
        <v/>
      </c>
      <c r="JE15" s="18">
        <f>IF(AND(262&gt;=$NQ$15,262&lt;=$NR$15),IF($NO$15="Single_Point",IF(262=$NQ$15,$NM$15,0),IF($NO$15="Bell_Curve",$NM$15*(262-$NQ$15+1)*($NR$15-262+1)/$NT$15,$NM$15/$NS$15)),0)</f>
        <v/>
      </c>
      <c r="JF15" s="18">
        <f>IF(AND(263&gt;=$NQ$15,263&lt;=$NR$15),IF($NO$15="Single_Point",IF(263=$NQ$15,$NM$15,0),IF($NO$15="Bell_Curve",$NM$15*(263-$NQ$15+1)*($NR$15-263+1)/$NT$15,$NM$15/$NS$15)),0)</f>
        <v/>
      </c>
      <c r="JG15" s="18">
        <f>IF(AND(264&gt;=$NQ$15,264&lt;=$NR$15),IF($NO$15="Single_Point",IF(264=$NQ$15,$NM$15,0),IF($NO$15="Bell_Curve",$NM$15*(264-$NQ$15+1)*($NR$15-264+1)/$NT$15,$NM$15/$NS$15)),0)</f>
        <v/>
      </c>
      <c r="JH15" s="18">
        <f>IF(AND(265&gt;=$NQ$15,265&lt;=$NR$15),IF($NO$15="Single_Point",IF(265=$NQ$15,$NM$15,0),IF($NO$15="Bell_Curve",$NM$15*(265-$NQ$15+1)*($NR$15-265+1)/$NT$15,$NM$15/$NS$15)),0)</f>
        <v/>
      </c>
      <c r="JI15" s="18">
        <f>IF(AND(266&gt;=$NQ$15,266&lt;=$NR$15),IF($NO$15="Single_Point",IF(266=$NQ$15,$NM$15,0),IF($NO$15="Bell_Curve",$NM$15*(266-$NQ$15+1)*($NR$15-266+1)/$NT$15,$NM$15/$NS$15)),0)</f>
        <v/>
      </c>
      <c r="JJ15" s="18">
        <f>IF(AND(267&gt;=$NQ$15,267&lt;=$NR$15),IF($NO$15="Single_Point",IF(267=$NQ$15,$NM$15,0),IF($NO$15="Bell_Curve",$NM$15*(267-$NQ$15+1)*($NR$15-267+1)/$NT$15,$NM$15/$NS$15)),0)</f>
        <v/>
      </c>
      <c r="JK15" s="18">
        <f>IF(AND(268&gt;=$NQ$15,268&lt;=$NR$15),IF($NO$15="Single_Point",IF(268=$NQ$15,$NM$15,0),IF($NO$15="Bell_Curve",$NM$15*(268-$NQ$15+1)*($NR$15-268+1)/$NT$15,$NM$15/$NS$15)),0)</f>
        <v/>
      </c>
      <c r="JL15" s="18">
        <f>IF(AND(269&gt;=$NQ$15,269&lt;=$NR$15),IF($NO$15="Single_Point",IF(269=$NQ$15,$NM$15,0),IF($NO$15="Bell_Curve",$NM$15*(269-$NQ$15+1)*($NR$15-269+1)/$NT$15,$NM$15/$NS$15)),0)</f>
        <v/>
      </c>
      <c r="JM15" s="18">
        <f>IF(AND(270&gt;=$NQ$15,270&lt;=$NR$15),IF($NO$15="Single_Point",IF(270=$NQ$15,$NM$15,0),IF($NO$15="Bell_Curve",$NM$15*(270-$NQ$15+1)*($NR$15-270+1)/$NT$15,$NM$15/$NS$15)),0)</f>
        <v/>
      </c>
      <c r="JN15" s="18">
        <f>IF(AND(271&gt;=$NQ$15,271&lt;=$NR$15),IF($NO$15="Single_Point",IF(271=$NQ$15,$NM$15,0),IF($NO$15="Bell_Curve",$NM$15*(271-$NQ$15+1)*($NR$15-271+1)/$NT$15,$NM$15/$NS$15)),0)</f>
        <v/>
      </c>
      <c r="JO15" s="18">
        <f>IF(AND(272&gt;=$NQ$15,272&lt;=$NR$15),IF($NO$15="Single_Point",IF(272=$NQ$15,$NM$15,0),IF($NO$15="Bell_Curve",$NM$15*(272-$NQ$15+1)*($NR$15-272+1)/$NT$15,$NM$15/$NS$15)),0)</f>
        <v/>
      </c>
      <c r="JP15" s="18">
        <f>IF(AND(273&gt;=$NQ$15,273&lt;=$NR$15),IF($NO$15="Single_Point",IF(273=$NQ$15,$NM$15,0),IF($NO$15="Bell_Curve",$NM$15*(273-$NQ$15+1)*($NR$15-273+1)/$NT$15,$NM$15/$NS$15)),0)</f>
        <v/>
      </c>
      <c r="JQ15" s="18">
        <f>IF(AND(274&gt;=$NQ$15,274&lt;=$NR$15),IF($NO$15="Single_Point",IF(274=$NQ$15,$NM$15,0),IF($NO$15="Bell_Curve",$NM$15*(274-$NQ$15+1)*($NR$15-274+1)/$NT$15,$NM$15/$NS$15)),0)</f>
        <v/>
      </c>
      <c r="JR15" s="18">
        <f>IF(AND(275&gt;=$NQ$15,275&lt;=$NR$15),IF($NO$15="Single_Point",IF(275=$NQ$15,$NM$15,0),IF($NO$15="Bell_Curve",$NM$15*(275-$NQ$15+1)*($NR$15-275+1)/$NT$15,$NM$15/$NS$15)),0)</f>
        <v/>
      </c>
      <c r="JS15" s="18">
        <f>IF(AND(276&gt;=$NQ$15,276&lt;=$NR$15),IF($NO$15="Single_Point",IF(276=$NQ$15,$NM$15,0),IF($NO$15="Bell_Curve",$NM$15*(276-$NQ$15+1)*($NR$15-276+1)/$NT$15,$NM$15/$NS$15)),0)</f>
        <v/>
      </c>
      <c r="JT15" s="18">
        <f>IF(AND(277&gt;=$NQ$15,277&lt;=$NR$15),IF($NO$15="Single_Point",IF(277=$NQ$15,$NM$15,0),IF($NO$15="Bell_Curve",$NM$15*(277-$NQ$15+1)*($NR$15-277+1)/$NT$15,$NM$15/$NS$15)),0)</f>
        <v/>
      </c>
      <c r="JU15" s="18">
        <f>IF(AND(278&gt;=$NQ$15,278&lt;=$NR$15),IF($NO$15="Single_Point",IF(278=$NQ$15,$NM$15,0),IF($NO$15="Bell_Curve",$NM$15*(278-$NQ$15+1)*($NR$15-278+1)/$NT$15,$NM$15/$NS$15)),0)</f>
        <v/>
      </c>
      <c r="JV15" s="18">
        <f>IF(AND(279&gt;=$NQ$15,279&lt;=$NR$15),IF($NO$15="Single_Point",IF(279=$NQ$15,$NM$15,0),IF($NO$15="Bell_Curve",$NM$15*(279-$NQ$15+1)*($NR$15-279+1)/$NT$15,$NM$15/$NS$15)),0)</f>
        <v/>
      </c>
      <c r="JW15" s="18">
        <f>IF(AND(280&gt;=$NQ$15,280&lt;=$NR$15),IF($NO$15="Single_Point",IF(280=$NQ$15,$NM$15,0),IF($NO$15="Bell_Curve",$NM$15*(280-$NQ$15+1)*($NR$15-280+1)/$NT$15,$NM$15/$NS$15)),0)</f>
        <v/>
      </c>
      <c r="JX15" s="18">
        <f>IF(AND(281&gt;=$NQ$15,281&lt;=$NR$15),IF($NO$15="Single_Point",IF(281=$NQ$15,$NM$15,0),IF($NO$15="Bell_Curve",$NM$15*(281-$NQ$15+1)*($NR$15-281+1)/$NT$15,$NM$15/$NS$15)),0)</f>
        <v/>
      </c>
      <c r="JY15" s="18">
        <f>IF(AND(282&gt;=$NQ$15,282&lt;=$NR$15),IF($NO$15="Single_Point",IF(282=$NQ$15,$NM$15,0),IF($NO$15="Bell_Curve",$NM$15*(282-$NQ$15+1)*($NR$15-282+1)/$NT$15,$NM$15/$NS$15)),0)</f>
        <v/>
      </c>
      <c r="JZ15" s="18">
        <f>IF(AND(283&gt;=$NQ$15,283&lt;=$NR$15),IF($NO$15="Single_Point",IF(283=$NQ$15,$NM$15,0),IF($NO$15="Bell_Curve",$NM$15*(283-$NQ$15+1)*($NR$15-283+1)/$NT$15,$NM$15/$NS$15)),0)</f>
        <v/>
      </c>
      <c r="KA15" s="18">
        <f>IF(AND(284&gt;=$NQ$15,284&lt;=$NR$15),IF($NO$15="Single_Point",IF(284=$NQ$15,$NM$15,0),IF($NO$15="Bell_Curve",$NM$15*(284-$NQ$15+1)*($NR$15-284+1)/$NT$15,$NM$15/$NS$15)),0)</f>
        <v/>
      </c>
      <c r="KB15" s="18">
        <f>IF(AND(285&gt;=$NQ$15,285&lt;=$NR$15),IF($NO$15="Single_Point",IF(285=$NQ$15,$NM$15,0),IF($NO$15="Bell_Curve",$NM$15*(285-$NQ$15+1)*($NR$15-285+1)/$NT$15,$NM$15/$NS$15)),0)</f>
        <v/>
      </c>
      <c r="KC15" s="18">
        <f>IF(AND(286&gt;=$NQ$15,286&lt;=$NR$15),IF($NO$15="Single_Point",IF(286=$NQ$15,$NM$15,0),IF($NO$15="Bell_Curve",$NM$15*(286-$NQ$15+1)*($NR$15-286+1)/$NT$15,$NM$15/$NS$15)),0)</f>
        <v/>
      </c>
      <c r="KD15" s="18">
        <f>IF(AND(287&gt;=$NQ$15,287&lt;=$NR$15),IF($NO$15="Single_Point",IF(287=$NQ$15,$NM$15,0),IF($NO$15="Bell_Curve",$NM$15*(287-$NQ$15+1)*($NR$15-287+1)/$NT$15,$NM$15/$NS$15)),0)</f>
        <v/>
      </c>
      <c r="KE15" s="18">
        <f>IF(AND(288&gt;=$NQ$15,288&lt;=$NR$15),IF($NO$15="Single_Point",IF(288=$NQ$15,$NM$15,0),IF($NO$15="Bell_Curve",$NM$15*(288-$NQ$15+1)*($NR$15-288+1)/$NT$15,$NM$15/$NS$15)),0)</f>
        <v/>
      </c>
      <c r="KF15" s="18">
        <f>IF(AND(289&gt;=$NQ$15,289&lt;=$NR$15),IF($NO$15="Single_Point",IF(289=$NQ$15,$NM$15,0),IF($NO$15="Bell_Curve",$NM$15*(289-$NQ$15+1)*($NR$15-289+1)/$NT$15,$NM$15/$NS$15)),0)</f>
        <v/>
      </c>
      <c r="KG15" s="18">
        <f>IF(AND(290&gt;=$NQ$15,290&lt;=$NR$15),IF($NO$15="Single_Point",IF(290=$NQ$15,$NM$15,0),IF($NO$15="Bell_Curve",$NM$15*(290-$NQ$15+1)*($NR$15-290+1)/$NT$15,$NM$15/$NS$15)),0)</f>
        <v/>
      </c>
      <c r="KH15" s="18">
        <f>IF(AND(291&gt;=$NQ$15,291&lt;=$NR$15),IF($NO$15="Single_Point",IF(291=$NQ$15,$NM$15,0),IF($NO$15="Bell_Curve",$NM$15*(291-$NQ$15+1)*($NR$15-291+1)/$NT$15,$NM$15/$NS$15)),0)</f>
        <v/>
      </c>
      <c r="KI15" s="18">
        <f>IF(AND(292&gt;=$NQ$15,292&lt;=$NR$15),IF($NO$15="Single_Point",IF(292=$NQ$15,$NM$15,0),IF($NO$15="Bell_Curve",$NM$15*(292-$NQ$15+1)*($NR$15-292+1)/$NT$15,$NM$15/$NS$15)),0)</f>
        <v/>
      </c>
      <c r="KJ15" s="18">
        <f>IF(AND(293&gt;=$NQ$15,293&lt;=$NR$15),IF($NO$15="Single_Point",IF(293=$NQ$15,$NM$15,0),IF($NO$15="Bell_Curve",$NM$15*(293-$NQ$15+1)*($NR$15-293+1)/$NT$15,$NM$15/$NS$15)),0)</f>
        <v/>
      </c>
      <c r="KK15" s="18">
        <f>IF(AND(294&gt;=$NQ$15,294&lt;=$NR$15),IF($NO$15="Single_Point",IF(294=$NQ$15,$NM$15,0),IF($NO$15="Bell_Curve",$NM$15*(294-$NQ$15+1)*($NR$15-294+1)/$NT$15,$NM$15/$NS$15)),0)</f>
        <v/>
      </c>
      <c r="KL15" s="18">
        <f>IF(AND(295&gt;=$NQ$15,295&lt;=$NR$15),IF($NO$15="Single_Point",IF(295=$NQ$15,$NM$15,0),IF($NO$15="Bell_Curve",$NM$15*(295-$NQ$15+1)*($NR$15-295+1)/$NT$15,$NM$15/$NS$15)),0)</f>
        <v/>
      </c>
      <c r="KM15" s="18">
        <f>IF(AND(296&gt;=$NQ$15,296&lt;=$NR$15),IF($NO$15="Single_Point",IF(296=$NQ$15,$NM$15,0),IF($NO$15="Bell_Curve",$NM$15*(296-$NQ$15+1)*($NR$15-296+1)/$NT$15,$NM$15/$NS$15)),0)</f>
        <v/>
      </c>
      <c r="KN15" s="18">
        <f>IF(AND(297&gt;=$NQ$15,297&lt;=$NR$15),IF($NO$15="Single_Point",IF(297=$NQ$15,$NM$15,0),IF($NO$15="Bell_Curve",$NM$15*(297-$NQ$15+1)*($NR$15-297+1)/$NT$15,$NM$15/$NS$15)),0)</f>
        <v/>
      </c>
      <c r="KO15" s="18">
        <f>IF(AND(298&gt;=$NQ$15,298&lt;=$NR$15),IF($NO$15="Single_Point",IF(298=$NQ$15,$NM$15,0),IF($NO$15="Bell_Curve",$NM$15*(298-$NQ$15+1)*($NR$15-298+1)/$NT$15,$NM$15/$NS$15)),0)</f>
        <v/>
      </c>
      <c r="KP15" s="18">
        <f>IF(AND(299&gt;=$NQ$15,299&lt;=$NR$15),IF($NO$15="Single_Point",IF(299=$NQ$15,$NM$15,0),IF($NO$15="Bell_Curve",$NM$15*(299-$NQ$15+1)*($NR$15-299+1)/$NT$15,$NM$15/$NS$15)),0)</f>
        <v/>
      </c>
      <c r="KQ15" s="18">
        <f>IF(AND(300&gt;=$NQ$15,300&lt;=$NR$15),IF($NO$15="Single_Point",IF(300=$NQ$15,$NM$15,0),IF($NO$15="Bell_Curve",$NM$15*(300-$NQ$15+1)*($NR$15-300+1)/$NT$15,$NM$15/$NS$15)),0)</f>
        <v/>
      </c>
      <c r="KR15" s="18">
        <f>IF(AND(301&gt;=$NQ$15,301&lt;=$NR$15),IF($NO$15="Single_Point",IF(301=$NQ$15,$NM$15,0),IF($NO$15="Bell_Curve",$NM$15*(301-$NQ$15+1)*($NR$15-301+1)/$NT$15,$NM$15/$NS$15)),0)</f>
        <v/>
      </c>
      <c r="KS15" s="18">
        <f>IF(AND(302&gt;=$NQ$15,302&lt;=$NR$15),IF($NO$15="Single_Point",IF(302=$NQ$15,$NM$15,0),IF($NO$15="Bell_Curve",$NM$15*(302-$NQ$15+1)*($NR$15-302+1)/$NT$15,$NM$15/$NS$15)),0)</f>
        <v/>
      </c>
      <c r="KT15" s="18">
        <f>IF(AND(303&gt;=$NQ$15,303&lt;=$NR$15),IF($NO$15="Single_Point",IF(303=$NQ$15,$NM$15,0),IF($NO$15="Bell_Curve",$NM$15*(303-$NQ$15+1)*($NR$15-303+1)/$NT$15,$NM$15/$NS$15)),0)</f>
        <v/>
      </c>
      <c r="KU15" s="18">
        <f>IF(AND(304&gt;=$NQ$15,304&lt;=$NR$15),IF($NO$15="Single_Point",IF(304=$NQ$15,$NM$15,0),IF($NO$15="Bell_Curve",$NM$15*(304-$NQ$15+1)*($NR$15-304+1)/$NT$15,$NM$15/$NS$15)),0)</f>
        <v/>
      </c>
      <c r="KV15" s="18">
        <f>IF(AND(305&gt;=$NQ$15,305&lt;=$NR$15),IF($NO$15="Single_Point",IF(305=$NQ$15,$NM$15,0),IF($NO$15="Bell_Curve",$NM$15*(305-$NQ$15+1)*($NR$15-305+1)/$NT$15,$NM$15/$NS$15)),0)</f>
        <v/>
      </c>
      <c r="KW15" s="18">
        <f>IF(AND(306&gt;=$NQ$15,306&lt;=$NR$15),IF($NO$15="Single_Point",IF(306=$NQ$15,$NM$15,0),IF($NO$15="Bell_Curve",$NM$15*(306-$NQ$15+1)*($NR$15-306+1)/$NT$15,$NM$15/$NS$15)),0)</f>
        <v/>
      </c>
      <c r="KX15" s="18">
        <f>IF(AND(307&gt;=$NQ$15,307&lt;=$NR$15),IF($NO$15="Single_Point",IF(307=$NQ$15,$NM$15,0),IF($NO$15="Bell_Curve",$NM$15*(307-$NQ$15+1)*($NR$15-307+1)/$NT$15,$NM$15/$NS$15)),0)</f>
        <v/>
      </c>
      <c r="KY15" s="18">
        <f>IF(AND(308&gt;=$NQ$15,308&lt;=$NR$15),IF($NO$15="Single_Point",IF(308=$NQ$15,$NM$15,0),IF($NO$15="Bell_Curve",$NM$15*(308-$NQ$15+1)*($NR$15-308+1)/$NT$15,$NM$15/$NS$15)),0)</f>
        <v/>
      </c>
      <c r="KZ15" s="18">
        <f>IF(AND(309&gt;=$NQ$15,309&lt;=$NR$15),IF($NO$15="Single_Point",IF(309=$NQ$15,$NM$15,0),IF($NO$15="Bell_Curve",$NM$15*(309-$NQ$15+1)*($NR$15-309+1)/$NT$15,$NM$15/$NS$15)),0)</f>
        <v/>
      </c>
      <c r="LA15" s="18">
        <f>IF(AND(310&gt;=$NQ$15,310&lt;=$NR$15),IF($NO$15="Single_Point",IF(310=$NQ$15,$NM$15,0),IF($NO$15="Bell_Curve",$NM$15*(310-$NQ$15+1)*($NR$15-310+1)/$NT$15,$NM$15/$NS$15)),0)</f>
        <v/>
      </c>
      <c r="LB15" s="18">
        <f>IF(AND(311&gt;=$NQ$15,311&lt;=$NR$15),IF($NO$15="Single_Point",IF(311=$NQ$15,$NM$15,0),IF($NO$15="Bell_Curve",$NM$15*(311-$NQ$15+1)*($NR$15-311+1)/$NT$15,$NM$15/$NS$15)),0)</f>
        <v/>
      </c>
      <c r="LC15" s="18">
        <f>IF(AND(312&gt;=$NQ$15,312&lt;=$NR$15),IF($NO$15="Single_Point",IF(312=$NQ$15,$NM$15,0),IF($NO$15="Bell_Curve",$NM$15*(312-$NQ$15+1)*($NR$15-312+1)/$NT$15,$NM$15/$NS$15)),0)</f>
        <v/>
      </c>
      <c r="LD15" s="18">
        <f>IF(AND(313&gt;=$NQ$15,313&lt;=$NR$15),IF($NO$15="Single_Point",IF(313=$NQ$15,$NM$15,0),IF($NO$15="Bell_Curve",$NM$15*(313-$NQ$15+1)*($NR$15-313+1)/$NT$15,$NM$15/$NS$15)),0)</f>
        <v/>
      </c>
      <c r="LE15" s="18">
        <f>IF(AND(314&gt;=$NQ$15,314&lt;=$NR$15),IF($NO$15="Single_Point",IF(314=$NQ$15,$NM$15,0),IF($NO$15="Bell_Curve",$NM$15*(314-$NQ$15+1)*($NR$15-314+1)/$NT$15,$NM$15/$NS$15)),0)</f>
        <v/>
      </c>
      <c r="LF15" s="18">
        <f>IF(AND(315&gt;=$NQ$15,315&lt;=$NR$15),IF($NO$15="Single_Point",IF(315=$NQ$15,$NM$15,0),IF($NO$15="Bell_Curve",$NM$15*(315-$NQ$15+1)*($NR$15-315+1)/$NT$15,$NM$15/$NS$15)),0)</f>
        <v/>
      </c>
      <c r="LG15" s="18">
        <f>IF(AND(316&gt;=$NQ$15,316&lt;=$NR$15),IF($NO$15="Single_Point",IF(316=$NQ$15,$NM$15,0),IF($NO$15="Bell_Curve",$NM$15*(316-$NQ$15+1)*($NR$15-316+1)/$NT$15,$NM$15/$NS$15)),0)</f>
        <v/>
      </c>
      <c r="LH15" s="18">
        <f>IF(AND(317&gt;=$NQ$15,317&lt;=$NR$15),IF($NO$15="Single_Point",IF(317=$NQ$15,$NM$15,0),IF($NO$15="Bell_Curve",$NM$15*(317-$NQ$15+1)*($NR$15-317+1)/$NT$15,$NM$15/$NS$15)),0)</f>
        <v/>
      </c>
      <c r="LI15" s="18">
        <f>IF(AND(318&gt;=$NQ$15,318&lt;=$NR$15),IF($NO$15="Single_Point",IF(318=$NQ$15,$NM$15,0),IF($NO$15="Bell_Curve",$NM$15*(318-$NQ$15+1)*($NR$15-318+1)/$NT$15,$NM$15/$NS$15)),0)</f>
        <v/>
      </c>
      <c r="LJ15" s="18">
        <f>IF(AND(319&gt;=$NQ$15,319&lt;=$NR$15),IF($NO$15="Single_Point",IF(319=$NQ$15,$NM$15,0),IF($NO$15="Bell_Curve",$NM$15*(319-$NQ$15+1)*($NR$15-319+1)/$NT$15,$NM$15/$NS$15)),0)</f>
        <v/>
      </c>
      <c r="LK15" s="18">
        <f>IF(AND(320&gt;=$NQ$15,320&lt;=$NR$15),IF($NO$15="Single_Point",IF(320=$NQ$15,$NM$15,0),IF($NO$15="Bell_Curve",$NM$15*(320-$NQ$15+1)*($NR$15-320+1)/$NT$15,$NM$15/$NS$15)),0)</f>
        <v/>
      </c>
      <c r="LL15" s="18">
        <f>IF(AND(321&gt;=$NQ$15,321&lt;=$NR$15),IF($NO$15="Single_Point",IF(321=$NQ$15,$NM$15,0),IF($NO$15="Bell_Curve",$NM$15*(321-$NQ$15+1)*($NR$15-321+1)/$NT$15,$NM$15/$NS$15)),0)</f>
        <v/>
      </c>
      <c r="LM15" s="18">
        <f>IF(AND(322&gt;=$NQ$15,322&lt;=$NR$15),IF($NO$15="Single_Point",IF(322=$NQ$15,$NM$15,0),IF($NO$15="Bell_Curve",$NM$15*(322-$NQ$15+1)*($NR$15-322+1)/$NT$15,$NM$15/$NS$15)),0)</f>
        <v/>
      </c>
      <c r="LN15" s="18">
        <f>IF(AND(323&gt;=$NQ$15,323&lt;=$NR$15),IF($NO$15="Single_Point",IF(323=$NQ$15,$NM$15,0),IF($NO$15="Bell_Curve",$NM$15*(323-$NQ$15+1)*($NR$15-323+1)/$NT$15,$NM$15/$NS$15)),0)</f>
        <v/>
      </c>
      <c r="LO15" s="18">
        <f>IF(AND(324&gt;=$NQ$15,324&lt;=$NR$15),IF($NO$15="Single_Point",IF(324=$NQ$15,$NM$15,0),IF($NO$15="Bell_Curve",$NM$15*(324-$NQ$15+1)*($NR$15-324+1)/$NT$15,$NM$15/$NS$15)),0)</f>
        <v/>
      </c>
      <c r="LP15" s="18">
        <f>IF(AND(325&gt;=$NQ$15,325&lt;=$NR$15),IF($NO$15="Single_Point",IF(325=$NQ$15,$NM$15,0),IF($NO$15="Bell_Curve",$NM$15*(325-$NQ$15+1)*($NR$15-325+1)/$NT$15,$NM$15/$NS$15)),0)</f>
        <v/>
      </c>
      <c r="LQ15" s="18">
        <f>IF(AND(326&gt;=$NQ$15,326&lt;=$NR$15),IF($NO$15="Single_Point",IF(326=$NQ$15,$NM$15,0),IF($NO$15="Bell_Curve",$NM$15*(326-$NQ$15+1)*($NR$15-326+1)/$NT$15,$NM$15/$NS$15)),0)</f>
        <v/>
      </c>
      <c r="LR15" s="18">
        <f>IF(AND(327&gt;=$NQ$15,327&lt;=$NR$15),IF($NO$15="Single_Point",IF(327=$NQ$15,$NM$15,0),IF($NO$15="Bell_Curve",$NM$15*(327-$NQ$15+1)*($NR$15-327+1)/$NT$15,$NM$15/$NS$15)),0)</f>
        <v/>
      </c>
      <c r="LS15" s="18">
        <f>IF(AND(328&gt;=$NQ$15,328&lt;=$NR$15),IF($NO$15="Single_Point",IF(328=$NQ$15,$NM$15,0),IF($NO$15="Bell_Curve",$NM$15*(328-$NQ$15+1)*($NR$15-328+1)/$NT$15,$NM$15/$NS$15)),0)</f>
        <v/>
      </c>
      <c r="LT15" s="18">
        <f>IF(AND(329&gt;=$NQ$15,329&lt;=$NR$15),IF($NO$15="Single_Point",IF(329=$NQ$15,$NM$15,0),IF($NO$15="Bell_Curve",$NM$15*(329-$NQ$15+1)*($NR$15-329+1)/$NT$15,$NM$15/$NS$15)),0)</f>
        <v/>
      </c>
      <c r="LU15" s="18">
        <f>IF(AND(330&gt;=$NQ$15,330&lt;=$NR$15),IF($NO$15="Single_Point",IF(330=$NQ$15,$NM$15,0),IF($NO$15="Bell_Curve",$NM$15*(330-$NQ$15+1)*($NR$15-330+1)/$NT$15,$NM$15/$NS$15)),0)</f>
        <v/>
      </c>
      <c r="LV15" s="18">
        <f>IF(AND(331&gt;=$NQ$15,331&lt;=$NR$15),IF($NO$15="Single_Point",IF(331=$NQ$15,$NM$15,0),IF($NO$15="Bell_Curve",$NM$15*(331-$NQ$15+1)*($NR$15-331+1)/$NT$15,$NM$15/$NS$15)),0)</f>
        <v/>
      </c>
      <c r="LW15" s="18">
        <f>IF(AND(332&gt;=$NQ$15,332&lt;=$NR$15),IF($NO$15="Single_Point",IF(332=$NQ$15,$NM$15,0),IF($NO$15="Bell_Curve",$NM$15*(332-$NQ$15+1)*($NR$15-332+1)/$NT$15,$NM$15/$NS$15)),0)</f>
        <v/>
      </c>
      <c r="LX15" s="18">
        <f>IF(AND(333&gt;=$NQ$15,333&lt;=$NR$15),IF($NO$15="Single_Point",IF(333=$NQ$15,$NM$15,0),IF($NO$15="Bell_Curve",$NM$15*(333-$NQ$15+1)*($NR$15-333+1)/$NT$15,$NM$15/$NS$15)),0)</f>
        <v/>
      </c>
      <c r="LY15" s="18">
        <f>IF(AND(334&gt;=$NQ$15,334&lt;=$NR$15),IF($NO$15="Single_Point",IF(334=$NQ$15,$NM$15,0),IF($NO$15="Bell_Curve",$NM$15*(334-$NQ$15+1)*($NR$15-334+1)/$NT$15,$NM$15/$NS$15)),0)</f>
        <v/>
      </c>
      <c r="LZ15" s="18">
        <f>IF(AND(335&gt;=$NQ$15,335&lt;=$NR$15),IF($NO$15="Single_Point",IF(335=$NQ$15,$NM$15,0),IF($NO$15="Bell_Curve",$NM$15*(335-$NQ$15+1)*($NR$15-335+1)/$NT$15,$NM$15/$NS$15)),0)</f>
        <v/>
      </c>
      <c r="MA15" s="18">
        <f>IF(AND(336&gt;=$NQ$15,336&lt;=$NR$15),IF($NO$15="Single_Point",IF(336=$NQ$15,$NM$15,0),IF($NO$15="Bell_Curve",$NM$15*(336-$NQ$15+1)*($NR$15-336+1)/$NT$15,$NM$15/$NS$15)),0)</f>
        <v/>
      </c>
      <c r="MB15" s="18">
        <f>IF(AND(337&gt;=$NQ$15,337&lt;=$NR$15),IF($NO$15="Single_Point",IF(337=$NQ$15,$NM$15,0),IF($NO$15="Bell_Curve",$NM$15*(337-$NQ$15+1)*($NR$15-337+1)/$NT$15,$NM$15/$NS$15)),0)</f>
        <v/>
      </c>
      <c r="MC15" s="18">
        <f>IF(AND(338&gt;=$NQ$15,338&lt;=$NR$15),IF($NO$15="Single_Point",IF(338=$NQ$15,$NM$15,0),IF($NO$15="Bell_Curve",$NM$15*(338-$NQ$15+1)*($NR$15-338+1)/$NT$15,$NM$15/$NS$15)),0)</f>
        <v/>
      </c>
      <c r="MD15" s="18">
        <f>IF(AND(339&gt;=$NQ$15,339&lt;=$NR$15),IF($NO$15="Single_Point",IF(339=$NQ$15,$NM$15,0),IF($NO$15="Bell_Curve",$NM$15*(339-$NQ$15+1)*($NR$15-339+1)/$NT$15,$NM$15/$NS$15)),0)</f>
        <v/>
      </c>
      <c r="ME15" s="18">
        <f>IF(AND(340&gt;=$NQ$15,340&lt;=$NR$15),IF($NO$15="Single_Point",IF(340=$NQ$15,$NM$15,0),IF($NO$15="Bell_Curve",$NM$15*(340-$NQ$15+1)*($NR$15-340+1)/$NT$15,$NM$15/$NS$15)),0)</f>
        <v/>
      </c>
      <c r="MF15" s="18">
        <f>IF(AND(341&gt;=$NQ$15,341&lt;=$NR$15),IF($NO$15="Single_Point",IF(341=$NQ$15,$NM$15,0),IF($NO$15="Bell_Curve",$NM$15*(341-$NQ$15+1)*($NR$15-341+1)/$NT$15,$NM$15/$NS$15)),0)</f>
        <v/>
      </c>
      <c r="MG15" s="18">
        <f>IF(AND(342&gt;=$NQ$15,342&lt;=$NR$15),IF($NO$15="Single_Point",IF(342=$NQ$15,$NM$15,0),IF($NO$15="Bell_Curve",$NM$15*(342-$NQ$15+1)*($NR$15-342+1)/$NT$15,$NM$15/$NS$15)),0)</f>
        <v/>
      </c>
      <c r="MH15" s="18">
        <f>IF(AND(343&gt;=$NQ$15,343&lt;=$NR$15),IF($NO$15="Single_Point",IF(343=$NQ$15,$NM$15,0),IF($NO$15="Bell_Curve",$NM$15*(343-$NQ$15+1)*($NR$15-343+1)/$NT$15,$NM$15/$NS$15)),0)</f>
        <v/>
      </c>
      <c r="MI15" s="18">
        <f>IF(AND(344&gt;=$NQ$15,344&lt;=$NR$15),IF($NO$15="Single_Point",IF(344=$NQ$15,$NM$15,0),IF($NO$15="Bell_Curve",$NM$15*(344-$NQ$15+1)*($NR$15-344+1)/$NT$15,$NM$15/$NS$15)),0)</f>
        <v/>
      </c>
      <c r="MJ15" s="18">
        <f>IF(AND(345&gt;=$NQ$15,345&lt;=$NR$15),IF($NO$15="Single_Point",IF(345=$NQ$15,$NM$15,0),IF($NO$15="Bell_Curve",$NM$15*(345-$NQ$15+1)*($NR$15-345+1)/$NT$15,$NM$15/$NS$15)),0)</f>
        <v/>
      </c>
      <c r="MK15" s="18">
        <f>IF(AND(346&gt;=$NQ$15,346&lt;=$NR$15),IF($NO$15="Single_Point",IF(346=$NQ$15,$NM$15,0),IF($NO$15="Bell_Curve",$NM$15*(346-$NQ$15+1)*($NR$15-346+1)/$NT$15,$NM$15/$NS$15)),0)</f>
        <v/>
      </c>
      <c r="ML15" s="18">
        <f>IF(AND(347&gt;=$NQ$15,347&lt;=$NR$15),IF($NO$15="Single_Point",IF(347=$NQ$15,$NM$15,0),IF($NO$15="Bell_Curve",$NM$15*(347-$NQ$15+1)*($NR$15-347+1)/$NT$15,$NM$15/$NS$15)),0)</f>
        <v/>
      </c>
      <c r="MM15" s="18">
        <f>IF(AND(348&gt;=$NQ$15,348&lt;=$NR$15),IF($NO$15="Single_Point",IF(348=$NQ$15,$NM$15,0),IF($NO$15="Bell_Curve",$NM$15*(348-$NQ$15+1)*($NR$15-348+1)/$NT$15,$NM$15/$NS$15)),0)</f>
        <v/>
      </c>
      <c r="MN15" s="18">
        <f>IF(AND(349&gt;=$NQ$15,349&lt;=$NR$15),IF($NO$15="Single_Point",IF(349=$NQ$15,$NM$15,0),IF($NO$15="Bell_Curve",$NM$15*(349-$NQ$15+1)*($NR$15-349+1)/$NT$15,$NM$15/$NS$15)),0)</f>
        <v/>
      </c>
      <c r="MO15" s="18">
        <f>IF(AND(350&gt;=$NQ$15,350&lt;=$NR$15),IF($NO$15="Single_Point",IF(350=$NQ$15,$NM$15,0),IF($NO$15="Bell_Curve",$NM$15*(350-$NQ$15+1)*($NR$15-350+1)/$NT$15,$NM$15/$NS$15)),0)</f>
        <v/>
      </c>
      <c r="MP15" s="18">
        <f>IF(AND(351&gt;=$NQ$15,351&lt;=$NR$15),IF($NO$15="Single_Point",IF(351=$NQ$15,$NM$15,0),IF($NO$15="Bell_Curve",$NM$15*(351-$NQ$15+1)*($NR$15-351+1)/$NT$15,$NM$15/$NS$15)),0)</f>
        <v/>
      </c>
      <c r="MQ15" s="18">
        <f>IF(AND(352&gt;=$NQ$15,352&lt;=$NR$15),IF($NO$15="Single_Point",IF(352=$NQ$15,$NM$15,0),IF($NO$15="Bell_Curve",$NM$15*(352-$NQ$15+1)*($NR$15-352+1)/$NT$15,$NM$15/$NS$15)),0)</f>
        <v/>
      </c>
      <c r="MR15" s="18">
        <f>IF(AND(353&gt;=$NQ$15,353&lt;=$NR$15),IF($NO$15="Single_Point",IF(353=$NQ$15,$NM$15,0),IF($NO$15="Bell_Curve",$NM$15*(353-$NQ$15+1)*($NR$15-353+1)/$NT$15,$NM$15/$NS$15)),0)</f>
        <v/>
      </c>
      <c r="MS15" s="18">
        <f>IF(AND(354&gt;=$NQ$15,354&lt;=$NR$15),IF($NO$15="Single_Point",IF(354=$NQ$15,$NM$15,0),IF($NO$15="Bell_Curve",$NM$15*(354-$NQ$15+1)*($NR$15-354+1)/$NT$15,$NM$15/$NS$15)),0)</f>
        <v/>
      </c>
      <c r="MT15" s="18">
        <f>IF(AND(355&gt;=$NQ$15,355&lt;=$NR$15),IF($NO$15="Single_Point",IF(355=$NQ$15,$NM$15,0),IF($NO$15="Bell_Curve",$NM$15*(355-$NQ$15+1)*($NR$15-355+1)/$NT$15,$NM$15/$NS$15)),0)</f>
        <v/>
      </c>
      <c r="MU15" s="18">
        <f>IF(AND(356&gt;=$NQ$15,356&lt;=$NR$15),IF($NO$15="Single_Point",IF(356=$NQ$15,$NM$15,0),IF($NO$15="Bell_Curve",$NM$15*(356-$NQ$15+1)*($NR$15-356+1)/$NT$15,$NM$15/$NS$15)),0)</f>
        <v/>
      </c>
      <c r="MV15" s="18">
        <f>IF(AND(357&gt;=$NQ$15,357&lt;=$NR$15),IF($NO$15="Single_Point",IF(357=$NQ$15,$NM$15,0),IF($NO$15="Bell_Curve",$NM$15*(357-$NQ$15+1)*($NR$15-357+1)/$NT$15,$NM$15/$NS$15)),0)</f>
        <v/>
      </c>
      <c r="MW15" s="18">
        <f>IF(AND(358&gt;=$NQ$15,358&lt;=$NR$15),IF($NO$15="Single_Point",IF(358=$NQ$15,$NM$15,0),IF($NO$15="Bell_Curve",$NM$15*(358-$NQ$15+1)*($NR$15-358+1)/$NT$15,$NM$15/$NS$15)),0)</f>
        <v/>
      </c>
      <c r="MX15" s="18">
        <f>IF(AND(359&gt;=$NQ$15,359&lt;=$NR$15),IF($NO$15="Single_Point",IF(359=$NQ$15,$NM$15,0),IF($NO$15="Bell_Curve",$NM$15*(359-$NQ$15+1)*($NR$15-359+1)/$NT$15,$NM$15/$NS$15)),0)</f>
        <v/>
      </c>
      <c r="MY15" s="18">
        <f>IF(AND(360&gt;=$NQ$15,360&lt;=$NR$15),IF($NO$15="Single_Point",IF(360=$NQ$15,$NM$15,0),IF($NO$15="Bell_Curve",$NM$15*(360-$NQ$15+1)*($NR$15-360+1)/$NT$15,$NM$15/$NS$15)),0)</f>
        <v/>
      </c>
      <c r="MZ15" s="18">
        <f>IF(AND(361&gt;=$NQ$15,361&lt;=$NR$15),IF($NO$15="Single_Point",IF(361=$NQ$15,$NM$15,0),IF($NO$15="Bell_Curve",$NM$15*(361-$NQ$15+1)*($NR$15-361+1)/$NT$15,$NM$15/$NS$15)),0)</f>
        <v/>
      </c>
      <c r="NA15" s="18">
        <f>IF(AND(362&gt;=$NQ$15,362&lt;=$NR$15),IF($NO$15="Single_Point",IF(362=$NQ$15,$NM$15,0),IF($NO$15="Bell_Curve",$NM$15*(362-$NQ$15+1)*($NR$15-362+1)/$NT$15,$NM$15/$NS$15)),0)</f>
        <v/>
      </c>
      <c r="NB15" s="18">
        <f>IF(AND(363&gt;=$NQ$15,363&lt;=$NR$15),IF($NO$15="Single_Point",IF(363=$NQ$15,$NM$15,0),IF($NO$15="Bell_Curve",$NM$15*(363-$NQ$15+1)*($NR$15-363+1)/$NT$15,$NM$15/$NS$15)),0)</f>
        <v/>
      </c>
      <c r="NC15" s="18">
        <f>IF(AND(364&gt;=$NQ$15,364&lt;=$NR$15),IF($NO$15="Single_Point",IF(364=$NQ$15,$NM$15,0),IF($NO$15="Bell_Curve",$NM$15*(364-$NQ$15+1)*($NR$15-364+1)/$NT$15,$NM$15/$NS$15)),0)</f>
        <v/>
      </c>
      <c r="ND15" s="18">
        <f>IF(AND(365&gt;=$NQ$15,365&lt;=$NR$15),IF($NO$15="Single_Point",IF(365=$NQ$15,$NM$15,0),IF($NO$15="Bell_Curve",$NM$15*(365-$NQ$15+1)*($NR$15-365+1)/$NT$15,$NM$15/$NS$15)),0)</f>
        <v/>
      </c>
      <c r="NE15" s="18">
        <f>IF(AND(366&gt;=$NQ$15,366&lt;=$NR$15),IF($NO$15="Single_Point",IF(366=$NQ$15,$NM$15,0),IF($NO$15="Bell_Curve",$NM$15*(366-$NQ$15+1)*($NR$15-366+1)/$NT$15,$NM$15/$NS$15)),0)</f>
        <v/>
      </c>
      <c r="NF15" s="18">
        <f>IF(AND(367&gt;=$NQ$15,367&lt;=$NR$15),IF($NO$15="Single_Point",IF(367=$NQ$15,$NM$15,0),IF($NO$15="Bell_Curve",$NM$15*(367-$NQ$15+1)*($NR$15-367+1)/$NT$15,$NM$15/$NS$15)),0)</f>
        <v/>
      </c>
      <c r="NG15" s="18">
        <f>IF(AND(368&gt;=$NQ$15,368&lt;=$NR$15),IF($NO$15="Single_Point",IF(368=$NQ$15,$NM$15,0),IF($NO$15="Bell_Curve",$NM$15*(368-$NQ$15+1)*($NR$15-368+1)/$NT$15,$NM$15/$NS$15)),0)</f>
        <v/>
      </c>
      <c r="NH15" s="18">
        <f>IF(AND(369&gt;=$NQ$15,369&lt;=$NR$15),IF($NO$15="Single_Point",IF(369=$NQ$15,$NM$15,0),IF($NO$15="Bell_Curve",$NM$15*(369-$NQ$15+1)*($NR$15-369+1)/$NT$15,$NM$15/$NS$15)),0)</f>
        <v/>
      </c>
      <c r="NI15" s="18">
        <f>IF(AND(370&gt;=$NQ$15,370&lt;=$NR$15),IF($NO$15="Single_Point",IF(370=$NQ$15,$NM$15,0),IF($NO$15="Bell_Curve",$NM$15*(370-$NQ$15+1)*($NR$15-370+1)/$NT$15,$NM$15/$NS$15)),0)</f>
        <v/>
      </c>
      <c r="NJ15" s="18">
        <f>IF(AND(371&gt;=$NQ$15,371&lt;=$NR$15),IF($NO$15="Single_Point",IF(371=$NQ$15,$NM$15,0),IF($NO$15="Bell_Curve",$NM$15*(371-$NQ$15+1)*($NR$15-371+1)/$NT$15,$NM$15/$NS$15)),0)</f>
        <v/>
      </c>
      <c r="NK15" s="18">
        <f>IF(AND(372&gt;=$NQ$15,372&lt;=$NR$15),IF($NO$15="Single_Point",IF(372=$NQ$15,$NM$15,0),IF($NO$15="Bell_Curve",$NM$15*(372-$NQ$15+1)*($NR$15-372+1)/$NT$15,$NM$15/$NS$15)),0)</f>
        <v/>
      </c>
      <c r="NM15" s="18">
        <f>Budget!I14</f>
        <v/>
      </c>
      <c r="NN15" s="42">
        <f>Budget!F14</f>
        <v/>
      </c>
      <c r="NO15" s="42">
        <f>Budget!G14</f>
        <v/>
      </c>
      <c r="NP15" s="17">
        <f>Budget!H14</f>
        <v/>
      </c>
      <c r="NQ15" s="32">
        <f>MAX(1,MIN(372,INDEX(MilestoneStart,MATCH(NN15,MilestoneNames,0))+NP15))</f>
        <v/>
      </c>
      <c r="NR15" s="32">
        <f>MAX(NQ15,MIN(372,INDEX(MilestoneEnd,MATCH(NN15,MilestoneNames,0))+NP15))</f>
        <v/>
      </c>
      <c r="NS15" s="17">
        <f>NR15-NQ15+1</f>
        <v/>
      </c>
      <c r="NT15" s="17">
        <f>NS15*(NS15+1)*(NS15+2)/6</f>
        <v/>
      </c>
    </row>
    <row r="16">
      <c r="A16" s="5" t="inlineStr">
        <is>
          <t>Off-Site Improvements</t>
        </is>
      </c>
      <c r="C16" s="41">
        <f>SUM(D16:NK16)</f>
        <v/>
      </c>
      <c r="D16" s="18">
        <f>IF(AND(1&gt;=$NQ$16,1&lt;=$NR$16),IF($NO$16="Single_Point",IF(1=$NQ$16,$NM$16,0),IF($NO$16="Bell_Curve",$NM$16*(1-$NQ$16+1)*($NR$16-1+1)/$NT$16,$NM$16/$NS$16)),0)</f>
        <v/>
      </c>
      <c r="E16" s="18">
        <f>IF(AND(2&gt;=$NQ$16,2&lt;=$NR$16),IF($NO$16="Single_Point",IF(2=$NQ$16,$NM$16,0),IF($NO$16="Bell_Curve",$NM$16*(2-$NQ$16+1)*($NR$16-2+1)/$NT$16,$NM$16/$NS$16)),0)</f>
        <v/>
      </c>
      <c r="F16" s="18">
        <f>IF(AND(3&gt;=$NQ$16,3&lt;=$NR$16),IF($NO$16="Single_Point",IF(3=$NQ$16,$NM$16,0),IF($NO$16="Bell_Curve",$NM$16*(3-$NQ$16+1)*($NR$16-3+1)/$NT$16,$NM$16/$NS$16)),0)</f>
        <v/>
      </c>
      <c r="G16" s="18">
        <f>IF(AND(4&gt;=$NQ$16,4&lt;=$NR$16),IF($NO$16="Single_Point",IF(4=$NQ$16,$NM$16,0),IF($NO$16="Bell_Curve",$NM$16*(4-$NQ$16+1)*($NR$16-4+1)/$NT$16,$NM$16/$NS$16)),0)</f>
        <v/>
      </c>
      <c r="H16" s="18">
        <f>IF(AND(5&gt;=$NQ$16,5&lt;=$NR$16),IF($NO$16="Single_Point",IF(5=$NQ$16,$NM$16,0),IF($NO$16="Bell_Curve",$NM$16*(5-$NQ$16+1)*($NR$16-5+1)/$NT$16,$NM$16/$NS$16)),0)</f>
        <v/>
      </c>
      <c r="I16" s="18">
        <f>IF(AND(6&gt;=$NQ$16,6&lt;=$NR$16),IF($NO$16="Single_Point",IF(6=$NQ$16,$NM$16,0),IF($NO$16="Bell_Curve",$NM$16*(6-$NQ$16+1)*($NR$16-6+1)/$NT$16,$NM$16/$NS$16)),0)</f>
        <v/>
      </c>
      <c r="J16" s="18">
        <f>IF(AND(7&gt;=$NQ$16,7&lt;=$NR$16),IF($NO$16="Single_Point",IF(7=$NQ$16,$NM$16,0),IF($NO$16="Bell_Curve",$NM$16*(7-$NQ$16+1)*($NR$16-7+1)/$NT$16,$NM$16/$NS$16)),0)</f>
        <v/>
      </c>
      <c r="K16" s="18">
        <f>IF(AND(8&gt;=$NQ$16,8&lt;=$NR$16),IF($NO$16="Single_Point",IF(8=$NQ$16,$NM$16,0),IF($NO$16="Bell_Curve",$NM$16*(8-$NQ$16+1)*($NR$16-8+1)/$NT$16,$NM$16/$NS$16)),0)</f>
        <v/>
      </c>
      <c r="L16" s="18">
        <f>IF(AND(9&gt;=$NQ$16,9&lt;=$NR$16),IF($NO$16="Single_Point",IF(9=$NQ$16,$NM$16,0),IF($NO$16="Bell_Curve",$NM$16*(9-$NQ$16+1)*($NR$16-9+1)/$NT$16,$NM$16/$NS$16)),0)</f>
        <v/>
      </c>
      <c r="M16" s="18">
        <f>IF(AND(10&gt;=$NQ$16,10&lt;=$NR$16),IF($NO$16="Single_Point",IF(10=$NQ$16,$NM$16,0),IF($NO$16="Bell_Curve",$NM$16*(10-$NQ$16+1)*($NR$16-10+1)/$NT$16,$NM$16/$NS$16)),0)</f>
        <v/>
      </c>
      <c r="N16" s="18">
        <f>IF(AND(11&gt;=$NQ$16,11&lt;=$NR$16),IF($NO$16="Single_Point",IF(11=$NQ$16,$NM$16,0),IF($NO$16="Bell_Curve",$NM$16*(11-$NQ$16+1)*($NR$16-11+1)/$NT$16,$NM$16/$NS$16)),0)</f>
        <v/>
      </c>
      <c r="O16" s="18">
        <f>IF(AND(12&gt;=$NQ$16,12&lt;=$NR$16),IF($NO$16="Single_Point",IF(12=$NQ$16,$NM$16,0),IF($NO$16="Bell_Curve",$NM$16*(12-$NQ$16+1)*($NR$16-12+1)/$NT$16,$NM$16/$NS$16)),0)</f>
        <v/>
      </c>
      <c r="P16" s="18">
        <f>IF(AND(13&gt;=$NQ$16,13&lt;=$NR$16),IF($NO$16="Single_Point",IF(13=$NQ$16,$NM$16,0),IF($NO$16="Bell_Curve",$NM$16*(13-$NQ$16+1)*($NR$16-13+1)/$NT$16,$NM$16/$NS$16)),0)</f>
        <v/>
      </c>
      <c r="Q16" s="18">
        <f>IF(AND(14&gt;=$NQ$16,14&lt;=$NR$16),IF($NO$16="Single_Point",IF(14=$NQ$16,$NM$16,0),IF($NO$16="Bell_Curve",$NM$16*(14-$NQ$16+1)*($NR$16-14+1)/$NT$16,$NM$16/$NS$16)),0)</f>
        <v/>
      </c>
      <c r="R16" s="18">
        <f>IF(AND(15&gt;=$NQ$16,15&lt;=$NR$16),IF($NO$16="Single_Point",IF(15=$NQ$16,$NM$16,0),IF($NO$16="Bell_Curve",$NM$16*(15-$NQ$16+1)*($NR$16-15+1)/$NT$16,$NM$16/$NS$16)),0)</f>
        <v/>
      </c>
      <c r="S16" s="18">
        <f>IF(AND(16&gt;=$NQ$16,16&lt;=$NR$16),IF($NO$16="Single_Point",IF(16=$NQ$16,$NM$16,0),IF($NO$16="Bell_Curve",$NM$16*(16-$NQ$16+1)*($NR$16-16+1)/$NT$16,$NM$16/$NS$16)),0)</f>
        <v/>
      </c>
      <c r="T16" s="18">
        <f>IF(AND(17&gt;=$NQ$16,17&lt;=$NR$16),IF($NO$16="Single_Point",IF(17=$NQ$16,$NM$16,0),IF($NO$16="Bell_Curve",$NM$16*(17-$NQ$16+1)*($NR$16-17+1)/$NT$16,$NM$16/$NS$16)),0)</f>
        <v/>
      </c>
      <c r="U16" s="18">
        <f>IF(AND(18&gt;=$NQ$16,18&lt;=$NR$16),IF($NO$16="Single_Point",IF(18=$NQ$16,$NM$16,0),IF($NO$16="Bell_Curve",$NM$16*(18-$NQ$16+1)*($NR$16-18+1)/$NT$16,$NM$16/$NS$16)),0)</f>
        <v/>
      </c>
      <c r="V16" s="18">
        <f>IF(AND(19&gt;=$NQ$16,19&lt;=$NR$16),IF($NO$16="Single_Point",IF(19=$NQ$16,$NM$16,0),IF($NO$16="Bell_Curve",$NM$16*(19-$NQ$16+1)*($NR$16-19+1)/$NT$16,$NM$16/$NS$16)),0)</f>
        <v/>
      </c>
      <c r="W16" s="18">
        <f>IF(AND(20&gt;=$NQ$16,20&lt;=$NR$16),IF($NO$16="Single_Point",IF(20=$NQ$16,$NM$16,0),IF($NO$16="Bell_Curve",$NM$16*(20-$NQ$16+1)*($NR$16-20+1)/$NT$16,$NM$16/$NS$16)),0)</f>
        <v/>
      </c>
      <c r="X16" s="18">
        <f>IF(AND(21&gt;=$NQ$16,21&lt;=$NR$16),IF($NO$16="Single_Point",IF(21=$NQ$16,$NM$16,0),IF($NO$16="Bell_Curve",$NM$16*(21-$NQ$16+1)*($NR$16-21+1)/$NT$16,$NM$16/$NS$16)),0)</f>
        <v/>
      </c>
      <c r="Y16" s="18">
        <f>IF(AND(22&gt;=$NQ$16,22&lt;=$NR$16),IF($NO$16="Single_Point",IF(22=$NQ$16,$NM$16,0),IF($NO$16="Bell_Curve",$NM$16*(22-$NQ$16+1)*($NR$16-22+1)/$NT$16,$NM$16/$NS$16)),0)</f>
        <v/>
      </c>
      <c r="Z16" s="18">
        <f>IF(AND(23&gt;=$NQ$16,23&lt;=$NR$16),IF($NO$16="Single_Point",IF(23=$NQ$16,$NM$16,0),IF($NO$16="Bell_Curve",$NM$16*(23-$NQ$16+1)*($NR$16-23+1)/$NT$16,$NM$16/$NS$16)),0)</f>
        <v/>
      </c>
      <c r="AA16" s="18">
        <f>IF(AND(24&gt;=$NQ$16,24&lt;=$NR$16),IF($NO$16="Single_Point",IF(24=$NQ$16,$NM$16,0),IF($NO$16="Bell_Curve",$NM$16*(24-$NQ$16+1)*($NR$16-24+1)/$NT$16,$NM$16/$NS$16)),0)</f>
        <v/>
      </c>
      <c r="AB16" s="18">
        <f>IF(AND(25&gt;=$NQ$16,25&lt;=$NR$16),IF($NO$16="Single_Point",IF(25=$NQ$16,$NM$16,0),IF($NO$16="Bell_Curve",$NM$16*(25-$NQ$16+1)*($NR$16-25+1)/$NT$16,$NM$16/$NS$16)),0)</f>
        <v/>
      </c>
      <c r="AC16" s="18">
        <f>IF(AND(26&gt;=$NQ$16,26&lt;=$NR$16),IF($NO$16="Single_Point",IF(26=$NQ$16,$NM$16,0),IF($NO$16="Bell_Curve",$NM$16*(26-$NQ$16+1)*($NR$16-26+1)/$NT$16,$NM$16/$NS$16)),0)</f>
        <v/>
      </c>
      <c r="AD16" s="18">
        <f>IF(AND(27&gt;=$NQ$16,27&lt;=$NR$16),IF($NO$16="Single_Point",IF(27=$NQ$16,$NM$16,0),IF($NO$16="Bell_Curve",$NM$16*(27-$NQ$16+1)*($NR$16-27+1)/$NT$16,$NM$16/$NS$16)),0)</f>
        <v/>
      </c>
      <c r="AE16" s="18">
        <f>IF(AND(28&gt;=$NQ$16,28&lt;=$NR$16),IF($NO$16="Single_Point",IF(28=$NQ$16,$NM$16,0),IF($NO$16="Bell_Curve",$NM$16*(28-$NQ$16+1)*($NR$16-28+1)/$NT$16,$NM$16/$NS$16)),0)</f>
        <v/>
      </c>
      <c r="AF16" s="18">
        <f>IF(AND(29&gt;=$NQ$16,29&lt;=$NR$16),IF($NO$16="Single_Point",IF(29=$NQ$16,$NM$16,0),IF($NO$16="Bell_Curve",$NM$16*(29-$NQ$16+1)*($NR$16-29+1)/$NT$16,$NM$16/$NS$16)),0)</f>
        <v/>
      </c>
      <c r="AG16" s="18">
        <f>IF(AND(30&gt;=$NQ$16,30&lt;=$NR$16),IF($NO$16="Single_Point",IF(30=$NQ$16,$NM$16,0),IF($NO$16="Bell_Curve",$NM$16*(30-$NQ$16+1)*($NR$16-30+1)/$NT$16,$NM$16/$NS$16)),0)</f>
        <v/>
      </c>
      <c r="AH16" s="18">
        <f>IF(AND(31&gt;=$NQ$16,31&lt;=$NR$16),IF($NO$16="Single_Point",IF(31=$NQ$16,$NM$16,0),IF($NO$16="Bell_Curve",$NM$16*(31-$NQ$16+1)*($NR$16-31+1)/$NT$16,$NM$16/$NS$16)),0)</f>
        <v/>
      </c>
      <c r="AI16" s="18">
        <f>IF(AND(32&gt;=$NQ$16,32&lt;=$NR$16),IF($NO$16="Single_Point",IF(32=$NQ$16,$NM$16,0),IF($NO$16="Bell_Curve",$NM$16*(32-$NQ$16+1)*($NR$16-32+1)/$NT$16,$NM$16/$NS$16)),0)</f>
        <v/>
      </c>
      <c r="AJ16" s="18">
        <f>IF(AND(33&gt;=$NQ$16,33&lt;=$NR$16),IF($NO$16="Single_Point",IF(33=$NQ$16,$NM$16,0),IF($NO$16="Bell_Curve",$NM$16*(33-$NQ$16+1)*($NR$16-33+1)/$NT$16,$NM$16/$NS$16)),0)</f>
        <v/>
      </c>
      <c r="AK16" s="18">
        <f>IF(AND(34&gt;=$NQ$16,34&lt;=$NR$16),IF($NO$16="Single_Point",IF(34=$NQ$16,$NM$16,0),IF($NO$16="Bell_Curve",$NM$16*(34-$NQ$16+1)*($NR$16-34+1)/$NT$16,$NM$16/$NS$16)),0)</f>
        <v/>
      </c>
      <c r="AL16" s="18">
        <f>IF(AND(35&gt;=$NQ$16,35&lt;=$NR$16),IF($NO$16="Single_Point",IF(35=$NQ$16,$NM$16,0),IF($NO$16="Bell_Curve",$NM$16*(35-$NQ$16+1)*($NR$16-35+1)/$NT$16,$NM$16/$NS$16)),0)</f>
        <v/>
      </c>
      <c r="AM16" s="18">
        <f>IF(AND(36&gt;=$NQ$16,36&lt;=$NR$16),IF($NO$16="Single_Point",IF(36=$NQ$16,$NM$16,0),IF($NO$16="Bell_Curve",$NM$16*(36-$NQ$16+1)*($NR$16-36+1)/$NT$16,$NM$16/$NS$16)),0)</f>
        <v/>
      </c>
      <c r="AN16" s="18">
        <f>IF(AND(37&gt;=$NQ$16,37&lt;=$NR$16),IF($NO$16="Single_Point",IF(37=$NQ$16,$NM$16,0),IF($NO$16="Bell_Curve",$NM$16*(37-$NQ$16+1)*($NR$16-37+1)/$NT$16,$NM$16/$NS$16)),0)</f>
        <v/>
      </c>
      <c r="AO16" s="18">
        <f>IF(AND(38&gt;=$NQ$16,38&lt;=$NR$16),IF($NO$16="Single_Point",IF(38=$NQ$16,$NM$16,0),IF($NO$16="Bell_Curve",$NM$16*(38-$NQ$16+1)*($NR$16-38+1)/$NT$16,$NM$16/$NS$16)),0)</f>
        <v/>
      </c>
      <c r="AP16" s="18">
        <f>IF(AND(39&gt;=$NQ$16,39&lt;=$NR$16),IF($NO$16="Single_Point",IF(39=$NQ$16,$NM$16,0),IF($NO$16="Bell_Curve",$NM$16*(39-$NQ$16+1)*($NR$16-39+1)/$NT$16,$NM$16/$NS$16)),0)</f>
        <v/>
      </c>
      <c r="AQ16" s="18">
        <f>IF(AND(40&gt;=$NQ$16,40&lt;=$NR$16),IF($NO$16="Single_Point",IF(40=$NQ$16,$NM$16,0),IF($NO$16="Bell_Curve",$NM$16*(40-$NQ$16+1)*($NR$16-40+1)/$NT$16,$NM$16/$NS$16)),0)</f>
        <v/>
      </c>
      <c r="AR16" s="18">
        <f>IF(AND(41&gt;=$NQ$16,41&lt;=$NR$16),IF($NO$16="Single_Point",IF(41=$NQ$16,$NM$16,0),IF($NO$16="Bell_Curve",$NM$16*(41-$NQ$16+1)*($NR$16-41+1)/$NT$16,$NM$16/$NS$16)),0)</f>
        <v/>
      </c>
      <c r="AS16" s="18">
        <f>IF(AND(42&gt;=$NQ$16,42&lt;=$NR$16),IF($NO$16="Single_Point",IF(42=$NQ$16,$NM$16,0),IF($NO$16="Bell_Curve",$NM$16*(42-$NQ$16+1)*($NR$16-42+1)/$NT$16,$NM$16/$NS$16)),0)</f>
        <v/>
      </c>
      <c r="AT16" s="18">
        <f>IF(AND(43&gt;=$NQ$16,43&lt;=$NR$16),IF($NO$16="Single_Point",IF(43=$NQ$16,$NM$16,0),IF($NO$16="Bell_Curve",$NM$16*(43-$NQ$16+1)*($NR$16-43+1)/$NT$16,$NM$16/$NS$16)),0)</f>
        <v/>
      </c>
      <c r="AU16" s="18">
        <f>IF(AND(44&gt;=$NQ$16,44&lt;=$NR$16),IF($NO$16="Single_Point",IF(44=$NQ$16,$NM$16,0),IF($NO$16="Bell_Curve",$NM$16*(44-$NQ$16+1)*($NR$16-44+1)/$NT$16,$NM$16/$NS$16)),0)</f>
        <v/>
      </c>
      <c r="AV16" s="18">
        <f>IF(AND(45&gt;=$NQ$16,45&lt;=$NR$16),IF($NO$16="Single_Point",IF(45=$NQ$16,$NM$16,0),IF($NO$16="Bell_Curve",$NM$16*(45-$NQ$16+1)*($NR$16-45+1)/$NT$16,$NM$16/$NS$16)),0)</f>
        <v/>
      </c>
      <c r="AW16" s="18">
        <f>IF(AND(46&gt;=$NQ$16,46&lt;=$NR$16),IF($NO$16="Single_Point",IF(46=$NQ$16,$NM$16,0),IF($NO$16="Bell_Curve",$NM$16*(46-$NQ$16+1)*($NR$16-46+1)/$NT$16,$NM$16/$NS$16)),0)</f>
        <v/>
      </c>
      <c r="AX16" s="18">
        <f>IF(AND(47&gt;=$NQ$16,47&lt;=$NR$16),IF($NO$16="Single_Point",IF(47=$NQ$16,$NM$16,0),IF($NO$16="Bell_Curve",$NM$16*(47-$NQ$16+1)*($NR$16-47+1)/$NT$16,$NM$16/$NS$16)),0)</f>
        <v/>
      </c>
      <c r="AY16" s="18">
        <f>IF(AND(48&gt;=$NQ$16,48&lt;=$NR$16),IF($NO$16="Single_Point",IF(48=$NQ$16,$NM$16,0),IF($NO$16="Bell_Curve",$NM$16*(48-$NQ$16+1)*($NR$16-48+1)/$NT$16,$NM$16/$NS$16)),0)</f>
        <v/>
      </c>
      <c r="AZ16" s="18">
        <f>IF(AND(49&gt;=$NQ$16,49&lt;=$NR$16),IF($NO$16="Single_Point",IF(49=$NQ$16,$NM$16,0),IF($NO$16="Bell_Curve",$NM$16*(49-$NQ$16+1)*($NR$16-49+1)/$NT$16,$NM$16/$NS$16)),0)</f>
        <v/>
      </c>
      <c r="BA16" s="18">
        <f>IF(AND(50&gt;=$NQ$16,50&lt;=$NR$16),IF($NO$16="Single_Point",IF(50=$NQ$16,$NM$16,0),IF($NO$16="Bell_Curve",$NM$16*(50-$NQ$16+1)*($NR$16-50+1)/$NT$16,$NM$16/$NS$16)),0)</f>
        <v/>
      </c>
      <c r="BB16" s="18">
        <f>IF(AND(51&gt;=$NQ$16,51&lt;=$NR$16),IF($NO$16="Single_Point",IF(51=$NQ$16,$NM$16,0),IF($NO$16="Bell_Curve",$NM$16*(51-$NQ$16+1)*($NR$16-51+1)/$NT$16,$NM$16/$NS$16)),0)</f>
        <v/>
      </c>
      <c r="BC16" s="18">
        <f>IF(AND(52&gt;=$NQ$16,52&lt;=$NR$16),IF($NO$16="Single_Point",IF(52=$NQ$16,$NM$16,0),IF($NO$16="Bell_Curve",$NM$16*(52-$NQ$16+1)*($NR$16-52+1)/$NT$16,$NM$16/$NS$16)),0)</f>
        <v/>
      </c>
      <c r="BD16" s="18">
        <f>IF(AND(53&gt;=$NQ$16,53&lt;=$NR$16),IF($NO$16="Single_Point",IF(53=$NQ$16,$NM$16,0),IF($NO$16="Bell_Curve",$NM$16*(53-$NQ$16+1)*($NR$16-53+1)/$NT$16,$NM$16/$NS$16)),0)</f>
        <v/>
      </c>
      <c r="BE16" s="18">
        <f>IF(AND(54&gt;=$NQ$16,54&lt;=$NR$16),IF($NO$16="Single_Point",IF(54=$NQ$16,$NM$16,0),IF($NO$16="Bell_Curve",$NM$16*(54-$NQ$16+1)*($NR$16-54+1)/$NT$16,$NM$16/$NS$16)),0)</f>
        <v/>
      </c>
      <c r="BF16" s="18">
        <f>IF(AND(55&gt;=$NQ$16,55&lt;=$NR$16),IF($NO$16="Single_Point",IF(55=$NQ$16,$NM$16,0),IF($NO$16="Bell_Curve",$NM$16*(55-$NQ$16+1)*($NR$16-55+1)/$NT$16,$NM$16/$NS$16)),0)</f>
        <v/>
      </c>
      <c r="BG16" s="18">
        <f>IF(AND(56&gt;=$NQ$16,56&lt;=$NR$16),IF($NO$16="Single_Point",IF(56=$NQ$16,$NM$16,0),IF($NO$16="Bell_Curve",$NM$16*(56-$NQ$16+1)*($NR$16-56+1)/$NT$16,$NM$16/$NS$16)),0)</f>
        <v/>
      </c>
      <c r="BH16" s="18">
        <f>IF(AND(57&gt;=$NQ$16,57&lt;=$NR$16),IF($NO$16="Single_Point",IF(57=$NQ$16,$NM$16,0),IF($NO$16="Bell_Curve",$NM$16*(57-$NQ$16+1)*($NR$16-57+1)/$NT$16,$NM$16/$NS$16)),0)</f>
        <v/>
      </c>
      <c r="BI16" s="18">
        <f>IF(AND(58&gt;=$NQ$16,58&lt;=$NR$16),IF($NO$16="Single_Point",IF(58=$NQ$16,$NM$16,0),IF($NO$16="Bell_Curve",$NM$16*(58-$NQ$16+1)*($NR$16-58+1)/$NT$16,$NM$16/$NS$16)),0)</f>
        <v/>
      </c>
      <c r="BJ16" s="18">
        <f>IF(AND(59&gt;=$NQ$16,59&lt;=$NR$16),IF($NO$16="Single_Point",IF(59=$NQ$16,$NM$16,0),IF($NO$16="Bell_Curve",$NM$16*(59-$NQ$16+1)*($NR$16-59+1)/$NT$16,$NM$16/$NS$16)),0)</f>
        <v/>
      </c>
      <c r="BK16" s="18">
        <f>IF(AND(60&gt;=$NQ$16,60&lt;=$NR$16),IF($NO$16="Single_Point",IF(60=$NQ$16,$NM$16,0),IF($NO$16="Bell_Curve",$NM$16*(60-$NQ$16+1)*($NR$16-60+1)/$NT$16,$NM$16/$NS$16)),0)</f>
        <v/>
      </c>
      <c r="BL16" s="18">
        <f>IF(AND(61&gt;=$NQ$16,61&lt;=$NR$16),IF($NO$16="Single_Point",IF(61=$NQ$16,$NM$16,0),IF($NO$16="Bell_Curve",$NM$16*(61-$NQ$16+1)*($NR$16-61+1)/$NT$16,$NM$16/$NS$16)),0)</f>
        <v/>
      </c>
      <c r="BM16" s="18">
        <f>IF(AND(62&gt;=$NQ$16,62&lt;=$NR$16),IF($NO$16="Single_Point",IF(62=$NQ$16,$NM$16,0),IF($NO$16="Bell_Curve",$NM$16*(62-$NQ$16+1)*($NR$16-62+1)/$NT$16,$NM$16/$NS$16)),0)</f>
        <v/>
      </c>
      <c r="BN16" s="18">
        <f>IF(AND(63&gt;=$NQ$16,63&lt;=$NR$16),IF($NO$16="Single_Point",IF(63=$NQ$16,$NM$16,0),IF($NO$16="Bell_Curve",$NM$16*(63-$NQ$16+1)*($NR$16-63+1)/$NT$16,$NM$16/$NS$16)),0)</f>
        <v/>
      </c>
      <c r="BO16" s="18">
        <f>IF(AND(64&gt;=$NQ$16,64&lt;=$NR$16),IF($NO$16="Single_Point",IF(64=$NQ$16,$NM$16,0),IF($NO$16="Bell_Curve",$NM$16*(64-$NQ$16+1)*($NR$16-64+1)/$NT$16,$NM$16/$NS$16)),0)</f>
        <v/>
      </c>
      <c r="BP16" s="18">
        <f>IF(AND(65&gt;=$NQ$16,65&lt;=$NR$16),IF($NO$16="Single_Point",IF(65=$NQ$16,$NM$16,0),IF($NO$16="Bell_Curve",$NM$16*(65-$NQ$16+1)*($NR$16-65+1)/$NT$16,$NM$16/$NS$16)),0)</f>
        <v/>
      </c>
      <c r="BQ16" s="18">
        <f>IF(AND(66&gt;=$NQ$16,66&lt;=$NR$16),IF($NO$16="Single_Point",IF(66=$NQ$16,$NM$16,0),IF($NO$16="Bell_Curve",$NM$16*(66-$NQ$16+1)*($NR$16-66+1)/$NT$16,$NM$16/$NS$16)),0)</f>
        <v/>
      </c>
      <c r="BR16" s="18">
        <f>IF(AND(67&gt;=$NQ$16,67&lt;=$NR$16),IF($NO$16="Single_Point",IF(67=$NQ$16,$NM$16,0),IF($NO$16="Bell_Curve",$NM$16*(67-$NQ$16+1)*($NR$16-67+1)/$NT$16,$NM$16/$NS$16)),0)</f>
        <v/>
      </c>
      <c r="BS16" s="18">
        <f>IF(AND(68&gt;=$NQ$16,68&lt;=$NR$16),IF($NO$16="Single_Point",IF(68=$NQ$16,$NM$16,0),IF($NO$16="Bell_Curve",$NM$16*(68-$NQ$16+1)*($NR$16-68+1)/$NT$16,$NM$16/$NS$16)),0)</f>
        <v/>
      </c>
      <c r="BT16" s="18">
        <f>IF(AND(69&gt;=$NQ$16,69&lt;=$NR$16),IF($NO$16="Single_Point",IF(69=$NQ$16,$NM$16,0),IF($NO$16="Bell_Curve",$NM$16*(69-$NQ$16+1)*($NR$16-69+1)/$NT$16,$NM$16/$NS$16)),0)</f>
        <v/>
      </c>
      <c r="BU16" s="18">
        <f>IF(AND(70&gt;=$NQ$16,70&lt;=$NR$16),IF($NO$16="Single_Point",IF(70=$NQ$16,$NM$16,0),IF($NO$16="Bell_Curve",$NM$16*(70-$NQ$16+1)*($NR$16-70+1)/$NT$16,$NM$16/$NS$16)),0)</f>
        <v/>
      </c>
      <c r="BV16" s="18">
        <f>IF(AND(71&gt;=$NQ$16,71&lt;=$NR$16),IF($NO$16="Single_Point",IF(71=$NQ$16,$NM$16,0),IF($NO$16="Bell_Curve",$NM$16*(71-$NQ$16+1)*($NR$16-71+1)/$NT$16,$NM$16/$NS$16)),0)</f>
        <v/>
      </c>
      <c r="BW16" s="18">
        <f>IF(AND(72&gt;=$NQ$16,72&lt;=$NR$16),IF($NO$16="Single_Point",IF(72=$NQ$16,$NM$16,0),IF($NO$16="Bell_Curve",$NM$16*(72-$NQ$16+1)*($NR$16-72+1)/$NT$16,$NM$16/$NS$16)),0)</f>
        <v/>
      </c>
      <c r="BX16" s="18">
        <f>IF(AND(73&gt;=$NQ$16,73&lt;=$NR$16),IF($NO$16="Single_Point",IF(73=$NQ$16,$NM$16,0),IF($NO$16="Bell_Curve",$NM$16*(73-$NQ$16+1)*($NR$16-73+1)/$NT$16,$NM$16/$NS$16)),0)</f>
        <v/>
      </c>
      <c r="BY16" s="18">
        <f>IF(AND(74&gt;=$NQ$16,74&lt;=$NR$16),IF($NO$16="Single_Point",IF(74=$NQ$16,$NM$16,0),IF($NO$16="Bell_Curve",$NM$16*(74-$NQ$16+1)*($NR$16-74+1)/$NT$16,$NM$16/$NS$16)),0)</f>
        <v/>
      </c>
      <c r="BZ16" s="18">
        <f>IF(AND(75&gt;=$NQ$16,75&lt;=$NR$16),IF($NO$16="Single_Point",IF(75=$NQ$16,$NM$16,0),IF($NO$16="Bell_Curve",$NM$16*(75-$NQ$16+1)*($NR$16-75+1)/$NT$16,$NM$16/$NS$16)),0)</f>
        <v/>
      </c>
      <c r="CA16" s="18">
        <f>IF(AND(76&gt;=$NQ$16,76&lt;=$NR$16),IF($NO$16="Single_Point",IF(76=$NQ$16,$NM$16,0),IF($NO$16="Bell_Curve",$NM$16*(76-$NQ$16+1)*($NR$16-76+1)/$NT$16,$NM$16/$NS$16)),0)</f>
        <v/>
      </c>
      <c r="CB16" s="18">
        <f>IF(AND(77&gt;=$NQ$16,77&lt;=$NR$16),IF($NO$16="Single_Point",IF(77=$NQ$16,$NM$16,0),IF($NO$16="Bell_Curve",$NM$16*(77-$NQ$16+1)*($NR$16-77+1)/$NT$16,$NM$16/$NS$16)),0)</f>
        <v/>
      </c>
      <c r="CC16" s="18">
        <f>IF(AND(78&gt;=$NQ$16,78&lt;=$NR$16),IF($NO$16="Single_Point",IF(78=$NQ$16,$NM$16,0),IF($NO$16="Bell_Curve",$NM$16*(78-$NQ$16+1)*($NR$16-78+1)/$NT$16,$NM$16/$NS$16)),0)</f>
        <v/>
      </c>
      <c r="CD16" s="18">
        <f>IF(AND(79&gt;=$NQ$16,79&lt;=$NR$16),IF($NO$16="Single_Point",IF(79=$NQ$16,$NM$16,0),IF($NO$16="Bell_Curve",$NM$16*(79-$NQ$16+1)*($NR$16-79+1)/$NT$16,$NM$16/$NS$16)),0)</f>
        <v/>
      </c>
      <c r="CE16" s="18">
        <f>IF(AND(80&gt;=$NQ$16,80&lt;=$NR$16),IF($NO$16="Single_Point",IF(80=$NQ$16,$NM$16,0),IF($NO$16="Bell_Curve",$NM$16*(80-$NQ$16+1)*($NR$16-80+1)/$NT$16,$NM$16/$NS$16)),0)</f>
        <v/>
      </c>
      <c r="CF16" s="18">
        <f>IF(AND(81&gt;=$NQ$16,81&lt;=$NR$16),IF($NO$16="Single_Point",IF(81=$NQ$16,$NM$16,0),IF($NO$16="Bell_Curve",$NM$16*(81-$NQ$16+1)*($NR$16-81+1)/$NT$16,$NM$16/$NS$16)),0)</f>
        <v/>
      </c>
      <c r="CG16" s="18">
        <f>IF(AND(82&gt;=$NQ$16,82&lt;=$NR$16),IF($NO$16="Single_Point",IF(82=$NQ$16,$NM$16,0),IF($NO$16="Bell_Curve",$NM$16*(82-$NQ$16+1)*($NR$16-82+1)/$NT$16,$NM$16/$NS$16)),0)</f>
        <v/>
      </c>
      <c r="CH16" s="18">
        <f>IF(AND(83&gt;=$NQ$16,83&lt;=$NR$16),IF($NO$16="Single_Point",IF(83=$NQ$16,$NM$16,0),IF($NO$16="Bell_Curve",$NM$16*(83-$NQ$16+1)*($NR$16-83+1)/$NT$16,$NM$16/$NS$16)),0)</f>
        <v/>
      </c>
      <c r="CI16" s="18">
        <f>IF(AND(84&gt;=$NQ$16,84&lt;=$NR$16),IF($NO$16="Single_Point",IF(84=$NQ$16,$NM$16,0),IF($NO$16="Bell_Curve",$NM$16*(84-$NQ$16+1)*($NR$16-84+1)/$NT$16,$NM$16/$NS$16)),0)</f>
        <v/>
      </c>
      <c r="CJ16" s="18">
        <f>IF(AND(85&gt;=$NQ$16,85&lt;=$NR$16),IF($NO$16="Single_Point",IF(85=$NQ$16,$NM$16,0),IF($NO$16="Bell_Curve",$NM$16*(85-$NQ$16+1)*($NR$16-85+1)/$NT$16,$NM$16/$NS$16)),0)</f>
        <v/>
      </c>
      <c r="CK16" s="18">
        <f>IF(AND(86&gt;=$NQ$16,86&lt;=$NR$16),IF($NO$16="Single_Point",IF(86=$NQ$16,$NM$16,0),IF($NO$16="Bell_Curve",$NM$16*(86-$NQ$16+1)*($NR$16-86+1)/$NT$16,$NM$16/$NS$16)),0)</f>
        <v/>
      </c>
      <c r="CL16" s="18">
        <f>IF(AND(87&gt;=$NQ$16,87&lt;=$NR$16),IF($NO$16="Single_Point",IF(87=$NQ$16,$NM$16,0),IF($NO$16="Bell_Curve",$NM$16*(87-$NQ$16+1)*($NR$16-87+1)/$NT$16,$NM$16/$NS$16)),0)</f>
        <v/>
      </c>
      <c r="CM16" s="18">
        <f>IF(AND(88&gt;=$NQ$16,88&lt;=$NR$16),IF($NO$16="Single_Point",IF(88=$NQ$16,$NM$16,0),IF($NO$16="Bell_Curve",$NM$16*(88-$NQ$16+1)*($NR$16-88+1)/$NT$16,$NM$16/$NS$16)),0)</f>
        <v/>
      </c>
      <c r="CN16" s="18">
        <f>IF(AND(89&gt;=$NQ$16,89&lt;=$NR$16),IF($NO$16="Single_Point",IF(89=$NQ$16,$NM$16,0),IF($NO$16="Bell_Curve",$NM$16*(89-$NQ$16+1)*($NR$16-89+1)/$NT$16,$NM$16/$NS$16)),0)</f>
        <v/>
      </c>
      <c r="CO16" s="18">
        <f>IF(AND(90&gt;=$NQ$16,90&lt;=$NR$16),IF($NO$16="Single_Point",IF(90=$NQ$16,$NM$16,0),IF($NO$16="Bell_Curve",$NM$16*(90-$NQ$16+1)*($NR$16-90+1)/$NT$16,$NM$16/$NS$16)),0)</f>
        <v/>
      </c>
      <c r="CP16" s="18">
        <f>IF(AND(91&gt;=$NQ$16,91&lt;=$NR$16),IF($NO$16="Single_Point",IF(91=$NQ$16,$NM$16,0),IF($NO$16="Bell_Curve",$NM$16*(91-$NQ$16+1)*($NR$16-91+1)/$NT$16,$NM$16/$NS$16)),0)</f>
        <v/>
      </c>
      <c r="CQ16" s="18">
        <f>IF(AND(92&gt;=$NQ$16,92&lt;=$NR$16),IF($NO$16="Single_Point",IF(92=$NQ$16,$NM$16,0),IF($NO$16="Bell_Curve",$NM$16*(92-$NQ$16+1)*($NR$16-92+1)/$NT$16,$NM$16/$NS$16)),0)</f>
        <v/>
      </c>
      <c r="CR16" s="18">
        <f>IF(AND(93&gt;=$NQ$16,93&lt;=$NR$16),IF($NO$16="Single_Point",IF(93=$NQ$16,$NM$16,0),IF($NO$16="Bell_Curve",$NM$16*(93-$NQ$16+1)*($NR$16-93+1)/$NT$16,$NM$16/$NS$16)),0)</f>
        <v/>
      </c>
      <c r="CS16" s="18">
        <f>IF(AND(94&gt;=$NQ$16,94&lt;=$NR$16),IF($NO$16="Single_Point",IF(94=$NQ$16,$NM$16,0),IF($NO$16="Bell_Curve",$NM$16*(94-$NQ$16+1)*($NR$16-94+1)/$NT$16,$NM$16/$NS$16)),0)</f>
        <v/>
      </c>
      <c r="CT16" s="18">
        <f>IF(AND(95&gt;=$NQ$16,95&lt;=$NR$16),IF($NO$16="Single_Point",IF(95=$NQ$16,$NM$16,0),IF($NO$16="Bell_Curve",$NM$16*(95-$NQ$16+1)*($NR$16-95+1)/$NT$16,$NM$16/$NS$16)),0)</f>
        <v/>
      </c>
      <c r="CU16" s="18">
        <f>IF(AND(96&gt;=$NQ$16,96&lt;=$NR$16),IF($NO$16="Single_Point",IF(96=$NQ$16,$NM$16,0),IF($NO$16="Bell_Curve",$NM$16*(96-$NQ$16+1)*($NR$16-96+1)/$NT$16,$NM$16/$NS$16)),0)</f>
        <v/>
      </c>
      <c r="CV16" s="18">
        <f>IF(AND(97&gt;=$NQ$16,97&lt;=$NR$16),IF($NO$16="Single_Point",IF(97=$NQ$16,$NM$16,0),IF($NO$16="Bell_Curve",$NM$16*(97-$NQ$16+1)*($NR$16-97+1)/$NT$16,$NM$16/$NS$16)),0)</f>
        <v/>
      </c>
      <c r="CW16" s="18">
        <f>IF(AND(98&gt;=$NQ$16,98&lt;=$NR$16),IF($NO$16="Single_Point",IF(98=$NQ$16,$NM$16,0),IF($NO$16="Bell_Curve",$NM$16*(98-$NQ$16+1)*($NR$16-98+1)/$NT$16,$NM$16/$NS$16)),0)</f>
        <v/>
      </c>
      <c r="CX16" s="18">
        <f>IF(AND(99&gt;=$NQ$16,99&lt;=$NR$16),IF($NO$16="Single_Point",IF(99=$NQ$16,$NM$16,0),IF($NO$16="Bell_Curve",$NM$16*(99-$NQ$16+1)*($NR$16-99+1)/$NT$16,$NM$16/$NS$16)),0)</f>
        <v/>
      </c>
      <c r="CY16" s="18">
        <f>IF(AND(100&gt;=$NQ$16,100&lt;=$NR$16),IF($NO$16="Single_Point",IF(100=$NQ$16,$NM$16,0),IF($NO$16="Bell_Curve",$NM$16*(100-$NQ$16+1)*($NR$16-100+1)/$NT$16,$NM$16/$NS$16)),0)</f>
        <v/>
      </c>
      <c r="CZ16" s="18">
        <f>IF(AND(101&gt;=$NQ$16,101&lt;=$NR$16),IF($NO$16="Single_Point",IF(101=$NQ$16,$NM$16,0),IF($NO$16="Bell_Curve",$NM$16*(101-$NQ$16+1)*($NR$16-101+1)/$NT$16,$NM$16/$NS$16)),0)</f>
        <v/>
      </c>
      <c r="DA16" s="18">
        <f>IF(AND(102&gt;=$NQ$16,102&lt;=$NR$16),IF($NO$16="Single_Point",IF(102=$NQ$16,$NM$16,0),IF($NO$16="Bell_Curve",$NM$16*(102-$NQ$16+1)*($NR$16-102+1)/$NT$16,$NM$16/$NS$16)),0)</f>
        <v/>
      </c>
      <c r="DB16" s="18">
        <f>IF(AND(103&gt;=$NQ$16,103&lt;=$NR$16),IF($NO$16="Single_Point",IF(103=$NQ$16,$NM$16,0),IF($NO$16="Bell_Curve",$NM$16*(103-$NQ$16+1)*($NR$16-103+1)/$NT$16,$NM$16/$NS$16)),0)</f>
        <v/>
      </c>
      <c r="DC16" s="18">
        <f>IF(AND(104&gt;=$NQ$16,104&lt;=$NR$16),IF($NO$16="Single_Point",IF(104=$NQ$16,$NM$16,0),IF($NO$16="Bell_Curve",$NM$16*(104-$NQ$16+1)*($NR$16-104+1)/$NT$16,$NM$16/$NS$16)),0)</f>
        <v/>
      </c>
      <c r="DD16" s="18">
        <f>IF(AND(105&gt;=$NQ$16,105&lt;=$NR$16),IF($NO$16="Single_Point",IF(105=$NQ$16,$NM$16,0),IF($NO$16="Bell_Curve",$NM$16*(105-$NQ$16+1)*($NR$16-105+1)/$NT$16,$NM$16/$NS$16)),0)</f>
        <v/>
      </c>
      <c r="DE16" s="18">
        <f>IF(AND(106&gt;=$NQ$16,106&lt;=$NR$16),IF($NO$16="Single_Point",IF(106=$NQ$16,$NM$16,0),IF($NO$16="Bell_Curve",$NM$16*(106-$NQ$16+1)*($NR$16-106+1)/$NT$16,$NM$16/$NS$16)),0)</f>
        <v/>
      </c>
      <c r="DF16" s="18">
        <f>IF(AND(107&gt;=$NQ$16,107&lt;=$NR$16),IF($NO$16="Single_Point",IF(107=$NQ$16,$NM$16,0),IF($NO$16="Bell_Curve",$NM$16*(107-$NQ$16+1)*($NR$16-107+1)/$NT$16,$NM$16/$NS$16)),0)</f>
        <v/>
      </c>
      <c r="DG16" s="18">
        <f>IF(AND(108&gt;=$NQ$16,108&lt;=$NR$16),IF($NO$16="Single_Point",IF(108=$NQ$16,$NM$16,0),IF($NO$16="Bell_Curve",$NM$16*(108-$NQ$16+1)*($NR$16-108+1)/$NT$16,$NM$16/$NS$16)),0)</f>
        <v/>
      </c>
      <c r="DH16" s="18">
        <f>IF(AND(109&gt;=$NQ$16,109&lt;=$NR$16),IF($NO$16="Single_Point",IF(109=$NQ$16,$NM$16,0),IF($NO$16="Bell_Curve",$NM$16*(109-$NQ$16+1)*($NR$16-109+1)/$NT$16,$NM$16/$NS$16)),0)</f>
        <v/>
      </c>
      <c r="DI16" s="18">
        <f>IF(AND(110&gt;=$NQ$16,110&lt;=$NR$16),IF($NO$16="Single_Point",IF(110=$NQ$16,$NM$16,0),IF($NO$16="Bell_Curve",$NM$16*(110-$NQ$16+1)*($NR$16-110+1)/$NT$16,$NM$16/$NS$16)),0)</f>
        <v/>
      </c>
      <c r="DJ16" s="18">
        <f>IF(AND(111&gt;=$NQ$16,111&lt;=$NR$16),IF($NO$16="Single_Point",IF(111=$NQ$16,$NM$16,0),IF($NO$16="Bell_Curve",$NM$16*(111-$NQ$16+1)*($NR$16-111+1)/$NT$16,$NM$16/$NS$16)),0)</f>
        <v/>
      </c>
      <c r="DK16" s="18">
        <f>IF(AND(112&gt;=$NQ$16,112&lt;=$NR$16),IF($NO$16="Single_Point",IF(112=$NQ$16,$NM$16,0),IF($NO$16="Bell_Curve",$NM$16*(112-$NQ$16+1)*($NR$16-112+1)/$NT$16,$NM$16/$NS$16)),0)</f>
        <v/>
      </c>
      <c r="DL16" s="18">
        <f>IF(AND(113&gt;=$NQ$16,113&lt;=$NR$16),IF($NO$16="Single_Point",IF(113=$NQ$16,$NM$16,0),IF($NO$16="Bell_Curve",$NM$16*(113-$NQ$16+1)*($NR$16-113+1)/$NT$16,$NM$16/$NS$16)),0)</f>
        <v/>
      </c>
      <c r="DM16" s="18">
        <f>IF(AND(114&gt;=$NQ$16,114&lt;=$NR$16),IF($NO$16="Single_Point",IF(114=$NQ$16,$NM$16,0),IF($NO$16="Bell_Curve",$NM$16*(114-$NQ$16+1)*($NR$16-114+1)/$NT$16,$NM$16/$NS$16)),0)</f>
        <v/>
      </c>
      <c r="DN16" s="18">
        <f>IF(AND(115&gt;=$NQ$16,115&lt;=$NR$16),IF($NO$16="Single_Point",IF(115=$NQ$16,$NM$16,0),IF($NO$16="Bell_Curve",$NM$16*(115-$NQ$16+1)*($NR$16-115+1)/$NT$16,$NM$16/$NS$16)),0)</f>
        <v/>
      </c>
      <c r="DO16" s="18">
        <f>IF(AND(116&gt;=$NQ$16,116&lt;=$NR$16),IF($NO$16="Single_Point",IF(116=$NQ$16,$NM$16,0),IF($NO$16="Bell_Curve",$NM$16*(116-$NQ$16+1)*($NR$16-116+1)/$NT$16,$NM$16/$NS$16)),0)</f>
        <v/>
      </c>
      <c r="DP16" s="18">
        <f>IF(AND(117&gt;=$NQ$16,117&lt;=$NR$16),IF($NO$16="Single_Point",IF(117=$NQ$16,$NM$16,0),IF($NO$16="Bell_Curve",$NM$16*(117-$NQ$16+1)*($NR$16-117+1)/$NT$16,$NM$16/$NS$16)),0)</f>
        <v/>
      </c>
      <c r="DQ16" s="18">
        <f>IF(AND(118&gt;=$NQ$16,118&lt;=$NR$16),IF($NO$16="Single_Point",IF(118=$NQ$16,$NM$16,0),IF($NO$16="Bell_Curve",$NM$16*(118-$NQ$16+1)*($NR$16-118+1)/$NT$16,$NM$16/$NS$16)),0)</f>
        <v/>
      </c>
      <c r="DR16" s="18">
        <f>IF(AND(119&gt;=$NQ$16,119&lt;=$NR$16),IF($NO$16="Single_Point",IF(119=$NQ$16,$NM$16,0),IF($NO$16="Bell_Curve",$NM$16*(119-$NQ$16+1)*($NR$16-119+1)/$NT$16,$NM$16/$NS$16)),0)</f>
        <v/>
      </c>
      <c r="DS16" s="18">
        <f>IF(AND(120&gt;=$NQ$16,120&lt;=$NR$16),IF($NO$16="Single_Point",IF(120=$NQ$16,$NM$16,0),IF($NO$16="Bell_Curve",$NM$16*(120-$NQ$16+1)*($NR$16-120+1)/$NT$16,$NM$16/$NS$16)),0)</f>
        <v/>
      </c>
      <c r="DT16" s="18">
        <f>IF(AND(121&gt;=$NQ$16,121&lt;=$NR$16),IF($NO$16="Single_Point",IF(121=$NQ$16,$NM$16,0),IF($NO$16="Bell_Curve",$NM$16*(121-$NQ$16+1)*($NR$16-121+1)/$NT$16,$NM$16/$NS$16)),0)</f>
        <v/>
      </c>
      <c r="DU16" s="18">
        <f>IF(AND(122&gt;=$NQ$16,122&lt;=$NR$16),IF($NO$16="Single_Point",IF(122=$NQ$16,$NM$16,0),IF($NO$16="Bell_Curve",$NM$16*(122-$NQ$16+1)*($NR$16-122+1)/$NT$16,$NM$16/$NS$16)),0)</f>
        <v/>
      </c>
      <c r="DV16" s="18">
        <f>IF(AND(123&gt;=$NQ$16,123&lt;=$NR$16),IF($NO$16="Single_Point",IF(123=$NQ$16,$NM$16,0),IF($NO$16="Bell_Curve",$NM$16*(123-$NQ$16+1)*($NR$16-123+1)/$NT$16,$NM$16/$NS$16)),0)</f>
        <v/>
      </c>
      <c r="DW16" s="18">
        <f>IF(AND(124&gt;=$NQ$16,124&lt;=$NR$16),IF($NO$16="Single_Point",IF(124=$NQ$16,$NM$16,0),IF($NO$16="Bell_Curve",$NM$16*(124-$NQ$16+1)*($NR$16-124+1)/$NT$16,$NM$16/$NS$16)),0)</f>
        <v/>
      </c>
      <c r="DX16" s="18">
        <f>IF(AND(125&gt;=$NQ$16,125&lt;=$NR$16),IF($NO$16="Single_Point",IF(125=$NQ$16,$NM$16,0),IF($NO$16="Bell_Curve",$NM$16*(125-$NQ$16+1)*($NR$16-125+1)/$NT$16,$NM$16/$NS$16)),0)</f>
        <v/>
      </c>
      <c r="DY16" s="18">
        <f>IF(AND(126&gt;=$NQ$16,126&lt;=$NR$16),IF($NO$16="Single_Point",IF(126=$NQ$16,$NM$16,0),IF($NO$16="Bell_Curve",$NM$16*(126-$NQ$16+1)*($NR$16-126+1)/$NT$16,$NM$16/$NS$16)),0)</f>
        <v/>
      </c>
      <c r="DZ16" s="18">
        <f>IF(AND(127&gt;=$NQ$16,127&lt;=$NR$16),IF($NO$16="Single_Point",IF(127=$NQ$16,$NM$16,0),IF($NO$16="Bell_Curve",$NM$16*(127-$NQ$16+1)*($NR$16-127+1)/$NT$16,$NM$16/$NS$16)),0)</f>
        <v/>
      </c>
      <c r="EA16" s="18">
        <f>IF(AND(128&gt;=$NQ$16,128&lt;=$NR$16),IF($NO$16="Single_Point",IF(128=$NQ$16,$NM$16,0),IF($NO$16="Bell_Curve",$NM$16*(128-$NQ$16+1)*($NR$16-128+1)/$NT$16,$NM$16/$NS$16)),0)</f>
        <v/>
      </c>
      <c r="EB16" s="18">
        <f>IF(AND(129&gt;=$NQ$16,129&lt;=$NR$16),IF($NO$16="Single_Point",IF(129=$NQ$16,$NM$16,0),IF($NO$16="Bell_Curve",$NM$16*(129-$NQ$16+1)*($NR$16-129+1)/$NT$16,$NM$16/$NS$16)),0)</f>
        <v/>
      </c>
      <c r="EC16" s="18">
        <f>IF(AND(130&gt;=$NQ$16,130&lt;=$NR$16),IF($NO$16="Single_Point",IF(130=$NQ$16,$NM$16,0),IF($NO$16="Bell_Curve",$NM$16*(130-$NQ$16+1)*($NR$16-130+1)/$NT$16,$NM$16/$NS$16)),0)</f>
        <v/>
      </c>
      <c r="ED16" s="18">
        <f>IF(AND(131&gt;=$NQ$16,131&lt;=$NR$16),IF($NO$16="Single_Point",IF(131=$NQ$16,$NM$16,0),IF($NO$16="Bell_Curve",$NM$16*(131-$NQ$16+1)*($NR$16-131+1)/$NT$16,$NM$16/$NS$16)),0)</f>
        <v/>
      </c>
      <c r="EE16" s="18">
        <f>IF(AND(132&gt;=$NQ$16,132&lt;=$NR$16),IF($NO$16="Single_Point",IF(132=$NQ$16,$NM$16,0),IF($NO$16="Bell_Curve",$NM$16*(132-$NQ$16+1)*($NR$16-132+1)/$NT$16,$NM$16/$NS$16)),0)</f>
        <v/>
      </c>
      <c r="EF16" s="18">
        <f>IF(AND(133&gt;=$NQ$16,133&lt;=$NR$16),IF($NO$16="Single_Point",IF(133=$NQ$16,$NM$16,0),IF($NO$16="Bell_Curve",$NM$16*(133-$NQ$16+1)*($NR$16-133+1)/$NT$16,$NM$16/$NS$16)),0)</f>
        <v/>
      </c>
      <c r="EG16" s="18">
        <f>IF(AND(134&gt;=$NQ$16,134&lt;=$NR$16),IF($NO$16="Single_Point",IF(134=$NQ$16,$NM$16,0),IF($NO$16="Bell_Curve",$NM$16*(134-$NQ$16+1)*($NR$16-134+1)/$NT$16,$NM$16/$NS$16)),0)</f>
        <v/>
      </c>
      <c r="EH16" s="18">
        <f>IF(AND(135&gt;=$NQ$16,135&lt;=$NR$16),IF($NO$16="Single_Point",IF(135=$NQ$16,$NM$16,0),IF($NO$16="Bell_Curve",$NM$16*(135-$NQ$16+1)*($NR$16-135+1)/$NT$16,$NM$16/$NS$16)),0)</f>
        <v/>
      </c>
      <c r="EI16" s="18">
        <f>IF(AND(136&gt;=$NQ$16,136&lt;=$NR$16),IF($NO$16="Single_Point",IF(136=$NQ$16,$NM$16,0),IF($NO$16="Bell_Curve",$NM$16*(136-$NQ$16+1)*($NR$16-136+1)/$NT$16,$NM$16/$NS$16)),0)</f>
        <v/>
      </c>
      <c r="EJ16" s="18">
        <f>IF(AND(137&gt;=$NQ$16,137&lt;=$NR$16),IF($NO$16="Single_Point",IF(137=$NQ$16,$NM$16,0),IF($NO$16="Bell_Curve",$NM$16*(137-$NQ$16+1)*($NR$16-137+1)/$NT$16,$NM$16/$NS$16)),0)</f>
        <v/>
      </c>
      <c r="EK16" s="18">
        <f>IF(AND(138&gt;=$NQ$16,138&lt;=$NR$16),IF($NO$16="Single_Point",IF(138=$NQ$16,$NM$16,0),IF($NO$16="Bell_Curve",$NM$16*(138-$NQ$16+1)*($NR$16-138+1)/$NT$16,$NM$16/$NS$16)),0)</f>
        <v/>
      </c>
      <c r="EL16" s="18">
        <f>IF(AND(139&gt;=$NQ$16,139&lt;=$NR$16),IF($NO$16="Single_Point",IF(139=$NQ$16,$NM$16,0),IF($NO$16="Bell_Curve",$NM$16*(139-$NQ$16+1)*($NR$16-139+1)/$NT$16,$NM$16/$NS$16)),0)</f>
        <v/>
      </c>
      <c r="EM16" s="18">
        <f>IF(AND(140&gt;=$NQ$16,140&lt;=$NR$16),IF($NO$16="Single_Point",IF(140=$NQ$16,$NM$16,0),IF($NO$16="Bell_Curve",$NM$16*(140-$NQ$16+1)*($NR$16-140+1)/$NT$16,$NM$16/$NS$16)),0)</f>
        <v/>
      </c>
      <c r="EN16" s="18">
        <f>IF(AND(141&gt;=$NQ$16,141&lt;=$NR$16),IF($NO$16="Single_Point",IF(141=$NQ$16,$NM$16,0),IF($NO$16="Bell_Curve",$NM$16*(141-$NQ$16+1)*($NR$16-141+1)/$NT$16,$NM$16/$NS$16)),0)</f>
        <v/>
      </c>
      <c r="EO16" s="18">
        <f>IF(AND(142&gt;=$NQ$16,142&lt;=$NR$16),IF($NO$16="Single_Point",IF(142=$NQ$16,$NM$16,0),IF($NO$16="Bell_Curve",$NM$16*(142-$NQ$16+1)*($NR$16-142+1)/$NT$16,$NM$16/$NS$16)),0)</f>
        <v/>
      </c>
      <c r="EP16" s="18">
        <f>IF(AND(143&gt;=$NQ$16,143&lt;=$NR$16),IF($NO$16="Single_Point",IF(143=$NQ$16,$NM$16,0),IF($NO$16="Bell_Curve",$NM$16*(143-$NQ$16+1)*($NR$16-143+1)/$NT$16,$NM$16/$NS$16)),0)</f>
        <v/>
      </c>
      <c r="EQ16" s="18">
        <f>IF(AND(144&gt;=$NQ$16,144&lt;=$NR$16),IF($NO$16="Single_Point",IF(144=$NQ$16,$NM$16,0),IF($NO$16="Bell_Curve",$NM$16*(144-$NQ$16+1)*($NR$16-144+1)/$NT$16,$NM$16/$NS$16)),0)</f>
        <v/>
      </c>
      <c r="ER16" s="18">
        <f>IF(AND(145&gt;=$NQ$16,145&lt;=$NR$16),IF($NO$16="Single_Point",IF(145=$NQ$16,$NM$16,0),IF($NO$16="Bell_Curve",$NM$16*(145-$NQ$16+1)*($NR$16-145+1)/$NT$16,$NM$16/$NS$16)),0)</f>
        <v/>
      </c>
      <c r="ES16" s="18">
        <f>IF(AND(146&gt;=$NQ$16,146&lt;=$NR$16),IF($NO$16="Single_Point",IF(146=$NQ$16,$NM$16,0),IF($NO$16="Bell_Curve",$NM$16*(146-$NQ$16+1)*($NR$16-146+1)/$NT$16,$NM$16/$NS$16)),0)</f>
        <v/>
      </c>
      <c r="ET16" s="18">
        <f>IF(AND(147&gt;=$NQ$16,147&lt;=$NR$16),IF($NO$16="Single_Point",IF(147=$NQ$16,$NM$16,0),IF($NO$16="Bell_Curve",$NM$16*(147-$NQ$16+1)*($NR$16-147+1)/$NT$16,$NM$16/$NS$16)),0)</f>
        <v/>
      </c>
      <c r="EU16" s="18">
        <f>IF(AND(148&gt;=$NQ$16,148&lt;=$NR$16),IF($NO$16="Single_Point",IF(148=$NQ$16,$NM$16,0),IF($NO$16="Bell_Curve",$NM$16*(148-$NQ$16+1)*($NR$16-148+1)/$NT$16,$NM$16/$NS$16)),0)</f>
        <v/>
      </c>
      <c r="EV16" s="18">
        <f>IF(AND(149&gt;=$NQ$16,149&lt;=$NR$16),IF($NO$16="Single_Point",IF(149=$NQ$16,$NM$16,0),IF($NO$16="Bell_Curve",$NM$16*(149-$NQ$16+1)*($NR$16-149+1)/$NT$16,$NM$16/$NS$16)),0)</f>
        <v/>
      </c>
      <c r="EW16" s="18">
        <f>IF(AND(150&gt;=$NQ$16,150&lt;=$NR$16),IF($NO$16="Single_Point",IF(150=$NQ$16,$NM$16,0),IF($NO$16="Bell_Curve",$NM$16*(150-$NQ$16+1)*($NR$16-150+1)/$NT$16,$NM$16/$NS$16)),0)</f>
        <v/>
      </c>
      <c r="EX16" s="18">
        <f>IF(AND(151&gt;=$NQ$16,151&lt;=$NR$16),IF($NO$16="Single_Point",IF(151=$NQ$16,$NM$16,0),IF($NO$16="Bell_Curve",$NM$16*(151-$NQ$16+1)*($NR$16-151+1)/$NT$16,$NM$16/$NS$16)),0)</f>
        <v/>
      </c>
      <c r="EY16" s="18">
        <f>IF(AND(152&gt;=$NQ$16,152&lt;=$NR$16),IF($NO$16="Single_Point",IF(152=$NQ$16,$NM$16,0),IF($NO$16="Bell_Curve",$NM$16*(152-$NQ$16+1)*($NR$16-152+1)/$NT$16,$NM$16/$NS$16)),0)</f>
        <v/>
      </c>
      <c r="EZ16" s="18">
        <f>IF(AND(153&gt;=$NQ$16,153&lt;=$NR$16),IF($NO$16="Single_Point",IF(153=$NQ$16,$NM$16,0),IF($NO$16="Bell_Curve",$NM$16*(153-$NQ$16+1)*($NR$16-153+1)/$NT$16,$NM$16/$NS$16)),0)</f>
        <v/>
      </c>
      <c r="FA16" s="18">
        <f>IF(AND(154&gt;=$NQ$16,154&lt;=$NR$16),IF($NO$16="Single_Point",IF(154=$NQ$16,$NM$16,0),IF($NO$16="Bell_Curve",$NM$16*(154-$NQ$16+1)*($NR$16-154+1)/$NT$16,$NM$16/$NS$16)),0)</f>
        <v/>
      </c>
      <c r="FB16" s="18">
        <f>IF(AND(155&gt;=$NQ$16,155&lt;=$NR$16),IF($NO$16="Single_Point",IF(155=$NQ$16,$NM$16,0),IF($NO$16="Bell_Curve",$NM$16*(155-$NQ$16+1)*($NR$16-155+1)/$NT$16,$NM$16/$NS$16)),0)</f>
        <v/>
      </c>
      <c r="FC16" s="18">
        <f>IF(AND(156&gt;=$NQ$16,156&lt;=$NR$16),IF($NO$16="Single_Point",IF(156=$NQ$16,$NM$16,0),IF($NO$16="Bell_Curve",$NM$16*(156-$NQ$16+1)*($NR$16-156+1)/$NT$16,$NM$16/$NS$16)),0)</f>
        <v/>
      </c>
      <c r="FD16" s="18">
        <f>IF(AND(157&gt;=$NQ$16,157&lt;=$NR$16),IF($NO$16="Single_Point",IF(157=$NQ$16,$NM$16,0),IF($NO$16="Bell_Curve",$NM$16*(157-$NQ$16+1)*($NR$16-157+1)/$NT$16,$NM$16/$NS$16)),0)</f>
        <v/>
      </c>
      <c r="FE16" s="18">
        <f>IF(AND(158&gt;=$NQ$16,158&lt;=$NR$16),IF($NO$16="Single_Point",IF(158=$NQ$16,$NM$16,0),IF($NO$16="Bell_Curve",$NM$16*(158-$NQ$16+1)*($NR$16-158+1)/$NT$16,$NM$16/$NS$16)),0)</f>
        <v/>
      </c>
      <c r="FF16" s="18">
        <f>IF(AND(159&gt;=$NQ$16,159&lt;=$NR$16),IF($NO$16="Single_Point",IF(159=$NQ$16,$NM$16,0),IF($NO$16="Bell_Curve",$NM$16*(159-$NQ$16+1)*($NR$16-159+1)/$NT$16,$NM$16/$NS$16)),0)</f>
        <v/>
      </c>
      <c r="FG16" s="18">
        <f>IF(AND(160&gt;=$NQ$16,160&lt;=$NR$16),IF($NO$16="Single_Point",IF(160=$NQ$16,$NM$16,0),IF($NO$16="Bell_Curve",$NM$16*(160-$NQ$16+1)*($NR$16-160+1)/$NT$16,$NM$16/$NS$16)),0)</f>
        <v/>
      </c>
      <c r="FH16" s="18">
        <f>IF(AND(161&gt;=$NQ$16,161&lt;=$NR$16),IF($NO$16="Single_Point",IF(161=$NQ$16,$NM$16,0),IF($NO$16="Bell_Curve",$NM$16*(161-$NQ$16+1)*($NR$16-161+1)/$NT$16,$NM$16/$NS$16)),0)</f>
        <v/>
      </c>
      <c r="FI16" s="18">
        <f>IF(AND(162&gt;=$NQ$16,162&lt;=$NR$16),IF($NO$16="Single_Point",IF(162=$NQ$16,$NM$16,0),IF($NO$16="Bell_Curve",$NM$16*(162-$NQ$16+1)*($NR$16-162+1)/$NT$16,$NM$16/$NS$16)),0)</f>
        <v/>
      </c>
      <c r="FJ16" s="18">
        <f>IF(AND(163&gt;=$NQ$16,163&lt;=$NR$16),IF($NO$16="Single_Point",IF(163=$NQ$16,$NM$16,0),IF($NO$16="Bell_Curve",$NM$16*(163-$NQ$16+1)*($NR$16-163+1)/$NT$16,$NM$16/$NS$16)),0)</f>
        <v/>
      </c>
      <c r="FK16" s="18">
        <f>IF(AND(164&gt;=$NQ$16,164&lt;=$NR$16),IF($NO$16="Single_Point",IF(164=$NQ$16,$NM$16,0),IF($NO$16="Bell_Curve",$NM$16*(164-$NQ$16+1)*($NR$16-164+1)/$NT$16,$NM$16/$NS$16)),0)</f>
        <v/>
      </c>
      <c r="FL16" s="18">
        <f>IF(AND(165&gt;=$NQ$16,165&lt;=$NR$16),IF($NO$16="Single_Point",IF(165=$NQ$16,$NM$16,0),IF($NO$16="Bell_Curve",$NM$16*(165-$NQ$16+1)*($NR$16-165+1)/$NT$16,$NM$16/$NS$16)),0)</f>
        <v/>
      </c>
      <c r="FM16" s="18">
        <f>IF(AND(166&gt;=$NQ$16,166&lt;=$NR$16),IF($NO$16="Single_Point",IF(166=$NQ$16,$NM$16,0),IF($NO$16="Bell_Curve",$NM$16*(166-$NQ$16+1)*($NR$16-166+1)/$NT$16,$NM$16/$NS$16)),0)</f>
        <v/>
      </c>
      <c r="FN16" s="18">
        <f>IF(AND(167&gt;=$NQ$16,167&lt;=$NR$16),IF($NO$16="Single_Point",IF(167=$NQ$16,$NM$16,0),IF($NO$16="Bell_Curve",$NM$16*(167-$NQ$16+1)*($NR$16-167+1)/$NT$16,$NM$16/$NS$16)),0)</f>
        <v/>
      </c>
      <c r="FO16" s="18">
        <f>IF(AND(168&gt;=$NQ$16,168&lt;=$NR$16),IF($NO$16="Single_Point",IF(168=$NQ$16,$NM$16,0),IF($NO$16="Bell_Curve",$NM$16*(168-$NQ$16+1)*($NR$16-168+1)/$NT$16,$NM$16/$NS$16)),0)</f>
        <v/>
      </c>
      <c r="FP16" s="18">
        <f>IF(AND(169&gt;=$NQ$16,169&lt;=$NR$16),IF($NO$16="Single_Point",IF(169=$NQ$16,$NM$16,0),IF($NO$16="Bell_Curve",$NM$16*(169-$NQ$16+1)*($NR$16-169+1)/$NT$16,$NM$16/$NS$16)),0)</f>
        <v/>
      </c>
      <c r="FQ16" s="18">
        <f>IF(AND(170&gt;=$NQ$16,170&lt;=$NR$16),IF($NO$16="Single_Point",IF(170=$NQ$16,$NM$16,0),IF($NO$16="Bell_Curve",$NM$16*(170-$NQ$16+1)*($NR$16-170+1)/$NT$16,$NM$16/$NS$16)),0)</f>
        <v/>
      </c>
      <c r="FR16" s="18">
        <f>IF(AND(171&gt;=$NQ$16,171&lt;=$NR$16),IF($NO$16="Single_Point",IF(171=$NQ$16,$NM$16,0),IF($NO$16="Bell_Curve",$NM$16*(171-$NQ$16+1)*($NR$16-171+1)/$NT$16,$NM$16/$NS$16)),0)</f>
        <v/>
      </c>
      <c r="FS16" s="18">
        <f>IF(AND(172&gt;=$NQ$16,172&lt;=$NR$16),IF($NO$16="Single_Point",IF(172=$NQ$16,$NM$16,0),IF($NO$16="Bell_Curve",$NM$16*(172-$NQ$16+1)*($NR$16-172+1)/$NT$16,$NM$16/$NS$16)),0)</f>
        <v/>
      </c>
      <c r="FT16" s="18">
        <f>IF(AND(173&gt;=$NQ$16,173&lt;=$NR$16),IF($NO$16="Single_Point",IF(173=$NQ$16,$NM$16,0),IF($NO$16="Bell_Curve",$NM$16*(173-$NQ$16+1)*($NR$16-173+1)/$NT$16,$NM$16/$NS$16)),0)</f>
        <v/>
      </c>
      <c r="FU16" s="18">
        <f>IF(AND(174&gt;=$NQ$16,174&lt;=$NR$16),IF($NO$16="Single_Point",IF(174=$NQ$16,$NM$16,0),IF($NO$16="Bell_Curve",$NM$16*(174-$NQ$16+1)*($NR$16-174+1)/$NT$16,$NM$16/$NS$16)),0)</f>
        <v/>
      </c>
      <c r="FV16" s="18">
        <f>IF(AND(175&gt;=$NQ$16,175&lt;=$NR$16),IF($NO$16="Single_Point",IF(175=$NQ$16,$NM$16,0),IF($NO$16="Bell_Curve",$NM$16*(175-$NQ$16+1)*($NR$16-175+1)/$NT$16,$NM$16/$NS$16)),0)</f>
        <v/>
      </c>
      <c r="FW16" s="18">
        <f>IF(AND(176&gt;=$NQ$16,176&lt;=$NR$16),IF($NO$16="Single_Point",IF(176=$NQ$16,$NM$16,0),IF($NO$16="Bell_Curve",$NM$16*(176-$NQ$16+1)*($NR$16-176+1)/$NT$16,$NM$16/$NS$16)),0)</f>
        <v/>
      </c>
      <c r="FX16" s="18">
        <f>IF(AND(177&gt;=$NQ$16,177&lt;=$NR$16),IF($NO$16="Single_Point",IF(177=$NQ$16,$NM$16,0),IF($NO$16="Bell_Curve",$NM$16*(177-$NQ$16+1)*($NR$16-177+1)/$NT$16,$NM$16/$NS$16)),0)</f>
        <v/>
      </c>
      <c r="FY16" s="18">
        <f>IF(AND(178&gt;=$NQ$16,178&lt;=$NR$16),IF($NO$16="Single_Point",IF(178=$NQ$16,$NM$16,0),IF($NO$16="Bell_Curve",$NM$16*(178-$NQ$16+1)*($NR$16-178+1)/$NT$16,$NM$16/$NS$16)),0)</f>
        <v/>
      </c>
      <c r="FZ16" s="18">
        <f>IF(AND(179&gt;=$NQ$16,179&lt;=$NR$16),IF($NO$16="Single_Point",IF(179=$NQ$16,$NM$16,0),IF($NO$16="Bell_Curve",$NM$16*(179-$NQ$16+1)*($NR$16-179+1)/$NT$16,$NM$16/$NS$16)),0)</f>
        <v/>
      </c>
      <c r="GA16" s="18">
        <f>IF(AND(180&gt;=$NQ$16,180&lt;=$NR$16),IF($NO$16="Single_Point",IF(180=$NQ$16,$NM$16,0),IF($NO$16="Bell_Curve",$NM$16*(180-$NQ$16+1)*($NR$16-180+1)/$NT$16,$NM$16/$NS$16)),0)</f>
        <v/>
      </c>
      <c r="GB16" s="18">
        <f>IF(AND(181&gt;=$NQ$16,181&lt;=$NR$16),IF($NO$16="Single_Point",IF(181=$NQ$16,$NM$16,0),IF($NO$16="Bell_Curve",$NM$16*(181-$NQ$16+1)*($NR$16-181+1)/$NT$16,$NM$16/$NS$16)),0)</f>
        <v/>
      </c>
      <c r="GC16" s="18">
        <f>IF(AND(182&gt;=$NQ$16,182&lt;=$NR$16),IF($NO$16="Single_Point",IF(182=$NQ$16,$NM$16,0),IF($NO$16="Bell_Curve",$NM$16*(182-$NQ$16+1)*($NR$16-182+1)/$NT$16,$NM$16/$NS$16)),0)</f>
        <v/>
      </c>
      <c r="GD16" s="18">
        <f>IF(AND(183&gt;=$NQ$16,183&lt;=$NR$16),IF($NO$16="Single_Point",IF(183=$NQ$16,$NM$16,0),IF($NO$16="Bell_Curve",$NM$16*(183-$NQ$16+1)*($NR$16-183+1)/$NT$16,$NM$16/$NS$16)),0)</f>
        <v/>
      </c>
      <c r="GE16" s="18">
        <f>IF(AND(184&gt;=$NQ$16,184&lt;=$NR$16),IF($NO$16="Single_Point",IF(184=$NQ$16,$NM$16,0),IF($NO$16="Bell_Curve",$NM$16*(184-$NQ$16+1)*($NR$16-184+1)/$NT$16,$NM$16/$NS$16)),0)</f>
        <v/>
      </c>
      <c r="GF16" s="18">
        <f>IF(AND(185&gt;=$NQ$16,185&lt;=$NR$16),IF($NO$16="Single_Point",IF(185=$NQ$16,$NM$16,0),IF($NO$16="Bell_Curve",$NM$16*(185-$NQ$16+1)*($NR$16-185+1)/$NT$16,$NM$16/$NS$16)),0)</f>
        <v/>
      </c>
      <c r="GG16" s="18">
        <f>IF(AND(186&gt;=$NQ$16,186&lt;=$NR$16),IF($NO$16="Single_Point",IF(186=$NQ$16,$NM$16,0),IF($NO$16="Bell_Curve",$NM$16*(186-$NQ$16+1)*($NR$16-186+1)/$NT$16,$NM$16/$NS$16)),0)</f>
        <v/>
      </c>
      <c r="GH16" s="18">
        <f>IF(AND(187&gt;=$NQ$16,187&lt;=$NR$16),IF($NO$16="Single_Point",IF(187=$NQ$16,$NM$16,0),IF($NO$16="Bell_Curve",$NM$16*(187-$NQ$16+1)*($NR$16-187+1)/$NT$16,$NM$16/$NS$16)),0)</f>
        <v/>
      </c>
      <c r="GI16" s="18">
        <f>IF(AND(188&gt;=$NQ$16,188&lt;=$NR$16),IF($NO$16="Single_Point",IF(188=$NQ$16,$NM$16,0),IF($NO$16="Bell_Curve",$NM$16*(188-$NQ$16+1)*($NR$16-188+1)/$NT$16,$NM$16/$NS$16)),0)</f>
        <v/>
      </c>
      <c r="GJ16" s="18">
        <f>IF(AND(189&gt;=$NQ$16,189&lt;=$NR$16),IF($NO$16="Single_Point",IF(189=$NQ$16,$NM$16,0),IF($NO$16="Bell_Curve",$NM$16*(189-$NQ$16+1)*($NR$16-189+1)/$NT$16,$NM$16/$NS$16)),0)</f>
        <v/>
      </c>
      <c r="GK16" s="18">
        <f>IF(AND(190&gt;=$NQ$16,190&lt;=$NR$16),IF($NO$16="Single_Point",IF(190=$NQ$16,$NM$16,0),IF($NO$16="Bell_Curve",$NM$16*(190-$NQ$16+1)*($NR$16-190+1)/$NT$16,$NM$16/$NS$16)),0)</f>
        <v/>
      </c>
      <c r="GL16" s="18">
        <f>IF(AND(191&gt;=$NQ$16,191&lt;=$NR$16),IF($NO$16="Single_Point",IF(191=$NQ$16,$NM$16,0),IF($NO$16="Bell_Curve",$NM$16*(191-$NQ$16+1)*($NR$16-191+1)/$NT$16,$NM$16/$NS$16)),0)</f>
        <v/>
      </c>
      <c r="GM16" s="18">
        <f>IF(AND(192&gt;=$NQ$16,192&lt;=$NR$16),IF($NO$16="Single_Point",IF(192=$NQ$16,$NM$16,0),IF($NO$16="Bell_Curve",$NM$16*(192-$NQ$16+1)*($NR$16-192+1)/$NT$16,$NM$16/$NS$16)),0)</f>
        <v/>
      </c>
      <c r="GN16" s="18">
        <f>IF(AND(193&gt;=$NQ$16,193&lt;=$NR$16),IF($NO$16="Single_Point",IF(193=$NQ$16,$NM$16,0),IF($NO$16="Bell_Curve",$NM$16*(193-$NQ$16+1)*($NR$16-193+1)/$NT$16,$NM$16/$NS$16)),0)</f>
        <v/>
      </c>
      <c r="GO16" s="18">
        <f>IF(AND(194&gt;=$NQ$16,194&lt;=$NR$16),IF($NO$16="Single_Point",IF(194=$NQ$16,$NM$16,0),IF($NO$16="Bell_Curve",$NM$16*(194-$NQ$16+1)*($NR$16-194+1)/$NT$16,$NM$16/$NS$16)),0)</f>
        <v/>
      </c>
      <c r="GP16" s="18">
        <f>IF(AND(195&gt;=$NQ$16,195&lt;=$NR$16),IF($NO$16="Single_Point",IF(195=$NQ$16,$NM$16,0),IF($NO$16="Bell_Curve",$NM$16*(195-$NQ$16+1)*($NR$16-195+1)/$NT$16,$NM$16/$NS$16)),0)</f>
        <v/>
      </c>
      <c r="GQ16" s="18">
        <f>IF(AND(196&gt;=$NQ$16,196&lt;=$NR$16),IF($NO$16="Single_Point",IF(196=$NQ$16,$NM$16,0),IF($NO$16="Bell_Curve",$NM$16*(196-$NQ$16+1)*($NR$16-196+1)/$NT$16,$NM$16/$NS$16)),0)</f>
        <v/>
      </c>
      <c r="GR16" s="18">
        <f>IF(AND(197&gt;=$NQ$16,197&lt;=$NR$16),IF($NO$16="Single_Point",IF(197=$NQ$16,$NM$16,0),IF($NO$16="Bell_Curve",$NM$16*(197-$NQ$16+1)*($NR$16-197+1)/$NT$16,$NM$16/$NS$16)),0)</f>
        <v/>
      </c>
      <c r="GS16" s="18">
        <f>IF(AND(198&gt;=$NQ$16,198&lt;=$NR$16),IF($NO$16="Single_Point",IF(198=$NQ$16,$NM$16,0),IF($NO$16="Bell_Curve",$NM$16*(198-$NQ$16+1)*($NR$16-198+1)/$NT$16,$NM$16/$NS$16)),0)</f>
        <v/>
      </c>
      <c r="GT16" s="18">
        <f>IF(AND(199&gt;=$NQ$16,199&lt;=$NR$16),IF($NO$16="Single_Point",IF(199=$NQ$16,$NM$16,0),IF($NO$16="Bell_Curve",$NM$16*(199-$NQ$16+1)*($NR$16-199+1)/$NT$16,$NM$16/$NS$16)),0)</f>
        <v/>
      </c>
      <c r="GU16" s="18">
        <f>IF(AND(200&gt;=$NQ$16,200&lt;=$NR$16),IF($NO$16="Single_Point",IF(200=$NQ$16,$NM$16,0),IF($NO$16="Bell_Curve",$NM$16*(200-$NQ$16+1)*($NR$16-200+1)/$NT$16,$NM$16/$NS$16)),0)</f>
        <v/>
      </c>
      <c r="GV16" s="18">
        <f>IF(AND(201&gt;=$NQ$16,201&lt;=$NR$16),IF($NO$16="Single_Point",IF(201=$NQ$16,$NM$16,0),IF($NO$16="Bell_Curve",$NM$16*(201-$NQ$16+1)*($NR$16-201+1)/$NT$16,$NM$16/$NS$16)),0)</f>
        <v/>
      </c>
      <c r="GW16" s="18">
        <f>IF(AND(202&gt;=$NQ$16,202&lt;=$NR$16),IF($NO$16="Single_Point",IF(202=$NQ$16,$NM$16,0),IF($NO$16="Bell_Curve",$NM$16*(202-$NQ$16+1)*($NR$16-202+1)/$NT$16,$NM$16/$NS$16)),0)</f>
        <v/>
      </c>
      <c r="GX16" s="18">
        <f>IF(AND(203&gt;=$NQ$16,203&lt;=$NR$16),IF($NO$16="Single_Point",IF(203=$NQ$16,$NM$16,0),IF($NO$16="Bell_Curve",$NM$16*(203-$NQ$16+1)*($NR$16-203+1)/$NT$16,$NM$16/$NS$16)),0)</f>
        <v/>
      </c>
      <c r="GY16" s="18">
        <f>IF(AND(204&gt;=$NQ$16,204&lt;=$NR$16),IF($NO$16="Single_Point",IF(204=$NQ$16,$NM$16,0),IF($NO$16="Bell_Curve",$NM$16*(204-$NQ$16+1)*($NR$16-204+1)/$NT$16,$NM$16/$NS$16)),0)</f>
        <v/>
      </c>
      <c r="GZ16" s="18">
        <f>IF(AND(205&gt;=$NQ$16,205&lt;=$NR$16),IF($NO$16="Single_Point",IF(205=$NQ$16,$NM$16,0),IF($NO$16="Bell_Curve",$NM$16*(205-$NQ$16+1)*($NR$16-205+1)/$NT$16,$NM$16/$NS$16)),0)</f>
        <v/>
      </c>
      <c r="HA16" s="18">
        <f>IF(AND(206&gt;=$NQ$16,206&lt;=$NR$16),IF($NO$16="Single_Point",IF(206=$NQ$16,$NM$16,0),IF($NO$16="Bell_Curve",$NM$16*(206-$NQ$16+1)*($NR$16-206+1)/$NT$16,$NM$16/$NS$16)),0)</f>
        <v/>
      </c>
      <c r="HB16" s="18">
        <f>IF(AND(207&gt;=$NQ$16,207&lt;=$NR$16),IF($NO$16="Single_Point",IF(207=$NQ$16,$NM$16,0),IF($NO$16="Bell_Curve",$NM$16*(207-$NQ$16+1)*($NR$16-207+1)/$NT$16,$NM$16/$NS$16)),0)</f>
        <v/>
      </c>
      <c r="HC16" s="18">
        <f>IF(AND(208&gt;=$NQ$16,208&lt;=$NR$16),IF($NO$16="Single_Point",IF(208=$NQ$16,$NM$16,0),IF($NO$16="Bell_Curve",$NM$16*(208-$NQ$16+1)*($NR$16-208+1)/$NT$16,$NM$16/$NS$16)),0)</f>
        <v/>
      </c>
      <c r="HD16" s="18">
        <f>IF(AND(209&gt;=$NQ$16,209&lt;=$NR$16),IF($NO$16="Single_Point",IF(209=$NQ$16,$NM$16,0),IF($NO$16="Bell_Curve",$NM$16*(209-$NQ$16+1)*($NR$16-209+1)/$NT$16,$NM$16/$NS$16)),0)</f>
        <v/>
      </c>
      <c r="HE16" s="18">
        <f>IF(AND(210&gt;=$NQ$16,210&lt;=$NR$16),IF($NO$16="Single_Point",IF(210=$NQ$16,$NM$16,0),IF($NO$16="Bell_Curve",$NM$16*(210-$NQ$16+1)*($NR$16-210+1)/$NT$16,$NM$16/$NS$16)),0)</f>
        <v/>
      </c>
      <c r="HF16" s="18">
        <f>IF(AND(211&gt;=$NQ$16,211&lt;=$NR$16),IF($NO$16="Single_Point",IF(211=$NQ$16,$NM$16,0),IF($NO$16="Bell_Curve",$NM$16*(211-$NQ$16+1)*($NR$16-211+1)/$NT$16,$NM$16/$NS$16)),0)</f>
        <v/>
      </c>
      <c r="HG16" s="18">
        <f>IF(AND(212&gt;=$NQ$16,212&lt;=$NR$16),IF($NO$16="Single_Point",IF(212=$NQ$16,$NM$16,0),IF($NO$16="Bell_Curve",$NM$16*(212-$NQ$16+1)*($NR$16-212+1)/$NT$16,$NM$16/$NS$16)),0)</f>
        <v/>
      </c>
      <c r="HH16" s="18">
        <f>IF(AND(213&gt;=$NQ$16,213&lt;=$NR$16),IF($NO$16="Single_Point",IF(213=$NQ$16,$NM$16,0),IF($NO$16="Bell_Curve",$NM$16*(213-$NQ$16+1)*($NR$16-213+1)/$NT$16,$NM$16/$NS$16)),0)</f>
        <v/>
      </c>
      <c r="HI16" s="18">
        <f>IF(AND(214&gt;=$NQ$16,214&lt;=$NR$16),IF($NO$16="Single_Point",IF(214=$NQ$16,$NM$16,0),IF($NO$16="Bell_Curve",$NM$16*(214-$NQ$16+1)*($NR$16-214+1)/$NT$16,$NM$16/$NS$16)),0)</f>
        <v/>
      </c>
      <c r="HJ16" s="18">
        <f>IF(AND(215&gt;=$NQ$16,215&lt;=$NR$16),IF($NO$16="Single_Point",IF(215=$NQ$16,$NM$16,0),IF($NO$16="Bell_Curve",$NM$16*(215-$NQ$16+1)*($NR$16-215+1)/$NT$16,$NM$16/$NS$16)),0)</f>
        <v/>
      </c>
      <c r="HK16" s="18">
        <f>IF(AND(216&gt;=$NQ$16,216&lt;=$NR$16),IF($NO$16="Single_Point",IF(216=$NQ$16,$NM$16,0),IF($NO$16="Bell_Curve",$NM$16*(216-$NQ$16+1)*($NR$16-216+1)/$NT$16,$NM$16/$NS$16)),0)</f>
        <v/>
      </c>
      <c r="HL16" s="18">
        <f>IF(AND(217&gt;=$NQ$16,217&lt;=$NR$16),IF($NO$16="Single_Point",IF(217=$NQ$16,$NM$16,0),IF($NO$16="Bell_Curve",$NM$16*(217-$NQ$16+1)*($NR$16-217+1)/$NT$16,$NM$16/$NS$16)),0)</f>
        <v/>
      </c>
      <c r="HM16" s="18">
        <f>IF(AND(218&gt;=$NQ$16,218&lt;=$NR$16),IF($NO$16="Single_Point",IF(218=$NQ$16,$NM$16,0),IF($NO$16="Bell_Curve",$NM$16*(218-$NQ$16+1)*($NR$16-218+1)/$NT$16,$NM$16/$NS$16)),0)</f>
        <v/>
      </c>
      <c r="HN16" s="18">
        <f>IF(AND(219&gt;=$NQ$16,219&lt;=$NR$16),IF($NO$16="Single_Point",IF(219=$NQ$16,$NM$16,0),IF($NO$16="Bell_Curve",$NM$16*(219-$NQ$16+1)*($NR$16-219+1)/$NT$16,$NM$16/$NS$16)),0)</f>
        <v/>
      </c>
      <c r="HO16" s="18">
        <f>IF(AND(220&gt;=$NQ$16,220&lt;=$NR$16),IF($NO$16="Single_Point",IF(220=$NQ$16,$NM$16,0),IF($NO$16="Bell_Curve",$NM$16*(220-$NQ$16+1)*($NR$16-220+1)/$NT$16,$NM$16/$NS$16)),0)</f>
        <v/>
      </c>
      <c r="HP16" s="18">
        <f>IF(AND(221&gt;=$NQ$16,221&lt;=$NR$16),IF($NO$16="Single_Point",IF(221=$NQ$16,$NM$16,0),IF($NO$16="Bell_Curve",$NM$16*(221-$NQ$16+1)*($NR$16-221+1)/$NT$16,$NM$16/$NS$16)),0)</f>
        <v/>
      </c>
      <c r="HQ16" s="18">
        <f>IF(AND(222&gt;=$NQ$16,222&lt;=$NR$16),IF($NO$16="Single_Point",IF(222=$NQ$16,$NM$16,0),IF($NO$16="Bell_Curve",$NM$16*(222-$NQ$16+1)*($NR$16-222+1)/$NT$16,$NM$16/$NS$16)),0)</f>
        <v/>
      </c>
      <c r="HR16" s="18">
        <f>IF(AND(223&gt;=$NQ$16,223&lt;=$NR$16),IF($NO$16="Single_Point",IF(223=$NQ$16,$NM$16,0),IF($NO$16="Bell_Curve",$NM$16*(223-$NQ$16+1)*($NR$16-223+1)/$NT$16,$NM$16/$NS$16)),0)</f>
        <v/>
      </c>
      <c r="HS16" s="18">
        <f>IF(AND(224&gt;=$NQ$16,224&lt;=$NR$16),IF($NO$16="Single_Point",IF(224=$NQ$16,$NM$16,0),IF($NO$16="Bell_Curve",$NM$16*(224-$NQ$16+1)*($NR$16-224+1)/$NT$16,$NM$16/$NS$16)),0)</f>
        <v/>
      </c>
      <c r="HT16" s="18">
        <f>IF(AND(225&gt;=$NQ$16,225&lt;=$NR$16),IF($NO$16="Single_Point",IF(225=$NQ$16,$NM$16,0),IF($NO$16="Bell_Curve",$NM$16*(225-$NQ$16+1)*($NR$16-225+1)/$NT$16,$NM$16/$NS$16)),0)</f>
        <v/>
      </c>
      <c r="HU16" s="18">
        <f>IF(AND(226&gt;=$NQ$16,226&lt;=$NR$16),IF($NO$16="Single_Point",IF(226=$NQ$16,$NM$16,0),IF($NO$16="Bell_Curve",$NM$16*(226-$NQ$16+1)*($NR$16-226+1)/$NT$16,$NM$16/$NS$16)),0)</f>
        <v/>
      </c>
      <c r="HV16" s="18">
        <f>IF(AND(227&gt;=$NQ$16,227&lt;=$NR$16),IF($NO$16="Single_Point",IF(227=$NQ$16,$NM$16,0),IF($NO$16="Bell_Curve",$NM$16*(227-$NQ$16+1)*($NR$16-227+1)/$NT$16,$NM$16/$NS$16)),0)</f>
        <v/>
      </c>
      <c r="HW16" s="18">
        <f>IF(AND(228&gt;=$NQ$16,228&lt;=$NR$16),IF($NO$16="Single_Point",IF(228=$NQ$16,$NM$16,0),IF($NO$16="Bell_Curve",$NM$16*(228-$NQ$16+1)*($NR$16-228+1)/$NT$16,$NM$16/$NS$16)),0)</f>
        <v/>
      </c>
      <c r="HX16" s="18">
        <f>IF(AND(229&gt;=$NQ$16,229&lt;=$NR$16),IF($NO$16="Single_Point",IF(229=$NQ$16,$NM$16,0),IF($NO$16="Bell_Curve",$NM$16*(229-$NQ$16+1)*($NR$16-229+1)/$NT$16,$NM$16/$NS$16)),0)</f>
        <v/>
      </c>
      <c r="HY16" s="18">
        <f>IF(AND(230&gt;=$NQ$16,230&lt;=$NR$16),IF($NO$16="Single_Point",IF(230=$NQ$16,$NM$16,0),IF($NO$16="Bell_Curve",$NM$16*(230-$NQ$16+1)*($NR$16-230+1)/$NT$16,$NM$16/$NS$16)),0)</f>
        <v/>
      </c>
      <c r="HZ16" s="18">
        <f>IF(AND(231&gt;=$NQ$16,231&lt;=$NR$16),IF($NO$16="Single_Point",IF(231=$NQ$16,$NM$16,0),IF($NO$16="Bell_Curve",$NM$16*(231-$NQ$16+1)*($NR$16-231+1)/$NT$16,$NM$16/$NS$16)),0)</f>
        <v/>
      </c>
      <c r="IA16" s="18">
        <f>IF(AND(232&gt;=$NQ$16,232&lt;=$NR$16),IF($NO$16="Single_Point",IF(232=$NQ$16,$NM$16,0),IF($NO$16="Bell_Curve",$NM$16*(232-$NQ$16+1)*($NR$16-232+1)/$NT$16,$NM$16/$NS$16)),0)</f>
        <v/>
      </c>
      <c r="IB16" s="18">
        <f>IF(AND(233&gt;=$NQ$16,233&lt;=$NR$16),IF($NO$16="Single_Point",IF(233=$NQ$16,$NM$16,0),IF($NO$16="Bell_Curve",$NM$16*(233-$NQ$16+1)*($NR$16-233+1)/$NT$16,$NM$16/$NS$16)),0)</f>
        <v/>
      </c>
      <c r="IC16" s="18">
        <f>IF(AND(234&gt;=$NQ$16,234&lt;=$NR$16),IF($NO$16="Single_Point",IF(234=$NQ$16,$NM$16,0),IF($NO$16="Bell_Curve",$NM$16*(234-$NQ$16+1)*($NR$16-234+1)/$NT$16,$NM$16/$NS$16)),0)</f>
        <v/>
      </c>
      <c r="ID16" s="18">
        <f>IF(AND(235&gt;=$NQ$16,235&lt;=$NR$16),IF($NO$16="Single_Point",IF(235=$NQ$16,$NM$16,0),IF($NO$16="Bell_Curve",$NM$16*(235-$NQ$16+1)*($NR$16-235+1)/$NT$16,$NM$16/$NS$16)),0)</f>
        <v/>
      </c>
      <c r="IE16" s="18">
        <f>IF(AND(236&gt;=$NQ$16,236&lt;=$NR$16),IF($NO$16="Single_Point",IF(236=$NQ$16,$NM$16,0),IF($NO$16="Bell_Curve",$NM$16*(236-$NQ$16+1)*($NR$16-236+1)/$NT$16,$NM$16/$NS$16)),0)</f>
        <v/>
      </c>
      <c r="IF16" s="18">
        <f>IF(AND(237&gt;=$NQ$16,237&lt;=$NR$16),IF($NO$16="Single_Point",IF(237=$NQ$16,$NM$16,0),IF($NO$16="Bell_Curve",$NM$16*(237-$NQ$16+1)*($NR$16-237+1)/$NT$16,$NM$16/$NS$16)),0)</f>
        <v/>
      </c>
      <c r="IG16" s="18">
        <f>IF(AND(238&gt;=$NQ$16,238&lt;=$NR$16),IF($NO$16="Single_Point",IF(238=$NQ$16,$NM$16,0),IF($NO$16="Bell_Curve",$NM$16*(238-$NQ$16+1)*($NR$16-238+1)/$NT$16,$NM$16/$NS$16)),0)</f>
        <v/>
      </c>
      <c r="IH16" s="18">
        <f>IF(AND(239&gt;=$NQ$16,239&lt;=$NR$16),IF($NO$16="Single_Point",IF(239=$NQ$16,$NM$16,0),IF($NO$16="Bell_Curve",$NM$16*(239-$NQ$16+1)*($NR$16-239+1)/$NT$16,$NM$16/$NS$16)),0)</f>
        <v/>
      </c>
      <c r="II16" s="18">
        <f>IF(AND(240&gt;=$NQ$16,240&lt;=$NR$16),IF($NO$16="Single_Point",IF(240=$NQ$16,$NM$16,0),IF($NO$16="Bell_Curve",$NM$16*(240-$NQ$16+1)*($NR$16-240+1)/$NT$16,$NM$16/$NS$16)),0)</f>
        <v/>
      </c>
      <c r="IJ16" s="18">
        <f>IF(AND(241&gt;=$NQ$16,241&lt;=$NR$16),IF($NO$16="Single_Point",IF(241=$NQ$16,$NM$16,0),IF($NO$16="Bell_Curve",$NM$16*(241-$NQ$16+1)*($NR$16-241+1)/$NT$16,$NM$16/$NS$16)),0)</f>
        <v/>
      </c>
      <c r="IK16" s="18">
        <f>IF(AND(242&gt;=$NQ$16,242&lt;=$NR$16),IF($NO$16="Single_Point",IF(242=$NQ$16,$NM$16,0),IF($NO$16="Bell_Curve",$NM$16*(242-$NQ$16+1)*($NR$16-242+1)/$NT$16,$NM$16/$NS$16)),0)</f>
        <v/>
      </c>
      <c r="IL16" s="18">
        <f>IF(AND(243&gt;=$NQ$16,243&lt;=$NR$16),IF($NO$16="Single_Point",IF(243=$NQ$16,$NM$16,0),IF($NO$16="Bell_Curve",$NM$16*(243-$NQ$16+1)*($NR$16-243+1)/$NT$16,$NM$16/$NS$16)),0)</f>
        <v/>
      </c>
      <c r="IM16" s="18">
        <f>IF(AND(244&gt;=$NQ$16,244&lt;=$NR$16),IF($NO$16="Single_Point",IF(244=$NQ$16,$NM$16,0),IF($NO$16="Bell_Curve",$NM$16*(244-$NQ$16+1)*($NR$16-244+1)/$NT$16,$NM$16/$NS$16)),0)</f>
        <v/>
      </c>
      <c r="IN16" s="18">
        <f>IF(AND(245&gt;=$NQ$16,245&lt;=$NR$16),IF($NO$16="Single_Point",IF(245=$NQ$16,$NM$16,0),IF($NO$16="Bell_Curve",$NM$16*(245-$NQ$16+1)*($NR$16-245+1)/$NT$16,$NM$16/$NS$16)),0)</f>
        <v/>
      </c>
      <c r="IO16" s="18">
        <f>IF(AND(246&gt;=$NQ$16,246&lt;=$NR$16),IF($NO$16="Single_Point",IF(246=$NQ$16,$NM$16,0),IF($NO$16="Bell_Curve",$NM$16*(246-$NQ$16+1)*($NR$16-246+1)/$NT$16,$NM$16/$NS$16)),0)</f>
        <v/>
      </c>
      <c r="IP16" s="18">
        <f>IF(AND(247&gt;=$NQ$16,247&lt;=$NR$16),IF($NO$16="Single_Point",IF(247=$NQ$16,$NM$16,0),IF($NO$16="Bell_Curve",$NM$16*(247-$NQ$16+1)*($NR$16-247+1)/$NT$16,$NM$16/$NS$16)),0)</f>
        <v/>
      </c>
      <c r="IQ16" s="18">
        <f>IF(AND(248&gt;=$NQ$16,248&lt;=$NR$16),IF($NO$16="Single_Point",IF(248=$NQ$16,$NM$16,0),IF($NO$16="Bell_Curve",$NM$16*(248-$NQ$16+1)*($NR$16-248+1)/$NT$16,$NM$16/$NS$16)),0)</f>
        <v/>
      </c>
      <c r="IR16" s="18">
        <f>IF(AND(249&gt;=$NQ$16,249&lt;=$NR$16),IF($NO$16="Single_Point",IF(249=$NQ$16,$NM$16,0),IF($NO$16="Bell_Curve",$NM$16*(249-$NQ$16+1)*($NR$16-249+1)/$NT$16,$NM$16/$NS$16)),0)</f>
        <v/>
      </c>
      <c r="IS16" s="18">
        <f>IF(AND(250&gt;=$NQ$16,250&lt;=$NR$16),IF($NO$16="Single_Point",IF(250=$NQ$16,$NM$16,0),IF($NO$16="Bell_Curve",$NM$16*(250-$NQ$16+1)*($NR$16-250+1)/$NT$16,$NM$16/$NS$16)),0)</f>
        <v/>
      </c>
      <c r="IT16" s="18">
        <f>IF(AND(251&gt;=$NQ$16,251&lt;=$NR$16),IF($NO$16="Single_Point",IF(251=$NQ$16,$NM$16,0),IF($NO$16="Bell_Curve",$NM$16*(251-$NQ$16+1)*($NR$16-251+1)/$NT$16,$NM$16/$NS$16)),0)</f>
        <v/>
      </c>
      <c r="IU16" s="18">
        <f>IF(AND(252&gt;=$NQ$16,252&lt;=$NR$16),IF($NO$16="Single_Point",IF(252=$NQ$16,$NM$16,0),IF($NO$16="Bell_Curve",$NM$16*(252-$NQ$16+1)*($NR$16-252+1)/$NT$16,$NM$16/$NS$16)),0)</f>
        <v/>
      </c>
      <c r="IV16" s="18">
        <f>IF(AND(253&gt;=$NQ$16,253&lt;=$NR$16),IF($NO$16="Single_Point",IF(253=$NQ$16,$NM$16,0),IF($NO$16="Bell_Curve",$NM$16*(253-$NQ$16+1)*($NR$16-253+1)/$NT$16,$NM$16/$NS$16)),0)</f>
        <v/>
      </c>
      <c r="IW16" s="18">
        <f>IF(AND(254&gt;=$NQ$16,254&lt;=$NR$16),IF($NO$16="Single_Point",IF(254=$NQ$16,$NM$16,0),IF($NO$16="Bell_Curve",$NM$16*(254-$NQ$16+1)*($NR$16-254+1)/$NT$16,$NM$16/$NS$16)),0)</f>
        <v/>
      </c>
      <c r="IX16" s="18">
        <f>IF(AND(255&gt;=$NQ$16,255&lt;=$NR$16),IF($NO$16="Single_Point",IF(255=$NQ$16,$NM$16,0),IF($NO$16="Bell_Curve",$NM$16*(255-$NQ$16+1)*($NR$16-255+1)/$NT$16,$NM$16/$NS$16)),0)</f>
        <v/>
      </c>
      <c r="IY16" s="18">
        <f>IF(AND(256&gt;=$NQ$16,256&lt;=$NR$16),IF($NO$16="Single_Point",IF(256=$NQ$16,$NM$16,0),IF($NO$16="Bell_Curve",$NM$16*(256-$NQ$16+1)*($NR$16-256+1)/$NT$16,$NM$16/$NS$16)),0)</f>
        <v/>
      </c>
      <c r="IZ16" s="18">
        <f>IF(AND(257&gt;=$NQ$16,257&lt;=$NR$16),IF($NO$16="Single_Point",IF(257=$NQ$16,$NM$16,0),IF($NO$16="Bell_Curve",$NM$16*(257-$NQ$16+1)*($NR$16-257+1)/$NT$16,$NM$16/$NS$16)),0)</f>
        <v/>
      </c>
      <c r="JA16" s="18">
        <f>IF(AND(258&gt;=$NQ$16,258&lt;=$NR$16),IF($NO$16="Single_Point",IF(258=$NQ$16,$NM$16,0),IF($NO$16="Bell_Curve",$NM$16*(258-$NQ$16+1)*($NR$16-258+1)/$NT$16,$NM$16/$NS$16)),0)</f>
        <v/>
      </c>
      <c r="JB16" s="18">
        <f>IF(AND(259&gt;=$NQ$16,259&lt;=$NR$16),IF($NO$16="Single_Point",IF(259=$NQ$16,$NM$16,0),IF($NO$16="Bell_Curve",$NM$16*(259-$NQ$16+1)*($NR$16-259+1)/$NT$16,$NM$16/$NS$16)),0)</f>
        <v/>
      </c>
      <c r="JC16" s="18">
        <f>IF(AND(260&gt;=$NQ$16,260&lt;=$NR$16),IF($NO$16="Single_Point",IF(260=$NQ$16,$NM$16,0),IF($NO$16="Bell_Curve",$NM$16*(260-$NQ$16+1)*($NR$16-260+1)/$NT$16,$NM$16/$NS$16)),0)</f>
        <v/>
      </c>
      <c r="JD16" s="18">
        <f>IF(AND(261&gt;=$NQ$16,261&lt;=$NR$16),IF($NO$16="Single_Point",IF(261=$NQ$16,$NM$16,0),IF($NO$16="Bell_Curve",$NM$16*(261-$NQ$16+1)*($NR$16-261+1)/$NT$16,$NM$16/$NS$16)),0)</f>
        <v/>
      </c>
      <c r="JE16" s="18">
        <f>IF(AND(262&gt;=$NQ$16,262&lt;=$NR$16),IF($NO$16="Single_Point",IF(262=$NQ$16,$NM$16,0),IF($NO$16="Bell_Curve",$NM$16*(262-$NQ$16+1)*($NR$16-262+1)/$NT$16,$NM$16/$NS$16)),0)</f>
        <v/>
      </c>
      <c r="JF16" s="18">
        <f>IF(AND(263&gt;=$NQ$16,263&lt;=$NR$16),IF($NO$16="Single_Point",IF(263=$NQ$16,$NM$16,0),IF($NO$16="Bell_Curve",$NM$16*(263-$NQ$16+1)*($NR$16-263+1)/$NT$16,$NM$16/$NS$16)),0)</f>
        <v/>
      </c>
      <c r="JG16" s="18">
        <f>IF(AND(264&gt;=$NQ$16,264&lt;=$NR$16),IF($NO$16="Single_Point",IF(264=$NQ$16,$NM$16,0),IF($NO$16="Bell_Curve",$NM$16*(264-$NQ$16+1)*($NR$16-264+1)/$NT$16,$NM$16/$NS$16)),0)</f>
        <v/>
      </c>
      <c r="JH16" s="18">
        <f>IF(AND(265&gt;=$NQ$16,265&lt;=$NR$16),IF($NO$16="Single_Point",IF(265=$NQ$16,$NM$16,0),IF($NO$16="Bell_Curve",$NM$16*(265-$NQ$16+1)*($NR$16-265+1)/$NT$16,$NM$16/$NS$16)),0)</f>
        <v/>
      </c>
      <c r="JI16" s="18">
        <f>IF(AND(266&gt;=$NQ$16,266&lt;=$NR$16),IF($NO$16="Single_Point",IF(266=$NQ$16,$NM$16,0),IF($NO$16="Bell_Curve",$NM$16*(266-$NQ$16+1)*($NR$16-266+1)/$NT$16,$NM$16/$NS$16)),0)</f>
        <v/>
      </c>
      <c r="JJ16" s="18">
        <f>IF(AND(267&gt;=$NQ$16,267&lt;=$NR$16),IF($NO$16="Single_Point",IF(267=$NQ$16,$NM$16,0),IF($NO$16="Bell_Curve",$NM$16*(267-$NQ$16+1)*($NR$16-267+1)/$NT$16,$NM$16/$NS$16)),0)</f>
        <v/>
      </c>
      <c r="JK16" s="18">
        <f>IF(AND(268&gt;=$NQ$16,268&lt;=$NR$16),IF($NO$16="Single_Point",IF(268=$NQ$16,$NM$16,0),IF($NO$16="Bell_Curve",$NM$16*(268-$NQ$16+1)*($NR$16-268+1)/$NT$16,$NM$16/$NS$16)),0)</f>
        <v/>
      </c>
      <c r="JL16" s="18">
        <f>IF(AND(269&gt;=$NQ$16,269&lt;=$NR$16),IF($NO$16="Single_Point",IF(269=$NQ$16,$NM$16,0),IF($NO$16="Bell_Curve",$NM$16*(269-$NQ$16+1)*($NR$16-269+1)/$NT$16,$NM$16/$NS$16)),0)</f>
        <v/>
      </c>
      <c r="JM16" s="18">
        <f>IF(AND(270&gt;=$NQ$16,270&lt;=$NR$16),IF($NO$16="Single_Point",IF(270=$NQ$16,$NM$16,0),IF($NO$16="Bell_Curve",$NM$16*(270-$NQ$16+1)*($NR$16-270+1)/$NT$16,$NM$16/$NS$16)),0)</f>
        <v/>
      </c>
      <c r="JN16" s="18">
        <f>IF(AND(271&gt;=$NQ$16,271&lt;=$NR$16),IF($NO$16="Single_Point",IF(271=$NQ$16,$NM$16,0),IF($NO$16="Bell_Curve",$NM$16*(271-$NQ$16+1)*($NR$16-271+1)/$NT$16,$NM$16/$NS$16)),0)</f>
        <v/>
      </c>
      <c r="JO16" s="18">
        <f>IF(AND(272&gt;=$NQ$16,272&lt;=$NR$16),IF($NO$16="Single_Point",IF(272=$NQ$16,$NM$16,0),IF($NO$16="Bell_Curve",$NM$16*(272-$NQ$16+1)*($NR$16-272+1)/$NT$16,$NM$16/$NS$16)),0)</f>
        <v/>
      </c>
      <c r="JP16" s="18">
        <f>IF(AND(273&gt;=$NQ$16,273&lt;=$NR$16),IF($NO$16="Single_Point",IF(273=$NQ$16,$NM$16,0),IF($NO$16="Bell_Curve",$NM$16*(273-$NQ$16+1)*($NR$16-273+1)/$NT$16,$NM$16/$NS$16)),0)</f>
        <v/>
      </c>
      <c r="JQ16" s="18">
        <f>IF(AND(274&gt;=$NQ$16,274&lt;=$NR$16),IF($NO$16="Single_Point",IF(274=$NQ$16,$NM$16,0),IF($NO$16="Bell_Curve",$NM$16*(274-$NQ$16+1)*($NR$16-274+1)/$NT$16,$NM$16/$NS$16)),0)</f>
        <v/>
      </c>
      <c r="JR16" s="18">
        <f>IF(AND(275&gt;=$NQ$16,275&lt;=$NR$16),IF($NO$16="Single_Point",IF(275=$NQ$16,$NM$16,0),IF($NO$16="Bell_Curve",$NM$16*(275-$NQ$16+1)*($NR$16-275+1)/$NT$16,$NM$16/$NS$16)),0)</f>
        <v/>
      </c>
      <c r="JS16" s="18">
        <f>IF(AND(276&gt;=$NQ$16,276&lt;=$NR$16),IF($NO$16="Single_Point",IF(276=$NQ$16,$NM$16,0),IF($NO$16="Bell_Curve",$NM$16*(276-$NQ$16+1)*($NR$16-276+1)/$NT$16,$NM$16/$NS$16)),0)</f>
        <v/>
      </c>
      <c r="JT16" s="18">
        <f>IF(AND(277&gt;=$NQ$16,277&lt;=$NR$16),IF($NO$16="Single_Point",IF(277=$NQ$16,$NM$16,0),IF($NO$16="Bell_Curve",$NM$16*(277-$NQ$16+1)*($NR$16-277+1)/$NT$16,$NM$16/$NS$16)),0)</f>
        <v/>
      </c>
      <c r="JU16" s="18">
        <f>IF(AND(278&gt;=$NQ$16,278&lt;=$NR$16),IF($NO$16="Single_Point",IF(278=$NQ$16,$NM$16,0),IF($NO$16="Bell_Curve",$NM$16*(278-$NQ$16+1)*($NR$16-278+1)/$NT$16,$NM$16/$NS$16)),0)</f>
        <v/>
      </c>
      <c r="JV16" s="18">
        <f>IF(AND(279&gt;=$NQ$16,279&lt;=$NR$16),IF($NO$16="Single_Point",IF(279=$NQ$16,$NM$16,0),IF($NO$16="Bell_Curve",$NM$16*(279-$NQ$16+1)*($NR$16-279+1)/$NT$16,$NM$16/$NS$16)),0)</f>
        <v/>
      </c>
      <c r="JW16" s="18">
        <f>IF(AND(280&gt;=$NQ$16,280&lt;=$NR$16),IF($NO$16="Single_Point",IF(280=$NQ$16,$NM$16,0),IF($NO$16="Bell_Curve",$NM$16*(280-$NQ$16+1)*($NR$16-280+1)/$NT$16,$NM$16/$NS$16)),0)</f>
        <v/>
      </c>
      <c r="JX16" s="18">
        <f>IF(AND(281&gt;=$NQ$16,281&lt;=$NR$16),IF($NO$16="Single_Point",IF(281=$NQ$16,$NM$16,0),IF($NO$16="Bell_Curve",$NM$16*(281-$NQ$16+1)*($NR$16-281+1)/$NT$16,$NM$16/$NS$16)),0)</f>
        <v/>
      </c>
      <c r="JY16" s="18">
        <f>IF(AND(282&gt;=$NQ$16,282&lt;=$NR$16),IF($NO$16="Single_Point",IF(282=$NQ$16,$NM$16,0),IF($NO$16="Bell_Curve",$NM$16*(282-$NQ$16+1)*($NR$16-282+1)/$NT$16,$NM$16/$NS$16)),0)</f>
        <v/>
      </c>
      <c r="JZ16" s="18">
        <f>IF(AND(283&gt;=$NQ$16,283&lt;=$NR$16),IF($NO$16="Single_Point",IF(283=$NQ$16,$NM$16,0),IF($NO$16="Bell_Curve",$NM$16*(283-$NQ$16+1)*($NR$16-283+1)/$NT$16,$NM$16/$NS$16)),0)</f>
        <v/>
      </c>
      <c r="KA16" s="18">
        <f>IF(AND(284&gt;=$NQ$16,284&lt;=$NR$16),IF($NO$16="Single_Point",IF(284=$NQ$16,$NM$16,0),IF($NO$16="Bell_Curve",$NM$16*(284-$NQ$16+1)*($NR$16-284+1)/$NT$16,$NM$16/$NS$16)),0)</f>
        <v/>
      </c>
      <c r="KB16" s="18">
        <f>IF(AND(285&gt;=$NQ$16,285&lt;=$NR$16),IF($NO$16="Single_Point",IF(285=$NQ$16,$NM$16,0),IF($NO$16="Bell_Curve",$NM$16*(285-$NQ$16+1)*($NR$16-285+1)/$NT$16,$NM$16/$NS$16)),0)</f>
        <v/>
      </c>
      <c r="KC16" s="18">
        <f>IF(AND(286&gt;=$NQ$16,286&lt;=$NR$16),IF($NO$16="Single_Point",IF(286=$NQ$16,$NM$16,0),IF($NO$16="Bell_Curve",$NM$16*(286-$NQ$16+1)*($NR$16-286+1)/$NT$16,$NM$16/$NS$16)),0)</f>
        <v/>
      </c>
      <c r="KD16" s="18">
        <f>IF(AND(287&gt;=$NQ$16,287&lt;=$NR$16),IF($NO$16="Single_Point",IF(287=$NQ$16,$NM$16,0),IF($NO$16="Bell_Curve",$NM$16*(287-$NQ$16+1)*($NR$16-287+1)/$NT$16,$NM$16/$NS$16)),0)</f>
        <v/>
      </c>
      <c r="KE16" s="18">
        <f>IF(AND(288&gt;=$NQ$16,288&lt;=$NR$16),IF($NO$16="Single_Point",IF(288=$NQ$16,$NM$16,0),IF($NO$16="Bell_Curve",$NM$16*(288-$NQ$16+1)*($NR$16-288+1)/$NT$16,$NM$16/$NS$16)),0)</f>
        <v/>
      </c>
      <c r="KF16" s="18">
        <f>IF(AND(289&gt;=$NQ$16,289&lt;=$NR$16),IF($NO$16="Single_Point",IF(289=$NQ$16,$NM$16,0),IF($NO$16="Bell_Curve",$NM$16*(289-$NQ$16+1)*($NR$16-289+1)/$NT$16,$NM$16/$NS$16)),0)</f>
        <v/>
      </c>
      <c r="KG16" s="18">
        <f>IF(AND(290&gt;=$NQ$16,290&lt;=$NR$16),IF($NO$16="Single_Point",IF(290=$NQ$16,$NM$16,0),IF($NO$16="Bell_Curve",$NM$16*(290-$NQ$16+1)*($NR$16-290+1)/$NT$16,$NM$16/$NS$16)),0)</f>
        <v/>
      </c>
      <c r="KH16" s="18">
        <f>IF(AND(291&gt;=$NQ$16,291&lt;=$NR$16),IF($NO$16="Single_Point",IF(291=$NQ$16,$NM$16,0),IF($NO$16="Bell_Curve",$NM$16*(291-$NQ$16+1)*($NR$16-291+1)/$NT$16,$NM$16/$NS$16)),0)</f>
        <v/>
      </c>
      <c r="KI16" s="18">
        <f>IF(AND(292&gt;=$NQ$16,292&lt;=$NR$16),IF($NO$16="Single_Point",IF(292=$NQ$16,$NM$16,0),IF($NO$16="Bell_Curve",$NM$16*(292-$NQ$16+1)*($NR$16-292+1)/$NT$16,$NM$16/$NS$16)),0)</f>
        <v/>
      </c>
      <c r="KJ16" s="18">
        <f>IF(AND(293&gt;=$NQ$16,293&lt;=$NR$16),IF($NO$16="Single_Point",IF(293=$NQ$16,$NM$16,0),IF($NO$16="Bell_Curve",$NM$16*(293-$NQ$16+1)*($NR$16-293+1)/$NT$16,$NM$16/$NS$16)),0)</f>
        <v/>
      </c>
      <c r="KK16" s="18">
        <f>IF(AND(294&gt;=$NQ$16,294&lt;=$NR$16),IF($NO$16="Single_Point",IF(294=$NQ$16,$NM$16,0),IF($NO$16="Bell_Curve",$NM$16*(294-$NQ$16+1)*($NR$16-294+1)/$NT$16,$NM$16/$NS$16)),0)</f>
        <v/>
      </c>
      <c r="KL16" s="18">
        <f>IF(AND(295&gt;=$NQ$16,295&lt;=$NR$16),IF($NO$16="Single_Point",IF(295=$NQ$16,$NM$16,0),IF($NO$16="Bell_Curve",$NM$16*(295-$NQ$16+1)*($NR$16-295+1)/$NT$16,$NM$16/$NS$16)),0)</f>
        <v/>
      </c>
      <c r="KM16" s="18">
        <f>IF(AND(296&gt;=$NQ$16,296&lt;=$NR$16),IF($NO$16="Single_Point",IF(296=$NQ$16,$NM$16,0),IF($NO$16="Bell_Curve",$NM$16*(296-$NQ$16+1)*($NR$16-296+1)/$NT$16,$NM$16/$NS$16)),0)</f>
        <v/>
      </c>
      <c r="KN16" s="18">
        <f>IF(AND(297&gt;=$NQ$16,297&lt;=$NR$16),IF($NO$16="Single_Point",IF(297=$NQ$16,$NM$16,0),IF($NO$16="Bell_Curve",$NM$16*(297-$NQ$16+1)*($NR$16-297+1)/$NT$16,$NM$16/$NS$16)),0)</f>
        <v/>
      </c>
      <c r="KO16" s="18">
        <f>IF(AND(298&gt;=$NQ$16,298&lt;=$NR$16),IF($NO$16="Single_Point",IF(298=$NQ$16,$NM$16,0),IF($NO$16="Bell_Curve",$NM$16*(298-$NQ$16+1)*($NR$16-298+1)/$NT$16,$NM$16/$NS$16)),0)</f>
        <v/>
      </c>
      <c r="KP16" s="18">
        <f>IF(AND(299&gt;=$NQ$16,299&lt;=$NR$16),IF($NO$16="Single_Point",IF(299=$NQ$16,$NM$16,0),IF($NO$16="Bell_Curve",$NM$16*(299-$NQ$16+1)*($NR$16-299+1)/$NT$16,$NM$16/$NS$16)),0)</f>
        <v/>
      </c>
      <c r="KQ16" s="18">
        <f>IF(AND(300&gt;=$NQ$16,300&lt;=$NR$16),IF($NO$16="Single_Point",IF(300=$NQ$16,$NM$16,0),IF($NO$16="Bell_Curve",$NM$16*(300-$NQ$16+1)*($NR$16-300+1)/$NT$16,$NM$16/$NS$16)),0)</f>
        <v/>
      </c>
      <c r="KR16" s="18">
        <f>IF(AND(301&gt;=$NQ$16,301&lt;=$NR$16),IF($NO$16="Single_Point",IF(301=$NQ$16,$NM$16,0),IF($NO$16="Bell_Curve",$NM$16*(301-$NQ$16+1)*($NR$16-301+1)/$NT$16,$NM$16/$NS$16)),0)</f>
        <v/>
      </c>
      <c r="KS16" s="18">
        <f>IF(AND(302&gt;=$NQ$16,302&lt;=$NR$16),IF($NO$16="Single_Point",IF(302=$NQ$16,$NM$16,0),IF($NO$16="Bell_Curve",$NM$16*(302-$NQ$16+1)*($NR$16-302+1)/$NT$16,$NM$16/$NS$16)),0)</f>
        <v/>
      </c>
      <c r="KT16" s="18">
        <f>IF(AND(303&gt;=$NQ$16,303&lt;=$NR$16),IF($NO$16="Single_Point",IF(303=$NQ$16,$NM$16,0),IF($NO$16="Bell_Curve",$NM$16*(303-$NQ$16+1)*($NR$16-303+1)/$NT$16,$NM$16/$NS$16)),0)</f>
        <v/>
      </c>
      <c r="KU16" s="18">
        <f>IF(AND(304&gt;=$NQ$16,304&lt;=$NR$16),IF($NO$16="Single_Point",IF(304=$NQ$16,$NM$16,0),IF($NO$16="Bell_Curve",$NM$16*(304-$NQ$16+1)*($NR$16-304+1)/$NT$16,$NM$16/$NS$16)),0)</f>
        <v/>
      </c>
      <c r="KV16" s="18">
        <f>IF(AND(305&gt;=$NQ$16,305&lt;=$NR$16),IF($NO$16="Single_Point",IF(305=$NQ$16,$NM$16,0),IF($NO$16="Bell_Curve",$NM$16*(305-$NQ$16+1)*($NR$16-305+1)/$NT$16,$NM$16/$NS$16)),0)</f>
        <v/>
      </c>
      <c r="KW16" s="18">
        <f>IF(AND(306&gt;=$NQ$16,306&lt;=$NR$16),IF($NO$16="Single_Point",IF(306=$NQ$16,$NM$16,0),IF($NO$16="Bell_Curve",$NM$16*(306-$NQ$16+1)*($NR$16-306+1)/$NT$16,$NM$16/$NS$16)),0)</f>
        <v/>
      </c>
      <c r="KX16" s="18">
        <f>IF(AND(307&gt;=$NQ$16,307&lt;=$NR$16),IF($NO$16="Single_Point",IF(307=$NQ$16,$NM$16,0),IF($NO$16="Bell_Curve",$NM$16*(307-$NQ$16+1)*($NR$16-307+1)/$NT$16,$NM$16/$NS$16)),0)</f>
        <v/>
      </c>
      <c r="KY16" s="18">
        <f>IF(AND(308&gt;=$NQ$16,308&lt;=$NR$16),IF($NO$16="Single_Point",IF(308=$NQ$16,$NM$16,0),IF($NO$16="Bell_Curve",$NM$16*(308-$NQ$16+1)*($NR$16-308+1)/$NT$16,$NM$16/$NS$16)),0)</f>
        <v/>
      </c>
      <c r="KZ16" s="18">
        <f>IF(AND(309&gt;=$NQ$16,309&lt;=$NR$16),IF($NO$16="Single_Point",IF(309=$NQ$16,$NM$16,0),IF($NO$16="Bell_Curve",$NM$16*(309-$NQ$16+1)*($NR$16-309+1)/$NT$16,$NM$16/$NS$16)),0)</f>
        <v/>
      </c>
      <c r="LA16" s="18">
        <f>IF(AND(310&gt;=$NQ$16,310&lt;=$NR$16),IF($NO$16="Single_Point",IF(310=$NQ$16,$NM$16,0),IF($NO$16="Bell_Curve",$NM$16*(310-$NQ$16+1)*($NR$16-310+1)/$NT$16,$NM$16/$NS$16)),0)</f>
        <v/>
      </c>
      <c r="LB16" s="18">
        <f>IF(AND(311&gt;=$NQ$16,311&lt;=$NR$16),IF($NO$16="Single_Point",IF(311=$NQ$16,$NM$16,0),IF($NO$16="Bell_Curve",$NM$16*(311-$NQ$16+1)*($NR$16-311+1)/$NT$16,$NM$16/$NS$16)),0)</f>
        <v/>
      </c>
      <c r="LC16" s="18">
        <f>IF(AND(312&gt;=$NQ$16,312&lt;=$NR$16),IF($NO$16="Single_Point",IF(312=$NQ$16,$NM$16,0),IF($NO$16="Bell_Curve",$NM$16*(312-$NQ$16+1)*($NR$16-312+1)/$NT$16,$NM$16/$NS$16)),0)</f>
        <v/>
      </c>
      <c r="LD16" s="18">
        <f>IF(AND(313&gt;=$NQ$16,313&lt;=$NR$16),IF($NO$16="Single_Point",IF(313=$NQ$16,$NM$16,0),IF($NO$16="Bell_Curve",$NM$16*(313-$NQ$16+1)*($NR$16-313+1)/$NT$16,$NM$16/$NS$16)),0)</f>
        <v/>
      </c>
      <c r="LE16" s="18">
        <f>IF(AND(314&gt;=$NQ$16,314&lt;=$NR$16),IF($NO$16="Single_Point",IF(314=$NQ$16,$NM$16,0),IF($NO$16="Bell_Curve",$NM$16*(314-$NQ$16+1)*($NR$16-314+1)/$NT$16,$NM$16/$NS$16)),0)</f>
        <v/>
      </c>
      <c r="LF16" s="18">
        <f>IF(AND(315&gt;=$NQ$16,315&lt;=$NR$16),IF($NO$16="Single_Point",IF(315=$NQ$16,$NM$16,0),IF($NO$16="Bell_Curve",$NM$16*(315-$NQ$16+1)*($NR$16-315+1)/$NT$16,$NM$16/$NS$16)),0)</f>
        <v/>
      </c>
      <c r="LG16" s="18">
        <f>IF(AND(316&gt;=$NQ$16,316&lt;=$NR$16),IF($NO$16="Single_Point",IF(316=$NQ$16,$NM$16,0),IF($NO$16="Bell_Curve",$NM$16*(316-$NQ$16+1)*($NR$16-316+1)/$NT$16,$NM$16/$NS$16)),0)</f>
        <v/>
      </c>
      <c r="LH16" s="18">
        <f>IF(AND(317&gt;=$NQ$16,317&lt;=$NR$16),IF($NO$16="Single_Point",IF(317=$NQ$16,$NM$16,0),IF($NO$16="Bell_Curve",$NM$16*(317-$NQ$16+1)*($NR$16-317+1)/$NT$16,$NM$16/$NS$16)),0)</f>
        <v/>
      </c>
      <c r="LI16" s="18">
        <f>IF(AND(318&gt;=$NQ$16,318&lt;=$NR$16),IF($NO$16="Single_Point",IF(318=$NQ$16,$NM$16,0),IF($NO$16="Bell_Curve",$NM$16*(318-$NQ$16+1)*($NR$16-318+1)/$NT$16,$NM$16/$NS$16)),0)</f>
        <v/>
      </c>
      <c r="LJ16" s="18">
        <f>IF(AND(319&gt;=$NQ$16,319&lt;=$NR$16),IF($NO$16="Single_Point",IF(319=$NQ$16,$NM$16,0),IF($NO$16="Bell_Curve",$NM$16*(319-$NQ$16+1)*($NR$16-319+1)/$NT$16,$NM$16/$NS$16)),0)</f>
        <v/>
      </c>
      <c r="LK16" s="18">
        <f>IF(AND(320&gt;=$NQ$16,320&lt;=$NR$16),IF($NO$16="Single_Point",IF(320=$NQ$16,$NM$16,0),IF($NO$16="Bell_Curve",$NM$16*(320-$NQ$16+1)*($NR$16-320+1)/$NT$16,$NM$16/$NS$16)),0)</f>
        <v/>
      </c>
      <c r="LL16" s="18">
        <f>IF(AND(321&gt;=$NQ$16,321&lt;=$NR$16),IF($NO$16="Single_Point",IF(321=$NQ$16,$NM$16,0),IF($NO$16="Bell_Curve",$NM$16*(321-$NQ$16+1)*($NR$16-321+1)/$NT$16,$NM$16/$NS$16)),0)</f>
        <v/>
      </c>
      <c r="LM16" s="18">
        <f>IF(AND(322&gt;=$NQ$16,322&lt;=$NR$16),IF($NO$16="Single_Point",IF(322=$NQ$16,$NM$16,0),IF($NO$16="Bell_Curve",$NM$16*(322-$NQ$16+1)*($NR$16-322+1)/$NT$16,$NM$16/$NS$16)),0)</f>
        <v/>
      </c>
      <c r="LN16" s="18">
        <f>IF(AND(323&gt;=$NQ$16,323&lt;=$NR$16),IF($NO$16="Single_Point",IF(323=$NQ$16,$NM$16,0),IF($NO$16="Bell_Curve",$NM$16*(323-$NQ$16+1)*($NR$16-323+1)/$NT$16,$NM$16/$NS$16)),0)</f>
        <v/>
      </c>
      <c r="LO16" s="18">
        <f>IF(AND(324&gt;=$NQ$16,324&lt;=$NR$16),IF($NO$16="Single_Point",IF(324=$NQ$16,$NM$16,0),IF($NO$16="Bell_Curve",$NM$16*(324-$NQ$16+1)*($NR$16-324+1)/$NT$16,$NM$16/$NS$16)),0)</f>
        <v/>
      </c>
      <c r="LP16" s="18">
        <f>IF(AND(325&gt;=$NQ$16,325&lt;=$NR$16),IF($NO$16="Single_Point",IF(325=$NQ$16,$NM$16,0),IF($NO$16="Bell_Curve",$NM$16*(325-$NQ$16+1)*($NR$16-325+1)/$NT$16,$NM$16/$NS$16)),0)</f>
        <v/>
      </c>
      <c r="LQ16" s="18">
        <f>IF(AND(326&gt;=$NQ$16,326&lt;=$NR$16),IF($NO$16="Single_Point",IF(326=$NQ$16,$NM$16,0),IF($NO$16="Bell_Curve",$NM$16*(326-$NQ$16+1)*($NR$16-326+1)/$NT$16,$NM$16/$NS$16)),0)</f>
        <v/>
      </c>
      <c r="LR16" s="18">
        <f>IF(AND(327&gt;=$NQ$16,327&lt;=$NR$16),IF($NO$16="Single_Point",IF(327=$NQ$16,$NM$16,0),IF($NO$16="Bell_Curve",$NM$16*(327-$NQ$16+1)*($NR$16-327+1)/$NT$16,$NM$16/$NS$16)),0)</f>
        <v/>
      </c>
      <c r="LS16" s="18">
        <f>IF(AND(328&gt;=$NQ$16,328&lt;=$NR$16),IF($NO$16="Single_Point",IF(328=$NQ$16,$NM$16,0),IF($NO$16="Bell_Curve",$NM$16*(328-$NQ$16+1)*($NR$16-328+1)/$NT$16,$NM$16/$NS$16)),0)</f>
        <v/>
      </c>
      <c r="LT16" s="18">
        <f>IF(AND(329&gt;=$NQ$16,329&lt;=$NR$16),IF($NO$16="Single_Point",IF(329=$NQ$16,$NM$16,0),IF($NO$16="Bell_Curve",$NM$16*(329-$NQ$16+1)*($NR$16-329+1)/$NT$16,$NM$16/$NS$16)),0)</f>
        <v/>
      </c>
      <c r="LU16" s="18">
        <f>IF(AND(330&gt;=$NQ$16,330&lt;=$NR$16),IF($NO$16="Single_Point",IF(330=$NQ$16,$NM$16,0),IF($NO$16="Bell_Curve",$NM$16*(330-$NQ$16+1)*($NR$16-330+1)/$NT$16,$NM$16/$NS$16)),0)</f>
        <v/>
      </c>
      <c r="LV16" s="18">
        <f>IF(AND(331&gt;=$NQ$16,331&lt;=$NR$16),IF($NO$16="Single_Point",IF(331=$NQ$16,$NM$16,0),IF($NO$16="Bell_Curve",$NM$16*(331-$NQ$16+1)*($NR$16-331+1)/$NT$16,$NM$16/$NS$16)),0)</f>
        <v/>
      </c>
      <c r="LW16" s="18">
        <f>IF(AND(332&gt;=$NQ$16,332&lt;=$NR$16),IF($NO$16="Single_Point",IF(332=$NQ$16,$NM$16,0),IF($NO$16="Bell_Curve",$NM$16*(332-$NQ$16+1)*($NR$16-332+1)/$NT$16,$NM$16/$NS$16)),0)</f>
        <v/>
      </c>
      <c r="LX16" s="18">
        <f>IF(AND(333&gt;=$NQ$16,333&lt;=$NR$16),IF($NO$16="Single_Point",IF(333=$NQ$16,$NM$16,0),IF($NO$16="Bell_Curve",$NM$16*(333-$NQ$16+1)*($NR$16-333+1)/$NT$16,$NM$16/$NS$16)),0)</f>
        <v/>
      </c>
      <c r="LY16" s="18">
        <f>IF(AND(334&gt;=$NQ$16,334&lt;=$NR$16),IF($NO$16="Single_Point",IF(334=$NQ$16,$NM$16,0),IF($NO$16="Bell_Curve",$NM$16*(334-$NQ$16+1)*($NR$16-334+1)/$NT$16,$NM$16/$NS$16)),0)</f>
        <v/>
      </c>
      <c r="LZ16" s="18">
        <f>IF(AND(335&gt;=$NQ$16,335&lt;=$NR$16),IF($NO$16="Single_Point",IF(335=$NQ$16,$NM$16,0),IF($NO$16="Bell_Curve",$NM$16*(335-$NQ$16+1)*($NR$16-335+1)/$NT$16,$NM$16/$NS$16)),0)</f>
        <v/>
      </c>
      <c r="MA16" s="18">
        <f>IF(AND(336&gt;=$NQ$16,336&lt;=$NR$16),IF($NO$16="Single_Point",IF(336=$NQ$16,$NM$16,0),IF($NO$16="Bell_Curve",$NM$16*(336-$NQ$16+1)*($NR$16-336+1)/$NT$16,$NM$16/$NS$16)),0)</f>
        <v/>
      </c>
      <c r="MB16" s="18">
        <f>IF(AND(337&gt;=$NQ$16,337&lt;=$NR$16),IF($NO$16="Single_Point",IF(337=$NQ$16,$NM$16,0),IF($NO$16="Bell_Curve",$NM$16*(337-$NQ$16+1)*($NR$16-337+1)/$NT$16,$NM$16/$NS$16)),0)</f>
        <v/>
      </c>
      <c r="MC16" s="18">
        <f>IF(AND(338&gt;=$NQ$16,338&lt;=$NR$16),IF($NO$16="Single_Point",IF(338=$NQ$16,$NM$16,0),IF($NO$16="Bell_Curve",$NM$16*(338-$NQ$16+1)*($NR$16-338+1)/$NT$16,$NM$16/$NS$16)),0)</f>
        <v/>
      </c>
      <c r="MD16" s="18">
        <f>IF(AND(339&gt;=$NQ$16,339&lt;=$NR$16),IF($NO$16="Single_Point",IF(339=$NQ$16,$NM$16,0),IF($NO$16="Bell_Curve",$NM$16*(339-$NQ$16+1)*($NR$16-339+1)/$NT$16,$NM$16/$NS$16)),0)</f>
        <v/>
      </c>
      <c r="ME16" s="18">
        <f>IF(AND(340&gt;=$NQ$16,340&lt;=$NR$16),IF($NO$16="Single_Point",IF(340=$NQ$16,$NM$16,0),IF($NO$16="Bell_Curve",$NM$16*(340-$NQ$16+1)*($NR$16-340+1)/$NT$16,$NM$16/$NS$16)),0)</f>
        <v/>
      </c>
      <c r="MF16" s="18">
        <f>IF(AND(341&gt;=$NQ$16,341&lt;=$NR$16),IF($NO$16="Single_Point",IF(341=$NQ$16,$NM$16,0),IF($NO$16="Bell_Curve",$NM$16*(341-$NQ$16+1)*($NR$16-341+1)/$NT$16,$NM$16/$NS$16)),0)</f>
        <v/>
      </c>
      <c r="MG16" s="18">
        <f>IF(AND(342&gt;=$NQ$16,342&lt;=$NR$16),IF($NO$16="Single_Point",IF(342=$NQ$16,$NM$16,0),IF($NO$16="Bell_Curve",$NM$16*(342-$NQ$16+1)*($NR$16-342+1)/$NT$16,$NM$16/$NS$16)),0)</f>
        <v/>
      </c>
      <c r="MH16" s="18">
        <f>IF(AND(343&gt;=$NQ$16,343&lt;=$NR$16),IF($NO$16="Single_Point",IF(343=$NQ$16,$NM$16,0),IF($NO$16="Bell_Curve",$NM$16*(343-$NQ$16+1)*($NR$16-343+1)/$NT$16,$NM$16/$NS$16)),0)</f>
        <v/>
      </c>
      <c r="MI16" s="18">
        <f>IF(AND(344&gt;=$NQ$16,344&lt;=$NR$16),IF($NO$16="Single_Point",IF(344=$NQ$16,$NM$16,0),IF($NO$16="Bell_Curve",$NM$16*(344-$NQ$16+1)*($NR$16-344+1)/$NT$16,$NM$16/$NS$16)),0)</f>
        <v/>
      </c>
      <c r="MJ16" s="18">
        <f>IF(AND(345&gt;=$NQ$16,345&lt;=$NR$16),IF($NO$16="Single_Point",IF(345=$NQ$16,$NM$16,0),IF($NO$16="Bell_Curve",$NM$16*(345-$NQ$16+1)*($NR$16-345+1)/$NT$16,$NM$16/$NS$16)),0)</f>
        <v/>
      </c>
      <c r="MK16" s="18">
        <f>IF(AND(346&gt;=$NQ$16,346&lt;=$NR$16),IF($NO$16="Single_Point",IF(346=$NQ$16,$NM$16,0),IF($NO$16="Bell_Curve",$NM$16*(346-$NQ$16+1)*($NR$16-346+1)/$NT$16,$NM$16/$NS$16)),0)</f>
        <v/>
      </c>
      <c r="ML16" s="18">
        <f>IF(AND(347&gt;=$NQ$16,347&lt;=$NR$16),IF($NO$16="Single_Point",IF(347=$NQ$16,$NM$16,0),IF($NO$16="Bell_Curve",$NM$16*(347-$NQ$16+1)*($NR$16-347+1)/$NT$16,$NM$16/$NS$16)),0)</f>
        <v/>
      </c>
      <c r="MM16" s="18">
        <f>IF(AND(348&gt;=$NQ$16,348&lt;=$NR$16),IF($NO$16="Single_Point",IF(348=$NQ$16,$NM$16,0),IF($NO$16="Bell_Curve",$NM$16*(348-$NQ$16+1)*($NR$16-348+1)/$NT$16,$NM$16/$NS$16)),0)</f>
        <v/>
      </c>
      <c r="MN16" s="18">
        <f>IF(AND(349&gt;=$NQ$16,349&lt;=$NR$16),IF($NO$16="Single_Point",IF(349=$NQ$16,$NM$16,0),IF($NO$16="Bell_Curve",$NM$16*(349-$NQ$16+1)*($NR$16-349+1)/$NT$16,$NM$16/$NS$16)),0)</f>
        <v/>
      </c>
      <c r="MO16" s="18">
        <f>IF(AND(350&gt;=$NQ$16,350&lt;=$NR$16),IF($NO$16="Single_Point",IF(350=$NQ$16,$NM$16,0),IF($NO$16="Bell_Curve",$NM$16*(350-$NQ$16+1)*($NR$16-350+1)/$NT$16,$NM$16/$NS$16)),0)</f>
        <v/>
      </c>
      <c r="MP16" s="18">
        <f>IF(AND(351&gt;=$NQ$16,351&lt;=$NR$16),IF($NO$16="Single_Point",IF(351=$NQ$16,$NM$16,0),IF($NO$16="Bell_Curve",$NM$16*(351-$NQ$16+1)*($NR$16-351+1)/$NT$16,$NM$16/$NS$16)),0)</f>
        <v/>
      </c>
      <c r="MQ16" s="18">
        <f>IF(AND(352&gt;=$NQ$16,352&lt;=$NR$16),IF($NO$16="Single_Point",IF(352=$NQ$16,$NM$16,0),IF($NO$16="Bell_Curve",$NM$16*(352-$NQ$16+1)*($NR$16-352+1)/$NT$16,$NM$16/$NS$16)),0)</f>
        <v/>
      </c>
      <c r="MR16" s="18">
        <f>IF(AND(353&gt;=$NQ$16,353&lt;=$NR$16),IF($NO$16="Single_Point",IF(353=$NQ$16,$NM$16,0),IF($NO$16="Bell_Curve",$NM$16*(353-$NQ$16+1)*($NR$16-353+1)/$NT$16,$NM$16/$NS$16)),0)</f>
        <v/>
      </c>
      <c r="MS16" s="18">
        <f>IF(AND(354&gt;=$NQ$16,354&lt;=$NR$16),IF($NO$16="Single_Point",IF(354=$NQ$16,$NM$16,0),IF($NO$16="Bell_Curve",$NM$16*(354-$NQ$16+1)*($NR$16-354+1)/$NT$16,$NM$16/$NS$16)),0)</f>
        <v/>
      </c>
      <c r="MT16" s="18">
        <f>IF(AND(355&gt;=$NQ$16,355&lt;=$NR$16),IF($NO$16="Single_Point",IF(355=$NQ$16,$NM$16,0),IF($NO$16="Bell_Curve",$NM$16*(355-$NQ$16+1)*($NR$16-355+1)/$NT$16,$NM$16/$NS$16)),0)</f>
        <v/>
      </c>
      <c r="MU16" s="18">
        <f>IF(AND(356&gt;=$NQ$16,356&lt;=$NR$16),IF($NO$16="Single_Point",IF(356=$NQ$16,$NM$16,0),IF($NO$16="Bell_Curve",$NM$16*(356-$NQ$16+1)*($NR$16-356+1)/$NT$16,$NM$16/$NS$16)),0)</f>
        <v/>
      </c>
      <c r="MV16" s="18">
        <f>IF(AND(357&gt;=$NQ$16,357&lt;=$NR$16),IF($NO$16="Single_Point",IF(357=$NQ$16,$NM$16,0),IF($NO$16="Bell_Curve",$NM$16*(357-$NQ$16+1)*($NR$16-357+1)/$NT$16,$NM$16/$NS$16)),0)</f>
        <v/>
      </c>
      <c r="MW16" s="18">
        <f>IF(AND(358&gt;=$NQ$16,358&lt;=$NR$16),IF($NO$16="Single_Point",IF(358=$NQ$16,$NM$16,0),IF($NO$16="Bell_Curve",$NM$16*(358-$NQ$16+1)*($NR$16-358+1)/$NT$16,$NM$16/$NS$16)),0)</f>
        <v/>
      </c>
      <c r="MX16" s="18">
        <f>IF(AND(359&gt;=$NQ$16,359&lt;=$NR$16),IF($NO$16="Single_Point",IF(359=$NQ$16,$NM$16,0),IF($NO$16="Bell_Curve",$NM$16*(359-$NQ$16+1)*($NR$16-359+1)/$NT$16,$NM$16/$NS$16)),0)</f>
        <v/>
      </c>
      <c r="MY16" s="18">
        <f>IF(AND(360&gt;=$NQ$16,360&lt;=$NR$16),IF($NO$16="Single_Point",IF(360=$NQ$16,$NM$16,0),IF($NO$16="Bell_Curve",$NM$16*(360-$NQ$16+1)*($NR$16-360+1)/$NT$16,$NM$16/$NS$16)),0)</f>
        <v/>
      </c>
      <c r="MZ16" s="18">
        <f>IF(AND(361&gt;=$NQ$16,361&lt;=$NR$16),IF($NO$16="Single_Point",IF(361=$NQ$16,$NM$16,0),IF($NO$16="Bell_Curve",$NM$16*(361-$NQ$16+1)*($NR$16-361+1)/$NT$16,$NM$16/$NS$16)),0)</f>
        <v/>
      </c>
      <c r="NA16" s="18">
        <f>IF(AND(362&gt;=$NQ$16,362&lt;=$NR$16),IF($NO$16="Single_Point",IF(362=$NQ$16,$NM$16,0),IF($NO$16="Bell_Curve",$NM$16*(362-$NQ$16+1)*($NR$16-362+1)/$NT$16,$NM$16/$NS$16)),0)</f>
        <v/>
      </c>
      <c r="NB16" s="18">
        <f>IF(AND(363&gt;=$NQ$16,363&lt;=$NR$16),IF($NO$16="Single_Point",IF(363=$NQ$16,$NM$16,0),IF($NO$16="Bell_Curve",$NM$16*(363-$NQ$16+1)*($NR$16-363+1)/$NT$16,$NM$16/$NS$16)),0)</f>
        <v/>
      </c>
      <c r="NC16" s="18">
        <f>IF(AND(364&gt;=$NQ$16,364&lt;=$NR$16),IF($NO$16="Single_Point",IF(364=$NQ$16,$NM$16,0),IF($NO$16="Bell_Curve",$NM$16*(364-$NQ$16+1)*($NR$16-364+1)/$NT$16,$NM$16/$NS$16)),0)</f>
        <v/>
      </c>
      <c r="ND16" s="18">
        <f>IF(AND(365&gt;=$NQ$16,365&lt;=$NR$16),IF($NO$16="Single_Point",IF(365=$NQ$16,$NM$16,0),IF($NO$16="Bell_Curve",$NM$16*(365-$NQ$16+1)*($NR$16-365+1)/$NT$16,$NM$16/$NS$16)),0)</f>
        <v/>
      </c>
      <c r="NE16" s="18">
        <f>IF(AND(366&gt;=$NQ$16,366&lt;=$NR$16),IF($NO$16="Single_Point",IF(366=$NQ$16,$NM$16,0),IF($NO$16="Bell_Curve",$NM$16*(366-$NQ$16+1)*($NR$16-366+1)/$NT$16,$NM$16/$NS$16)),0)</f>
        <v/>
      </c>
      <c r="NF16" s="18">
        <f>IF(AND(367&gt;=$NQ$16,367&lt;=$NR$16),IF($NO$16="Single_Point",IF(367=$NQ$16,$NM$16,0),IF($NO$16="Bell_Curve",$NM$16*(367-$NQ$16+1)*($NR$16-367+1)/$NT$16,$NM$16/$NS$16)),0)</f>
        <v/>
      </c>
      <c r="NG16" s="18">
        <f>IF(AND(368&gt;=$NQ$16,368&lt;=$NR$16),IF($NO$16="Single_Point",IF(368=$NQ$16,$NM$16,0),IF($NO$16="Bell_Curve",$NM$16*(368-$NQ$16+1)*($NR$16-368+1)/$NT$16,$NM$16/$NS$16)),0)</f>
        <v/>
      </c>
      <c r="NH16" s="18">
        <f>IF(AND(369&gt;=$NQ$16,369&lt;=$NR$16),IF($NO$16="Single_Point",IF(369=$NQ$16,$NM$16,0),IF($NO$16="Bell_Curve",$NM$16*(369-$NQ$16+1)*($NR$16-369+1)/$NT$16,$NM$16/$NS$16)),0)</f>
        <v/>
      </c>
      <c r="NI16" s="18">
        <f>IF(AND(370&gt;=$NQ$16,370&lt;=$NR$16),IF($NO$16="Single_Point",IF(370=$NQ$16,$NM$16,0),IF($NO$16="Bell_Curve",$NM$16*(370-$NQ$16+1)*($NR$16-370+1)/$NT$16,$NM$16/$NS$16)),0)</f>
        <v/>
      </c>
      <c r="NJ16" s="18">
        <f>IF(AND(371&gt;=$NQ$16,371&lt;=$NR$16),IF($NO$16="Single_Point",IF(371=$NQ$16,$NM$16,0),IF($NO$16="Bell_Curve",$NM$16*(371-$NQ$16+1)*($NR$16-371+1)/$NT$16,$NM$16/$NS$16)),0)</f>
        <v/>
      </c>
      <c r="NK16" s="18">
        <f>IF(AND(372&gt;=$NQ$16,372&lt;=$NR$16),IF($NO$16="Single_Point",IF(372=$NQ$16,$NM$16,0),IF($NO$16="Bell_Curve",$NM$16*(372-$NQ$16+1)*($NR$16-372+1)/$NT$16,$NM$16/$NS$16)),0)</f>
        <v/>
      </c>
      <c r="NM16" s="18">
        <f>Budget!I15</f>
        <v/>
      </c>
      <c r="NN16" s="42">
        <f>Budget!F15</f>
        <v/>
      </c>
      <c r="NO16" s="42">
        <f>Budget!G15</f>
        <v/>
      </c>
      <c r="NP16" s="17">
        <f>Budget!H15</f>
        <v/>
      </c>
      <c r="NQ16" s="32">
        <f>MAX(1,MIN(372,INDEX(MilestoneStart,MATCH(NN16,MilestoneNames,0))+NP16))</f>
        <v/>
      </c>
      <c r="NR16" s="32">
        <f>MAX(NQ16,MIN(372,INDEX(MilestoneEnd,MATCH(NN16,MilestoneNames,0))+NP16))</f>
        <v/>
      </c>
      <c r="NS16" s="17">
        <f>NR16-NQ16+1</f>
        <v/>
      </c>
      <c r="NT16" s="17">
        <f>NS16*(NS16+1)*(NS16+2)/6</f>
        <v/>
      </c>
    </row>
    <row r="17">
      <c r="A17" s="5" t="inlineStr">
        <is>
          <t>Utilities &amp; Hookups</t>
        </is>
      </c>
      <c r="C17" s="41">
        <f>SUM(D17:NK17)</f>
        <v/>
      </c>
      <c r="D17" s="18">
        <f>IF(AND(1&gt;=$NQ$17,1&lt;=$NR$17),IF($NO$17="Single_Point",IF(1=$NQ$17,$NM$17,0),IF($NO$17="Bell_Curve",$NM$17*(1-$NQ$17+1)*($NR$17-1+1)/$NT$17,$NM$17/$NS$17)),0)</f>
        <v/>
      </c>
      <c r="E17" s="18">
        <f>IF(AND(2&gt;=$NQ$17,2&lt;=$NR$17),IF($NO$17="Single_Point",IF(2=$NQ$17,$NM$17,0),IF($NO$17="Bell_Curve",$NM$17*(2-$NQ$17+1)*($NR$17-2+1)/$NT$17,$NM$17/$NS$17)),0)</f>
        <v/>
      </c>
      <c r="F17" s="18">
        <f>IF(AND(3&gt;=$NQ$17,3&lt;=$NR$17),IF($NO$17="Single_Point",IF(3=$NQ$17,$NM$17,0),IF($NO$17="Bell_Curve",$NM$17*(3-$NQ$17+1)*($NR$17-3+1)/$NT$17,$NM$17/$NS$17)),0)</f>
        <v/>
      </c>
      <c r="G17" s="18">
        <f>IF(AND(4&gt;=$NQ$17,4&lt;=$NR$17),IF($NO$17="Single_Point",IF(4=$NQ$17,$NM$17,0),IF($NO$17="Bell_Curve",$NM$17*(4-$NQ$17+1)*($NR$17-4+1)/$NT$17,$NM$17/$NS$17)),0)</f>
        <v/>
      </c>
      <c r="H17" s="18">
        <f>IF(AND(5&gt;=$NQ$17,5&lt;=$NR$17),IF($NO$17="Single_Point",IF(5=$NQ$17,$NM$17,0),IF($NO$17="Bell_Curve",$NM$17*(5-$NQ$17+1)*($NR$17-5+1)/$NT$17,$NM$17/$NS$17)),0)</f>
        <v/>
      </c>
      <c r="I17" s="18">
        <f>IF(AND(6&gt;=$NQ$17,6&lt;=$NR$17),IF($NO$17="Single_Point",IF(6=$NQ$17,$NM$17,0),IF($NO$17="Bell_Curve",$NM$17*(6-$NQ$17+1)*($NR$17-6+1)/$NT$17,$NM$17/$NS$17)),0)</f>
        <v/>
      </c>
      <c r="J17" s="18">
        <f>IF(AND(7&gt;=$NQ$17,7&lt;=$NR$17),IF($NO$17="Single_Point",IF(7=$NQ$17,$NM$17,0),IF($NO$17="Bell_Curve",$NM$17*(7-$NQ$17+1)*($NR$17-7+1)/$NT$17,$NM$17/$NS$17)),0)</f>
        <v/>
      </c>
      <c r="K17" s="18">
        <f>IF(AND(8&gt;=$NQ$17,8&lt;=$NR$17),IF($NO$17="Single_Point",IF(8=$NQ$17,$NM$17,0),IF($NO$17="Bell_Curve",$NM$17*(8-$NQ$17+1)*($NR$17-8+1)/$NT$17,$NM$17/$NS$17)),0)</f>
        <v/>
      </c>
      <c r="L17" s="18">
        <f>IF(AND(9&gt;=$NQ$17,9&lt;=$NR$17),IF($NO$17="Single_Point",IF(9=$NQ$17,$NM$17,0),IF($NO$17="Bell_Curve",$NM$17*(9-$NQ$17+1)*($NR$17-9+1)/$NT$17,$NM$17/$NS$17)),0)</f>
        <v/>
      </c>
      <c r="M17" s="18">
        <f>IF(AND(10&gt;=$NQ$17,10&lt;=$NR$17),IF($NO$17="Single_Point",IF(10=$NQ$17,$NM$17,0),IF($NO$17="Bell_Curve",$NM$17*(10-$NQ$17+1)*($NR$17-10+1)/$NT$17,$NM$17/$NS$17)),0)</f>
        <v/>
      </c>
      <c r="N17" s="18">
        <f>IF(AND(11&gt;=$NQ$17,11&lt;=$NR$17),IF($NO$17="Single_Point",IF(11=$NQ$17,$NM$17,0),IF($NO$17="Bell_Curve",$NM$17*(11-$NQ$17+1)*($NR$17-11+1)/$NT$17,$NM$17/$NS$17)),0)</f>
        <v/>
      </c>
      <c r="O17" s="18">
        <f>IF(AND(12&gt;=$NQ$17,12&lt;=$NR$17),IF($NO$17="Single_Point",IF(12=$NQ$17,$NM$17,0),IF($NO$17="Bell_Curve",$NM$17*(12-$NQ$17+1)*($NR$17-12+1)/$NT$17,$NM$17/$NS$17)),0)</f>
        <v/>
      </c>
      <c r="P17" s="18">
        <f>IF(AND(13&gt;=$NQ$17,13&lt;=$NR$17),IF($NO$17="Single_Point",IF(13=$NQ$17,$NM$17,0),IF($NO$17="Bell_Curve",$NM$17*(13-$NQ$17+1)*($NR$17-13+1)/$NT$17,$NM$17/$NS$17)),0)</f>
        <v/>
      </c>
      <c r="Q17" s="18">
        <f>IF(AND(14&gt;=$NQ$17,14&lt;=$NR$17),IF($NO$17="Single_Point",IF(14=$NQ$17,$NM$17,0),IF($NO$17="Bell_Curve",$NM$17*(14-$NQ$17+1)*($NR$17-14+1)/$NT$17,$NM$17/$NS$17)),0)</f>
        <v/>
      </c>
      <c r="R17" s="18">
        <f>IF(AND(15&gt;=$NQ$17,15&lt;=$NR$17),IF($NO$17="Single_Point",IF(15=$NQ$17,$NM$17,0),IF($NO$17="Bell_Curve",$NM$17*(15-$NQ$17+1)*($NR$17-15+1)/$NT$17,$NM$17/$NS$17)),0)</f>
        <v/>
      </c>
      <c r="S17" s="18">
        <f>IF(AND(16&gt;=$NQ$17,16&lt;=$NR$17),IF($NO$17="Single_Point",IF(16=$NQ$17,$NM$17,0),IF($NO$17="Bell_Curve",$NM$17*(16-$NQ$17+1)*($NR$17-16+1)/$NT$17,$NM$17/$NS$17)),0)</f>
        <v/>
      </c>
      <c r="T17" s="18">
        <f>IF(AND(17&gt;=$NQ$17,17&lt;=$NR$17),IF($NO$17="Single_Point",IF(17=$NQ$17,$NM$17,0),IF($NO$17="Bell_Curve",$NM$17*(17-$NQ$17+1)*($NR$17-17+1)/$NT$17,$NM$17/$NS$17)),0)</f>
        <v/>
      </c>
      <c r="U17" s="18">
        <f>IF(AND(18&gt;=$NQ$17,18&lt;=$NR$17),IF($NO$17="Single_Point",IF(18=$NQ$17,$NM$17,0),IF($NO$17="Bell_Curve",$NM$17*(18-$NQ$17+1)*($NR$17-18+1)/$NT$17,$NM$17/$NS$17)),0)</f>
        <v/>
      </c>
      <c r="V17" s="18">
        <f>IF(AND(19&gt;=$NQ$17,19&lt;=$NR$17),IF($NO$17="Single_Point",IF(19=$NQ$17,$NM$17,0),IF($NO$17="Bell_Curve",$NM$17*(19-$NQ$17+1)*($NR$17-19+1)/$NT$17,$NM$17/$NS$17)),0)</f>
        <v/>
      </c>
      <c r="W17" s="18">
        <f>IF(AND(20&gt;=$NQ$17,20&lt;=$NR$17),IF($NO$17="Single_Point",IF(20=$NQ$17,$NM$17,0),IF($NO$17="Bell_Curve",$NM$17*(20-$NQ$17+1)*($NR$17-20+1)/$NT$17,$NM$17/$NS$17)),0)</f>
        <v/>
      </c>
      <c r="X17" s="18">
        <f>IF(AND(21&gt;=$NQ$17,21&lt;=$NR$17),IF($NO$17="Single_Point",IF(21=$NQ$17,$NM$17,0),IF($NO$17="Bell_Curve",$NM$17*(21-$NQ$17+1)*($NR$17-21+1)/$NT$17,$NM$17/$NS$17)),0)</f>
        <v/>
      </c>
      <c r="Y17" s="18">
        <f>IF(AND(22&gt;=$NQ$17,22&lt;=$NR$17),IF($NO$17="Single_Point",IF(22=$NQ$17,$NM$17,0),IF($NO$17="Bell_Curve",$NM$17*(22-$NQ$17+1)*($NR$17-22+1)/$NT$17,$NM$17/$NS$17)),0)</f>
        <v/>
      </c>
      <c r="Z17" s="18">
        <f>IF(AND(23&gt;=$NQ$17,23&lt;=$NR$17),IF($NO$17="Single_Point",IF(23=$NQ$17,$NM$17,0),IF($NO$17="Bell_Curve",$NM$17*(23-$NQ$17+1)*($NR$17-23+1)/$NT$17,$NM$17/$NS$17)),0)</f>
        <v/>
      </c>
      <c r="AA17" s="18">
        <f>IF(AND(24&gt;=$NQ$17,24&lt;=$NR$17),IF($NO$17="Single_Point",IF(24=$NQ$17,$NM$17,0),IF($NO$17="Bell_Curve",$NM$17*(24-$NQ$17+1)*($NR$17-24+1)/$NT$17,$NM$17/$NS$17)),0)</f>
        <v/>
      </c>
      <c r="AB17" s="18">
        <f>IF(AND(25&gt;=$NQ$17,25&lt;=$NR$17),IF($NO$17="Single_Point",IF(25=$NQ$17,$NM$17,0),IF($NO$17="Bell_Curve",$NM$17*(25-$NQ$17+1)*($NR$17-25+1)/$NT$17,$NM$17/$NS$17)),0)</f>
        <v/>
      </c>
      <c r="AC17" s="18">
        <f>IF(AND(26&gt;=$NQ$17,26&lt;=$NR$17),IF($NO$17="Single_Point",IF(26=$NQ$17,$NM$17,0),IF($NO$17="Bell_Curve",$NM$17*(26-$NQ$17+1)*($NR$17-26+1)/$NT$17,$NM$17/$NS$17)),0)</f>
        <v/>
      </c>
      <c r="AD17" s="18">
        <f>IF(AND(27&gt;=$NQ$17,27&lt;=$NR$17),IF($NO$17="Single_Point",IF(27=$NQ$17,$NM$17,0),IF($NO$17="Bell_Curve",$NM$17*(27-$NQ$17+1)*($NR$17-27+1)/$NT$17,$NM$17/$NS$17)),0)</f>
        <v/>
      </c>
      <c r="AE17" s="18">
        <f>IF(AND(28&gt;=$NQ$17,28&lt;=$NR$17),IF($NO$17="Single_Point",IF(28=$NQ$17,$NM$17,0),IF($NO$17="Bell_Curve",$NM$17*(28-$NQ$17+1)*($NR$17-28+1)/$NT$17,$NM$17/$NS$17)),0)</f>
        <v/>
      </c>
      <c r="AF17" s="18">
        <f>IF(AND(29&gt;=$NQ$17,29&lt;=$NR$17),IF($NO$17="Single_Point",IF(29=$NQ$17,$NM$17,0),IF($NO$17="Bell_Curve",$NM$17*(29-$NQ$17+1)*($NR$17-29+1)/$NT$17,$NM$17/$NS$17)),0)</f>
        <v/>
      </c>
      <c r="AG17" s="18">
        <f>IF(AND(30&gt;=$NQ$17,30&lt;=$NR$17),IF($NO$17="Single_Point",IF(30=$NQ$17,$NM$17,0),IF($NO$17="Bell_Curve",$NM$17*(30-$NQ$17+1)*($NR$17-30+1)/$NT$17,$NM$17/$NS$17)),0)</f>
        <v/>
      </c>
      <c r="AH17" s="18">
        <f>IF(AND(31&gt;=$NQ$17,31&lt;=$NR$17),IF($NO$17="Single_Point",IF(31=$NQ$17,$NM$17,0),IF($NO$17="Bell_Curve",$NM$17*(31-$NQ$17+1)*($NR$17-31+1)/$NT$17,$NM$17/$NS$17)),0)</f>
        <v/>
      </c>
      <c r="AI17" s="18">
        <f>IF(AND(32&gt;=$NQ$17,32&lt;=$NR$17),IF($NO$17="Single_Point",IF(32=$NQ$17,$NM$17,0),IF($NO$17="Bell_Curve",$NM$17*(32-$NQ$17+1)*($NR$17-32+1)/$NT$17,$NM$17/$NS$17)),0)</f>
        <v/>
      </c>
      <c r="AJ17" s="18">
        <f>IF(AND(33&gt;=$NQ$17,33&lt;=$NR$17),IF($NO$17="Single_Point",IF(33=$NQ$17,$NM$17,0),IF($NO$17="Bell_Curve",$NM$17*(33-$NQ$17+1)*($NR$17-33+1)/$NT$17,$NM$17/$NS$17)),0)</f>
        <v/>
      </c>
      <c r="AK17" s="18">
        <f>IF(AND(34&gt;=$NQ$17,34&lt;=$NR$17),IF($NO$17="Single_Point",IF(34=$NQ$17,$NM$17,0),IF($NO$17="Bell_Curve",$NM$17*(34-$NQ$17+1)*($NR$17-34+1)/$NT$17,$NM$17/$NS$17)),0)</f>
        <v/>
      </c>
      <c r="AL17" s="18">
        <f>IF(AND(35&gt;=$NQ$17,35&lt;=$NR$17),IF($NO$17="Single_Point",IF(35=$NQ$17,$NM$17,0),IF($NO$17="Bell_Curve",$NM$17*(35-$NQ$17+1)*($NR$17-35+1)/$NT$17,$NM$17/$NS$17)),0)</f>
        <v/>
      </c>
      <c r="AM17" s="18">
        <f>IF(AND(36&gt;=$NQ$17,36&lt;=$NR$17),IF($NO$17="Single_Point",IF(36=$NQ$17,$NM$17,0),IF($NO$17="Bell_Curve",$NM$17*(36-$NQ$17+1)*($NR$17-36+1)/$NT$17,$NM$17/$NS$17)),0)</f>
        <v/>
      </c>
      <c r="AN17" s="18">
        <f>IF(AND(37&gt;=$NQ$17,37&lt;=$NR$17),IF($NO$17="Single_Point",IF(37=$NQ$17,$NM$17,0),IF($NO$17="Bell_Curve",$NM$17*(37-$NQ$17+1)*($NR$17-37+1)/$NT$17,$NM$17/$NS$17)),0)</f>
        <v/>
      </c>
      <c r="AO17" s="18">
        <f>IF(AND(38&gt;=$NQ$17,38&lt;=$NR$17),IF($NO$17="Single_Point",IF(38=$NQ$17,$NM$17,0),IF($NO$17="Bell_Curve",$NM$17*(38-$NQ$17+1)*($NR$17-38+1)/$NT$17,$NM$17/$NS$17)),0)</f>
        <v/>
      </c>
      <c r="AP17" s="18">
        <f>IF(AND(39&gt;=$NQ$17,39&lt;=$NR$17),IF($NO$17="Single_Point",IF(39=$NQ$17,$NM$17,0),IF($NO$17="Bell_Curve",$NM$17*(39-$NQ$17+1)*($NR$17-39+1)/$NT$17,$NM$17/$NS$17)),0)</f>
        <v/>
      </c>
      <c r="AQ17" s="18">
        <f>IF(AND(40&gt;=$NQ$17,40&lt;=$NR$17),IF($NO$17="Single_Point",IF(40=$NQ$17,$NM$17,0),IF($NO$17="Bell_Curve",$NM$17*(40-$NQ$17+1)*($NR$17-40+1)/$NT$17,$NM$17/$NS$17)),0)</f>
        <v/>
      </c>
      <c r="AR17" s="18">
        <f>IF(AND(41&gt;=$NQ$17,41&lt;=$NR$17),IF($NO$17="Single_Point",IF(41=$NQ$17,$NM$17,0),IF($NO$17="Bell_Curve",$NM$17*(41-$NQ$17+1)*($NR$17-41+1)/$NT$17,$NM$17/$NS$17)),0)</f>
        <v/>
      </c>
      <c r="AS17" s="18">
        <f>IF(AND(42&gt;=$NQ$17,42&lt;=$NR$17),IF($NO$17="Single_Point",IF(42=$NQ$17,$NM$17,0),IF($NO$17="Bell_Curve",$NM$17*(42-$NQ$17+1)*($NR$17-42+1)/$NT$17,$NM$17/$NS$17)),0)</f>
        <v/>
      </c>
      <c r="AT17" s="18">
        <f>IF(AND(43&gt;=$NQ$17,43&lt;=$NR$17),IF($NO$17="Single_Point",IF(43=$NQ$17,$NM$17,0),IF($NO$17="Bell_Curve",$NM$17*(43-$NQ$17+1)*($NR$17-43+1)/$NT$17,$NM$17/$NS$17)),0)</f>
        <v/>
      </c>
      <c r="AU17" s="18">
        <f>IF(AND(44&gt;=$NQ$17,44&lt;=$NR$17),IF($NO$17="Single_Point",IF(44=$NQ$17,$NM$17,0),IF($NO$17="Bell_Curve",$NM$17*(44-$NQ$17+1)*($NR$17-44+1)/$NT$17,$NM$17/$NS$17)),0)</f>
        <v/>
      </c>
      <c r="AV17" s="18">
        <f>IF(AND(45&gt;=$NQ$17,45&lt;=$NR$17),IF($NO$17="Single_Point",IF(45=$NQ$17,$NM$17,0),IF($NO$17="Bell_Curve",$NM$17*(45-$NQ$17+1)*($NR$17-45+1)/$NT$17,$NM$17/$NS$17)),0)</f>
        <v/>
      </c>
      <c r="AW17" s="18">
        <f>IF(AND(46&gt;=$NQ$17,46&lt;=$NR$17),IF($NO$17="Single_Point",IF(46=$NQ$17,$NM$17,0),IF($NO$17="Bell_Curve",$NM$17*(46-$NQ$17+1)*($NR$17-46+1)/$NT$17,$NM$17/$NS$17)),0)</f>
        <v/>
      </c>
      <c r="AX17" s="18">
        <f>IF(AND(47&gt;=$NQ$17,47&lt;=$NR$17),IF($NO$17="Single_Point",IF(47=$NQ$17,$NM$17,0),IF($NO$17="Bell_Curve",$NM$17*(47-$NQ$17+1)*($NR$17-47+1)/$NT$17,$NM$17/$NS$17)),0)</f>
        <v/>
      </c>
      <c r="AY17" s="18">
        <f>IF(AND(48&gt;=$NQ$17,48&lt;=$NR$17),IF($NO$17="Single_Point",IF(48=$NQ$17,$NM$17,0),IF($NO$17="Bell_Curve",$NM$17*(48-$NQ$17+1)*($NR$17-48+1)/$NT$17,$NM$17/$NS$17)),0)</f>
        <v/>
      </c>
      <c r="AZ17" s="18">
        <f>IF(AND(49&gt;=$NQ$17,49&lt;=$NR$17),IF($NO$17="Single_Point",IF(49=$NQ$17,$NM$17,0),IF($NO$17="Bell_Curve",$NM$17*(49-$NQ$17+1)*($NR$17-49+1)/$NT$17,$NM$17/$NS$17)),0)</f>
        <v/>
      </c>
      <c r="BA17" s="18">
        <f>IF(AND(50&gt;=$NQ$17,50&lt;=$NR$17),IF($NO$17="Single_Point",IF(50=$NQ$17,$NM$17,0),IF($NO$17="Bell_Curve",$NM$17*(50-$NQ$17+1)*($NR$17-50+1)/$NT$17,$NM$17/$NS$17)),0)</f>
        <v/>
      </c>
      <c r="BB17" s="18">
        <f>IF(AND(51&gt;=$NQ$17,51&lt;=$NR$17),IF($NO$17="Single_Point",IF(51=$NQ$17,$NM$17,0),IF($NO$17="Bell_Curve",$NM$17*(51-$NQ$17+1)*($NR$17-51+1)/$NT$17,$NM$17/$NS$17)),0)</f>
        <v/>
      </c>
      <c r="BC17" s="18">
        <f>IF(AND(52&gt;=$NQ$17,52&lt;=$NR$17),IF($NO$17="Single_Point",IF(52=$NQ$17,$NM$17,0),IF($NO$17="Bell_Curve",$NM$17*(52-$NQ$17+1)*($NR$17-52+1)/$NT$17,$NM$17/$NS$17)),0)</f>
        <v/>
      </c>
      <c r="BD17" s="18">
        <f>IF(AND(53&gt;=$NQ$17,53&lt;=$NR$17),IF($NO$17="Single_Point",IF(53=$NQ$17,$NM$17,0),IF($NO$17="Bell_Curve",$NM$17*(53-$NQ$17+1)*($NR$17-53+1)/$NT$17,$NM$17/$NS$17)),0)</f>
        <v/>
      </c>
      <c r="BE17" s="18">
        <f>IF(AND(54&gt;=$NQ$17,54&lt;=$NR$17),IF($NO$17="Single_Point",IF(54=$NQ$17,$NM$17,0),IF($NO$17="Bell_Curve",$NM$17*(54-$NQ$17+1)*($NR$17-54+1)/$NT$17,$NM$17/$NS$17)),0)</f>
        <v/>
      </c>
      <c r="BF17" s="18">
        <f>IF(AND(55&gt;=$NQ$17,55&lt;=$NR$17),IF($NO$17="Single_Point",IF(55=$NQ$17,$NM$17,0),IF($NO$17="Bell_Curve",$NM$17*(55-$NQ$17+1)*($NR$17-55+1)/$NT$17,$NM$17/$NS$17)),0)</f>
        <v/>
      </c>
      <c r="BG17" s="18">
        <f>IF(AND(56&gt;=$NQ$17,56&lt;=$NR$17),IF($NO$17="Single_Point",IF(56=$NQ$17,$NM$17,0),IF($NO$17="Bell_Curve",$NM$17*(56-$NQ$17+1)*($NR$17-56+1)/$NT$17,$NM$17/$NS$17)),0)</f>
        <v/>
      </c>
      <c r="BH17" s="18">
        <f>IF(AND(57&gt;=$NQ$17,57&lt;=$NR$17),IF($NO$17="Single_Point",IF(57=$NQ$17,$NM$17,0),IF($NO$17="Bell_Curve",$NM$17*(57-$NQ$17+1)*($NR$17-57+1)/$NT$17,$NM$17/$NS$17)),0)</f>
        <v/>
      </c>
      <c r="BI17" s="18">
        <f>IF(AND(58&gt;=$NQ$17,58&lt;=$NR$17),IF($NO$17="Single_Point",IF(58=$NQ$17,$NM$17,0),IF($NO$17="Bell_Curve",$NM$17*(58-$NQ$17+1)*($NR$17-58+1)/$NT$17,$NM$17/$NS$17)),0)</f>
        <v/>
      </c>
      <c r="BJ17" s="18">
        <f>IF(AND(59&gt;=$NQ$17,59&lt;=$NR$17),IF($NO$17="Single_Point",IF(59=$NQ$17,$NM$17,0),IF($NO$17="Bell_Curve",$NM$17*(59-$NQ$17+1)*($NR$17-59+1)/$NT$17,$NM$17/$NS$17)),0)</f>
        <v/>
      </c>
      <c r="BK17" s="18">
        <f>IF(AND(60&gt;=$NQ$17,60&lt;=$NR$17),IF($NO$17="Single_Point",IF(60=$NQ$17,$NM$17,0),IF($NO$17="Bell_Curve",$NM$17*(60-$NQ$17+1)*($NR$17-60+1)/$NT$17,$NM$17/$NS$17)),0)</f>
        <v/>
      </c>
      <c r="BL17" s="18">
        <f>IF(AND(61&gt;=$NQ$17,61&lt;=$NR$17),IF($NO$17="Single_Point",IF(61=$NQ$17,$NM$17,0),IF($NO$17="Bell_Curve",$NM$17*(61-$NQ$17+1)*($NR$17-61+1)/$NT$17,$NM$17/$NS$17)),0)</f>
        <v/>
      </c>
      <c r="BM17" s="18">
        <f>IF(AND(62&gt;=$NQ$17,62&lt;=$NR$17),IF($NO$17="Single_Point",IF(62=$NQ$17,$NM$17,0),IF($NO$17="Bell_Curve",$NM$17*(62-$NQ$17+1)*($NR$17-62+1)/$NT$17,$NM$17/$NS$17)),0)</f>
        <v/>
      </c>
      <c r="BN17" s="18">
        <f>IF(AND(63&gt;=$NQ$17,63&lt;=$NR$17),IF($NO$17="Single_Point",IF(63=$NQ$17,$NM$17,0),IF($NO$17="Bell_Curve",$NM$17*(63-$NQ$17+1)*($NR$17-63+1)/$NT$17,$NM$17/$NS$17)),0)</f>
        <v/>
      </c>
      <c r="BO17" s="18">
        <f>IF(AND(64&gt;=$NQ$17,64&lt;=$NR$17),IF($NO$17="Single_Point",IF(64=$NQ$17,$NM$17,0),IF($NO$17="Bell_Curve",$NM$17*(64-$NQ$17+1)*($NR$17-64+1)/$NT$17,$NM$17/$NS$17)),0)</f>
        <v/>
      </c>
      <c r="BP17" s="18">
        <f>IF(AND(65&gt;=$NQ$17,65&lt;=$NR$17),IF($NO$17="Single_Point",IF(65=$NQ$17,$NM$17,0),IF($NO$17="Bell_Curve",$NM$17*(65-$NQ$17+1)*($NR$17-65+1)/$NT$17,$NM$17/$NS$17)),0)</f>
        <v/>
      </c>
      <c r="BQ17" s="18">
        <f>IF(AND(66&gt;=$NQ$17,66&lt;=$NR$17),IF($NO$17="Single_Point",IF(66=$NQ$17,$NM$17,0),IF($NO$17="Bell_Curve",$NM$17*(66-$NQ$17+1)*($NR$17-66+1)/$NT$17,$NM$17/$NS$17)),0)</f>
        <v/>
      </c>
      <c r="BR17" s="18">
        <f>IF(AND(67&gt;=$NQ$17,67&lt;=$NR$17),IF($NO$17="Single_Point",IF(67=$NQ$17,$NM$17,0),IF($NO$17="Bell_Curve",$NM$17*(67-$NQ$17+1)*($NR$17-67+1)/$NT$17,$NM$17/$NS$17)),0)</f>
        <v/>
      </c>
      <c r="BS17" s="18">
        <f>IF(AND(68&gt;=$NQ$17,68&lt;=$NR$17),IF($NO$17="Single_Point",IF(68=$NQ$17,$NM$17,0),IF($NO$17="Bell_Curve",$NM$17*(68-$NQ$17+1)*($NR$17-68+1)/$NT$17,$NM$17/$NS$17)),0)</f>
        <v/>
      </c>
      <c r="BT17" s="18">
        <f>IF(AND(69&gt;=$NQ$17,69&lt;=$NR$17),IF($NO$17="Single_Point",IF(69=$NQ$17,$NM$17,0),IF($NO$17="Bell_Curve",$NM$17*(69-$NQ$17+1)*($NR$17-69+1)/$NT$17,$NM$17/$NS$17)),0)</f>
        <v/>
      </c>
      <c r="BU17" s="18">
        <f>IF(AND(70&gt;=$NQ$17,70&lt;=$NR$17),IF($NO$17="Single_Point",IF(70=$NQ$17,$NM$17,0),IF($NO$17="Bell_Curve",$NM$17*(70-$NQ$17+1)*($NR$17-70+1)/$NT$17,$NM$17/$NS$17)),0)</f>
        <v/>
      </c>
      <c r="BV17" s="18">
        <f>IF(AND(71&gt;=$NQ$17,71&lt;=$NR$17),IF($NO$17="Single_Point",IF(71=$NQ$17,$NM$17,0),IF($NO$17="Bell_Curve",$NM$17*(71-$NQ$17+1)*($NR$17-71+1)/$NT$17,$NM$17/$NS$17)),0)</f>
        <v/>
      </c>
      <c r="BW17" s="18">
        <f>IF(AND(72&gt;=$NQ$17,72&lt;=$NR$17),IF($NO$17="Single_Point",IF(72=$NQ$17,$NM$17,0),IF($NO$17="Bell_Curve",$NM$17*(72-$NQ$17+1)*($NR$17-72+1)/$NT$17,$NM$17/$NS$17)),0)</f>
        <v/>
      </c>
      <c r="BX17" s="18">
        <f>IF(AND(73&gt;=$NQ$17,73&lt;=$NR$17),IF($NO$17="Single_Point",IF(73=$NQ$17,$NM$17,0),IF($NO$17="Bell_Curve",$NM$17*(73-$NQ$17+1)*($NR$17-73+1)/$NT$17,$NM$17/$NS$17)),0)</f>
        <v/>
      </c>
      <c r="BY17" s="18">
        <f>IF(AND(74&gt;=$NQ$17,74&lt;=$NR$17),IF($NO$17="Single_Point",IF(74=$NQ$17,$NM$17,0),IF($NO$17="Bell_Curve",$NM$17*(74-$NQ$17+1)*($NR$17-74+1)/$NT$17,$NM$17/$NS$17)),0)</f>
        <v/>
      </c>
      <c r="BZ17" s="18">
        <f>IF(AND(75&gt;=$NQ$17,75&lt;=$NR$17),IF($NO$17="Single_Point",IF(75=$NQ$17,$NM$17,0),IF($NO$17="Bell_Curve",$NM$17*(75-$NQ$17+1)*($NR$17-75+1)/$NT$17,$NM$17/$NS$17)),0)</f>
        <v/>
      </c>
      <c r="CA17" s="18">
        <f>IF(AND(76&gt;=$NQ$17,76&lt;=$NR$17),IF($NO$17="Single_Point",IF(76=$NQ$17,$NM$17,0),IF($NO$17="Bell_Curve",$NM$17*(76-$NQ$17+1)*($NR$17-76+1)/$NT$17,$NM$17/$NS$17)),0)</f>
        <v/>
      </c>
      <c r="CB17" s="18">
        <f>IF(AND(77&gt;=$NQ$17,77&lt;=$NR$17),IF($NO$17="Single_Point",IF(77=$NQ$17,$NM$17,0),IF($NO$17="Bell_Curve",$NM$17*(77-$NQ$17+1)*($NR$17-77+1)/$NT$17,$NM$17/$NS$17)),0)</f>
        <v/>
      </c>
      <c r="CC17" s="18">
        <f>IF(AND(78&gt;=$NQ$17,78&lt;=$NR$17),IF($NO$17="Single_Point",IF(78=$NQ$17,$NM$17,0),IF($NO$17="Bell_Curve",$NM$17*(78-$NQ$17+1)*($NR$17-78+1)/$NT$17,$NM$17/$NS$17)),0)</f>
        <v/>
      </c>
      <c r="CD17" s="18">
        <f>IF(AND(79&gt;=$NQ$17,79&lt;=$NR$17),IF($NO$17="Single_Point",IF(79=$NQ$17,$NM$17,0),IF($NO$17="Bell_Curve",$NM$17*(79-$NQ$17+1)*($NR$17-79+1)/$NT$17,$NM$17/$NS$17)),0)</f>
        <v/>
      </c>
      <c r="CE17" s="18">
        <f>IF(AND(80&gt;=$NQ$17,80&lt;=$NR$17),IF($NO$17="Single_Point",IF(80=$NQ$17,$NM$17,0),IF($NO$17="Bell_Curve",$NM$17*(80-$NQ$17+1)*($NR$17-80+1)/$NT$17,$NM$17/$NS$17)),0)</f>
        <v/>
      </c>
      <c r="CF17" s="18">
        <f>IF(AND(81&gt;=$NQ$17,81&lt;=$NR$17),IF($NO$17="Single_Point",IF(81=$NQ$17,$NM$17,0),IF($NO$17="Bell_Curve",$NM$17*(81-$NQ$17+1)*($NR$17-81+1)/$NT$17,$NM$17/$NS$17)),0)</f>
        <v/>
      </c>
      <c r="CG17" s="18">
        <f>IF(AND(82&gt;=$NQ$17,82&lt;=$NR$17),IF($NO$17="Single_Point",IF(82=$NQ$17,$NM$17,0),IF($NO$17="Bell_Curve",$NM$17*(82-$NQ$17+1)*($NR$17-82+1)/$NT$17,$NM$17/$NS$17)),0)</f>
        <v/>
      </c>
      <c r="CH17" s="18">
        <f>IF(AND(83&gt;=$NQ$17,83&lt;=$NR$17),IF($NO$17="Single_Point",IF(83=$NQ$17,$NM$17,0),IF($NO$17="Bell_Curve",$NM$17*(83-$NQ$17+1)*($NR$17-83+1)/$NT$17,$NM$17/$NS$17)),0)</f>
        <v/>
      </c>
      <c r="CI17" s="18">
        <f>IF(AND(84&gt;=$NQ$17,84&lt;=$NR$17),IF($NO$17="Single_Point",IF(84=$NQ$17,$NM$17,0),IF($NO$17="Bell_Curve",$NM$17*(84-$NQ$17+1)*($NR$17-84+1)/$NT$17,$NM$17/$NS$17)),0)</f>
        <v/>
      </c>
      <c r="CJ17" s="18">
        <f>IF(AND(85&gt;=$NQ$17,85&lt;=$NR$17),IF($NO$17="Single_Point",IF(85=$NQ$17,$NM$17,0),IF($NO$17="Bell_Curve",$NM$17*(85-$NQ$17+1)*($NR$17-85+1)/$NT$17,$NM$17/$NS$17)),0)</f>
        <v/>
      </c>
      <c r="CK17" s="18">
        <f>IF(AND(86&gt;=$NQ$17,86&lt;=$NR$17),IF($NO$17="Single_Point",IF(86=$NQ$17,$NM$17,0),IF($NO$17="Bell_Curve",$NM$17*(86-$NQ$17+1)*($NR$17-86+1)/$NT$17,$NM$17/$NS$17)),0)</f>
        <v/>
      </c>
      <c r="CL17" s="18">
        <f>IF(AND(87&gt;=$NQ$17,87&lt;=$NR$17),IF($NO$17="Single_Point",IF(87=$NQ$17,$NM$17,0),IF($NO$17="Bell_Curve",$NM$17*(87-$NQ$17+1)*($NR$17-87+1)/$NT$17,$NM$17/$NS$17)),0)</f>
        <v/>
      </c>
      <c r="CM17" s="18">
        <f>IF(AND(88&gt;=$NQ$17,88&lt;=$NR$17),IF($NO$17="Single_Point",IF(88=$NQ$17,$NM$17,0),IF($NO$17="Bell_Curve",$NM$17*(88-$NQ$17+1)*($NR$17-88+1)/$NT$17,$NM$17/$NS$17)),0)</f>
        <v/>
      </c>
      <c r="CN17" s="18">
        <f>IF(AND(89&gt;=$NQ$17,89&lt;=$NR$17),IF($NO$17="Single_Point",IF(89=$NQ$17,$NM$17,0),IF($NO$17="Bell_Curve",$NM$17*(89-$NQ$17+1)*($NR$17-89+1)/$NT$17,$NM$17/$NS$17)),0)</f>
        <v/>
      </c>
      <c r="CO17" s="18">
        <f>IF(AND(90&gt;=$NQ$17,90&lt;=$NR$17),IF($NO$17="Single_Point",IF(90=$NQ$17,$NM$17,0),IF($NO$17="Bell_Curve",$NM$17*(90-$NQ$17+1)*($NR$17-90+1)/$NT$17,$NM$17/$NS$17)),0)</f>
        <v/>
      </c>
      <c r="CP17" s="18">
        <f>IF(AND(91&gt;=$NQ$17,91&lt;=$NR$17),IF($NO$17="Single_Point",IF(91=$NQ$17,$NM$17,0),IF($NO$17="Bell_Curve",$NM$17*(91-$NQ$17+1)*($NR$17-91+1)/$NT$17,$NM$17/$NS$17)),0)</f>
        <v/>
      </c>
      <c r="CQ17" s="18">
        <f>IF(AND(92&gt;=$NQ$17,92&lt;=$NR$17),IF($NO$17="Single_Point",IF(92=$NQ$17,$NM$17,0),IF($NO$17="Bell_Curve",$NM$17*(92-$NQ$17+1)*($NR$17-92+1)/$NT$17,$NM$17/$NS$17)),0)</f>
        <v/>
      </c>
      <c r="CR17" s="18">
        <f>IF(AND(93&gt;=$NQ$17,93&lt;=$NR$17),IF($NO$17="Single_Point",IF(93=$NQ$17,$NM$17,0),IF($NO$17="Bell_Curve",$NM$17*(93-$NQ$17+1)*($NR$17-93+1)/$NT$17,$NM$17/$NS$17)),0)</f>
        <v/>
      </c>
      <c r="CS17" s="18">
        <f>IF(AND(94&gt;=$NQ$17,94&lt;=$NR$17),IF($NO$17="Single_Point",IF(94=$NQ$17,$NM$17,0),IF($NO$17="Bell_Curve",$NM$17*(94-$NQ$17+1)*($NR$17-94+1)/$NT$17,$NM$17/$NS$17)),0)</f>
        <v/>
      </c>
      <c r="CT17" s="18">
        <f>IF(AND(95&gt;=$NQ$17,95&lt;=$NR$17),IF($NO$17="Single_Point",IF(95=$NQ$17,$NM$17,0),IF($NO$17="Bell_Curve",$NM$17*(95-$NQ$17+1)*($NR$17-95+1)/$NT$17,$NM$17/$NS$17)),0)</f>
        <v/>
      </c>
      <c r="CU17" s="18">
        <f>IF(AND(96&gt;=$NQ$17,96&lt;=$NR$17),IF($NO$17="Single_Point",IF(96=$NQ$17,$NM$17,0),IF($NO$17="Bell_Curve",$NM$17*(96-$NQ$17+1)*($NR$17-96+1)/$NT$17,$NM$17/$NS$17)),0)</f>
        <v/>
      </c>
      <c r="CV17" s="18">
        <f>IF(AND(97&gt;=$NQ$17,97&lt;=$NR$17),IF($NO$17="Single_Point",IF(97=$NQ$17,$NM$17,0),IF($NO$17="Bell_Curve",$NM$17*(97-$NQ$17+1)*($NR$17-97+1)/$NT$17,$NM$17/$NS$17)),0)</f>
        <v/>
      </c>
      <c r="CW17" s="18">
        <f>IF(AND(98&gt;=$NQ$17,98&lt;=$NR$17),IF($NO$17="Single_Point",IF(98=$NQ$17,$NM$17,0),IF($NO$17="Bell_Curve",$NM$17*(98-$NQ$17+1)*($NR$17-98+1)/$NT$17,$NM$17/$NS$17)),0)</f>
        <v/>
      </c>
      <c r="CX17" s="18">
        <f>IF(AND(99&gt;=$NQ$17,99&lt;=$NR$17),IF($NO$17="Single_Point",IF(99=$NQ$17,$NM$17,0),IF($NO$17="Bell_Curve",$NM$17*(99-$NQ$17+1)*($NR$17-99+1)/$NT$17,$NM$17/$NS$17)),0)</f>
        <v/>
      </c>
      <c r="CY17" s="18">
        <f>IF(AND(100&gt;=$NQ$17,100&lt;=$NR$17),IF($NO$17="Single_Point",IF(100=$NQ$17,$NM$17,0),IF($NO$17="Bell_Curve",$NM$17*(100-$NQ$17+1)*($NR$17-100+1)/$NT$17,$NM$17/$NS$17)),0)</f>
        <v/>
      </c>
      <c r="CZ17" s="18">
        <f>IF(AND(101&gt;=$NQ$17,101&lt;=$NR$17),IF($NO$17="Single_Point",IF(101=$NQ$17,$NM$17,0),IF($NO$17="Bell_Curve",$NM$17*(101-$NQ$17+1)*($NR$17-101+1)/$NT$17,$NM$17/$NS$17)),0)</f>
        <v/>
      </c>
      <c r="DA17" s="18">
        <f>IF(AND(102&gt;=$NQ$17,102&lt;=$NR$17),IF($NO$17="Single_Point",IF(102=$NQ$17,$NM$17,0),IF($NO$17="Bell_Curve",$NM$17*(102-$NQ$17+1)*($NR$17-102+1)/$NT$17,$NM$17/$NS$17)),0)</f>
        <v/>
      </c>
      <c r="DB17" s="18">
        <f>IF(AND(103&gt;=$NQ$17,103&lt;=$NR$17),IF($NO$17="Single_Point",IF(103=$NQ$17,$NM$17,0),IF($NO$17="Bell_Curve",$NM$17*(103-$NQ$17+1)*($NR$17-103+1)/$NT$17,$NM$17/$NS$17)),0)</f>
        <v/>
      </c>
      <c r="DC17" s="18">
        <f>IF(AND(104&gt;=$NQ$17,104&lt;=$NR$17),IF($NO$17="Single_Point",IF(104=$NQ$17,$NM$17,0),IF($NO$17="Bell_Curve",$NM$17*(104-$NQ$17+1)*($NR$17-104+1)/$NT$17,$NM$17/$NS$17)),0)</f>
        <v/>
      </c>
      <c r="DD17" s="18">
        <f>IF(AND(105&gt;=$NQ$17,105&lt;=$NR$17),IF($NO$17="Single_Point",IF(105=$NQ$17,$NM$17,0),IF($NO$17="Bell_Curve",$NM$17*(105-$NQ$17+1)*($NR$17-105+1)/$NT$17,$NM$17/$NS$17)),0)</f>
        <v/>
      </c>
      <c r="DE17" s="18">
        <f>IF(AND(106&gt;=$NQ$17,106&lt;=$NR$17),IF($NO$17="Single_Point",IF(106=$NQ$17,$NM$17,0),IF($NO$17="Bell_Curve",$NM$17*(106-$NQ$17+1)*($NR$17-106+1)/$NT$17,$NM$17/$NS$17)),0)</f>
        <v/>
      </c>
      <c r="DF17" s="18">
        <f>IF(AND(107&gt;=$NQ$17,107&lt;=$NR$17),IF($NO$17="Single_Point",IF(107=$NQ$17,$NM$17,0),IF($NO$17="Bell_Curve",$NM$17*(107-$NQ$17+1)*($NR$17-107+1)/$NT$17,$NM$17/$NS$17)),0)</f>
        <v/>
      </c>
      <c r="DG17" s="18">
        <f>IF(AND(108&gt;=$NQ$17,108&lt;=$NR$17),IF($NO$17="Single_Point",IF(108=$NQ$17,$NM$17,0),IF($NO$17="Bell_Curve",$NM$17*(108-$NQ$17+1)*($NR$17-108+1)/$NT$17,$NM$17/$NS$17)),0)</f>
        <v/>
      </c>
      <c r="DH17" s="18">
        <f>IF(AND(109&gt;=$NQ$17,109&lt;=$NR$17),IF($NO$17="Single_Point",IF(109=$NQ$17,$NM$17,0),IF($NO$17="Bell_Curve",$NM$17*(109-$NQ$17+1)*($NR$17-109+1)/$NT$17,$NM$17/$NS$17)),0)</f>
        <v/>
      </c>
      <c r="DI17" s="18">
        <f>IF(AND(110&gt;=$NQ$17,110&lt;=$NR$17),IF($NO$17="Single_Point",IF(110=$NQ$17,$NM$17,0),IF($NO$17="Bell_Curve",$NM$17*(110-$NQ$17+1)*($NR$17-110+1)/$NT$17,$NM$17/$NS$17)),0)</f>
        <v/>
      </c>
      <c r="DJ17" s="18">
        <f>IF(AND(111&gt;=$NQ$17,111&lt;=$NR$17),IF($NO$17="Single_Point",IF(111=$NQ$17,$NM$17,0),IF($NO$17="Bell_Curve",$NM$17*(111-$NQ$17+1)*($NR$17-111+1)/$NT$17,$NM$17/$NS$17)),0)</f>
        <v/>
      </c>
      <c r="DK17" s="18">
        <f>IF(AND(112&gt;=$NQ$17,112&lt;=$NR$17),IF($NO$17="Single_Point",IF(112=$NQ$17,$NM$17,0),IF($NO$17="Bell_Curve",$NM$17*(112-$NQ$17+1)*($NR$17-112+1)/$NT$17,$NM$17/$NS$17)),0)</f>
        <v/>
      </c>
      <c r="DL17" s="18">
        <f>IF(AND(113&gt;=$NQ$17,113&lt;=$NR$17),IF($NO$17="Single_Point",IF(113=$NQ$17,$NM$17,0),IF($NO$17="Bell_Curve",$NM$17*(113-$NQ$17+1)*($NR$17-113+1)/$NT$17,$NM$17/$NS$17)),0)</f>
        <v/>
      </c>
      <c r="DM17" s="18">
        <f>IF(AND(114&gt;=$NQ$17,114&lt;=$NR$17),IF($NO$17="Single_Point",IF(114=$NQ$17,$NM$17,0),IF($NO$17="Bell_Curve",$NM$17*(114-$NQ$17+1)*($NR$17-114+1)/$NT$17,$NM$17/$NS$17)),0)</f>
        <v/>
      </c>
      <c r="DN17" s="18">
        <f>IF(AND(115&gt;=$NQ$17,115&lt;=$NR$17),IF($NO$17="Single_Point",IF(115=$NQ$17,$NM$17,0),IF($NO$17="Bell_Curve",$NM$17*(115-$NQ$17+1)*($NR$17-115+1)/$NT$17,$NM$17/$NS$17)),0)</f>
        <v/>
      </c>
      <c r="DO17" s="18">
        <f>IF(AND(116&gt;=$NQ$17,116&lt;=$NR$17),IF($NO$17="Single_Point",IF(116=$NQ$17,$NM$17,0),IF($NO$17="Bell_Curve",$NM$17*(116-$NQ$17+1)*($NR$17-116+1)/$NT$17,$NM$17/$NS$17)),0)</f>
        <v/>
      </c>
      <c r="DP17" s="18">
        <f>IF(AND(117&gt;=$NQ$17,117&lt;=$NR$17),IF($NO$17="Single_Point",IF(117=$NQ$17,$NM$17,0),IF($NO$17="Bell_Curve",$NM$17*(117-$NQ$17+1)*($NR$17-117+1)/$NT$17,$NM$17/$NS$17)),0)</f>
        <v/>
      </c>
      <c r="DQ17" s="18">
        <f>IF(AND(118&gt;=$NQ$17,118&lt;=$NR$17),IF($NO$17="Single_Point",IF(118=$NQ$17,$NM$17,0),IF($NO$17="Bell_Curve",$NM$17*(118-$NQ$17+1)*($NR$17-118+1)/$NT$17,$NM$17/$NS$17)),0)</f>
        <v/>
      </c>
      <c r="DR17" s="18">
        <f>IF(AND(119&gt;=$NQ$17,119&lt;=$NR$17),IF($NO$17="Single_Point",IF(119=$NQ$17,$NM$17,0),IF($NO$17="Bell_Curve",$NM$17*(119-$NQ$17+1)*($NR$17-119+1)/$NT$17,$NM$17/$NS$17)),0)</f>
        <v/>
      </c>
      <c r="DS17" s="18">
        <f>IF(AND(120&gt;=$NQ$17,120&lt;=$NR$17),IF($NO$17="Single_Point",IF(120=$NQ$17,$NM$17,0),IF($NO$17="Bell_Curve",$NM$17*(120-$NQ$17+1)*($NR$17-120+1)/$NT$17,$NM$17/$NS$17)),0)</f>
        <v/>
      </c>
      <c r="DT17" s="18">
        <f>IF(AND(121&gt;=$NQ$17,121&lt;=$NR$17),IF($NO$17="Single_Point",IF(121=$NQ$17,$NM$17,0),IF($NO$17="Bell_Curve",$NM$17*(121-$NQ$17+1)*($NR$17-121+1)/$NT$17,$NM$17/$NS$17)),0)</f>
        <v/>
      </c>
      <c r="DU17" s="18">
        <f>IF(AND(122&gt;=$NQ$17,122&lt;=$NR$17),IF($NO$17="Single_Point",IF(122=$NQ$17,$NM$17,0),IF($NO$17="Bell_Curve",$NM$17*(122-$NQ$17+1)*($NR$17-122+1)/$NT$17,$NM$17/$NS$17)),0)</f>
        <v/>
      </c>
      <c r="DV17" s="18">
        <f>IF(AND(123&gt;=$NQ$17,123&lt;=$NR$17),IF($NO$17="Single_Point",IF(123=$NQ$17,$NM$17,0),IF($NO$17="Bell_Curve",$NM$17*(123-$NQ$17+1)*($NR$17-123+1)/$NT$17,$NM$17/$NS$17)),0)</f>
        <v/>
      </c>
      <c r="DW17" s="18">
        <f>IF(AND(124&gt;=$NQ$17,124&lt;=$NR$17),IF($NO$17="Single_Point",IF(124=$NQ$17,$NM$17,0),IF($NO$17="Bell_Curve",$NM$17*(124-$NQ$17+1)*($NR$17-124+1)/$NT$17,$NM$17/$NS$17)),0)</f>
        <v/>
      </c>
      <c r="DX17" s="18">
        <f>IF(AND(125&gt;=$NQ$17,125&lt;=$NR$17),IF($NO$17="Single_Point",IF(125=$NQ$17,$NM$17,0),IF($NO$17="Bell_Curve",$NM$17*(125-$NQ$17+1)*($NR$17-125+1)/$NT$17,$NM$17/$NS$17)),0)</f>
        <v/>
      </c>
      <c r="DY17" s="18">
        <f>IF(AND(126&gt;=$NQ$17,126&lt;=$NR$17),IF($NO$17="Single_Point",IF(126=$NQ$17,$NM$17,0),IF($NO$17="Bell_Curve",$NM$17*(126-$NQ$17+1)*($NR$17-126+1)/$NT$17,$NM$17/$NS$17)),0)</f>
        <v/>
      </c>
      <c r="DZ17" s="18">
        <f>IF(AND(127&gt;=$NQ$17,127&lt;=$NR$17),IF($NO$17="Single_Point",IF(127=$NQ$17,$NM$17,0),IF($NO$17="Bell_Curve",$NM$17*(127-$NQ$17+1)*($NR$17-127+1)/$NT$17,$NM$17/$NS$17)),0)</f>
        <v/>
      </c>
      <c r="EA17" s="18">
        <f>IF(AND(128&gt;=$NQ$17,128&lt;=$NR$17),IF($NO$17="Single_Point",IF(128=$NQ$17,$NM$17,0),IF($NO$17="Bell_Curve",$NM$17*(128-$NQ$17+1)*($NR$17-128+1)/$NT$17,$NM$17/$NS$17)),0)</f>
        <v/>
      </c>
      <c r="EB17" s="18">
        <f>IF(AND(129&gt;=$NQ$17,129&lt;=$NR$17),IF($NO$17="Single_Point",IF(129=$NQ$17,$NM$17,0),IF($NO$17="Bell_Curve",$NM$17*(129-$NQ$17+1)*($NR$17-129+1)/$NT$17,$NM$17/$NS$17)),0)</f>
        <v/>
      </c>
      <c r="EC17" s="18">
        <f>IF(AND(130&gt;=$NQ$17,130&lt;=$NR$17),IF($NO$17="Single_Point",IF(130=$NQ$17,$NM$17,0),IF($NO$17="Bell_Curve",$NM$17*(130-$NQ$17+1)*($NR$17-130+1)/$NT$17,$NM$17/$NS$17)),0)</f>
        <v/>
      </c>
      <c r="ED17" s="18">
        <f>IF(AND(131&gt;=$NQ$17,131&lt;=$NR$17),IF($NO$17="Single_Point",IF(131=$NQ$17,$NM$17,0),IF($NO$17="Bell_Curve",$NM$17*(131-$NQ$17+1)*($NR$17-131+1)/$NT$17,$NM$17/$NS$17)),0)</f>
        <v/>
      </c>
      <c r="EE17" s="18">
        <f>IF(AND(132&gt;=$NQ$17,132&lt;=$NR$17),IF($NO$17="Single_Point",IF(132=$NQ$17,$NM$17,0),IF($NO$17="Bell_Curve",$NM$17*(132-$NQ$17+1)*($NR$17-132+1)/$NT$17,$NM$17/$NS$17)),0)</f>
        <v/>
      </c>
      <c r="EF17" s="18">
        <f>IF(AND(133&gt;=$NQ$17,133&lt;=$NR$17),IF($NO$17="Single_Point",IF(133=$NQ$17,$NM$17,0),IF($NO$17="Bell_Curve",$NM$17*(133-$NQ$17+1)*($NR$17-133+1)/$NT$17,$NM$17/$NS$17)),0)</f>
        <v/>
      </c>
      <c r="EG17" s="18">
        <f>IF(AND(134&gt;=$NQ$17,134&lt;=$NR$17),IF($NO$17="Single_Point",IF(134=$NQ$17,$NM$17,0),IF($NO$17="Bell_Curve",$NM$17*(134-$NQ$17+1)*($NR$17-134+1)/$NT$17,$NM$17/$NS$17)),0)</f>
        <v/>
      </c>
      <c r="EH17" s="18">
        <f>IF(AND(135&gt;=$NQ$17,135&lt;=$NR$17),IF($NO$17="Single_Point",IF(135=$NQ$17,$NM$17,0),IF($NO$17="Bell_Curve",$NM$17*(135-$NQ$17+1)*($NR$17-135+1)/$NT$17,$NM$17/$NS$17)),0)</f>
        <v/>
      </c>
      <c r="EI17" s="18">
        <f>IF(AND(136&gt;=$NQ$17,136&lt;=$NR$17),IF($NO$17="Single_Point",IF(136=$NQ$17,$NM$17,0),IF($NO$17="Bell_Curve",$NM$17*(136-$NQ$17+1)*($NR$17-136+1)/$NT$17,$NM$17/$NS$17)),0)</f>
        <v/>
      </c>
      <c r="EJ17" s="18">
        <f>IF(AND(137&gt;=$NQ$17,137&lt;=$NR$17),IF($NO$17="Single_Point",IF(137=$NQ$17,$NM$17,0),IF($NO$17="Bell_Curve",$NM$17*(137-$NQ$17+1)*($NR$17-137+1)/$NT$17,$NM$17/$NS$17)),0)</f>
        <v/>
      </c>
      <c r="EK17" s="18">
        <f>IF(AND(138&gt;=$NQ$17,138&lt;=$NR$17),IF($NO$17="Single_Point",IF(138=$NQ$17,$NM$17,0),IF($NO$17="Bell_Curve",$NM$17*(138-$NQ$17+1)*($NR$17-138+1)/$NT$17,$NM$17/$NS$17)),0)</f>
        <v/>
      </c>
      <c r="EL17" s="18">
        <f>IF(AND(139&gt;=$NQ$17,139&lt;=$NR$17),IF($NO$17="Single_Point",IF(139=$NQ$17,$NM$17,0),IF($NO$17="Bell_Curve",$NM$17*(139-$NQ$17+1)*($NR$17-139+1)/$NT$17,$NM$17/$NS$17)),0)</f>
        <v/>
      </c>
      <c r="EM17" s="18">
        <f>IF(AND(140&gt;=$NQ$17,140&lt;=$NR$17),IF($NO$17="Single_Point",IF(140=$NQ$17,$NM$17,0),IF($NO$17="Bell_Curve",$NM$17*(140-$NQ$17+1)*($NR$17-140+1)/$NT$17,$NM$17/$NS$17)),0)</f>
        <v/>
      </c>
      <c r="EN17" s="18">
        <f>IF(AND(141&gt;=$NQ$17,141&lt;=$NR$17),IF($NO$17="Single_Point",IF(141=$NQ$17,$NM$17,0),IF($NO$17="Bell_Curve",$NM$17*(141-$NQ$17+1)*($NR$17-141+1)/$NT$17,$NM$17/$NS$17)),0)</f>
        <v/>
      </c>
      <c r="EO17" s="18">
        <f>IF(AND(142&gt;=$NQ$17,142&lt;=$NR$17),IF($NO$17="Single_Point",IF(142=$NQ$17,$NM$17,0),IF($NO$17="Bell_Curve",$NM$17*(142-$NQ$17+1)*($NR$17-142+1)/$NT$17,$NM$17/$NS$17)),0)</f>
        <v/>
      </c>
      <c r="EP17" s="18">
        <f>IF(AND(143&gt;=$NQ$17,143&lt;=$NR$17),IF($NO$17="Single_Point",IF(143=$NQ$17,$NM$17,0),IF($NO$17="Bell_Curve",$NM$17*(143-$NQ$17+1)*($NR$17-143+1)/$NT$17,$NM$17/$NS$17)),0)</f>
        <v/>
      </c>
      <c r="EQ17" s="18">
        <f>IF(AND(144&gt;=$NQ$17,144&lt;=$NR$17),IF($NO$17="Single_Point",IF(144=$NQ$17,$NM$17,0),IF($NO$17="Bell_Curve",$NM$17*(144-$NQ$17+1)*($NR$17-144+1)/$NT$17,$NM$17/$NS$17)),0)</f>
        <v/>
      </c>
      <c r="ER17" s="18">
        <f>IF(AND(145&gt;=$NQ$17,145&lt;=$NR$17),IF($NO$17="Single_Point",IF(145=$NQ$17,$NM$17,0),IF($NO$17="Bell_Curve",$NM$17*(145-$NQ$17+1)*($NR$17-145+1)/$NT$17,$NM$17/$NS$17)),0)</f>
        <v/>
      </c>
      <c r="ES17" s="18">
        <f>IF(AND(146&gt;=$NQ$17,146&lt;=$NR$17),IF($NO$17="Single_Point",IF(146=$NQ$17,$NM$17,0),IF($NO$17="Bell_Curve",$NM$17*(146-$NQ$17+1)*($NR$17-146+1)/$NT$17,$NM$17/$NS$17)),0)</f>
        <v/>
      </c>
      <c r="ET17" s="18">
        <f>IF(AND(147&gt;=$NQ$17,147&lt;=$NR$17),IF($NO$17="Single_Point",IF(147=$NQ$17,$NM$17,0),IF($NO$17="Bell_Curve",$NM$17*(147-$NQ$17+1)*($NR$17-147+1)/$NT$17,$NM$17/$NS$17)),0)</f>
        <v/>
      </c>
      <c r="EU17" s="18">
        <f>IF(AND(148&gt;=$NQ$17,148&lt;=$NR$17),IF($NO$17="Single_Point",IF(148=$NQ$17,$NM$17,0),IF($NO$17="Bell_Curve",$NM$17*(148-$NQ$17+1)*($NR$17-148+1)/$NT$17,$NM$17/$NS$17)),0)</f>
        <v/>
      </c>
      <c r="EV17" s="18">
        <f>IF(AND(149&gt;=$NQ$17,149&lt;=$NR$17),IF($NO$17="Single_Point",IF(149=$NQ$17,$NM$17,0),IF($NO$17="Bell_Curve",$NM$17*(149-$NQ$17+1)*($NR$17-149+1)/$NT$17,$NM$17/$NS$17)),0)</f>
        <v/>
      </c>
      <c r="EW17" s="18">
        <f>IF(AND(150&gt;=$NQ$17,150&lt;=$NR$17),IF($NO$17="Single_Point",IF(150=$NQ$17,$NM$17,0),IF($NO$17="Bell_Curve",$NM$17*(150-$NQ$17+1)*($NR$17-150+1)/$NT$17,$NM$17/$NS$17)),0)</f>
        <v/>
      </c>
      <c r="EX17" s="18">
        <f>IF(AND(151&gt;=$NQ$17,151&lt;=$NR$17),IF($NO$17="Single_Point",IF(151=$NQ$17,$NM$17,0),IF($NO$17="Bell_Curve",$NM$17*(151-$NQ$17+1)*($NR$17-151+1)/$NT$17,$NM$17/$NS$17)),0)</f>
        <v/>
      </c>
      <c r="EY17" s="18">
        <f>IF(AND(152&gt;=$NQ$17,152&lt;=$NR$17),IF($NO$17="Single_Point",IF(152=$NQ$17,$NM$17,0),IF($NO$17="Bell_Curve",$NM$17*(152-$NQ$17+1)*($NR$17-152+1)/$NT$17,$NM$17/$NS$17)),0)</f>
        <v/>
      </c>
      <c r="EZ17" s="18">
        <f>IF(AND(153&gt;=$NQ$17,153&lt;=$NR$17),IF($NO$17="Single_Point",IF(153=$NQ$17,$NM$17,0),IF($NO$17="Bell_Curve",$NM$17*(153-$NQ$17+1)*($NR$17-153+1)/$NT$17,$NM$17/$NS$17)),0)</f>
        <v/>
      </c>
      <c r="FA17" s="18">
        <f>IF(AND(154&gt;=$NQ$17,154&lt;=$NR$17),IF($NO$17="Single_Point",IF(154=$NQ$17,$NM$17,0),IF($NO$17="Bell_Curve",$NM$17*(154-$NQ$17+1)*($NR$17-154+1)/$NT$17,$NM$17/$NS$17)),0)</f>
        <v/>
      </c>
      <c r="FB17" s="18">
        <f>IF(AND(155&gt;=$NQ$17,155&lt;=$NR$17),IF($NO$17="Single_Point",IF(155=$NQ$17,$NM$17,0),IF($NO$17="Bell_Curve",$NM$17*(155-$NQ$17+1)*($NR$17-155+1)/$NT$17,$NM$17/$NS$17)),0)</f>
        <v/>
      </c>
      <c r="FC17" s="18">
        <f>IF(AND(156&gt;=$NQ$17,156&lt;=$NR$17),IF($NO$17="Single_Point",IF(156=$NQ$17,$NM$17,0),IF($NO$17="Bell_Curve",$NM$17*(156-$NQ$17+1)*($NR$17-156+1)/$NT$17,$NM$17/$NS$17)),0)</f>
        <v/>
      </c>
      <c r="FD17" s="18">
        <f>IF(AND(157&gt;=$NQ$17,157&lt;=$NR$17),IF($NO$17="Single_Point",IF(157=$NQ$17,$NM$17,0),IF($NO$17="Bell_Curve",$NM$17*(157-$NQ$17+1)*($NR$17-157+1)/$NT$17,$NM$17/$NS$17)),0)</f>
        <v/>
      </c>
      <c r="FE17" s="18">
        <f>IF(AND(158&gt;=$NQ$17,158&lt;=$NR$17),IF($NO$17="Single_Point",IF(158=$NQ$17,$NM$17,0),IF($NO$17="Bell_Curve",$NM$17*(158-$NQ$17+1)*($NR$17-158+1)/$NT$17,$NM$17/$NS$17)),0)</f>
        <v/>
      </c>
      <c r="FF17" s="18">
        <f>IF(AND(159&gt;=$NQ$17,159&lt;=$NR$17),IF($NO$17="Single_Point",IF(159=$NQ$17,$NM$17,0),IF($NO$17="Bell_Curve",$NM$17*(159-$NQ$17+1)*($NR$17-159+1)/$NT$17,$NM$17/$NS$17)),0)</f>
        <v/>
      </c>
      <c r="FG17" s="18">
        <f>IF(AND(160&gt;=$NQ$17,160&lt;=$NR$17),IF($NO$17="Single_Point",IF(160=$NQ$17,$NM$17,0),IF($NO$17="Bell_Curve",$NM$17*(160-$NQ$17+1)*($NR$17-160+1)/$NT$17,$NM$17/$NS$17)),0)</f>
        <v/>
      </c>
      <c r="FH17" s="18">
        <f>IF(AND(161&gt;=$NQ$17,161&lt;=$NR$17),IF($NO$17="Single_Point",IF(161=$NQ$17,$NM$17,0),IF($NO$17="Bell_Curve",$NM$17*(161-$NQ$17+1)*($NR$17-161+1)/$NT$17,$NM$17/$NS$17)),0)</f>
        <v/>
      </c>
      <c r="FI17" s="18">
        <f>IF(AND(162&gt;=$NQ$17,162&lt;=$NR$17),IF($NO$17="Single_Point",IF(162=$NQ$17,$NM$17,0),IF($NO$17="Bell_Curve",$NM$17*(162-$NQ$17+1)*($NR$17-162+1)/$NT$17,$NM$17/$NS$17)),0)</f>
        <v/>
      </c>
      <c r="FJ17" s="18">
        <f>IF(AND(163&gt;=$NQ$17,163&lt;=$NR$17),IF($NO$17="Single_Point",IF(163=$NQ$17,$NM$17,0),IF($NO$17="Bell_Curve",$NM$17*(163-$NQ$17+1)*($NR$17-163+1)/$NT$17,$NM$17/$NS$17)),0)</f>
        <v/>
      </c>
      <c r="FK17" s="18">
        <f>IF(AND(164&gt;=$NQ$17,164&lt;=$NR$17),IF($NO$17="Single_Point",IF(164=$NQ$17,$NM$17,0),IF($NO$17="Bell_Curve",$NM$17*(164-$NQ$17+1)*($NR$17-164+1)/$NT$17,$NM$17/$NS$17)),0)</f>
        <v/>
      </c>
      <c r="FL17" s="18">
        <f>IF(AND(165&gt;=$NQ$17,165&lt;=$NR$17),IF($NO$17="Single_Point",IF(165=$NQ$17,$NM$17,0),IF($NO$17="Bell_Curve",$NM$17*(165-$NQ$17+1)*($NR$17-165+1)/$NT$17,$NM$17/$NS$17)),0)</f>
        <v/>
      </c>
      <c r="FM17" s="18">
        <f>IF(AND(166&gt;=$NQ$17,166&lt;=$NR$17),IF($NO$17="Single_Point",IF(166=$NQ$17,$NM$17,0),IF($NO$17="Bell_Curve",$NM$17*(166-$NQ$17+1)*($NR$17-166+1)/$NT$17,$NM$17/$NS$17)),0)</f>
        <v/>
      </c>
      <c r="FN17" s="18">
        <f>IF(AND(167&gt;=$NQ$17,167&lt;=$NR$17),IF($NO$17="Single_Point",IF(167=$NQ$17,$NM$17,0),IF($NO$17="Bell_Curve",$NM$17*(167-$NQ$17+1)*($NR$17-167+1)/$NT$17,$NM$17/$NS$17)),0)</f>
        <v/>
      </c>
      <c r="FO17" s="18">
        <f>IF(AND(168&gt;=$NQ$17,168&lt;=$NR$17),IF($NO$17="Single_Point",IF(168=$NQ$17,$NM$17,0),IF($NO$17="Bell_Curve",$NM$17*(168-$NQ$17+1)*($NR$17-168+1)/$NT$17,$NM$17/$NS$17)),0)</f>
        <v/>
      </c>
      <c r="FP17" s="18">
        <f>IF(AND(169&gt;=$NQ$17,169&lt;=$NR$17),IF($NO$17="Single_Point",IF(169=$NQ$17,$NM$17,0),IF($NO$17="Bell_Curve",$NM$17*(169-$NQ$17+1)*($NR$17-169+1)/$NT$17,$NM$17/$NS$17)),0)</f>
        <v/>
      </c>
      <c r="FQ17" s="18">
        <f>IF(AND(170&gt;=$NQ$17,170&lt;=$NR$17),IF($NO$17="Single_Point",IF(170=$NQ$17,$NM$17,0),IF($NO$17="Bell_Curve",$NM$17*(170-$NQ$17+1)*($NR$17-170+1)/$NT$17,$NM$17/$NS$17)),0)</f>
        <v/>
      </c>
      <c r="FR17" s="18">
        <f>IF(AND(171&gt;=$NQ$17,171&lt;=$NR$17),IF($NO$17="Single_Point",IF(171=$NQ$17,$NM$17,0),IF($NO$17="Bell_Curve",$NM$17*(171-$NQ$17+1)*($NR$17-171+1)/$NT$17,$NM$17/$NS$17)),0)</f>
        <v/>
      </c>
      <c r="FS17" s="18">
        <f>IF(AND(172&gt;=$NQ$17,172&lt;=$NR$17),IF($NO$17="Single_Point",IF(172=$NQ$17,$NM$17,0),IF($NO$17="Bell_Curve",$NM$17*(172-$NQ$17+1)*($NR$17-172+1)/$NT$17,$NM$17/$NS$17)),0)</f>
        <v/>
      </c>
      <c r="FT17" s="18">
        <f>IF(AND(173&gt;=$NQ$17,173&lt;=$NR$17),IF($NO$17="Single_Point",IF(173=$NQ$17,$NM$17,0),IF($NO$17="Bell_Curve",$NM$17*(173-$NQ$17+1)*($NR$17-173+1)/$NT$17,$NM$17/$NS$17)),0)</f>
        <v/>
      </c>
      <c r="FU17" s="18">
        <f>IF(AND(174&gt;=$NQ$17,174&lt;=$NR$17),IF($NO$17="Single_Point",IF(174=$NQ$17,$NM$17,0),IF($NO$17="Bell_Curve",$NM$17*(174-$NQ$17+1)*($NR$17-174+1)/$NT$17,$NM$17/$NS$17)),0)</f>
        <v/>
      </c>
      <c r="FV17" s="18">
        <f>IF(AND(175&gt;=$NQ$17,175&lt;=$NR$17),IF($NO$17="Single_Point",IF(175=$NQ$17,$NM$17,0),IF($NO$17="Bell_Curve",$NM$17*(175-$NQ$17+1)*($NR$17-175+1)/$NT$17,$NM$17/$NS$17)),0)</f>
        <v/>
      </c>
      <c r="FW17" s="18">
        <f>IF(AND(176&gt;=$NQ$17,176&lt;=$NR$17),IF($NO$17="Single_Point",IF(176=$NQ$17,$NM$17,0),IF($NO$17="Bell_Curve",$NM$17*(176-$NQ$17+1)*($NR$17-176+1)/$NT$17,$NM$17/$NS$17)),0)</f>
        <v/>
      </c>
      <c r="FX17" s="18">
        <f>IF(AND(177&gt;=$NQ$17,177&lt;=$NR$17),IF($NO$17="Single_Point",IF(177=$NQ$17,$NM$17,0),IF($NO$17="Bell_Curve",$NM$17*(177-$NQ$17+1)*($NR$17-177+1)/$NT$17,$NM$17/$NS$17)),0)</f>
        <v/>
      </c>
      <c r="FY17" s="18">
        <f>IF(AND(178&gt;=$NQ$17,178&lt;=$NR$17),IF($NO$17="Single_Point",IF(178=$NQ$17,$NM$17,0),IF($NO$17="Bell_Curve",$NM$17*(178-$NQ$17+1)*($NR$17-178+1)/$NT$17,$NM$17/$NS$17)),0)</f>
        <v/>
      </c>
      <c r="FZ17" s="18">
        <f>IF(AND(179&gt;=$NQ$17,179&lt;=$NR$17),IF($NO$17="Single_Point",IF(179=$NQ$17,$NM$17,0),IF($NO$17="Bell_Curve",$NM$17*(179-$NQ$17+1)*($NR$17-179+1)/$NT$17,$NM$17/$NS$17)),0)</f>
        <v/>
      </c>
      <c r="GA17" s="18">
        <f>IF(AND(180&gt;=$NQ$17,180&lt;=$NR$17),IF($NO$17="Single_Point",IF(180=$NQ$17,$NM$17,0),IF($NO$17="Bell_Curve",$NM$17*(180-$NQ$17+1)*($NR$17-180+1)/$NT$17,$NM$17/$NS$17)),0)</f>
        <v/>
      </c>
      <c r="GB17" s="18">
        <f>IF(AND(181&gt;=$NQ$17,181&lt;=$NR$17),IF($NO$17="Single_Point",IF(181=$NQ$17,$NM$17,0),IF($NO$17="Bell_Curve",$NM$17*(181-$NQ$17+1)*($NR$17-181+1)/$NT$17,$NM$17/$NS$17)),0)</f>
        <v/>
      </c>
      <c r="GC17" s="18">
        <f>IF(AND(182&gt;=$NQ$17,182&lt;=$NR$17),IF($NO$17="Single_Point",IF(182=$NQ$17,$NM$17,0),IF($NO$17="Bell_Curve",$NM$17*(182-$NQ$17+1)*($NR$17-182+1)/$NT$17,$NM$17/$NS$17)),0)</f>
        <v/>
      </c>
      <c r="GD17" s="18">
        <f>IF(AND(183&gt;=$NQ$17,183&lt;=$NR$17),IF($NO$17="Single_Point",IF(183=$NQ$17,$NM$17,0),IF($NO$17="Bell_Curve",$NM$17*(183-$NQ$17+1)*($NR$17-183+1)/$NT$17,$NM$17/$NS$17)),0)</f>
        <v/>
      </c>
      <c r="GE17" s="18">
        <f>IF(AND(184&gt;=$NQ$17,184&lt;=$NR$17),IF($NO$17="Single_Point",IF(184=$NQ$17,$NM$17,0),IF($NO$17="Bell_Curve",$NM$17*(184-$NQ$17+1)*($NR$17-184+1)/$NT$17,$NM$17/$NS$17)),0)</f>
        <v/>
      </c>
      <c r="GF17" s="18">
        <f>IF(AND(185&gt;=$NQ$17,185&lt;=$NR$17),IF($NO$17="Single_Point",IF(185=$NQ$17,$NM$17,0),IF($NO$17="Bell_Curve",$NM$17*(185-$NQ$17+1)*($NR$17-185+1)/$NT$17,$NM$17/$NS$17)),0)</f>
        <v/>
      </c>
      <c r="GG17" s="18">
        <f>IF(AND(186&gt;=$NQ$17,186&lt;=$NR$17),IF($NO$17="Single_Point",IF(186=$NQ$17,$NM$17,0),IF($NO$17="Bell_Curve",$NM$17*(186-$NQ$17+1)*($NR$17-186+1)/$NT$17,$NM$17/$NS$17)),0)</f>
        <v/>
      </c>
      <c r="GH17" s="18">
        <f>IF(AND(187&gt;=$NQ$17,187&lt;=$NR$17),IF($NO$17="Single_Point",IF(187=$NQ$17,$NM$17,0),IF($NO$17="Bell_Curve",$NM$17*(187-$NQ$17+1)*($NR$17-187+1)/$NT$17,$NM$17/$NS$17)),0)</f>
        <v/>
      </c>
      <c r="GI17" s="18">
        <f>IF(AND(188&gt;=$NQ$17,188&lt;=$NR$17),IF($NO$17="Single_Point",IF(188=$NQ$17,$NM$17,0),IF($NO$17="Bell_Curve",$NM$17*(188-$NQ$17+1)*($NR$17-188+1)/$NT$17,$NM$17/$NS$17)),0)</f>
        <v/>
      </c>
      <c r="GJ17" s="18">
        <f>IF(AND(189&gt;=$NQ$17,189&lt;=$NR$17),IF($NO$17="Single_Point",IF(189=$NQ$17,$NM$17,0),IF($NO$17="Bell_Curve",$NM$17*(189-$NQ$17+1)*($NR$17-189+1)/$NT$17,$NM$17/$NS$17)),0)</f>
        <v/>
      </c>
      <c r="GK17" s="18">
        <f>IF(AND(190&gt;=$NQ$17,190&lt;=$NR$17),IF($NO$17="Single_Point",IF(190=$NQ$17,$NM$17,0),IF($NO$17="Bell_Curve",$NM$17*(190-$NQ$17+1)*($NR$17-190+1)/$NT$17,$NM$17/$NS$17)),0)</f>
        <v/>
      </c>
      <c r="GL17" s="18">
        <f>IF(AND(191&gt;=$NQ$17,191&lt;=$NR$17),IF($NO$17="Single_Point",IF(191=$NQ$17,$NM$17,0),IF($NO$17="Bell_Curve",$NM$17*(191-$NQ$17+1)*($NR$17-191+1)/$NT$17,$NM$17/$NS$17)),0)</f>
        <v/>
      </c>
      <c r="GM17" s="18">
        <f>IF(AND(192&gt;=$NQ$17,192&lt;=$NR$17),IF($NO$17="Single_Point",IF(192=$NQ$17,$NM$17,0),IF($NO$17="Bell_Curve",$NM$17*(192-$NQ$17+1)*($NR$17-192+1)/$NT$17,$NM$17/$NS$17)),0)</f>
        <v/>
      </c>
      <c r="GN17" s="18">
        <f>IF(AND(193&gt;=$NQ$17,193&lt;=$NR$17),IF($NO$17="Single_Point",IF(193=$NQ$17,$NM$17,0),IF($NO$17="Bell_Curve",$NM$17*(193-$NQ$17+1)*($NR$17-193+1)/$NT$17,$NM$17/$NS$17)),0)</f>
        <v/>
      </c>
      <c r="GO17" s="18">
        <f>IF(AND(194&gt;=$NQ$17,194&lt;=$NR$17),IF($NO$17="Single_Point",IF(194=$NQ$17,$NM$17,0),IF($NO$17="Bell_Curve",$NM$17*(194-$NQ$17+1)*($NR$17-194+1)/$NT$17,$NM$17/$NS$17)),0)</f>
        <v/>
      </c>
      <c r="GP17" s="18">
        <f>IF(AND(195&gt;=$NQ$17,195&lt;=$NR$17),IF($NO$17="Single_Point",IF(195=$NQ$17,$NM$17,0),IF($NO$17="Bell_Curve",$NM$17*(195-$NQ$17+1)*($NR$17-195+1)/$NT$17,$NM$17/$NS$17)),0)</f>
        <v/>
      </c>
      <c r="GQ17" s="18">
        <f>IF(AND(196&gt;=$NQ$17,196&lt;=$NR$17),IF($NO$17="Single_Point",IF(196=$NQ$17,$NM$17,0),IF($NO$17="Bell_Curve",$NM$17*(196-$NQ$17+1)*($NR$17-196+1)/$NT$17,$NM$17/$NS$17)),0)</f>
        <v/>
      </c>
      <c r="GR17" s="18">
        <f>IF(AND(197&gt;=$NQ$17,197&lt;=$NR$17),IF($NO$17="Single_Point",IF(197=$NQ$17,$NM$17,0),IF($NO$17="Bell_Curve",$NM$17*(197-$NQ$17+1)*($NR$17-197+1)/$NT$17,$NM$17/$NS$17)),0)</f>
        <v/>
      </c>
      <c r="GS17" s="18">
        <f>IF(AND(198&gt;=$NQ$17,198&lt;=$NR$17),IF($NO$17="Single_Point",IF(198=$NQ$17,$NM$17,0),IF($NO$17="Bell_Curve",$NM$17*(198-$NQ$17+1)*($NR$17-198+1)/$NT$17,$NM$17/$NS$17)),0)</f>
        <v/>
      </c>
      <c r="GT17" s="18">
        <f>IF(AND(199&gt;=$NQ$17,199&lt;=$NR$17),IF($NO$17="Single_Point",IF(199=$NQ$17,$NM$17,0),IF($NO$17="Bell_Curve",$NM$17*(199-$NQ$17+1)*($NR$17-199+1)/$NT$17,$NM$17/$NS$17)),0)</f>
        <v/>
      </c>
      <c r="GU17" s="18">
        <f>IF(AND(200&gt;=$NQ$17,200&lt;=$NR$17),IF($NO$17="Single_Point",IF(200=$NQ$17,$NM$17,0),IF($NO$17="Bell_Curve",$NM$17*(200-$NQ$17+1)*($NR$17-200+1)/$NT$17,$NM$17/$NS$17)),0)</f>
        <v/>
      </c>
      <c r="GV17" s="18">
        <f>IF(AND(201&gt;=$NQ$17,201&lt;=$NR$17),IF($NO$17="Single_Point",IF(201=$NQ$17,$NM$17,0),IF($NO$17="Bell_Curve",$NM$17*(201-$NQ$17+1)*($NR$17-201+1)/$NT$17,$NM$17/$NS$17)),0)</f>
        <v/>
      </c>
      <c r="GW17" s="18">
        <f>IF(AND(202&gt;=$NQ$17,202&lt;=$NR$17),IF($NO$17="Single_Point",IF(202=$NQ$17,$NM$17,0),IF($NO$17="Bell_Curve",$NM$17*(202-$NQ$17+1)*($NR$17-202+1)/$NT$17,$NM$17/$NS$17)),0)</f>
        <v/>
      </c>
      <c r="GX17" s="18">
        <f>IF(AND(203&gt;=$NQ$17,203&lt;=$NR$17),IF($NO$17="Single_Point",IF(203=$NQ$17,$NM$17,0),IF($NO$17="Bell_Curve",$NM$17*(203-$NQ$17+1)*($NR$17-203+1)/$NT$17,$NM$17/$NS$17)),0)</f>
        <v/>
      </c>
      <c r="GY17" s="18">
        <f>IF(AND(204&gt;=$NQ$17,204&lt;=$NR$17),IF($NO$17="Single_Point",IF(204=$NQ$17,$NM$17,0),IF($NO$17="Bell_Curve",$NM$17*(204-$NQ$17+1)*($NR$17-204+1)/$NT$17,$NM$17/$NS$17)),0)</f>
        <v/>
      </c>
      <c r="GZ17" s="18">
        <f>IF(AND(205&gt;=$NQ$17,205&lt;=$NR$17),IF($NO$17="Single_Point",IF(205=$NQ$17,$NM$17,0),IF($NO$17="Bell_Curve",$NM$17*(205-$NQ$17+1)*($NR$17-205+1)/$NT$17,$NM$17/$NS$17)),0)</f>
        <v/>
      </c>
      <c r="HA17" s="18">
        <f>IF(AND(206&gt;=$NQ$17,206&lt;=$NR$17),IF($NO$17="Single_Point",IF(206=$NQ$17,$NM$17,0),IF($NO$17="Bell_Curve",$NM$17*(206-$NQ$17+1)*($NR$17-206+1)/$NT$17,$NM$17/$NS$17)),0)</f>
        <v/>
      </c>
      <c r="HB17" s="18">
        <f>IF(AND(207&gt;=$NQ$17,207&lt;=$NR$17),IF($NO$17="Single_Point",IF(207=$NQ$17,$NM$17,0),IF($NO$17="Bell_Curve",$NM$17*(207-$NQ$17+1)*($NR$17-207+1)/$NT$17,$NM$17/$NS$17)),0)</f>
        <v/>
      </c>
      <c r="HC17" s="18">
        <f>IF(AND(208&gt;=$NQ$17,208&lt;=$NR$17),IF($NO$17="Single_Point",IF(208=$NQ$17,$NM$17,0),IF($NO$17="Bell_Curve",$NM$17*(208-$NQ$17+1)*($NR$17-208+1)/$NT$17,$NM$17/$NS$17)),0)</f>
        <v/>
      </c>
      <c r="HD17" s="18">
        <f>IF(AND(209&gt;=$NQ$17,209&lt;=$NR$17),IF($NO$17="Single_Point",IF(209=$NQ$17,$NM$17,0),IF($NO$17="Bell_Curve",$NM$17*(209-$NQ$17+1)*($NR$17-209+1)/$NT$17,$NM$17/$NS$17)),0)</f>
        <v/>
      </c>
      <c r="HE17" s="18">
        <f>IF(AND(210&gt;=$NQ$17,210&lt;=$NR$17),IF($NO$17="Single_Point",IF(210=$NQ$17,$NM$17,0),IF($NO$17="Bell_Curve",$NM$17*(210-$NQ$17+1)*($NR$17-210+1)/$NT$17,$NM$17/$NS$17)),0)</f>
        <v/>
      </c>
      <c r="HF17" s="18">
        <f>IF(AND(211&gt;=$NQ$17,211&lt;=$NR$17),IF($NO$17="Single_Point",IF(211=$NQ$17,$NM$17,0),IF($NO$17="Bell_Curve",$NM$17*(211-$NQ$17+1)*($NR$17-211+1)/$NT$17,$NM$17/$NS$17)),0)</f>
        <v/>
      </c>
      <c r="HG17" s="18">
        <f>IF(AND(212&gt;=$NQ$17,212&lt;=$NR$17),IF($NO$17="Single_Point",IF(212=$NQ$17,$NM$17,0),IF($NO$17="Bell_Curve",$NM$17*(212-$NQ$17+1)*($NR$17-212+1)/$NT$17,$NM$17/$NS$17)),0)</f>
        <v/>
      </c>
      <c r="HH17" s="18">
        <f>IF(AND(213&gt;=$NQ$17,213&lt;=$NR$17),IF($NO$17="Single_Point",IF(213=$NQ$17,$NM$17,0),IF($NO$17="Bell_Curve",$NM$17*(213-$NQ$17+1)*($NR$17-213+1)/$NT$17,$NM$17/$NS$17)),0)</f>
        <v/>
      </c>
      <c r="HI17" s="18">
        <f>IF(AND(214&gt;=$NQ$17,214&lt;=$NR$17),IF($NO$17="Single_Point",IF(214=$NQ$17,$NM$17,0),IF($NO$17="Bell_Curve",$NM$17*(214-$NQ$17+1)*($NR$17-214+1)/$NT$17,$NM$17/$NS$17)),0)</f>
        <v/>
      </c>
      <c r="HJ17" s="18">
        <f>IF(AND(215&gt;=$NQ$17,215&lt;=$NR$17),IF($NO$17="Single_Point",IF(215=$NQ$17,$NM$17,0),IF($NO$17="Bell_Curve",$NM$17*(215-$NQ$17+1)*($NR$17-215+1)/$NT$17,$NM$17/$NS$17)),0)</f>
        <v/>
      </c>
      <c r="HK17" s="18">
        <f>IF(AND(216&gt;=$NQ$17,216&lt;=$NR$17),IF($NO$17="Single_Point",IF(216=$NQ$17,$NM$17,0),IF($NO$17="Bell_Curve",$NM$17*(216-$NQ$17+1)*($NR$17-216+1)/$NT$17,$NM$17/$NS$17)),0)</f>
        <v/>
      </c>
      <c r="HL17" s="18">
        <f>IF(AND(217&gt;=$NQ$17,217&lt;=$NR$17),IF($NO$17="Single_Point",IF(217=$NQ$17,$NM$17,0),IF($NO$17="Bell_Curve",$NM$17*(217-$NQ$17+1)*($NR$17-217+1)/$NT$17,$NM$17/$NS$17)),0)</f>
        <v/>
      </c>
      <c r="HM17" s="18">
        <f>IF(AND(218&gt;=$NQ$17,218&lt;=$NR$17),IF($NO$17="Single_Point",IF(218=$NQ$17,$NM$17,0),IF($NO$17="Bell_Curve",$NM$17*(218-$NQ$17+1)*($NR$17-218+1)/$NT$17,$NM$17/$NS$17)),0)</f>
        <v/>
      </c>
      <c r="HN17" s="18">
        <f>IF(AND(219&gt;=$NQ$17,219&lt;=$NR$17),IF($NO$17="Single_Point",IF(219=$NQ$17,$NM$17,0),IF($NO$17="Bell_Curve",$NM$17*(219-$NQ$17+1)*($NR$17-219+1)/$NT$17,$NM$17/$NS$17)),0)</f>
        <v/>
      </c>
      <c r="HO17" s="18">
        <f>IF(AND(220&gt;=$NQ$17,220&lt;=$NR$17),IF($NO$17="Single_Point",IF(220=$NQ$17,$NM$17,0),IF($NO$17="Bell_Curve",$NM$17*(220-$NQ$17+1)*($NR$17-220+1)/$NT$17,$NM$17/$NS$17)),0)</f>
        <v/>
      </c>
      <c r="HP17" s="18">
        <f>IF(AND(221&gt;=$NQ$17,221&lt;=$NR$17),IF($NO$17="Single_Point",IF(221=$NQ$17,$NM$17,0),IF($NO$17="Bell_Curve",$NM$17*(221-$NQ$17+1)*($NR$17-221+1)/$NT$17,$NM$17/$NS$17)),0)</f>
        <v/>
      </c>
      <c r="HQ17" s="18">
        <f>IF(AND(222&gt;=$NQ$17,222&lt;=$NR$17),IF($NO$17="Single_Point",IF(222=$NQ$17,$NM$17,0),IF($NO$17="Bell_Curve",$NM$17*(222-$NQ$17+1)*($NR$17-222+1)/$NT$17,$NM$17/$NS$17)),0)</f>
        <v/>
      </c>
      <c r="HR17" s="18">
        <f>IF(AND(223&gt;=$NQ$17,223&lt;=$NR$17),IF($NO$17="Single_Point",IF(223=$NQ$17,$NM$17,0),IF($NO$17="Bell_Curve",$NM$17*(223-$NQ$17+1)*($NR$17-223+1)/$NT$17,$NM$17/$NS$17)),0)</f>
        <v/>
      </c>
      <c r="HS17" s="18">
        <f>IF(AND(224&gt;=$NQ$17,224&lt;=$NR$17),IF($NO$17="Single_Point",IF(224=$NQ$17,$NM$17,0),IF($NO$17="Bell_Curve",$NM$17*(224-$NQ$17+1)*($NR$17-224+1)/$NT$17,$NM$17/$NS$17)),0)</f>
        <v/>
      </c>
      <c r="HT17" s="18">
        <f>IF(AND(225&gt;=$NQ$17,225&lt;=$NR$17),IF($NO$17="Single_Point",IF(225=$NQ$17,$NM$17,0),IF($NO$17="Bell_Curve",$NM$17*(225-$NQ$17+1)*($NR$17-225+1)/$NT$17,$NM$17/$NS$17)),0)</f>
        <v/>
      </c>
      <c r="HU17" s="18">
        <f>IF(AND(226&gt;=$NQ$17,226&lt;=$NR$17),IF($NO$17="Single_Point",IF(226=$NQ$17,$NM$17,0),IF($NO$17="Bell_Curve",$NM$17*(226-$NQ$17+1)*($NR$17-226+1)/$NT$17,$NM$17/$NS$17)),0)</f>
        <v/>
      </c>
      <c r="HV17" s="18">
        <f>IF(AND(227&gt;=$NQ$17,227&lt;=$NR$17),IF($NO$17="Single_Point",IF(227=$NQ$17,$NM$17,0),IF($NO$17="Bell_Curve",$NM$17*(227-$NQ$17+1)*($NR$17-227+1)/$NT$17,$NM$17/$NS$17)),0)</f>
        <v/>
      </c>
      <c r="HW17" s="18">
        <f>IF(AND(228&gt;=$NQ$17,228&lt;=$NR$17),IF($NO$17="Single_Point",IF(228=$NQ$17,$NM$17,0),IF($NO$17="Bell_Curve",$NM$17*(228-$NQ$17+1)*($NR$17-228+1)/$NT$17,$NM$17/$NS$17)),0)</f>
        <v/>
      </c>
      <c r="HX17" s="18">
        <f>IF(AND(229&gt;=$NQ$17,229&lt;=$NR$17),IF($NO$17="Single_Point",IF(229=$NQ$17,$NM$17,0),IF($NO$17="Bell_Curve",$NM$17*(229-$NQ$17+1)*($NR$17-229+1)/$NT$17,$NM$17/$NS$17)),0)</f>
        <v/>
      </c>
      <c r="HY17" s="18">
        <f>IF(AND(230&gt;=$NQ$17,230&lt;=$NR$17),IF($NO$17="Single_Point",IF(230=$NQ$17,$NM$17,0),IF($NO$17="Bell_Curve",$NM$17*(230-$NQ$17+1)*($NR$17-230+1)/$NT$17,$NM$17/$NS$17)),0)</f>
        <v/>
      </c>
      <c r="HZ17" s="18">
        <f>IF(AND(231&gt;=$NQ$17,231&lt;=$NR$17),IF($NO$17="Single_Point",IF(231=$NQ$17,$NM$17,0),IF($NO$17="Bell_Curve",$NM$17*(231-$NQ$17+1)*($NR$17-231+1)/$NT$17,$NM$17/$NS$17)),0)</f>
        <v/>
      </c>
      <c r="IA17" s="18">
        <f>IF(AND(232&gt;=$NQ$17,232&lt;=$NR$17),IF($NO$17="Single_Point",IF(232=$NQ$17,$NM$17,0),IF($NO$17="Bell_Curve",$NM$17*(232-$NQ$17+1)*($NR$17-232+1)/$NT$17,$NM$17/$NS$17)),0)</f>
        <v/>
      </c>
      <c r="IB17" s="18">
        <f>IF(AND(233&gt;=$NQ$17,233&lt;=$NR$17),IF($NO$17="Single_Point",IF(233=$NQ$17,$NM$17,0),IF($NO$17="Bell_Curve",$NM$17*(233-$NQ$17+1)*($NR$17-233+1)/$NT$17,$NM$17/$NS$17)),0)</f>
        <v/>
      </c>
      <c r="IC17" s="18">
        <f>IF(AND(234&gt;=$NQ$17,234&lt;=$NR$17),IF($NO$17="Single_Point",IF(234=$NQ$17,$NM$17,0),IF($NO$17="Bell_Curve",$NM$17*(234-$NQ$17+1)*($NR$17-234+1)/$NT$17,$NM$17/$NS$17)),0)</f>
        <v/>
      </c>
      <c r="ID17" s="18">
        <f>IF(AND(235&gt;=$NQ$17,235&lt;=$NR$17),IF($NO$17="Single_Point",IF(235=$NQ$17,$NM$17,0),IF($NO$17="Bell_Curve",$NM$17*(235-$NQ$17+1)*($NR$17-235+1)/$NT$17,$NM$17/$NS$17)),0)</f>
        <v/>
      </c>
      <c r="IE17" s="18">
        <f>IF(AND(236&gt;=$NQ$17,236&lt;=$NR$17),IF($NO$17="Single_Point",IF(236=$NQ$17,$NM$17,0),IF($NO$17="Bell_Curve",$NM$17*(236-$NQ$17+1)*($NR$17-236+1)/$NT$17,$NM$17/$NS$17)),0)</f>
        <v/>
      </c>
      <c r="IF17" s="18">
        <f>IF(AND(237&gt;=$NQ$17,237&lt;=$NR$17),IF($NO$17="Single_Point",IF(237=$NQ$17,$NM$17,0),IF($NO$17="Bell_Curve",$NM$17*(237-$NQ$17+1)*($NR$17-237+1)/$NT$17,$NM$17/$NS$17)),0)</f>
        <v/>
      </c>
      <c r="IG17" s="18">
        <f>IF(AND(238&gt;=$NQ$17,238&lt;=$NR$17),IF($NO$17="Single_Point",IF(238=$NQ$17,$NM$17,0),IF($NO$17="Bell_Curve",$NM$17*(238-$NQ$17+1)*($NR$17-238+1)/$NT$17,$NM$17/$NS$17)),0)</f>
        <v/>
      </c>
      <c r="IH17" s="18">
        <f>IF(AND(239&gt;=$NQ$17,239&lt;=$NR$17),IF($NO$17="Single_Point",IF(239=$NQ$17,$NM$17,0),IF($NO$17="Bell_Curve",$NM$17*(239-$NQ$17+1)*($NR$17-239+1)/$NT$17,$NM$17/$NS$17)),0)</f>
        <v/>
      </c>
      <c r="II17" s="18">
        <f>IF(AND(240&gt;=$NQ$17,240&lt;=$NR$17),IF($NO$17="Single_Point",IF(240=$NQ$17,$NM$17,0),IF($NO$17="Bell_Curve",$NM$17*(240-$NQ$17+1)*($NR$17-240+1)/$NT$17,$NM$17/$NS$17)),0)</f>
        <v/>
      </c>
      <c r="IJ17" s="18">
        <f>IF(AND(241&gt;=$NQ$17,241&lt;=$NR$17),IF($NO$17="Single_Point",IF(241=$NQ$17,$NM$17,0),IF($NO$17="Bell_Curve",$NM$17*(241-$NQ$17+1)*($NR$17-241+1)/$NT$17,$NM$17/$NS$17)),0)</f>
        <v/>
      </c>
      <c r="IK17" s="18">
        <f>IF(AND(242&gt;=$NQ$17,242&lt;=$NR$17),IF($NO$17="Single_Point",IF(242=$NQ$17,$NM$17,0),IF($NO$17="Bell_Curve",$NM$17*(242-$NQ$17+1)*($NR$17-242+1)/$NT$17,$NM$17/$NS$17)),0)</f>
        <v/>
      </c>
      <c r="IL17" s="18">
        <f>IF(AND(243&gt;=$NQ$17,243&lt;=$NR$17),IF($NO$17="Single_Point",IF(243=$NQ$17,$NM$17,0),IF($NO$17="Bell_Curve",$NM$17*(243-$NQ$17+1)*($NR$17-243+1)/$NT$17,$NM$17/$NS$17)),0)</f>
        <v/>
      </c>
      <c r="IM17" s="18">
        <f>IF(AND(244&gt;=$NQ$17,244&lt;=$NR$17),IF($NO$17="Single_Point",IF(244=$NQ$17,$NM$17,0),IF($NO$17="Bell_Curve",$NM$17*(244-$NQ$17+1)*($NR$17-244+1)/$NT$17,$NM$17/$NS$17)),0)</f>
        <v/>
      </c>
      <c r="IN17" s="18">
        <f>IF(AND(245&gt;=$NQ$17,245&lt;=$NR$17),IF($NO$17="Single_Point",IF(245=$NQ$17,$NM$17,0),IF($NO$17="Bell_Curve",$NM$17*(245-$NQ$17+1)*($NR$17-245+1)/$NT$17,$NM$17/$NS$17)),0)</f>
        <v/>
      </c>
      <c r="IO17" s="18">
        <f>IF(AND(246&gt;=$NQ$17,246&lt;=$NR$17),IF($NO$17="Single_Point",IF(246=$NQ$17,$NM$17,0),IF($NO$17="Bell_Curve",$NM$17*(246-$NQ$17+1)*($NR$17-246+1)/$NT$17,$NM$17/$NS$17)),0)</f>
        <v/>
      </c>
      <c r="IP17" s="18">
        <f>IF(AND(247&gt;=$NQ$17,247&lt;=$NR$17),IF($NO$17="Single_Point",IF(247=$NQ$17,$NM$17,0),IF($NO$17="Bell_Curve",$NM$17*(247-$NQ$17+1)*($NR$17-247+1)/$NT$17,$NM$17/$NS$17)),0)</f>
        <v/>
      </c>
      <c r="IQ17" s="18">
        <f>IF(AND(248&gt;=$NQ$17,248&lt;=$NR$17),IF($NO$17="Single_Point",IF(248=$NQ$17,$NM$17,0),IF($NO$17="Bell_Curve",$NM$17*(248-$NQ$17+1)*($NR$17-248+1)/$NT$17,$NM$17/$NS$17)),0)</f>
        <v/>
      </c>
      <c r="IR17" s="18">
        <f>IF(AND(249&gt;=$NQ$17,249&lt;=$NR$17),IF($NO$17="Single_Point",IF(249=$NQ$17,$NM$17,0),IF($NO$17="Bell_Curve",$NM$17*(249-$NQ$17+1)*($NR$17-249+1)/$NT$17,$NM$17/$NS$17)),0)</f>
        <v/>
      </c>
      <c r="IS17" s="18">
        <f>IF(AND(250&gt;=$NQ$17,250&lt;=$NR$17),IF($NO$17="Single_Point",IF(250=$NQ$17,$NM$17,0),IF($NO$17="Bell_Curve",$NM$17*(250-$NQ$17+1)*($NR$17-250+1)/$NT$17,$NM$17/$NS$17)),0)</f>
        <v/>
      </c>
      <c r="IT17" s="18">
        <f>IF(AND(251&gt;=$NQ$17,251&lt;=$NR$17),IF($NO$17="Single_Point",IF(251=$NQ$17,$NM$17,0),IF($NO$17="Bell_Curve",$NM$17*(251-$NQ$17+1)*($NR$17-251+1)/$NT$17,$NM$17/$NS$17)),0)</f>
        <v/>
      </c>
      <c r="IU17" s="18">
        <f>IF(AND(252&gt;=$NQ$17,252&lt;=$NR$17),IF($NO$17="Single_Point",IF(252=$NQ$17,$NM$17,0),IF($NO$17="Bell_Curve",$NM$17*(252-$NQ$17+1)*($NR$17-252+1)/$NT$17,$NM$17/$NS$17)),0)</f>
        <v/>
      </c>
      <c r="IV17" s="18">
        <f>IF(AND(253&gt;=$NQ$17,253&lt;=$NR$17),IF($NO$17="Single_Point",IF(253=$NQ$17,$NM$17,0),IF($NO$17="Bell_Curve",$NM$17*(253-$NQ$17+1)*($NR$17-253+1)/$NT$17,$NM$17/$NS$17)),0)</f>
        <v/>
      </c>
      <c r="IW17" s="18">
        <f>IF(AND(254&gt;=$NQ$17,254&lt;=$NR$17),IF($NO$17="Single_Point",IF(254=$NQ$17,$NM$17,0),IF($NO$17="Bell_Curve",$NM$17*(254-$NQ$17+1)*($NR$17-254+1)/$NT$17,$NM$17/$NS$17)),0)</f>
        <v/>
      </c>
      <c r="IX17" s="18">
        <f>IF(AND(255&gt;=$NQ$17,255&lt;=$NR$17),IF($NO$17="Single_Point",IF(255=$NQ$17,$NM$17,0),IF($NO$17="Bell_Curve",$NM$17*(255-$NQ$17+1)*($NR$17-255+1)/$NT$17,$NM$17/$NS$17)),0)</f>
        <v/>
      </c>
      <c r="IY17" s="18">
        <f>IF(AND(256&gt;=$NQ$17,256&lt;=$NR$17),IF($NO$17="Single_Point",IF(256=$NQ$17,$NM$17,0),IF($NO$17="Bell_Curve",$NM$17*(256-$NQ$17+1)*($NR$17-256+1)/$NT$17,$NM$17/$NS$17)),0)</f>
        <v/>
      </c>
      <c r="IZ17" s="18">
        <f>IF(AND(257&gt;=$NQ$17,257&lt;=$NR$17),IF($NO$17="Single_Point",IF(257=$NQ$17,$NM$17,0),IF($NO$17="Bell_Curve",$NM$17*(257-$NQ$17+1)*($NR$17-257+1)/$NT$17,$NM$17/$NS$17)),0)</f>
        <v/>
      </c>
      <c r="JA17" s="18">
        <f>IF(AND(258&gt;=$NQ$17,258&lt;=$NR$17),IF($NO$17="Single_Point",IF(258=$NQ$17,$NM$17,0),IF($NO$17="Bell_Curve",$NM$17*(258-$NQ$17+1)*($NR$17-258+1)/$NT$17,$NM$17/$NS$17)),0)</f>
        <v/>
      </c>
      <c r="JB17" s="18">
        <f>IF(AND(259&gt;=$NQ$17,259&lt;=$NR$17),IF($NO$17="Single_Point",IF(259=$NQ$17,$NM$17,0),IF($NO$17="Bell_Curve",$NM$17*(259-$NQ$17+1)*($NR$17-259+1)/$NT$17,$NM$17/$NS$17)),0)</f>
        <v/>
      </c>
      <c r="JC17" s="18">
        <f>IF(AND(260&gt;=$NQ$17,260&lt;=$NR$17),IF($NO$17="Single_Point",IF(260=$NQ$17,$NM$17,0),IF($NO$17="Bell_Curve",$NM$17*(260-$NQ$17+1)*($NR$17-260+1)/$NT$17,$NM$17/$NS$17)),0)</f>
        <v/>
      </c>
      <c r="JD17" s="18">
        <f>IF(AND(261&gt;=$NQ$17,261&lt;=$NR$17),IF($NO$17="Single_Point",IF(261=$NQ$17,$NM$17,0),IF($NO$17="Bell_Curve",$NM$17*(261-$NQ$17+1)*($NR$17-261+1)/$NT$17,$NM$17/$NS$17)),0)</f>
        <v/>
      </c>
      <c r="JE17" s="18">
        <f>IF(AND(262&gt;=$NQ$17,262&lt;=$NR$17),IF($NO$17="Single_Point",IF(262=$NQ$17,$NM$17,0),IF($NO$17="Bell_Curve",$NM$17*(262-$NQ$17+1)*($NR$17-262+1)/$NT$17,$NM$17/$NS$17)),0)</f>
        <v/>
      </c>
      <c r="JF17" s="18">
        <f>IF(AND(263&gt;=$NQ$17,263&lt;=$NR$17),IF($NO$17="Single_Point",IF(263=$NQ$17,$NM$17,0),IF($NO$17="Bell_Curve",$NM$17*(263-$NQ$17+1)*($NR$17-263+1)/$NT$17,$NM$17/$NS$17)),0)</f>
        <v/>
      </c>
      <c r="JG17" s="18">
        <f>IF(AND(264&gt;=$NQ$17,264&lt;=$NR$17),IF($NO$17="Single_Point",IF(264=$NQ$17,$NM$17,0),IF($NO$17="Bell_Curve",$NM$17*(264-$NQ$17+1)*($NR$17-264+1)/$NT$17,$NM$17/$NS$17)),0)</f>
        <v/>
      </c>
      <c r="JH17" s="18">
        <f>IF(AND(265&gt;=$NQ$17,265&lt;=$NR$17),IF($NO$17="Single_Point",IF(265=$NQ$17,$NM$17,0),IF($NO$17="Bell_Curve",$NM$17*(265-$NQ$17+1)*($NR$17-265+1)/$NT$17,$NM$17/$NS$17)),0)</f>
        <v/>
      </c>
      <c r="JI17" s="18">
        <f>IF(AND(266&gt;=$NQ$17,266&lt;=$NR$17),IF($NO$17="Single_Point",IF(266=$NQ$17,$NM$17,0),IF($NO$17="Bell_Curve",$NM$17*(266-$NQ$17+1)*($NR$17-266+1)/$NT$17,$NM$17/$NS$17)),0)</f>
        <v/>
      </c>
      <c r="JJ17" s="18">
        <f>IF(AND(267&gt;=$NQ$17,267&lt;=$NR$17),IF($NO$17="Single_Point",IF(267=$NQ$17,$NM$17,0),IF($NO$17="Bell_Curve",$NM$17*(267-$NQ$17+1)*($NR$17-267+1)/$NT$17,$NM$17/$NS$17)),0)</f>
        <v/>
      </c>
      <c r="JK17" s="18">
        <f>IF(AND(268&gt;=$NQ$17,268&lt;=$NR$17),IF($NO$17="Single_Point",IF(268=$NQ$17,$NM$17,0),IF($NO$17="Bell_Curve",$NM$17*(268-$NQ$17+1)*($NR$17-268+1)/$NT$17,$NM$17/$NS$17)),0)</f>
        <v/>
      </c>
      <c r="JL17" s="18">
        <f>IF(AND(269&gt;=$NQ$17,269&lt;=$NR$17),IF($NO$17="Single_Point",IF(269=$NQ$17,$NM$17,0),IF($NO$17="Bell_Curve",$NM$17*(269-$NQ$17+1)*($NR$17-269+1)/$NT$17,$NM$17/$NS$17)),0)</f>
        <v/>
      </c>
      <c r="JM17" s="18">
        <f>IF(AND(270&gt;=$NQ$17,270&lt;=$NR$17),IF($NO$17="Single_Point",IF(270=$NQ$17,$NM$17,0),IF($NO$17="Bell_Curve",$NM$17*(270-$NQ$17+1)*($NR$17-270+1)/$NT$17,$NM$17/$NS$17)),0)</f>
        <v/>
      </c>
      <c r="JN17" s="18">
        <f>IF(AND(271&gt;=$NQ$17,271&lt;=$NR$17),IF($NO$17="Single_Point",IF(271=$NQ$17,$NM$17,0),IF($NO$17="Bell_Curve",$NM$17*(271-$NQ$17+1)*($NR$17-271+1)/$NT$17,$NM$17/$NS$17)),0)</f>
        <v/>
      </c>
      <c r="JO17" s="18">
        <f>IF(AND(272&gt;=$NQ$17,272&lt;=$NR$17),IF($NO$17="Single_Point",IF(272=$NQ$17,$NM$17,0),IF($NO$17="Bell_Curve",$NM$17*(272-$NQ$17+1)*($NR$17-272+1)/$NT$17,$NM$17/$NS$17)),0)</f>
        <v/>
      </c>
      <c r="JP17" s="18">
        <f>IF(AND(273&gt;=$NQ$17,273&lt;=$NR$17),IF($NO$17="Single_Point",IF(273=$NQ$17,$NM$17,0),IF($NO$17="Bell_Curve",$NM$17*(273-$NQ$17+1)*($NR$17-273+1)/$NT$17,$NM$17/$NS$17)),0)</f>
        <v/>
      </c>
      <c r="JQ17" s="18">
        <f>IF(AND(274&gt;=$NQ$17,274&lt;=$NR$17),IF($NO$17="Single_Point",IF(274=$NQ$17,$NM$17,0),IF($NO$17="Bell_Curve",$NM$17*(274-$NQ$17+1)*($NR$17-274+1)/$NT$17,$NM$17/$NS$17)),0)</f>
        <v/>
      </c>
      <c r="JR17" s="18">
        <f>IF(AND(275&gt;=$NQ$17,275&lt;=$NR$17),IF($NO$17="Single_Point",IF(275=$NQ$17,$NM$17,0),IF($NO$17="Bell_Curve",$NM$17*(275-$NQ$17+1)*($NR$17-275+1)/$NT$17,$NM$17/$NS$17)),0)</f>
        <v/>
      </c>
      <c r="JS17" s="18">
        <f>IF(AND(276&gt;=$NQ$17,276&lt;=$NR$17),IF($NO$17="Single_Point",IF(276=$NQ$17,$NM$17,0),IF($NO$17="Bell_Curve",$NM$17*(276-$NQ$17+1)*($NR$17-276+1)/$NT$17,$NM$17/$NS$17)),0)</f>
        <v/>
      </c>
      <c r="JT17" s="18">
        <f>IF(AND(277&gt;=$NQ$17,277&lt;=$NR$17),IF($NO$17="Single_Point",IF(277=$NQ$17,$NM$17,0),IF($NO$17="Bell_Curve",$NM$17*(277-$NQ$17+1)*($NR$17-277+1)/$NT$17,$NM$17/$NS$17)),0)</f>
        <v/>
      </c>
      <c r="JU17" s="18">
        <f>IF(AND(278&gt;=$NQ$17,278&lt;=$NR$17),IF($NO$17="Single_Point",IF(278=$NQ$17,$NM$17,0),IF($NO$17="Bell_Curve",$NM$17*(278-$NQ$17+1)*($NR$17-278+1)/$NT$17,$NM$17/$NS$17)),0)</f>
        <v/>
      </c>
      <c r="JV17" s="18">
        <f>IF(AND(279&gt;=$NQ$17,279&lt;=$NR$17),IF($NO$17="Single_Point",IF(279=$NQ$17,$NM$17,0),IF($NO$17="Bell_Curve",$NM$17*(279-$NQ$17+1)*($NR$17-279+1)/$NT$17,$NM$17/$NS$17)),0)</f>
        <v/>
      </c>
      <c r="JW17" s="18">
        <f>IF(AND(280&gt;=$NQ$17,280&lt;=$NR$17),IF($NO$17="Single_Point",IF(280=$NQ$17,$NM$17,0),IF($NO$17="Bell_Curve",$NM$17*(280-$NQ$17+1)*($NR$17-280+1)/$NT$17,$NM$17/$NS$17)),0)</f>
        <v/>
      </c>
      <c r="JX17" s="18">
        <f>IF(AND(281&gt;=$NQ$17,281&lt;=$NR$17),IF($NO$17="Single_Point",IF(281=$NQ$17,$NM$17,0),IF($NO$17="Bell_Curve",$NM$17*(281-$NQ$17+1)*($NR$17-281+1)/$NT$17,$NM$17/$NS$17)),0)</f>
        <v/>
      </c>
      <c r="JY17" s="18">
        <f>IF(AND(282&gt;=$NQ$17,282&lt;=$NR$17),IF($NO$17="Single_Point",IF(282=$NQ$17,$NM$17,0),IF($NO$17="Bell_Curve",$NM$17*(282-$NQ$17+1)*($NR$17-282+1)/$NT$17,$NM$17/$NS$17)),0)</f>
        <v/>
      </c>
      <c r="JZ17" s="18">
        <f>IF(AND(283&gt;=$NQ$17,283&lt;=$NR$17),IF($NO$17="Single_Point",IF(283=$NQ$17,$NM$17,0),IF($NO$17="Bell_Curve",$NM$17*(283-$NQ$17+1)*($NR$17-283+1)/$NT$17,$NM$17/$NS$17)),0)</f>
        <v/>
      </c>
      <c r="KA17" s="18">
        <f>IF(AND(284&gt;=$NQ$17,284&lt;=$NR$17),IF($NO$17="Single_Point",IF(284=$NQ$17,$NM$17,0),IF($NO$17="Bell_Curve",$NM$17*(284-$NQ$17+1)*($NR$17-284+1)/$NT$17,$NM$17/$NS$17)),0)</f>
        <v/>
      </c>
      <c r="KB17" s="18">
        <f>IF(AND(285&gt;=$NQ$17,285&lt;=$NR$17),IF($NO$17="Single_Point",IF(285=$NQ$17,$NM$17,0),IF($NO$17="Bell_Curve",$NM$17*(285-$NQ$17+1)*($NR$17-285+1)/$NT$17,$NM$17/$NS$17)),0)</f>
        <v/>
      </c>
      <c r="KC17" s="18">
        <f>IF(AND(286&gt;=$NQ$17,286&lt;=$NR$17),IF($NO$17="Single_Point",IF(286=$NQ$17,$NM$17,0),IF($NO$17="Bell_Curve",$NM$17*(286-$NQ$17+1)*($NR$17-286+1)/$NT$17,$NM$17/$NS$17)),0)</f>
        <v/>
      </c>
      <c r="KD17" s="18">
        <f>IF(AND(287&gt;=$NQ$17,287&lt;=$NR$17),IF($NO$17="Single_Point",IF(287=$NQ$17,$NM$17,0),IF($NO$17="Bell_Curve",$NM$17*(287-$NQ$17+1)*($NR$17-287+1)/$NT$17,$NM$17/$NS$17)),0)</f>
        <v/>
      </c>
      <c r="KE17" s="18">
        <f>IF(AND(288&gt;=$NQ$17,288&lt;=$NR$17),IF($NO$17="Single_Point",IF(288=$NQ$17,$NM$17,0),IF($NO$17="Bell_Curve",$NM$17*(288-$NQ$17+1)*($NR$17-288+1)/$NT$17,$NM$17/$NS$17)),0)</f>
        <v/>
      </c>
      <c r="KF17" s="18">
        <f>IF(AND(289&gt;=$NQ$17,289&lt;=$NR$17),IF($NO$17="Single_Point",IF(289=$NQ$17,$NM$17,0),IF($NO$17="Bell_Curve",$NM$17*(289-$NQ$17+1)*($NR$17-289+1)/$NT$17,$NM$17/$NS$17)),0)</f>
        <v/>
      </c>
      <c r="KG17" s="18">
        <f>IF(AND(290&gt;=$NQ$17,290&lt;=$NR$17),IF($NO$17="Single_Point",IF(290=$NQ$17,$NM$17,0),IF($NO$17="Bell_Curve",$NM$17*(290-$NQ$17+1)*($NR$17-290+1)/$NT$17,$NM$17/$NS$17)),0)</f>
        <v/>
      </c>
      <c r="KH17" s="18">
        <f>IF(AND(291&gt;=$NQ$17,291&lt;=$NR$17),IF($NO$17="Single_Point",IF(291=$NQ$17,$NM$17,0),IF($NO$17="Bell_Curve",$NM$17*(291-$NQ$17+1)*($NR$17-291+1)/$NT$17,$NM$17/$NS$17)),0)</f>
        <v/>
      </c>
      <c r="KI17" s="18">
        <f>IF(AND(292&gt;=$NQ$17,292&lt;=$NR$17),IF($NO$17="Single_Point",IF(292=$NQ$17,$NM$17,0),IF($NO$17="Bell_Curve",$NM$17*(292-$NQ$17+1)*($NR$17-292+1)/$NT$17,$NM$17/$NS$17)),0)</f>
        <v/>
      </c>
      <c r="KJ17" s="18">
        <f>IF(AND(293&gt;=$NQ$17,293&lt;=$NR$17),IF($NO$17="Single_Point",IF(293=$NQ$17,$NM$17,0),IF($NO$17="Bell_Curve",$NM$17*(293-$NQ$17+1)*($NR$17-293+1)/$NT$17,$NM$17/$NS$17)),0)</f>
        <v/>
      </c>
      <c r="KK17" s="18">
        <f>IF(AND(294&gt;=$NQ$17,294&lt;=$NR$17),IF($NO$17="Single_Point",IF(294=$NQ$17,$NM$17,0),IF($NO$17="Bell_Curve",$NM$17*(294-$NQ$17+1)*($NR$17-294+1)/$NT$17,$NM$17/$NS$17)),0)</f>
        <v/>
      </c>
      <c r="KL17" s="18">
        <f>IF(AND(295&gt;=$NQ$17,295&lt;=$NR$17),IF($NO$17="Single_Point",IF(295=$NQ$17,$NM$17,0),IF($NO$17="Bell_Curve",$NM$17*(295-$NQ$17+1)*($NR$17-295+1)/$NT$17,$NM$17/$NS$17)),0)</f>
        <v/>
      </c>
      <c r="KM17" s="18">
        <f>IF(AND(296&gt;=$NQ$17,296&lt;=$NR$17),IF($NO$17="Single_Point",IF(296=$NQ$17,$NM$17,0),IF($NO$17="Bell_Curve",$NM$17*(296-$NQ$17+1)*($NR$17-296+1)/$NT$17,$NM$17/$NS$17)),0)</f>
        <v/>
      </c>
      <c r="KN17" s="18">
        <f>IF(AND(297&gt;=$NQ$17,297&lt;=$NR$17),IF($NO$17="Single_Point",IF(297=$NQ$17,$NM$17,0),IF($NO$17="Bell_Curve",$NM$17*(297-$NQ$17+1)*($NR$17-297+1)/$NT$17,$NM$17/$NS$17)),0)</f>
        <v/>
      </c>
      <c r="KO17" s="18">
        <f>IF(AND(298&gt;=$NQ$17,298&lt;=$NR$17),IF($NO$17="Single_Point",IF(298=$NQ$17,$NM$17,0),IF($NO$17="Bell_Curve",$NM$17*(298-$NQ$17+1)*($NR$17-298+1)/$NT$17,$NM$17/$NS$17)),0)</f>
        <v/>
      </c>
      <c r="KP17" s="18">
        <f>IF(AND(299&gt;=$NQ$17,299&lt;=$NR$17),IF($NO$17="Single_Point",IF(299=$NQ$17,$NM$17,0),IF($NO$17="Bell_Curve",$NM$17*(299-$NQ$17+1)*($NR$17-299+1)/$NT$17,$NM$17/$NS$17)),0)</f>
        <v/>
      </c>
      <c r="KQ17" s="18">
        <f>IF(AND(300&gt;=$NQ$17,300&lt;=$NR$17),IF($NO$17="Single_Point",IF(300=$NQ$17,$NM$17,0),IF($NO$17="Bell_Curve",$NM$17*(300-$NQ$17+1)*($NR$17-300+1)/$NT$17,$NM$17/$NS$17)),0)</f>
        <v/>
      </c>
      <c r="KR17" s="18">
        <f>IF(AND(301&gt;=$NQ$17,301&lt;=$NR$17),IF($NO$17="Single_Point",IF(301=$NQ$17,$NM$17,0),IF($NO$17="Bell_Curve",$NM$17*(301-$NQ$17+1)*($NR$17-301+1)/$NT$17,$NM$17/$NS$17)),0)</f>
        <v/>
      </c>
      <c r="KS17" s="18">
        <f>IF(AND(302&gt;=$NQ$17,302&lt;=$NR$17),IF($NO$17="Single_Point",IF(302=$NQ$17,$NM$17,0),IF($NO$17="Bell_Curve",$NM$17*(302-$NQ$17+1)*($NR$17-302+1)/$NT$17,$NM$17/$NS$17)),0)</f>
        <v/>
      </c>
      <c r="KT17" s="18">
        <f>IF(AND(303&gt;=$NQ$17,303&lt;=$NR$17),IF($NO$17="Single_Point",IF(303=$NQ$17,$NM$17,0),IF($NO$17="Bell_Curve",$NM$17*(303-$NQ$17+1)*($NR$17-303+1)/$NT$17,$NM$17/$NS$17)),0)</f>
        <v/>
      </c>
      <c r="KU17" s="18">
        <f>IF(AND(304&gt;=$NQ$17,304&lt;=$NR$17),IF($NO$17="Single_Point",IF(304=$NQ$17,$NM$17,0),IF($NO$17="Bell_Curve",$NM$17*(304-$NQ$17+1)*($NR$17-304+1)/$NT$17,$NM$17/$NS$17)),0)</f>
        <v/>
      </c>
      <c r="KV17" s="18">
        <f>IF(AND(305&gt;=$NQ$17,305&lt;=$NR$17),IF($NO$17="Single_Point",IF(305=$NQ$17,$NM$17,0),IF($NO$17="Bell_Curve",$NM$17*(305-$NQ$17+1)*($NR$17-305+1)/$NT$17,$NM$17/$NS$17)),0)</f>
        <v/>
      </c>
      <c r="KW17" s="18">
        <f>IF(AND(306&gt;=$NQ$17,306&lt;=$NR$17),IF($NO$17="Single_Point",IF(306=$NQ$17,$NM$17,0),IF($NO$17="Bell_Curve",$NM$17*(306-$NQ$17+1)*($NR$17-306+1)/$NT$17,$NM$17/$NS$17)),0)</f>
        <v/>
      </c>
      <c r="KX17" s="18">
        <f>IF(AND(307&gt;=$NQ$17,307&lt;=$NR$17),IF($NO$17="Single_Point",IF(307=$NQ$17,$NM$17,0),IF($NO$17="Bell_Curve",$NM$17*(307-$NQ$17+1)*($NR$17-307+1)/$NT$17,$NM$17/$NS$17)),0)</f>
        <v/>
      </c>
      <c r="KY17" s="18">
        <f>IF(AND(308&gt;=$NQ$17,308&lt;=$NR$17),IF($NO$17="Single_Point",IF(308=$NQ$17,$NM$17,0),IF($NO$17="Bell_Curve",$NM$17*(308-$NQ$17+1)*($NR$17-308+1)/$NT$17,$NM$17/$NS$17)),0)</f>
        <v/>
      </c>
      <c r="KZ17" s="18">
        <f>IF(AND(309&gt;=$NQ$17,309&lt;=$NR$17),IF($NO$17="Single_Point",IF(309=$NQ$17,$NM$17,0),IF($NO$17="Bell_Curve",$NM$17*(309-$NQ$17+1)*($NR$17-309+1)/$NT$17,$NM$17/$NS$17)),0)</f>
        <v/>
      </c>
      <c r="LA17" s="18">
        <f>IF(AND(310&gt;=$NQ$17,310&lt;=$NR$17),IF($NO$17="Single_Point",IF(310=$NQ$17,$NM$17,0),IF($NO$17="Bell_Curve",$NM$17*(310-$NQ$17+1)*($NR$17-310+1)/$NT$17,$NM$17/$NS$17)),0)</f>
        <v/>
      </c>
      <c r="LB17" s="18">
        <f>IF(AND(311&gt;=$NQ$17,311&lt;=$NR$17),IF($NO$17="Single_Point",IF(311=$NQ$17,$NM$17,0),IF($NO$17="Bell_Curve",$NM$17*(311-$NQ$17+1)*($NR$17-311+1)/$NT$17,$NM$17/$NS$17)),0)</f>
        <v/>
      </c>
      <c r="LC17" s="18">
        <f>IF(AND(312&gt;=$NQ$17,312&lt;=$NR$17),IF($NO$17="Single_Point",IF(312=$NQ$17,$NM$17,0),IF($NO$17="Bell_Curve",$NM$17*(312-$NQ$17+1)*($NR$17-312+1)/$NT$17,$NM$17/$NS$17)),0)</f>
        <v/>
      </c>
      <c r="LD17" s="18">
        <f>IF(AND(313&gt;=$NQ$17,313&lt;=$NR$17),IF($NO$17="Single_Point",IF(313=$NQ$17,$NM$17,0),IF($NO$17="Bell_Curve",$NM$17*(313-$NQ$17+1)*($NR$17-313+1)/$NT$17,$NM$17/$NS$17)),0)</f>
        <v/>
      </c>
      <c r="LE17" s="18">
        <f>IF(AND(314&gt;=$NQ$17,314&lt;=$NR$17),IF($NO$17="Single_Point",IF(314=$NQ$17,$NM$17,0),IF($NO$17="Bell_Curve",$NM$17*(314-$NQ$17+1)*($NR$17-314+1)/$NT$17,$NM$17/$NS$17)),0)</f>
        <v/>
      </c>
      <c r="LF17" s="18">
        <f>IF(AND(315&gt;=$NQ$17,315&lt;=$NR$17),IF($NO$17="Single_Point",IF(315=$NQ$17,$NM$17,0),IF($NO$17="Bell_Curve",$NM$17*(315-$NQ$17+1)*($NR$17-315+1)/$NT$17,$NM$17/$NS$17)),0)</f>
        <v/>
      </c>
      <c r="LG17" s="18">
        <f>IF(AND(316&gt;=$NQ$17,316&lt;=$NR$17),IF($NO$17="Single_Point",IF(316=$NQ$17,$NM$17,0),IF($NO$17="Bell_Curve",$NM$17*(316-$NQ$17+1)*($NR$17-316+1)/$NT$17,$NM$17/$NS$17)),0)</f>
        <v/>
      </c>
      <c r="LH17" s="18">
        <f>IF(AND(317&gt;=$NQ$17,317&lt;=$NR$17),IF($NO$17="Single_Point",IF(317=$NQ$17,$NM$17,0),IF($NO$17="Bell_Curve",$NM$17*(317-$NQ$17+1)*($NR$17-317+1)/$NT$17,$NM$17/$NS$17)),0)</f>
        <v/>
      </c>
      <c r="LI17" s="18">
        <f>IF(AND(318&gt;=$NQ$17,318&lt;=$NR$17),IF($NO$17="Single_Point",IF(318=$NQ$17,$NM$17,0),IF($NO$17="Bell_Curve",$NM$17*(318-$NQ$17+1)*($NR$17-318+1)/$NT$17,$NM$17/$NS$17)),0)</f>
        <v/>
      </c>
      <c r="LJ17" s="18">
        <f>IF(AND(319&gt;=$NQ$17,319&lt;=$NR$17),IF($NO$17="Single_Point",IF(319=$NQ$17,$NM$17,0),IF($NO$17="Bell_Curve",$NM$17*(319-$NQ$17+1)*($NR$17-319+1)/$NT$17,$NM$17/$NS$17)),0)</f>
        <v/>
      </c>
      <c r="LK17" s="18">
        <f>IF(AND(320&gt;=$NQ$17,320&lt;=$NR$17),IF($NO$17="Single_Point",IF(320=$NQ$17,$NM$17,0),IF($NO$17="Bell_Curve",$NM$17*(320-$NQ$17+1)*($NR$17-320+1)/$NT$17,$NM$17/$NS$17)),0)</f>
        <v/>
      </c>
      <c r="LL17" s="18">
        <f>IF(AND(321&gt;=$NQ$17,321&lt;=$NR$17),IF($NO$17="Single_Point",IF(321=$NQ$17,$NM$17,0),IF($NO$17="Bell_Curve",$NM$17*(321-$NQ$17+1)*($NR$17-321+1)/$NT$17,$NM$17/$NS$17)),0)</f>
        <v/>
      </c>
      <c r="LM17" s="18">
        <f>IF(AND(322&gt;=$NQ$17,322&lt;=$NR$17),IF($NO$17="Single_Point",IF(322=$NQ$17,$NM$17,0),IF($NO$17="Bell_Curve",$NM$17*(322-$NQ$17+1)*($NR$17-322+1)/$NT$17,$NM$17/$NS$17)),0)</f>
        <v/>
      </c>
      <c r="LN17" s="18">
        <f>IF(AND(323&gt;=$NQ$17,323&lt;=$NR$17),IF($NO$17="Single_Point",IF(323=$NQ$17,$NM$17,0),IF($NO$17="Bell_Curve",$NM$17*(323-$NQ$17+1)*($NR$17-323+1)/$NT$17,$NM$17/$NS$17)),0)</f>
        <v/>
      </c>
      <c r="LO17" s="18">
        <f>IF(AND(324&gt;=$NQ$17,324&lt;=$NR$17),IF($NO$17="Single_Point",IF(324=$NQ$17,$NM$17,0),IF($NO$17="Bell_Curve",$NM$17*(324-$NQ$17+1)*($NR$17-324+1)/$NT$17,$NM$17/$NS$17)),0)</f>
        <v/>
      </c>
      <c r="LP17" s="18">
        <f>IF(AND(325&gt;=$NQ$17,325&lt;=$NR$17),IF($NO$17="Single_Point",IF(325=$NQ$17,$NM$17,0),IF($NO$17="Bell_Curve",$NM$17*(325-$NQ$17+1)*($NR$17-325+1)/$NT$17,$NM$17/$NS$17)),0)</f>
        <v/>
      </c>
      <c r="LQ17" s="18">
        <f>IF(AND(326&gt;=$NQ$17,326&lt;=$NR$17),IF($NO$17="Single_Point",IF(326=$NQ$17,$NM$17,0),IF($NO$17="Bell_Curve",$NM$17*(326-$NQ$17+1)*($NR$17-326+1)/$NT$17,$NM$17/$NS$17)),0)</f>
        <v/>
      </c>
      <c r="LR17" s="18">
        <f>IF(AND(327&gt;=$NQ$17,327&lt;=$NR$17),IF($NO$17="Single_Point",IF(327=$NQ$17,$NM$17,0),IF($NO$17="Bell_Curve",$NM$17*(327-$NQ$17+1)*($NR$17-327+1)/$NT$17,$NM$17/$NS$17)),0)</f>
        <v/>
      </c>
      <c r="LS17" s="18">
        <f>IF(AND(328&gt;=$NQ$17,328&lt;=$NR$17),IF($NO$17="Single_Point",IF(328=$NQ$17,$NM$17,0),IF($NO$17="Bell_Curve",$NM$17*(328-$NQ$17+1)*($NR$17-328+1)/$NT$17,$NM$17/$NS$17)),0)</f>
        <v/>
      </c>
      <c r="LT17" s="18">
        <f>IF(AND(329&gt;=$NQ$17,329&lt;=$NR$17),IF($NO$17="Single_Point",IF(329=$NQ$17,$NM$17,0),IF($NO$17="Bell_Curve",$NM$17*(329-$NQ$17+1)*($NR$17-329+1)/$NT$17,$NM$17/$NS$17)),0)</f>
        <v/>
      </c>
      <c r="LU17" s="18">
        <f>IF(AND(330&gt;=$NQ$17,330&lt;=$NR$17),IF($NO$17="Single_Point",IF(330=$NQ$17,$NM$17,0),IF($NO$17="Bell_Curve",$NM$17*(330-$NQ$17+1)*($NR$17-330+1)/$NT$17,$NM$17/$NS$17)),0)</f>
        <v/>
      </c>
      <c r="LV17" s="18">
        <f>IF(AND(331&gt;=$NQ$17,331&lt;=$NR$17),IF($NO$17="Single_Point",IF(331=$NQ$17,$NM$17,0),IF($NO$17="Bell_Curve",$NM$17*(331-$NQ$17+1)*($NR$17-331+1)/$NT$17,$NM$17/$NS$17)),0)</f>
        <v/>
      </c>
      <c r="LW17" s="18">
        <f>IF(AND(332&gt;=$NQ$17,332&lt;=$NR$17),IF($NO$17="Single_Point",IF(332=$NQ$17,$NM$17,0),IF($NO$17="Bell_Curve",$NM$17*(332-$NQ$17+1)*($NR$17-332+1)/$NT$17,$NM$17/$NS$17)),0)</f>
        <v/>
      </c>
      <c r="LX17" s="18">
        <f>IF(AND(333&gt;=$NQ$17,333&lt;=$NR$17),IF($NO$17="Single_Point",IF(333=$NQ$17,$NM$17,0),IF($NO$17="Bell_Curve",$NM$17*(333-$NQ$17+1)*($NR$17-333+1)/$NT$17,$NM$17/$NS$17)),0)</f>
        <v/>
      </c>
      <c r="LY17" s="18">
        <f>IF(AND(334&gt;=$NQ$17,334&lt;=$NR$17),IF($NO$17="Single_Point",IF(334=$NQ$17,$NM$17,0),IF($NO$17="Bell_Curve",$NM$17*(334-$NQ$17+1)*($NR$17-334+1)/$NT$17,$NM$17/$NS$17)),0)</f>
        <v/>
      </c>
      <c r="LZ17" s="18">
        <f>IF(AND(335&gt;=$NQ$17,335&lt;=$NR$17),IF($NO$17="Single_Point",IF(335=$NQ$17,$NM$17,0),IF($NO$17="Bell_Curve",$NM$17*(335-$NQ$17+1)*($NR$17-335+1)/$NT$17,$NM$17/$NS$17)),0)</f>
        <v/>
      </c>
      <c r="MA17" s="18">
        <f>IF(AND(336&gt;=$NQ$17,336&lt;=$NR$17),IF($NO$17="Single_Point",IF(336=$NQ$17,$NM$17,0),IF($NO$17="Bell_Curve",$NM$17*(336-$NQ$17+1)*($NR$17-336+1)/$NT$17,$NM$17/$NS$17)),0)</f>
        <v/>
      </c>
      <c r="MB17" s="18">
        <f>IF(AND(337&gt;=$NQ$17,337&lt;=$NR$17),IF($NO$17="Single_Point",IF(337=$NQ$17,$NM$17,0),IF($NO$17="Bell_Curve",$NM$17*(337-$NQ$17+1)*($NR$17-337+1)/$NT$17,$NM$17/$NS$17)),0)</f>
        <v/>
      </c>
      <c r="MC17" s="18">
        <f>IF(AND(338&gt;=$NQ$17,338&lt;=$NR$17),IF($NO$17="Single_Point",IF(338=$NQ$17,$NM$17,0),IF($NO$17="Bell_Curve",$NM$17*(338-$NQ$17+1)*($NR$17-338+1)/$NT$17,$NM$17/$NS$17)),0)</f>
        <v/>
      </c>
      <c r="MD17" s="18">
        <f>IF(AND(339&gt;=$NQ$17,339&lt;=$NR$17),IF($NO$17="Single_Point",IF(339=$NQ$17,$NM$17,0),IF($NO$17="Bell_Curve",$NM$17*(339-$NQ$17+1)*($NR$17-339+1)/$NT$17,$NM$17/$NS$17)),0)</f>
        <v/>
      </c>
      <c r="ME17" s="18">
        <f>IF(AND(340&gt;=$NQ$17,340&lt;=$NR$17),IF($NO$17="Single_Point",IF(340=$NQ$17,$NM$17,0),IF($NO$17="Bell_Curve",$NM$17*(340-$NQ$17+1)*($NR$17-340+1)/$NT$17,$NM$17/$NS$17)),0)</f>
        <v/>
      </c>
      <c r="MF17" s="18">
        <f>IF(AND(341&gt;=$NQ$17,341&lt;=$NR$17),IF($NO$17="Single_Point",IF(341=$NQ$17,$NM$17,0),IF($NO$17="Bell_Curve",$NM$17*(341-$NQ$17+1)*($NR$17-341+1)/$NT$17,$NM$17/$NS$17)),0)</f>
        <v/>
      </c>
      <c r="MG17" s="18">
        <f>IF(AND(342&gt;=$NQ$17,342&lt;=$NR$17),IF($NO$17="Single_Point",IF(342=$NQ$17,$NM$17,0),IF($NO$17="Bell_Curve",$NM$17*(342-$NQ$17+1)*($NR$17-342+1)/$NT$17,$NM$17/$NS$17)),0)</f>
        <v/>
      </c>
      <c r="MH17" s="18">
        <f>IF(AND(343&gt;=$NQ$17,343&lt;=$NR$17),IF($NO$17="Single_Point",IF(343=$NQ$17,$NM$17,0),IF($NO$17="Bell_Curve",$NM$17*(343-$NQ$17+1)*($NR$17-343+1)/$NT$17,$NM$17/$NS$17)),0)</f>
        <v/>
      </c>
      <c r="MI17" s="18">
        <f>IF(AND(344&gt;=$NQ$17,344&lt;=$NR$17),IF($NO$17="Single_Point",IF(344=$NQ$17,$NM$17,0),IF($NO$17="Bell_Curve",$NM$17*(344-$NQ$17+1)*($NR$17-344+1)/$NT$17,$NM$17/$NS$17)),0)</f>
        <v/>
      </c>
      <c r="MJ17" s="18">
        <f>IF(AND(345&gt;=$NQ$17,345&lt;=$NR$17),IF($NO$17="Single_Point",IF(345=$NQ$17,$NM$17,0),IF($NO$17="Bell_Curve",$NM$17*(345-$NQ$17+1)*($NR$17-345+1)/$NT$17,$NM$17/$NS$17)),0)</f>
        <v/>
      </c>
      <c r="MK17" s="18">
        <f>IF(AND(346&gt;=$NQ$17,346&lt;=$NR$17),IF($NO$17="Single_Point",IF(346=$NQ$17,$NM$17,0),IF($NO$17="Bell_Curve",$NM$17*(346-$NQ$17+1)*($NR$17-346+1)/$NT$17,$NM$17/$NS$17)),0)</f>
        <v/>
      </c>
      <c r="ML17" s="18">
        <f>IF(AND(347&gt;=$NQ$17,347&lt;=$NR$17),IF($NO$17="Single_Point",IF(347=$NQ$17,$NM$17,0),IF($NO$17="Bell_Curve",$NM$17*(347-$NQ$17+1)*($NR$17-347+1)/$NT$17,$NM$17/$NS$17)),0)</f>
        <v/>
      </c>
      <c r="MM17" s="18">
        <f>IF(AND(348&gt;=$NQ$17,348&lt;=$NR$17),IF($NO$17="Single_Point",IF(348=$NQ$17,$NM$17,0),IF($NO$17="Bell_Curve",$NM$17*(348-$NQ$17+1)*($NR$17-348+1)/$NT$17,$NM$17/$NS$17)),0)</f>
        <v/>
      </c>
      <c r="MN17" s="18">
        <f>IF(AND(349&gt;=$NQ$17,349&lt;=$NR$17),IF($NO$17="Single_Point",IF(349=$NQ$17,$NM$17,0),IF($NO$17="Bell_Curve",$NM$17*(349-$NQ$17+1)*($NR$17-349+1)/$NT$17,$NM$17/$NS$17)),0)</f>
        <v/>
      </c>
      <c r="MO17" s="18">
        <f>IF(AND(350&gt;=$NQ$17,350&lt;=$NR$17),IF($NO$17="Single_Point",IF(350=$NQ$17,$NM$17,0),IF($NO$17="Bell_Curve",$NM$17*(350-$NQ$17+1)*($NR$17-350+1)/$NT$17,$NM$17/$NS$17)),0)</f>
        <v/>
      </c>
      <c r="MP17" s="18">
        <f>IF(AND(351&gt;=$NQ$17,351&lt;=$NR$17),IF($NO$17="Single_Point",IF(351=$NQ$17,$NM$17,0),IF($NO$17="Bell_Curve",$NM$17*(351-$NQ$17+1)*($NR$17-351+1)/$NT$17,$NM$17/$NS$17)),0)</f>
        <v/>
      </c>
      <c r="MQ17" s="18">
        <f>IF(AND(352&gt;=$NQ$17,352&lt;=$NR$17),IF($NO$17="Single_Point",IF(352=$NQ$17,$NM$17,0),IF($NO$17="Bell_Curve",$NM$17*(352-$NQ$17+1)*($NR$17-352+1)/$NT$17,$NM$17/$NS$17)),0)</f>
        <v/>
      </c>
      <c r="MR17" s="18">
        <f>IF(AND(353&gt;=$NQ$17,353&lt;=$NR$17),IF($NO$17="Single_Point",IF(353=$NQ$17,$NM$17,0),IF($NO$17="Bell_Curve",$NM$17*(353-$NQ$17+1)*($NR$17-353+1)/$NT$17,$NM$17/$NS$17)),0)</f>
        <v/>
      </c>
      <c r="MS17" s="18">
        <f>IF(AND(354&gt;=$NQ$17,354&lt;=$NR$17),IF($NO$17="Single_Point",IF(354=$NQ$17,$NM$17,0),IF($NO$17="Bell_Curve",$NM$17*(354-$NQ$17+1)*($NR$17-354+1)/$NT$17,$NM$17/$NS$17)),0)</f>
        <v/>
      </c>
      <c r="MT17" s="18">
        <f>IF(AND(355&gt;=$NQ$17,355&lt;=$NR$17),IF($NO$17="Single_Point",IF(355=$NQ$17,$NM$17,0),IF($NO$17="Bell_Curve",$NM$17*(355-$NQ$17+1)*($NR$17-355+1)/$NT$17,$NM$17/$NS$17)),0)</f>
        <v/>
      </c>
      <c r="MU17" s="18">
        <f>IF(AND(356&gt;=$NQ$17,356&lt;=$NR$17),IF($NO$17="Single_Point",IF(356=$NQ$17,$NM$17,0),IF($NO$17="Bell_Curve",$NM$17*(356-$NQ$17+1)*($NR$17-356+1)/$NT$17,$NM$17/$NS$17)),0)</f>
        <v/>
      </c>
      <c r="MV17" s="18">
        <f>IF(AND(357&gt;=$NQ$17,357&lt;=$NR$17),IF($NO$17="Single_Point",IF(357=$NQ$17,$NM$17,0),IF($NO$17="Bell_Curve",$NM$17*(357-$NQ$17+1)*($NR$17-357+1)/$NT$17,$NM$17/$NS$17)),0)</f>
        <v/>
      </c>
      <c r="MW17" s="18">
        <f>IF(AND(358&gt;=$NQ$17,358&lt;=$NR$17),IF($NO$17="Single_Point",IF(358=$NQ$17,$NM$17,0),IF($NO$17="Bell_Curve",$NM$17*(358-$NQ$17+1)*($NR$17-358+1)/$NT$17,$NM$17/$NS$17)),0)</f>
        <v/>
      </c>
      <c r="MX17" s="18">
        <f>IF(AND(359&gt;=$NQ$17,359&lt;=$NR$17),IF($NO$17="Single_Point",IF(359=$NQ$17,$NM$17,0),IF($NO$17="Bell_Curve",$NM$17*(359-$NQ$17+1)*($NR$17-359+1)/$NT$17,$NM$17/$NS$17)),0)</f>
        <v/>
      </c>
      <c r="MY17" s="18">
        <f>IF(AND(360&gt;=$NQ$17,360&lt;=$NR$17),IF($NO$17="Single_Point",IF(360=$NQ$17,$NM$17,0),IF($NO$17="Bell_Curve",$NM$17*(360-$NQ$17+1)*($NR$17-360+1)/$NT$17,$NM$17/$NS$17)),0)</f>
        <v/>
      </c>
      <c r="MZ17" s="18">
        <f>IF(AND(361&gt;=$NQ$17,361&lt;=$NR$17),IF($NO$17="Single_Point",IF(361=$NQ$17,$NM$17,0),IF($NO$17="Bell_Curve",$NM$17*(361-$NQ$17+1)*($NR$17-361+1)/$NT$17,$NM$17/$NS$17)),0)</f>
        <v/>
      </c>
      <c r="NA17" s="18">
        <f>IF(AND(362&gt;=$NQ$17,362&lt;=$NR$17),IF($NO$17="Single_Point",IF(362=$NQ$17,$NM$17,0),IF($NO$17="Bell_Curve",$NM$17*(362-$NQ$17+1)*($NR$17-362+1)/$NT$17,$NM$17/$NS$17)),0)</f>
        <v/>
      </c>
      <c r="NB17" s="18">
        <f>IF(AND(363&gt;=$NQ$17,363&lt;=$NR$17),IF($NO$17="Single_Point",IF(363=$NQ$17,$NM$17,0),IF($NO$17="Bell_Curve",$NM$17*(363-$NQ$17+1)*($NR$17-363+1)/$NT$17,$NM$17/$NS$17)),0)</f>
        <v/>
      </c>
      <c r="NC17" s="18">
        <f>IF(AND(364&gt;=$NQ$17,364&lt;=$NR$17),IF($NO$17="Single_Point",IF(364=$NQ$17,$NM$17,0),IF($NO$17="Bell_Curve",$NM$17*(364-$NQ$17+1)*($NR$17-364+1)/$NT$17,$NM$17/$NS$17)),0)</f>
        <v/>
      </c>
      <c r="ND17" s="18">
        <f>IF(AND(365&gt;=$NQ$17,365&lt;=$NR$17),IF($NO$17="Single_Point",IF(365=$NQ$17,$NM$17,0),IF($NO$17="Bell_Curve",$NM$17*(365-$NQ$17+1)*($NR$17-365+1)/$NT$17,$NM$17/$NS$17)),0)</f>
        <v/>
      </c>
      <c r="NE17" s="18">
        <f>IF(AND(366&gt;=$NQ$17,366&lt;=$NR$17),IF($NO$17="Single_Point",IF(366=$NQ$17,$NM$17,0),IF($NO$17="Bell_Curve",$NM$17*(366-$NQ$17+1)*($NR$17-366+1)/$NT$17,$NM$17/$NS$17)),0)</f>
        <v/>
      </c>
      <c r="NF17" s="18">
        <f>IF(AND(367&gt;=$NQ$17,367&lt;=$NR$17),IF($NO$17="Single_Point",IF(367=$NQ$17,$NM$17,0),IF($NO$17="Bell_Curve",$NM$17*(367-$NQ$17+1)*($NR$17-367+1)/$NT$17,$NM$17/$NS$17)),0)</f>
        <v/>
      </c>
      <c r="NG17" s="18">
        <f>IF(AND(368&gt;=$NQ$17,368&lt;=$NR$17),IF($NO$17="Single_Point",IF(368=$NQ$17,$NM$17,0),IF($NO$17="Bell_Curve",$NM$17*(368-$NQ$17+1)*($NR$17-368+1)/$NT$17,$NM$17/$NS$17)),0)</f>
        <v/>
      </c>
      <c r="NH17" s="18">
        <f>IF(AND(369&gt;=$NQ$17,369&lt;=$NR$17),IF($NO$17="Single_Point",IF(369=$NQ$17,$NM$17,0),IF($NO$17="Bell_Curve",$NM$17*(369-$NQ$17+1)*($NR$17-369+1)/$NT$17,$NM$17/$NS$17)),0)</f>
        <v/>
      </c>
      <c r="NI17" s="18">
        <f>IF(AND(370&gt;=$NQ$17,370&lt;=$NR$17),IF($NO$17="Single_Point",IF(370=$NQ$17,$NM$17,0),IF($NO$17="Bell_Curve",$NM$17*(370-$NQ$17+1)*($NR$17-370+1)/$NT$17,$NM$17/$NS$17)),0)</f>
        <v/>
      </c>
      <c r="NJ17" s="18">
        <f>IF(AND(371&gt;=$NQ$17,371&lt;=$NR$17),IF($NO$17="Single_Point",IF(371=$NQ$17,$NM$17,0),IF($NO$17="Bell_Curve",$NM$17*(371-$NQ$17+1)*($NR$17-371+1)/$NT$17,$NM$17/$NS$17)),0)</f>
        <v/>
      </c>
      <c r="NK17" s="18">
        <f>IF(AND(372&gt;=$NQ$17,372&lt;=$NR$17),IF($NO$17="Single_Point",IF(372=$NQ$17,$NM$17,0),IF($NO$17="Bell_Curve",$NM$17*(372-$NQ$17+1)*($NR$17-372+1)/$NT$17,$NM$17/$NS$17)),0)</f>
        <v/>
      </c>
      <c r="NM17" s="18">
        <f>Budget!I16</f>
        <v/>
      </c>
      <c r="NN17" s="42">
        <f>Budget!F16</f>
        <v/>
      </c>
      <c r="NO17" s="42">
        <f>Budget!G16</f>
        <v/>
      </c>
      <c r="NP17" s="17">
        <f>Budget!H16</f>
        <v/>
      </c>
      <c r="NQ17" s="32">
        <f>MAX(1,MIN(372,INDEX(MilestoneStart,MATCH(NN17,MilestoneNames,0))+NP17))</f>
        <v/>
      </c>
      <c r="NR17" s="32">
        <f>MAX(NQ17,MIN(372,INDEX(MilestoneEnd,MATCH(NN17,MilestoneNames,0))+NP17))</f>
        <v/>
      </c>
      <c r="NS17" s="17">
        <f>NR17-NQ17+1</f>
        <v/>
      </c>
      <c r="NT17" s="17">
        <f>NS17*(NS17+1)*(NS17+2)/6</f>
        <v/>
      </c>
    </row>
    <row r="18">
      <c r="A18" s="5" t="inlineStr">
        <is>
          <t>Builder's Risk</t>
        </is>
      </c>
      <c r="C18" s="41">
        <f>SUM(D18:NK18)</f>
        <v/>
      </c>
      <c r="D18" s="18">
        <f>IF(AND(1&gt;=$NQ$18,1&lt;=$NR$18),IF($NO$18="Single_Point",IF(1=$NQ$18,$NM$18,0),IF($NO$18="Bell_Curve",$NM$18*(1-$NQ$18+1)*($NR$18-1+1)/$NT$18,$NM$18/$NS$18)),0)</f>
        <v/>
      </c>
      <c r="E18" s="18">
        <f>IF(AND(2&gt;=$NQ$18,2&lt;=$NR$18),IF($NO$18="Single_Point",IF(2=$NQ$18,$NM$18,0),IF($NO$18="Bell_Curve",$NM$18*(2-$NQ$18+1)*($NR$18-2+1)/$NT$18,$NM$18/$NS$18)),0)</f>
        <v/>
      </c>
      <c r="F18" s="18">
        <f>IF(AND(3&gt;=$NQ$18,3&lt;=$NR$18),IF($NO$18="Single_Point",IF(3=$NQ$18,$NM$18,0),IF($NO$18="Bell_Curve",$NM$18*(3-$NQ$18+1)*($NR$18-3+1)/$NT$18,$NM$18/$NS$18)),0)</f>
        <v/>
      </c>
      <c r="G18" s="18">
        <f>IF(AND(4&gt;=$NQ$18,4&lt;=$NR$18),IF($NO$18="Single_Point",IF(4=$NQ$18,$NM$18,0),IF($NO$18="Bell_Curve",$NM$18*(4-$NQ$18+1)*($NR$18-4+1)/$NT$18,$NM$18/$NS$18)),0)</f>
        <v/>
      </c>
      <c r="H18" s="18">
        <f>IF(AND(5&gt;=$NQ$18,5&lt;=$NR$18),IF($NO$18="Single_Point",IF(5=$NQ$18,$NM$18,0),IF($NO$18="Bell_Curve",$NM$18*(5-$NQ$18+1)*($NR$18-5+1)/$NT$18,$NM$18/$NS$18)),0)</f>
        <v/>
      </c>
      <c r="I18" s="18">
        <f>IF(AND(6&gt;=$NQ$18,6&lt;=$NR$18),IF($NO$18="Single_Point",IF(6=$NQ$18,$NM$18,0),IF($NO$18="Bell_Curve",$NM$18*(6-$NQ$18+1)*($NR$18-6+1)/$NT$18,$NM$18/$NS$18)),0)</f>
        <v/>
      </c>
      <c r="J18" s="18">
        <f>IF(AND(7&gt;=$NQ$18,7&lt;=$NR$18),IF($NO$18="Single_Point",IF(7=$NQ$18,$NM$18,0),IF($NO$18="Bell_Curve",$NM$18*(7-$NQ$18+1)*($NR$18-7+1)/$NT$18,$NM$18/$NS$18)),0)</f>
        <v/>
      </c>
      <c r="K18" s="18">
        <f>IF(AND(8&gt;=$NQ$18,8&lt;=$NR$18),IF($NO$18="Single_Point",IF(8=$NQ$18,$NM$18,0),IF($NO$18="Bell_Curve",$NM$18*(8-$NQ$18+1)*($NR$18-8+1)/$NT$18,$NM$18/$NS$18)),0)</f>
        <v/>
      </c>
      <c r="L18" s="18">
        <f>IF(AND(9&gt;=$NQ$18,9&lt;=$NR$18),IF($NO$18="Single_Point",IF(9=$NQ$18,$NM$18,0),IF($NO$18="Bell_Curve",$NM$18*(9-$NQ$18+1)*($NR$18-9+1)/$NT$18,$NM$18/$NS$18)),0)</f>
        <v/>
      </c>
      <c r="M18" s="18">
        <f>IF(AND(10&gt;=$NQ$18,10&lt;=$NR$18),IF($NO$18="Single_Point",IF(10=$NQ$18,$NM$18,0),IF($NO$18="Bell_Curve",$NM$18*(10-$NQ$18+1)*($NR$18-10+1)/$NT$18,$NM$18/$NS$18)),0)</f>
        <v/>
      </c>
      <c r="N18" s="18">
        <f>IF(AND(11&gt;=$NQ$18,11&lt;=$NR$18),IF($NO$18="Single_Point",IF(11=$NQ$18,$NM$18,0),IF($NO$18="Bell_Curve",$NM$18*(11-$NQ$18+1)*($NR$18-11+1)/$NT$18,$NM$18/$NS$18)),0)</f>
        <v/>
      </c>
      <c r="O18" s="18">
        <f>IF(AND(12&gt;=$NQ$18,12&lt;=$NR$18),IF($NO$18="Single_Point",IF(12=$NQ$18,$NM$18,0),IF($NO$18="Bell_Curve",$NM$18*(12-$NQ$18+1)*($NR$18-12+1)/$NT$18,$NM$18/$NS$18)),0)</f>
        <v/>
      </c>
      <c r="P18" s="18">
        <f>IF(AND(13&gt;=$NQ$18,13&lt;=$NR$18),IF($NO$18="Single_Point",IF(13=$NQ$18,$NM$18,0),IF($NO$18="Bell_Curve",$NM$18*(13-$NQ$18+1)*($NR$18-13+1)/$NT$18,$NM$18/$NS$18)),0)</f>
        <v/>
      </c>
      <c r="Q18" s="18">
        <f>IF(AND(14&gt;=$NQ$18,14&lt;=$NR$18),IF($NO$18="Single_Point",IF(14=$NQ$18,$NM$18,0),IF($NO$18="Bell_Curve",$NM$18*(14-$NQ$18+1)*($NR$18-14+1)/$NT$18,$NM$18/$NS$18)),0)</f>
        <v/>
      </c>
      <c r="R18" s="18">
        <f>IF(AND(15&gt;=$NQ$18,15&lt;=$NR$18),IF($NO$18="Single_Point",IF(15=$NQ$18,$NM$18,0),IF($NO$18="Bell_Curve",$NM$18*(15-$NQ$18+1)*($NR$18-15+1)/$NT$18,$NM$18/$NS$18)),0)</f>
        <v/>
      </c>
      <c r="S18" s="18">
        <f>IF(AND(16&gt;=$NQ$18,16&lt;=$NR$18),IF($NO$18="Single_Point",IF(16=$NQ$18,$NM$18,0),IF($NO$18="Bell_Curve",$NM$18*(16-$NQ$18+1)*($NR$18-16+1)/$NT$18,$NM$18/$NS$18)),0)</f>
        <v/>
      </c>
      <c r="T18" s="18">
        <f>IF(AND(17&gt;=$NQ$18,17&lt;=$NR$18),IF($NO$18="Single_Point",IF(17=$NQ$18,$NM$18,0),IF($NO$18="Bell_Curve",$NM$18*(17-$NQ$18+1)*($NR$18-17+1)/$NT$18,$NM$18/$NS$18)),0)</f>
        <v/>
      </c>
      <c r="U18" s="18">
        <f>IF(AND(18&gt;=$NQ$18,18&lt;=$NR$18),IF($NO$18="Single_Point",IF(18=$NQ$18,$NM$18,0),IF($NO$18="Bell_Curve",$NM$18*(18-$NQ$18+1)*($NR$18-18+1)/$NT$18,$NM$18/$NS$18)),0)</f>
        <v/>
      </c>
      <c r="V18" s="18">
        <f>IF(AND(19&gt;=$NQ$18,19&lt;=$NR$18),IF($NO$18="Single_Point",IF(19=$NQ$18,$NM$18,0),IF($NO$18="Bell_Curve",$NM$18*(19-$NQ$18+1)*($NR$18-19+1)/$NT$18,$NM$18/$NS$18)),0)</f>
        <v/>
      </c>
      <c r="W18" s="18">
        <f>IF(AND(20&gt;=$NQ$18,20&lt;=$NR$18),IF($NO$18="Single_Point",IF(20=$NQ$18,$NM$18,0),IF($NO$18="Bell_Curve",$NM$18*(20-$NQ$18+1)*($NR$18-20+1)/$NT$18,$NM$18/$NS$18)),0)</f>
        <v/>
      </c>
      <c r="X18" s="18">
        <f>IF(AND(21&gt;=$NQ$18,21&lt;=$NR$18),IF($NO$18="Single_Point",IF(21=$NQ$18,$NM$18,0),IF($NO$18="Bell_Curve",$NM$18*(21-$NQ$18+1)*($NR$18-21+1)/$NT$18,$NM$18/$NS$18)),0)</f>
        <v/>
      </c>
      <c r="Y18" s="18">
        <f>IF(AND(22&gt;=$NQ$18,22&lt;=$NR$18),IF($NO$18="Single_Point",IF(22=$NQ$18,$NM$18,0),IF($NO$18="Bell_Curve",$NM$18*(22-$NQ$18+1)*($NR$18-22+1)/$NT$18,$NM$18/$NS$18)),0)</f>
        <v/>
      </c>
      <c r="Z18" s="18">
        <f>IF(AND(23&gt;=$NQ$18,23&lt;=$NR$18),IF($NO$18="Single_Point",IF(23=$NQ$18,$NM$18,0),IF($NO$18="Bell_Curve",$NM$18*(23-$NQ$18+1)*($NR$18-23+1)/$NT$18,$NM$18/$NS$18)),0)</f>
        <v/>
      </c>
      <c r="AA18" s="18">
        <f>IF(AND(24&gt;=$NQ$18,24&lt;=$NR$18),IF($NO$18="Single_Point",IF(24=$NQ$18,$NM$18,0),IF($NO$18="Bell_Curve",$NM$18*(24-$NQ$18+1)*($NR$18-24+1)/$NT$18,$NM$18/$NS$18)),0)</f>
        <v/>
      </c>
      <c r="AB18" s="18">
        <f>IF(AND(25&gt;=$NQ$18,25&lt;=$NR$18),IF($NO$18="Single_Point",IF(25=$NQ$18,$NM$18,0),IF($NO$18="Bell_Curve",$NM$18*(25-$NQ$18+1)*($NR$18-25+1)/$NT$18,$NM$18/$NS$18)),0)</f>
        <v/>
      </c>
      <c r="AC18" s="18">
        <f>IF(AND(26&gt;=$NQ$18,26&lt;=$NR$18),IF($NO$18="Single_Point",IF(26=$NQ$18,$NM$18,0),IF($NO$18="Bell_Curve",$NM$18*(26-$NQ$18+1)*($NR$18-26+1)/$NT$18,$NM$18/$NS$18)),0)</f>
        <v/>
      </c>
      <c r="AD18" s="18">
        <f>IF(AND(27&gt;=$NQ$18,27&lt;=$NR$18),IF($NO$18="Single_Point",IF(27=$NQ$18,$NM$18,0),IF($NO$18="Bell_Curve",$NM$18*(27-$NQ$18+1)*($NR$18-27+1)/$NT$18,$NM$18/$NS$18)),0)</f>
        <v/>
      </c>
      <c r="AE18" s="18">
        <f>IF(AND(28&gt;=$NQ$18,28&lt;=$NR$18),IF($NO$18="Single_Point",IF(28=$NQ$18,$NM$18,0),IF($NO$18="Bell_Curve",$NM$18*(28-$NQ$18+1)*($NR$18-28+1)/$NT$18,$NM$18/$NS$18)),0)</f>
        <v/>
      </c>
      <c r="AF18" s="18">
        <f>IF(AND(29&gt;=$NQ$18,29&lt;=$NR$18),IF($NO$18="Single_Point",IF(29=$NQ$18,$NM$18,0),IF($NO$18="Bell_Curve",$NM$18*(29-$NQ$18+1)*($NR$18-29+1)/$NT$18,$NM$18/$NS$18)),0)</f>
        <v/>
      </c>
      <c r="AG18" s="18">
        <f>IF(AND(30&gt;=$NQ$18,30&lt;=$NR$18),IF($NO$18="Single_Point",IF(30=$NQ$18,$NM$18,0),IF($NO$18="Bell_Curve",$NM$18*(30-$NQ$18+1)*($NR$18-30+1)/$NT$18,$NM$18/$NS$18)),0)</f>
        <v/>
      </c>
      <c r="AH18" s="18">
        <f>IF(AND(31&gt;=$NQ$18,31&lt;=$NR$18),IF($NO$18="Single_Point",IF(31=$NQ$18,$NM$18,0),IF($NO$18="Bell_Curve",$NM$18*(31-$NQ$18+1)*($NR$18-31+1)/$NT$18,$NM$18/$NS$18)),0)</f>
        <v/>
      </c>
      <c r="AI18" s="18">
        <f>IF(AND(32&gt;=$NQ$18,32&lt;=$NR$18),IF($NO$18="Single_Point",IF(32=$NQ$18,$NM$18,0),IF($NO$18="Bell_Curve",$NM$18*(32-$NQ$18+1)*($NR$18-32+1)/$NT$18,$NM$18/$NS$18)),0)</f>
        <v/>
      </c>
      <c r="AJ18" s="18">
        <f>IF(AND(33&gt;=$NQ$18,33&lt;=$NR$18),IF($NO$18="Single_Point",IF(33=$NQ$18,$NM$18,0),IF($NO$18="Bell_Curve",$NM$18*(33-$NQ$18+1)*($NR$18-33+1)/$NT$18,$NM$18/$NS$18)),0)</f>
        <v/>
      </c>
      <c r="AK18" s="18">
        <f>IF(AND(34&gt;=$NQ$18,34&lt;=$NR$18),IF($NO$18="Single_Point",IF(34=$NQ$18,$NM$18,0),IF($NO$18="Bell_Curve",$NM$18*(34-$NQ$18+1)*($NR$18-34+1)/$NT$18,$NM$18/$NS$18)),0)</f>
        <v/>
      </c>
      <c r="AL18" s="18">
        <f>IF(AND(35&gt;=$NQ$18,35&lt;=$NR$18),IF($NO$18="Single_Point",IF(35=$NQ$18,$NM$18,0),IF($NO$18="Bell_Curve",$NM$18*(35-$NQ$18+1)*($NR$18-35+1)/$NT$18,$NM$18/$NS$18)),0)</f>
        <v/>
      </c>
      <c r="AM18" s="18">
        <f>IF(AND(36&gt;=$NQ$18,36&lt;=$NR$18),IF($NO$18="Single_Point",IF(36=$NQ$18,$NM$18,0),IF($NO$18="Bell_Curve",$NM$18*(36-$NQ$18+1)*($NR$18-36+1)/$NT$18,$NM$18/$NS$18)),0)</f>
        <v/>
      </c>
      <c r="AN18" s="18">
        <f>IF(AND(37&gt;=$NQ$18,37&lt;=$NR$18),IF($NO$18="Single_Point",IF(37=$NQ$18,$NM$18,0),IF($NO$18="Bell_Curve",$NM$18*(37-$NQ$18+1)*($NR$18-37+1)/$NT$18,$NM$18/$NS$18)),0)</f>
        <v/>
      </c>
      <c r="AO18" s="18">
        <f>IF(AND(38&gt;=$NQ$18,38&lt;=$NR$18),IF($NO$18="Single_Point",IF(38=$NQ$18,$NM$18,0),IF($NO$18="Bell_Curve",$NM$18*(38-$NQ$18+1)*($NR$18-38+1)/$NT$18,$NM$18/$NS$18)),0)</f>
        <v/>
      </c>
      <c r="AP18" s="18">
        <f>IF(AND(39&gt;=$NQ$18,39&lt;=$NR$18),IF($NO$18="Single_Point",IF(39=$NQ$18,$NM$18,0),IF($NO$18="Bell_Curve",$NM$18*(39-$NQ$18+1)*($NR$18-39+1)/$NT$18,$NM$18/$NS$18)),0)</f>
        <v/>
      </c>
      <c r="AQ18" s="18">
        <f>IF(AND(40&gt;=$NQ$18,40&lt;=$NR$18),IF($NO$18="Single_Point",IF(40=$NQ$18,$NM$18,0),IF($NO$18="Bell_Curve",$NM$18*(40-$NQ$18+1)*($NR$18-40+1)/$NT$18,$NM$18/$NS$18)),0)</f>
        <v/>
      </c>
      <c r="AR18" s="18">
        <f>IF(AND(41&gt;=$NQ$18,41&lt;=$NR$18),IF($NO$18="Single_Point",IF(41=$NQ$18,$NM$18,0),IF($NO$18="Bell_Curve",$NM$18*(41-$NQ$18+1)*($NR$18-41+1)/$NT$18,$NM$18/$NS$18)),0)</f>
        <v/>
      </c>
      <c r="AS18" s="18">
        <f>IF(AND(42&gt;=$NQ$18,42&lt;=$NR$18),IF($NO$18="Single_Point",IF(42=$NQ$18,$NM$18,0),IF($NO$18="Bell_Curve",$NM$18*(42-$NQ$18+1)*($NR$18-42+1)/$NT$18,$NM$18/$NS$18)),0)</f>
        <v/>
      </c>
      <c r="AT18" s="18">
        <f>IF(AND(43&gt;=$NQ$18,43&lt;=$NR$18),IF($NO$18="Single_Point",IF(43=$NQ$18,$NM$18,0),IF($NO$18="Bell_Curve",$NM$18*(43-$NQ$18+1)*($NR$18-43+1)/$NT$18,$NM$18/$NS$18)),0)</f>
        <v/>
      </c>
      <c r="AU18" s="18">
        <f>IF(AND(44&gt;=$NQ$18,44&lt;=$NR$18),IF($NO$18="Single_Point",IF(44=$NQ$18,$NM$18,0),IF($NO$18="Bell_Curve",$NM$18*(44-$NQ$18+1)*($NR$18-44+1)/$NT$18,$NM$18/$NS$18)),0)</f>
        <v/>
      </c>
      <c r="AV18" s="18">
        <f>IF(AND(45&gt;=$NQ$18,45&lt;=$NR$18),IF($NO$18="Single_Point",IF(45=$NQ$18,$NM$18,0),IF($NO$18="Bell_Curve",$NM$18*(45-$NQ$18+1)*($NR$18-45+1)/$NT$18,$NM$18/$NS$18)),0)</f>
        <v/>
      </c>
      <c r="AW18" s="18">
        <f>IF(AND(46&gt;=$NQ$18,46&lt;=$NR$18),IF($NO$18="Single_Point",IF(46=$NQ$18,$NM$18,0),IF($NO$18="Bell_Curve",$NM$18*(46-$NQ$18+1)*($NR$18-46+1)/$NT$18,$NM$18/$NS$18)),0)</f>
        <v/>
      </c>
      <c r="AX18" s="18">
        <f>IF(AND(47&gt;=$NQ$18,47&lt;=$NR$18),IF($NO$18="Single_Point",IF(47=$NQ$18,$NM$18,0),IF($NO$18="Bell_Curve",$NM$18*(47-$NQ$18+1)*($NR$18-47+1)/$NT$18,$NM$18/$NS$18)),0)</f>
        <v/>
      </c>
      <c r="AY18" s="18">
        <f>IF(AND(48&gt;=$NQ$18,48&lt;=$NR$18),IF($NO$18="Single_Point",IF(48=$NQ$18,$NM$18,0),IF($NO$18="Bell_Curve",$NM$18*(48-$NQ$18+1)*($NR$18-48+1)/$NT$18,$NM$18/$NS$18)),0)</f>
        <v/>
      </c>
      <c r="AZ18" s="18">
        <f>IF(AND(49&gt;=$NQ$18,49&lt;=$NR$18),IF($NO$18="Single_Point",IF(49=$NQ$18,$NM$18,0),IF($NO$18="Bell_Curve",$NM$18*(49-$NQ$18+1)*($NR$18-49+1)/$NT$18,$NM$18/$NS$18)),0)</f>
        <v/>
      </c>
      <c r="BA18" s="18">
        <f>IF(AND(50&gt;=$NQ$18,50&lt;=$NR$18),IF($NO$18="Single_Point",IF(50=$NQ$18,$NM$18,0),IF($NO$18="Bell_Curve",$NM$18*(50-$NQ$18+1)*($NR$18-50+1)/$NT$18,$NM$18/$NS$18)),0)</f>
        <v/>
      </c>
      <c r="BB18" s="18">
        <f>IF(AND(51&gt;=$NQ$18,51&lt;=$NR$18),IF($NO$18="Single_Point",IF(51=$NQ$18,$NM$18,0),IF($NO$18="Bell_Curve",$NM$18*(51-$NQ$18+1)*($NR$18-51+1)/$NT$18,$NM$18/$NS$18)),0)</f>
        <v/>
      </c>
      <c r="BC18" s="18">
        <f>IF(AND(52&gt;=$NQ$18,52&lt;=$NR$18),IF($NO$18="Single_Point",IF(52=$NQ$18,$NM$18,0),IF($NO$18="Bell_Curve",$NM$18*(52-$NQ$18+1)*($NR$18-52+1)/$NT$18,$NM$18/$NS$18)),0)</f>
        <v/>
      </c>
      <c r="BD18" s="18">
        <f>IF(AND(53&gt;=$NQ$18,53&lt;=$NR$18),IF($NO$18="Single_Point",IF(53=$NQ$18,$NM$18,0),IF($NO$18="Bell_Curve",$NM$18*(53-$NQ$18+1)*($NR$18-53+1)/$NT$18,$NM$18/$NS$18)),0)</f>
        <v/>
      </c>
      <c r="BE18" s="18">
        <f>IF(AND(54&gt;=$NQ$18,54&lt;=$NR$18),IF($NO$18="Single_Point",IF(54=$NQ$18,$NM$18,0),IF($NO$18="Bell_Curve",$NM$18*(54-$NQ$18+1)*($NR$18-54+1)/$NT$18,$NM$18/$NS$18)),0)</f>
        <v/>
      </c>
      <c r="BF18" s="18">
        <f>IF(AND(55&gt;=$NQ$18,55&lt;=$NR$18),IF($NO$18="Single_Point",IF(55=$NQ$18,$NM$18,0),IF($NO$18="Bell_Curve",$NM$18*(55-$NQ$18+1)*($NR$18-55+1)/$NT$18,$NM$18/$NS$18)),0)</f>
        <v/>
      </c>
      <c r="BG18" s="18">
        <f>IF(AND(56&gt;=$NQ$18,56&lt;=$NR$18),IF($NO$18="Single_Point",IF(56=$NQ$18,$NM$18,0),IF($NO$18="Bell_Curve",$NM$18*(56-$NQ$18+1)*($NR$18-56+1)/$NT$18,$NM$18/$NS$18)),0)</f>
        <v/>
      </c>
      <c r="BH18" s="18">
        <f>IF(AND(57&gt;=$NQ$18,57&lt;=$NR$18),IF($NO$18="Single_Point",IF(57=$NQ$18,$NM$18,0),IF($NO$18="Bell_Curve",$NM$18*(57-$NQ$18+1)*($NR$18-57+1)/$NT$18,$NM$18/$NS$18)),0)</f>
        <v/>
      </c>
      <c r="BI18" s="18">
        <f>IF(AND(58&gt;=$NQ$18,58&lt;=$NR$18),IF($NO$18="Single_Point",IF(58=$NQ$18,$NM$18,0),IF($NO$18="Bell_Curve",$NM$18*(58-$NQ$18+1)*($NR$18-58+1)/$NT$18,$NM$18/$NS$18)),0)</f>
        <v/>
      </c>
      <c r="BJ18" s="18">
        <f>IF(AND(59&gt;=$NQ$18,59&lt;=$NR$18),IF($NO$18="Single_Point",IF(59=$NQ$18,$NM$18,0),IF($NO$18="Bell_Curve",$NM$18*(59-$NQ$18+1)*($NR$18-59+1)/$NT$18,$NM$18/$NS$18)),0)</f>
        <v/>
      </c>
      <c r="BK18" s="18">
        <f>IF(AND(60&gt;=$NQ$18,60&lt;=$NR$18),IF($NO$18="Single_Point",IF(60=$NQ$18,$NM$18,0),IF($NO$18="Bell_Curve",$NM$18*(60-$NQ$18+1)*($NR$18-60+1)/$NT$18,$NM$18/$NS$18)),0)</f>
        <v/>
      </c>
      <c r="BL18" s="18">
        <f>IF(AND(61&gt;=$NQ$18,61&lt;=$NR$18),IF($NO$18="Single_Point",IF(61=$NQ$18,$NM$18,0),IF($NO$18="Bell_Curve",$NM$18*(61-$NQ$18+1)*($NR$18-61+1)/$NT$18,$NM$18/$NS$18)),0)</f>
        <v/>
      </c>
      <c r="BM18" s="18">
        <f>IF(AND(62&gt;=$NQ$18,62&lt;=$NR$18),IF($NO$18="Single_Point",IF(62=$NQ$18,$NM$18,0),IF($NO$18="Bell_Curve",$NM$18*(62-$NQ$18+1)*($NR$18-62+1)/$NT$18,$NM$18/$NS$18)),0)</f>
        <v/>
      </c>
      <c r="BN18" s="18">
        <f>IF(AND(63&gt;=$NQ$18,63&lt;=$NR$18),IF($NO$18="Single_Point",IF(63=$NQ$18,$NM$18,0),IF($NO$18="Bell_Curve",$NM$18*(63-$NQ$18+1)*($NR$18-63+1)/$NT$18,$NM$18/$NS$18)),0)</f>
        <v/>
      </c>
      <c r="BO18" s="18">
        <f>IF(AND(64&gt;=$NQ$18,64&lt;=$NR$18),IF($NO$18="Single_Point",IF(64=$NQ$18,$NM$18,0),IF($NO$18="Bell_Curve",$NM$18*(64-$NQ$18+1)*($NR$18-64+1)/$NT$18,$NM$18/$NS$18)),0)</f>
        <v/>
      </c>
      <c r="BP18" s="18">
        <f>IF(AND(65&gt;=$NQ$18,65&lt;=$NR$18),IF($NO$18="Single_Point",IF(65=$NQ$18,$NM$18,0),IF($NO$18="Bell_Curve",$NM$18*(65-$NQ$18+1)*($NR$18-65+1)/$NT$18,$NM$18/$NS$18)),0)</f>
        <v/>
      </c>
      <c r="BQ18" s="18">
        <f>IF(AND(66&gt;=$NQ$18,66&lt;=$NR$18),IF($NO$18="Single_Point",IF(66=$NQ$18,$NM$18,0),IF($NO$18="Bell_Curve",$NM$18*(66-$NQ$18+1)*($NR$18-66+1)/$NT$18,$NM$18/$NS$18)),0)</f>
        <v/>
      </c>
      <c r="BR18" s="18">
        <f>IF(AND(67&gt;=$NQ$18,67&lt;=$NR$18),IF($NO$18="Single_Point",IF(67=$NQ$18,$NM$18,0),IF($NO$18="Bell_Curve",$NM$18*(67-$NQ$18+1)*($NR$18-67+1)/$NT$18,$NM$18/$NS$18)),0)</f>
        <v/>
      </c>
      <c r="BS18" s="18">
        <f>IF(AND(68&gt;=$NQ$18,68&lt;=$NR$18),IF($NO$18="Single_Point",IF(68=$NQ$18,$NM$18,0),IF($NO$18="Bell_Curve",$NM$18*(68-$NQ$18+1)*($NR$18-68+1)/$NT$18,$NM$18/$NS$18)),0)</f>
        <v/>
      </c>
      <c r="BT18" s="18">
        <f>IF(AND(69&gt;=$NQ$18,69&lt;=$NR$18),IF($NO$18="Single_Point",IF(69=$NQ$18,$NM$18,0),IF($NO$18="Bell_Curve",$NM$18*(69-$NQ$18+1)*($NR$18-69+1)/$NT$18,$NM$18/$NS$18)),0)</f>
        <v/>
      </c>
      <c r="BU18" s="18">
        <f>IF(AND(70&gt;=$NQ$18,70&lt;=$NR$18),IF($NO$18="Single_Point",IF(70=$NQ$18,$NM$18,0),IF($NO$18="Bell_Curve",$NM$18*(70-$NQ$18+1)*($NR$18-70+1)/$NT$18,$NM$18/$NS$18)),0)</f>
        <v/>
      </c>
      <c r="BV18" s="18">
        <f>IF(AND(71&gt;=$NQ$18,71&lt;=$NR$18),IF($NO$18="Single_Point",IF(71=$NQ$18,$NM$18,0),IF($NO$18="Bell_Curve",$NM$18*(71-$NQ$18+1)*($NR$18-71+1)/$NT$18,$NM$18/$NS$18)),0)</f>
        <v/>
      </c>
      <c r="BW18" s="18">
        <f>IF(AND(72&gt;=$NQ$18,72&lt;=$NR$18),IF($NO$18="Single_Point",IF(72=$NQ$18,$NM$18,0),IF($NO$18="Bell_Curve",$NM$18*(72-$NQ$18+1)*($NR$18-72+1)/$NT$18,$NM$18/$NS$18)),0)</f>
        <v/>
      </c>
      <c r="BX18" s="18">
        <f>IF(AND(73&gt;=$NQ$18,73&lt;=$NR$18),IF($NO$18="Single_Point",IF(73=$NQ$18,$NM$18,0),IF($NO$18="Bell_Curve",$NM$18*(73-$NQ$18+1)*($NR$18-73+1)/$NT$18,$NM$18/$NS$18)),0)</f>
        <v/>
      </c>
      <c r="BY18" s="18">
        <f>IF(AND(74&gt;=$NQ$18,74&lt;=$NR$18),IF($NO$18="Single_Point",IF(74=$NQ$18,$NM$18,0),IF($NO$18="Bell_Curve",$NM$18*(74-$NQ$18+1)*($NR$18-74+1)/$NT$18,$NM$18/$NS$18)),0)</f>
        <v/>
      </c>
      <c r="BZ18" s="18">
        <f>IF(AND(75&gt;=$NQ$18,75&lt;=$NR$18),IF($NO$18="Single_Point",IF(75=$NQ$18,$NM$18,0),IF($NO$18="Bell_Curve",$NM$18*(75-$NQ$18+1)*($NR$18-75+1)/$NT$18,$NM$18/$NS$18)),0)</f>
        <v/>
      </c>
      <c r="CA18" s="18">
        <f>IF(AND(76&gt;=$NQ$18,76&lt;=$NR$18),IF($NO$18="Single_Point",IF(76=$NQ$18,$NM$18,0),IF($NO$18="Bell_Curve",$NM$18*(76-$NQ$18+1)*($NR$18-76+1)/$NT$18,$NM$18/$NS$18)),0)</f>
        <v/>
      </c>
      <c r="CB18" s="18">
        <f>IF(AND(77&gt;=$NQ$18,77&lt;=$NR$18),IF($NO$18="Single_Point",IF(77=$NQ$18,$NM$18,0),IF($NO$18="Bell_Curve",$NM$18*(77-$NQ$18+1)*($NR$18-77+1)/$NT$18,$NM$18/$NS$18)),0)</f>
        <v/>
      </c>
      <c r="CC18" s="18">
        <f>IF(AND(78&gt;=$NQ$18,78&lt;=$NR$18),IF($NO$18="Single_Point",IF(78=$NQ$18,$NM$18,0),IF($NO$18="Bell_Curve",$NM$18*(78-$NQ$18+1)*($NR$18-78+1)/$NT$18,$NM$18/$NS$18)),0)</f>
        <v/>
      </c>
      <c r="CD18" s="18">
        <f>IF(AND(79&gt;=$NQ$18,79&lt;=$NR$18),IF($NO$18="Single_Point",IF(79=$NQ$18,$NM$18,0),IF($NO$18="Bell_Curve",$NM$18*(79-$NQ$18+1)*($NR$18-79+1)/$NT$18,$NM$18/$NS$18)),0)</f>
        <v/>
      </c>
      <c r="CE18" s="18">
        <f>IF(AND(80&gt;=$NQ$18,80&lt;=$NR$18),IF($NO$18="Single_Point",IF(80=$NQ$18,$NM$18,0),IF($NO$18="Bell_Curve",$NM$18*(80-$NQ$18+1)*($NR$18-80+1)/$NT$18,$NM$18/$NS$18)),0)</f>
        <v/>
      </c>
      <c r="CF18" s="18">
        <f>IF(AND(81&gt;=$NQ$18,81&lt;=$NR$18),IF($NO$18="Single_Point",IF(81=$NQ$18,$NM$18,0),IF($NO$18="Bell_Curve",$NM$18*(81-$NQ$18+1)*($NR$18-81+1)/$NT$18,$NM$18/$NS$18)),0)</f>
        <v/>
      </c>
      <c r="CG18" s="18">
        <f>IF(AND(82&gt;=$NQ$18,82&lt;=$NR$18),IF($NO$18="Single_Point",IF(82=$NQ$18,$NM$18,0),IF($NO$18="Bell_Curve",$NM$18*(82-$NQ$18+1)*($NR$18-82+1)/$NT$18,$NM$18/$NS$18)),0)</f>
        <v/>
      </c>
      <c r="CH18" s="18">
        <f>IF(AND(83&gt;=$NQ$18,83&lt;=$NR$18),IF($NO$18="Single_Point",IF(83=$NQ$18,$NM$18,0),IF($NO$18="Bell_Curve",$NM$18*(83-$NQ$18+1)*($NR$18-83+1)/$NT$18,$NM$18/$NS$18)),0)</f>
        <v/>
      </c>
      <c r="CI18" s="18">
        <f>IF(AND(84&gt;=$NQ$18,84&lt;=$NR$18),IF($NO$18="Single_Point",IF(84=$NQ$18,$NM$18,0),IF($NO$18="Bell_Curve",$NM$18*(84-$NQ$18+1)*($NR$18-84+1)/$NT$18,$NM$18/$NS$18)),0)</f>
        <v/>
      </c>
      <c r="CJ18" s="18">
        <f>IF(AND(85&gt;=$NQ$18,85&lt;=$NR$18),IF($NO$18="Single_Point",IF(85=$NQ$18,$NM$18,0),IF($NO$18="Bell_Curve",$NM$18*(85-$NQ$18+1)*($NR$18-85+1)/$NT$18,$NM$18/$NS$18)),0)</f>
        <v/>
      </c>
      <c r="CK18" s="18">
        <f>IF(AND(86&gt;=$NQ$18,86&lt;=$NR$18),IF($NO$18="Single_Point",IF(86=$NQ$18,$NM$18,0),IF($NO$18="Bell_Curve",$NM$18*(86-$NQ$18+1)*($NR$18-86+1)/$NT$18,$NM$18/$NS$18)),0)</f>
        <v/>
      </c>
      <c r="CL18" s="18">
        <f>IF(AND(87&gt;=$NQ$18,87&lt;=$NR$18),IF($NO$18="Single_Point",IF(87=$NQ$18,$NM$18,0),IF($NO$18="Bell_Curve",$NM$18*(87-$NQ$18+1)*($NR$18-87+1)/$NT$18,$NM$18/$NS$18)),0)</f>
        <v/>
      </c>
      <c r="CM18" s="18">
        <f>IF(AND(88&gt;=$NQ$18,88&lt;=$NR$18),IF($NO$18="Single_Point",IF(88=$NQ$18,$NM$18,0),IF($NO$18="Bell_Curve",$NM$18*(88-$NQ$18+1)*($NR$18-88+1)/$NT$18,$NM$18/$NS$18)),0)</f>
        <v/>
      </c>
      <c r="CN18" s="18">
        <f>IF(AND(89&gt;=$NQ$18,89&lt;=$NR$18),IF($NO$18="Single_Point",IF(89=$NQ$18,$NM$18,0),IF($NO$18="Bell_Curve",$NM$18*(89-$NQ$18+1)*($NR$18-89+1)/$NT$18,$NM$18/$NS$18)),0)</f>
        <v/>
      </c>
      <c r="CO18" s="18">
        <f>IF(AND(90&gt;=$NQ$18,90&lt;=$NR$18),IF($NO$18="Single_Point",IF(90=$NQ$18,$NM$18,0),IF($NO$18="Bell_Curve",$NM$18*(90-$NQ$18+1)*($NR$18-90+1)/$NT$18,$NM$18/$NS$18)),0)</f>
        <v/>
      </c>
      <c r="CP18" s="18">
        <f>IF(AND(91&gt;=$NQ$18,91&lt;=$NR$18),IF($NO$18="Single_Point",IF(91=$NQ$18,$NM$18,0),IF($NO$18="Bell_Curve",$NM$18*(91-$NQ$18+1)*($NR$18-91+1)/$NT$18,$NM$18/$NS$18)),0)</f>
        <v/>
      </c>
      <c r="CQ18" s="18">
        <f>IF(AND(92&gt;=$NQ$18,92&lt;=$NR$18),IF($NO$18="Single_Point",IF(92=$NQ$18,$NM$18,0),IF($NO$18="Bell_Curve",$NM$18*(92-$NQ$18+1)*($NR$18-92+1)/$NT$18,$NM$18/$NS$18)),0)</f>
        <v/>
      </c>
      <c r="CR18" s="18">
        <f>IF(AND(93&gt;=$NQ$18,93&lt;=$NR$18),IF($NO$18="Single_Point",IF(93=$NQ$18,$NM$18,0),IF($NO$18="Bell_Curve",$NM$18*(93-$NQ$18+1)*($NR$18-93+1)/$NT$18,$NM$18/$NS$18)),0)</f>
        <v/>
      </c>
      <c r="CS18" s="18">
        <f>IF(AND(94&gt;=$NQ$18,94&lt;=$NR$18),IF($NO$18="Single_Point",IF(94=$NQ$18,$NM$18,0),IF($NO$18="Bell_Curve",$NM$18*(94-$NQ$18+1)*($NR$18-94+1)/$NT$18,$NM$18/$NS$18)),0)</f>
        <v/>
      </c>
      <c r="CT18" s="18">
        <f>IF(AND(95&gt;=$NQ$18,95&lt;=$NR$18),IF($NO$18="Single_Point",IF(95=$NQ$18,$NM$18,0),IF($NO$18="Bell_Curve",$NM$18*(95-$NQ$18+1)*($NR$18-95+1)/$NT$18,$NM$18/$NS$18)),0)</f>
        <v/>
      </c>
      <c r="CU18" s="18">
        <f>IF(AND(96&gt;=$NQ$18,96&lt;=$NR$18),IF($NO$18="Single_Point",IF(96=$NQ$18,$NM$18,0),IF($NO$18="Bell_Curve",$NM$18*(96-$NQ$18+1)*($NR$18-96+1)/$NT$18,$NM$18/$NS$18)),0)</f>
        <v/>
      </c>
      <c r="CV18" s="18">
        <f>IF(AND(97&gt;=$NQ$18,97&lt;=$NR$18),IF($NO$18="Single_Point",IF(97=$NQ$18,$NM$18,0),IF($NO$18="Bell_Curve",$NM$18*(97-$NQ$18+1)*($NR$18-97+1)/$NT$18,$NM$18/$NS$18)),0)</f>
        <v/>
      </c>
      <c r="CW18" s="18">
        <f>IF(AND(98&gt;=$NQ$18,98&lt;=$NR$18),IF($NO$18="Single_Point",IF(98=$NQ$18,$NM$18,0),IF($NO$18="Bell_Curve",$NM$18*(98-$NQ$18+1)*($NR$18-98+1)/$NT$18,$NM$18/$NS$18)),0)</f>
        <v/>
      </c>
      <c r="CX18" s="18">
        <f>IF(AND(99&gt;=$NQ$18,99&lt;=$NR$18),IF($NO$18="Single_Point",IF(99=$NQ$18,$NM$18,0),IF($NO$18="Bell_Curve",$NM$18*(99-$NQ$18+1)*($NR$18-99+1)/$NT$18,$NM$18/$NS$18)),0)</f>
        <v/>
      </c>
      <c r="CY18" s="18">
        <f>IF(AND(100&gt;=$NQ$18,100&lt;=$NR$18),IF($NO$18="Single_Point",IF(100=$NQ$18,$NM$18,0),IF($NO$18="Bell_Curve",$NM$18*(100-$NQ$18+1)*($NR$18-100+1)/$NT$18,$NM$18/$NS$18)),0)</f>
        <v/>
      </c>
      <c r="CZ18" s="18">
        <f>IF(AND(101&gt;=$NQ$18,101&lt;=$NR$18),IF($NO$18="Single_Point",IF(101=$NQ$18,$NM$18,0),IF($NO$18="Bell_Curve",$NM$18*(101-$NQ$18+1)*($NR$18-101+1)/$NT$18,$NM$18/$NS$18)),0)</f>
        <v/>
      </c>
      <c r="DA18" s="18">
        <f>IF(AND(102&gt;=$NQ$18,102&lt;=$NR$18),IF($NO$18="Single_Point",IF(102=$NQ$18,$NM$18,0),IF($NO$18="Bell_Curve",$NM$18*(102-$NQ$18+1)*($NR$18-102+1)/$NT$18,$NM$18/$NS$18)),0)</f>
        <v/>
      </c>
      <c r="DB18" s="18">
        <f>IF(AND(103&gt;=$NQ$18,103&lt;=$NR$18),IF($NO$18="Single_Point",IF(103=$NQ$18,$NM$18,0),IF($NO$18="Bell_Curve",$NM$18*(103-$NQ$18+1)*($NR$18-103+1)/$NT$18,$NM$18/$NS$18)),0)</f>
        <v/>
      </c>
      <c r="DC18" s="18">
        <f>IF(AND(104&gt;=$NQ$18,104&lt;=$NR$18),IF($NO$18="Single_Point",IF(104=$NQ$18,$NM$18,0),IF($NO$18="Bell_Curve",$NM$18*(104-$NQ$18+1)*($NR$18-104+1)/$NT$18,$NM$18/$NS$18)),0)</f>
        <v/>
      </c>
      <c r="DD18" s="18">
        <f>IF(AND(105&gt;=$NQ$18,105&lt;=$NR$18),IF($NO$18="Single_Point",IF(105=$NQ$18,$NM$18,0),IF($NO$18="Bell_Curve",$NM$18*(105-$NQ$18+1)*($NR$18-105+1)/$NT$18,$NM$18/$NS$18)),0)</f>
        <v/>
      </c>
      <c r="DE18" s="18">
        <f>IF(AND(106&gt;=$NQ$18,106&lt;=$NR$18),IF($NO$18="Single_Point",IF(106=$NQ$18,$NM$18,0),IF($NO$18="Bell_Curve",$NM$18*(106-$NQ$18+1)*($NR$18-106+1)/$NT$18,$NM$18/$NS$18)),0)</f>
        <v/>
      </c>
      <c r="DF18" s="18">
        <f>IF(AND(107&gt;=$NQ$18,107&lt;=$NR$18),IF($NO$18="Single_Point",IF(107=$NQ$18,$NM$18,0),IF($NO$18="Bell_Curve",$NM$18*(107-$NQ$18+1)*($NR$18-107+1)/$NT$18,$NM$18/$NS$18)),0)</f>
        <v/>
      </c>
      <c r="DG18" s="18">
        <f>IF(AND(108&gt;=$NQ$18,108&lt;=$NR$18),IF($NO$18="Single_Point",IF(108=$NQ$18,$NM$18,0),IF($NO$18="Bell_Curve",$NM$18*(108-$NQ$18+1)*($NR$18-108+1)/$NT$18,$NM$18/$NS$18)),0)</f>
        <v/>
      </c>
      <c r="DH18" s="18">
        <f>IF(AND(109&gt;=$NQ$18,109&lt;=$NR$18),IF($NO$18="Single_Point",IF(109=$NQ$18,$NM$18,0),IF($NO$18="Bell_Curve",$NM$18*(109-$NQ$18+1)*($NR$18-109+1)/$NT$18,$NM$18/$NS$18)),0)</f>
        <v/>
      </c>
      <c r="DI18" s="18">
        <f>IF(AND(110&gt;=$NQ$18,110&lt;=$NR$18),IF($NO$18="Single_Point",IF(110=$NQ$18,$NM$18,0),IF($NO$18="Bell_Curve",$NM$18*(110-$NQ$18+1)*($NR$18-110+1)/$NT$18,$NM$18/$NS$18)),0)</f>
        <v/>
      </c>
      <c r="DJ18" s="18">
        <f>IF(AND(111&gt;=$NQ$18,111&lt;=$NR$18),IF($NO$18="Single_Point",IF(111=$NQ$18,$NM$18,0),IF($NO$18="Bell_Curve",$NM$18*(111-$NQ$18+1)*($NR$18-111+1)/$NT$18,$NM$18/$NS$18)),0)</f>
        <v/>
      </c>
      <c r="DK18" s="18">
        <f>IF(AND(112&gt;=$NQ$18,112&lt;=$NR$18),IF($NO$18="Single_Point",IF(112=$NQ$18,$NM$18,0),IF($NO$18="Bell_Curve",$NM$18*(112-$NQ$18+1)*($NR$18-112+1)/$NT$18,$NM$18/$NS$18)),0)</f>
        <v/>
      </c>
      <c r="DL18" s="18">
        <f>IF(AND(113&gt;=$NQ$18,113&lt;=$NR$18),IF($NO$18="Single_Point",IF(113=$NQ$18,$NM$18,0),IF($NO$18="Bell_Curve",$NM$18*(113-$NQ$18+1)*($NR$18-113+1)/$NT$18,$NM$18/$NS$18)),0)</f>
        <v/>
      </c>
      <c r="DM18" s="18">
        <f>IF(AND(114&gt;=$NQ$18,114&lt;=$NR$18),IF($NO$18="Single_Point",IF(114=$NQ$18,$NM$18,0),IF($NO$18="Bell_Curve",$NM$18*(114-$NQ$18+1)*($NR$18-114+1)/$NT$18,$NM$18/$NS$18)),0)</f>
        <v/>
      </c>
      <c r="DN18" s="18">
        <f>IF(AND(115&gt;=$NQ$18,115&lt;=$NR$18),IF($NO$18="Single_Point",IF(115=$NQ$18,$NM$18,0),IF($NO$18="Bell_Curve",$NM$18*(115-$NQ$18+1)*($NR$18-115+1)/$NT$18,$NM$18/$NS$18)),0)</f>
        <v/>
      </c>
      <c r="DO18" s="18">
        <f>IF(AND(116&gt;=$NQ$18,116&lt;=$NR$18),IF($NO$18="Single_Point",IF(116=$NQ$18,$NM$18,0),IF($NO$18="Bell_Curve",$NM$18*(116-$NQ$18+1)*($NR$18-116+1)/$NT$18,$NM$18/$NS$18)),0)</f>
        <v/>
      </c>
      <c r="DP18" s="18">
        <f>IF(AND(117&gt;=$NQ$18,117&lt;=$NR$18),IF($NO$18="Single_Point",IF(117=$NQ$18,$NM$18,0),IF($NO$18="Bell_Curve",$NM$18*(117-$NQ$18+1)*($NR$18-117+1)/$NT$18,$NM$18/$NS$18)),0)</f>
        <v/>
      </c>
      <c r="DQ18" s="18">
        <f>IF(AND(118&gt;=$NQ$18,118&lt;=$NR$18),IF($NO$18="Single_Point",IF(118=$NQ$18,$NM$18,0),IF($NO$18="Bell_Curve",$NM$18*(118-$NQ$18+1)*($NR$18-118+1)/$NT$18,$NM$18/$NS$18)),0)</f>
        <v/>
      </c>
      <c r="DR18" s="18">
        <f>IF(AND(119&gt;=$NQ$18,119&lt;=$NR$18),IF($NO$18="Single_Point",IF(119=$NQ$18,$NM$18,0),IF($NO$18="Bell_Curve",$NM$18*(119-$NQ$18+1)*($NR$18-119+1)/$NT$18,$NM$18/$NS$18)),0)</f>
        <v/>
      </c>
      <c r="DS18" s="18">
        <f>IF(AND(120&gt;=$NQ$18,120&lt;=$NR$18),IF($NO$18="Single_Point",IF(120=$NQ$18,$NM$18,0),IF($NO$18="Bell_Curve",$NM$18*(120-$NQ$18+1)*($NR$18-120+1)/$NT$18,$NM$18/$NS$18)),0)</f>
        <v/>
      </c>
      <c r="DT18" s="18">
        <f>IF(AND(121&gt;=$NQ$18,121&lt;=$NR$18),IF($NO$18="Single_Point",IF(121=$NQ$18,$NM$18,0),IF($NO$18="Bell_Curve",$NM$18*(121-$NQ$18+1)*($NR$18-121+1)/$NT$18,$NM$18/$NS$18)),0)</f>
        <v/>
      </c>
      <c r="DU18" s="18">
        <f>IF(AND(122&gt;=$NQ$18,122&lt;=$NR$18),IF($NO$18="Single_Point",IF(122=$NQ$18,$NM$18,0),IF($NO$18="Bell_Curve",$NM$18*(122-$NQ$18+1)*($NR$18-122+1)/$NT$18,$NM$18/$NS$18)),0)</f>
        <v/>
      </c>
      <c r="DV18" s="18">
        <f>IF(AND(123&gt;=$NQ$18,123&lt;=$NR$18),IF($NO$18="Single_Point",IF(123=$NQ$18,$NM$18,0),IF($NO$18="Bell_Curve",$NM$18*(123-$NQ$18+1)*($NR$18-123+1)/$NT$18,$NM$18/$NS$18)),0)</f>
        <v/>
      </c>
      <c r="DW18" s="18">
        <f>IF(AND(124&gt;=$NQ$18,124&lt;=$NR$18),IF($NO$18="Single_Point",IF(124=$NQ$18,$NM$18,0),IF($NO$18="Bell_Curve",$NM$18*(124-$NQ$18+1)*($NR$18-124+1)/$NT$18,$NM$18/$NS$18)),0)</f>
        <v/>
      </c>
      <c r="DX18" s="18">
        <f>IF(AND(125&gt;=$NQ$18,125&lt;=$NR$18),IF($NO$18="Single_Point",IF(125=$NQ$18,$NM$18,0),IF($NO$18="Bell_Curve",$NM$18*(125-$NQ$18+1)*($NR$18-125+1)/$NT$18,$NM$18/$NS$18)),0)</f>
        <v/>
      </c>
      <c r="DY18" s="18">
        <f>IF(AND(126&gt;=$NQ$18,126&lt;=$NR$18),IF($NO$18="Single_Point",IF(126=$NQ$18,$NM$18,0),IF($NO$18="Bell_Curve",$NM$18*(126-$NQ$18+1)*($NR$18-126+1)/$NT$18,$NM$18/$NS$18)),0)</f>
        <v/>
      </c>
      <c r="DZ18" s="18">
        <f>IF(AND(127&gt;=$NQ$18,127&lt;=$NR$18),IF($NO$18="Single_Point",IF(127=$NQ$18,$NM$18,0),IF($NO$18="Bell_Curve",$NM$18*(127-$NQ$18+1)*($NR$18-127+1)/$NT$18,$NM$18/$NS$18)),0)</f>
        <v/>
      </c>
      <c r="EA18" s="18">
        <f>IF(AND(128&gt;=$NQ$18,128&lt;=$NR$18),IF($NO$18="Single_Point",IF(128=$NQ$18,$NM$18,0),IF($NO$18="Bell_Curve",$NM$18*(128-$NQ$18+1)*($NR$18-128+1)/$NT$18,$NM$18/$NS$18)),0)</f>
        <v/>
      </c>
      <c r="EB18" s="18">
        <f>IF(AND(129&gt;=$NQ$18,129&lt;=$NR$18),IF($NO$18="Single_Point",IF(129=$NQ$18,$NM$18,0),IF($NO$18="Bell_Curve",$NM$18*(129-$NQ$18+1)*($NR$18-129+1)/$NT$18,$NM$18/$NS$18)),0)</f>
        <v/>
      </c>
      <c r="EC18" s="18">
        <f>IF(AND(130&gt;=$NQ$18,130&lt;=$NR$18),IF($NO$18="Single_Point",IF(130=$NQ$18,$NM$18,0),IF($NO$18="Bell_Curve",$NM$18*(130-$NQ$18+1)*($NR$18-130+1)/$NT$18,$NM$18/$NS$18)),0)</f>
        <v/>
      </c>
      <c r="ED18" s="18">
        <f>IF(AND(131&gt;=$NQ$18,131&lt;=$NR$18),IF($NO$18="Single_Point",IF(131=$NQ$18,$NM$18,0),IF($NO$18="Bell_Curve",$NM$18*(131-$NQ$18+1)*($NR$18-131+1)/$NT$18,$NM$18/$NS$18)),0)</f>
        <v/>
      </c>
      <c r="EE18" s="18">
        <f>IF(AND(132&gt;=$NQ$18,132&lt;=$NR$18),IF($NO$18="Single_Point",IF(132=$NQ$18,$NM$18,0),IF($NO$18="Bell_Curve",$NM$18*(132-$NQ$18+1)*($NR$18-132+1)/$NT$18,$NM$18/$NS$18)),0)</f>
        <v/>
      </c>
      <c r="EF18" s="18">
        <f>IF(AND(133&gt;=$NQ$18,133&lt;=$NR$18),IF($NO$18="Single_Point",IF(133=$NQ$18,$NM$18,0),IF($NO$18="Bell_Curve",$NM$18*(133-$NQ$18+1)*($NR$18-133+1)/$NT$18,$NM$18/$NS$18)),0)</f>
        <v/>
      </c>
      <c r="EG18" s="18">
        <f>IF(AND(134&gt;=$NQ$18,134&lt;=$NR$18),IF($NO$18="Single_Point",IF(134=$NQ$18,$NM$18,0),IF($NO$18="Bell_Curve",$NM$18*(134-$NQ$18+1)*($NR$18-134+1)/$NT$18,$NM$18/$NS$18)),0)</f>
        <v/>
      </c>
      <c r="EH18" s="18">
        <f>IF(AND(135&gt;=$NQ$18,135&lt;=$NR$18),IF($NO$18="Single_Point",IF(135=$NQ$18,$NM$18,0),IF($NO$18="Bell_Curve",$NM$18*(135-$NQ$18+1)*($NR$18-135+1)/$NT$18,$NM$18/$NS$18)),0)</f>
        <v/>
      </c>
      <c r="EI18" s="18">
        <f>IF(AND(136&gt;=$NQ$18,136&lt;=$NR$18),IF($NO$18="Single_Point",IF(136=$NQ$18,$NM$18,0),IF($NO$18="Bell_Curve",$NM$18*(136-$NQ$18+1)*($NR$18-136+1)/$NT$18,$NM$18/$NS$18)),0)</f>
        <v/>
      </c>
      <c r="EJ18" s="18">
        <f>IF(AND(137&gt;=$NQ$18,137&lt;=$NR$18),IF($NO$18="Single_Point",IF(137=$NQ$18,$NM$18,0),IF($NO$18="Bell_Curve",$NM$18*(137-$NQ$18+1)*($NR$18-137+1)/$NT$18,$NM$18/$NS$18)),0)</f>
        <v/>
      </c>
      <c r="EK18" s="18">
        <f>IF(AND(138&gt;=$NQ$18,138&lt;=$NR$18),IF($NO$18="Single_Point",IF(138=$NQ$18,$NM$18,0),IF($NO$18="Bell_Curve",$NM$18*(138-$NQ$18+1)*($NR$18-138+1)/$NT$18,$NM$18/$NS$18)),0)</f>
        <v/>
      </c>
      <c r="EL18" s="18">
        <f>IF(AND(139&gt;=$NQ$18,139&lt;=$NR$18),IF($NO$18="Single_Point",IF(139=$NQ$18,$NM$18,0),IF($NO$18="Bell_Curve",$NM$18*(139-$NQ$18+1)*($NR$18-139+1)/$NT$18,$NM$18/$NS$18)),0)</f>
        <v/>
      </c>
      <c r="EM18" s="18">
        <f>IF(AND(140&gt;=$NQ$18,140&lt;=$NR$18),IF($NO$18="Single_Point",IF(140=$NQ$18,$NM$18,0),IF($NO$18="Bell_Curve",$NM$18*(140-$NQ$18+1)*($NR$18-140+1)/$NT$18,$NM$18/$NS$18)),0)</f>
        <v/>
      </c>
      <c r="EN18" s="18">
        <f>IF(AND(141&gt;=$NQ$18,141&lt;=$NR$18),IF($NO$18="Single_Point",IF(141=$NQ$18,$NM$18,0),IF($NO$18="Bell_Curve",$NM$18*(141-$NQ$18+1)*($NR$18-141+1)/$NT$18,$NM$18/$NS$18)),0)</f>
        <v/>
      </c>
      <c r="EO18" s="18">
        <f>IF(AND(142&gt;=$NQ$18,142&lt;=$NR$18),IF($NO$18="Single_Point",IF(142=$NQ$18,$NM$18,0),IF($NO$18="Bell_Curve",$NM$18*(142-$NQ$18+1)*($NR$18-142+1)/$NT$18,$NM$18/$NS$18)),0)</f>
        <v/>
      </c>
      <c r="EP18" s="18">
        <f>IF(AND(143&gt;=$NQ$18,143&lt;=$NR$18),IF($NO$18="Single_Point",IF(143=$NQ$18,$NM$18,0),IF($NO$18="Bell_Curve",$NM$18*(143-$NQ$18+1)*($NR$18-143+1)/$NT$18,$NM$18/$NS$18)),0)</f>
        <v/>
      </c>
      <c r="EQ18" s="18">
        <f>IF(AND(144&gt;=$NQ$18,144&lt;=$NR$18),IF($NO$18="Single_Point",IF(144=$NQ$18,$NM$18,0),IF($NO$18="Bell_Curve",$NM$18*(144-$NQ$18+1)*($NR$18-144+1)/$NT$18,$NM$18/$NS$18)),0)</f>
        <v/>
      </c>
      <c r="ER18" s="18">
        <f>IF(AND(145&gt;=$NQ$18,145&lt;=$NR$18),IF($NO$18="Single_Point",IF(145=$NQ$18,$NM$18,0),IF($NO$18="Bell_Curve",$NM$18*(145-$NQ$18+1)*($NR$18-145+1)/$NT$18,$NM$18/$NS$18)),0)</f>
        <v/>
      </c>
      <c r="ES18" s="18">
        <f>IF(AND(146&gt;=$NQ$18,146&lt;=$NR$18),IF($NO$18="Single_Point",IF(146=$NQ$18,$NM$18,0),IF($NO$18="Bell_Curve",$NM$18*(146-$NQ$18+1)*($NR$18-146+1)/$NT$18,$NM$18/$NS$18)),0)</f>
        <v/>
      </c>
      <c r="ET18" s="18">
        <f>IF(AND(147&gt;=$NQ$18,147&lt;=$NR$18),IF($NO$18="Single_Point",IF(147=$NQ$18,$NM$18,0),IF($NO$18="Bell_Curve",$NM$18*(147-$NQ$18+1)*($NR$18-147+1)/$NT$18,$NM$18/$NS$18)),0)</f>
        <v/>
      </c>
      <c r="EU18" s="18">
        <f>IF(AND(148&gt;=$NQ$18,148&lt;=$NR$18),IF($NO$18="Single_Point",IF(148=$NQ$18,$NM$18,0),IF($NO$18="Bell_Curve",$NM$18*(148-$NQ$18+1)*($NR$18-148+1)/$NT$18,$NM$18/$NS$18)),0)</f>
        <v/>
      </c>
      <c r="EV18" s="18">
        <f>IF(AND(149&gt;=$NQ$18,149&lt;=$NR$18),IF($NO$18="Single_Point",IF(149=$NQ$18,$NM$18,0),IF($NO$18="Bell_Curve",$NM$18*(149-$NQ$18+1)*($NR$18-149+1)/$NT$18,$NM$18/$NS$18)),0)</f>
        <v/>
      </c>
      <c r="EW18" s="18">
        <f>IF(AND(150&gt;=$NQ$18,150&lt;=$NR$18),IF($NO$18="Single_Point",IF(150=$NQ$18,$NM$18,0),IF($NO$18="Bell_Curve",$NM$18*(150-$NQ$18+1)*($NR$18-150+1)/$NT$18,$NM$18/$NS$18)),0)</f>
        <v/>
      </c>
      <c r="EX18" s="18">
        <f>IF(AND(151&gt;=$NQ$18,151&lt;=$NR$18),IF($NO$18="Single_Point",IF(151=$NQ$18,$NM$18,0),IF($NO$18="Bell_Curve",$NM$18*(151-$NQ$18+1)*($NR$18-151+1)/$NT$18,$NM$18/$NS$18)),0)</f>
        <v/>
      </c>
      <c r="EY18" s="18">
        <f>IF(AND(152&gt;=$NQ$18,152&lt;=$NR$18),IF($NO$18="Single_Point",IF(152=$NQ$18,$NM$18,0),IF($NO$18="Bell_Curve",$NM$18*(152-$NQ$18+1)*($NR$18-152+1)/$NT$18,$NM$18/$NS$18)),0)</f>
        <v/>
      </c>
      <c r="EZ18" s="18">
        <f>IF(AND(153&gt;=$NQ$18,153&lt;=$NR$18),IF($NO$18="Single_Point",IF(153=$NQ$18,$NM$18,0),IF($NO$18="Bell_Curve",$NM$18*(153-$NQ$18+1)*($NR$18-153+1)/$NT$18,$NM$18/$NS$18)),0)</f>
        <v/>
      </c>
      <c r="FA18" s="18">
        <f>IF(AND(154&gt;=$NQ$18,154&lt;=$NR$18),IF($NO$18="Single_Point",IF(154=$NQ$18,$NM$18,0),IF($NO$18="Bell_Curve",$NM$18*(154-$NQ$18+1)*($NR$18-154+1)/$NT$18,$NM$18/$NS$18)),0)</f>
        <v/>
      </c>
      <c r="FB18" s="18">
        <f>IF(AND(155&gt;=$NQ$18,155&lt;=$NR$18),IF($NO$18="Single_Point",IF(155=$NQ$18,$NM$18,0),IF($NO$18="Bell_Curve",$NM$18*(155-$NQ$18+1)*($NR$18-155+1)/$NT$18,$NM$18/$NS$18)),0)</f>
        <v/>
      </c>
      <c r="FC18" s="18">
        <f>IF(AND(156&gt;=$NQ$18,156&lt;=$NR$18),IF($NO$18="Single_Point",IF(156=$NQ$18,$NM$18,0),IF($NO$18="Bell_Curve",$NM$18*(156-$NQ$18+1)*($NR$18-156+1)/$NT$18,$NM$18/$NS$18)),0)</f>
        <v/>
      </c>
      <c r="FD18" s="18">
        <f>IF(AND(157&gt;=$NQ$18,157&lt;=$NR$18),IF($NO$18="Single_Point",IF(157=$NQ$18,$NM$18,0),IF($NO$18="Bell_Curve",$NM$18*(157-$NQ$18+1)*($NR$18-157+1)/$NT$18,$NM$18/$NS$18)),0)</f>
        <v/>
      </c>
      <c r="FE18" s="18">
        <f>IF(AND(158&gt;=$NQ$18,158&lt;=$NR$18),IF($NO$18="Single_Point",IF(158=$NQ$18,$NM$18,0),IF($NO$18="Bell_Curve",$NM$18*(158-$NQ$18+1)*($NR$18-158+1)/$NT$18,$NM$18/$NS$18)),0)</f>
        <v/>
      </c>
      <c r="FF18" s="18">
        <f>IF(AND(159&gt;=$NQ$18,159&lt;=$NR$18),IF($NO$18="Single_Point",IF(159=$NQ$18,$NM$18,0),IF($NO$18="Bell_Curve",$NM$18*(159-$NQ$18+1)*($NR$18-159+1)/$NT$18,$NM$18/$NS$18)),0)</f>
        <v/>
      </c>
      <c r="FG18" s="18">
        <f>IF(AND(160&gt;=$NQ$18,160&lt;=$NR$18),IF($NO$18="Single_Point",IF(160=$NQ$18,$NM$18,0),IF($NO$18="Bell_Curve",$NM$18*(160-$NQ$18+1)*($NR$18-160+1)/$NT$18,$NM$18/$NS$18)),0)</f>
        <v/>
      </c>
      <c r="FH18" s="18">
        <f>IF(AND(161&gt;=$NQ$18,161&lt;=$NR$18),IF($NO$18="Single_Point",IF(161=$NQ$18,$NM$18,0),IF($NO$18="Bell_Curve",$NM$18*(161-$NQ$18+1)*($NR$18-161+1)/$NT$18,$NM$18/$NS$18)),0)</f>
        <v/>
      </c>
      <c r="FI18" s="18">
        <f>IF(AND(162&gt;=$NQ$18,162&lt;=$NR$18),IF($NO$18="Single_Point",IF(162=$NQ$18,$NM$18,0),IF($NO$18="Bell_Curve",$NM$18*(162-$NQ$18+1)*($NR$18-162+1)/$NT$18,$NM$18/$NS$18)),0)</f>
        <v/>
      </c>
      <c r="FJ18" s="18">
        <f>IF(AND(163&gt;=$NQ$18,163&lt;=$NR$18),IF($NO$18="Single_Point",IF(163=$NQ$18,$NM$18,0),IF($NO$18="Bell_Curve",$NM$18*(163-$NQ$18+1)*($NR$18-163+1)/$NT$18,$NM$18/$NS$18)),0)</f>
        <v/>
      </c>
      <c r="FK18" s="18">
        <f>IF(AND(164&gt;=$NQ$18,164&lt;=$NR$18),IF($NO$18="Single_Point",IF(164=$NQ$18,$NM$18,0),IF($NO$18="Bell_Curve",$NM$18*(164-$NQ$18+1)*($NR$18-164+1)/$NT$18,$NM$18/$NS$18)),0)</f>
        <v/>
      </c>
      <c r="FL18" s="18">
        <f>IF(AND(165&gt;=$NQ$18,165&lt;=$NR$18),IF($NO$18="Single_Point",IF(165=$NQ$18,$NM$18,0),IF($NO$18="Bell_Curve",$NM$18*(165-$NQ$18+1)*($NR$18-165+1)/$NT$18,$NM$18/$NS$18)),0)</f>
        <v/>
      </c>
      <c r="FM18" s="18">
        <f>IF(AND(166&gt;=$NQ$18,166&lt;=$NR$18),IF($NO$18="Single_Point",IF(166=$NQ$18,$NM$18,0),IF($NO$18="Bell_Curve",$NM$18*(166-$NQ$18+1)*($NR$18-166+1)/$NT$18,$NM$18/$NS$18)),0)</f>
        <v/>
      </c>
      <c r="FN18" s="18">
        <f>IF(AND(167&gt;=$NQ$18,167&lt;=$NR$18),IF($NO$18="Single_Point",IF(167=$NQ$18,$NM$18,0),IF($NO$18="Bell_Curve",$NM$18*(167-$NQ$18+1)*($NR$18-167+1)/$NT$18,$NM$18/$NS$18)),0)</f>
        <v/>
      </c>
      <c r="FO18" s="18">
        <f>IF(AND(168&gt;=$NQ$18,168&lt;=$NR$18),IF($NO$18="Single_Point",IF(168=$NQ$18,$NM$18,0),IF($NO$18="Bell_Curve",$NM$18*(168-$NQ$18+1)*($NR$18-168+1)/$NT$18,$NM$18/$NS$18)),0)</f>
        <v/>
      </c>
      <c r="FP18" s="18">
        <f>IF(AND(169&gt;=$NQ$18,169&lt;=$NR$18),IF($NO$18="Single_Point",IF(169=$NQ$18,$NM$18,0),IF($NO$18="Bell_Curve",$NM$18*(169-$NQ$18+1)*($NR$18-169+1)/$NT$18,$NM$18/$NS$18)),0)</f>
        <v/>
      </c>
      <c r="FQ18" s="18">
        <f>IF(AND(170&gt;=$NQ$18,170&lt;=$NR$18),IF($NO$18="Single_Point",IF(170=$NQ$18,$NM$18,0),IF($NO$18="Bell_Curve",$NM$18*(170-$NQ$18+1)*($NR$18-170+1)/$NT$18,$NM$18/$NS$18)),0)</f>
        <v/>
      </c>
      <c r="FR18" s="18">
        <f>IF(AND(171&gt;=$NQ$18,171&lt;=$NR$18),IF($NO$18="Single_Point",IF(171=$NQ$18,$NM$18,0),IF($NO$18="Bell_Curve",$NM$18*(171-$NQ$18+1)*($NR$18-171+1)/$NT$18,$NM$18/$NS$18)),0)</f>
        <v/>
      </c>
      <c r="FS18" s="18">
        <f>IF(AND(172&gt;=$NQ$18,172&lt;=$NR$18),IF($NO$18="Single_Point",IF(172=$NQ$18,$NM$18,0),IF($NO$18="Bell_Curve",$NM$18*(172-$NQ$18+1)*($NR$18-172+1)/$NT$18,$NM$18/$NS$18)),0)</f>
        <v/>
      </c>
      <c r="FT18" s="18">
        <f>IF(AND(173&gt;=$NQ$18,173&lt;=$NR$18),IF($NO$18="Single_Point",IF(173=$NQ$18,$NM$18,0),IF($NO$18="Bell_Curve",$NM$18*(173-$NQ$18+1)*($NR$18-173+1)/$NT$18,$NM$18/$NS$18)),0)</f>
        <v/>
      </c>
      <c r="FU18" s="18">
        <f>IF(AND(174&gt;=$NQ$18,174&lt;=$NR$18),IF($NO$18="Single_Point",IF(174=$NQ$18,$NM$18,0),IF($NO$18="Bell_Curve",$NM$18*(174-$NQ$18+1)*($NR$18-174+1)/$NT$18,$NM$18/$NS$18)),0)</f>
        <v/>
      </c>
      <c r="FV18" s="18">
        <f>IF(AND(175&gt;=$NQ$18,175&lt;=$NR$18),IF($NO$18="Single_Point",IF(175=$NQ$18,$NM$18,0),IF($NO$18="Bell_Curve",$NM$18*(175-$NQ$18+1)*($NR$18-175+1)/$NT$18,$NM$18/$NS$18)),0)</f>
        <v/>
      </c>
      <c r="FW18" s="18">
        <f>IF(AND(176&gt;=$NQ$18,176&lt;=$NR$18),IF($NO$18="Single_Point",IF(176=$NQ$18,$NM$18,0),IF($NO$18="Bell_Curve",$NM$18*(176-$NQ$18+1)*($NR$18-176+1)/$NT$18,$NM$18/$NS$18)),0)</f>
        <v/>
      </c>
      <c r="FX18" s="18">
        <f>IF(AND(177&gt;=$NQ$18,177&lt;=$NR$18),IF($NO$18="Single_Point",IF(177=$NQ$18,$NM$18,0),IF($NO$18="Bell_Curve",$NM$18*(177-$NQ$18+1)*($NR$18-177+1)/$NT$18,$NM$18/$NS$18)),0)</f>
        <v/>
      </c>
      <c r="FY18" s="18">
        <f>IF(AND(178&gt;=$NQ$18,178&lt;=$NR$18),IF($NO$18="Single_Point",IF(178=$NQ$18,$NM$18,0),IF($NO$18="Bell_Curve",$NM$18*(178-$NQ$18+1)*($NR$18-178+1)/$NT$18,$NM$18/$NS$18)),0)</f>
        <v/>
      </c>
      <c r="FZ18" s="18">
        <f>IF(AND(179&gt;=$NQ$18,179&lt;=$NR$18),IF($NO$18="Single_Point",IF(179=$NQ$18,$NM$18,0),IF($NO$18="Bell_Curve",$NM$18*(179-$NQ$18+1)*($NR$18-179+1)/$NT$18,$NM$18/$NS$18)),0)</f>
        <v/>
      </c>
      <c r="GA18" s="18">
        <f>IF(AND(180&gt;=$NQ$18,180&lt;=$NR$18),IF($NO$18="Single_Point",IF(180=$NQ$18,$NM$18,0),IF($NO$18="Bell_Curve",$NM$18*(180-$NQ$18+1)*($NR$18-180+1)/$NT$18,$NM$18/$NS$18)),0)</f>
        <v/>
      </c>
      <c r="GB18" s="18">
        <f>IF(AND(181&gt;=$NQ$18,181&lt;=$NR$18),IF($NO$18="Single_Point",IF(181=$NQ$18,$NM$18,0),IF($NO$18="Bell_Curve",$NM$18*(181-$NQ$18+1)*($NR$18-181+1)/$NT$18,$NM$18/$NS$18)),0)</f>
        <v/>
      </c>
      <c r="GC18" s="18">
        <f>IF(AND(182&gt;=$NQ$18,182&lt;=$NR$18),IF($NO$18="Single_Point",IF(182=$NQ$18,$NM$18,0),IF($NO$18="Bell_Curve",$NM$18*(182-$NQ$18+1)*($NR$18-182+1)/$NT$18,$NM$18/$NS$18)),0)</f>
        <v/>
      </c>
      <c r="GD18" s="18">
        <f>IF(AND(183&gt;=$NQ$18,183&lt;=$NR$18),IF($NO$18="Single_Point",IF(183=$NQ$18,$NM$18,0),IF($NO$18="Bell_Curve",$NM$18*(183-$NQ$18+1)*($NR$18-183+1)/$NT$18,$NM$18/$NS$18)),0)</f>
        <v/>
      </c>
      <c r="GE18" s="18">
        <f>IF(AND(184&gt;=$NQ$18,184&lt;=$NR$18),IF($NO$18="Single_Point",IF(184=$NQ$18,$NM$18,0),IF($NO$18="Bell_Curve",$NM$18*(184-$NQ$18+1)*($NR$18-184+1)/$NT$18,$NM$18/$NS$18)),0)</f>
        <v/>
      </c>
      <c r="GF18" s="18">
        <f>IF(AND(185&gt;=$NQ$18,185&lt;=$NR$18),IF($NO$18="Single_Point",IF(185=$NQ$18,$NM$18,0),IF($NO$18="Bell_Curve",$NM$18*(185-$NQ$18+1)*($NR$18-185+1)/$NT$18,$NM$18/$NS$18)),0)</f>
        <v/>
      </c>
      <c r="GG18" s="18">
        <f>IF(AND(186&gt;=$NQ$18,186&lt;=$NR$18),IF($NO$18="Single_Point",IF(186=$NQ$18,$NM$18,0),IF($NO$18="Bell_Curve",$NM$18*(186-$NQ$18+1)*($NR$18-186+1)/$NT$18,$NM$18/$NS$18)),0)</f>
        <v/>
      </c>
      <c r="GH18" s="18">
        <f>IF(AND(187&gt;=$NQ$18,187&lt;=$NR$18),IF($NO$18="Single_Point",IF(187=$NQ$18,$NM$18,0),IF($NO$18="Bell_Curve",$NM$18*(187-$NQ$18+1)*($NR$18-187+1)/$NT$18,$NM$18/$NS$18)),0)</f>
        <v/>
      </c>
      <c r="GI18" s="18">
        <f>IF(AND(188&gt;=$NQ$18,188&lt;=$NR$18),IF($NO$18="Single_Point",IF(188=$NQ$18,$NM$18,0),IF($NO$18="Bell_Curve",$NM$18*(188-$NQ$18+1)*($NR$18-188+1)/$NT$18,$NM$18/$NS$18)),0)</f>
        <v/>
      </c>
      <c r="GJ18" s="18">
        <f>IF(AND(189&gt;=$NQ$18,189&lt;=$NR$18),IF($NO$18="Single_Point",IF(189=$NQ$18,$NM$18,0),IF($NO$18="Bell_Curve",$NM$18*(189-$NQ$18+1)*($NR$18-189+1)/$NT$18,$NM$18/$NS$18)),0)</f>
        <v/>
      </c>
      <c r="GK18" s="18">
        <f>IF(AND(190&gt;=$NQ$18,190&lt;=$NR$18),IF($NO$18="Single_Point",IF(190=$NQ$18,$NM$18,0),IF($NO$18="Bell_Curve",$NM$18*(190-$NQ$18+1)*($NR$18-190+1)/$NT$18,$NM$18/$NS$18)),0)</f>
        <v/>
      </c>
      <c r="GL18" s="18">
        <f>IF(AND(191&gt;=$NQ$18,191&lt;=$NR$18),IF($NO$18="Single_Point",IF(191=$NQ$18,$NM$18,0),IF($NO$18="Bell_Curve",$NM$18*(191-$NQ$18+1)*($NR$18-191+1)/$NT$18,$NM$18/$NS$18)),0)</f>
        <v/>
      </c>
      <c r="GM18" s="18">
        <f>IF(AND(192&gt;=$NQ$18,192&lt;=$NR$18),IF($NO$18="Single_Point",IF(192=$NQ$18,$NM$18,0),IF($NO$18="Bell_Curve",$NM$18*(192-$NQ$18+1)*($NR$18-192+1)/$NT$18,$NM$18/$NS$18)),0)</f>
        <v/>
      </c>
      <c r="GN18" s="18">
        <f>IF(AND(193&gt;=$NQ$18,193&lt;=$NR$18),IF($NO$18="Single_Point",IF(193=$NQ$18,$NM$18,0),IF($NO$18="Bell_Curve",$NM$18*(193-$NQ$18+1)*($NR$18-193+1)/$NT$18,$NM$18/$NS$18)),0)</f>
        <v/>
      </c>
      <c r="GO18" s="18">
        <f>IF(AND(194&gt;=$NQ$18,194&lt;=$NR$18),IF($NO$18="Single_Point",IF(194=$NQ$18,$NM$18,0),IF($NO$18="Bell_Curve",$NM$18*(194-$NQ$18+1)*($NR$18-194+1)/$NT$18,$NM$18/$NS$18)),0)</f>
        <v/>
      </c>
      <c r="GP18" s="18">
        <f>IF(AND(195&gt;=$NQ$18,195&lt;=$NR$18),IF($NO$18="Single_Point",IF(195=$NQ$18,$NM$18,0),IF($NO$18="Bell_Curve",$NM$18*(195-$NQ$18+1)*($NR$18-195+1)/$NT$18,$NM$18/$NS$18)),0)</f>
        <v/>
      </c>
      <c r="GQ18" s="18">
        <f>IF(AND(196&gt;=$NQ$18,196&lt;=$NR$18),IF($NO$18="Single_Point",IF(196=$NQ$18,$NM$18,0),IF($NO$18="Bell_Curve",$NM$18*(196-$NQ$18+1)*($NR$18-196+1)/$NT$18,$NM$18/$NS$18)),0)</f>
        <v/>
      </c>
      <c r="GR18" s="18">
        <f>IF(AND(197&gt;=$NQ$18,197&lt;=$NR$18),IF($NO$18="Single_Point",IF(197=$NQ$18,$NM$18,0),IF($NO$18="Bell_Curve",$NM$18*(197-$NQ$18+1)*($NR$18-197+1)/$NT$18,$NM$18/$NS$18)),0)</f>
        <v/>
      </c>
      <c r="GS18" s="18">
        <f>IF(AND(198&gt;=$NQ$18,198&lt;=$NR$18),IF($NO$18="Single_Point",IF(198=$NQ$18,$NM$18,0),IF($NO$18="Bell_Curve",$NM$18*(198-$NQ$18+1)*($NR$18-198+1)/$NT$18,$NM$18/$NS$18)),0)</f>
        <v/>
      </c>
      <c r="GT18" s="18">
        <f>IF(AND(199&gt;=$NQ$18,199&lt;=$NR$18),IF($NO$18="Single_Point",IF(199=$NQ$18,$NM$18,0),IF($NO$18="Bell_Curve",$NM$18*(199-$NQ$18+1)*($NR$18-199+1)/$NT$18,$NM$18/$NS$18)),0)</f>
        <v/>
      </c>
      <c r="GU18" s="18">
        <f>IF(AND(200&gt;=$NQ$18,200&lt;=$NR$18),IF($NO$18="Single_Point",IF(200=$NQ$18,$NM$18,0),IF($NO$18="Bell_Curve",$NM$18*(200-$NQ$18+1)*($NR$18-200+1)/$NT$18,$NM$18/$NS$18)),0)</f>
        <v/>
      </c>
      <c r="GV18" s="18">
        <f>IF(AND(201&gt;=$NQ$18,201&lt;=$NR$18),IF($NO$18="Single_Point",IF(201=$NQ$18,$NM$18,0),IF($NO$18="Bell_Curve",$NM$18*(201-$NQ$18+1)*($NR$18-201+1)/$NT$18,$NM$18/$NS$18)),0)</f>
        <v/>
      </c>
      <c r="GW18" s="18">
        <f>IF(AND(202&gt;=$NQ$18,202&lt;=$NR$18),IF($NO$18="Single_Point",IF(202=$NQ$18,$NM$18,0),IF($NO$18="Bell_Curve",$NM$18*(202-$NQ$18+1)*($NR$18-202+1)/$NT$18,$NM$18/$NS$18)),0)</f>
        <v/>
      </c>
      <c r="GX18" s="18">
        <f>IF(AND(203&gt;=$NQ$18,203&lt;=$NR$18),IF($NO$18="Single_Point",IF(203=$NQ$18,$NM$18,0),IF($NO$18="Bell_Curve",$NM$18*(203-$NQ$18+1)*($NR$18-203+1)/$NT$18,$NM$18/$NS$18)),0)</f>
        <v/>
      </c>
      <c r="GY18" s="18">
        <f>IF(AND(204&gt;=$NQ$18,204&lt;=$NR$18),IF($NO$18="Single_Point",IF(204=$NQ$18,$NM$18,0),IF($NO$18="Bell_Curve",$NM$18*(204-$NQ$18+1)*($NR$18-204+1)/$NT$18,$NM$18/$NS$18)),0)</f>
        <v/>
      </c>
      <c r="GZ18" s="18">
        <f>IF(AND(205&gt;=$NQ$18,205&lt;=$NR$18),IF($NO$18="Single_Point",IF(205=$NQ$18,$NM$18,0),IF($NO$18="Bell_Curve",$NM$18*(205-$NQ$18+1)*($NR$18-205+1)/$NT$18,$NM$18/$NS$18)),0)</f>
        <v/>
      </c>
      <c r="HA18" s="18">
        <f>IF(AND(206&gt;=$NQ$18,206&lt;=$NR$18),IF($NO$18="Single_Point",IF(206=$NQ$18,$NM$18,0),IF($NO$18="Bell_Curve",$NM$18*(206-$NQ$18+1)*($NR$18-206+1)/$NT$18,$NM$18/$NS$18)),0)</f>
        <v/>
      </c>
      <c r="HB18" s="18">
        <f>IF(AND(207&gt;=$NQ$18,207&lt;=$NR$18),IF($NO$18="Single_Point",IF(207=$NQ$18,$NM$18,0),IF($NO$18="Bell_Curve",$NM$18*(207-$NQ$18+1)*($NR$18-207+1)/$NT$18,$NM$18/$NS$18)),0)</f>
        <v/>
      </c>
      <c r="HC18" s="18">
        <f>IF(AND(208&gt;=$NQ$18,208&lt;=$NR$18),IF($NO$18="Single_Point",IF(208=$NQ$18,$NM$18,0),IF($NO$18="Bell_Curve",$NM$18*(208-$NQ$18+1)*($NR$18-208+1)/$NT$18,$NM$18/$NS$18)),0)</f>
        <v/>
      </c>
      <c r="HD18" s="18">
        <f>IF(AND(209&gt;=$NQ$18,209&lt;=$NR$18),IF($NO$18="Single_Point",IF(209=$NQ$18,$NM$18,0),IF($NO$18="Bell_Curve",$NM$18*(209-$NQ$18+1)*($NR$18-209+1)/$NT$18,$NM$18/$NS$18)),0)</f>
        <v/>
      </c>
      <c r="HE18" s="18">
        <f>IF(AND(210&gt;=$NQ$18,210&lt;=$NR$18),IF($NO$18="Single_Point",IF(210=$NQ$18,$NM$18,0),IF($NO$18="Bell_Curve",$NM$18*(210-$NQ$18+1)*($NR$18-210+1)/$NT$18,$NM$18/$NS$18)),0)</f>
        <v/>
      </c>
      <c r="HF18" s="18">
        <f>IF(AND(211&gt;=$NQ$18,211&lt;=$NR$18),IF($NO$18="Single_Point",IF(211=$NQ$18,$NM$18,0),IF($NO$18="Bell_Curve",$NM$18*(211-$NQ$18+1)*($NR$18-211+1)/$NT$18,$NM$18/$NS$18)),0)</f>
        <v/>
      </c>
      <c r="HG18" s="18">
        <f>IF(AND(212&gt;=$NQ$18,212&lt;=$NR$18),IF($NO$18="Single_Point",IF(212=$NQ$18,$NM$18,0),IF($NO$18="Bell_Curve",$NM$18*(212-$NQ$18+1)*($NR$18-212+1)/$NT$18,$NM$18/$NS$18)),0)</f>
        <v/>
      </c>
      <c r="HH18" s="18">
        <f>IF(AND(213&gt;=$NQ$18,213&lt;=$NR$18),IF($NO$18="Single_Point",IF(213=$NQ$18,$NM$18,0),IF($NO$18="Bell_Curve",$NM$18*(213-$NQ$18+1)*($NR$18-213+1)/$NT$18,$NM$18/$NS$18)),0)</f>
        <v/>
      </c>
      <c r="HI18" s="18">
        <f>IF(AND(214&gt;=$NQ$18,214&lt;=$NR$18),IF($NO$18="Single_Point",IF(214=$NQ$18,$NM$18,0),IF($NO$18="Bell_Curve",$NM$18*(214-$NQ$18+1)*($NR$18-214+1)/$NT$18,$NM$18/$NS$18)),0)</f>
        <v/>
      </c>
      <c r="HJ18" s="18">
        <f>IF(AND(215&gt;=$NQ$18,215&lt;=$NR$18),IF($NO$18="Single_Point",IF(215=$NQ$18,$NM$18,0),IF($NO$18="Bell_Curve",$NM$18*(215-$NQ$18+1)*($NR$18-215+1)/$NT$18,$NM$18/$NS$18)),0)</f>
        <v/>
      </c>
      <c r="HK18" s="18">
        <f>IF(AND(216&gt;=$NQ$18,216&lt;=$NR$18),IF($NO$18="Single_Point",IF(216=$NQ$18,$NM$18,0),IF($NO$18="Bell_Curve",$NM$18*(216-$NQ$18+1)*($NR$18-216+1)/$NT$18,$NM$18/$NS$18)),0)</f>
        <v/>
      </c>
      <c r="HL18" s="18">
        <f>IF(AND(217&gt;=$NQ$18,217&lt;=$NR$18),IF($NO$18="Single_Point",IF(217=$NQ$18,$NM$18,0),IF($NO$18="Bell_Curve",$NM$18*(217-$NQ$18+1)*($NR$18-217+1)/$NT$18,$NM$18/$NS$18)),0)</f>
        <v/>
      </c>
      <c r="HM18" s="18">
        <f>IF(AND(218&gt;=$NQ$18,218&lt;=$NR$18),IF($NO$18="Single_Point",IF(218=$NQ$18,$NM$18,0),IF($NO$18="Bell_Curve",$NM$18*(218-$NQ$18+1)*($NR$18-218+1)/$NT$18,$NM$18/$NS$18)),0)</f>
        <v/>
      </c>
      <c r="HN18" s="18">
        <f>IF(AND(219&gt;=$NQ$18,219&lt;=$NR$18),IF($NO$18="Single_Point",IF(219=$NQ$18,$NM$18,0),IF($NO$18="Bell_Curve",$NM$18*(219-$NQ$18+1)*($NR$18-219+1)/$NT$18,$NM$18/$NS$18)),0)</f>
        <v/>
      </c>
      <c r="HO18" s="18">
        <f>IF(AND(220&gt;=$NQ$18,220&lt;=$NR$18),IF($NO$18="Single_Point",IF(220=$NQ$18,$NM$18,0),IF($NO$18="Bell_Curve",$NM$18*(220-$NQ$18+1)*($NR$18-220+1)/$NT$18,$NM$18/$NS$18)),0)</f>
        <v/>
      </c>
      <c r="HP18" s="18">
        <f>IF(AND(221&gt;=$NQ$18,221&lt;=$NR$18),IF($NO$18="Single_Point",IF(221=$NQ$18,$NM$18,0),IF($NO$18="Bell_Curve",$NM$18*(221-$NQ$18+1)*($NR$18-221+1)/$NT$18,$NM$18/$NS$18)),0)</f>
        <v/>
      </c>
      <c r="HQ18" s="18">
        <f>IF(AND(222&gt;=$NQ$18,222&lt;=$NR$18),IF($NO$18="Single_Point",IF(222=$NQ$18,$NM$18,0),IF($NO$18="Bell_Curve",$NM$18*(222-$NQ$18+1)*($NR$18-222+1)/$NT$18,$NM$18/$NS$18)),0)</f>
        <v/>
      </c>
      <c r="HR18" s="18">
        <f>IF(AND(223&gt;=$NQ$18,223&lt;=$NR$18),IF($NO$18="Single_Point",IF(223=$NQ$18,$NM$18,0),IF($NO$18="Bell_Curve",$NM$18*(223-$NQ$18+1)*($NR$18-223+1)/$NT$18,$NM$18/$NS$18)),0)</f>
        <v/>
      </c>
      <c r="HS18" s="18">
        <f>IF(AND(224&gt;=$NQ$18,224&lt;=$NR$18),IF($NO$18="Single_Point",IF(224=$NQ$18,$NM$18,0),IF($NO$18="Bell_Curve",$NM$18*(224-$NQ$18+1)*($NR$18-224+1)/$NT$18,$NM$18/$NS$18)),0)</f>
        <v/>
      </c>
      <c r="HT18" s="18">
        <f>IF(AND(225&gt;=$NQ$18,225&lt;=$NR$18),IF($NO$18="Single_Point",IF(225=$NQ$18,$NM$18,0),IF($NO$18="Bell_Curve",$NM$18*(225-$NQ$18+1)*($NR$18-225+1)/$NT$18,$NM$18/$NS$18)),0)</f>
        <v/>
      </c>
      <c r="HU18" s="18">
        <f>IF(AND(226&gt;=$NQ$18,226&lt;=$NR$18),IF($NO$18="Single_Point",IF(226=$NQ$18,$NM$18,0),IF($NO$18="Bell_Curve",$NM$18*(226-$NQ$18+1)*($NR$18-226+1)/$NT$18,$NM$18/$NS$18)),0)</f>
        <v/>
      </c>
      <c r="HV18" s="18">
        <f>IF(AND(227&gt;=$NQ$18,227&lt;=$NR$18),IF($NO$18="Single_Point",IF(227=$NQ$18,$NM$18,0),IF($NO$18="Bell_Curve",$NM$18*(227-$NQ$18+1)*($NR$18-227+1)/$NT$18,$NM$18/$NS$18)),0)</f>
        <v/>
      </c>
      <c r="HW18" s="18">
        <f>IF(AND(228&gt;=$NQ$18,228&lt;=$NR$18),IF($NO$18="Single_Point",IF(228=$NQ$18,$NM$18,0),IF($NO$18="Bell_Curve",$NM$18*(228-$NQ$18+1)*($NR$18-228+1)/$NT$18,$NM$18/$NS$18)),0)</f>
        <v/>
      </c>
      <c r="HX18" s="18">
        <f>IF(AND(229&gt;=$NQ$18,229&lt;=$NR$18),IF($NO$18="Single_Point",IF(229=$NQ$18,$NM$18,0),IF($NO$18="Bell_Curve",$NM$18*(229-$NQ$18+1)*($NR$18-229+1)/$NT$18,$NM$18/$NS$18)),0)</f>
        <v/>
      </c>
      <c r="HY18" s="18">
        <f>IF(AND(230&gt;=$NQ$18,230&lt;=$NR$18),IF($NO$18="Single_Point",IF(230=$NQ$18,$NM$18,0),IF($NO$18="Bell_Curve",$NM$18*(230-$NQ$18+1)*($NR$18-230+1)/$NT$18,$NM$18/$NS$18)),0)</f>
        <v/>
      </c>
      <c r="HZ18" s="18">
        <f>IF(AND(231&gt;=$NQ$18,231&lt;=$NR$18),IF($NO$18="Single_Point",IF(231=$NQ$18,$NM$18,0),IF($NO$18="Bell_Curve",$NM$18*(231-$NQ$18+1)*($NR$18-231+1)/$NT$18,$NM$18/$NS$18)),0)</f>
        <v/>
      </c>
      <c r="IA18" s="18">
        <f>IF(AND(232&gt;=$NQ$18,232&lt;=$NR$18),IF($NO$18="Single_Point",IF(232=$NQ$18,$NM$18,0),IF($NO$18="Bell_Curve",$NM$18*(232-$NQ$18+1)*($NR$18-232+1)/$NT$18,$NM$18/$NS$18)),0)</f>
        <v/>
      </c>
      <c r="IB18" s="18">
        <f>IF(AND(233&gt;=$NQ$18,233&lt;=$NR$18),IF($NO$18="Single_Point",IF(233=$NQ$18,$NM$18,0),IF($NO$18="Bell_Curve",$NM$18*(233-$NQ$18+1)*($NR$18-233+1)/$NT$18,$NM$18/$NS$18)),0)</f>
        <v/>
      </c>
      <c r="IC18" s="18">
        <f>IF(AND(234&gt;=$NQ$18,234&lt;=$NR$18),IF($NO$18="Single_Point",IF(234=$NQ$18,$NM$18,0),IF($NO$18="Bell_Curve",$NM$18*(234-$NQ$18+1)*($NR$18-234+1)/$NT$18,$NM$18/$NS$18)),0)</f>
        <v/>
      </c>
      <c r="ID18" s="18">
        <f>IF(AND(235&gt;=$NQ$18,235&lt;=$NR$18),IF($NO$18="Single_Point",IF(235=$NQ$18,$NM$18,0),IF($NO$18="Bell_Curve",$NM$18*(235-$NQ$18+1)*($NR$18-235+1)/$NT$18,$NM$18/$NS$18)),0)</f>
        <v/>
      </c>
      <c r="IE18" s="18">
        <f>IF(AND(236&gt;=$NQ$18,236&lt;=$NR$18),IF($NO$18="Single_Point",IF(236=$NQ$18,$NM$18,0),IF($NO$18="Bell_Curve",$NM$18*(236-$NQ$18+1)*($NR$18-236+1)/$NT$18,$NM$18/$NS$18)),0)</f>
        <v/>
      </c>
      <c r="IF18" s="18">
        <f>IF(AND(237&gt;=$NQ$18,237&lt;=$NR$18),IF($NO$18="Single_Point",IF(237=$NQ$18,$NM$18,0),IF($NO$18="Bell_Curve",$NM$18*(237-$NQ$18+1)*($NR$18-237+1)/$NT$18,$NM$18/$NS$18)),0)</f>
        <v/>
      </c>
      <c r="IG18" s="18">
        <f>IF(AND(238&gt;=$NQ$18,238&lt;=$NR$18),IF($NO$18="Single_Point",IF(238=$NQ$18,$NM$18,0),IF($NO$18="Bell_Curve",$NM$18*(238-$NQ$18+1)*($NR$18-238+1)/$NT$18,$NM$18/$NS$18)),0)</f>
        <v/>
      </c>
      <c r="IH18" s="18">
        <f>IF(AND(239&gt;=$NQ$18,239&lt;=$NR$18),IF($NO$18="Single_Point",IF(239=$NQ$18,$NM$18,0),IF($NO$18="Bell_Curve",$NM$18*(239-$NQ$18+1)*($NR$18-239+1)/$NT$18,$NM$18/$NS$18)),0)</f>
        <v/>
      </c>
      <c r="II18" s="18">
        <f>IF(AND(240&gt;=$NQ$18,240&lt;=$NR$18),IF($NO$18="Single_Point",IF(240=$NQ$18,$NM$18,0),IF($NO$18="Bell_Curve",$NM$18*(240-$NQ$18+1)*($NR$18-240+1)/$NT$18,$NM$18/$NS$18)),0)</f>
        <v/>
      </c>
      <c r="IJ18" s="18">
        <f>IF(AND(241&gt;=$NQ$18,241&lt;=$NR$18),IF($NO$18="Single_Point",IF(241=$NQ$18,$NM$18,0),IF($NO$18="Bell_Curve",$NM$18*(241-$NQ$18+1)*($NR$18-241+1)/$NT$18,$NM$18/$NS$18)),0)</f>
        <v/>
      </c>
      <c r="IK18" s="18">
        <f>IF(AND(242&gt;=$NQ$18,242&lt;=$NR$18),IF($NO$18="Single_Point",IF(242=$NQ$18,$NM$18,0),IF($NO$18="Bell_Curve",$NM$18*(242-$NQ$18+1)*($NR$18-242+1)/$NT$18,$NM$18/$NS$18)),0)</f>
        <v/>
      </c>
      <c r="IL18" s="18">
        <f>IF(AND(243&gt;=$NQ$18,243&lt;=$NR$18),IF($NO$18="Single_Point",IF(243=$NQ$18,$NM$18,0),IF($NO$18="Bell_Curve",$NM$18*(243-$NQ$18+1)*($NR$18-243+1)/$NT$18,$NM$18/$NS$18)),0)</f>
        <v/>
      </c>
      <c r="IM18" s="18">
        <f>IF(AND(244&gt;=$NQ$18,244&lt;=$NR$18),IF($NO$18="Single_Point",IF(244=$NQ$18,$NM$18,0),IF($NO$18="Bell_Curve",$NM$18*(244-$NQ$18+1)*($NR$18-244+1)/$NT$18,$NM$18/$NS$18)),0)</f>
        <v/>
      </c>
      <c r="IN18" s="18">
        <f>IF(AND(245&gt;=$NQ$18,245&lt;=$NR$18),IF($NO$18="Single_Point",IF(245=$NQ$18,$NM$18,0),IF($NO$18="Bell_Curve",$NM$18*(245-$NQ$18+1)*($NR$18-245+1)/$NT$18,$NM$18/$NS$18)),0)</f>
        <v/>
      </c>
      <c r="IO18" s="18">
        <f>IF(AND(246&gt;=$NQ$18,246&lt;=$NR$18),IF($NO$18="Single_Point",IF(246=$NQ$18,$NM$18,0),IF($NO$18="Bell_Curve",$NM$18*(246-$NQ$18+1)*($NR$18-246+1)/$NT$18,$NM$18/$NS$18)),0)</f>
        <v/>
      </c>
      <c r="IP18" s="18">
        <f>IF(AND(247&gt;=$NQ$18,247&lt;=$NR$18),IF($NO$18="Single_Point",IF(247=$NQ$18,$NM$18,0),IF($NO$18="Bell_Curve",$NM$18*(247-$NQ$18+1)*($NR$18-247+1)/$NT$18,$NM$18/$NS$18)),0)</f>
        <v/>
      </c>
      <c r="IQ18" s="18">
        <f>IF(AND(248&gt;=$NQ$18,248&lt;=$NR$18),IF($NO$18="Single_Point",IF(248=$NQ$18,$NM$18,0),IF($NO$18="Bell_Curve",$NM$18*(248-$NQ$18+1)*($NR$18-248+1)/$NT$18,$NM$18/$NS$18)),0)</f>
        <v/>
      </c>
      <c r="IR18" s="18">
        <f>IF(AND(249&gt;=$NQ$18,249&lt;=$NR$18),IF($NO$18="Single_Point",IF(249=$NQ$18,$NM$18,0),IF($NO$18="Bell_Curve",$NM$18*(249-$NQ$18+1)*($NR$18-249+1)/$NT$18,$NM$18/$NS$18)),0)</f>
        <v/>
      </c>
      <c r="IS18" s="18">
        <f>IF(AND(250&gt;=$NQ$18,250&lt;=$NR$18),IF($NO$18="Single_Point",IF(250=$NQ$18,$NM$18,0),IF($NO$18="Bell_Curve",$NM$18*(250-$NQ$18+1)*($NR$18-250+1)/$NT$18,$NM$18/$NS$18)),0)</f>
        <v/>
      </c>
      <c r="IT18" s="18">
        <f>IF(AND(251&gt;=$NQ$18,251&lt;=$NR$18),IF($NO$18="Single_Point",IF(251=$NQ$18,$NM$18,0),IF($NO$18="Bell_Curve",$NM$18*(251-$NQ$18+1)*($NR$18-251+1)/$NT$18,$NM$18/$NS$18)),0)</f>
        <v/>
      </c>
      <c r="IU18" s="18">
        <f>IF(AND(252&gt;=$NQ$18,252&lt;=$NR$18),IF($NO$18="Single_Point",IF(252=$NQ$18,$NM$18,0),IF($NO$18="Bell_Curve",$NM$18*(252-$NQ$18+1)*($NR$18-252+1)/$NT$18,$NM$18/$NS$18)),0)</f>
        <v/>
      </c>
      <c r="IV18" s="18">
        <f>IF(AND(253&gt;=$NQ$18,253&lt;=$NR$18),IF($NO$18="Single_Point",IF(253=$NQ$18,$NM$18,0),IF($NO$18="Bell_Curve",$NM$18*(253-$NQ$18+1)*($NR$18-253+1)/$NT$18,$NM$18/$NS$18)),0)</f>
        <v/>
      </c>
      <c r="IW18" s="18">
        <f>IF(AND(254&gt;=$NQ$18,254&lt;=$NR$18),IF($NO$18="Single_Point",IF(254=$NQ$18,$NM$18,0),IF($NO$18="Bell_Curve",$NM$18*(254-$NQ$18+1)*($NR$18-254+1)/$NT$18,$NM$18/$NS$18)),0)</f>
        <v/>
      </c>
      <c r="IX18" s="18">
        <f>IF(AND(255&gt;=$NQ$18,255&lt;=$NR$18),IF($NO$18="Single_Point",IF(255=$NQ$18,$NM$18,0),IF($NO$18="Bell_Curve",$NM$18*(255-$NQ$18+1)*($NR$18-255+1)/$NT$18,$NM$18/$NS$18)),0)</f>
        <v/>
      </c>
      <c r="IY18" s="18">
        <f>IF(AND(256&gt;=$NQ$18,256&lt;=$NR$18),IF($NO$18="Single_Point",IF(256=$NQ$18,$NM$18,0),IF($NO$18="Bell_Curve",$NM$18*(256-$NQ$18+1)*($NR$18-256+1)/$NT$18,$NM$18/$NS$18)),0)</f>
        <v/>
      </c>
      <c r="IZ18" s="18">
        <f>IF(AND(257&gt;=$NQ$18,257&lt;=$NR$18),IF($NO$18="Single_Point",IF(257=$NQ$18,$NM$18,0),IF($NO$18="Bell_Curve",$NM$18*(257-$NQ$18+1)*($NR$18-257+1)/$NT$18,$NM$18/$NS$18)),0)</f>
        <v/>
      </c>
      <c r="JA18" s="18">
        <f>IF(AND(258&gt;=$NQ$18,258&lt;=$NR$18),IF($NO$18="Single_Point",IF(258=$NQ$18,$NM$18,0),IF($NO$18="Bell_Curve",$NM$18*(258-$NQ$18+1)*($NR$18-258+1)/$NT$18,$NM$18/$NS$18)),0)</f>
        <v/>
      </c>
      <c r="JB18" s="18">
        <f>IF(AND(259&gt;=$NQ$18,259&lt;=$NR$18),IF($NO$18="Single_Point",IF(259=$NQ$18,$NM$18,0),IF($NO$18="Bell_Curve",$NM$18*(259-$NQ$18+1)*($NR$18-259+1)/$NT$18,$NM$18/$NS$18)),0)</f>
        <v/>
      </c>
      <c r="JC18" s="18">
        <f>IF(AND(260&gt;=$NQ$18,260&lt;=$NR$18),IF($NO$18="Single_Point",IF(260=$NQ$18,$NM$18,0),IF($NO$18="Bell_Curve",$NM$18*(260-$NQ$18+1)*($NR$18-260+1)/$NT$18,$NM$18/$NS$18)),0)</f>
        <v/>
      </c>
      <c r="JD18" s="18">
        <f>IF(AND(261&gt;=$NQ$18,261&lt;=$NR$18),IF($NO$18="Single_Point",IF(261=$NQ$18,$NM$18,0),IF($NO$18="Bell_Curve",$NM$18*(261-$NQ$18+1)*($NR$18-261+1)/$NT$18,$NM$18/$NS$18)),0)</f>
        <v/>
      </c>
      <c r="JE18" s="18">
        <f>IF(AND(262&gt;=$NQ$18,262&lt;=$NR$18),IF($NO$18="Single_Point",IF(262=$NQ$18,$NM$18,0),IF($NO$18="Bell_Curve",$NM$18*(262-$NQ$18+1)*($NR$18-262+1)/$NT$18,$NM$18/$NS$18)),0)</f>
        <v/>
      </c>
      <c r="JF18" s="18">
        <f>IF(AND(263&gt;=$NQ$18,263&lt;=$NR$18),IF($NO$18="Single_Point",IF(263=$NQ$18,$NM$18,0),IF($NO$18="Bell_Curve",$NM$18*(263-$NQ$18+1)*($NR$18-263+1)/$NT$18,$NM$18/$NS$18)),0)</f>
        <v/>
      </c>
      <c r="JG18" s="18">
        <f>IF(AND(264&gt;=$NQ$18,264&lt;=$NR$18),IF($NO$18="Single_Point",IF(264=$NQ$18,$NM$18,0),IF($NO$18="Bell_Curve",$NM$18*(264-$NQ$18+1)*($NR$18-264+1)/$NT$18,$NM$18/$NS$18)),0)</f>
        <v/>
      </c>
      <c r="JH18" s="18">
        <f>IF(AND(265&gt;=$NQ$18,265&lt;=$NR$18),IF($NO$18="Single_Point",IF(265=$NQ$18,$NM$18,0),IF($NO$18="Bell_Curve",$NM$18*(265-$NQ$18+1)*($NR$18-265+1)/$NT$18,$NM$18/$NS$18)),0)</f>
        <v/>
      </c>
      <c r="JI18" s="18">
        <f>IF(AND(266&gt;=$NQ$18,266&lt;=$NR$18),IF($NO$18="Single_Point",IF(266=$NQ$18,$NM$18,0),IF($NO$18="Bell_Curve",$NM$18*(266-$NQ$18+1)*($NR$18-266+1)/$NT$18,$NM$18/$NS$18)),0)</f>
        <v/>
      </c>
      <c r="JJ18" s="18">
        <f>IF(AND(267&gt;=$NQ$18,267&lt;=$NR$18),IF($NO$18="Single_Point",IF(267=$NQ$18,$NM$18,0),IF($NO$18="Bell_Curve",$NM$18*(267-$NQ$18+1)*($NR$18-267+1)/$NT$18,$NM$18/$NS$18)),0)</f>
        <v/>
      </c>
      <c r="JK18" s="18">
        <f>IF(AND(268&gt;=$NQ$18,268&lt;=$NR$18),IF($NO$18="Single_Point",IF(268=$NQ$18,$NM$18,0),IF($NO$18="Bell_Curve",$NM$18*(268-$NQ$18+1)*($NR$18-268+1)/$NT$18,$NM$18/$NS$18)),0)</f>
        <v/>
      </c>
      <c r="JL18" s="18">
        <f>IF(AND(269&gt;=$NQ$18,269&lt;=$NR$18),IF($NO$18="Single_Point",IF(269=$NQ$18,$NM$18,0),IF($NO$18="Bell_Curve",$NM$18*(269-$NQ$18+1)*($NR$18-269+1)/$NT$18,$NM$18/$NS$18)),0)</f>
        <v/>
      </c>
      <c r="JM18" s="18">
        <f>IF(AND(270&gt;=$NQ$18,270&lt;=$NR$18),IF($NO$18="Single_Point",IF(270=$NQ$18,$NM$18,0),IF($NO$18="Bell_Curve",$NM$18*(270-$NQ$18+1)*($NR$18-270+1)/$NT$18,$NM$18/$NS$18)),0)</f>
        <v/>
      </c>
      <c r="JN18" s="18">
        <f>IF(AND(271&gt;=$NQ$18,271&lt;=$NR$18),IF($NO$18="Single_Point",IF(271=$NQ$18,$NM$18,0),IF($NO$18="Bell_Curve",$NM$18*(271-$NQ$18+1)*($NR$18-271+1)/$NT$18,$NM$18/$NS$18)),0)</f>
        <v/>
      </c>
      <c r="JO18" s="18">
        <f>IF(AND(272&gt;=$NQ$18,272&lt;=$NR$18),IF($NO$18="Single_Point",IF(272=$NQ$18,$NM$18,0),IF($NO$18="Bell_Curve",$NM$18*(272-$NQ$18+1)*($NR$18-272+1)/$NT$18,$NM$18/$NS$18)),0)</f>
        <v/>
      </c>
      <c r="JP18" s="18">
        <f>IF(AND(273&gt;=$NQ$18,273&lt;=$NR$18),IF($NO$18="Single_Point",IF(273=$NQ$18,$NM$18,0),IF($NO$18="Bell_Curve",$NM$18*(273-$NQ$18+1)*($NR$18-273+1)/$NT$18,$NM$18/$NS$18)),0)</f>
        <v/>
      </c>
      <c r="JQ18" s="18">
        <f>IF(AND(274&gt;=$NQ$18,274&lt;=$NR$18),IF($NO$18="Single_Point",IF(274=$NQ$18,$NM$18,0),IF($NO$18="Bell_Curve",$NM$18*(274-$NQ$18+1)*($NR$18-274+1)/$NT$18,$NM$18/$NS$18)),0)</f>
        <v/>
      </c>
      <c r="JR18" s="18">
        <f>IF(AND(275&gt;=$NQ$18,275&lt;=$NR$18),IF($NO$18="Single_Point",IF(275=$NQ$18,$NM$18,0),IF($NO$18="Bell_Curve",$NM$18*(275-$NQ$18+1)*($NR$18-275+1)/$NT$18,$NM$18/$NS$18)),0)</f>
        <v/>
      </c>
      <c r="JS18" s="18">
        <f>IF(AND(276&gt;=$NQ$18,276&lt;=$NR$18),IF($NO$18="Single_Point",IF(276=$NQ$18,$NM$18,0),IF($NO$18="Bell_Curve",$NM$18*(276-$NQ$18+1)*($NR$18-276+1)/$NT$18,$NM$18/$NS$18)),0)</f>
        <v/>
      </c>
      <c r="JT18" s="18">
        <f>IF(AND(277&gt;=$NQ$18,277&lt;=$NR$18),IF($NO$18="Single_Point",IF(277=$NQ$18,$NM$18,0),IF($NO$18="Bell_Curve",$NM$18*(277-$NQ$18+1)*($NR$18-277+1)/$NT$18,$NM$18/$NS$18)),0)</f>
        <v/>
      </c>
      <c r="JU18" s="18">
        <f>IF(AND(278&gt;=$NQ$18,278&lt;=$NR$18),IF($NO$18="Single_Point",IF(278=$NQ$18,$NM$18,0),IF($NO$18="Bell_Curve",$NM$18*(278-$NQ$18+1)*($NR$18-278+1)/$NT$18,$NM$18/$NS$18)),0)</f>
        <v/>
      </c>
      <c r="JV18" s="18">
        <f>IF(AND(279&gt;=$NQ$18,279&lt;=$NR$18),IF($NO$18="Single_Point",IF(279=$NQ$18,$NM$18,0),IF($NO$18="Bell_Curve",$NM$18*(279-$NQ$18+1)*($NR$18-279+1)/$NT$18,$NM$18/$NS$18)),0)</f>
        <v/>
      </c>
      <c r="JW18" s="18">
        <f>IF(AND(280&gt;=$NQ$18,280&lt;=$NR$18),IF($NO$18="Single_Point",IF(280=$NQ$18,$NM$18,0),IF($NO$18="Bell_Curve",$NM$18*(280-$NQ$18+1)*($NR$18-280+1)/$NT$18,$NM$18/$NS$18)),0)</f>
        <v/>
      </c>
      <c r="JX18" s="18">
        <f>IF(AND(281&gt;=$NQ$18,281&lt;=$NR$18),IF($NO$18="Single_Point",IF(281=$NQ$18,$NM$18,0),IF($NO$18="Bell_Curve",$NM$18*(281-$NQ$18+1)*($NR$18-281+1)/$NT$18,$NM$18/$NS$18)),0)</f>
        <v/>
      </c>
      <c r="JY18" s="18">
        <f>IF(AND(282&gt;=$NQ$18,282&lt;=$NR$18),IF($NO$18="Single_Point",IF(282=$NQ$18,$NM$18,0),IF($NO$18="Bell_Curve",$NM$18*(282-$NQ$18+1)*($NR$18-282+1)/$NT$18,$NM$18/$NS$18)),0)</f>
        <v/>
      </c>
      <c r="JZ18" s="18">
        <f>IF(AND(283&gt;=$NQ$18,283&lt;=$NR$18),IF($NO$18="Single_Point",IF(283=$NQ$18,$NM$18,0),IF($NO$18="Bell_Curve",$NM$18*(283-$NQ$18+1)*($NR$18-283+1)/$NT$18,$NM$18/$NS$18)),0)</f>
        <v/>
      </c>
      <c r="KA18" s="18">
        <f>IF(AND(284&gt;=$NQ$18,284&lt;=$NR$18),IF($NO$18="Single_Point",IF(284=$NQ$18,$NM$18,0),IF($NO$18="Bell_Curve",$NM$18*(284-$NQ$18+1)*($NR$18-284+1)/$NT$18,$NM$18/$NS$18)),0)</f>
        <v/>
      </c>
      <c r="KB18" s="18">
        <f>IF(AND(285&gt;=$NQ$18,285&lt;=$NR$18),IF($NO$18="Single_Point",IF(285=$NQ$18,$NM$18,0),IF($NO$18="Bell_Curve",$NM$18*(285-$NQ$18+1)*($NR$18-285+1)/$NT$18,$NM$18/$NS$18)),0)</f>
        <v/>
      </c>
      <c r="KC18" s="18">
        <f>IF(AND(286&gt;=$NQ$18,286&lt;=$NR$18),IF($NO$18="Single_Point",IF(286=$NQ$18,$NM$18,0),IF($NO$18="Bell_Curve",$NM$18*(286-$NQ$18+1)*($NR$18-286+1)/$NT$18,$NM$18/$NS$18)),0)</f>
        <v/>
      </c>
      <c r="KD18" s="18">
        <f>IF(AND(287&gt;=$NQ$18,287&lt;=$NR$18),IF($NO$18="Single_Point",IF(287=$NQ$18,$NM$18,0),IF($NO$18="Bell_Curve",$NM$18*(287-$NQ$18+1)*($NR$18-287+1)/$NT$18,$NM$18/$NS$18)),0)</f>
        <v/>
      </c>
      <c r="KE18" s="18">
        <f>IF(AND(288&gt;=$NQ$18,288&lt;=$NR$18),IF($NO$18="Single_Point",IF(288=$NQ$18,$NM$18,0),IF($NO$18="Bell_Curve",$NM$18*(288-$NQ$18+1)*($NR$18-288+1)/$NT$18,$NM$18/$NS$18)),0)</f>
        <v/>
      </c>
      <c r="KF18" s="18">
        <f>IF(AND(289&gt;=$NQ$18,289&lt;=$NR$18),IF($NO$18="Single_Point",IF(289=$NQ$18,$NM$18,0),IF($NO$18="Bell_Curve",$NM$18*(289-$NQ$18+1)*($NR$18-289+1)/$NT$18,$NM$18/$NS$18)),0)</f>
        <v/>
      </c>
      <c r="KG18" s="18">
        <f>IF(AND(290&gt;=$NQ$18,290&lt;=$NR$18),IF($NO$18="Single_Point",IF(290=$NQ$18,$NM$18,0),IF($NO$18="Bell_Curve",$NM$18*(290-$NQ$18+1)*($NR$18-290+1)/$NT$18,$NM$18/$NS$18)),0)</f>
        <v/>
      </c>
      <c r="KH18" s="18">
        <f>IF(AND(291&gt;=$NQ$18,291&lt;=$NR$18),IF($NO$18="Single_Point",IF(291=$NQ$18,$NM$18,0),IF($NO$18="Bell_Curve",$NM$18*(291-$NQ$18+1)*($NR$18-291+1)/$NT$18,$NM$18/$NS$18)),0)</f>
        <v/>
      </c>
      <c r="KI18" s="18">
        <f>IF(AND(292&gt;=$NQ$18,292&lt;=$NR$18),IF($NO$18="Single_Point",IF(292=$NQ$18,$NM$18,0),IF($NO$18="Bell_Curve",$NM$18*(292-$NQ$18+1)*($NR$18-292+1)/$NT$18,$NM$18/$NS$18)),0)</f>
        <v/>
      </c>
      <c r="KJ18" s="18">
        <f>IF(AND(293&gt;=$NQ$18,293&lt;=$NR$18),IF($NO$18="Single_Point",IF(293=$NQ$18,$NM$18,0),IF($NO$18="Bell_Curve",$NM$18*(293-$NQ$18+1)*($NR$18-293+1)/$NT$18,$NM$18/$NS$18)),0)</f>
        <v/>
      </c>
      <c r="KK18" s="18">
        <f>IF(AND(294&gt;=$NQ$18,294&lt;=$NR$18),IF($NO$18="Single_Point",IF(294=$NQ$18,$NM$18,0),IF($NO$18="Bell_Curve",$NM$18*(294-$NQ$18+1)*($NR$18-294+1)/$NT$18,$NM$18/$NS$18)),0)</f>
        <v/>
      </c>
      <c r="KL18" s="18">
        <f>IF(AND(295&gt;=$NQ$18,295&lt;=$NR$18),IF($NO$18="Single_Point",IF(295=$NQ$18,$NM$18,0),IF($NO$18="Bell_Curve",$NM$18*(295-$NQ$18+1)*($NR$18-295+1)/$NT$18,$NM$18/$NS$18)),0)</f>
        <v/>
      </c>
      <c r="KM18" s="18">
        <f>IF(AND(296&gt;=$NQ$18,296&lt;=$NR$18),IF($NO$18="Single_Point",IF(296=$NQ$18,$NM$18,0),IF($NO$18="Bell_Curve",$NM$18*(296-$NQ$18+1)*($NR$18-296+1)/$NT$18,$NM$18/$NS$18)),0)</f>
        <v/>
      </c>
      <c r="KN18" s="18">
        <f>IF(AND(297&gt;=$NQ$18,297&lt;=$NR$18),IF($NO$18="Single_Point",IF(297=$NQ$18,$NM$18,0),IF($NO$18="Bell_Curve",$NM$18*(297-$NQ$18+1)*($NR$18-297+1)/$NT$18,$NM$18/$NS$18)),0)</f>
        <v/>
      </c>
      <c r="KO18" s="18">
        <f>IF(AND(298&gt;=$NQ$18,298&lt;=$NR$18),IF($NO$18="Single_Point",IF(298=$NQ$18,$NM$18,0),IF($NO$18="Bell_Curve",$NM$18*(298-$NQ$18+1)*($NR$18-298+1)/$NT$18,$NM$18/$NS$18)),0)</f>
        <v/>
      </c>
      <c r="KP18" s="18">
        <f>IF(AND(299&gt;=$NQ$18,299&lt;=$NR$18),IF($NO$18="Single_Point",IF(299=$NQ$18,$NM$18,0),IF($NO$18="Bell_Curve",$NM$18*(299-$NQ$18+1)*($NR$18-299+1)/$NT$18,$NM$18/$NS$18)),0)</f>
        <v/>
      </c>
      <c r="KQ18" s="18">
        <f>IF(AND(300&gt;=$NQ$18,300&lt;=$NR$18),IF($NO$18="Single_Point",IF(300=$NQ$18,$NM$18,0),IF($NO$18="Bell_Curve",$NM$18*(300-$NQ$18+1)*($NR$18-300+1)/$NT$18,$NM$18/$NS$18)),0)</f>
        <v/>
      </c>
      <c r="KR18" s="18">
        <f>IF(AND(301&gt;=$NQ$18,301&lt;=$NR$18),IF($NO$18="Single_Point",IF(301=$NQ$18,$NM$18,0),IF($NO$18="Bell_Curve",$NM$18*(301-$NQ$18+1)*($NR$18-301+1)/$NT$18,$NM$18/$NS$18)),0)</f>
        <v/>
      </c>
      <c r="KS18" s="18">
        <f>IF(AND(302&gt;=$NQ$18,302&lt;=$NR$18),IF($NO$18="Single_Point",IF(302=$NQ$18,$NM$18,0),IF($NO$18="Bell_Curve",$NM$18*(302-$NQ$18+1)*($NR$18-302+1)/$NT$18,$NM$18/$NS$18)),0)</f>
        <v/>
      </c>
      <c r="KT18" s="18">
        <f>IF(AND(303&gt;=$NQ$18,303&lt;=$NR$18),IF($NO$18="Single_Point",IF(303=$NQ$18,$NM$18,0),IF($NO$18="Bell_Curve",$NM$18*(303-$NQ$18+1)*($NR$18-303+1)/$NT$18,$NM$18/$NS$18)),0)</f>
        <v/>
      </c>
      <c r="KU18" s="18">
        <f>IF(AND(304&gt;=$NQ$18,304&lt;=$NR$18),IF($NO$18="Single_Point",IF(304=$NQ$18,$NM$18,0),IF($NO$18="Bell_Curve",$NM$18*(304-$NQ$18+1)*($NR$18-304+1)/$NT$18,$NM$18/$NS$18)),0)</f>
        <v/>
      </c>
      <c r="KV18" s="18">
        <f>IF(AND(305&gt;=$NQ$18,305&lt;=$NR$18),IF($NO$18="Single_Point",IF(305=$NQ$18,$NM$18,0),IF($NO$18="Bell_Curve",$NM$18*(305-$NQ$18+1)*($NR$18-305+1)/$NT$18,$NM$18/$NS$18)),0)</f>
        <v/>
      </c>
      <c r="KW18" s="18">
        <f>IF(AND(306&gt;=$NQ$18,306&lt;=$NR$18),IF($NO$18="Single_Point",IF(306=$NQ$18,$NM$18,0),IF($NO$18="Bell_Curve",$NM$18*(306-$NQ$18+1)*($NR$18-306+1)/$NT$18,$NM$18/$NS$18)),0)</f>
        <v/>
      </c>
      <c r="KX18" s="18">
        <f>IF(AND(307&gt;=$NQ$18,307&lt;=$NR$18),IF($NO$18="Single_Point",IF(307=$NQ$18,$NM$18,0),IF($NO$18="Bell_Curve",$NM$18*(307-$NQ$18+1)*($NR$18-307+1)/$NT$18,$NM$18/$NS$18)),0)</f>
        <v/>
      </c>
      <c r="KY18" s="18">
        <f>IF(AND(308&gt;=$NQ$18,308&lt;=$NR$18),IF($NO$18="Single_Point",IF(308=$NQ$18,$NM$18,0),IF($NO$18="Bell_Curve",$NM$18*(308-$NQ$18+1)*($NR$18-308+1)/$NT$18,$NM$18/$NS$18)),0)</f>
        <v/>
      </c>
      <c r="KZ18" s="18">
        <f>IF(AND(309&gt;=$NQ$18,309&lt;=$NR$18),IF($NO$18="Single_Point",IF(309=$NQ$18,$NM$18,0),IF($NO$18="Bell_Curve",$NM$18*(309-$NQ$18+1)*($NR$18-309+1)/$NT$18,$NM$18/$NS$18)),0)</f>
        <v/>
      </c>
      <c r="LA18" s="18">
        <f>IF(AND(310&gt;=$NQ$18,310&lt;=$NR$18),IF($NO$18="Single_Point",IF(310=$NQ$18,$NM$18,0),IF($NO$18="Bell_Curve",$NM$18*(310-$NQ$18+1)*($NR$18-310+1)/$NT$18,$NM$18/$NS$18)),0)</f>
        <v/>
      </c>
      <c r="LB18" s="18">
        <f>IF(AND(311&gt;=$NQ$18,311&lt;=$NR$18),IF($NO$18="Single_Point",IF(311=$NQ$18,$NM$18,0),IF($NO$18="Bell_Curve",$NM$18*(311-$NQ$18+1)*($NR$18-311+1)/$NT$18,$NM$18/$NS$18)),0)</f>
        <v/>
      </c>
      <c r="LC18" s="18">
        <f>IF(AND(312&gt;=$NQ$18,312&lt;=$NR$18),IF($NO$18="Single_Point",IF(312=$NQ$18,$NM$18,0),IF($NO$18="Bell_Curve",$NM$18*(312-$NQ$18+1)*($NR$18-312+1)/$NT$18,$NM$18/$NS$18)),0)</f>
        <v/>
      </c>
      <c r="LD18" s="18">
        <f>IF(AND(313&gt;=$NQ$18,313&lt;=$NR$18),IF($NO$18="Single_Point",IF(313=$NQ$18,$NM$18,0),IF($NO$18="Bell_Curve",$NM$18*(313-$NQ$18+1)*($NR$18-313+1)/$NT$18,$NM$18/$NS$18)),0)</f>
        <v/>
      </c>
      <c r="LE18" s="18">
        <f>IF(AND(314&gt;=$NQ$18,314&lt;=$NR$18),IF($NO$18="Single_Point",IF(314=$NQ$18,$NM$18,0),IF($NO$18="Bell_Curve",$NM$18*(314-$NQ$18+1)*($NR$18-314+1)/$NT$18,$NM$18/$NS$18)),0)</f>
        <v/>
      </c>
      <c r="LF18" s="18">
        <f>IF(AND(315&gt;=$NQ$18,315&lt;=$NR$18),IF($NO$18="Single_Point",IF(315=$NQ$18,$NM$18,0),IF($NO$18="Bell_Curve",$NM$18*(315-$NQ$18+1)*($NR$18-315+1)/$NT$18,$NM$18/$NS$18)),0)</f>
        <v/>
      </c>
      <c r="LG18" s="18">
        <f>IF(AND(316&gt;=$NQ$18,316&lt;=$NR$18),IF($NO$18="Single_Point",IF(316=$NQ$18,$NM$18,0),IF($NO$18="Bell_Curve",$NM$18*(316-$NQ$18+1)*($NR$18-316+1)/$NT$18,$NM$18/$NS$18)),0)</f>
        <v/>
      </c>
      <c r="LH18" s="18">
        <f>IF(AND(317&gt;=$NQ$18,317&lt;=$NR$18),IF($NO$18="Single_Point",IF(317=$NQ$18,$NM$18,0),IF($NO$18="Bell_Curve",$NM$18*(317-$NQ$18+1)*($NR$18-317+1)/$NT$18,$NM$18/$NS$18)),0)</f>
        <v/>
      </c>
      <c r="LI18" s="18">
        <f>IF(AND(318&gt;=$NQ$18,318&lt;=$NR$18),IF($NO$18="Single_Point",IF(318=$NQ$18,$NM$18,0),IF($NO$18="Bell_Curve",$NM$18*(318-$NQ$18+1)*($NR$18-318+1)/$NT$18,$NM$18/$NS$18)),0)</f>
        <v/>
      </c>
      <c r="LJ18" s="18">
        <f>IF(AND(319&gt;=$NQ$18,319&lt;=$NR$18),IF($NO$18="Single_Point",IF(319=$NQ$18,$NM$18,0),IF($NO$18="Bell_Curve",$NM$18*(319-$NQ$18+1)*($NR$18-319+1)/$NT$18,$NM$18/$NS$18)),0)</f>
        <v/>
      </c>
      <c r="LK18" s="18">
        <f>IF(AND(320&gt;=$NQ$18,320&lt;=$NR$18),IF($NO$18="Single_Point",IF(320=$NQ$18,$NM$18,0),IF($NO$18="Bell_Curve",$NM$18*(320-$NQ$18+1)*($NR$18-320+1)/$NT$18,$NM$18/$NS$18)),0)</f>
        <v/>
      </c>
      <c r="LL18" s="18">
        <f>IF(AND(321&gt;=$NQ$18,321&lt;=$NR$18),IF($NO$18="Single_Point",IF(321=$NQ$18,$NM$18,0),IF($NO$18="Bell_Curve",$NM$18*(321-$NQ$18+1)*($NR$18-321+1)/$NT$18,$NM$18/$NS$18)),0)</f>
        <v/>
      </c>
      <c r="LM18" s="18">
        <f>IF(AND(322&gt;=$NQ$18,322&lt;=$NR$18),IF($NO$18="Single_Point",IF(322=$NQ$18,$NM$18,0),IF($NO$18="Bell_Curve",$NM$18*(322-$NQ$18+1)*($NR$18-322+1)/$NT$18,$NM$18/$NS$18)),0)</f>
        <v/>
      </c>
      <c r="LN18" s="18">
        <f>IF(AND(323&gt;=$NQ$18,323&lt;=$NR$18),IF($NO$18="Single_Point",IF(323=$NQ$18,$NM$18,0),IF($NO$18="Bell_Curve",$NM$18*(323-$NQ$18+1)*($NR$18-323+1)/$NT$18,$NM$18/$NS$18)),0)</f>
        <v/>
      </c>
      <c r="LO18" s="18">
        <f>IF(AND(324&gt;=$NQ$18,324&lt;=$NR$18),IF($NO$18="Single_Point",IF(324=$NQ$18,$NM$18,0),IF($NO$18="Bell_Curve",$NM$18*(324-$NQ$18+1)*($NR$18-324+1)/$NT$18,$NM$18/$NS$18)),0)</f>
        <v/>
      </c>
      <c r="LP18" s="18">
        <f>IF(AND(325&gt;=$NQ$18,325&lt;=$NR$18),IF($NO$18="Single_Point",IF(325=$NQ$18,$NM$18,0),IF($NO$18="Bell_Curve",$NM$18*(325-$NQ$18+1)*($NR$18-325+1)/$NT$18,$NM$18/$NS$18)),0)</f>
        <v/>
      </c>
      <c r="LQ18" s="18">
        <f>IF(AND(326&gt;=$NQ$18,326&lt;=$NR$18),IF($NO$18="Single_Point",IF(326=$NQ$18,$NM$18,0),IF($NO$18="Bell_Curve",$NM$18*(326-$NQ$18+1)*($NR$18-326+1)/$NT$18,$NM$18/$NS$18)),0)</f>
        <v/>
      </c>
      <c r="LR18" s="18">
        <f>IF(AND(327&gt;=$NQ$18,327&lt;=$NR$18),IF($NO$18="Single_Point",IF(327=$NQ$18,$NM$18,0),IF($NO$18="Bell_Curve",$NM$18*(327-$NQ$18+1)*($NR$18-327+1)/$NT$18,$NM$18/$NS$18)),0)</f>
        <v/>
      </c>
      <c r="LS18" s="18">
        <f>IF(AND(328&gt;=$NQ$18,328&lt;=$NR$18),IF($NO$18="Single_Point",IF(328=$NQ$18,$NM$18,0),IF($NO$18="Bell_Curve",$NM$18*(328-$NQ$18+1)*($NR$18-328+1)/$NT$18,$NM$18/$NS$18)),0)</f>
        <v/>
      </c>
      <c r="LT18" s="18">
        <f>IF(AND(329&gt;=$NQ$18,329&lt;=$NR$18),IF($NO$18="Single_Point",IF(329=$NQ$18,$NM$18,0),IF($NO$18="Bell_Curve",$NM$18*(329-$NQ$18+1)*($NR$18-329+1)/$NT$18,$NM$18/$NS$18)),0)</f>
        <v/>
      </c>
      <c r="LU18" s="18">
        <f>IF(AND(330&gt;=$NQ$18,330&lt;=$NR$18),IF($NO$18="Single_Point",IF(330=$NQ$18,$NM$18,0),IF($NO$18="Bell_Curve",$NM$18*(330-$NQ$18+1)*($NR$18-330+1)/$NT$18,$NM$18/$NS$18)),0)</f>
        <v/>
      </c>
      <c r="LV18" s="18">
        <f>IF(AND(331&gt;=$NQ$18,331&lt;=$NR$18),IF($NO$18="Single_Point",IF(331=$NQ$18,$NM$18,0),IF($NO$18="Bell_Curve",$NM$18*(331-$NQ$18+1)*($NR$18-331+1)/$NT$18,$NM$18/$NS$18)),0)</f>
        <v/>
      </c>
      <c r="LW18" s="18">
        <f>IF(AND(332&gt;=$NQ$18,332&lt;=$NR$18),IF($NO$18="Single_Point",IF(332=$NQ$18,$NM$18,0),IF($NO$18="Bell_Curve",$NM$18*(332-$NQ$18+1)*($NR$18-332+1)/$NT$18,$NM$18/$NS$18)),0)</f>
        <v/>
      </c>
      <c r="LX18" s="18">
        <f>IF(AND(333&gt;=$NQ$18,333&lt;=$NR$18),IF($NO$18="Single_Point",IF(333=$NQ$18,$NM$18,0),IF($NO$18="Bell_Curve",$NM$18*(333-$NQ$18+1)*($NR$18-333+1)/$NT$18,$NM$18/$NS$18)),0)</f>
        <v/>
      </c>
      <c r="LY18" s="18">
        <f>IF(AND(334&gt;=$NQ$18,334&lt;=$NR$18),IF($NO$18="Single_Point",IF(334=$NQ$18,$NM$18,0),IF($NO$18="Bell_Curve",$NM$18*(334-$NQ$18+1)*($NR$18-334+1)/$NT$18,$NM$18/$NS$18)),0)</f>
        <v/>
      </c>
      <c r="LZ18" s="18">
        <f>IF(AND(335&gt;=$NQ$18,335&lt;=$NR$18),IF($NO$18="Single_Point",IF(335=$NQ$18,$NM$18,0),IF($NO$18="Bell_Curve",$NM$18*(335-$NQ$18+1)*($NR$18-335+1)/$NT$18,$NM$18/$NS$18)),0)</f>
        <v/>
      </c>
      <c r="MA18" s="18">
        <f>IF(AND(336&gt;=$NQ$18,336&lt;=$NR$18),IF($NO$18="Single_Point",IF(336=$NQ$18,$NM$18,0),IF($NO$18="Bell_Curve",$NM$18*(336-$NQ$18+1)*($NR$18-336+1)/$NT$18,$NM$18/$NS$18)),0)</f>
        <v/>
      </c>
      <c r="MB18" s="18">
        <f>IF(AND(337&gt;=$NQ$18,337&lt;=$NR$18),IF($NO$18="Single_Point",IF(337=$NQ$18,$NM$18,0),IF($NO$18="Bell_Curve",$NM$18*(337-$NQ$18+1)*($NR$18-337+1)/$NT$18,$NM$18/$NS$18)),0)</f>
        <v/>
      </c>
      <c r="MC18" s="18">
        <f>IF(AND(338&gt;=$NQ$18,338&lt;=$NR$18),IF($NO$18="Single_Point",IF(338=$NQ$18,$NM$18,0),IF($NO$18="Bell_Curve",$NM$18*(338-$NQ$18+1)*($NR$18-338+1)/$NT$18,$NM$18/$NS$18)),0)</f>
        <v/>
      </c>
      <c r="MD18" s="18">
        <f>IF(AND(339&gt;=$NQ$18,339&lt;=$NR$18),IF($NO$18="Single_Point",IF(339=$NQ$18,$NM$18,0),IF($NO$18="Bell_Curve",$NM$18*(339-$NQ$18+1)*($NR$18-339+1)/$NT$18,$NM$18/$NS$18)),0)</f>
        <v/>
      </c>
      <c r="ME18" s="18">
        <f>IF(AND(340&gt;=$NQ$18,340&lt;=$NR$18),IF($NO$18="Single_Point",IF(340=$NQ$18,$NM$18,0),IF($NO$18="Bell_Curve",$NM$18*(340-$NQ$18+1)*($NR$18-340+1)/$NT$18,$NM$18/$NS$18)),0)</f>
        <v/>
      </c>
      <c r="MF18" s="18">
        <f>IF(AND(341&gt;=$NQ$18,341&lt;=$NR$18),IF($NO$18="Single_Point",IF(341=$NQ$18,$NM$18,0),IF($NO$18="Bell_Curve",$NM$18*(341-$NQ$18+1)*($NR$18-341+1)/$NT$18,$NM$18/$NS$18)),0)</f>
        <v/>
      </c>
      <c r="MG18" s="18">
        <f>IF(AND(342&gt;=$NQ$18,342&lt;=$NR$18),IF($NO$18="Single_Point",IF(342=$NQ$18,$NM$18,0),IF($NO$18="Bell_Curve",$NM$18*(342-$NQ$18+1)*($NR$18-342+1)/$NT$18,$NM$18/$NS$18)),0)</f>
        <v/>
      </c>
      <c r="MH18" s="18">
        <f>IF(AND(343&gt;=$NQ$18,343&lt;=$NR$18),IF($NO$18="Single_Point",IF(343=$NQ$18,$NM$18,0),IF($NO$18="Bell_Curve",$NM$18*(343-$NQ$18+1)*($NR$18-343+1)/$NT$18,$NM$18/$NS$18)),0)</f>
        <v/>
      </c>
      <c r="MI18" s="18">
        <f>IF(AND(344&gt;=$NQ$18,344&lt;=$NR$18),IF($NO$18="Single_Point",IF(344=$NQ$18,$NM$18,0),IF($NO$18="Bell_Curve",$NM$18*(344-$NQ$18+1)*($NR$18-344+1)/$NT$18,$NM$18/$NS$18)),0)</f>
        <v/>
      </c>
      <c r="MJ18" s="18">
        <f>IF(AND(345&gt;=$NQ$18,345&lt;=$NR$18),IF($NO$18="Single_Point",IF(345=$NQ$18,$NM$18,0),IF($NO$18="Bell_Curve",$NM$18*(345-$NQ$18+1)*($NR$18-345+1)/$NT$18,$NM$18/$NS$18)),0)</f>
        <v/>
      </c>
      <c r="MK18" s="18">
        <f>IF(AND(346&gt;=$NQ$18,346&lt;=$NR$18),IF($NO$18="Single_Point",IF(346=$NQ$18,$NM$18,0),IF($NO$18="Bell_Curve",$NM$18*(346-$NQ$18+1)*($NR$18-346+1)/$NT$18,$NM$18/$NS$18)),0)</f>
        <v/>
      </c>
      <c r="ML18" s="18">
        <f>IF(AND(347&gt;=$NQ$18,347&lt;=$NR$18),IF($NO$18="Single_Point",IF(347=$NQ$18,$NM$18,0),IF($NO$18="Bell_Curve",$NM$18*(347-$NQ$18+1)*($NR$18-347+1)/$NT$18,$NM$18/$NS$18)),0)</f>
        <v/>
      </c>
      <c r="MM18" s="18">
        <f>IF(AND(348&gt;=$NQ$18,348&lt;=$NR$18),IF($NO$18="Single_Point",IF(348=$NQ$18,$NM$18,0),IF($NO$18="Bell_Curve",$NM$18*(348-$NQ$18+1)*($NR$18-348+1)/$NT$18,$NM$18/$NS$18)),0)</f>
        <v/>
      </c>
      <c r="MN18" s="18">
        <f>IF(AND(349&gt;=$NQ$18,349&lt;=$NR$18),IF($NO$18="Single_Point",IF(349=$NQ$18,$NM$18,0),IF($NO$18="Bell_Curve",$NM$18*(349-$NQ$18+1)*($NR$18-349+1)/$NT$18,$NM$18/$NS$18)),0)</f>
        <v/>
      </c>
      <c r="MO18" s="18">
        <f>IF(AND(350&gt;=$NQ$18,350&lt;=$NR$18),IF($NO$18="Single_Point",IF(350=$NQ$18,$NM$18,0),IF($NO$18="Bell_Curve",$NM$18*(350-$NQ$18+1)*($NR$18-350+1)/$NT$18,$NM$18/$NS$18)),0)</f>
        <v/>
      </c>
      <c r="MP18" s="18">
        <f>IF(AND(351&gt;=$NQ$18,351&lt;=$NR$18),IF($NO$18="Single_Point",IF(351=$NQ$18,$NM$18,0),IF($NO$18="Bell_Curve",$NM$18*(351-$NQ$18+1)*($NR$18-351+1)/$NT$18,$NM$18/$NS$18)),0)</f>
        <v/>
      </c>
      <c r="MQ18" s="18">
        <f>IF(AND(352&gt;=$NQ$18,352&lt;=$NR$18),IF($NO$18="Single_Point",IF(352=$NQ$18,$NM$18,0),IF($NO$18="Bell_Curve",$NM$18*(352-$NQ$18+1)*($NR$18-352+1)/$NT$18,$NM$18/$NS$18)),0)</f>
        <v/>
      </c>
      <c r="MR18" s="18">
        <f>IF(AND(353&gt;=$NQ$18,353&lt;=$NR$18),IF($NO$18="Single_Point",IF(353=$NQ$18,$NM$18,0),IF($NO$18="Bell_Curve",$NM$18*(353-$NQ$18+1)*($NR$18-353+1)/$NT$18,$NM$18/$NS$18)),0)</f>
        <v/>
      </c>
      <c r="MS18" s="18">
        <f>IF(AND(354&gt;=$NQ$18,354&lt;=$NR$18),IF($NO$18="Single_Point",IF(354=$NQ$18,$NM$18,0),IF($NO$18="Bell_Curve",$NM$18*(354-$NQ$18+1)*($NR$18-354+1)/$NT$18,$NM$18/$NS$18)),0)</f>
        <v/>
      </c>
      <c r="MT18" s="18">
        <f>IF(AND(355&gt;=$NQ$18,355&lt;=$NR$18),IF($NO$18="Single_Point",IF(355=$NQ$18,$NM$18,0),IF($NO$18="Bell_Curve",$NM$18*(355-$NQ$18+1)*($NR$18-355+1)/$NT$18,$NM$18/$NS$18)),0)</f>
        <v/>
      </c>
      <c r="MU18" s="18">
        <f>IF(AND(356&gt;=$NQ$18,356&lt;=$NR$18),IF($NO$18="Single_Point",IF(356=$NQ$18,$NM$18,0),IF($NO$18="Bell_Curve",$NM$18*(356-$NQ$18+1)*($NR$18-356+1)/$NT$18,$NM$18/$NS$18)),0)</f>
        <v/>
      </c>
      <c r="MV18" s="18">
        <f>IF(AND(357&gt;=$NQ$18,357&lt;=$NR$18),IF($NO$18="Single_Point",IF(357=$NQ$18,$NM$18,0),IF($NO$18="Bell_Curve",$NM$18*(357-$NQ$18+1)*($NR$18-357+1)/$NT$18,$NM$18/$NS$18)),0)</f>
        <v/>
      </c>
      <c r="MW18" s="18">
        <f>IF(AND(358&gt;=$NQ$18,358&lt;=$NR$18),IF($NO$18="Single_Point",IF(358=$NQ$18,$NM$18,0),IF($NO$18="Bell_Curve",$NM$18*(358-$NQ$18+1)*($NR$18-358+1)/$NT$18,$NM$18/$NS$18)),0)</f>
        <v/>
      </c>
      <c r="MX18" s="18">
        <f>IF(AND(359&gt;=$NQ$18,359&lt;=$NR$18),IF($NO$18="Single_Point",IF(359=$NQ$18,$NM$18,0),IF($NO$18="Bell_Curve",$NM$18*(359-$NQ$18+1)*($NR$18-359+1)/$NT$18,$NM$18/$NS$18)),0)</f>
        <v/>
      </c>
      <c r="MY18" s="18">
        <f>IF(AND(360&gt;=$NQ$18,360&lt;=$NR$18),IF($NO$18="Single_Point",IF(360=$NQ$18,$NM$18,0),IF($NO$18="Bell_Curve",$NM$18*(360-$NQ$18+1)*($NR$18-360+1)/$NT$18,$NM$18/$NS$18)),0)</f>
        <v/>
      </c>
      <c r="MZ18" s="18">
        <f>IF(AND(361&gt;=$NQ$18,361&lt;=$NR$18),IF($NO$18="Single_Point",IF(361=$NQ$18,$NM$18,0),IF($NO$18="Bell_Curve",$NM$18*(361-$NQ$18+1)*($NR$18-361+1)/$NT$18,$NM$18/$NS$18)),0)</f>
        <v/>
      </c>
      <c r="NA18" s="18">
        <f>IF(AND(362&gt;=$NQ$18,362&lt;=$NR$18),IF($NO$18="Single_Point",IF(362=$NQ$18,$NM$18,0),IF($NO$18="Bell_Curve",$NM$18*(362-$NQ$18+1)*($NR$18-362+1)/$NT$18,$NM$18/$NS$18)),0)</f>
        <v/>
      </c>
      <c r="NB18" s="18">
        <f>IF(AND(363&gt;=$NQ$18,363&lt;=$NR$18),IF($NO$18="Single_Point",IF(363=$NQ$18,$NM$18,0),IF($NO$18="Bell_Curve",$NM$18*(363-$NQ$18+1)*($NR$18-363+1)/$NT$18,$NM$18/$NS$18)),0)</f>
        <v/>
      </c>
      <c r="NC18" s="18">
        <f>IF(AND(364&gt;=$NQ$18,364&lt;=$NR$18),IF($NO$18="Single_Point",IF(364=$NQ$18,$NM$18,0),IF($NO$18="Bell_Curve",$NM$18*(364-$NQ$18+1)*($NR$18-364+1)/$NT$18,$NM$18/$NS$18)),0)</f>
        <v/>
      </c>
      <c r="ND18" s="18">
        <f>IF(AND(365&gt;=$NQ$18,365&lt;=$NR$18),IF($NO$18="Single_Point",IF(365=$NQ$18,$NM$18,0),IF($NO$18="Bell_Curve",$NM$18*(365-$NQ$18+1)*($NR$18-365+1)/$NT$18,$NM$18/$NS$18)),0)</f>
        <v/>
      </c>
      <c r="NE18" s="18">
        <f>IF(AND(366&gt;=$NQ$18,366&lt;=$NR$18),IF($NO$18="Single_Point",IF(366=$NQ$18,$NM$18,0),IF($NO$18="Bell_Curve",$NM$18*(366-$NQ$18+1)*($NR$18-366+1)/$NT$18,$NM$18/$NS$18)),0)</f>
        <v/>
      </c>
      <c r="NF18" s="18">
        <f>IF(AND(367&gt;=$NQ$18,367&lt;=$NR$18),IF($NO$18="Single_Point",IF(367=$NQ$18,$NM$18,0),IF($NO$18="Bell_Curve",$NM$18*(367-$NQ$18+1)*($NR$18-367+1)/$NT$18,$NM$18/$NS$18)),0)</f>
        <v/>
      </c>
      <c r="NG18" s="18">
        <f>IF(AND(368&gt;=$NQ$18,368&lt;=$NR$18),IF($NO$18="Single_Point",IF(368=$NQ$18,$NM$18,0),IF($NO$18="Bell_Curve",$NM$18*(368-$NQ$18+1)*($NR$18-368+1)/$NT$18,$NM$18/$NS$18)),0)</f>
        <v/>
      </c>
      <c r="NH18" s="18">
        <f>IF(AND(369&gt;=$NQ$18,369&lt;=$NR$18),IF($NO$18="Single_Point",IF(369=$NQ$18,$NM$18,0),IF($NO$18="Bell_Curve",$NM$18*(369-$NQ$18+1)*($NR$18-369+1)/$NT$18,$NM$18/$NS$18)),0)</f>
        <v/>
      </c>
      <c r="NI18" s="18">
        <f>IF(AND(370&gt;=$NQ$18,370&lt;=$NR$18),IF($NO$18="Single_Point",IF(370=$NQ$18,$NM$18,0),IF($NO$18="Bell_Curve",$NM$18*(370-$NQ$18+1)*($NR$18-370+1)/$NT$18,$NM$18/$NS$18)),0)</f>
        <v/>
      </c>
      <c r="NJ18" s="18">
        <f>IF(AND(371&gt;=$NQ$18,371&lt;=$NR$18),IF($NO$18="Single_Point",IF(371=$NQ$18,$NM$18,0),IF($NO$18="Bell_Curve",$NM$18*(371-$NQ$18+1)*($NR$18-371+1)/$NT$18,$NM$18/$NS$18)),0)</f>
        <v/>
      </c>
      <c r="NK18" s="18">
        <f>IF(AND(372&gt;=$NQ$18,372&lt;=$NR$18),IF($NO$18="Single_Point",IF(372=$NQ$18,$NM$18,0),IF($NO$18="Bell_Curve",$NM$18*(372-$NQ$18+1)*($NR$18-372+1)/$NT$18,$NM$18/$NS$18)),0)</f>
        <v/>
      </c>
      <c r="NM18" s="18">
        <f>Budget!I17</f>
        <v/>
      </c>
      <c r="NN18" s="42">
        <f>Budget!F17</f>
        <v/>
      </c>
      <c r="NO18" s="42">
        <f>Budget!G17</f>
        <v/>
      </c>
      <c r="NP18" s="17">
        <f>Budget!H17</f>
        <v/>
      </c>
      <c r="NQ18" s="32">
        <f>MAX(1,MIN(372,INDEX(MilestoneStart,MATCH(NN18,MilestoneNames,0))+NP18))</f>
        <v/>
      </c>
      <c r="NR18" s="32">
        <f>MAX(NQ18,MIN(372,INDEX(MilestoneEnd,MATCH(NN18,MilestoneNames,0))+NP18))</f>
        <v/>
      </c>
      <c r="NS18" s="17">
        <f>NR18-NQ18+1</f>
        <v/>
      </c>
      <c r="NT18" s="17">
        <f>NS18*(NS18+1)*(NS18+2)/6</f>
        <v/>
      </c>
    </row>
    <row r="19">
      <c r="A19" s="5" t="inlineStr">
        <is>
          <t>Hard Cost Contingency</t>
        </is>
      </c>
      <c r="C19" s="41">
        <f>SUM(D19:NK19)</f>
        <v/>
      </c>
      <c r="D19" s="18">
        <f>IF(AND(1&gt;=$NQ$19,1&lt;=$NR$19),IF($NO$19="Single_Point",IF(1=$NQ$19,$NM$19,0),IF($NO$19="Bell_Curve",$NM$19*(1-$NQ$19+1)*($NR$19-1+1)/$NT$19,$NM$19/$NS$19)),0)</f>
        <v/>
      </c>
      <c r="E19" s="18">
        <f>IF(AND(2&gt;=$NQ$19,2&lt;=$NR$19),IF($NO$19="Single_Point",IF(2=$NQ$19,$NM$19,0),IF($NO$19="Bell_Curve",$NM$19*(2-$NQ$19+1)*($NR$19-2+1)/$NT$19,$NM$19/$NS$19)),0)</f>
        <v/>
      </c>
      <c r="F19" s="18">
        <f>IF(AND(3&gt;=$NQ$19,3&lt;=$NR$19),IF($NO$19="Single_Point",IF(3=$NQ$19,$NM$19,0),IF($NO$19="Bell_Curve",$NM$19*(3-$NQ$19+1)*($NR$19-3+1)/$NT$19,$NM$19/$NS$19)),0)</f>
        <v/>
      </c>
      <c r="G19" s="18">
        <f>IF(AND(4&gt;=$NQ$19,4&lt;=$NR$19),IF($NO$19="Single_Point",IF(4=$NQ$19,$NM$19,0),IF($NO$19="Bell_Curve",$NM$19*(4-$NQ$19+1)*($NR$19-4+1)/$NT$19,$NM$19/$NS$19)),0)</f>
        <v/>
      </c>
      <c r="H19" s="18">
        <f>IF(AND(5&gt;=$NQ$19,5&lt;=$NR$19),IF($NO$19="Single_Point",IF(5=$NQ$19,$NM$19,0),IF($NO$19="Bell_Curve",$NM$19*(5-$NQ$19+1)*($NR$19-5+1)/$NT$19,$NM$19/$NS$19)),0)</f>
        <v/>
      </c>
      <c r="I19" s="18">
        <f>IF(AND(6&gt;=$NQ$19,6&lt;=$NR$19),IF($NO$19="Single_Point",IF(6=$NQ$19,$NM$19,0),IF($NO$19="Bell_Curve",$NM$19*(6-$NQ$19+1)*($NR$19-6+1)/$NT$19,$NM$19/$NS$19)),0)</f>
        <v/>
      </c>
      <c r="J19" s="18">
        <f>IF(AND(7&gt;=$NQ$19,7&lt;=$NR$19),IF($NO$19="Single_Point",IF(7=$NQ$19,$NM$19,0),IF($NO$19="Bell_Curve",$NM$19*(7-$NQ$19+1)*($NR$19-7+1)/$NT$19,$NM$19/$NS$19)),0)</f>
        <v/>
      </c>
      <c r="K19" s="18">
        <f>IF(AND(8&gt;=$NQ$19,8&lt;=$NR$19),IF($NO$19="Single_Point",IF(8=$NQ$19,$NM$19,0),IF($NO$19="Bell_Curve",$NM$19*(8-$NQ$19+1)*($NR$19-8+1)/$NT$19,$NM$19/$NS$19)),0)</f>
        <v/>
      </c>
      <c r="L19" s="18">
        <f>IF(AND(9&gt;=$NQ$19,9&lt;=$NR$19),IF($NO$19="Single_Point",IF(9=$NQ$19,$NM$19,0),IF($NO$19="Bell_Curve",$NM$19*(9-$NQ$19+1)*($NR$19-9+1)/$NT$19,$NM$19/$NS$19)),0)</f>
        <v/>
      </c>
      <c r="M19" s="18">
        <f>IF(AND(10&gt;=$NQ$19,10&lt;=$NR$19),IF($NO$19="Single_Point",IF(10=$NQ$19,$NM$19,0),IF($NO$19="Bell_Curve",$NM$19*(10-$NQ$19+1)*($NR$19-10+1)/$NT$19,$NM$19/$NS$19)),0)</f>
        <v/>
      </c>
      <c r="N19" s="18">
        <f>IF(AND(11&gt;=$NQ$19,11&lt;=$NR$19),IF($NO$19="Single_Point",IF(11=$NQ$19,$NM$19,0),IF($NO$19="Bell_Curve",$NM$19*(11-$NQ$19+1)*($NR$19-11+1)/$NT$19,$NM$19/$NS$19)),0)</f>
        <v/>
      </c>
      <c r="O19" s="18">
        <f>IF(AND(12&gt;=$NQ$19,12&lt;=$NR$19),IF($NO$19="Single_Point",IF(12=$NQ$19,$NM$19,0),IF($NO$19="Bell_Curve",$NM$19*(12-$NQ$19+1)*($NR$19-12+1)/$NT$19,$NM$19/$NS$19)),0)</f>
        <v/>
      </c>
      <c r="P19" s="18">
        <f>IF(AND(13&gt;=$NQ$19,13&lt;=$NR$19),IF($NO$19="Single_Point",IF(13=$NQ$19,$NM$19,0),IF($NO$19="Bell_Curve",$NM$19*(13-$NQ$19+1)*($NR$19-13+1)/$NT$19,$NM$19/$NS$19)),0)</f>
        <v/>
      </c>
      <c r="Q19" s="18">
        <f>IF(AND(14&gt;=$NQ$19,14&lt;=$NR$19),IF($NO$19="Single_Point",IF(14=$NQ$19,$NM$19,0),IF($NO$19="Bell_Curve",$NM$19*(14-$NQ$19+1)*($NR$19-14+1)/$NT$19,$NM$19/$NS$19)),0)</f>
        <v/>
      </c>
      <c r="R19" s="18">
        <f>IF(AND(15&gt;=$NQ$19,15&lt;=$NR$19),IF($NO$19="Single_Point",IF(15=$NQ$19,$NM$19,0),IF($NO$19="Bell_Curve",$NM$19*(15-$NQ$19+1)*($NR$19-15+1)/$NT$19,$NM$19/$NS$19)),0)</f>
        <v/>
      </c>
      <c r="S19" s="18">
        <f>IF(AND(16&gt;=$NQ$19,16&lt;=$NR$19),IF($NO$19="Single_Point",IF(16=$NQ$19,$NM$19,0),IF($NO$19="Bell_Curve",$NM$19*(16-$NQ$19+1)*($NR$19-16+1)/$NT$19,$NM$19/$NS$19)),0)</f>
        <v/>
      </c>
      <c r="T19" s="18">
        <f>IF(AND(17&gt;=$NQ$19,17&lt;=$NR$19),IF($NO$19="Single_Point",IF(17=$NQ$19,$NM$19,0),IF($NO$19="Bell_Curve",$NM$19*(17-$NQ$19+1)*($NR$19-17+1)/$NT$19,$NM$19/$NS$19)),0)</f>
        <v/>
      </c>
      <c r="U19" s="18">
        <f>IF(AND(18&gt;=$NQ$19,18&lt;=$NR$19),IF($NO$19="Single_Point",IF(18=$NQ$19,$NM$19,0),IF($NO$19="Bell_Curve",$NM$19*(18-$NQ$19+1)*($NR$19-18+1)/$NT$19,$NM$19/$NS$19)),0)</f>
        <v/>
      </c>
      <c r="V19" s="18">
        <f>IF(AND(19&gt;=$NQ$19,19&lt;=$NR$19),IF($NO$19="Single_Point",IF(19=$NQ$19,$NM$19,0),IF($NO$19="Bell_Curve",$NM$19*(19-$NQ$19+1)*($NR$19-19+1)/$NT$19,$NM$19/$NS$19)),0)</f>
        <v/>
      </c>
      <c r="W19" s="18">
        <f>IF(AND(20&gt;=$NQ$19,20&lt;=$NR$19),IF($NO$19="Single_Point",IF(20=$NQ$19,$NM$19,0),IF($NO$19="Bell_Curve",$NM$19*(20-$NQ$19+1)*($NR$19-20+1)/$NT$19,$NM$19/$NS$19)),0)</f>
        <v/>
      </c>
      <c r="X19" s="18">
        <f>IF(AND(21&gt;=$NQ$19,21&lt;=$NR$19),IF($NO$19="Single_Point",IF(21=$NQ$19,$NM$19,0),IF($NO$19="Bell_Curve",$NM$19*(21-$NQ$19+1)*($NR$19-21+1)/$NT$19,$NM$19/$NS$19)),0)</f>
        <v/>
      </c>
      <c r="Y19" s="18">
        <f>IF(AND(22&gt;=$NQ$19,22&lt;=$NR$19),IF($NO$19="Single_Point",IF(22=$NQ$19,$NM$19,0),IF($NO$19="Bell_Curve",$NM$19*(22-$NQ$19+1)*($NR$19-22+1)/$NT$19,$NM$19/$NS$19)),0)</f>
        <v/>
      </c>
      <c r="Z19" s="18">
        <f>IF(AND(23&gt;=$NQ$19,23&lt;=$NR$19),IF($NO$19="Single_Point",IF(23=$NQ$19,$NM$19,0),IF($NO$19="Bell_Curve",$NM$19*(23-$NQ$19+1)*($NR$19-23+1)/$NT$19,$NM$19/$NS$19)),0)</f>
        <v/>
      </c>
      <c r="AA19" s="18">
        <f>IF(AND(24&gt;=$NQ$19,24&lt;=$NR$19),IF($NO$19="Single_Point",IF(24=$NQ$19,$NM$19,0),IF($NO$19="Bell_Curve",$NM$19*(24-$NQ$19+1)*($NR$19-24+1)/$NT$19,$NM$19/$NS$19)),0)</f>
        <v/>
      </c>
      <c r="AB19" s="18">
        <f>IF(AND(25&gt;=$NQ$19,25&lt;=$NR$19),IF($NO$19="Single_Point",IF(25=$NQ$19,$NM$19,0),IF($NO$19="Bell_Curve",$NM$19*(25-$NQ$19+1)*($NR$19-25+1)/$NT$19,$NM$19/$NS$19)),0)</f>
        <v/>
      </c>
      <c r="AC19" s="18">
        <f>IF(AND(26&gt;=$NQ$19,26&lt;=$NR$19),IF($NO$19="Single_Point",IF(26=$NQ$19,$NM$19,0),IF($NO$19="Bell_Curve",$NM$19*(26-$NQ$19+1)*($NR$19-26+1)/$NT$19,$NM$19/$NS$19)),0)</f>
        <v/>
      </c>
      <c r="AD19" s="18">
        <f>IF(AND(27&gt;=$NQ$19,27&lt;=$NR$19),IF($NO$19="Single_Point",IF(27=$NQ$19,$NM$19,0),IF($NO$19="Bell_Curve",$NM$19*(27-$NQ$19+1)*($NR$19-27+1)/$NT$19,$NM$19/$NS$19)),0)</f>
        <v/>
      </c>
      <c r="AE19" s="18">
        <f>IF(AND(28&gt;=$NQ$19,28&lt;=$NR$19),IF($NO$19="Single_Point",IF(28=$NQ$19,$NM$19,0),IF($NO$19="Bell_Curve",$NM$19*(28-$NQ$19+1)*($NR$19-28+1)/$NT$19,$NM$19/$NS$19)),0)</f>
        <v/>
      </c>
      <c r="AF19" s="18">
        <f>IF(AND(29&gt;=$NQ$19,29&lt;=$NR$19),IF($NO$19="Single_Point",IF(29=$NQ$19,$NM$19,0),IF($NO$19="Bell_Curve",$NM$19*(29-$NQ$19+1)*($NR$19-29+1)/$NT$19,$NM$19/$NS$19)),0)</f>
        <v/>
      </c>
      <c r="AG19" s="18">
        <f>IF(AND(30&gt;=$NQ$19,30&lt;=$NR$19),IF($NO$19="Single_Point",IF(30=$NQ$19,$NM$19,0),IF($NO$19="Bell_Curve",$NM$19*(30-$NQ$19+1)*($NR$19-30+1)/$NT$19,$NM$19/$NS$19)),0)</f>
        <v/>
      </c>
      <c r="AH19" s="18">
        <f>IF(AND(31&gt;=$NQ$19,31&lt;=$NR$19),IF($NO$19="Single_Point",IF(31=$NQ$19,$NM$19,0),IF($NO$19="Bell_Curve",$NM$19*(31-$NQ$19+1)*($NR$19-31+1)/$NT$19,$NM$19/$NS$19)),0)</f>
        <v/>
      </c>
      <c r="AI19" s="18">
        <f>IF(AND(32&gt;=$NQ$19,32&lt;=$NR$19),IF($NO$19="Single_Point",IF(32=$NQ$19,$NM$19,0),IF($NO$19="Bell_Curve",$NM$19*(32-$NQ$19+1)*($NR$19-32+1)/$NT$19,$NM$19/$NS$19)),0)</f>
        <v/>
      </c>
      <c r="AJ19" s="18">
        <f>IF(AND(33&gt;=$NQ$19,33&lt;=$NR$19),IF($NO$19="Single_Point",IF(33=$NQ$19,$NM$19,0),IF($NO$19="Bell_Curve",$NM$19*(33-$NQ$19+1)*($NR$19-33+1)/$NT$19,$NM$19/$NS$19)),0)</f>
        <v/>
      </c>
      <c r="AK19" s="18">
        <f>IF(AND(34&gt;=$NQ$19,34&lt;=$NR$19),IF($NO$19="Single_Point",IF(34=$NQ$19,$NM$19,0),IF($NO$19="Bell_Curve",$NM$19*(34-$NQ$19+1)*($NR$19-34+1)/$NT$19,$NM$19/$NS$19)),0)</f>
        <v/>
      </c>
      <c r="AL19" s="18">
        <f>IF(AND(35&gt;=$NQ$19,35&lt;=$NR$19),IF($NO$19="Single_Point",IF(35=$NQ$19,$NM$19,0),IF($NO$19="Bell_Curve",$NM$19*(35-$NQ$19+1)*($NR$19-35+1)/$NT$19,$NM$19/$NS$19)),0)</f>
        <v/>
      </c>
      <c r="AM19" s="18">
        <f>IF(AND(36&gt;=$NQ$19,36&lt;=$NR$19),IF($NO$19="Single_Point",IF(36=$NQ$19,$NM$19,0),IF($NO$19="Bell_Curve",$NM$19*(36-$NQ$19+1)*($NR$19-36+1)/$NT$19,$NM$19/$NS$19)),0)</f>
        <v/>
      </c>
      <c r="AN19" s="18">
        <f>IF(AND(37&gt;=$NQ$19,37&lt;=$NR$19),IF($NO$19="Single_Point",IF(37=$NQ$19,$NM$19,0),IF($NO$19="Bell_Curve",$NM$19*(37-$NQ$19+1)*($NR$19-37+1)/$NT$19,$NM$19/$NS$19)),0)</f>
        <v/>
      </c>
      <c r="AO19" s="18">
        <f>IF(AND(38&gt;=$NQ$19,38&lt;=$NR$19),IF($NO$19="Single_Point",IF(38=$NQ$19,$NM$19,0),IF($NO$19="Bell_Curve",$NM$19*(38-$NQ$19+1)*($NR$19-38+1)/$NT$19,$NM$19/$NS$19)),0)</f>
        <v/>
      </c>
      <c r="AP19" s="18">
        <f>IF(AND(39&gt;=$NQ$19,39&lt;=$NR$19),IF($NO$19="Single_Point",IF(39=$NQ$19,$NM$19,0),IF($NO$19="Bell_Curve",$NM$19*(39-$NQ$19+1)*($NR$19-39+1)/$NT$19,$NM$19/$NS$19)),0)</f>
        <v/>
      </c>
      <c r="AQ19" s="18">
        <f>IF(AND(40&gt;=$NQ$19,40&lt;=$NR$19),IF($NO$19="Single_Point",IF(40=$NQ$19,$NM$19,0),IF($NO$19="Bell_Curve",$NM$19*(40-$NQ$19+1)*($NR$19-40+1)/$NT$19,$NM$19/$NS$19)),0)</f>
        <v/>
      </c>
      <c r="AR19" s="18">
        <f>IF(AND(41&gt;=$NQ$19,41&lt;=$NR$19),IF($NO$19="Single_Point",IF(41=$NQ$19,$NM$19,0),IF($NO$19="Bell_Curve",$NM$19*(41-$NQ$19+1)*($NR$19-41+1)/$NT$19,$NM$19/$NS$19)),0)</f>
        <v/>
      </c>
      <c r="AS19" s="18">
        <f>IF(AND(42&gt;=$NQ$19,42&lt;=$NR$19),IF($NO$19="Single_Point",IF(42=$NQ$19,$NM$19,0),IF($NO$19="Bell_Curve",$NM$19*(42-$NQ$19+1)*($NR$19-42+1)/$NT$19,$NM$19/$NS$19)),0)</f>
        <v/>
      </c>
      <c r="AT19" s="18">
        <f>IF(AND(43&gt;=$NQ$19,43&lt;=$NR$19),IF($NO$19="Single_Point",IF(43=$NQ$19,$NM$19,0),IF($NO$19="Bell_Curve",$NM$19*(43-$NQ$19+1)*($NR$19-43+1)/$NT$19,$NM$19/$NS$19)),0)</f>
        <v/>
      </c>
      <c r="AU19" s="18">
        <f>IF(AND(44&gt;=$NQ$19,44&lt;=$NR$19),IF($NO$19="Single_Point",IF(44=$NQ$19,$NM$19,0),IF($NO$19="Bell_Curve",$NM$19*(44-$NQ$19+1)*($NR$19-44+1)/$NT$19,$NM$19/$NS$19)),0)</f>
        <v/>
      </c>
      <c r="AV19" s="18">
        <f>IF(AND(45&gt;=$NQ$19,45&lt;=$NR$19),IF($NO$19="Single_Point",IF(45=$NQ$19,$NM$19,0),IF($NO$19="Bell_Curve",$NM$19*(45-$NQ$19+1)*($NR$19-45+1)/$NT$19,$NM$19/$NS$19)),0)</f>
        <v/>
      </c>
      <c r="AW19" s="18">
        <f>IF(AND(46&gt;=$NQ$19,46&lt;=$NR$19),IF($NO$19="Single_Point",IF(46=$NQ$19,$NM$19,0),IF($NO$19="Bell_Curve",$NM$19*(46-$NQ$19+1)*($NR$19-46+1)/$NT$19,$NM$19/$NS$19)),0)</f>
        <v/>
      </c>
      <c r="AX19" s="18">
        <f>IF(AND(47&gt;=$NQ$19,47&lt;=$NR$19),IF($NO$19="Single_Point",IF(47=$NQ$19,$NM$19,0),IF($NO$19="Bell_Curve",$NM$19*(47-$NQ$19+1)*($NR$19-47+1)/$NT$19,$NM$19/$NS$19)),0)</f>
        <v/>
      </c>
      <c r="AY19" s="18">
        <f>IF(AND(48&gt;=$NQ$19,48&lt;=$NR$19),IF($NO$19="Single_Point",IF(48=$NQ$19,$NM$19,0),IF($NO$19="Bell_Curve",$NM$19*(48-$NQ$19+1)*($NR$19-48+1)/$NT$19,$NM$19/$NS$19)),0)</f>
        <v/>
      </c>
      <c r="AZ19" s="18">
        <f>IF(AND(49&gt;=$NQ$19,49&lt;=$NR$19),IF($NO$19="Single_Point",IF(49=$NQ$19,$NM$19,0),IF($NO$19="Bell_Curve",$NM$19*(49-$NQ$19+1)*($NR$19-49+1)/$NT$19,$NM$19/$NS$19)),0)</f>
        <v/>
      </c>
      <c r="BA19" s="18">
        <f>IF(AND(50&gt;=$NQ$19,50&lt;=$NR$19),IF($NO$19="Single_Point",IF(50=$NQ$19,$NM$19,0),IF($NO$19="Bell_Curve",$NM$19*(50-$NQ$19+1)*($NR$19-50+1)/$NT$19,$NM$19/$NS$19)),0)</f>
        <v/>
      </c>
      <c r="BB19" s="18">
        <f>IF(AND(51&gt;=$NQ$19,51&lt;=$NR$19),IF($NO$19="Single_Point",IF(51=$NQ$19,$NM$19,0),IF($NO$19="Bell_Curve",$NM$19*(51-$NQ$19+1)*($NR$19-51+1)/$NT$19,$NM$19/$NS$19)),0)</f>
        <v/>
      </c>
      <c r="BC19" s="18">
        <f>IF(AND(52&gt;=$NQ$19,52&lt;=$NR$19),IF($NO$19="Single_Point",IF(52=$NQ$19,$NM$19,0),IF($NO$19="Bell_Curve",$NM$19*(52-$NQ$19+1)*($NR$19-52+1)/$NT$19,$NM$19/$NS$19)),0)</f>
        <v/>
      </c>
      <c r="BD19" s="18">
        <f>IF(AND(53&gt;=$NQ$19,53&lt;=$NR$19),IF($NO$19="Single_Point",IF(53=$NQ$19,$NM$19,0),IF($NO$19="Bell_Curve",$NM$19*(53-$NQ$19+1)*($NR$19-53+1)/$NT$19,$NM$19/$NS$19)),0)</f>
        <v/>
      </c>
      <c r="BE19" s="18">
        <f>IF(AND(54&gt;=$NQ$19,54&lt;=$NR$19),IF($NO$19="Single_Point",IF(54=$NQ$19,$NM$19,0),IF($NO$19="Bell_Curve",$NM$19*(54-$NQ$19+1)*($NR$19-54+1)/$NT$19,$NM$19/$NS$19)),0)</f>
        <v/>
      </c>
      <c r="BF19" s="18">
        <f>IF(AND(55&gt;=$NQ$19,55&lt;=$NR$19),IF($NO$19="Single_Point",IF(55=$NQ$19,$NM$19,0),IF($NO$19="Bell_Curve",$NM$19*(55-$NQ$19+1)*($NR$19-55+1)/$NT$19,$NM$19/$NS$19)),0)</f>
        <v/>
      </c>
      <c r="BG19" s="18">
        <f>IF(AND(56&gt;=$NQ$19,56&lt;=$NR$19),IF($NO$19="Single_Point",IF(56=$NQ$19,$NM$19,0),IF($NO$19="Bell_Curve",$NM$19*(56-$NQ$19+1)*($NR$19-56+1)/$NT$19,$NM$19/$NS$19)),0)</f>
        <v/>
      </c>
      <c r="BH19" s="18">
        <f>IF(AND(57&gt;=$NQ$19,57&lt;=$NR$19),IF($NO$19="Single_Point",IF(57=$NQ$19,$NM$19,0),IF($NO$19="Bell_Curve",$NM$19*(57-$NQ$19+1)*($NR$19-57+1)/$NT$19,$NM$19/$NS$19)),0)</f>
        <v/>
      </c>
      <c r="BI19" s="18">
        <f>IF(AND(58&gt;=$NQ$19,58&lt;=$NR$19),IF($NO$19="Single_Point",IF(58=$NQ$19,$NM$19,0),IF($NO$19="Bell_Curve",$NM$19*(58-$NQ$19+1)*($NR$19-58+1)/$NT$19,$NM$19/$NS$19)),0)</f>
        <v/>
      </c>
      <c r="BJ19" s="18">
        <f>IF(AND(59&gt;=$NQ$19,59&lt;=$NR$19),IF($NO$19="Single_Point",IF(59=$NQ$19,$NM$19,0),IF($NO$19="Bell_Curve",$NM$19*(59-$NQ$19+1)*($NR$19-59+1)/$NT$19,$NM$19/$NS$19)),0)</f>
        <v/>
      </c>
      <c r="BK19" s="18">
        <f>IF(AND(60&gt;=$NQ$19,60&lt;=$NR$19),IF($NO$19="Single_Point",IF(60=$NQ$19,$NM$19,0),IF($NO$19="Bell_Curve",$NM$19*(60-$NQ$19+1)*($NR$19-60+1)/$NT$19,$NM$19/$NS$19)),0)</f>
        <v/>
      </c>
      <c r="BL19" s="18">
        <f>IF(AND(61&gt;=$NQ$19,61&lt;=$NR$19),IF($NO$19="Single_Point",IF(61=$NQ$19,$NM$19,0),IF($NO$19="Bell_Curve",$NM$19*(61-$NQ$19+1)*($NR$19-61+1)/$NT$19,$NM$19/$NS$19)),0)</f>
        <v/>
      </c>
      <c r="BM19" s="18">
        <f>IF(AND(62&gt;=$NQ$19,62&lt;=$NR$19),IF($NO$19="Single_Point",IF(62=$NQ$19,$NM$19,0),IF($NO$19="Bell_Curve",$NM$19*(62-$NQ$19+1)*($NR$19-62+1)/$NT$19,$NM$19/$NS$19)),0)</f>
        <v/>
      </c>
      <c r="BN19" s="18">
        <f>IF(AND(63&gt;=$NQ$19,63&lt;=$NR$19),IF($NO$19="Single_Point",IF(63=$NQ$19,$NM$19,0),IF($NO$19="Bell_Curve",$NM$19*(63-$NQ$19+1)*($NR$19-63+1)/$NT$19,$NM$19/$NS$19)),0)</f>
        <v/>
      </c>
      <c r="BO19" s="18">
        <f>IF(AND(64&gt;=$NQ$19,64&lt;=$NR$19),IF($NO$19="Single_Point",IF(64=$NQ$19,$NM$19,0),IF($NO$19="Bell_Curve",$NM$19*(64-$NQ$19+1)*($NR$19-64+1)/$NT$19,$NM$19/$NS$19)),0)</f>
        <v/>
      </c>
      <c r="BP19" s="18">
        <f>IF(AND(65&gt;=$NQ$19,65&lt;=$NR$19),IF($NO$19="Single_Point",IF(65=$NQ$19,$NM$19,0),IF($NO$19="Bell_Curve",$NM$19*(65-$NQ$19+1)*($NR$19-65+1)/$NT$19,$NM$19/$NS$19)),0)</f>
        <v/>
      </c>
      <c r="BQ19" s="18">
        <f>IF(AND(66&gt;=$NQ$19,66&lt;=$NR$19),IF($NO$19="Single_Point",IF(66=$NQ$19,$NM$19,0),IF($NO$19="Bell_Curve",$NM$19*(66-$NQ$19+1)*($NR$19-66+1)/$NT$19,$NM$19/$NS$19)),0)</f>
        <v/>
      </c>
      <c r="BR19" s="18">
        <f>IF(AND(67&gt;=$NQ$19,67&lt;=$NR$19),IF($NO$19="Single_Point",IF(67=$NQ$19,$NM$19,0),IF($NO$19="Bell_Curve",$NM$19*(67-$NQ$19+1)*($NR$19-67+1)/$NT$19,$NM$19/$NS$19)),0)</f>
        <v/>
      </c>
      <c r="BS19" s="18">
        <f>IF(AND(68&gt;=$NQ$19,68&lt;=$NR$19),IF($NO$19="Single_Point",IF(68=$NQ$19,$NM$19,0),IF($NO$19="Bell_Curve",$NM$19*(68-$NQ$19+1)*($NR$19-68+1)/$NT$19,$NM$19/$NS$19)),0)</f>
        <v/>
      </c>
      <c r="BT19" s="18">
        <f>IF(AND(69&gt;=$NQ$19,69&lt;=$NR$19),IF($NO$19="Single_Point",IF(69=$NQ$19,$NM$19,0),IF($NO$19="Bell_Curve",$NM$19*(69-$NQ$19+1)*($NR$19-69+1)/$NT$19,$NM$19/$NS$19)),0)</f>
        <v/>
      </c>
      <c r="BU19" s="18">
        <f>IF(AND(70&gt;=$NQ$19,70&lt;=$NR$19),IF($NO$19="Single_Point",IF(70=$NQ$19,$NM$19,0),IF($NO$19="Bell_Curve",$NM$19*(70-$NQ$19+1)*($NR$19-70+1)/$NT$19,$NM$19/$NS$19)),0)</f>
        <v/>
      </c>
      <c r="BV19" s="18">
        <f>IF(AND(71&gt;=$NQ$19,71&lt;=$NR$19),IF($NO$19="Single_Point",IF(71=$NQ$19,$NM$19,0),IF($NO$19="Bell_Curve",$NM$19*(71-$NQ$19+1)*($NR$19-71+1)/$NT$19,$NM$19/$NS$19)),0)</f>
        <v/>
      </c>
      <c r="BW19" s="18">
        <f>IF(AND(72&gt;=$NQ$19,72&lt;=$NR$19),IF($NO$19="Single_Point",IF(72=$NQ$19,$NM$19,0),IF($NO$19="Bell_Curve",$NM$19*(72-$NQ$19+1)*($NR$19-72+1)/$NT$19,$NM$19/$NS$19)),0)</f>
        <v/>
      </c>
      <c r="BX19" s="18">
        <f>IF(AND(73&gt;=$NQ$19,73&lt;=$NR$19),IF($NO$19="Single_Point",IF(73=$NQ$19,$NM$19,0),IF($NO$19="Bell_Curve",$NM$19*(73-$NQ$19+1)*($NR$19-73+1)/$NT$19,$NM$19/$NS$19)),0)</f>
        <v/>
      </c>
      <c r="BY19" s="18">
        <f>IF(AND(74&gt;=$NQ$19,74&lt;=$NR$19),IF($NO$19="Single_Point",IF(74=$NQ$19,$NM$19,0),IF($NO$19="Bell_Curve",$NM$19*(74-$NQ$19+1)*($NR$19-74+1)/$NT$19,$NM$19/$NS$19)),0)</f>
        <v/>
      </c>
      <c r="BZ19" s="18">
        <f>IF(AND(75&gt;=$NQ$19,75&lt;=$NR$19),IF($NO$19="Single_Point",IF(75=$NQ$19,$NM$19,0),IF($NO$19="Bell_Curve",$NM$19*(75-$NQ$19+1)*($NR$19-75+1)/$NT$19,$NM$19/$NS$19)),0)</f>
        <v/>
      </c>
      <c r="CA19" s="18">
        <f>IF(AND(76&gt;=$NQ$19,76&lt;=$NR$19),IF($NO$19="Single_Point",IF(76=$NQ$19,$NM$19,0),IF($NO$19="Bell_Curve",$NM$19*(76-$NQ$19+1)*($NR$19-76+1)/$NT$19,$NM$19/$NS$19)),0)</f>
        <v/>
      </c>
      <c r="CB19" s="18">
        <f>IF(AND(77&gt;=$NQ$19,77&lt;=$NR$19),IF($NO$19="Single_Point",IF(77=$NQ$19,$NM$19,0),IF($NO$19="Bell_Curve",$NM$19*(77-$NQ$19+1)*($NR$19-77+1)/$NT$19,$NM$19/$NS$19)),0)</f>
        <v/>
      </c>
      <c r="CC19" s="18">
        <f>IF(AND(78&gt;=$NQ$19,78&lt;=$NR$19),IF($NO$19="Single_Point",IF(78=$NQ$19,$NM$19,0),IF($NO$19="Bell_Curve",$NM$19*(78-$NQ$19+1)*($NR$19-78+1)/$NT$19,$NM$19/$NS$19)),0)</f>
        <v/>
      </c>
      <c r="CD19" s="18">
        <f>IF(AND(79&gt;=$NQ$19,79&lt;=$NR$19),IF($NO$19="Single_Point",IF(79=$NQ$19,$NM$19,0),IF($NO$19="Bell_Curve",$NM$19*(79-$NQ$19+1)*($NR$19-79+1)/$NT$19,$NM$19/$NS$19)),0)</f>
        <v/>
      </c>
      <c r="CE19" s="18">
        <f>IF(AND(80&gt;=$NQ$19,80&lt;=$NR$19),IF($NO$19="Single_Point",IF(80=$NQ$19,$NM$19,0),IF($NO$19="Bell_Curve",$NM$19*(80-$NQ$19+1)*($NR$19-80+1)/$NT$19,$NM$19/$NS$19)),0)</f>
        <v/>
      </c>
      <c r="CF19" s="18">
        <f>IF(AND(81&gt;=$NQ$19,81&lt;=$NR$19),IF($NO$19="Single_Point",IF(81=$NQ$19,$NM$19,0),IF($NO$19="Bell_Curve",$NM$19*(81-$NQ$19+1)*($NR$19-81+1)/$NT$19,$NM$19/$NS$19)),0)</f>
        <v/>
      </c>
      <c r="CG19" s="18">
        <f>IF(AND(82&gt;=$NQ$19,82&lt;=$NR$19),IF($NO$19="Single_Point",IF(82=$NQ$19,$NM$19,0),IF($NO$19="Bell_Curve",$NM$19*(82-$NQ$19+1)*($NR$19-82+1)/$NT$19,$NM$19/$NS$19)),0)</f>
        <v/>
      </c>
      <c r="CH19" s="18">
        <f>IF(AND(83&gt;=$NQ$19,83&lt;=$NR$19),IF($NO$19="Single_Point",IF(83=$NQ$19,$NM$19,0),IF($NO$19="Bell_Curve",$NM$19*(83-$NQ$19+1)*($NR$19-83+1)/$NT$19,$NM$19/$NS$19)),0)</f>
        <v/>
      </c>
      <c r="CI19" s="18">
        <f>IF(AND(84&gt;=$NQ$19,84&lt;=$NR$19),IF($NO$19="Single_Point",IF(84=$NQ$19,$NM$19,0),IF($NO$19="Bell_Curve",$NM$19*(84-$NQ$19+1)*($NR$19-84+1)/$NT$19,$NM$19/$NS$19)),0)</f>
        <v/>
      </c>
      <c r="CJ19" s="18">
        <f>IF(AND(85&gt;=$NQ$19,85&lt;=$NR$19),IF($NO$19="Single_Point",IF(85=$NQ$19,$NM$19,0),IF($NO$19="Bell_Curve",$NM$19*(85-$NQ$19+1)*($NR$19-85+1)/$NT$19,$NM$19/$NS$19)),0)</f>
        <v/>
      </c>
      <c r="CK19" s="18">
        <f>IF(AND(86&gt;=$NQ$19,86&lt;=$NR$19),IF($NO$19="Single_Point",IF(86=$NQ$19,$NM$19,0),IF($NO$19="Bell_Curve",$NM$19*(86-$NQ$19+1)*($NR$19-86+1)/$NT$19,$NM$19/$NS$19)),0)</f>
        <v/>
      </c>
      <c r="CL19" s="18">
        <f>IF(AND(87&gt;=$NQ$19,87&lt;=$NR$19),IF($NO$19="Single_Point",IF(87=$NQ$19,$NM$19,0),IF($NO$19="Bell_Curve",$NM$19*(87-$NQ$19+1)*($NR$19-87+1)/$NT$19,$NM$19/$NS$19)),0)</f>
        <v/>
      </c>
      <c r="CM19" s="18">
        <f>IF(AND(88&gt;=$NQ$19,88&lt;=$NR$19),IF($NO$19="Single_Point",IF(88=$NQ$19,$NM$19,0),IF($NO$19="Bell_Curve",$NM$19*(88-$NQ$19+1)*($NR$19-88+1)/$NT$19,$NM$19/$NS$19)),0)</f>
        <v/>
      </c>
      <c r="CN19" s="18">
        <f>IF(AND(89&gt;=$NQ$19,89&lt;=$NR$19),IF($NO$19="Single_Point",IF(89=$NQ$19,$NM$19,0),IF($NO$19="Bell_Curve",$NM$19*(89-$NQ$19+1)*($NR$19-89+1)/$NT$19,$NM$19/$NS$19)),0)</f>
        <v/>
      </c>
      <c r="CO19" s="18">
        <f>IF(AND(90&gt;=$NQ$19,90&lt;=$NR$19),IF($NO$19="Single_Point",IF(90=$NQ$19,$NM$19,0),IF($NO$19="Bell_Curve",$NM$19*(90-$NQ$19+1)*($NR$19-90+1)/$NT$19,$NM$19/$NS$19)),0)</f>
        <v/>
      </c>
      <c r="CP19" s="18">
        <f>IF(AND(91&gt;=$NQ$19,91&lt;=$NR$19),IF($NO$19="Single_Point",IF(91=$NQ$19,$NM$19,0),IF($NO$19="Bell_Curve",$NM$19*(91-$NQ$19+1)*($NR$19-91+1)/$NT$19,$NM$19/$NS$19)),0)</f>
        <v/>
      </c>
      <c r="CQ19" s="18">
        <f>IF(AND(92&gt;=$NQ$19,92&lt;=$NR$19),IF($NO$19="Single_Point",IF(92=$NQ$19,$NM$19,0),IF($NO$19="Bell_Curve",$NM$19*(92-$NQ$19+1)*($NR$19-92+1)/$NT$19,$NM$19/$NS$19)),0)</f>
        <v/>
      </c>
      <c r="CR19" s="18">
        <f>IF(AND(93&gt;=$NQ$19,93&lt;=$NR$19),IF($NO$19="Single_Point",IF(93=$NQ$19,$NM$19,0),IF($NO$19="Bell_Curve",$NM$19*(93-$NQ$19+1)*($NR$19-93+1)/$NT$19,$NM$19/$NS$19)),0)</f>
        <v/>
      </c>
      <c r="CS19" s="18">
        <f>IF(AND(94&gt;=$NQ$19,94&lt;=$NR$19),IF($NO$19="Single_Point",IF(94=$NQ$19,$NM$19,0),IF($NO$19="Bell_Curve",$NM$19*(94-$NQ$19+1)*($NR$19-94+1)/$NT$19,$NM$19/$NS$19)),0)</f>
        <v/>
      </c>
      <c r="CT19" s="18">
        <f>IF(AND(95&gt;=$NQ$19,95&lt;=$NR$19),IF($NO$19="Single_Point",IF(95=$NQ$19,$NM$19,0),IF($NO$19="Bell_Curve",$NM$19*(95-$NQ$19+1)*($NR$19-95+1)/$NT$19,$NM$19/$NS$19)),0)</f>
        <v/>
      </c>
      <c r="CU19" s="18">
        <f>IF(AND(96&gt;=$NQ$19,96&lt;=$NR$19),IF($NO$19="Single_Point",IF(96=$NQ$19,$NM$19,0),IF($NO$19="Bell_Curve",$NM$19*(96-$NQ$19+1)*($NR$19-96+1)/$NT$19,$NM$19/$NS$19)),0)</f>
        <v/>
      </c>
      <c r="CV19" s="18">
        <f>IF(AND(97&gt;=$NQ$19,97&lt;=$NR$19),IF($NO$19="Single_Point",IF(97=$NQ$19,$NM$19,0),IF($NO$19="Bell_Curve",$NM$19*(97-$NQ$19+1)*($NR$19-97+1)/$NT$19,$NM$19/$NS$19)),0)</f>
        <v/>
      </c>
      <c r="CW19" s="18">
        <f>IF(AND(98&gt;=$NQ$19,98&lt;=$NR$19),IF($NO$19="Single_Point",IF(98=$NQ$19,$NM$19,0),IF($NO$19="Bell_Curve",$NM$19*(98-$NQ$19+1)*($NR$19-98+1)/$NT$19,$NM$19/$NS$19)),0)</f>
        <v/>
      </c>
      <c r="CX19" s="18">
        <f>IF(AND(99&gt;=$NQ$19,99&lt;=$NR$19),IF($NO$19="Single_Point",IF(99=$NQ$19,$NM$19,0),IF($NO$19="Bell_Curve",$NM$19*(99-$NQ$19+1)*($NR$19-99+1)/$NT$19,$NM$19/$NS$19)),0)</f>
        <v/>
      </c>
      <c r="CY19" s="18">
        <f>IF(AND(100&gt;=$NQ$19,100&lt;=$NR$19),IF($NO$19="Single_Point",IF(100=$NQ$19,$NM$19,0),IF($NO$19="Bell_Curve",$NM$19*(100-$NQ$19+1)*($NR$19-100+1)/$NT$19,$NM$19/$NS$19)),0)</f>
        <v/>
      </c>
      <c r="CZ19" s="18">
        <f>IF(AND(101&gt;=$NQ$19,101&lt;=$NR$19),IF($NO$19="Single_Point",IF(101=$NQ$19,$NM$19,0),IF($NO$19="Bell_Curve",$NM$19*(101-$NQ$19+1)*($NR$19-101+1)/$NT$19,$NM$19/$NS$19)),0)</f>
        <v/>
      </c>
      <c r="DA19" s="18">
        <f>IF(AND(102&gt;=$NQ$19,102&lt;=$NR$19),IF($NO$19="Single_Point",IF(102=$NQ$19,$NM$19,0),IF($NO$19="Bell_Curve",$NM$19*(102-$NQ$19+1)*($NR$19-102+1)/$NT$19,$NM$19/$NS$19)),0)</f>
        <v/>
      </c>
      <c r="DB19" s="18">
        <f>IF(AND(103&gt;=$NQ$19,103&lt;=$NR$19),IF($NO$19="Single_Point",IF(103=$NQ$19,$NM$19,0),IF($NO$19="Bell_Curve",$NM$19*(103-$NQ$19+1)*($NR$19-103+1)/$NT$19,$NM$19/$NS$19)),0)</f>
        <v/>
      </c>
      <c r="DC19" s="18">
        <f>IF(AND(104&gt;=$NQ$19,104&lt;=$NR$19),IF($NO$19="Single_Point",IF(104=$NQ$19,$NM$19,0),IF($NO$19="Bell_Curve",$NM$19*(104-$NQ$19+1)*($NR$19-104+1)/$NT$19,$NM$19/$NS$19)),0)</f>
        <v/>
      </c>
      <c r="DD19" s="18">
        <f>IF(AND(105&gt;=$NQ$19,105&lt;=$NR$19),IF($NO$19="Single_Point",IF(105=$NQ$19,$NM$19,0),IF($NO$19="Bell_Curve",$NM$19*(105-$NQ$19+1)*($NR$19-105+1)/$NT$19,$NM$19/$NS$19)),0)</f>
        <v/>
      </c>
      <c r="DE19" s="18">
        <f>IF(AND(106&gt;=$NQ$19,106&lt;=$NR$19),IF($NO$19="Single_Point",IF(106=$NQ$19,$NM$19,0),IF($NO$19="Bell_Curve",$NM$19*(106-$NQ$19+1)*($NR$19-106+1)/$NT$19,$NM$19/$NS$19)),0)</f>
        <v/>
      </c>
      <c r="DF19" s="18">
        <f>IF(AND(107&gt;=$NQ$19,107&lt;=$NR$19),IF($NO$19="Single_Point",IF(107=$NQ$19,$NM$19,0),IF($NO$19="Bell_Curve",$NM$19*(107-$NQ$19+1)*($NR$19-107+1)/$NT$19,$NM$19/$NS$19)),0)</f>
        <v/>
      </c>
      <c r="DG19" s="18">
        <f>IF(AND(108&gt;=$NQ$19,108&lt;=$NR$19),IF($NO$19="Single_Point",IF(108=$NQ$19,$NM$19,0),IF($NO$19="Bell_Curve",$NM$19*(108-$NQ$19+1)*($NR$19-108+1)/$NT$19,$NM$19/$NS$19)),0)</f>
        <v/>
      </c>
      <c r="DH19" s="18">
        <f>IF(AND(109&gt;=$NQ$19,109&lt;=$NR$19),IF($NO$19="Single_Point",IF(109=$NQ$19,$NM$19,0),IF($NO$19="Bell_Curve",$NM$19*(109-$NQ$19+1)*($NR$19-109+1)/$NT$19,$NM$19/$NS$19)),0)</f>
        <v/>
      </c>
      <c r="DI19" s="18">
        <f>IF(AND(110&gt;=$NQ$19,110&lt;=$NR$19),IF($NO$19="Single_Point",IF(110=$NQ$19,$NM$19,0),IF($NO$19="Bell_Curve",$NM$19*(110-$NQ$19+1)*($NR$19-110+1)/$NT$19,$NM$19/$NS$19)),0)</f>
        <v/>
      </c>
      <c r="DJ19" s="18">
        <f>IF(AND(111&gt;=$NQ$19,111&lt;=$NR$19),IF($NO$19="Single_Point",IF(111=$NQ$19,$NM$19,0),IF($NO$19="Bell_Curve",$NM$19*(111-$NQ$19+1)*($NR$19-111+1)/$NT$19,$NM$19/$NS$19)),0)</f>
        <v/>
      </c>
      <c r="DK19" s="18">
        <f>IF(AND(112&gt;=$NQ$19,112&lt;=$NR$19),IF($NO$19="Single_Point",IF(112=$NQ$19,$NM$19,0),IF($NO$19="Bell_Curve",$NM$19*(112-$NQ$19+1)*($NR$19-112+1)/$NT$19,$NM$19/$NS$19)),0)</f>
        <v/>
      </c>
      <c r="DL19" s="18">
        <f>IF(AND(113&gt;=$NQ$19,113&lt;=$NR$19),IF($NO$19="Single_Point",IF(113=$NQ$19,$NM$19,0),IF($NO$19="Bell_Curve",$NM$19*(113-$NQ$19+1)*($NR$19-113+1)/$NT$19,$NM$19/$NS$19)),0)</f>
        <v/>
      </c>
      <c r="DM19" s="18">
        <f>IF(AND(114&gt;=$NQ$19,114&lt;=$NR$19),IF($NO$19="Single_Point",IF(114=$NQ$19,$NM$19,0),IF($NO$19="Bell_Curve",$NM$19*(114-$NQ$19+1)*($NR$19-114+1)/$NT$19,$NM$19/$NS$19)),0)</f>
        <v/>
      </c>
      <c r="DN19" s="18">
        <f>IF(AND(115&gt;=$NQ$19,115&lt;=$NR$19),IF($NO$19="Single_Point",IF(115=$NQ$19,$NM$19,0),IF($NO$19="Bell_Curve",$NM$19*(115-$NQ$19+1)*($NR$19-115+1)/$NT$19,$NM$19/$NS$19)),0)</f>
        <v/>
      </c>
      <c r="DO19" s="18">
        <f>IF(AND(116&gt;=$NQ$19,116&lt;=$NR$19),IF($NO$19="Single_Point",IF(116=$NQ$19,$NM$19,0),IF($NO$19="Bell_Curve",$NM$19*(116-$NQ$19+1)*($NR$19-116+1)/$NT$19,$NM$19/$NS$19)),0)</f>
        <v/>
      </c>
      <c r="DP19" s="18">
        <f>IF(AND(117&gt;=$NQ$19,117&lt;=$NR$19),IF($NO$19="Single_Point",IF(117=$NQ$19,$NM$19,0),IF($NO$19="Bell_Curve",$NM$19*(117-$NQ$19+1)*($NR$19-117+1)/$NT$19,$NM$19/$NS$19)),0)</f>
        <v/>
      </c>
      <c r="DQ19" s="18">
        <f>IF(AND(118&gt;=$NQ$19,118&lt;=$NR$19),IF($NO$19="Single_Point",IF(118=$NQ$19,$NM$19,0),IF($NO$19="Bell_Curve",$NM$19*(118-$NQ$19+1)*($NR$19-118+1)/$NT$19,$NM$19/$NS$19)),0)</f>
        <v/>
      </c>
      <c r="DR19" s="18">
        <f>IF(AND(119&gt;=$NQ$19,119&lt;=$NR$19),IF($NO$19="Single_Point",IF(119=$NQ$19,$NM$19,0),IF($NO$19="Bell_Curve",$NM$19*(119-$NQ$19+1)*($NR$19-119+1)/$NT$19,$NM$19/$NS$19)),0)</f>
        <v/>
      </c>
      <c r="DS19" s="18">
        <f>IF(AND(120&gt;=$NQ$19,120&lt;=$NR$19),IF($NO$19="Single_Point",IF(120=$NQ$19,$NM$19,0),IF($NO$19="Bell_Curve",$NM$19*(120-$NQ$19+1)*($NR$19-120+1)/$NT$19,$NM$19/$NS$19)),0)</f>
        <v/>
      </c>
      <c r="DT19" s="18">
        <f>IF(AND(121&gt;=$NQ$19,121&lt;=$NR$19),IF($NO$19="Single_Point",IF(121=$NQ$19,$NM$19,0),IF($NO$19="Bell_Curve",$NM$19*(121-$NQ$19+1)*($NR$19-121+1)/$NT$19,$NM$19/$NS$19)),0)</f>
        <v/>
      </c>
      <c r="DU19" s="18">
        <f>IF(AND(122&gt;=$NQ$19,122&lt;=$NR$19),IF($NO$19="Single_Point",IF(122=$NQ$19,$NM$19,0),IF($NO$19="Bell_Curve",$NM$19*(122-$NQ$19+1)*($NR$19-122+1)/$NT$19,$NM$19/$NS$19)),0)</f>
        <v/>
      </c>
      <c r="DV19" s="18">
        <f>IF(AND(123&gt;=$NQ$19,123&lt;=$NR$19),IF($NO$19="Single_Point",IF(123=$NQ$19,$NM$19,0),IF($NO$19="Bell_Curve",$NM$19*(123-$NQ$19+1)*($NR$19-123+1)/$NT$19,$NM$19/$NS$19)),0)</f>
        <v/>
      </c>
      <c r="DW19" s="18">
        <f>IF(AND(124&gt;=$NQ$19,124&lt;=$NR$19),IF($NO$19="Single_Point",IF(124=$NQ$19,$NM$19,0),IF($NO$19="Bell_Curve",$NM$19*(124-$NQ$19+1)*($NR$19-124+1)/$NT$19,$NM$19/$NS$19)),0)</f>
        <v/>
      </c>
      <c r="DX19" s="18">
        <f>IF(AND(125&gt;=$NQ$19,125&lt;=$NR$19),IF($NO$19="Single_Point",IF(125=$NQ$19,$NM$19,0),IF($NO$19="Bell_Curve",$NM$19*(125-$NQ$19+1)*($NR$19-125+1)/$NT$19,$NM$19/$NS$19)),0)</f>
        <v/>
      </c>
      <c r="DY19" s="18">
        <f>IF(AND(126&gt;=$NQ$19,126&lt;=$NR$19),IF($NO$19="Single_Point",IF(126=$NQ$19,$NM$19,0),IF($NO$19="Bell_Curve",$NM$19*(126-$NQ$19+1)*($NR$19-126+1)/$NT$19,$NM$19/$NS$19)),0)</f>
        <v/>
      </c>
      <c r="DZ19" s="18">
        <f>IF(AND(127&gt;=$NQ$19,127&lt;=$NR$19),IF($NO$19="Single_Point",IF(127=$NQ$19,$NM$19,0),IF($NO$19="Bell_Curve",$NM$19*(127-$NQ$19+1)*($NR$19-127+1)/$NT$19,$NM$19/$NS$19)),0)</f>
        <v/>
      </c>
      <c r="EA19" s="18">
        <f>IF(AND(128&gt;=$NQ$19,128&lt;=$NR$19),IF($NO$19="Single_Point",IF(128=$NQ$19,$NM$19,0),IF($NO$19="Bell_Curve",$NM$19*(128-$NQ$19+1)*($NR$19-128+1)/$NT$19,$NM$19/$NS$19)),0)</f>
        <v/>
      </c>
      <c r="EB19" s="18">
        <f>IF(AND(129&gt;=$NQ$19,129&lt;=$NR$19),IF($NO$19="Single_Point",IF(129=$NQ$19,$NM$19,0),IF($NO$19="Bell_Curve",$NM$19*(129-$NQ$19+1)*($NR$19-129+1)/$NT$19,$NM$19/$NS$19)),0)</f>
        <v/>
      </c>
      <c r="EC19" s="18">
        <f>IF(AND(130&gt;=$NQ$19,130&lt;=$NR$19),IF($NO$19="Single_Point",IF(130=$NQ$19,$NM$19,0),IF($NO$19="Bell_Curve",$NM$19*(130-$NQ$19+1)*($NR$19-130+1)/$NT$19,$NM$19/$NS$19)),0)</f>
        <v/>
      </c>
      <c r="ED19" s="18">
        <f>IF(AND(131&gt;=$NQ$19,131&lt;=$NR$19),IF($NO$19="Single_Point",IF(131=$NQ$19,$NM$19,0),IF($NO$19="Bell_Curve",$NM$19*(131-$NQ$19+1)*($NR$19-131+1)/$NT$19,$NM$19/$NS$19)),0)</f>
        <v/>
      </c>
      <c r="EE19" s="18">
        <f>IF(AND(132&gt;=$NQ$19,132&lt;=$NR$19),IF($NO$19="Single_Point",IF(132=$NQ$19,$NM$19,0),IF($NO$19="Bell_Curve",$NM$19*(132-$NQ$19+1)*($NR$19-132+1)/$NT$19,$NM$19/$NS$19)),0)</f>
        <v/>
      </c>
      <c r="EF19" s="18">
        <f>IF(AND(133&gt;=$NQ$19,133&lt;=$NR$19),IF($NO$19="Single_Point",IF(133=$NQ$19,$NM$19,0),IF($NO$19="Bell_Curve",$NM$19*(133-$NQ$19+1)*($NR$19-133+1)/$NT$19,$NM$19/$NS$19)),0)</f>
        <v/>
      </c>
      <c r="EG19" s="18">
        <f>IF(AND(134&gt;=$NQ$19,134&lt;=$NR$19),IF($NO$19="Single_Point",IF(134=$NQ$19,$NM$19,0),IF($NO$19="Bell_Curve",$NM$19*(134-$NQ$19+1)*($NR$19-134+1)/$NT$19,$NM$19/$NS$19)),0)</f>
        <v/>
      </c>
      <c r="EH19" s="18">
        <f>IF(AND(135&gt;=$NQ$19,135&lt;=$NR$19),IF($NO$19="Single_Point",IF(135=$NQ$19,$NM$19,0),IF($NO$19="Bell_Curve",$NM$19*(135-$NQ$19+1)*($NR$19-135+1)/$NT$19,$NM$19/$NS$19)),0)</f>
        <v/>
      </c>
      <c r="EI19" s="18">
        <f>IF(AND(136&gt;=$NQ$19,136&lt;=$NR$19),IF($NO$19="Single_Point",IF(136=$NQ$19,$NM$19,0),IF($NO$19="Bell_Curve",$NM$19*(136-$NQ$19+1)*($NR$19-136+1)/$NT$19,$NM$19/$NS$19)),0)</f>
        <v/>
      </c>
      <c r="EJ19" s="18">
        <f>IF(AND(137&gt;=$NQ$19,137&lt;=$NR$19),IF($NO$19="Single_Point",IF(137=$NQ$19,$NM$19,0),IF($NO$19="Bell_Curve",$NM$19*(137-$NQ$19+1)*($NR$19-137+1)/$NT$19,$NM$19/$NS$19)),0)</f>
        <v/>
      </c>
      <c r="EK19" s="18">
        <f>IF(AND(138&gt;=$NQ$19,138&lt;=$NR$19),IF($NO$19="Single_Point",IF(138=$NQ$19,$NM$19,0),IF($NO$19="Bell_Curve",$NM$19*(138-$NQ$19+1)*($NR$19-138+1)/$NT$19,$NM$19/$NS$19)),0)</f>
        <v/>
      </c>
      <c r="EL19" s="18">
        <f>IF(AND(139&gt;=$NQ$19,139&lt;=$NR$19),IF($NO$19="Single_Point",IF(139=$NQ$19,$NM$19,0),IF($NO$19="Bell_Curve",$NM$19*(139-$NQ$19+1)*($NR$19-139+1)/$NT$19,$NM$19/$NS$19)),0)</f>
        <v/>
      </c>
      <c r="EM19" s="18">
        <f>IF(AND(140&gt;=$NQ$19,140&lt;=$NR$19),IF($NO$19="Single_Point",IF(140=$NQ$19,$NM$19,0),IF($NO$19="Bell_Curve",$NM$19*(140-$NQ$19+1)*($NR$19-140+1)/$NT$19,$NM$19/$NS$19)),0)</f>
        <v/>
      </c>
      <c r="EN19" s="18">
        <f>IF(AND(141&gt;=$NQ$19,141&lt;=$NR$19),IF($NO$19="Single_Point",IF(141=$NQ$19,$NM$19,0),IF($NO$19="Bell_Curve",$NM$19*(141-$NQ$19+1)*($NR$19-141+1)/$NT$19,$NM$19/$NS$19)),0)</f>
        <v/>
      </c>
      <c r="EO19" s="18">
        <f>IF(AND(142&gt;=$NQ$19,142&lt;=$NR$19),IF($NO$19="Single_Point",IF(142=$NQ$19,$NM$19,0),IF($NO$19="Bell_Curve",$NM$19*(142-$NQ$19+1)*($NR$19-142+1)/$NT$19,$NM$19/$NS$19)),0)</f>
        <v/>
      </c>
      <c r="EP19" s="18">
        <f>IF(AND(143&gt;=$NQ$19,143&lt;=$NR$19),IF($NO$19="Single_Point",IF(143=$NQ$19,$NM$19,0),IF($NO$19="Bell_Curve",$NM$19*(143-$NQ$19+1)*($NR$19-143+1)/$NT$19,$NM$19/$NS$19)),0)</f>
        <v/>
      </c>
      <c r="EQ19" s="18">
        <f>IF(AND(144&gt;=$NQ$19,144&lt;=$NR$19),IF($NO$19="Single_Point",IF(144=$NQ$19,$NM$19,0),IF($NO$19="Bell_Curve",$NM$19*(144-$NQ$19+1)*($NR$19-144+1)/$NT$19,$NM$19/$NS$19)),0)</f>
        <v/>
      </c>
      <c r="ER19" s="18">
        <f>IF(AND(145&gt;=$NQ$19,145&lt;=$NR$19),IF($NO$19="Single_Point",IF(145=$NQ$19,$NM$19,0),IF($NO$19="Bell_Curve",$NM$19*(145-$NQ$19+1)*($NR$19-145+1)/$NT$19,$NM$19/$NS$19)),0)</f>
        <v/>
      </c>
      <c r="ES19" s="18">
        <f>IF(AND(146&gt;=$NQ$19,146&lt;=$NR$19),IF($NO$19="Single_Point",IF(146=$NQ$19,$NM$19,0),IF($NO$19="Bell_Curve",$NM$19*(146-$NQ$19+1)*($NR$19-146+1)/$NT$19,$NM$19/$NS$19)),0)</f>
        <v/>
      </c>
      <c r="ET19" s="18">
        <f>IF(AND(147&gt;=$NQ$19,147&lt;=$NR$19),IF($NO$19="Single_Point",IF(147=$NQ$19,$NM$19,0),IF($NO$19="Bell_Curve",$NM$19*(147-$NQ$19+1)*($NR$19-147+1)/$NT$19,$NM$19/$NS$19)),0)</f>
        <v/>
      </c>
      <c r="EU19" s="18">
        <f>IF(AND(148&gt;=$NQ$19,148&lt;=$NR$19),IF($NO$19="Single_Point",IF(148=$NQ$19,$NM$19,0),IF($NO$19="Bell_Curve",$NM$19*(148-$NQ$19+1)*($NR$19-148+1)/$NT$19,$NM$19/$NS$19)),0)</f>
        <v/>
      </c>
      <c r="EV19" s="18">
        <f>IF(AND(149&gt;=$NQ$19,149&lt;=$NR$19),IF($NO$19="Single_Point",IF(149=$NQ$19,$NM$19,0),IF($NO$19="Bell_Curve",$NM$19*(149-$NQ$19+1)*($NR$19-149+1)/$NT$19,$NM$19/$NS$19)),0)</f>
        <v/>
      </c>
      <c r="EW19" s="18">
        <f>IF(AND(150&gt;=$NQ$19,150&lt;=$NR$19),IF($NO$19="Single_Point",IF(150=$NQ$19,$NM$19,0),IF($NO$19="Bell_Curve",$NM$19*(150-$NQ$19+1)*($NR$19-150+1)/$NT$19,$NM$19/$NS$19)),0)</f>
        <v/>
      </c>
      <c r="EX19" s="18">
        <f>IF(AND(151&gt;=$NQ$19,151&lt;=$NR$19),IF($NO$19="Single_Point",IF(151=$NQ$19,$NM$19,0),IF($NO$19="Bell_Curve",$NM$19*(151-$NQ$19+1)*($NR$19-151+1)/$NT$19,$NM$19/$NS$19)),0)</f>
        <v/>
      </c>
      <c r="EY19" s="18">
        <f>IF(AND(152&gt;=$NQ$19,152&lt;=$NR$19),IF($NO$19="Single_Point",IF(152=$NQ$19,$NM$19,0),IF($NO$19="Bell_Curve",$NM$19*(152-$NQ$19+1)*($NR$19-152+1)/$NT$19,$NM$19/$NS$19)),0)</f>
        <v/>
      </c>
      <c r="EZ19" s="18">
        <f>IF(AND(153&gt;=$NQ$19,153&lt;=$NR$19),IF($NO$19="Single_Point",IF(153=$NQ$19,$NM$19,0),IF($NO$19="Bell_Curve",$NM$19*(153-$NQ$19+1)*($NR$19-153+1)/$NT$19,$NM$19/$NS$19)),0)</f>
        <v/>
      </c>
      <c r="FA19" s="18">
        <f>IF(AND(154&gt;=$NQ$19,154&lt;=$NR$19),IF($NO$19="Single_Point",IF(154=$NQ$19,$NM$19,0),IF($NO$19="Bell_Curve",$NM$19*(154-$NQ$19+1)*($NR$19-154+1)/$NT$19,$NM$19/$NS$19)),0)</f>
        <v/>
      </c>
      <c r="FB19" s="18">
        <f>IF(AND(155&gt;=$NQ$19,155&lt;=$NR$19),IF($NO$19="Single_Point",IF(155=$NQ$19,$NM$19,0),IF($NO$19="Bell_Curve",$NM$19*(155-$NQ$19+1)*($NR$19-155+1)/$NT$19,$NM$19/$NS$19)),0)</f>
        <v/>
      </c>
      <c r="FC19" s="18">
        <f>IF(AND(156&gt;=$NQ$19,156&lt;=$NR$19),IF($NO$19="Single_Point",IF(156=$NQ$19,$NM$19,0),IF($NO$19="Bell_Curve",$NM$19*(156-$NQ$19+1)*($NR$19-156+1)/$NT$19,$NM$19/$NS$19)),0)</f>
        <v/>
      </c>
      <c r="FD19" s="18">
        <f>IF(AND(157&gt;=$NQ$19,157&lt;=$NR$19),IF($NO$19="Single_Point",IF(157=$NQ$19,$NM$19,0),IF($NO$19="Bell_Curve",$NM$19*(157-$NQ$19+1)*($NR$19-157+1)/$NT$19,$NM$19/$NS$19)),0)</f>
        <v/>
      </c>
      <c r="FE19" s="18">
        <f>IF(AND(158&gt;=$NQ$19,158&lt;=$NR$19),IF($NO$19="Single_Point",IF(158=$NQ$19,$NM$19,0),IF($NO$19="Bell_Curve",$NM$19*(158-$NQ$19+1)*($NR$19-158+1)/$NT$19,$NM$19/$NS$19)),0)</f>
        <v/>
      </c>
      <c r="FF19" s="18">
        <f>IF(AND(159&gt;=$NQ$19,159&lt;=$NR$19),IF($NO$19="Single_Point",IF(159=$NQ$19,$NM$19,0),IF($NO$19="Bell_Curve",$NM$19*(159-$NQ$19+1)*($NR$19-159+1)/$NT$19,$NM$19/$NS$19)),0)</f>
        <v/>
      </c>
      <c r="FG19" s="18">
        <f>IF(AND(160&gt;=$NQ$19,160&lt;=$NR$19),IF($NO$19="Single_Point",IF(160=$NQ$19,$NM$19,0),IF($NO$19="Bell_Curve",$NM$19*(160-$NQ$19+1)*($NR$19-160+1)/$NT$19,$NM$19/$NS$19)),0)</f>
        <v/>
      </c>
      <c r="FH19" s="18">
        <f>IF(AND(161&gt;=$NQ$19,161&lt;=$NR$19),IF($NO$19="Single_Point",IF(161=$NQ$19,$NM$19,0),IF($NO$19="Bell_Curve",$NM$19*(161-$NQ$19+1)*($NR$19-161+1)/$NT$19,$NM$19/$NS$19)),0)</f>
        <v/>
      </c>
      <c r="FI19" s="18">
        <f>IF(AND(162&gt;=$NQ$19,162&lt;=$NR$19),IF($NO$19="Single_Point",IF(162=$NQ$19,$NM$19,0),IF($NO$19="Bell_Curve",$NM$19*(162-$NQ$19+1)*($NR$19-162+1)/$NT$19,$NM$19/$NS$19)),0)</f>
        <v/>
      </c>
      <c r="FJ19" s="18">
        <f>IF(AND(163&gt;=$NQ$19,163&lt;=$NR$19),IF($NO$19="Single_Point",IF(163=$NQ$19,$NM$19,0),IF($NO$19="Bell_Curve",$NM$19*(163-$NQ$19+1)*($NR$19-163+1)/$NT$19,$NM$19/$NS$19)),0)</f>
        <v/>
      </c>
      <c r="FK19" s="18">
        <f>IF(AND(164&gt;=$NQ$19,164&lt;=$NR$19),IF($NO$19="Single_Point",IF(164=$NQ$19,$NM$19,0),IF($NO$19="Bell_Curve",$NM$19*(164-$NQ$19+1)*($NR$19-164+1)/$NT$19,$NM$19/$NS$19)),0)</f>
        <v/>
      </c>
      <c r="FL19" s="18">
        <f>IF(AND(165&gt;=$NQ$19,165&lt;=$NR$19),IF($NO$19="Single_Point",IF(165=$NQ$19,$NM$19,0),IF($NO$19="Bell_Curve",$NM$19*(165-$NQ$19+1)*($NR$19-165+1)/$NT$19,$NM$19/$NS$19)),0)</f>
        <v/>
      </c>
      <c r="FM19" s="18">
        <f>IF(AND(166&gt;=$NQ$19,166&lt;=$NR$19),IF($NO$19="Single_Point",IF(166=$NQ$19,$NM$19,0),IF($NO$19="Bell_Curve",$NM$19*(166-$NQ$19+1)*($NR$19-166+1)/$NT$19,$NM$19/$NS$19)),0)</f>
        <v/>
      </c>
      <c r="FN19" s="18">
        <f>IF(AND(167&gt;=$NQ$19,167&lt;=$NR$19),IF($NO$19="Single_Point",IF(167=$NQ$19,$NM$19,0),IF($NO$19="Bell_Curve",$NM$19*(167-$NQ$19+1)*($NR$19-167+1)/$NT$19,$NM$19/$NS$19)),0)</f>
        <v/>
      </c>
      <c r="FO19" s="18">
        <f>IF(AND(168&gt;=$NQ$19,168&lt;=$NR$19),IF($NO$19="Single_Point",IF(168=$NQ$19,$NM$19,0),IF($NO$19="Bell_Curve",$NM$19*(168-$NQ$19+1)*($NR$19-168+1)/$NT$19,$NM$19/$NS$19)),0)</f>
        <v/>
      </c>
      <c r="FP19" s="18">
        <f>IF(AND(169&gt;=$NQ$19,169&lt;=$NR$19),IF($NO$19="Single_Point",IF(169=$NQ$19,$NM$19,0),IF($NO$19="Bell_Curve",$NM$19*(169-$NQ$19+1)*($NR$19-169+1)/$NT$19,$NM$19/$NS$19)),0)</f>
        <v/>
      </c>
      <c r="FQ19" s="18">
        <f>IF(AND(170&gt;=$NQ$19,170&lt;=$NR$19),IF($NO$19="Single_Point",IF(170=$NQ$19,$NM$19,0),IF($NO$19="Bell_Curve",$NM$19*(170-$NQ$19+1)*($NR$19-170+1)/$NT$19,$NM$19/$NS$19)),0)</f>
        <v/>
      </c>
      <c r="FR19" s="18">
        <f>IF(AND(171&gt;=$NQ$19,171&lt;=$NR$19),IF($NO$19="Single_Point",IF(171=$NQ$19,$NM$19,0),IF($NO$19="Bell_Curve",$NM$19*(171-$NQ$19+1)*($NR$19-171+1)/$NT$19,$NM$19/$NS$19)),0)</f>
        <v/>
      </c>
      <c r="FS19" s="18">
        <f>IF(AND(172&gt;=$NQ$19,172&lt;=$NR$19),IF($NO$19="Single_Point",IF(172=$NQ$19,$NM$19,0),IF($NO$19="Bell_Curve",$NM$19*(172-$NQ$19+1)*($NR$19-172+1)/$NT$19,$NM$19/$NS$19)),0)</f>
        <v/>
      </c>
      <c r="FT19" s="18">
        <f>IF(AND(173&gt;=$NQ$19,173&lt;=$NR$19),IF($NO$19="Single_Point",IF(173=$NQ$19,$NM$19,0),IF($NO$19="Bell_Curve",$NM$19*(173-$NQ$19+1)*($NR$19-173+1)/$NT$19,$NM$19/$NS$19)),0)</f>
        <v/>
      </c>
      <c r="FU19" s="18">
        <f>IF(AND(174&gt;=$NQ$19,174&lt;=$NR$19),IF($NO$19="Single_Point",IF(174=$NQ$19,$NM$19,0),IF($NO$19="Bell_Curve",$NM$19*(174-$NQ$19+1)*($NR$19-174+1)/$NT$19,$NM$19/$NS$19)),0)</f>
        <v/>
      </c>
      <c r="FV19" s="18">
        <f>IF(AND(175&gt;=$NQ$19,175&lt;=$NR$19),IF($NO$19="Single_Point",IF(175=$NQ$19,$NM$19,0),IF($NO$19="Bell_Curve",$NM$19*(175-$NQ$19+1)*($NR$19-175+1)/$NT$19,$NM$19/$NS$19)),0)</f>
        <v/>
      </c>
      <c r="FW19" s="18">
        <f>IF(AND(176&gt;=$NQ$19,176&lt;=$NR$19),IF($NO$19="Single_Point",IF(176=$NQ$19,$NM$19,0),IF($NO$19="Bell_Curve",$NM$19*(176-$NQ$19+1)*($NR$19-176+1)/$NT$19,$NM$19/$NS$19)),0)</f>
        <v/>
      </c>
      <c r="FX19" s="18">
        <f>IF(AND(177&gt;=$NQ$19,177&lt;=$NR$19),IF($NO$19="Single_Point",IF(177=$NQ$19,$NM$19,0),IF($NO$19="Bell_Curve",$NM$19*(177-$NQ$19+1)*($NR$19-177+1)/$NT$19,$NM$19/$NS$19)),0)</f>
        <v/>
      </c>
      <c r="FY19" s="18">
        <f>IF(AND(178&gt;=$NQ$19,178&lt;=$NR$19),IF($NO$19="Single_Point",IF(178=$NQ$19,$NM$19,0),IF($NO$19="Bell_Curve",$NM$19*(178-$NQ$19+1)*($NR$19-178+1)/$NT$19,$NM$19/$NS$19)),0)</f>
        <v/>
      </c>
      <c r="FZ19" s="18">
        <f>IF(AND(179&gt;=$NQ$19,179&lt;=$NR$19),IF($NO$19="Single_Point",IF(179=$NQ$19,$NM$19,0),IF($NO$19="Bell_Curve",$NM$19*(179-$NQ$19+1)*($NR$19-179+1)/$NT$19,$NM$19/$NS$19)),0)</f>
        <v/>
      </c>
      <c r="GA19" s="18">
        <f>IF(AND(180&gt;=$NQ$19,180&lt;=$NR$19),IF($NO$19="Single_Point",IF(180=$NQ$19,$NM$19,0),IF($NO$19="Bell_Curve",$NM$19*(180-$NQ$19+1)*($NR$19-180+1)/$NT$19,$NM$19/$NS$19)),0)</f>
        <v/>
      </c>
      <c r="GB19" s="18">
        <f>IF(AND(181&gt;=$NQ$19,181&lt;=$NR$19),IF($NO$19="Single_Point",IF(181=$NQ$19,$NM$19,0),IF($NO$19="Bell_Curve",$NM$19*(181-$NQ$19+1)*($NR$19-181+1)/$NT$19,$NM$19/$NS$19)),0)</f>
        <v/>
      </c>
      <c r="GC19" s="18">
        <f>IF(AND(182&gt;=$NQ$19,182&lt;=$NR$19),IF($NO$19="Single_Point",IF(182=$NQ$19,$NM$19,0),IF($NO$19="Bell_Curve",$NM$19*(182-$NQ$19+1)*($NR$19-182+1)/$NT$19,$NM$19/$NS$19)),0)</f>
        <v/>
      </c>
      <c r="GD19" s="18">
        <f>IF(AND(183&gt;=$NQ$19,183&lt;=$NR$19),IF($NO$19="Single_Point",IF(183=$NQ$19,$NM$19,0),IF($NO$19="Bell_Curve",$NM$19*(183-$NQ$19+1)*($NR$19-183+1)/$NT$19,$NM$19/$NS$19)),0)</f>
        <v/>
      </c>
      <c r="GE19" s="18">
        <f>IF(AND(184&gt;=$NQ$19,184&lt;=$NR$19),IF($NO$19="Single_Point",IF(184=$NQ$19,$NM$19,0),IF($NO$19="Bell_Curve",$NM$19*(184-$NQ$19+1)*($NR$19-184+1)/$NT$19,$NM$19/$NS$19)),0)</f>
        <v/>
      </c>
      <c r="GF19" s="18">
        <f>IF(AND(185&gt;=$NQ$19,185&lt;=$NR$19),IF($NO$19="Single_Point",IF(185=$NQ$19,$NM$19,0),IF($NO$19="Bell_Curve",$NM$19*(185-$NQ$19+1)*($NR$19-185+1)/$NT$19,$NM$19/$NS$19)),0)</f>
        <v/>
      </c>
      <c r="GG19" s="18">
        <f>IF(AND(186&gt;=$NQ$19,186&lt;=$NR$19),IF($NO$19="Single_Point",IF(186=$NQ$19,$NM$19,0),IF($NO$19="Bell_Curve",$NM$19*(186-$NQ$19+1)*($NR$19-186+1)/$NT$19,$NM$19/$NS$19)),0)</f>
        <v/>
      </c>
      <c r="GH19" s="18">
        <f>IF(AND(187&gt;=$NQ$19,187&lt;=$NR$19),IF($NO$19="Single_Point",IF(187=$NQ$19,$NM$19,0),IF($NO$19="Bell_Curve",$NM$19*(187-$NQ$19+1)*($NR$19-187+1)/$NT$19,$NM$19/$NS$19)),0)</f>
        <v/>
      </c>
      <c r="GI19" s="18">
        <f>IF(AND(188&gt;=$NQ$19,188&lt;=$NR$19),IF($NO$19="Single_Point",IF(188=$NQ$19,$NM$19,0),IF($NO$19="Bell_Curve",$NM$19*(188-$NQ$19+1)*($NR$19-188+1)/$NT$19,$NM$19/$NS$19)),0)</f>
        <v/>
      </c>
      <c r="GJ19" s="18">
        <f>IF(AND(189&gt;=$NQ$19,189&lt;=$NR$19),IF($NO$19="Single_Point",IF(189=$NQ$19,$NM$19,0),IF($NO$19="Bell_Curve",$NM$19*(189-$NQ$19+1)*($NR$19-189+1)/$NT$19,$NM$19/$NS$19)),0)</f>
        <v/>
      </c>
      <c r="GK19" s="18">
        <f>IF(AND(190&gt;=$NQ$19,190&lt;=$NR$19),IF($NO$19="Single_Point",IF(190=$NQ$19,$NM$19,0),IF($NO$19="Bell_Curve",$NM$19*(190-$NQ$19+1)*($NR$19-190+1)/$NT$19,$NM$19/$NS$19)),0)</f>
        <v/>
      </c>
      <c r="GL19" s="18">
        <f>IF(AND(191&gt;=$NQ$19,191&lt;=$NR$19),IF($NO$19="Single_Point",IF(191=$NQ$19,$NM$19,0),IF($NO$19="Bell_Curve",$NM$19*(191-$NQ$19+1)*($NR$19-191+1)/$NT$19,$NM$19/$NS$19)),0)</f>
        <v/>
      </c>
      <c r="GM19" s="18">
        <f>IF(AND(192&gt;=$NQ$19,192&lt;=$NR$19),IF($NO$19="Single_Point",IF(192=$NQ$19,$NM$19,0),IF($NO$19="Bell_Curve",$NM$19*(192-$NQ$19+1)*($NR$19-192+1)/$NT$19,$NM$19/$NS$19)),0)</f>
        <v/>
      </c>
      <c r="GN19" s="18">
        <f>IF(AND(193&gt;=$NQ$19,193&lt;=$NR$19),IF($NO$19="Single_Point",IF(193=$NQ$19,$NM$19,0),IF($NO$19="Bell_Curve",$NM$19*(193-$NQ$19+1)*($NR$19-193+1)/$NT$19,$NM$19/$NS$19)),0)</f>
        <v/>
      </c>
      <c r="GO19" s="18">
        <f>IF(AND(194&gt;=$NQ$19,194&lt;=$NR$19),IF($NO$19="Single_Point",IF(194=$NQ$19,$NM$19,0),IF($NO$19="Bell_Curve",$NM$19*(194-$NQ$19+1)*($NR$19-194+1)/$NT$19,$NM$19/$NS$19)),0)</f>
        <v/>
      </c>
      <c r="GP19" s="18">
        <f>IF(AND(195&gt;=$NQ$19,195&lt;=$NR$19),IF($NO$19="Single_Point",IF(195=$NQ$19,$NM$19,0),IF($NO$19="Bell_Curve",$NM$19*(195-$NQ$19+1)*($NR$19-195+1)/$NT$19,$NM$19/$NS$19)),0)</f>
        <v/>
      </c>
      <c r="GQ19" s="18">
        <f>IF(AND(196&gt;=$NQ$19,196&lt;=$NR$19),IF($NO$19="Single_Point",IF(196=$NQ$19,$NM$19,0),IF($NO$19="Bell_Curve",$NM$19*(196-$NQ$19+1)*($NR$19-196+1)/$NT$19,$NM$19/$NS$19)),0)</f>
        <v/>
      </c>
      <c r="GR19" s="18">
        <f>IF(AND(197&gt;=$NQ$19,197&lt;=$NR$19),IF($NO$19="Single_Point",IF(197=$NQ$19,$NM$19,0),IF($NO$19="Bell_Curve",$NM$19*(197-$NQ$19+1)*($NR$19-197+1)/$NT$19,$NM$19/$NS$19)),0)</f>
        <v/>
      </c>
      <c r="GS19" s="18">
        <f>IF(AND(198&gt;=$NQ$19,198&lt;=$NR$19),IF($NO$19="Single_Point",IF(198=$NQ$19,$NM$19,0),IF($NO$19="Bell_Curve",$NM$19*(198-$NQ$19+1)*($NR$19-198+1)/$NT$19,$NM$19/$NS$19)),0)</f>
        <v/>
      </c>
      <c r="GT19" s="18">
        <f>IF(AND(199&gt;=$NQ$19,199&lt;=$NR$19),IF($NO$19="Single_Point",IF(199=$NQ$19,$NM$19,0),IF($NO$19="Bell_Curve",$NM$19*(199-$NQ$19+1)*($NR$19-199+1)/$NT$19,$NM$19/$NS$19)),0)</f>
        <v/>
      </c>
      <c r="GU19" s="18">
        <f>IF(AND(200&gt;=$NQ$19,200&lt;=$NR$19),IF($NO$19="Single_Point",IF(200=$NQ$19,$NM$19,0),IF($NO$19="Bell_Curve",$NM$19*(200-$NQ$19+1)*($NR$19-200+1)/$NT$19,$NM$19/$NS$19)),0)</f>
        <v/>
      </c>
      <c r="GV19" s="18">
        <f>IF(AND(201&gt;=$NQ$19,201&lt;=$NR$19),IF($NO$19="Single_Point",IF(201=$NQ$19,$NM$19,0),IF($NO$19="Bell_Curve",$NM$19*(201-$NQ$19+1)*($NR$19-201+1)/$NT$19,$NM$19/$NS$19)),0)</f>
        <v/>
      </c>
      <c r="GW19" s="18">
        <f>IF(AND(202&gt;=$NQ$19,202&lt;=$NR$19),IF($NO$19="Single_Point",IF(202=$NQ$19,$NM$19,0),IF($NO$19="Bell_Curve",$NM$19*(202-$NQ$19+1)*($NR$19-202+1)/$NT$19,$NM$19/$NS$19)),0)</f>
        <v/>
      </c>
      <c r="GX19" s="18">
        <f>IF(AND(203&gt;=$NQ$19,203&lt;=$NR$19),IF($NO$19="Single_Point",IF(203=$NQ$19,$NM$19,0),IF($NO$19="Bell_Curve",$NM$19*(203-$NQ$19+1)*($NR$19-203+1)/$NT$19,$NM$19/$NS$19)),0)</f>
        <v/>
      </c>
      <c r="GY19" s="18">
        <f>IF(AND(204&gt;=$NQ$19,204&lt;=$NR$19),IF($NO$19="Single_Point",IF(204=$NQ$19,$NM$19,0),IF($NO$19="Bell_Curve",$NM$19*(204-$NQ$19+1)*($NR$19-204+1)/$NT$19,$NM$19/$NS$19)),0)</f>
        <v/>
      </c>
      <c r="GZ19" s="18">
        <f>IF(AND(205&gt;=$NQ$19,205&lt;=$NR$19),IF($NO$19="Single_Point",IF(205=$NQ$19,$NM$19,0),IF($NO$19="Bell_Curve",$NM$19*(205-$NQ$19+1)*($NR$19-205+1)/$NT$19,$NM$19/$NS$19)),0)</f>
        <v/>
      </c>
      <c r="HA19" s="18">
        <f>IF(AND(206&gt;=$NQ$19,206&lt;=$NR$19),IF($NO$19="Single_Point",IF(206=$NQ$19,$NM$19,0),IF($NO$19="Bell_Curve",$NM$19*(206-$NQ$19+1)*($NR$19-206+1)/$NT$19,$NM$19/$NS$19)),0)</f>
        <v/>
      </c>
      <c r="HB19" s="18">
        <f>IF(AND(207&gt;=$NQ$19,207&lt;=$NR$19),IF($NO$19="Single_Point",IF(207=$NQ$19,$NM$19,0),IF($NO$19="Bell_Curve",$NM$19*(207-$NQ$19+1)*($NR$19-207+1)/$NT$19,$NM$19/$NS$19)),0)</f>
        <v/>
      </c>
      <c r="HC19" s="18">
        <f>IF(AND(208&gt;=$NQ$19,208&lt;=$NR$19),IF($NO$19="Single_Point",IF(208=$NQ$19,$NM$19,0),IF($NO$19="Bell_Curve",$NM$19*(208-$NQ$19+1)*($NR$19-208+1)/$NT$19,$NM$19/$NS$19)),0)</f>
        <v/>
      </c>
      <c r="HD19" s="18">
        <f>IF(AND(209&gt;=$NQ$19,209&lt;=$NR$19),IF($NO$19="Single_Point",IF(209=$NQ$19,$NM$19,0),IF($NO$19="Bell_Curve",$NM$19*(209-$NQ$19+1)*($NR$19-209+1)/$NT$19,$NM$19/$NS$19)),0)</f>
        <v/>
      </c>
      <c r="HE19" s="18">
        <f>IF(AND(210&gt;=$NQ$19,210&lt;=$NR$19),IF($NO$19="Single_Point",IF(210=$NQ$19,$NM$19,0),IF($NO$19="Bell_Curve",$NM$19*(210-$NQ$19+1)*($NR$19-210+1)/$NT$19,$NM$19/$NS$19)),0)</f>
        <v/>
      </c>
      <c r="HF19" s="18">
        <f>IF(AND(211&gt;=$NQ$19,211&lt;=$NR$19),IF($NO$19="Single_Point",IF(211=$NQ$19,$NM$19,0),IF($NO$19="Bell_Curve",$NM$19*(211-$NQ$19+1)*($NR$19-211+1)/$NT$19,$NM$19/$NS$19)),0)</f>
        <v/>
      </c>
      <c r="HG19" s="18">
        <f>IF(AND(212&gt;=$NQ$19,212&lt;=$NR$19),IF($NO$19="Single_Point",IF(212=$NQ$19,$NM$19,0),IF($NO$19="Bell_Curve",$NM$19*(212-$NQ$19+1)*($NR$19-212+1)/$NT$19,$NM$19/$NS$19)),0)</f>
        <v/>
      </c>
      <c r="HH19" s="18">
        <f>IF(AND(213&gt;=$NQ$19,213&lt;=$NR$19),IF($NO$19="Single_Point",IF(213=$NQ$19,$NM$19,0),IF($NO$19="Bell_Curve",$NM$19*(213-$NQ$19+1)*($NR$19-213+1)/$NT$19,$NM$19/$NS$19)),0)</f>
        <v/>
      </c>
      <c r="HI19" s="18">
        <f>IF(AND(214&gt;=$NQ$19,214&lt;=$NR$19),IF($NO$19="Single_Point",IF(214=$NQ$19,$NM$19,0),IF($NO$19="Bell_Curve",$NM$19*(214-$NQ$19+1)*($NR$19-214+1)/$NT$19,$NM$19/$NS$19)),0)</f>
        <v/>
      </c>
      <c r="HJ19" s="18">
        <f>IF(AND(215&gt;=$NQ$19,215&lt;=$NR$19),IF($NO$19="Single_Point",IF(215=$NQ$19,$NM$19,0),IF($NO$19="Bell_Curve",$NM$19*(215-$NQ$19+1)*($NR$19-215+1)/$NT$19,$NM$19/$NS$19)),0)</f>
        <v/>
      </c>
      <c r="HK19" s="18">
        <f>IF(AND(216&gt;=$NQ$19,216&lt;=$NR$19),IF($NO$19="Single_Point",IF(216=$NQ$19,$NM$19,0),IF($NO$19="Bell_Curve",$NM$19*(216-$NQ$19+1)*($NR$19-216+1)/$NT$19,$NM$19/$NS$19)),0)</f>
        <v/>
      </c>
      <c r="HL19" s="18">
        <f>IF(AND(217&gt;=$NQ$19,217&lt;=$NR$19),IF($NO$19="Single_Point",IF(217=$NQ$19,$NM$19,0),IF($NO$19="Bell_Curve",$NM$19*(217-$NQ$19+1)*($NR$19-217+1)/$NT$19,$NM$19/$NS$19)),0)</f>
        <v/>
      </c>
      <c r="HM19" s="18">
        <f>IF(AND(218&gt;=$NQ$19,218&lt;=$NR$19),IF($NO$19="Single_Point",IF(218=$NQ$19,$NM$19,0),IF($NO$19="Bell_Curve",$NM$19*(218-$NQ$19+1)*($NR$19-218+1)/$NT$19,$NM$19/$NS$19)),0)</f>
        <v/>
      </c>
      <c r="HN19" s="18">
        <f>IF(AND(219&gt;=$NQ$19,219&lt;=$NR$19),IF($NO$19="Single_Point",IF(219=$NQ$19,$NM$19,0),IF($NO$19="Bell_Curve",$NM$19*(219-$NQ$19+1)*($NR$19-219+1)/$NT$19,$NM$19/$NS$19)),0)</f>
        <v/>
      </c>
      <c r="HO19" s="18">
        <f>IF(AND(220&gt;=$NQ$19,220&lt;=$NR$19),IF($NO$19="Single_Point",IF(220=$NQ$19,$NM$19,0),IF($NO$19="Bell_Curve",$NM$19*(220-$NQ$19+1)*($NR$19-220+1)/$NT$19,$NM$19/$NS$19)),0)</f>
        <v/>
      </c>
      <c r="HP19" s="18">
        <f>IF(AND(221&gt;=$NQ$19,221&lt;=$NR$19),IF($NO$19="Single_Point",IF(221=$NQ$19,$NM$19,0),IF($NO$19="Bell_Curve",$NM$19*(221-$NQ$19+1)*($NR$19-221+1)/$NT$19,$NM$19/$NS$19)),0)</f>
        <v/>
      </c>
      <c r="HQ19" s="18">
        <f>IF(AND(222&gt;=$NQ$19,222&lt;=$NR$19),IF($NO$19="Single_Point",IF(222=$NQ$19,$NM$19,0),IF($NO$19="Bell_Curve",$NM$19*(222-$NQ$19+1)*($NR$19-222+1)/$NT$19,$NM$19/$NS$19)),0)</f>
        <v/>
      </c>
      <c r="HR19" s="18">
        <f>IF(AND(223&gt;=$NQ$19,223&lt;=$NR$19),IF($NO$19="Single_Point",IF(223=$NQ$19,$NM$19,0),IF($NO$19="Bell_Curve",$NM$19*(223-$NQ$19+1)*($NR$19-223+1)/$NT$19,$NM$19/$NS$19)),0)</f>
        <v/>
      </c>
      <c r="HS19" s="18">
        <f>IF(AND(224&gt;=$NQ$19,224&lt;=$NR$19),IF($NO$19="Single_Point",IF(224=$NQ$19,$NM$19,0),IF($NO$19="Bell_Curve",$NM$19*(224-$NQ$19+1)*($NR$19-224+1)/$NT$19,$NM$19/$NS$19)),0)</f>
        <v/>
      </c>
      <c r="HT19" s="18">
        <f>IF(AND(225&gt;=$NQ$19,225&lt;=$NR$19),IF($NO$19="Single_Point",IF(225=$NQ$19,$NM$19,0),IF($NO$19="Bell_Curve",$NM$19*(225-$NQ$19+1)*($NR$19-225+1)/$NT$19,$NM$19/$NS$19)),0)</f>
        <v/>
      </c>
      <c r="HU19" s="18">
        <f>IF(AND(226&gt;=$NQ$19,226&lt;=$NR$19),IF($NO$19="Single_Point",IF(226=$NQ$19,$NM$19,0),IF($NO$19="Bell_Curve",$NM$19*(226-$NQ$19+1)*($NR$19-226+1)/$NT$19,$NM$19/$NS$19)),0)</f>
        <v/>
      </c>
      <c r="HV19" s="18">
        <f>IF(AND(227&gt;=$NQ$19,227&lt;=$NR$19),IF($NO$19="Single_Point",IF(227=$NQ$19,$NM$19,0),IF($NO$19="Bell_Curve",$NM$19*(227-$NQ$19+1)*($NR$19-227+1)/$NT$19,$NM$19/$NS$19)),0)</f>
        <v/>
      </c>
      <c r="HW19" s="18">
        <f>IF(AND(228&gt;=$NQ$19,228&lt;=$NR$19),IF($NO$19="Single_Point",IF(228=$NQ$19,$NM$19,0),IF($NO$19="Bell_Curve",$NM$19*(228-$NQ$19+1)*($NR$19-228+1)/$NT$19,$NM$19/$NS$19)),0)</f>
        <v/>
      </c>
      <c r="HX19" s="18">
        <f>IF(AND(229&gt;=$NQ$19,229&lt;=$NR$19),IF($NO$19="Single_Point",IF(229=$NQ$19,$NM$19,0),IF($NO$19="Bell_Curve",$NM$19*(229-$NQ$19+1)*($NR$19-229+1)/$NT$19,$NM$19/$NS$19)),0)</f>
        <v/>
      </c>
      <c r="HY19" s="18">
        <f>IF(AND(230&gt;=$NQ$19,230&lt;=$NR$19),IF($NO$19="Single_Point",IF(230=$NQ$19,$NM$19,0),IF($NO$19="Bell_Curve",$NM$19*(230-$NQ$19+1)*($NR$19-230+1)/$NT$19,$NM$19/$NS$19)),0)</f>
        <v/>
      </c>
      <c r="HZ19" s="18">
        <f>IF(AND(231&gt;=$NQ$19,231&lt;=$NR$19),IF($NO$19="Single_Point",IF(231=$NQ$19,$NM$19,0),IF($NO$19="Bell_Curve",$NM$19*(231-$NQ$19+1)*($NR$19-231+1)/$NT$19,$NM$19/$NS$19)),0)</f>
        <v/>
      </c>
      <c r="IA19" s="18">
        <f>IF(AND(232&gt;=$NQ$19,232&lt;=$NR$19),IF($NO$19="Single_Point",IF(232=$NQ$19,$NM$19,0),IF($NO$19="Bell_Curve",$NM$19*(232-$NQ$19+1)*($NR$19-232+1)/$NT$19,$NM$19/$NS$19)),0)</f>
        <v/>
      </c>
      <c r="IB19" s="18">
        <f>IF(AND(233&gt;=$NQ$19,233&lt;=$NR$19),IF($NO$19="Single_Point",IF(233=$NQ$19,$NM$19,0),IF($NO$19="Bell_Curve",$NM$19*(233-$NQ$19+1)*($NR$19-233+1)/$NT$19,$NM$19/$NS$19)),0)</f>
        <v/>
      </c>
      <c r="IC19" s="18">
        <f>IF(AND(234&gt;=$NQ$19,234&lt;=$NR$19),IF($NO$19="Single_Point",IF(234=$NQ$19,$NM$19,0),IF($NO$19="Bell_Curve",$NM$19*(234-$NQ$19+1)*($NR$19-234+1)/$NT$19,$NM$19/$NS$19)),0)</f>
        <v/>
      </c>
      <c r="ID19" s="18">
        <f>IF(AND(235&gt;=$NQ$19,235&lt;=$NR$19),IF($NO$19="Single_Point",IF(235=$NQ$19,$NM$19,0),IF($NO$19="Bell_Curve",$NM$19*(235-$NQ$19+1)*($NR$19-235+1)/$NT$19,$NM$19/$NS$19)),0)</f>
        <v/>
      </c>
      <c r="IE19" s="18">
        <f>IF(AND(236&gt;=$NQ$19,236&lt;=$NR$19),IF($NO$19="Single_Point",IF(236=$NQ$19,$NM$19,0),IF($NO$19="Bell_Curve",$NM$19*(236-$NQ$19+1)*($NR$19-236+1)/$NT$19,$NM$19/$NS$19)),0)</f>
        <v/>
      </c>
      <c r="IF19" s="18">
        <f>IF(AND(237&gt;=$NQ$19,237&lt;=$NR$19),IF($NO$19="Single_Point",IF(237=$NQ$19,$NM$19,0),IF($NO$19="Bell_Curve",$NM$19*(237-$NQ$19+1)*($NR$19-237+1)/$NT$19,$NM$19/$NS$19)),0)</f>
        <v/>
      </c>
      <c r="IG19" s="18">
        <f>IF(AND(238&gt;=$NQ$19,238&lt;=$NR$19),IF($NO$19="Single_Point",IF(238=$NQ$19,$NM$19,0),IF($NO$19="Bell_Curve",$NM$19*(238-$NQ$19+1)*($NR$19-238+1)/$NT$19,$NM$19/$NS$19)),0)</f>
        <v/>
      </c>
      <c r="IH19" s="18">
        <f>IF(AND(239&gt;=$NQ$19,239&lt;=$NR$19),IF($NO$19="Single_Point",IF(239=$NQ$19,$NM$19,0),IF($NO$19="Bell_Curve",$NM$19*(239-$NQ$19+1)*($NR$19-239+1)/$NT$19,$NM$19/$NS$19)),0)</f>
        <v/>
      </c>
      <c r="II19" s="18">
        <f>IF(AND(240&gt;=$NQ$19,240&lt;=$NR$19),IF($NO$19="Single_Point",IF(240=$NQ$19,$NM$19,0),IF($NO$19="Bell_Curve",$NM$19*(240-$NQ$19+1)*($NR$19-240+1)/$NT$19,$NM$19/$NS$19)),0)</f>
        <v/>
      </c>
      <c r="IJ19" s="18">
        <f>IF(AND(241&gt;=$NQ$19,241&lt;=$NR$19),IF($NO$19="Single_Point",IF(241=$NQ$19,$NM$19,0),IF($NO$19="Bell_Curve",$NM$19*(241-$NQ$19+1)*($NR$19-241+1)/$NT$19,$NM$19/$NS$19)),0)</f>
        <v/>
      </c>
      <c r="IK19" s="18">
        <f>IF(AND(242&gt;=$NQ$19,242&lt;=$NR$19),IF($NO$19="Single_Point",IF(242=$NQ$19,$NM$19,0),IF($NO$19="Bell_Curve",$NM$19*(242-$NQ$19+1)*($NR$19-242+1)/$NT$19,$NM$19/$NS$19)),0)</f>
        <v/>
      </c>
      <c r="IL19" s="18">
        <f>IF(AND(243&gt;=$NQ$19,243&lt;=$NR$19),IF($NO$19="Single_Point",IF(243=$NQ$19,$NM$19,0),IF($NO$19="Bell_Curve",$NM$19*(243-$NQ$19+1)*($NR$19-243+1)/$NT$19,$NM$19/$NS$19)),0)</f>
        <v/>
      </c>
      <c r="IM19" s="18">
        <f>IF(AND(244&gt;=$NQ$19,244&lt;=$NR$19),IF($NO$19="Single_Point",IF(244=$NQ$19,$NM$19,0),IF($NO$19="Bell_Curve",$NM$19*(244-$NQ$19+1)*($NR$19-244+1)/$NT$19,$NM$19/$NS$19)),0)</f>
        <v/>
      </c>
      <c r="IN19" s="18">
        <f>IF(AND(245&gt;=$NQ$19,245&lt;=$NR$19),IF($NO$19="Single_Point",IF(245=$NQ$19,$NM$19,0),IF($NO$19="Bell_Curve",$NM$19*(245-$NQ$19+1)*($NR$19-245+1)/$NT$19,$NM$19/$NS$19)),0)</f>
        <v/>
      </c>
      <c r="IO19" s="18">
        <f>IF(AND(246&gt;=$NQ$19,246&lt;=$NR$19),IF($NO$19="Single_Point",IF(246=$NQ$19,$NM$19,0),IF($NO$19="Bell_Curve",$NM$19*(246-$NQ$19+1)*($NR$19-246+1)/$NT$19,$NM$19/$NS$19)),0)</f>
        <v/>
      </c>
      <c r="IP19" s="18">
        <f>IF(AND(247&gt;=$NQ$19,247&lt;=$NR$19),IF($NO$19="Single_Point",IF(247=$NQ$19,$NM$19,0),IF($NO$19="Bell_Curve",$NM$19*(247-$NQ$19+1)*($NR$19-247+1)/$NT$19,$NM$19/$NS$19)),0)</f>
        <v/>
      </c>
      <c r="IQ19" s="18">
        <f>IF(AND(248&gt;=$NQ$19,248&lt;=$NR$19),IF($NO$19="Single_Point",IF(248=$NQ$19,$NM$19,0),IF($NO$19="Bell_Curve",$NM$19*(248-$NQ$19+1)*($NR$19-248+1)/$NT$19,$NM$19/$NS$19)),0)</f>
        <v/>
      </c>
      <c r="IR19" s="18">
        <f>IF(AND(249&gt;=$NQ$19,249&lt;=$NR$19),IF($NO$19="Single_Point",IF(249=$NQ$19,$NM$19,0),IF($NO$19="Bell_Curve",$NM$19*(249-$NQ$19+1)*($NR$19-249+1)/$NT$19,$NM$19/$NS$19)),0)</f>
        <v/>
      </c>
      <c r="IS19" s="18">
        <f>IF(AND(250&gt;=$NQ$19,250&lt;=$NR$19),IF($NO$19="Single_Point",IF(250=$NQ$19,$NM$19,0),IF($NO$19="Bell_Curve",$NM$19*(250-$NQ$19+1)*($NR$19-250+1)/$NT$19,$NM$19/$NS$19)),0)</f>
        <v/>
      </c>
      <c r="IT19" s="18">
        <f>IF(AND(251&gt;=$NQ$19,251&lt;=$NR$19),IF($NO$19="Single_Point",IF(251=$NQ$19,$NM$19,0),IF($NO$19="Bell_Curve",$NM$19*(251-$NQ$19+1)*($NR$19-251+1)/$NT$19,$NM$19/$NS$19)),0)</f>
        <v/>
      </c>
      <c r="IU19" s="18">
        <f>IF(AND(252&gt;=$NQ$19,252&lt;=$NR$19),IF($NO$19="Single_Point",IF(252=$NQ$19,$NM$19,0),IF($NO$19="Bell_Curve",$NM$19*(252-$NQ$19+1)*($NR$19-252+1)/$NT$19,$NM$19/$NS$19)),0)</f>
        <v/>
      </c>
      <c r="IV19" s="18">
        <f>IF(AND(253&gt;=$NQ$19,253&lt;=$NR$19),IF($NO$19="Single_Point",IF(253=$NQ$19,$NM$19,0),IF($NO$19="Bell_Curve",$NM$19*(253-$NQ$19+1)*($NR$19-253+1)/$NT$19,$NM$19/$NS$19)),0)</f>
        <v/>
      </c>
      <c r="IW19" s="18">
        <f>IF(AND(254&gt;=$NQ$19,254&lt;=$NR$19),IF($NO$19="Single_Point",IF(254=$NQ$19,$NM$19,0),IF($NO$19="Bell_Curve",$NM$19*(254-$NQ$19+1)*($NR$19-254+1)/$NT$19,$NM$19/$NS$19)),0)</f>
        <v/>
      </c>
      <c r="IX19" s="18">
        <f>IF(AND(255&gt;=$NQ$19,255&lt;=$NR$19),IF($NO$19="Single_Point",IF(255=$NQ$19,$NM$19,0),IF($NO$19="Bell_Curve",$NM$19*(255-$NQ$19+1)*($NR$19-255+1)/$NT$19,$NM$19/$NS$19)),0)</f>
        <v/>
      </c>
      <c r="IY19" s="18">
        <f>IF(AND(256&gt;=$NQ$19,256&lt;=$NR$19),IF($NO$19="Single_Point",IF(256=$NQ$19,$NM$19,0),IF($NO$19="Bell_Curve",$NM$19*(256-$NQ$19+1)*($NR$19-256+1)/$NT$19,$NM$19/$NS$19)),0)</f>
        <v/>
      </c>
      <c r="IZ19" s="18">
        <f>IF(AND(257&gt;=$NQ$19,257&lt;=$NR$19),IF($NO$19="Single_Point",IF(257=$NQ$19,$NM$19,0),IF($NO$19="Bell_Curve",$NM$19*(257-$NQ$19+1)*($NR$19-257+1)/$NT$19,$NM$19/$NS$19)),0)</f>
        <v/>
      </c>
      <c r="JA19" s="18">
        <f>IF(AND(258&gt;=$NQ$19,258&lt;=$NR$19),IF($NO$19="Single_Point",IF(258=$NQ$19,$NM$19,0),IF($NO$19="Bell_Curve",$NM$19*(258-$NQ$19+1)*($NR$19-258+1)/$NT$19,$NM$19/$NS$19)),0)</f>
        <v/>
      </c>
      <c r="JB19" s="18">
        <f>IF(AND(259&gt;=$NQ$19,259&lt;=$NR$19),IF($NO$19="Single_Point",IF(259=$NQ$19,$NM$19,0),IF($NO$19="Bell_Curve",$NM$19*(259-$NQ$19+1)*($NR$19-259+1)/$NT$19,$NM$19/$NS$19)),0)</f>
        <v/>
      </c>
      <c r="JC19" s="18">
        <f>IF(AND(260&gt;=$NQ$19,260&lt;=$NR$19),IF($NO$19="Single_Point",IF(260=$NQ$19,$NM$19,0),IF($NO$19="Bell_Curve",$NM$19*(260-$NQ$19+1)*($NR$19-260+1)/$NT$19,$NM$19/$NS$19)),0)</f>
        <v/>
      </c>
      <c r="JD19" s="18">
        <f>IF(AND(261&gt;=$NQ$19,261&lt;=$NR$19),IF($NO$19="Single_Point",IF(261=$NQ$19,$NM$19,0),IF($NO$19="Bell_Curve",$NM$19*(261-$NQ$19+1)*($NR$19-261+1)/$NT$19,$NM$19/$NS$19)),0)</f>
        <v/>
      </c>
      <c r="JE19" s="18">
        <f>IF(AND(262&gt;=$NQ$19,262&lt;=$NR$19),IF($NO$19="Single_Point",IF(262=$NQ$19,$NM$19,0),IF($NO$19="Bell_Curve",$NM$19*(262-$NQ$19+1)*($NR$19-262+1)/$NT$19,$NM$19/$NS$19)),0)</f>
        <v/>
      </c>
      <c r="JF19" s="18">
        <f>IF(AND(263&gt;=$NQ$19,263&lt;=$NR$19),IF($NO$19="Single_Point",IF(263=$NQ$19,$NM$19,0),IF($NO$19="Bell_Curve",$NM$19*(263-$NQ$19+1)*($NR$19-263+1)/$NT$19,$NM$19/$NS$19)),0)</f>
        <v/>
      </c>
      <c r="JG19" s="18">
        <f>IF(AND(264&gt;=$NQ$19,264&lt;=$NR$19),IF($NO$19="Single_Point",IF(264=$NQ$19,$NM$19,0),IF($NO$19="Bell_Curve",$NM$19*(264-$NQ$19+1)*($NR$19-264+1)/$NT$19,$NM$19/$NS$19)),0)</f>
        <v/>
      </c>
      <c r="JH19" s="18">
        <f>IF(AND(265&gt;=$NQ$19,265&lt;=$NR$19),IF($NO$19="Single_Point",IF(265=$NQ$19,$NM$19,0),IF($NO$19="Bell_Curve",$NM$19*(265-$NQ$19+1)*($NR$19-265+1)/$NT$19,$NM$19/$NS$19)),0)</f>
        <v/>
      </c>
      <c r="JI19" s="18">
        <f>IF(AND(266&gt;=$NQ$19,266&lt;=$NR$19),IF($NO$19="Single_Point",IF(266=$NQ$19,$NM$19,0),IF($NO$19="Bell_Curve",$NM$19*(266-$NQ$19+1)*($NR$19-266+1)/$NT$19,$NM$19/$NS$19)),0)</f>
        <v/>
      </c>
      <c r="JJ19" s="18">
        <f>IF(AND(267&gt;=$NQ$19,267&lt;=$NR$19),IF($NO$19="Single_Point",IF(267=$NQ$19,$NM$19,0),IF($NO$19="Bell_Curve",$NM$19*(267-$NQ$19+1)*($NR$19-267+1)/$NT$19,$NM$19/$NS$19)),0)</f>
        <v/>
      </c>
      <c r="JK19" s="18">
        <f>IF(AND(268&gt;=$NQ$19,268&lt;=$NR$19),IF($NO$19="Single_Point",IF(268=$NQ$19,$NM$19,0),IF($NO$19="Bell_Curve",$NM$19*(268-$NQ$19+1)*($NR$19-268+1)/$NT$19,$NM$19/$NS$19)),0)</f>
        <v/>
      </c>
      <c r="JL19" s="18">
        <f>IF(AND(269&gt;=$NQ$19,269&lt;=$NR$19),IF($NO$19="Single_Point",IF(269=$NQ$19,$NM$19,0),IF($NO$19="Bell_Curve",$NM$19*(269-$NQ$19+1)*($NR$19-269+1)/$NT$19,$NM$19/$NS$19)),0)</f>
        <v/>
      </c>
      <c r="JM19" s="18">
        <f>IF(AND(270&gt;=$NQ$19,270&lt;=$NR$19),IF($NO$19="Single_Point",IF(270=$NQ$19,$NM$19,0),IF($NO$19="Bell_Curve",$NM$19*(270-$NQ$19+1)*($NR$19-270+1)/$NT$19,$NM$19/$NS$19)),0)</f>
        <v/>
      </c>
      <c r="JN19" s="18">
        <f>IF(AND(271&gt;=$NQ$19,271&lt;=$NR$19),IF($NO$19="Single_Point",IF(271=$NQ$19,$NM$19,0),IF($NO$19="Bell_Curve",$NM$19*(271-$NQ$19+1)*($NR$19-271+1)/$NT$19,$NM$19/$NS$19)),0)</f>
        <v/>
      </c>
      <c r="JO19" s="18">
        <f>IF(AND(272&gt;=$NQ$19,272&lt;=$NR$19),IF($NO$19="Single_Point",IF(272=$NQ$19,$NM$19,0),IF($NO$19="Bell_Curve",$NM$19*(272-$NQ$19+1)*($NR$19-272+1)/$NT$19,$NM$19/$NS$19)),0)</f>
        <v/>
      </c>
      <c r="JP19" s="18">
        <f>IF(AND(273&gt;=$NQ$19,273&lt;=$NR$19),IF($NO$19="Single_Point",IF(273=$NQ$19,$NM$19,0),IF($NO$19="Bell_Curve",$NM$19*(273-$NQ$19+1)*($NR$19-273+1)/$NT$19,$NM$19/$NS$19)),0)</f>
        <v/>
      </c>
      <c r="JQ19" s="18">
        <f>IF(AND(274&gt;=$NQ$19,274&lt;=$NR$19),IF($NO$19="Single_Point",IF(274=$NQ$19,$NM$19,0),IF($NO$19="Bell_Curve",$NM$19*(274-$NQ$19+1)*($NR$19-274+1)/$NT$19,$NM$19/$NS$19)),0)</f>
        <v/>
      </c>
      <c r="JR19" s="18">
        <f>IF(AND(275&gt;=$NQ$19,275&lt;=$NR$19),IF($NO$19="Single_Point",IF(275=$NQ$19,$NM$19,0),IF($NO$19="Bell_Curve",$NM$19*(275-$NQ$19+1)*($NR$19-275+1)/$NT$19,$NM$19/$NS$19)),0)</f>
        <v/>
      </c>
      <c r="JS19" s="18">
        <f>IF(AND(276&gt;=$NQ$19,276&lt;=$NR$19),IF($NO$19="Single_Point",IF(276=$NQ$19,$NM$19,0),IF($NO$19="Bell_Curve",$NM$19*(276-$NQ$19+1)*($NR$19-276+1)/$NT$19,$NM$19/$NS$19)),0)</f>
        <v/>
      </c>
      <c r="JT19" s="18">
        <f>IF(AND(277&gt;=$NQ$19,277&lt;=$NR$19),IF($NO$19="Single_Point",IF(277=$NQ$19,$NM$19,0),IF($NO$19="Bell_Curve",$NM$19*(277-$NQ$19+1)*($NR$19-277+1)/$NT$19,$NM$19/$NS$19)),0)</f>
        <v/>
      </c>
      <c r="JU19" s="18">
        <f>IF(AND(278&gt;=$NQ$19,278&lt;=$NR$19),IF($NO$19="Single_Point",IF(278=$NQ$19,$NM$19,0),IF($NO$19="Bell_Curve",$NM$19*(278-$NQ$19+1)*($NR$19-278+1)/$NT$19,$NM$19/$NS$19)),0)</f>
        <v/>
      </c>
      <c r="JV19" s="18">
        <f>IF(AND(279&gt;=$NQ$19,279&lt;=$NR$19),IF($NO$19="Single_Point",IF(279=$NQ$19,$NM$19,0),IF($NO$19="Bell_Curve",$NM$19*(279-$NQ$19+1)*($NR$19-279+1)/$NT$19,$NM$19/$NS$19)),0)</f>
        <v/>
      </c>
      <c r="JW19" s="18">
        <f>IF(AND(280&gt;=$NQ$19,280&lt;=$NR$19),IF($NO$19="Single_Point",IF(280=$NQ$19,$NM$19,0),IF($NO$19="Bell_Curve",$NM$19*(280-$NQ$19+1)*($NR$19-280+1)/$NT$19,$NM$19/$NS$19)),0)</f>
        <v/>
      </c>
      <c r="JX19" s="18">
        <f>IF(AND(281&gt;=$NQ$19,281&lt;=$NR$19),IF($NO$19="Single_Point",IF(281=$NQ$19,$NM$19,0),IF($NO$19="Bell_Curve",$NM$19*(281-$NQ$19+1)*($NR$19-281+1)/$NT$19,$NM$19/$NS$19)),0)</f>
        <v/>
      </c>
      <c r="JY19" s="18">
        <f>IF(AND(282&gt;=$NQ$19,282&lt;=$NR$19),IF($NO$19="Single_Point",IF(282=$NQ$19,$NM$19,0),IF($NO$19="Bell_Curve",$NM$19*(282-$NQ$19+1)*($NR$19-282+1)/$NT$19,$NM$19/$NS$19)),0)</f>
        <v/>
      </c>
      <c r="JZ19" s="18">
        <f>IF(AND(283&gt;=$NQ$19,283&lt;=$NR$19),IF($NO$19="Single_Point",IF(283=$NQ$19,$NM$19,0),IF($NO$19="Bell_Curve",$NM$19*(283-$NQ$19+1)*($NR$19-283+1)/$NT$19,$NM$19/$NS$19)),0)</f>
        <v/>
      </c>
      <c r="KA19" s="18">
        <f>IF(AND(284&gt;=$NQ$19,284&lt;=$NR$19),IF($NO$19="Single_Point",IF(284=$NQ$19,$NM$19,0),IF($NO$19="Bell_Curve",$NM$19*(284-$NQ$19+1)*($NR$19-284+1)/$NT$19,$NM$19/$NS$19)),0)</f>
        <v/>
      </c>
      <c r="KB19" s="18">
        <f>IF(AND(285&gt;=$NQ$19,285&lt;=$NR$19),IF($NO$19="Single_Point",IF(285=$NQ$19,$NM$19,0),IF($NO$19="Bell_Curve",$NM$19*(285-$NQ$19+1)*($NR$19-285+1)/$NT$19,$NM$19/$NS$19)),0)</f>
        <v/>
      </c>
      <c r="KC19" s="18">
        <f>IF(AND(286&gt;=$NQ$19,286&lt;=$NR$19),IF($NO$19="Single_Point",IF(286=$NQ$19,$NM$19,0),IF($NO$19="Bell_Curve",$NM$19*(286-$NQ$19+1)*($NR$19-286+1)/$NT$19,$NM$19/$NS$19)),0)</f>
        <v/>
      </c>
      <c r="KD19" s="18">
        <f>IF(AND(287&gt;=$NQ$19,287&lt;=$NR$19),IF($NO$19="Single_Point",IF(287=$NQ$19,$NM$19,0),IF($NO$19="Bell_Curve",$NM$19*(287-$NQ$19+1)*($NR$19-287+1)/$NT$19,$NM$19/$NS$19)),0)</f>
        <v/>
      </c>
      <c r="KE19" s="18">
        <f>IF(AND(288&gt;=$NQ$19,288&lt;=$NR$19),IF($NO$19="Single_Point",IF(288=$NQ$19,$NM$19,0),IF($NO$19="Bell_Curve",$NM$19*(288-$NQ$19+1)*($NR$19-288+1)/$NT$19,$NM$19/$NS$19)),0)</f>
        <v/>
      </c>
      <c r="KF19" s="18">
        <f>IF(AND(289&gt;=$NQ$19,289&lt;=$NR$19),IF($NO$19="Single_Point",IF(289=$NQ$19,$NM$19,0),IF($NO$19="Bell_Curve",$NM$19*(289-$NQ$19+1)*($NR$19-289+1)/$NT$19,$NM$19/$NS$19)),0)</f>
        <v/>
      </c>
      <c r="KG19" s="18">
        <f>IF(AND(290&gt;=$NQ$19,290&lt;=$NR$19),IF($NO$19="Single_Point",IF(290=$NQ$19,$NM$19,0),IF($NO$19="Bell_Curve",$NM$19*(290-$NQ$19+1)*($NR$19-290+1)/$NT$19,$NM$19/$NS$19)),0)</f>
        <v/>
      </c>
      <c r="KH19" s="18">
        <f>IF(AND(291&gt;=$NQ$19,291&lt;=$NR$19),IF($NO$19="Single_Point",IF(291=$NQ$19,$NM$19,0),IF($NO$19="Bell_Curve",$NM$19*(291-$NQ$19+1)*($NR$19-291+1)/$NT$19,$NM$19/$NS$19)),0)</f>
        <v/>
      </c>
      <c r="KI19" s="18">
        <f>IF(AND(292&gt;=$NQ$19,292&lt;=$NR$19),IF($NO$19="Single_Point",IF(292=$NQ$19,$NM$19,0),IF($NO$19="Bell_Curve",$NM$19*(292-$NQ$19+1)*($NR$19-292+1)/$NT$19,$NM$19/$NS$19)),0)</f>
        <v/>
      </c>
      <c r="KJ19" s="18">
        <f>IF(AND(293&gt;=$NQ$19,293&lt;=$NR$19),IF($NO$19="Single_Point",IF(293=$NQ$19,$NM$19,0),IF($NO$19="Bell_Curve",$NM$19*(293-$NQ$19+1)*($NR$19-293+1)/$NT$19,$NM$19/$NS$19)),0)</f>
        <v/>
      </c>
      <c r="KK19" s="18">
        <f>IF(AND(294&gt;=$NQ$19,294&lt;=$NR$19),IF($NO$19="Single_Point",IF(294=$NQ$19,$NM$19,0),IF($NO$19="Bell_Curve",$NM$19*(294-$NQ$19+1)*($NR$19-294+1)/$NT$19,$NM$19/$NS$19)),0)</f>
        <v/>
      </c>
      <c r="KL19" s="18">
        <f>IF(AND(295&gt;=$NQ$19,295&lt;=$NR$19),IF($NO$19="Single_Point",IF(295=$NQ$19,$NM$19,0),IF($NO$19="Bell_Curve",$NM$19*(295-$NQ$19+1)*($NR$19-295+1)/$NT$19,$NM$19/$NS$19)),0)</f>
        <v/>
      </c>
      <c r="KM19" s="18">
        <f>IF(AND(296&gt;=$NQ$19,296&lt;=$NR$19),IF($NO$19="Single_Point",IF(296=$NQ$19,$NM$19,0),IF($NO$19="Bell_Curve",$NM$19*(296-$NQ$19+1)*($NR$19-296+1)/$NT$19,$NM$19/$NS$19)),0)</f>
        <v/>
      </c>
      <c r="KN19" s="18">
        <f>IF(AND(297&gt;=$NQ$19,297&lt;=$NR$19),IF($NO$19="Single_Point",IF(297=$NQ$19,$NM$19,0),IF($NO$19="Bell_Curve",$NM$19*(297-$NQ$19+1)*($NR$19-297+1)/$NT$19,$NM$19/$NS$19)),0)</f>
        <v/>
      </c>
      <c r="KO19" s="18">
        <f>IF(AND(298&gt;=$NQ$19,298&lt;=$NR$19),IF($NO$19="Single_Point",IF(298=$NQ$19,$NM$19,0),IF($NO$19="Bell_Curve",$NM$19*(298-$NQ$19+1)*($NR$19-298+1)/$NT$19,$NM$19/$NS$19)),0)</f>
        <v/>
      </c>
      <c r="KP19" s="18">
        <f>IF(AND(299&gt;=$NQ$19,299&lt;=$NR$19),IF($NO$19="Single_Point",IF(299=$NQ$19,$NM$19,0),IF($NO$19="Bell_Curve",$NM$19*(299-$NQ$19+1)*($NR$19-299+1)/$NT$19,$NM$19/$NS$19)),0)</f>
        <v/>
      </c>
      <c r="KQ19" s="18">
        <f>IF(AND(300&gt;=$NQ$19,300&lt;=$NR$19),IF($NO$19="Single_Point",IF(300=$NQ$19,$NM$19,0),IF($NO$19="Bell_Curve",$NM$19*(300-$NQ$19+1)*($NR$19-300+1)/$NT$19,$NM$19/$NS$19)),0)</f>
        <v/>
      </c>
      <c r="KR19" s="18">
        <f>IF(AND(301&gt;=$NQ$19,301&lt;=$NR$19),IF($NO$19="Single_Point",IF(301=$NQ$19,$NM$19,0),IF($NO$19="Bell_Curve",$NM$19*(301-$NQ$19+1)*($NR$19-301+1)/$NT$19,$NM$19/$NS$19)),0)</f>
        <v/>
      </c>
      <c r="KS19" s="18">
        <f>IF(AND(302&gt;=$NQ$19,302&lt;=$NR$19),IF($NO$19="Single_Point",IF(302=$NQ$19,$NM$19,0),IF($NO$19="Bell_Curve",$NM$19*(302-$NQ$19+1)*($NR$19-302+1)/$NT$19,$NM$19/$NS$19)),0)</f>
        <v/>
      </c>
      <c r="KT19" s="18">
        <f>IF(AND(303&gt;=$NQ$19,303&lt;=$NR$19),IF($NO$19="Single_Point",IF(303=$NQ$19,$NM$19,0),IF($NO$19="Bell_Curve",$NM$19*(303-$NQ$19+1)*($NR$19-303+1)/$NT$19,$NM$19/$NS$19)),0)</f>
        <v/>
      </c>
      <c r="KU19" s="18">
        <f>IF(AND(304&gt;=$NQ$19,304&lt;=$NR$19),IF($NO$19="Single_Point",IF(304=$NQ$19,$NM$19,0),IF($NO$19="Bell_Curve",$NM$19*(304-$NQ$19+1)*($NR$19-304+1)/$NT$19,$NM$19/$NS$19)),0)</f>
        <v/>
      </c>
      <c r="KV19" s="18">
        <f>IF(AND(305&gt;=$NQ$19,305&lt;=$NR$19),IF($NO$19="Single_Point",IF(305=$NQ$19,$NM$19,0),IF($NO$19="Bell_Curve",$NM$19*(305-$NQ$19+1)*($NR$19-305+1)/$NT$19,$NM$19/$NS$19)),0)</f>
        <v/>
      </c>
      <c r="KW19" s="18">
        <f>IF(AND(306&gt;=$NQ$19,306&lt;=$NR$19),IF($NO$19="Single_Point",IF(306=$NQ$19,$NM$19,0),IF($NO$19="Bell_Curve",$NM$19*(306-$NQ$19+1)*($NR$19-306+1)/$NT$19,$NM$19/$NS$19)),0)</f>
        <v/>
      </c>
      <c r="KX19" s="18">
        <f>IF(AND(307&gt;=$NQ$19,307&lt;=$NR$19),IF($NO$19="Single_Point",IF(307=$NQ$19,$NM$19,0),IF($NO$19="Bell_Curve",$NM$19*(307-$NQ$19+1)*($NR$19-307+1)/$NT$19,$NM$19/$NS$19)),0)</f>
        <v/>
      </c>
      <c r="KY19" s="18">
        <f>IF(AND(308&gt;=$NQ$19,308&lt;=$NR$19),IF($NO$19="Single_Point",IF(308=$NQ$19,$NM$19,0),IF($NO$19="Bell_Curve",$NM$19*(308-$NQ$19+1)*($NR$19-308+1)/$NT$19,$NM$19/$NS$19)),0)</f>
        <v/>
      </c>
      <c r="KZ19" s="18">
        <f>IF(AND(309&gt;=$NQ$19,309&lt;=$NR$19),IF($NO$19="Single_Point",IF(309=$NQ$19,$NM$19,0),IF($NO$19="Bell_Curve",$NM$19*(309-$NQ$19+1)*($NR$19-309+1)/$NT$19,$NM$19/$NS$19)),0)</f>
        <v/>
      </c>
      <c r="LA19" s="18">
        <f>IF(AND(310&gt;=$NQ$19,310&lt;=$NR$19),IF($NO$19="Single_Point",IF(310=$NQ$19,$NM$19,0),IF($NO$19="Bell_Curve",$NM$19*(310-$NQ$19+1)*($NR$19-310+1)/$NT$19,$NM$19/$NS$19)),0)</f>
        <v/>
      </c>
      <c r="LB19" s="18">
        <f>IF(AND(311&gt;=$NQ$19,311&lt;=$NR$19),IF($NO$19="Single_Point",IF(311=$NQ$19,$NM$19,0),IF($NO$19="Bell_Curve",$NM$19*(311-$NQ$19+1)*($NR$19-311+1)/$NT$19,$NM$19/$NS$19)),0)</f>
        <v/>
      </c>
      <c r="LC19" s="18">
        <f>IF(AND(312&gt;=$NQ$19,312&lt;=$NR$19),IF($NO$19="Single_Point",IF(312=$NQ$19,$NM$19,0),IF($NO$19="Bell_Curve",$NM$19*(312-$NQ$19+1)*($NR$19-312+1)/$NT$19,$NM$19/$NS$19)),0)</f>
        <v/>
      </c>
      <c r="LD19" s="18">
        <f>IF(AND(313&gt;=$NQ$19,313&lt;=$NR$19),IF($NO$19="Single_Point",IF(313=$NQ$19,$NM$19,0),IF($NO$19="Bell_Curve",$NM$19*(313-$NQ$19+1)*($NR$19-313+1)/$NT$19,$NM$19/$NS$19)),0)</f>
        <v/>
      </c>
      <c r="LE19" s="18">
        <f>IF(AND(314&gt;=$NQ$19,314&lt;=$NR$19),IF($NO$19="Single_Point",IF(314=$NQ$19,$NM$19,0),IF($NO$19="Bell_Curve",$NM$19*(314-$NQ$19+1)*($NR$19-314+1)/$NT$19,$NM$19/$NS$19)),0)</f>
        <v/>
      </c>
      <c r="LF19" s="18">
        <f>IF(AND(315&gt;=$NQ$19,315&lt;=$NR$19),IF($NO$19="Single_Point",IF(315=$NQ$19,$NM$19,0),IF($NO$19="Bell_Curve",$NM$19*(315-$NQ$19+1)*($NR$19-315+1)/$NT$19,$NM$19/$NS$19)),0)</f>
        <v/>
      </c>
      <c r="LG19" s="18">
        <f>IF(AND(316&gt;=$NQ$19,316&lt;=$NR$19),IF($NO$19="Single_Point",IF(316=$NQ$19,$NM$19,0),IF($NO$19="Bell_Curve",$NM$19*(316-$NQ$19+1)*($NR$19-316+1)/$NT$19,$NM$19/$NS$19)),0)</f>
        <v/>
      </c>
      <c r="LH19" s="18">
        <f>IF(AND(317&gt;=$NQ$19,317&lt;=$NR$19),IF($NO$19="Single_Point",IF(317=$NQ$19,$NM$19,0),IF($NO$19="Bell_Curve",$NM$19*(317-$NQ$19+1)*($NR$19-317+1)/$NT$19,$NM$19/$NS$19)),0)</f>
        <v/>
      </c>
      <c r="LI19" s="18">
        <f>IF(AND(318&gt;=$NQ$19,318&lt;=$NR$19),IF($NO$19="Single_Point",IF(318=$NQ$19,$NM$19,0),IF($NO$19="Bell_Curve",$NM$19*(318-$NQ$19+1)*($NR$19-318+1)/$NT$19,$NM$19/$NS$19)),0)</f>
        <v/>
      </c>
      <c r="LJ19" s="18">
        <f>IF(AND(319&gt;=$NQ$19,319&lt;=$NR$19),IF($NO$19="Single_Point",IF(319=$NQ$19,$NM$19,0),IF($NO$19="Bell_Curve",$NM$19*(319-$NQ$19+1)*($NR$19-319+1)/$NT$19,$NM$19/$NS$19)),0)</f>
        <v/>
      </c>
      <c r="LK19" s="18">
        <f>IF(AND(320&gt;=$NQ$19,320&lt;=$NR$19),IF($NO$19="Single_Point",IF(320=$NQ$19,$NM$19,0),IF($NO$19="Bell_Curve",$NM$19*(320-$NQ$19+1)*($NR$19-320+1)/$NT$19,$NM$19/$NS$19)),0)</f>
        <v/>
      </c>
      <c r="LL19" s="18">
        <f>IF(AND(321&gt;=$NQ$19,321&lt;=$NR$19),IF($NO$19="Single_Point",IF(321=$NQ$19,$NM$19,0),IF($NO$19="Bell_Curve",$NM$19*(321-$NQ$19+1)*($NR$19-321+1)/$NT$19,$NM$19/$NS$19)),0)</f>
        <v/>
      </c>
      <c r="LM19" s="18">
        <f>IF(AND(322&gt;=$NQ$19,322&lt;=$NR$19),IF($NO$19="Single_Point",IF(322=$NQ$19,$NM$19,0),IF($NO$19="Bell_Curve",$NM$19*(322-$NQ$19+1)*($NR$19-322+1)/$NT$19,$NM$19/$NS$19)),0)</f>
        <v/>
      </c>
      <c r="LN19" s="18">
        <f>IF(AND(323&gt;=$NQ$19,323&lt;=$NR$19),IF($NO$19="Single_Point",IF(323=$NQ$19,$NM$19,0),IF($NO$19="Bell_Curve",$NM$19*(323-$NQ$19+1)*($NR$19-323+1)/$NT$19,$NM$19/$NS$19)),0)</f>
        <v/>
      </c>
      <c r="LO19" s="18">
        <f>IF(AND(324&gt;=$NQ$19,324&lt;=$NR$19),IF($NO$19="Single_Point",IF(324=$NQ$19,$NM$19,0),IF($NO$19="Bell_Curve",$NM$19*(324-$NQ$19+1)*($NR$19-324+1)/$NT$19,$NM$19/$NS$19)),0)</f>
        <v/>
      </c>
      <c r="LP19" s="18">
        <f>IF(AND(325&gt;=$NQ$19,325&lt;=$NR$19),IF($NO$19="Single_Point",IF(325=$NQ$19,$NM$19,0),IF($NO$19="Bell_Curve",$NM$19*(325-$NQ$19+1)*($NR$19-325+1)/$NT$19,$NM$19/$NS$19)),0)</f>
        <v/>
      </c>
      <c r="LQ19" s="18">
        <f>IF(AND(326&gt;=$NQ$19,326&lt;=$NR$19),IF($NO$19="Single_Point",IF(326=$NQ$19,$NM$19,0),IF($NO$19="Bell_Curve",$NM$19*(326-$NQ$19+1)*($NR$19-326+1)/$NT$19,$NM$19/$NS$19)),0)</f>
        <v/>
      </c>
      <c r="LR19" s="18">
        <f>IF(AND(327&gt;=$NQ$19,327&lt;=$NR$19),IF($NO$19="Single_Point",IF(327=$NQ$19,$NM$19,0),IF($NO$19="Bell_Curve",$NM$19*(327-$NQ$19+1)*($NR$19-327+1)/$NT$19,$NM$19/$NS$19)),0)</f>
        <v/>
      </c>
      <c r="LS19" s="18">
        <f>IF(AND(328&gt;=$NQ$19,328&lt;=$NR$19),IF($NO$19="Single_Point",IF(328=$NQ$19,$NM$19,0),IF($NO$19="Bell_Curve",$NM$19*(328-$NQ$19+1)*($NR$19-328+1)/$NT$19,$NM$19/$NS$19)),0)</f>
        <v/>
      </c>
      <c r="LT19" s="18">
        <f>IF(AND(329&gt;=$NQ$19,329&lt;=$NR$19),IF($NO$19="Single_Point",IF(329=$NQ$19,$NM$19,0),IF($NO$19="Bell_Curve",$NM$19*(329-$NQ$19+1)*($NR$19-329+1)/$NT$19,$NM$19/$NS$19)),0)</f>
        <v/>
      </c>
      <c r="LU19" s="18">
        <f>IF(AND(330&gt;=$NQ$19,330&lt;=$NR$19),IF($NO$19="Single_Point",IF(330=$NQ$19,$NM$19,0),IF($NO$19="Bell_Curve",$NM$19*(330-$NQ$19+1)*($NR$19-330+1)/$NT$19,$NM$19/$NS$19)),0)</f>
        <v/>
      </c>
      <c r="LV19" s="18">
        <f>IF(AND(331&gt;=$NQ$19,331&lt;=$NR$19),IF($NO$19="Single_Point",IF(331=$NQ$19,$NM$19,0),IF($NO$19="Bell_Curve",$NM$19*(331-$NQ$19+1)*($NR$19-331+1)/$NT$19,$NM$19/$NS$19)),0)</f>
        <v/>
      </c>
      <c r="LW19" s="18">
        <f>IF(AND(332&gt;=$NQ$19,332&lt;=$NR$19),IF($NO$19="Single_Point",IF(332=$NQ$19,$NM$19,0),IF($NO$19="Bell_Curve",$NM$19*(332-$NQ$19+1)*($NR$19-332+1)/$NT$19,$NM$19/$NS$19)),0)</f>
        <v/>
      </c>
      <c r="LX19" s="18">
        <f>IF(AND(333&gt;=$NQ$19,333&lt;=$NR$19),IF($NO$19="Single_Point",IF(333=$NQ$19,$NM$19,0),IF($NO$19="Bell_Curve",$NM$19*(333-$NQ$19+1)*($NR$19-333+1)/$NT$19,$NM$19/$NS$19)),0)</f>
        <v/>
      </c>
      <c r="LY19" s="18">
        <f>IF(AND(334&gt;=$NQ$19,334&lt;=$NR$19),IF($NO$19="Single_Point",IF(334=$NQ$19,$NM$19,0),IF($NO$19="Bell_Curve",$NM$19*(334-$NQ$19+1)*($NR$19-334+1)/$NT$19,$NM$19/$NS$19)),0)</f>
        <v/>
      </c>
      <c r="LZ19" s="18">
        <f>IF(AND(335&gt;=$NQ$19,335&lt;=$NR$19),IF($NO$19="Single_Point",IF(335=$NQ$19,$NM$19,0),IF($NO$19="Bell_Curve",$NM$19*(335-$NQ$19+1)*($NR$19-335+1)/$NT$19,$NM$19/$NS$19)),0)</f>
        <v/>
      </c>
      <c r="MA19" s="18">
        <f>IF(AND(336&gt;=$NQ$19,336&lt;=$NR$19),IF($NO$19="Single_Point",IF(336=$NQ$19,$NM$19,0),IF($NO$19="Bell_Curve",$NM$19*(336-$NQ$19+1)*($NR$19-336+1)/$NT$19,$NM$19/$NS$19)),0)</f>
        <v/>
      </c>
      <c r="MB19" s="18">
        <f>IF(AND(337&gt;=$NQ$19,337&lt;=$NR$19),IF($NO$19="Single_Point",IF(337=$NQ$19,$NM$19,0),IF($NO$19="Bell_Curve",$NM$19*(337-$NQ$19+1)*($NR$19-337+1)/$NT$19,$NM$19/$NS$19)),0)</f>
        <v/>
      </c>
      <c r="MC19" s="18">
        <f>IF(AND(338&gt;=$NQ$19,338&lt;=$NR$19),IF($NO$19="Single_Point",IF(338=$NQ$19,$NM$19,0),IF($NO$19="Bell_Curve",$NM$19*(338-$NQ$19+1)*($NR$19-338+1)/$NT$19,$NM$19/$NS$19)),0)</f>
        <v/>
      </c>
      <c r="MD19" s="18">
        <f>IF(AND(339&gt;=$NQ$19,339&lt;=$NR$19),IF($NO$19="Single_Point",IF(339=$NQ$19,$NM$19,0),IF($NO$19="Bell_Curve",$NM$19*(339-$NQ$19+1)*($NR$19-339+1)/$NT$19,$NM$19/$NS$19)),0)</f>
        <v/>
      </c>
      <c r="ME19" s="18">
        <f>IF(AND(340&gt;=$NQ$19,340&lt;=$NR$19),IF($NO$19="Single_Point",IF(340=$NQ$19,$NM$19,0),IF($NO$19="Bell_Curve",$NM$19*(340-$NQ$19+1)*($NR$19-340+1)/$NT$19,$NM$19/$NS$19)),0)</f>
        <v/>
      </c>
      <c r="MF19" s="18">
        <f>IF(AND(341&gt;=$NQ$19,341&lt;=$NR$19),IF($NO$19="Single_Point",IF(341=$NQ$19,$NM$19,0),IF($NO$19="Bell_Curve",$NM$19*(341-$NQ$19+1)*($NR$19-341+1)/$NT$19,$NM$19/$NS$19)),0)</f>
        <v/>
      </c>
      <c r="MG19" s="18">
        <f>IF(AND(342&gt;=$NQ$19,342&lt;=$NR$19),IF($NO$19="Single_Point",IF(342=$NQ$19,$NM$19,0),IF($NO$19="Bell_Curve",$NM$19*(342-$NQ$19+1)*($NR$19-342+1)/$NT$19,$NM$19/$NS$19)),0)</f>
        <v/>
      </c>
      <c r="MH19" s="18">
        <f>IF(AND(343&gt;=$NQ$19,343&lt;=$NR$19),IF($NO$19="Single_Point",IF(343=$NQ$19,$NM$19,0),IF($NO$19="Bell_Curve",$NM$19*(343-$NQ$19+1)*($NR$19-343+1)/$NT$19,$NM$19/$NS$19)),0)</f>
        <v/>
      </c>
      <c r="MI19" s="18">
        <f>IF(AND(344&gt;=$NQ$19,344&lt;=$NR$19),IF($NO$19="Single_Point",IF(344=$NQ$19,$NM$19,0),IF($NO$19="Bell_Curve",$NM$19*(344-$NQ$19+1)*($NR$19-344+1)/$NT$19,$NM$19/$NS$19)),0)</f>
        <v/>
      </c>
      <c r="MJ19" s="18">
        <f>IF(AND(345&gt;=$NQ$19,345&lt;=$NR$19),IF($NO$19="Single_Point",IF(345=$NQ$19,$NM$19,0),IF($NO$19="Bell_Curve",$NM$19*(345-$NQ$19+1)*($NR$19-345+1)/$NT$19,$NM$19/$NS$19)),0)</f>
        <v/>
      </c>
      <c r="MK19" s="18">
        <f>IF(AND(346&gt;=$NQ$19,346&lt;=$NR$19),IF($NO$19="Single_Point",IF(346=$NQ$19,$NM$19,0),IF($NO$19="Bell_Curve",$NM$19*(346-$NQ$19+1)*($NR$19-346+1)/$NT$19,$NM$19/$NS$19)),0)</f>
        <v/>
      </c>
      <c r="ML19" s="18">
        <f>IF(AND(347&gt;=$NQ$19,347&lt;=$NR$19),IF($NO$19="Single_Point",IF(347=$NQ$19,$NM$19,0),IF($NO$19="Bell_Curve",$NM$19*(347-$NQ$19+1)*($NR$19-347+1)/$NT$19,$NM$19/$NS$19)),0)</f>
        <v/>
      </c>
      <c r="MM19" s="18">
        <f>IF(AND(348&gt;=$NQ$19,348&lt;=$NR$19),IF($NO$19="Single_Point",IF(348=$NQ$19,$NM$19,0),IF($NO$19="Bell_Curve",$NM$19*(348-$NQ$19+1)*($NR$19-348+1)/$NT$19,$NM$19/$NS$19)),0)</f>
        <v/>
      </c>
      <c r="MN19" s="18">
        <f>IF(AND(349&gt;=$NQ$19,349&lt;=$NR$19),IF($NO$19="Single_Point",IF(349=$NQ$19,$NM$19,0),IF($NO$19="Bell_Curve",$NM$19*(349-$NQ$19+1)*($NR$19-349+1)/$NT$19,$NM$19/$NS$19)),0)</f>
        <v/>
      </c>
      <c r="MO19" s="18">
        <f>IF(AND(350&gt;=$NQ$19,350&lt;=$NR$19),IF($NO$19="Single_Point",IF(350=$NQ$19,$NM$19,0),IF($NO$19="Bell_Curve",$NM$19*(350-$NQ$19+1)*($NR$19-350+1)/$NT$19,$NM$19/$NS$19)),0)</f>
        <v/>
      </c>
      <c r="MP19" s="18">
        <f>IF(AND(351&gt;=$NQ$19,351&lt;=$NR$19),IF($NO$19="Single_Point",IF(351=$NQ$19,$NM$19,0),IF($NO$19="Bell_Curve",$NM$19*(351-$NQ$19+1)*($NR$19-351+1)/$NT$19,$NM$19/$NS$19)),0)</f>
        <v/>
      </c>
      <c r="MQ19" s="18">
        <f>IF(AND(352&gt;=$NQ$19,352&lt;=$NR$19),IF($NO$19="Single_Point",IF(352=$NQ$19,$NM$19,0),IF($NO$19="Bell_Curve",$NM$19*(352-$NQ$19+1)*($NR$19-352+1)/$NT$19,$NM$19/$NS$19)),0)</f>
        <v/>
      </c>
      <c r="MR19" s="18">
        <f>IF(AND(353&gt;=$NQ$19,353&lt;=$NR$19),IF($NO$19="Single_Point",IF(353=$NQ$19,$NM$19,0),IF($NO$19="Bell_Curve",$NM$19*(353-$NQ$19+1)*($NR$19-353+1)/$NT$19,$NM$19/$NS$19)),0)</f>
        <v/>
      </c>
      <c r="MS19" s="18">
        <f>IF(AND(354&gt;=$NQ$19,354&lt;=$NR$19),IF($NO$19="Single_Point",IF(354=$NQ$19,$NM$19,0),IF($NO$19="Bell_Curve",$NM$19*(354-$NQ$19+1)*($NR$19-354+1)/$NT$19,$NM$19/$NS$19)),0)</f>
        <v/>
      </c>
      <c r="MT19" s="18">
        <f>IF(AND(355&gt;=$NQ$19,355&lt;=$NR$19),IF($NO$19="Single_Point",IF(355=$NQ$19,$NM$19,0),IF($NO$19="Bell_Curve",$NM$19*(355-$NQ$19+1)*($NR$19-355+1)/$NT$19,$NM$19/$NS$19)),0)</f>
        <v/>
      </c>
      <c r="MU19" s="18">
        <f>IF(AND(356&gt;=$NQ$19,356&lt;=$NR$19),IF($NO$19="Single_Point",IF(356=$NQ$19,$NM$19,0),IF($NO$19="Bell_Curve",$NM$19*(356-$NQ$19+1)*($NR$19-356+1)/$NT$19,$NM$19/$NS$19)),0)</f>
        <v/>
      </c>
      <c r="MV19" s="18">
        <f>IF(AND(357&gt;=$NQ$19,357&lt;=$NR$19),IF($NO$19="Single_Point",IF(357=$NQ$19,$NM$19,0),IF($NO$19="Bell_Curve",$NM$19*(357-$NQ$19+1)*($NR$19-357+1)/$NT$19,$NM$19/$NS$19)),0)</f>
        <v/>
      </c>
      <c r="MW19" s="18">
        <f>IF(AND(358&gt;=$NQ$19,358&lt;=$NR$19),IF($NO$19="Single_Point",IF(358=$NQ$19,$NM$19,0),IF($NO$19="Bell_Curve",$NM$19*(358-$NQ$19+1)*($NR$19-358+1)/$NT$19,$NM$19/$NS$19)),0)</f>
        <v/>
      </c>
      <c r="MX19" s="18">
        <f>IF(AND(359&gt;=$NQ$19,359&lt;=$NR$19),IF($NO$19="Single_Point",IF(359=$NQ$19,$NM$19,0),IF($NO$19="Bell_Curve",$NM$19*(359-$NQ$19+1)*($NR$19-359+1)/$NT$19,$NM$19/$NS$19)),0)</f>
        <v/>
      </c>
      <c r="MY19" s="18">
        <f>IF(AND(360&gt;=$NQ$19,360&lt;=$NR$19),IF($NO$19="Single_Point",IF(360=$NQ$19,$NM$19,0),IF($NO$19="Bell_Curve",$NM$19*(360-$NQ$19+1)*($NR$19-360+1)/$NT$19,$NM$19/$NS$19)),0)</f>
        <v/>
      </c>
      <c r="MZ19" s="18">
        <f>IF(AND(361&gt;=$NQ$19,361&lt;=$NR$19),IF($NO$19="Single_Point",IF(361=$NQ$19,$NM$19,0),IF($NO$19="Bell_Curve",$NM$19*(361-$NQ$19+1)*($NR$19-361+1)/$NT$19,$NM$19/$NS$19)),0)</f>
        <v/>
      </c>
      <c r="NA19" s="18">
        <f>IF(AND(362&gt;=$NQ$19,362&lt;=$NR$19),IF($NO$19="Single_Point",IF(362=$NQ$19,$NM$19,0),IF($NO$19="Bell_Curve",$NM$19*(362-$NQ$19+1)*($NR$19-362+1)/$NT$19,$NM$19/$NS$19)),0)</f>
        <v/>
      </c>
      <c r="NB19" s="18">
        <f>IF(AND(363&gt;=$NQ$19,363&lt;=$NR$19),IF($NO$19="Single_Point",IF(363=$NQ$19,$NM$19,0),IF($NO$19="Bell_Curve",$NM$19*(363-$NQ$19+1)*($NR$19-363+1)/$NT$19,$NM$19/$NS$19)),0)</f>
        <v/>
      </c>
      <c r="NC19" s="18">
        <f>IF(AND(364&gt;=$NQ$19,364&lt;=$NR$19),IF($NO$19="Single_Point",IF(364=$NQ$19,$NM$19,0),IF($NO$19="Bell_Curve",$NM$19*(364-$NQ$19+1)*($NR$19-364+1)/$NT$19,$NM$19/$NS$19)),0)</f>
        <v/>
      </c>
      <c r="ND19" s="18">
        <f>IF(AND(365&gt;=$NQ$19,365&lt;=$NR$19),IF($NO$19="Single_Point",IF(365=$NQ$19,$NM$19,0),IF($NO$19="Bell_Curve",$NM$19*(365-$NQ$19+1)*($NR$19-365+1)/$NT$19,$NM$19/$NS$19)),0)</f>
        <v/>
      </c>
      <c r="NE19" s="18">
        <f>IF(AND(366&gt;=$NQ$19,366&lt;=$NR$19),IF($NO$19="Single_Point",IF(366=$NQ$19,$NM$19,0),IF($NO$19="Bell_Curve",$NM$19*(366-$NQ$19+1)*($NR$19-366+1)/$NT$19,$NM$19/$NS$19)),0)</f>
        <v/>
      </c>
      <c r="NF19" s="18">
        <f>IF(AND(367&gt;=$NQ$19,367&lt;=$NR$19),IF($NO$19="Single_Point",IF(367=$NQ$19,$NM$19,0),IF($NO$19="Bell_Curve",$NM$19*(367-$NQ$19+1)*($NR$19-367+1)/$NT$19,$NM$19/$NS$19)),0)</f>
        <v/>
      </c>
      <c r="NG19" s="18">
        <f>IF(AND(368&gt;=$NQ$19,368&lt;=$NR$19),IF($NO$19="Single_Point",IF(368=$NQ$19,$NM$19,0),IF($NO$19="Bell_Curve",$NM$19*(368-$NQ$19+1)*($NR$19-368+1)/$NT$19,$NM$19/$NS$19)),0)</f>
        <v/>
      </c>
      <c r="NH19" s="18">
        <f>IF(AND(369&gt;=$NQ$19,369&lt;=$NR$19),IF($NO$19="Single_Point",IF(369=$NQ$19,$NM$19,0),IF($NO$19="Bell_Curve",$NM$19*(369-$NQ$19+1)*($NR$19-369+1)/$NT$19,$NM$19/$NS$19)),0)</f>
        <v/>
      </c>
      <c r="NI19" s="18">
        <f>IF(AND(370&gt;=$NQ$19,370&lt;=$NR$19),IF($NO$19="Single_Point",IF(370=$NQ$19,$NM$19,0),IF($NO$19="Bell_Curve",$NM$19*(370-$NQ$19+1)*($NR$19-370+1)/$NT$19,$NM$19/$NS$19)),0)</f>
        <v/>
      </c>
      <c r="NJ19" s="18">
        <f>IF(AND(371&gt;=$NQ$19,371&lt;=$NR$19),IF($NO$19="Single_Point",IF(371=$NQ$19,$NM$19,0),IF($NO$19="Bell_Curve",$NM$19*(371-$NQ$19+1)*($NR$19-371+1)/$NT$19,$NM$19/$NS$19)),0)</f>
        <v/>
      </c>
      <c r="NK19" s="18">
        <f>IF(AND(372&gt;=$NQ$19,372&lt;=$NR$19),IF($NO$19="Single_Point",IF(372=$NQ$19,$NM$19,0),IF($NO$19="Bell_Curve",$NM$19*(372-$NQ$19+1)*($NR$19-372+1)/$NT$19,$NM$19/$NS$19)),0)</f>
        <v/>
      </c>
      <c r="NM19" s="18">
        <f>Budget!I18</f>
        <v/>
      </c>
      <c r="NN19" s="42">
        <f>Budget!F18</f>
        <v/>
      </c>
      <c r="NO19" s="42">
        <f>Budget!G18</f>
        <v/>
      </c>
      <c r="NP19" s="17">
        <f>Budget!H18</f>
        <v/>
      </c>
      <c r="NQ19" s="32">
        <f>MAX(1,MIN(372,INDEX(MilestoneStart,MATCH(NN19,MilestoneNames,0))+NP19))</f>
        <v/>
      </c>
      <c r="NR19" s="32">
        <f>MAX(NQ19,MIN(372,INDEX(MilestoneEnd,MATCH(NN19,MilestoneNames,0))+NP19))</f>
        <v/>
      </c>
      <c r="NS19" s="17">
        <f>NR19-NQ19+1</f>
        <v/>
      </c>
      <c r="NT19" s="17">
        <f>NS19*(NS19+1)*(NS19+2)/6</f>
        <v/>
      </c>
    </row>
    <row r="20">
      <c r="A20" s="5" t="inlineStr">
        <is>
          <t>GC Fee</t>
        </is>
      </c>
      <c r="C20" s="41">
        <f>SUM(D20:NK20)</f>
        <v/>
      </c>
      <c r="D20" s="18">
        <f>IF(AND(1&gt;=$NQ$20,1&lt;=$NR$20),IF($NO$20="Single_Point",IF(1=$NQ$20,$NM$20,0),IF($NO$20="Bell_Curve",$NM$20*(1-$NQ$20+1)*($NR$20-1+1)/$NT$20,$NM$20/$NS$20)),0)</f>
        <v/>
      </c>
      <c r="E20" s="18">
        <f>IF(AND(2&gt;=$NQ$20,2&lt;=$NR$20),IF($NO$20="Single_Point",IF(2=$NQ$20,$NM$20,0),IF($NO$20="Bell_Curve",$NM$20*(2-$NQ$20+1)*($NR$20-2+1)/$NT$20,$NM$20/$NS$20)),0)</f>
        <v/>
      </c>
      <c r="F20" s="18">
        <f>IF(AND(3&gt;=$NQ$20,3&lt;=$NR$20),IF($NO$20="Single_Point",IF(3=$NQ$20,$NM$20,0),IF($NO$20="Bell_Curve",$NM$20*(3-$NQ$20+1)*($NR$20-3+1)/$NT$20,$NM$20/$NS$20)),0)</f>
        <v/>
      </c>
      <c r="G20" s="18">
        <f>IF(AND(4&gt;=$NQ$20,4&lt;=$NR$20),IF($NO$20="Single_Point",IF(4=$NQ$20,$NM$20,0),IF($NO$20="Bell_Curve",$NM$20*(4-$NQ$20+1)*($NR$20-4+1)/$NT$20,$NM$20/$NS$20)),0)</f>
        <v/>
      </c>
      <c r="H20" s="18">
        <f>IF(AND(5&gt;=$NQ$20,5&lt;=$NR$20),IF($NO$20="Single_Point",IF(5=$NQ$20,$NM$20,0),IF($NO$20="Bell_Curve",$NM$20*(5-$NQ$20+1)*($NR$20-5+1)/$NT$20,$NM$20/$NS$20)),0)</f>
        <v/>
      </c>
      <c r="I20" s="18">
        <f>IF(AND(6&gt;=$NQ$20,6&lt;=$NR$20),IF($NO$20="Single_Point",IF(6=$NQ$20,$NM$20,0),IF($NO$20="Bell_Curve",$NM$20*(6-$NQ$20+1)*($NR$20-6+1)/$NT$20,$NM$20/$NS$20)),0)</f>
        <v/>
      </c>
      <c r="J20" s="18">
        <f>IF(AND(7&gt;=$NQ$20,7&lt;=$NR$20),IF($NO$20="Single_Point",IF(7=$NQ$20,$NM$20,0),IF($NO$20="Bell_Curve",$NM$20*(7-$NQ$20+1)*($NR$20-7+1)/$NT$20,$NM$20/$NS$20)),0)</f>
        <v/>
      </c>
      <c r="K20" s="18">
        <f>IF(AND(8&gt;=$NQ$20,8&lt;=$NR$20),IF($NO$20="Single_Point",IF(8=$NQ$20,$NM$20,0),IF($NO$20="Bell_Curve",$NM$20*(8-$NQ$20+1)*($NR$20-8+1)/$NT$20,$NM$20/$NS$20)),0)</f>
        <v/>
      </c>
      <c r="L20" s="18">
        <f>IF(AND(9&gt;=$NQ$20,9&lt;=$NR$20),IF($NO$20="Single_Point",IF(9=$NQ$20,$NM$20,0),IF($NO$20="Bell_Curve",$NM$20*(9-$NQ$20+1)*($NR$20-9+1)/$NT$20,$NM$20/$NS$20)),0)</f>
        <v/>
      </c>
      <c r="M20" s="18">
        <f>IF(AND(10&gt;=$NQ$20,10&lt;=$NR$20),IF($NO$20="Single_Point",IF(10=$NQ$20,$NM$20,0),IF($NO$20="Bell_Curve",$NM$20*(10-$NQ$20+1)*($NR$20-10+1)/$NT$20,$NM$20/$NS$20)),0)</f>
        <v/>
      </c>
      <c r="N20" s="18">
        <f>IF(AND(11&gt;=$NQ$20,11&lt;=$NR$20),IF($NO$20="Single_Point",IF(11=$NQ$20,$NM$20,0),IF($NO$20="Bell_Curve",$NM$20*(11-$NQ$20+1)*($NR$20-11+1)/$NT$20,$NM$20/$NS$20)),0)</f>
        <v/>
      </c>
      <c r="O20" s="18">
        <f>IF(AND(12&gt;=$NQ$20,12&lt;=$NR$20),IF($NO$20="Single_Point",IF(12=$NQ$20,$NM$20,0),IF($NO$20="Bell_Curve",$NM$20*(12-$NQ$20+1)*($NR$20-12+1)/$NT$20,$NM$20/$NS$20)),0)</f>
        <v/>
      </c>
      <c r="P20" s="18">
        <f>IF(AND(13&gt;=$NQ$20,13&lt;=$NR$20),IF($NO$20="Single_Point",IF(13=$NQ$20,$NM$20,0),IF($NO$20="Bell_Curve",$NM$20*(13-$NQ$20+1)*($NR$20-13+1)/$NT$20,$NM$20/$NS$20)),0)</f>
        <v/>
      </c>
      <c r="Q20" s="18">
        <f>IF(AND(14&gt;=$NQ$20,14&lt;=$NR$20),IF($NO$20="Single_Point",IF(14=$NQ$20,$NM$20,0),IF($NO$20="Bell_Curve",$NM$20*(14-$NQ$20+1)*($NR$20-14+1)/$NT$20,$NM$20/$NS$20)),0)</f>
        <v/>
      </c>
      <c r="R20" s="18">
        <f>IF(AND(15&gt;=$NQ$20,15&lt;=$NR$20),IF($NO$20="Single_Point",IF(15=$NQ$20,$NM$20,0),IF($NO$20="Bell_Curve",$NM$20*(15-$NQ$20+1)*($NR$20-15+1)/$NT$20,$NM$20/$NS$20)),0)</f>
        <v/>
      </c>
      <c r="S20" s="18">
        <f>IF(AND(16&gt;=$NQ$20,16&lt;=$NR$20),IF($NO$20="Single_Point",IF(16=$NQ$20,$NM$20,0),IF($NO$20="Bell_Curve",$NM$20*(16-$NQ$20+1)*($NR$20-16+1)/$NT$20,$NM$20/$NS$20)),0)</f>
        <v/>
      </c>
      <c r="T20" s="18">
        <f>IF(AND(17&gt;=$NQ$20,17&lt;=$NR$20),IF($NO$20="Single_Point",IF(17=$NQ$20,$NM$20,0),IF($NO$20="Bell_Curve",$NM$20*(17-$NQ$20+1)*($NR$20-17+1)/$NT$20,$NM$20/$NS$20)),0)</f>
        <v/>
      </c>
      <c r="U20" s="18">
        <f>IF(AND(18&gt;=$NQ$20,18&lt;=$NR$20),IF($NO$20="Single_Point",IF(18=$NQ$20,$NM$20,0),IF($NO$20="Bell_Curve",$NM$20*(18-$NQ$20+1)*($NR$20-18+1)/$NT$20,$NM$20/$NS$20)),0)</f>
        <v/>
      </c>
      <c r="V20" s="18">
        <f>IF(AND(19&gt;=$NQ$20,19&lt;=$NR$20),IF($NO$20="Single_Point",IF(19=$NQ$20,$NM$20,0),IF($NO$20="Bell_Curve",$NM$20*(19-$NQ$20+1)*($NR$20-19+1)/$NT$20,$NM$20/$NS$20)),0)</f>
        <v/>
      </c>
      <c r="W20" s="18">
        <f>IF(AND(20&gt;=$NQ$20,20&lt;=$NR$20),IF($NO$20="Single_Point",IF(20=$NQ$20,$NM$20,0),IF($NO$20="Bell_Curve",$NM$20*(20-$NQ$20+1)*($NR$20-20+1)/$NT$20,$NM$20/$NS$20)),0)</f>
        <v/>
      </c>
      <c r="X20" s="18">
        <f>IF(AND(21&gt;=$NQ$20,21&lt;=$NR$20),IF($NO$20="Single_Point",IF(21=$NQ$20,$NM$20,0),IF($NO$20="Bell_Curve",$NM$20*(21-$NQ$20+1)*($NR$20-21+1)/$NT$20,$NM$20/$NS$20)),0)</f>
        <v/>
      </c>
      <c r="Y20" s="18">
        <f>IF(AND(22&gt;=$NQ$20,22&lt;=$NR$20),IF($NO$20="Single_Point",IF(22=$NQ$20,$NM$20,0),IF($NO$20="Bell_Curve",$NM$20*(22-$NQ$20+1)*($NR$20-22+1)/$NT$20,$NM$20/$NS$20)),0)</f>
        <v/>
      </c>
      <c r="Z20" s="18">
        <f>IF(AND(23&gt;=$NQ$20,23&lt;=$NR$20),IF($NO$20="Single_Point",IF(23=$NQ$20,$NM$20,0),IF($NO$20="Bell_Curve",$NM$20*(23-$NQ$20+1)*($NR$20-23+1)/$NT$20,$NM$20/$NS$20)),0)</f>
        <v/>
      </c>
      <c r="AA20" s="18">
        <f>IF(AND(24&gt;=$NQ$20,24&lt;=$NR$20),IF($NO$20="Single_Point",IF(24=$NQ$20,$NM$20,0),IF($NO$20="Bell_Curve",$NM$20*(24-$NQ$20+1)*($NR$20-24+1)/$NT$20,$NM$20/$NS$20)),0)</f>
        <v/>
      </c>
      <c r="AB20" s="18">
        <f>IF(AND(25&gt;=$NQ$20,25&lt;=$NR$20),IF($NO$20="Single_Point",IF(25=$NQ$20,$NM$20,0),IF($NO$20="Bell_Curve",$NM$20*(25-$NQ$20+1)*($NR$20-25+1)/$NT$20,$NM$20/$NS$20)),0)</f>
        <v/>
      </c>
      <c r="AC20" s="18">
        <f>IF(AND(26&gt;=$NQ$20,26&lt;=$NR$20),IF($NO$20="Single_Point",IF(26=$NQ$20,$NM$20,0),IF($NO$20="Bell_Curve",$NM$20*(26-$NQ$20+1)*($NR$20-26+1)/$NT$20,$NM$20/$NS$20)),0)</f>
        <v/>
      </c>
      <c r="AD20" s="18">
        <f>IF(AND(27&gt;=$NQ$20,27&lt;=$NR$20),IF($NO$20="Single_Point",IF(27=$NQ$20,$NM$20,0),IF($NO$20="Bell_Curve",$NM$20*(27-$NQ$20+1)*($NR$20-27+1)/$NT$20,$NM$20/$NS$20)),0)</f>
        <v/>
      </c>
      <c r="AE20" s="18">
        <f>IF(AND(28&gt;=$NQ$20,28&lt;=$NR$20),IF($NO$20="Single_Point",IF(28=$NQ$20,$NM$20,0),IF($NO$20="Bell_Curve",$NM$20*(28-$NQ$20+1)*($NR$20-28+1)/$NT$20,$NM$20/$NS$20)),0)</f>
        <v/>
      </c>
      <c r="AF20" s="18">
        <f>IF(AND(29&gt;=$NQ$20,29&lt;=$NR$20),IF($NO$20="Single_Point",IF(29=$NQ$20,$NM$20,0),IF($NO$20="Bell_Curve",$NM$20*(29-$NQ$20+1)*($NR$20-29+1)/$NT$20,$NM$20/$NS$20)),0)</f>
        <v/>
      </c>
      <c r="AG20" s="18">
        <f>IF(AND(30&gt;=$NQ$20,30&lt;=$NR$20),IF($NO$20="Single_Point",IF(30=$NQ$20,$NM$20,0),IF($NO$20="Bell_Curve",$NM$20*(30-$NQ$20+1)*($NR$20-30+1)/$NT$20,$NM$20/$NS$20)),0)</f>
        <v/>
      </c>
      <c r="AH20" s="18">
        <f>IF(AND(31&gt;=$NQ$20,31&lt;=$NR$20),IF($NO$20="Single_Point",IF(31=$NQ$20,$NM$20,0),IF($NO$20="Bell_Curve",$NM$20*(31-$NQ$20+1)*($NR$20-31+1)/$NT$20,$NM$20/$NS$20)),0)</f>
        <v/>
      </c>
      <c r="AI20" s="18">
        <f>IF(AND(32&gt;=$NQ$20,32&lt;=$NR$20),IF($NO$20="Single_Point",IF(32=$NQ$20,$NM$20,0),IF($NO$20="Bell_Curve",$NM$20*(32-$NQ$20+1)*($NR$20-32+1)/$NT$20,$NM$20/$NS$20)),0)</f>
        <v/>
      </c>
      <c r="AJ20" s="18">
        <f>IF(AND(33&gt;=$NQ$20,33&lt;=$NR$20),IF($NO$20="Single_Point",IF(33=$NQ$20,$NM$20,0),IF($NO$20="Bell_Curve",$NM$20*(33-$NQ$20+1)*($NR$20-33+1)/$NT$20,$NM$20/$NS$20)),0)</f>
        <v/>
      </c>
      <c r="AK20" s="18">
        <f>IF(AND(34&gt;=$NQ$20,34&lt;=$NR$20),IF($NO$20="Single_Point",IF(34=$NQ$20,$NM$20,0),IF($NO$20="Bell_Curve",$NM$20*(34-$NQ$20+1)*($NR$20-34+1)/$NT$20,$NM$20/$NS$20)),0)</f>
        <v/>
      </c>
      <c r="AL20" s="18">
        <f>IF(AND(35&gt;=$NQ$20,35&lt;=$NR$20),IF($NO$20="Single_Point",IF(35=$NQ$20,$NM$20,0),IF($NO$20="Bell_Curve",$NM$20*(35-$NQ$20+1)*($NR$20-35+1)/$NT$20,$NM$20/$NS$20)),0)</f>
        <v/>
      </c>
      <c r="AM20" s="18">
        <f>IF(AND(36&gt;=$NQ$20,36&lt;=$NR$20),IF($NO$20="Single_Point",IF(36=$NQ$20,$NM$20,0),IF($NO$20="Bell_Curve",$NM$20*(36-$NQ$20+1)*($NR$20-36+1)/$NT$20,$NM$20/$NS$20)),0)</f>
        <v/>
      </c>
      <c r="AN20" s="18">
        <f>IF(AND(37&gt;=$NQ$20,37&lt;=$NR$20),IF($NO$20="Single_Point",IF(37=$NQ$20,$NM$20,0),IF($NO$20="Bell_Curve",$NM$20*(37-$NQ$20+1)*($NR$20-37+1)/$NT$20,$NM$20/$NS$20)),0)</f>
        <v/>
      </c>
      <c r="AO20" s="18">
        <f>IF(AND(38&gt;=$NQ$20,38&lt;=$NR$20),IF($NO$20="Single_Point",IF(38=$NQ$20,$NM$20,0),IF($NO$20="Bell_Curve",$NM$20*(38-$NQ$20+1)*($NR$20-38+1)/$NT$20,$NM$20/$NS$20)),0)</f>
        <v/>
      </c>
      <c r="AP20" s="18">
        <f>IF(AND(39&gt;=$NQ$20,39&lt;=$NR$20),IF($NO$20="Single_Point",IF(39=$NQ$20,$NM$20,0),IF($NO$20="Bell_Curve",$NM$20*(39-$NQ$20+1)*($NR$20-39+1)/$NT$20,$NM$20/$NS$20)),0)</f>
        <v/>
      </c>
      <c r="AQ20" s="18">
        <f>IF(AND(40&gt;=$NQ$20,40&lt;=$NR$20),IF($NO$20="Single_Point",IF(40=$NQ$20,$NM$20,0),IF($NO$20="Bell_Curve",$NM$20*(40-$NQ$20+1)*($NR$20-40+1)/$NT$20,$NM$20/$NS$20)),0)</f>
        <v/>
      </c>
      <c r="AR20" s="18">
        <f>IF(AND(41&gt;=$NQ$20,41&lt;=$NR$20),IF($NO$20="Single_Point",IF(41=$NQ$20,$NM$20,0),IF($NO$20="Bell_Curve",$NM$20*(41-$NQ$20+1)*($NR$20-41+1)/$NT$20,$NM$20/$NS$20)),0)</f>
        <v/>
      </c>
      <c r="AS20" s="18">
        <f>IF(AND(42&gt;=$NQ$20,42&lt;=$NR$20),IF($NO$20="Single_Point",IF(42=$NQ$20,$NM$20,0),IF($NO$20="Bell_Curve",$NM$20*(42-$NQ$20+1)*($NR$20-42+1)/$NT$20,$NM$20/$NS$20)),0)</f>
        <v/>
      </c>
      <c r="AT20" s="18">
        <f>IF(AND(43&gt;=$NQ$20,43&lt;=$NR$20),IF($NO$20="Single_Point",IF(43=$NQ$20,$NM$20,0),IF($NO$20="Bell_Curve",$NM$20*(43-$NQ$20+1)*($NR$20-43+1)/$NT$20,$NM$20/$NS$20)),0)</f>
        <v/>
      </c>
      <c r="AU20" s="18">
        <f>IF(AND(44&gt;=$NQ$20,44&lt;=$NR$20),IF($NO$20="Single_Point",IF(44=$NQ$20,$NM$20,0),IF($NO$20="Bell_Curve",$NM$20*(44-$NQ$20+1)*($NR$20-44+1)/$NT$20,$NM$20/$NS$20)),0)</f>
        <v/>
      </c>
      <c r="AV20" s="18">
        <f>IF(AND(45&gt;=$NQ$20,45&lt;=$NR$20),IF($NO$20="Single_Point",IF(45=$NQ$20,$NM$20,0),IF($NO$20="Bell_Curve",$NM$20*(45-$NQ$20+1)*($NR$20-45+1)/$NT$20,$NM$20/$NS$20)),0)</f>
        <v/>
      </c>
      <c r="AW20" s="18">
        <f>IF(AND(46&gt;=$NQ$20,46&lt;=$NR$20),IF($NO$20="Single_Point",IF(46=$NQ$20,$NM$20,0),IF($NO$20="Bell_Curve",$NM$20*(46-$NQ$20+1)*($NR$20-46+1)/$NT$20,$NM$20/$NS$20)),0)</f>
        <v/>
      </c>
      <c r="AX20" s="18">
        <f>IF(AND(47&gt;=$NQ$20,47&lt;=$NR$20),IF($NO$20="Single_Point",IF(47=$NQ$20,$NM$20,0),IF($NO$20="Bell_Curve",$NM$20*(47-$NQ$20+1)*($NR$20-47+1)/$NT$20,$NM$20/$NS$20)),0)</f>
        <v/>
      </c>
      <c r="AY20" s="18">
        <f>IF(AND(48&gt;=$NQ$20,48&lt;=$NR$20),IF($NO$20="Single_Point",IF(48=$NQ$20,$NM$20,0),IF($NO$20="Bell_Curve",$NM$20*(48-$NQ$20+1)*($NR$20-48+1)/$NT$20,$NM$20/$NS$20)),0)</f>
        <v/>
      </c>
      <c r="AZ20" s="18">
        <f>IF(AND(49&gt;=$NQ$20,49&lt;=$NR$20),IF($NO$20="Single_Point",IF(49=$NQ$20,$NM$20,0),IF($NO$20="Bell_Curve",$NM$20*(49-$NQ$20+1)*($NR$20-49+1)/$NT$20,$NM$20/$NS$20)),0)</f>
        <v/>
      </c>
      <c r="BA20" s="18">
        <f>IF(AND(50&gt;=$NQ$20,50&lt;=$NR$20),IF($NO$20="Single_Point",IF(50=$NQ$20,$NM$20,0),IF($NO$20="Bell_Curve",$NM$20*(50-$NQ$20+1)*($NR$20-50+1)/$NT$20,$NM$20/$NS$20)),0)</f>
        <v/>
      </c>
      <c r="BB20" s="18">
        <f>IF(AND(51&gt;=$NQ$20,51&lt;=$NR$20),IF($NO$20="Single_Point",IF(51=$NQ$20,$NM$20,0),IF($NO$20="Bell_Curve",$NM$20*(51-$NQ$20+1)*($NR$20-51+1)/$NT$20,$NM$20/$NS$20)),0)</f>
        <v/>
      </c>
      <c r="BC20" s="18">
        <f>IF(AND(52&gt;=$NQ$20,52&lt;=$NR$20),IF($NO$20="Single_Point",IF(52=$NQ$20,$NM$20,0),IF($NO$20="Bell_Curve",$NM$20*(52-$NQ$20+1)*($NR$20-52+1)/$NT$20,$NM$20/$NS$20)),0)</f>
        <v/>
      </c>
      <c r="BD20" s="18">
        <f>IF(AND(53&gt;=$NQ$20,53&lt;=$NR$20),IF($NO$20="Single_Point",IF(53=$NQ$20,$NM$20,0),IF($NO$20="Bell_Curve",$NM$20*(53-$NQ$20+1)*($NR$20-53+1)/$NT$20,$NM$20/$NS$20)),0)</f>
        <v/>
      </c>
      <c r="BE20" s="18">
        <f>IF(AND(54&gt;=$NQ$20,54&lt;=$NR$20),IF($NO$20="Single_Point",IF(54=$NQ$20,$NM$20,0),IF($NO$20="Bell_Curve",$NM$20*(54-$NQ$20+1)*($NR$20-54+1)/$NT$20,$NM$20/$NS$20)),0)</f>
        <v/>
      </c>
      <c r="BF20" s="18">
        <f>IF(AND(55&gt;=$NQ$20,55&lt;=$NR$20),IF($NO$20="Single_Point",IF(55=$NQ$20,$NM$20,0),IF($NO$20="Bell_Curve",$NM$20*(55-$NQ$20+1)*($NR$20-55+1)/$NT$20,$NM$20/$NS$20)),0)</f>
        <v/>
      </c>
      <c r="BG20" s="18">
        <f>IF(AND(56&gt;=$NQ$20,56&lt;=$NR$20),IF($NO$20="Single_Point",IF(56=$NQ$20,$NM$20,0),IF($NO$20="Bell_Curve",$NM$20*(56-$NQ$20+1)*($NR$20-56+1)/$NT$20,$NM$20/$NS$20)),0)</f>
        <v/>
      </c>
      <c r="BH20" s="18">
        <f>IF(AND(57&gt;=$NQ$20,57&lt;=$NR$20),IF($NO$20="Single_Point",IF(57=$NQ$20,$NM$20,0),IF($NO$20="Bell_Curve",$NM$20*(57-$NQ$20+1)*($NR$20-57+1)/$NT$20,$NM$20/$NS$20)),0)</f>
        <v/>
      </c>
      <c r="BI20" s="18">
        <f>IF(AND(58&gt;=$NQ$20,58&lt;=$NR$20),IF($NO$20="Single_Point",IF(58=$NQ$20,$NM$20,0),IF($NO$20="Bell_Curve",$NM$20*(58-$NQ$20+1)*($NR$20-58+1)/$NT$20,$NM$20/$NS$20)),0)</f>
        <v/>
      </c>
      <c r="BJ20" s="18">
        <f>IF(AND(59&gt;=$NQ$20,59&lt;=$NR$20),IF($NO$20="Single_Point",IF(59=$NQ$20,$NM$20,0),IF($NO$20="Bell_Curve",$NM$20*(59-$NQ$20+1)*($NR$20-59+1)/$NT$20,$NM$20/$NS$20)),0)</f>
        <v/>
      </c>
      <c r="BK20" s="18">
        <f>IF(AND(60&gt;=$NQ$20,60&lt;=$NR$20),IF($NO$20="Single_Point",IF(60=$NQ$20,$NM$20,0),IF($NO$20="Bell_Curve",$NM$20*(60-$NQ$20+1)*($NR$20-60+1)/$NT$20,$NM$20/$NS$20)),0)</f>
        <v/>
      </c>
      <c r="BL20" s="18">
        <f>IF(AND(61&gt;=$NQ$20,61&lt;=$NR$20),IF($NO$20="Single_Point",IF(61=$NQ$20,$NM$20,0),IF($NO$20="Bell_Curve",$NM$20*(61-$NQ$20+1)*($NR$20-61+1)/$NT$20,$NM$20/$NS$20)),0)</f>
        <v/>
      </c>
      <c r="BM20" s="18">
        <f>IF(AND(62&gt;=$NQ$20,62&lt;=$NR$20),IF($NO$20="Single_Point",IF(62=$NQ$20,$NM$20,0),IF($NO$20="Bell_Curve",$NM$20*(62-$NQ$20+1)*($NR$20-62+1)/$NT$20,$NM$20/$NS$20)),0)</f>
        <v/>
      </c>
      <c r="BN20" s="18">
        <f>IF(AND(63&gt;=$NQ$20,63&lt;=$NR$20),IF($NO$20="Single_Point",IF(63=$NQ$20,$NM$20,0),IF($NO$20="Bell_Curve",$NM$20*(63-$NQ$20+1)*($NR$20-63+1)/$NT$20,$NM$20/$NS$20)),0)</f>
        <v/>
      </c>
      <c r="BO20" s="18">
        <f>IF(AND(64&gt;=$NQ$20,64&lt;=$NR$20),IF($NO$20="Single_Point",IF(64=$NQ$20,$NM$20,0),IF($NO$20="Bell_Curve",$NM$20*(64-$NQ$20+1)*($NR$20-64+1)/$NT$20,$NM$20/$NS$20)),0)</f>
        <v/>
      </c>
      <c r="BP20" s="18">
        <f>IF(AND(65&gt;=$NQ$20,65&lt;=$NR$20),IF($NO$20="Single_Point",IF(65=$NQ$20,$NM$20,0),IF($NO$20="Bell_Curve",$NM$20*(65-$NQ$20+1)*($NR$20-65+1)/$NT$20,$NM$20/$NS$20)),0)</f>
        <v/>
      </c>
      <c r="BQ20" s="18">
        <f>IF(AND(66&gt;=$NQ$20,66&lt;=$NR$20),IF($NO$20="Single_Point",IF(66=$NQ$20,$NM$20,0),IF($NO$20="Bell_Curve",$NM$20*(66-$NQ$20+1)*($NR$20-66+1)/$NT$20,$NM$20/$NS$20)),0)</f>
        <v/>
      </c>
      <c r="BR20" s="18">
        <f>IF(AND(67&gt;=$NQ$20,67&lt;=$NR$20),IF($NO$20="Single_Point",IF(67=$NQ$20,$NM$20,0),IF($NO$20="Bell_Curve",$NM$20*(67-$NQ$20+1)*($NR$20-67+1)/$NT$20,$NM$20/$NS$20)),0)</f>
        <v/>
      </c>
      <c r="BS20" s="18">
        <f>IF(AND(68&gt;=$NQ$20,68&lt;=$NR$20),IF($NO$20="Single_Point",IF(68=$NQ$20,$NM$20,0),IF($NO$20="Bell_Curve",$NM$20*(68-$NQ$20+1)*($NR$20-68+1)/$NT$20,$NM$20/$NS$20)),0)</f>
        <v/>
      </c>
      <c r="BT20" s="18">
        <f>IF(AND(69&gt;=$NQ$20,69&lt;=$NR$20),IF($NO$20="Single_Point",IF(69=$NQ$20,$NM$20,0),IF($NO$20="Bell_Curve",$NM$20*(69-$NQ$20+1)*($NR$20-69+1)/$NT$20,$NM$20/$NS$20)),0)</f>
        <v/>
      </c>
      <c r="BU20" s="18">
        <f>IF(AND(70&gt;=$NQ$20,70&lt;=$NR$20),IF($NO$20="Single_Point",IF(70=$NQ$20,$NM$20,0),IF($NO$20="Bell_Curve",$NM$20*(70-$NQ$20+1)*($NR$20-70+1)/$NT$20,$NM$20/$NS$20)),0)</f>
        <v/>
      </c>
      <c r="BV20" s="18">
        <f>IF(AND(71&gt;=$NQ$20,71&lt;=$NR$20),IF($NO$20="Single_Point",IF(71=$NQ$20,$NM$20,0),IF($NO$20="Bell_Curve",$NM$20*(71-$NQ$20+1)*($NR$20-71+1)/$NT$20,$NM$20/$NS$20)),0)</f>
        <v/>
      </c>
      <c r="BW20" s="18">
        <f>IF(AND(72&gt;=$NQ$20,72&lt;=$NR$20),IF($NO$20="Single_Point",IF(72=$NQ$20,$NM$20,0),IF($NO$20="Bell_Curve",$NM$20*(72-$NQ$20+1)*($NR$20-72+1)/$NT$20,$NM$20/$NS$20)),0)</f>
        <v/>
      </c>
      <c r="BX20" s="18">
        <f>IF(AND(73&gt;=$NQ$20,73&lt;=$NR$20),IF($NO$20="Single_Point",IF(73=$NQ$20,$NM$20,0),IF($NO$20="Bell_Curve",$NM$20*(73-$NQ$20+1)*($NR$20-73+1)/$NT$20,$NM$20/$NS$20)),0)</f>
        <v/>
      </c>
      <c r="BY20" s="18">
        <f>IF(AND(74&gt;=$NQ$20,74&lt;=$NR$20),IF($NO$20="Single_Point",IF(74=$NQ$20,$NM$20,0),IF($NO$20="Bell_Curve",$NM$20*(74-$NQ$20+1)*($NR$20-74+1)/$NT$20,$NM$20/$NS$20)),0)</f>
        <v/>
      </c>
      <c r="BZ20" s="18">
        <f>IF(AND(75&gt;=$NQ$20,75&lt;=$NR$20),IF($NO$20="Single_Point",IF(75=$NQ$20,$NM$20,0),IF($NO$20="Bell_Curve",$NM$20*(75-$NQ$20+1)*($NR$20-75+1)/$NT$20,$NM$20/$NS$20)),0)</f>
        <v/>
      </c>
      <c r="CA20" s="18">
        <f>IF(AND(76&gt;=$NQ$20,76&lt;=$NR$20),IF($NO$20="Single_Point",IF(76=$NQ$20,$NM$20,0),IF($NO$20="Bell_Curve",$NM$20*(76-$NQ$20+1)*($NR$20-76+1)/$NT$20,$NM$20/$NS$20)),0)</f>
        <v/>
      </c>
      <c r="CB20" s="18">
        <f>IF(AND(77&gt;=$NQ$20,77&lt;=$NR$20),IF($NO$20="Single_Point",IF(77=$NQ$20,$NM$20,0),IF($NO$20="Bell_Curve",$NM$20*(77-$NQ$20+1)*($NR$20-77+1)/$NT$20,$NM$20/$NS$20)),0)</f>
        <v/>
      </c>
      <c r="CC20" s="18">
        <f>IF(AND(78&gt;=$NQ$20,78&lt;=$NR$20),IF($NO$20="Single_Point",IF(78=$NQ$20,$NM$20,0),IF($NO$20="Bell_Curve",$NM$20*(78-$NQ$20+1)*($NR$20-78+1)/$NT$20,$NM$20/$NS$20)),0)</f>
        <v/>
      </c>
      <c r="CD20" s="18">
        <f>IF(AND(79&gt;=$NQ$20,79&lt;=$NR$20),IF($NO$20="Single_Point",IF(79=$NQ$20,$NM$20,0),IF($NO$20="Bell_Curve",$NM$20*(79-$NQ$20+1)*($NR$20-79+1)/$NT$20,$NM$20/$NS$20)),0)</f>
        <v/>
      </c>
      <c r="CE20" s="18">
        <f>IF(AND(80&gt;=$NQ$20,80&lt;=$NR$20),IF($NO$20="Single_Point",IF(80=$NQ$20,$NM$20,0),IF($NO$20="Bell_Curve",$NM$20*(80-$NQ$20+1)*($NR$20-80+1)/$NT$20,$NM$20/$NS$20)),0)</f>
        <v/>
      </c>
      <c r="CF20" s="18">
        <f>IF(AND(81&gt;=$NQ$20,81&lt;=$NR$20),IF($NO$20="Single_Point",IF(81=$NQ$20,$NM$20,0),IF($NO$20="Bell_Curve",$NM$20*(81-$NQ$20+1)*($NR$20-81+1)/$NT$20,$NM$20/$NS$20)),0)</f>
        <v/>
      </c>
      <c r="CG20" s="18">
        <f>IF(AND(82&gt;=$NQ$20,82&lt;=$NR$20),IF($NO$20="Single_Point",IF(82=$NQ$20,$NM$20,0),IF($NO$20="Bell_Curve",$NM$20*(82-$NQ$20+1)*($NR$20-82+1)/$NT$20,$NM$20/$NS$20)),0)</f>
        <v/>
      </c>
      <c r="CH20" s="18">
        <f>IF(AND(83&gt;=$NQ$20,83&lt;=$NR$20),IF($NO$20="Single_Point",IF(83=$NQ$20,$NM$20,0),IF($NO$20="Bell_Curve",$NM$20*(83-$NQ$20+1)*($NR$20-83+1)/$NT$20,$NM$20/$NS$20)),0)</f>
        <v/>
      </c>
      <c r="CI20" s="18">
        <f>IF(AND(84&gt;=$NQ$20,84&lt;=$NR$20),IF($NO$20="Single_Point",IF(84=$NQ$20,$NM$20,0),IF($NO$20="Bell_Curve",$NM$20*(84-$NQ$20+1)*($NR$20-84+1)/$NT$20,$NM$20/$NS$20)),0)</f>
        <v/>
      </c>
      <c r="CJ20" s="18">
        <f>IF(AND(85&gt;=$NQ$20,85&lt;=$NR$20),IF($NO$20="Single_Point",IF(85=$NQ$20,$NM$20,0),IF($NO$20="Bell_Curve",$NM$20*(85-$NQ$20+1)*($NR$20-85+1)/$NT$20,$NM$20/$NS$20)),0)</f>
        <v/>
      </c>
      <c r="CK20" s="18">
        <f>IF(AND(86&gt;=$NQ$20,86&lt;=$NR$20),IF($NO$20="Single_Point",IF(86=$NQ$20,$NM$20,0),IF($NO$20="Bell_Curve",$NM$20*(86-$NQ$20+1)*($NR$20-86+1)/$NT$20,$NM$20/$NS$20)),0)</f>
        <v/>
      </c>
      <c r="CL20" s="18">
        <f>IF(AND(87&gt;=$NQ$20,87&lt;=$NR$20),IF($NO$20="Single_Point",IF(87=$NQ$20,$NM$20,0),IF($NO$20="Bell_Curve",$NM$20*(87-$NQ$20+1)*($NR$20-87+1)/$NT$20,$NM$20/$NS$20)),0)</f>
        <v/>
      </c>
      <c r="CM20" s="18">
        <f>IF(AND(88&gt;=$NQ$20,88&lt;=$NR$20),IF($NO$20="Single_Point",IF(88=$NQ$20,$NM$20,0),IF($NO$20="Bell_Curve",$NM$20*(88-$NQ$20+1)*($NR$20-88+1)/$NT$20,$NM$20/$NS$20)),0)</f>
        <v/>
      </c>
      <c r="CN20" s="18">
        <f>IF(AND(89&gt;=$NQ$20,89&lt;=$NR$20),IF($NO$20="Single_Point",IF(89=$NQ$20,$NM$20,0),IF($NO$20="Bell_Curve",$NM$20*(89-$NQ$20+1)*($NR$20-89+1)/$NT$20,$NM$20/$NS$20)),0)</f>
        <v/>
      </c>
      <c r="CO20" s="18">
        <f>IF(AND(90&gt;=$NQ$20,90&lt;=$NR$20),IF($NO$20="Single_Point",IF(90=$NQ$20,$NM$20,0),IF($NO$20="Bell_Curve",$NM$20*(90-$NQ$20+1)*($NR$20-90+1)/$NT$20,$NM$20/$NS$20)),0)</f>
        <v/>
      </c>
      <c r="CP20" s="18">
        <f>IF(AND(91&gt;=$NQ$20,91&lt;=$NR$20),IF($NO$20="Single_Point",IF(91=$NQ$20,$NM$20,0),IF($NO$20="Bell_Curve",$NM$20*(91-$NQ$20+1)*($NR$20-91+1)/$NT$20,$NM$20/$NS$20)),0)</f>
        <v/>
      </c>
      <c r="CQ20" s="18">
        <f>IF(AND(92&gt;=$NQ$20,92&lt;=$NR$20),IF($NO$20="Single_Point",IF(92=$NQ$20,$NM$20,0),IF($NO$20="Bell_Curve",$NM$20*(92-$NQ$20+1)*($NR$20-92+1)/$NT$20,$NM$20/$NS$20)),0)</f>
        <v/>
      </c>
      <c r="CR20" s="18">
        <f>IF(AND(93&gt;=$NQ$20,93&lt;=$NR$20),IF($NO$20="Single_Point",IF(93=$NQ$20,$NM$20,0),IF($NO$20="Bell_Curve",$NM$20*(93-$NQ$20+1)*($NR$20-93+1)/$NT$20,$NM$20/$NS$20)),0)</f>
        <v/>
      </c>
      <c r="CS20" s="18">
        <f>IF(AND(94&gt;=$NQ$20,94&lt;=$NR$20),IF($NO$20="Single_Point",IF(94=$NQ$20,$NM$20,0),IF($NO$20="Bell_Curve",$NM$20*(94-$NQ$20+1)*($NR$20-94+1)/$NT$20,$NM$20/$NS$20)),0)</f>
        <v/>
      </c>
      <c r="CT20" s="18">
        <f>IF(AND(95&gt;=$NQ$20,95&lt;=$NR$20),IF($NO$20="Single_Point",IF(95=$NQ$20,$NM$20,0),IF($NO$20="Bell_Curve",$NM$20*(95-$NQ$20+1)*($NR$20-95+1)/$NT$20,$NM$20/$NS$20)),0)</f>
        <v/>
      </c>
      <c r="CU20" s="18">
        <f>IF(AND(96&gt;=$NQ$20,96&lt;=$NR$20),IF($NO$20="Single_Point",IF(96=$NQ$20,$NM$20,0),IF($NO$20="Bell_Curve",$NM$20*(96-$NQ$20+1)*($NR$20-96+1)/$NT$20,$NM$20/$NS$20)),0)</f>
        <v/>
      </c>
      <c r="CV20" s="18">
        <f>IF(AND(97&gt;=$NQ$20,97&lt;=$NR$20),IF($NO$20="Single_Point",IF(97=$NQ$20,$NM$20,0),IF($NO$20="Bell_Curve",$NM$20*(97-$NQ$20+1)*($NR$20-97+1)/$NT$20,$NM$20/$NS$20)),0)</f>
        <v/>
      </c>
      <c r="CW20" s="18">
        <f>IF(AND(98&gt;=$NQ$20,98&lt;=$NR$20),IF($NO$20="Single_Point",IF(98=$NQ$20,$NM$20,0),IF($NO$20="Bell_Curve",$NM$20*(98-$NQ$20+1)*($NR$20-98+1)/$NT$20,$NM$20/$NS$20)),0)</f>
        <v/>
      </c>
      <c r="CX20" s="18">
        <f>IF(AND(99&gt;=$NQ$20,99&lt;=$NR$20),IF($NO$20="Single_Point",IF(99=$NQ$20,$NM$20,0),IF($NO$20="Bell_Curve",$NM$20*(99-$NQ$20+1)*($NR$20-99+1)/$NT$20,$NM$20/$NS$20)),0)</f>
        <v/>
      </c>
      <c r="CY20" s="18">
        <f>IF(AND(100&gt;=$NQ$20,100&lt;=$NR$20),IF($NO$20="Single_Point",IF(100=$NQ$20,$NM$20,0),IF($NO$20="Bell_Curve",$NM$20*(100-$NQ$20+1)*($NR$20-100+1)/$NT$20,$NM$20/$NS$20)),0)</f>
        <v/>
      </c>
      <c r="CZ20" s="18">
        <f>IF(AND(101&gt;=$NQ$20,101&lt;=$NR$20),IF($NO$20="Single_Point",IF(101=$NQ$20,$NM$20,0),IF($NO$20="Bell_Curve",$NM$20*(101-$NQ$20+1)*($NR$20-101+1)/$NT$20,$NM$20/$NS$20)),0)</f>
        <v/>
      </c>
      <c r="DA20" s="18">
        <f>IF(AND(102&gt;=$NQ$20,102&lt;=$NR$20),IF($NO$20="Single_Point",IF(102=$NQ$20,$NM$20,0),IF($NO$20="Bell_Curve",$NM$20*(102-$NQ$20+1)*($NR$20-102+1)/$NT$20,$NM$20/$NS$20)),0)</f>
        <v/>
      </c>
      <c r="DB20" s="18">
        <f>IF(AND(103&gt;=$NQ$20,103&lt;=$NR$20),IF($NO$20="Single_Point",IF(103=$NQ$20,$NM$20,0),IF($NO$20="Bell_Curve",$NM$20*(103-$NQ$20+1)*($NR$20-103+1)/$NT$20,$NM$20/$NS$20)),0)</f>
        <v/>
      </c>
      <c r="DC20" s="18">
        <f>IF(AND(104&gt;=$NQ$20,104&lt;=$NR$20),IF($NO$20="Single_Point",IF(104=$NQ$20,$NM$20,0),IF($NO$20="Bell_Curve",$NM$20*(104-$NQ$20+1)*($NR$20-104+1)/$NT$20,$NM$20/$NS$20)),0)</f>
        <v/>
      </c>
      <c r="DD20" s="18">
        <f>IF(AND(105&gt;=$NQ$20,105&lt;=$NR$20),IF($NO$20="Single_Point",IF(105=$NQ$20,$NM$20,0),IF($NO$20="Bell_Curve",$NM$20*(105-$NQ$20+1)*($NR$20-105+1)/$NT$20,$NM$20/$NS$20)),0)</f>
        <v/>
      </c>
      <c r="DE20" s="18">
        <f>IF(AND(106&gt;=$NQ$20,106&lt;=$NR$20),IF($NO$20="Single_Point",IF(106=$NQ$20,$NM$20,0),IF($NO$20="Bell_Curve",$NM$20*(106-$NQ$20+1)*($NR$20-106+1)/$NT$20,$NM$20/$NS$20)),0)</f>
        <v/>
      </c>
      <c r="DF20" s="18">
        <f>IF(AND(107&gt;=$NQ$20,107&lt;=$NR$20),IF($NO$20="Single_Point",IF(107=$NQ$20,$NM$20,0),IF($NO$20="Bell_Curve",$NM$20*(107-$NQ$20+1)*($NR$20-107+1)/$NT$20,$NM$20/$NS$20)),0)</f>
        <v/>
      </c>
      <c r="DG20" s="18">
        <f>IF(AND(108&gt;=$NQ$20,108&lt;=$NR$20),IF($NO$20="Single_Point",IF(108=$NQ$20,$NM$20,0),IF($NO$20="Bell_Curve",$NM$20*(108-$NQ$20+1)*($NR$20-108+1)/$NT$20,$NM$20/$NS$20)),0)</f>
        <v/>
      </c>
      <c r="DH20" s="18">
        <f>IF(AND(109&gt;=$NQ$20,109&lt;=$NR$20),IF($NO$20="Single_Point",IF(109=$NQ$20,$NM$20,0),IF($NO$20="Bell_Curve",$NM$20*(109-$NQ$20+1)*($NR$20-109+1)/$NT$20,$NM$20/$NS$20)),0)</f>
        <v/>
      </c>
      <c r="DI20" s="18">
        <f>IF(AND(110&gt;=$NQ$20,110&lt;=$NR$20),IF($NO$20="Single_Point",IF(110=$NQ$20,$NM$20,0),IF($NO$20="Bell_Curve",$NM$20*(110-$NQ$20+1)*($NR$20-110+1)/$NT$20,$NM$20/$NS$20)),0)</f>
        <v/>
      </c>
      <c r="DJ20" s="18">
        <f>IF(AND(111&gt;=$NQ$20,111&lt;=$NR$20),IF($NO$20="Single_Point",IF(111=$NQ$20,$NM$20,0),IF($NO$20="Bell_Curve",$NM$20*(111-$NQ$20+1)*($NR$20-111+1)/$NT$20,$NM$20/$NS$20)),0)</f>
        <v/>
      </c>
      <c r="DK20" s="18">
        <f>IF(AND(112&gt;=$NQ$20,112&lt;=$NR$20),IF($NO$20="Single_Point",IF(112=$NQ$20,$NM$20,0),IF($NO$20="Bell_Curve",$NM$20*(112-$NQ$20+1)*($NR$20-112+1)/$NT$20,$NM$20/$NS$20)),0)</f>
        <v/>
      </c>
      <c r="DL20" s="18">
        <f>IF(AND(113&gt;=$NQ$20,113&lt;=$NR$20),IF($NO$20="Single_Point",IF(113=$NQ$20,$NM$20,0),IF($NO$20="Bell_Curve",$NM$20*(113-$NQ$20+1)*($NR$20-113+1)/$NT$20,$NM$20/$NS$20)),0)</f>
        <v/>
      </c>
      <c r="DM20" s="18">
        <f>IF(AND(114&gt;=$NQ$20,114&lt;=$NR$20),IF($NO$20="Single_Point",IF(114=$NQ$20,$NM$20,0),IF($NO$20="Bell_Curve",$NM$20*(114-$NQ$20+1)*($NR$20-114+1)/$NT$20,$NM$20/$NS$20)),0)</f>
        <v/>
      </c>
      <c r="DN20" s="18">
        <f>IF(AND(115&gt;=$NQ$20,115&lt;=$NR$20),IF($NO$20="Single_Point",IF(115=$NQ$20,$NM$20,0),IF($NO$20="Bell_Curve",$NM$20*(115-$NQ$20+1)*($NR$20-115+1)/$NT$20,$NM$20/$NS$20)),0)</f>
        <v/>
      </c>
      <c r="DO20" s="18">
        <f>IF(AND(116&gt;=$NQ$20,116&lt;=$NR$20),IF($NO$20="Single_Point",IF(116=$NQ$20,$NM$20,0),IF($NO$20="Bell_Curve",$NM$20*(116-$NQ$20+1)*($NR$20-116+1)/$NT$20,$NM$20/$NS$20)),0)</f>
        <v/>
      </c>
      <c r="DP20" s="18">
        <f>IF(AND(117&gt;=$NQ$20,117&lt;=$NR$20),IF($NO$20="Single_Point",IF(117=$NQ$20,$NM$20,0),IF($NO$20="Bell_Curve",$NM$20*(117-$NQ$20+1)*($NR$20-117+1)/$NT$20,$NM$20/$NS$20)),0)</f>
        <v/>
      </c>
      <c r="DQ20" s="18">
        <f>IF(AND(118&gt;=$NQ$20,118&lt;=$NR$20),IF($NO$20="Single_Point",IF(118=$NQ$20,$NM$20,0),IF($NO$20="Bell_Curve",$NM$20*(118-$NQ$20+1)*($NR$20-118+1)/$NT$20,$NM$20/$NS$20)),0)</f>
        <v/>
      </c>
      <c r="DR20" s="18">
        <f>IF(AND(119&gt;=$NQ$20,119&lt;=$NR$20),IF($NO$20="Single_Point",IF(119=$NQ$20,$NM$20,0),IF($NO$20="Bell_Curve",$NM$20*(119-$NQ$20+1)*($NR$20-119+1)/$NT$20,$NM$20/$NS$20)),0)</f>
        <v/>
      </c>
      <c r="DS20" s="18">
        <f>IF(AND(120&gt;=$NQ$20,120&lt;=$NR$20),IF($NO$20="Single_Point",IF(120=$NQ$20,$NM$20,0),IF($NO$20="Bell_Curve",$NM$20*(120-$NQ$20+1)*($NR$20-120+1)/$NT$20,$NM$20/$NS$20)),0)</f>
        <v/>
      </c>
      <c r="DT20" s="18">
        <f>IF(AND(121&gt;=$NQ$20,121&lt;=$NR$20),IF($NO$20="Single_Point",IF(121=$NQ$20,$NM$20,0),IF($NO$20="Bell_Curve",$NM$20*(121-$NQ$20+1)*($NR$20-121+1)/$NT$20,$NM$20/$NS$20)),0)</f>
        <v/>
      </c>
      <c r="DU20" s="18">
        <f>IF(AND(122&gt;=$NQ$20,122&lt;=$NR$20),IF($NO$20="Single_Point",IF(122=$NQ$20,$NM$20,0),IF($NO$20="Bell_Curve",$NM$20*(122-$NQ$20+1)*($NR$20-122+1)/$NT$20,$NM$20/$NS$20)),0)</f>
        <v/>
      </c>
      <c r="DV20" s="18">
        <f>IF(AND(123&gt;=$NQ$20,123&lt;=$NR$20),IF($NO$20="Single_Point",IF(123=$NQ$20,$NM$20,0),IF($NO$20="Bell_Curve",$NM$20*(123-$NQ$20+1)*($NR$20-123+1)/$NT$20,$NM$20/$NS$20)),0)</f>
        <v/>
      </c>
      <c r="DW20" s="18">
        <f>IF(AND(124&gt;=$NQ$20,124&lt;=$NR$20),IF($NO$20="Single_Point",IF(124=$NQ$20,$NM$20,0),IF($NO$20="Bell_Curve",$NM$20*(124-$NQ$20+1)*($NR$20-124+1)/$NT$20,$NM$20/$NS$20)),0)</f>
        <v/>
      </c>
      <c r="DX20" s="18">
        <f>IF(AND(125&gt;=$NQ$20,125&lt;=$NR$20),IF($NO$20="Single_Point",IF(125=$NQ$20,$NM$20,0),IF($NO$20="Bell_Curve",$NM$20*(125-$NQ$20+1)*($NR$20-125+1)/$NT$20,$NM$20/$NS$20)),0)</f>
        <v/>
      </c>
      <c r="DY20" s="18">
        <f>IF(AND(126&gt;=$NQ$20,126&lt;=$NR$20),IF($NO$20="Single_Point",IF(126=$NQ$20,$NM$20,0),IF($NO$20="Bell_Curve",$NM$20*(126-$NQ$20+1)*($NR$20-126+1)/$NT$20,$NM$20/$NS$20)),0)</f>
        <v/>
      </c>
      <c r="DZ20" s="18">
        <f>IF(AND(127&gt;=$NQ$20,127&lt;=$NR$20),IF($NO$20="Single_Point",IF(127=$NQ$20,$NM$20,0),IF($NO$20="Bell_Curve",$NM$20*(127-$NQ$20+1)*($NR$20-127+1)/$NT$20,$NM$20/$NS$20)),0)</f>
        <v/>
      </c>
      <c r="EA20" s="18">
        <f>IF(AND(128&gt;=$NQ$20,128&lt;=$NR$20),IF($NO$20="Single_Point",IF(128=$NQ$20,$NM$20,0),IF($NO$20="Bell_Curve",$NM$20*(128-$NQ$20+1)*($NR$20-128+1)/$NT$20,$NM$20/$NS$20)),0)</f>
        <v/>
      </c>
      <c r="EB20" s="18">
        <f>IF(AND(129&gt;=$NQ$20,129&lt;=$NR$20),IF($NO$20="Single_Point",IF(129=$NQ$20,$NM$20,0),IF($NO$20="Bell_Curve",$NM$20*(129-$NQ$20+1)*($NR$20-129+1)/$NT$20,$NM$20/$NS$20)),0)</f>
        <v/>
      </c>
      <c r="EC20" s="18">
        <f>IF(AND(130&gt;=$NQ$20,130&lt;=$NR$20),IF($NO$20="Single_Point",IF(130=$NQ$20,$NM$20,0),IF($NO$20="Bell_Curve",$NM$20*(130-$NQ$20+1)*($NR$20-130+1)/$NT$20,$NM$20/$NS$20)),0)</f>
        <v/>
      </c>
      <c r="ED20" s="18">
        <f>IF(AND(131&gt;=$NQ$20,131&lt;=$NR$20),IF($NO$20="Single_Point",IF(131=$NQ$20,$NM$20,0),IF($NO$20="Bell_Curve",$NM$20*(131-$NQ$20+1)*($NR$20-131+1)/$NT$20,$NM$20/$NS$20)),0)</f>
        <v/>
      </c>
      <c r="EE20" s="18">
        <f>IF(AND(132&gt;=$NQ$20,132&lt;=$NR$20),IF($NO$20="Single_Point",IF(132=$NQ$20,$NM$20,0),IF($NO$20="Bell_Curve",$NM$20*(132-$NQ$20+1)*($NR$20-132+1)/$NT$20,$NM$20/$NS$20)),0)</f>
        <v/>
      </c>
      <c r="EF20" s="18">
        <f>IF(AND(133&gt;=$NQ$20,133&lt;=$NR$20),IF($NO$20="Single_Point",IF(133=$NQ$20,$NM$20,0),IF($NO$20="Bell_Curve",$NM$20*(133-$NQ$20+1)*($NR$20-133+1)/$NT$20,$NM$20/$NS$20)),0)</f>
        <v/>
      </c>
      <c r="EG20" s="18">
        <f>IF(AND(134&gt;=$NQ$20,134&lt;=$NR$20),IF($NO$20="Single_Point",IF(134=$NQ$20,$NM$20,0),IF($NO$20="Bell_Curve",$NM$20*(134-$NQ$20+1)*($NR$20-134+1)/$NT$20,$NM$20/$NS$20)),0)</f>
        <v/>
      </c>
      <c r="EH20" s="18">
        <f>IF(AND(135&gt;=$NQ$20,135&lt;=$NR$20),IF($NO$20="Single_Point",IF(135=$NQ$20,$NM$20,0),IF($NO$20="Bell_Curve",$NM$20*(135-$NQ$20+1)*($NR$20-135+1)/$NT$20,$NM$20/$NS$20)),0)</f>
        <v/>
      </c>
      <c r="EI20" s="18">
        <f>IF(AND(136&gt;=$NQ$20,136&lt;=$NR$20),IF($NO$20="Single_Point",IF(136=$NQ$20,$NM$20,0),IF($NO$20="Bell_Curve",$NM$20*(136-$NQ$20+1)*($NR$20-136+1)/$NT$20,$NM$20/$NS$20)),0)</f>
        <v/>
      </c>
      <c r="EJ20" s="18">
        <f>IF(AND(137&gt;=$NQ$20,137&lt;=$NR$20),IF($NO$20="Single_Point",IF(137=$NQ$20,$NM$20,0),IF($NO$20="Bell_Curve",$NM$20*(137-$NQ$20+1)*($NR$20-137+1)/$NT$20,$NM$20/$NS$20)),0)</f>
        <v/>
      </c>
      <c r="EK20" s="18">
        <f>IF(AND(138&gt;=$NQ$20,138&lt;=$NR$20),IF($NO$20="Single_Point",IF(138=$NQ$20,$NM$20,0),IF($NO$20="Bell_Curve",$NM$20*(138-$NQ$20+1)*($NR$20-138+1)/$NT$20,$NM$20/$NS$20)),0)</f>
        <v/>
      </c>
      <c r="EL20" s="18">
        <f>IF(AND(139&gt;=$NQ$20,139&lt;=$NR$20),IF($NO$20="Single_Point",IF(139=$NQ$20,$NM$20,0),IF($NO$20="Bell_Curve",$NM$20*(139-$NQ$20+1)*($NR$20-139+1)/$NT$20,$NM$20/$NS$20)),0)</f>
        <v/>
      </c>
      <c r="EM20" s="18">
        <f>IF(AND(140&gt;=$NQ$20,140&lt;=$NR$20),IF($NO$20="Single_Point",IF(140=$NQ$20,$NM$20,0),IF($NO$20="Bell_Curve",$NM$20*(140-$NQ$20+1)*($NR$20-140+1)/$NT$20,$NM$20/$NS$20)),0)</f>
        <v/>
      </c>
      <c r="EN20" s="18">
        <f>IF(AND(141&gt;=$NQ$20,141&lt;=$NR$20),IF($NO$20="Single_Point",IF(141=$NQ$20,$NM$20,0),IF($NO$20="Bell_Curve",$NM$20*(141-$NQ$20+1)*($NR$20-141+1)/$NT$20,$NM$20/$NS$20)),0)</f>
        <v/>
      </c>
      <c r="EO20" s="18">
        <f>IF(AND(142&gt;=$NQ$20,142&lt;=$NR$20),IF($NO$20="Single_Point",IF(142=$NQ$20,$NM$20,0),IF($NO$20="Bell_Curve",$NM$20*(142-$NQ$20+1)*($NR$20-142+1)/$NT$20,$NM$20/$NS$20)),0)</f>
        <v/>
      </c>
      <c r="EP20" s="18">
        <f>IF(AND(143&gt;=$NQ$20,143&lt;=$NR$20),IF($NO$20="Single_Point",IF(143=$NQ$20,$NM$20,0),IF($NO$20="Bell_Curve",$NM$20*(143-$NQ$20+1)*($NR$20-143+1)/$NT$20,$NM$20/$NS$20)),0)</f>
        <v/>
      </c>
      <c r="EQ20" s="18">
        <f>IF(AND(144&gt;=$NQ$20,144&lt;=$NR$20),IF($NO$20="Single_Point",IF(144=$NQ$20,$NM$20,0),IF($NO$20="Bell_Curve",$NM$20*(144-$NQ$20+1)*($NR$20-144+1)/$NT$20,$NM$20/$NS$20)),0)</f>
        <v/>
      </c>
      <c r="ER20" s="18">
        <f>IF(AND(145&gt;=$NQ$20,145&lt;=$NR$20),IF($NO$20="Single_Point",IF(145=$NQ$20,$NM$20,0),IF($NO$20="Bell_Curve",$NM$20*(145-$NQ$20+1)*($NR$20-145+1)/$NT$20,$NM$20/$NS$20)),0)</f>
        <v/>
      </c>
      <c r="ES20" s="18">
        <f>IF(AND(146&gt;=$NQ$20,146&lt;=$NR$20),IF($NO$20="Single_Point",IF(146=$NQ$20,$NM$20,0),IF($NO$20="Bell_Curve",$NM$20*(146-$NQ$20+1)*($NR$20-146+1)/$NT$20,$NM$20/$NS$20)),0)</f>
        <v/>
      </c>
      <c r="ET20" s="18">
        <f>IF(AND(147&gt;=$NQ$20,147&lt;=$NR$20),IF($NO$20="Single_Point",IF(147=$NQ$20,$NM$20,0),IF($NO$20="Bell_Curve",$NM$20*(147-$NQ$20+1)*($NR$20-147+1)/$NT$20,$NM$20/$NS$20)),0)</f>
        <v/>
      </c>
      <c r="EU20" s="18">
        <f>IF(AND(148&gt;=$NQ$20,148&lt;=$NR$20),IF($NO$20="Single_Point",IF(148=$NQ$20,$NM$20,0),IF($NO$20="Bell_Curve",$NM$20*(148-$NQ$20+1)*($NR$20-148+1)/$NT$20,$NM$20/$NS$20)),0)</f>
        <v/>
      </c>
      <c r="EV20" s="18">
        <f>IF(AND(149&gt;=$NQ$20,149&lt;=$NR$20),IF($NO$20="Single_Point",IF(149=$NQ$20,$NM$20,0),IF($NO$20="Bell_Curve",$NM$20*(149-$NQ$20+1)*($NR$20-149+1)/$NT$20,$NM$20/$NS$20)),0)</f>
        <v/>
      </c>
      <c r="EW20" s="18">
        <f>IF(AND(150&gt;=$NQ$20,150&lt;=$NR$20),IF($NO$20="Single_Point",IF(150=$NQ$20,$NM$20,0),IF($NO$20="Bell_Curve",$NM$20*(150-$NQ$20+1)*($NR$20-150+1)/$NT$20,$NM$20/$NS$20)),0)</f>
        <v/>
      </c>
      <c r="EX20" s="18">
        <f>IF(AND(151&gt;=$NQ$20,151&lt;=$NR$20),IF($NO$20="Single_Point",IF(151=$NQ$20,$NM$20,0),IF($NO$20="Bell_Curve",$NM$20*(151-$NQ$20+1)*($NR$20-151+1)/$NT$20,$NM$20/$NS$20)),0)</f>
        <v/>
      </c>
      <c r="EY20" s="18">
        <f>IF(AND(152&gt;=$NQ$20,152&lt;=$NR$20),IF($NO$20="Single_Point",IF(152=$NQ$20,$NM$20,0),IF($NO$20="Bell_Curve",$NM$20*(152-$NQ$20+1)*($NR$20-152+1)/$NT$20,$NM$20/$NS$20)),0)</f>
        <v/>
      </c>
      <c r="EZ20" s="18">
        <f>IF(AND(153&gt;=$NQ$20,153&lt;=$NR$20),IF($NO$20="Single_Point",IF(153=$NQ$20,$NM$20,0),IF($NO$20="Bell_Curve",$NM$20*(153-$NQ$20+1)*($NR$20-153+1)/$NT$20,$NM$20/$NS$20)),0)</f>
        <v/>
      </c>
      <c r="FA20" s="18">
        <f>IF(AND(154&gt;=$NQ$20,154&lt;=$NR$20),IF($NO$20="Single_Point",IF(154=$NQ$20,$NM$20,0),IF($NO$20="Bell_Curve",$NM$20*(154-$NQ$20+1)*($NR$20-154+1)/$NT$20,$NM$20/$NS$20)),0)</f>
        <v/>
      </c>
      <c r="FB20" s="18">
        <f>IF(AND(155&gt;=$NQ$20,155&lt;=$NR$20),IF($NO$20="Single_Point",IF(155=$NQ$20,$NM$20,0),IF($NO$20="Bell_Curve",$NM$20*(155-$NQ$20+1)*($NR$20-155+1)/$NT$20,$NM$20/$NS$20)),0)</f>
        <v/>
      </c>
      <c r="FC20" s="18">
        <f>IF(AND(156&gt;=$NQ$20,156&lt;=$NR$20),IF($NO$20="Single_Point",IF(156=$NQ$20,$NM$20,0),IF($NO$20="Bell_Curve",$NM$20*(156-$NQ$20+1)*($NR$20-156+1)/$NT$20,$NM$20/$NS$20)),0)</f>
        <v/>
      </c>
      <c r="FD20" s="18">
        <f>IF(AND(157&gt;=$NQ$20,157&lt;=$NR$20),IF($NO$20="Single_Point",IF(157=$NQ$20,$NM$20,0),IF($NO$20="Bell_Curve",$NM$20*(157-$NQ$20+1)*($NR$20-157+1)/$NT$20,$NM$20/$NS$20)),0)</f>
        <v/>
      </c>
      <c r="FE20" s="18">
        <f>IF(AND(158&gt;=$NQ$20,158&lt;=$NR$20),IF($NO$20="Single_Point",IF(158=$NQ$20,$NM$20,0),IF($NO$20="Bell_Curve",$NM$20*(158-$NQ$20+1)*($NR$20-158+1)/$NT$20,$NM$20/$NS$20)),0)</f>
        <v/>
      </c>
      <c r="FF20" s="18">
        <f>IF(AND(159&gt;=$NQ$20,159&lt;=$NR$20),IF($NO$20="Single_Point",IF(159=$NQ$20,$NM$20,0),IF($NO$20="Bell_Curve",$NM$20*(159-$NQ$20+1)*($NR$20-159+1)/$NT$20,$NM$20/$NS$20)),0)</f>
        <v/>
      </c>
      <c r="FG20" s="18">
        <f>IF(AND(160&gt;=$NQ$20,160&lt;=$NR$20),IF($NO$20="Single_Point",IF(160=$NQ$20,$NM$20,0),IF($NO$20="Bell_Curve",$NM$20*(160-$NQ$20+1)*($NR$20-160+1)/$NT$20,$NM$20/$NS$20)),0)</f>
        <v/>
      </c>
      <c r="FH20" s="18">
        <f>IF(AND(161&gt;=$NQ$20,161&lt;=$NR$20),IF($NO$20="Single_Point",IF(161=$NQ$20,$NM$20,0),IF($NO$20="Bell_Curve",$NM$20*(161-$NQ$20+1)*($NR$20-161+1)/$NT$20,$NM$20/$NS$20)),0)</f>
        <v/>
      </c>
      <c r="FI20" s="18">
        <f>IF(AND(162&gt;=$NQ$20,162&lt;=$NR$20),IF($NO$20="Single_Point",IF(162=$NQ$20,$NM$20,0),IF($NO$20="Bell_Curve",$NM$20*(162-$NQ$20+1)*($NR$20-162+1)/$NT$20,$NM$20/$NS$20)),0)</f>
        <v/>
      </c>
      <c r="FJ20" s="18">
        <f>IF(AND(163&gt;=$NQ$20,163&lt;=$NR$20),IF($NO$20="Single_Point",IF(163=$NQ$20,$NM$20,0),IF($NO$20="Bell_Curve",$NM$20*(163-$NQ$20+1)*($NR$20-163+1)/$NT$20,$NM$20/$NS$20)),0)</f>
        <v/>
      </c>
      <c r="FK20" s="18">
        <f>IF(AND(164&gt;=$NQ$20,164&lt;=$NR$20),IF($NO$20="Single_Point",IF(164=$NQ$20,$NM$20,0),IF($NO$20="Bell_Curve",$NM$20*(164-$NQ$20+1)*($NR$20-164+1)/$NT$20,$NM$20/$NS$20)),0)</f>
        <v/>
      </c>
      <c r="FL20" s="18">
        <f>IF(AND(165&gt;=$NQ$20,165&lt;=$NR$20),IF($NO$20="Single_Point",IF(165=$NQ$20,$NM$20,0),IF($NO$20="Bell_Curve",$NM$20*(165-$NQ$20+1)*($NR$20-165+1)/$NT$20,$NM$20/$NS$20)),0)</f>
        <v/>
      </c>
      <c r="FM20" s="18">
        <f>IF(AND(166&gt;=$NQ$20,166&lt;=$NR$20),IF($NO$20="Single_Point",IF(166=$NQ$20,$NM$20,0),IF($NO$20="Bell_Curve",$NM$20*(166-$NQ$20+1)*($NR$20-166+1)/$NT$20,$NM$20/$NS$20)),0)</f>
        <v/>
      </c>
      <c r="FN20" s="18">
        <f>IF(AND(167&gt;=$NQ$20,167&lt;=$NR$20),IF($NO$20="Single_Point",IF(167=$NQ$20,$NM$20,0),IF($NO$20="Bell_Curve",$NM$20*(167-$NQ$20+1)*($NR$20-167+1)/$NT$20,$NM$20/$NS$20)),0)</f>
        <v/>
      </c>
      <c r="FO20" s="18">
        <f>IF(AND(168&gt;=$NQ$20,168&lt;=$NR$20),IF($NO$20="Single_Point",IF(168=$NQ$20,$NM$20,0),IF($NO$20="Bell_Curve",$NM$20*(168-$NQ$20+1)*($NR$20-168+1)/$NT$20,$NM$20/$NS$20)),0)</f>
        <v/>
      </c>
      <c r="FP20" s="18">
        <f>IF(AND(169&gt;=$NQ$20,169&lt;=$NR$20),IF($NO$20="Single_Point",IF(169=$NQ$20,$NM$20,0),IF($NO$20="Bell_Curve",$NM$20*(169-$NQ$20+1)*($NR$20-169+1)/$NT$20,$NM$20/$NS$20)),0)</f>
        <v/>
      </c>
      <c r="FQ20" s="18">
        <f>IF(AND(170&gt;=$NQ$20,170&lt;=$NR$20),IF($NO$20="Single_Point",IF(170=$NQ$20,$NM$20,0),IF($NO$20="Bell_Curve",$NM$20*(170-$NQ$20+1)*($NR$20-170+1)/$NT$20,$NM$20/$NS$20)),0)</f>
        <v/>
      </c>
      <c r="FR20" s="18">
        <f>IF(AND(171&gt;=$NQ$20,171&lt;=$NR$20),IF($NO$20="Single_Point",IF(171=$NQ$20,$NM$20,0),IF($NO$20="Bell_Curve",$NM$20*(171-$NQ$20+1)*($NR$20-171+1)/$NT$20,$NM$20/$NS$20)),0)</f>
        <v/>
      </c>
      <c r="FS20" s="18">
        <f>IF(AND(172&gt;=$NQ$20,172&lt;=$NR$20),IF($NO$20="Single_Point",IF(172=$NQ$20,$NM$20,0),IF($NO$20="Bell_Curve",$NM$20*(172-$NQ$20+1)*($NR$20-172+1)/$NT$20,$NM$20/$NS$20)),0)</f>
        <v/>
      </c>
      <c r="FT20" s="18">
        <f>IF(AND(173&gt;=$NQ$20,173&lt;=$NR$20),IF($NO$20="Single_Point",IF(173=$NQ$20,$NM$20,0),IF($NO$20="Bell_Curve",$NM$20*(173-$NQ$20+1)*($NR$20-173+1)/$NT$20,$NM$20/$NS$20)),0)</f>
        <v/>
      </c>
      <c r="FU20" s="18">
        <f>IF(AND(174&gt;=$NQ$20,174&lt;=$NR$20),IF($NO$20="Single_Point",IF(174=$NQ$20,$NM$20,0),IF($NO$20="Bell_Curve",$NM$20*(174-$NQ$20+1)*($NR$20-174+1)/$NT$20,$NM$20/$NS$20)),0)</f>
        <v/>
      </c>
      <c r="FV20" s="18">
        <f>IF(AND(175&gt;=$NQ$20,175&lt;=$NR$20),IF($NO$20="Single_Point",IF(175=$NQ$20,$NM$20,0),IF($NO$20="Bell_Curve",$NM$20*(175-$NQ$20+1)*($NR$20-175+1)/$NT$20,$NM$20/$NS$20)),0)</f>
        <v/>
      </c>
      <c r="FW20" s="18">
        <f>IF(AND(176&gt;=$NQ$20,176&lt;=$NR$20),IF($NO$20="Single_Point",IF(176=$NQ$20,$NM$20,0),IF($NO$20="Bell_Curve",$NM$20*(176-$NQ$20+1)*($NR$20-176+1)/$NT$20,$NM$20/$NS$20)),0)</f>
        <v/>
      </c>
      <c r="FX20" s="18">
        <f>IF(AND(177&gt;=$NQ$20,177&lt;=$NR$20),IF($NO$20="Single_Point",IF(177=$NQ$20,$NM$20,0),IF($NO$20="Bell_Curve",$NM$20*(177-$NQ$20+1)*($NR$20-177+1)/$NT$20,$NM$20/$NS$20)),0)</f>
        <v/>
      </c>
      <c r="FY20" s="18">
        <f>IF(AND(178&gt;=$NQ$20,178&lt;=$NR$20),IF($NO$20="Single_Point",IF(178=$NQ$20,$NM$20,0),IF($NO$20="Bell_Curve",$NM$20*(178-$NQ$20+1)*($NR$20-178+1)/$NT$20,$NM$20/$NS$20)),0)</f>
        <v/>
      </c>
      <c r="FZ20" s="18">
        <f>IF(AND(179&gt;=$NQ$20,179&lt;=$NR$20),IF($NO$20="Single_Point",IF(179=$NQ$20,$NM$20,0),IF($NO$20="Bell_Curve",$NM$20*(179-$NQ$20+1)*($NR$20-179+1)/$NT$20,$NM$20/$NS$20)),0)</f>
        <v/>
      </c>
      <c r="GA20" s="18">
        <f>IF(AND(180&gt;=$NQ$20,180&lt;=$NR$20),IF($NO$20="Single_Point",IF(180=$NQ$20,$NM$20,0),IF($NO$20="Bell_Curve",$NM$20*(180-$NQ$20+1)*($NR$20-180+1)/$NT$20,$NM$20/$NS$20)),0)</f>
        <v/>
      </c>
      <c r="GB20" s="18">
        <f>IF(AND(181&gt;=$NQ$20,181&lt;=$NR$20),IF($NO$20="Single_Point",IF(181=$NQ$20,$NM$20,0),IF($NO$20="Bell_Curve",$NM$20*(181-$NQ$20+1)*($NR$20-181+1)/$NT$20,$NM$20/$NS$20)),0)</f>
        <v/>
      </c>
      <c r="GC20" s="18">
        <f>IF(AND(182&gt;=$NQ$20,182&lt;=$NR$20),IF($NO$20="Single_Point",IF(182=$NQ$20,$NM$20,0),IF($NO$20="Bell_Curve",$NM$20*(182-$NQ$20+1)*($NR$20-182+1)/$NT$20,$NM$20/$NS$20)),0)</f>
        <v/>
      </c>
      <c r="GD20" s="18">
        <f>IF(AND(183&gt;=$NQ$20,183&lt;=$NR$20),IF($NO$20="Single_Point",IF(183=$NQ$20,$NM$20,0),IF($NO$20="Bell_Curve",$NM$20*(183-$NQ$20+1)*($NR$20-183+1)/$NT$20,$NM$20/$NS$20)),0)</f>
        <v/>
      </c>
      <c r="GE20" s="18">
        <f>IF(AND(184&gt;=$NQ$20,184&lt;=$NR$20),IF($NO$20="Single_Point",IF(184=$NQ$20,$NM$20,0),IF($NO$20="Bell_Curve",$NM$20*(184-$NQ$20+1)*($NR$20-184+1)/$NT$20,$NM$20/$NS$20)),0)</f>
        <v/>
      </c>
      <c r="GF20" s="18">
        <f>IF(AND(185&gt;=$NQ$20,185&lt;=$NR$20),IF($NO$20="Single_Point",IF(185=$NQ$20,$NM$20,0),IF($NO$20="Bell_Curve",$NM$20*(185-$NQ$20+1)*($NR$20-185+1)/$NT$20,$NM$20/$NS$20)),0)</f>
        <v/>
      </c>
      <c r="GG20" s="18">
        <f>IF(AND(186&gt;=$NQ$20,186&lt;=$NR$20),IF($NO$20="Single_Point",IF(186=$NQ$20,$NM$20,0),IF($NO$20="Bell_Curve",$NM$20*(186-$NQ$20+1)*($NR$20-186+1)/$NT$20,$NM$20/$NS$20)),0)</f>
        <v/>
      </c>
      <c r="GH20" s="18">
        <f>IF(AND(187&gt;=$NQ$20,187&lt;=$NR$20),IF($NO$20="Single_Point",IF(187=$NQ$20,$NM$20,0),IF($NO$20="Bell_Curve",$NM$20*(187-$NQ$20+1)*($NR$20-187+1)/$NT$20,$NM$20/$NS$20)),0)</f>
        <v/>
      </c>
      <c r="GI20" s="18">
        <f>IF(AND(188&gt;=$NQ$20,188&lt;=$NR$20),IF($NO$20="Single_Point",IF(188=$NQ$20,$NM$20,0),IF($NO$20="Bell_Curve",$NM$20*(188-$NQ$20+1)*($NR$20-188+1)/$NT$20,$NM$20/$NS$20)),0)</f>
        <v/>
      </c>
      <c r="GJ20" s="18">
        <f>IF(AND(189&gt;=$NQ$20,189&lt;=$NR$20),IF($NO$20="Single_Point",IF(189=$NQ$20,$NM$20,0),IF($NO$20="Bell_Curve",$NM$20*(189-$NQ$20+1)*($NR$20-189+1)/$NT$20,$NM$20/$NS$20)),0)</f>
        <v/>
      </c>
      <c r="GK20" s="18">
        <f>IF(AND(190&gt;=$NQ$20,190&lt;=$NR$20),IF($NO$20="Single_Point",IF(190=$NQ$20,$NM$20,0),IF($NO$20="Bell_Curve",$NM$20*(190-$NQ$20+1)*($NR$20-190+1)/$NT$20,$NM$20/$NS$20)),0)</f>
        <v/>
      </c>
      <c r="GL20" s="18">
        <f>IF(AND(191&gt;=$NQ$20,191&lt;=$NR$20),IF($NO$20="Single_Point",IF(191=$NQ$20,$NM$20,0),IF($NO$20="Bell_Curve",$NM$20*(191-$NQ$20+1)*($NR$20-191+1)/$NT$20,$NM$20/$NS$20)),0)</f>
        <v/>
      </c>
      <c r="GM20" s="18">
        <f>IF(AND(192&gt;=$NQ$20,192&lt;=$NR$20),IF($NO$20="Single_Point",IF(192=$NQ$20,$NM$20,0),IF($NO$20="Bell_Curve",$NM$20*(192-$NQ$20+1)*($NR$20-192+1)/$NT$20,$NM$20/$NS$20)),0)</f>
        <v/>
      </c>
      <c r="GN20" s="18">
        <f>IF(AND(193&gt;=$NQ$20,193&lt;=$NR$20),IF($NO$20="Single_Point",IF(193=$NQ$20,$NM$20,0),IF($NO$20="Bell_Curve",$NM$20*(193-$NQ$20+1)*($NR$20-193+1)/$NT$20,$NM$20/$NS$20)),0)</f>
        <v/>
      </c>
      <c r="GO20" s="18">
        <f>IF(AND(194&gt;=$NQ$20,194&lt;=$NR$20),IF($NO$20="Single_Point",IF(194=$NQ$20,$NM$20,0),IF($NO$20="Bell_Curve",$NM$20*(194-$NQ$20+1)*($NR$20-194+1)/$NT$20,$NM$20/$NS$20)),0)</f>
        <v/>
      </c>
      <c r="GP20" s="18">
        <f>IF(AND(195&gt;=$NQ$20,195&lt;=$NR$20),IF($NO$20="Single_Point",IF(195=$NQ$20,$NM$20,0),IF($NO$20="Bell_Curve",$NM$20*(195-$NQ$20+1)*($NR$20-195+1)/$NT$20,$NM$20/$NS$20)),0)</f>
        <v/>
      </c>
      <c r="GQ20" s="18">
        <f>IF(AND(196&gt;=$NQ$20,196&lt;=$NR$20),IF($NO$20="Single_Point",IF(196=$NQ$20,$NM$20,0),IF($NO$20="Bell_Curve",$NM$20*(196-$NQ$20+1)*($NR$20-196+1)/$NT$20,$NM$20/$NS$20)),0)</f>
        <v/>
      </c>
      <c r="GR20" s="18">
        <f>IF(AND(197&gt;=$NQ$20,197&lt;=$NR$20),IF($NO$20="Single_Point",IF(197=$NQ$20,$NM$20,0),IF($NO$20="Bell_Curve",$NM$20*(197-$NQ$20+1)*($NR$20-197+1)/$NT$20,$NM$20/$NS$20)),0)</f>
        <v/>
      </c>
      <c r="GS20" s="18">
        <f>IF(AND(198&gt;=$NQ$20,198&lt;=$NR$20),IF($NO$20="Single_Point",IF(198=$NQ$20,$NM$20,0),IF($NO$20="Bell_Curve",$NM$20*(198-$NQ$20+1)*($NR$20-198+1)/$NT$20,$NM$20/$NS$20)),0)</f>
        <v/>
      </c>
      <c r="GT20" s="18">
        <f>IF(AND(199&gt;=$NQ$20,199&lt;=$NR$20),IF($NO$20="Single_Point",IF(199=$NQ$20,$NM$20,0),IF($NO$20="Bell_Curve",$NM$20*(199-$NQ$20+1)*($NR$20-199+1)/$NT$20,$NM$20/$NS$20)),0)</f>
        <v/>
      </c>
      <c r="GU20" s="18">
        <f>IF(AND(200&gt;=$NQ$20,200&lt;=$NR$20),IF($NO$20="Single_Point",IF(200=$NQ$20,$NM$20,0),IF($NO$20="Bell_Curve",$NM$20*(200-$NQ$20+1)*($NR$20-200+1)/$NT$20,$NM$20/$NS$20)),0)</f>
        <v/>
      </c>
      <c r="GV20" s="18">
        <f>IF(AND(201&gt;=$NQ$20,201&lt;=$NR$20),IF($NO$20="Single_Point",IF(201=$NQ$20,$NM$20,0),IF($NO$20="Bell_Curve",$NM$20*(201-$NQ$20+1)*($NR$20-201+1)/$NT$20,$NM$20/$NS$20)),0)</f>
        <v/>
      </c>
      <c r="GW20" s="18">
        <f>IF(AND(202&gt;=$NQ$20,202&lt;=$NR$20),IF($NO$20="Single_Point",IF(202=$NQ$20,$NM$20,0),IF($NO$20="Bell_Curve",$NM$20*(202-$NQ$20+1)*($NR$20-202+1)/$NT$20,$NM$20/$NS$20)),0)</f>
        <v/>
      </c>
      <c r="GX20" s="18">
        <f>IF(AND(203&gt;=$NQ$20,203&lt;=$NR$20),IF($NO$20="Single_Point",IF(203=$NQ$20,$NM$20,0),IF($NO$20="Bell_Curve",$NM$20*(203-$NQ$20+1)*($NR$20-203+1)/$NT$20,$NM$20/$NS$20)),0)</f>
        <v/>
      </c>
      <c r="GY20" s="18">
        <f>IF(AND(204&gt;=$NQ$20,204&lt;=$NR$20),IF($NO$20="Single_Point",IF(204=$NQ$20,$NM$20,0),IF($NO$20="Bell_Curve",$NM$20*(204-$NQ$20+1)*($NR$20-204+1)/$NT$20,$NM$20/$NS$20)),0)</f>
        <v/>
      </c>
      <c r="GZ20" s="18">
        <f>IF(AND(205&gt;=$NQ$20,205&lt;=$NR$20),IF($NO$20="Single_Point",IF(205=$NQ$20,$NM$20,0),IF($NO$20="Bell_Curve",$NM$20*(205-$NQ$20+1)*($NR$20-205+1)/$NT$20,$NM$20/$NS$20)),0)</f>
        <v/>
      </c>
      <c r="HA20" s="18">
        <f>IF(AND(206&gt;=$NQ$20,206&lt;=$NR$20),IF($NO$20="Single_Point",IF(206=$NQ$20,$NM$20,0),IF($NO$20="Bell_Curve",$NM$20*(206-$NQ$20+1)*($NR$20-206+1)/$NT$20,$NM$20/$NS$20)),0)</f>
        <v/>
      </c>
      <c r="HB20" s="18">
        <f>IF(AND(207&gt;=$NQ$20,207&lt;=$NR$20),IF($NO$20="Single_Point",IF(207=$NQ$20,$NM$20,0),IF($NO$20="Bell_Curve",$NM$20*(207-$NQ$20+1)*($NR$20-207+1)/$NT$20,$NM$20/$NS$20)),0)</f>
        <v/>
      </c>
      <c r="HC20" s="18">
        <f>IF(AND(208&gt;=$NQ$20,208&lt;=$NR$20),IF($NO$20="Single_Point",IF(208=$NQ$20,$NM$20,0),IF($NO$20="Bell_Curve",$NM$20*(208-$NQ$20+1)*($NR$20-208+1)/$NT$20,$NM$20/$NS$20)),0)</f>
        <v/>
      </c>
      <c r="HD20" s="18">
        <f>IF(AND(209&gt;=$NQ$20,209&lt;=$NR$20),IF($NO$20="Single_Point",IF(209=$NQ$20,$NM$20,0),IF($NO$20="Bell_Curve",$NM$20*(209-$NQ$20+1)*($NR$20-209+1)/$NT$20,$NM$20/$NS$20)),0)</f>
        <v/>
      </c>
      <c r="HE20" s="18">
        <f>IF(AND(210&gt;=$NQ$20,210&lt;=$NR$20),IF($NO$20="Single_Point",IF(210=$NQ$20,$NM$20,0),IF($NO$20="Bell_Curve",$NM$20*(210-$NQ$20+1)*($NR$20-210+1)/$NT$20,$NM$20/$NS$20)),0)</f>
        <v/>
      </c>
      <c r="HF20" s="18">
        <f>IF(AND(211&gt;=$NQ$20,211&lt;=$NR$20),IF($NO$20="Single_Point",IF(211=$NQ$20,$NM$20,0),IF($NO$20="Bell_Curve",$NM$20*(211-$NQ$20+1)*($NR$20-211+1)/$NT$20,$NM$20/$NS$20)),0)</f>
        <v/>
      </c>
      <c r="HG20" s="18">
        <f>IF(AND(212&gt;=$NQ$20,212&lt;=$NR$20),IF($NO$20="Single_Point",IF(212=$NQ$20,$NM$20,0),IF($NO$20="Bell_Curve",$NM$20*(212-$NQ$20+1)*($NR$20-212+1)/$NT$20,$NM$20/$NS$20)),0)</f>
        <v/>
      </c>
      <c r="HH20" s="18">
        <f>IF(AND(213&gt;=$NQ$20,213&lt;=$NR$20),IF($NO$20="Single_Point",IF(213=$NQ$20,$NM$20,0),IF($NO$20="Bell_Curve",$NM$20*(213-$NQ$20+1)*($NR$20-213+1)/$NT$20,$NM$20/$NS$20)),0)</f>
        <v/>
      </c>
      <c r="HI20" s="18">
        <f>IF(AND(214&gt;=$NQ$20,214&lt;=$NR$20),IF($NO$20="Single_Point",IF(214=$NQ$20,$NM$20,0),IF($NO$20="Bell_Curve",$NM$20*(214-$NQ$20+1)*($NR$20-214+1)/$NT$20,$NM$20/$NS$20)),0)</f>
        <v/>
      </c>
      <c r="HJ20" s="18">
        <f>IF(AND(215&gt;=$NQ$20,215&lt;=$NR$20),IF($NO$20="Single_Point",IF(215=$NQ$20,$NM$20,0),IF($NO$20="Bell_Curve",$NM$20*(215-$NQ$20+1)*($NR$20-215+1)/$NT$20,$NM$20/$NS$20)),0)</f>
        <v/>
      </c>
      <c r="HK20" s="18">
        <f>IF(AND(216&gt;=$NQ$20,216&lt;=$NR$20),IF($NO$20="Single_Point",IF(216=$NQ$20,$NM$20,0),IF($NO$20="Bell_Curve",$NM$20*(216-$NQ$20+1)*($NR$20-216+1)/$NT$20,$NM$20/$NS$20)),0)</f>
        <v/>
      </c>
      <c r="HL20" s="18">
        <f>IF(AND(217&gt;=$NQ$20,217&lt;=$NR$20),IF($NO$20="Single_Point",IF(217=$NQ$20,$NM$20,0),IF($NO$20="Bell_Curve",$NM$20*(217-$NQ$20+1)*($NR$20-217+1)/$NT$20,$NM$20/$NS$20)),0)</f>
        <v/>
      </c>
      <c r="HM20" s="18">
        <f>IF(AND(218&gt;=$NQ$20,218&lt;=$NR$20),IF($NO$20="Single_Point",IF(218=$NQ$20,$NM$20,0),IF($NO$20="Bell_Curve",$NM$20*(218-$NQ$20+1)*($NR$20-218+1)/$NT$20,$NM$20/$NS$20)),0)</f>
        <v/>
      </c>
      <c r="HN20" s="18">
        <f>IF(AND(219&gt;=$NQ$20,219&lt;=$NR$20),IF($NO$20="Single_Point",IF(219=$NQ$20,$NM$20,0),IF($NO$20="Bell_Curve",$NM$20*(219-$NQ$20+1)*($NR$20-219+1)/$NT$20,$NM$20/$NS$20)),0)</f>
        <v/>
      </c>
      <c r="HO20" s="18">
        <f>IF(AND(220&gt;=$NQ$20,220&lt;=$NR$20),IF($NO$20="Single_Point",IF(220=$NQ$20,$NM$20,0),IF($NO$20="Bell_Curve",$NM$20*(220-$NQ$20+1)*($NR$20-220+1)/$NT$20,$NM$20/$NS$20)),0)</f>
        <v/>
      </c>
      <c r="HP20" s="18">
        <f>IF(AND(221&gt;=$NQ$20,221&lt;=$NR$20),IF($NO$20="Single_Point",IF(221=$NQ$20,$NM$20,0),IF($NO$20="Bell_Curve",$NM$20*(221-$NQ$20+1)*($NR$20-221+1)/$NT$20,$NM$20/$NS$20)),0)</f>
        <v/>
      </c>
      <c r="HQ20" s="18">
        <f>IF(AND(222&gt;=$NQ$20,222&lt;=$NR$20),IF($NO$20="Single_Point",IF(222=$NQ$20,$NM$20,0),IF($NO$20="Bell_Curve",$NM$20*(222-$NQ$20+1)*($NR$20-222+1)/$NT$20,$NM$20/$NS$20)),0)</f>
        <v/>
      </c>
      <c r="HR20" s="18">
        <f>IF(AND(223&gt;=$NQ$20,223&lt;=$NR$20),IF($NO$20="Single_Point",IF(223=$NQ$20,$NM$20,0),IF($NO$20="Bell_Curve",$NM$20*(223-$NQ$20+1)*($NR$20-223+1)/$NT$20,$NM$20/$NS$20)),0)</f>
        <v/>
      </c>
      <c r="HS20" s="18">
        <f>IF(AND(224&gt;=$NQ$20,224&lt;=$NR$20),IF($NO$20="Single_Point",IF(224=$NQ$20,$NM$20,0),IF($NO$20="Bell_Curve",$NM$20*(224-$NQ$20+1)*($NR$20-224+1)/$NT$20,$NM$20/$NS$20)),0)</f>
        <v/>
      </c>
      <c r="HT20" s="18">
        <f>IF(AND(225&gt;=$NQ$20,225&lt;=$NR$20),IF($NO$20="Single_Point",IF(225=$NQ$20,$NM$20,0),IF($NO$20="Bell_Curve",$NM$20*(225-$NQ$20+1)*($NR$20-225+1)/$NT$20,$NM$20/$NS$20)),0)</f>
        <v/>
      </c>
      <c r="HU20" s="18">
        <f>IF(AND(226&gt;=$NQ$20,226&lt;=$NR$20),IF($NO$20="Single_Point",IF(226=$NQ$20,$NM$20,0),IF($NO$20="Bell_Curve",$NM$20*(226-$NQ$20+1)*($NR$20-226+1)/$NT$20,$NM$20/$NS$20)),0)</f>
        <v/>
      </c>
      <c r="HV20" s="18">
        <f>IF(AND(227&gt;=$NQ$20,227&lt;=$NR$20),IF($NO$20="Single_Point",IF(227=$NQ$20,$NM$20,0),IF($NO$20="Bell_Curve",$NM$20*(227-$NQ$20+1)*($NR$20-227+1)/$NT$20,$NM$20/$NS$20)),0)</f>
        <v/>
      </c>
      <c r="HW20" s="18">
        <f>IF(AND(228&gt;=$NQ$20,228&lt;=$NR$20),IF($NO$20="Single_Point",IF(228=$NQ$20,$NM$20,0),IF($NO$20="Bell_Curve",$NM$20*(228-$NQ$20+1)*($NR$20-228+1)/$NT$20,$NM$20/$NS$20)),0)</f>
        <v/>
      </c>
      <c r="HX20" s="18">
        <f>IF(AND(229&gt;=$NQ$20,229&lt;=$NR$20),IF($NO$20="Single_Point",IF(229=$NQ$20,$NM$20,0),IF($NO$20="Bell_Curve",$NM$20*(229-$NQ$20+1)*($NR$20-229+1)/$NT$20,$NM$20/$NS$20)),0)</f>
        <v/>
      </c>
      <c r="HY20" s="18">
        <f>IF(AND(230&gt;=$NQ$20,230&lt;=$NR$20),IF($NO$20="Single_Point",IF(230=$NQ$20,$NM$20,0),IF($NO$20="Bell_Curve",$NM$20*(230-$NQ$20+1)*($NR$20-230+1)/$NT$20,$NM$20/$NS$20)),0)</f>
        <v/>
      </c>
      <c r="HZ20" s="18">
        <f>IF(AND(231&gt;=$NQ$20,231&lt;=$NR$20),IF($NO$20="Single_Point",IF(231=$NQ$20,$NM$20,0),IF($NO$20="Bell_Curve",$NM$20*(231-$NQ$20+1)*($NR$20-231+1)/$NT$20,$NM$20/$NS$20)),0)</f>
        <v/>
      </c>
      <c r="IA20" s="18">
        <f>IF(AND(232&gt;=$NQ$20,232&lt;=$NR$20),IF($NO$20="Single_Point",IF(232=$NQ$20,$NM$20,0),IF($NO$20="Bell_Curve",$NM$20*(232-$NQ$20+1)*($NR$20-232+1)/$NT$20,$NM$20/$NS$20)),0)</f>
        <v/>
      </c>
      <c r="IB20" s="18">
        <f>IF(AND(233&gt;=$NQ$20,233&lt;=$NR$20),IF($NO$20="Single_Point",IF(233=$NQ$20,$NM$20,0),IF($NO$20="Bell_Curve",$NM$20*(233-$NQ$20+1)*($NR$20-233+1)/$NT$20,$NM$20/$NS$20)),0)</f>
        <v/>
      </c>
      <c r="IC20" s="18">
        <f>IF(AND(234&gt;=$NQ$20,234&lt;=$NR$20),IF($NO$20="Single_Point",IF(234=$NQ$20,$NM$20,0),IF($NO$20="Bell_Curve",$NM$20*(234-$NQ$20+1)*($NR$20-234+1)/$NT$20,$NM$20/$NS$20)),0)</f>
        <v/>
      </c>
      <c r="ID20" s="18">
        <f>IF(AND(235&gt;=$NQ$20,235&lt;=$NR$20),IF($NO$20="Single_Point",IF(235=$NQ$20,$NM$20,0),IF($NO$20="Bell_Curve",$NM$20*(235-$NQ$20+1)*($NR$20-235+1)/$NT$20,$NM$20/$NS$20)),0)</f>
        <v/>
      </c>
      <c r="IE20" s="18">
        <f>IF(AND(236&gt;=$NQ$20,236&lt;=$NR$20),IF($NO$20="Single_Point",IF(236=$NQ$20,$NM$20,0),IF($NO$20="Bell_Curve",$NM$20*(236-$NQ$20+1)*($NR$20-236+1)/$NT$20,$NM$20/$NS$20)),0)</f>
        <v/>
      </c>
      <c r="IF20" s="18">
        <f>IF(AND(237&gt;=$NQ$20,237&lt;=$NR$20),IF($NO$20="Single_Point",IF(237=$NQ$20,$NM$20,0),IF($NO$20="Bell_Curve",$NM$20*(237-$NQ$20+1)*($NR$20-237+1)/$NT$20,$NM$20/$NS$20)),0)</f>
        <v/>
      </c>
      <c r="IG20" s="18">
        <f>IF(AND(238&gt;=$NQ$20,238&lt;=$NR$20),IF($NO$20="Single_Point",IF(238=$NQ$20,$NM$20,0),IF($NO$20="Bell_Curve",$NM$20*(238-$NQ$20+1)*($NR$20-238+1)/$NT$20,$NM$20/$NS$20)),0)</f>
        <v/>
      </c>
      <c r="IH20" s="18">
        <f>IF(AND(239&gt;=$NQ$20,239&lt;=$NR$20),IF($NO$20="Single_Point",IF(239=$NQ$20,$NM$20,0),IF($NO$20="Bell_Curve",$NM$20*(239-$NQ$20+1)*($NR$20-239+1)/$NT$20,$NM$20/$NS$20)),0)</f>
        <v/>
      </c>
      <c r="II20" s="18">
        <f>IF(AND(240&gt;=$NQ$20,240&lt;=$NR$20),IF($NO$20="Single_Point",IF(240=$NQ$20,$NM$20,0),IF($NO$20="Bell_Curve",$NM$20*(240-$NQ$20+1)*($NR$20-240+1)/$NT$20,$NM$20/$NS$20)),0)</f>
        <v/>
      </c>
      <c r="IJ20" s="18">
        <f>IF(AND(241&gt;=$NQ$20,241&lt;=$NR$20),IF($NO$20="Single_Point",IF(241=$NQ$20,$NM$20,0),IF($NO$20="Bell_Curve",$NM$20*(241-$NQ$20+1)*($NR$20-241+1)/$NT$20,$NM$20/$NS$20)),0)</f>
        <v/>
      </c>
      <c r="IK20" s="18">
        <f>IF(AND(242&gt;=$NQ$20,242&lt;=$NR$20),IF($NO$20="Single_Point",IF(242=$NQ$20,$NM$20,0),IF($NO$20="Bell_Curve",$NM$20*(242-$NQ$20+1)*($NR$20-242+1)/$NT$20,$NM$20/$NS$20)),0)</f>
        <v/>
      </c>
      <c r="IL20" s="18">
        <f>IF(AND(243&gt;=$NQ$20,243&lt;=$NR$20),IF($NO$20="Single_Point",IF(243=$NQ$20,$NM$20,0),IF($NO$20="Bell_Curve",$NM$20*(243-$NQ$20+1)*($NR$20-243+1)/$NT$20,$NM$20/$NS$20)),0)</f>
        <v/>
      </c>
      <c r="IM20" s="18">
        <f>IF(AND(244&gt;=$NQ$20,244&lt;=$NR$20),IF($NO$20="Single_Point",IF(244=$NQ$20,$NM$20,0),IF($NO$20="Bell_Curve",$NM$20*(244-$NQ$20+1)*($NR$20-244+1)/$NT$20,$NM$20/$NS$20)),0)</f>
        <v/>
      </c>
      <c r="IN20" s="18">
        <f>IF(AND(245&gt;=$NQ$20,245&lt;=$NR$20),IF($NO$20="Single_Point",IF(245=$NQ$20,$NM$20,0),IF($NO$20="Bell_Curve",$NM$20*(245-$NQ$20+1)*($NR$20-245+1)/$NT$20,$NM$20/$NS$20)),0)</f>
        <v/>
      </c>
      <c r="IO20" s="18">
        <f>IF(AND(246&gt;=$NQ$20,246&lt;=$NR$20),IF($NO$20="Single_Point",IF(246=$NQ$20,$NM$20,0),IF($NO$20="Bell_Curve",$NM$20*(246-$NQ$20+1)*($NR$20-246+1)/$NT$20,$NM$20/$NS$20)),0)</f>
        <v/>
      </c>
      <c r="IP20" s="18">
        <f>IF(AND(247&gt;=$NQ$20,247&lt;=$NR$20),IF($NO$20="Single_Point",IF(247=$NQ$20,$NM$20,0),IF($NO$20="Bell_Curve",$NM$20*(247-$NQ$20+1)*($NR$20-247+1)/$NT$20,$NM$20/$NS$20)),0)</f>
        <v/>
      </c>
      <c r="IQ20" s="18">
        <f>IF(AND(248&gt;=$NQ$20,248&lt;=$NR$20),IF($NO$20="Single_Point",IF(248=$NQ$20,$NM$20,0),IF($NO$20="Bell_Curve",$NM$20*(248-$NQ$20+1)*($NR$20-248+1)/$NT$20,$NM$20/$NS$20)),0)</f>
        <v/>
      </c>
      <c r="IR20" s="18">
        <f>IF(AND(249&gt;=$NQ$20,249&lt;=$NR$20),IF($NO$20="Single_Point",IF(249=$NQ$20,$NM$20,0),IF($NO$20="Bell_Curve",$NM$20*(249-$NQ$20+1)*($NR$20-249+1)/$NT$20,$NM$20/$NS$20)),0)</f>
        <v/>
      </c>
      <c r="IS20" s="18">
        <f>IF(AND(250&gt;=$NQ$20,250&lt;=$NR$20),IF($NO$20="Single_Point",IF(250=$NQ$20,$NM$20,0),IF($NO$20="Bell_Curve",$NM$20*(250-$NQ$20+1)*($NR$20-250+1)/$NT$20,$NM$20/$NS$20)),0)</f>
        <v/>
      </c>
      <c r="IT20" s="18">
        <f>IF(AND(251&gt;=$NQ$20,251&lt;=$NR$20),IF($NO$20="Single_Point",IF(251=$NQ$20,$NM$20,0),IF($NO$20="Bell_Curve",$NM$20*(251-$NQ$20+1)*($NR$20-251+1)/$NT$20,$NM$20/$NS$20)),0)</f>
        <v/>
      </c>
      <c r="IU20" s="18">
        <f>IF(AND(252&gt;=$NQ$20,252&lt;=$NR$20),IF($NO$20="Single_Point",IF(252=$NQ$20,$NM$20,0),IF($NO$20="Bell_Curve",$NM$20*(252-$NQ$20+1)*($NR$20-252+1)/$NT$20,$NM$20/$NS$20)),0)</f>
        <v/>
      </c>
      <c r="IV20" s="18">
        <f>IF(AND(253&gt;=$NQ$20,253&lt;=$NR$20),IF($NO$20="Single_Point",IF(253=$NQ$20,$NM$20,0),IF($NO$20="Bell_Curve",$NM$20*(253-$NQ$20+1)*($NR$20-253+1)/$NT$20,$NM$20/$NS$20)),0)</f>
        <v/>
      </c>
      <c r="IW20" s="18">
        <f>IF(AND(254&gt;=$NQ$20,254&lt;=$NR$20),IF($NO$20="Single_Point",IF(254=$NQ$20,$NM$20,0),IF($NO$20="Bell_Curve",$NM$20*(254-$NQ$20+1)*($NR$20-254+1)/$NT$20,$NM$20/$NS$20)),0)</f>
        <v/>
      </c>
      <c r="IX20" s="18">
        <f>IF(AND(255&gt;=$NQ$20,255&lt;=$NR$20),IF($NO$20="Single_Point",IF(255=$NQ$20,$NM$20,0),IF($NO$20="Bell_Curve",$NM$20*(255-$NQ$20+1)*($NR$20-255+1)/$NT$20,$NM$20/$NS$20)),0)</f>
        <v/>
      </c>
      <c r="IY20" s="18">
        <f>IF(AND(256&gt;=$NQ$20,256&lt;=$NR$20),IF($NO$20="Single_Point",IF(256=$NQ$20,$NM$20,0),IF($NO$20="Bell_Curve",$NM$20*(256-$NQ$20+1)*($NR$20-256+1)/$NT$20,$NM$20/$NS$20)),0)</f>
        <v/>
      </c>
      <c r="IZ20" s="18">
        <f>IF(AND(257&gt;=$NQ$20,257&lt;=$NR$20),IF($NO$20="Single_Point",IF(257=$NQ$20,$NM$20,0),IF($NO$20="Bell_Curve",$NM$20*(257-$NQ$20+1)*($NR$20-257+1)/$NT$20,$NM$20/$NS$20)),0)</f>
        <v/>
      </c>
      <c r="JA20" s="18">
        <f>IF(AND(258&gt;=$NQ$20,258&lt;=$NR$20),IF($NO$20="Single_Point",IF(258=$NQ$20,$NM$20,0),IF($NO$20="Bell_Curve",$NM$20*(258-$NQ$20+1)*($NR$20-258+1)/$NT$20,$NM$20/$NS$20)),0)</f>
        <v/>
      </c>
      <c r="JB20" s="18">
        <f>IF(AND(259&gt;=$NQ$20,259&lt;=$NR$20),IF($NO$20="Single_Point",IF(259=$NQ$20,$NM$20,0),IF($NO$20="Bell_Curve",$NM$20*(259-$NQ$20+1)*($NR$20-259+1)/$NT$20,$NM$20/$NS$20)),0)</f>
        <v/>
      </c>
      <c r="JC20" s="18">
        <f>IF(AND(260&gt;=$NQ$20,260&lt;=$NR$20),IF($NO$20="Single_Point",IF(260=$NQ$20,$NM$20,0),IF($NO$20="Bell_Curve",$NM$20*(260-$NQ$20+1)*($NR$20-260+1)/$NT$20,$NM$20/$NS$20)),0)</f>
        <v/>
      </c>
      <c r="JD20" s="18">
        <f>IF(AND(261&gt;=$NQ$20,261&lt;=$NR$20),IF($NO$20="Single_Point",IF(261=$NQ$20,$NM$20,0),IF($NO$20="Bell_Curve",$NM$20*(261-$NQ$20+1)*($NR$20-261+1)/$NT$20,$NM$20/$NS$20)),0)</f>
        <v/>
      </c>
      <c r="JE20" s="18">
        <f>IF(AND(262&gt;=$NQ$20,262&lt;=$NR$20),IF($NO$20="Single_Point",IF(262=$NQ$20,$NM$20,0),IF($NO$20="Bell_Curve",$NM$20*(262-$NQ$20+1)*($NR$20-262+1)/$NT$20,$NM$20/$NS$20)),0)</f>
        <v/>
      </c>
      <c r="JF20" s="18">
        <f>IF(AND(263&gt;=$NQ$20,263&lt;=$NR$20),IF($NO$20="Single_Point",IF(263=$NQ$20,$NM$20,0),IF($NO$20="Bell_Curve",$NM$20*(263-$NQ$20+1)*($NR$20-263+1)/$NT$20,$NM$20/$NS$20)),0)</f>
        <v/>
      </c>
      <c r="JG20" s="18">
        <f>IF(AND(264&gt;=$NQ$20,264&lt;=$NR$20),IF($NO$20="Single_Point",IF(264=$NQ$20,$NM$20,0),IF($NO$20="Bell_Curve",$NM$20*(264-$NQ$20+1)*($NR$20-264+1)/$NT$20,$NM$20/$NS$20)),0)</f>
        <v/>
      </c>
      <c r="JH20" s="18">
        <f>IF(AND(265&gt;=$NQ$20,265&lt;=$NR$20),IF($NO$20="Single_Point",IF(265=$NQ$20,$NM$20,0),IF($NO$20="Bell_Curve",$NM$20*(265-$NQ$20+1)*($NR$20-265+1)/$NT$20,$NM$20/$NS$20)),0)</f>
        <v/>
      </c>
      <c r="JI20" s="18">
        <f>IF(AND(266&gt;=$NQ$20,266&lt;=$NR$20),IF($NO$20="Single_Point",IF(266=$NQ$20,$NM$20,0),IF($NO$20="Bell_Curve",$NM$20*(266-$NQ$20+1)*($NR$20-266+1)/$NT$20,$NM$20/$NS$20)),0)</f>
        <v/>
      </c>
      <c r="JJ20" s="18">
        <f>IF(AND(267&gt;=$NQ$20,267&lt;=$NR$20),IF($NO$20="Single_Point",IF(267=$NQ$20,$NM$20,0),IF($NO$20="Bell_Curve",$NM$20*(267-$NQ$20+1)*($NR$20-267+1)/$NT$20,$NM$20/$NS$20)),0)</f>
        <v/>
      </c>
      <c r="JK20" s="18">
        <f>IF(AND(268&gt;=$NQ$20,268&lt;=$NR$20),IF($NO$20="Single_Point",IF(268=$NQ$20,$NM$20,0),IF($NO$20="Bell_Curve",$NM$20*(268-$NQ$20+1)*($NR$20-268+1)/$NT$20,$NM$20/$NS$20)),0)</f>
        <v/>
      </c>
      <c r="JL20" s="18">
        <f>IF(AND(269&gt;=$NQ$20,269&lt;=$NR$20),IF($NO$20="Single_Point",IF(269=$NQ$20,$NM$20,0),IF($NO$20="Bell_Curve",$NM$20*(269-$NQ$20+1)*($NR$20-269+1)/$NT$20,$NM$20/$NS$20)),0)</f>
        <v/>
      </c>
      <c r="JM20" s="18">
        <f>IF(AND(270&gt;=$NQ$20,270&lt;=$NR$20),IF($NO$20="Single_Point",IF(270=$NQ$20,$NM$20,0),IF($NO$20="Bell_Curve",$NM$20*(270-$NQ$20+1)*($NR$20-270+1)/$NT$20,$NM$20/$NS$20)),0)</f>
        <v/>
      </c>
      <c r="JN20" s="18">
        <f>IF(AND(271&gt;=$NQ$20,271&lt;=$NR$20),IF($NO$20="Single_Point",IF(271=$NQ$20,$NM$20,0),IF($NO$20="Bell_Curve",$NM$20*(271-$NQ$20+1)*($NR$20-271+1)/$NT$20,$NM$20/$NS$20)),0)</f>
        <v/>
      </c>
      <c r="JO20" s="18">
        <f>IF(AND(272&gt;=$NQ$20,272&lt;=$NR$20),IF($NO$20="Single_Point",IF(272=$NQ$20,$NM$20,0),IF($NO$20="Bell_Curve",$NM$20*(272-$NQ$20+1)*($NR$20-272+1)/$NT$20,$NM$20/$NS$20)),0)</f>
        <v/>
      </c>
      <c r="JP20" s="18">
        <f>IF(AND(273&gt;=$NQ$20,273&lt;=$NR$20),IF($NO$20="Single_Point",IF(273=$NQ$20,$NM$20,0),IF($NO$20="Bell_Curve",$NM$20*(273-$NQ$20+1)*($NR$20-273+1)/$NT$20,$NM$20/$NS$20)),0)</f>
        <v/>
      </c>
      <c r="JQ20" s="18">
        <f>IF(AND(274&gt;=$NQ$20,274&lt;=$NR$20),IF($NO$20="Single_Point",IF(274=$NQ$20,$NM$20,0),IF($NO$20="Bell_Curve",$NM$20*(274-$NQ$20+1)*($NR$20-274+1)/$NT$20,$NM$20/$NS$20)),0)</f>
        <v/>
      </c>
      <c r="JR20" s="18">
        <f>IF(AND(275&gt;=$NQ$20,275&lt;=$NR$20),IF($NO$20="Single_Point",IF(275=$NQ$20,$NM$20,0),IF($NO$20="Bell_Curve",$NM$20*(275-$NQ$20+1)*($NR$20-275+1)/$NT$20,$NM$20/$NS$20)),0)</f>
        <v/>
      </c>
      <c r="JS20" s="18">
        <f>IF(AND(276&gt;=$NQ$20,276&lt;=$NR$20),IF($NO$20="Single_Point",IF(276=$NQ$20,$NM$20,0),IF($NO$20="Bell_Curve",$NM$20*(276-$NQ$20+1)*($NR$20-276+1)/$NT$20,$NM$20/$NS$20)),0)</f>
        <v/>
      </c>
      <c r="JT20" s="18">
        <f>IF(AND(277&gt;=$NQ$20,277&lt;=$NR$20),IF($NO$20="Single_Point",IF(277=$NQ$20,$NM$20,0),IF($NO$20="Bell_Curve",$NM$20*(277-$NQ$20+1)*($NR$20-277+1)/$NT$20,$NM$20/$NS$20)),0)</f>
        <v/>
      </c>
      <c r="JU20" s="18">
        <f>IF(AND(278&gt;=$NQ$20,278&lt;=$NR$20),IF($NO$20="Single_Point",IF(278=$NQ$20,$NM$20,0),IF($NO$20="Bell_Curve",$NM$20*(278-$NQ$20+1)*($NR$20-278+1)/$NT$20,$NM$20/$NS$20)),0)</f>
        <v/>
      </c>
      <c r="JV20" s="18">
        <f>IF(AND(279&gt;=$NQ$20,279&lt;=$NR$20),IF($NO$20="Single_Point",IF(279=$NQ$20,$NM$20,0),IF($NO$20="Bell_Curve",$NM$20*(279-$NQ$20+1)*($NR$20-279+1)/$NT$20,$NM$20/$NS$20)),0)</f>
        <v/>
      </c>
      <c r="JW20" s="18">
        <f>IF(AND(280&gt;=$NQ$20,280&lt;=$NR$20),IF($NO$20="Single_Point",IF(280=$NQ$20,$NM$20,0),IF($NO$20="Bell_Curve",$NM$20*(280-$NQ$20+1)*($NR$20-280+1)/$NT$20,$NM$20/$NS$20)),0)</f>
        <v/>
      </c>
      <c r="JX20" s="18">
        <f>IF(AND(281&gt;=$NQ$20,281&lt;=$NR$20),IF($NO$20="Single_Point",IF(281=$NQ$20,$NM$20,0),IF($NO$20="Bell_Curve",$NM$20*(281-$NQ$20+1)*($NR$20-281+1)/$NT$20,$NM$20/$NS$20)),0)</f>
        <v/>
      </c>
      <c r="JY20" s="18">
        <f>IF(AND(282&gt;=$NQ$20,282&lt;=$NR$20),IF($NO$20="Single_Point",IF(282=$NQ$20,$NM$20,0),IF($NO$20="Bell_Curve",$NM$20*(282-$NQ$20+1)*($NR$20-282+1)/$NT$20,$NM$20/$NS$20)),0)</f>
        <v/>
      </c>
      <c r="JZ20" s="18">
        <f>IF(AND(283&gt;=$NQ$20,283&lt;=$NR$20),IF($NO$20="Single_Point",IF(283=$NQ$20,$NM$20,0),IF($NO$20="Bell_Curve",$NM$20*(283-$NQ$20+1)*($NR$20-283+1)/$NT$20,$NM$20/$NS$20)),0)</f>
        <v/>
      </c>
      <c r="KA20" s="18">
        <f>IF(AND(284&gt;=$NQ$20,284&lt;=$NR$20),IF($NO$20="Single_Point",IF(284=$NQ$20,$NM$20,0),IF($NO$20="Bell_Curve",$NM$20*(284-$NQ$20+1)*($NR$20-284+1)/$NT$20,$NM$20/$NS$20)),0)</f>
        <v/>
      </c>
      <c r="KB20" s="18">
        <f>IF(AND(285&gt;=$NQ$20,285&lt;=$NR$20),IF($NO$20="Single_Point",IF(285=$NQ$20,$NM$20,0),IF($NO$20="Bell_Curve",$NM$20*(285-$NQ$20+1)*($NR$20-285+1)/$NT$20,$NM$20/$NS$20)),0)</f>
        <v/>
      </c>
      <c r="KC20" s="18">
        <f>IF(AND(286&gt;=$NQ$20,286&lt;=$NR$20),IF($NO$20="Single_Point",IF(286=$NQ$20,$NM$20,0),IF($NO$20="Bell_Curve",$NM$20*(286-$NQ$20+1)*($NR$20-286+1)/$NT$20,$NM$20/$NS$20)),0)</f>
        <v/>
      </c>
      <c r="KD20" s="18">
        <f>IF(AND(287&gt;=$NQ$20,287&lt;=$NR$20),IF($NO$20="Single_Point",IF(287=$NQ$20,$NM$20,0),IF($NO$20="Bell_Curve",$NM$20*(287-$NQ$20+1)*($NR$20-287+1)/$NT$20,$NM$20/$NS$20)),0)</f>
        <v/>
      </c>
      <c r="KE20" s="18">
        <f>IF(AND(288&gt;=$NQ$20,288&lt;=$NR$20),IF($NO$20="Single_Point",IF(288=$NQ$20,$NM$20,0),IF($NO$20="Bell_Curve",$NM$20*(288-$NQ$20+1)*($NR$20-288+1)/$NT$20,$NM$20/$NS$20)),0)</f>
        <v/>
      </c>
      <c r="KF20" s="18">
        <f>IF(AND(289&gt;=$NQ$20,289&lt;=$NR$20),IF($NO$20="Single_Point",IF(289=$NQ$20,$NM$20,0),IF($NO$20="Bell_Curve",$NM$20*(289-$NQ$20+1)*($NR$20-289+1)/$NT$20,$NM$20/$NS$20)),0)</f>
        <v/>
      </c>
      <c r="KG20" s="18">
        <f>IF(AND(290&gt;=$NQ$20,290&lt;=$NR$20),IF($NO$20="Single_Point",IF(290=$NQ$20,$NM$20,0),IF($NO$20="Bell_Curve",$NM$20*(290-$NQ$20+1)*($NR$20-290+1)/$NT$20,$NM$20/$NS$20)),0)</f>
        <v/>
      </c>
      <c r="KH20" s="18">
        <f>IF(AND(291&gt;=$NQ$20,291&lt;=$NR$20),IF($NO$20="Single_Point",IF(291=$NQ$20,$NM$20,0),IF($NO$20="Bell_Curve",$NM$20*(291-$NQ$20+1)*($NR$20-291+1)/$NT$20,$NM$20/$NS$20)),0)</f>
        <v/>
      </c>
      <c r="KI20" s="18">
        <f>IF(AND(292&gt;=$NQ$20,292&lt;=$NR$20),IF($NO$20="Single_Point",IF(292=$NQ$20,$NM$20,0),IF($NO$20="Bell_Curve",$NM$20*(292-$NQ$20+1)*($NR$20-292+1)/$NT$20,$NM$20/$NS$20)),0)</f>
        <v/>
      </c>
      <c r="KJ20" s="18">
        <f>IF(AND(293&gt;=$NQ$20,293&lt;=$NR$20),IF($NO$20="Single_Point",IF(293=$NQ$20,$NM$20,0),IF($NO$20="Bell_Curve",$NM$20*(293-$NQ$20+1)*($NR$20-293+1)/$NT$20,$NM$20/$NS$20)),0)</f>
        <v/>
      </c>
      <c r="KK20" s="18">
        <f>IF(AND(294&gt;=$NQ$20,294&lt;=$NR$20),IF($NO$20="Single_Point",IF(294=$NQ$20,$NM$20,0),IF($NO$20="Bell_Curve",$NM$20*(294-$NQ$20+1)*($NR$20-294+1)/$NT$20,$NM$20/$NS$20)),0)</f>
        <v/>
      </c>
      <c r="KL20" s="18">
        <f>IF(AND(295&gt;=$NQ$20,295&lt;=$NR$20),IF($NO$20="Single_Point",IF(295=$NQ$20,$NM$20,0),IF($NO$20="Bell_Curve",$NM$20*(295-$NQ$20+1)*($NR$20-295+1)/$NT$20,$NM$20/$NS$20)),0)</f>
        <v/>
      </c>
      <c r="KM20" s="18">
        <f>IF(AND(296&gt;=$NQ$20,296&lt;=$NR$20),IF($NO$20="Single_Point",IF(296=$NQ$20,$NM$20,0),IF($NO$20="Bell_Curve",$NM$20*(296-$NQ$20+1)*($NR$20-296+1)/$NT$20,$NM$20/$NS$20)),0)</f>
        <v/>
      </c>
      <c r="KN20" s="18">
        <f>IF(AND(297&gt;=$NQ$20,297&lt;=$NR$20),IF($NO$20="Single_Point",IF(297=$NQ$20,$NM$20,0),IF($NO$20="Bell_Curve",$NM$20*(297-$NQ$20+1)*($NR$20-297+1)/$NT$20,$NM$20/$NS$20)),0)</f>
        <v/>
      </c>
      <c r="KO20" s="18">
        <f>IF(AND(298&gt;=$NQ$20,298&lt;=$NR$20),IF($NO$20="Single_Point",IF(298=$NQ$20,$NM$20,0),IF($NO$20="Bell_Curve",$NM$20*(298-$NQ$20+1)*($NR$20-298+1)/$NT$20,$NM$20/$NS$20)),0)</f>
        <v/>
      </c>
      <c r="KP20" s="18">
        <f>IF(AND(299&gt;=$NQ$20,299&lt;=$NR$20),IF($NO$20="Single_Point",IF(299=$NQ$20,$NM$20,0),IF($NO$20="Bell_Curve",$NM$20*(299-$NQ$20+1)*($NR$20-299+1)/$NT$20,$NM$20/$NS$20)),0)</f>
        <v/>
      </c>
      <c r="KQ20" s="18">
        <f>IF(AND(300&gt;=$NQ$20,300&lt;=$NR$20),IF($NO$20="Single_Point",IF(300=$NQ$20,$NM$20,0),IF($NO$20="Bell_Curve",$NM$20*(300-$NQ$20+1)*($NR$20-300+1)/$NT$20,$NM$20/$NS$20)),0)</f>
        <v/>
      </c>
      <c r="KR20" s="18">
        <f>IF(AND(301&gt;=$NQ$20,301&lt;=$NR$20),IF($NO$20="Single_Point",IF(301=$NQ$20,$NM$20,0),IF($NO$20="Bell_Curve",$NM$20*(301-$NQ$20+1)*($NR$20-301+1)/$NT$20,$NM$20/$NS$20)),0)</f>
        <v/>
      </c>
      <c r="KS20" s="18">
        <f>IF(AND(302&gt;=$NQ$20,302&lt;=$NR$20),IF($NO$20="Single_Point",IF(302=$NQ$20,$NM$20,0),IF($NO$20="Bell_Curve",$NM$20*(302-$NQ$20+1)*($NR$20-302+1)/$NT$20,$NM$20/$NS$20)),0)</f>
        <v/>
      </c>
      <c r="KT20" s="18">
        <f>IF(AND(303&gt;=$NQ$20,303&lt;=$NR$20),IF($NO$20="Single_Point",IF(303=$NQ$20,$NM$20,0),IF($NO$20="Bell_Curve",$NM$20*(303-$NQ$20+1)*($NR$20-303+1)/$NT$20,$NM$20/$NS$20)),0)</f>
        <v/>
      </c>
      <c r="KU20" s="18">
        <f>IF(AND(304&gt;=$NQ$20,304&lt;=$NR$20),IF($NO$20="Single_Point",IF(304=$NQ$20,$NM$20,0),IF($NO$20="Bell_Curve",$NM$20*(304-$NQ$20+1)*($NR$20-304+1)/$NT$20,$NM$20/$NS$20)),0)</f>
        <v/>
      </c>
      <c r="KV20" s="18">
        <f>IF(AND(305&gt;=$NQ$20,305&lt;=$NR$20),IF($NO$20="Single_Point",IF(305=$NQ$20,$NM$20,0),IF($NO$20="Bell_Curve",$NM$20*(305-$NQ$20+1)*($NR$20-305+1)/$NT$20,$NM$20/$NS$20)),0)</f>
        <v/>
      </c>
      <c r="KW20" s="18">
        <f>IF(AND(306&gt;=$NQ$20,306&lt;=$NR$20),IF($NO$20="Single_Point",IF(306=$NQ$20,$NM$20,0),IF($NO$20="Bell_Curve",$NM$20*(306-$NQ$20+1)*($NR$20-306+1)/$NT$20,$NM$20/$NS$20)),0)</f>
        <v/>
      </c>
      <c r="KX20" s="18">
        <f>IF(AND(307&gt;=$NQ$20,307&lt;=$NR$20),IF($NO$20="Single_Point",IF(307=$NQ$20,$NM$20,0),IF($NO$20="Bell_Curve",$NM$20*(307-$NQ$20+1)*($NR$20-307+1)/$NT$20,$NM$20/$NS$20)),0)</f>
        <v/>
      </c>
      <c r="KY20" s="18">
        <f>IF(AND(308&gt;=$NQ$20,308&lt;=$NR$20),IF($NO$20="Single_Point",IF(308=$NQ$20,$NM$20,0),IF($NO$20="Bell_Curve",$NM$20*(308-$NQ$20+1)*($NR$20-308+1)/$NT$20,$NM$20/$NS$20)),0)</f>
        <v/>
      </c>
      <c r="KZ20" s="18">
        <f>IF(AND(309&gt;=$NQ$20,309&lt;=$NR$20),IF($NO$20="Single_Point",IF(309=$NQ$20,$NM$20,0),IF($NO$20="Bell_Curve",$NM$20*(309-$NQ$20+1)*($NR$20-309+1)/$NT$20,$NM$20/$NS$20)),0)</f>
        <v/>
      </c>
      <c r="LA20" s="18">
        <f>IF(AND(310&gt;=$NQ$20,310&lt;=$NR$20),IF($NO$20="Single_Point",IF(310=$NQ$20,$NM$20,0),IF($NO$20="Bell_Curve",$NM$20*(310-$NQ$20+1)*($NR$20-310+1)/$NT$20,$NM$20/$NS$20)),0)</f>
        <v/>
      </c>
      <c r="LB20" s="18">
        <f>IF(AND(311&gt;=$NQ$20,311&lt;=$NR$20),IF($NO$20="Single_Point",IF(311=$NQ$20,$NM$20,0),IF($NO$20="Bell_Curve",$NM$20*(311-$NQ$20+1)*($NR$20-311+1)/$NT$20,$NM$20/$NS$20)),0)</f>
        <v/>
      </c>
      <c r="LC20" s="18">
        <f>IF(AND(312&gt;=$NQ$20,312&lt;=$NR$20),IF($NO$20="Single_Point",IF(312=$NQ$20,$NM$20,0),IF($NO$20="Bell_Curve",$NM$20*(312-$NQ$20+1)*($NR$20-312+1)/$NT$20,$NM$20/$NS$20)),0)</f>
        <v/>
      </c>
      <c r="LD20" s="18">
        <f>IF(AND(313&gt;=$NQ$20,313&lt;=$NR$20),IF($NO$20="Single_Point",IF(313=$NQ$20,$NM$20,0),IF($NO$20="Bell_Curve",$NM$20*(313-$NQ$20+1)*($NR$20-313+1)/$NT$20,$NM$20/$NS$20)),0)</f>
        <v/>
      </c>
      <c r="LE20" s="18">
        <f>IF(AND(314&gt;=$NQ$20,314&lt;=$NR$20),IF($NO$20="Single_Point",IF(314=$NQ$20,$NM$20,0),IF($NO$20="Bell_Curve",$NM$20*(314-$NQ$20+1)*($NR$20-314+1)/$NT$20,$NM$20/$NS$20)),0)</f>
        <v/>
      </c>
      <c r="LF20" s="18">
        <f>IF(AND(315&gt;=$NQ$20,315&lt;=$NR$20),IF($NO$20="Single_Point",IF(315=$NQ$20,$NM$20,0),IF($NO$20="Bell_Curve",$NM$20*(315-$NQ$20+1)*($NR$20-315+1)/$NT$20,$NM$20/$NS$20)),0)</f>
        <v/>
      </c>
      <c r="LG20" s="18">
        <f>IF(AND(316&gt;=$NQ$20,316&lt;=$NR$20),IF($NO$20="Single_Point",IF(316=$NQ$20,$NM$20,0),IF($NO$20="Bell_Curve",$NM$20*(316-$NQ$20+1)*($NR$20-316+1)/$NT$20,$NM$20/$NS$20)),0)</f>
        <v/>
      </c>
      <c r="LH20" s="18">
        <f>IF(AND(317&gt;=$NQ$20,317&lt;=$NR$20),IF($NO$20="Single_Point",IF(317=$NQ$20,$NM$20,0),IF($NO$20="Bell_Curve",$NM$20*(317-$NQ$20+1)*($NR$20-317+1)/$NT$20,$NM$20/$NS$20)),0)</f>
        <v/>
      </c>
      <c r="LI20" s="18">
        <f>IF(AND(318&gt;=$NQ$20,318&lt;=$NR$20),IF($NO$20="Single_Point",IF(318=$NQ$20,$NM$20,0),IF($NO$20="Bell_Curve",$NM$20*(318-$NQ$20+1)*($NR$20-318+1)/$NT$20,$NM$20/$NS$20)),0)</f>
        <v/>
      </c>
      <c r="LJ20" s="18">
        <f>IF(AND(319&gt;=$NQ$20,319&lt;=$NR$20),IF($NO$20="Single_Point",IF(319=$NQ$20,$NM$20,0),IF($NO$20="Bell_Curve",$NM$20*(319-$NQ$20+1)*($NR$20-319+1)/$NT$20,$NM$20/$NS$20)),0)</f>
        <v/>
      </c>
      <c r="LK20" s="18">
        <f>IF(AND(320&gt;=$NQ$20,320&lt;=$NR$20),IF($NO$20="Single_Point",IF(320=$NQ$20,$NM$20,0),IF($NO$20="Bell_Curve",$NM$20*(320-$NQ$20+1)*($NR$20-320+1)/$NT$20,$NM$20/$NS$20)),0)</f>
        <v/>
      </c>
      <c r="LL20" s="18">
        <f>IF(AND(321&gt;=$NQ$20,321&lt;=$NR$20),IF($NO$20="Single_Point",IF(321=$NQ$20,$NM$20,0),IF($NO$20="Bell_Curve",$NM$20*(321-$NQ$20+1)*($NR$20-321+1)/$NT$20,$NM$20/$NS$20)),0)</f>
        <v/>
      </c>
      <c r="LM20" s="18">
        <f>IF(AND(322&gt;=$NQ$20,322&lt;=$NR$20),IF($NO$20="Single_Point",IF(322=$NQ$20,$NM$20,0),IF($NO$20="Bell_Curve",$NM$20*(322-$NQ$20+1)*($NR$20-322+1)/$NT$20,$NM$20/$NS$20)),0)</f>
        <v/>
      </c>
      <c r="LN20" s="18">
        <f>IF(AND(323&gt;=$NQ$20,323&lt;=$NR$20),IF($NO$20="Single_Point",IF(323=$NQ$20,$NM$20,0),IF($NO$20="Bell_Curve",$NM$20*(323-$NQ$20+1)*($NR$20-323+1)/$NT$20,$NM$20/$NS$20)),0)</f>
        <v/>
      </c>
      <c r="LO20" s="18">
        <f>IF(AND(324&gt;=$NQ$20,324&lt;=$NR$20),IF($NO$20="Single_Point",IF(324=$NQ$20,$NM$20,0),IF($NO$20="Bell_Curve",$NM$20*(324-$NQ$20+1)*($NR$20-324+1)/$NT$20,$NM$20/$NS$20)),0)</f>
        <v/>
      </c>
      <c r="LP20" s="18">
        <f>IF(AND(325&gt;=$NQ$20,325&lt;=$NR$20),IF($NO$20="Single_Point",IF(325=$NQ$20,$NM$20,0),IF($NO$20="Bell_Curve",$NM$20*(325-$NQ$20+1)*($NR$20-325+1)/$NT$20,$NM$20/$NS$20)),0)</f>
        <v/>
      </c>
      <c r="LQ20" s="18">
        <f>IF(AND(326&gt;=$NQ$20,326&lt;=$NR$20),IF($NO$20="Single_Point",IF(326=$NQ$20,$NM$20,0),IF($NO$20="Bell_Curve",$NM$20*(326-$NQ$20+1)*($NR$20-326+1)/$NT$20,$NM$20/$NS$20)),0)</f>
        <v/>
      </c>
      <c r="LR20" s="18">
        <f>IF(AND(327&gt;=$NQ$20,327&lt;=$NR$20),IF($NO$20="Single_Point",IF(327=$NQ$20,$NM$20,0),IF($NO$20="Bell_Curve",$NM$20*(327-$NQ$20+1)*($NR$20-327+1)/$NT$20,$NM$20/$NS$20)),0)</f>
        <v/>
      </c>
      <c r="LS20" s="18">
        <f>IF(AND(328&gt;=$NQ$20,328&lt;=$NR$20),IF($NO$20="Single_Point",IF(328=$NQ$20,$NM$20,0),IF($NO$20="Bell_Curve",$NM$20*(328-$NQ$20+1)*($NR$20-328+1)/$NT$20,$NM$20/$NS$20)),0)</f>
        <v/>
      </c>
      <c r="LT20" s="18">
        <f>IF(AND(329&gt;=$NQ$20,329&lt;=$NR$20),IF($NO$20="Single_Point",IF(329=$NQ$20,$NM$20,0),IF($NO$20="Bell_Curve",$NM$20*(329-$NQ$20+1)*($NR$20-329+1)/$NT$20,$NM$20/$NS$20)),0)</f>
        <v/>
      </c>
      <c r="LU20" s="18">
        <f>IF(AND(330&gt;=$NQ$20,330&lt;=$NR$20),IF($NO$20="Single_Point",IF(330=$NQ$20,$NM$20,0),IF($NO$20="Bell_Curve",$NM$20*(330-$NQ$20+1)*($NR$20-330+1)/$NT$20,$NM$20/$NS$20)),0)</f>
        <v/>
      </c>
      <c r="LV20" s="18">
        <f>IF(AND(331&gt;=$NQ$20,331&lt;=$NR$20),IF($NO$20="Single_Point",IF(331=$NQ$20,$NM$20,0),IF($NO$20="Bell_Curve",$NM$20*(331-$NQ$20+1)*($NR$20-331+1)/$NT$20,$NM$20/$NS$20)),0)</f>
        <v/>
      </c>
      <c r="LW20" s="18">
        <f>IF(AND(332&gt;=$NQ$20,332&lt;=$NR$20),IF($NO$20="Single_Point",IF(332=$NQ$20,$NM$20,0),IF($NO$20="Bell_Curve",$NM$20*(332-$NQ$20+1)*($NR$20-332+1)/$NT$20,$NM$20/$NS$20)),0)</f>
        <v/>
      </c>
      <c r="LX20" s="18">
        <f>IF(AND(333&gt;=$NQ$20,333&lt;=$NR$20),IF($NO$20="Single_Point",IF(333=$NQ$20,$NM$20,0),IF($NO$20="Bell_Curve",$NM$20*(333-$NQ$20+1)*($NR$20-333+1)/$NT$20,$NM$20/$NS$20)),0)</f>
        <v/>
      </c>
      <c r="LY20" s="18">
        <f>IF(AND(334&gt;=$NQ$20,334&lt;=$NR$20),IF($NO$20="Single_Point",IF(334=$NQ$20,$NM$20,0),IF($NO$20="Bell_Curve",$NM$20*(334-$NQ$20+1)*($NR$20-334+1)/$NT$20,$NM$20/$NS$20)),0)</f>
        <v/>
      </c>
      <c r="LZ20" s="18">
        <f>IF(AND(335&gt;=$NQ$20,335&lt;=$NR$20),IF($NO$20="Single_Point",IF(335=$NQ$20,$NM$20,0),IF($NO$20="Bell_Curve",$NM$20*(335-$NQ$20+1)*($NR$20-335+1)/$NT$20,$NM$20/$NS$20)),0)</f>
        <v/>
      </c>
      <c r="MA20" s="18">
        <f>IF(AND(336&gt;=$NQ$20,336&lt;=$NR$20),IF($NO$20="Single_Point",IF(336=$NQ$20,$NM$20,0),IF($NO$20="Bell_Curve",$NM$20*(336-$NQ$20+1)*($NR$20-336+1)/$NT$20,$NM$20/$NS$20)),0)</f>
        <v/>
      </c>
      <c r="MB20" s="18">
        <f>IF(AND(337&gt;=$NQ$20,337&lt;=$NR$20),IF($NO$20="Single_Point",IF(337=$NQ$20,$NM$20,0),IF($NO$20="Bell_Curve",$NM$20*(337-$NQ$20+1)*($NR$20-337+1)/$NT$20,$NM$20/$NS$20)),0)</f>
        <v/>
      </c>
      <c r="MC20" s="18">
        <f>IF(AND(338&gt;=$NQ$20,338&lt;=$NR$20),IF($NO$20="Single_Point",IF(338=$NQ$20,$NM$20,0),IF($NO$20="Bell_Curve",$NM$20*(338-$NQ$20+1)*($NR$20-338+1)/$NT$20,$NM$20/$NS$20)),0)</f>
        <v/>
      </c>
      <c r="MD20" s="18">
        <f>IF(AND(339&gt;=$NQ$20,339&lt;=$NR$20),IF($NO$20="Single_Point",IF(339=$NQ$20,$NM$20,0),IF($NO$20="Bell_Curve",$NM$20*(339-$NQ$20+1)*($NR$20-339+1)/$NT$20,$NM$20/$NS$20)),0)</f>
        <v/>
      </c>
      <c r="ME20" s="18">
        <f>IF(AND(340&gt;=$NQ$20,340&lt;=$NR$20),IF($NO$20="Single_Point",IF(340=$NQ$20,$NM$20,0),IF($NO$20="Bell_Curve",$NM$20*(340-$NQ$20+1)*($NR$20-340+1)/$NT$20,$NM$20/$NS$20)),0)</f>
        <v/>
      </c>
      <c r="MF20" s="18">
        <f>IF(AND(341&gt;=$NQ$20,341&lt;=$NR$20),IF($NO$20="Single_Point",IF(341=$NQ$20,$NM$20,0),IF($NO$20="Bell_Curve",$NM$20*(341-$NQ$20+1)*($NR$20-341+1)/$NT$20,$NM$20/$NS$20)),0)</f>
        <v/>
      </c>
      <c r="MG20" s="18">
        <f>IF(AND(342&gt;=$NQ$20,342&lt;=$NR$20),IF($NO$20="Single_Point",IF(342=$NQ$20,$NM$20,0),IF($NO$20="Bell_Curve",$NM$20*(342-$NQ$20+1)*($NR$20-342+1)/$NT$20,$NM$20/$NS$20)),0)</f>
        <v/>
      </c>
      <c r="MH20" s="18">
        <f>IF(AND(343&gt;=$NQ$20,343&lt;=$NR$20),IF($NO$20="Single_Point",IF(343=$NQ$20,$NM$20,0),IF($NO$20="Bell_Curve",$NM$20*(343-$NQ$20+1)*($NR$20-343+1)/$NT$20,$NM$20/$NS$20)),0)</f>
        <v/>
      </c>
      <c r="MI20" s="18">
        <f>IF(AND(344&gt;=$NQ$20,344&lt;=$NR$20),IF($NO$20="Single_Point",IF(344=$NQ$20,$NM$20,0),IF($NO$20="Bell_Curve",$NM$20*(344-$NQ$20+1)*($NR$20-344+1)/$NT$20,$NM$20/$NS$20)),0)</f>
        <v/>
      </c>
      <c r="MJ20" s="18">
        <f>IF(AND(345&gt;=$NQ$20,345&lt;=$NR$20),IF($NO$20="Single_Point",IF(345=$NQ$20,$NM$20,0),IF($NO$20="Bell_Curve",$NM$20*(345-$NQ$20+1)*($NR$20-345+1)/$NT$20,$NM$20/$NS$20)),0)</f>
        <v/>
      </c>
      <c r="MK20" s="18">
        <f>IF(AND(346&gt;=$NQ$20,346&lt;=$NR$20),IF($NO$20="Single_Point",IF(346=$NQ$20,$NM$20,0),IF($NO$20="Bell_Curve",$NM$20*(346-$NQ$20+1)*($NR$20-346+1)/$NT$20,$NM$20/$NS$20)),0)</f>
        <v/>
      </c>
      <c r="ML20" s="18">
        <f>IF(AND(347&gt;=$NQ$20,347&lt;=$NR$20),IF($NO$20="Single_Point",IF(347=$NQ$20,$NM$20,0),IF($NO$20="Bell_Curve",$NM$20*(347-$NQ$20+1)*($NR$20-347+1)/$NT$20,$NM$20/$NS$20)),0)</f>
        <v/>
      </c>
      <c r="MM20" s="18">
        <f>IF(AND(348&gt;=$NQ$20,348&lt;=$NR$20),IF($NO$20="Single_Point",IF(348=$NQ$20,$NM$20,0),IF($NO$20="Bell_Curve",$NM$20*(348-$NQ$20+1)*($NR$20-348+1)/$NT$20,$NM$20/$NS$20)),0)</f>
        <v/>
      </c>
      <c r="MN20" s="18">
        <f>IF(AND(349&gt;=$NQ$20,349&lt;=$NR$20),IF($NO$20="Single_Point",IF(349=$NQ$20,$NM$20,0),IF($NO$20="Bell_Curve",$NM$20*(349-$NQ$20+1)*($NR$20-349+1)/$NT$20,$NM$20/$NS$20)),0)</f>
        <v/>
      </c>
      <c r="MO20" s="18">
        <f>IF(AND(350&gt;=$NQ$20,350&lt;=$NR$20),IF($NO$20="Single_Point",IF(350=$NQ$20,$NM$20,0),IF($NO$20="Bell_Curve",$NM$20*(350-$NQ$20+1)*($NR$20-350+1)/$NT$20,$NM$20/$NS$20)),0)</f>
        <v/>
      </c>
      <c r="MP20" s="18">
        <f>IF(AND(351&gt;=$NQ$20,351&lt;=$NR$20),IF($NO$20="Single_Point",IF(351=$NQ$20,$NM$20,0),IF($NO$20="Bell_Curve",$NM$20*(351-$NQ$20+1)*($NR$20-351+1)/$NT$20,$NM$20/$NS$20)),0)</f>
        <v/>
      </c>
      <c r="MQ20" s="18">
        <f>IF(AND(352&gt;=$NQ$20,352&lt;=$NR$20),IF($NO$20="Single_Point",IF(352=$NQ$20,$NM$20,0),IF($NO$20="Bell_Curve",$NM$20*(352-$NQ$20+1)*($NR$20-352+1)/$NT$20,$NM$20/$NS$20)),0)</f>
        <v/>
      </c>
      <c r="MR20" s="18">
        <f>IF(AND(353&gt;=$NQ$20,353&lt;=$NR$20),IF($NO$20="Single_Point",IF(353=$NQ$20,$NM$20,0),IF($NO$20="Bell_Curve",$NM$20*(353-$NQ$20+1)*($NR$20-353+1)/$NT$20,$NM$20/$NS$20)),0)</f>
        <v/>
      </c>
      <c r="MS20" s="18">
        <f>IF(AND(354&gt;=$NQ$20,354&lt;=$NR$20),IF($NO$20="Single_Point",IF(354=$NQ$20,$NM$20,0),IF($NO$20="Bell_Curve",$NM$20*(354-$NQ$20+1)*($NR$20-354+1)/$NT$20,$NM$20/$NS$20)),0)</f>
        <v/>
      </c>
      <c r="MT20" s="18">
        <f>IF(AND(355&gt;=$NQ$20,355&lt;=$NR$20),IF($NO$20="Single_Point",IF(355=$NQ$20,$NM$20,0),IF($NO$20="Bell_Curve",$NM$20*(355-$NQ$20+1)*($NR$20-355+1)/$NT$20,$NM$20/$NS$20)),0)</f>
        <v/>
      </c>
      <c r="MU20" s="18">
        <f>IF(AND(356&gt;=$NQ$20,356&lt;=$NR$20),IF($NO$20="Single_Point",IF(356=$NQ$20,$NM$20,0),IF($NO$20="Bell_Curve",$NM$20*(356-$NQ$20+1)*($NR$20-356+1)/$NT$20,$NM$20/$NS$20)),0)</f>
        <v/>
      </c>
      <c r="MV20" s="18">
        <f>IF(AND(357&gt;=$NQ$20,357&lt;=$NR$20),IF($NO$20="Single_Point",IF(357=$NQ$20,$NM$20,0),IF($NO$20="Bell_Curve",$NM$20*(357-$NQ$20+1)*($NR$20-357+1)/$NT$20,$NM$20/$NS$20)),0)</f>
        <v/>
      </c>
      <c r="MW20" s="18">
        <f>IF(AND(358&gt;=$NQ$20,358&lt;=$NR$20),IF($NO$20="Single_Point",IF(358=$NQ$20,$NM$20,0),IF($NO$20="Bell_Curve",$NM$20*(358-$NQ$20+1)*($NR$20-358+1)/$NT$20,$NM$20/$NS$20)),0)</f>
        <v/>
      </c>
      <c r="MX20" s="18">
        <f>IF(AND(359&gt;=$NQ$20,359&lt;=$NR$20),IF($NO$20="Single_Point",IF(359=$NQ$20,$NM$20,0),IF($NO$20="Bell_Curve",$NM$20*(359-$NQ$20+1)*($NR$20-359+1)/$NT$20,$NM$20/$NS$20)),0)</f>
        <v/>
      </c>
      <c r="MY20" s="18">
        <f>IF(AND(360&gt;=$NQ$20,360&lt;=$NR$20),IF($NO$20="Single_Point",IF(360=$NQ$20,$NM$20,0),IF($NO$20="Bell_Curve",$NM$20*(360-$NQ$20+1)*($NR$20-360+1)/$NT$20,$NM$20/$NS$20)),0)</f>
        <v/>
      </c>
      <c r="MZ20" s="18">
        <f>IF(AND(361&gt;=$NQ$20,361&lt;=$NR$20),IF($NO$20="Single_Point",IF(361=$NQ$20,$NM$20,0),IF($NO$20="Bell_Curve",$NM$20*(361-$NQ$20+1)*($NR$20-361+1)/$NT$20,$NM$20/$NS$20)),0)</f>
        <v/>
      </c>
      <c r="NA20" s="18">
        <f>IF(AND(362&gt;=$NQ$20,362&lt;=$NR$20),IF($NO$20="Single_Point",IF(362=$NQ$20,$NM$20,0),IF($NO$20="Bell_Curve",$NM$20*(362-$NQ$20+1)*($NR$20-362+1)/$NT$20,$NM$20/$NS$20)),0)</f>
        <v/>
      </c>
      <c r="NB20" s="18">
        <f>IF(AND(363&gt;=$NQ$20,363&lt;=$NR$20),IF($NO$20="Single_Point",IF(363=$NQ$20,$NM$20,0),IF($NO$20="Bell_Curve",$NM$20*(363-$NQ$20+1)*($NR$20-363+1)/$NT$20,$NM$20/$NS$20)),0)</f>
        <v/>
      </c>
      <c r="NC20" s="18">
        <f>IF(AND(364&gt;=$NQ$20,364&lt;=$NR$20),IF($NO$20="Single_Point",IF(364=$NQ$20,$NM$20,0),IF($NO$20="Bell_Curve",$NM$20*(364-$NQ$20+1)*($NR$20-364+1)/$NT$20,$NM$20/$NS$20)),0)</f>
        <v/>
      </c>
      <c r="ND20" s="18">
        <f>IF(AND(365&gt;=$NQ$20,365&lt;=$NR$20),IF($NO$20="Single_Point",IF(365=$NQ$20,$NM$20,0),IF($NO$20="Bell_Curve",$NM$20*(365-$NQ$20+1)*($NR$20-365+1)/$NT$20,$NM$20/$NS$20)),0)</f>
        <v/>
      </c>
      <c r="NE20" s="18">
        <f>IF(AND(366&gt;=$NQ$20,366&lt;=$NR$20),IF($NO$20="Single_Point",IF(366=$NQ$20,$NM$20,0),IF($NO$20="Bell_Curve",$NM$20*(366-$NQ$20+1)*($NR$20-366+1)/$NT$20,$NM$20/$NS$20)),0)</f>
        <v/>
      </c>
      <c r="NF20" s="18">
        <f>IF(AND(367&gt;=$NQ$20,367&lt;=$NR$20),IF($NO$20="Single_Point",IF(367=$NQ$20,$NM$20,0),IF($NO$20="Bell_Curve",$NM$20*(367-$NQ$20+1)*($NR$20-367+1)/$NT$20,$NM$20/$NS$20)),0)</f>
        <v/>
      </c>
      <c r="NG20" s="18">
        <f>IF(AND(368&gt;=$NQ$20,368&lt;=$NR$20),IF($NO$20="Single_Point",IF(368=$NQ$20,$NM$20,0),IF($NO$20="Bell_Curve",$NM$20*(368-$NQ$20+1)*($NR$20-368+1)/$NT$20,$NM$20/$NS$20)),0)</f>
        <v/>
      </c>
      <c r="NH20" s="18">
        <f>IF(AND(369&gt;=$NQ$20,369&lt;=$NR$20),IF($NO$20="Single_Point",IF(369=$NQ$20,$NM$20,0),IF($NO$20="Bell_Curve",$NM$20*(369-$NQ$20+1)*($NR$20-369+1)/$NT$20,$NM$20/$NS$20)),0)</f>
        <v/>
      </c>
      <c r="NI20" s="18">
        <f>IF(AND(370&gt;=$NQ$20,370&lt;=$NR$20),IF($NO$20="Single_Point",IF(370=$NQ$20,$NM$20,0),IF($NO$20="Bell_Curve",$NM$20*(370-$NQ$20+1)*($NR$20-370+1)/$NT$20,$NM$20/$NS$20)),0)</f>
        <v/>
      </c>
      <c r="NJ20" s="18">
        <f>IF(AND(371&gt;=$NQ$20,371&lt;=$NR$20),IF($NO$20="Single_Point",IF(371=$NQ$20,$NM$20,0),IF($NO$20="Bell_Curve",$NM$20*(371-$NQ$20+1)*($NR$20-371+1)/$NT$20,$NM$20/$NS$20)),0)</f>
        <v/>
      </c>
      <c r="NK20" s="18">
        <f>IF(AND(372&gt;=$NQ$20,372&lt;=$NR$20),IF($NO$20="Single_Point",IF(372=$NQ$20,$NM$20,0),IF($NO$20="Bell_Curve",$NM$20*(372-$NQ$20+1)*($NR$20-372+1)/$NT$20,$NM$20/$NS$20)),0)</f>
        <v/>
      </c>
      <c r="NM20" s="18">
        <f>Budget!I19</f>
        <v/>
      </c>
      <c r="NN20" s="42">
        <f>Budget!F19</f>
        <v/>
      </c>
      <c r="NO20" s="42">
        <f>Budget!G19</f>
        <v/>
      </c>
      <c r="NP20" s="17">
        <f>Budget!H19</f>
        <v/>
      </c>
      <c r="NQ20" s="32">
        <f>MAX(1,MIN(372,INDEX(MilestoneStart,MATCH(NN20,MilestoneNames,0))+NP20))</f>
        <v/>
      </c>
      <c r="NR20" s="32">
        <f>MAX(NQ20,MIN(372,INDEX(MilestoneEnd,MATCH(NN20,MilestoneNames,0))+NP20))</f>
        <v/>
      </c>
      <c r="NS20" s="17">
        <f>NR20-NQ20+1</f>
        <v/>
      </c>
      <c r="NT20" s="17">
        <f>NS20*(NS20+1)*(NS20+2)/6</f>
        <v/>
      </c>
    </row>
    <row r="21">
      <c r="A21" s="5" t="inlineStr">
        <is>
          <t>Other Soft Cost 1 - FF&amp;E</t>
        </is>
      </c>
      <c r="C21" s="41">
        <f>SUM(D21:NK21)</f>
        <v/>
      </c>
      <c r="D21" s="18">
        <f>IF(AND(1&gt;=$NQ$21,1&lt;=$NR$21),IF($NO$21="Single_Point",IF(1=$NQ$21,$NM$21,0),IF($NO$21="Bell_Curve",$NM$21*(1-$NQ$21+1)*($NR$21-1+1)/$NT$21,$NM$21/$NS$21)),0)</f>
        <v/>
      </c>
      <c r="E21" s="18">
        <f>IF(AND(2&gt;=$NQ$21,2&lt;=$NR$21),IF($NO$21="Single_Point",IF(2=$NQ$21,$NM$21,0),IF($NO$21="Bell_Curve",$NM$21*(2-$NQ$21+1)*($NR$21-2+1)/$NT$21,$NM$21/$NS$21)),0)</f>
        <v/>
      </c>
      <c r="F21" s="18">
        <f>IF(AND(3&gt;=$NQ$21,3&lt;=$NR$21),IF($NO$21="Single_Point",IF(3=$NQ$21,$NM$21,0),IF($NO$21="Bell_Curve",$NM$21*(3-$NQ$21+1)*($NR$21-3+1)/$NT$21,$NM$21/$NS$21)),0)</f>
        <v/>
      </c>
      <c r="G21" s="18">
        <f>IF(AND(4&gt;=$NQ$21,4&lt;=$NR$21),IF($NO$21="Single_Point",IF(4=$NQ$21,$NM$21,0),IF($NO$21="Bell_Curve",$NM$21*(4-$NQ$21+1)*($NR$21-4+1)/$NT$21,$NM$21/$NS$21)),0)</f>
        <v/>
      </c>
      <c r="H21" s="18">
        <f>IF(AND(5&gt;=$NQ$21,5&lt;=$NR$21),IF($NO$21="Single_Point",IF(5=$NQ$21,$NM$21,0),IF($NO$21="Bell_Curve",$NM$21*(5-$NQ$21+1)*($NR$21-5+1)/$NT$21,$NM$21/$NS$21)),0)</f>
        <v/>
      </c>
      <c r="I21" s="18">
        <f>IF(AND(6&gt;=$NQ$21,6&lt;=$NR$21),IF($NO$21="Single_Point",IF(6=$NQ$21,$NM$21,0),IF($NO$21="Bell_Curve",$NM$21*(6-$NQ$21+1)*($NR$21-6+1)/$NT$21,$NM$21/$NS$21)),0)</f>
        <v/>
      </c>
      <c r="J21" s="18">
        <f>IF(AND(7&gt;=$NQ$21,7&lt;=$NR$21),IF($NO$21="Single_Point",IF(7=$NQ$21,$NM$21,0),IF($NO$21="Bell_Curve",$NM$21*(7-$NQ$21+1)*($NR$21-7+1)/$NT$21,$NM$21/$NS$21)),0)</f>
        <v/>
      </c>
      <c r="K21" s="18">
        <f>IF(AND(8&gt;=$NQ$21,8&lt;=$NR$21),IF($NO$21="Single_Point",IF(8=$NQ$21,$NM$21,0),IF($NO$21="Bell_Curve",$NM$21*(8-$NQ$21+1)*($NR$21-8+1)/$NT$21,$NM$21/$NS$21)),0)</f>
        <v/>
      </c>
      <c r="L21" s="18">
        <f>IF(AND(9&gt;=$NQ$21,9&lt;=$NR$21),IF($NO$21="Single_Point",IF(9=$NQ$21,$NM$21,0),IF($NO$21="Bell_Curve",$NM$21*(9-$NQ$21+1)*($NR$21-9+1)/$NT$21,$NM$21/$NS$21)),0)</f>
        <v/>
      </c>
      <c r="M21" s="18">
        <f>IF(AND(10&gt;=$NQ$21,10&lt;=$NR$21),IF($NO$21="Single_Point",IF(10=$NQ$21,$NM$21,0),IF($NO$21="Bell_Curve",$NM$21*(10-$NQ$21+1)*($NR$21-10+1)/$NT$21,$NM$21/$NS$21)),0)</f>
        <v/>
      </c>
      <c r="N21" s="18">
        <f>IF(AND(11&gt;=$NQ$21,11&lt;=$NR$21),IF($NO$21="Single_Point",IF(11=$NQ$21,$NM$21,0),IF($NO$21="Bell_Curve",$NM$21*(11-$NQ$21+1)*($NR$21-11+1)/$NT$21,$NM$21/$NS$21)),0)</f>
        <v/>
      </c>
      <c r="O21" s="18">
        <f>IF(AND(12&gt;=$NQ$21,12&lt;=$NR$21),IF($NO$21="Single_Point",IF(12=$NQ$21,$NM$21,0),IF($NO$21="Bell_Curve",$NM$21*(12-$NQ$21+1)*($NR$21-12+1)/$NT$21,$NM$21/$NS$21)),0)</f>
        <v/>
      </c>
      <c r="P21" s="18">
        <f>IF(AND(13&gt;=$NQ$21,13&lt;=$NR$21),IF($NO$21="Single_Point",IF(13=$NQ$21,$NM$21,0),IF($NO$21="Bell_Curve",$NM$21*(13-$NQ$21+1)*($NR$21-13+1)/$NT$21,$NM$21/$NS$21)),0)</f>
        <v/>
      </c>
      <c r="Q21" s="18">
        <f>IF(AND(14&gt;=$NQ$21,14&lt;=$NR$21),IF($NO$21="Single_Point",IF(14=$NQ$21,$NM$21,0),IF($NO$21="Bell_Curve",$NM$21*(14-$NQ$21+1)*($NR$21-14+1)/$NT$21,$NM$21/$NS$21)),0)</f>
        <v/>
      </c>
      <c r="R21" s="18">
        <f>IF(AND(15&gt;=$NQ$21,15&lt;=$NR$21),IF($NO$21="Single_Point",IF(15=$NQ$21,$NM$21,0),IF($NO$21="Bell_Curve",$NM$21*(15-$NQ$21+1)*($NR$21-15+1)/$NT$21,$NM$21/$NS$21)),0)</f>
        <v/>
      </c>
      <c r="S21" s="18">
        <f>IF(AND(16&gt;=$NQ$21,16&lt;=$NR$21),IF($NO$21="Single_Point",IF(16=$NQ$21,$NM$21,0),IF($NO$21="Bell_Curve",$NM$21*(16-$NQ$21+1)*($NR$21-16+1)/$NT$21,$NM$21/$NS$21)),0)</f>
        <v/>
      </c>
      <c r="T21" s="18">
        <f>IF(AND(17&gt;=$NQ$21,17&lt;=$NR$21),IF($NO$21="Single_Point",IF(17=$NQ$21,$NM$21,0),IF($NO$21="Bell_Curve",$NM$21*(17-$NQ$21+1)*($NR$21-17+1)/$NT$21,$NM$21/$NS$21)),0)</f>
        <v/>
      </c>
      <c r="U21" s="18">
        <f>IF(AND(18&gt;=$NQ$21,18&lt;=$NR$21),IF($NO$21="Single_Point",IF(18=$NQ$21,$NM$21,0),IF($NO$21="Bell_Curve",$NM$21*(18-$NQ$21+1)*($NR$21-18+1)/$NT$21,$NM$21/$NS$21)),0)</f>
        <v/>
      </c>
      <c r="V21" s="18">
        <f>IF(AND(19&gt;=$NQ$21,19&lt;=$NR$21),IF($NO$21="Single_Point",IF(19=$NQ$21,$NM$21,0),IF($NO$21="Bell_Curve",$NM$21*(19-$NQ$21+1)*($NR$21-19+1)/$NT$21,$NM$21/$NS$21)),0)</f>
        <v/>
      </c>
      <c r="W21" s="18">
        <f>IF(AND(20&gt;=$NQ$21,20&lt;=$NR$21),IF($NO$21="Single_Point",IF(20=$NQ$21,$NM$21,0),IF($NO$21="Bell_Curve",$NM$21*(20-$NQ$21+1)*($NR$21-20+1)/$NT$21,$NM$21/$NS$21)),0)</f>
        <v/>
      </c>
      <c r="X21" s="18">
        <f>IF(AND(21&gt;=$NQ$21,21&lt;=$NR$21),IF($NO$21="Single_Point",IF(21=$NQ$21,$NM$21,0),IF($NO$21="Bell_Curve",$NM$21*(21-$NQ$21+1)*($NR$21-21+1)/$NT$21,$NM$21/$NS$21)),0)</f>
        <v/>
      </c>
      <c r="Y21" s="18">
        <f>IF(AND(22&gt;=$NQ$21,22&lt;=$NR$21),IF($NO$21="Single_Point",IF(22=$NQ$21,$NM$21,0),IF($NO$21="Bell_Curve",$NM$21*(22-$NQ$21+1)*($NR$21-22+1)/$NT$21,$NM$21/$NS$21)),0)</f>
        <v/>
      </c>
      <c r="Z21" s="18">
        <f>IF(AND(23&gt;=$NQ$21,23&lt;=$NR$21),IF($NO$21="Single_Point",IF(23=$NQ$21,$NM$21,0),IF($NO$21="Bell_Curve",$NM$21*(23-$NQ$21+1)*($NR$21-23+1)/$NT$21,$NM$21/$NS$21)),0)</f>
        <v/>
      </c>
      <c r="AA21" s="18">
        <f>IF(AND(24&gt;=$NQ$21,24&lt;=$NR$21),IF($NO$21="Single_Point",IF(24=$NQ$21,$NM$21,0),IF($NO$21="Bell_Curve",$NM$21*(24-$NQ$21+1)*($NR$21-24+1)/$NT$21,$NM$21/$NS$21)),0)</f>
        <v/>
      </c>
      <c r="AB21" s="18">
        <f>IF(AND(25&gt;=$NQ$21,25&lt;=$NR$21),IF($NO$21="Single_Point",IF(25=$NQ$21,$NM$21,0),IF($NO$21="Bell_Curve",$NM$21*(25-$NQ$21+1)*($NR$21-25+1)/$NT$21,$NM$21/$NS$21)),0)</f>
        <v/>
      </c>
      <c r="AC21" s="18">
        <f>IF(AND(26&gt;=$NQ$21,26&lt;=$NR$21),IF($NO$21="Single_Point",IF(26=$NQ$21,$NM$21,0),IF($NO$21="Bell_Curve",$NM$21*(26-$NQ$21+1)*($NR$21-26+1)/$NT$21,$NM$21/$NS$21)),0)</f>
        <v/>
      </c>
      <c r="AD21" s="18">
        <f>IF(AND(27&gt;=$NQ$21,27&lt;=$NR$21),IF($NO$21="Single_Point",IF(27=$NQ$21,$NM$21,0),IF($NO$21="Bell_Curve",$NM$21*(27-$NQ$21+1)*($NR$21-27+1)/$NT$21,$NM$21/$NS$21)),0)</f>
        <v/>
      </c>
      <c r="AE21" s="18">
        <f>IF(AND(28&gt;=$NQ$21,28&lt;=$NR$21),IF($NO$21="Single_Point",IF(28=$NQ$21,$NM$21,0),IF($NO$21="Bell_Curve",$NM$21*(28-$NQ$21+1)*($NR$21-28+1)/$NT$21,$NM$21/$NS$21)),0)</f>
        <v/>
      </c>
      <c r="AF21" s="18">
        <f>IF(AND(29&gt;=$NQ$21,29&lt;=$NR$21),IF($NO$21="Single_Point",IF(29=$NQ$21,$NM$21,0),IF($NO$21="Bell_Curve",$NM$21*(29-$NQ$21+1)*($NR$21-29+1)/$NT$21,$NM$21/$NS$21)),0)</f>
        <v/>
      </c>
      <c r="AG21" s="18">
        <f>IF(AND(30&gt;=$NQ$21,30&lt;=$NR$21),IF($NO$21="Single_Point",IF(30=$NQ$21,$NM$21,0),IF($NO$21="Bell_Curve",$NM$21*(30-$NQ$21+1)*($NR$21-30+1)/$NT$21,$NM$21/$NS$21)),0)</f>
        <v/>
      </c>
      <c r="AH21" s="18">
        <f>IF(AND(31&gt;=$NQ$21,31&lt;=$NR$21),IF($NO$21="Single_Point",IF(31=$NQ$21,$NM$21,0),IF($NO$21="Bell_Curve",$NM$21*(31-$NQ$21+1)*($NR$21-31+1)/$NT$21,$NM$21/$NS$21)),0)</f>
        <v/>
      </c>
      <c r="AI21" s="18">
        <f>IF(AND(32&gt;=$NQ$21,32&lt;=$NR$21),IF($NO$21="Single_Point",IF(32=$NQ$21,$NM$21,0),IF($NO$21="Bell_Curve",$NM$21*(32-$NQ$21+1)*($NR$21-32+1)/$NT$21,$NM$21/$NS$21)),0)</f>
        <v/>
      </c>
      <c r="AJ21" s="18">
        <f>IF(AND(33&gt;=$NQ$21,33&lt;=$NR$21),IF($NO$21="Single_Point",IF(33=$NQ$21,$NM$21,0),IF($NO$21="Bell_Curve",$NM$21*(33-$NQ$21+1)*($NR$21-33+1)/$NT$21,$NM$21/$NS$21)),0)</f>
        <v/>
      </c>
      <c r="AK21" s="18">
        <f>IF(AND(34&gt;=$NQ$21,34&lt;=$NR$21),IF($NO$21="Single_Point",IF(34=$NQ$21,$NM$21,0),IF($NO$21="Bell_Curve",$NM$21*(34-$NQ$21+1)*($NR$21-34+1)/$NT$21,$NM$21/$NS$21)),0)</f>
        <v/>
      </c>
      <c r="AL21" s="18">
        <f>IF(AND(35&gt;=$NQ$21,35&lt;=$NR$21),IF($NO$21="Single_Point",IF(35=$NQ$21,$NM$21,0),IF($NO$21="Bell_Curve",$NM$21*(35-$NQ$21+1)*($NR$21-35+1)/$NT$21,$NM$21/$NS$21)),0)</f>
        <v/>
      </c>
      <c r="AM21" s="18">
        <f>IF(AND(36&gt;=$NQ$21,36&lt;=$NR$21),IF($NO$21="Single_Point",IF(36=$NQ$21,$NM$21,0),IF($NO$21="Bell_Curve",$NM$21*(36-$NQ$21+1)*($NR$21-36+1)/$NT$21,$NM$21/$NS$21)),0)</f>
        <v/>
      </c>
      <c r="AN21" s="18">
        <f>IF(AND(37&gt;=$NQ$21,37&lt;=$NR$21),IF($NO$21="Single_Point",IF(37=$NQ$21,$NM$21,0),IF($NO$21="Bell_Curve",$NM$21*(37-$NQ$21+1)*($NR$21-37+1)/$NT$21,$NM$21/$NS$21)),0)</f>
        <v/>
      </c>
      <c r="AO21" s="18">
        <f>IF(AND(38&gt;=$NQ$21,38&lt;=$NR$21),IF($NO$21="Single_Point",IF(38=$NQ$21,$NM$21,0),IF($NO$21="Bell_Curve",$NM$21*(38-$NQ$21+1)*($NR$21-38+1)/$NT$21,$NM$21/$NS$21)),0)</f>
        <v/>
      </c>
      <c r="AP21" s="18">
        <f>IF(AND(39&gt;=$NQ$21,39&lt;=$NR$21),IF($NO$21="Single_Point",IF(39=$NQ$21,$NM$21,0),IF($NO$21="Bell_Curve",$NM$21*(39-$NQ$21+1)*($NR$21-39+1)/$NT$21,$NM$21/$NS$21)),0)</f>
        <v/>
      </c>
      <c r="AQ21" s="18">
        <f>IF(AND(40&gt;=$NQ$21,40&lt;=$NR$21),IF($NO$21="Single_Point",IF(40=$NQ$21,$NM$21,0),IF($NO$21="Bell_Curve",$NM$21*(40-$NQ$21+1)*($NR$21-40+1)/$NT$21,$NM$21/$NS$21)),0)</f>
        <v/>
      </c>
      <c r="AR21" s="18">
        <f>IF(AND(41&gt;=$NQ$21,41&lt;=$NR$21),IF($NO$21="Single_Point",IF(41=$NQ$21,$NM$21,0),IF($NO$21="Bell_Curve",$NM$21*(41-$NQ$21+1)*($NR$21-41+1)/$NT$21,$NM$21/$NS$21)),0)</f>
        <v/>
      </c>
      <c r="AS21" s="18">
        <f>IF(AND(42&gt;=$NQ$21,42&lt;=$NR$21),IF($NO$21="Single_Point",IF(42=$NQ$21,$NM$21,0),IF($NO$21="Bell_Curve",$NM$21*(42-$NQ$21+1)*($NR$21-42+1)/$NT$21,$NM$21/$NS$21)),0)</f>
        <v/>
      </c>
      <c r="AT21" s="18">
        <f>IF(AND(43&gt;=$NQ$21,43&lt;=$NR$21),IF($NO$21="Single_Point",IF(43=$NQ$21,$NM$21,0),IF($NO$21="Bell_Curve",$NM$21*(43-$NQ$21+1)*($NR$21-43+1)/$NT$21,$NM$21/$NS$21)),0)</f>
        <v/>
      </c>
      <c r="AU21" s="18">
        <f>IF(AND(44&gt;=$NQ$21,44&lt;=$NR$21),IF($NO$21="Single_Point",IF(44=$NQ$21,$NM$21,0),IF($NO$21="Bell_Curve",$NM$21*(44-$NQ$21+1)*($NR$21-44+1)/$NT$21,$NM$21/$NS$21)),0)</f>
        <v/>
      </c>
      <c r="AV21" s="18">
        <f>IF(AND(45&gt;=$NQ$21,45&lt;=$NR$21),IF($NO$21="Single_Point",IF(45=$NQ$21,$NM$21,0),IF($NO$21="Bell_Curve",$NM$21*(45-$NQ$21+1)*($NR$21-45+1)/$NT$21,$NM$21/$NS$21)),0)</f>
        <v/>
      </c>
      <c r="AW21" s="18">
        <f>IF(AND(46&gt;=$NQ$21,46&lt;=$NR$21),IF($NO$21="Single_Point",IF(46=$NQ$21,$NM$21,0),IF($NO$21="Bell_Curve",$NM$21*(46-$NQ$21+1)*($NR$21-46+1)/$NT$21,$NM$21/$NS$21)),0)</f>
        <v/>
      </c>
      <c r="AX21" s="18">
        <f>IF(AND(47&gt;=$NQ$21,47&lt;=$NR$21),IF($NO$21="Single_Point",IF(47=$NQ$21,$NM$21,0),IF($NO$21="Bell_Curve",$NM$21*(47-$NQ$21+1)*($NR$21-47+1)/$NT$21,$NM$21/$NS$21)),0)</f>
        <v/>
      </c>
      <c r="AY21" s="18">
        <f>IF(AND(48&gt;=$NQ$21,48&lt;=$NR$21),IF($NO$21="Single_Point",IF(48=$NQ$21,$NM$21,0),IF($NO$21="Bell_Curve",$NM$21*(48-$NQ$21+1)*($NR$21-48+1)/$NT$21,$NM$21/$NS$21)),0)</f>
        <v/>
      </c>
      <c r="AZ21" s="18">
        <f>IF(AND(49&gt;=$NQ$21,49&lt;=$NR$21),IF($NO$21="Single_Point",IF(49=$NQ$21,$NM$21,0),IF($NO$21="Bell_Curve",$NM$21*(49-$NQ$21+1)*($NR$21-49+1)/$NT$21,$NM$21/$NS$21)),0)</f>
        <v/>
      </c>
      <c r="BA21" s="18">
        <f>IF(AND(50&gt;=$NQ$21,50&lt;=$NR$21),IF($NO$21="Single_Point",IF(50=$NQ$21,$NM$21,0),IF($NO$21="Bell_Curve",$NM$21*(50-$NQ$21+1)*($NR$21-50+1)/$NT$21,$NM$21/$NS$21)),0)</f>
        <v/>
      </c>
      <c r="BB21" s="18">
        <f>IF(AND(51&gt;=$NQ$21,51&lt;=$NR$21),IF($NO$21="Single_Point",IF(51=$NQ$21,$NM$21,0),IF($NO$21="Bell_Curve",$NM$21*(51-$NQ$21+1)*($NR$21-51+1)/$NT$21,$NM$21/$NS$21)),0)</f>
        <v/>
      </c>
      <c r="BC21" s="18">
        <f>IF(AND(52&gt;=$NQ$21,52&lt;=$NR$21),IF($NO$21="Single_Point",IF(52=$NQ$21,$NM$21,0),IF($NO$21="Bell_Curve",$NM$21*(52-$NQ$21+1)*($NR$21-52+1)/$NT$21,$NM$21/$NS$21)),0)</f>
        <v/>
      </c>
      <c r="BD21" s="18">
        <f>IF(AND(53&gt;=$NQ$21,53&lt;=$NR$21),IF($NO$21="Single_Point",IF(53=$NQ$21,$NM$21,0),IF($NO$21="Bell_Curve",$NM$21*(53-$NQ$21+1)*($NR$21-53+1)/$NT$21,$NM$21/$NS$21)),0)</f>
        <v/>
      </c>
      <c r="BE21" s="18">
        <f>IF(AND(54&gt;=$NQ$21,54&lt;=$NR$21),IF($NO$21="Single_Point",IF(54=$NQ$21,$NM$21,0),IF($NO$21="Bell_Curve",$NM$21*(54-$NQ$21+1)*($NR$21-54+1)/$NT$21,$NM$21/$NS$21)),0)</f>
        <v/>
      </c>
      <c r="BF21" s="18">
        <f>IF(AND(55&gt;=$NQ$21,55&lt;=$NR$21),IF($NO$21="Single_Point",IF(55=$NQ$21,$NM$21,0),IF($NO$21="Bell_Curve",$NM$21*(55-$NQ$21+1)*($NR$21-55+1)/$NT$21,$NM$21/$NS$21)),0)</f>
        <v/>
      </c>
      <c r="BG21" s="18">
        <f>IF(AND(56&gt;=$NQ$21,56&lt;=$NR$21),IF($NO$21="Single_Point",IF(56=$NQ$21,$NM$21,0),IF($NO$21="Bell_Curve",$NM$21*(56-$NQ$21+1)*($NR$21-56+1)/$NT$21,$NM$21/$NS$21)),0)</f>
        <v/>
      </c>
      <c r="BH21" s="18">
        <f>IF(AND(57&gt;=$NQ$21,57&lt;=$NR$21),IF($NO$21="Single_Point",IF(57=$NQ$21,$NM$21,0),IF($NO$21="Bell_Curve",$NM$21*(57-$NQ$21+1)*($NR$21-57+1)/$NT$21,$NM$21/$NS$21)),0)</f>
        <v/>
      </c>
      <c r="BI21" s="18">
        <f>IF(AND(58&gt;=$NQ$21,58&lt;=$NR$21),IF($NO$21="Single_Point",IF(58=$NQ$21,$NM$21,0),IF($NO$21="Bell_Curve",$NM$21*(58-$NQ$21+1)*($NR$21-58+1)/$NT$21,$NM$21/$NS$21)),0)</f>
        <v/>
      </c>
      <c r="BJ21" s="18">
        <f>IF(AND(59&gt;=$NQ$21,59&lt;=$NR$21),IF($NO$21="Single_Point",IF(59=$NQ$21,$NM$21,0),IF($NO$21="Bell_Curve",$NM$21*(59-$NQ$21+1)*($NR$21-59+1)/$NT$21,$NM$21/$NS$21)),0)</f>
        <v/>
      </c>
      <c r="BK21" s="18">
        <f>IF(AND(60&gt;=$NQ$21,60&lt;=$NR$21),IF($NO$21="Single_Point",IF(60=$NQ$21,$NM$21,0),IF($NO$21="Bell_Curve",$NM$21*(60-$NQ$21+1)*($NR$21-60+1)/$NT$21,$NM$21/$NS$21)),0)</f>
        <v/>
      </c>
      <c r="BL21" s="18">
        <f>IF(AND(61&gt;=$NQ$21,61&lt;=$NR$21),IF($NO$21="Single_Point",IF(61=$NQ$21,$NM$21,0),IF($NO$21="Bell_Curve",$NM$21*(61-$NQ$21+1)*($NR$21-61+1)/$NT$21,$NM$21/$NS$21)),0)</f>
        <v/>
      </c>
      <c r="BM21" s="18">
        <f>IF(AND(62&gt;=$NQ$21,62&lt;=$NR$21),IF($NO$21="Single_Point",IF(62=$NQ$21,$NM$21,0),IF($NO$21="Bell_Curve",$NM$21*(62-$NQ$21+1)*($NR$21-62+1)/$NT$21,$NM$21/$NS$21)),0)</f>
        <v/>
      </c>
      <c r="BN21" s="18">
        <f>IF(AND(63&gt;=$NQ$21,63&lt;=$NR$21),IF($NO$21="Single_Point",IF(63=$NQ$21,$NM$21,0),IF($NO$21="Bell_Curve",$NM$21*(63-$NQ$21+1)*($NR$21-63+1)/$NT$21,$NM$21/$NS$21)),0)</f>
        <v/>
      </c>
      <c r="BO21" s="18">
        <f>IF(AND(64&gt;=$NQ$21,64&lt;=$NR$21),IF($NO$21="Single_Point",IF(64=$NQ$21,$NM$21,0),IF($NO$21="Bell_Curve",$NM$21*(64-$NQ$21+1)*($NR$21-64+1)/$NT$21,$NM$21/$NS$21)),0)</f>
        <v/>
      </c>
      <c r="BP21" s="18">
        <f>IF(AND(65&gt;=$NQ$21,65&lt;=$NR$21),IF($NO$21="Single_Point",IF(65=$NQ$21,$NM$21,0),IF($NO$21="Bell_Curve",$NM$21*(65-$NQ$21+1)*($NR$21-65+1)/$NT$21,$NM$21/$NS$21)),0)</f>
        <v/>
      </c>
      <c r="BQ21" s="18">
        <f>IF(AND(66&gt;=$NQ$21,66&lt;=$NR$21),IF($NO$21="Single_Point",IF(66=$NQ$21,$NM$21,0),IF($NO$21="Bell_Curve",$NM$21*(66-$NQ$21+1)*($NR$21-66+1)/$NT$21,$NM$21/$NS$21)),0)</f>
        <v/>
      </c>
      <c r="BR21" s="18">
        <f>IF(AND(67&gt;=$NQ$21,67&lt;=$NR$21),IF($NO$21="Single_Point",IF(67=$NQ$21,$NM$21,0),IF($NO$21="Bell_Curve",$NM$21*(67-$NQ$21+1)*($NR$21-67+1)/$NT$21,$NM$21/$NS$21)),0)</f>
        <v/>
      </c>
      <c r="BS21" s="18">
        <f>IF(AND(68&gt;=$NQ$21,68&lt;=$NR$21),IF($NO$21="Single_Point",IF(68=$NQ$21,$NM$21,0),IF($NO$21="Bell_Curve",$NM$21*(68-$NQ$21+1)*($NR$21-68+1)/$NT$21,$NM$21/$NS$21)),0)</f>
        <v/>
      </c>
      <c r="BT21" s="18">
        <f>IF(AND(69&gt;=$NQ$21,69&lt;=$NR$21),IF($NO$21="Single_Point",IF(69=$NQ$21,$NM$21,0),IF($NO$21="Bell_Curve",$NM$21*(69-$NQ$21+1)*($NR$21-69+1)/$NT$21,$NM$21/$NS$21)),0)</f>
        <v/>
      </c>
      <c r="BU21" s="18">
        <f>IF(AND(70&gt;=$NQ$21,70&lt;=$NR$21),IF($NO$21="Single_Point",IF(70=$NQ$21,$NM$21,0),IF($NO$21="Bell_Curve",$NM$21*(70-$NQ$21+1)*($NR$21-70+1)/$NT$21,$NM$21/$NS$21)),0)</f>
        <v/>
      </c>
      <c r="BV21" s="18">
        <f>IF(AND(71&gt;=$NQ$21,71&lt;=$NR$21),IF($NO$21="Single_Point",IF(71=$NQ$21,$NM$21,0),IF($NO$21="Bell_Curve",$NM$21*(71-$NQ$21+1)*($NR$21-71+1)/$NT$21,$NM$21/$NS$21)),0)</f>
        <v/>
      </c>
      <c r="BW21" s="18">
        <f>IF(AND(72&gt;=$NQ$21,72&lt;=$NR$21),IF($NO$21="Single_Point",IF(72=$NQ$21,$NM$21,0),IF($NO$21="Bell_Curve",$NM$21*(72-$NQ$21+1)*($NR$21-72+1)/$NT$21,$NM$21/$NS$21)),0)</f>
        <v/>
      </c>
      <c r="BX21" s="18">
        <f>IF(AND(73&gt;=$NQ$21,73&lt;=$NR$21),IF($NO$21="Single_Point",IF(73=$NQ$21,$NM$21,0),IF($NO$21="Bell_Curve",$NM$21*(73-$NQ$21+1)*($NR$21-73+1)/$NT$21,$NM$21/$NS$21)),0)</f>
        <v/>
      </c>
      <c r="BY21" s="18">
        <f>IF(AND(74&gt;=$NQ$21,74&lt;=$NR$21),IF($NO$21="Single_Point",IF(74=$NQ$21,$NM$21,0),IF($NO$21="Bell_Curve",$NM$21*(74-$NQ$21+1)*($NR$21-74+1)/$NT$21,$NM$21/$NS$21)),0)</f>
        <v/>
      </c>
      <c r="BZ21" s="18">
        <f>IF(AND(75&gt;=$NQ$21,75&lt;=$NR$21),IF($NO$21="Single_Point",IF(75=$NQ$21,$NM$21,0),IF($NO$21="Bell_Curve",$NM$21*(75-$NQ$21+1)*($NR$21-75+1)/$NT$21,$NM$21/$NS$21)),0)</f>
        <v/>
      </c>
      <c r="CA21" s="18">
        <f>IF(AND(76&gt;=$NQ$21,76&lt;=$NR$21),IF($NO$21="Single_Point",IF(76=$NQ$21,$NM$21,0),IF($NO$21="Bell_Curve",$NM$21*(76-$NQ$21+1)*($NR$21-76+1)/$NT$21,$NM$21/$NS$21)),0)</f>
        <v/>
      </c>
      <c r="CB21" s="18">
        <f>IF(AND(77&gt;=$NQ$21,77&lt;=$NR$21),IF($NO$21="Single_Point",IF(77=$NQ$21,$NM$21,0),IF($NO$21="Bell_Curve",$NM$21*(77-$NQ$21+1)*($NR$21-77+1)/$NT$21,$NM$21/$NS$21)),0)</f>
        <v/>
      </c>
      <c r="CC21" s="18">
        <f>IF(AND(78&gt;=$NQ$21,78&lt;=$NR$21),IF($NO$21="Single_Point",IF(78=$NQ$21,$NM$21,0),IF($NO$21="Bell_Curve",$NM$21*(78-$NQ$21+1)*($NR$21-78+1)/$NT$21,$NM$21/$NS$21)),0)</f>
        <v/>
      </c>
      <c r="CD21" s="18">
        <f>IF(AND(79&gt;=$NQ$21,79&lt;=$NR$21),IF($NO$21="Single_Point",IF(79=$NQ$21,$NM$21,0),IF($NO$21="Bell_Curve",$NM$21*(79-$NQ$21+1)*($NR$21-79+1)/$NT$21,$NM$21/$NS$21)),0)</f>
        <v/>
      </c>
      <c r="CE21" s="18">
        <f>IF(AND(80&gt;=$NQ$21,80&lt;=$NR$21),IF($NO$21="Single_Point",IF(80=$NQ$21,$NM$21,0),IF($NO$21="Bell_Curve",$NM$21*(80-$NQ$21+1)*($NR$21-80+1)/$NT$21,$NM$21/$NS$21)),0)</f>
        <v/>
      </c>
      <c r="CF21" s="18">
        <f>IF(AND(81&gt;=$NQ$21,81&lt;=$NR$21),IF($NO$21="Single_Point",IF(81=$NQ$21,$NM$21,0),IF($NO$21="Bell_Curve",$NM$21*(81-$NQ$21+1)*($NR$21-81+1)/$NT$21,$NM$21/$NS$21)),0)</f>
        <v/>
      </c>
      <c r="CG21" s="18">
        <f>IF(AND(82&gt;=$NQ$21,82&lt;=$NR$21),IF($NO$21="Single_Point",IF(82=$NQ$21,$NM$21,0),IF($NO$21="Bell_Curve",$NM$21*(82-$NQ$21+1)*($NR$21-82+1)/$NT$21,$NM$21/$NS$21)),0)</f>
        <v/>
      </c>
      <c r="CH21" s="18">
        <f>IF(AND(83&gt;=$NQ$21,83&lt;=$NR$21),IF($NO$21="Single_Point",IF(83=$NQ$21,$NM$21,0),IF($NO$21="Bell_Curve",$NM$21*(83-$NQ$21+1)*($NR$21-83+1)/$NT$21,$NM$21/$NS$21)),0)</f>
        <v/>
      </c>
      <c r="CI21" s="18">
        <f>IF(AND(84&gt;=$NQ$21,84&lt;=$NR$21),IF($NO$21="Single_Point",IF(84=$NQ$21,$NM$21,0),IF($NO$21="Bell_Curve",$NM$21*(84-$NQ$21+1)*($NR$21-84+1)/$NT$21,$NM$21/$NS$21)),0)</f>
        <v/>
      </c>
      <c r="CJ21" s="18">
        <f>IF(AND(85&gt;=$NQ$21,85&lt;=$NR$21),IF($NO$21="Single_Point",IF(85=$NQ$21,$NM$21,0),IF($NO$21="Bell_Curve",$NM$21*(85-$NQ$21+1)*($NR$21-85+1)/$NT$21,$NM$21/$NS$21)),0)</f>
        <v/>
      </c>
      <c r="CK21" s="18">
        <f>IF(AND(86&gt;=$NQ$21,86&lt;=$NR$21),IF($NO$21="Single_Point",IF(86=$NQ$21,$NM$21,0),IF($NO$21="Bell_Curve",$NM$21*(86-$NQ$21+1)*($NR$21-86+1)/$NT$21,$NM$21/$NS$21)),0)</f>
        <v/>
      </c>
      <c r="CL21" s="18">
        <f>IF(AND(87&gt;=$NQ$21,87&lt;=$NR$21),IF($NO$21="Single_Point",IF(87=$NQ$21,$NM$21,0),IF($NO$21="Bell_Curve",$NM$21*(87-$NQ$21+1)*($NR$21-87+1)/$NT$21,$NM$21/$NS$21)),0)</f>
        <v/>
      </c>
      <c r="CM21" s="18">
        <f>IF(AND(88&gt;=$NQ$21,88&lt;=$NR$21),IF($NO$21="Single_Point",IF(88=$NQ$21,$NM$21,0),IF($NO$21="Bell_Curve",$NM$21*(88-$NQ$21+1)*($NR$21-88+1)/$NT$21,$NM$21/$NS$21)),0)</f>
        <v/>
      </c>
      <c r="CN21" s="18">
        <f>IF(AND(89&gt;=$NQ$21,89&lt;=$NR$21),IF($NO$21="Single_Point",IF(89=$NQ$21,$NM$21,0),IF($NO$21="Bell_Curve",$NM$21*(89-$NQ$21+1)*($NR$21-89+1)/$NT$21,$NM$21/$NS$21)),0)</f>
        <v/>
      </c>
      <c r="CO21" s="18">
        <f>IF(AND(90&gt;=$NQ$21,90&lt;=$NR$21),IF($NO$21="Single_Point",IF(90=$NQ$21,$NM$21,0),IF($NO$21="Bell_Curve",$NM$21*(90-$NQ$21+1)*($NR$21-90+1)/$NT$21,$NM$21/$NS$21)),0)</f>
        <v/>
      </c>
      <c r="CP21" s="18">
        <f>IF(AND(91&gt;=$NQ$21,91&lt;=$NR$21),IF($NO$21="Single_Point",IF(91=$NQ$21,$NM$21,0),IF($NO$21="Bell_Curve",$NM$21*(91-$NQ$21+1)*($NR$21-91+1)/$NT$21,$NM$21/$NS$21)),0)</f>
        <v/>
      </c>
      <c r="CQ21" s="18">
        <f>IF(AND(92&gt;=$NQ$21,92&lt;=$NR$21),IF($NO$21="Single_Point",IF(92=$NQ$21,$NM$21,0),IF($NO$21="Bell_Curve",$NM$21*(92-$NQ$21+1)*($NR$21-92+1)/$NT$21,$NM$21/$NS$21)),0)</f>
        <v/>
      </c>
      <c r="CR21" s="18">
        <f>IF(AND(93&gt;=$NQ$21,93&lt;=$NR$21),IF($NO$21="Single_Point",IF(93=$NQ$21,$NM$21,0),IF($NO$21="Bell_Curve",$NM$21*(93-$NQ$21+1)*($NR$21-93+1)/$NT$21,$NM$21/$NS$21)),0)</f>
        <v/>
      </c>
      <c r="CS21" s="18">
        <f>IF(AND(94&gt;=$NQ$21,94&lt;=$NR$21),IF($NO$21="Single_Point",IF(94=$NQ$21,$NM$21,0),IF($NO$21="Bell_Curve",$NM$21*(94-$NQ$21+1)*($NR$21-94+1)/$NT$21,$NM$21/$NS$21)),0)</f>
        <v/>
      </c>
      <c r="CT21" s="18">
        <f>IF(AND(95&gt;=$NQ$21,95&lt;=$NR$21),IF($NO$21="Single_Point",IF(95=$NQ$21,$NM$21,0),IF($NO$21="Bell_Curve",$NM$21*(95-$NQ$21+1)*($NR$21-95+1)/$NT$21,$NM$21/$NS$21)),0)</f>
        <v/>
      </c>
      <c r="CU21" s="18">
        <f>IF(AND(96&gt;=$NQ$21,96&lt;=$NR$21),IF($NO$21="Single_Point",IF(96=$NQ$21,$NM$21,0),IF($NO$21="Bell_Curve",$NM$21*(96-$NQ$21+1)*($NR$21-96+1)/$NT$21,$NM$21/$NS$21)),0)</f>
        <v/>
      </c>
      <c r="CV21" s="18">
        <f>IF(AND(97&gt;=$NQ$21,97&lt;=$NR$21),IF($NO$21="Single_Point",IF(97=$NQ$21,$NM$21,0),IF($NO$21="Bell_Curve",$NM$21*(97-$NQ$21+1)*($NR$21-97+1)/$NT$21,$NM$21/$NS$21)),0)</f>
        <v/>
      </c>
      <c r="CW21" s="18">
        <f>IF(AND(98&gt;=$NQ$21,98&lt;=$NR$21),IF($NO$21="Single_Point",IF(98=$NQ$21,$NM$21,0),IF($NO$21="Bell_Curve",$NM$21*(98-$NQ$21+1)*($NR$21-98+1)/$NT$21,$NM$21/$NS$21)),0)</f>
        <v/>
      </c>
      <c r="CX21" s="18">
        <f>IF(AND(99&gt;=$NQ$21,99&lt;=$NR$21),IF($NO$21="Single_Point",IF(99=$NQ$21,$NM$21,0),IF($NO$21="Bell_Curve",$NM$21*(99-$NQ$21+1)*($NR$21-99+1)/$NT$21,$NM$21/$NS$21)),0)</f>
        <v/>
      </c>
      <c r="CY21" s="18">
        <f>IF(AND(100&gt;=$NQ$21,100&lt;=$NR$21),IF($NO$21="Single_Point",IF(100=$NQ$21,$NM$21,0),IF($NO$21="Bell_Curve",$NM$21*(100-$NQ$21+1)*($NR$21-100+1)/$NT$21,$NM$21/$NS$21)),0)</f>
        <v/>
      </c>
      <c r="CZ21" s="18">
        <f>IF(AND(101&gt;=$NQ$21,101&lt;=$NR$21),IF($NO$21="Single_Point",IF(101=$NQ$21,$NM$21,0),IF($NO$21="Bell_Curve",$NM$21*(101-$NQ$21+1)*($NR$21-101+1)/$NT$21,$NM$21/$NS$21)),0)</f>
        <v/>
      </c>
      <c r="DA21" s="18">
        <f>IF(AND(102&gt;=$NQ$21,102&lt;=$NR$21),IF($NO$21="Single_Point",IF(102=$NQ$21,$NM$21,0),IF($NO$21="Bell_Curve",$NM$21*(102-$NQ$21+1)*($NR$21-102+1)/$NT$21,$NM$21/$NS$21)),0)</f>
        <v/>
      </c>
      <c r="DB21" s="18">
        <f>IF(AND(103&gt;=$NQ$21,103&lt;=$NR$21),IF($NO$21="Single_Point",IF(103=$NQ$21,$NM$21,0),IF($NO$21="Bell_Curve",$NM$21*(103-$NQ$21+1)*($NR$21-103+1)/$NT$21,$NM$21/$NS$21)),0)</f>
        <v/>
      </c>
      <c r="DC21" s="18">
        <f>IF(AND(104&gt;=$NQ$21,104&lt;=$NR$21),IF($NO$21="Single_Point",IF(104=$NQ$21,$NM$21,0),IF($NO$21="Bell_Curve",$NM$21*(104-$NQ$21+1)*($NR$21-104+1)/$NT$21,$NM$21/$NS$21)),0)</f>
        <v/>
      </c>
      <c r="DD21" s="18">
        <f>IF(AND(105&gt;=$NQ$21,105&lt;=$NR$21),IF($NO$21="Single_Point",IF(105=$NQ$21,$NM$21,0),IF($NO$21="Bell_Curve",$NM$21*(105-$NQ$21+1)*($NR$21-105+1)/$NT$21,$NM$21/$NS$21)),0)</f>
        <v/>
      </c>
      <c r="DE21" s="18">
        <f>IF(AND(106&gt;=$NQ$21,106&lt;=$NR$21),IF($NO$21="Single_Point",IF(106=$NQ$21,$NM$21,0),IF($NO$21="Bell_Curve",$NM$21*(106-$NQ$21+1)*($NR$21-106+1)/$NT$21,$NM$21/$NS$21)),0)</f>
        <v/>
      </c>
      <c r="DF21" s="18">
        <f>IF(AND(107&gt;=$NQ$21,107&lt;=$NR$21),IF($NO$21="Single_Point",IF(107=$NQ$21,$NM$21,0),IF($NO$21="Bell_Curve",$NM$21*(107-$NQ$21+1)*($NR$21-107+1)/$NT$21,$NM$21/$NS$21)),0)</f>
        <v/>
      </c>
      <c r="DG21" s="18">
        <f>IF(AND(108&gt;=$NQ$21,108&lt;=$NR$21),IF($NO$21="Single_Point",IF(108=$NQ$21,$NM$21,0),IF($NO$21="Bell_Curve",$NM$21*(108-$NQ$21+1)*($NR$21-108+1)/$NT$21,$NM$21/$NS$21)),0)</f>
        <v/>
      </c>
      <c r="DH21" s="18">
        <f>IF(AND(109&gt;=$NQ$21,109&lt;=$NR$21),IF($NO$21="Single_Point",IF(109=$NQ$21,$NM$21,0),IF($NO$21="Bell_Curve",$NM$21*(109-$NQ$21+1)*($NR$21-109+1)/$NT$21,$NM$21/$NS$21)),0)</f>
        <v/>
      </c>
      <c r="DI21" s="18">
        <f>IF(AND(110&gt;=$NQ$21,110&lt;=$NR$21),IF($NO$21="Single_Point",IF(110=$NQ$21,$NM$21,0),IF($NO$21="Bell_Curve",$NM$21*(110-$NQ$21+1)*($NR$21-110+1)/$NT$21,$NM$21/$NS$21)),0)</f>
        <v/>
      </c>
      <c r="DJ21" s="18">
        <f>IF(AND(111&gt;=$NQ$21,111&lt;=$NR$21),IF($NO$21="Single_Point",IF(111=$NQ$21,$NM$21,0),IF($NO$21="Bell_Curve",$NM$21*(111-$NQ$21+1)*($NR$21-111+1)/$NT$21,$NM$21/$NS$21)),0)</f>
        <v/>
      </c>
      <c r="DK21" s="18">
        <f>IF(AND(112&gt;=$NQ$21,112&lt;=$NR$21),IF($NO$21="Single_Point",IF(112=$NQ$21,$NM$21,0),IF($NO$21="Bell_Curve",$NM$21*(112-$NQ$21+1)*($NR$21-112+1)/$NT$21,$NM$21/$NS$21)),0)</f>
        <v/>
      </c>
      <c r="DL21" s="18">
        <f>IF(AND(113&gt;=$NQ$21,113&lt;=$NR$21),IF($NO$21="Single_Point",IF(113=$NQ$21,$NM$21,0),IF($NO$21="Bell_Curve",$NM$21*(113-$NQ$21+1)*($NR$21-113+1)/$NT$21,$NM$21/$NS$21)),0)</f>
        <v/>
      </c>
      <c r="DM21" s="18">
        <f>IF(AND(114&gt;=$NQ$21,114&lt;=$NR$21),IF($NO$21="Single_Point",IF(114=$NQ$21,$NM$21,0),IF($NO$21="Bell_Curve",$NM$21*(114-$NQ$21+1)*($NR$21-114+1)/$NT$21,$NM$21/$NS$21)),0)</f>
        <v/>
      </c>
      <c r="DN21" s="18">
        <f>IF(AND(115&gt;=$NQ$21,115&lt;=$NR$21),IF($NO$21="Single_Point",IF(115=$NQ$21,$NM$21,0),IF($NO$21="Bell_Curve",$NM$21*(115-$NQ$21+1)*($NR$21-115+1)/$NT$21,$NM$21/$NS$21)),0)</f>
        <v/>
      </c>
      <c r="DO21" s="18">
        <f>IF(AND(116&gt;=$NQ$21,116&lt;=$NR$21),IF($NO$21="Single_Point",IF(116=$NQ$21,$NM$21,0),IF($NO$21="Bell_Curve",$NM$21*(116-$NQ$21+1)*($NR$21-116+1)/$NT$21,$NM$21/$NS$21)),0)</f>
        <v/>
      </c>
      <c r="DP21" s="18">
        <f>IF(AND(117&gt;=$NQ$21,117&lt;=$NR$21),IF($NO$21="Single_Point",IF(117=$NQ$21,$NM$21,0),IF($NO$21="Bell_Curve",$NM$21*(117-$NQ$21+1)*($NR$21-117+1)/$NT$21,$NM$21/$NS$21)),0)</f>
        <v/>
      </c>
      <c r="DQ21" s="18">
        <f>IF(AND(118&gt;=$NQ$21,118&lt;=$NR$21),IF($NO$21="Single_Point",IF(118=$NQ$21,$NM$21,0),IF($NO$21="Bell_Curve",$NM$21*(118-$NQ$21+1)*($NR$21-118+1)/$NT$21,$NM$21/$NS$21)),0)</f>
        <v/>
      </c>
      <c r="DR21" s="18">
        <f>IF(AND(119&gt;=$NQ$21,119&lt;=$NR$21),IF($NO$21="Single_Point",IF(119=$NQ$21,$NM$21,0),IF($NO$21="Bell_Curve",$NM$21*(119-$NQ$21+1)*($NR$21-119+1)/$NT$21,$NM$21/$NS$21)),0)</f>
        <v/>
      </c>
      <c r="DS21" s="18">
        <f>IF(AND(120&gt;=$NQ$21,120&lt;=$NR$21),IF($NO$21="Single_Point",IF(120=$NQ$21,$NM$21,0),IF($NO$21="Bell_Curve",$NM$21*(120-$NQ$21+1)*($NR$21-120+1)/$NT$21,$NM$21/$NS$21)),0)</f>
        <v/>
      </c>
      <c r="DT21" s="18">
        <f>IF(AND(121&gt;=$NQ$21,121&lt;=$NR$21),IF($NO$21="Single_Point",IF(121=$NQ$21,$NM$21,0),IF($NO$21="Bell_Curve",$NM$21*(121-$NQ$21+1)*($NR$21-121+1)/$NT$21,$NM$21/$NS$21)),0)</f>
        <v/>
      </c>
      <c r="DU21" s="18">
        <f>IF(AND(122&gt;=$NQ$21,122&lt;=$NR$21),IF($NO$21="Single_Point",IF(122=$NQ$21,$NM$21,0),IF($NO$21="Bell_Curve",$NM$21*(122-$NQ$21+1)*($NR$21-122+1)/$NT$21,$NM$21/$NS$21)),0)</f>
        <v/>
      </c>
      <c r="DV21" s="18">
        <f>IF(AND(123&gt;=$NQ$21,123&lt;=$NR$21),IF($NO$21="Single_Point",IF(123=$NQ$21,$NM$21,0),IF($NO$21="Bell_Curve",$NM$21*(123-$NQ$21+1)*($NR$21-123+1)/$NT$21,$NM$21/$NS$21)),0)</f>
        <v/>
      </c>
      <c r="DW21" s="18">
        <f>IF(AND(124&gt;=$NQ$21,124&lt;=$NR$21),IF($NO$21="Single_Point",IF(124=$NQ$21,$NM$21,0),IF($NO$21="Bell_Curve",$NM$21*(124-$NQ$21+1)*($NR$21-124+1)/$NT$21,$NM$21/$NS$21)),0)</f>
        <v/>
      </c>
      <c r="DX21" s="18">
        <f>IF(AND(125&gt;=$NQ$21,125&lt;=$NR$21),IF($NO$21="Single_Point",IF(125=$NQ$21,$NM$21,0),IF($NO$21="Bell_Curve",$NM$21*(125-$NQ$21+1)*($NR$21-125+1)/$NT$21,$NM$21/$NS$21)),0)</f>
        <v/>
      </c>
      <c r="DY21" s="18">
        <f>IF(AND(126&gt;=$NQ$21,126&lt;=$NR$21),IF($NO$21="Single_Point",IF(126=$NQ$21,$NM$21,0),IF($NO$21="Bell_Curve",$NM$21*(126-$NQ$21+1)*($NR$21-126+1)/$NT$21,$NM$21/$NS$21)),0)</f>
        <v/>
      </c>
      <c r="DZ21" s="18">
        <f>IF(AND(127&gt;=$NQ$21,127&lt;=$NR$21),IF($NO$21="Single_Point",IF(127=$NQ$21,$NM$21,0),IF($NO$21="Bell_Curve",$NM$21*(127-$NQ$21+1)*($NR$21-127+1)/$NT$21,$NM$21/$NS$21)),0)</f>
        <v/>
      </c>
      <c r="EA21" s="18">
        <f>IF(AND(128&gt;=$NQ$21,128&lt;=$NR$21),IF($NO$21="Single_Point",IF(128=$NQ$21,$NM$21,0),IF($NO$21="Bell_Curve",$NM$21*(128-$NQ$21+1)*($NR$21-128+1)/$NT$21,$NM$21/$NS$21)),0)</f>
        <v/>
      </c>
      <c r="EB21" s="18">
        <f>IF(AND(129&gt;=$NQ$21,129&lt;=$NR$21),IF($NO$21="Single_Point",IF(129=$NQ$21,$NM$21,0),IF($NO$21="Bell_Curve",$NM$21*(129-$NQ$21+1)*($NR$21-129+1)/$NT$21,$NM$21/$NS$21)),0)</f>
        <v/>
      </c>
      <c r="EC21" s="18">
        <f>IF(AND(130&gt;=$NQ$21,130&lt;=$NR$21),IF($NO$21="Single_Point",IF(130=$NQ$21,$NM$21,0),IF($NO$21="Bell_Curve",$NM$21*(130-$NQ$21+1)*($NR$21-130+1)/$NT$21,$NM$21/$NS$21)),0)</f>
        <v/>
      </c>
      <c r="ED21" s="18">
        <f>IF(AND(131&gt;=$NQ$21,131&lt;=$NR$21),IF($NO$21="Single_Point",IF(131=$NQ$21,$NM$21,0),IF($NO$21="Bell_Curve",$NM$21*(131-$NQ$21+1)*($NR$21-131+1)/$NT$21,$NM$21/$NS$21)),0)</f>
        <v/>
      </c>
      <c r="EE21" s="18">
        <f>IF(AND(132&gt;=$NQ$21,132&lt;=$NR$21),IF($NO$21="Single_Point",IF(132=$NQ$21,$NM$21,0),IF($NO$21="Bell_Curve",$NM$21*(132-$NQ$21+1)*($NR$21-132+1)/$NT$21,$NM$21/$NS$21)),0)</f>
        <v/>
      </c>
      <c r="EF21" s="18">
        <f>IF(AND(133&gt;=$NQ$21,133&lt;=$NR$21),IF($NO$21="Single_Point",IF(133=$NQ$21,$NM$21,0),IF($NO$21="Bell_Curve",$NM$21*(133-$NQ$21+1)*($NR$21-133+1)/$NT$21,$NM$21/$NS$21)),0)</f>
        <v/>
      </c>
      <c r="EG21" s="18">
        <f>IF(AND(134&gt;=$NQ$21,134&lt;=$NR$21),IF($NO$21="Single_Point",IF(134=$NQ$21,$NM$21,0),IF($NO$21="Bell_Curve",$NM$21*(134-$NQ$21+1)*($NR$21-134+1)/$NT$21,$NM$21/$NS$21)),0)</f>
        <v/>
      </c>
      <c r="EH21" s="18">
        <f>IF(AND(135&gt;=$NQ$21,135&lt;=$NR$21),IF($NO$21="Single_Point",IF(135=$NQ$21,$NM$21,0),IF($NO$21="Bell_Curve",$NM$21*(135-$NQ$21+1)*($NR$21-135+1)/$NT$21,$NM$21/$NS$21)),0)</f>
        <v/>
      </c>
      <c r="EI21" s="18">
        <f>IF(AND(136&gt;=$NQ$21,136&lt;=$NR$21),IF($NO$21="Single_Point",IF(136=$NQ$21,$NM$21,0),IF($NO$21="Bell_Curve",$NM$21*(136-$NQ$21+1)*($NR$21-136+1)/$NT$21,$NM$21/$NS$21)),0)</f>
        <v/>
      </c>
      <c r="EJ21" s="18">
        <f>IF(AND(137&gt;=$NQ$21,137&lt;=$NR$21),IF($NO$21="Single_Point",IF(137=$NQ$21,$NM$21,0),IF($NO$21="Bell_Curve",$NM$21*(137-$NQ$21+1)*($NR$21-137+1)/$NT$21,$NM$21/$NS$21)),0)</f>
        <v/>
      </c>
      <c r="EK21" s="18">
        <f>IF(AND(138&gt;=$NQ$21,138&lt;=$NR$21),IF($NO$21="Single_Point",IF(138=$NQ$21,$NM$21,0),IF($NO$21="Bell_Curve",$NM$21*(138-$NQ$21+1)*($NR$21-138+1)/$NT$21,$NM$21/$NS$21)),0)</f>
        <v/>
      </c>
      <c r="EL21" s="18">
        <f>IF(AND(139&gt;=$NQ$21,139&lt;=$NR$21),IF($NO$21="Single_Point",IF(139=$NQ$21,$NM$21,0),IF($NO$21="Bell_Curve",$NM$21*(139-$NQ$21+1)*($NR$21-139+1)/$NT$21,$NM$21/$NS$21)),0)</f>
        <v/>
      </c>
      <c r="EM21" s="18">
        <f>IF(AND(140&gt;=$NQ$21,140&lt;=$NR$21),IF($NO$21="Single_Point",IF(140=$NQ$21,$NM$21,0),IF($NO$21="Bell_Curve",$NM$21*(140-$NQ$21+1)*($NR$21-140+1)/$NT$21,$NM$21/$NS$21)),0)</f>
        <v/>
      </c>
      <c r="EN21" s="18">
        <f>IF(AND(141&gt;=$NQ$21,141&lt;=$NR$21),IF($NO$21="Single_Point",IF(141=$NQ$21,$NM$21,0),IF($NO$21="Bell_Curve",$NM$21*(141-$NQ$21+1)*($NR$21-141+1)/$NT$21,$NM$21/$NS$21)),0)</f>
        <v/>
      </c>
      <c r="EO21" s="18">
        <f>IF(AND(142&gt;=$NQ$21,142&lt;=$NR$21),IF($NO$21="Single_Point",IF(142=$NQ$21,$NM$21,0),IF($NO$21="Bell_Curve",$NM$21*(142-$NQ$21+1)*($NR$21-142+1)/$NT$21,$NM$21/$NS$21)),0)</f>
        <v/>
      </c>
      <c r="EP21" s="18">
        <f>IF(AND(143&gt;=$NQ$21,143&lt;=$NR$21),IF($NO$21="Single_Point",IF(143=$NQ$21,$NM$21,0),IF($NO$21="Bell_Curve",$NM$21*(143-$NQ$21+1)*($NR$21-143+1)/$NT$21,$NM$21/$NS$21)),0)</f>
        <v/>
      </c>
      <c r="EQ21" s="18">
        <f>IF(AND(144&gt;=$NQ$21,144&lt;=$NR$21),IF($NO$21="Single_Point",IF(144=$NQ$21,$NM$21,0),IF($NO$21="Bell_Curve",$NM$21*(144-$NQ$21+1)*($NR$21-144+1)/$NT$21,$NM$21/$NS$21)),0)</f>
        <v/>
      </c>
      <c r="ER21" s="18">
        <f>IF(AND(145&gt;=$NQ$21,145&lt;=$NR$21),IF($NO$21="Single_Point",IF(145=$NQ$21,$NM$21,0),IF($NO$21="Bell_Curve",$NM$21*(145-$NQ$21+1)*($NR$21-145+1)/$NT$21,$NM$21/$NS$21)),0)</f>
        <v/>
      </c>
      <c r="ES21" s="18">
        <f>IF(AND(146&gt;=$NQ$21,146&lt;=$NR$21),IF($NO$21="Single_Point",IF(146=$NQ$21,$NM$21,0),IF($NO$21="Bell_Curve",$NM$21*(146-$NQ$21+1)*($NR$21-146+1)/$NT$21,$NM$21/$NS$21)),0)</f>
        <v/>
      </c>
      <c r="ET21" s="18">
        <f>IF(AND(147&gt;=$NQ$21,147&lt;=$NR$21),IF($NO$21="Single_Point",IF(147=$NQ$21,$NM$21,0),IF($NO$21="Bell_Curve",$NM$21*(147-$NQ$21+1)*($NR$21-147+1)/$NT$21,$NM$21/$NS$21)),0)</f>
        <v/>
      </c>
      <c r="EU21" s="18">
        <f>IF(AND(148&gt;=$NQ$21,148&lt;=$NR$21),IF($NO$21="Single_Point",IF(148=$NQ$21,$NM$21,0),IF($NO$21="Bell_Curve",$NM$21*(148-$NQ$21+1)*($NR$21-148+1)/$NT$21,$NM$21/$NS$21)),0)</f>
        <v/>
      </c>
      <c r="EV21" s="18">
        <f>IF(AND(149&gt;=$NQ$21,149&lt;=$NR$21),IF($NO$21="Single_Point",IF(149=$NQ$21,$NM$21,0),IF($NO$21="Bell_Curve",$NM$21*(149-$NQ$21+1)*($NR$21-149+1)/$NT$21,$NM$21/$NS$21)),0)</f>
        <v/>
      </c>
      <c r="EW21" s="18">
        <f>IF(AND(150&gt;=$NQ$21,150&lt;=$NR$21),IF($NO$21="Single_Point",IF(150=$NQ$21,$NM$21,0),IF($NO$21="Bell_Curve",$NM$21*(150-$NQ$21+1)*($NR$21-150+1)/$NT$21,$NM$21/$NS$21)),0)</f>
        <v/>
      </c>
      <c r="EX21" s="18">
        <f>IF(AND(151&gt;=$NQ$21,151&lt;=$NR$21),IF($NO$21="Single_Point",IF(151=$NQ$21,$NM$21,0),IF($NO$21="Bell_Curve",$NM$21*(151-$NQ$21+1)*($NR$21-151+1)/$NT$21,$NM$21/$NS$21)),0)</f>
        <v/>
      </c>
      <c r="EY21" s="18">
        <f>IF(AND(152&gt;=$NQ$21,152&lt;=$NR$21),IF($NO$21="Single_Point",IF(152=$NQ$21,$NM$21,0),IF($NO$21="Bell_Curve",$NM$21*(152-$NQ$21+1)*($NR$21-152+1)/$NT$21,$NM$21/$NS$21)),0)</f>
        <v/>
      </c>
      <c r="EZ21" s="18">
        <f>IF(AND(153&gt;=$NQ$21,153&lt;=$NR$21),IF($NO$21="Single_Point",IF(153=$NQ$21,$NM$21,0),IF($NO$21="Bell_Curve",$NM$21*(153-$NQ$21+1)*($NR$21-153+1)/$NT$21,$NM$21/$NS$21)),0)</f>
        <v/>
      </c>
      <c r="FA21" s="18">
        <f>IF(AND(154&gt;=$NQ$21,154&lt;=$NR$21),IF($NO$21="Single_Point",IF(154=$NQ$21,$NM$21,0),IF($NO$21="Bell_Curve",$NM$21*(154-$NQ$21+1)*($NR$21-154+1)/$NT$21,$NM$21/$NS$21)),0)</f>
        <v/>
      </c>
      <c r="FB21" s="18">
        <f>IF(AND(155&gt;=$NQ$21,155&lt;=$NR$21),IF($NO$21="Single_Point",IF(155=$NQ$21,$NM$21,0),IF($NO$21="Bell_Curve",$NM$21*(155-$NQ$21+1)*($NR$21-155+1)/$NT$21,$NM$21/$NS$21)),0)</f>
        <v/>
      </c>
      <c r="FC21" s="18">
        <f>IF(AND(156&gt;=$NQ$21,156&lt;=$NR$21),IF($NO$21="Single_Point",IF(156=$NQ$21,$NM$21,0),IF($NO$21="Bell_Curve",$NM$21*(156-$NQ$21+1)*($NR$21-156+1)/$NT$21,$NM$21/$NS$21)),0)</f>
        <v/>
      </c>
      <c r="FD21" s="18">
        <f>IF(AND(157&gt;=$NQ$21,157&lt;=$NR$21),IF($NO$21="Single_Point",IF(157=$NQ$21,$NM$21,0),IF($NO$21="Bell_Curve",$NM$21*(157-$NQ$21+1)*($NR$21-157+1)/$NT$21,$NM$21/$NS$21)),0)</f>
        <v/>
      </c>
      <c r="FE21" s="18">
        <f>IF(AND(158&gt;=$NQ$21,158&lt;=$NR$21),IF($NO$21="Single_Point",IF(158=$NQ$21,$NM$21,0),IF($NO$21="Bell_Curve",$NM$21*(158-$NQ$21+1)*($NR$21-158+1)/$NT$21,$NM$21/$NS$21)),0)</f>
        <v/>
      </c>
      <c r="FF21" s="18">
        <f>IF(AND(159&gt;=$NQ$21,159&lt;=$NR$21),IF($NO$21="Single_Point",IF(159=$NQ$21,$NM$21,0),IF($NO$21="Bell_Curve",$NM$21*(159-$NQ$21+1)*($NR$21-159+1)/$NT$21,$NM$21/$NS$21)),0)</f>
        <v/>
      </c>
      <c r="FG21" s="18">
        <f>IF(AND(160&gt;=$NQ$21,160&lt;=$NR$21),IF($NO$21="Single_Point",IF(160=$NQ$21,$NM$21,0),IF($NO$21="Bell_Curve",$NM$21*(160-$NQ$21+1)*($NR$21-160+1)/$NT$21,$NM$21/$NS$21)),0)</f>
        <v/>
      </c>
      <c r="FH21" s="18">
        <f>IF(AND(161&gt;=$NQ$21,161&lt;=$NR$21),IF($NO$21="Single_Point",IF(161=$NQ$21,$NM$21,0),IF($NO$21="Bell_Curve",$NM$21*(161-$NQ$21+1)*($NR$21-161+1)/$NT$21,$NM$21/$NS$21)),0)</f>
        <v/>
      </c>
      <c r="FI21" s="18">
        <f>IF(AND(162&gt;=$NQ$21,162&lt;=$NR$21),IF($NO$21="Single_Point",IF(162=$NQ$21,$NM$21,0),IF($NO$21="Bell_Curve",$NM$21*(162-$NQ$21+1)*($NR$21-162+1)/$NT$21,$NM$21/$NS$21)),0)</f>
        <v/>
      </c>
      <c r="FJ21" s="18">
        <f>IF(AND(163&gt;=$NQ$21,163&lt;=$NR$21),IF($NO$21="Single_Point",IF(163=$NQ$21,$NM$21,0),IF($NO$21="Bell_Curve",$NM$21*(163-$NQ$21+1)*($NR$21-163+1)/$NT$21,$NM$21/$NS$21)),0)</f>
        <v/>
      </c>
      <c r="FK21" s="18">
        <f>IF(AND(164&gt;=$NQ$21,164&lt;=$NR$21),IF($NO$21="Single_Point",IF(164=$NQ$21,$NM$21,0),IF($NO$21="Bell_Curve",$NM$21*(164-$NQ$21+1)*($NR$21-164+1)/$NT$21,$NM$21/$NS$21)),0)</f>
        <v/>
      </c>
      <c r="FL21" s="18">
        <f>IF(AND(165&gt;=$NQ$21,165&lt;=$NR$21),IF($NO$21="Single_Point",IF(165=$NQ$21,$NM$21,0),IF($NO$21="Bell_Curve",$NM$21*(165-$NQ$21+1)*($NR$21-165+1)/$NT$21,$NM$21/$NS$21)),0)</f>
        <v/>
      </c>
      <c r="FM21" s="18">
        <f>IF(AND(166&gt;=$NQ$21,166&lt;=$NR$21),IF($NO$21="Single_Point",IF(166=$NQ$21,$NM$21,0),IF($NO$21="Bell_Curve",$NM$21*(166-$NQ$21+1)*($NR$21-166+1)/$NT$21,$NM$21/$NS$21)),0)</f>
        <v/>
      </c>
      <c r="FN21" s="18">
        <f>IF(AND(167&gt;=$NQ$21,167&lt;=$NR$21),IF($NO$21="Single_Point",IF(167=$NQ$21,$NM$21,0),IF($NO$21="Bell_Curve",$NM$21*(167-$NQ$21+1)*($NR$21-167+1)/$NT$21,$NM$21/$NS$21)),0)</f>
        <v/>
      </c>
      <c r="FO21" s="18">
        <f>IF(AND(168&gt;=$NQ$21,168&lt;=$NR$21),IF($NO$21="Single_Point",IF(168=$NQ$21,$NM$21,0),IF($NO$21="Bell_Curve",$NM$21*(168-$NQ$21+1)*($NR$21-168+1)/$NT$21,$NM$21/$NS$21)),0)</f>
        <v/>
      </c>
      <c r="FP21" s="18">
        <f>IF(AND(169&gt;=$NQ$21,169&lt;=$NR$21),IF($NO$21="Single_Point",IF(169=$NQ$21,$NM$21,0),IF($NO$21="Bell_Curve",$NM$21*(169-$NQ$21+1)*($NR$21-169+1)/$NT$21,$NM$21/$NS$21)),0)</f>
        <v/>
      </c>
      <c r="FQ21" s="18">
        <f>IF(AND(170&gt;=$NQ$21,170&lt;=$NR$21),IF($NO$21="Single_Point",IF(170=$NQ$21,$NM$21,0),IF($NO$21="Bell_Curve",$NM$21*(170-$NQ$21+1)*($NR$21-170+1)/$NT$21,$NM$21/$NS$21)),0)</f>
        <v/>
      </c>
      <c r="FR21" s="18">
        <f>IF(AND(171&gt;=$NQ$21,171&lt;=$NR$21),IF($NO$21="Single_Point",IF(171=$NQ$21,$NM$21,0),IF($NO$21="Bell_Curve",$NM$21*(171-$NQ$21+1)*($NR$21-171+1)/$NT$21,$NM$21/$NS$21)),0)</f>
        <v/>
      </c>
      <c r="FS21" s="18">
        <f>IF(AND(172&gt;=$NQ$21,172&lt;=$NR$21),IF($NO$21="Single_Point",IF(172=$NQ$21,$NM$21,0),IF($NO$21="Bell_Curve",$NM$21*(172-$NQ$21+1)*($NR$21-172+1)/$NT$21,$NM$21/$NS$21)),0)</f>
        <v/>
      </c>
      <c r="FT21" s="18">
        <f>IF(AND(173&gt;=$NQ$21,173&lt;=$NR$21),IF($NO$21="Single_Point",IF(173=$NQ$21,$NM$21,0),IF($NO$21="Bell_Curve",$NM$21*(173-$NQ$21+1)*($NR$21-173+1)/$NT$21,$NM$21/$NS$21)),0)</f>
        <v/>
      </c>
      <c r="FU21" s="18">
        <f>IF(AND(174&gt;=$NQ$21,174&lt;=$NR$21),IF($NO$21="Single_Point",IF(174=$NQ$21,$NM$21,0),IF($NO$21="Bell_Curve",$NM$21*(174-$NQ$21+1)*($NR$21-174+1)/$NT$21,$NM$21/$NS$21)),0)</f>
        <v/>
      </c>
      <c r="FV21" s="18">
        <f>IF(AND(175&gt;=$NQ$21,175&lt;=$NR$21),IF($NO$21="Single_Point",IF(175=$NQ$21,$NM$21,0),IF($NO$21="Bell_Curve",$NM$21*(175-$NQ$21+1)*($NR$21-175+1)/$NT$21,$NM$21/$NS$21)),0)</f>
        <v/>
      </c>
      <c r="FW21" s="18">
        <f>IF(AND(176&gt;=$NQ$21,176&lt;=$NR$21),IF($NO$21="Single_Point",IF(176=$NQ$21,$NM$21,0),IF($NO$21="Bell_Curve",$NM$21*(176-$NQ$21+1)*($NR$21-176+1)/$NT$21,$NM$21/$NS$21)),0)</f>
        <v/>
      </c>
      <c r="FX21" s="18">
        <f>IF(AND(177&gt;=$NQ$21,177&lt;=$NR$21),IF($NO$21="Single_Point",IF(177=$NQ$21,$NM$21,0),IF($NO$21="Bell_Curve",$NM$21*(177-$NQ$21+1)*($NR$21-177+1)/$NT$21,$NM$21/$NS$21)),0)</f>
        <v/>
      </c>
      <c r="FY21" s="18">
        <f>IF(AND(178&gt;=$NQ$21,178&lt;=$NR$21),IF($NO$21="Single_Point",IF(178=$NQ$21,$NM$21,0),IF($NO$21="Bell_Curve",$NM$21*(178-$NQ$21+1)*($NR$21-178+1)/$NT$21,$NM$21/$NS$21)),0)</f>
        <v/>
      </c>
      <c r="FZ21" s="18">
        <f>IF(AND(179&gt;=$NQ$21,179&lt;=$NR$21),IF($NO$21="Single_Point",IF(179=$NQ$21,$NM$21,0),IF($NO$21="Bell_Curve",$NM$21*(179-$NQ$21+1)*($NR$21-179+1)/$NT$21,$NM$21/$NS$21)),0)</f>
        <v/>
      </c>
      <c r="GA21" s="18">
        <f>IF(AND(180&gt;=$NQ$21,180&lt;=$NR$21),IF($NO$21="Single_Point",IF(180=$NQ$21,$NM$21,0),IF($NO$21="Bell_Curve",$NM$21*(180-$NQ$21+1)*($NR$21-180+1)/$NT$21,$NM$21/$NS$21)),0)</f>
        <v/>
      </c>
      <c r="GB21" s="18">
        <f>IF(AND(181&gt;=$NQ$21,181&lt;=$NR$21),IF($NO$21="Single_Point",IF(181=$NQ$21,$NM$21,0),IF($NO$21="Bell_Curve",$NM$21*(181-$NQ$21+1)*($NR$21-181+1)/$NT$21,$NM$21/$NS$21)),0)</f>
        <v/>
      </c>
      <c r="GC21" s="18">
        <f>IF(AND(182&gt;=$NQ$21,182&lt;=$NR$21),IF($NO$21="Single_Point",IF(182=$NQ$21,$NM$21,0),IF($NO$21="Bell_Curve",$NM$21*(182-$NQ$21+1)*($NR$21-182+1)/$NT$21,$NM$21/$NS$21)),0)</f>
        <v/>
      </c>
      <c r="GD21" s="18">
        <f>IF(AND(183&gt;=$NQ$21,183&lt;=$NR$21),IF($NO$21="Single_Point",IF(183=$NQ$21,$NM$21,0),IF($NO$21="Bell_Curve",$NM$21*(183-$NQ$21+1)*($NR$21-183+1)/$NT$21,$NM$21/$NS$21)),0)</f>
        <v/>
      </c>
      <c r="GE21" s="18">
        <f>IF(AND(184&gt;=$NQ$21,184&lt;=$NR$21),IF($NO$21="Single_Point",IF(184=$NQ$21,$NM$21,0),IF($NO$21="Bell_Curve",$NM$21*(184-$NQ$21+1)*($NR$21-184+1)/$NT$21,$NM$21/$NS$21)),0)</f>
        <v/>
      </c>
      <c r="GF21" s="18">
        <f>IF(AND(185&gt;=$NQ$21,185&lt;=$NR$21),IF($NO$21="Single_Point",IF(185=$NQ$21,$NM$21,0),IF($NO$21="Bell_Curve",$NM$21*(185-$NQ$21+1)*($NR$21-185+1)/$NT$21,$NM$21/$NS$21)),0)</f>
        <v/>
      </c>
      <c r="GG21" s="18">
        <f>IF(AND(186&gt;=$NQ$21,186&lt;=$NR$21),IF($NO$21="Single_Point",IF(186=$NQ$21,$NM$21,0),IF($NO$21="Bell_Curve",$NM$21*(186-$NQ$21+1)*($NR$21-186+1)/$NT$21,$NM$21/$NS$21)),0)</f>
        <v/>
      </c>
      <c r="GH21" s="18">
        <f>IF(AND(187&gt;=$NQ$21,187&lt;=$NR$21),IF($NO$21="Single_Point",IF(187=$NQ$21,$NM$21,0),IF($NO$21="Bell_Curve",$NM$21*(187-$NQ$21+1)*($NR$21-187+1)/$NT$21,$NM$21/$NS$21)),0)</f>
        <v/>
      </c>
      <c r="GI21" s="18">
        <f>IF(AND(188&gt;=$NQ$21,188&lt;=$NR$21),IF($NO$21="Single_Point",IF(188=$NQ$21,$NM$21,0),IF($NO$21="Bell_Curve",$NM$21*(188-$NQ$21+1)*($NR$21-188+1)/$NT$21,$NM$21/$NS$21)),0)</f>
        <v/>
      </c>
      <c r="GJ21" s="18">
        <f>IF(AND(189&gt;=$NQ$21,189&lt;=$NR$21),IF($NO$21="Single_Point",IF(189=$NQ$21,$NM$21,0),IF($NO$21="Bell_Curve",$NM$21*(189-$NQ$21+1)*($NR$21-189+1)/$NT$21,$NM$21/$NS$21)),0)</f>
        <v/>
      </c>
      <c r="GK21" s="18">
        <f>IF(AND(190&gt;=$NQ$21,190&lt;=$NR$21),IF($NO$21="Single_Point",IF(190=$NQ$21,$NM$21,0),IF($NO$21="Bell_Curve",$NM$21*(190-$NQ$21+1)*($NR$21-190+1)/$NT$21,$NM$21/$NS$21)),0)</f>
        <v/>
      </c>
      <c r="GL21" s="18">
        <f>IF(AND(191&gt;=$NQ$21,191&lt;=$NR$21),IF($NO$21="Single_Point",IF(191=$NQ$21,$NM$21,0),IF($NO$21="Bell_Curve",$NM$21*(191-$NQ$21+1)*($NR$21-191+1)/$NT$21,$NM$21/$NS$21)),0)</f>
        <v/>
      </c>
      <c r="GM21" s="18">
        <f>IF(AND(192&gt;=$NQ$21,192&lt;=$NR$21),IF($NO$21="Single_Point",IF(192=$NQ$21,$NM$21,0),IF($NO$21="Bell_Curve",$NM$21*(192-$NQ$21+1)*($NR$21-192+1)/$NT$21,$NM$21/$NS$21)),0)</f>
        <v/>
      </c>
      <c r="GN21" s="18">
        <f>IF(AND(193&gt;=$NQ$21,193&lt;=$NR$21),IF($NO$21="Single_Point",IF(193=$NQ$21,$NM$21,0),IF($NO$21="Bell_Curve",$NM$21*(193-$NQ$21+1)*($NR$21-193+1)/$NT$21,$NM$21/$NS$21)),0)</f>
        <v/>
      </c>
      <c r="GO21" s="18">
        <f>IF(AND(194&gt;=$NQ$21,194&lt;=$NR$21),IF($NO$21="Single_Point",IF(194=$NQ$21,$NM$21,0),IF($NO$21="Bell_Curve",$NM$21*(194-$NQ$21+1)*($NR$21-194+1)/$NT$21,$NM$21/$NS$21)),0)</f>
        <v/>
      </c>
      <c r="GP21" s="18">
        <f>IF(AND(195&gt;=$NQ$21,195&lt;=$NR$21),IF($NO$21="Single_Point",IF(195=$NQ$21,$NM$21,0),IF($NO$21="Bell_Curve",$NM$21*(195-$NQ$21+1)*($NR$21-195+1)/$NT$21,$NM$21/$NS$21)),0)</f>
        <v/>
      </c>
      <c r="GQ21" s="18">
        <f>IF(AND(196&gt;=$NQ$21,196&lt;=$NR$21),IF($NO$21="Single_Point",IF(196=$NQ$21,$NM$21,0),IF($NO$21="Bell_Curve",$NM$21*(196-$NQ$21+1)*($NR$21-196+1)/$NT$21,$NM$21/$NS$21)),0)</f>
        <v/>
      </c>
      <c r="GR21" s="18">
        <f>IF(AND(197&gt;=$NQ$21,197&lt;=$NR$21),IF($NO$21="Single_Point",IF(197=$NQ$21,$NM$21,0),IF($NO$21="Bell_Curve",$NM$21*(197-$NQ$21+1)*($NR$21-197+1)/$NT$21,$NM$21/$NS$21)),0)</f>
        <v/>
      </c>
      <c r="GS21" s="18">
        <f>IF(AND(198&gt;=$NQ$21,198&lt;=$NR$21),IF($NO$21="Single_Point",IF(198=$NQ$21,$NM$21,0),IF($NO$21="Bell_Curve",$NM$21*(198-$NQ$21+1)*($NR$21-198+1)/$NT$21,$NM$21/$NS$21)),0)</f>
        <v/>
      </c>
      <c r="GT21" s="18">
        <f>IF(AND(199&gt;=$NQ$21,199&lt;=$NR$21),IF($NO$21="Single_Point",IF(199=$NQ$21,$NM$21,0),IF($NO$21="Bell_Curve",$NM$21*(199-$NQ$21+1)*($NR$21-199+1)/$NT$21,$NM$21/$NS$21)),0)</f>
        <v/>
      </c>
      <c r="GU21" s="18">
        <f>IF(AND(200&gt;=$NQ$21,200&lt;=$NR$21),IF($NO$21="Single_Point",IF(200=$NQ$21,$NM$21,0),IF($NO$21="Bell_Curve",$NM$21*(200-$NQ$21+1)*($NR$21-200+1)/$NT$21,$NM$21/$NS$21)),0)</f>
        <v/>
      </c>
      <c r="GV21" s="18">
        <f>IF(AND(201&gt;=$NQ$21,201&lt;=$NR$21),IF($NO$21="Single_Point",IF(201=$NQ$21,$NM$21,0),IF($NO$21="Bell_Curve",$NM$21*(201-$NQ$21+1)*($NR$21-201+1)/$NT$21,$NM$21/$NS$21)),0)</f>
        <v/>
      </c>
      <c r="GW21" s="18">
        <f>IF(AND(202&gt;=$NQ$21,202&lt;=$NR$21),IF($NO$21="Single_Point",IF(202=$NQ$21,$NM$21,0),IF($NO$21="Bell_Curve",$NM$21*(202-$NQ$21+1)*($NR$21-202+1)/$NT$21,$NM$21/$NS$21)),0)</f>
        <v/>
      </c>
      <c r="GX21" s="18">
        <f>IF(AND(203&gt;=$NQ$21,203&lt;=$NR$21),IF($NO$21="Single_Point",IF(203=$NQ$21,$NM$21,0),IF($NO$21="Bell_Curve",$NM$21*(203-$NQ$21+1)*($NR$21-203+1)/$NT$21,$NM$21/$NS$21)),0)</f>
        <v/>
      </c>
      <c r="GY21" s="18">
        <f>IF(AND(204&gt;=$NQ$21,204&lt;=$NR$21),IF($NO$21="Single_Point",IF(204=$NQ$21,$NM$21,0),IF($NO$21="Bell_Curve",$NM$21*(204-$NQ$21+1)*($NR$21-204+1)/$NT$21,$NM$21/$NS$21)),0)</f>
        <v/>
      </c>
      <c r="GZ21" s="18">
        <f>IF(AND(205&gt;=$NQ$21,205&lt;=$NR$21),IF($NO$21="Single_Point",IF(205=$NQ$21,$NM$21,0),IF($NO$21="Bell_Curve",$NM$21*(205-$NQ$21+1)*($NR$21-205+1)/$NT$21,$NM$21/$NS$21)),0)</f>
        <v/>
      </c>
      <c r="HA21" s="18">
        <f>IF(AND(206&gt;=$NQ$21,206&lt;=$NR$21),IF($NO$21="Single_Point",IF(206=$NQ$21,$NM$21,0),IF($NO$21="Bell_Curve",$NM$21*(206-$NQ$21+1)*($NR$21-206+1)/$NT$21,$NM$21/$NS$21)),0)</f>
        <v/>
      </c>
      <c r="HB21" s="18">
        <f>IF(AND(207&gt;=$NQ$21,207&lt;=$NR$21),IF($NO$21="Single_Point",IF(207=$NQ$21,$NM$21,0),IF($NO$21="Bell_Curve",$NM$21*(207-$NQ$21+1)*($NR$21-207+1)/$NT$21,$NM$21/$NS$21)),0)</f>
        <v/>
      </c>
      <c r="HC21" s="18">
        <f>IF(AND(208&gt;=$NQ$21,208&lt;=$NR$21),IF($NO$21="Single_Point",IF(208=$NQ$21,$NM$21,0),IF($NO$21="Bell_Curve",$NM$21*(208-$NQ$21+1)*($NR$21-208+1)/$NT$21,$NM$21/$NS$21)),0)</f>
        <v/>
      </c>
      <c r="HD21" s="18">
        <f>IF(AND(209&gt;=$NQ$21,209&lt;=$NR$21),IF($NO$21="Single_Point",IF(209=$NQ$21,$NM$21,0),IF($NO$21="Bell_Curve",$NM$21*(209-$NQ$21+1)*($NR$21-209+1)/$NT$21,$NM$21/$NS$21)),0)</f>
        <v/>
      </c>
      <c r="HE21" s="18">
        <f>IF(AND(210&gt;=$NQ$21,210&lt;=$NR$21),IF($NO$21="Single_Point",IF(210=$NQ$21,$NM$21,0),IF($NO$21="Bell_Curve",$NM$21*(210-$NQ$21+1)*($NR$21-210+1)/$NT$21,$NM$21/$NS$21)),0)</f>
        <v/>
      </c>
      <c r="HF21" s="18">
        <f>IF(AND(211&gt;=$NQ$21,211&lt;=$NR$21),IF($NO$21="Single_Point",IF(211=$NQ$21,$NM$21,0),IF($NO$21="Bell_Curve",$NM$21*(211-$NQ$21+1)*($NR$21-211+1)/$NT$21,$NM$21/$NS$21)),0)</f>
        <v/>
      </c>
      <c r="HG21" s="18">
        <f>IF(AND(212&gt;=$NQ$21,212&lt;=$NR$21),IF($NO$21="Single_Point",IF(212=$NQ$21,$NM$21,0),IF($NO$21="Bell_Curve",$NM$21*(212-$NQ$21+1)*($NR$21-212+1)/$NT$21,$NM$21/$NS$21)),0)</f>
        <v/>
      </c>
      <c r="HH21" s="18">
        <f>IF(AND(213&gt;=$NQ$21,213&lt;=$NR$21),IF($NO$21="Single_Point",IF(213=$NQ$21,$NM$21,0),IF($NO$21="Bell_Curve",$NM$21*(213-$NQ$21+1)*($NR$21-213+1)/$NT$21,$NM$21/$NS$21)),0)</f>
        <v/>
      </c>
      <c r="HI21" s="18">
        <f>IF(AND(214&gt;=$NQ$21,214&lt;=$NR$21),IF($NO$21="Single_Point",IF(214=$NQ$21,$NM$21,0),IF($NO$21="Bell_Curve",$NM$21*(214-$NQ$21+1)*($NR$21-214+1)/$NT$21,$NM$21/$NS$21)),0)</f>
        <v/>
      </c>
      <c r="HJ21" s="18">
        <f>IF(AND(215&gt;=$NQ$21,215&lt;=$NR$21),IF($NO$21="Single_Point",IF(215=$NQ$21,$NM$21,0),IF($NO$21="Bell_Curve",$NM$21*(215-$NQ$21+1)*($NR$21-215+1)/$NT$21,$NM$21/$NS$21)),0)</f>
        <v/>
      </c>
      <c r="HK21" s="18">
        <f>IF(AND(216&gt;=$NQ$21,216&lt;=$NR$21),IF($NO$21="Single_Point",IF(216=$NQ$21,$NM$21,0),IF($NO$21="Bell_Curve",$NM$21*(216-$NQ$21+1)*($NR$21-216+1)/$NT$21,$NM$21/$NS$21)),0)</f>
        <v/>
      </c>
      <c r="HL21" s="18">
        <f>IF(AND(217&gt;=$NQ$21,217&lt;=$NR$21),IF($NO$21="Single_Point",IF(217=$NQ$21,$NM$21,0),IF($NO$21="Bell_Curve",$NM$21*(217-$NQ$21+1)*($NR$21-217+1)/$NT$21,$NM$21/$NS$21)),0)</f>
        <v/>
      </c>
      <c r="HM21" s="18">
        <f>IF(AND(218&gt;=$NQ$21,218&lt;=$NR$21),IF($NO$21="Single_Point",IF(218=$NQ$21,$NM$21,0),IF($NO$21="Bell_Curve",$NM$21*(218-$NQ$21+1)*($NR$21-218+1)/$NT$21,$NM$21/$NS$21)),0)</f>
        <v/>
      </c>
      <c r="HN21" s="18">
        <f>IF(AND(219&gt;=$NQ$21,219&lt;=$NR$21),IF($NO$21="Single_Point",IF(219=$NQ$21,$NM$21,0),IF($NO$21="Bell_Curve",$NM$21*(219-$NQ$21+1)*($NR$21-219+1)/$NT$21,$NM$21/$NS$21)),0)</f>
        <v/>
      </c>
      <c r="HO21" s="18">
        <f>IF(AND(220&gt;=$NQ$21,220&lt;=$NR$21),IF($NO$21="Single_Point",IF(220=$NQ$21,$NM$21,0),IF($NO$21="Bell_Curve",$NM$21*(220-$NQ$21+1)*($NR$21-220+1)/$NT$21,$NM$21/$NS$21)),0)</f>
        <v/>
      </c>
      <c r="HP21" s="18">
        <f>IF(AND(221&gt;=$NQ$21,221&lt;=$NR$21),IF($NO$21="Single_Point",IF(221=$NQ$21,$NM$21,0),IF($NO$21="Bell_Curve",$NM$21*(221-$NQ$21+1)*($NR$21-221+1)/$NT$21,$NM$21/$NS$21)),0)</f>
        <v/>
      </c>
      <c r="HQ21" s="18">
        <f>IF(AND(222&gt;=$NQ$21,222&lt;=$NR$21),IF($NO$21="Single_Point",IF(222=$NQ$21,$NM$21,0),IF($NO$21="Bell_Curve",$NM$21*(222-$NQ$21+1)*($NR$21-222+1)/$NT$21,$NM$21/$NS$21)),0)</f>
        <v/>
      </c>
      <c r="HR21" s="18">
        <f>IF(AND(223&gt;=$NQ$21,223&lt;=$NR$21),IF($NO$21="Single_Point",IF(223=$NQ$21,$NM$21,0),IF($NO$21="Bell_Curve",$NM$21*(223-$NQ$21+1)*($NR$21-223+1)/$NT$21,$NM$21/$NS$21)),0)</f>
        <v/>
      </c>
      <c r="HS21" s="18">
        <f>IF(AND(224&gt;=$NQ$21,224&lt;=$NR$21),IF($NO$21="Single_Point",IF(224=$NQ$21,$NM$21,0),IF($NO$21="Bell_Curve",$NM$21*(224-$NQ$21+1)*($NR$21-224+1)/$NT$21,$NM$21/$NS$21)),0)</f>
        <v/>
      </c>
      <c r="HT21" s="18">
        <f>IF(AND(225&gt;=$NQ$21,225&lt;=$NR$21),IF($NO$21="Single_Point",IF(225=$NQ$21,$NM$21,0),IF($NO$21="Bell_Curve",$NM$21*(225-$NQ$21+1)*($NR$21-225+1)/$NT$21,$NM$21/$NS$21)),0)</f>
        <v/>
      </c>
      <c r="HU21" s="18">
        <f>IF(AND(226&gt;=$NQ$21,226&lt;=$NR$21),IF($NO$21="Single_Point",IF(226=$NQ$21,$NM$21,0),IF($NO$21="Bell_Curve",$NM$21*(226-$NQ$21+1)*($NR$21-226+1)/$NT$21,$NM$21/$NS$21)),0)</f>
        <v/>
      </c>
      <c r="HV21" s="18">
        <f>IF(AND(227&gt;=$NQ$21,227&lt;=$NR$21),IF($NO$21="Single_Point",IF(227=$NQ$21,$NM$21,0),IF($NO$21="Bell_Curve",$NM$21*(227-$NQ$21+1)*($NR$21-227+1)/$NT$21,$NM$21/$NS$21)),0)</f>
        <v/>
      </c>
      <c r="HW21" s="18">
        <f>IF(AND(228&gt;=$NQ$21,228&lt;=$NR$21),IF($NO$21="Single_Point",IF(228=$NQ$21,$NM$21,0),IF($NO$21="Bell_Curve",$NM$21*(228-$NQ$21+1)*($NR$21-228+1)/$NT$21,$NM$21/$NS$21)),0)</f>
        <v/>
      </c>
      <c r="HX21" s="18">
        <f>IF(AND(229&gt;=$NQ$21,229&lt;=$NR$21),IF($NO$21="Single_Point",IF(229=$NQ$21,$NM$21,0),IF($NO$21="Bell_Curve",$NM$21*(229-$NQ$21+1)*($NR$21-229+1)/$NT$21,$NM$21/$NS$21)),0)</f>
        <v/>
      </c>
      <c r="HY21" s="18">
        <f>IF(AND(230&gt;=$NQ$21,230&lt;=$NR$21),IF($NO$21="Single_Point",IF(230=$NQ$21,$NM$21,0),IF($NO$21="Bell_Curve",$NM$21*(230-$NQ$21+1)*($NR$21-230+1)/$NT$21,$NM$21/$NS$21)),0)</f>
        <v/>
      </c>
      <c r="HZ21" s="18">
        <f>IF(AND(231&gt;=$NQ$21,231&lt;=$NR$21),IF($NO$21="Single_Point",IF(231=$NQ$21,$NM$21,0),IF($NO$21="Bell_Curve",$NM$21*(231-$NQ$21+1)*($NR$21-231+1)/$NT$21,$NM$21/$NS$21)),0)</f>
        <v/>
      </c>
      <c r="IA21" s="18">
        <f>IF(AND(232&gt;=$NQ$21,232&lt;=$NR$21),IF($NO$21="Single_Point",IF(232=$NQ$21,$NM$21,0),IF($NO$21="Bell_Curve",$NM$21*(232-$NQ$21+1)*($NR$21-232+1)/$NT$21,$NM$21/$NS$21)),0)</f>
        <v/>
      </c>
      <c r="IB21" s="18">
        <f>IF(AND(233&gt;=$NQ$21,233&lt;=$NR$21),IF($NO$21="Single_Point",IF(233=$NQ$21,$NM$21,0),IF($NO$21="Bell_Curve",$NM$21*(233-$NQ$21+1)*($NR$21-233+1)/$NT$21,$NM$21/$NS$21)),0)</f>
        <v/>
      </c>
      <c r="IC21" s="18">
        <f>IF(AND(234&gt;=$NQ$21,234&lt;=$NR$21),IF($NO$21="Single_Point",IF(234=$NQ$21,$NM$21,0),IF($NO$21="Bell_Curve",$NM$21*(234-$NQ$21+1)*($NR$21-234+1)/$NT$21,$NM$21/$NS$21)),0)</f>
        <v/>
      </c>
      <c r="ID21" s="18">
        <f>IF(AND(235&gt;=$NQ$21,235&lt;=$NR$21),IF($NO$21="Single_Point",IF(235=$NQ$21,$NM$21,0),IF($NO$21="Bell_Curve",$NM$21*(235-$NQ$21+1)*($NR$21-235+1)/$NT$21,$NM$21/$NS$21)),0)</f>
        <v/>
      </c>
      <c r="IE21" s="18">
        <f>IF(AND(236&gt;=$NQ$21,236&lt;=$NR$21),IF($NO$21="Single_Point",IF(236=$NQ$21,$NM$21,0),IF($NO$21="Bell_Curve",$NM$21*(236-$NQ$21+1)*($NR$21-236+1)/$NT$21,$NM$21/$NS$21)),0)</f>
        <v/>
      </c>
      <c r="IF21" s="18">
        <f>IF(AND(237&gt;=$NQ$21,237&lt;=$NR$21),IF($NO$21="Single_Point",IF(237=$NQ$21,$NM$21,0),IF($NO$21="Bell_Curve",$NM$21*(237-$NQ$21+1)*($NR$21-237+1)/$NT$21,$NM$21/$NS$21)),0)</f>
        <v/>
      </c>
      <c r="IG21" s="18">
        <f>IF(AND(238&gt;=$NQ$21,238&lt;=$NR$21),IF($NO$21="Single_Point",IF(238=$NQ$21,$NM$21,0),IF($NO$21="Bell_Curve",$NM$21*(238-$NQ$21+1)*($NR$21-238+1)/$NT$21,$NM$21/$NS$21)),0)</f>
        <v/>
      </c>
      <c r="IH21" s="18">
        <f>IF(AND(239&gt;=$NQ$21,239&lt;=$NR$21),IF($NO$21="Single_Point",IF(239=$NQ$21,$NM$21,0),IF($NO$21="Bell_Curve",$NM$21*(239-$NQ$21+1)*($NR$21-239+1)/$NT$21,$NM$21/$NS$21)),0)</f>
        <v/>
      </c>
      <c r="II21" s="18">
        <f>IF(AND(240&gt;=$NQ$21,240&lt;=$NR$21),IF($NO$21="Single_Point",IF(240=$NQ$21,$NM$21,0),IF($NO$21="Bell_Curve",$NM$21*(240-$NQ$21+1)*($NR$21-240+1)/$NT$21,$NM$21/$NS$21)),0)</f>
        <v/>
      </c>
      <c r="IJ21" s="18">
        <f>IF(AND(241&gt;=$NQ$21,241&lt;=$NR$21),IF($NO$21="Single_Point",IF(241=$NQ$21,$NM$21,0),IF($NO$21="Bell_Curve",$NM$21*(241-$NQ$21+1)*($NR$21-241+1)/$NT$21,$NM$21/$NS$21)),0)</f>
        <v/>
      </c>
      <c r="IK21" s="18">
        <f>IF(AND(242&gt;=$NQ$21,242&lt;=$NR$21),IF($NO$21="Single_Point",IF(242=$NQ$21,$NM$21,0),IF($NO$21="Bell_Curve",$NM$21*(242-$NQ$21+1)*($NR$21-242+1)/$NT$21,$NM$21/$NS$21)),0)</f>
        <v/>
      </c>
      <c r="IL21" s="18">
        <f>IF(AND(243&gt;=$NQ$21,243&lt;=$NR$21),IF($NO$21="Single_Point",IF(243=$NQ$21,$NM$21,0),IF($NO$21="Bell_Curve",$NM$21*(243-$NQ$21+1)*($NR$21-243+1)/$NT$21,$NM$21/$NS$21)),0)</f>
        <v/>
      </c>
      <c r="IM21" s="18">
        <f>IF(AND(244&gt;=$NQ$21,244&lt;=$NR$21),IF($NO$21="Single_Point",IF(244=$NQ$21,$NM$21,0),IF($NO$21="Bell_Curve",$NM$21*(244-$NQ$21+1)*($NR$21-244+1)/$NT$21,$NM$21/$NS$21)),0)</f>
        <v/>
      </c>
      <c r="IN21" s="18">
        <f>IF(AND(245&gt;=$NQ$21,245&lt;=$NR$21),IF($NO$21="Single_Point",IF(245=$NQ$21,$NM$21,0),IF($NO$21="Bell_Curve",$NM$21*(245-$NQ$21+1)*($NR$21-245+1)/$NT$21,$NM$21/$NS$21)),0)</f>
        <v/>
      </c>
      <c r="IO21" s="18">
        <f>IF(AND(246&gt;=$NQ$21,246&lt;=$NR$21),IF($NO$21="Single_Point",IF(246=$NQ$21,$NM$21,0),IF($NO$21="Bell_Curve",$NM$21*(246-$NQ$21+1)*($NR$21-246+1)/$NT$21,$NM$21/$NS$21)),0)</f>
        <v/>
      </c>
      <c r="IP21" s="18">
        <f>IF(AND(247&gt;=$NQ$21,247&lt;=$NR$21),IF($NO$21="Single_Point",IF(247=$NQ$21,$NM$21,0),IF($NO$21="Bell_Curve",$NM$21*(247-$NQ$21+1)*($NR$21-247+1)/$NT$21,$NM$21/$NS$21)),0)</f>
        <v/>
      </c>
      <c r="IQ21" s="18">
        <f>IF(AND(248&gt;=$NQ$21,248&lt;=$NR$21),IF($NO$21="Single_Point",IF(248=$NQ$21,$NM$21,0),IF($NO$21="Bell_Curve",$NM$21*(248-$NQ$21+1)*($NR$21-248+1)/$NT$21,$NM$21/$NS$21)),0)</f>
        <v/>
      </c>
      <c r="IR21" s="18">
        <f>IF(AND(249&gt;=$NQ$21,249&lt;=$NR$21),IF($NO$21="Single_Point",IF(249=$NQ$21,$NM$21,0),IF($NO$21="Bell_Curve",$NM$21*(249-$NQ$21+1)*($NR$21-249+1)/$NT$21,$NM$21/$NS$21)),0)</f>
        <v/>
      </c>
      <c r="IS21" s="18">
        <f>IF(AND(250&gt;=$NQ$21,250&lt;=$NR$21),IF($NO$21="Single_Point",IF(250=$NQ$21,$NM$21,0),IF($NO$21="Bell_Curve",$NM$21*(250-$NQ$21+1)*($NR$21-250+1)/$NT$21,$NM$21/$NS$21)),0)</f>
        <v/>
      </c>
      <c r="IT21" s="18">
        <f>IF(AND(251&gt;=$NQ$21,251&lt;=$NR$21),IF($NO$21="Single_Point",IF(251=$NQ$21,$NM$21,0),IF($NO$21="Bell_Curve",$NM$21*(251-$NQ$21+1)*($NR$21-251+1)/$NT$21,$NM$21/$NS$21)),0)</f>
        <v/>
      </c>
      <c r="IU21" s="18">
        <f>IF(AND(252&gt;=$NQ$21,252&lt;=$NR$21),IF($NO$21="Single_Point",IF(252=$NQ$21,$NM$21,0),IF($NO$21="Bell_Curve",$NM$21*(252-$NQ$21+1)*($NR$21-252+1)/$NT$21,$NM$21/$NS$21)),0)</f>
        <v/>
      </c>
      <c r="IV21" s="18">
        <f>IF(AND(253&gt;=$NQ$21,253&lt;=$NR$21),IF($NO$21="Single_Point",IF(253=$NQ$21,$NM$21,0),IF($NO$21="Bell_Curve",$NM$21*(253-$NQ$21+1)*($NR$21-253+1)/$NT$21,$NM$21/$NS$21)),0)</f>
        <v/>
      </c>
      <c r="IW21" s="18">
        <f>IF(AND(254&gt;=$NQ$21,254&lt;=$NR$21),IF($NO$21="Single_Point",IF(254=$NQ$21,$NM$21,0),IF($NO$21="Bell_Curve",$NM$21*(254-$NQ$21+1)*($NR$21-254+1)/$NT$21,$NM$21/$NS$21)),0)</f>
        <v/>
      </c>
      <c r="IX21" s="18">
        <f>IF(AND(255&gt;=$NQ$21,255&lt;=$NR$21),IF($NO$21="Single_Point",IF(255=$NQ$21,$NM$21,0),IF($NO$21="Bell_Curve",$NM$21*(255-$NQ$21+1)*($NR$21-255+1)/$NT$21,$NM$21/$NS$21)),0)</f>
        <v/>
      </c>
      <c r="IY21" s="18">
        <f>IF(AND(256&gt;=$NQ$21,256&lt;=$NR$21),IF($NO$21="Single_Point",IF(256=$NQ$21,$NM$21,0),IF($NO$21="Bell_Curve",$NM$21*(256-$NQ$21+1)*($NR$21-256+1)/$NT$21,$NM$21/$NS$21)),0)</f>
        <v/>
      </c>
      <c r="IZ21" s="18">
        <f>IF(AND(257&gt;=$NQ$21,257&lt;=$NR$21),IF($NO$21="Single_Point",IF(257=$NQ$21,$NM$21,0),IF($NO$21="Bell_Curve",$NM$21*(257-$NQ$21+1)*($NR$21-257+1)/$NT$21,$NM$21/$NS$21)),0)</f>
        <v/>
      </c>
      <c r="JA21" s="18">
        <f>IF(AND(258&gt;=$NQ$21,258&lt;=$NR$21),IF($NO$21="Single_Point",IF(258=$NQ$21,$NM$21,0),IF($NO$21="Bell_Curve",$NM$21*(258-$NQ$21+1)*($NR$21-258+1)/$NT$21,$NM$21/$NS$21)),0)</f>
        <v/>
      </c>
      <c r="JB21" s="18">
        <f>IF(AND(259&gt;=$NQ$21,259&lt;=$NR$21),IF($NO$21="Single_Point",IF(259=$NQ$21,$NM$21,0),IF($NO$21="Bell_Curve",$NM$21*(259-$NQ$21+1)*($NR$21-259+1)/$NT$21,$NM$21/$NS$21)),0)</f>
        <v/>
      </c>
      <c r="JC21" s="18">
        <f>IF(AND(260&gt;=$NQ$21,260&lt;=$NR$21),IF($NO$21="Single_Point",IF(260=$NQ$21,$NM$21,0),IF($NO$21="Bell_Curve",$NM$21*(260-$NQ$21+1)*($NR$21-260+1)/$NT$21,$NM$21/$NS$21)),0)</f>
        <v/>
      </c>
      <c r="JD21" s="18">
        <f>IF(AND(261&gt;=$NQ$21,261&lt;=$NR$21),IF($NO$21="Single_Point",IF(261=$NQ$21,$NM$21,0),IF($NO$21="Bell_Curve",$NM$21*(261-$NQ$21+1)*($NR$21-261+1)/$NT$21,$NM$21/$NS$21)),0)</f>
        <v/>
      </c>
      <c r="JE21" s="18">
        <f>IF(AND(262&gt;=$NQ$21,262&lt;=$NR$21),IF($NO$21="Single_Point",IF(262=$NQ$21,$NM$21,0),IF($NO$21="Bell_Curve",$NM$21*(262-$NQ$21+1)*($NR$21-262+1)/$NT$21,$NM$21/$NS$21)),0)</f>
        <v/>
      </c>
      <c r="JF21" s="18">
        <f>IF(AND(263&gt;=$NQ$21,263&lt;=$NR$21),IF($NO$21="Single_Point",IF(263=$NQ$21,$NM$21,0),IF($NO$21="Bell_Curve",$NM$21*(263-$NQ$21+1)*($NR$21-263+1)/$NT$21,$NM$21/$NS$21)),0)</f>
        <v/>
      </c>
      <c r="JG21" s="18">
        <f>IF(AND(264&gt;=$NQ$21,264&lt;=$NR$21),IF($NO$21="Single_Point",IF(264=$NQ$21,$NM$21,0),IF($NO$21="Bell_Curve",$NM$21*(264-$NQ$21+1)*($NR$21-264+1)/$NT$21,$NM$21/$NS$21)),0)</f>
        <v/>
      </c>
      <c r="JH21" s="18">
        <f>IF(AND(265&gt;=$NQ$21,265&lt;=$NR$21),IF($NO$21="Single_Point",IF(265=$NQ$21,$NM$21,0),IF($NO$21="Bell_Curve",$NM$21*(265-$NQ$21+1)*($NR$21-265+1)/$NT$21,$NM$21/$NS$21)),0)</f>
        <v/>
      </c>
      <c r="JI21" s="18">
        <f>IF(AND(266&gt;=$NQ$21,266&lt;=$NR$21),IF($NO$21="Single_Point",IF(266=$NQ$21,$NM$21,0),IF($NO$21="Bell_Curve",$NM$21*(266-$NQ$21+1)*($NR$21-266+1)/$NT$21,$NM$21/$NS$21)),0)</f>
        <v/>
      </c>
      <c r="JJ21" s="18">
        <f>IF(AND(267&gt;=$NQ$21,267&lt;=$NR$21),IF($NO$21="Single_Point",IF(267=$NQ$21,$NM$21,0),IF($NO$21="Bell_Curve",$NM$21*(267-$NQ$21+1)*($NR$21-267+1)/$NT$21,$NM$21/$NS$21)),0)</f>
        <v/>
      </c>
      <c r="JK21" s="18">
        <f>IF(AND(268&gt;=$NQ$21,268&lt;=$NR$21),IF($NO$21="Single_Point",IF(268=$NQ$21,$NM$21,0),IF($NO$21="Bell_Curve",$NM$21*(268-$NQ$21+1)*($NR$21-268+1)/$NT$21,$NM$21/$NS$21)),0)</f>
        <v/>
      </c>
      <c r="JL21" s="18">
        <f>IF(AND(269&gt;=$NQ$21,269&lt;=$NR$21),IF($NO$21="Single_Point",IF(269=$NQ$21,$NM$21,0),IF($NO$21="Bell_Curve",$NM$21*(269-$NQ$21+1)*($NR$21-269+1)/$NT$21,$NM$21/$NS$21)),0)</f>
        <v/>
      </c>
      <c r="JM21" s="18">
        <f>IF(AND(270&gt;=$NQ$21,270&lt;=$NR$21),IF($NO$21="Single_Point",IF(270=$NQ$21,$NM$21,0),IF($NO$21="Bell_Curve",$NM$21*(270-$NQ$21+1)*($NR$21-270+1)/$NT$21,$NM$21/$NS$21)),0)</f>
        <v/>
      </c>
      <c r="JN21" s="18">
        <f>IF(AND(271&gt;=$NQ$21,271&lt;=$NR$21),IF($NO$21="Single_Point",IF(271=$NQ$21,$NM$21,0),IF($NO$21="Bell_Curve",$NM$21*(271-$NQ$21+1)*($NR$21-271+1)/$NT$21,$NM$21/$NS$21)),0)</f>
        <v/>
      </c>
      <c r="JO21" s="18">
        <f>IF(AND(272&gt;=$NQ$21,272&lt;=$NR$21),IF($NO$21="Single_Point",IF(272=$NQ$21,$NM$21,0),IF($NO$21="Bell_Curve",$NM$21*(272-$NQ$21+1)*($NR$21-272+1)/$NT$21,$NM$21/$NS$21)),0)</f>
        <v/>
      </c>
      <c r="JP21" s="18">
        <f>IF(AND(273&gt;=$NQ$21,273&lt;=$NR$21),IF($NO$21="Single_Point",IF(273=$NQ$21,$NM$21,0),IF($NO$21="Bell_Curve",$NM$21*(273-$NQ$21+1)*($NR$21-273+1)/$NT$21,$NM$21/$NS$21)),0)</f>
        <v/>
      </c>
      <c r="JQ21" s="18">
        <f>IF(AND(274&gt;=$NQ$21,274&lt;=$NR$21),IF($NO$21="Single_Point",IF(274=$NQ$21,$NM$21,0),IF($NO$21="Bell_Curve",$NM$21*(274-$NQ$21+1)*($NR$21-274+1)/$NT$21,$NM$21/$NS$21)),0)</f>
        <v/>
      </c>
      <c r="JR21" s="18">
        <f>IF(AND(275&gt;=$NQ$21,275&lt;=$NR$21),IF($NO$21="Single_Point",IF(275=$NQ$21,$NM$21,0),IF($NO$21="Bell_Curve",$NM$21*(275-$NQ$21+1)*($NR$21-275+1)/$NT$21,$NM$21/$NS$21)),0)</f>
        <v/>
      </c>
      <c r="JS21" s="18">
        <f>IF(AND(276&gt;=$NQ$21,276&lt;=$NR$21),IF($NO$21="Single_Point",IF(276=$NQ$21,$NM$21,0),IF($NO$21="Bell_Curve",$NM$21*(276-$NQ$21+1)*($NR$21-276+1)/$NT$21,$NM$21/$NS$21)),0)</f>
        <v/>
      </c>
      <c r="JT21" s="18">
        <f>IF(AND(277&gt;=$NQ$21,277&lt;=$NR$21),IF($NO$21="Single_Point",IF(277=$NQ$21,$NM$21,0),IF($NO$21="Bell_Curve",$NM$21*(277-$NQ$21+1)*($NR$21-277+1)/$NT$21,$NM$21/$NS$21)),0)</f>
        <v/>
      </c>
      <c r="JU21" s="18">
        <f>IF(AND(278&gt;=$NQ$21,278&lt;=$NR$21),IF($NO$21="Single_Point",IF(278=$NQ$21,$NM$21,0),IF($NO$21="Bell_Curve",$NM$21*(278-$NQ$21+1)*($NR$21-278+1)/$NT$21,$NM$21/$NS$21)),0)</f>
        <v/>
      </c>
      <c r="JV21" s="18">
        <f>IF(AND(279&gt;=$NQ$21,279&lt;=$NR$21),IF($NO$21="Single_Point",IF(279=$NQ$21,$NM$21,0),IF($NO$21="Bell_Curve",$NM$21*(279-$NQ$21+1)*($NR$21-279+1)/$NT$21,$NM$21/$NS$21)),0)</f>
        <v/>
      </c>
      <c r="JW21" s="18">
        <f>IF(AND(280&gt;=$NQ$21,280&lt;=$NR$21),IF($NO$21="Single_Point",IF(280=$NQ$21,$NM$21,0),IF($NO$21="Bell_Curve",$NM$21*(280-$NQ$21+1)*($NR$21-280+1)/$NT$21,$NM$21/$NS$21)),0)</f>
        <v/>
      </c>
      <c r="JX21" s="18">
        <f>IF(AND(281&gt;=$NQ$21,281&lt;=$NR$21),IF($NO$21="Single_Point",IF(281=$NQ$21,$NM$21,0),IF($NO$21="Bell_Curve",$NM$21*(281-$NQ$21+1)*($NR$21-281+1)/$NT$21,$NM$21/$NS$21)),0)</f>
        <v/>
      </c>
      <c r="JY21" s="18">
        <f>IF(AND(282&gt;=$NQ$21,282&lt;=$NR$21),IF($NO$21="Single_Point",IF(282=$NQ$21,$NM$21,0),IF($NO$21="Bell_Curve",$NM$21*(282-$NQ$21+1)*($NR$21-282+1)/$NT$21,$NM$21/$NS$21)),0)</f>
        <v/>
      </c>
      <c r="JZ21" s="18">
        <f>IF(AND(283&gt;=$NQ$21,283&lt;=$NR$21),IF($NO$21="Single_Point",IF(283=$NQ$21,$NM$21,0),IF($NO$21="Bell_Curve",$NM$21*(283-$NQ$21+1)*($NR$21-283+1)/$NT$21,$NM$21/$NS$21)),0)</f>
        <v/>
      </c>
      <c r="KA21" s="18">
        <f>IF(AND(284&gt;=$NQ$21,284&lt;=$NR$21),IF($NO$21="Single_Point",IF(284=$NQ$21,$NM$21,0),IF($NO$21="Bell_Curve",$NM$21*(284-$NQ$21+1)*($NR$21-284+1)/$NT$21,$NM$21/$NS$21)),0)</f>
        <v/>
      </c>
      <c r="KB21" s="18">
        <f>IF(AND(285&gt;=$NQ$21,285&lt;=$NR$21),IF($NO$21="Single_Point",IF(285=$NQ$21,$NM$21,0),IF($NO$21="Bell_Curve",$NM$21*(285-$NQ$21+1)*($NR$21-285+1)/$NT$21,$NM$21/$NS$21)),0)</f>
        <v/>
      </c>
      <c r="KC21" s="18">
        <f>IF(AND(286&gt;=$NQ$21,286&lt;=$NR$21),IF($NO$21="Single_Point",IF(286=$NQ$21,$NM$21,0),IF($NO$21="Bell_Curve",$NM$21*(286-$NQ$21+1)*($NR$21-286+1)/$NT$21,$NM$21/$NS$21)),0)</f>
        <v/>
      </c>
      <c r="KD21" s="18">
        <f>IF(AND(287&gt;=$NQ$21,287&lt;=$NR$21),IF($NO$21="Single_Point",IF(287=$NQ$21,$NM$21,0),IF($NO$21="Bell_Curve",$NM$21*(287-$NQ$21+1)*($NR$21-287+1)/$NT$21,$NM$21/$NS$21)),0)</f>
        <v/>
      </c>
      <c r="KE21" s="18">
        <f>IF(AND(288&gt;=$NQ$21,288&lt;=$NR$21),IF($NO$21="Single_Point",IF(288=$NQ$21,$NM$21,0),IF($NO$21="Bell_Curve",$NM$21*(288-$NQ$21+1)*($NR$21-288+1)/$NT$21,$NM$21/$NS$21)),0)</f>
        <v/>
      </c>
      <c r="KF21" s="18">
        <f>IF(AND(289&gt;=$NQ$21,289&lt;=$NR$21),IF($NO$21="Single_Point",IF(289=$NQ$21,$NM$21,0),IF($NO$21="Bell_Curve",$NM$21*(289-$NQ$21+1)*($NR$21-289+1)/$NT$21,$NM$21/$NS$21)),0)</f>
        <v/>
      </c>
      <c r="KG21" s="18">
        <f>IF(AND(290&gt;=$NQ$21,290&lt;=$NR$21),IF($NO$21="Single_Point",IF(290=$NQ$21,$NM$21,0),IF($NO$21="Bell_Curve",$NM$21*(290-$NQ$21+1)*($NR$21-290+1)/$NT$21,$NM$21/$NS$21)),0)</f>
        <v/>
      </c>
      <c r="KH21" s="18">
        <f>IF(AND(291&gt;=$NQ$21,291&lt;=$NR$21),IF($NO$21="Single_Point",IF(291=$NQ$21,$NM$21,0),IF($NO$21="Bell_Curve",$NM$21*(291-$NQ$21+1)*($NR$21-291+1)/$NT$21,$NM$21/$NS$21)),0)</f>
        <v/>
      </c>
      <c r="KI21" s="18">
        <f>IF(AND(292&gt;=$NQ$21,292&lt;=$NR$21),IF($NO$21="Single_Point",IF(292=$NQ$21,$NM$21,0),IF($NO$21="Bell_Curve",$NM$21*(292-$NQ$21+1)*($NR$21-292+1)/$NT$21,$NM$21/$NS$21)),0)</f>
        <v/>
      </c>
      <c r="KJ21" s="18">
        <f>IF(AND(293&gt;=$NQ$21,293&lt;=$NR$21),IF($NO$21="Single_Point",IF(293=$NQ$21,$NM$21,0),IF($NO$21="Bell_Curve",$NM$21*(293-$NQ$21+1)*($NR$21-293+1)/$NT$21,$NM$21/$NS$21)),0)</f>
        <v/>
      </c>
      <c r="KK21" s="18">
        <f>IF(AND(294&gt;=$NQ$21,294&lt;=$NR$21),IF($NO$21="Single_Point",IF(294=$NQ$21,$NM$21,0),IF($NO$21="Bell_Curve",$NM$21*(294-$NQ$21+1)*($NR$21-294+1)/$NT$21,$NM$21/$NS$21)),0)</f>
        <v/>
      </c>
      <c r="KL21" s="18">
        <f>IF(AND(295&gt;=$NQ$21,295&lt;=$NR$21),IF($NO$21="Single_Point",IF(295=$NQ$21,$NM$21,0),IF($NO$21="Bell_Curve",$NM$21*(295-$NQ$21+1)*($NR$21-295+1)/$NT$21,$NM$21/$NS$21)),0)</f>
        <v/>
      </c>
      <c r="KM21" s="18">
        <f>IF(AND(296&gt;=$NQ$21,296&lt;=$NR$21),IF($NO$21="Single_Point",IF(296=$NQ$21,$NM$21,0),IF($NO$21="Bell_Curve",$NM$21*(296-$NQ$21+1)*($NR$21-296+1)/$NT$21,$NM$21/$NS$21)),0)</f>
        <v/>
      </c>
      <c r="KN21" s="18">
        <f>IF(AND(297&gt;=$NQ$21,297&lt;=$NR$21),IF($NO$21="Single_Point",IF(297=$NQ$21,$NM$21,0),IF($NO$21="Bell_Curve",$NM$21*(297-$NQ$21+1)*($NR$21-297+1)/$NT$21,$NM$21/$NS$21)),0)</f>
        <v/>
      </c>
      <c r="KO21" s="18">
        <f>IF(AND(298&gt;=$NQ$21,298&lt;=$NR$21),IF($NO$21="Single_Point",IF(298=$NQ$21,$NM$21,0),IF($NO$21="Bell_Curve",$NM$21*(298-$NQ$21+1)*($NR$21-298+1)/$NT$21,$NM$21/$NS$21)),0)</f>
        <v/>
      </c>
      <c r="KP21" s="18">
        <f>IF(AND(299&gt;=$NQ$21,299&lt;=$NR$21),IF($NO$21="Single_Point",IF(299=$NQ$21,$NM$21,0),IF($NO$21="Bell_Curve",$NM$21*(299-$NQ$21+1)*($NR$21-299+1)/$NT$21,$NM$21/$NS$21)),0)</f>
        <v/>
      </c>
      <c r="KQ21" s="18">
        <f>IF(AND(300&gt;=$NQ$21,300&lt;=$NR$21),IF($NO$21="Single_Point",IF(300=$NQ$21,$NM$21,0),IF($NO$21="Bell_Curve",$NM$21*(300-$NQ$21+1)*($NR$21-300+1)/$NT$21,$NM$21/$NS$21)),0)</f>
        <v/>
      </c>
      <c r="KR21" s="18">
        <f>IF(AND(301&gt;=$NQ$21,301&lt;=$NR$21),IF($NO$21="Single_Point",IF(301=$NQ$21,$NM$21,0),IF($NO$21="Bell_Curve",$NM$21*(301-$NQ$21+1)*($NR$21-301+1)/$NT$21,$NM$21/$NS$21)),0)</f>
        <v/>
      </c>
      <c r="KS21" s="18">
        <f>IF(AND(302&gt;=$NQ$21,302&lt;=$NR$21),IF($NO$21="Single_Point",IF(302=$NQ$21,$NM$21,0),IF($NO$21="Bell_Curve",$NM$21*(302-$NQ$21+1)*($NR$21-302+1)/$NT$21,$NM$21/$NS$21)),0)</f>
        <v/>
      </c>
      <c r="KT21" s="18">
        <f>IF(AND(303&gt;=$NQ$21,303&lt;=$NR$21),IF($NO$21="Single_Point",IF(303=$NQ$21,$NM$21,0),IF($NO$21="Bell_Curve",$NM$21*(303-$NQ$21+1)*($NR$21-303+1)/$NT$21,$NM$21/$NS$21)),0)</f>
        <v/>
      </c>
      <c r="KU21" s="18">
        <f>IF(AND(304&gt;=$NQ$21,304&lt;=$NR$21),IF($NO$21="Single_Point",IF(304=$NQ$21,$NM$21,0),IF($NO$21="Bell_Curve",$NM$21*(304-$NQ$21+1)*($NR$21-304+1)/$NT$21,$NM$21/$NS$21)),0)</f>
        <v/>
      </c>
      <c r="KV21" s="18">
        <f>IF(AND(305&gt;=$NQ$21,305&lt;=$NR$21),IF($NO$21="Single_Point",IF(305=$NQ$21,$NM$21,0),IF($NO$21="Bell_Curve",$NM$21*(305-$NQ$21+1)*($NR$21-305+1)/$NT$21,$NM$21/$NS$21)),0)</f>
        <v/>
      </c>
      <c r="KW21" s="18">
        <f>IF(AND(306&gt;=$NQ$21,306&lt;=$NR$21),IF($NO$21="Single_Point",IF(306=$NQ$21,$NM$21,0),IF($NO$21="Bell_Curve",$NM$21*(306-$NQ$21+1)*($NR$21-306+1)/$NT$21,$NM$21/$NS$21)),0)</f>
        <v/>
      </c>
      <c r="KX21" s="18">
        <f>IF(AND(307&gt;=$NQ$21,307&lt;=$NR$21),IF($NO$21="Single_Point",IF(307=$NQ$21,$NM$21,0),IF($NO$21="Bell_Curve",$NM$21*(307-$NQ$21+1)*($NR$21-307+1)/$NT$21,$NM$21/$NS$21)),0)</f>
        <v/>
      </c>
      <c r="KY21" s="18">
        <f>IF(AND(308&gt;=$NQ$21,308&lt;=$NR$21),IF($NO$21="Single_Point",IF(308=$NQ$21,$NM$21,0),IF($NO$21="Bell_Curve",$NM$21*(308-$NQ$21+1)*($NR$21-308+1)/$NT$21,$NM$21/$NS$21)),0)</f>
        <v/>
      </c>
      <c r="KZ21" s="18">
        <f>IF(AND(309&gt;=$NQ$21,309&lt;=$NR$21),IF($NO$21="Single_Point",IF(309=$NQ$21,$NM$21,0),IF($NO$21="Bell_Curve",$NM$21*(309-$NQ$21+1)*($NR$21-309+1)/$NT$21,$NM$21/$NS$21)),0)</f>
        <v/>
      </c>
      <c r="LA21" s="18">
        <f>IF(AND(310&gt;=$NQ$21,310&lt;=$NR$21),IF($NO$21="Single_Point",IF(310=$NQ$21,$NM$21,0),IF($NO$21="Bell_Curve",$NM$21*(310-$NQ$21+1)*($NR$21-310+1)/$NT$21,$NM$21/$NS$21)),0)</f>
        <v/>
      </c>
      <c r="LB21" s="18">
        <f>IF(AND(311&gt;=$NQ$21,311&lt;=$NR$21),IF($NO$21="Single_Point",IF(311=$NQ$21,$NM$21,0),IF($NO$21="Bell_Curve",$NM$21*(311-$NQ$21+1)*($NR$21-311+1)/$NT$21,$NM$21/$NS$21)),0)</f>
        <v/>
      </c>
      <c r="LC21" s="18">
        <f>IF(AND(312&gt;=$NQ$21,312&lt;=$NR$21),IF($NO$21="Single_Point",IF(312=$NQ$21,$NM$21,0),IF($NO$21="Bell_Curve",$NM$21*(312-$NQ$21+1)*($NR$21-312+1)/$NT$21,$NM$21/$NS$21)),0)</f>
        <v/>
      </c>
      <c r="LD21" s="18">
        <f>IF(AND(313&gt;=$NQ$21,313&lt;=$NR$21),IF($NO$21="Single_Point",IF(313=$NQ$21,$NM$21,0),IF($NO$21="Bell_Curve",$NM$21*(313-$NQ$21+1)*($NR$21-313+1)/$NT$21,$NM$21/$NS$21)),0)</f>
        <v/>
      </c>
      <c r="LE21" s="18">
        <f>IF(AND(314&gt;=$NQ$21,314&lt;=$NR$21),IF($NO$21="Single_Point",IF(314=$NQ$21,$NM$21,0),IF($NO$21="Bell_Curve",$NM$21*(314-$NQ$21+1)*($NR$21-314+1)/$NT$21,$NM$21/$NS$21)),0)</f>
        <v/>
      </c>
      <c r="LF21" s="18">
        <f>IF(AND(315&gt;=$NQ$21,315&lt;=$NR$21),IF($NO$21="Single_Point",IF(315=$NQ$21,$NM$21,0),IF($NO$21="Bell_Curve",$NM$21*(315-$NQ$21+1)*($NR$21-315+1)/$NT$21,$NM$21/$NS$21)),0)</f>
        <v/>
      </c>
      <c r="LG21" s="18">
        <f>IF(AND(316&gt;=$NQ$21,316&lt;=$NR$21),IF($NO$21="Single_Point",IF(316=$NQ$21,$NM$21,0),IF($NO$21="Bell_Curve",$NM$21*(316-$NQ$21+1)*($NR$21-316+1)/$NT$21,$NM$21/$NS$21)),0)</f>
        <v/>
      </c>
      <c r="LH21" s="18">
        <f>IF(AND(317&gt;=$NQ$21,317&lt;=$NR$21),IF($NO$21="Single_Point",IF(317=$NQ$21,$NM$21,0),IF($NO$21="Bell_Curve",$NM$21*(317-$NQ$21+1)*($NR$21-317+1)/$NT$21,$NM$21/$NS$21)),0)</f>
        <v/>
      </c>
      <c r="LI21" s="18">
        <f>IF(AND(318&gt;=$NQ$21,318&lt;=$NR$21),IF($NO$21="Single_Point",IF(318=$NQ$21,$NM$21,0),IF($NO$21="Bell_Curve",$NM$21*(318-$NQ$21+1)*($NR$21-318+1)/$NT$21,$NM$21/$NS$21)),0)</f>
        <v/>
      </c>
      <c r="LJ21" s="18">
        <f>IF(AND(319&gt;=$NQ$21,319&lt;=$NR$21),IF($NO$21="Single_Point",IF(319=$NQ$21,$NM$21,0),IF($NO$21="Bell_Curve",$NM$21*(319-$NQ$21+1)*($NR$21-319+1)/$NT$21,$NM$21/$NS$21)),0)</f>
        <v/>
      </c>
      <c r="LK21" s="18">
        <f>IF(AND(320&gt;=$NQ$21,320&lt;=$NR$21),IF($NO$21="Single_Point",IF(320=$NQ$21,$NM$21,0),IF($NO$21="Bell_Curve",$NM$21*(320-$NQ$21+1)*($NR$21-320+1)/$NT$21,$NM$21/$NS$21)),0)</f>
        <v/>
      </c>
      <c r="LL21" s="18">
        <f>IF(AND(321&gt;=$NQ$21,321&lt;=$NR$21),IF($NO$21="Single_Point",IF(321=$NQ$21,$NM$21,0),IF($NO$21="Bell_Curve",$NM$21*(321-$NQ$21+1)*($NR$21-321+1)/$NT$21,$NM$21/$NS$21)),0)</f>
        <v/>
      </c>
      <c r="LM21" s="18">
        <f>IF(AND(322&gt;=$NQ$21,322&lt;=$NR$21),IF($NO$21="Single_Point",IF(322=$NQ$21,$NM$21,0),IF($NO$21="Bell_Curve",$NM$21*(322-$NQ$21+1)*($NR$21-322+1)/$NT$21,$NM$21/$NS$21)),0)</f>
        <v/>
      </c>
      <c r="LN21" s="18">
        <f>IF(AND(323&gt;=$NQ$21,323&lt;=$NR$21),IF($NO$21="Single_Point",IF(323=$NQ$21,$NM$21,0),IF($NO$21="Bell_Curve",$NM$21*(323-$NQ$21+1)*($NR$21-323+1)/$NT$21,$NM$21/$NS$21)),0)</f>
        <v/>
      </c>
      <c r="LO21" s="18">
        <f>IF(AND(324&gt;=$NQ$21,324&lt;=$NR$21),IF($NO$21="Single_Point",IF(324=$NQ$21,$NM$21,0),IF($NO$21="Bell_Curve",$NM$21*(324-$NQ$21+1)*($NR$21-324+1)/$NT$21,$NM$21/$NS$21)),0)</f>
        <v/>
      </c>
      <c r="LP21" s="18">
        <f>IF(AND(325&gt;=$NQ$21,325&lt;=$NR$21),IF($NO$21="Single_Point",IF(325=$NQ$21,$NM$21,0),IF($NO$21="Bell_Curve",$NM$21*(325-$NQ$21+1)*($NR$21-325+1)/$NT$21,$NM$21/$NS$21)),0)</f>
        <v/>
      </c>
      <c r="LQ21" s="18">
        <f>IF(AND(326&gt;=$NQ$21,326&lt;=$NR$21),IF($NO$21="Single_Point",IF(326=$NQ$21,$NM$21,0),IF($NO$21="Bell_Curve",$NM$21*(326-$NQ$21+1)*($NR$21-326+1)/$NT$21,$NM$21/$NS$21)),0)</f>
        <v/>
      </c>
      <c r="LR21" s="18">
        <f>IF(AND(327&gt;=$NQ$21,327&lt;=$NR$21),IF($NO$21="Single_Point",IF(327=$NQ$21,$NM$21,0),IF($NO$21="Bell_Curve",$NM$21*(327-$NQ$21+1)*($NR$21-327+1)/$NT$21,$NM$21/$NS$21)),0)</f>
        <v/>
      </c>
      <c r="LS21" s="18">
        <f>IF(AND(328&gt;=$NQ$21,328&lt;=$NR$21),IF($NO$21="Single_Point",IF(328=$NQ$21,$NM$21,0),IF($NO$21="Bell_Curve",$NM$21*(328-$NQ$21+1)*($NR$21-328+1)/$NT$21,$NM$21/$NS$21)),0)</f>
        <v/>
      </c>
      <c r="LT21" s="18">
        <f>IF(AND(329&gt;=$NQ$21,329&lt;=$NR$21),IF($NO$21="Single_Point",IF(329=$NQ$21,$NM$21,0),IF($NO$21="Bell_Curve",$NM$21*(329-$NQ$21+1)*($NR$21-329+1)/$NT$21,$NM$21/$NS$21)),0)</f>
        <v/>
      </c>
      <c r="LU21" s="18">
        <f>IF(AND(330&gt;=$NQ$21,330&lt;=$NR$21),IF($NO$21="Single_Point",IF(330=$NQ$21,$NM$21,0),IF($NO$21="Bell_Curve",$NM$21*(330-$NQ$21+1)*($NR$21-330+1)/$NT$21,$NM$21/$NS$21)),0)</f>
        <v/>
      </c>
      <c r="LV21" s="18">
        <f>IF(AND(331&gt;=$NQ$21,331&lt;=$NR$21),IF($NO$21="Single_Point",IF(331=$NQ$21,$NM$21,0),IF($NO$21="Bell_Curve",$NM$21*(331-$NQ$21+1)*($NR$21-331+1)/$NT$21,$NM$21/$NS$21)),0)</f>
        <v/>
      </c>
      <c r="LW21" s="18">
        <f>IF(AND(332&gt;=$NQ$21,332&lt;=$NR$21),IF($NO$21="Single_Point",IF(332=$NQ$21,$NM$21,0),IF($NO$21="Bell_Curve",$NM$21*(332-$NQ$21+1)*($NR$21-332+1)/$NT$21,$NM$21/$NS$21)),0)</f>
        <v/>
      </c>
      <c r="LX21" s="18">
        <f>IF(AND(333&gt;=$NQ$21,333&lt;=$NR$21),IF($NO$21="Single_Point",IF(333=$NQ$21,$NM$21,0),IF($NO$21="Bell_Curve",$NM$21*(333-$NQ$21+1)*($NR$21-333+1)/$NT$21,$NM$21/$NS$21)),0)</f>
        <v/>
      </c>
      <c r="LY21" s="18">
        <f>IF(AND(334&gt;=$NQ$21,334&lt;=$NR$21),IF($NO$21="Single_Point",IF(334=$NQ$21,$NM$21,0),IF($NO$21="Bell_Curve",$NM$21*(334-$NQ$21+1)*($NR$21-334+1)/$NT$21,$NM$21/$NS$21)),0)</f>
        <v/>
      </c>
      <c r="LZ21" s="18">
        <f>IF(AND(335&gt;=$NQ$21,335&lt;=$NR$21),IF($NO$21="Single_Point",IF(335=$NQ$21,$NM$21,0),IF($NO$21="Bell_Curve",$NM$21*(335-$NQ$21+1)*($NR$21-335+1)/$NT$21,$NM$21/$NS$21)),0)</f>
        <v/>
      </c>
      <c r="MA21" s="18">
        <f>IF(AND(336&gt;=$NQ$21,336&lt;=$NR$21),IF($NO$21="Single_Point",IF(336=$NQ$21,$NM$21,0),IF($NO$21="Bell_Curve",$NM$21*(336-$NQ$21+1)*($NR$21-336+1)/$NT$21,$NM$21/$NS$21)),0)</f>
        <v/>
      </c>
      <c r="MB21" s="18">
        <f>IF(AND(337&gt;=$NQ$21,337&lt;=$NR$21),IF($NO$21="Single_Point",IF(337=$NQ$21,$NM$21,0),IF($NO$21="Bell_Curve",$NM$21*(337-$NQ$21+1)*($NR$21-337+1)/$NT$21,$NM$21/$NS$21)),0)</f>
        <v/>
      </c>
      <c r="MC21" s="18">
        <f>IF(AND(338&gt;=$NQ$21,338&lt;=$NR$21),IF($NO$21="Single_Point",IF(338=$NQ$21,$NM$21,0),IF($NO$21="Bell_Curve",$NM$21*(338-$NQ$21+1)*($NR$21-338+1)/$NT$21,$NM$21/$NS$21)),0)</f>
        <v/>
      </c>
      <c r="MD21" s="18">
        <f>IF(AND(339&gt;=$NQ$21,339&lt;=$NR$21),IF($NO$21="Single_Point",IF(339=$NQ$21,$NM$21,0),IF($NO$21="Bell_Curve",$NM$21*(339-$NQ$21+1)*($NR$21-339+1)/$NT$21,$NM$21/$NS$21)),0)</f>
        <v/>
      </c>
      <c r="ME21" s="18">
        <f>IF(AND(340&gt;=$NQ$21,340&lt;=$NR$21),IF($NO$21="Single_Point",IF(340=$NQ$21,$NM$21,0),IF($NO$21="Bell_Curve",$NM$21*(340-$NQ$21+1)*($NR$21-340+1)/$NT$21,$NM$21/$NS$21)),0)</f>
        <v/>
      </c>
      <c r="MF21" s="18">
        <f>IF(AND(341&gt;=$NQ$21,341&lt;=$NR$21),IF($NO$21="Single_Point",IF(341=$NQ$21,$NM$21,0),IF($NO$21="Bell_Curve",$NM$21*(341-$NQ$21+1)*($NR$21-341+1)/$NT$21,$NM$21/$NS$21)),0)</f>
        <v/>
      </c>
      <c r="MG21" s="18">
        <f>IF(AND(342&gt;=$NQ$21,342&lt;=$NR$21),IF($NO$21="Single_Point",IF(342=$NQ$21,$NM$21,0),IF($NO$21="Bell_Curve",$NM$21*(342-$NQ$21+1)*($NR$21-342+1)/$NT$21,$NM$21/$NS$21)),0)</f>
        <v/>
      </c>
      <c r="MH21" s="18">
        <f>IF(AND(343&gt;=$NQ$21,343&lt;=$NR$21),IF($NO$21="Single_Point",IF(343=$NQ$21,$NM$21,0),IF($NO$21="Bell_Curve",$NM$21*(343-$NQ$21+1)*($NR$21-343+1)/$NT$21,$NM$21/$NS$21)),0)</f>
        <v/>
      </c>
      <c r="MI21" s="18">
        <f>IF(AND(344&gt;=$NQ$21,344&lt;=$NR$21),IF($NO$21="Single_Point",IF(344=$NQ$21,$NM$21,0),IF($NO$21="Bell_Curve",$NM$21*(344-$NQ$21+1)*($NR$21-344+1)/$NT$21,$NM$21/$NS$21)),0)</f>
        <v/>
      </c>
      <c r="MJ21" s="18">
        <f>IF(AND(345&gt;=$NQ$21,345&lt;=$NR$21),IF($NO$21="Single_Point",IF(345=$NQ$21,$NM$21,0),IF($NO$21="Bell_Curve",$NM$21*(345-$NQ$21+1)*($NR$21-345+1)/$NT$21,$NM$21/$NS$21)),0)</f>
        <v/>
      </c>
      <c r="MK21" s="18">
        <f>IF(AND(346&gt;=$NQ$21,346&lt;=$NR$21),IF($NO$21="Single_Point",IF(346=$NQ$21,$NM$21,0),IF($NO$21="Bell_Curve",$NM$21*(346-$NQ$21+1)*($NR$21-346+1)/$NT$21,$NM$21/$NS$21)),0)</f>
        <v/>
      </c>
      <c r="ML21" s="18">
        <f>IF(AND(347&gt;=$NQ$21,347&lt;=$NR$21),IF($NO$21="Single_Point",IF(347=$NQ$21,$NM$21,0),IF($NO$21="Bell_Curve",$NM$21*(347-$NQ$21+1)*($NR$21-347+1)/$NT$21,$NM$21/$NS$21)),0)</f>
        <v/>
      </c>
      <c r="MM21" s="18">
        <f>IF(AND(348&gt;=$NQ$21,348&lt;=$NR$21),IF($NO$21="Single_Point",IF(348=$NQ$21,$NM$21,0),IF($NO$21="Bell_Curve",$NM$21*(348-$NQ$21+1)*($NR$21-348+1)/$NT$21,$NM$21/$NS$21)),0)</f>
        <v/>
      </c>
      <c r="MN21" s="18">
        <f>IF(AND(349&gt;=$NQ$21,349&lt;=$NR$21),IF($NO$21="Single_Point",IF(349=$NQ$21,$NM$21,0),IF($NO$21="Bell_Curve",$NM$21*(349-$NQ$21+1)*($NR$21-349+1)/$NT$21,$NM$21/$NS$21)),0)</f>
        <v/>
      </c>
      <c r="MO21" s="18">
        <f>IF(AND(350&gt;=$NQ$21,350&lt;=$NR$21),IF($NO$21="Single_Point",IF(350=$NQ$21,$NM$21,0),IF($NO$21="Bell_Curve",$NM$21*(350-$NQ$21+1)*($NR$21-350+1)/$NT$21,$NM$21/$NS$21)),0)</f>
        <v/>
      </c>
      <c r="MP21" s="18">
        <f>IF(AND(351&gt;=$NQ$21,351&lt;=$NR$21),IF($NO$21="Single_Point",IF(351=$NQ$21,$NM$21,0),IF($NO$21="Bell_Curve",$NM$21*(351-$NQ$21+1)*($NR$21-351+1)/$NT$21,$NM$21/$NS$21)),0)</f>
        <v/>
      </c>
      <c r="MQ21" s="18">
        <f>IF(AND(352&gt;=$NQ$21,352&lt;=$NR$21),IF($NO$21="Single_Point",IF(352=$NQ$21,$NM$21,0),IF($NO$21="Bell_Curve",$NM$21*(352-$NQ$21+1)*($NR$21-352+1)/$NT$21,$NM$21/$NS$21)),0)</f>
        <v/>
      </c>
      <c r="MR21" s="18">
        <f>IF(AND(353&gt;=$NQ$21,353&lt;=$NR$21),IF($NO$21="Single_Point",IF(353=$NQ$21,$NM$21,0),IF($NO$21="Bell_Curve",$NM$21*(353-$NQ$21+1)*($NR$21-353+1)/$NT$21,$NM$21/$NS$21)),0)</f>
        <v/>
      </c>
      <c r="MS21" s="18">
        <f>IF(AND(354&gt;=$NQ$21,354&lt;=$NR$21),IF($NO$21="Single_Point",IF(354=$NQ$21,$NM$21,0),IF($NO$21="Bell_Curve",$NM$21*(354-$NQ$21+1)*($NR$21-354+1)/$NT$21,$NM$21/$NS$21)),0)</f>
        <v/>
      </c>
      <c r="MT21" s="18">
        <f>IF(AND(355&gt;=$NQ$21,355&lt;=$NR$21),IF($NO$21="Single_Point",IF(355=$NQ$21,$NM$21,0),IF($NO$21="Bell_Curve",$NM$21*(355-$NQ$21+1)*($NR$21-355+1)/$NT$21,$NM$21/$NS$21)),0)</f>
        <v/>
      </c>
      <c r="MU21" s="18">
        <f>IF(AND(356&gt;=$NQ$21,356&lt;=$NR$21),IF($NO$21="Single_Point",IF(356=$NQ$21,$NM$21,0),IF($NO$21="Bell_Curve",$NM$21*(356-$NQ$21+1)*($NR$21-356+1)/$NT$21,$NM$21/$NS$21)),0)</f>
        <v/>
      </c>
      <c r="MV21" s="18">
        <f>IF(AND(357&gt;=$NQ$21,357&lt;=$NR$21),IF($NO$21="Single_Point",IF(357=$NQ$21,$NM$21,0),IF($NO$21="Bell_Curve",$NM$21*(357-$NQ$21+1)*($NR$21-357+1)/$NT$21,$NM$21/$NS$21)),0)</f>
        <v/>
      </c>
      <c r="MW21" s="18">
        <f>IF(AND(358&gt;=$NQ$21,358&lt;=$NR$21),IF($NO$21="Single_Point",IF(358=$NQ$21,$NM$21,0),IF($NO$21="Bell_Curve",$NM$21*(358-$NQ$21+1)*($NR$21-358+1)/$NT$21,$NM$21/$NS$21)),0)</f>
        <v/>
      </c>
      <c r="MX21" s="18">
        <f>IF(AND(359&gt;=$NQ$21,359&lt;=$NR$21),IF($NO$21="Single_Point",IF(359=$NQ$21,$NM$21,0),IF($NO$21="Bell_Curve",$NM$21*(359-$NQ$21+1)*($NR$21-359+1)/$NT$21,$NM$21/$NS$21)),0)</f>
        <v/>
      </c>
      <c r="MY21" s="18">
        <f>IF(AND(360&gt;=$NQ$21,360&lt;=$NR$21),IF($NO$21="Single_Point",IF(360=$NQ$21,$NM$21,0),IF($NO$21="Bell_Curve",$NM$21*(360-$NQ$21+1)*($NR$21-360+1)/$NT$21,$NM$21/$NS$21)),0)</f>
        <v/>
      </c>
      <c r="MZ21" s="18">
        <f>IF(AND(361&gt;=$NQ$21,361&lt;=$NR$21),IF($NO$21="Single_Point",IF(361=$NQ$21,$NM$21,0),IF($NO$21="Bell_Curve",$NM$21*(361-$NQ$21+1)*($NR$21-361+1)/$NT$21,$NM$21/$NS$21)),0)</f>
        <v/>
      </c>
      <c r="NA21" s="18">
        <f>IF(AND(362&gt;=$NQ$21,362&lt;=$NR$21),IF($NO$21="Single_Point",IF(362=$NQ$21,$NM$21,0),IF($NO$21="Bell_Curve",$NM$21*(362-$NQ$21+1)*($NR$21-362+1)/$NT$21,$NM$21/$NS$21)),0)</f>
        <v/>
      </c>
      <c r="NB21" s="18">
        <f>IF(AND(363&gt;=$NQ$21,363&lt;=$NR$21),IF($NO$21="Single_Point",IF(363=$NQ$21,$NM$21,0),IF($NO$21="Bell_Curve",$NM$21*(363-$NQ$21+1)*($NR$21-363+1)/$NT$21,$NM$21/$NS$21)),0)</f>
        <v/>
      </c>
      <c r="NC21" s="18">
        <f>IF(AND(364&gt;=$NQ$21,364&lt;=$NR$21),IF($NO$21="Single_Point",IF(364=$NQ$21,$NM$21,0),IF($NO$21="Bell_Curve",$NM$21*(364-$NQ$21+1)*($NR$21-364+1)/$NT$21,$NM$21/$NS$21)),0)</f>
        <v/>
      </c>
      <c r="ND21" s="18">
        <f>IF(AND(365&gt;=$NQ$21,365&lt;=$NR$21),IF($NO$21="Single_Point",IF(365=$NQ$21,$NM$21,0),IF($NO$21="Bell_Curve",$NM$21*(365-$NQ$21+1)*($NR$21-365+1)/$NT$21,$NM$21/$NS$21)),0)</f>
        <v/>
      </c>
      <c r="NE21" s="18">
        <f>IF(AND(366&gt;=$NQ$21,366&lt;=$NR$21),IF($NO$21="Single_Point",IF(366=$NQ$21,$NM$21,0),IF($NO$21="Bell_Curve",$NM$21*(366-$NQ$21+1)*($NR$21-366+1)/$NT$21,$NM$21/$NS$21)),0)</f>
        <v/>
      </c>
      <c r="NF21" s="18">
        <f>IF(AND(367&gt;=$NQ$21,367&lt;=$NR$21),IF($NO$21="Single_Point",IF(367=$NQ$21,$NM$21,0),IF($NO$21="Bell_Curve",$NM$21*(367-$NQ$21+1)*($NR$21-367+1)/$NT$21,$NM$21/$NS$21)),0)</f>
        <v/>
      </c>
      <c r="NG21" s="18">
        <f>IF(AND(368&gt;=$NQ$21,368&lt;=$NR$21),IF($NO$21="Single_Point",IF(368=$NQ$21,$NM$21,0),IF($NO$21="Bell_Curve",$NM$21*(368-$NQ$21+1)*($NR$21-368+1)/$NT$21,$NM$21/$NS$21)),0)</f>
        <v/>
      </c>
      <c r="NH21" s="18">
        <f>IF(AND(369&gt;=$NQ$21,369&lt;=$NR$21),IF($NO$21="Single_Point",IF(369=$NQ$21,$NM$21,0),IF($NO$21="Bell_Curve",$NM$21*(369-$NQ$21+1)*($NR$21-369+1)/$NT$21,$NM$21/$NS$21)),0)</f>
        <v/>
      </c>
      <c r="NI21" s="18">
        <f>IF(AND(370&gt;=$NQ$21,370&lt;=$NR$21),IF($NO$21="Single_Point",IF(370=$NQ$21,$NM$21,0),IF($NO$21="Bell_Curve",$NM$21*(370-$NQ$21+1)*($NR$21-370+1)/$NT$21,$NM$21/$NS$21)),0)</f>
        <v/>
      </c>
      <c r="NJ21" s="18">
        <f>IF(AND(371&gt;=$NQ$21,371&lt;=$NR$21),IF($NO$21="Single_Point",IF(371=$NQ$21,$NM$21,0),IF($NO$21="Bell_Curve",$NM$21*(371-$NQ$21+1)*($NR$21-371+1)/$NT$21,$NM$21/$NS$21)),0)</f>
        <v/>
      </c>
      <c r="NK21" s="18">
        <f>IF(AND(372&gt;=$NQ$21,372&lt;=$NR$21),IF($NO$21="Single_Point",IF(372=$NQ$21,$NM$21,0),IF($NO$21="Bell_Curve",$NM$21*(372-$NQ$21+1)*($NR$21-372+1)/$NT$21,$NM$21/$NS$21)),0)</f>
        <v/>
      </c>
      <c r="NM21" s="18">
        <f>Budget!I20</f>
        <v/>
      </c>
      <c r="NN21" s="42">
        <f>Budget!F20</f>
        <v/>
      </c>
      <c r="NO21" s="42">
        <f>Budget!G20</f>
        <v/>
      </c>
      <c r="NP21" s="17">
        <f>Budget!H20</f>
        <v/>
      </c>
      <c r="NQ21" s="32">
        <f>MAX(1,MIN(372,INDEX(MilestoneStart,MATCH(NN21,MilestoneNames,0))+NP21))</f>
        <v/>
      </c>
      <c r="NR21" s="32">
        <f>MAX(NQ21,MIN(372,INDEX(MilestoneEnd,MATCH(NN21,MilestoneNames,0))+NP21))</f>
        <v/>
      </c>
      <c r="NS21" s="17">
        <f>NR21-NQ21+1</f>
        <v/>
      </c>
      <c r="NT21" s="17">
        <f>NS21*(NS21+1)*(NS21+2)/6</f>
        <v/>
      </c>
    </row>
    <row r="22">
      <c r="A22" s="5" t="inlineStr">
        <is>
          <t>Other Soft Cost 2 - Permits</t>
        </is>
      </c>
      <c r="C22" s="41">
        <f>SUM(D22:NK22)</f>
        <v/>
      </c>
      <c r="D22" s="18">
        <f>IF(AND(1&gt;=$NQ$22,1&lt;=$NR$22),IF($NO$22="Single_Point",IF(1=$NQ$22,$NM$22,0),IF($NO$22="Bell_Curve",$NM$22*(1-$NQ$22+1)*($NR$22-1+1)/$NT$22,$NM$22/$NS$22)),0)</f>
        <v/>
      </c>
      <c r="E22" s="18">
        <f>IF(AND(2&gt;=$NQ$22,2&lt;=$NR$22),IF($NO$22="Single_Point",IF(2=$NQ$22,$NM$22,0),IF($NO$22="Bell_Curve",$NM$22*(2-$NQ$22+1)*($NR$22-2+1)/$NT$22,$NM$22/$NS$22)),0)</f>
        <v/>
      </c>
      <c r="F22" s="18">
        <f>IF(AND(3&gt;=$NQ$22,3&lt;=$NR$22),IF($NO$22="Single_Point",IF(3=$NQ$22,$NM$22,0),IF($NO$22="Bell_Curve",$NM$22*(3-$NQ$22+1)*($NR$22-3+1)/$NT$22,$NM$22/$NS$22)),0)</f>
        <v/>
      </c>
      <c r="G22" s="18">
        <f>IF(AND(4&gt;=$NQ$22,4&lt;=$NR$22),IF($NO$22="Single_Point",IF(4=$NQ$22,$NM$22,0),IF($NO$22="Bell_Curve",$NM$22*(4-$NQ$22+1)*($NR$22-4+1)/$NT$22,$NM$22/$NS$22)),0)</f>
        <v/>
      </c>
      <c r="H22" s="18">
        <f>IF(AND(5&gt;=$NQ$22,5&lt;=$NR$22),IF($NO$22="Single_Point",IF(5=$NQ$22,$NM$22,0),IF($NO$22="Bell_Curve",$NM$22*(5-$NQ$22+1)*($NR$22-5+1)/$NT$22,$NM$22/$NS$22)),0)</f>
        <v/>
      </c>
      <c r="I22" s="18">
        <f>IF(AND(6&gt;=$NQ$22,6&lt;=$NR$22),IF($NO$22="Single_Point",IF(6=$NQ$22,$NM$22,0),IF($NO$22="Bell_Curve",$NM$22*(6-$NQ$22+1)*($NR$22-6+1)/$NT$22,$NM$22/$NS$22)),0)</f>
        <v/>
      </c>
      <c r="J22" s="18">
        <f>IF(AND(7&gt;=$NQ$22,7&lt;=$NR$22),IF($NO$22="Single_Point",IF(7=$NQ$22,$NM$22,0),IF($NO$22="Bell_Curve",$NM$22*(7-$NQ$22+1)*($NR$22-7+1)/$NT$22,$NM$22/$NS$22)),0)</f>
        <v/>
      </c>
      <c r="K22" s="18">
        <f>IF(AND(8&gt;=$NQ$22,8&lt;=$NR$22),IF($NO$22="Single_Point",IF(8=$NQ$22,$NM$22,0),IF($NO$22="Bell_Curve",$NM$22*(8-$NQ$22+1)*($NR$22-8+1)/$NT$22,$NM$22/$NS$22)),0)</f>
        <v/>
      </c>
      <c r="L22" s="18">
        <f>IF(AND(9&gt;=$NQ$22,9&lt;=$NR$22),IF($NO$22="Single_Point",IF(9=$NQ$22,$NM$22,0),IF($NO$22="Bell_Curve",$NM$22*(9-$NQ$22+1)*($NR$22-9+1)/$NT$22,$NM$22/$NS$22)),0)</f>
        <v/>
      </c>
      <c r="M22" s="18">
        <f>IF(AND(10&gt;=$NQ$22,10&lt;=$NR$22),IF($NO$22="Single_Point",IF(10=$NQ$22,$NM$22,0),IF($NO$22="Bell_Curve",$NM$22*(10-$NQ$22+1)*($NR$22-10+1)/$NT$22,$NM$22/$NS$22)),0)</f>
        <v/>
      </c>
      <c r="N22" s="18">
        <f>IF(AND(11&gt;=$NQ$22,11&lt;=$NR$22),IF($NO$22="Single_Point",IF(11=$NQ$22,$NM$22,0),IF($NO$22="Bell_Curve",$NM$22*(11-$NQ$22+1)*($NR$22-11+1)/$NT$22,$NM$22/$NS$22)),0)</f>
        <v/>
      </c>
      <c r="O22" s="18">
        <f>IF(AND(12&gt;=$NQ$22,12&lt;=$NR$22),IF($NO$22="Single_Point",IF(12=$NQ$22,$NM$22,0),IF($NO$22="Bell_Curve",$NM$22*(12-$NQ$22+1)*($NR$22-12+1)/$NT$22,$NM$22/$NS$22)),0)</f>
        <v/>
      </c>
      <c r="P22" s="18">
        <f>IF(AND(13&gt;=$NQ$22,13&lt;=$NR$22),IF($NO$22="Single_Point",IF(13=$NQ$22,$NM$22,0),IF($NO$22="Bell_Curve",$NM$22*(13-$NQ$22+1)*($NR$22-13+1)/$NT$22,$NM$22/$NS$22)),0)</f>
        <v/>
      </c>
      <c r="Q22" s="18">
        <f>IF(AND(14&gt;=$NQ$22,14&lt;=$NR$22),IF($NO$22="Single_Point",IF(14=$NQ$22,$NM$22,0),IF($NO$22="Bell_Curve",$NM$22*(14-$NQ$22+1)*($NR$22-14+1)/$NT$22,$NM$22/$NS$22)),0)</f>
        <v/>
      </c>
      <c r="R22" s="18">
        <f>IF(AND(15&gt;=$NQ$22,15&lt;=$NR$22),IF($NO$22="Single_Point",IF(15=$NQ$22,$NM$22,0),IF($NO$22="Bell_Curve",$NM$22*(15-$NQ$22+1)*($NR$22-15+1)/$NT$22,$NM$22/$NS$22)),0)</f>
        <v/>
      </c>
      <c r="S22" s="18">
        <f>IF(AND(16&gt;=$NQ$22,16&lt;=$NR$22),IF($NO$22="Single_Point",IF(16=$NQ$22,$NM$22,0),IF($NO$22="Bell_Curve",$NM$22*(16-$NQ$22+1)*($NR$22-16+1)/$NT$22,$NM$22/$NS$22)),0)</f>
        <v/>
      </c>
      <c r="T22" s="18">
        <f>IF(AND(17&gt;=$NQ$22,17&lt;=$NR$22),IF($NO$22="Single_Point",IF(17=$NQ$22,$NM$22,0),IF($NO$22="Bell_Curve",$NM$22*(17-$NQ$22+1)*($NR$22-17+1)/$NT$22,$NM$22/$NS$22)),0)</f>
        <v/>
      </c>
      <c r="U22" s="18">
        <f>IF(AND(18&gt;=$NQ$22,18&lt;=$NR$22),IF($NO$22="Single_Point",IF(18=$NQ$22,$NM$22,0),IF($NO$22="Bell_Curve",$NM$22*(18-$NQ$22+1)*($NR$22-18+1)/$NT$22,$NM$22/$NS$22)),0)</f>
        <v/>
      </c>
      <c r="V22" s="18">
        <f>IF(AND(19&gt;=$NQ$22,19&lt;=$NR$22),IF($NO$22="Single_Point",IF(19=$NQ$22,$NM$22,0),IF($NO$22="Bell_Curve",$NM$22*(19-$NQ$22+1)*($NR$22-19+1)/$NT$22,$NM$22/$NS$22)),0)</f>
        <v/>
      </c>
      <c r="W22" s="18">
        <f>IF(AND(20&gt;=$NQ$22,20&lt;=$NR$22),IF($NO$22="Single_Point",IF(20=$NQ$22,$NM$22,0),IF($NO$22="Bell_Curve",$NM$22*(20-$NQ$22+1)*($NR$22-20+1)/$NT$22,$NM$22/$NS$22)),0)</f>
        <v/>
      </c>
      <c r="X22" s="18">
        <f>IF(AND(21&gt;=$NQ$22,21&lt;=$NR$22),IF($NO$22="Single_Point",IF(21=$NQ$22,$NM$22,0),IF($NO$22="Bell_Curve",$NM$22*(21-$NQ$22+1)*($NR$22-21+1)/$NT$22,$NM$22/$NS$22)),0)</f>
        <v/>
      </c>
      <c r="Y22" s="18">
        <f>IF(AND(22&gt;=$NQ$22,22&lt;=$NR$22),IF($NO$22="Single_Point",IF(22=$NQ$22,$NM$22,0),IF($NO$22="Bell_Curve",$NM$22*(22-$NQ$22+1)*($NR$22-22+1)/$NT$22,$NM$22/$NS$22)),0)</f>
        <v/>
      </c>
      <c r="Z22" s="18">
        <f>IF(AND(23&gt;=$NQ$22,23&lt;=$NR$22),IF($NO$22="Single_Point",IF(23=$NQ$22,$NM$22,0),IF($NO$22="Bell_Curve",$NM$22*(23-$NQ$22+1)*($NR$22-23+1)/$NT$22,$NM$22/$NS$22)),0)</f>
        <v/>
      </c>
      <c r="AA22" s="18">
        <f>IF(AND(24&gt;=$NQ$22,24&lt;=$NR$22),IF($NO$22="Single_Point",IF(24=$NQ$22,$NM$22,0),IF($NO$22="Bell_Curve",$NM$22*(24-$NQ$22+1)*($NR$22-24+1)/$NT$22,$NM$22/$NS$22)),0)</f>
        <v/>
      </c>
      <c r="AB22" s="18">
        <f>IF(AND(25&gt;=$NQ$22,25&lt;=$NR$22),IF($NO$22="Single_Point",IF(25=$NQ$22,$NM$22,0),IF($NO$22="Bell_Curve",$NM$22*(25-$NQ$22+1)*($NR$22-25+1)/$NT$22,$NM$22/$NS$22)),0)</f>
        <v/>
      </c>
      <c r="AC22" s="18">
        <f>IF(AND(26&gt;=$NQ$22,26&lt;=$NR$22),IF($NO$22="Single_Point",IF(26=$NQ$22,$NM$22,0),IF($NO$22="Bell_Curve",$NM$22*(26-$NQ$22+1)*($NR$22-26+1)/$NT$22,$NM$22/$NS$22)),0)</f>
        <v/>
      </c>
      <c r="AD22" s="18">
        <f>IF(AND(27&gt;=$NQ$22,27&lt;=$NR$22),IF($NO$22="Single_Point",IF(27=$NQ$22,$NM$22,0),IF($NO$22="Bell_Curve",$NM$22*(27-$NQ$22+1)*($NR$22-27+1)/$NT$22,$NM$22/$NS$22)),0)</f>
        <v/>
      </c>
      <c r="AE22" s="18">
        <f>IF(AND(28&gt;=$NQ$22,28&lt;=$NR$22),IF($NO$22="Single_Point",IF(28=$NQ$22,$NM$22,0),IF($NO$22="Bell_Curve",$NM$22*(28-$NQ$22+1)*($NR$22-28+1)/$NT$22,$NM$22/$NS$22)),0)</f>
        <v/>
      </c>
      <c r="AF22" s="18">
        <f>IF(AND(29&gt;=$NQ$22,29&lt;=$NR$22),IF($NO$22="Single_Point",IF(29=$NQ$22,$NM$22,0),IF($NO$22="Bell_Curve",$NM$22*(29-$NQ$22+1)*($NR$22-29+1)/$NT$22,$NM$22/$NS$22)),0)</f>
        <v/>
      </c>
      <c r="AG22" s="18">
        <f>IF(AND(30&gt;=$NQ$22,30&lt;=$NR$22),IF($NO$22="Single_Point",IF(30=$NQ$22,$NM$22,0),IF($NO$22="Bell_Curve",$NM$22*(30-$NQ$22+1)*($NR$22-30+1)/$NT$22,$NM$22/$NS$22)),0)</f>
        <v/>
      </c>
      <c r="AH22" s="18">
        <f>IF(AND(31&gt;=$NQ$22,31&lt;=$NR$22),IF($NO$22="Single_Point",IF(31=$NQ$22,$NM$22,0),IF($NO$22="Bell_Curve",$NM$22*(31-$NQ$22+1)*($NR$22-31+1)/$NT$22,$NM$22/$NS$22)),0)</f>
        <v/>
      </c>
      <c r="AI22" s="18">
        <f>IF(AND(32&gt;=$NQ$22,32&lt;=$NR$22),IF($NO$22="Single_Point",IF(32=$NQ$22,$NM$22,0),IF($NO$22="Bell_Curve",$NM$22*(32-$NQ$22+1)*($NR$22-32+1)/$NT$22,$NM$22/$NS$22)),0)</f>
        <v/>
      </c>
      <c r="AJ22" s="18">
        <f>IF(AND(33&gt;=$NQ$22,33&lt;=$NR$22),IF($NO$22="Single_Point",IF(33=$NQ$22,$NM$22,0),IF($NO$22="Bell_Curve",$NM$22*(33-$NQ$22+1)*($NR$22-33+1)/$NT$22,$NM$22/$NS$22)),0)</f>
        <v/>
      </c>
      <c r="AK22" s="18">
        <f>IF(AND(34&gt;=$NQ$22,34&lt;=$NR$22),IF($NO$22="Single_Point",IF(34=$NQ$22,$NM$22,0),IF($NO$22="Bell_Curve",$NM$22*(34-$NQ$22+1)*($NR$22-34+1)/$NT$22,$NM$22/$NS$22)),0)</f>
        <v/>
      </c>
      <c r="AL22" s="18">
        <f>IF(AND(35&gt;=$NQ$22,35&lt;=$NR$22),IF($NO$22="Single_Point",IF(35=$NQ$22,$NM$22,0),IF($NO$22="Bell_Curve",$NM$22*(35-$NQ$22+1)*($NR$22-35+1)/$NT$22,$NM$22/$NS$22)),0)</f>
        <v/>
      </c>
      <c r="AM22" s="18">
        <f>IF(AND(36&gt;=$NQ$22,36&lt;=$NR$22),IF($NO$22="Single_Point",IF(36=$NQ$22,$NM$22,0),IF($NO$22="Bell_Curve",$NM$22*(36-$NQ$22+1)*($NR$22-36+1)/$NT$22,$NM$22/$NS$22)),0)</f>
        <v/>
      </c>
      <c r="AN22" s="18">
        <f>IF(AND(37&gt;=$NQ$22,37&lt;=$NR$22),IF($NO$22="Single_Point",IF(37=$NQ$22,$NM$22,0),IF($NO$22="Bell_Curve",$NM$22*(37-$NQ$22+1)*($NR$22-37+1)/$NT$22,$NM$22/$NS$22)),0)</f>
        <v/>
      </c>
      <c r="AO22" s="18">
        <f>IF(AND(38&gt;=$NQ$22,38&lt;=$NR$22),IF($NO$22="Single_Point",IF(38=$NQ$22,$NM$22,0),IF($NO$22="Bell_Curve",$NM$22*(38-$NQ$22+1)*($NR$22-38+1)/$NT$22,$NM$22/$NS$22)),0)</f>
        <v/>
      </c>
      <c r="AP22" s="18">
        <f>IF(AND(39&gt;=$NQ$22,39&lt;=$NR$22),IF($NO$22="Single_Point",IF(39=$NQ$22,$NM$22,0),IF($NO$22="Bell_Curve",$NM$22*(39-$NQ$22+1)*($NR$22-39+1)/$NT$22,$NM$22/$NS$22)),0)</f>
        <v/>
      </c>
      <c r="AQ22" s="18">
        <f>IF(AND(40&gt;=$NQ$22,40&lt;=$NR$22),IF($NO$22="Single_Point",IF(40=$NQ$22,$NM$22,0),IF($NO$22="Bell_Curve",$NM$22*(40-$NQ$22+1)*($NR$22-40+1)/$NT$22,$NM$22/$NS$22)),0)</f>
        <v/>
      </c>
      <c r="AR22" s="18">
        <f>IF(AND(41&gt;=$NQ$22,41&lt;=$NR$22),IF($NO$22="Single_Point",IF(41=$NQ$22,$NM$22,0),IF($NO$22="Bell_Curve",$NM$22*(41-$NQ$22+1)*($NR$22-41+1)/$NT$22,$NM$22/$NS$22)),0)</f>
        <v/>
      </c>
      <c r="AS22" s="18">
        <f>IF(AND(42&gt;=$NQ$22,42&lt;=$NR$22),IF($NO$22="Single_Point",IF(42=$NQ$22,$NM$22,0),IF($NO$22="Bell_Curve",$NM$22*(42-$NQ$22+1)*($NR$22-42+1)/$NT$22,$NM$22/$NS$22)),0)</f>
        <v/>
      </c>
      <c r="AT22" s="18">
        <f>IF(AND(43&gt;=$NQ$22,43&lt;=$NR$22),IF($NO$22="Single_Point",IF(43=$NQ$22,$NM$22,0),IF($NO$22="Bell_Curve",$NM$22*(43-$NQ$22+1)*($NR$22-43+1)/$NT$22,$NM$22/$NS$22)),0)</f>
        <v/>
      </c>
      <c r="AU22" s="18">
        <f>IF(AND(44&gt;=$NQ$22,44&lt;=$NR$22),IF($NO$22="Single_Point",IF(44=$NQ$22,$NM$22,0),IF($NO$22="Bell_Curve",$NM$22*(44-$NQ$22+1)*($NR$22-44+1)/$NT$22,$NM$22/$NS$22)),0)</f>
        <v/>
      </c>
      <c r="AV22" s="18">
        <f>IF(AND(45&gt;=$NQ$22,45&lt;=$NR$22),IF($NO$22="Single_Point",IF(45=$NQ$22,$NM$22,0),IF($NO$22="Bell_Curve",$NM$22*(45-$NQ$22+1)*($NR$22-45+1)/$NT$22,$NM$22/$NS$22)),0)</f>
        <v/>
      </c>
      <c r="AW22" s="18">
        <f>IF(AND(46&gt;=$NQ$22,46&lt;=$NR$22),IF($NO$22="Single_Point",IF(46=$NQ$22,$NM$22,0),IF($NO$22="Bell_Curve",$NM$22*(46-$NQ$22+1)*($NR$22-46+1)/$NT$22,$NM$22/$NS$22)),0)</f>
        <v/>
      </c>
      <c r="AX22" s="18">
        <f>IF(AND(47&gt;=$NQ$22,47&lt;=$NR$22),IF($NO$22="Single_Point",IF(47=$NQ$22,$NM$22,0),IF($NO$22="Bell_Curve",$NM$22*(47-$NQ$22+1)*($NR$22-47+1)/$NT$22,$NM$22/$NS$22)),0)</f>
        <v/>
      </c>
      <c r="AY22" s="18">
        <f>IF(AND(48&gt;=$NQ$22,48&lt;=$NR$22),IF($NO$22="Single_Point",IF(48=$NQ$22,$NM$22,0),IF($NO$22="Bell_Curve",$NM$22*(48-$NQ$22+1)*($NR$22-48+1)/$NT$22,$NM$22/$NS$22)),0)</f>
        <v/>
      </c>
      <c r="AZ22" s="18">
        <f>IF(AND(49&gt;=$NQ$22,49&lt;=$NR$22),IF($NO$22="Single_Point",IF(49=$NQ$22,$NM$22,0),IF($NO$22="Bell_Curve",$NM$22*(49-$NQ$22+1)*($NR$22-49+1)/$NT$22,$NM$22/$NS$22)),0)</f>
        <v/>
      </c>
      <c r="BA22" s="18">
        <f>IF(AND(50&gt;=$NQ$22,50&lt;=$NR$22),IF($NO$22="Single_Point",IF(50=$NQ$22,$NM$22,0),IF($NO$22="Bell_Curve",$NM$22*(50-$NQ$22+1)*($NR$22-50+1)/$NT$22,$NM$22/$NS$22)),0)</f>
        <v/>
      </c>
      <c r="BB22" s="18">
        <f>IF(AND(51&gt;=$NQ$22,51&lt;=$NR$22),IF($NO$22="Single_Point",IF(51=$NQ$22,$NM$22,0),IF($NO$22="Bell_Curve",$NM$22*(51-$NQ$22+1)*($NR$22-51+1)/$NT$22,$NM$22/$NS$22)),0)</f>
        <v/>
      </c>
      <c r="BC22" s="18">
        <f>IF(AND(52&gt;=$NQ$22,52&lt;=$NR$22),IF($NO$22="Single_Point",IF(52=$NQ$22,$NM$22,0),IF($NO$22="Bell_Curve",$NM$22*(52-$NQ$22+1)*($NR$22-52+1)/$NT$22,$NM$22/$NS$22)),0)</f>
        <v/>
      </c>
      <c r="BD22" s="18">
        <f>IF(AND(53&gt;=$NQ$22,53&lt;=$NR$22),IF($NO$22="Single_Point",IF(53=$NQ$22,$NM$22,0),IF($NO$22="Bell_Curve",$NM$22*(53-$NQ$22+1)*($NR$22-53+1)/$NT$22,$NM$22/$NS$22)),0)</f>
        <v/>
      </c>
      <c r="BE22" s="18">
        <f>IF(AND(54&gt;=$NQ$22,54&lt;=$NR$22),IF($NO$22="Single_Point",IF(54=$NQ$22,$NM$22,0),IF($NO$22="Bell_Curve",$NM$22*(54-$NQ$22+1)*($NR$22-54+1)/$NT$22,$NM$22/$NS$22)),0)</f>
        <v/>
      </c>
      <c r="BF22" s="18">
        <f>IF(AND(55&gt;=$NQ$22,55&lt;=$NR$22),IF($NO$22="Single_Point",IF(55=$NQ$22,$NM$22,0),IF($NO$22="Bell_Curve",$NM$22*(55-$NQ$22+1)*($NR$22-55+1)/$NT$22,$NM$22/$NS$22)),0)</f>
        <v/>
      </c>
      <c r="BG22" s="18">
        <f>IF(AND(56&gt;=$NQ$22,56&lt;=$NR$22),IF($NO$22="Single_Point",IF(56=$NQ$22,$NM$22,0),IF($NO$22="Bell_Curve",$NM$22*(56-$NQ$22+1)*($NR$22-56+1)/$NT$22,$NM$22/$NS$22)),0)</f>
        <v/>
      </c>
      <c r="BH22" s="18">
        <f>IF(AND(57&gt;=$NQ$22,57&lt;=$NR$22),IF($NO$22="Single_Point",IF(57=$NQ$22,$NM$22,0),IF($NO$22="Bell_Curve",$NM$22*(57-$NQ$22+1)*($NR$22-57+1)/$NT$22,$NM$22/$NS$22)),0)</f>
        <v/>
      </c>
      <c r="BI22" s="18">
        <f>IF(AND(58&gt;=$NQ$22,58&lt;=$NR$22),IF($NO$22="Single_Point",IF(58=$NQ$22,$NM$22,0),IF($NO$22="Bell_Curve",$NM$22*(58-$NQ$22+1)*($NR$22-58+1)/$NT$22,$NM$22/$NS$22)),0)</f>
        <v/>
      </c>
      <c r="BJ22" s="18">
        <f>IF(AND(59&gt;=$NQ$22,59&lt;=$NR$22),IF($NO$22="Single_Point",IF(59=$NQ$22,$NM$22,0),IF($NO$22="Bell_Curve",$NM$22*(59-$NQ$22+1)*($NR$22-59+1)/$NT$22,$NM$22/$NS$22)),0)</f>
        <v/>
      </c>
      <c r="BK22" s="18">
        <f>IF(AND(60&gt;=$NQ$22,60&lt;=$NR$22),IF($NO$22="Single_Point",IF(60=$NQ$22,$NM$22,0),IF($NO$22="Bell_Curve",$NM$22*(60-$NQ$22+1)*($NR$22-60+1)/$NT$22,$NM$22/$NS$22)),0)</f>
        <v/>
      </c>
      <c r="BL22" s="18">
        <f>IF(AND(61&gt;=$NQ$22,61&lt;=$NR$22),IF($NO$22="Single_Point",IF(61=$NQ$22,$NM$22,0),IF($NO$22="Bell_Curve",$NM$22*(61-$NQ$22+1)*($NR$22-61+1)/$NT$22,$NM$22/$NS$22)),0)</f>
        <v/>
      </c>
      <c r="BM22" s="18">
        <f>IF(AND(62&gt;=$NQ$22,62&lt;=$NR$22),IF($NO$22="Single_Point",IF(62=$NQ$22,$NM$22,0),IF($NO$22="Bell_Curve",$NM$22*(62-$NQ$22+1)*($NR$22-62+1)/$NT$22,$NM$22/$NS$22)),0)</f>
        <v/>
      </c>
      <c r="BN22" s="18">
        <f>IF(AND(63&gt;=$NQ$22,63&lt;=$NR$22),IF($NO$22="Single_Point",IF(63=$NQ$22,$NM$22,0),IF($NO$22="Bell_Curve",$NM$22*(63-$NQ$22+1)*($NR$22-63+1)/$NT$22,$NM$22/$NS$22)),0)</f>
        <v/>
      </c>
      <c r="BO22" s="18">
        <f>IF(AND(64&gt;=$NQ$22,64&lt;=$NR$22),IF($NO$22="Single_Point",IF(64=$NQ$22,$NM$22,0),IF($NO$22="Bell_Curve",$NM$22*(64-$NQ$22+1)*($NR$22-64+1)/$NT$22,$NM$22/$NS$22)),0)</f>
        <v/>
      </c>
      <c r="BP22" s="18">
        <f>IF(AND(65&gt;=$NQ$22,65&lt;=$NR$22),IF($NO$22="Single_Point",IF(65=$NQ$22,$NM$22,0),IF($NO$22="Bell_Curve",$NM$22*(65-$NQ$22+1)*($NR$22-65+1)/$NT$22,$NM$22/$NS$22)),0)</f>
        <v/>
      </c>
      <c r="BQ22" s="18">
        <f>IF(AND(66&gt;=$NQ$22,66&lt;=$NR$22),IF($NO$22="Single_Point",IF(66=$NQ$22,$NM$22,0),IF($NO$22="Bell_Curve",$NM$22*(66-$NQ$22+1)*($NR$22-66+1)/$NT$22,$NM$22/$NS$22)),0)</f>
        <v/>
      </c>
      <c r="BR22" s="18">
        <f>IF(AND(67&gt;=$NQ$22,67&lt;=$NR$22),IF($NO$22="Single_Point",IF(67=$NQ$22,$NM$22,0),IF($NO$22="Bell_Curve",$NM$22*(67-$NQ$22+1)*($NR$22-67+1)/$NT$22,$NM$22/$NS$22)),0)</f>
        <v/>
      </c>
      <c r="BS22" s="18">
        <f>IF(AND(68&gt;=$NQ$22,68&lt;=$NR$22),IF($NO$22="Single_Point",IF(68=$NQ$22,$NM$22,0),IF($NO$22="Bell_Curve",$NM$22*(68-$NQ$22+1)*($NR$22-68+1)/$NT$22,$NM$22/$NS$22)),0)</f>
        <v/>
      </c>
      <c r="BT22" s="18">
        <f>IF(AND(69&gt;=$NQ$22,69&lt;=$NR$22),IF($NO$22="Single_Point",IF(69=$NQ$22,$NM$22,0),IF($NO$22="Bell_Curve",$NM$22*(69-$NQ$22+1)*($NR$22-69+1)/$NT$22,$NM$22/$NS$22)),0)</f>
        <v/>
      </c>
      <c r="BU22" s="18">
        <f>IF(AND(70&gt;=$NQ$22,70&lt;=$NR$22),IF($NO$22="Single_Point",IF(70=$NQ$22,$NM$22,0),IF($NO$22="Bell_Curve",$NM$22*(70-$NQ$22+1)*($NR$22-70+1)/$NT$22,$NM$22/$NS$22)),0)</f>
        <v/>
      </c>
      <c r="BV22" s="18">
        <f>IF(AND(71&gt;=$NQ$22,71&lt;=$NR$22),IF($NO$22="Single_Point",IF(71=$NQ$22,$NM$22,0),IF($NO$22="Bell_Curve",$NM$22*(71-$NQ$22+1)*($NR$22-71+1)/$NT$22,$NM$22/$NS$22)),0)</f>
        <v/>
      </c>
      <c r="BW22" s="18">
        <f>IF(AND(72&gt;=$NQ$22,72&lt;=$NR$22),IF($NO$22="Single_Point",IF(72=$NQ$22,$NM$22,0),IF($NO$22="Bell_Curve",$NM$22*(72-$NQ$22+1)*($NR$22-72+1)/$NT$22,$NM$22/$NS$22)),0)</f>
        <v/>
      </c>
      <c r="BX22" s="18">
        <f>IF(AND(73&gt;=$NQ$22,73&lt;=$NR$22),IF($NO$22="Single_Point",IF(73=$NQ$22,$NM$22,0),IF($NO$22="Bell_Curve",$NM$22*(73-$NQ$22+1)*($NR$22-73+1)/$NT$22,$NM$22/$NS$22)),0)</f>
        <v/>
      </c>
      <c r="BY22" s="18">
        <f>IF(AND(74&gt;=$NQ$22,74&lt;=$NR$22),IF($NO$22="Single_Point",IF(74=$NQ$22,$NM$22,0),IF($NO$22="Bell_Curve",$NM$22*(74-$NQ$22+1)*($NR$22-74+1)/$NT$22,$NM$22/$NS$22)),0)</f>
        <v/>
      </c>
      <c r="BZ22" s="18">
        <f>IF(AND(75&gt;=$NQ$22,75&lt;=$NR$22),IF($NO$22="Single_Point",IF(75=$NQ$22,$NM$22,0),IF($NO$22="Bell_Curve",$NM$22*(75-$NQ$22+1)*($NR$22-75+1)/$NT$22,$NM$22/$NS$22)),0)</f>
        <v/>
      </c>
      <c r="CA22" s="18">
        <f>IF(AND(76&gt;=$NQ$22,76&lt;=$NR$22),IF($NO$22="Single_Point",IF(76=$NQ$22,$NM$22,0),IF($NO$22="Bell_Curve",$NM$22*(76-$NQ$22+1)*($NR$22-76+1)/$NT$22,$NM$22/$NS$22)),0)</f>
        <v/>
      </c>
      <c r="CB22" s="18">
        <f>IF(AND(77&gt;=$NQ$22,77&lt;=$NR$22),IF($NO$22="Single_Point",IF(77=$NQ$22,$NM$22,0),IF($NO$22="Bell_Curve",$NM$22*(77-$NQ$22+1)*($NR$22-77+1)/$NT$22,$NM$22/$NS$22)),0)</f>
        <v/>
      </c>
      <c r="CC22" s="18">
        <f>IF(AND(78&gt;=$NQ$22,78&lt;=$NR$22),IF($NO$22="Single_Point",IF(78=$NQ$22,$NM$22,0),IF($NO$22="Bell_Curve",$NM$22*(78-$NQ$22+1)*($NR$22-78+1)/$NT$22,$NM$22/$NS$22)),0)</f>
        <v/>
      </c>
      <c r="CD22" s="18">
        <f>IF(AND(79&gt;=$NQ$22,79&lt;=$NR$22),IF($NO$22="Single_Point",IF(79=$NQ$22,$NM$22,0),IF($NO$22="Bell_Curve",$NM$22*(79-$NQ$22+1)*($NR$22-79+1)/$NT$22,$NM$22/$NS$22)),0)</f>
        <v/>
      </c>
      <c r="CE22" s="18">
        <f>IF(AND(80&gt;=$NQ$22,80&lt;=$NR$22),IF($NO$22="Single_Point",IF(80=$NQ$22,$NM$22,0),IF($NO$22="Bell_Curve",$NM$22*(80-$NQ$22+1)*($NR$22-80+1)/$NT$22,$NM$22/$NS$22)),0)</f>
        <v/>
      </c>
      <c r="CF22" s="18">
        <f>IF(AND(81&gt;=$NQ$22,81&lt;=$NR$22),IF($NO$22="Single_Point",IF(81=$NQ$22,$NM$22,0),IF($NO$22="Bell_Curve",$NM$22*(81-$NQ$22+1)*($NR$22-81+1)/$NT$22,$NM$22/$NS$22)),0)</f>
        <v/>
      </c>
      <c r="CG22" s="18">
        <f>IF(AND(82&gt;=$NQ$22,82&lt;=$NR$22),IF($NO$22="Single_Point",IF(82=$NQ$22,$NM$22,0),IF($NO$22="Bell_Curve",$NM$22*(82-$NQ$22+1)*($NR$22-82+1)/$NT$22,$NM$22/$NS$22)),0)</f>
        <v/>
      </c>
      <c r="CH22" s="18">
        <f>IF(AND(83&gt;=$NQ$22,83&lt;=$NR$22),IF($NO$22="Single_Point",IF(83=$NQ$22,$NM$22,0),IF($NO$22="Bell_Curve",$NM$22*(83-$NQ$22+1)*($NR$22-83+1)/$NT$22,$NM$22/$NS$22)),0)</f>
        <v/>
      </c>
      <c r="CI22" s="18">
        <f>IF(AND(84&gt;=$NQ$22,84&lt;=$NR$22),IF($NO$22="Single_Point",IF(84=$NQ$22,$NM$22,0),IF($NO$22="Bell_Curve",$NM$22*(84-$NQ$22+1)*($NR$22-84+1)/$NT$22,$NM$22/$NS$22)),0)</f>
        <v/>
      </c>
      <c r="CJ22" s="18">
        <f>IF(AND(85&gt;=$NQ$22,85&lt;=$NR$22),IF($NO$22="Single_Point",IF(85=$NQ$22,$NM$22,0),IF($NO$22="Bell_Curve",$NM$22*(85-$NQ$22+1)*($NR$22-85+1)/$NT$22,$NM$22/$NS$22)),0)</f>
        <v/>
      </c>
      <c r="CK22" s="18">
        <f>IF(AND(86&gt;=$NQ$22,86&lt;=$NR$22),IF($NO$22="Single_Point",IF(86=$NQ$22,$NM$22,0),IF($NO$22="Bell_Curve",$NM$22*(86-$NQ$22+1)*($NR$22-86+1)/$NT$22,$NM$22/$NS$22)),0)</f>
        <v/>
      </c>
      <c r="CL22" s="18">
        <f>IF(AND(87&gt;=$NQ$22,87&lt;=$NR$22),IF($NO$22="Single_Point",IF(87=$NQ$22,$NM$22,0),IF($NO$22="Bell_Curve",$NM$22*(87-$NQ$22+1)*($NR$22-87+1)/$NT$22,$NM$22/$NS$22)),0)</f>
        <v/>
      </c>
      <c r="CM22" s="18">
        <f>IF(AND(88&gt;=$NQ$22,88&lt;=$NR$22),IF($NO$22="Single_Point",IF(88=$NQ$22,$NM$22,0),IF($NO$22="Bell_Curve",$NM$22*(88-$NQ$22+1)*($NR$22-88+1)/$NT$22,$NM$22/$NS$22)),0)</f>
        <v/>
      </c>
      <c r="CN22" s="18">
        <f>IF(AND(89&gt;=$NQ$22,89&lt;=$NR$22),IF($NO$22="Single_Point",IF(89=$NQ$22,$NM$22,0),IF($NO$22="Bell_Curve",$NM$22*(89-$NQ$22+1)*($NR$22-89+1)/$NT$22,$NM$22/$NS$22)),0)</f>
        <v/>
      </c>
      <c r="CO22" s="18">
        <f>IF(AND(90&gt;=$NQ$22,90&lt;=$NR$22),IF($NO$22="Single_Point",IF(90=$NQ$22,$NM$22,0),IF($NO$22="Bell_Curve",$NM$22*(90-$NQ$22+1)*($NR$22-90+1)/$NT$22,$NM$22/$NS$22)),0)</f>
        <v/>
      </c>
      <c r="CP22" s="18">
        <f>IF(AND(91&gt;=$NQ$22,91&lt;=$NR$22),IF($NO$22="Single_Point",IF(91=$NQ$22,$NM$22,0),IF($NO$22="Bell_Curve",$NM$22*(91-$NQ$22+1)*($NR$22-91+1)/$NT$22,$NM$22/$NS$22)),0)</f>
        <v/>
      </c>
      <c r="CQ22" s="18">
        <f>IF(AND(92&gt;=$NQ$22,92&lt;=$NR$22),IF($NO$22="Single_Point",IF(92=$NQ$22,$NM$22,0),IF($NO$22="Bell_Curve",$NM$22*(92-$NQ$22+1)*($NR$22-92+1)/$NT$22,$NM$22/$NS$22)),0)</f>
        <v/>
      </c>
      <c r="CR22" s="18">
        <f>IF(AND(93&gt;=$NQ$22,93&lt;=$NR$22),IF($NO$22="Single_Point",IF(93=$NQ$22,$NM$22,0),IF($NO$22="Bell_Curve",$NM$22*(93-$NQ$22+1)*($NR$22-93+1)/$NT$22,$NM$22/$NS$22)),0)</f>
        <v/>
      </c>
      <c r="CS22" s="18">
        <f>IF(AND(94&gt;=$NQ$22,94&lt;=$NR$22),IF($NO$22="Single_Point",IF(94=$NQ$22,$NM$22,0),IF($NO$22="Bell_Curve",$NM$22*(94-$NQ$22+1)*($NR$22-94+1)/$NT$22,$NM$22/$NS$22)),0)</f>
        <v/>
      </c>
      <c r="CT22" s="18">
        <f>IF(AND(95&gt;=$NQ$22,95&lt;=$NR$22),IF($NO$22="Single_Point",IF(95=$NQ$22,$NM$22,0),IF($NO$22="Bell_Curve",$NM$22*(95-$NQ$22+1)*($NR$22-95+1)/$NT$22,$NM$22/$NS$22)),0)</f>
        <v/>
      </c>
      <c r="CU22" s="18">
        <f>IF(AND(96&gt;=$NQ$22,96&lt;=$NR$22),IF($NO$22="Single_Point",IF(96=$NQ$22,$NM$22,0),IF($NO$22="Bell_Curve",$NM$22*(96-$NQ$22+1)*($NR$22-96+1)/$NT$22,$NM$22/$NS$22)),0)</f>
        <v/>
      </c>
      <c r="CV22" s="18">
        <f>IF(AND(97&gt;=$NQ$22,97&lt;=$NR$22),IF($NO$22="Single_Point",IF(97=$NQ$22,$NM$22,0),IF($NO$22="Bell_Curve",$NM$22*(97-$NQ$22+1)*($NR$22-97+1)/$NT$22,$NM$22/$NS$22)),0)</f>
        <v/>
      </c>
      <c r="CW22" s="18">
        <f>IF(AND(98&gt;=$NQ$22,98&lt;=$NR$22),IF($NO$22="Single_Point",IF(98=$NQ$22,$NM$22,0),IF($NO$22="Bell_Curve",$NM$22*(98-$NQ$22+1)*($NR$22-98+1)/$NT$22,$NM$22/$NS$22)),0)</f>
        <v/>
      </c>
      <c r="CX22" s="18">
        <f>IF(AND(99&gt;=$NQ$22,99&lt;=$NR$22),IF($NO$22="Single_Point",IF(99=$NQ$22,$NM$22,0),IF($NO$22="Bell_Curve",$NM$22*(99-$NQ$22+1)*($NR$22-99+1)/$NT$22,$NM$22/$NS$22)),0)</f>
        <v/>
      </c>
      <c r="CY22" s="18">
        <f>IF(AND(100&gt;=$NQ$22,100&lt;=$NR$22),IF($NO$22="Single_Point",IF(100=$NQ$22,$NM$22,0),IF($NO$22="Bell_Curve",$NM$22*(100-$NQ$22+1)*($NR$22-100+1)/$NT$22,$NM$22/$NS$22)),0)</f>
        <v/>
      </c>
      <c r="CZ22" s="18">
        <f>IF(AND(101&gt;=$NQ$22,101&lt;=$NR$22),IF($NO$22="Single_Point",IF(101=$NQ$22,$NM$22,0),IF($NO$22="Bell_Curve",$NM$22*(101-$NQ$22+1)*($NR$22-101+1)/$NT$22,$NM$22/$NS$22)),0)</f>
        <v/>
      </c>
      <c r="DA22" s="18">
        <f>IF(AND(102&gt;=$NQ$22,102&lt;=$NR$22),IF($NO$22="Single_Point",IF(102=$NQ$22,$NM$22,0),IF($NO$22="Bell_Curve",$NM$22*(102-$NQ$22+1)*($NR$22-102+1)/$NT$22,$NM$22/$NS$22)),0)</f>
        <v/>
      </c>
      <c r="DB22" s="18">
        <f>IF(AND(103&gt;=$NQ$22,103&lt;=$NR$22),IF($NO$22="Single_Point",IF(103=$NQ$22,$NM$22,0),IF($NO$22="Bell_Curve",$NM$22*(103-$NQ$22+1)*($NR$22-103+1)/$NT$22,$NM$22/$NS$22)),0)</f>
        <v/>
      </c>
      <c r="DC22" s="18">
        <f>IF(AND(104&gt;=$NQ$22,104&lt;=$NR$22),IF($NO$22="Single_Point",IF(104=$NQ$22,$NM$22,0),IF($NO$22="Bell_Curve",$NM$22*(104-$NQ$22+1)*($NR$22-104+1)/$NT$22,$NM$22/$NS$22)),0)</f>
        <v/>
      </c>
      <c r="DD22" s="18">
        <f>IF(AND(105&gt;=$NQ$22,105&lt;=$NR$22),IF($NO$22="Single_Point",IF(105=$NQ$22,$NM$22,0),IF($NO$22="Bell_Curve",$NM$22*(105-$NQ$22+1)*($NR$22-105+1)/$NT$22,$NM$22/$NS$22)),0)</f>
        <v/>
      </c>
      <c r="DE22" s="18">
        <f>IF(AND(106&gt;=$NQ$22,106&lt;=$NR$22),IF($NO$22="Single_Point",IF(106=$NQ$22,$NM$22,0),IF($NO$22="Bell_Curve",$NM$22*(106-$NQ$22+1)*($NR$22-106+1)/$NT$22,$NM$22/$NS$22)),0)</f>
        <v/>
      </c>
      <c r="DF22" s="18">
        <f>IF(AND(107&gt;=$NQ$22,107&lt;=$NR$22),IF($NO$22="Single_Point",IF(107=$NQ$22,$NM$22,0),IF($NO$22="Bell_Curve",$NM$22*(107-$NQ$22+1)*($NR$22-107+1)/$NT$22,$NM$22/$NS$22)),0)</f>
        <v/>
      </c>
      <c r="DG22" s="18">
        <f>IF(AND(108&gt;=$NQ$22,108&lt;=$NR$22),IF($NO$22="Single_Point",IF(108=$NQ$22,$NM$22,0),IF($NO$22="Bell_Curve",$NM$22*(108-$NQ$22+1)*($NR$22-108+1)/$NT$22,$NM$22/$NS$22)),0)</f>
        <v/>
      </c>
      <c r="DH22" s="18">
        <f>IF(AND(109&gt;=$NQ$22,109&lt;=$NR$22),IF($NO$22="Single_Point",IF(109=$NQ$22,$NM$22,0),IF($NO$22="Bell_Curve",$NM$22*(109-$NQ$22+1)*($NR$22-109+1)/$NT$22,$NM$22/$NS$22)),0)</f>
        <v/>
      </c>
      <c r="DI22" s="18">
        <f>IF(AND(110&gt;=$NQ$22,110&lt;=$NR$22),IF($NO$22="Single_Point",IF(110=$NQ$22,$NM$22,0),IF($NO$22="Bell_Curve",$NM$22*(110-$NQ$22+1)*($NR$22-110+1)/$NT$22,$NM$22/$NS$22)),0)</f>
        <v/>
      </c>
      <c r="DJ22" s="18">
        <f>IF(AND(111&gt;=$NQ$22,111&lt;=$NR$22),IF($NO$22="Single_Point",IF(111=$NQ$22,$NM$22,0),IF($NO$22="Bell_Curve",$NM$22*(111-$NQ$22+1)*($NR$22-111+1)/$NT$22,$NM$22/$NS$22)),0)</f>
        <v/>
      </c>
      <c r="DK22" s="18">
        <f>IF(AND(112&gt;=$NQ$22,112&lt;=$NR$22),IF($NO$22="Single_Point",IF(112=$NQ$22,$NM$22,0),IF($NO$22="Bell_Curve",$NM$22*(112-$NQ$22+1)*($NR$22-112+1)/$NT$22,$NM$22/$NS$22)),0)</f>
        <v/>
      </c>
      <c r="DL22" s="18">
        <f>IF(AND(113&gt;=$NQ$22,113&lt;=$NR$22),IF($NO$22="Single_Point",IF(113=$NQ$22,$NM$22,0),IF($NO$22="Bell_Curve",$NM$22*(113-$NQ$22+1)*($NR$22-113+1)/$NT$22,$NM$22/$NS$22)),0)</f>
        <v/>
      </c>
      <c r="DM22" s="18">
        <f>IF(AND(114&gt;=$NQ$22,114&lt;=$NR$22),IF($NO$22="Single_Point",IF(114=$NQ$22,$NM$22,0),IF($NO$22="Bell_Curve",$NM$22*(114-$NQ$22+1)*($NR$22-114+1)/$NT$22,$NM$22/$NS$22)),0)</f>
        <v/>
      </c>
      <c r="DN22" s="18">
        <f>IF(AND(115&gt;=$NQ$22,115&lt;=$NR$22),IF($NO$22="Single_Point",IF(115=$NQ$22,$NM$22,0),IF($NO$22="Bell_Curve",$NM$22*(115-$NQ$22+1)*($NR$22-115+1)/$NT$22,$NM$22/$NS$22)),0)</f>
        <v/>
      </c>
      <c r="DO22" s="18">
        <f>IF(AND(116&gt;=$NQ$22,116&lt;=$NR$22),IF($NO$22="Single_Point",IF(116=$NQ$22,$NM$22,0),IF($NO$22="Bell_Curve",$NM$22*(116-$NQ$22+1)*($NR$22-116+1)/$NT$22,$NM$22/$NS$22)),0)</f>
        <v/>
      </c>
      <c r="DP22" s="18">
        <f>IF(AND(117&gt;=$NQ$22,117&lt;=$NR$22),IF($NO$22="Single_Point",IF(117=$NQ$22,$NM$22,0),IF($NO$22="Bell_Curve",$NM$22*(117-$NQ$22+1)*($NR$22-117+1)/$NT$22,$NM$22/$NS$22)),0)</f>
        <v/>
      </c>
      <c r="DQ22" s="18">
        <f>IF(AND(118&gt;=$NQ$22,118&lt;=$NR$22),IF($NO$22="Single_Point",IF(118=$NQ$22,$NM$22,0),IF($NO$22="Bell_Curve",$NM$22*(118-$NQ$22+1)*($NR$22-118+1)/$NT$22,$NM$22/$NS$22)),0)</f>
        <v/>
      </c>
      <c r="DR22" s="18">
        <f>IF(AND(119&gt;=$NQ$22,119&lt;=$NR$22),IF($NO$22="Single_Point",IF(119=$NQ$22,$NM$22,0),IF($NO$22="Bell_Curve",$NM$22*(119-$NQ$22+1)*($NR$22-119+1)/$NT$22,$NM$22/$NS$22)),0)</f>
        <v/>
      </c>
      <c r="DS22" s="18">
        <f>IF(AND(120&gt;=$NQ$22,120&lt;=$NR$22),IF($NO$22="Single_Point",IF(120=$NQ$22,$NM$22,0),IF($NO$22="Bell_Curve",$NM$22*(120-$NQ$22+1)*($NR$22-120+1)/$NT$22,$NM$22/$NS$22)),0)</f>
        <v/>
      </c>
      <c r="DT22" s="18">
        <f>IF(AND(121&gt;=$NQ$22,121&lt;=$NR$22),IF($NO$22="Single_Point",IF(121=$NQ$22,$NM$22,0),IF($NO$22="Bell_Curve",$NM$22*(121-$NQ$22+1)*($NR$22-121+1)/$NT$22,$NM$22/$NS$22)),0)</f>
        <v/>
      </c>
      <c r="DU22" s="18">
        <f>IF(AND(122&gt;=$NQ$22,122&lt;=$NR$22),IF($NO$22="Single_Point",IF(122=$NQ$22,$NM$22,0),IF($NO$22="Bell_Curve",$NM$22*(122-$NQ$22+1)*($NR$22-122+1)/$NT$22,$NM$22/$NS$22)),0)</f>
        <v/>
      </c>
      <c r="DV22" s="18">
        <f>IF(AND(123&gt;=$NQ$22,123&lt;=$NR$22),IF($NO$22="Single_Point",IF(123=$NQ$22,$NM$22,0),IF($NO$22="Bell_Curve",$NM$22*(123-$NQ$22+1)*($NR$22-123+1)/$NT$22,$NM$22/$NS$22)),0)</f>
        <v/>
      </c>
      <c r="DW22" s="18">
        <f>IF(AND(124&gt;=$NQ$22,124&lt;=$NR$22),IF($NO$22="Single_Point",IF(124=$NQ$22,$NM$22,0),IF($NO$22="Bell_Curve",$NM$22*(124-$NQ$22+1)*($NR$22-124+1)/$NT$22,$NM$22/$NS$22)),0)</f>
        <v/>
      </c>
      <c r="DX22" s="18">
        <f>IF(AND(125&gt;=$NQ$22,125&lt;=$NR$22),IF($NO$22="Single_Point",IF(125=$NQ$22,$NM$22,0),IF($NO$22="Bell_Curve",$NM$22*(125-$NQ$22+1)*($NR$22-125+1)/$NT$22,$NM$22/$NS$22)),0)</f>
        <v/>
      </c>
      <c r="DY22" s="18">
        <f>IF(AND(126&gt;=$NQ$22,126&lt;=$NR$22),IF($NO$22="Single_Point",IF(126=$NQ$22,$NM$22,0),IF($NO$22="Bell_Curve",$NM$22*(126-$NQ$22+1)*($NR$22-126+1)/$NT$22,$NM$22/$NS$22)),0)</f>
        <v/>
      </c>
      <c r="DZ22" s="18">
        <f>IF(AND(127&gt;=$NQ$22,127&lt;=$NR$22),IF($NO$22="Single_Point",IF(127=$NQ$22,$NM$22,0),IF($NO$22="Bell_Curve",$NM$22*(127-$NQ$22+1)*($NR$22-127+1)/$NT$22,$NM$22/$NS$22)),0)</f>
        <v/>
      </c>
      <c r="EA22" s="18">
        <f>IF(AND(128&gt;=$NQ$22,128&lt;=$NR$22),IF($NO$22="Single_Point",IF(128=$NQ$22,$NM$22,0),IF($NO$22="Bell_Curve",$NM$22*(128-$NQ$22+1)*($NR$22-128+1)/$NT$22,$NM$22/$NS$22)),0)</f>
        <v/>
      </c>
      <c r="EB22" s="18">
        <f>IF(AND(129&gt;=$NQ$22,129&lt;=$NR$22),IF($NO$22="Single_Point",IF(129=$NQ$22,$NM$22,0),IF($NO$22="Bell_Curve",$NM$22*(129-$NQ$22+1)*($NR$22-129+1)/$NT$22,$NM$22/$NS$22)),0)</f>
        <v/>
      </c>
      <c r="EC22" s="18">
        <f>IF(AND(130&gt;=$NQ$22,130&lt;=$NR$22),IF($NO$22="Single_Point",IF(130=$NQ$22,$NM$22,0),IF($NO$22="Bell_Curve",$NM$22*(130-$NQ$22+1)*($NR$22-130+1)/$NT$22,$NM$22/$NS$22)),0)</f>
        <v/>
      </c>
      <c r="ED22" s="18">
        <f>IF(AND(131&gt;=$NQ$22,131&lt;=$NR$22),IF($NO$22="Single_Point",IF(131=$NQ$22,$NM$22,0),IF($NO$22="Bell_Curve",$NM$22*(131-$NQ$22+1)*($NR$22-131+1)/$NT$22,$NM$22/$NS$22)),0)</f>
        <v/>
      </c>
      <c r="EE22" s="18">
        <f>IF(AND(132&gt;=$NQ$22,132&lt;=$NR$22),IF($NO$22="Single_Point",IF(132=$NQ$22,$NM$22,0),IF($NO$22="Bell_Curve",$NM$22*(132-$NQ$22+1)*($NR$22-132+1)/$NT$22,$NM$22/$NS$22)),0)</f>
        <v/>
      </c>
      <c r="EF22" s="18">
        <f>IF(AND(133&gt;=$NQ$22,133&lt;=$NR$22),IF($NO$22="Single_Point",IF(133=$NQ$22,$NM$22,0),IF($NO$22="Bell_Curve",$NM$22*(133-$NQ$22+1)*($NR$22-133+1)/$NT$22,$NM$22/$NS$22)),0)</f>
        <v/>
      </c>
      <c r="EG22" s="18">
        <f>IF(AND(134&gt;=$NQ$22,134&lt;=$NR$22),IF($NO$22="Single_Point",IF(134=$NQ$22,$NM$22,0),IF($NO$22="Bell_Curve",$NM$22*(134-$NQ$22+1)*($NR$22-134+1)/$NT$22,$NM$22/$NS$22)),0)</f>
        <v/>
      </c>
      <c r="EH22" s="18">
        <f>IF(AND(135&gt;=$NQ$22,135&lt;=$NR$22),IF($NO$22="Single_Point",IF(135=$NQ$22,$NM$22,0),IF($NO$22="Bell_Curve",$NM$22*(135-$NQ$22+1)*($NR$22-135+1)/$NT$22,$NM$22/$NS$22)),0)</f>
        <v/>
      </c>
      <c r="EI22" s="18">
        <f>IF(AND(136&gt;=$NQ$22,136&lt;=$NR$22),IF($NO$22="Single_Point",IF(136=$NQ$22,$NM$22,0),IF($NO$22="Bell_Curve",$NM$22*(136-$NQ$22+1)*($NR$22-136+1)/$NT$22,$NM$22/$NS$22)),0)</f>
        <v/>
      </c>
      <c r="EJ22" s="18">
        <f>IF(AND(137&gt;=$NQ$22,137&lt;=$NR$22),IF($NO$22="Single_Point",IF(137=$NQ$22,$NM$22,0),IF($NO$22="Bell_Curve",$NM$22*(137-$NQ$22+1)*($NR$22-137+1)/$NT$22,$NM$22/$NS$22)),0)</f>
        <v/>
      </c>
      <c r="EK22" s="18">
        <f>IF(AND(138&gt;=$NQ$22,138&lt;=$NR$22),IF($NO$22="Single_Point",IF(138=$NQ$22,$NM$22,0),IF($NO$22="Bell_Curve",$NM$22*(138-$NQ$22+1)*($NR$22-138+1)/$NT$22,$NM$22/$NS$22)),0)</f>
        <v/>
      </c>
      <c r="EL22" s="18">
        <f>IF(AND(139&gt;=$NQ$22,139&lt;=$NR$22),IF($NO$22="Single_Point",IF(139=$NQ$22,$NM$22,0),IF($NO$22="Bell_Curve",$NM$22*(139-$NQ$22+1)*($NR$22-139+1)/$NT$22,$NM$22/$NS$22)),0)</f>
        <v/>
      </c>
      <c r="EM22" s="18">
        <f>IF(AND(140&gt;=$NQ$22,140&lt;=$NR$22),IF($NO$22="Single_Point",IF(140=$NQ$22,$NM$22,0),IF($NO$22="Bell_Curve",$NM$22*(140-$NQ$22+1)*($NR$22-140+1)/$NT$22,$NM$22/$NS$22)),0)</f>
        <v/>
      </c>
      <c r="EN22" s="18">
        <f>IF(AND(141&gt;=$NQ$22,141&lt;=$NR$22),IF($NO$22="Single_Point",IF(141=$NQ$22,$NM$22,0),IF($NO$22="Bell_Curve",$NM$22*(141-$NQ$22+1)*($NR$22-141+1)/$NT$22,$NM$22/$NS$22)),0)</f>
        <v/>
      </c>
      <c r="EO22" s="18">
        <f>IF(AND(142&gt;=$NQ$22,142&lt;=$NR$22),IF($NO$22="Single_Point",IF(142=$NQ$22,$NM$22,0),IF($NO$22="Bell_Curve",$NM$22*(142-$NQ$22+1)*($NR$22-142+1)/$NT$22,$NM$22/$NS$22)),0)</f>
        <v/>
      </c>
      <c r="EP22" s="18">
        <f>IF(AND(143&gt;=$NQ$22,143&lt;=$NR$22),IF($NO$22="Single_Point",IF(143=$NQ$22,$NM$22,0),IF($NO$22="Bell_Curve",$NM$22*(143-$NQ$22+1)*($NR$22-143+1)/$NT$22,$NM$22/$NS$22)),0)</f>
        <v/>
      </c>
      <c r="EQ22" s="18">
        <f>IF(AND(144&gt;=$NQ$22,144&lt;=$NR$22),IF($NO$22="Single_Point",IF(144=$NQ$22,$NM$22,0),IF($NO$22="Bell_Curve",$NM$22*(144-$NQ$22+1)*($NR$22-144+1)/$NT$22,$NM$22/$NS$22)),0)</f>
        <v/>
      </c>
      <c r="ER22" s="18">
        <f>IF(AND(145&gt;=$NQ$22,145&lt;=$NR$22),IF($NO$22="Single_Point",IF(145=$NQ$22,$NM$22,0),IF($NO$22="Bell_Curve",$NM$22*(145-$NQ$22+1)*($NR$22-145+1)/$NT$22,$NM$22/$NS$22)),0)</f>
        <v/>
      </c>
      <c r="ES22" s="18">
        <f>IF(AND(146&gt;=$NQ$22,146&lt;=$NR$22),IF($NO$22="Single_Point",IF(146=$NQ$22,$NM$22,0),IF($NO$22="Bell_Curve",$NM$22*(146-$NQ$22+1)*($NR$22-146+1)/$NT$22,$NM$22/$NS$22)),0)</f>
        <v/>
      </c>
      <c r="ET22" s="18">
        <f>IF(AND(147&gt;=$NQ$22,147&lt;=$NR$22),IF($NO$22="Single_Point",IF(147=$NQ$22,$NM$22,0),IF($NO$22="Bell_Curve",$NM$22*(147-$NQ$22+1)*($NR$22-147+1)/$NT$22,$NM$22/$NS$22)),0)</f>
        <v/>
      </c>
      <c r="EU22" s="18">
        <f>IF(AND(148&gt;=$NQ$22,148&lt;=$NR$22),IF($NO$22="Single_Point",IF(148=$NQ$22,$NM$22,0),IF($NO$22="Bell_Curve",$NM$22*(148-$NQ$22+1)*($NR$22-148+1)/$NT$22,$NM$22/$NS$22)),0)</f>
        <v/>
      </c>
      <c r="EV22" s="18">
        <f>IF(AND(149&gt;=$NQ$22,149&lt;=$NR$22),IF($NO$22="Single_Point",IF(149=$NQ$22,$NM$22,0),IF($NO$22="Bell_Curve",$NM$22*(149-$NQ$22+1)*($NR$22-149+1)/$NT$22,$NM$22/$NS$22)),0)</f>
        <v/>
      </c>
      <c r="EW22" s="18">
        <f>IF(AND(150&gt;=$NQ$22,150&lt;=$NR$22),IF($NO$22="Single_Point",IF(150=$NQ$22,$NM$22,0),IF($NO$22="Bell_Curve",$NM$22*(150-$NQ$22+1)*($NR$22-150+1)/$NT$22,$NM$22/$NS$22)),0)</f>
        <v/>
      </c>
      <c r="EX22" s="18">
        <f>IF(AND(151&gt;=$NQ$22,151&lt;=$NR$22),IF($NO$22="Single_Point",IF(151=$NQ$22,$NM$22,0),IF($NO$22="Bell_Curve",$NM$22*(151-$NQ$22+1)*($NR$22-151+1)/$NT$22,$NM$22/$NS$22)),0)</f>
        <v/>
      </c>
      <c r="EY22" s="18">
        <f>IF(AND(152&gt;=$NQ$22,152&lt;=$NR$22),IF($NO$22="Single_Point",IF(152=$NQ$22,$NM$22,0),IF($NO$22="Bell_Curve",$NM$22*(152-$NQ$22+1)*($NR$22-152+1)/$NT$22,$NM$22/$NS$22)),0)</f>
        <v/>
      </c>
      <c r="EZ22" s="18">
        <f>IF(AND(153&gt;=$NQ$22,153&lt;=$NR$22),IF($NO$22="Single_Point",IF(153=$NQ$22,$NM$22,0),IF($NO$22="Bell_Curve",$NM$22*(153-$NQ$22+1)*($NR$22-153+1)/$NT$22,$NM$22/$NS$22)),0)</f>
        <v/>
      </c>
      <c r="FA22" s="18">
        <f>IF(AND(154&gt;=$NQ$22,154&lt;=$NR$22),IF($NO$22="Single_Point",IF(154=$NQ$22,$NM$22,0),IF($NO$22="Bell_Curve",$NM$22*(154-$NQ$22+1)*($NR$22-154+1)/$NT$22,$NM$22/$NS$22)),0)</f>
        <v/>
      </c>
      <c r="FB22" s="18">
        <f>IF(AND(155&gt;=$NQ$22,155&lt;=$NR$22),IF($NO$22="Single_Point",IF(155=$NQ$22,$NM$22,0),IF($NO$22="Bell_Curve",$NM$22*(155-$NQ$22+1)*($NR$22-155+1)/$NT$22,$NM$22/$NS$22)),0)</f>
        <v/>
      </c>
      <c r="FC22" s="18">
        <f>IF(AND(156&gt;=$NQ$22,156&lt;=$NR$22),IF($NO$22="Single_Point",IF(156=$NQ$22,$NM$22,0),IF($NO$22="Bell_Curve",$NM$22*(156-$NQ$22+1)*($NR$22-156+1)/$NT$22,$NM$22/$NS$22)),0)</f>
        <v/>
      </c>
      <c r="FD22" s="18">
        <f>IF(AND(157&gt;=$NQ$22,157&lt;=$NR$22),IF($NO$22="Single_Point",IF(157=$NQ$22,$NM$22,0),IF($NO$22="Bell_Curve",$NM$22*(157-$NQ$22+1)*($NR$22-157+1)/$NT$22,$NM$22/$NS$22)),0)</f>
        <v/>
      </c>
      <c r="FE22" s="18">
        <f>IF(AND(158&gt;=$NQ$22,158&lt;=$NR$22),IF($NO$22="Single_Point",IF(158=$NQ$22,$NM$22,0),IF($NO$22="Bell_Curve",$NM$22*(158-$NQ$22+1)*($NR$22-158+1)/$NT$22,$NM$22/$NS$22)),0)</f>
        <v/>
      </c>
      <c r="FF22" s="18">
        <f>IF(AND(159&gt;=$NQ$22,159&lt;=$NR$22),IF($NO$22="Single_Point",IF(159=$NQ$22,$NM$22,0),IF($NO$22="Bell_Curve",$NM$22*(159-$NQ$22+1)*($NR$22-159+1)/$NT$22,$NM$22/$NS$22)),0)</f>
        <v/>
      </c>
      <c r="FG22" s="18">
        <f>IF(AND(160&gt;=$NQ$22,160&lt;=$NR$22),IF($NO$22="Single_Point",IF(160=$NQ$22,$NM$22,0),IF($NO$22="Bell_Curve",$NM$22*(160-$NQ$22+1)*($NR$22-160+1)/$NT$22,$NM$22/$NS$22)),0)</f>
        <v/>
      </c>
      <c r="FH22" s="18">
        <f>IF(AND(161&gt;=$NQ$22,161&lt;=$NR$22),IF($NO$22="Single_Point",IF(161=$NQ$22,$NM$22,0),IF($NO$22="Bell_Curve",$NM$22*(161-$NQ$22+1)*($NR$22-161+1)/$NT$22,$NM$22/$NS$22)),0)</f>
        <v/>
      </c>
      <c r="FI22" s="18">
        <f>IF(AND(162&gt;=$NQ$22,162&lt;=$NR$22),IF($NO$22="Single_Point",IF(162=$NQ$22,$NM$22,0),IF($NO$22="Bell_Curve",$NM$22*(162-$NQ$22+1)*($NR$22-162+1)/$NT$22,$NM$22/$NS$22)),0)</f>
        <v/>
      </c>
      <c r="FJ22" s="18">
        <f>IF(AND(163&gt;=$NQ$22,163&lt;=$NR$22),IF($NO$22="Single_Point",IF(163=$NQ$22,$NM$22,0),IF($NO$22="Bell_Curve",$NM$22*(163-$NQ$22+1)*($NR$22-163+1)/$NT$22,$NM$22/$NS$22)),0)</f>
        <v/>
      </c>
      <c r="FK22" s="18">
        <f>IF(AND(164&gt;=$NQ$22,164&lt;=$NR$22),IF($NO$22="Single_Point",IF(164=$NQ$22,$NM$22,0),IF($NO$22="Bell_Curve",$NM$22*(164-$NQ$22+1)*($NR$22-164+1)/$NT$22,$NM$22/$NS$22)),0)</f>
        <v/>
      </c>
      <c r="FL22" s="18">
        <f>IF(AND(165&gt;=$NQ$22,165&lt;=$NR$22),IF($NO$22="Single_Point",IF(165=$NQ$22,$NM$22,0),IF($NO$22="Bell_Curve",$NM$22*(165-$NQ$22+1)*($NR$22-165+1)/$NT$22,$NM$22/$NS$22)),0)</f>
        <v/>
      </c>
      <c r="FM22" s="18">
        <f>IF(AND(166&gt;=$NQ$22,166&lt;=$NR$22),IF($NO$22="Single_Point",IF(166=$NQ$22,$NM$22,0),IF($NO$22="Bell_Curve",$NM$22*(166-$NQ$22+1)*($NR$22-166+1)/$NT$22,$NM$22/$NS$22)),0)</f>
        <v/>
      </c>
      <c r="FN22" s="18">
        <f>IF(AND(167&gt;=$NQ$22,167&lt;=$NR$22),IF($NO$22="Single_Point",IF(167=$NQ$22,$NM$22,0),IF($NO$22="Bell_Curve",$NM$22*(167-$NQ$22+1)*($NR$22-167+1)/$NT$22,$NM$22/$NS$22)),0)</f>
        <v/>
      </c>
      <c r="FO22" s="18">
        <f>IF(AND(168&gt;=$NQ$22,168&lt;=$NR$22),IF($NO$22="Single_Point",IF(168=$NQ$22,$NM$22,0),IF($NO$22="Bell_Curve",$NM$22*(168-$NQ$22+1)*($NR$22-168+1)/$NT$22,$NM$22/$NS$22)),0)</f>
        <v/>
      </c>
      <c r="FP22" s="18">
        <f>IF(AND(169&gt;=$NQ$22,169&lt;=$NR$22),IF($NO$22="Single_Point",IF(169=$NQ$22,$NM$22,0),IF($NO$22="Bell_Curve",$NM$22*(169-$NQ$22+1)*($NR$22-169+1)/$NT$22,$NM$22/$NS$22)),0)</f>
        <v/>
      </c>
      <c r="FQ22" s="18">
        <f>IF(AND(170&gt;=$NQ$22,170&lt;=$NR$22),IF($NO$22="Single_Point",IF(170=$NQ$22,$NM$22,0),IF($NO$22="Bell_Curve",$NM$22*(170-$NQ$22+1)*($NR$22-170+1)/$NT$22,$NM$22/$NS$22)),0)</f>
        <v/>
      </c>
      <c r="FR22" s="18">
        <f>IF(AND(171&gt;=$NQ$22,171&lt;=$NR$22),IF($NO$22="Single_Point",IF(171=$NQ$22,$NM$22,0),IF($NO$22="Bell_Curve",$NM$22*(171-$NQ$22+1)*($NR$22-171+1)/$NT$22,$NM$22/$NS$22)),0)</f>
        <v/>
      </c>
      <c r="FS22" s="18">
        <f>IF(AND(172&gt;=$NQ$22,172&lt;=$NR$22),IF($NO$22="Single_Point",IF(172=$NQ$22,$NM$22,0),IF($NO$22="Bell_Curve",$NM$22*(172-$NQ$22+1)*($NR$22-172+1)/$NT$22,$NM$22/$NS$22)),0)</f>
        <v/>
      </c>
      <c r="FT22" s="18">
        <f>IF(AND(173&gt;=$NQ$22,173&lt;=$NR$22),IF($NO$22="Single_Point",IF(173=$NQ$22,$NM$22,0),IF($NO$22="Bell_Curve",$NM$22*(173-$NQ$22+1)*($NR$22-173+1)/$NT$22,$NM$22/$NS$22)),0)</f>
        <v/>
      </c>
      <c r="FU22" s="18">
        <f>IF(AND(174&gt;=$NQ$22,174&lt;=$NR$22),IF($NO$22="Single_Point",IF(174=$NQ$22,$NM$22,0),IF($NO$22="Bell_Curve",$NM$22*(174-$NQ$22+1)*($NR$22-174+1)/$NT$22,$NM$22/$NS$22)),0)</f>
        <v/>
      </c>
      <c r="FV22" s="18">
        <f>IF(AND(175&gt;=$NQ$22,175&lt;=$NR$22),IF($NO$22="Single_Point",IF(175=$NQ$22,$NM$22,0),IF($NO$22="Bell_Curve",$NM$22*(175-$NQ$22+1)*($NR$22-175+1)/$NT$22,$NM$22/$NS$22)),0)</f>
        <v/>
      </c>
      <c r="FW22" s="18">
        <f>IF(AND(176&gt;=$NQ$22,176&lt;=$NR$22),IF($NO$22="Single_Point",IF(176=$NQ$22,$NM$22,0),IF($NO$22="Bell_Curve",$NM$22*(176-$NQ$22+1)*($NR$22-176+1)/$NT$22,$NM$22/$NS$22)),0)</f>
        <v/>
      </c>
      <c r="FX22" s="18">
        <f>IF(AND(177&gt;=$NQ$22,177&lt;=$NR$22),IF($NO$22="Single_Point",IF(177=$NQ$22,$NM$22,0),IF($NO$22="Bell_Curve",$NM$22*(177-$NQ$22+1)*($NR$22-177+1)/$NT$22,$NM$22/$NS$22)),0)</f>
        <v/>
      </c>
      <c r="FY22" s="18">
        <f>IF(AND(178&gt;=$NQ$22,178&lt;=$NR$22),IF($NO$22="Single_Point",IF(178=$NQ$22,$NM$22,0),IF($NO$22="Bell_Curve",$NM$22*(178-$NQ$22+1)*($NR$22-178+1)/$NT$22,$NM$22/$NS$22)),0)</f>
        <v/>
      </c>
      <c r="FZ22" s="18">
        <f>IF(AND(179&gt;=$NQ$22,179&lt;=$NR$22),IF($NO$22="Single_Point",IF(179=$NQ$22,$NM$22,0),IF($NO$22="Bell_Curve",$NM$22*(179-$NQ$22+1)*($NR$22-179+1)/$NT$22,$NM$22/$NS$22)),0)</f>
        <v/>
      </c>
      <c r="GA22" s="18">
        <f>IF(AND(180&gt;=$NQ$22,180&lt;=$NR$22),IF($NO$22="Single_Point",IF(180=$NQ$22,$NM$22,0),IF($NO$22="Bell_Curve",$NM$22*(180-$NQ$22+1)*($NR$22-180+1)/$NT$22,$NM$22/$NS$22)),0)</f>
        <v/>
      </c>
      <c r="GB22" s="18">
        <f>IF(AND(181&gt;=$NQ$22,181&lt;=$NR$22),IF($NO$22="Single_Point",IF(181=$NQ$22,$NM$22,0),IF($NO$22="Bell_Curve",$NM$22*(181-$NQ$22+1)*($NR$22-181+1)/$NT$22,$NM$22/$NS$22)),0)</f>
        <v/>
      </c>
      <c r="GC22" s="18">
        <f>IF(AND(182&gt;=$NQ$22,182&lt;=$NR$22),IF($NO$22="Single_Point",IF(182=$NQ$22,$NM$22,0),IF($NO$22="Bell_Curve",$NM$22*(182-$NQ$22+1)*($NR$22-182+1)/$NT$22,$NM$22/$NS$22)),0)</f>
        <v/>
      </c>
      <c r="GD22" s="18">
        <f>IF(AND(183&gt;=$NQ$22,183&lt;=$NR$22),IF($NO$22="Single_Point",IF(183=$NQ$22,$NM$22,0),IF($NO$22="Bell_Curve",$NM$22*(183-$NQ$22+1)*($NR$22-183+1)/$NT$22,$NM$22/$NS$22)),0)</f>
        <v/>
      </c>
      <c r="GE22" s="18">
        <f>IF(AND(184&gt;=$NQ$22,184&lt;=$NR$22),IF($NO$22="Single_Point",IF(184=$NQ$22,$NM$22,0),IF($NO$22="Bell_Curve",$NM$22*(184-$NQ$22+1)*($NR$22-184+1)/$NT$22,$NM$22/$NS$22)),0)</f>
        <v/>
      </c>
      <c r="GF22" s="18">
        <f>IF(AND(185&gt;=$NQ$22,185&lt;=$NR$22),IF($NO$22="Single_Point",IF(185=$NQ$22,$NM$22,0),IF($NO$22="Bell_Curve",$NM$22*(185-$NQ$22+1)*($NR$22-185+1)/$NT$22,$NM$22/$NS$22)),0)</f>
        <v/>
      </c>
      <c r="GG22" s="18">
        <f>IF(AND(186&gt;=$NQ$22,186&lt;=$NR$22),IF($NO$22="Single_Point",IF(186=$NQ$22,$NM$22,0),IF($NO$22="Bell_Curve",$NM$22*(186-$NQ$22+1)*($NR$22-186+1)/$NT$22,$NM$22/$NS$22)),0)</f>
        <v/>
      </c>
      <c r="GH22" s="18">
        <f>IF(AND(187&gt;=$NQ$22,187&lt;=$NR$22),IF($NO$22="Single_Point",IF(187=$NQ$22,$NM$22,0),IF($NO$22="Bell_Curve",$NM$22*(187-$NQ$22+1)*($NR$22-187+1)/$NT$22,$NM$22/$NS$22)),0)</f>
        <v/>
      </c>
      <c r="GI22" s="18">
        <f>IF(AND(188&gt;=$NQ$22,188&lt;=$NR$22),IF($NO$22="Single_Point",IF(188=$NQ$22,$NM$22,0),IF($NO$22="Bell_Curve",$NM$22*(188-$NQ$22+1)*($NR$22-188+1)/$NT$22,$NM$22/$NS$22)),0)</f>
        <v/>
      </c>
      <c r="GJ22" s="18">
        <f>IF(AND(189&gt;=$NQ$22,189&lt;=$NR$22),IF($NO$22="Single_Point",IF(189=$NQ$22,$NM$22,0),IF($NO$22="Bell_Curve",$NM$22*(189-$NQ$22+1)*($NR$22-189+1)/$NT$22,$NM$22/$NS$22)),0)</f>
        <v/>
      </c>
      <c r="GK22" s="18">
        <f>IF(AND(190&gt;=$NQ$22,190&lt;=$NR$22),IF($NO$22="Single_Point",IF(190=$NQ$22,$NM$22,0),IF($NO$22="Bell_Curve",$NM$22*(190-$NQ$22+1)*($NR$22-190+1)/$NT$22,$NM$22/$NS$22)),0)</f>
        <v/>
      </c>
      <c r="GL22" s="18">
        <f>IF(AND(191&gt;=$NQ$22,191&lt;=$NR$22),IF($NO$22="Single_Point",IF(191=$NQ$22,$NM$22,0),IF($NO$22="Bell_Curve",$NM$22*(191-$NQ$22+1)*($NR$22-191+1)/$NT$22,$NM$22/$NS$22)),0)</f>
        <v/>
      </c>
      <c r="GM22" s="18">
        <f>IF(AND(192&gt;=$NQ$22,192&lt;=$NR$22),IF($NO$22="Single_Point",IF(192=$NQ$22,$NM$22,0),IF($NO$22="Bell_Curve",$NM$22*(192-$NQ$22+1)*($NR$22-192+1)/$NT$22,$NM$22/$NS$22)),0)</f>
        <v/>
      </c>
      <c r="GN22" s="18">
        <f>IF(AND(193&gt;=$NQ$22,193&lt;=$NR$22),IF($NO$22="Single_Point",IF(193=$NQ$22,$NM$22,0),IF($NO$22="Bell_Curve",$NM$22*(193-$NQ$22+1)*($NR$22-193+1)/$NT$22,$NM$22/$NS$22)),0)</f>
        <v/>
      </c>
      <c r="GO22" s="18">
        <f>IF(AND(194&gt;=$NQ$22,194&lt;=$NR$22),IF($NO$22="Single_Point",IF(194=$NQ$22,$NM$22,0),IF($NO$22="Bell_Curve",$NM$22*(194-$NQ$22+1)*($NR$22-194+1)/$NT$22,$NM$22/$NS$22)),0)</f>
        <v/>
      </c>
      <c r="GP22" s="18">
        <f>IF(AND(195&gt;=$NQ$22,195&lt;=$NR$22),IF($NO$22="Single_Point",IF(195=$NQ$22,$NM$22,0),IF($NO$22="Bell_Curve",$NM$22*(195-$NQ$22+1)*($NR$22-195+1)/$NT$22,$NM$22/$NS$22)),0)</f>
        <v/>
      </c>
      <c r="GQ22" s="18">
        <f>IF(AND(196&gt;=$NQ$22,196&lt;=$NR$22),IF($NO$22="Single_Point",IF(196=$NQ$22,$NM$22,0),IF($NO$22="Bell_Curve",$NM$22*(196-$NQ$22+1)*($NR$22-196+1)/$NT$22,$NM$22/$NS$22)),0)</f>
        <v/>
      </c>
      <c r="GR22" s="18">
        <f>IF(AND(197&gt;=$NQ$22,197&lt;=$NR$22),IF($NO$22="Single_Point",IF(197=$NQ$22,$NM$22,0),IF($NO$22="Bell_Curve",$NM$22*(197-$NQ$22+1)*($NR$22-197+1)/$NT$22,$NM$22/$NS$22)),0)</f>
        <v/>
      </c>
      <c r="GS22" s="18">
        <f>IF(AND(198&gt;=$NQ$22,198&lt;=$NR$22),IF($NO$22="Single_Point",IF(198=$NQ$22,$NM$22,0),IF($NO$22="Bell_Curve",$NM$22*(198-$NQ$22+1)*($NR$22-198+1)/$NT$22,$NM$22/$NS$22)),0)</f>
        <v/>
      </c>
      <c r="GT22" s="18">
        <f>IF(AND(199&gt;=$NQ$22,199&lt;=$NR$22),IF($NO$22="Single_Point",IF(199=$NQ$22,$NM$22,0),IF($NO$22="Bell_Curve",$NM$22*(199-$NQ$22+1)*($NR$22-199+1)/$NT$22,$NM$22/$NS$22)),0)</f>
        <v/>
      </c>
      <c r="GU22" s="18">
        <f>IF(AND(200&gt;=$NQ$22,200&lt;=$NR$22),IF($NO$22="Single_Point",IF(200=$NQ$22,$NM$22,0),IF($NO$22="Bell_Curve",$NM$22*(200-$NQ$22+1)*($NR$22-200+1)/$NT$22,$NM$22/$NS$22)),0)</f>
        <v/>
      </c>
      <c r="GV22" s="18">
        <f>IF(AND(201&gt;=$NQ$22,201&lt;=$NR$22),IF($NO$22="Single_Point",IF(201=$NQ$22,$NM$22,0),IF($NO$22="Bell_Curve",$NM$22*(201-$NQ$22+1)*($NR$22-201+1)/$NT$22,$NM$22/$NS$22)),0)</f>
        <v/>
      </c>
      <c r="GW22" s="18">
        <f>IF(AND(202&gt;=$NQ$22,202&lt;=$NR$22),IF($NO$22="Single_Point",IF(202=$NQ$22,$NM$22,0),IF($NO$22="Bell_Curve",$NM$22*(202-$NQ$22+1)*($NR$22-202+1)/$NT$22,$NM$22/$NS$22)),0)</f>
        <v/>
      </c>
      <c r="GX22" s="18">
        <f>IF(AND(203&gt;=$NQ$22,203&lt;=$NR$22),IF($NO$22="Single_Point",IF(203=$NQ$22,$NM$22,0),IF($NO$22="Bell_Curve",$NM$22*(203-$NQ$22+1)*($NR$22-203+1)/$NT$22,$NM$22/$NS$22)),0)</f>
        <v/>
      </c>
      <c r="GY22" s="18">
        <f>IF(AND(204&gt;=$NQ$22,204&lt;=$NR$22),IF($NO$22="Single_Point",IF(204=$NQ$22,$NM$22,0),IF($NO$22="Bell_Curve",$NM$22*(204-$NQ$22+1)*($NR$22-204+1)/$NT$22,$NM$22/$NS$22)),0)</f>
        <v/>
      </c>
      <c r="GZ22" s="18">
        <f>IF(AND(205&gt;=$NQ$22,205&lt;=$NR$22),IF($NO$22="Single_Point",IF(205=$NQ$22,$NM$22,0),IF($NO$22="Bell_Curve",$NM$22*(205-$NQ$22+1)*($NR$22-205+1)/$NT$22,$NM$22/$NS$22)),0)</f>
        <v/>
      </c>
      <c r="HA22" s="18">
        <f>IF(AND(206&gt;=$NQ$22,206&lt;=$NR$22),IF($NO$22="Single_Point",IF(206=$NQ$22,$NM$22,0),IF($NO$22="Bell_Curve",$NM$22*(206-$NQ$22+1)*($NR$22-206+1)/$NT$22,$NM$22/$NS$22)),0)</f>
        <v/>
      </c>
      <c r="HB22" s="18">
        <f>IF(AND(207&gt;=$NQ$22,207&lt;=$NR$22),IF($NO$22="Single_Point",IF(207=$NQ$22,$NM$22,0),IF($NO$22="Bell_Curve",$NM$22*(207-$NQ$22+1)*($NR$22-207+1)/$NT$22,$NM$22/$NS$22)),0)</f>
        <v/>
      </c>
      <c r="HC22" s="18">
        <f>IF(AND(208&gt;=$NQ$22,208&lt;=$NR$22),IF($NO$22="Single_Point",IF(208=$NQ$22,$NM$22,0),IF($NO$22="Bell_Curve",$NM$22*(208-$NQ$22+1)*($NR$22-208+1)/$NT$22,$NM$22/$NS$22)),0)</f>
        <v/>
      </c>
      <c r="HD22" s="18">
        <f>IF(AND(209&gt;=$NQ$22,209&lt;=$NR$22),IF($NO$22="Single_Point",IF(209=$NQ$22,$NM$22,0),IF($NO$22="Bell_Curve",$NM$22*(209-$NQ$22+1)*($NR$22-209+1)/$NT$22,$NM$22/$NS$22)),0)</f>
        <v/>
      </c>
      <c r="HE22" s="18">
        <f>IF(AND(210&gt;=$NQ$22,210&lt;=$NR$22),IF($NO$22="Single_Point",IF(210=$NQ$22,$NM$22,0),IF($NO$22="Bell_Curve",$NM$22*(210-$NQ$22+1)*($NR$22-210+1)/$NT$22,$NM$22/$NS$22)),0)</f>
        <v/>
      </c>
      <c r="HF22" s="18">
        <f>IF(AND(211&gt;=$NQ$22,211&lt;=$NR$22),IF($NO$22="Single_Point",IF(211=$NQ$22,$NM$22,0),IF($NO$22="Bell_Curve",$NM$22*(211-$NQ$22+1)*($NR$22-211+1)/$NT$22,$NM$22/$NS$22)),0)</f>
        <v/>
      </c>
      <c r="HG22" s="18">
        <f>IF(AND(212&gt;=$NQ$22,212&lt;=$NR$22),IF($NO$22="Single_Point",IF(212=$NQ$22,$NM$22,0),IF($NO$22="Bell_Curve",$NM$22*(212-$NQ$22+1)*($NR$22-212+1)/$NT$22,$NM$22/$NS$22)),0)</f>
        <v/>
      </c>
      <c r="HH22" s="18">
        <f>IF(AND(213&gt;=$NQ$22,213&lt;=$NR$22),IF($NO$22="Single_Point",IF(213=$NQ$22,$NM$22,0),IF($NO$22="Bell_Curve",$NM$22*(213-$NQ$22+1)*($NR$22-213+1)/$NT$22,$NM$22/$NS$22)),0)</f>
        <v/>
      </c>
      <c r="HI22" s="18">
        <f>IF(AND(214&gt;=$NQ$22,214&lt;=$NR$22),IF($NO$22="Single_Point",IF(214=$NQ$22,$NM$22,0),IF($NO$22="Bell_Curve",$NM$22*(214-$NQ$22+1)*($NR$22-214+1)/$NT$22,$NM$22/$NS$22)),0)</f>
        <v/>
      </c>
      <c r="HJ22" s="18">
        <f>IF(AND(215&gt;=$NQ$22,215&lt;=$NR$22),IF($NO$22="Single_Point",IF(215=$NQ$22,$NM$22,0),IF($NO$22="Bell_Curve",$NM$22*(215-$NQ$22+1)*($NR$22-215+1)/$NT$22,$NM$22/$NS$22)),0)</f>
        <v/>
      </c>
      <c r="HK22" s="18">
        <f>IF(AND(216&gt;=$NQ$22,216&lt;=$NR$22),IF($NO$22="Single_Point",IF(216=$NQ$22,$NM$22,0),IF($NO$22="Bell_Curve",$NM$22*(216-$NQ$22+1)*($NR$22-216+1)/$NT$22,$NM$22/$NS$22)),0)</f>
        <v/>
      </c>
      <c r="HL22" s="18">
        <f>IF(AND(217&gt;=$NQ$22,217&lt;=$NR$22),IF($NO$22="Single_Point",IF(217=$NQ$22,$NM$22,0),IF($NO$22="Bell_Curve",$NM$22*(217-$NQ$22+1)*($NR$22-217+1)/$NT$22,$NM$22/$NS$22)),0)</f>
        <v/>
      </c>
      <c r="HM22" s="18">
        <f>IF(AND(218&gt;=$NQ$22,218&lt;=$NR$22),IF($NO$22="Single_Point",IF(218=$NQ$22,$NM$22,0),IF($NO$22="Bell_Curve",$NM$22*(218-$NQ$22+1)*($NR$22-218+1)/$NT$22,$NM$22/$NS$22)),0)</f>
        <v/>
      </c>
      <c r="HN22" s="18">
        <f>IF(AND(219&gt;=$NQ$22,219&lt;=$NR$22),IF($NO$22="Single_Point",IF(219=$NQ$22,$NM$22,0),IF($NO$22="Bell_Curve",$NM$22*(219-$NQ$22+1)*($NR$22-219+1)/$NT$22,$NM$22/$NS$22)),0)</f>
        <v/>
      </c>
      <c r="HO22" s="18">
        <f>IF(AND(220&gt;=$NQ$22,220&lt;=$NR$22),IF($NO$22="Single_Point",IF(220=$NQ$22,$NM$22,0),IF($NO$22="Bell_Curve",$NM$22*(220-$NQ$22+1)*($NR$22-220+1)/$NT$22,$NM$22/$NS$22)),0)</f>
        <v/>
      </c>
      <c r="HP22" s="18">
        <f>IF(AND(221&gt;=$NQ$22,221&lt;=$NR$22),IF($NO$22="Single_Point",IF(221=$NQ$22,$NM$22,0),IF($NO$22="Bell_Curve",$NM$22*(221-$NQ$22+1)*($NR$22-221+1)/$NT$22,$NM$22/$NS$22)),0)</f>
        <v/>
      </c>
      <c r="HQ22" s="18">
        <f>IF(AND(222&gt;=$NQ$22,222&lt;=$NR$22),IF($NO$22="Single_Point",IF(222=$NQ$22,$NM$22,0),IF($NO$22="Bell_Curve",$NM$22*(222-$NQ$22+1)*($NR$22-222+1)/$NT$22,$NM$22/$NS$22)),0)</f>
        <v/>
      </c>
      <c r="HR22" s="18">
        <f>IF(AND(223&gt;=$NQ$22,223&lt;=$NR$22),IF($NO$22="Single_Point",IF(223=$NQ$22,$NM$22,0),IF($NO$22="Bell_Curve",$NM$22*(223-$NQ$22+1)*($NR$22-223+1)/$NT$22,$NM$22/$NS$22)),0)</f>
        <v/>
      </c>
      <c r="HS22" s="18">
        <f>IF(AND(224&gt;=$NQ$22,224&lt;=$NR$22),IF($NO$22="Single_Point",IF(224=$NQ$22,$NM$22,0),IF($NO$22="Bell_Curve",$NM$22*(224-$NQ$22+1)*($NR$22-224+1)/$NT$22,$NM$22/$NS$22)),0)</f>
        <v/>
      </c>
      <c r="HT22" s="18">
        <f>IF(AND(225&gt;=$NQ$22,225&lt;=$NR$22),IF($NO$22="Single_Point",IF(225=$NQ$22,$NM$22,0),IF($NO$22="Bell_Curve",$NM$22*(225-$NQ$22+1)*($NR$22-225+1)/$NT$22,$NM$22/$NS$22)),0)</f>
        <v/>
      </c>
      <c r="HU22" s="18">
        <f>IF(AND(226&gt;=$NQ$22,226&lt;=$NR$22),IF($NO$22="Single_Point",IF(226=$NQ$22,$NM$22,0),IF($NO$22="Bell_Curve",$NM$22*(226-$NQ$22+1)*($NR$22-226+1)/$NT$22,$NM$22/$NS$22)),0)</f>
        <v/>
      </c>
      <c r="HV22" s="18">
        <f>IF(AND(227&gt;=$NQ$22,227&lt;=$NR$22),IF($NO$22="Single_Point",IF(227=$NQ$22,$NM$22,0),IF($NO$22="Bell_Curve",$NM$22*(227-$NQ$22+1)*($NR$22-227+1)/$NT$22,$NM$22/$NS$22)),0)</f>
        <v/>
      </c>
      <c r="HW22" s="18">
        <f>IF(AND(228&gt;=$NQ$22,228&lt;=$NR$22),IF($NO$22="Single_Point",IF(228=$NQ$22,$NM$22,0),IF($NO$22="Bell_Curve",$NM$22*(228-$NQ$22+1)*($NR$22-228+1)/$NT$22,$NM$22/$NS$22)),0)</f>
        <v/>
      </c>
      <c r="HX22" s="18">
        <f>IF(AND(229&gt;=$NQ$22,229&lt;=$NR$22),IF($NO$22="Single_Point",IF(229=$NQ$22,$NM$22,0),IF($NO$22="Bell_Curve",$NM$22*(229-$NQ$22+1)*($NR$22-229+1)/$NT$22,$NM$22/$NS$22)),0)</f>
        <v/>
      </c>
      <c r="HY22" s="18">
        <f>IF(AND(230&gt;=$NQ$22,230&lt;=$NR$22),IF($NO$22="Single_Point",IF(230=$NQ$22,$NM$22,0),IF($NO$22="Bell_Curve",$NM$22*(230-$NQ$22+1)*($NR$22-230+1)/$NT$22,$NM$22/$NS$22)),0)</f>
        <v/>
      </c>
      <c r="HZ22" s="18">
        <f>IF(AND(231&gt;=$NQ$22,231&lt;=$NR$22),IF($NO$22="Single_Point",IF(231=$NQ$22,$NM$22,0),IF($NO$22="Bell_Curve",$NM$22*(231-$NQ$22+1)*($NR$22-231+1)/$NT$22,$NM$22/$NS$22)),0)</f>
        <v/>
      </c>
      <c r="IA22" s="18">
        <f>IF(AND(232&gt;=$NQ$22,232&lt;=$NR$22),IF($NO$22="Single_Point",IF(232=$NQ$22,$NM$22,0),IF($NO$22="Bell_Curve",$NM$22*(232-$NQ$22+1)*($NR$22-232+1)/$NT$22,$NM$22/$NS$22)),0)</f>
        <v/>
      </c>
      <c r="IB22" s="18">
        <f>IF(AND(233&gt;=$NQ$22,233&lt;=$NR$22),IF($NO$22="Single_Point",IF(233=$NQ$22,$NM$22,0),IF($NO$22="Bell_Curve",$NM$22*(233-$NQ$22+1)*($NR$22-233+1)/$NT$22,$NM$22/$NS$22)),0)</f>
        <v/>
      </c>
      <c r="IC22" s="18">
        <f>IF(AND(234&gt;=$NQ$22,234&lt;=$NR$22),IF($NO$22="Single_Point",IF(234=$NQ$22,$NM$22,0),IF($NO$22="Bell_Curve",$NM$22*(234-$NQ$22+1)*($NR$22-234+1)/$NT$22,$NM$22/$NS$22)),0)</f>
        <v/>
      </c>
      <c r="ID22" s="18">
        <f>IF(AND(235&gt;=$NQ$22,235&lt;=$NR$22),IF($NO$22="Single_Point",IF(235=$NQ$22,$NM$22,0),IF($NO$22="Bell_Curve",$NM$22*(235-$NQ$22+1)*($NR$22-235+1)/$NT$22,$NM$22/$NS$22)),0)</f>
        <v/>
      </c>
      <c r="IE22" s="18">
        <f>IF(AND(236&gt;=$NQ$22,236&lt;=$NR$22),IF($NO$22="Single_Point",IF(236=$NQ$22,$NM$22,0),IF($NO$22="Bell_Curve",$NM$22*(236-$NQ$22+1)*($NR$22-236+1)/$NT$22,$NM$22/$NS$22)),0)</f>
        <v/>
      </c>
      <c r="IF22" s="18">
        <f>IF(AND(237&gt;=$NQ$22,237&lt;=$NR$22),IF($NO$22="Single_Point",IF(237=$NQ$22,$NM$22,0),IF($NO$22="Bell_Curve",$NM$22*(237-$NQ$22+1)*($NR$22-237+1)/$NT$22,$NM$22/$NS$22)),0)</f>
        <v/>
      </c>
      <c r="IG22" s="18">
        <f>IF(AND(238&gt;=$NQ$22,238&lt;=$NR$22),IF($NO$22="Single_Point",IF(238=$NQ$22,$NM$22,0),IF($NO$22="Bell_Curve",$NM$22*(238-$NQ$22+1)*($NR$22-238+1)/$NT$22,$NM$22/$NS$22)),0)</f>
        <v/>
      </c>
      <c r="IH22" s="18">
        <f>IF(AND(239&gt;=$NQ$22,239&lt;=$NR$22),IF($NO$22="Single_Point",IF(239=$NQ$22,$NM$22,0),IF($NO$22="Bell_Curve",$NM$22*(239-$NQ$22+1)*($NR$22-239+1)/$NT$22,$NM$22/$NS$22)),0)</f>
        <v/>
      </c>
      <c r="II22" s="18">
        <f>IF(AND(240&gt;=$NQ$22,240&lt;=$NR$22),IF($NO$22="Single_Point",IF(240=$NQ$22,$NM$22,0),IF($NO$22="Bell_Curve",$NM$22*(240-$NQ$22+1)*($NR$22-240+1)/$NT$22,$NM$22/$NS$22)),0)</f>
        <v/>
      </c>
      <c r="IJ22" s="18">
        <f>IF(AND(241&gt;=$NQ$22,241&lt;=$NR$22),IF($NO$22="Single_Point",IF(241=$NQ$22,$NM$22,0),IF($NO$22="Bell_Curve",$NM$22*(241-$NQ$22+1)*($NR$22-241+1)/$NT$22,$NM$22/$NS$22)),0)</f>
        <v/>
      </c>
      <c r="IK22" s="18">
        <f>IF(AND(242&gt;=$NQ$22,242&lt;=$NR$22),IF($NO$22="Single_Point",IF(242=$NQ$22,$NM$22,0),IF($NO$22="Bell_Curve",$NM$22*(242-$NQ$22+1)*($NR$22-242+1)/$NT$22,$NM$22/$NS$22)),0)</f>
        <v/>
      </c>
      <c r="IL22" s="18">
        <f>IF(AND(243&gt;=$NQ$22,243&lt;=$NR$22),IF($NO$22="Single_Point",IF(243=$NQ$22,$NM$22,0),IF($NO$22="Bell_Curve",$NM$22*(243-$NQ$22+1)*($NR$22-243+1)/$NT$22,$NM$22/$NS$22)),0)</f>
        <v/>
      </c>
      <c r="IM22" s="18">
        <f>IF(AND(244&gt;=$NQ$22,244&lt;=$NR$22),IF($NO$22="Single_Point",IF(244=$NQ$22,$NM$22,0),IF($NO$22="Bell_Curve",$NM$22*(244-$NQ$22+1)*($NR$22-244+1)/$NT$22,$NM$22/$NS$22)),0)</f>
        <v/>
      </c>
      <c r="IN22" s="18">
        <f>IF(AND(245&gt;=$NQ$22,245&lt;=$NR$22),IF($NO$22="Single_Point",IF(245=$NQ$22,$NM$22,0),IF($NO$22="Bell_Curve",$NM$22*(245-$NQ$22+1)*($NR$22-245+1)/$NT$22,$NM$22/$NS$22)),0)</f>
        <v/>
      </c>
      <c r="IO22" s="18">
        <f>IF(AND(246&gt;=$NQ$22,246&lt;=$NR$22),IF($NO$22="Single_Point",IF(246=$NQ$22,$NM$22,0),IF($NO$22="Bell_Curve",$NM$22*(246-$NQ$22+1)*($NR$22-246+1)/$NT$22,$NM$22/$NS$22)),0)</f>
        <v/>
      </c>
      <c r="IP22" s="18">
        <f>IF(AND(247&gt;=$NQ$22,247&lt;=$NR$22),IF($NO$22="Single_Point",IF(247=$NQ$22,$NM$22,0),IF($NO$22="Bell_Curve",$NM$22*(247-$NQ$22+1)*($NR$22-247+1)/$NT$22,$NM$22/$NS$22)),0)</f>
        <v/>
      </c>
      <c r="IQ22" s="18">
        <f>IF(AND(248&gt;=$NQ$22,248&lt;=$NR$22),IF($NO$22="Single_Point",IF(248=$NQ$22,$NM$22,0),IF($NO$22="Bell_Curve",$NM$22*(248-$NQ$22+1)*($NR$22-248+1)/$NT$22,$NM$22/$NS$22)),0)</f>
        <v/>
      </c>
      <c r="IR22" s="18">
        <f>IF(AND(249&gt;=$NQ$22,249&lt;=$NR$22),IF($NO$22="Single_Point",IF(249=$NQ$22,$NM$22,0),IF($NO$22="Bell_Curve",$NM$22*(249-$NQ$22+1)*($NR$22-249+1)/$NT$22,$NM$22/$NS$22)),0)</f>
        <v/>
      </c>
      <c r="IS22" s="18">
        <f>IF(AND(250&gt;=$NQ$22,250&lt;=$NR$22),IF($NO$22="Single_Point",IF(250=$NQ$22,$NM$22,0),IF($NO$22="Bell_Curve",$NM$22*(250-$NQ$22+1)*($NR$22-250+1)/$NT$22,$NM$22/$NS$22)),0)</f>
        <v/>
      </c>
      <c r="IT22" s="18">
        <f>IF(AND(251&gt;=$NQ$22,251&lt;=$NR$22),IF($NO$22="Single_Point",IF(251=$NQ$22,$NM$22,0),IF($NO$22="Bell_Curve",$NM$22*(251-$NQ$22+1)*($NR$22-251+1)/$NT$22,$NM$22/$NS$22)),0)</f>
        <v/>
      </c>
      <c r="IU22" s="18">
        <f>IF(AND(252&gt;=$NQ$22,252&lt;=$NR$22),IF($NO$22="Single_Point",IF(252=$NQ$22,$NM$22,0),IF($NO$22="Bell_Curve",$NM$22*(252-$NQ$22+1)*($NR$22-252+1)/$NT$22,$NM$22/$NS$22)),0)</f>
        <v/>
      </c>
      <c r="IV22" s="18">
        <f>IF(AND(253&gt;=$NQ$22,253&lt;=$NR$22),IF($NO$22="Single_Point",IF(253=$NQ$22,$NM$22,0),IF($NO$22="Bell_Curve",$NM$22*(253-$NQ$22+1)*($NR$22-253+1)/$NT$22,$NM$22/$NS$22)),0)</f>
        <v/>
      </c>
      <c r="IW22" s="18">
        <f>IF(AND(254&gt;=$NQ$22,254&lt;=$NR$22),IF($NO$22="Single_Point",IF(254=$NQ$22,$NM$22,0),IF($NO$22="Bell_Curve",$NM$22*(254-$NQ$22+1)*($NR$22-254+1)/$NT$22,$NM$22/$NS$22)),0)</f>
        <v/>
      </c>
      <c r="IX22" s="18">
        <f>IF(AND(255&gt;=$NQ$22,255&lt;=$NR$22),IF($NO$22="Single_Point",IF(255=$NQ$22,$NM$22,0),IF($NO$22="Bell_Curve",$NM$22*(255-$NQ$22+1)*($NR$22-255+1)/$NT$22,$NM$22/$NS$22)),0)</f>
        <v/>
      </c>
      <c r="IY22" s="18">
        <f>IF(AND(256&gt;=$NQ$22,256&lt;=$NR$22),IF($NO$22="Single_Point",IF(256=$NQ$22,$NM$22,0),IF($NO$22="Bell_Curve",$NM$22*(256-$NQ$22+1)*($NR$22-256+1)/$NT$22,$NM$22/$NS$22)),0)</f>
        <v/>
      </c>
      <c r="IZ22" s="18">
        <f>IF(AND(257&gt;=$NQ$22,257&lt;=$NR$22),IF($NO$22="Single_Point",IF(257=$NQ$22,$NM$22,0),IF($NO$22="Bell_Curve",$NM$22*(257-$NQ$22+1)*($NR$22-257+1)/$NT$22,$NM$22/$NS$22)),0)</f>
        <v/>
      </c>
      <c r="JA22" s="18">
        <f>IF(AND(258&gt;=$NQ$22,258&lt;=$NR$22),IF($NO$22="Single_Point",IF(258=$NQ$22,$NM$22,0),IF($NO$22="Bell_Curve",$NM$22*(258-$NQ$22+1)*($NR$22-258+1)/$NT$22,$NM$22/$NS$22)),0)</f>
        <v/>
      </c>
      <c r="JB22" s="18">
        <f>IF(AND(259&gt;=$NQ$22,259&lt;=$NR$22),IF($NO$22="Single_Point",IF(259=$NQ$22,$NM$22,0),IF($NO$22="Bell_Curve",$NM$22*(259-$NQ$22+1)*($NR$22-259+1)/$NT$22,$NM$22/$NS$22)),0)</f>
        <v/>
      </c>
      <c r="JC22" s="18">
        <f>IF(AND(260&gt;=$NQ$22,260&lt;=$NR$22),IF($NO$22="Single_Point",IF(260=$NQ$22,$NM$22,0),IF($NO$22="Bell_Curve",$NM$22*(260-$NQ$22+1)*($NR$22-260+1)/$NT$22,$NM$22/$NS$22)),0)</f>
        <v/>
      </c>
      <c r="JD22" s="18">
        <f>IF(AND(261&gt;=$NQ$22,261&lt;=$NR$22),IF($NO$22="Single_Point",IF(261=$NQ$22,$NM$22,0),IF($NO$22="Bell_Curve",$NM$22*(261-$NQ$22+1)*($NR$22-261+1)/$NT$22,$NM$22/$NS$22)),0)</f>
        <v/>
      </c>
      <c r="JE22" s="18">
        <f>IF(AND(262&gt;=$NQ$22,262&lt;=$NR$22),IF($NO$22="Single_Point",IF(262=$NQ$22,$NM$22,0),IF($NO$22="Bell_Curve",$NM$22*(262-$NQ$22+1)*($NR$22-262+1)/$NT$22,$NM$22/$NS$22)),0)</f>
        <v/>
      </c>
      <c r="JF22" s="18">
        <f>IF(AND(263&gt;=$NQ$22,263&lt;=$NR$22),IF($NO$22="Single_Point",IF(263=$NQ$22,$NM$22,0),IF($NO$22="Bell_Curve",$NM$22*(263-$NQ$22+1)*($NR$22-263+1)/$NT$22,$NM$22/$NS$22)),0)</f>
        <v/>
      </c>
      <c r="JG22" s="18">
        <f>IF(AND(264&gt;=$NQ$22,264&lt;=$NR$22),IF($NO$22="Single_Point",IF(264=$NQ$22,$NM$22,0),IF($NO$22="Bell_Curve",$NM$22*(264-$NQ$22+1)*($NR$22-264+1)/$NT$22,$NM$22/$NS$22)),0)</f>
        <v/>
      </c>
      <c r="JH22" s="18">
        <f>IF(AND(265&gt;=$NQ$22,265&lt;=$NR$22),IF($NO$22="Single_Point",IF(265=$NQ$22,$NM$22,0),IF($NO$22="Bell_Curve",$NM$22*(265-$NQ$22+1)*($NR$22-265+1)/$NT$22,$NM$22/$NS$22)),0)</f>
        <v/>
      </c>
      <c r="JI22" s="18">
        <f>IF(AND(266&gt;=$NQ$22,266&lt;=$NR$22),IF($NO$22="Single_Point",IF(266=$NQ$22,$NM$22,0),IF($NO$22="Bell_Curve",$NM$22*(266-$NQ$22+1)*($NR$22-266+1)/$NT$22,$NM$22/$NS$22)),0)</f>
        <v/>
      </c>
      <c r="JJ22" s="18">
        <f>IF(AND(267&gt;=$NQ$22,267&lt;=$NR$22),IF($NO$22="Single_Point",IF(267=$NQ$22,$NM$22,0),IF($NO$22="Bell_Curve",$NM$22*(267-$NQ$22+1)*($NR$22-267+1)/$NT$22,$NM$22/$NS$22)),0)</f>
        <v/>
      </c>
      <c r="JK22" s="18">
        <f>IF(AND(268&gt;=$NQ$22,268&lt;=$NR$22),IF($NO$22="Single_Point",IF(268=$NQ$22,$NM$22,0),IF($NO$22="Bell_Curve",$NM$22*(268-$NQ$22+1)*($NR$22-268+1)/$NT$22,$NM$22/$NS$22)),0)</f>
        <v/>
      </c>
      <c r="JL22" s="18">
        <f>IF(AND(269&gt;=$NQ$22,269&lt;=$NR$22),IF($NO$22="Single_Point",IF(269=$NQ$22,$NM$22,0),IF($NO$22="Bell_Curve",$NM$22*(269-$NQ$22+1)*($NR$22-269+1)/$NT$22,$NM$22/$NS$22)),0)</f>
        <v/>
      </c>
      <c r="JM22" s="18">
        <f>IF(AND(270&gt;=$NQ$22,270&lt;=$NR$22),IF($NO$22="Single_Point",IF(270=$NQ$22,$NM$22,0),IF($NO$22="Bell_Curve",$NM$22*(270-$NQ$22+1)*($NR$22-270+1)/$NT$22,$NM$22/$NS$22)),0)</f>
        <v/>
      </c>
      <c r="JN22" s="18">
        <f>IF(AND(271&gt;=$NQ$22,271&lt;=$NR$22),IF($NO$22="Single_Point",IF(271=$NQ$22,$NM$22,0),IF($NO$22="Bell_Curve",$NM$22*(271-$NQ$22+1)*($NR$22-271+1)/$NT$22,$NM$22/$NS$22)),0)</f>
        <v/>
      </c>
      <c r="JO22" s="18">
        <f>IF(AND(272&gt;=$NQ$22,272&lt;=$NR$22),IF($NO$22="Single_Point",IF(272=$NQ$22,$NM$22,0),IF($NO$22="Bell_Curve",$NM$22*(272-$NQ$22+1)*($NR$22-272+1)/$NT$22,$NM$22/$NS$22)),0)</f>
        <v/>
      </c>
      <c r="JP22" s="18">
        <f>IF(AND(273&gt;=$NQ$22,273&lt;=$NR$22),IF($NO$22="Single_Point",IF(273=$NQ$22,$NM$22,0),IF($NO$22="Bell_Curve",$NM$22*(273-$NQ$22+1)*($NR$22-273+1)/$NT$22,$NM$22/$NS$22)),0)</f>
        <v/>
      </c>
      <c r="JQ22" s="18">
        <f>IF(AND(274&gt;=$NQ$22,274&lt;=$NR$22),IF($NO$22="Single_Point",IF(274=$NQ$22,$NM$22,0),IF($NO$22="Bell_Curve",$NM$22*(274-$NQ$22+1)*($NR$22-274+1)/$NT$22,$NM$22/$NS$22)),0)</f>
        <v/>
      </c>
      <c r="JR22" s="18">
        <f>IF(AND(275&gt;=$NQ$22,275&lt;=$NR$22),IF($NO$22="Single_Point",IF(275=$NQ$22,$NM$22,0),IF($NO$22="Bell_Curve",$NM$22*(275-$NQ$22+1)*($NR$22-275+1)/$NT$22,$NM$22/$NS$22)),0)</f>
        <v/>
      </c>
      <c r="JS22" s="18">
        <f>IF(AND(276&gt;=$NQ$22,276&lt;=$NR$22),IF($NO$22="Single_Point",IF(276=$NQ$22,$NM$22,0),IF($NO$22="Bell_Curve",$NM$22*(276-$NQ$22+1)*($NR$22-276+1)/$NT$22,$NM$22/$NS$22)),0)</f>
        <v/>
      </c>
      <c r="JT22" s="18">
        <f>IF(AND(277&gt;=$NQ$22,277&lt;=$NR$22),IF($NO$22="Single_Point",IF(277=$NQ$22,$NM$22,0),IF($NO$22="Bell_Curve",$NM$22*(277-$NQ$22+1)*($NR$22-277+1)/$NT$22,$NM$22/$NS$22)),0)</f>
        <v/>
      </c>
      <c r="JU22" s="18">
        <f>IF(AND(278&gt;=$NQ$22,278&lt;=$NR$22),IF($NO$22="Single_Point",IF(278=$NQ$22,$NM$22,0),IF($NO$22="Bell_Curve",$NM$22*(278-$NQ$22+1)*($NR$22-278+1)/$NT$22,$NM$22/$NS$22)),0)</f>
        <v/>
      </c>
      <c r="JV22" s="18">
        <f>IF(AND(279&gt;=$NQ$22,279&lt;=$NR$22),IF($NO$22="Single_Point",IF(279=$NQ$22,$NM$22,0),IF($NO$22="Bell_Curve",$NM$22*(279-$NQ$22+1)*($NR$22-279+1)/$NT$22,$NM$22/$NS$22)),0)</f>
        <v/>
      </c>
      <c r="JW22" s="18">
        <f>IF(AND(280&gt;=$NQ$22,280&lt;=$NR$22),IF($NO$22="Single_Point",IF(280=$NQ$22,$NM$22,0),IF($NO$22="Bell_Curve",$NM$22*(280-$NQ$22+1)*($NR$22-280+1)/$NT$22,$NM$22/$NS$22)),0)</f>
        <v/>
      </c>
      <c r="JX22" s="18">
        <f>IF(AND(281&gt;=$NQ$22,281&lt;=$NR$22),IF($NO$22="Single_Point",IF(281=$NQ$22,$NM$22,0),IF($NO$22="Bell_Curve",$NM$22*(281-$NQ$22+1)*($NR$22-281+1)/$NT$22,$NM$22/$NS$22)),0)</f>
        <v/>
      </c>
      <c r="JY22" s="18">
        <f>IF(AND(282&gt;=$NQ$22,282&lt;=$NR$22),IF($NO$22="Single_Point",IF(282=$NQ$22,$NM$22,0),IF($NO$22="Bell_Curve",$NM$22*(282-$NQ$22+1)*($NR$22-282+1)/$NT$22,$NM$22/$NS$22)),0)</f>
        <v/>
      </c>
      <c r="JZ22" s="18">
        <f>IF(AND(283&gt;=$NQ$22,283&lt;=$NR$22),IF($NO$22="Single_Point",IF(283=$NQ$22,$NM$22,0),IF($NO$22="Bell_Curve",$NM$22*(283-$NQ$22+1)*($NR$22-283+1)/$NT$22,$NM$22/$NS$22)),0)</f>
        <v/>
      </c>
      <c r="KA22" s="18">
        <f>IF(AND(284&gt;=$NQ$22,284&lt;=$NR$22),IF($NO$22="Single_Point",IF(284=$NQ$22,$NM$22,0),IF($NO$22="Bell_Curve",$NM$22*(284-$NQ$22+1)*($NR$22-284+1)/$NT$22,$NM$22/$NS$22)),0)</f>
        <v/>
      </c>
      <c r="KB22" s="18">
        <f>IF(AND(285&gt;=$NQ$22,285&lt;=$NR$22),IF($NO$22="Single_Point",IF(285=$NQ$22,$NM$22,0),IF($NO$22="Bell_Curve",$NM$22*(285-$NQ$22+1)*($NR$22-285+1)/$NT$22,$NM$22/$NS$22)),0)</f>
        <v/>
      </c>
      <c r="KC22" s="18">
        <f>IF(AND(286&gt;=$NQ$22,286&lt;=$NR$22),IF($NO$22="Single_Point",IF(286=$NQ$22,$NM$22,0),IF($NO$22="Bell_Curve",$NM$22*(286-$NQ$22+1)*($NR$22-286+1)/$NT$22,$NM$22/$NS$22)),0)</f>
        <v/>
      </c>
      <c r="KD22" s="18">
        <f>IF(AND(287&gt;=$NQ$22,287&lt;=$NR$22),IF($NO$22="Single_Point",IF(287=$NQ$22,$NM$22,0),IF($NO$22="Bell_Curve",$NM$22*(287-$NQ$22+1)*($NR$22-287+1)/$NT$22,$NM$22/$NS$22)),0)</f>
        <v/>
      </c>
      <c r="KE22" s="18">
        <f>IF(AND(288&gt;=$NQ$22,288&lt;=$NR$22),IF($NO$22="Single_Point",IF(288=$NQ$22,$NM$22,0),IF($NO$22="Bell_Curve",$NM$22*(288-$NQ$22+1)*($NR$22-288+1)/$NT$22,$NM$22/$NS$22)),0)</f>
        <v/>
      </c>
      <c r="KF22" s="18">
        <f>IF(AND(289&gt;=$NQ$22,289&lt;=$NR$22),IF($NO$22="Single_Point",IF(289=$NQ$22,$NM$22,0),IF($NO$22="Bell_Curve",$NM$22*(289-$NQ$22+1)*($NR$22-289+1)/$NT$22,$NM$22/$NS$22)),0)</f>
        <v/>
      </c>
      <c r="KG22" s="18">
        <f>IF(AND(290&gt;=$NQ$22,290&lt;=$NR$22),IF($NO$22="Single_Point",IF(290=$NQ$22,$NM$22,0),IF($NO$22="Bell_Curve",$NM$22*(290-$NQ$22+1)*($NR$22-290+1)/$NT$22,$NM$22/$NS$22)),0)</f>
        <v/>
      </c>
      <c r="KH22" s="18">
        <f>IF(AND(291&gt;=$NQ$22,291&lt;=$NR$22),IF($NO$22="Single_Point",IF(291=$NQ$22,$NM$22,0),IF($NO$22="Bell_Curve",$NM$22*(291-$NQ$22+1)*($NR$22-291+1)/$NT$22,$NM$22/$NS$22)),0)</f>
        <v/>
      </c>
      <c r="KI22" s="18">
        <f>IF(AND(292&gt;=$NQ$22,292&lt;=$NR$22),IF($NO$22="Single_Point",IF(292=$NQ$22,$NM$22,0),IF($NO$22="Bell_Curve",$NM$22*(292-$NQ$22+1)*($NR$22-292+1)/$NT$22,$NM$22/$NS$22)),0)</f>
        <v/>
      </c>
      <c r="KJ22" s="18">
        <f>IF(AND(293&gt;=$NQ$22,293&lt;=$NR$22),IF($NO$22="Single_Point",IF(293=$NQ$22,$NM$22,0),IF($NO$22="Bell_Curve",$NM$22*(293-$NQ$22+1)*($NR$22-293+1)/$NT$22,$NM$22/$NS$22)),0)</f>
        <v/>
      </c>
      <c r="KK22" s="18">
        <f>IF(AND(294&gt;=$NQ$22,294&lt;=$NR$22),IF($NO$22="Single_Point",IF(294=$NQ$22,$NM$22,0),IF($NO$22="Bell_Curve",$NM$22*(294-$NQ$22+1)*($NR$22-294+1)/$NT$22,$NM$22/$NS$22)),0)</f>
        <v/>
      </c>
      <c r="KL22" s="18">
        <f>IF(AND(295&gt;=$NQ$22,295&lt;=$NR$22),IF($NO$22="Single_Point",IF(295=$NQ$22,$NM$22,0),IF($NO$22="Bell_Curve",$NM$22*(295-$NQ$22+1)*($NR$22-295+1)/$NT$22,$NM$22/$NS$22)),0)</f>
        <v/>
      </c>
      <c r="KM22" s="18">
        <f>IF(AND(296&gt;=$NQ$22,296&lt;=$NR$22),IF($NO$22="Single_Point",IF(296=$NQ$22,$NM$22,0),IF($NO$22="Bell_Curve",$NM$22*(296-$NQ$22+1)*($NR$22-296+1)/$NT$22,$NM$22/$NS$22)),0)</f>
        <v/>
      </c>
      <c r="KN22" s="18">
        <f>IF(AND(297&gt;=$NQ$22,297&lt;=$NR$22),IF($NO$22="Single_Point",IF(297=$NQ$22,$NM$22,0),IF($NO$22="Bell_Curve",$NM$22*(297-$NQ$22+1)*($NR$22-297+1)/$NT$22,$NM$22/$NS$22)),0)</f>
        <v/>
      </c>
      <c r="KO22" s="18">
        <f>IF(AND(298&gt;=$NQ$22,298&lt;=$NR$22),IF($NO$22="Single_Point",IF(298=$NQ$22,$NM$22,0),IF($NO$22="Bell_Curve",$NM$22*(298-$NQ$22+1)*($NR$22-298+1)/$NT$22,$NM$22/$NS$22)),0)</f>
        <v/>
      </c>
      <c r="KP22" s="18">
        <f>IF(AND(299&gt;=$NQ$22,299&lt;=$NR$22),IF($NO$22="Single_Point",IF(299=$NQ$22,$NM$22,0),IF($NO$22="Bell_Curve",$NM$22*(299-$NQ$22+1)*($NR$22-299+1)/$NT$22,$NM$22/$NS$22)),0)</f>
        <v/>
      </c>
      <c r="KQ22" s="18">
        <f>IF(AND(300&gt;=$NQ$22,300&lt;=$NR$22),IF($NO$22="Single_Point",IF(300=$NQ$22,$NM$22,0),IF($NO$22="Bell_Curve",$NM$22*(300-$NQ$22+1)*($NR$22-300+1)/$NT$22,$NM$22/$NS$22)),0)</f>
        <v/>
      </c>
      <c r="KR22" s="18">
        <f>IF(AND(301&gt;=$NQ$22,301&lt;=$NR$22),IF($NO$22="Single_Point",IF(301=$NQ$22,$NM$22,0),IF($NO$22="Bell_Curve",$NM$22*(301-$NQ$22+1)*($NR$22-301+1)/$NT$22,$NM$22/$NS$22)),0)</f>
        <v/>
      </c>
      <c r="KS22" s="18">
        <f>IF(AND(302&gt;=$NQ$22,302&lt;=$NR$22),IF($NO$22="Single_Point",IF(302=$NQ$22,$NM$22,0),IF($NO$22="Bell_Curve",$NM$22*(302-$NQ$22+1)*($NR$22-302+1)/$NT$22,$NM$22/$NS$22)),0)</f>
        <v/>
      </c>
      <c r="KT22" s="18">
        <f>IF(AND(303&gt;=$NQ$22,303&lt;=$NR$22),IF($NO$22="Single_Point",IF(303=$NQ$22,$NM$22,0),IF($NO$22="Bell_Curve",$NM$22*(303-$NQ$22+1)*($NR$22-303+1)/$NT$22,$NM$22/$NS$22)),0)</f>
        <v/>
      </c>
      <c r="KU22" s="18">
        <f>IF(AND(304&gt;=$NQ$22,304&lt;=$NR$22),IF($NO$22="Single_Point",IF(304=$NQ$22,$NM$22,0),IF($NO$22="Bell_Curve",$NM$22*(304-$NQ$22+1)*($NR$22-304+1)/$NT$22,$NM$22/$NS$22)),0)</f>
        <v/>
      </c>
      <c r="KV22" s="18">
        <f>IF(AND(305&gt;=$NQ$22,305&lt;=$NR$22),IF($NO$22="Single_Point",IF(305=$NQ$22,$NM$22,0),IF($NO$22="Bell_Curve",$NM$22*(305-$NQ$22+1)*($NR$22-305+1)/$NT$22,$NM$22/$NS$22)),0)</f>
        <v/>
      </c>
      <c r="KW22" s="18">
        <f>IF(AND(306&gt;=$NQ$22,306&lt;=$NR$22),IF($NO$22="Single_Point",IF(306=$NQ$22,$NM$22,0),IF($NO$22="Bell_Curve",$NM$22*(306-$NQ$22+1)*($NR$22-306+1)/$NT$22,$NM$22/$NS$22)),0)</f>
        <v/>
      </c>
      <c r="KX22" s="18">
        <f>IF(AND(307&gt;=$NQ$22,307&lt;=$NR$22),IF($NO$22="Single_Point",IF(307=$NQ$22,$NM$22,0),IF($NO$22="Bell_Curve",$NM$22*(307-$NQ$22+1)*($NR$22-307+1)/$NT$22,$NM$22/$NS$22)),0)</f>
        <v/>
      </c>
      <c r="KY22" s="18">
        <f>IF(AND(308&gt;=$NQ$22,308&lt;=$NR$22),IF($NO$22="Single_Point",IF(308=$NQ$22,$NM$22,0),IF($NO$22="Bell_Curve",$NM$22*(308-$NQ$22+1)*($NR$22-308+1)/$NT$22,$NM$22/$NS$22)),0)</f>
        <v/>
      </c>
      <c r="KZ22" s="18">
        <f>IF(AND(309&gt;=$NQ$22,309&lt;=$NR$22),IF($NO$22="Single_Point",IF(309=$NQ$22,$NM$22,0),IF($NO$22="Bell_Curve",$NM$22*(309-$NQ$22+1)*($NR$22-309+1)/$NT$22,$NM$22/$NS$22)),0)</f>
        <v/>
      </c>
      <c r="LA22" s="18">
        <f>IF(AND(310&gt;=$NQ$22,310&lt;=$NR$22),IF($NO$22="Single_Point",IF(310=$NQ$22,$NM$22,0),IF($NO$22="Bell_Curve",$NM$22*(310-$NQ$22+1)*($NR$22-310+1)/$NT$22,$NM$22/$NS$22)),0)</f>
        <v/>
      </c>
      <c r="LB22" s="18">
        <f>IF(AND(311&gt;=$NQ$22,311&lt;=$NR$22),IF($NO$22="Single_Point",IF(311=$NQ$22,$NM$22,0),IF($NO$22="Bell_Curve",$NM$22*(311-$NQ$22+1)*($NR$22-311+1)/$NT$22,$NM$22/$NS$22)),0)</f>
        <v/>
      </c>
      <c r="LC22" s="18">
        <f>IF(AND(312&gt;=$NQ$22,312&lt;=$NR$22),IF($NO$22="Single_Point",IF(312=$NQ$22,$NM$22,0),IF($NO$22="Bell_Curve",$NM$22*(312-$NQ$22+1)*($NR$22-312+1)/$NT$22,$NM$22/$NS$22)),0)</f>
        <v/>
      </c>
      <c r="LD22" s="18">
        <f>IF(AND(313&gt;=$NQ$22,313&lt;=$NR$22),IF($NO$22="Single_Point",IF(313=$NQ$22,$NM$22,0),IF($NO$22="Bell_Curve",$NM$22*(313-$NQ$22+1)*($NR$22-313+1)/$NT$22,$NM$22/$NS$22)),0)</f>
        <v/>
      </c>
      <c r="LE22" s="18">
        <f>IF(AND(314&gt;=$NQ$22,314&lt;=$NR$22),IF($NO$22="Single_Point",IF(314=$NQ$22,$NM$22,0),IF($NO$22="Bell_Curve",$NM$22*(314-$NQ$22+1)*($NR$22-314+1)/$NT$22,$NM$22/$NS$22)),0)</f>
        <v/>
      </c>
      <c r="LF22" s="18">
        <f>IF(AND(315&gt;=$NQ$22,315&lt;=$NR$22),IF($NO$22="Single_Point",IF(315=$NQ$22,$NM$22,0),IF($NO$22="Bell_Curve",$NM$22*(315-$NQ$22+1)*($NR$22-315+1)/$NT$22,$NM$22/$NS$22)),0)</f>
        <v/>
      </c>
      <c r="LG22" s="18">
        <f>IF(AND(316&gt;=$NQ$22,316&lt;=$NR$22),IF($NO$22="Single_Point",IF(316=$NQ$22,$NM$22,0),IF($NO$22="Bell_Curve",$NM$22*(316-$NQ$22+1)*($NR$22-316+1)/$NT$22,$NM$22/$NS$22)),0)</f>
        <v/>
      </c>
      <c r="LH22" s="18">
        <f>IF(AND(317&gt;=$NQ$22,317&lt;=$NR$22),IF($NO$22="Single_Point",IF(317=$NQ$22,$NM$22,0),IF($NO$22="Bell_Curve",$NM$22*(317-$NQ$22+1)*($NR$22-317+1)/$NT$22,$NM$22/$NS$22)),0)</f>
        <v/>
      </c>
      <c r="LI22" s="18">
        <f>IF(AND(318&gt;=$NQ$22,318&lt;=$NR$22),IF($NO$22="Single_Point",IF(318=$NQ$22,$NM$22,0),IF($NO$22="Bell_Curve",$NM$22*(318-$NQ$22+1)*($NR$22-318+1)/$NT$22,$NM$22/$NS$22)),0)</f>
        <v/>
      </c>
      <c r="LJ22" s="18">
        <f>IF(AND(319&gt;=$NQ$22,319&lt;=$NR$22),IF($NO$22="Single_Point",IF(319=$NQ$22,$NM$22,0),IF($NO$22="Bell_Curve",$NM$22*(319-$NQ$22+1)*($NR$22-319+1)/$NT$22,$NM$22/$NS$22)),0)</f>
        <v/>
      </c>
      <c r="LK22" s="18">
        <f>IF(AND(320&gt;=$NQ$22,320&lt;=$NR$22),IF($NO$22="Single_Point",IF(320=$NQ$22,$NM$22,0),IF($NO$22="Bell_Curve",$NM$22*(320-$NQ$22+1)*($NR$22-320+1)/$NT$22,$NM$22/$NS$22)),0)</f>
        <v/>
      </c>
      <c r="LL22" s="18">
        <f>IF(AND(321&gt;=$NQ$22,321&lt;=$NR$22),IF($NO$22="Single_Point",IF(321=$NQ$22,$NM$22,0),IF($NO$22="Bell_Curve",$NM$22*(321-$NQ$22+1)*($NR$22-321+1)/$NT$22,$NM$22/$NS$22)),0)</f>
        <v/>
      </c>
      <c r="LM22" s="18">
        <f>IF(AND(322&gt;=$NQ$22,322&lt;=$NR$22),IF($NO$22="Single_Point",IF(322=$NQ$22,$NM$22,0),IF($NO$22="Bell_Curve",$NM$22*(322-$NQ$22+1)*($NR$22-322+1)/$NT$22,$NM$22/$NS$22)),0)</f>
        <v/>
      </c>
      <c r="LN22" s="18">
        <f>IF(AND(323&gt;=$NQ$22,323&lt;=$NR$22),IF($NO$22="Single_Point",IF(323=$NQ$22,$NM$22,0),IF($NO$22="Bell_Curve",$NM$22*(323-$NQ$22+1)*($NR$22-323+1)/$NT$22,$NM$22/$NS$22)),0)</f>
        <v/>
      </c>
      <c r="LO22" s="18">
        <f>IF(AND(324&gt;=$NQ$22,324&lt;=$NR$22),IF($NO$22="Single_Point",IF(324=$NQ$22,$NM$22,0),IF($NO$22="Bell_Curve",$NM$22*(324-$NQ$22+1)*($NR$22-324+1)/$NT$22,$NM$22/$NS$22)),0)</f>
        <v/>
      </c>
      <c r="LP22" s="18">
        <f>IF(AND(325&gt;=$NQ$22,325&lt;=$NR$22),IF($NO$22="Single_Point",IF(325=$NQ$22,$NM$22,0),IF($NO$22="Bell_Curve",$NM$22*(325-$NQ$22+1)*($NR$22-325+1)/$NT$22,$NM$22/$NS$22)),0)</f>
        <v/>
      </c>
      <c r="LQ22" s="18">
        <f>IF(AND(326&gt;=$NQ$22,326&lt;=$NR$22),IF($NO$22="Single_Point",IF(326=$NQ$22,$NM$22,0),IF($NO$22="Bell_Curve",$NM$22*(326-$NQ$22+1)*($NR$22-326+1)/$NT$22,$NM$22/$NS$22)),0)</f>
        <v/>
      </c>
      <c r="LR22" s="18">
        <f>IF(AND(327&gt;=$NQ$22,327&lt;=$NR$22),IF($NO$22="Single_Point",IF(327=$NQ$22,$NM$22,0),IF($NO$22="Bell_Curve",$NM$22*(327-$NQ$22+1)*($NR$22-327+1)/$NT$22,$NM$22/$NS$22)),0)</f>
        <v/>
      </c>
      <c r="LS22" s="18">
        <f>IF(AND(328&gt;=$NQ$22,328&lt;=$NR$22),IF($NO$22="Single_Point",IF(328=$NQ$22,$NM$22,0),IF($NO$22="Bell_Curve",$NM$22*(328-$NQ$22+1)*($NR$22-328+1)/$NT$22,$NM$22/$NS$22)),0)</f>
        <v/>
      </c>
      <c r="LT22" s="18">
        <f>IF(AND(329&gt;=$NQ$22,329&lt;=$NR$22),IF($NO$22="Single_Point",IF(329=$NQ$22,$NM$22,0),IF($NO$22="Bell_Curve",$NM$22*(329-$NQ$22+1)*($NR$22-329+1)/$NT$22,$NM$22/$NS$22)),0)</f>
        <v/>
      </c>
      <c r="LU22" s="18">
        <f>IF(AND(330&gt;=$NQ$22,330&lt;=$NR$22),IF($NO$22="Single_Point",IF(330=$NQ$22,$NM$22,0),IF($NO$22="Bell_Curve",$NM$22*(330-$NQ$22+1)*($NR$22-330+1)/$NT$22,$NM$22/$NS$22)),0)</f>
        <v/>
      </c>
      <c r="LV22" s="18">
        <f>IF(AND(331&gt;=$NQ$22,331&lt;=$NR$22),IF($NO$22="Single_Point",IF(331=$NQ$22,$NM$22,0),IF($NO$22="Bell_Curve",$NM$22*(331-$NQ$22+1)*($NR$22-331+1)/$NT$22,$NM$22/$NS$22)),0)</f>
        <v/>
      </c>
      <c r="LW22" s="18">
        <f>IF(AND(332&gt;=$NQ$22,332&lt;=$NR$22),IF($NO$22="Single_Point",IF(332=$NQ$22,$NM$22,0),IF($NO$22="Bell_Curve",$NM$22*(332-$NQ$22+1)*($NR$22-332+1)/$NT$22,$NM$22/$NS$22)),0)</f>
        <v/>
      </c>
      <c r="LX22" s="18">
        <f>IF(AND(333&gt;=$NQ$22,333&lt;=$NR$22),IF($NO$22="Single_Point",IF(333=$NQ$22,$NM$22,0),IF($NO$22="Bell_Curve",$NM$22*(333-$NQ$22+1)*($NR$22-333+1)/$NT$22,$NM$22/$NS$22)),0)</f>
        <v/>
      </c>
      <c r="LY22" s="18">
        <f>IF(AND(334&gt;=$NQ$22,334&lt;=$NR$22),IF($NO$22="Single_Point",IF(334=$NQ$22,$NM$22,0),IF($NO$22="Bell_Curve",$NM$22*(334-$NQ$22+1)*($NR$22-334+1)/$NT$22,$NM$22/$NS$22)),0)</f>
        <v/>
      </c>
      <c r="LZ22" s="18">
        <f>IF(AND(335&gt;=$NQ$22,335&lt;=$NR$22),IF($NO$22="Single_Point",IF(335=$NQ$22,$NM$22,0),IF($NO$22="Bell_Curve",$NM$22*(335-$NQ$22+1)*($NR$22-335+1)/$NT$22,$NM$22/$NS$22)),0)</f>
        <v/>
      </c>
      <c r="MA22" s="18">
        <f>IF(AND(336&gt;=$NQ$22,336&lt;=$NR$22),IF($NO$22="Single_Point",IF(336=$NQ$22,$NM$22,0),IF($NO$22="Bell_Curve",$NM$22*(336-$NQ$22+1)*($NR$22-336+1)/$NT$22,$NM$22/$NS$22)),0)</f>
        <v/>
      </c>
      <c r="MB22" s="18">
        <f>IF(AND(337&gt;=$NQ$22,337&lt;=$NR$22),IF($NO$22="Single_Point",IF(337=$NQ$22,$NM$22,0),IF($NO$22="Bell_Curve",$NM$22*(337-$NQ$22+1)*($NR$22-337+1)/$NT$22,$NM$22/$NS$22)),0)</f>
        <v/>
      </c>
      <c r="MC22" s="18">
        <f>IF(AND(338&gt;=$NQ$22,338&lt;=$NR$22),IF($NO$22="Single_Point",IF(338=$NQ$22,$NM$22,0),IF($NO$22="Bell_Curve",$NM$22*(338-$NQ$22+1)*($NR$22-338+1)/$NT$22,$NM$22/$NS$22)),0)</f>
        <v/>
      </c>
      <c r="MD22" s="18">
        <f>IF(AND(339&gt;=$NQ$22,339&lt;=$NR$22),IF($NO$22="Single_Point",IF(339=$NQ$22,$NM$22,0),IF($NO$22="Bell_Curve",$NM$22*(339-$NQ$22+1)*($NR$22-339+1)/$NT$22,$NM$22/$NS$22)),0)</f>
        <v/>
      </c>
      <c r="ME22" s="18">
        <f>IF(AND(340&gt;=$NQ$22,340&lt;=$NR$22),IF($NO$22="Single_Point",IF(340=$NQ$22,$NM$22,0),IF($NO$22="Bell_Curve",$NM$22*(340-$NQ$22+1)*($NR$22-340+1)/$NT$22,$NM$22/$NS$22)),0)</f>
        <v/>
      </c>
      <c r="MF22" s="18">
        <f>IF(AND(341&gt;=$NQ$22,341&lt;=$NR$22),IF($NO$22="Single_Point",IF(341=$NQ$22,$NM$22,0),IF($NO$22="Bell_Curve",$NM$22*(341-$NQ$22+1)*($NR$22-341+1)/$NT$22,$NM$22/$NS$22)),0)</f>
        <v/>
      </c>
      <c r="MG22" s="18">
        <f>IF(AND(342&gt;=$NQ$22,342&lt;=$NR$22),IF($NO$22="Single_Point",IF(342=$NQ$22,$NM$22,0),IF($NO$22="Bell_Curve",$NM$22*(342-$NQ$22+1)*($NR$22-342+1)/$NT$22,$NM$22/$NS$22)),0)</f>
        <v/>
      </c>
      <c r="MH22" s="18">
        <f>IF(AND(343&gt;=$NQ$22,343&lt;=$NR$22),IF($NO$22="Single_Point",IF(343=$NQ$22,$NM$22,0),IF($NO$22="Bell_Curve",$NM$22*(343-$NQ$22+1)*($NR$22-343+1)/$NT$22,$NM$22/$NS$22)),0)</f>
        <v/>
      </c>
      <c r="MI22" s="18">
        <f>IF(AND(344&gt;=$NQ$22,344&lt;=$NR$22),IF($NO$22="Single_Point",IF(344=$NQ$22,$NM$22,0),IF($NO$22="Bell_Curve",$NM$22*(344-$NQ$22+1)*($NR$22-344+1)/$NT$22,$NM$22/$NS$22)),0)</f>
        <v/>
      </c>
      <c r="MJ22" s="18">
        <f>IF(AND(345&gt;=$NQ$22,345&lt;=$NR$22),IF($NO$22="Single_Point",IF(345=$NQ$22,$NM$22,0),IF($NO$22="Bell_Curve",$NM$22*(345-$NQ$22+1)*($NR$22-345+1)/$NT$22,$NM$22/$NS$22)),0)</f>
        <v/>
      </c>
      <c r="MK22" s="18">
        <f>IF(AND(346&gt;=$NQ$22,346&lt;=$NR$22),IF($NO$22="Single_Point",IF(346=$NQ$22,$NM$22,0),IF($NO$22="Bell_Curve",$NM$22*(346-$NQ$22+1)*($NR$22-346+1)/$NT$22,$NM$22/$NS$22)),0)</f>
        <v/>
      </c>
      <c r="ML22" s="18">
        <f>IF(AND(347&gt;=$NQ$22,347&lt;=$NR$22),IF($NO$22="Single_Point",IF(347=$NQ$22,$NM$22,0),IF($NO$22="Bell_Curve",$NM$22*(347-$NQ$22+1)*($NR$22-347+1)/$NT$22,$NM$22/$NS$22)),0)</f>
        <v/>
      </c>
      <c r="MM22" s="18">
        <f>IF(AND(348&gt;=$NQ$22,348&lt;=$NR$22),IF($NO$22="Single_Point",IF(348=$NQ$22,$NM$22,0),IF($NO$22="Bell_Curve",$NM$22*(348-$NQ$22+1)*($NR$22-348+1)/$NT$22,$NM$22/$NS$22)),0)</f>
        <v/>
      </c>
      <c r="MN22" s="18">
        <f>IF(AND(349&gt;=$NQ$22,349&lt;=$NR$22),IF($NO$22="Single_Point",IF(349=$NQ$22,$NM$22,0),IF($NO$22="Bell_Curve",$NM$22*(349-$NQ$22+1)*($NR$22-349+1)/$NT$22,$NM$22/$NS$22)),0)</f>
        <v/>
      </c>
      <c r="MO22" s="18">
        <f>IF(AND(350&gt;=$NQ$22,350&lt;=$NR$22),IF($NO$22="Single_Point",IF(350=$NQ$22,$NM$22,0),IF($NO$22="Bell_Curve",$NM$22*(350-$NQ$22+1)*($NR$22-350+1)/$NT$22,$NM$22/$NS$22)),0)</f>
        <v/>
      </c>
      <c r="MP22" s="18">
        <f>IF(AND(351&gt;=$NQ$22,351&lt;=$NR$22),IF($NO$22="Single_Point",IF(351=$NQ$22,$NM$22,0),IF($NO$22="Bell_Curve",$NM$22*(351-$NQ$22+1)*($NR$22-351+1)/$NT$22,$NM$22/$NS$22)),0)</f>
        <v/>
      </c>
      <c r="MQ22" s="18">
        <f>IF(AND(352&gt;=$NQ$22,352&lt;=$NR$22),IF($NO$22="Single_Point",IF(352=$NQ$22,$NM$22,0),IF($NO$22="Bell_Curve",$NM$22*(352-$NQ$22+1)*($NR$22-352+1)/$NT$22,$NM$22/$NS$22)),0)</f>
        <v/>
      </c>
      <c r="MR22" s="18">
        <f>IF(AND(353&gt;=$NQ$22,353&lt;=$NR$22),IF($NO$22="Single_Point",IF(353=$NQ$22,$NM$22,0),IF($NO$22="Bell_Curve",$NM$22*(353-$NQ$22+1)*($NR$22-353+1)/$NT$22,$NM$22/$NS$22)),0)</f>
        <v/>
      </c>
      <c r="MS22" s="18">
        <f>IF(AND(354&gt;=$NQ$22,354&lt;=$NR$22),IF($NO$22="Single_Point",IF(354=$NQ$22,$NM$22,0),IF($NO$22="Bell_Curve",$NM$22*(354-$NQ$22+1)*($NR$22-354+1)/$NT$22,$NM$22/$NS$22)),0)</f>
        <v/>
      </c>
      <c r="MT22" s="18">
        <f>IF(AND(355&gt;=$NQ$22,355&lt;=$NR$22),IF($NO$22="Single_Point",IF(355=$NQ$22,$NM$22,0),IF($NO$22="Bell_Curve",$NM$22*(355-$NQ$22+1)*($NR$22-355+1)/$NT$22,$NM$22/$NS$22)),0)</f>
        <v/>
      </c>
      <c r="MU22" s="18">
        <f>IF(AND(356&gt;=$NQ$22,356&lt;=$NR$22),IF($NO$22="Single_Point",IF(356=$NQ$22,$NM$22,0),IF($NO$22="Bell_Curve",$NM$22*(356-$NQ$22+1)*($NR$22-356+1)/$NT$22,$NM$22/$NS$22)),0)</f>
        <v/>
      </c>
      <c r="MV22" s="18">
        <f>IF(AND(357&gt;=$NQ$22,357&lt;=$NR$22),IF($NO$22="Single_Point",IF(357=$NQ$22,$NM$22,0),IF($NO$22="Bell_Curve",$NM$22*(357-$NQ$22+1)*($NR$22-357+1)/$NT$22,$NM$22/$NS$22)),0)</f>
        <v/>
      </c>
      <c r="MW22" s="18">
        <f>IF(AND(358&gt;=$NQ$22,358&lt;=$NR$22),IF($NO$22="Single_Point",IF(358=$NQ$22,$NM$22,0),IF($NO$22="Bell_Curve",$NM$22*(358-$NQ$22+1)*($NR$22-358+1)/$NT$22,$NM$22/$NS$22)),0)</f>
        <v/>
      </c>
      <c r="MX22" s="18">
        <f>IF(AND(359&gt;=$NQ$22,359&lt;=$NR$22),IF($NO$22="Single_Point",IF(359=$NQ$22,$NM$22,0),IF($NO$22="Bell_Curve",$NM$22*(359-$NQ$22+1)*($NR$22-359+1)/$NT$22,$NM$22/$NS$22)),0)</f>
        <v/>
      </c>
      <c r="MY22" s="18">
        <f>IF(AND(360&gt;=$NQ$22,360&lt;=$NR$22),IF($NO$22="Single_Point",IF(360=$NQ$22,$NM$22,0),IF($NO$22="Bell_Curve",$NM$22*(360-$NQ$22+1)*($NR$22-360+1)/$NT$22,$NM$22/$NS$22)),0)</f>
        <v/>
      </c>
      <c r="MZ22" s="18">
        <f>IF(AND(361&gt;=$NQ$22,361&lt;=$NR$22),IF($NO$22="Single_Point",IF(361=$NQ$22,$NM$22,0),IF($NO$22="Bell_Curve",$NM$22*(361-$NQ$22+1)*($NR$22-361+1)/$NT$22,$NM$22/$NS$22)),0)</f>
        <v/>
      </c>
      <c r="NA22" s="18">
        <f>IF(AND(362&gt;=$NQ$22,362&lt;=$NR$22),IF($NO$22="Single_Point",IF(362=$NQ$22,$NM$22,0),IF($NO$22="Bell_Curve",$NM$22*(362-$NQ$22+1)*($NR$22-362+1)/$NT$22,$NM$22/$NS$22)),0)</f>
        <v/>
      </c>
      <c r="NB22" s="18">
        <f>IF(AND(363&gt;=$NQ$22,363&lt;=$NR$22),IF($NO$22="Single_Point",IF(363=$NQ$22,$NM$22,0),IF($NO$22="Bell_Curve",$NM$22*(363-$NQ$22+1)*($NR$22-363+1)/$NT$22,$NM$22/$NS$22)),0)</f>
        <v/>
      </c>
      <c r="NC22" s="18">
        <f>IF(AND(364&gt;=$NQ$22,364&lt;=$NR$22),IF($NO$22="Single_Point",IF(364=$NQ$22,$NM$22,0),IF($NO$22="Bell_Curve",$NM$22*(364-$NQ$22+1)*($NR$22-364+1)/$NT$22,$NM$22/$NS$22)),0)</f>
        <v/>
      </c>
      <c r="ND22" s="18">
        <f>IF(AND(365&gt;=$NQ$22,365&lt;=$NR$22),IF($NO$22="Single_Point",IF(365=$NQ$22,$NM$22,0),IF($NO$22="Bell_Curve",$NM$22*(365-$NQ$22+1)*($NR$22-365+1)/$NT$22,$NM$22/$NS$22)),0)</f>
        <v/>
      </c>
      <c r="NE22" s="18">
        <f>IF(AND(366&gt;=$NQ$22,366&lt;=$NR$22),IF($NO$22="Single_Point",IF(366=$NQ$22,$NM$22,0),IF($NO$22="Bell_Curve",$NM$22*(366-$NQ$22+1)*($NR$22-366+1)/$NT$22,$NM$22/$NS$22)),0)</f>
        <v/>
      </c>
      <c r="NF22" s="18">
        <f>IF(AND(367&gt;=$NQ$22,367&lt;=$NR$22),IF($NO$22="Single_Point",IF(367=$NQ$22,$NM$22,0),IF($NO$22="Bell_Curve",$NM$22*(367-$NQ$22+1)*($NR$22-367+1)/$NT$22,$NM$22/$NS$22)),0)</f>
        <v/>
      </c>
      <c r="NG22" s="18">
        <f>IF(AND(368&gt;=$NQ$22,368&lt;=$NR$22),IF($NO$22="Single_Point",IF(368=$NQ$22,$NM$22,0),IF($NO$22="Bell_Curve",$NM$22*(368-$NQ$22+1)*($NR$22-368+1)/$NT$22,$NM$22/$NS$22)),0)</f>
        <v/>
      </c>
      <c r="NH22" s="18">
        <f>IF(AND(369&gt;=$NQ$22,369&lt;=$NR$22),IF($NO$22="Single_Point",IF(369=$NQ$22,$NM$22,0),IF($NO$22="Bell_Curve",$NM$22*(369-$NQ$22+1)*($NR$22-369+1)/$NT$22,$NM$22/$NS$22)),0)</f>
        <v/>
      </c>
      <c r="NI22" s="18">
        <f>IF(AND(370&gt;=$NQ$22,370&lt;=$NR$22),IF($NO$22="Single_Point",IF(370=$NQ$22,$NM$22,0),IF($NO$22="Bell_Curve",$NM$22*(370-$NQ$22+1)*($NR$22-370+1)/$NT$22,$NM$22/$NS$22)),0)</f>
        <v/>
      </c>
      <c r="NJ22" s="18">
        <f>IF(AND(371&gt;=$NQ$22,371&lt;=$NR$22),IF($NO$22="Single_Point",IF(371=$NQ$22,$NM$22,0),IF($NO$22="Bell_Curve",$NM$22*(371-$NQ$22+1)*($NR$22-371+1)/$NT$22,$NM$22/$NS$22)),0)</f>
        <v/>
      </c>
      <c r="NK22" s="18">
        <f>IF(AND(372&gt;=$NQ$22,372&lt;=$NR$22),IF($NO$22="Single_Point",IF(372=$NQ$22,$NM$22,0),IF($NO$22="Bell_Curve",$NM$22*(372-$NQ$22+1)*($NR$22-372+1)/$NT$22,$NM$22/$NS$22)),0)</f>
        <v/>
      </c>
      <c r="NM22" s="18">
        <f>Budget!I21</f>
        <v/>
      </c>
      <c r="NN22" s="42">
        <f>Budget!F21</f>
        <v/>
      </c>
      <c r="NO22" s="42">
        <f>Budget!G21</f>
        <v/>
      </c>
      <c r="NP22" s="17">
        <f>Budget!H21</f>
        <v/>
      </c>
      <c r="NQ22" s="32">
        <f>MAX(1,MIN(372,INDEX(MilestoneStart,MATCH(NN22,MilestoneNames,0))+NP22))</f>
        <v/>
      </c>
      <c r="NR22" s="32">
        <f>MAX(NQ22,MIN(372,INDEX(MilestoneEnd,MATCH(NN22,MilestoneNames,0))+NP22))</f>
        <v/>
      </c>
      <c r="NS22" s="17">
        <f>NR22-NQ22+1</f>
        <v/>
      </c>
      <c r="NT22" s="17">
        <f>NS22*(NS22+1)*(NS22+2)/6</f>
        <v/>
      </c>
    </row>
    <row r="23">
      <c r="A23" s="5" t="inlineStr">
        <is>
          <t>Other Soft Cost 3 - Testing</t>
        </is>
      </c>
      <c r="C23" s="41">
        <f>SUM(D23:NK23)</f>
        <v/>
      </c>
      <c r="D23" s="18">
        <f>IF(AND(1&gt;=$NQ$23,1&lt;=$NR$23),IF($NO$23="Single_Point",IF(1=$NQ$23,$NM$23,0),IF($NO$23="Bell_Curve",$NM$23*(1-$NQ$23+1)*($NR$23-1+1)/$NT$23,$NM$23/$NS$23)),0)</f>
        <v/>
      </c>
      <c r="E23" s="18">
        <f>IF(AND(2&gt;=$NQ$23,2&lt;=$NR$23),IF($NO$23="Single_Point",IF(2=$NQ$23,$NM$23,0),IF($NO$23="Bell_Curve",$NM$23*(2-$NQ$23+1)*($NR$23-2+1)/$NT$23,$NM$23/$NS$23)),0)</f>
        <v/>
      </c>
      <c r="F23" s="18">
        <f>IF(AND(3&gt;=$NQ$23,3&lt;=$NR$23),IF($NO$23="Single_Point",IF(3=$NQ$23,$NM$23,0),IF($NO$23="Bell_Curve",$NM$23*(3-$NQ$23+1)*($NR$23-3+1)/$NT$23,$NM$23/$NS$23)),0)</f>
        <v/>
      </c>
      <c r="G23" s="18">
        <f>IF(AND(4&gt;=$NQ$23,4&lt;=$NR$23),IF($NO$23="Single_Point",IF(4=$NQ$23,$NM$23,0),IF($NO$23="Bell_Curve",$NM$23*(4-$NQ$23+1)*($NR$23-4+1)/$NT$23,$NM$23/$NS$23)),0)</f>
        <v/>
      </c>
      <c r="H23" s="18">
        <f>IF(AND(5&gt;=$NQ$23,5&lt;=$NR$23),IF($NO$23="Single_Point",IF(5=$NQ$23,$NM$23,0),IF($NO$23="Bell_Curve",$NM$23*(5-$NQ$23+1)*($NR$23-5+1)/$NT$23,$NM$23/$NS$23)),0)</f>
        <v/>
      </c>
      <c r="I23" s="18">
        <f>IF(AND(6&gt;=$NQ$23,6&lt;=$NR$23),IF($NO$23="Single_Point",IF(6=$NQ$23,$NM$23,0),IF($NO$23="Bell_Curve",$NM$23*(6-$NQ$23+1)*($NR$23-6+1)/$NT$23,$NM$23/$NS$23)),0)</f>
        <v/>
      </c>
      <c r="J23" s="18">
        <f>IF(AND(7&gt;=$NQ$23,7&lt;=$NR$23),IF($NO$23="Single_Point",IF(7=$NQ$23,$NM$23,0),IF($NO$23="Bell_Curve",$NM$23*(7-$NQ$23+1)*($NR$23-7+1)/$NT$23,$NM$23/$NS$23)),0)</f>
        <v/>
      </c>
      <c r="K23" s="18">
        <f>IF(AND(8&gt;=$NQ$23,8&lt;=$NR$23),IF($NO$23="Single_Point",IF(8=$NQ$23,$NM$23,0),IF($NO$23="Bell_Curve",$NM$23*(8-$NQ$23+1)*($NR$23-8+1)/$NT$23,$NM$23/$NS$23)),0)</f>
        <v/>
      </c>
      <c r="L23" s="18">
        <f>IF(AND(9&gt;=$NQ$23,9&lt;=$NR$23),IF($NO$23="Single_Point",IF(9=$NQ$23,$NM$23,0),IF($NO$23="Bell_Curve",$NM$23*(9-$NQ$23+1)*($NR$23-9+1)/$NT$23,$NM$23/$NS$23)),0)</f>
        <v/>
      </c>
      <c r="M23" s="18">
        <f>IF(AND(10&gt;=$NQ$23,10&lt;=$NR$23),IF($NO$23="Single_Point",IF(10=$NQ$23,$NM$23,0),IF($NO$23="Bell_Curve",$NM$23*(10-$NQ$23+1)*($NR$23-10+1)/$NT$23,$NM$23/$NS$23)),0)</f>
        <v/>
      </c>
      <c r="N23" s="18">
        <f>IF(AND(11&gt;=$NQ$23,11&lt;=$NR$23),IF($NO$23="Single_Point",IF(11=$NQ$23,$NM$23,0),IF($NO$23="Bell_Curve",$NM$23*(11-$NQ$23+1)*($NR$23-11+1)/$NT$23,$NM$23/$NS$23)),0)</f>
        <v/>
      </c>
      <c r="O23" s="18">
        <f>IF(AND(12&gt;=$NQ$23,12&lt;=$NR$23),IF($NO$23="Single_Point",IF(12=$NQ$23,$NM$23,0),IF($NO$23="Bell_Curve",$NM$23*(12-$NQ$23+1)*($NR$23-12+1)/$NT$23,$NM$23/$NS$23)),0)</f>
        <v/>
      </c>
      <c r="P23" s="18">
        <f>IF(AND(13&gt;=$NQ$23,13&lt;=$NR$23),IF($NO$23="Single_Point",IF(13=$NQ$23,$NM$23,0),IF($NO$23="Bell_Curve",$NM$23*(13-$NQ$23+1)*($NR$23-13+1)/$NT$23,$NM$23/$NS$23)),0)</f>
        <v/>
      </c>
      <c r="Q23" s="18">
        <f>IF(AND(14&gt;=$NQ$23,14&lt;=$NR$23),IF($NO$23="Single_Point",IF(14=$NQ$23,$NM$23,0),IF($NO$23="Bell_Curve",$NM$23*(14-$NQ$23+1)*($NR$23-14+1)/$NT$23,$NM$23/$NS$23)),0)</f>
        <v/>
      </c>
      <c r="R23" s="18">
        <f>IF(AND(15&gt;=$NQ$23,15&lt;=$NR$23),IF($NO$23="Single_Point",IF(15=$NQ$23,$NM$23,0),IF($NO$23="Bell_Curve",$NM$23*(15-$NQ$23+1)*($NR$23-15+1)/$NT$23,$NM$23/$NS$23)),0)</f>
        <v/>
      </c>
      <c r="S23" s="18">
        <f>IF(AND(16&gt;=$NQ$23,16&lt;=$NR$23),IF($NO$23="Single_Point",IF(16=$NQ$23,$NM$23,0),IF($NO$23="Bell_Curve",$NM$23*(16-$NQ$23+1)*($NR$23-16+1)/$NT$23,$NM$23/$NS$23)),0)</f>
        <v/>
      </c>
      <c r="T23" s="18">
        <f>IF(AND(17&gt;=$NQ$23,17&lt;=$NR$23),IF($NO$23="Single_Point",IF(17=$NQ$23,$NM$23,0),IF($NO$23="Bell_Curve",$NM$23*(17-$NQ$23+1)*($NR$23-17+1)/$NT$23,$NM$23/$NS$23)),0)</f>
        <v/>
      </c>
      <c r="U23" s="18">
        <f>IF(AND(18&gt;=$NQ$23,18&lt;=$NR$23),IF($NO$23="Single_Point",IF(18=$NQ$23,$NM$23,0),IF($NO$23="Bell_Curve",$NM$23*(18-$NQ$23+1)*($NR$23-18+1)/$NT$23,$NM$23/$NS$23)),0)</f>
        <v/>
      </c>
      <c r="V23" s="18">
        <f>IF(AND(19&gt;=$NQ$23,19&lt;=$NR$23),IF($NO$23="Single_Point",IF(19=$NQ$23,$NM$23,0),IF($NO$23="Bell_Curve",$NM$23*(19-$NQ$23+1)*($NR$23-19+1)/$NT$23,$NM$23/$NS$23)),0)</f>
        <v/>
      </c>
      <c r="W23" s="18">
        <f>IF(AND(20&gt;=$NQ$23,20&lt;=$NR$23),IF($NO$23="Single_Point",IF(20=$NQ$23,$NM$23,0),IF($NO$23="Bell_Curve",$NM$23*(20-$NQ$23+1)*($NR$23-20+1)/$NT$23,$NM$23/$NS$23)),0)</f>
        <v/>
      </c>
      <c r="X23" s="18">
        <f>IF(AND(21&gt;=$NQ$23,21&lt;=$NR$23),IF($NO$23="Single_Point",IF(21=$NQ$23,$NM$23,0),IF($NO$23="Bell_Curve",$NM$23*(21-$NQ$23+1)*($NR$23-21+1)/$NT$23,$NM$23/$NS$23)),0)</f>
        <v/>
      </c>
      <c r="Y23" s="18">
        <f>IF(AND(22&gt;=$NQ$23,22&lt;=$NR$23),IF($NO$23="Single_Point",IF(22=$NQ$23,$NM$23,0),IF($NO$23="Bell_Curve",$NM$23*(22-$NQ$23+1)*($NR$23-22+1)/$NT$23,$NM$23/$NS$23)),0)</f>
        <v/>
      </c>
      <c r="Z23" s="18">
        <f>IF(AND(23&gt;=$NQ$23,23&lt;=$NR$23),IF($NO$23="Single_Point",IF(23=$NQ$23,$NM$23,0),IF($NO$23="Bell_Curve",$NM$23*(23-$NQ$23+1)*($NR$23-23+1)/$NT$23,$NM$23/$NS$23)),0)</f>
        <v/>
      </c>
      <c r="AA23" s="18">
        <f>IF(AND(24&gt;=$NQ$23,24&lt;=$NR$23),IF($NO$23="Single_Point",IF(24=$NQ$23,$NM$23,0),IF($NO$23="Bell_Curve",$NM$23*(24-$NQ$23+1)*($NR$23-24+1)/$NT$23,$NM$23/$NS$23)),0)</f>
        <v/>
      </c>
      <c r="AB23" s="18">
        <f>IF(AND(25&gt;=$NQ$23,25&lt;=$NR$23),IF($NO$23="Single_Point",IF(25=$NQ$23,$NM$23,0),IF($NO$23="Bell_Curve",$NM$23*(25-$NQ$23+1)*($NR$23-25+1)/$NT$23,$NM$23/$NS$23)),0)</f>
        <v/>
      </c>
      <c r="AC23" s="18">
        <f>IF(AND(26&gt;=$NQ$23,26&lt;=$NR$23),IF($NO$23="Single_Point",IF(26=$NQ$23,$NM$23,0),IF($NO$23="Bell_Curve",$NM$23*(26-$NQ$23+1)*($NR$23-26+1)/$NT$23,$NM$23/$NS$23)),0)</f>
        <v/>
      </c>
      <c r="AD23" s="18">
        <f>IF(AND(27&gt;=$NQ$23,27&lt;=$NR$23),IF($NO$23="Single_Point",IF(27=$NQ$23,$NM$23,0),IF($NO$23="Bell_Curve",$NM$23*(27-$NQ$23+1)*($NR$23-27+1)/$NT$23,$NM$23/$NS$23)),0)</f>
        <v/>
      </c>
      <c r="AE23" s="18">
        <f>IF(AND(28&gt;=$NQ$23,28&lt;=$NR$23),IF($NO$23="Single_Point",IF(28=$NQ$23,$NM$23,0),IF($NO$23="Bell_Curve",$NM$23*(28-$NQ$23+1)*($NR$23-28+1)/$NT$23,$NM$23/$NS$23)),0)</f>
        <v/>
      </c>
      <c r="AF23" s="18">
        <f>IF(AND(29&gt;=$NQ$23,29&lt;=$NR$23),IF($NO$23="Single_Point",IF(29=$NQ$23,$NM$23,0),IF($NO$23="Bell_Curve",$NM$23*(29-$NQ$23+1)*($NR$23-29+1)/$NT$23,$NM$23/$NS$23)),0)</f>
        <v/>
      </c>
      <c r="AG23" s="18">
        <f>IF(AND(30&gt;=$NQ$23,30&lt;=$NR$23),IF($NO$23="Single_Point",IF(30=$NQ$23,$NM$23,0),IF($NO$23="Bell_Curve",$NM$23*(30-$NQ$23+1)*($NR$23-30+1)/$NT$23,$NM$23/$NS$23)),0)</f>
        <v/>
      </c>
      <c r="AH23" s="18">
        <f>IF(AND(31&gt;=$NQ$23,31&lt;=$NR$23),IF($NO$23="Single_Point",IF(31=$NQ$23,$NM$23,0),IF($NO$23="Bell_Curve",$NM$23*(31-$NQ$23+1)*($NR$23-31+1)/$NT$23,$NM$23/$NS$23)),0)</f>
        <v/>
      </c>
      <c r="AI23" s="18">
        <f>IF(AND(32&gt;=$NQ$23,32&lt;=$NR$23),IF($NO$23="Single_Point",IF(32=$NQ$23,$NM$23,0),IF($NO$23="Bell_Curve",$NM$23*(32-$NQ$23+1)*($NR$23-32+1)/$NT$23,$NM$23/$NS$23)),0)</f>
        <v/>
      </c>
      <c r="AJ23" s="18">
        <f>IF(AND(33&gt;=$NQ$23,33&lt;=$NR$23),IF($NO$23="Single_Point",IF(33=$NQ$23,$NM$23,0),IF($NO$23="Bell_Curve",$NM$23*(33-$NQ$23+1)*($NR$23-33+1)/$NT$23,$NM$23/$NS$23)),0)</f>
        <v/>
      </c>
      <c r="AK23" s="18">
        <f>IF(AND(34&gt;=$NQ$23,34&lt;=$NR$23),IF($NO$23="Single_Point",IF(34=$NQ$23,$NM$23,0),IF($NO$23="Bell_Curve",$NM$23*(34-$NQ$23+1)*($NR$23-34+1)/$NT$23,$NM$23/$NS$23)),0)</f>
        <v/>
      </c>
      <c r="AL23" s="18">
        <f>IF(AND(35&gt;=$NQ$23,35&lt;=$NR$23),IF($NO$23="Single_Point",IF(35=$NQ$23,$NM$23,0),IF($NO$23="Bell_Curve",$NM$23*(35-$NQ$23+1)*($NR$23-35+1)/$NT$23,$NM$23/$NS$23)),0)</f>
        <v/>
      </c>
      <c r="AM23" s="18">
        <f>IF(AND(36&gt;=$NQ$23,36&lt;=$NR$23),IF($NO$23="Single_Point",IF(36=$NQ$23,$NM$23,0),IF($NO$23="Bell_Curve",$NM$23*(36-$NQ$23+1)*($NR$23-36+1)/$NT$23,$NM$23/$NS$23)),0)</f>
        <v/>
      </c>
      <c r="AN23" s="18">
        <f>IF(AND(37&gt;=$NQ$23,37&lt;=$NR$23),IF($NO$23="Single_Point",IF(37=$NQ$23,$NM$23,0),IF($NO$23="Bell_Curve",$NM$23*(37-$NQ$23+1)*($NR$23-37+1)/$NT$23,$NM$23/$NS$23)),0)</f>
        <v/>
      </c>
      <c r="AO23" s="18">
        <f>IF(AND(38&gt;=$NQ$23,38&lt;=$NR$23),IF($NO$23="Single_Point",IF(38=$NQ$23,$NM$23,0),IF($NO$23="Bell_Curve",$NM$23*(38-$NQ$23+1)*($NR$23-38+1)/$NT$23,$NM$23/$NS$23)),0)</f>
        <v/>
      </c>
      <c r="AP23" s="18">
        <f>IF(AND(39&gt;=$NQ$23,39&lt;=$NR$23),IF($NO$23="Single_Point",IF(39=$NQ$23,$NM$23,0),IF($NO$23="Bell_Curve",$NM$23*(39-$NQ$23+1)*($NR$23-39+1)/$NT$23,$NM$23/$NS$23)),0)</f>
        <v/>
      </c>
      <c r="AQ23" s="18">
        <f>IF(AND(40&gt;=$NQ$23,40&lt;=$NR$23),IF($NO$23="Single_Point",IF(40=$NQ$23,$NM$23,0),IF($NO$23="Bell_Curve",$NM$23*(40-$NQ$23+1)*($NR$23-40+1)/$NT$23,$NM$23/$NS$23)),0)</f>
        <v/>
      </c>
      <c r="AR23" s="18">
        <f>IF(AND(41&gt;=$NQ$23,41&lt;=$NR$23),IF($NO$23="Single_Point",IF(41=$NQ$23,$NM$23,0),IF($NO$23="Bell_Curve",$NM$23*(41-$NQ$23+1)*($NR$23-41+1)/$NT$23,$NM$23/$NS$23)),0)</f>
        <v/>
      </c>
      <c r="AS23" s="18">
        <f>IF(AND(42&gt;=$NQ$23,42&lt;=$NR$23),IF($NO$23="Single_Point",IF(42=$NQ$23,$NM$23,0),IF($NO$23="Bell_Curve",$NM$23*(42-$NQ$23+1)*($NR$23-42+1)/$NT$23,$NM$23/$NS$23)),0)</f>
        <v/>
      </c>
      <c r="AT23" s="18">
        <f>IF(AND(43&gt;=$NQ$23,43&lt;=$NR$23),IF($NO$23="Single_Point",IF(43=$NQ$23,$NM$23,0),IF($NO$23="Bell_Curve",$NM$23*(43-$NQ$23+1)*($NR$23-43+1)/$NT$23,$NM$23/$NS$23)),0)</f>
        <v/>
      </c>
      <c r="AU23" s="18">
        <f>IF(AND(44&gt;=$NQ$23,44&lt;=$NR$23),IF($NO$23="Single_Point",IF(44=$NQ$23,$NM$23,0),IF($NO$23="Bell_Curve",$NM$23*(44-$NQ$23+1)*($NR$23-44+1)/$NT$23,$NM$23/$NS$23)),0)</f>
        <v/>
      </c>
      <c r="AV23" s="18">
        <f>IF(AND(45&gt;=$NQ$23,45&lt;=$NR$23),IF($NO$23="Single_Point",IF(45=$NQ$23,$NM$23,0),IF($NO$23="Bell_Curve",$NM$23*(45-$NQ$23+1)*($NR$23-45+1)/$NT$23,$NM$23/$NS$23)),0)</f>
        <v/>
      </c>
      <c r="AW23" s="18">
        <f>IF(AND(46&gt;=$NQ$23,46&lt;=$NR$23),IF($NO$23="Single_Point",IF(46=$NQ$23,$NM$23,0),IF($NO$23="Bell_Curve",$NM$23*(46-$NQ$23+1)*($NR$23-46+1)/$NT$23,$NM$23/$NS$23)),0)</f>
        <v/>
      </c>
      <c r="AX23" s="18">
        <f>IF(AND(47&gt;=$NQ$23,47&lt;=$NR$23),IF($NO$23="Single_Point",IF(47=$NQ$23,$NM$23,0),IF($NO$23="Bell_Curve",$NM$23*(47-$NQ$23+1)*($NR$23-47+1)/$NT$23,$NM$23/$NS$23)),0)</f>
        <v/>
      </c>
      <c r="AY23" s="18">
        <f>IF(AND(48&gt;=$NQ$23,48&lt;=$NR$23),IF($NO$23="Single_Point",IF(48=$NQ$23,$NM$23,0),IF($NO$23="Bell_Curve",$NM$23*(48-$NQ$23+1)*($NR$23-48+1)/$NT$23,$NM$23/$NS$23)),0)</f>
        <v/>
      </c>
      <c r="AZ23" s="18">
        <f>IF(AND(49&gt;=$NQ$23,49&lt;=$NR$23),IF($NO$23="Single_Point",IF(49=$NQ$23,$NM$23,0),IF($NO$23="Bell_Curve",$NM$23*(49-$NQ$23+1)*($NR$23-49+1)/$NT$23,$NM$23/$NS$23)),0)</f>
        <v/>
      </c>
      <c r="BA23" s="18">
        <f>IF(AND(50&gt;=$NQ$23,50&lt;=$NR$23),IF($NO$23="Single_Point",IF(50=$NQ$23,$NM$23,0),IF($NO$23="Bell_Curve",$NM$23*(50-$NQ$23+1)*($NR$23-50+1)/$NT$23,$NM$23/$NS$23)),0)</f>
        <v/>
      </c>
      <c r="BB23" s="18">
        <f>IF(AND(51&gt;=$NQ$23,51&lt;=$NR$23),IF($NO$23="Single_Point",IF(51=$NQ$23,$NM$23,0),IF($NO$23="Bell_Curve",$NM$23*(51-$NQ$23+1)*($NR$23-51+1)/$NT$23,$NM$23/$NS$23)),0)</f>
        <v/>
      </c>
      <c r="BC23" s="18">
        <f>IF(AND(52&gt;=$NQ$23,52&lt;=$NR$23),IF($NO$23="Single_Point",IF(52=$NQ$23,$NM$23,0),IF($NO$23="Bell_Curve",$NM$23*(52-$NQ$23+1)*($NR$23-52+1)/$NT$23,$NM$23/$NS$23)),0)</f>
        <v/>
      </c>
      <c r="BD23" s="18">
        <f>IF(AND(53&gt;=$NQ$23,53&lt;=$NR$23),IF($NO$23="Single_Point",IF(53=$NQ$23,$NM$23,0),IF($NO$23="Bell_Curve",$NM$23*(53-$NQ$23+1)*($NR$23-53+1)/$NT$23,$NM$23/$NS$23)),0)</f>
        <v/>
      </c>
      <c r="BE23" s="18">
        <f>IF(AND(54&gt;=$NQ$23,54&lt;=$NR$23),IF($NO$23="Single_Point",IF(54=$NQ$23,$NM$23,0),IF($NO$23="Bell_Curve",$NM$23*(54-$NQ$23+1)*($NR$23-54+1)/$NT$23,$NM$23/$NS$23)),0)</f>
        <v/>
      </c>
      <c r="BF23" s="18">
        <f>IF(AND(55&gt;=$NQ$23,55&lt;=$NR$23),IF($NO$23="Single_Point",IF(55=$NQ$23,$NM$23,0),IF($NO$23="Bell_Curve",$NM$23*(55-$NQ$23+1)*($NR$23-55+1)/$NT$23,$NM$23/$NS$23)),0)</f>
        <v/>
      </c>
      <c r="BG23" s="18">
        <f>IF(AND(56&gt;=$NQ$23,56&lt;=$NR$23),IF($NO$23="Single_Point",IF(56=$NQ$23,$NM$23,0),IF($NO$23="Bell_Curve",$NM$23*(56-$NQ$23+1)*($NR$23-56+1)/$NT$23,$NM$23/$NS$23)),0)</f>
        <v/>
      </c>
      <c r="BH23" s="18">
        <f>IF(AND(57&gt;=$NQ$23,57&lt;=$NR$23),IF($NO$23="Single_Point",IF(57=$NQ$23,$NM$23,0),IF($NO$23="Bell_Curve",$NM$23*(57-$NQ$23+1)*($NR$23-57+1)/$NT$23,$NM$23/$NS$23)),0)</f>
        <v/>
      </c>
      <c r="BI23" s="18">
        <f>IF(AND(58&gt;=$NQ$23,58&lt;=$NR$23),IF($NO$23="Single_Point",IF(58=$NQ$23,$NM$23,0),IF($NO$23="Bell_Curve",$NM$23*(58-$NQ$23+1)*($NR$23-58+1)/$NT$23,$NM$23/$NS$23)),0)</f>
        <v/>
      </c>
      <c r="BJ23" s="18">
        <f>IF(AND(59&gt;=$NQ$23,59&lt;=$NR$23),IF($NO$23="Single_Point",IF(59=$NQ$23,$NM$23,0),IF($NO$23="Bell_Curve",$NM$23*(59-$NQ$23+1)*($NR$23-59+1)/$NT$23,$NM$23/$NS$23)),0)</f>
        <v/>
      </c>
      <c r="BK23" s="18">
        <f>IF(AND(60&gt;=$NQ$23,60&lt;=$NR$23),IF($NO$23="Single_Point",IF(60=$NQ$23,$NM$23,0),IF($NO$23="Bell_Curve",$NM$23*(60-$NQ$23+1)*($NR$23-60+1)/$NT$23,$NM$23/$NS$23)),0)</f>
        <v/>
      </c>
      <c r="BL23" s="18">
        <f>IF(AND(61&gt;=$NQ$23,61&lt;=$NR$23),IF($NO$23="Single_Point",IF(61=$NQ$23,$NM$23,0),IF($NO$23="Bell_Curve",$NM$23*(61-$NQ$23+1)*($NR$23-61+1)/$NT$23,$NM$23/$NS$23)),0)</f>
        <v/>
      </c>
      <c r="BM23" s="18">
        <f>IF(AND(62&gt;=$NQ$23,62&lt;=$NR$23),IF($NO$23="Single_Point",IF(62=$NQ$23,$NM$23,0),IF($NO$23="Bell_Curve",$NM$23*(62-$NQ$23+1)*($NR$23-62+1)/$NT$23,$NM$23/$NS$23)),0)</f>
        <v/>
      </c>
      <c r="BN23" s="18">
        <f>IF(AND(63&gt;=$NQ$23,63&lt;=$NR$23),IF($NO$23="Single_Point",IF(63=$NQ$23,$NM$23,0),IF($NO$23="Bell_Curve",$NM$23*(63-$NQ$23+1)*($NR$23-63+1)/$NT$23,$NM$23/$NS$23)),0)</f>
        <v/>
      </c>
      <c r="BO23" s="18">
        <f>IF(AND(64&gt;=$NQ$23,64&lt;=$NR$23),IF($NO$23="Single_Point",IF(64=$NQ$23,$NM$23,0),IF($NO$23="Bell_Curve",$NM$23*(64-$NQ$23+1)*($NR$23-64+1)/$NT$23,$NM$23/$NS$23)),0)</f>
        <v/>
      </c>
      <c r="BP23" s="18">
        <f>IF(AND(65&gt;=$NQ$23,65&lt;=$NR$23),IF($NO$23="Single_Point",IF(65=$NQ$23,$NM$23,0),IF($NO$23="Bell_Curve",$NM$23*(65-$NQ$23+1)*($NR$23-65+1)/$NT$23,$NM$23/$NS$23)),0)</f>
        <v/>
      </c>
      <c r="BQ23" s="18">
        <f>IF(AND(66&gt;=$NQ$23,66&lt;=$NR$23),IF($NO$23="Single_Point",IF(66=$NQ$23,$NM$23,0),IF($NO$23="Bell_Curve",$NM$23*(66-$NQ$23+1)*($NR$23-66+1)/$NT$23,$NM$23/$NS$23)),0)</f>
        <v/>
      </c>
      <c r="BR23" s="18">
        <f>IF(AND(67&gt;=$NQ$23,67&lt;=$NR$23),IF($NO$23="Single_Point",IF(67=$NQ$23,$NM$23,0),IF($NO$23="Bell_Curve",$NM$23*(67-$NQ$23+1)*($NR$23-67+1)/$NT$23,$NM$23/$NS$23)),0)</f>
        <v/>
      </c>
      <c r="BS23" s="18">
        <f>IF(AND(68&gt;=$NQ$23,68&lt;=$NR$23),IF($NO$23="Single_Point",IF(68=$NQ$23,$NM$23,0),IF($NO$23="Bell_Curve",$NM$23*(68-$NQ$23+1)*($NR$23-68+1)/$NT$23,$NM$23/$NS$23)),0)</f>
        <v/>
      </c>
      <c r="BT23" s="18">
        <f>IF(AND(69&gt;=$NQ$23,69&lt;=$NR$23),IF($NO$23="Single_Point",IF(69=$NQ$23,$NM$23,0),IF($NO$23="Bell_Curve",$NM$23*(69-$NQ$23+1)*($NR$23-69+1)/$NT$23,$NM$23/$NS$23)),0)</f>
        <v/>
      </c>
      <c r="BU23" s="18">
        <f>IF(AND(70&gt;=$NQ$23,70&lt;=$NR$23),IF($NO$23="Single_Point",IF(70=$NQ$23,$NM$23,0),IF($NO$23="Bell_Curve",$NM$23*(70-$NQ$23+1)*($NR$23-70+1)/$NT$23,$NM$23/$NS$23)),0)</f>
        <v/>
      </c>
      <c r="BV23" s="18">
        <f>IF(AND(71&gt;=$NQ$23,71&lt;=$NR$23),IF($NO$23="Single_Point",IF(71=$NQ$23,$NM$23,0),IF($NO$23="Bell_Curve",$NM$23*(71-$NQ$23+1)*($NR$23-71+1)/$NT$23,$NM$23/$NS$23)),0)</f>
        <v/>
      </c>
      <c r="BW23" s="18">
        <f>IF(AND(72&gt;=$NQ$23,72&lt;=$NR$23),IF($NO$23="Single_Point",IF(72=$NQ$23,$NM$23,0),IF($NO$23="Bell_Curve",$NM$23*(72-$NQ$23+1)*($NR$23-72+1)/$NT$23,$NM$23/$NS$23)),0)</f>
        <v/>
      </c>
      <c r="BX23" s="18">
        <f>IF(AND(73&gt;=$NQ$23,73&lt;=$NR$23),IF($NO$23="Single_Point",IF(73=$NQ$23,$NM$23,0),IF($NO$23="Bell_Curve",$NM$23*(73-$NQ$23+1)*($NR$23-73+1)/$NT$23,$NM$23/$NS$23)),0)</f>
        <v/>
      </c>
      <c r="BY23" s="18">
        <f>IF(AND(74&gt;=$NQ$23,74&lt;=$NR$23),IF($NO$23="Single_Point",IF(74=$NQ$23,$NM$23,0),IF($NO$23="Bell_Curve",$NM$23*(74-$NQ$23+1)*($NR$23-74+1)/$NT$23,$NM$23/$NS$23)),0)</f>
        <v/>
      </c>
      <c r="BZ23" s="18">
        <f>IF(AND(75&gt;=$NQ$23,75&lt;=$NR$23),IF($NO$23="Single_Point",IF(75=$NQ$23,$NM$23,0),IF($NO$23="Bell_Curve",$NM$23*(75-$NQ$23+1)*($NR$23-75+1)/$NT$23,$NM$23/$NS$23)),0)</f>
        <v/>
      </c>
      <c r="CA23" s="18">
        <f>IF(AND(76&gt;=$NQ$23,76&lt;=$NR$23),IF($NO$23="Single_Point",IF(76=$NQ$23,$NM$23,0),IF($NO$23="Bell_Curve",$NM$23*(76-$NQ$23+1)*($NR$23-76+1)/$NT$23,$NM$23/$NS$23)),0)</f>
        <v/>
      </c>
      <c r="CB23" s="18">
        <f>IF(AND(77&gt;=$NQ$23,77&lt;=$NR$23),IF($NO$23="Single_Point",IF(77=$NQ$23,$NM$23,0),IF($NO$23="Bell_Curve",$NM$23*(77-$NQ$23+1)*($NR$23-77+1)/$NT$23,$NM$23/$NS$23)),0)</f>
        <v/>
      </c>
      <c r="CC23" s="18">
        <f>IF(AND(78&gt;=$NQ$23,78&lt;=$NR$23),IF($NO$23="Single_Point",IF(78=$NQ$23,$NM$23,0),IF($NO$23="Bell_Curve",$NM$23*(78-$NQ$23+1)*($NR$23-78+1)/$NT$23,$NM$23/$NS$23)),0)</f>
        <v/>
      </c>
      <c r="CD23" s="18">
        <f>IF(AND(79&gt;=$NQ$23,79&lt;=$NR$23),IF($NO$23="Single_Point",IF(79=$NQ$23,$NM$23,0),IF($NO$23="Bell_Curve",$NM$23*(79-$NQ$23+1)*($NR$23-79+1)/$NT$23,$NM$23/$NS$23)),0)</f>
        <v/>
      </c>
      <c r="CE23" s="18">
        <f>IF(AND(80&gt;=$NQ$23,80&lt;=$NR$23),IF($NO$23="Single_Point",IF(80=$NQ$23,$NM$23,0),IF($NO$23="Bell_Curve",$NM$23*(80-$NQ$23+1)*($NR$23-80+1)/$NT$23,$NM$23/$NS$23)),0)</f>
        <v/>
      </c>
      <c r="CF23" s="18">
        <f>IF(AND(81&gt;=$NQ$23,81&lt;=$NR$23),IF($NO$23="Single_Point",IF(81=$NQ$23,$NM$23,0),IF($NO$23="Bell_Curve",$NM$23*(81-$NQ$23+1)*($NR$23-81+1)/$NT$23,$NM$23/$NS$23)),0)</f>
        <v/>
      </c>
      <c r="CG23" s="18">
        <f>IF(AND(82&gt;=$NQ$23,82&lt;=$NR$23),IF($NO$23="Single_Point",IF(82=$NQ$23,$NM$23,0),IF($NO$23="Bell_Curve",$NM$23*(82-$NQ$23+1)*($NR$23-82+1)/$NT$23,$NM$23/$NS$23)),0)</f>
        <v/>
      </c>
      <c r="CH23" s="18">
        <f>IF(AND(83&gt;=$NQ$23,83&lt;=$NR$23),IF($NO$23="Single_Point",IF(83=$NQ$23,$NM$23,0),IF($NO$23="Bell_Curve",$NM$23*(83-$NQ$23+1)*($NR$23-83+1)/$NT$23,$NM$23/$NS$23)),0)</f>
        <v/>
      </c>
      <c r="CI23" s="18">
        <f>IF(AND(84&gt;=$NQ$23,84&lt;=$NR$23),IF($NO$23="Single_Point",IF(84=$NQ$23,$NM$23,0),IF($NO$23="Bell_Curve",$NM$23*(84-$NQ$23+1)*($NR$23-84+1)/$NT$23,$NM$23/$NS$23)),0)</f>
        <v/>
      </c>
      <c r="CJ23" s="18">
        <f>IF(AND(85&gt;=$NQ$23,85&lt;=$NR$23),IF($NO$23="Single_Point",IF(85=$NQ$23,$NM$23,0),IF($NO$23="Bell_Curve",$NM$23*(85-$NQ$23+1)*($NR$23-85+1)/$NT$23,$NM$23/$NS$23)),0)</f>
        <v/>
      </c>
      <c r="CK23" s="18">
        <f>IF(AND(86&gt;=$NQ$23,86&lt;=$NR$23),IF($NO$23="Single_Point",IF(86=$NQ$23,$NM$23,0),IF($NO$23="Bell_Curve",$NM$23*(86-$NQ$23+1)*($NR$23-86+1)/$NT$23,$NM$23/$NS$23)),0)</f>
        <v/>
      </c>
      <c r="CL23" s="18">
        <f>IF(AND(87&gt;=$NQ$23,87&lt;=$NR$23),IF($NO$23="Single_Point",IF(87=$NQ$23,$NM$23,0),IF($NO$23="Bell_Curve",$NM$23*(87-$NQ$23+1)*($NR$23-87+1)/$NT$23,$NM$23/$NS$23)),0)</f>
        <v/>
      </c>
      <c r="CM23" s="18">
        <f>IF(AND(88&gt;=$NQ$23,88&lt;=$NR$23),IF($NO$23="Single_Point",IF(88=$NQ$23,$NM$23,0),IF($NO$23="Bell_Curve",$NM$23*(88-$NQ$23+1)*($NR$23-88+1)/$NT$23,$NM$23/$NS$23)),0)</f>
        <v/>
      </c>
      <c r="CN23" s="18">
        <f>IF(AND(89&gt;=$NQ$23,89&lt;=$NR$23),IF($NO$23="Single_Point",IF(89=$NQ$23,$NM$23,0),IF($NO$23="Bell_Curve",$NM$23*(89-$NQ$23+1)*($NR$23-89+1)/$NT$23,$NM$23/$NS$23)),0)</f>
        <v/>
      </c>
      <c r="CO23" s="18">
        <f>IF(AND(90&gt;=$NQ$23,90&lt;=$NR$23),IF($NO$23="Single_Point",IF(90=$NQ$23,$NM$23,0),IF($NO$23="Bell_Curve",$NM$23*(90-$NQ$23+1)*($NR$23-90+1)/$NT$23,$NM$23/$NS$23)),0)</f>
        <v/>
      </c>
      <c r="CP23" s="18">
        <f>IF(AND(91&gt;=$NQ$23,91&lt;=$NR$23),IF($NO$23="Single_Point",IF(91=$NQ$23,$NM$23,0),IF($NO$23="Bell_Curve",$NM$23*(91-$NQ$23+1)*($NR$23-91+1)/$NT$23,$NM$23/$NS$23)),0)</f>
        <v/>
      </c>
      <c r="CQ23" s="18">
        <f>IF(AND(92&gt;=$NQ$23,92&lt;=$NR$23),IF($NO$23="Single_Point",IF(92=$NQ$23,$NM$23,0),IF($NO$23="Bell_Curve",$NM$23*(92-$NQ$23+1)*($NR$23-92+1)/$NT$23,$NM$23/$NS$23)),0)</f>
        <v/>
      </c>
      <c r="CR23" s="18">
        <f>IF(AND(93&gt;=$NQ$23,93&lt;=$NR$23),IF($NO$23="Single_Point",IF(93=$NQ$23,$NM$23,0),IF($NO$23="Bell_Curve",$NM$23*(93-$NQ$23+1)*($NR$23-93+1)/$NT$23,$NM$23/$NS$23)),0)</f>
        <v/>
      </c>
      <c r="CS23" s="18">
        <f>IF(AND(94&gt;=$NQ$23,94&lt;=$NR$23),IF($NO$23="Single_Point",IF(94=$NQ$23,$NM$23,0),IF($NO$23="Bell_Curve",$NM$23*(94-$NQ$23+1)*($NR$23-94+1)/$NT$23,$NM$23/$NS$23)),0)</f>
        <v/>
      </c>
      <c r="CT23" s="18">
        <f>IF(AND(95&gt;=$NQ$23,95&lt;=$NR$23),IF($NO$23="Single_Point",IF(95=$NQ$23,$NM$23,0),IF($NO$23="Bell_Curve",$NM$23*(95-$NQ$23+1)*($NR$23-95+1)/$NT$23,$NM$23/$NS$23)),0)</f>
        <v/>
      </c>
      <c r="CU23" s="18">
        <f>IF(AND(96&gt;=$NQ$23,96&lt;=$NR$23),IF($NO$23="Single_Point",IF(96=$NQ$23,$NM$23,0),IF($NO$23="Bell_Curve",$NM$23*(96-$NQ$23+1)*($NR$23-96+1)/$NT$23,$NM$23/$NS$23)),0)</f>
        <v/>
      </c>
      <c r="CV23" s="18">
        <f>IF(AND(97&gt;=$NQ$23,97&lt;=$NR$23),IF($NO$23="Single_Point",IF(97=$NQ$23,$NM$23,0),IF($NO$23="Bell_Curve",$NM$23*(97-$NQ$23+1)*($NR$23-97+1)/$NT$23,$NM$23/$NS$23)),0)</f>
        <v/>
      </c>
      <c r="CW23" s="18">
        <f>IF(AND(98&gt;=$NQ$23,98&lt;=$NR$23),IF($NO$23="Single_Point",IF(98=$NQ$23,$NM$23,0),IF($NO$23="Bell_Curve",$NM$23*(98-$NQ$23+1)*($NR$23-98+1)/$NT$23,$NM$23/$NS$23)),0)</f>
        <v/>
      </c>
      <c r="CX23" s="18">
        <f>IF(AND(99&gt;=$NQ$23,99&lt;=$NR$23),IF($NO$23="Single_Point",IF(99=$NQ$23,$NM$23,0),IF($NO$23="Bell_Curve",$NM$23*(99-$NQ$23+1)*($NR$23-99+1)/$NT$23,$NM$23/$NS$23)),0)</f>
        <v/>
      </c>
      <c r="CY23" s="18">
        <f>IF(AND(100&gt;=$NQ$23,100&lt;=$NR$23),IF($NO$23="Single_Point",IF(100=$NQ$23,$NM$23,0),IF($NO$23="Bell_Curve",$NM$23*(100-$NQ$23+1)*($NR$23-100+1)/$NT$23,$NM$23/$NS$23)),0)</f>
        <v/>
      </c>
      <c r="CZ23" s="18">
        <f>IF(AND(101&gt;=$NQ$23,101&lt;=$NR$23),IF($NO$23="Single_Point",IF(101=$NQ$23,$NM$23,0),IF($NO$23="Bell_Curve",$NM$23*(101-$NQ$23+1)*($NR$23-101+1)/$NT$23,$NM$23/$NS$23)),0)</f>
        <v/>
      </c>
      <c r="DA23" s="18">
        <f>IF(AND(102&gt;=$NQ$23,102&lt;=$NR$23),IF($NO$23="Single_Point",IF(102=$NQ$23,$NM$23,0),IF($NO$23="Bell_Curve",$NM$23*(102-$NQ$23+1)*($NR$23-102+1)/$NT$23,$NM$23/$NS$23)),0)</f>
        <v/>
      </c>
      <c r="DB23" s="18">
        <f>IF(AND(103&gt;=$NQ$23,103&lt;=$NR$23),IF($NO$23="Single_Point",IF(103=$NQ$23,$NM$23,0),IF($NO$23="Bell_Curve",$NM$23*(103-$NQ$23+1)*($NR$23-103+1)/$NT$23,$NM$23/$NS$23)),0)</f>
        <v/>
      </c>
      <c r="DC23" s="18">
        <f>IF(AND(104&gt;=$NQ$23,104&lt;=$NR$23),IF($NO$23="Single_Point",IF(104=$NQ$23,$NM$23,0),IF($NO$23="Bell_Curve",$NM$23*(104-$NQ$23+1)*($NR$23-104+1)/$NT$23,$NM$23/$NS$23)),0)</f>
        <v/>
      </c>
      <c r="DD23" s="18">
        <f>IF(AND(105&gt;=$NQ$23,105&lt;=$NR$23),IF($NO$23="Single_Point",IF(105=$NQ$23,$NM$23,0),IF($NO$23="Bell_Curve",$NM$23*(105-$NQ$23+1)*($NR$23-105+1)/$NT$23,$NM$23/$NS$23)),0)</f>
        <v/>
      </c>
      <c r="DE23" s="18">
        <f>IF(AND(106&gt;=$NQ$23,106&lt;=$NR$23),IF($NO$23="Single_Point",IF(106=$NQ$23,$NM$23,0),IF($NO$23="Bell_Curve",$NM$23*(106-$NQ$23+1)*($NR$23-106+1)/$NT$23,$NM$23/$NS$23)),0)</f>
        <v/>
      </c>
      <c r="DF23" s="18">
        <f>IF(AND(107&gt;=$NQ$23,107&lt;=$NR$23),IF($NO$23="Single_Point",IF(107=$NQ$23,$NM$23,0),IF($NO$23="Bell_Curve",$NM$23*(107-$NQ$23+1)*($NR$23-107+1)/$NT$23,$NM$23/$NS$23)),0)</f>
        <v/>
      </c>
      <c r="DG23" s="18">
        <f>IF(AND(108&gt;=$NQ$23,108&lt;=$NR$23),IF($NO$23="Single_Point",IF(108=$NQ$23,$NM$23,0),IF($NO$23="Bell_Curve",$NM$23*(108-$NQ$23+1)*($NR$23-108+1)/$NT$23,$NM$23/$NS$23)),0)</f>
        <v/>
      </c>
      <c r="DH23" s="18">
        <f>IF(AND(109&gt;=$NQ$23,109&lt;=$NR$23),IF($NO$23="Single_Point",IF(109=$NQ$23,$NM$23,0),IF($NO$23="Bell_Curve",$NM$23*(109-$NQ$23+1)*($NR$23-109+1)/$NT$23,$NM$23/$NS$23)),0)</f>
        <v/>
      </c>
      <c r="DI23" s="18">
        <f>IF(AND(110&gt;=$NQ$23,110&lt;=$NR$23),IF($NO$23="Single_Point",IF(110=$NQ$23,$NM$23,0),IF($NO$23="Bell_Curve",$NM$23*(110-$NQ$23+1)*($NR$23-110+1)/$NT$23,$NM$23/$NS$23)),0)</f>
        <v/>
      </c>
      <c r="DJ23" s="18">
        <f>IF(AND(111&gt;=$NQ$23,111&lt;=$NR$23),IF($NO$23="Single_Point",IF(111=$NQ$23,$NM$23,0),IF($NO$23="Bell_Curve",$NM$23*(111-$NQ$23+1)*($NR$23-111+1)/$NT$23,$NM$23/$NS$23)),0)</f>
        <v/>
      </c>
      <c r="DK23" s="18">
        <f>IF(AND(112&gt;=$NQ$23,112&lt;=$NR$23),IF($NO$23="Single_Point",IF(112=$NQ$23,$NM$23,0),IF($NO$23="Bell_Curve",$NM$23*(112-$NQ$23+1)*($NR$23-112+1)/$NT$23,$NM$23/$NS$23)),0)</f>
        <v/>
      </c>
      <c r="DL23" s="18">
        <f>IF(AND(113&gt;=$NQ$23,113&lt;=$NR$23),IF($NO$23="Single_Point",IF(113=$NQ$23,$NM$23,0),IF($NO$23="Bell_Curve",$NM$23*(113-$NQ$23+1)*($NR$23-113+1)/$NT$23,$NM$23/$NS$23)),0)</f>
        <v/>
      </c>
      <c r="DM23" s="18">
        <f>IF(AND(114&gt;=$NQ$23,114&lt;=$NR$23),IF($NO$23="Single_Point",IF(114=$NQ$23,$NM$23,0),IF($NO$23="Bell_Curve",$NM$23*(114-$NQ$23+1)*($NR$23-114+1)/$NT$23,$NM$23/$NS$23)),0)</f>
        <v/>
      </c>
      <c r="DN23" s="18">
        <f>IF(AND(115&gt;=$NQ$23,115&lt;=$NR$23),IF($NO$23="Single_Point",IF(115=$NQ$23,$NM$23,0),IF($NO$23="Bell_Curve",$NM$23*(115-$NQ$23+1)*($NR$23-115+1)/$NT$23,$NM$23/$NS$23)),0)</f>
        <v/>
      </c>
      <c r="DO23" s="18">
        <f>IF(AND(116&gt;=$NQ$23,116&lt;=$NR$23),IF($NO$23="Single_Point",IF(116=$NQ$23,$NM$23,0),IF($NO$23="Bell_Curve",$NM$23*(116-$NQ$23+1)*($NR$23-116+1)/$NT$23,$NM$23/$NS$23)),0)</f>
        <v/>
      </c>
      <c r="DP23" s="18">
        <f>IF(AND(117&gt;=$NQ$23,117&lt;=$NR$23),IF($NO$23="Single_Point",IF(117=$NQ$23,$NM$23,0),IF($NO$23="Bell_Curve",$NM$23*(117-$NQ$23+1)*($NR$23-117+1)/$NT$23,$NM$23/$NS$23)),0)</f>
        <v/>
      </c>
      <c r="DQ23" s="18">
        <f>IF(AND(118&gt;=$NQ$23,118&lt;=$NR$23),IF($NO$23="Single_Point",IF(118=$NQ$23,$NM$23,0),IF($NO$23="Bell_Curve",$NM$23*(118-$NQ$23+1)*($NR$23-118+1)/$NT$23,$NM$23/$NS$23)),0)</f>
        <v/>
      </c>
      <c r="DR23" s="18">
        <f>IF(AND(119&gt;=$NQ$23,119&lt;=$NR$23),IF($NO$23="Single_Point",IF(119=$NQ$23,$NM$23,0),IF($NO$23="Bell_Curve",$NM$23*(119-$NQ$23+1)*($NR$23-119+1)/$NT$23,$NM$23/$NS$23)),0)</f>
        <v/>
      </c>
      <c r="DS23" s="18">
        <f>IF(AND(120&gt;=$NQ$23,120&lt;=$NR$23),IF($NO$23="Single_Point",IF(120=$NQ$23,$NM$23,0),IF($NO$23="Bell_Curve",$NM$23*(120-$NQ$23+1)*($NR$23-120+1)/$NT$23,$NM$23/$NS$23)),0)</f>
        <v/>
      </c>
      <c r="DT23" s="18">
        <f>IF(AND(121&gt;=$NQ$23,121&lt;=$NR$23),IF($NO$23="Single_Point",IF(121=$NQ$23,$NM$23,0),IF($NO$23="Bell_Curve",$NM$23*(121-$NQ$23+1)*($NR$23-121+1)/$NT$23,$NM$23/$NS$23)),0)</f>
        <v/>
      </c>
      <c r="DU23" s="18">
        <f>IF(AND(122&gt;=$NQ$23,122&lt;=$NR$23),IF($NO$23="Single_Point",IF(122=$NQ$23,$NM$23,0),IF($NO$23="Bell_Curve",$NM$23*(122-$NQ$23+1)*($NR$23-122+1)/$NT$23,$NM$23/$NS$23)),0)</f>
        <v/>
      </c>
      <c r="DV23" s="18">
        <f>IF(AND(123&gt;=$NQ$23,123&lt;=$NR$23),IF($NO$23="Single_Point",IF(123=$NQ$23,$NM$23,0),IF($NO$23="Bell_Curve",$NM$23*(123-$NQ$23+1)*($NR$23-123+1)/$NT$23,$NM$23/$NS$23)),0)</f>
        <v/>
      </c>
      <c r="DW23" s="18">
        <f>IF(AND(124&gt;=$NQ$23,124&lt;=$NR$23),IF($NO$23="Single_Point",IF(124=$NQ$23,$NM$23,0),IF($NO$23="Bell_Curve",$NM$23*(124-$NQ$23+1)*($NR$23-124+1)/$NT$23,$NM$23/$NS$23)),0)</f>
        <v/>
      </c>
      <c r="DX23" s="18">
        <f>IF(AND(125&gt;=$NQ$23,125&lt;=$NR$23),IF($NO$23="Single_Point",IF(125=$NQ$23,$NM$23,0),IF($NO$23="Bell_Curve",$NM$23*(125-$NQ$23+1)*($NR$23-125+1)/$NT$23,$NM$23/$NS$23)),0)</f>
        <v/>
      </c>
      <c r="DY23" s="18">
        <f>IF(AND(126&gt;=$NQ$23,126&lt;=$NR$23),IF($NO$23="Single_Point",IF(126=$NQ$23,$NM$23,0),IF($NO$23="Bell_Curve",$NM$23*(126-$NQ$23+1)*($NR$23-126+1)/$NT$23,$NM$23/$NS$23)),0)</f>
        <v/>
      </c>
      <c r="DZ23" s="18">
        <f>IF(AND(127&gt;=$NQ$23,127&lt;=$NR$23),IF($NO$23="Single_Point",IF(127=$NQ$23,$NM$23,0),IF($NO$23="Bell_Curve",$NM$23*(127-$NQ$23+1)*($NR$23-127+1)/$NT$23,$NM$23/$NS$23)),0)</f>
        <v/>
      </c>
      <c r="EA23" s="18">
        <f>IF(AND(128&gt;=$NQ$23,128&lt;=$NR$23),IF($NO$23="Single_Point",IF(128=$NQ$23,$NM$23,0),IF($NO$23="Bell_Curve",$NM$23*(128-$NQ$23+1)*($NR$23-128+1)/$NT$23,$NM$23/$NS$23)),0)</f>
        <v/>
      </c>
      <c r="EB23" s="18">
        <f>IF(AND(129&gt;=$NQ$23,129&lt;=$NR$23),IF($NO$23="Single_Point",IF(129=$NQ$23,$NM$23,0),IF($NO$23="Bell_Curve",$NM$23*(129-$NQ$23+1)*($NR$23-129+1)/$NT$23,$NM$23/$NS$23)),0)</f>
        <v/>
      </c>
      <c r="EC23" s="18">
        <f>IF(AND(130&gt;=$NQ$23,130&lt;=$NR$23),IF($NO$23="Single_Point",IF(130=$NQ$23,$NM$23,0),IF($NO$23="Bell_Curve",$NM$23*(130-$NQ$23+1)*($NR$23-130+1)/$NT$23,$NM$23/$NS$23)),0)</f>
        <v/>
      </c>
      <c r="ED23" s="18">
        <f>IF(AND(131&gt;=$NQ$23,131&lt;=$NR$23),IF($NO$23="Single_Point",IF(131=$NQ$23,$NM$23,0),IF($NO$23="Bell_Curve",$NM$23*(131-$NQ$23+1)*($NR$23-131+1)/$NT$23,$NM$23/$NS$23)),0)</f>
        <v/>
      </c>
      <c r="EE23" s="18">
        <f>IF(AND(132&gt;=$NQ$23,132&lt;=$NR$23),IF($NO$23="Single_Point",IF(132=$NQ$23,$NM$23,0),IF($NO$23="Bell_Curve",$NM$23*(132-$NQ$23+1)*($NR$23-132+1)/$NT$23,$NM$23/$NS$23)),0)</f>
        <v/>
      </c>
      <c r="EF23" s="18">
        <f>IF(AND(133&gt;=$NQ$23,133&lt;=$NR$23),IF($NO$23="Single_Point",IF(133=$NQ$23,$NM$23,0),IF($NO$23="Bell_Curve",$NM$23*(133-$NQ$23+1)*($NR$23-133+1)/$NT$23,$NM$23/$NS$23)),0)</f>
        <v/>
      </c>
      <c r="EG23" s="18">
        <f>IF(AND(134&gt;=$NQ$23,134&lt;=$NR$23),IF($NO$23="Single_Point",IF(134=$NQ$23,$NM$23,0),IF($NO$23="Bell_Curve",$NM$23*(134-$NQ$23+1)*($NR$23-134+1)/$NT$23,$NM$23/$NS$23)),0)</f>
        <v/>
      </c>
      <c r="EH23" s="18">
        <f>IF(AND(135&gt;=$NQ$23,135&lt;=$NR$23),IF($NO$23="Single_Point",IF(135=$NQ$23,$NM$23,0),IF($NO$23="Bell_Curve",$NM$23*(135-$NQ$23+1)*($NR$23-135+1)/$NT$23,$NM$23/$NS$23)),0)</f>
        <v/>
      </c>
      <c r="EI23" s="18">
        <f>IF(AND(136&gt;=$NQ$23,136&lt;=$NR$23),IF($NO$23="Single_Point",IF(136=$NQ$23,$NM$23,0),IF($NO$23="Bell_Curve",$NM$23*(136-$NQ$23+1)*($NR$23-136+1)/$NT$23,$NM$23/$NS$23)),0)</f>
        <v/>
      </c>
      <c r="EJ23" s="18">
        <f>IF(AND(137&gt;=$NQ$23,137&lt;=$NR$23),IF($NO$23="Single_Point",IF(137=$NQ$23,$NM$23,0),IF($NO$23="Bell_Curve",$NM$23*(137-$NQ$23+1)*($NR$23-137+1)/$NT$23,$NM$23/$NS$23)),0)</f>
        <v/>
      </c>
      <c r="EK23" s="18">
        <f>IF(AND(138&gt;=$NQ$23,138&lt;=$NR$23),IF($NO$23="Single_Point",IF(138=$NQ$23,$NM$23,0),IF($NO$23="Bell_Curve",$NM$23*(138-$NQ$23+1)*($NR$23-138+1)/$NT$23,$NM$23/$NS$23)),0)</f>
        <v/>
      </c>
      <c r="EL23" s="18">
        <f>IF(AND(139&gt;=$NQ$23,139&lt;=$NR$23),IF($NO$23="Single_Point",IF(139=$NQ$23,$NM$23,0),IF($NO$23="Bell_Curve",$NM$23*(139-$NQ$23+1)*($NR$23-139+1)/$NT$23,$NM$23/$NS$23)),0)</f>
        <v/>
      </c>
      <c r="EM23" s="18">
        <f>IF(AND(140&gt;=$NQ$23,140&lt;=$NR$23),IF($NO$23="Single_Point",IF(140=$NQ$23,$NM$23,0),IF($NO$23="Bell_Curve",$NM$23*(140-$NQ$23+1)*($NR$23-140+1)/$NT$23,$NM$23/$NS$23)),0)</f>
        <v/>
      </c>
      <c r="EN23" s="18">
        <f>IF(AND(141&gt;=$NQ$23,141&lt;=$NR$23),IF($NO$23="Single_Point",IF(141=$NQ$23,$NM$23,0),IF($NO$23="Bell_Curve",$NM$23*(141-$NQ$23+1)*($NR$23-141+1)/$NT$23,$NM$23/$NS$23)),0)</f>
        <v/>
      </c>
      <c r="EO23" s="18">
        <f>IF(AND(142&gt;=$NQ$23,142&lt;=$NR$23),IF($NO$23="Single_Point",IF(142=$NQ$23,$NM$23,0),IF($NO$23="Bell_Curve",$NM$23*(142-$NQ$23+1)*($NR$23-142+1)/$NT$23,$NM$23/$NS$23)),0)</f>
        <v/>
      </c>
      <c r="EP23" s="18">
        <f>IF(AND(143&gt;=$NQ$23,143&lt;=$NR$23),IF($NO$23="Single_Point",IF(143=$NQ$23,$NM$23,0),IF($NO$23="Bell_Curve",$NM$23*(143-$NQ$23+1)*($NR$23-143+1)/$NT$23,$NM$23/$NS$23)),0)</f>
        <v/>
      </c>
      <c r="EQ23" s="18">
        <f>IF(AND(144&gt;=$NQ$23,144&lt;=$NR$23),IF($NO$23="Single_Point",IF(144=$NQ$23,$NM$23,0),IF($NO$23="Bell_Curve",$NM$23*(144-$NQ$23+1)*($NR$23-144+1)/$NT$23,$NM$23/$NS$23)),0)</f>
        <v/>
      </c>
      <c r="ER23" s="18">
        <f>IF(AND(145&gt;=$NQ$23,145&lt;=$NR$23),IF($NO$23="Single_Point",IF(145=$NQ$23,$NM$23,0),IF($NO$23="Bell_Curve",$NM$23*(145-$NQ$23+1)*($NR$23-145+1)/$NT$23,$NM$23/$NS$23)),0)</f>
        <v/>
      </c>
      <c r="ES23" s="18">
        <f>IF(AND(146&gt;=$NQ$23,146&lt;=$NR$23),IF($NO$23="Single_Point",IF(146=$NQ$23,$NM$23,0),IF($NO$23="Bell_Curve",$NM$23*(146-$NQ$23+1)*($NR$23-146+1)/$NT$23,$NM$23/$NS$23)),0)</f>
        <v/>
      </c>
      <c r="ET23" s="18">
        <f>IF(AND(147&gt;=$NQ$23,147&lt;=$NR$23),IF($NO$23="Single_Point",IF(147=$NQ$23,$NM$23,0),IF($NO$23="Bell_Curve",$NM$23*(147-$NQ$23+1)*($NR$23-147+1)/$NT$23,$NM$23/$NS$23)),0)</f>
        <v/>
      </c>
      <c r="EU23" s="18">
        <f>IF(AND(148&gt;=$NQ$23,148&lt;=$NR$23),IF($NO$23="Single_Point",IF(148=$NQ$23,$NM$23,0),IF($NO$23="Bell_Curve",$NM$23*(148-$NQ$23+1)*($NR$23-148+1)/$NT$23,$NM$23/$NS$23)),0)</f>
        <v/>
      </c>
      <c r="EV23" s="18">
        <f>IF(AND(149&gt;=$NQ$23,149&lt;=$NR$23),IF($NO$23="Single_Point",IF(149=$NQ$23,$NM$23,0),IF($NO$23="Bell_Curve",$NM$23*(149-$NQ$23+1)*($NR$23-149+1)/$NT$23,$NM$23/$NS$23)),0)</f>
        <v/>
      </c>
      <c r="EW23" s="18">
        <f>IF(AND(150&gt;=$NQ$23,150&lt;=$NR$23),IF($NO$23="Single_Point",IF(150=$NQ$23,$NM$23,0),IF($NO$23="Bell_Curve",$NM$23*(150-$NQ$23+1)*($NR$23-150+1)/$NT$23,$NM$23/$NS$23)),0)</f>
        <v/>
      </c>
      <c r="EX23" s="18">
        <f>IF(AND(151&gt;=$NQ$23,151&lt;=$NR$23),IF($NO$23="Single_Point",IF(151=$NQ$23,$NM$23,0),IF($NO$23="Bell_Curve",$NM$23*(151-$NQ$23+1)*($NR$23-151+1)/$NT$23,$NM$23/$NS$23)),0)</f>
        <v/>
      </c>
      <c r="EY23" s="18">
        <f>IF(AND(152&gt;=$NQ$23,152&lt;=$NR$23),IF($NO$23="Single_Point",IF(152=$NQ$23,$NM$23,0),IF($NO$23="Bell_Curve",$NM$23*(152-$NQ$23+1)*($NR$23-152+1)/$NT$23,$NM$23/$NS$23)),0)</f>
        <v/>
      </c>
      <c r="EZ23" s="18">
        <f>IF(AND(153&gt;=$NQ$23,153&lt;=$NR$23),IF($NO$23="Single_Point",IF(153=$NQ$23,$NM$23,0),IF($NO$23="Bell_Curve",$NM$23*(153-$NQ$23+1)*($NR$23-153+1)/$NT$23,$NM$23/$NS$23)),0)</f>
        <v/>
      </c>
      <c r="FA23" s="18">
        <f>IF(AND(154&gt;=$NQ$23,154&lt;=$NR$23),IF($NO$23="Single_Point",IF(154=$NQ$23,$NM$23,0),IF($NO$23="Bell_Curve",$NM$23*(154-$NQ$23+1)*($NR$23-154+1)/$NT$23,$NM$23/$NS$23)),0)</f>
        <v/>
      </c>
      <c r="FB23" s="18">
        <f>IF(AND(155&gt;=$NQ$23,155&lt;=$NR$23),IF($NO$23="Single_Point",IF(155=$NQ$23,$NM$23,0),IF($NO$23="Bell_Curve",$NM$23*(155-$NQ$23+1)*($NR$23-155+1)/$NT$23,$NM$23/$NS$23)),0)</f>
        <v/>
      </c>
      <c r="FC23" s="18">
        <f>IF(AND(156&gt;=$NQ$23,156&lt;=$NR$23),IF($NO$23="Single_Point",IF(156=$NQ$23,$NM$23,0),IF($NO$23="Bell_Curve",$NM$23*(156-$NQ$23+1)*($NR$23-156+1)/$NT$23,$NM$23/$NS$23)),0)</f>
        <v/>
      </c>
      <c r="FD23" s="18">
        <f>IF(AND(157&gt;=$NQ$23,157&lt;=$NR$23),IF($NO$23="Single_Point",IF(157=$NQ$23,$NM$23,0),IF($NO$23="Bell_Curve",$NM$23*(157-$NQ$23+1)*($NR$23-157+1)/$NT$23,$NM$23/$NS$23)),0)</f>
        <v/>
      </c>
      <c r="FE23" s="18">
        <f>IF(AND(158&gt;=$NQ$23,158&lt;=$NR$23),IF($NO$23="Single_Point",IF(158=$NQ$23,$NM$23,0),IF($NO$23="Bell_Curve",$NM$23*(158-$NQ$23+1)*($NR$23-158+1)/$NT$23,$NM$23/$NS$23)),0)</f>
        <v/>
      </c>
      <c r="FF23" s="18">
        <f>IF(AND(159&gt;=$NQ$23,159&lt;=$NR$23),IF($NO$23="Single_Point",IF(159=$NQ$23,$NM$23,0),IF($NO$23="Bell_Curve",$NM$23*(159-$NQ$23+1)*($NR$23-159+1)/$NT$23,$NM$23/$NS$23)),0)</f>
        <v/>
      </c>
      <c r="FG23" s="18">
        <f>IF(AND(160&gt;=$NQ$23,160&lt;=$NR$23),IF($NO$23="Single_Point",IF(160=$NQ$23,$NM$23,0),IF($NO$23="Bell_Curve",$NM$23*(160-$NQ$23+1)*($NR$23-160+1)/$NT$23,$NM$23/$NS$23)),0)</f>
        <v/>
      </c>
      <c r="FH23" s="18">
        <f>IF(AND(161&gt;=$NQ$23,161&lt;=$NR$23),IF($NO$23="Single_Point",IF(161=$NQ$23,$NM$23,0),IF($NO$23="Bell_Curve",$NM$23*(161-$NQ$23+1)*($NR$23-161+1)/$NT$23,$NM$23/$NS$23)),0)</f>
        <v/>
      </c>
      <c r="FI23" s="18">
        <f>IF(AND(162&gt;=$NQ$23,162&lt;=$NR$23),IF($NO$23="Single_Point",IF(162=$NQ$23,$NM$23,0),IF($NO$23="Bell_Curve",$NM$23*(162-$NQ$23+1)*($NR$23-162+1)/$NT$23,$NM$23/$NS$23)),0)</f>
        <v/>
      </c>
      <c r="FJ23" s="18">
        <f>IF(AND(163&gt;=$NQ$23,163&lt;=$NR$23),IF($NO$23="Single_Point",IF(163=$NQ$23,$NM$23,0),IF($NO$23="Bell_Curve",$NM$23*(163-$NQ$23+1)*($NR$23-163+1)/$NT$23,$NM$23/$NS$23)),0)</f>
        <v/>
      </c>
      <c r="FK23" s="18">
        <f>IF(AND(164&gt;=$NQ$23,164&lt;=$NR$23),IF($NO$23="Single_Point",IF(164=$NQ$23,$NM$23,0),IF($NO$23="Bell_Curve",$NM$23*(164-$NQ$23+1)*($NR$23-164+1)/$NT$23,$NM$23/$NS$23)),0)</f>
        <v/>
      </c>
      <c r="FL23" s="18">
        <f>IF(AND(165&gt;=$NQ$23,165&lt;=$NR$23),IF($NO$23="Single_Point",IF(165=$NQ$23,$NM$23,0),IF($NO$23="Bell_Curve",$NM$23*(165-$NQ$23+1)*($NR$23-165+1)/$NT$23,$NM$23/$NS$23)),0)</f>
        <v/>
      </c>
      <c r="FM23" s="18">
        <f>IF(AND(166&gt;=$NQ$23,166&lt;=$NR$23),IF($NO$23="Single_Point",IF(166=$NQ$23,$NM$23,0),IF($NO$23="Bell_Curve",$NM$23*(166-$NQ$23+1)*($NR$23-166+1)/$NT$23,$NM$23/$NS$23)),0)</f>
        <v/>
      </c>
      <c r="FN23" s="18">
        <f>IF(AND(167&gt;=$NQ$23,167&lt;=$NR$23),IF($NO$23="Single_Point",IF(167=$NQ$23,$NM$23,0),IF($NO$23="Bell_Curve",$NM$23*(167-$NQ$23+1)*($NR$23-167+1)/$NT$23,$NM$23/$NS$23)),0)</f>
        <v/>
      </c>
      <c r="FO23" s="18">
        <f>IF(AND(168&gt;=$NQ$23,168&lt;=$NR$23),IF($NO$23="Single_Point",IF(168=$NQ$23,$NM$23,0),IF($NO$23="Bell_Curve",$NM$23*(168-$NQ$23+1)*($NR$23-168+1)/$NT$23,$NM$23/$NS$23)),0)</f>
        <v/>
      </c>
      <c r="FP23" s="18">
        <f>IF(AND(169&gt;=$NQ$23,169&lt;=$NR$23),IF($NO$23="Single_Point",IF(169=$NQ$23,$NM$23,0),IF($NO$23="Bell_Curve",$NM$23*(169-$NQ$23+1)*($NR$23-169+1)/$NT$23,$NM$23/$NS$23)),0)</f>
        <v/>
      </c>
      <c r="FQ23" s="18">
        <f>IF(AND(170&gt;=$NQ$23,170&lt;=$NR$23),IF($NO$23="Single_Point",IF(170=$NQ$23,$NM$23,0),IF($NO$23="Bell_Curve",$NM$23*(170-$NQ$23+1)*($NR$23-170+1)/$NT$23,$NM$23/$NS$23)),0)</f>
        <v/>
      </c>
      <c r="FR23" s="18">
        <f>IF(AND(171&gt;=$NQ$23,171&lt;=$NR$23),IF($NO$23="Single_Point",IF(171=$NQ$23,$NM$23,0),IF($NO$23="Bell_Curve",$NM$23*(171-$NQ$23+1)*($NR$23-171+1)/$NT$23,$NM$23/$NS$23)),0)</f>
        <v/>
      </c>
      <c r="FS23" s="18">
        <f>IF(AND(172&gt;=$NQ$23,172&lt;=$NR$23),IF($NO$23="Single_Point",IF(172=$NQ$23,$NM$23,0),IF($NO$23="Bell_Curve",$NM$23*(172-$NQ$23+1)*($NR$23-172+1)/$NT$23,$NM$23/$NS$23)),0)</f>
        <v/>
      </c>
      <c r="FT23" s="18">
        <f>IF(AND(173&gt;=$NQ$23,173&lt;=$NR$23),IF($NO$23="Single_Point",IF(173=$NQ$23,$NM$23,0),IF($NO$23="Bell_Curve",$NM$23*(173-$NQ$23+1)*($NR$23-173+1)/$NT$23,$NM$23/$NS$23)),0)</f>
        <v/>
      </c>
      <c r="FU23" s="18">
        <f>IF(AND(174&gt;=$NQ$23,174&lt;=$NR$23),IF($NO$23="Single_Point",IF(174=$NQ$23,$NM$23,0),IF($NO$23="Bell_Curve",$NM$23*(174-$NQ$23+1)*($NR$23-174+1)/$NT$23,$NM$23/$NS$23)),0)</f>
        <v/>
      </c>
      <c r="FV23" s="18">
        <f>IF(AND(175&gt;=$NQ$23,175&lt;=$NR$23),IF($NO$23="Single_Point",IF(175=$NQ$23,$NM$23,0),IF($NO$23="Bell_Curve",$NM$23*(175-$NQ$23+1)*($NR$23-175+1)/$NT$23,$NM$23/$NS$23)),0)</f>
        <v/>
      </c>
      <c r="FW23" s="18">
        <f>IF(AND(176&gt;=$NQ$23,176&lt;=$NR$23),IF($NO$23="Single_Point",IF(176=$NQ$23,$NM$23,0),IF($NO$23="Bell_Curve",$NM$23*(176-$NQ$23+1)*($NR$23-176+1)/$NT$23,$NM$23/$NS$23)),0)</f>
        <v/>
      </c>
      <c r="FX23" s="18">
        <f>IF(AND(177&gt;=$NQ$23,177&lt;=$NR$23),IF($NO$23="Single_Point",IF(177=$NQ$23,$NM$23,0),IF($NO$23="Bell_Curve",$NM$23*(177-$NQ$23+1)*($NR$23-177+1)/$NT$23,$NM$23/$NS$23)),0)</f>
        <v/>
      </c>
      <c r="FY23" s="18">
        <f>IF(AND(178&gt;=$NQ$23,178&lt;=$NR$23),IF($NO$23="Single_Point",IF(178=$NQ$23,$NM$23,0),IF($NO$23="Bell_Curve",$NM$23*(178-$NQ$23+1)*($NR$23-178+1)/$NT$23,$NM$23/$NS$23)),0)</f>
        <v/>
      </c>
      <c r="FZ23" s="18">
        <f>IF(AND(179&gt;=$NQ$23,179&lt;=$NR$23),IF($NO$23="Single_Point",IF(179=$NQ$23,$NM$23,0),IF($NO$23="Bell_Curve",$NM$23*(179-$NQ$23+1)*($NR$23-179+1)/$NT$23,$NM$23/$NS$23)),0)</f>
        <v/>
      </c>
      <c r="GA23" s="18">
        <f>IF(AND(180&gt;=$NQ$23,180&lt;=$NR$23),IF($NO$23="Single_Point",IF(180=$NQ$23,$NM$23,0),IF($NO$23="Bell_Curve",$NM$23*(180-$NQ$23+1)*($NR$23-180+1)/$NT$23,$NM$23/$NS$23)),0)</f>
        <v/>
      </c>
      <c r="GB23" s="18">
        <f>IF(AND(181&gt;=$NQ$23,181&lt;=$NR$23),IF($NO$23="Single_Point",IF(181=$NQ$23,$NM$23,0),IF($NO$23="Bell_Curve",$NM$23*(181-$NQ$23+1)*($NR$23-181+1)/$NT$23,$NM$23/$NS$23)),0)</f>
        <v/>
      </c>
      <c r="GC23" s="18">
        <f>IF(AND(182&gt;=$NQ$23,182&lt;=$NR$23),IF($NO$23="Single_Point",IF(182=$NQ$23,$NM$23,0),IF($NO$23="Bell_Curve",$NM$23*(182-$NQ$23+1)*($NR$23-182+1)/$NT$23,$NM$23/$NS$23)),0)</f>
        <v/>
      </c>
      <c r="GD23" s="18">
        <f>IF(AND(183&gt;=$NQ$23,183&lt;=$NR$23),IF($NO$23="Single_Point",IF(183=$NQ$23,$NM$23,0),IF($NO$23="Bell_Curve",$NM$23*(183-$NQ$23+1)*($NR$23-183+1)/$NT$23,$NM$23/$NS$23)),0)</f>
        <v/>
      </c>
      <c r="GE23" s="18">
        <f>IF(AND(184&gt;=$NQ$23,184&lt;=$NR$23),IF($NO$23="Single_Point",IF(184=$NQ$23,$NM$23,0),IF($NO$23="Bell_Curve",$NM$23*(184-$NQ$23+1)*($NR$23-184+1)/$NT$23,$NM$23/$NS$23)),0)</f>
        <v/>
      </c>
      <c r="GF23" s="18">
        <f>IF(AND(185&gt;=$NQ$23,185&lt;=$NR$23),IF($NO$23="Single_Point",IF(185=$NQ$23,$NM$23,0),IF($NO$23="Bell_Curve",$NM$23*(185-$NQ$23+1)*($NR$23-185+1)/$NT$23,$NM$23/$NS$23)),0)</f>
        <v/>
      </c>
      <c r="GG23" s="18">
        <f>IF(AND(186&gt;=$NQ$23,186&lt;=$NR$23),IF($NO$23="Single_Point",IF(186=$NQ$23,$NM$23,0),IF($NO$23="Bell_Curve",$NM$23*(186-$NQ$23+1)*($NR$23-186+1)/$NT$23,$NM$23/$NS$23)),0)</f>
        <v/>
      </c>
      <c r="GH23" s="18">
        <f>IF(AND(187&gt;=$NQ$23,187&lt;=$NR$23),IF($NO$23="Single_Point",IF(187=$NQ$23,$NM$23,0),IF($NO$23="Bell_Curve",$NM$23*(187-$NQ$23+1)*($NR$23-187+1)/$NT$23,$NM$23/$NS$23)),0)</f>
        <v/>
      </c>
      <c r="GI23" s="18">
        <f>IF(AND(188&gt;=$NQ$23,188&lt;=$NR$23),IF($NO$23="Single_Point",IF(188=$NQ$23,$NM$23,0),IF($NO$23="Bell_Curve",$NM$23*(188-$NQ$23+1)*($NR$23-188+1)/$NT$23,$NM$23/$NS$23)),0)</f>
        <v/>
      </c>
      <c r="GJ23" s="18">
        <f>IF(AND(189&gt;=$NQ$23,189&lt;=$NR$23),IF($NO$23="Single_Point",IF(189=$NQ$23,$NM$23,0),IF($NO$23="Bell_Curve",$NM$23*(189-$NQ$23+1)*($NR$23-189+1)/$NT$23,$NM$23/$NS$23)),0)</f>
        <v/>
      </c>
      <c r="GK23" s="18">
        <f>IF(AND(190&gt;=$NQ$23,190&lt;=$NR$23),IF($NO$23="Single_Point",IF(190=$NQ$23,$NM$23,0),IF($NO$23="Bell_Curve",$NM$23*(190-$NQ$23+1)*($NR$23-190+1)/$NT$23,$NM$23/$NS$23)),0)</f>
        <v/>
      </c>
      <c r="GL23" s="18">
        <f>IF(AND(191&gt;=$NQ$23,191&lt;=$NR$23),IF($NO$23="Single_Point",IF(191=$NQ$23,$NM$23,0),IF($NO$23="Bell_Curve",$NM$23*(191-$NQ$23+1)*($NR$23-191+1)/$NT$23,$NM$23/$NS$23)),0)</f>
        <v/>
      </c>
      <c r="GM23" s="18">
        <f>IF(AND(192&gt;=$NQ$23,192&lt;=$NR$23),IF($NO$23="Single_Point",IF(192=$NQ$23,$NM$23,0),IF($NO$23="Bell_Curve",$NM$23*(192-$NQ$23+1)*($NR$23-192+1)/$NT$23,$NM$23/$NS$23)),0)</f>
        <v/>
      </c>
      <c r="GN23" s="18">
        <f>IF(AND(193&gt;=$NQ$23,193&lt;=$NR$23),IF($NO$23="Single_Point",IF(193=$NQ$23,$NM$23,0),IF($NO$23="Bell_Curve",$NM$23*(193-$NQ$23+1)*($NR$23-193+1)/$NT$23,$NM$23/$NS$23)),0)</f>
        <v/>
      </c>
      <c r="GO23" s="18">
        <f>IF(AND(194&gt;=$NQ$23,194&lt;=$NR$23),IF($NO$23="Single_Point",IF(194=$NQ$23,$NM$23,0),IF($NO$23="Bell_Curve",$NM$23*(194-$NQ$23+1)*($NR$23-194+1)/$NT$23,$NM$23/$NS$23)),0)</f>
        <v/>
      </c>
      <c r="GP23" s="18">
        <f>IF(AND(195&gt;=$NQ$23,195&lt;=$NR$23),IF($NO$23="Single_Point",IF(195=$NQ$23,$NM$23,0),IF($NO$23="Bell_Curve",$NM$23*(195-$NQ$23+1)*($NR$23-195+1)/$NT$23,$NM$23/$NS$23)),0)</f>
        <v/>
      </c>
      <c r="GQ23" s="18">
        <f>IF(AND(196&gt;=$NQ$23,196&lt;=$NR$23),IF($NO$23="Single_Point",IF(196=$NQ$23,$NM$23,0),IF($NO$23="Bell_Curve",$NM$23*(196-$NQ$23+1)*($NR$23-196+1)/$NT$23,$NM$23/$NS$23)),0)</f>
        <v/>
      </c>
      <c r="GR23" s="18">
        <f>IF(AND(197&gt;=$NQ$23,197&lt;=$NR$23),IF($NO$23="Single_Point",IF(197=$NQ$23,$NM$23,0),IF($NO$23="Bell_Curve",$NM$23*(197-$NQ$23+1)*($NR$23-197+1)/$NT$23,$NM$23/$NS$23)),0)</f>
        <v/>
      </c>
      <c r="GS23" s="18">
        <f>IF(AND(198&gt;=$NQ$23,198&lt;=$NR$23),IF($NO$23="Single_Point",IF(198=$NQ$23,$NM$23,0),IF($NO$23="Bell_Curve",$NM$23*(198-$NQ$23+1)*($NR$23-198+1)/$NT$23,$NM$23/$NS$23)),0)</f>
        <v/>
      </c>
      <c r="GT23" s="18">
        <f>IF(AND(199&gt;=$NQ$23,199&lt;=$NR$23),IF($NO$23="Single_Point",IF(199=$NQ$23,$NM$23,0),IF($NO$23="Bell_Curve",$NM$23*(199-$NQ$23+1)*($NR$23-199+1)/$NT$23,$NM$23/$NS$23)),0)</f>
        <v/>
      </c>
      <c r="GU23" s="18">
        <f>IF(AND(200&gt;=$NQ$23,200&lt;=$NR$23),IF($NO$23="Single_Point",IF(200=$NQ$23,$NM$23,0),IF($NO$23="Bell_Curve",$NM$23*(200-$NQ$23+1)*($NR$23-200+1)/$NT$23,$NM$23/$NS$23)),0)</f>
        <v/>
      </c>
      <c r="GV23" s="18">
        <f>IF(AND(201&gt;=$NQ$23,201&lt;=$NR$23),IF($NO$23="Single_Point",IF(201=$NQ$23,$NM$23,0),IF($NO$23="Bell_Curve",$NM$23*(201-$NQ$23+1)*($NR$23-201+1)/$NT$23,$NM$23/$NS$23)),0)</f>
        <v/>
      </c>
      <c r="GW23" s="18">
        <f>IF(AND(202&gt;=$NQ$23,202&lt;=$NR$23),IF($NO$23="Single_Point",IF(202=$NQ$23,$NM$23,0),IF($NO$23="Bell_Curve",$NM$23*(202-$NQ$23+1)*($NR$23-202+1)/$NT$23,$NM$23/$NS$23)),0)</f>
        <v/>
      </c>
      <c r="GX23" s="18">
        <f>IF(AND(203&gt;=$NQ$23,203&lt;=$NR$23),IF($NO$23="Single_Point",IF(203=$NQ$23,$NM$23,0),IF($NO$23="Bell_Curve",$NM$23*(203-$NQ$23+1)*($NR$23-203+1)/$NT$23,$NM$23/$NS$23)),0)</f>
        <v/>
      </c>
      <c r="GY23" s="18">
        <f>IF(AND(204&gt;=$NQ$23,204&lt;=$NR$23),IF($NO$23="Single_Point",IF(204=$NQ$23,$NM$23,0),IF($NO$23="Bell_Curve",$NM$23*(204-$NQ$23+1)*($NR$23-204+1)/$NT$23,$NM$23/$NS$23)),0)</f>
        <v/>
      </c>
      <c r="GZ23" s="18">
        <f>IF(AND(205&gt;=$NQ$23,205&lt;=$NR$23),IF($NO$23="Single_Point",IF(205=$NQ$23,$NM$23,0),IF($NO$23="Bell_Curve",$NM$23*(205-$NQ$23+1)*($NR$23-205+1)/$NT$23,$NM$23/$NS$23)),0)</f>
        <v/>
      </c>
      <c r="HA23" s="18">
        <f>IF(AND(206&gt;=$NQ$23,206&lt;=$NR$23),IF($NO$23="Single_Point",IF(206=$NQ$23,$NM$23,0),IF($NO$23="Bell_Curve",$NM$23*(206-$NQ$23+1)*($NR$23-206+1)/$NT$23,$NM$23/$NS$23)),0)</f>
        <v/>
      </c>
      <c r="HB23" s="18">
        <f>IF(AND(207&gt;=$NQ$23,207&lt;=$NR$23),IF($NO$23="Single_Point",IF(207=$NQ$23,$NM$23,0),IF($NO$23="Bell_Curve",$NM$23*(207-$NQ$23+1)*($NR$23-207+1)/$NT$23,$NM$23/$NS$23)),0)</f>
        <v/>
      </c>
      <c r="HC23" s="18">
        <f>IF(AND(208&gt;=$NQ$23,208&lt;=$NR$23),IF($NO$23="Single_Point",IF(208=$NQ$23,$NM$23,0),IF($NO$23="Bell_Curve",$NM$23*(208-$NQ$23+1)*($NR$23-208+1)/$NT$23,$NM$23/$NS$23)),0)</f>
        <v/>
      </c>
      <c r="HD23" s="18">
        <f>IF(AND(209&gt;=$NQ$23,209&lt;=$NR$23),IF($NO$23="Single_Point",IF(209=$NQ$23,$NM$23,0),IF($NO$23="Bell_Curve",$NM$23*(209-$NQ$23+1)*($NR$23-209+1)/$NT$23,$NM$23/$NS$23)),0)</f>
        <v/>
      </c>
      <c r="HE23" s="18">
        <f>IF(AND(210&gt;=$NQ$23,210&lt;=$NR$23),IF($NO$23="Single_Point",IF(210=$NQ$23,$NM$23,0),IF($NO$23="Bell_Curve",$NM$23*(210-$NQ$23+1)*($NR$23-210+1)/$NT$23,$NM$23/$NS$23)),0)</f>
        <v/>
      </c>
      <c r="HF23" s="18">
        <f>IF(AND(211&gt;=$NQ$23,211&lt;=$NR$23),IF($NO$23="Single_Point",IF(211=$NQ$23,$NM$23,0),IF($NO$23="Bell_Curve",$NM$23*(211-$NQ$23+1)*($NR$23-211+1)/$NT$23,$NM$23/$NS$23)),0)</f>
        <v/>
      </c>
      <c r="HG23" s="18">
        <f>IF(AND(212&gt;=$NQ$23,212&lt;=$NR$23),IF($NO$23="Single_Point",IF(212=$NQ$23,$NM$23,0),IF($NO$23="Bell_Curve",$NM$23*(212-$NQ$23+1)*($NR$23-212+1)/$NT$23,$NM$23/$NS$23)),0)</f>
        <v/>
      </c>
      <c r="HH23" s="18">
        <f>IF(AND(213&gt;=$NQ$23,213&lt;=$NR$23),IF($NO$23="Single_Point",IF(213=$NQ$23,$NM$23,0),IF($NO$23="Bell_Curve",$NM$23*(213-$NQ$23+1)*($NR$23-213+1)/$NT$23,$NM$23/$NS$23)),0)</f>
        <v/>
      </c>
      <c r="HI23" s="18">
        <f>IF(AND(214&gt;=$NQ$23,214&lt;=$NR$23),IF($NO$23="Single_Point",IF(214=$NQ$23,$NM$23,0),IF($NO$23="Bell_Curve",$NM$23*(214-$NQ$23+1)*($NR$23-214+1)/$NT$23,$NM$23/$NS$23)),0)</f>
        <v/>
      </c>
      <c r="HJ23" s="18">
        <f>IF(AND(215&gt;=$NQ$23,215&lt;=$NR$23),IF($NO$23="Single_Point",IF(215=$NQ$23,$NM$23,0),IF($NO$23="Bell_Curve",$NM$23*(215-$NQ$23+1)*($NR$23-215+1)/$NT$23,$NM$23/$NS$23)),0)</f>
        <v/>
      </c>
      <c r="HK23" s="18">
        <f>IF(AND(216&gt;=$NQ$23,216&lt;=$NR$23),IF($NO$23="Single_Point",IF(216=$NQ$23,$NM$23,0),IF($NO$23="Bell_Curve",$NM$23*(216-$NQ$23+1)*($NR$23-216+1)/$NT$23,$NM$23/$NS$23)),0)</f>
        <v/>
      </c>
      <c r="HL23" s="18">
        <f>IF(AND(217&gt;=$NQ$23,217&lt;=$NR$23),IF($NO$23="Single_Point",IF(217=$NQ$23,$NM$23,0),IF($NO$23="Bell_Curve",$NM$23*(217-$NQ$23+1)*($NR$23-217+1)/$NT$23,$NM$23/$NS$23)),0)</f>
        <v/>
      </c>
      <c r="HM23" s="18">
        <f>IF(AND(218&gt;=$NQ$23,218&lt;=$NR$23),IF($NO$23="Single_Point",IF(218=$NQ$23,$NM$23,0),IF($NO$23="Bell_Curve",$NM$23*(218-$NQ$23+1)*($NR$23-218+1)/$NT$23,$NM$23/$NS$23)),0)</f>
        <v/>
      </c>
      <c r="HN23" s="18">
        <f>IF(AND(219&gt;=$NQ$23,219&lt;=$NR$23),IF($NO$23="Single_Point",IF(219=$NQ$23,$NM$23,0),IF($NO$23="Bell_Curve",$NM$23*(219-$NQ$23+1)*($NR$23-219+1)/$NT$23,$NM$23/$NS$23)),0)</f>
        <v/>
      </c>
      <c r="HO23" s="18">
        <f>IF(AND(220&gt;=$NQ$23,220&lt;=$NR$23),IF($NO$23="Single_Point",IF(220=$NQ$23,$NM$23,0),IF($NO$23="Bell_Curve",$NM$23*(220-$NQ$23+1)*($NR$23-220+1)/$NT$23,$NM$23/$NS$23)),0)</f>
        <v/>
      </c>
      <c r="HP23" s="18">
        <f>IF(AND(221&gt;=$NQ$23,221&lt;=$NR$23),IF($NO$23="Single_Point",IF(221=$NQ$23,$NM$23,0),IF($NO$23="Bell_Curve",$NM$23*(221-$NQ$23+1)*($NR$23-221+1)/$NT$23,$NM$23/$NS$23)),0)</f>
        <v/>
      </c>
      <c r="HQ23" s="18">
        <f>IF(AND(222&gt;=$NQ$23,222&lt;=$NR$23),IF($NO$23="Single_Point",IF(222=$NQ$23,$NM$23,0),IF($NO$23="Bell_Curve",$NM$23*(222-$NQ$23+1)*($NR$23-222+1)/$NT$23,$NM$23/$NS$23)),0)</f>
        <v/>
      </c>
      <c r="HR23" s="18">
        <f>IF(AND(223&gt;=$NQ$23,223&lt;=$NR$23),IF($NO$23="Single_Point",IF(223=$NQ$23,$NM$23,0),IF($NO$23="Bell_Curve",$NM$23*(223-$NQ$23+1)*($NR$23-223+1)/$NT$23,$NM$23/$NS$23)),0)</f>
        <v/>
      </c>
      <c r="HS23" s="18">
        <f>IF(AND(224&gt;=$NQ$23,224&lt;=$NR$23),IF($NO$23="Single_Point",IF(224=$NQ$23,$NM$23,0),IF($NO$23="Bell_Curve",$NM$23*(224-$NQ$23+1)*($NR$23-224+1)/$NT$23,$NM$23/$NS$23)),0)</f>
        <v/>
      </c>
      <c r="HT23" s="18">
        <f>IF(AND(225&gt;=$NQ$23,225&lt;=$NR$23),IF($NO$23="Single_Point",IF(225=$NQ$23,$NM$23,0),IF($NO$23="Bell_Curve",$NM$23*(225-$NQ$23+1)*($NR$23-225+1)/$NT$23,$NM$23/$NS$23)),0)</f>
        <v/>
      </c>
      <c r="HU23" s="18">
        <f>IF(AND(226&gt;=$NQ$23,226&lt;=$NR$23),IF($NO$23="Single_Point",IF(226=$NQ$23,$NM$23,0),IF($NO$23="Bell_Curve",$NM$23*(226-$NQ$23+1)*($NR$23-226+1)/$NT$23,$NM$23/$NS$23)),0)</f>
        <v/>
      </c>
      <c r="HV23" s="18">
        <f>IF(AND(227&gt;=$NQ$23,227&lt;=$NR$23),IF($NO$23="Single_Point",IF(227=$NQ$23,$NM$23,0),IF($NO$23="Bell_Curve",$NM$23*(227-$NQ$23+1)*($NR$23-227+1)/$NT$23,$NM$23/$NS$23)),0)</f>
        <v/>
      </c>
      <c r="HW23" s="18">
        <f>IF(AND(228&gt;=$NQ$23,228&lt;=$NR$23),IF($NO$23="Single_Point",IF(228=$NQ$23,$NM$23,0),IF($NO$23="Bell_Curve",$NM$23*(228-$NQ$23+1)*($NR$23-228+1)/$NT$23,$NM$23/$NS$23)),0)</f>
        <v/>
      </c>
      <c r="HX23" s="18">
        <f>IF(AND(229&gt;=$NQ$23,229&lt;=$NR$23),IF($NO$23="Single_Point",IF(229=$NQ$23,$NM$23,0),IF($NO$23="Bell_Curve",$NM$23*(229-$NQ$23+1)*($NR$23-229+1)/$NT$23,$NM$23/$NS$23)),0)</f>
        <v/>
      </c>
      <c r="HY23" s="18">
        <f>IF(AND(230&gt;=$NQ$23,230&lt;=$NR$23),IF($NO$23="Single_Point",IF(230=$NQ$23,$NM$23,0),IF($NO$23="Bell_Curve",$NM$23*(230-$NQ$23+1)*($NR$23-230+1)/$NT$23,$NM$23/$NS$23)),0)</f>
        <v/>
      </c>
      <c r="HZ23" s="18">
        <f>IF(AND(231&gt;=$NQ$23,231&lt;=$NR$23),IF($NO$23="Single_Point",IF(231=$NQ$23,$NM$23,0),IF($NO$23="Bell_Curve",$NM$23*(231-$NQ$23+1)*($NR$23-231+1)/$NT$23,$NM$23/$NS$23)),0)</f>
        <v/>
      </c>
      <c r="IA23" s="18">
        <f>IF(AND(232&gt;=$NQ$23,232&lt;=$NR$23),IF($NO$23="Single_Point",IF(232=$NQ$23,$NM$23,0),IF($NO$23="Bell_Curve",$NM$23*(232-$NQ$23+1)*($NR$23-232+1)/$NT$23,$NM$23/$NS$23)),0)</f>
        <v/>
      </c>
      <c r="IB23" s="18">
        <f>IF(AND(233&gt;=$NQ$23,233&lt;=$NR$23),IF($NO$23="Single_Point",IF(233=$NQ$23,$NM$23,0),IF($NO$23="Bell_Curve",$NM$23*(233-$NQ$23+1)*($NR$23-233+1)/$NT$23,$NM$23/$NS$23)),0)</f>
        <v/>
      </c>
      <c r="IC23" s="18">
        <f>IF(AND(234&gt;=$NQ$23,234&lt;=$NR$23),IF($NO$23="Single_Point",IF(234=$NQ$23,$NM$23,0),IF($NO$23="Bell_Curve",$NM$23*(234-$NQ$23+1)*($NR$23-234+1)/$NT$23,$NM$23/$NS$23)),0)</f>
        <v/>
      </c>
      <c r="ID23" s="18">
        <f>IF(AND(235&gt;=$NQ$23,235&lt;=$NR$23),IF($NO$23="Single_Point",IF(235=$NQ$23,$NM$23,0),IF($NO$23="Bell_Curve",$NM$23*(235-$NQ$23+1)*($NR$23-235+1)/$NT$23,$NM$23/$NS$23)),0)</f>
        <v/>
      </c>
      <c r="IE23" s="18">
        <f>IF(AND(236&gt;=$NQ$23,236&lt;=$NR$23),IF($NO$23="Single_Point",IF(236=$NQ$23,$NM$23,0),IF($NO$23="Bell_Curve",$NM$23*(236-$NQ$23+1)*($NR$23-236+1)/$NT$23,$NM$23/$NS$23)),0)</f>
        <v/>
      </c>
      <c r="IF23" s="18">
        <f>IF(AND(237&gt;=$NQ$23,237&lt;=$NR$23),IF($NO$23="Single_Point",IF(237=$NQ$23,$NM$23,0),IF($NO$23="Bell_Curve",$NM$23*(237-$NQ$23+1)*($NR$23-237+1)/$NT$23,$NM$23/$NS$23)),0)</f>
        <v/>
      </c>
      <c r="IG23" s="18">
        <f>IF(AND(238&gt;=$NQ$23,238&lt;=$NR$23),IF($NO$23="Single_Point",IF(238=$NQ$23,$NM$23,0),IF($NO$23="Bell_Curve",$NM$23*(238-$NQ$23+1)*($NR$23-238+1)/$NT$23,$NM$23/$NS$23)),0)</f>
        <v/>
      </c>
      <c r="IH23" s="18">
        <f>IF(AND(239&gt;=$NQ$23,239&lt;=$NR$23),IF($NO$23="Single_Point",IF(239=$NQ$23,$NM$23,0),IF($NO$23="Bell_Curve",$NM$23*(239-$NQ$23+1)*($NR$23-239+1)/$NT$23,$NM$23/$NS$23)),0)</f>
        <v/>
      </c>
      <c r="II23" s="18">
        <f>IF(AND(240&gt;=$NQ$23,240&lt;=$NR$23),IF($NO$23="Single_Point",IF(240=$NQ$23,$NM$23,0),IF($NO$23="Bell_Curve",$NM$23*(240-$NQ$23+1)*($NR$23-240+1)/$NT$23,$NM$23/$NS$23)),0)</f>
        <v/>
      </c>
      <c r="IJ23" s="18">
        <f>IF(AND(241&gt;=$NQ$23,241&lt;=$NR$23),IF($NO$23="Single_Point",IF(241=$NQ$23,$NM$23,0),IF($NO$23="Bell_Curve",$NM$23*(241-$NQ$23+1)*($NR$23-241+1)/$NT$23,$NM$23/$NS$23)),0)</f>
        <v/>
      </c>
      <c r="IK23" s="18">
        <f>IF(AND(242&gt;=$NQ$23,242&lt;=$NR$23),IF($NO$23="Single_Point",IF(242=$NQ$23,$NM$23,0),IF($NO$23="Bell_Curve",$NM$23*(242-$NQ$23+1)*($NR$23-242+1)/$NT$23,$NM$23/$NS$23)),0)</f>
        <v/>
      </c>
      <c r="IL23" s="18">
        <f>IF(AND(243&gt;=$NQ$23,243&lt;=$NR$23),IF($NO$23="Single_Point",IF(243=$NQ$23,$NM$23,0),IF($NO$23="Bell_Curve",$NM$23*(243-$NQ$23+1)*($NR$23-243+1)/$NT$23,$NM$23/$NS$23)),0)</f>
        <v/>
      </c>
      <c r="IM23" s="18">
        <f>IF(AND(244&gt;=$NQ$23,244&lt;=$NR$23),IF($NO$23="Single_Point",IF(244=$NQ$23,$NM$23,0),IF($NO$23="Bell_Curve",$NM$23*(244-$NQ$23+1)*($NR$23-244+1)/$NT$23,$NM$23/$NS$23)),0)</f>
        <v/>
      </c>
      <c r="IN23" s="18">
        <f>IF(AND(245&gt;=$NQ$23,245&lt;=$NR$23),IF($NO$23="Single_Point",IF(245=$NQ$23,$NM$23,0),IF($NO$23="Bell_Curve",$NM$23*(245-$NQ$23+1)*($NR$23-245+1)/$NT$23,$NM$23/$NS$23)),0)</f>
        <v/>
      </c>
      <c r="IO23" s="18">
        <f>IF(AND(246&gt;=$NQ$23,246&lt;=$NR$23),IF($NO$23="Single_Point",IF(246=$NQ$23,$NM$23,0),IF($NO$23="Bell_Curve",$NM$23*(246-$NQ$23+1)*($NR$23-246+1)/$NT$23,$NM$23/$NS$23)),0)</f>
        <v/>
      </c>
      <c r="IP23" s="18">
        <f>IF(AND(247&gt;=$NQ$23,247&lt;=$NR$23),IF($NO$23="Single_Point",IF(247=$NQ$23,$NM$23,0),IF($NO$23="Bell_Curve",$NM$23*(247-$NQ$23+1)*($NR$23-247+1)/$NT$23,$NM$23/$NS$23)),0)</f>
        <v/>
      </c>
      <c r="IQ23" s="18">
        <f>IF(AND(248&gt;=$NQ$23,248&lt;=$NR$23),IF($NO$23="Single_Point",IF(248=$NQ$23,$NM$23,0),IF($NO$23="Bell_Curve",$NM$23*(248-$NQ$23+1)*($NR$23-248+1)/$NT$23,$NM$23/$NS$23)),0)</f>
        <v/>
      </c>
      <c r="IR23" s="18">
        <f>IF(AND(249&gt;=$NQ$23,249&lt;=$NR$23),IF($NO$23="Single_Point",IF(249=$NQ$23,$NM$23,0),IF($NO$23="Bell_Curve",$NM$23*(249-$NQ$23+1)*($NR$23-249+1)/$NT$23,$NM$23/$NS$23)),0)</f>
        <v/>
      </c>
      <c r="IS23" s="18">
        <f>IF(AND(250&gt;=$NQ$23,250&lt;=$NR$23),IF($NO$23="Single_Point",IF(250=$NQ$23,$NM$23,0),IF($NO$23="Bell_Curve",$NM$23*(250-$NQ$23+1)*($NR$23-250+1)/$NT$23,$NM$23/$NS$23)),0)</f>
        <v/>
      </c>
      <c r="IT23" s="18">
        <f>IF(AND(251&gt;=$NQ$23,251&lt;=$NR$23),IF($NO$23="Single_Point",IF(251=$NQ$23,$NM$23,0),IF($NO$23="Bell_Curve",$NM$23*(251-$NQ$23+1)*($NR$23-251+1)/$NT$23,$NM$23/$NS$23)),0)</f>
        <v/>
      </c>
      <c r="IU23" s="18">
        <f>IF(AND(252&gt;=$NQ$23,252&lt;=$NR$23),IF($NO$23="Single_Point",IF(252=$NQ$23,$NM$23,0),IF($NO$23="Bell_Curve",$NM$23*(252-$NQ$23+1)*($NR$23-252+1)/$NT$23,$NM$23/$NS$23)),0)</f>
        <v/>
      </c>
      <c r="IV23" s="18">
        <f>IF(AND(253&gt;=$NQ$23,253&lt;=$NR$23),IF($NO$23="Single_Point",IF(253=$NQ$23,$NM$23,0),IF($NO$23="Bell_Curve",$NM$23*(253-$NQ$23+1)*($NR$23-253+1)/$NT$23,$NM$23/$NS$23)),0)</f>
        <v/>
      </c>
      <c r="IW23" s="18">
        <f>IF(AND(254&gt;=$NQ$23,254&lt;=$NR$23),IF($NO$23="Single_Point",IF(254=$NQ$23,$NM$23,0),IF($NO$23="Bell_Curve",$NM$23*(254-$NQ$23+1)*($NR$23-254+1)/$NT$23,$NM$23/$NS$23)),0)</f>
        <v/>
      </c>
      <c r="IX23" s="18">
        <f>IF(AND(255&gt;=$NQ$23,255&lt;=$NR$23),IF($NO$23="Single_Point",IF(255=$NQ$23,$NM$23,0),IF($NO$23="Bell_Curve",$NM$23*(255-$NQ$23+1)*($NR$23-255+1)/$NT$23,$NM$23/$NS$23)),0)</f>
        <v/>
      </c>
      <c r="IY23" s="18">
        <f>IF(AND(256&gt;=$NQ$23,256&lt;=$NR$23),IF($NO$23="Single_Point",IF(256=$NQ$23,$NM$23,0),IF($NO$23="Bell_Curve",$NM$23*(256-$NQ$23+1)*($NR$23-256+1)/$NT$23,$NM$23/$NS$23)),0)</f>
        <v/>
      </c>
      <c r="IZ23" s="18">
        <f>IF(AND(257&gt;=$NQ$23,257&lt;=$NR$23),IF($NO$23="Single_Point",IF(257=$NQ$23,$NM$23,0),IF($NO$23="Bell_Curve",$NM$23*(257-$NQ$23+1)*($NR$23-257+1)/$NT$23,$NM$23/$NS$23)),0)</f>
        <v/>
      </c>
      <c r="JA23" s="18">
        <f>IF(AND(258&gt;=$NQ$23,258&lt;=$NR$23),IF($NO$23="Single_Point",IF(258=$NQ$23,$NM$23,0),IF($NO$23="Bell_Curve",$NM$23*(258-$NQ$23+1)*($NR$23-258+1)/$NT$23,$NM$23/$NS$23)),0)</f>
        <v/>
      </c>
      <c r="JB23" s="18">
        <f>IF(AND(259&gt;=$NQ$23,259&lt;=$NR$23),IF($NO$23="Single_Point",IF(259=$NQ$23,$NM$23,0),IF($NO$23="Bell_Curve",$NM$23*(259-$NQ$23+1)*($NR$23-259+1)/$NT$23,$NM$23/$NS$23)),0)</f>
        <v/>
      </c>
      <c r="JC23" s="18">
        <f>IF(AND(260&gt;=$NQ$23,260&lt;=$NR$23),IF($NO$23="Single_Point",IF(260=$NQ$23,$NM$23,0),IF($NO$23="Bell_Curve",$NM$23*(260-$NQ$23+1)*($NR$23-260+1)/$NT$23,$NM$23/$NS$23)),0)</f>
        <v/>
      </c>
      <c r="JD23" s="18">
        <f>IF(AND(261&gt;=$NQ$23,261&lt;=$NR$23),IF($NO$23="Single_Point",IF(261=$NQ$23,$NM$23,0),IF($NO$23="Bell_Curve",$NM$23*(261-$NQ$23+1)*($NR$23-261+1)/$NT$23,$NM$23/$NS$23)),0)</f>
        <v/>
      </c>
      <c r="JE23" s="18">
        <f>IF(AND(262&gt;=$NQ$23,262&lt;=$NR$23),IF($NO$23="Single_Point",IF(262=$NQ$23,$NM$23,0),IF($NO$23="Bell_Curve",$NM$23*(262-$NQ$23+1)*($NR$23-262+1)/$NT$23,$NM$23/$NS$23)),0)</f>
        <v/>
      </c>
      <c r="JF23" s="18">
        <f>IF(AND(263&gt;=$NQ$23,263&lt;=$NR$23),IF($NO$23="Single_Point",IF(263=$NQ$23,$NM$23,0),IF($NO$23="Bell_Curve",$NM$23*(263-$NQ$23+1)*($NR$23-263+1)/$NT$23,$NM$23/$NS$23)),0)</f>
        <v/>
      </c>
      <c r="JG23" s="18">
        <f>IF(AND(264&gt;=$NQ$23,264&lt;=$NR$23),IF($NO$23="Single_Point",IF(264=$NQ$23,$NM$23,0),IF($NO$23="Bell_Curve",$NM$23*(264-$NQ$23+1)*($NR$23-264+1)/$NT$23,$NM$23/$NS$23)),0)</f>
        <v/>
      </c>
      <c r="JH23" s="18">
        <f>IF(AND(265&gt;=$NQ$23,265&lt;=$NR$23),IF($NO$23="Single_Point",IF(265=$NQ$23,$NM$23,0),IF($NO$23="Bell_Curve",$NM$23*(265-$NQ$23+1)*($NR$23-265+1)/$NT$23,$NM$23/$NS$23)),0)</f>
        <v/>
      </c>
      <c r="JI23" s="18">
        <f>IF(AND(266&gt;=$NQ$23,266&lt;=$NR$23),IF($NO$23="Single_Point",IF(266=$NQ$23,$NM$23,0),IF($NO$23="Bell_Curve",$NM$23*(266-$NQ$23+1)*($NR$23-266+1)/$NT$23,$NM$23/$NS$23)),0)</f>
        <v/>
      </c>
      <c r="JJ23" s="18">
        <f>IF(AND(267&gt;=$NQ$23,267&lt;=$NR$23),IF($NO$23="Single_Point",IF(267=$NQ$23,$NM$23,0),IF($NO$23="Bell_Curve",$NM$23*(267-$NQ$23+1)*($NR$23-267+1)/$NT$23,$NM$23/$NS$23)),0)</f>
        <v/>
      </c>
      <c r="JK23" s="18">
        <f>IF(AND(268&gt;=$NQ$23,268&lt;=$NR$23),IF($NO$23="Single_Point",IF(268=$NQ$23,$NM$23,0),IF($NO$23="Bell_Curve",$NM$23*(268-$NQ$23+1)*($NR$23-268+1)/$NT$23,$NM$23/$NS$23)),0)</f>
        <v/>
      </c>
      <c r="JL23" s="18">
        <f>IF(AND(269&gt;=$NQ$23,269&lt;=$NR$23),IF($NO$23="Single_Point",IF(269=$NQ$23,$NM$23,0),IF($NO$23="Bell_Curve",$NM$23*(269-$NQ$23+1)*($NR$23-269+1)/$NT$23,$NM$23/$NS$23)),0)</f>
        <v/>
      </c>
      <c r="JM23" s="18">
        <f>IF(AND(270&gt;=$NQ$23,270&lt;=$NR$23),IF($NO$23="Single_Point",IF(270=$NQ$23,$NM$23,0),IF($NO$23="Bell_Curve",$NM$23*(270-$NQ$23+1)*($NR$23-270+1)/$NT$23,$NM$23/$NS$23)),0)</f>
        <v/>
      </c>
      <c r="JN23" s="18">
        <f>IF(AND(271&gt;=$NQ$23,271&lt;=$NR$23),IF($NO$23="Single_Point",IF(271=$NQ$23,$NM$23,0),IF($NO$23="Bell_Curve",$NM$23*(271-$NQ$23+1)*($NR$23-271+1)/$NT$23,$NM$23/$NS$23)),0)</f>
        <v/>
      </c>
      <c r="JO23" s="18">
        <f>IF(AND(272&gt;=$NQ$23,272&lt;=$NR$23),IF($NO$23="Single_Point",IF(272=$NQ$23,$NM$23,0),IF($NO$23="Bell_Curve",$NM$23*(272-$NQ$23+1)*($NR$23-272+1)/$NT$23,$NM$23/$NS$23)),0)</f>
        <v/>
      </c>
      <c r="JP23" s="18">
        <f>IF(AND(273&gt;=$NQ$23,273&lt;=$NR$23),IF($NO$23="Single_Point",IF(273=$NQ$23,$NM$23,0),IF($NO$23="Bell_Curve",$NM$23*(273-$NQ$23+1)*($NR$23-273+1)/$NT$23,$NM$23/$NS$23)),0)</f>
        <v/>
      </c>
      <c r="JQ23" s="18">
        <f>IF(AND(274&gt;=$NQ$23,274&lt;=$NR$23),IF($NO$23="Single_Point",IF(274=$NQ$23,$NM$23,0),IF($NO$23="Bell_Curve",$NM$23*(274-$NQ$23+1)*($NR$23-274+1)/$NT$23,$NM$23/$NS$23)),0)</f>
        <v/>
      </c>
      <c r="JR23" s="18">
        <f>IF(AND(275&gt;=$NQ$23,275&lt;=$NR$23),IF($NO$23="Single_Point",IF(275=$NQ$23,$NM$23,0),IF($NO$23="Bell_Curve",$NM$23*(275-$NQ$23+1)*($NR$23-275+1)/$NT$23,$NM$23/$NS$23)),0)</f>
        <v/>
      </c>
      <c r="JS23" s="18">
        <f>IF(AND(276&gt;=$NQ$23,276&lt;=$NR$23),IF($NO$23="Single_Point",IF(276=$NQ$23,$NM$23,0),IF($NO$23="Bell_Curve",$NM$23*(276-$NQ$23+1)*($NR$23-276+1)/$NT$23,$NM$23/$NS$23)),0)</f>
        <v/>
      </c>
      <c r="JT23" s="18">
        <f>IF(AND(277&gt;=$NQ$23,277&lt;=$NR$23),IF($NO$23="Single_Point",IF(277=$NQ$23,$NM$23,0),IF($NO$23="Bell_Curve",$NM$23*(277-$NQ$23+1)*($NR$23-277+1)/$NT$23,$NM$23/$NS$23)),0)</f>
        <v/>
      </c>
      <c r="JU23" s="18">
        <f>IF(AND(278&gt;=$NQ$23,278&lt;=$NR$23),IF($NO$23="Single_Point",IF(278=$NQ$23,$NM$23,0),IF($NO$23="Bell_Curve",$NM$23*(278-$NQ$23+1)*($NR$23-278+1)/$NT$23,$NM$23/$NS$23)),0)</f>
        <v/>
      </c>
      <c r="JV23" s="18">
        <f>IF(AND(279&gt;=$NQ$23,279&lt;=$NR$23),IF($NO$23="Single_Point",IF(279=$NQ$23,$NM$23,0),IF($NO$23="Bell_Curve",$NM$23*(279-$NQ$23+1)*($NR$23-279+1)/$NT$23,$NM$23/$NS$23)),0)</f>
        <v/>
      </c>
      <c r="JW23" s="18">
        <f>IF(AND(280&gt;=$NQ$23,280&lt;=$NR$23),IF($NO$23="Single_Point",IF(280=$NQ$23,$NM$23,0),IF($NO$23="Bell_Curve",$NM$23*(280-$NQ$23+1)*($NR$23-280+1)/$NT$23,$NM$23/$NS$23)),0)</f>
        <v/>
      </c>
      <c r="JX23" s="18">
        <f>IF(AND(281&gt;=$NQ$23,281&lt;=$NR$23),IF($NO$23="Single_Point",IF(281=$NQ$23,$NM$23,0),IF($NO$23="Bell_Curve",$NM$23*(281-$NQ$23+1)*($NR$23-281+1)/$NT$23,$NM$23/$NS$23)),0)</f>
        <v/>
      </c>
      <c r="JY23" s="18">
        <f>IF(AND(282&gt;=$NQ$23,282&lt;=$NR$23),IF($NO$23="Single_Point",IF(282=$NQ$23,$NM$23,0),IF($NO$23="Bell_Curve",$NM$23*(282-$NQ$23+1)*($NR$23-282+1)/$NT$23,$NM$23/$NS$23)),0)</f>
        <v/>
      </c>
      <c r="JZ23" s="18">
        <f>IF(AND(283&gt;=$NQ$23,283&lt;=$NR$23),IF($NO$23="Single_Point",IF(283=$NQ$23,$NM$23,0),IF($NO$23="Bell_Curve",$NM$23*(283-$NQ$23+1)*($NR$23-283+1)/$NT$23,$NM$23/$NS$23)),0)</f>
        <v/>
      </c>
      <c r="KA23" s="18">
        <f>IF(AND(284&gt;=$NQ$23,284&lt;=$NR$23),IF($NO$23="Single_Point",IF(284=$NQ$23,$NM$23,0),IF($NO$23="Bell_Curve",$NM$23*(284-$NQ$23+1)*($NR$23-284+1)/$NT$23,$NM$23/$NS$23)),0)</f>
        <v/>
      </c>
      <c r="KB23" s="18">
        <f>IF(AND(285&gt;=$NQ$23,285&lt;=$NR$23),IF($NO$23="Single_Point",IF(285=$NQ$23,$NM$23,0),IF($NO$23="Bell_Curve",$NM$23*(285-$NQ$23+1)*($NR$23-285+1)/$NT$23,$NM$23/$NS$23)),0)</f>
        <v/>
      </c>
      <c r="KC23" s="18">
        <f>IF(AND(286&gt;=$NQ$23,286&lt;=$NR$23),IF($NO$23="Single_Point",IF(286=$NQ$23,$NM$23,0),IF($NO$23="Bell_Curve",$NM$23*(286-$NQ$23+1)*($NR$23-286+1)/$NT$23,$NM$23/$NS$23)),0)</f>
        <v/>
      </c>
      <c r="KD23" s="18">
        <f>IF(AND(287&gt;=$NQ$23,287&lt;=$NR$23),IF($NO$23="Single_Point",IF(287=$NQ$23,$NM$23,0),IF($NO$23="Bell_Curve",$NM$23*(287-$NQ$23+1)*($NR$23-287+1)/$NT$23,$NM$23/$NS$23)),0)</f>
        <v/>
      </c>
      <c r="KE23" s="18">
        <f>IF(AND(288&gt;=$NQ$23,288&lt;=$NR$23),IF($NO$23="Single_Point",IF(288=$NQ$23,$NM$23,0),IF($NO$23="Bell_Curve",$NM$23*(288-$NQ$23+1)*($NR$23-288+1)/$NT$23,$NM$23/$NS$23)),0)</f>
        <v/>
      </c>
      <c r="KF23" s="18">
        <f>IF(AND(289&gt;=$NQ$23,289&lt;=$NR$23),IF($NO$23="Single_Point",IF(289=$NQ$23,$NM$23,0),IF($NO$23="Bell_Curve",$NM$23*(289-$NQ$23+1)*($NR$23-289+1)/$NT$23,$NM$23/$NS$23)),0)</f>
        <v/>
      </c>
      <c r="KG23" s="18">
        <f>IF(AND(290&gt;=$NQ$23,290&lt;=$NR$23),IF($NO$23="Single_Point",IF(290=$NQ$23,$NM$23,0),IF($NO$23="Bell_Curve",$NM$23*(290-$NQ$23+1)*($NR$23-290+1)/$NT$23,$NM$23/$NS$23)),0)</f>
        <v/>
      </c>
      <c r="KH23" s="18">
        <f>IF(AND(291&gt;=$NQ$23,291&lt;=$NR$23),IF($NO$23="Single_Point",IF(291=$NQ$23,$NM$23,0),IF($NO$23="Bell_Curve",$NM$23*(291-$NQ$23+1)*($NR$23-291+1)/$NT$23,$NM$23/$NS$23)),0)</f>
        <v/>
      </c>
      <c r="KI23" s="18">
        <f>IF(AND(292&gt;=$NQ$23,292&lt;=$NR$23),IF($NO$23="Single_Point",IF(292=$NQ$23,$NM$23,0),IF($NO$23="Bell_Curve",$NM$23*(292-$NQ$23+1)*($NR$23-292+1)/$NT$23,$NM$23/$NS$23)),0)</f>
        <v/>
      </c>
      <c r="KJ23" s="18">
        <f>IF(AND(293&gt;=$NQ$23,293&lt;=$NR$23),IF($NO$23="Single_Point",IF(293=$NQ$23,$NM$23,0),IF($NO$23="Bell_Curve",$NM$23*(293-$NQ$23+1)*($NR$23-293+1)/$NT$23,$NM$23/$NS$23)),0)</f>
        <v/>
      </c>
      <c r="KK23" s="18">
        <f>IF(AND(294&gt;=$NQ$23,294&lt;=$NR$23),IF($NO$23="Single_Point",IF(294=$NQ$23,$NM$23,0),IF($NO$23="Bell_Curve",$NM$23*(294-$NQ$23+1)*($NR$23-294+1)/$NT$23,$NM$23/$NS$23)),0)</f>
        <v/>
      </c>
      <c r="KL23" s="18">
        <f>IF(AND(295&gt;=$NQ$23,295&lt;=$NR$23),IF($NO$23="Single_Point",IF(295=$NQ$23,$NM$23,0),IF($NO$23="Bell_Curve",$NM$23*(295-$NQ$23+1)*($NR$23-295+1)/$NT$23,$NM$23/$NS$23)),0)</f>
        <v/>
      </c>
      <c r="KM23" s="18">
        <f>IF(AND(296&gt;=$NQ$23,296&lt;=$NR$23),IF($NO$23="Single_Point",IF(296=$NQ$23,$NM$23,0),IF($NO$23="Bell_Curve",$NM$23*(296-$NQ$23+1)*($NR$23-296+1)/$NT$23,$NM$23/$NS$23)),0)</f>
        <v/>
      </c>
      <c r="KN23" s="18">
        <f>IF(AND(297&gt;=$NQ$23,297&lt;=$NR$23),IF($NO$23="Single_Point",IF(297=$NQ$23,$NM$23,0),IF($NO$23="Bell_Curve",$NM$23*(297-$NQ$23+1)*($NR$23-297+1)/$NT$23,$NM$23/$NS$23)),0)</f>
        <v/>
      </c>
      <c r="KO23" s="18">
        <f>IF(AND(298&gt;=$NQ$23,298&lt;=$NR$23),IF($NO$23="Single_Point",IF(298=$NQ$23,$NM$23,0),IF($NO$23="Bell_Curve",$NM$23*(298-$NQ$23+1)*($NR$23-298+1)/$NT$23,$NM$23/$NS$23)),0)</f>
        <v/>
      </c>
      <c r="KP23" s="18">
        <f>IF(AND(299&gt;=$NQ$23,299&lt;=$NR$23),IF($NO$23="Single_Point",IF(299=$NQ$23,$NM$23,0),IF($NO$23="Bell_Curve",$NM$23*(299-$NQ$23+1)*($NR$23-299+1)/$NT$23,$NM$23/$NS$23)),0)</f>
        <v/>
      </c>
      <c r="KQ23" s="18">
        <f>IF(AND(300&gt;=$NQ$23,300&lt;=$NR$23),IF($NO$23="Single_Point",IF(300=$NQ$23,$NM$23,0),IF($NO$23="Bell_Curve",$NM$23*(300-$NQ$23+1)*($NR$23-300+1)/$NT$23,$NM$23/$NS$23)),0)</f>
        <v/>
      </c>
      <c r="KR23" s="18">
        <f>IF(AND(301&gt;=$NQ$23,301&lt;=$NR$23),IF($NO$23="Single_Point",IF(301=$NQ$23,$NM$23,0),IF($NO$23="Bell_Curve",$NM$23*(301-$NQ$23+1)*($NR$23-301+1)/$NT$23,$NM$23/$NS$23)),0)</f>
        <v/>
      </c>
      <c r="KS23" s="18">
        <f>IF(AND(302&gt;=$NQ$23,302&lt;=$NR$23),IF($NO$23="Single_Point",IF(302=$NQ$23,$NM$23,0),IF($NO$23="Bell_Curve",$NM$23*(302-$NQ$23+1)*($NR$23-302+1)/$NT$23,$NM$23/$NS$23)),0)</f>
        <v/>
      </c>
      <c r="KT23" s="18">
        <f>IF(AND(303&gt;=$NQ$23,303&lt;=$NR$23),IF($NO$23="Single_Point",IF(303=$NQ$23,$NM$23,0),IF($NO$23="Bell_Curve",$NM$23*(303-$NQ$23+1)*($NR$23-303+1)/$NT$23,$NM$23/$NS$23)),0)</f>
        <v/>
      </c>
      <c r="KU23" s="18">
        <f>IF(AND(304&gt;=$NQ$23,304&lt;=$NR$23),IF($NO$23="Single_Point",IF(304=$NQ$23,$NM$23,0),IF($NO$23="Bell_Curve",$NM$23*(304-$NQ$23+1)*($NR$23-304+1)/$NT$23,$NM$23/$NS$23)),0)</f>
        <v/>
      </c>
      <c r="KV23" s="18">
        <f>IF(AND(305&gt;=$NQ$23,305&lt;=$NR$23),IF($NO$23="Single_Point",IF(305=$NQ$23,$NM$23,0),IF($NO$23="Bell_Curve",$NM$23*(305-$NQ$23+1)*($NR$23-305+1)/$NT$23,$NM$23/$NS$23)),0)</f>
        <v/>
      </c>
      <c r="KW23" s="18">
        <f>IF(AND(306&gt;=$NQ$23,306&lt;=$NR$23),IF($NO$23="Single_Point",IF(306=$NQ$23,$NM$23,0),IF($NO$23="Bell_Curve",$NM$23*(306-$NQ$23+1)*($NR$23-306+1)/$NT$23,$NM$23/$NS$23)),0)</f>
        <v/>
      </c>
      <c r="KX23" s="18">
        <f>IF(AND(307&gt;=$NQ$23,307&lt;=$NR$23),IF($NO$23="Single_Point",IF(307=$NQ$23,$NM$23,0),IF($NO$23="Bell_Curve",$NM$23*(307-$NQ$23+1)*($NR$23-307+1)/$NT$23,$NM$23/$NS$23)),0)</f>
        <v/>
      </c>
      <c r="KY23" s="18">
        <f>IF(AND(308&gt;=$NQ$23,308&lt;=$NR$23),IF($NO$23="Single_Point",IF(308=$NQ$23,$NM$23,0),IF($NO$23="Bell_Curve",$NM$23*(308-$NQ$23+1)*($NR$23-308+1)/$NT$23,$NM$23/$NS$23)),0)</f>
        <v/>
      </c>
      <c r="KZ23" s="18">
        <f>IF(AND(309&gt;=$NQ$23,309&lt;=$NR$23),IF($NO$23="Single_Point",IF(309=$NQ$23,$NM$23,0),IF($NO$23="Bell_Curve",$NM$23*(309-$NQ$23+1)*($NR$23-309+1)/$NT$23,$NM$23/$NS$23)),0)</f>
        <v/>
      </c>
      <c r="LA23" s="18">
        <f>IF(AND(310&gt;=$NQ$23,310&lt;=$NR$23),IF($NO$23="Single_Point",IF(310=$NQ$23,$NM$23,0),IF($NO$23="Bell_Curve",$NM$23*(310-$NQ$23+1)*($NR$23-310+1)/$NT$23,$NM$23/$NS$23)),0)</f>
        <v/>
      </c>
      <c r="LB23" s="18">
        <f>IF(AND(311&gt;=$NQ$23,311&lt;=$NR$23),IF($NO$23="Single_Point",IF(311=$NQ$23,$NM$23,0),IF($NO$23="Bell_Curve",$NM$23*(311-$NQ$23+1)*($NR$23-311+1)/$NT$23,$NM$23/$NS$23)),0)</f>
        <v/>
      </c>
      <c r="LC23" s="18">
        <f>IF(AND(312&gt;=$NQ$23,312&lt;=$NR$23),IF($NO$23="Single_Point",IF(312=$NQ$23,$NM$23,0),IF($NO$23="Bell_Curve",$NM$23*(312-$NQ$23+1)*($NR$23-312+1)/$NT$23,$NM$23/$NS$23)),0)</f>
        <v/>
      </c>
      <c r="LD23" s="18">
        <f>IF(AND(313&gt;=$NQ$23,313&lt;=$NR$23),IF($NO$23="Single_Point",IF(313=$NQ$23,$NM$23,0),IF($NO$23="Bell_Curve",$NM$23*(313-$NQ$23+1)*($NR$23-313+1)/$NT$23,$NM$23/$NS$23)),0)</f>
        <v/>
      </c>
      <c r="LE23" s="18">
        <f>IF(AND(314&gt;=$NQ$23,314&lt;=$NR$23),IF($NO$23="Single_Point",IF(314=$NQ$23,$NM$23,0),IF($NO$23="Bell_Curve",$NM$23*(314-$NQ$23+1)*($NR$23-314+1)/$NT$23,$NM$23/$NS$23)),0)</f>
        <v/>
      </c>
      <c r="LF23" s="18">
        <f>IF(AND(315&gt;=$NQ$23,315&lt;=$NR$23),IF($NO$23="Single_Point",IF(315=$NQ$23,$NM$23,0),IF($NO$23="Bell_Curve",$NM$23*(315-$NQ$23+1)*($NR$23-315+1)/$NT$23,$NM$23/$NS$23)),0)</f>
        <v/>
      </c>
      <c r="LG23" s="18">
        <f>IF(AND(316&gt;=$NQ$23,316&lt;=$NR$23),IF($NO$23="Single_Point",IF(316=$NQ$23,$NM$23,0),IF($NO$23="Bell_Curve",$NM$23*(316-$NQ$23+1)*($NR$23-316+1)/$NT$23,$NM$23/$NS$23)),0)</f>
        <v/>
      </c>
      <c r="LH23" s="18">
        <f>IF(AND(317&gt;=$NQ$23,317&lt;=$NR$23),IF($NO$23="Single_Point",IF(317=$NQ$23,$NM$23,0),IF($NO$23="Bell_Curve",$NM$23*(317-$NQ$23+1)*($NR$23-317+1)/$NT$23,$NM$23/$NS$23)),0)</f>
        <v/>
      </c>
      <c r="LI23" s="18">
        <f>IF(AND(318&gt;=$NQ$23,318&lt;=$NR$23),IF($NO$23="Single_Point",IF(318=$NQ$23,$NM$23,0),IF($NO$23="Bell_Curve",$NM$23*(318-$NQ$23+1)*($NR$23-318+1)/$NT$23,$NM$23/$NS$23)),0)</f>
        <v/>
      </c>
      <c r="LJ23" s="18">
        <f>IF(AND(319&gt;=$NQ$23,319&lt;=$NR$23),IF($NO$23="Single_Point",IF(319=$NQ$23,$NM$23,0),IF($NO$23="Bell_Curve",$NM$23*(319-$NQ$23+1)*($NR$23-319+1)/$NT$23,$NM$23/$NS$23)),0)</f>
        <v/>
      </c>
      <c r="LK23" s="18">
        <f>IF(AND(320&gt;=$NQ$23,320&lt;=$NR$23),IF($NO$23="Single_Point",IF(320=$NQ$23,$NM$23,0),IF($NO$23="Bell_Curve",$NM$23*(320-$NQ$23+1)*($NR$23-320+1)/$NT$23,$NM$23/$NS$23)),0)</f>
        <v/>
      </c>
      <c r="LL23" s="18">
        <f>IF(AND(321&gt;=$NQ$23,321&lt;=$NR$23),IF($NO$23="Single_Point",IF(321=$NQ$23,$NM$23,0),IF($NO$23="Bell_Curve",$NM$23*(321-$NQ$23+1)*($NR$23-321+1)/$NT$23,$NM$23/$NS$23)),0)</f>
        <v/>
      </c>
      <c r="LM23" s="18">
        <f>IF(AND(322&gt;=$NQ$23,322&lt;=$NR$23),IF($NO$23="Single_Point",IF(322=$NQ$23,$NM$23,0),IF($NO$23="Bell_Curve",$NM$23*(322-$NQ$23+1)*($NR$23-322+1)/$NT$23,$NM$23/$NS$23)),0)</f>
        <v/>
      </c>
      <c r="LN23" s="18">
        <f>IF(AND(323&gt;=$NQ$23,323&lt;=$NR$23),IF($NO$23="Single_Point",IF(323=$NQ$23,$NM$23,0),IF($NO$23="Bell_Curve",$NM$23*(323-$NQ$23+1)*($NR$23-323+1)/$NT$23,$NM$23/$NS$23)),0)</f>
        <v/>
      </c>
      <c r="LO23" s="18">
        <f>IF(AND(324&gt;=$NQ$23,324&lt;=$NR$23),IF($NO$23="Single_Point",IF(324=$NQ$23,$NM$23,0),IF($NO$23="Bell_Curve",$NM$23*(324-$NQ$23+1)*($NR$23-324+1)/$NT$23,$NM$23/$NS$23)),0)</f>
        <v/>
      </c>
      <c r="LP23" s="18">
        <f>IF(AND(325&gt;=$NQ$23,325&lt;=$NR$23),IF($NO$23="Single_Point",IF(325=$NQ$23,$NM$23,0),IF($NO$23="Bell_Curve",$NM$23*(325-$NQ$23+1)*($NR$23-325+1)/$NT$23,$NM$23/$NS$23)),0)</f>
        <v/>
      </c>
      <c r="LQ23" s="18">
        <f>IF(AND(326&gt;=$NQ$23,326&lt;=$NR$23),IF($NO$23="Single_Point",IF(326=$NQ$23,$NM$23,0),IF($NO$23="Bell_Curve",$NM$23*(326-$NQ$23+1)*($NR$23-326+1)/$NT$23,$NM$23/$NS$23)),0)</f>
        <v/>
      </c>
      <c r="LR23" s="18">
        <f>IF(AND(327&gt;=$NQ$23,327&lt;=$NR$23),IF($NO$23="Single_Point",IF(327=$NQ$23,$NM$23,0),IF($NO$23="Bell_Curve",$NM$23*(327-$NQ$23+1)*($NR$23-327+1)/$NT$23,$NM$23/$NS$23)),0)</f>
        <v/>
      </c>
      <c r="LS23" s="18">
        <f>IF(AND(328&gt;=$NQ$23,328&lt;=$NR$23),IF($NO$23="Single_Point",IF(328=$NQ$23,$NM$23,0),IF($NO$23="Bell_Curve",$NM$23*(328-$NQ$23+1)*($NR$23-328+1)/$NT$23,$NM$23/$NS$23)),0)</f>
        <v/>
      </c>
      <c r="LT23" s="18">
        <f>IF(AND(329&gt;=$NQ$23,329&lt;=$NR$23),IF($NO$23="Single_Point",IF(329=$NQ$23,$NM$23,0),IF($NO$23="Bell_Curve",$NM$23*(329-$NQ$23+1)*($NR$23-329+1)/$NT$23,$NM$23/$NS$23)),0)</f>
        <v/>
      </c>
      <c r="LU23" s="18">
        <f>IF(AND(330&gt;=$NQ$23,330&lt;=$NR$23),IF($NO$23="Single_Point",IF(330=$NQ$23,$NM$23,0),IF($NO$23="Bell_Curve",$NM$23*(330-$NQ$23+1)*($NR$23-330+1)/$NT$23,$NM$23/$NS$23)),0)</f>
        <v/>
      </c>
      <c r="LV23" s="18">
        <f>IF(AND(331&gt;=$NQ$23,331&lt;=$NR$23),IF($NO$23="Single_Point",IF(331=$NQ$23,$NM$23,0),IF($NO$23="Bell_Curve",$NM$23*(331-$NQ$23+1)*($NR$23-331+1)/$NT$23,$NM$23/$NS$23)),0)</f>
        <v/>
      </c>
      <c r="LW23" s="18">
        <f>IF(AND(332&gt;=$NQ$23,332&lt;=$NR$23),IF($NO$23="Single_Point",IF(332=$NQ$23,$NM$23,0),IF($NO$23="Bell_Curve",$NM$23*(332-$NQ$23+1)*($NR$23-332+1)/$NT$23,$NM$23/$NS$23)),0)</f>
        <v/>
      </c>
      <c r="LX23" s="18">
        <f>IF(AND(333&gt;=$NQ$23,333&lt;=$NR$23),IF($NO$23="Single_Point",IF(333=$NQ$23,$NM$23,0),IF($NO$23="Bell_Curve",$NM$23*(333-$NQ$23+1)*($NR$23-333+1)/$NT$23,$NM$23/$NS$23)),0)</f>
        <v/>
      </c>
      <c r="LY23" s="18">
        <f>IF(AND(334&gt;=$NQ$23,334&lt;=$NR$23),IF($NO$23="Single_Point",IF(334=$NQ$23,$NM$23,0),IF($NO$23="Bell_Curve",$NM$23*(334-$NQ$23+1)*($NR$23-334+1)/$NT$23,$NM$23/$NS$23)),0)</f>
        <v/>
      </c>
      <c r="LZ23" s="18">
        <f>IF(AND(335&gt;=$NQ$23,335&lt;=$NR$23),IF($NO$23="Single_Point",IF(335=$NQ$23,$NM$23,0),IF($NO$23="Bell_Curve",$NM$23*(335-$NQ$23+1)*($NR$23-335+1)/$NT$23,$NM$23/$NS$23)),0)</f>
        <v/>
      </c>
      <c r="MA23" s="18">
        <f>IF(AND(336&gt;=$NQ$23,336&lt;=$NR$23),IF($NO$23="Single_Point",IF(336=$NQ$23,$NM$23,0),IF($NO$23="Bell_Curve",$NM$23*(336-$NQ$23+1)*($NR$23-336+1)/$NT$23,$NM$23/$NS$23)),0)</f>
        <v/>
      </c>
      <c r="MB23" s="18">
        <f>IF(AND(337&gt;=$NQ$23,337&lt;=$NR$23),IF($NO$23="Single_Point",IF(337=$NQ$23,$NM$23,0),IF($NO$23="Bell_Curve",$NM$23*(337-$NQ$23+1)*($NR$23-337+1)/$NT$23,$NM$23/$NS$23)),0)</f>
        <v/>
      </c>
      <c r="MC23" s="18">
        <f>IF(AND(338&gt;=$NQ$23,338&lt;=$NR$23),IF($NO$23="Single_Point",IF(338=$NQ$23,$NM$23,0),IF($NO$23="Bell_Curve",$NM$23*(338-$NQ$23+1)*($NR$23-338+1)/$NT$23,$NM$23/$NS$23)),0)</f>
        <v/>
      </c>
      <c r="MD23" s="18">
        <f>IF(AND(339&gt;=$NQ$23,339&lt;=$NR$23),IF($NO$23="Single_Point",IF(339=$NQ$23,$NM$23,0),IF($NO$23="Bell_Curve",$NM$23*(339-$NQ$23+1)*($NR$23-339+1)/$NT$23,$NM$23/$NS$23)),0)</f>
        <v/>
      </c>
      <c r="ME23" s="18">
        <f>IF(AND(340&gt;=$NQ$23,340&lt;=$NR$23),IF($NO$23="Single_Point",IF(340=$NQ$23,$NM$23,0),IF($NO$23="Bell_Curve",$NM$23*(340-$NQ$23+1)*($NR$23-340+1)/$NT$23,$NM$23/$NS$23)),0)</f>
        <v/>
      </c>
      <c r="MF23" s="18">
        <f>IF(AND(341&gt;=$NQ$23,341&lt;=$NR$23),IF($NO$23="Single_Point",IF(341=$NQ$23,$NM$23,0),IF($NO$23="Bell_Curve",$NM$23*(341-$NQ$23+1)*($NR$23-341+1)/$NT$23,$NM$23/$NS$23)),0)</f>
        <v/>
      </c>
      <c r="MG23" s="18">
        <f>IF(AND(342&gt;=$NQ$23,342&lt;=$NR$23),IF($NO$23="Single_Point",IF(342=$NQ$23,$NM$23,0),IF($NO$23="Bell_Curve",$NM$23*(342-$NQ$23+1)*($NR$23-342+1)/$NT$23,$NM$23/$NS$23)),0)</f>
        <v/>
      </c>
      <c r="MH23" s="18">
        <f>IF(AND(343&gt;=$NQ$23,343&lt;=$NR$23),IF($NO$23="Single_Point",IF(343=$NQ$23,$NM$23,0),IF($NO$23="Bell_Curve",$NM$23*(343-$NQ$23+1)*($NR$23-343+1)/$NT$23,$NM$23/$NS$23)),0)</f>
        <v/>
      </c>
      <c r="MI23" s="18">
        <f>IF(AND(344&gt;=$NQ$23,344&lt;=$NR$23),IF($NO$23="Single_Point",IF(344=$NQ$23,$NM$23,0),IF($NO$23="Bell_Curve",$NM$23*(344-$NQ$23+1)*($NR$23-344+1)/$NT$23,$NM$23/$NS$23)),0)</f>
        <v/>
      </c>
      <c r="MJ23" s="18">
        <f>IF(AND(345&gt;=$NQ$23,345&lt;=$NR$23),IF($NO$23="Single_Point",IF(345=$NQ$23,$NM$23,0),IF($NO$23="Bell_Curve",$NM$23*(345-$NQ$23+1)*($NR$23-345+1)/$NT$23,$NM$23/$NS$23)),0)</f>
        <v/>
      </c>
      <c r="MK23" s="18">
        <f>IF(AND(346&gt;=$NQ$23,346&lt;=$NR$23),IF($NO$23="Single_Point",IF(346=$NQ$23,$NM$23,0),IF($NO$23="Bell_Curve",$NM$23*(346-$NQ$23+1)*($NR$23-346+1)/$NT$23,$NM$23/$NS$23)),0)</f>
        <v/>
      </c>
      <c r="ML23" s="18">
        <f>IF(AND(347&gt;=$NQ$23,347&lt;=$NR$23),IF($NO$23="Single_Point",IF(347=$NQ$23,$NM$23,0),IF($NO$23="Bell_Curve",$NM$23*(347-$NQ$23+1)*($NR$23-347+1)/$NT$23,$NM$23/$NS$23)),0)</f>
        <v/>
      </c>
      <c r="MM23" s="18">
        <f>IF(AND(348&gt;=$NQ$23,348&lt;=$NR$23),IF($NO$23="Single_Point",IF(348=$NQ$23,$NM$23,0),IF($NO$23="Bell_Curve",$NM$23*(348-$NQ$23+1)*($NR$23-348+1)/$NT$23,$NM$23/$NS$23)),0)</f>
        <v/>
      </c>
      <c r="MN23" s="18">
        <f>IF(AND(349&gt;=$NQ$23,349&lt;=$NR$23),IF($NO$23="Single_Point",IF(349=$NQ$23,$NM$23,0),IF($NO$23="Bell_Curve",$NM$23*(349-$NQ$23+1)*($NR$23-349+1)/$NT$23,$NM$23/$NS$23)),0)</f>
        <v/>
      </c>
      <c r="MO23" s="18">
        <f>IF(AND(350&gt;=$NQ$23,350&lt;=$NR$23),IF($NO$23="Single_Point",IF(350=$NQ$23,$NM$23,0),IF($NO$23="Bell_Curve",$NM$23*(350-$NQ$23+1)*($NR$23-350+1)/$NT$23,$NM$23/$NS$23)),0)</f>
        <v/>
      </c>
      <c r="MP23" s="18">
        <f>IF(AND(351&gt;=$NQ$23,351&lt;=$NR$23),IF($NO$23="Single_Point",IF(351=$NQ$23,$NM$23,0),IF($NO$23="Bell_Curve",$NM$23*(351-$NQ$23+1)*($NR$23-351+1)/$NT$23,$NM$23/$NS$23)),0)</f>
        <v/>
      </c>
      <c r="MQ23" s="18">
        <f>IF(AND(352&gt;=$NQ$23,352&lt;=$NR$23),IF($NO$23="Single_Point",IF(352=$NQ$23,$NM$23,0),IF($NO$23="Bell_Curve",$NM$23*(352-$NQ$23+1)*($NR$23-352+1)/$NT$23,$NM$23/$NS$23)),0)</f>
        <v/>
      </c>
      <c r="MR23" s="18">
        <f>IF(AND(353&gt;=$NQ$23,353&lt;=$NR$23),IF($NO$23="Single_Point",IF(353=$NQ$23,$NM$23,0),IF($NO$23="Bell_Curve",$NM$23*(353-$NQ$23+1)*($NR$23-353+1)/$NT$23,$NM$23/$NS$23)),0)</f>
        <v/>
      </c>
      <c r="MS23" s="18">
        <f>IF(AND(354&gt;=$NQ$23,354&lt;=$NR$23),IF($NO$23="Single_Point",IF(354=$NQ$23,$NM$23,0),IF($NO$23="Bell_Curve",$NM$23*(354-$NQ$23+1)*($NR$23-354+1)/$NT$23,$NM$23/$NS$23)),0)</f>
        <v/>
      </c>
      <c r="MT23" s="18">
        <f>IF(AND(355&gt;=$NQ$23,355&lt;=$NR$23),IF($NO$23="Single_Point",IF(355=$NQ$23,$NM$23,0),IF($NO$23="Bell_Curve",$NM$23*(355-$NQ$23+1)*($NR$23-355+1)/$NT$23,$NM$23/$NS$23)),0)</f>
        <v/>
      </c>
      <c r="MU23" s="18">
        <f>IF(AND(356&gt;=$NQ$23,356&lt;=$NR$23),IF($NO$23="Single_Point",IF(356=$NQ$23,$NM$23,0),IF($NO$23="Bell_Curve",$NM$23*(356-$NQ$23+1)*($NR$23-356+1)/$NT$23,$NM$23/$NS$23)),0)</f>
        <v/>
      </c>
      <c r="MV23" s="18">
        <f>IF(AND(357&gt;=$NQ$23,357&lt;=$NR$23),IF($NO$23="Single_Point",IF(357=$NQ$23,$NM$23,0),IF($NO$23="Bell_Curve",$NM$23*(357-$NQ$23+1)*($NR$23-357+1)/$NT$23,$NM$23/$NS$23)),0)</f>
        <v/>
      </c>
      <c r="MW23" s="18">
        <f>IF(AND(358&gt;=$NQ$23,358&lt;=$NR$23),IF($NO$23="Single_Point",IF(358=$NQ$23,$NM$23,0),IF($NO$23="Bell_Curve",$NM$23*(358-$NQ$23+1)*($NR$23-358+1)/$NT$23,$NM$23/$NS$23)),0)</f>
        <v/>
      </c>
      <c r="MX23" s="18">
        <f>IF(AND(359&gt;=$NQ$23,359&lt;=$NR$23),IF($NO$23="Single_Point",IF(359=$NQ$23,$NM$23,0),IF($NO$23="Bell_Curve",$NM$23*(359-$NQ$23+1)*($NR$23-359+1)/$NT$23,$NM$23/$NS$23)),0)</f>
        <v/>
      </c>
      <c r="MY23" s="18">
        <f>IF(AND(360&gt;=$NQ$23,360&lt;=$NR$23),IF($NO$23="Single_Point",IF(360=$NQ$23,$NM$23,0),IF($NO$23="Bell_Curve",$NM$23*(360-$NQ$23+1)*($NR$23-360+1)/$NT$23,$NM$23/$NS$23)),0)</f>
        <v/>
      </c>
      <c r="MZ23" s="18">
        <f>IF(AND(361&gt;=$NQ$23,361&lt;=$NR$23),IF($NO$23="Single_Point",IF(361=$NQ$23,$NM$23,0),IF($NO$23="Bell_Curve",$NM$23*(361-$NQ$23+1)*($NR$23-361+1)/$NT$23,$NM$23/$NS$23)),0)</f>
        <v/>
      </c>
      <c r="NA23" s="18">
        <f>IF(AND(362&gt;=$NQ$23,362&lt;=$NR$23),IF($NO$23="Single_Point",IF(362=$NQ$23,$NM$23,0),IF($NO$23="Bell_Curve",$NM$23*(362-$NQ$23+1)*($NR$23-362+1)/$NT$23,$NM$23/$NS$23)),0)</f>
        <v/>
      </c>
      <c r="NB23" s="18">
        <f>IF(AND(363&gt;=$NQ$23,363&lt;=$NR$23),IF($NO$23="Single_Point",IF(363=$NQ$23,$NM$23,0),IF($NO$23="Bell_Curve",$NM$23*(363-$NQ$23+1)*($NR$23-363+1)/$NT$23,$NM$23/$NS$23)),0)</f>
        <v/>
      </c>
      <c r="NC23" s="18">
        <f>IF(AND(364&gt;=$NQ$23,364&lt;=$NR$23),IF($NO$23="Single_Point",IF(364=$NQ$23,$NM$23,0),IF($NO$23="Bell_Curve",$NM$23*(364-$NQ$23+1)*($NR$23-364+1)/$NT$23,$NM$23/$NS$23)),0)</f>
        <v/>
      </c>
      <c r="ND23" s="18">
        <f>IF(AND(365&gt;=$NQ$23,365&lt;=$NR$23),IF($NO$23="Single_Point",IF(365=$NQ$23,$NM$23,0),IF($NO$23="Bell_Curve",$NM$23*(365-$NQ$23+1)*($NR$23-365+1)/$NT$23,$NM$23/$NS$23)),0)</f>
        <v/>
      </c>
      <c r="NE23" s="18">
        <f>IF(AND(366&gt;=$NQ$23,366&lt;=$NR$23),IF($NO$23="Single_Point",IF(366=$NQ$23,$NM$23,0),IF($NO$23="Bell_Curve",$NM$23*(366-$NQ$23+1)*($NR$23-366+1)/$NT$23,$NM$23/$NS$23)),0)</f>
        <v/>
      </c>
      <c r="NF23" s="18">
        <f>IF(AND(367&gt;=$NQ$23,367&lt;=$NR$23),IF($NO$23="Single_Point",IF(367=$NQ$23,$NM$23,0),IF($NO$23="Bell_Curve",$NM$23*(367-$NQ$23+1)*($NR$23-367+1)/$NT$23,$NM$23/$NS$23)),0)</f>
        <v/>
      </c>
      <c r="NG23" s="18">
        <f>IF(AND(368&gt;=$NQ$23,368&lt;=$NR$23),IF($NO$23="Single_Point",IF(368=$NQ$23,$NM$23,0),IF($NO$23="Bell_Curve",$NM$23*(368-$NQ$23+1)*($NR$23-368+1)/$NT$23,$NM$23/$NS$23)),0)</f>
        <v/>
      </c>
      <c r="NH23" s="18">
        <f>IF(AND(369&gt;=$NQ$23,369&lt;=$NR$23),IF($NO$23="Single_Point",IF(369=$NQ$23,$NM$23,0),IF($NO$23="Bell_Curve",$NM$23*(369-$NQ$23+1)*($NR$23-369+1)/$NT$23,$NM$23/$NS$23)),0)</f>
        <v/>
      </c>
      <c r="NI23" s="18">
        <f>IF(AND(370&gt;=$NQ$23,370&lt;=$NR$23),IF($NO$23="Single_Point",IF(370=$NQ$23,$NM$23,0),IF($NO$23="Bell_Curve",$NM$23*(370-$NQ$23+1)*($NR$23-370+1)/$NT$23,$NM$23/$NS$23)),0)</f>
        <v/>
      </c>
      <c r="NJ23" s="18">
        <f>IF(AND(371&gt;=$NQ$23,371&lt;=$NR$23),IF($NO$23="Single_Point",IF(371=$NQ$23,$NM$23,0),IF($NO$23="Bell_Curve",$NM$23*(371-$NQ$23+1)*($NR$23-371+1)/$NT$23,$NM$23/$NS$23)),0)</f>
        <v/>
      </c>
      <c r="NK23" s="18">
        <f>IF(AND(372&gt;=$NQ$23,372&lt;=$NR$23),IF($NO$23="Single_Point",IF(372=$NQ$23,$NM$23,0),IF($NO$23="Bell_Curve",$NM$23*(372-$NQ$23+1)*($NR$23-372+1)/$NT$23,$NM$23/$NS$23)),0)</f>
        <v/>
      </c>
      <c r="NM23" s="18">
        <f>Budget!I22</f>
        <v/>
      </c>
      <c r="NN23" s="42">
        <f>Budget!F22</f>
        <v/>
      </c>
      <c r="NO23" s="42">
        <f>Budget!G22</f>
        <v/>
      </c>
      <c r="NP23" s="17">
        <f>Budget!H22</f>
        <v/>
      </c>
      <c r="NQ23" s="32">
        <f>MAX(1,MIN(372,INDEX(MilestoneStart,MATCH(NN23,MilestoneNames,0))+NP23))</f>
        <v/>
      </c>
      <c r="NR23" s="32">
        <f>MAX(NQ23,MIN(372,INDEX(MilestoneEnd,MATCH(NN23,MilestoneNames,0))+NP23))</f>
        <v/>
      </c>
      <c r="NS23" s="17">
        <f>NR23-NQ23+1</f>
        <v/>
      </c>
      <c r="NT23" s="17">
        <f>NS23*(NS23+1)*(NS23+2)/6</f>
        <v/>
      </c>
    </row>
    <row r="24">
      <c r="A24" s="5" t="inlineStr">
        <is>
          <t>Other Soft Cost 4</t>
        </is>
      </c>
      <c r="C24" s="41">
        <f>SUM(D24:NK24)</f>
        <v/>
      </c>
      <c r="D24" s="18">
        <f>IF(AND(1&gt;=$NQ$24,1&lt;=$NR$24),IF($NO$24="Single_Point",IF(1=$NQ$24,$NM$24,0),IF($NO$24="Bell_Curve",$NM$24*(1-$NQ$24+1)*($NR$24-1+1)/$NT$24,$NM$24/$NS$24)),0)</f>
        <v/>
      </c>
      <c r="E24" s="18">
        <f>IF(AND(2&gt;=$NQ$24,2&lt;=$NR$24),IF($NO$24="Single_Point",IF(2=$NQ$24,$NM$24,0),IF($NO$24="Bell_Curve",$NM$24*(2-$NQ$24+1)*($NR$24-2+1)/$NT$24,$NM$24/$NS$24)),0)</f>
        <v/>
      </c>
      <c r="F24" s="18">
        <f>IF(AND(3&gt;=$NQ$24,3&lt;=$NR$24),IF($NO$24="Single_Point",IF(3=$NQ$24,$NM$24,0),IF($NO$24="Bell_Curve",$NM$24*(3-$NQ$24+1)*($NR$24-3+1)/$NT$24,$NM$24/$NS$24)),0)</f>
        <v/>
      </c>
      <c r="G24" s="18">
        <f>IF(AND(4&gt;=$NQ$24,4&lt;=$NR$24),IF($NO$24="Single_Point",IF(4=$NQ$24,$NM$24,0),IF($NO$24="Bell_Curve",$NM$24*(4-$NQ$24+1)*($NR$24-4+1)/$NT$24,$NM$24/$NS$24)),0)</f>
        <v/>
      </c>
      <c r="H24" s="18">
        <f>IF(AND(5&gt;=$NQ$24,5&lt;=$NR$24),IF($NO$24="Single_Point",IF(5=$NQ$24,$NM$24,0),IF($NO$24="Bell_Curve",$NM$24*(5-$NQ$24+1)*($NR$24-5+1)/$NT$24,$NM$24/$NS$24)),0)</f>
        <v/>
      </c>
      <c r="I24" s="18">
        <f>IF(AND(6&gt;=$NQ$24,6&lt;=$NR$24),IF($NO$24="Single_Point",IF(6=$NQ$24,$NM$24,0),IF($NO$24="Bell_Curve",$NM$24*(6-$NQ$24+1)*($NR$24-6+1)/$NT$24,$NM$24/$NS$24)),0)</f>
        <v/>
      </c>
      <c r="J24" s="18">
        <f>IF(AND(7&gt;=$NQ$24,7&lt;=$NR$24),IF($NO$24="Single_Point",IF(7=$NQ$24,$NM$24,0),IF($NO$24="Bell_Curve",$NM$24*(7-$NQ$24+1)*($NR$24-7+1)/$NT$24,$NM$24/$NS$24)),0)</f>
        <v/>
      </c>
      <c r="K24" s="18">
        <f>IF(AND(8&gt;=$NQ$24,8&lt;=$NR$24),IF($NO$24="Single_Point",IF(8=$NQ$24,$NM$24,0),IF($NO$24="Bell_Curve",$NM$24*(8-$NQ$24+1)*($NR$24-8+1)/$NT$24,$NM$24/$NS$24)),0)</f>
        <v/>
      </c>
      <c r="L24" s="18">
        <f>IF(AND(9&gt;=$NQ$24,9&lt;=$NR$24),IF($NO$24="Single_Point",IF(9=$NQ$24,$NM$24,0),IF($NO$24="Bell_Curve",$NM$24*(9-$NQ$24+1)*($NR$24-9+1)/$NT$24,$NM$24/$NS$24)),0)</f>
        <v/>
      </c>
      <c r="M24" s="18">
        <f>IF(AND(10&gt;=$NQ$24,10&lt;=$NR$24),IF($NO$24="Single_Point",IF(10=$NQ$24,$NM$24,0),IF($NO$24="Bell_Curve",$NM$24*(10-$NQ$24+1)*($NR$24-10+1)/$NT$24,$NM$24/$NS$24)),0)</f>
        <v/>
      </c>
      <c r="N24" s="18">
        <f>IF(AND(11&gt;=$NQ$24,11&lt;=$NR$24),IF($NO$24="Single_Point",IF(11=$NQ$24,$NM$24,0),IF($NO$24="Bell_Curve",$NM$24*(11-$NQ$24+1)*($NR$24-11+1)/$NT$24,$NM$24/$NS$24)),0)</f>
        <v/>
      </c>
      <c r="O24" s="18">
        <f>IF(AND(12&gt;=$NQ$24,12&lt;=$NR$24),IF($NO$24="Single_Point",IF(12=$NQ$24,$NM$24,0),IF($NO$24="Bell_Curve",$NM$24*(12-$NQ$24+1)*($NR$24-12+1)/$NT$24,$NM$24/$NS$24)),0)</f>
        <v/>
      </c>
      <c r="P24" s="18">
        <f>IF(AND(13&gt;=$NQ$24,13&lt;=$NR$24),IF($NO$24="Single_Point",IF(13=$NQ$24,$NM$24,0),IF($NO$24="Bell_Curve",$NM$24*(13-$NQ$24+1)*($NR$24-13+1)/$NT$24,$NM$24/$NS$24)),0)</f>
        <v/>
      </c>
      <c r="Q24" s="18">
        <f>IF(AND(14&gt;=$NQ$24,14&lt;=$NR$24),IF($NO$24="Single_Point",IF(14=$NQ$24,$NM$24,0),IF($NO$24="Bell_Curve",$NM$24*(14-$NQ$24+1)*($NR$24-14+1)/$NT$24,$NM$24/$NS$24)),0)</f>
        <v/>
      </c>
      <c r="R24" s="18">
        <f>IF(AND(15&gt;=$NQ$24,15&lt;=$NR$24),IF($NO$24="Single_Point",IF(15=$NQ$24,$NM$24,0),IF($NO$24="Bell_Curve",$NM$24*(15-$NQ$24+1)*($NR$24-15+1)/$NT$24,$NM$24/$NS$24)),0)</f>
        <v/>
      </c>
      <c r="S24" s="18">
        <f>IF(AND(16&gt;=$NQ$24,16&lt;=$NR$24),IF($NO$24="Single_Point",IF(16=$NQ$24,$NM$24,0),IF($NO$24="Bell_Curve",$NM$24*(16-$NQ$24+1)*($NR$24-16+1)/$NT$24,$NM$24/$NS$24)),0)</f>
        <v/>
      </c>
      <c r="T24" s="18">
        <f>IF(AND(17&gt;=$NQ$24,17&lt;=$NR$24),IF($NO$24="Single_Point",IF(17=$NQ$24,$NM$24,0),IF($NO$24="Bell_Curve",$NM$24*(17-$NQ$24+1)*($NR$24-17+1)/$NT$24,$NM$24/$NS$24)),0)</f>
        <v/>
      </c>
      <c r="U24" s="18">
        <f>IF(AND(18&gt;=$NQ$24,18&lt;=$NR$24),IF($NO$24="Single_Point",IF(18=$NQ$24,$NM$24,0),IF($NO$24="Bell_Curve",$NM$24*(18-$NQ$24+1)*($NR$24-18+1)/$NT$24,$NM$24/$NS$24)),0)</f>
        <v/>
      </c>
      <c r="V24" s="18">
        <f>IF(AND(19&gt;=$NQ$24,19&lt;=$NR$24),IF($NO$24="Single_Point",IF(19=$NQ$24,$NM$24,0),IF($NO$24="Bell_Curve",$NM$24*(19-$NQ$24+1)*($NR$24-19+1)/$NT$24,$NM$24/$NS$24)),0)</f>
        <v/>
      </c>
      <c r="W24" s="18">
        <f>IF(AND(20&gt;=$NQ$24,20&lt;=$NR$24),IF($NO$24="Single_Point",IF(20=$NQ$24,$NM$24,0),IF($NO$24="Bell_Curve",$NM$24*(20-$NQ$24+1)*($NR$24-20+1)/$NT$24,$NM$24/$NS$24)),0)</f>
        <v/>
      </c>
      <c r="X24" s="18">
        <f>IF(AND(21&gt;=$NQ$24,21&lt;=$NR$24),IF($NO$24="Single_Point",IF(21=$NQ$24,$NM$24,0),IF($NO$24="Bell_Curve",$NM$24*(21-$NQ$24+1)*($NR$24-21+1)/$NT$24,$NM$24/$NS$24)),0)</f>
        <v/>
      </c>
      <c r="Y24" s="18">
        <f>IF(AND(22&gt;=$NQ$24,22&lt;=$NR$24),IF($NO$24="Single_Point",IF(22=$NQ$24,$NM$24,0),IF($NO$24="Bell_Curve",$NM$24*(22-$NQ$24+1)*($NR$24-22+1)/$NT$24,$NM$24/$NS$24)),0)</f>
        <v/>
      </c>
      <c r="Z24" s="18">
        <f>IF(AND(23&gt;=$NQ$24,23&lt;=$NR$24),IF($NO$24="Single_Point",IF(23=$NQ$24,$NM$24,0),IF($NO$24="Bell_Curve",$NM$24*(23-$NQ$24+1)*($NR$24-23+1)/$NT$24,$NM$24/$NS$24)),0)</f>
        <v/>
      </c>
      <c r="AA24" s="18">
        <f>IF(AND(24&gt;=$NQ$24,24&lt;=$NR$24),IF($NO$24="Single_Point",IF(24=$NQ$24,$NM$24,0),IF($NO$24="Bell_Curve",$NM$24*(24-$NQ$24+1)*($NR$24-24+1)/$NT$24,$NM$24/$NS$24)),0)</f>
        <v/>
      </c>
      <c r="AB24" s="18">
        <f>IF(AND(25&gt;=$NQ$24,25&lt;=$NR$24),IF($NO$24="Single_Point",IF(25=$NQ$24,$NM$24,0),IF($NO$24="Bell_Curve",$NM$24*(25-$NQ$24+1)*($NR$24-25+1)/$NT$24,$NM$24/$NS$24)),0)</f>
        <v/>
      </c>
      <c r="AC24" s="18">
        <f>IF(AND(26&gt;=$NQ$24,26&lt;=$NR$24),IF($NO$24="Single_Point",IF(26=$NQ$24,$NM$24,0),IF($NO$24="Bell_Curve",$NM$24*(26-$NQ$24+1)*($NR$24-26+1)/$NT$24,$NM$24/$NS$24)),0)</f>
        <v/>
      </c>
      <c r="AD24" s="18">
        <f>IF(AND(27&gt;=$NQ$24,27&lt;=$NR$24),IF($NO$24="Single_Point",IF(27=$NQ$24,$NM$24,0),IF($NO$24="Bell_Curve",$NM$24*(27-$NQ$24+1)*($NR$24-27+1)/$NT$24,$NM$24/$NS$24)),0)</f>
        <v/>
      </c>
      <c r="AE24" s="18">
        <f>IF(AND(28&gt;=$NQ$24,28&lt;=$NR$24),IF($NO$24="Single_Point",IF(28=$NQ$24,$NM$24,0),IF($NO$24="Bell_Curve",$NM$24*(28-$NQ$24+1)*($NR$24-28+1)/$NT$24,$NM$24/$NS$24)),0)</f>
        <v/>
      </c>
      <c r="AF24" s="18">
        <f>IF(AND(29&gt;=$NQ$24,29&lt;=$NR$24),IF($NO$24="Single_Point",IF(29=$NQ$24,$NM$24,0),IF($NO$24="Bell_Curve",$NM$24*(29-$NQ$24+1)*($NR$24-29+1)/$NT$24,$NM$24/$NS$24)),0)</f>
        <v/>
      </c>
      <c r="AG24" s="18">
        <f>IF(AND(30&gt;=$NQ$24,30&lt;=$NR$24),IF($NO$24="Single_Point",IF(30=$NQ$24,$NM$24,0),IF($NO$24="Bell_Curve",$NM$24*(30-$NQ$24+1)*($NR$24-30+1)/$NT$24,$NM$24/$NS$24)),0)</f>
        <v/>
      </c>
      <c r="AH24" s="18">
        <f>IF(AND(31&gt;=$NQ$24,31&lt;=$NR$24),IF($NO$24="Single_Point",IF(31=$NQ$24,$NM$24,0),IF($NO$24="Bell_Curve",$NM$24*(31-$NQ$24+1)*($NR$24-31+1)/$NT$24,$NM$24/$NS$24)),0)</f>
        <v/>
      </c>
      <c r="AI24" s="18">
        <f>IF(AND(32&gt;=$NQ$24,32&lt;=$NR$24),IF($NO$24="Single_Point",IF(32=$NQ$24,$NM$24,0),IF($NO$24="Bell_Curve",$NM$24*(32-$NQ$24+1)*($NR$24-32+1)/$NT$24,$NM$24/$NS$24)),0)</f>
        <v/>
      </c>
      <c r="AJ24" s="18">
        <f>IF(AND(33&gt;=$NQ$24,33&lt;=$NR$24),IF($NO$24="Single_Point",IF(33=$NQ$24,$NM$24,0),IF($NO$24="Bell_Curve",$NM$24*(33-$NQ$24+1)*($NR$24-33+1)/$NT$24,$NM$24/$NS$24)),0)</f>
        <v/>
      </c>
      <c r="AK24" s="18">
        <f>IF(AND(34&gt;=$NQ$24,34&lt;=$NR$24),IF($NO$24="Single_Point",IF(34=$NQ$24,$NM$24,0),IF($NO$24="Bell_Curve",$NM$24*(34-$NQ$24+1)*($NR$24-34+1)/$NT$24,$NM$24/$NS$24)),0)</f>
        <v/>
      </c>
      <c r="AL24" s="18">
        <f>IF(AND(35&gt;=$NQ$24,35&lt;=$NR$24),IF($NO$24="Single_Point",IF(35=$NQ$24,$NM$24,0),IF($NO$24="Bell_Curve",$NM$24*(35-$NQ$24+1)*($NR$24-35+1)/$NT$24,$NM$24/$NS$24)),0)</f>
        <v/>
      </c>
      <c r="AM24" s="18">
        <f>IF(AND(36&gt;=$NQ$24,36&lt;=$NR$24),IF($NO$24="Single_Point",IF(36=$NQ$24,$NM$24,0),IF($NO$24="Bell_Curve",$NM$24*(36-$NQ$24+1)*($NR$24-36+1)/$NT$24,$NM$24/$NS$24)),0)</f>
        <v/>
      </c>
      <c r="AN24" s="18">
        <f>IF(AND(37&gt;=$NQ$24,37&lt;=$NR$24),IF($NO$24="Single_Point",IF(37=$NQ$24,$NM$24,0),IF($NO$24="Bell_Curve",$NM$24*(37-$NQ$24+1)*($NR$24-37+1)/$NT$24,$NM$24/$NS$24)),0)</f>
        <v/>
      </c>
      <c r="AO24" s="18">
        <f>IF(AND(38&gt;=$NQ$24,38&lt;=$NR$24),IF($NO$24="Single_Point",IF(38=$NQ$24,$NM$24,0),IF($NO$24="Bell_Curve",$NM$24*(38-$NQ$24+1)*($NR$24-38+1)/$NT$24,$NM$24/$NS$24)),0)</f>
        <v/>
      </c>
      <c r="AP24" s="18">
        <f>IF(AND(39&gt;=$NQ$24,39&lt;=$NR$24),IF($NO$24="Single_Point",IF(39=$NQ$24,$NM$24,0),IF($NO$24="Bell_Curve",$NM$24*(39-$NQ$24+1)*($NR$24-39+1)/$NT$24,$NM$24/$NS$24)),0)</f>
        <v/>
      </c>
      <c r="AQ24" s="18">
        <f>IF(AND(40&gt;=$NQ$24,40&lt;=$NR$24),IF($NO$24="Single_Point",IF(40=$NQ$24,$NM$24,0),IF($NO$24="Bell_Curve",$NM$24*(40-$NQ$24+1)*($NR$24-40+1)/$NT$24,$NM$24/$NS$24)),0)</f>
        <v/>
      </c>
      <c r="AR24" s="18">
        <f>IF(AND(41&gt;=$NQ$24,41&lt;=$NR$24),IF($NO$24="Single_Point",IF(41=$NQ$24,$NM$24,0),IF($NO$24="Bell_Curve",$NM$24*(41-$NQ$24+1)*($NR$24-41+1)/$NT$24,$NM$24/$NS$24)),0)</f>
        <v/>
      </c>
      <c r="AS24" s="18">
        <f>IF(AND(42&gt;=$NQ$24,42&lt;=$NR$24),IF($NO$24="Single_Point",IF(42=$NQ$24,$NM$24,0),IF($NO$24="Bell_Curve",$NM$24*(42-$NQ$24+1)*($NR$24-42+1)/$NT$24,$NM$24/$NS$24)),0)</f>
        <v/>
      </c>
      <c r="AT24" s="18">
        <f>IF(AND(43&gt;=$NQ$24,43&lt;=$NR$24),IF($NO$24="Single_Point",IF(43=$NQ$24,$NM$24,0),IF($NO$24="Bell_Curve",$NM$24*(43-$NQ$24+1)*($NR$24-43+1)/$NT$24,$NM$24/$NS$24)),0)</f>
        <v/>
      </c>
      <c r="AU24" s="18">
        <f>IF(AND(44&gt;=$NQ$24,44&lt;=$NR$24),IF($NO$24="Single_Point",IF(44=$NQ$24,$NM$24,0),IF($NO$24="Bell_Curve",$NM$24*(44-$NQ$24+1)*($NR$24-44+1)/$NT$24,$NM$24/$NS$24)),0)</f>
        <v/>
      </c>
      <c r="AV24" s="18">
        <f>IF(AND(45&gt;=$NQ$24,45&lt;=$NR$24),IF($NO$24="Single_Point",IF(45=$NQ$24,$NM$24,0),IF($NO$24="Bell_Curve",$NM$24*(45-$NQ$24+1)*($NR$24-45+1)/$NT$24,$NM$24/$NS$24)),0)</f>
        <v/>
      </c>
      <c r="AW24" s="18">
        <f>IF(AND(46&gt;=$NQ$24,46&lt;=$NR$24),IF($NO$24="Single_Point",IF(46=$NQ$24,$NM$24,0),IF($NO$24="Bell_Curve",$NM$24*(46-$NQ$24+1)*($NR$24-46+1)/$NT$24,$NM$24/$NS$24)),0)</f>
        <v/>
      </c>
      <c r="AX24" s="18">
        <f>IF(AND(47&gt;=$NQ$24,47&lt;=$NR$24),IF($NO$24="Single_Point",IF(47=$NQ$24,$NM$24,0),IF($NO$24="Bell_Curve",$NM$24*(47-$NQ$24+1)*($NR$24-47+1)/$NT$24,$NM$24/$NS$24)),0)</f>
        <v/>
      </c>
      <c r="AY24" s="18">
        <f>IF(AND(48&gt;=$NQ$24,48&lt;=$NR$24),IF($NO$24="Single_Point",IF(48=$NQ$24,$NM$24,0),IF($NO$24="Bell_Curve",$NM$24*(48-$NQ$24+1)*($NR$24-48+1)/$NT$24,$NM$24/$NS$24)),0)</f>
        <v/>
      </c>
      <c r="AZ24" s="18">
        <f>IF(AND(49&gt;=$NQ$24,49&lt;=$NR$24),IF($NO$24="Single_Point",IF(49=$NQ$24,$NM$24,0),IF($NO$24="Bell_Curve",$NM$24*(49-$NQ$24+1)*($NR$24-49+1)/$NT$24,$NM$24/$NS$24)),0)</f>
        <v/>
      </c>
      <c r="BA24" s="18">
        <f>IF(AND(50&gt;=$NQ$24,50&lt;=$NR$24),IF($NO$24="Single_Point",IF(50=$NQ$24,$NM$24,0),IF($NO$24="Bell_Curve",$NM$24*(50-$NQ$24+1)*($NR$24-50+1)/$NT$24,$NM$24/$NS$24)),0)</f>
        <v/>
      </c>
      <c r="BB24" s="18">
        <f>IF(AND(51&gt;=$NQ$24,51&lt;=$NR$24),IF($NO$24="Single_Point",IF(51=$NQ$24,$NM$24,0),IF($NO$24="Bell_Curve",$NM$24*(51-$NQ$24+1)*($NR$24-51+1)/$NT$24,$NM$24/$NS$24)),0)</f>
        <v/>
      </c>
      <c r="BC24" s="18">
        <f>IF(AND(52&gt;=$NQ$24,52&lt;=$NR$24),IF($NO$24="Single_Point",IF(52=$NQ$24,$NM$24,0),IF($NO$24="Bell_Curve",$NM$24*(52-$NQ$24+1)*($NR$24-52+1)/$NT$24,$NM$24/$NS$24)),0)</f>
        <v/>
      </c>
      <c r="BD24" s="18">
        <f>IF(AND(53&gt;=$NQ$24,53&lt;=$NR$24),IF($NO$24="Single_Point",IF(53=$NQ$24,$NM$24,0),IF($NO$24="Bell_Curve",$NM$24*(53-$NQ$24+1)*($NR$24-53+1)/$NT$24,$NM$24/$NS$24)),0)</f>
        <v/>
      </c>
      <c r="BE24" s="18">
        <f>IF(AND(54&gt;=$NQ$24,54&lt;=$NR$24),IF($NO$24="Single_Point",IF(54=$NQ$24,$NM$24,0),IF($NO$24="Bell_Curve",$NM$24*(54-$NQ$24+1)*($NR$24-54+1)/$NT$24,$NM$24/$NS$24)),0)</f>
        <v/>
      </c>
      <c r="BF24" s="18">
        <f>IF(AND(55&gt;=$NQ$24,55&lt;=$NR$24),IF($NO$24="Single_Point",IF(55=$NQ$24,$NM$24,0),IF($NO$24="Bell_Curve",$NM$24*(55-$NQ$24+1)*($NR$24-55+1)/$NT$24,$NM$24/$NS$24)),0)</f>
        <v/>
      </c>
      <c r="BG24" s="18">
        <f>IF(AND(56&gt;=$NQ$24,56&lt;=$NR$24),IF($NO$24="Single_Point",IF(56=$NQ$24,$NM$24,0),IF($NO$24="Bell_Curve",$NM$24*(56-$NQ$24+1)*($NR$24-56+1)/$NT$24,$NM$24/$NS$24)),0)</f>
        <v/>
      </c>
      <c r="BH24" s="18">
        <f>IF(AND(57&gt;=$NQ$24,57&lt;=$NR$24),IF($NO$24="Single_Point",IF(57=$NQ$24,$NM$24,0),IF($NO$24="Bell_Curve",$NM$24*(57-$NQ$24+1)*($NR$24-57+1)/$NT$24,$NM$24/$NS$24)),0)</f>
        <v/>
      </c>
      <c r="BI24" s="18">
        <f>IF(AND(58&gt;=$NQ$24,58&lt;=$NR$24),IF($NO$24="Single_Point",IF(58=$NQ$24,$NM$24,0),IF($NO$24="Bell_Curve",$NM$24*(58-$NQ$24+1)*($NR$24-58+1)/$NT$24,$NM$24/$NS$24)),0)</f>
        <v/>
      </c>
      <c r="BJ24" s="18">
        <f>IF(AND(59&gt;=$NQ$24,59&lt;=$NR$24),IF($NO$24="Single_Point",IF(59=$NQ$24,$NM$24,0),IF($NO$24="Bell_Curve",$NM$24*(59-$NQ$24+1)*($NR$24-59+1)/$NT$24,$NM$24/$NS$24)),0)</f>
        <v/>
      </c>
      <c r="BK24" s="18">
        <f>IF(AND(60&gt;=$NQ$24,60&lt;=$NR$24),IF($NO$24="Single_Point",IF(60=$NQ$24,$NM$24,0),IF($NO$24="Bell_Curve",$NM$24*(60-$NQ$24+1)*($NR$24-60+1)/$NT$24,$NM$24/$NS$24)),0)</f>
        <v/>
      </c>
      <c r="BL24" s="18">
        <f>IF(AND(61&gt;=$NQ$24,61&lt;=$NR$24),IF($NO$24="Single_Point",IF(61=$NQ$24,$NM$24,0),IF($NO$24="Bell_Curve",$NM$24*(61-$NQ$24+1)*($NR$24-61+1)/$NT$24,$NM$24/$NS$24)),0)</f>
        <v/>
      </c>
      <c r="BM24" s="18">
        <f>IF(AND(62&gt;=$NQ$24,62&lt;=$NR$24),IF($NO$24="Single_Point",IF(62=$NQ$24,$NM$24,0),IF($NO$24="Bell_Curve",$NM$24*(62-$NQ$24+1)*($NR$24-62+1)/$NT$24,$NM$24/$NS$24)),0)</f>
        <v/>
      </c>
      <c r="BN24" s="18">
        <f>IF(AND(63&gt;=$NQ$24,63&lt;=$NR$24),IF($NO$24="Single_Point",IF(63=$NQ$24,$NM$24,0),IF($NO$24="Bell_Curve",$NM$24*(63-$NQ$24+1)*($NR$24-63+1)/$NT$24,$NM$24/$NS$24)),0)</f>
        <v/>
      </c>
      <c r="BO24" s="18">
        <f>IF(AND(64&gt;=$NQ$24,64&lt;=$NR$24),IF($NO$24="Single_Point",IF(64=$NQ$24,$NM$24,0),IF($NO$24="Bell_Curve",$NM$24*(64-$NQ$24+1)*($NR$24-64+1)/$NT$24,$NM$24/$NS$24)),0)</f>
        <v/>
      </c>
      <c r="BP24" s="18">
        <f>IF(AND(65&gt;=$NQ$24,65&lt;=$NR$24),IF($NO$24="Single_Point",IF(65=$NQ$24,$NM$24,0),IF($NO$24="Bell_Curve",$NM$24*(65-$NQ$24+1)*($NR$24-65+1)/$NT$24,$NM$24/$NS$24)),0)</f>
        <v/>
      </c>
      <c r="BQ24" s="18">
        <f>IF(AND(66&gt;=$NQ$24,66&lt;=$NR$24),IF($NO$24="Single_Point",IF(66=$NQ$24,$NM$24,0),IF($NO$24="Bell_Curve",$NM$24*(66-$NQ$24+1)*($NR$24-66+1)/$NT$24,$NM$24/$NS$24)),0)</f>
        <v/>
      </c>
      <c r="BR24" s="18">
        <f>IF(AND(67&gt;=$NQ$24,67&lt;=$NR$24),IF($NO$24="Single_Point",IF(67=$NQ$24,$NM$24,0),IF($NO$24="Bell_Curve",$NM$24*(67-$NQ$24+1)*($NR$24-67+1)/$NT$24,$NM$24/$NS$24)),0)</f>
        <v/>
      </c>
      <c r="BS24" s="18">
        <f>IF(AND(68&gt;=$NQ$24,68&lt;=$NR$24),IF($NO$24="Single_Point",IF(68=$NQ$24,$NM$24,0),IF($NO$24="Bell_Curve",$NM$24*(68-$NQ$24+1)*($NR$24-68+1)/$NT$24,$NM$24/$NS$24)),0)</f>
        <v/>
      </c>
      <c r="BT24" s="18">
        <f>IF(AND(69&gt;=$NQ$24,69&lt;=$NR$24),IF($NO$24="Single_Point",IF(69=$NQ$24,$NM$24,0),IF($NO$24="Bell_Curve",$NM$24*(69-$NQ$24+1)*($NR$24-69+1)/$NT$24,$NM$24/$NS$24)),0)</f>
        <v/>
      </c>
      <c r="BU24" s="18">
        <f>IF(AND(70&gt;=$NQ$24,70&lt;=$NR$24),IF($NO$24="Single_Point",IF(70=$NQ$24,$NM$24,0),IF($NO$24="Bell_Curve",$NM$24*(70-$NQ$24+1)*($NR$24-70+1)/$NT$24,$NM$24/$NS$24)),0)</f>
        <v/>
      </c>
      <c r="BV24" s="18">
        <f>IF(AND(71&gt;=$NQ$24,71&lt;=$NR$24),IF($NO$24="Single_Point",IF(71=$NQ$24,$NM$24,0),IF($NO$24="Bell_Curve",$NM$24*(71-$NQ$24+1)*($NR$24-71+1)/$NT$24,$NM$24/$NS$24)),0)</f>
        <v/>
      </c>
      <c r="BW24" s="18">
        <f>IF(AND(72&gt;=$NQ$24,72&lt;=$NR$24),IF($NO$24="Single_Point",IF(72=$NQ$24,$NM$24,0),IF($NO$24="Bell_Curve",$NM$24*(72-$NQ$24+1)*($NR$24-72+1)/$NT$24,$NM$24/$NS$24)),0)</f>
        <v/>
      </c>
      <c r="BX24" s="18">
        <f>IF(AND(73&gt;=$NQ$24,73&lt;=$NR$24),IF($NO$24="Single_Point",IF(73=$NQ$24,$NM$24,0),IF($NO$24="Bell_Curve",$NM$24*(73-$NQ$24+1)*($NR$24-73+1)/$NT$24,$NM$24/$NS$24)),0)</f>
        <v/>
      </c>
      <c r="BY24" s="18">
        <f>IF(AND(74&gt;=$NQ$24,74&lt;=$NR$24),IF($NO$24="Single_Point",IF(74=$NQ$24,$NM$24,0),IF($NO$24="Bell_Curve",$NM$24*(74-$NQ$24+1)*($NR$24-74+1)/$NT$24,$NM$24/$NS$24)),0)</f>
        <v/>
      </c>
      <c r="BZ24" s="18">
        <f>IF(AND(75&gt;=$NQ$24,75&lt;=$NR$24),IF($NO$24="Single_Point",IF(75=$NQ$24,$NM$24,0),IF($NO$24="Bell_Curve",$NM$24*(75-$NQ$24+1)*($NR$24-75+1)/$NT$24,$NM$24/$NS$24)),0)</f>
        <v/>
      </c>
      <c r="CA24" s="18">
        <f>IF(AND(76&gt;=$NQ$24,76&lt;=$NR$24),IF($NO$24="Single_Point",IF(76=$NQ$24,$NM$24,0),IF($NO$24="Bell_Curve",$NM$24*(76-$NQ$24+1)*($NR$24-76+1)/$NT$24,$NM$24/$NS$24)),0)</f>
        <v/>
      </c>
      <c r="CB24" s="18">
        <f>IF(AND(77&gt;=$NQ$24,77&lt;=$NR$24),IF($NO$24="Single_Point",IF(77=$NQ$24,$NM$24,0),IF($NO$24="Bell_Curve",$NM$24*(77-$NQ$24+1)*($NR$24-77+1)/$NT$24,$NM$24/$NS$24)),0)</f>
        <v/>
      </c>
      <c r="CC24" s="18">
        <f>IF(AND(78&gt;=$NQ$24,78&lt;=$NR$24),IF($NO$24="Single_Point",IF(78=$NQ$24,$NM$24,0),IF($NO$24="Bell_Curve",$NM$24*(78-$NQ$24+1)*($NR$24-78+1)/$NT$24,$NM$24/$NS$24)),0)</f>
        <v/>
      </c>
      <c r="CD24" s="18">
        <f>IF(AND(79&gt;=$NQ$24,79&lt;=$NR$24),IF($NO$24="Single_Point",IF(79=$NQ$24,$NM$24,0),IF($NO$24="Bell_Curve",$NM$24*(79-$NQ$24+1)*($NR$24-79+1)/$NT$24,$NM$24/$NS$24)),0)</f>
        <v/>
      </c>
      <c r="CE24" s="18">
        <f>IF(AND(80&gt;=$NQ$24,80&lt;=$NR$24),IF($NO$24="Single_Point",IF(80=$NQ$24,$NM$24,0),IF($NO$24="Bell_Curve",$NM$24*(80-$NQ$24+1)*($NR$24-80+1)/$NT$24,$NM$24/$NS$24)),0)</f>
        <v/>
      </c>
      <c r="CF24" s="18">
        <f>IF(AND(81&gt;=$NQ$24,81&lt;=$NR$24),IF($NO$24="Single_Point",IF(81=$NQ$24,$NM$24,0),IF($NO$24="Bell_Curve",$NM$24*(81-$NQ$24+1)*($NR$24-81+1)/$NT$24,$NM$24/$NS$24)),0)</f>
        <v/>
      </c>
      <c r="CG24" s="18">
        <f>IF(AND(82&gt;=$NQ$24,82&lt;=$NR$24),IF($NO$24="Single_Point",IF(82=$NQ$24,$NM$24,0),IF($NO$24="Bell_Curve",$NM$24*(82-$NQ$24+1)*($NR$24-82+1)/$NT$24,$NM$24/$NS$24)),0)</f>
        <v/>
      </c>
      <c r="CH24" s="18">
        <f>IF(AND(83&gt;=$NQ$24,83&lt;=$NR$24),IF($NO$24="Single_Point",IF(83=$NQ$24,$NM$24,0),IF($NO$24="Bell_Curve",$NM$24*(83-$NQ$24+1)*($NR$24-83+1)/$NT$24,$NM$24/$NS$24)),0)</f>
        <v/>
      </c>
      <c r="CI24" s="18">
        <f>IF(AND(84&gt;=$NQ$24,84&lt;=$NR$24),IF($NO$24="Single_Point",IF(84=$NQ$24,$NM$24,0),IF($NO$24="Bell_Curve",$NM$24*(84-$NQ$24+1)*($NR$24-84+1)/$NT$24,$NM$24/$NS$24)),0)</f>
        <v/>
      </c>
      <c r="CJ24" s="18">
        <f>IF(AND(85&gt;=$NQ$24,85&lt;=$NR$24),IF($NO$24="Single_Point",IF(85=$NQ$24,$NM$24,0),IF($NO$24="Bell_Curve",$NM$24*(85-$NQ$24+1)*($NR$24-85+1)/$NT$24,$NM$24/$NS$24)),0)</f>
        <v/>
      </c>
      <c r="CK24" s="18">
        <f>IF(AND(86&gt;=$NQ$24,86&lt;=$NR$24),IF($NO$24="Single_Point",IF(86=$NQ$24,$NM$24,0),IF($NO$24="Bell_Curve",$NM$24*(86-$NQ$24+1)*($NR$24-86+1)/$NT$24,$NM$24/$NS$24)),0)</f>
        <v/>
      </c>
      <c r="CL24" s="18">
        <f>IF(AND(87&gt;=$NQ$24,87&lt;=$NR$24),IF($NO$24="Single_Point",IF(87=$NQ$24,$NM$24,0),IF($NO$24="Bell_Curve",$NM$24*(87-$NQ$24+1)*($NR$24-87+1)/$NT$24,$NM$24/$NS$24)),0)</f>
        <v/>
      </c>
      <c r="CM24" s="18">
        <f>IF(AND(88&gt;=$NQ$24,88&lt;=$NR$24),IF($NO$24="Single_Point",IF(88=$NQ$24,$NM$24,0),IF($NO$24="Bell_Curve",$NM$24*(88-$NQ$24+1)*($NR$24-88+1)/$NT$24,$NM$24/$NS$24)),0)</f>
        <v/>
      </c>
      <c r="CN24" s="18">
        <f>IF(AND(89&gt;=$NQ$24,89&lt;=$NR$24),IF($NO$24="Single_Point",IF(89=$NQ$24,$NM$24,0),IF($NO$24="Bell_Curve",$NM$24*(89-$NQ$24+1)*($NR$24-89+1)/$NT$24,$NM$24/$NS$24)),0)</f>
        <v/>
      </c>
      <c r="CO24" s="18">
        <f>IF(AND(90&gt;=$NQ$24,90&lt;=$NR$24),IF($NO$24="Single_Point",IF(90=$NQ$24,$NM$24,0),IF($NO$24="Bell_Curve",$NM$24*(90-$NQ$24+1)*($NR$24-90+1)/$NT$24,$NM$24/$NS$24)),0)</f>
        <v/>
      </c>
      <c r="CP24" s="18">
        <f>IF(AND(91&gt;=$NQ$24,91&lt;=$NR$24),IF($NO$24="Single_Point",IF(91=$NQ$24,$NM$24,0),IF($NO$24="Bell_Curve",$NM$24*(91-$NQ$24+1)*($NR$24-91+1)/$NT$24,$NM$24/$NS$24)),0)</f>
        <v/>
      </c>
      <c r="CQ24" s="18">
        <f>IF(AND(92&gt;=$NQ$24,92&lt;=$NR$24),IF($NO$24="Single_Point",IF(92=$NQ$24,$NM$24,0),IF($NO$24="Bell_Curve",$NM$24*(92-$NQ$24+1)*($NR$24-92+1)/$NT$24,$NM$24/$NS$24)),0)</f>
        <v/>
      </c>
      <c r="CR24" s="18">
        <f>IF(AND(93&gt;=$NQ$24,93&lt;=$NR$24),IF($NO$24="Single_Point",IF(93=$NQ$24,$NM$24,0),IF($NO$24="Bell_Curve",$NM$24*(93-$NQ$24+1)*($NR$24-93+1)/$NT$24,$NM$24/$NS$24)),0)</f>
        <v/>
      </c>
      <c r="CS24" s="18">
        <f>IF(AND(94&gt;=$NQ$24,94&lt;=$NR$24),IF($NO$24="Single_Point",IF(94=$NQ$24,$NM$24,0),IF($NO$24="Bell_Curve",$NM$24*(94-$NQ$24+1)*($NR$24-94+1)/$NT$24,$NM$24/$NS$24)),0)</f>
        <v/>
      </c>
      <c r="CT24" s="18">
        <f>IF(AND(95&gt;=$NQ$24,95&lt;=$NR$24),IF($NO$24="Single_Point",IF(95=$NQ$24,$NM$24,0),IF($NO$24="Bell_Curve",$NM$24*(95-$NQ$24+1)*($NR$24-95+1)/$NT$24,$NM$24/$NS$24)),0)</f>
        <v/>
      </c>
      <c r="CU24" s="18">
        <f>IF(AND(96&gt;=$NQ$24,96&lt;=$NR$24),IF($NO$24="Single_Point",IF(96=$NQ$24,$NM$24,0),IF($NO$24="Bell_Curve",$NM$24*(96-$NQ$24+1)*($NR$24-96+1)/$NT$24,$NM$24/$NS$24)),0)</f>
        <v/>
      </c>
      <c r="CV24" s="18">
        <f>IF(AND(97&gt;=$NQ$24,97&lt;=$NR$24),IF($NO$24="Single_Point",IF(97=$NQ$24,$NM$24,0),IF($NO$24="Bell_Curve",$NM$24*(97-$NQ$24+1)*($NR$24-97+1)/$NT$24,$NM$24/$NS$24)),0)</f>
        <v/>
      </c>
      <c r="CW24" s="18">
        <f>IF(AND(98&gt;=$NQ$24,98&lt;=$NR$24),IF($NO$24="Single_Point",IF(98=$NQ$24,$NM$24,0),IF($NO$24="Bell_Curve",$NM$24*(98-$NQ$24+1)*($NR$24-98+1)/$NT$24,$NM$24/$NS$24)),0)</f>
        <v/>
      </c>
      <c r="CX24" s="18">
        <f>IF(AND(99&gt;=$NQ$24,99&lt;=$NR$24),IF($NO$24="Single_Point",IF(99=$NQ$24,$NM$24,0),IF($NO$24="Bell_Curve",$NM$24*(99-$NQ$24+1)*($NR$24-99+1)/$NT$24,$NM$24/$NS$24)),0)</f>
        <v/>
      </c>
      <c r="CY24" s="18">
        <f>IF(AND(100&gt;=$NQ$24,100&lt;=$NR$24),IF($NO$24="Single_Point",IF(100=$NQ$24,$NM$24,0),IF($NO$24="Bell_Curve",$NM$24*(100-$NQ$24+1)*($NR$24-100+1)/$NT$24,$NM$24/$NS$24)),0)</f>
        <v/>
      </c>
      <c r="CZ24" s="18">
        <f>IF(AND(101&gt;=$NQ$24,101&lt;=$NR$24),IF($NO$24="Single_Point",IF(101=$NQ$24,$NM$24,0),IF($NO$24="Bell_Curve",$NM$24*(101-$NQ$24+1)*($NR$24-101+1)/$NT$24,$NM$24/$NS$24)),0)</f>
        <v/>
      </c>
      <c r="DA24" s="18">
        <f>IF(AND(102&gt;=$NQ$24,102&lt;=$NR$24),IF($NO$24="Single_Point",IF(102=$NQ$24,$NM$24,0),IF($NO$24="Bell_Curve",$NM$24*(102-$NQ$24+1)*($NR$24-102+1)/$NT$24,$NM$24/$NS$24)),0)</f>
        <v/>
      </c>
      <c r="DB24" s="18">
        <f>IF(AND(103&gt;=$NQ$24,103&lt;=$NR$24),IF($NO$24="Single_Point",IF(103=$NQ$24,$NM$24,0),IF($NO$24="Bell_Curve",$NM$24*(103-$NQ$24+1)*($NR$24-103+1)/$NT$24,$NM$24/$NS$24)),0)</f>
        <v/>
      </c>
      <c r="DC24" s="18">
        <f>IF(AND(104&gt;=$NQ$24,104&lt;=$NR$24),IF($NO$24="Single_Point",IF(104=$NQ$24,$NM$24,0),IF($NO$24="Bell_Curve",$NM$24*(104-$NQ$24+1)*($NR$24-104+1)/$NT$24,$NM$24/$NS$24)),0)</f>
        <v/>
      </c>
      <c r="DD24" s="18">
        <f>IF(AND(105&gt;=$NQ$24,105&lt;=$NR$24),IF($NO$24="Single_Point",IF(105=$NQ$24,$NM$24,0),IF($NO$24="Bell_Curve",$NM$24*(105-$NQ$24+1)*($NR$24-105+1)/$NT$24,$NM$24/$NS$24)),0)</f>
        <v/>
      </c>
      <c r="DE24" s="18">
        <f>IF(AND(106&gt;=$NQ$24,106&lt;=$NR$24),IF($NO$24="Single_Point",IF(106=$NQ$24,$NM$24,0),IF($NO$24="Bell_Curve",$NM$24*(106-$NQ$24+1)*($NR$24-106+1)/$NT$24,$NM$24/$NS$24)),0)</f>
        <v/>
      </c>
      <c r="DF24" s="18">
        <f>IF(AND(107&gt;=$NQ$24,107&lt;=$NR$24),IF($NO$24="Single_Point",IF(107=$NQ$24,$NM$24,0),IF($NO$24="Bell_Curve",$NM$24*(107-$NQ$24+1)*($NR$24-107+1)/$NT$24,$NM$24/$NS$24)),0)</f>
        <v/>
      </c>
      <c r="DG24" s="18">
        <f>IF(AND(108&gt;=$NQ$24,108&lt;=$NR$24),IF($NO$24="Single_Point",IF(108=$NQ$24,$NM$24,0),IF($NO$24="Bell_Curve",$NM$24*(108-$NQ$24+1)*($NR$24-108+1)/$NT$24,$NM$24/$NS$24)),0)</f>
        <v/>
      </c>
      <c r="DH24" s="18">
        <f>IF(AND(109&gt;=$NQ$24,109&lt;=$NR$24),IF($NO$24="Single_Point",IF(109=$NQ$24,$NM$24,0),IF($NO$24="Bell_Curve",$NM$24*(109-$NQ$24+1)*($NR$24-109+1)/$NT$24,$NM$24/$NS$24)),0)</f>
        <v/>
      </c>
      <c r="DI24" s="18">
        <f>IF(AND(110&gt;=$NQ$24,110&lt;=$NR$24),IF($NO$24="Single_Point",IF(110=$NQ$24,$NM$24,0),IF($NO$24="Bell_Curve",$NM$24*(110-$NQ$24+1)*($NR$24-110+1)/$NT$24,$NM$24/$NS$24)),0)</f>
        <v/>
      </c>
      <c r="DJ24" s="18">
        <f>IF(AND(111&gt;=$NQ$24,111&lt;=$NR$24),IF($NO$24="Single_Point",IF(111=$NQ$24,$NM$24,0),IF($NO$24="Bell_Curve",$NM$24*(111-$NQ$24+1)*($NR$24-111+1)/$NT$24,$NM$24/$NS$24)),0)</f>
        <v/>
      </c>
      <c r="DK24" s="18">
        <f>IF(AND(112&gt;=$NQ$24,112&lt;=$NR$24),IF($NO$24="Single_Point",IF(112=$NQ$24,$NM$24,0),IF($NO$24="Bell_Curve",$NM$24*(112-$NQ$24+1)*($NR$24-112+1)/$NT$24,$NM$24/$NS$24)),0)</f>
        <v/>
      </c>
      <c r="DL24" s="18">
        <f>IF(AND(113&gt;=$NQ$24,113&lt;=$NR$24),IF($NO$24="Single_Point",IF(113=$NQ$24,$NM$24,0),IF($NO$24="Bell_Curve",$NM$24*(113-$NQ$24+1)*($NR$24-113+1)/$NT$24,$NM$24/$NS$24)),0)</f>
        <v/>
      </c>
      <c r="DM24" s="18">
        <f>IF(AND(114&gt;=$NQ$24,114&lt;=$NR$24),IF($NO$24="Single_Point",IF(114=$NQ$24,$NM$24,0),IF($NO$24="Bell_Curve",$NM$24*(114-$NQ$24+1)*($NR$24-114+1)/$NT$24,$NM$24/$NS$24)),0)</f>
        <v/>
      </c>
      <c r="DN24" s="18">
        <f>IF(AND(115&gt;=$NQ$24,115&lt;=$NR$24),IF($NO$24="Single_Point",IF(115=$NQ$24,$NM$24,0),IF($NO$24="Bell_Curve",$NM$24*(115-$NQ$24+1)*($NR$24-115+1)/$NT$24,$NM$24/$NS$24)),0)</f>
        <v/>
      </c>
      <c r="DO24" s="18">
        <f>IF(AND(116&gt;=$NQ$24,116&lt;=$NR$24),IF($NO$24="Single_Point",IF(116=$NQ$24,$NM$24,0),IF($NO$24="Bell_Curve",$NM$24*(116-$NQ$24+1)*($NR$24-116+1)/$NT$24,$NM$24/$NS$24)),0)</f>
        <v/>
      </c>
      <c r="DP24" s="18">
        <f>IF(AND(117&gt;=$NQ$24,117&lt;=$NR$24),IF($NO$24="Single_Point",IF(117=$NQ$24,$NM$24,0),IF($NO$24="Bell_Curve",$NM$24*(117-$NQ$24+1)*($NR$24-117+1)/$NT$24,$NM$24/$NS$24)),0)</f>
        <v/>
      </c>
      <c r="DQ24" s="18">
        <f>IF(AND(118&gt;=$NQ$24,118&lt;=$NR$24),IF($NO$24="Single_Point",IF(118=$NQ$24,$NM$24,0),IF($NO$24="Bell_Curve",$NM$24*(118-$NQ$24+1)*($NR$24-118+1)/$NT$24,$NM$24/$NS$24)),0)</f>
        <v/>
      </c>
      <c r="DR24" s="18">
        <f>IF(AND(119&gt;=$NQ$24,119&lt;=$NR$24),IF($NO$24="Single_Point",IF(119=$NQ$24,$NM$24,0),IF($NO$24="Bell_Curve",$NM$24*(119-$NQ$24+1)*($NR$24-119+1)/$NT$24,$NM$24/$NS$24)),0)</f>
        <v/>
      </c>
      <c r="DS24" s="18">
        <f>IF(AND(120&gt;=$NQ$24,120&lt;=$NR$24),IF($NO$24="Single_Point",IF(120=$NQ$24,$NM$24,0),IF($NO$24="Bell_Curve",$NM$24*(120-$NQ$24+1)*($NR$24-120+1)/$NT$24,$NM$24/$NS$24)),0)</f>
        <v/>
      </c>
      <c r="DT24" s="18">
        <f>IF(AND(121&gt;=$NQ$24,121&lt;=$NR$24),IF($NO$24="Single_Point",IF(121=$NQ$24,$NM$24,0),IF($NO$24="Bell_Curve",$NM$24*(121-$NQ$24+1)*($NR$24-121+1)/$NT$24,$NM$24/$NS$24)),0)</f>
        <v/>
      </c>
      <c r="DU24" s="18">
        <f>IF(AND(122&gt;=$NQ$24,122&lt;=$NR$24),IF($NO$24="Single_Point",IF(122=$NQ$24,$NM$24,0),IF($NO$24="Bell_Curve",$NM$24*(122-$NQ$24+1)*($NR$24-122+1)/$NT$24,$NM$24/$NS$24)),0)</f>
        <v/>
      </c>
      <c r="DV24" s="18">
        <f>IF(AND(123&gt;=$NQ$24,123&lt;=$NR$24),IF($NO$24="Single_Point",IF(123=$NQ$24,$NM$24,0),IF($NO$24="Bell_Curve",$NM$24*(123-$NQ$24+1)*($NR$24-123+1)/$NT$24,$NM$24/$NS$24)),0)</f>
        <v/>
      </c>
      <c r="DW24" s="18">
        <f>IF(AND(124&gt;=$NQ$24,124&lt;=$NR$24),IF($NO$24="Single_Point",IF(124=$NQ$24,$NM$24,0),IF($NO$24="Bell_Curve",$NM$24*(124-$NQ$24+1)*($NR$24-124+1)/$NT$24,$NM$24/$NS$24)),0)</f>
        <v/>
      </c>
      <c r="DX24" s="18">
        <f>IF(AND(125&gt;=$NQ$24,125&lt;=$NR$24),IF($NO$24="Single_Point",IF(125=$NQ$24,$NM$24,0),IF($NO$24="Bell_Curve",$NM$24*(125-$NQ$24+1)*($NR$24-125+1)/$NT$24,$NM$24/$NS$24)),0)</f>
        <v/>
      </c>
      <c r="DY24" s="18">
        <f>IF(AND(126&gt;=$NQ$24,126&lt;=$NR$24),IF($NO$24="Single_Point",IF(126=$NQ$24,$NM$24,0),IF($NO$24="Bell_Curve",$NM$24*(126-$NQ$24+1)*($NR$24-126+1)/$NT$24,$NM$24/$NS$24)),0)</f>
        <v/>
      </c>
      <c r="DZ24" s="18">
        <f>IF(AND(127&gt;=$NQ$24,127&lt;=$NR$24),IF($NO$24="Single_Point",IF(127=$NQ$24,$NM$24,0),IF($NO$24="Bell_Curve",$NM$24*(127-$NQ$24+1)*($NR$24-127+1)/$NT$24,$NM$24/$NS$24)),0)</f>
        <v/>
      </c>
      <c r="EA24" s="18">
        <f>IF(AND(128&gt;=$NQ$24,128&lt;=$NR$24),IF($NO$24="Single_Point",IF(128=$NQ$24,$NM$24,0),IF($NO$24="Bell_Curve",$NM$24*(128-$NQ$24+1)*($NR$24-128+1)/$NT$24,$NM$24/$NS$24)),0)</f>
        <v/>
      </c>
      <c r="EB24" s="18">
        <f>IF(AND(129&gt;=$NQ$24,129&lt;=$NR$24),IF($NO$24="Single_Point",IF(129=$NQ$24,$NM$24,0),IF($NO$24="Bell_Curve",$NM$24*(129-$NQ$24+1)*($NR$24-129+1)/$NT$24,$NM$24/$NS$24)),0)</f>
        <v/>
      </c>
      <c r="EC24" s="18">
        <f>IF(AND(130&gt;=$NQ$24,130&lt;=$NR$24),IF($NO$24="Single_Point",IF(130=$NQ$24,$NM$24,0),IF($NO$24="Bell_Curve",$NM$24*(130-$NQ$24+1)*($NR$24-130+1)/$NT$24,$NM$24/$NS$24)),0)</f>
        <v/>
      </c>
      <c r="ED24" s="18">
        <f>IF(AND(131&gt;=$NQ$24,131&lt;=$NR$24),IF($NO$24="Single_Point",IF(131=$NQ$24,$NM$24,0),IF($NO$24="Bell_Curve",$NM$24*(131-$NQ$24+1)*($NR$24-131+1)/$NT$24,$NM$24/$NS$24)),0)</f>
        <v/>
      </c>
      <c r="EE24" s="18">
        <f>IF(AND(132&gt;=$NQ$24,132&lt;=$NR$24),IF($NO$24="Single_Point",IF(132=$NQ$24,$NM$24,0),IF($NO$24="Bell_Curve",$NM$24*(132-$NQ$24+1)*($NR$24-132+1)/$NT$24,$NM$24/$NS$24)),0)</f>
        <v/>
      </c>
      <c r="EF24" s="18">
        <f>IF(AND(133&gt;=$NQ$24,133&lt;=$NR$24),IF($NO$24="Single_Point",IF(133=$NQ$24,$NM$24,0),IF($NO$24="Bell_Curve",$NM$24*(133-$NQ$24+1)*($NR$24-133+1)/$NT$24,$NM$24/$NS$24)),0)</f>
        <v/>
      </c>
      <c r="EG24" s="18">
        <f>IF(AND(134&gt;=$NQ$24,134&lt;=$NR$24),IF($NO$24="Single_Point",IF(134=$NQ$24,$NM$24,0),IF($NO$24="Bell_Curve",$NM$24*(134-$NQ$24+1)*($NR$24-134+1)/$NT$24,$NM$24/$NS$24)),0)</f>
        <v/>
      </c>
      <c r="EH24" s="18">
        <f>IF(AND(135&gt;=$NQ$24,135&lt;=$NR$24),IF($NO$24="Single_Point",IF(135=$NQ$24,$NM$24,0),IF($NO$24="Bell_Curve",$NM$24*(135-$NQ$24+1)*($NR$24-135+1)/$NT$24,$NM$24/$NS$24)),0)</f>
        <v/>
      </c>
      <c r="EI24" s="18">
        <f>IF(AND(136&gt;=$NQ$24,136&lt;=$NR$24),IF($NO$24="Single_Point",IF(136=$NQ$24,$NM$24,0),IF($NO$24="Bell_Curve",$NM$24*(136-$NQ$24+1)*($NR$24-136+1)/$NT$24,$NM$24/$NS$24)),0)</f>
        <v/>
      </c>
      <c r="EJ24" s="18">
        <f>IF(AND(137&gt;=$NQ$24,137&lt;=$NR$24),IF($NO$24="Single_Point",IF(137=$NQ$24,$NM$24,0),IF($NO$24="Bell_Curve",$NM$24*(137-$NQ$24+1)*($NR$24-137+1)/$NT$24,$NM$24/$NS$24)),0)</f>
        <v/>
      </c>
      <c r="EK24" s="18">
        <f>IF(AND(138&gt;=$NQ$24,138&lt;=$NR$24),IF($NO$24="Single_Point",IF(138=$NQ$24,$NM$24,0),IF($NO$24="Bell_Curve",$NM$24*(138-$NQ$24+1)*($NR$24-138+1)/$NT$24,$NM$24/$NS$24)),0)</f>
        <v/>
      </c>
      <c r="EL24" s="18">
        <f>IF(AND(139&gt;=$NQ$24,139&lt;=$NR$24),IF($NO$24="Single_Point",IF(139=$NQ$24,$NM$24,0),IF($NO$24="Bell_Curve",$NM$24*(139-$NQ$24+1)*($NR$24-139+1)/$NT$24,$NM$24/$NS$24)),0)</f>
        <v/>
      </c>
      <c r="EM24" s="18">
        <f>IF(AND(140&gt;=$NQ$24,140&lt;=$NR$24),IF($NO$24="Single_Point",IF(140=$NQ$24,$NM$24,0),IF($NO$24="Bell_Curve",$NM$24*(140-$NQ$24+1)*($NR$24-140+1)/$NT$24,$NM$24/$NS$24)),0)</f>
        <v/>
      </c>
      <c r="EN24" s="18">
        <f>IF(AND(141&gt;=$NQ$24,141&lt;=$NR$24),IF($NO$24="Single_Point",IF(141=$NQ$24,$NM$24,0),IF($NO$24="Bell_Curve",$NM$24*(141-$NQ$24+1)*($NR$24-141+1)/$NT$24,$NM$24/$NS$24)),0)</f>
        <v/>
      </c>
      <c r="EO24" s="18">
        <f>IF(AND(142&gt;=$NQ$24,142&lt;=$NR$24),IF($NO$24="Single_Point",IF(142=$NQ$24,$NM$24,0),IF($NO$24="Bell_Curve",$NM$24*(142-$NQ$24+1)*($NR$24-142+1)/$NT$24,$NM$24/$NS$24)),0)</f>
        <v/>
      </c>
      <c r="EP24" s="18">
        <f>IF(AND(143&gt;=$NQ$24,143&lt;=$NR$24),IF($NO$24="Single_Point",IF(143=$NQ$24,$NM$24,0),IF($NO$24="Bell_Curve",$NM$24*(143-$NQ$24+1)*($NR$24-143+1)/$NT$24,$NM$24/$NS$24)),0)</f>
        <v/>
      </c>
      <c r="EQ24" s="18">
        <f>IF(AND(144&gt;=$NQ$24,144&lt;=$NR$24),IF($NO$24="Single_Point",IF(144=$NQ$24,$NM$24,0),IF($NO$24="Bell_Curve",$NM$24*(144-$NQ$24+1)*($NR$24-144+1)/$NT$24,$NM$24/$NS$24)),0)</f>
        <v/>
      </c>
      <c r="ER24" s="18">
        <f>IF(AND(145&gt;=$NQ$24,145&lt;=$NR$24),IF($NO$24="Single_Point",IF(145=$NQ$24,$NM$24,0),IF($NO$24="Bell_Curve",$NM$24*(145-$NQ$24+1)*($NR$24-145+1)/$NT$24,$NM$24/$NS$24)),0)</f>
        <v/>
      </c>
      <c r="ES24" s="18">
        <f>IF(AND(146&gt;=$NQ$24,146&lt;=$NR$24),IF($NO$24="Single_Point",IF(146=$NQ$24,$NM$24,0),IF($NO$24="Bell_Curve",$NM$24*(146-$NQ$24+1)*($NR$24-146+1)/$NT$24,$NM$24/$NS$24)),0)</f>
        <v/>
      </c>
      <c r="ET24" s="18">
        <f>IF(AND(147&gt;=$NQ$24,147&lt;=$NR$24),IF($NO$24="Single_Point",IF(147=$NQ$24,$NM$24,0),IF($NO$24="Bell_Curve",$NM$24*(147-$NQ$24+1)*($NR$24-147+1)/$NT$24,$NM$24/$NS$24)),0)</f>
        <v/>
      </c>
      <c r="EU24" s="18">
        <f>IF(AND(148&gt;=$NQ$24,148&lt;=$NR$24),IF($NO$24="Single_Point",IF(148=$NQ$24,$NM$24,0),IF($NO$24="Bell_Curve",$NM$24*(148-$NQ$24+1)*($NR$24-148+1)/$NT$24,$NM$24/$NS$24)),0)</f>
        <v/>
      </c>
      <c r="EV24" s="18">
        <f>IF(AND(149&gt;=$NQ$24,149&lt;=$NR$24),IF($NO$24="Single_Point",IF(149=$NQ$24,$NM$24,0),IF($NO$24="Bell_Curve",$NM$24*(149-$NQ$24+1)*($NR$24-149+1)/$NT$24,$NM$24/$NS$24)),0)</f>
        <v/>
      </c>
      <c r="EW24" s="18">
        <f>IF(AND(150&gt;=$NQ$24,150&lt;=$NR$24),IF($NO$24="Single_Point",IF(150=$NQ$24,$NM$24,0),IF($NO$24="Bell_Curve",$NM$24*(150-$NQ$24+1)*($NR$24-150+1)/$NT$24,$NM$24/$NS$24)),0)</f>
        <v/>
      </c>
      <c r="EX24" s="18">
        <f>IF(AND(151&gt;=$NQ$24,151&lt;=$NR$24),IF($NO$24="Single_Point",IF(151=$NQ$24,$NM$24,0),IF($NO$24="Bell_Curve",$NM$24*(151-$NQ$24+1)*($NR$24-151+1)/$NT$24,$NM$24/$NS$24)),0)</f>
        <v/>
      </c>
      <c r="EY24" s="18">
        <f>IF(AND(152&gt;=$NQ$24,152&lt;=$NR$24),IF($NO$24="Single_Point",IF(152=$NQ$24,$NM$24,0),IF($NO$24="Bell_Curve",$NM$24*(152-$NQ$24+1)*($NR$24-152+1)/$NT$24,$NM$24/$NS$24)),0)</f>
        <v/>
      </c>
      <c r="EZ24" s="18">
        <f>IF(AND(153&gt;=$NQ$24,153&lt;=$NR$24),IF($NO$24="Single_Point",IF(153=$NQ$24,$NM$24,0),IF($NO$24="Bell_Curve",$NM$24*(153-$NQ$24+1)*($NR$24-153+1)/$NT$24,$NM$24/$NS$24)),0)</f>
        <v/>
      </c>
      <c r="FA24" s="18">
        <f>IF(AND(154&gt;=$NQ$24,154&lt;=$NR$24),IF($NO$24="Single_Point",IF(154=$NQ$24,$NM$24,0),IF($NO$24="Bell_Curve",$NM$24*(154-$NQ$24+1)*($NR$24-154+1)/$NT$24,$NM$24/$NS$24)),0)</f>
        <v/>
      </c>
      <c r="FB24" s="18">
        <f>IF(AND(155&gt;=$NQ$24,155&lt;=$NR$24),IF($NO$24="Single_Point",IF(155=$NQ$24,$NM$24,0),IF($NO$24="Bell_Curve",$NM$24*(155-$NQ$24+1)*($NR$24-155+1)/$NT$24,$NM$24/$NS$24)),0)</f>
        <v/>
      </c>
      <c r="FC24" s="18">
        <f>IF(AND(156&gt;=$NQ$24,156&lt;=$NR$24),IF($NO$24="Single_Point",IF(156=$NQ$24,$NM$24,0),IF($NO$24="Bell_Curve",$NM$24*(156-$NQ$24+1)*($NR$24-156+1)/$NT$24,$NM$24/$NS$24)),0)</f>
        <v/>
      </c>
      <c r="FD24" s="18">
        <f>IF(AND(157&gt;=$NQ$24,157&lt;=$NR$24),IF($NO$24="Single_Point",IF(157=$NQ$24,$NM$24,0),IF($NO$24="Bell_Curve",$NM$24*(157-$NQ$24+1)*($NR$24-157+1)/$NT$24,$NM$24/$NS$24)),0)</f>
        <v/>
      </c>
      <c r="FE24" s="18">
        <f>IF(AND(158&gt;=$NQ$24,158&lt;=$NR$24),IF($NO$24="Single_Point",IF(158=$NQ$24,$NM$24,0),IF($NO$24="Bell_Curve",$NM$24*(158-$NQ$24+1)*($NR$24-158+1)/$NT$24,$NM$24/$NS$24)),0)</f>
        <v/>
      </c>
      <c r="FF24" s="18">
        <f>IF(AND(159&gt;=$NQ$24,159&lt;=$NR$24),IF($NO$24="Single_Point",IF(159=$NQ$24,$NM$24,0),IF($NO$24="Bell_Curve",$NM$24*(159-$NQ$24+1)*($NR$24-159+1)/$NT$24,$NM$24/$NS$24)),0)</f>
        <v/>
      </c>
      <c r="FG24" s="18">
        <f>IF(AND(160&gt;=$NQ$24,160&lt;=$NR$24),IF($NO$24="Single_Point",IF(160=$NQ$24,$NM$24,0),IF($NO$24="Bell_Curve",$NM$24*(160-$NQ$24+1)*($NR$24-160+1)/$NT$24,$NM$24/$NS$24)),0)</f>
        <v/>
      </c>
      <c r="FH24" s="18">
        <f>IF(AND(161&gt;=$NQ$24,161&lt;=$NR$24),IF($NO$24="Single_Point",IF(161=$NQ$24,$NM$24,0),IF($NO$24="Bell_Curve",$NM$24*(161-$NQ$24+1)*($NR$24-161+1)/$NT$24,$NM$24/$NS$24)),0)</f>
        <v/>
      </c>
      <c r="FI24" s="18">
        <f>IF(AND(162&gt;=$NQ$24,162&lt;=$NR$24),IF($NO$24="Single_Point",IF(162=$NQ$24,$NM$24,0),IF($NO$24="Bell_Curve",$NM$24*(162-$NQ$24+1)*($NR$24-162+1)/$NT$24,$NM$24/$NS$24)),0)</f>
        <v/>
      </c>
      <c r="FJ24" s="18">
        <f>IF(AND(163&gt;=$NQ$24,163&lt;=$NR$24),IF($NO$24="Single_Point",IF(163=$NQ$24,$NM$24,0),IF($NO$24="Bell_Curve",$NM$24*(163-$NQ$24+1)*($NR$24-163+1)/$NT$24,$NM$24/$NS$24)),0)</f>
        <v/>
      </c>
      <c r="FK24" s="18">
        <f>IF(AND(164&gt;=$NQ$24,164&lt;=$NR$24),IF($NO$24="Single_Point",IF(164=$NQ$24,$NM$24,0),IF($NO$24="Bell_Curve",$NM$24*(164-$NQ$24+1)*($NR$24-164+1)/$NT$24,$NM$24/$NS$24)),0)</f>
        <v/>
      </c>
      <c r="FL24" s="18">
        <f>IF(AND(165&gt;=$NQ$24,165&lt;=$NR$24),IF($NO$24="Single_Point",IF(165=$NQ$24,$NM$24,0),IF($NO$24="Bell_Curve",$NM$24*(165-$NQ$24+1)*($NR$24-165+1)/$NT$24,$NM$24/$NS$24)),0)</f>
        <v/>
      </c>
      <c r="FM24" s="18">
        <f>IF(AND(166&gt;=$NQ$24,166&lt;=$NR$24),IF($NO$24="Single_Point",IF(166=$NQ$24,$NM$24,0),IF($NO$24="Bell_Curve",$NM$24*(166-$NQ$24+1)*($NR$24-166+1)/$NT$24,$NM$24/$NS$24)),0)</f>
        <v/>
      </c>
      <c r="FN24" s="18">
        <f>IF(AND(167&gt;=$NQ$24,167&lt;=$NR$24),IF($NO$24="Single_Point",IF(167=$NQ$24,$NM$24,0),IF($NO$24="Bell_Curve",$NM$24*(167-$NQ$24+1)*($NR$24-167+1)/$NT$24,$NM$24/$NS$24)),0)</f>
        <v/>
      </c>
      <c r="FO24" s="18">
        <f>IF(AND(168&gt;=$NQ$24,168&lt;=$NR$24),IF($NO$24="Single_Point",IF(168=$NQ$24,$NM$24,0),IF($NO$24="Bell_Curve",$NM$24*(168-$NQ$24+1)*($NR$24-168+1)/$NT$24,$NM$24/$NS$24)),0)</f>
        <v/>
      </c>
      <c r="FP24" s="18">
        <f>IF(AND(169&gt;=$NQ$24,169&lt;=$NR$24),IF($NO$24="Single_Point",IF(169=$NQ$24,$NM$24,0),IF($NO$24="Bell_Curve",$NM$24*(169-$NQ$24+1)*($NR$24-169+1)/$NT$24,$NM$24/$NS$24)),0)</f>
        <v/>
      </c>
      <c r="FQ24" s="18">
        <f>IF(AND(170&gt;=$NQ$24,170&lt;=$NR$24),IF($NO$24="Single_Point",IF(170=$NQ$24,$NM$24,0),IF($NO$24="Bell_Curve",$NM$24*(170-$NQ$24+1)*($NR$24-170+1)/$NT$24,$NM$24/$NS$24)),0)</f>
        <v/>
      </c>
      <c r="FR24" s="18">
        <f>IF(AND(171&gt;=$NQ$24,171&lt;=$NR$24),IF($NO$24="Single_Point",IF(171=$NQ$24,$NM$24,0),IF($NO$24="Bell_Curve",$NM$24*(171-$NQ$24+1)*($NR$24-171+1)/$NT$24,$NM$24/$NS$24)),0)</f>
        <v/>
      </c>
      <c r="FS24" s="18">
        <f>IF(AND(172&gt;=$NQ$24,172&lt;=$NR$24),IF($NO$24="Single_Point",IF(172=$NQ$24,$NM$24,0),IF($NO$24="Bell_Curve",$NM$24*(172-$NQ$24+1)*($NR$24-172+1)/$NT$24,$NM$24/$NS$24)),0)</f>
        <v/>
      </c>
      <c r="FT24" s="18">
        <f>IF(AND(173&gt;=$NQ$24,173&lt;=$NR$24),IF($NO$24="Single_Point",IF(173=$NQ$24,$NM$24,0),IF($NO$24="Bell_Curve",$NM$24*(173-$NQ$24+1)*($NR$24-173+1)/$NT$24,$NM$24/$NS$24)),0)</f>
        <v/>
      </c>
      <c r="FU24" s="18">
        <f>IF(AND(174&gt;=$NQ$24,174&lt;=$NR$24),IF($NO$24="Single_Point",IF(174=$NQ$24,$NM$24,0),IF($NO$24="Bell_Curve",$NM$24*(174-$NQ$24+1)*($NR$24-174+1)/$NT$24,$NM$24/$NS$24)),0)</f>
        <v/>
      </c>
      <c r="FV24" s="18">
        <f>IF(AND(175&gt;=$NQ$24,175&lt;=$NR$24),IF($NO$24="Single_Point",IF(175=$NQ$24,$NM$24,0),IF($NO$24="Bell_Curve",$NM$24*(175-$NQ$24+1)*($NR$24-175+1)/$NT$24,$NM$24/$NS$24)),0)</f>
        <v/>
      </c>
      <c r="FW24" s="18">
        <f>IF(AND(176&gt;=$NQ$24,176&lt;=$NR$24),IF($NO$24="Single_Point",IF(176=$NQ$24,$NM$24,0),IF($NO$24="Bell_Curve",$NM$24*(176-$NQ$24+1)*($NR$24-176+1)/$NT$24,$NM$24/$NS$24)),0)</f>
        <v/>
      </c>
      <c r="FX24" s="18">
        <f>IF(AND(177&gt;=$NQ$24,177&lt;=$NR$24),IF($NO$24="Single_Point",IF(177=$NQ$24,$NM$24,0),IF($NO$24="Bell_Curve",$NM$24*(177-$NQ$24+1)*($NR$24-177+1)/$NT$24,$NM$24/$NS$24)),0)</f>
        <v/>
      </c>
      <c r="FY24" s="18">
        <f>IF(AND(178&gt;=$NQ$24,178&lt;=$NR$24),IF($NO$24="Single_Point",IF(178=$NQ$24,$NM$24,0),IF($NO$24="Bell_Curve",$NM$24*(178-$NQ$24+1)*($NR$24-178+1)/$NT$24,$NM$24/$NS$24)),0)</f>
        <v/>
      </c>
      <c r="FZ24" s="18">
        <f>IF(AND(179&gt;=$NQ$24,179&lt;=$NR$24),IF($NO$24="Single_Point",IF(179=$NQ$24,$NM$24,0),IF($NO$24="Bell_Curve",$NM$24*(179-$NQ$24+1)*($NR$24-179+1)/$NT$24,$NM$24/$NS$24)),0)</f>
        <v/>
      </c>
      <c r="GA24" s="18">
        <f>IF(AND(180&gt;=$NQ$24,180&lt;=$NR$24),IF($NO$24="Single_Point",IF(180=$NQ$24,$NM$24,0),IF($NO$24="Bell_Curve",$NM$24*(180-$NQ$24+1)*($NR$24-180+1)/$NT$24,$NM$24/$NS$24)),0)</f>
        <v/>
      </c>
      <c r="GB24" s="18">
        <f>IF(AND(181&gt;=$NQ$24,181&lt;=$NR$24),IF($NO$24="Single_Point",IF(181=$NQ$24,$NM$24,0),IF($NO$24="Bell_Curve",$NM$24*(181-$NQ$24+1)*($NR$24-181+1)/$NT$24,$NM$24/$NS$24)),0)</f>
        <v/>
      </c>
      <c r="GC24" s="18">
        <f>IF(AND(182&gt;=$NQ$24,182&lt;=$NR$24),IF($NO$24="Single_Point",IF(182=$NQ$24,$NM$24,0),IF($NO$24="Bell_Curve",$NM$24*(182-$NQ$24+1)*($NR$24-182+1)/$NT$24,$NM$24/$NS$24)),0)</f>
        <v/>
      </c>
      <c r="GD24" s="18">
        <f>IF(AND(183&gt;=$NQ$24,183&lt;=$NR$24),IF($NO$24="Single_Point",IF(183=$NQ$24,$NM$24,0),IF($NO$24="Bell_Curve",$NM$24*(183-$NQ$24+1)*($NR$24-183+1)/$NT$24,$NM$24/$NS$24)),0)</f>
        <v/>
      </c>
      <c r="GE24" s="18">
        <f>IF(AND(184&gt;=$NQ$24,184&lt;=$NR$24),IF($NO$24="Single_Point",IF(184=$NQ$24,$NM$24,0),IF($NO$24="Bell_Curve",$NM$24*(184-$NQ$24+1)*($NR$24-184+1)/$NT$24,$NM$24/$NS$24)),0)</f>
        <v/>
      </c>
      <c r="GF24" s="18">
        <f>IF(AND(185&gt;=$NQ$24,185&lt;=$NR$24),IF($NO$24="Single_Point",IF(185=$NQ$24,$NM$24,0),IF($NO$24="Bell_Curve",$NM$24*(185-$NQ$24+1)*($NR$24-185+1)/$NT$24,$NM$24/$NS$24)),0)</f>
        <v/>
      </c>
      <c r="GG24" s="18">
        <f>IF(AND(186&gt;=$NQ$24,186&lt;=$NR$24),IF($NO$24="Single_Point",IF(186=$NQ$24,$NM$24,0),IF($NO$24="Bell_Curve",$NM$24*(186-$NQ$24+1)*($NR$24-186+1)/$NT$24,$NM$24/$NS$24)),0)</f>
        <v/>
      </c>
      <c r="GH24" s="18">
        <f>IF(AND(187&gt;=$NQ$24,187&lt;=$NR$24),IF($NO$24="Single_Point",IF(187=$NQ$24,$NM$24,0),IF($NO$24="Bell_Curve",$NM$24*(187-$NQ$24+1)*($NR$24-187+1)/$NT$24,$NM$24/$NS$24)),0)</f>
        <v/>
      </c>
      <c r="GI24" s="18">
        <f>IF(AND(188&gt;=$NQ$24,188&lt;=$NR$24),IF($NO$24="Single_Point",IF(188=$NQ$24,$NM$24,0),IF($NO$24="Bell_Curve",$NM$24*(188-$NQ$24+1)*($NR$24-188+1)/$NT$24,$NM$24/$NS$24)),0)</f>
        <v/>
      </c>
      <c r="GJ24" s="18">
        <f>IF(AND(189&gt;=$NQ$24,189&lt;=$NR$24),IF($NO$24="Single_Point",IF(189=$NQ$24,$NM$24,0),IF($NO$24="Bell_Curve",$NM$24*(189-$NQ$24+1)*($NR$24-189+1)/$NT$24,$NM$24/$NS$24)),0)</f>
        <v/>
      </c>
      <c r="GK24" s="18">
        <f>IF(AND(190&gt;=$NQ$24,190&lt;=$NR$24),IF($NO$24="Single_Point",IF(190=$NQ$24,$NM$24,0),IF($NO$24="Bell_Curve",$NM$24*(190-$NQ$24+1)*($NR$24-190+1)/$NT$24,$NM$24/$NS$24)),0)</f>
        <v/>
      </c>
      <c r="GL24" s="18">
        <f>IF(AND(191&gt;=$NQ$24,191&lt;=$NR$24),IF($NO$24="Single_Point",IF(191=$NQ$24,$NM$24,0),IF($NO$24="Bell_Curve",$NM$24*(191-$NQ$24+1)*($NR$24-191+1)/$NT$24,$NM$24/$NS$24)),0)</f>
        <v/>
      </c>
      <c r="GM24" s="18">
        <f>IF(AND(192&gt;=$NQ$24,192&lt;=$NR$24),IF($NO$24="Single_Point",IF(192=$NQ$24,$NM$24,0),IF($NO$24="Bell_Curve",$NM$24*(192-$NQ$24+1)*($NR$24-192+1)/$NT$24,$NM$24/$NS$24)),0)</f>
        <v/>
      </c>
      <c r="GN24" s="18">
        <f>IF(AND(193&gt;=$NQ$24,193&lt;=$NR$24),IF($NO$24="Single_Point",IF(193=$NQ$24,$NM$24,0),IF($NO$24="Bell_Curve",$NM$24*(193-$NQ$24+1)*($NR$24-193+1)/$NT$24,$NM$24/$NS$24)),0)</f>
        <v/>
      </c>
      <c r="GO24" s="18">
        <f>IF(AND(194&gt;=$NQ$24,194&lt;=$NR$24),IF($NO$24="Single_Point",IF(194=$NQ$24,$NM$24,0),IF($NO$24="Bell_Curve",$NM$24*(194-$NQ$24+1)*($NR$24-194+1)/$NT$24,$NM$24/$NS$24)),0)</f>
        <v/>
      </c>
      <c r="GP24" s="18">
        <f>IF(AND(195&gt;=$NQ$24,195&lt;=$NR$24),IF($NO$24="Single_Point",IF(195=$NQ$24,$NM$24,0),IF($NO$24="Bell_Curve",$NM$24*(195-$NQ$24+1)*($NR$24-195+1)/$NT$24,$NM$24/$NS$24)),0)</f>
        <v/>
      </c>
      <c r="GQ24" s="18">
        <f>IF(AND(196&gt;=$NQ$24,196&lt;=$NR$24),IF($NO$24="Single_Point",IF(196=$NQ$24,$NM$24,0),IF($NO$24="Bell_Curve",$NM$24*(196-$NQ$24+1)*($NR$24-196+1)/$NT$24,$NM$24/$NS$24)),0)</f>
        <v/>
      </c>
      <c r="GR24" s="18">
        <f>IF(AND(197&gt;=$NQ$24,197&lt;=$NR$24),IF($NO$24="Single_Point",IF(197=$NQ$24,$NM$24,0),IF($NO$24="Bell_Curve",$NM$24*(197-$NQ$24+1)*($NR$24-197+1)/$NT$24,$NM$24/$NS$24)),0)</f>
        <v/>
      </c>
      <c r="GS24" s="18">
        <f>IF(AND(198&gt;=$NQ$24,198&lt;=$NR$24),IF($NO$24="Single_Point",IF(198=$NQ$24,$NM$24,0),IF($NO$24="Bell_Curve",$NM$24*(198-$NQ$24+1)*($NR$24-198+1)/$NT$24,$NM$24/$NS$24)),0)</f>
        <v/>
      </c>
      <c r="GT24" s="18">
        <f>IF(AND(199&gt;=$NQ$24,199&lt;=$NR$24),IF($NO$24="Single_Point",IF(199=$NQ$24,$NM$24,0),IF($NO$24="Bell_Curve",$NM$24*(199-$NQ$24+1)*($NR$24-199+1)/$NT$24,$NM$24/$NS$24)),0)</f>
        <v/>
      </c>
      <c r="GU24" s="18">
        <f>IF(AND(200&gt;=$NQ$24,200&lt;=$NR$24),IF($NO$24="Single_Point",IF(200=$NQ$24,$NM$24,0),IF($NO$24="Bell_Curve",$NM$24*(200-$NQ$24+1)*($NR$24-200+1)/$NT$24,$NM$24/$NS$24)),0)</f>
        <v/>
      </c>
      <c r="GV24" s="18">
        <f>IF(AND(201&gt;=$NQ$24,201&lt;=$NR$24),IF($NO$24="Single_Point",IF(201=$NQ$24,$NM$24,0),IF($NO$24="Bell_Curve",$NM$24*(201-$NQ$24+1)*($NR$24-201+1)/$NT$24,$NM$24/$NS$24)),0)</f>
        <v/>
      </c>
      <c r="GW24" s="18">
        <f>IF(AND(202&gt;=$NQ$24,202&lt;=$NR$24),IF($NO$24="Single_Point",IF(202=$NQ$24,$NM$24,0),IF($NO$24="Bell_Curve",$NM$24*(202-$NQ$24+1)*($NR$24-202+1)/$NT$24,$NM$24/$NS$24)),0)</f>
        <v/>
      </c>
      <c r="GX24" s="18">
        <f>IF(AND(203&gt;=$NQ$24,203&lt;=$NR$24),IF($NO$24="Single_Point",IF(203=$NQ$24,$NM$24,0),IF($NO$24="Bell_Curve",$NM$24*(203-$NQ$24+1)*($NR$24-203+1)/$NT$24,$NM$24/$NS$24)),0)</f>
        <v/>
      </c>
      <c r="GY24" s="18">
        <f>IF(AND(204&gt;=$NQ$24,204&lt;=$NR$24),IF($NO$24="Single_Point",IF(204=$NQ$24,$NM$24,0),IF($NO$24="Bell_Curve",$NM$24*(204-$NQ$24+1)*($NR$24-204+1)/$NT$24,$NM$24/$NS$24)),0)</f>
        <v/>
      </c>
      <c r="GZ24" s="18">
        <f>IF(AND(205&gt;=$NQ$24,205&lt;=$NR$24),IF($NO$24="Single_Point",IF(205=$NQ$24,$NM$24,0),IF($NO$24="Bell_Curve",$NM$24*(205-$NQ$24+1)*($NR$24-205+1)/$NT$24,$NM$24/$NS$24)),0)</f>
        <v/>
      </c>
      <c r="HA24" s="18">
        <f>IF(AND(206&gt;=$NQ$24,206&lt;=$NR$24),IF($NO$24="Single_Point",IF(206=$NQ$24,$NM$24,0),IF($NO$24="Bell_Curve",$NM$24*(206-$NQ$24+1)*($NR$24-206+1)/$NT$24,$NM$24/$NS$24)),0)</f>
        <v/>
      </c>
      <c r="HB24" s="18">
        <f>IF(AND(207&gt;=$NQ$24,207&lt;=$NR$24),IF($NO$24="Single_Point",IF(207=$NQ$24,$NM$24,0),IF($NO$24="Bell_Curve",$NM$24*(207-$NQ$24+1)*($NR$24-207+1)/$NT$24,$NM$24/$NS$24)),0)</f>
        <v/>
      </c>
      <c r="HC24" s="18">
        <f>IF(AND(208&gt;=$NQ$24,208&lt;=$NR$24),IF($NO$24="Single_Point",IF(208=$NQ$24,$NM$24,0),IF($NO$24="Bell_Curve",$NM$24*(208-$NQ$24+1)*($NR$24-208+1)/$NT$24,$NM$24/$NS$24)),0)</f>
        <v/>
      </c>
      <c r="HD24" s="18">
        <f>IF(AND(209&gt;=$NQ$24,209&lt;=$NR$24),IF($NO$24="Single_Point",IF(209=$NQ$24,$NM$24,0),IF($NO$24="Bell_Curve",$NM$24*(209-$NQ$24+1)*($NR$24-209+1)/$NT$24,$NM$24/$NS$24)),0)</f>
        <v/>
      </c>
      <c r="HE24" s="18">
        <f>IF(AND(210&gt;=$NQ$24,210&lt;=$NR$24),IF($NO$24="Single_Point",IF(210=$NQ$24,$NM$24,0),IF($NO$24="Bell_Curve",$NM$24*(210-$NQ$24+1)*($NR$24-210+1)/$NT$24,$NM$24/$NS$24)),0)</f>
        <v/>
      </c>
      <c r="HF24" s="18">
        <f>IF(AND(211&gt;=$NQ$24,211&lt;=$NR$24),IF($NO$24="Single_Point",IF(211=$NQ$24,$NM$24,0),IF($NO$24="Bell_Curve",$NM$24*(211-$NQ$24+1)*($NR$24-211+1)/$NT$24,$NM$24/$NS$24)),0)</f>
        <v/>
      </c>
      <c r="HG24" s="18">
        <f>IF(AND(212&gt;=$NQ$24,212&lt;=$NR$24),IF($NO$24="Single_Point",IF(212=$NQ$24,$NM$24,0),IF($NO$24="Bell_Curve",$NM$24*(212-$NQ$24+1)*($NR$24-212+1)/$NT$24,$NM$24/$NS$24)),0)</f>
        <v/>
      </c>
      <c r="HH24" s="18">
        <f>IF(AND(213&gt;=$NQ$24,213&lt;=$NR$24),IF($NO$24="Single_Point",IF(213=$NQ$24,$NM$24,0),IF($NO$24="Bell_Curve",$NM$24*(213-$NQ$24+1)*($NR$24-213+1)/$NT$24,$NM$24/$NS$24)),0)</f>
        <v/>
      </c>
      <c r="HI24" s="18">
        <f>IF(AND(214&gt;=$NQ$24,214&lt;=$NR$24),IF($NO$24="Single_Point",IF(214=$NQ$24,$NM$24,0),IF($NO$24="Bell_Curve",$NM$24*(214-$NQ$24+1)*($NR$24-214+1)/$NT$24,$NM$24/$NS$24)),0)</f>
        <v/>
      </c>
      <c r="HJ24" s="18">
        <f>IF(AND(215&gt;=$NQ$24,215&lt;=$NR$24),IF($NO$24="Single_Point",IF(215=$NQ$24,$NM$24,0),IF($NO$24="Bell_Curve",$NM$24*(215-$NQ$24+1)*($NR$24-215+1)/$NT$24,$NM$24/$NS$24)),0)</f>
        <v/>
      </c>
      <c r="HK24" s="18">
        <f>IF(AND(216&gt;=$NQ$24,216&lt;=$NR$24),IF($NO$24="Single_Point",IF(216=$NQ$24,$NM$24,0),IF($NO$24="Bell_Curve",$NM$24*(216-$NQ$24+1)*($NR$24-216+1)/$NT$24,$NM$24/$NS$24)),0)</f>
        <v/>
      </c>
      <c r="HL24" s="18">
        <f>IF(AND(217&gt;=$NQ$24,217&lt;=$NR$24),IF($NO$24="Single_Point",IF(217=$NQ$24,$NM$24,0),IF($NO$24="Bell_Curve",$NM$24*(217-$NQ$24+1)*($NR$24-217+1)/$NT$24,$NM$24/$NS$24)),0)</f>
        <v/>
      </c>
      <c r="HM24" s="18">
        <f>IF(AND(218&gt;=$NQ$24,218&lt;=$NR$24),IF($NO$24="Single_Point",IF(218=$NQ$24,$NM$24,0),IF($NO$24="Bell_Curve",$NM$24*(218-$NQ$24+1)*($NR$24-218+1)/$NT$24,$NM$24/$NS$24)),0)</f>
        <v/>
      </c>
      <c r="HN24" s="18">
        <f>IF(AND(219&gt;=$NQ$24,219&lt;=$NR$24),IF($NO$24="Single_Point",IF(219=$NQ$24,$NM$24,0),IF($NO$24="Bell_Curve",$NM$24*(219-$NQ$24+1)*($NR$24-219+1)/$NT$24,$NM$24/$NS$24)),0)</f>
        <v/>
      </c>
      <c r="HO24" s="18">
        <f>IF(AND(220&gt;=$NQ$24,220&lt;=$NR$24),IF($NO$24="Single_Point",IF(220=$NQ$24,$NM$24,0),IF($NO$24="Bell_Curve",$NM$24*(220-$NQ$24+1)*($NR$24-220+1)/$NT$24,$NM$24/$NS$24)),0)</f>
        <v/>
      </c>
      <c r="HP24" s="18">
        <f>IF(AND(221&gt;=$NQ$24,221&lt;=$NR$24),IF($NO$24="Single_Point",IF(221=$NQ$24,$NM$24,0),IF($NO$24="Bell_Curve",$NM$24*(221-$NQ$24+1)*($NR$24-221+1)/$NT$24,$NM$24/$NS$24)),0)</f>
        <v/>
      </c>
      <c r="HQ24" s="18">
        <f>IF(AND(222&gt;=$NQ$24,222&lt;=$NR$24),IF($NO$24="Single_Point",IF(222=$NQ$24,$NM$24,0),IF($NO$24="Bell_Curve",$NM$24*(222-$NQ$24+1)*($NR$24-222+1)/$NT$24,$NM$24/$NS$24)),0)</f>
        <v/>
      </c>
      <c r="HR24" s="18">
        <f>IF(AND(223&gt;=$NQ$24,223&lt;=$NR$24),IF($NO$24="Single_Point",IF(223=$NQ$24,$NM$24,0),IF($NO$24="Bell_Curve",$NM$24*(223-$NQ$24+1)*($NR$24-223+1)/$NT$24,$NM$24/$NS$24)),0)</f>
        <v/>
      </c>
      <c r="HS24" s="18">
        <f>IF(AND(224&gt;=$NQ$24,224&lt;=$NR$24),IF($NO$24="Single_Point",IF(224=$NQ$24,$NM$24,0),IF($NO$24="Bell_Curve",$NM$24*(224-$NQ$24+1)*($NR$24-224+1)/$NT$24,$NM$24/$NS$24)),0)</f>
        <v/>
      </c>
      <c r="HT24" s="18">
        <f>IF(AND(225&gt;=$NQ$24,225&lt;=$NR$24),IF($NO$24="Single_Point",IF(225=$NQ$24,$NM$24,0),IF($NO$24="Bell_Curve",$NM$24*(225-$NQ$24+1)*($NR$24-225+1)/$NT$24,$NM$24/$NS$24)),0)</f>
        <v/>
      </c>
      <c r="HU24" s="18">
        <f>IF(AND(226&gt;=$NQ$24,226&lt;=$NR$24),IF($NO$24="Single_Point",IF(226=$NQ$24,$NM$24,0),IF($NO$24="Bell_Curve",$NM$24*(226-$NQ$24+1)*($NR$24-226+1)/$NT$24,$NM$24/$NS$24)),0)</f>
        <v/>
      </c>
      <c r="HV24" s="18">
        <f>IF(AND(227&gt;=$NQ$24,227&lt;=$NR$24),IF($NO$24="Single_Point",IF(227=$NQ$24,$NM$24,0),IF($NO$24="Bell_Curve",$NM$24*(227-$NQ$24+1)*($NR$24-227+1)/$NT$24,$NM$24/$NS$24)),0)</f>
        <v/>
      </c>
      <c r="HW24" s="18">
        <f>IF(AND(228&gt;=$NQ$24,228&lt;=$NR$24),IF($NO$24="Single_Point",IF(228=$NQ$24,$NM$24,0),IF($NO$24="Bell_Curve",$NM$24*(228-$NQ$24+1)*($NR$24-228+1)/$NT$24,$NM$24/$NS$24)),0)</f>
        <v/>
      </c>
      <c r="HX24" s="18">
        <f>IF(AND(229&gt;=$NQ$24,229&lt;=$NR$24),IF($NO$24="Single_Point",IF(229=$NQ$24,$NM$24,0),IF($NO$24="Bell_Curve",$NM$24*(229-$NQ$24+1)*($NR$24-229+1)/$NT$24,$NM$24/$NS$24)),0)</f>
        <v/>
      </c>
      <c r="HY24" s="18">
        <f>IF(AND(230&gt;=$NQ$24,230&lt;=$NR$24),IF($NO$24="Single_Point",IF(230=$NQ$24,$NM$24,0),IF($NO$24="Bell_Curve",$NM$24*(230-$NQ$24+1)*($NR$24-230+1)/$NT$24,$NM$24/$NS$24)),0)</f>
        <v/>
      </c>
      <c r="HZ24" s="18">
        <f>IF(AND(231&gt;=$NQ$24,231&lt;=$NR$24),IF($NO$24="Single_Point",IF(231=$NQ$24,$NM$24,0),IF($NO$24="Bell_Curve",$NM$24*(231-$NQ$24+1)*($NR$24-231+1)/$NT$24,$NM$24/$NS$24)),0)</f>
        <v/>
      </c>
      <c r="IA24" s="18">
        <f>IF(AND(232&gt;=$NQ$24,232&lt;=$NR$24),IF($NO$24="Single_Point",IF(232=$NQ$24,$NM$24,0),IF($NO$24="Bell_Curve",$NM$24*(232-$NQ$24+1)*($NR$24-232+1)/$NT$24,$NM$24/$NS$24)),0)</f>
        <v/>
      </c>
      <c r="IB24" s="18">
        <f>IF(AND(233&gt;=$NQ$24,233&lt;=$NR$24),IF($NO$24="Single_Point",IF(233=$NQ$24,$NM$24,0),IF($NO$24="Bell_Curve",$NM$24*(233-$NQ$24+1)*($NR$24-233+1)/$NT$24,$NM$24/$NS$24)),0)</f>
        <v/>
      </c>
      <c r="IC24" s="18">
        <f>IF(AND(234&gt;=$NQ$24,234&lt;=$NR$24),IF($NO$24="Single_Point",IF(234=$NQ$24,$NM$24,0),IF($NO$24="Bell_Curve",$NM$24*(234-$NQ$24+1)*($NR$24-234+1)/$NT$24,$NM$24/$NS$24)),0)</f>
        <v/>
      </c>
      <c r="ID24" s="18">
        <f>IF(AND(235&gt;=$NQ$24,235&lt;=$NR$24),IF($NO$24="Single_Point",IF(235=$NQ$24,$NM$24,0),IF($NO$24="Bell_Curve",$NM$24*(235-$NQ$24+1)*($NR$24-235+1)/$NT$24,$NM$24/$NS$24)),0)</f>
        <v/>
      </c>
      <c r="IE24" s="18">
        <f>IF(AND(236&gt;=$NQ$24,236&lt;=$NR$24),IF($NO$24="Single_Point",IF(236=$NQ$24,$NM$24,0),IF($NO$24="Bell_Curve",$NM$24*(236-$NQ$24+1)*($NR$24-236+1)/$NT$24,$NM$24/$NS$24)),0)</f>
        <v/>
      </c>
      <c r="IF24" s="18">
        <f>IF(AND(237&gt;=$NQ$24,237&lt;=$NR$24),IF($NO$24="Single_Point",IF(237=$NQ$24,$NM$24,0),IF($NO$24="Bell_Curve",$NM$24*(237-$NQ$24+1)*($NR$24-237+1)/$NT$24,$NM$24/$NS$24)),0)</f>
        <v/>
      </c>
      <c r="IG24" s="18">
        <f>IF(AND(238&gt;=$NQ$24,238&lt;=$NR$24),IF($NO$24="Single_Point",IF(238=$NQ$24,$NM$24,0),IF($NO$24="Bell_Curve",$NM$24*(238-$NQ$24+1)*($NR$24-238+1)/$NT$24,$NM$24/$NS$24)),0)</f>
        <v/>
      </c>
      <c r="IH24" s="18">
        <f>IF(AND(239&gt;=$NQ$24,239&lt;=$NR$24),IF($NO$24="Single_Point",IF(239=$NQ$24,$NM$24,0),IF($NO$24="Bell_Curve",$NM$24*(239-$NQ$24+1)*($NR$24-239+1)/$NT$24,$NM$24/$NS$24)),0)</f>
        <v/>
      </c>
      <c r="II24" s="18">
        <f>IF(AND(240&gt;=$NQ$24,240&lt;=$NR$24),IF($NO$24="Single_Point",IF(240=$NQ$24,$NM$24,0),IF($NO$24="Bell_Curve",$NM$24*(240-$NQ$24+1)*($NR$24-240+1)/$NT$24,$NM$24/$NS$24)),0)</f>
        <v/>
      </c>
      <c r="IJ24" s="18">
        <f>IF(AND(241&gt;=$NQ$24,241&lt;=$NR$24),IF($NO$24="Single_Point",IF(241=$NQ$24,$NM$24,0),IF($NO$24="Bell_Curve",$NM$24*(241-$NQ$24+1)*($NR$24-241+1)/$NT$24,$NM$24/$NS$24)),0)</f>
        <v/>
      </c>
      <c r="IK24" s="18">
        <f>IF(AND(242&gt;=$NQ$24,242&lt;=$NR$24),IF($NO$24="Single_Point",IF(242=$NQ$24,$NM$24,0),IF($NO$24="Bell_Curve",$NM$24*(242-$NQ$24+1)*($NR$24-242+1)/$NT$24,$NM$24/$NS$24)),0)</f>
        <v/>
      </c>
      <c r="IL24" s="18">
        <f>IF(AND(243&gt;=$NQ$24,243&lt;=$NR$24),IF($NO$24="Single_Point",IF(243=$NQ$24,$NM$24,0),IF($NO$24="Bell_Curve",$NM$24*(243-$NQ$24+1)*($NR$24-243+1)/$NT$24,$NM$24/$NS$24)),0)</f>
        <v/>
      </c>
      <c r="IM24" s="18">
        <f>IF(AND(244&gt;=$NQ$24,244&lt;=$NR$24),IF($NO$24="Single_Point",IF(244=$NQ$24,$NM$24,0),IF($NO$24="Bell_Curve",$NM$24*(244-$NQ$24+1)*($NR$24-244+1)/$NT$24,$NM$24/$NS$24)),0)</f>
        <v/>
      </c>
      <c r="IN24" s="18">
        <f>IF(AND(245&gt;=$NQ$24,245&lt;=$NR$24),IF($NO$24="Single_Point",IF(245=$NQ$24,$NM$24,0),IF($NO$24="Bell_Curve",$NM$24*(245-$NQ$24+1)*($NR$24-245+1)/$NT$24,$NM$24/$NS$24)),0)</f>
        <v/>
      </c>
      <c r="IO24" s="18">
        <f>IF(AND(246&gt;=$NQ$24,246&lt;=$NR$24),IF($NO$24="Single_Point",IF(246=$NQ$24,$NM$24,0),IF($NO$24="Bell_Curve",$NM$24*(246-$NQ$24+1)*($NR$24-246+1)/$NT$24,$NM$24/$NS$24)),0)</f>
        <v/>
      </c>
      <c r="IP24" s="18">
        <f>IF(AND(247&gt;=$NQ$24,247&lt;=$NR$24),IF($NO$24="Single_Point",IF(247=$NQ$24,$NM$24,0),IF($NO$24="Bell_Curve",$NM$24*(247-$NQ$24+1)*($NR$24-247+1)/$NT$24,$NM$24/$NS$24)),0)</f>
        <v/>
      </c>
      <c r="IQ24" s="18">
        <f>IF(AND(248&gt;=$NQ$24,248&lt;=$NR$24),IF($NO$24="Single_Point",IF(248=$NQ$24,$NM$24,0),IF($NO$24="Bell_Curve",$NM$24*(248-$NQ$24+1)*($NR$24-248+1)/$NT$24,$NM$24/$NS$24)),0)</f>
        <v/>
      </c>
      <c r="IR24" s="18">
        <f>IF(AND(249&gt;=$NQ$24,249&lt;=$NR$24),IF($NO$24="Single_Point",IF(249=$NQ$24,$NM$24,0),IF($NO$24="Bell_Curve",$NM$24*(249-$NQ$24+1)*($NR$24-249+1)/$NT$24,$NM$24/$NS$24)),0)</f>
        <v/>
      </c>
      <c r="IS24" s="18">
        <f>IF(AND(250&gt;=$NQ$24,250&lt;=$NR$24),IF($NO$24="Single_Point",IF(250=$NQ$24,$NM$24,0),IF($NO$24="Bell_Curve",$NM$24*(250-$NQ$24+1)*($NR$24-250+1)/$NT$24,$NM$24/$NS$24)),0)</f>
        <v/>
      </c>
      <c r="IT24" s="18">
        <f>IF(AND(251&gt;=$NQ$24,251&lt;=$NR$24),IF($NO$24="Single_Point",IF(251=$NQ$24,$NM$24,0),IF($NO$24="Bell_Curve",$NM$24*(251-$NQ$24+1)*($NR$24-251+1)/$NT$24,$NM$24/$NS$24)),0)</f>
        <v/>
      </c>
      <c r="IU24" s="18">
        <f>IF(AND(252&gt;=$NQ$24,252&lt;=$NR$24),IF($NO$24="Single_Point",IF(252=$NQ$24,$NM$24,0),IF($NO$24="Bell_Curve",$NM$24*(252-$NQ$24+1)*($NR$24-252+1)/$NT$24,$NM$24/$NS$24)),0)</f>
        <v/>
      </c>
      <c r="IV24" s="18">
        <f>IF(AND(253&gt;=$NQ$24,253&lt;=$NR$24),IF($NO$24="Single_Point",IF(253=$NQ$24,$NM$24,0),IF($NO$24="Bell_Curve",$NM$24*(253-$NQ$24+1)*($NR$24-253+1)/$NT$24,$NM$24/$NS$24)),0)</f>
        <v/>
      </c>
      <c r="IW24" s="18">
        <f>IF(AND(254&gt;=$NQ$24,254&lt;=$NR$24),IF($NO$24="Single_Point",IF(254=$NQ$24,$NM$24,0),IF($NO$24="Bell_Curve",$NM$24*(254-$NQ$24+1)*($NR$24-254+1)/$NT$24,$NM$24/$NS$24)),0)</f>
        <v/>
      </c>
      <c r="IX24" s="18">
        <f>IF(AND(255&gt;=$NQ$24,255&lt;=$NR$24),IF($NO$24="Single_Point",IF(255=$NQ$24,$NM$24,0),IF($NO$24="Bell_Curve",$NM$24*(255-$NQ$24+1)*($NR$24-255+1)/$NT$24,$NM$24/$NS$24)),0)</f>
        <v/>
      </c>
      <c r="IY24" s="18">
        <f>IF(AND(256&gt;=$NQ$24,256&lt;=$NR$24),IF($NO$24="Single_Point",IF(256=$NQ$24,$NM$24,0),IF($NO$24="Bell_Curve",$NM$24*(256-$NQ$24+1)*($NR$24-256+1)/$NT$24,$NM$24/$NS$24)),0)</f>
        <v/>
      </c>
      <c r="IZ24" s="18">
        <f>IF(AND(257&gt;=$NQ$24,257&lt;=$NR$24),IF($NO$24="Single_Point",IF(257=$NQ$24,$NM$24,0),IF($NO$24="Bell_Curve",$NM$24*(257-$NQ$24+1)*($NR$24-257+1)/$NT$24,$NM$24/$NS$24)),0)</f>
        <v/>
      </c>
      <c r="JA24" s="18">
        <f>IF(AND(258&gt;=$NQ$24,258&lt;=$NR$24),IF($NO$24="Single_Point",IF(258=$NQ$24,$NM$24,0),IF($NO$24="Bell_Curve",$NM$24*(258-$NQ$24+1)*($NR$24-258+1)/$NT$24,$NM$24/$NS$24)),0)</f>
        <v/>
      </c>
      <c r="JB24" s="18">
        <f>IF(AND(259&gt;=$NQ$24,259&lt;=$NR$24),IF($NO$24="Single_Point",IF(259=$NQ$24,$NM$24,0),IF($NO$24="Bell_Curve",$NM$24*(259-$NQ$24+1)*($NR$24-259+1)/$NT$24,$NM$24/$NS$24)),0)</f>
        <v/>
      </c>
      <c r="JC24" s="18">
        <f>IF(AND(260&gt;=$NQ$24,260&lt;=$NR$24),IF($NO$24="Single_Point",IF(260=$NQ$24,$NM$24,0),IF($NO$24="Bell_Curve",$NM$24*(260-$NQ$24+1)*($NR$24-260+1)/$NT$24,$NM$24/$NS$24)),0)</f>
        <v/>
      </c>
      <c r="JD24" s="18">
        <f>IF(AND(261&gt;=$NQ$24,261&lt;=$NR$24),IF($NO$24="Single_Point",IF(261=$NQ$24,$NM$24,0),IF($NO$24="Bell_Curve",$NM$24*(261-$NQ$24+1)*($NR$24-261+1)/$NT$24,$NM$24/$NS$24)),0)</f>
        <v/>
      </c>
      <c r="JE24" s="18">
        <f>IF(AND(262&gt;=$NQ$24,262&lt;=$NR$24),IF($NO$24="Single_Point",IF(262=$NQ$24,$NM$24,0),IF($NO$24="Bell_Curve",$NM$24*(262-$NQ$24+1)*($NR$24-262+1)/$NT$24,$NM$24/$NS$24)),0)</f>
        <v/>
      </c>
      <c r="JF24" s="18">
        <f>IF(AND(263&gt;=$NQ$24,263&lt;=$NR$24),IF($NO$24="Single_Point",IF(263=$NQ$24,$NM$24,0),IF($NO$24="Bell_Curve",$NM$24*(263-$NQ$24+1)*($NR$24-263+1)/$NT$24,$NM$24/$NS$24)),0)</f>
        <v/>
      </c>
      <c r="JG24" s="18">
        <f>IF(AND(264&gt;=$NQ$24,264&lt;=$NR$24),IF($NO$24="Single_Point",IF(264=$NQ$24,$NM$24,0),IF($NO$24="Bell_Curve",$NM$24*(264-$NQ$24+1)*($NR$24-264+1)/$NT$24,$NM$24/$NS$24)),0)</f>
        <v/>
      </c>
      <c r="JH24" s="18">
        <f>IF(AND(265&gt;=$NQ$24,265&lt;=$NR$24),IF($NO$24="Single_Point",IF(265=$NQ$24,$NM$24,0),IF($NO$24="Bell_Curve",$NM$24*(265-$NQ$24+1)*($NR$24-265+1)/$NT$24,$NM$24/$NS$24)),0)</f>
        <v/>
      </c>
      <c r="JI24" s="18">
        <f>IF(AND(266&gt;=$NQ$24,266&lt;=$NR$24),IF($NO$24="Single_Point",IF(266=$NQ$24,$NM$24,0),IF($NO$24="Bell_Curve",$NM$24*(266-$NQ$24+1)*($NR$24-266+1)/$NT$24,$NM$24/$NS$24)),0)</f>
        <v/>
      </c>
      <c r="JJ24" s="18">
        <f>IF(AND(267&gt;=$NQ$24,267&lt;=$NR$24),IF($NO$24="Single_Point",IF(267=$NQ$24,$NM$24,0),IF($NO$24="Bell_Curve",$NM$24*(267-$NQ$24+1)*($NR$24-267+1)/$NT$24,$NM$24/$NS$24)),0)</f>
        <v/>
      </c>
      <c r="JK24" s="18">
        <f>IF(AND(268&gt;=$NQ$24,268&lt;=$NR$24),IF($NO$24="Single_Point",IF(268=$NQ$24,$NM$24,0),IF($NO$24="Bell_Curve",$NM$24*(268-$NQ$24+1)*($NR$24-268+1)/$NT$24,$NM$24/$NS$24)),0)</f>
        <v/>
      </c>
      <c r="JL24" s="18">
        <f>IF(AND(269&gt;=$NQ$24,269&lt;=$NR$24),IF($NO$24="Single_Point",IF(269=$NQ$24,$NM$24,0),IF($NO$24="Bell_Curve",$NM$24*(269-$NQ$24+1)*($NR$24-269+1)/$NT$24,$NM$24/$NS$24)),0)</f>
        <v/>
      </c>
      <c r="JM24" s="18">
        <f>IF(AND(270&gt;=$NQ$24,270&lt;=$NR$24),IF($NO$24="Single_Point",IF(270=$NQ$24,$NM$24,0),IF($NO$24="Bell_Curve",$NM$24*(270-$NQ$24+1)*($NR$24-270+1)/$NT$24,$NM$24/$NS$24)),0)</f>
        <v/>
      </c>
      <c r="JN24" s="18">
        <f>IF(AND(271&gt;=$NQ$24,271&lt;=$NR$24),IF($NO$24="Single_Point",IF(271=$NQ$24,$NM$24,0),IF($NO$24="Bell_Curve",$NM$24*(271-$NQ$24+1)*($NR$24-271+1)/$NT$24,$NM$24/$NS$24)),0)</f>
        <v/>
      </c>
      <c r="JO24" s="18">
        <f>IF(AND(272&gt;=$NQ$24,272&lt;=$NR$24),IF($NO$24="Single_Point",IF(272=$NQ$24,$NM$24,0),IF($NO$24="Bell_Curve",$NM$24*(272-$NQ$24+1)*($NR$24-272+1)/$NT$24,$NM$24/$NS$24)),0)</f>
        <v/>
      </c>
      <c r="JP24" s="18">
        <f>IF(AND(273&gt;=$NQ$24,273&lt;=$NR$24),IF($NO$24="Single_Point",IF(273=$NQ$24,$NM$24,0),IF($NO$24="Bell_Curve",$NM$24*(273-$NQ$24+1)*($NR$24-273+1)/$NT$24,$NM$24/$NS$24)),0)</f>
        <v/>
      </c>
      <c r="JQ24" s="18">
        <f>IF(AND(274&gt;=$NQ$24,274&lt;=$NR$24),IF($NO$24="Single_Point",IF(274=$NQ$24,$NM$24,0),IF($NO$24="Bell_Curve",$NM$24*(274-$NQ$24+1)*($NR$24-274+1)/$NT$24,$NM$24/$NS$24)),0)</f>
        <v/>
      </c>
      <c r="JR24" s="18">
        <f>IF(AND(275&gt;=$NQ$24,275&lt;=$NR$24),IF($NO$24="Single_Point",IF(275=$NQ$24,$NM$24,0),IF($NO$24="Bell_Curve",$NM$24*(275-$NQ$24+1)*($NR$24-275+1)/$NT$24,$NM$24/$NS$24)),0)</f>
        <v/>
      </c>
      <c r="JS24" s="18">
        <f>IF(AND(276&gt;=$NQ$24,276&lt;=$NR$24),IF($NO$24="Single_Point",IF(276=$NQ$24,$NM$24,0),IF($NO$24="Bell_Curve",$NM$24*(276-$NQ$24+1)*($NR$24-276+1)/$NT$24,$NM$24/$NS$24)),0)</f>
        <v/>
      </c>
      <c r="JT24" s="18">
        <f>IF(AND(277&gt;=$NQ$24,277&lt;=$NR$24),IF($NO$24="Single_Point",IF(277=$NQ$24,$NM$24,0),IF($NO$24="Bell_Curve",$NM$24*(277-$NQ$24+1)*($NR$24-277+1)/$NT$24,$NM$24/$NS$24)),0)</f>
        <v/>
      </c>
      <c r="JU24" s="18">
        <f>IF(AND(278&gt;=$NQ$24,278&lt;=$NR$24),IF($NO$24="Single_Point",IF(278=$NQ$24,$NM$24,0),IF($NO$24="Bell_Curve",$NM$24*(278-$NQ$24+1)*($NR$24-278+1)/$NT$24,$NM$24/$NS$24)),0)</f>
        <v/>
      </c>
      <c r="JV24" s="18">
        <f>IF(AND(279&gt;=$NQ$24,279&lt;=$NR$24),IF($NO$24="Single_Point",IF(279=$NQ$24,$NM$24,0),IF($NO$24="Bell_Curve",$NM$24*(279-$NQ$24+1)*($NR$24-279+1)/$NT$24,$NM$24/$NS$24)),0)</f>
        <v/>
      </c>
      <c r="JW24" s="18">
        <f>IF(AND(280&gt;=$NQ$24,280&lt;=$NR$24),IF($NO$24="Single_Point",IF(280=$NQ$24,$NM$24,0),IF($NO$24="Bell_Curve",$NM$24*(280-$NQ$24+1)*($NR$24-280+1)/$NT$24,$NM$24/$NS$24)),0)</f>
        <v/>
      </c>
      <c r="JX24" s="18">
        <f>IF(AND(281&gt;=$NQ$24,281&lt;=$NR$24),IF($NO$24="Single_Point",IF(281=$NQ$24,$NM$24,0),IF($NO$24="Bell_Curve",$NM$24*(281-$NQ$24+1)*($NR$24-281+1)/$NT$24,$NM$24/$NS$24)),0)</f>
        <v/>
      </c>
      <c r="JY24" s="18">
        <f>IF(AND(282&gt;=$NQ$24,282&lt;=$NR$24),IF($NO$24="Single_Point",IF(282=$NQ$24,$NM$24,0),IF($NO$24="Bell_Curve",$NM$24*(282-$NQ$24+1)*($NR$24-282+1)/$NT$24,$NM$24/$NS$24)),0)</f>
        <v/>
      </c>
      <c r="JZ24" s="18">
        <f>IF(AND(283&gt;=$NQ$24,283&lt;=$NR$24),IF($NO$24="Single_Point",IF(283=$NQ$24,$NM$24,0),IF($NO$24="Bell_Curve",$NM$24*(283-$NQ$24+1)*($NR$24-283+1)/$NT$24,$NM$24/$NS$24)),0)</f>
        <v/>
      </c>
      <c r="KA24" s="18">
        <f>IF(AND(284&gt;=$NQ$24,284&lt;=$NR$24),IF($NO$24="Single_Point",IF(284=$NQ$24,$NM$24,0),IF($NO$24="Bell_Curve",$NM$24*(284-$NQ$24+1)*($NR$24-284+1)/$NT$24,$NM$24/$NS$24)),0)</f>
        <v/>
      </c>
      <c r="KB24" s="18">
        <f>IF(AND(285&gt;=$NQ$24,285&lt;=$NR$24),IF($NO$24="Single_Point",IF(285=$NQ$24,$NM$24,0),IF($NO$24="Bell_Curve",$NM$24*(285-$NQ$24+1)*($NR$24-285+1)/$NT$24,$NM$24/$NS$24)),0)</f>
        <v/>
      </c>
      <c r="KC24" s="18">
        <f>IF(AND(286&gt;=$NQ$24,286&lt;=$NR$24),IF($NO$24="Single_Point",IF(286=$NQ$24,$NM$24,0),IF($NO$24="Bell_Curve",$NM$24*(286-$NQ$24+1)*($NR$24-286+1)/$NT$24,$NM$24/$NS$24)),0)</f>
        <v/>
      </c>
      <c r="KD24" s="18">
        <f>IF(AND(287&gt;=$NQ$24,287&lt;=$NR$24),IF($NO$24="Single_Point",IF(287=$NQ$24,$NM$24,0),IF($NO$24="Bell_Curve",$NM$24*(287-$NQ$24+1)*($NR$24-287+1)/$NT$24,$NM$24/$NS$24)),0)</f>
        <v/>
      </c>
      <c r="KE24" s="18">
        <f>IF(AND(288&gt;=$NQ$24,288&lt;=$NR$24),IF($NO$24="Single_Point",IF(288=$NQ$24,$NM$24,0),IF($NO$24="Bell_Curve",$NM$24*(288-$NQ$24+1)*($NR$24-288+1)/$NT$24,$NM$24/$NS$24)),0)</f>
        <v/>
      </c>
      <c r="KF24" s="18">
        <f>IF(AND(289&gt;=$NQ$24,289&lt;=$NR$24),IF($NO$24="Single_Point",IF(289=$NQ$24,$NM$24,0),IF($NO$24="Bell_Curve",$NM$24*(289-$NQ$24+1)*($NR$24-289+1)/$NT$24,$NM$24/$NS$24)),0)</f>
        <v/>
      </c>
      <c r="KG24" s="18">
        <f>IF(AND(290&gt;=$NQ$24,290&lt;=$NR$24),IF($NO$24="Single_Point",IF(290=$NQ$24,$NM$24,0),IF($NO$24="Bell_Curve",$NM$24*(290-$NQ$24+1)*($NR$24-290+1)/$NT$24,$NM$24/$NS$24)),0)</f>
        <v/>
      </c>
      <c r="KH24" s="18">
        <f>IF(AND(291&gt;=$NQ$24,291&lt;=$NR$24),IF($NO$24="Single_Point",IF(291=$NQ$24,$NM$24,0),IF($NO$24="Bell_Curve",$NM$24*(291-$NQ$24+1)*($NR$24-291+1)/$NT$24,$NM$24/$NS$24)),0)</f>
        <v/>
      </c>
      <c r="KI24" s="18">
        <f>IF(AND(292&gt;=$NQ$24,292&lt;=$NR$24),IF($NO$24="Single_Point",IF(292=$NQ$24,$NM$24,0),IF($NO$24="Bell_Curve",$NM$24*(292-$NQ$24+1)*($NR$24-292+1)/$NT$24,$NM$24/$NS$24)),0)</f>
        <v/>
      </c>
      <c r="KJ24" s="18">
        <f>IF(AND(293&gt;=$NQ$24,293&lt;=$NR$24),IF($NO$24="Single_Point",IF(293=$NQ$24,$NM$24,0),IF($NO$24="Bell_Curve",$NM$24*(293-$NQ$24+1)*($NR$24-293+1)/$NT$24,$NM$24/$NS$24)),0)</f>
        <v/>
      </c>
      <c r="KK24" s="18">
        <f>IF(AND(294&gt;=$NQ$24,294&lt;=$NR$24),IF($NO$24="Single_Point",IF(294=$NQ$24,$NM$24,0),IF($NO$24="Bell_Curve",$NM$24*(294-$NQ$24+1)*($NR$24-294+1)/$NT$24,$NM$24/$NS$24)),0)</f>
        <v/>
      </c>
      <c r="KL24" s="18">
        <f>IF(AND(295&gt;=$NQ$24,295&lt;=$NR$24),IF($NO$24="Single_Point",IF(295=$NQ$24,$NM$24,0),IF($NO$24="Bell_Curve",$NM$24*(295-$NQ$24+1)*($NR$24-295+1)/$NT$24,$NM$24/$NS$24)),0)</f>
        <v/>
      </c>
      <c r="KM24" s="18">
        <f>IF(AND(296&gt;=$NQ$24,296&lt;=$NR$24),IF($NO$24="Single_Point",IF(296=$NQ$24,$NM$24,0),IF($NO$24="Bell_Curve",$NM$24*(296-$NQ$24+1)*($NR$24-296+1)/$NT$24,$NM$24/$NS$24)),0)</f>
        <v/>
      </c>
      <c r="KN24" s="18">
        <f>IF(AND(297&gt;=$NQ$24,297&lt;=$NR$24),IF($NO$24="Single_Point",IF(297=$NQ$24,$NM$24,0),IF($NO$24="Bell_Curve",$NM$24*(297-$NQ$24+1)*($NR$24-297+1)/$NT$24,$NM$24/$NS$24)),0)</f>
        <v/>
      </c>
      <c r="KO24" s="18">
        <f>IF(AND(298&gt;=$NQ$24,298&lt;=$NR$24),IF($NO$24="Single_Point",IF(298=$NQ$24,$NM$24,0),IF($NO$24="Bell_Curve",$NM$24*(298-$NQ$24+1)*($NR$24-298+1)/$NT$24,$NM$24/$NS$24)),0)</f>
        <v/>
      </c>
      <c r="KP24" s="18">
        <f>IF(AND(299&gt;=$NQ$24,299&lt;=$NR$24),IF($NO$24="Single_Point",IF(299=$NQ$24,$NM$24,0),IF($NO$24="Bell_Curve",$NM$24*(299-$NQ$24+1)*($NR$24-299+1)/$NT$24,$NM$24/$NS$24)),0)</f>
        <v/>
      </c>
      <c r="KQ24" s="18">
        <f>IF(AND(300&gt;=$NQ$24,300&lt;=$NR$24),IF($NO$24="Single_Point",IF(300=$NQ$24,$NM$24,0),IF($NO$24="Bell_Curve",$NM$24*(300-$NQ$24+1)*($NR$24-300+1)/$NT$24,$NM$24/$NS$24)),0)</f>
        <v/>
      </c>
      <c r="KR24" s="18">
        <f>IF(AND(301&gt;=$NQ$24,301&lt;=$NR$24),IF($NO$24="Single_Point",IF(301=$NQ$24,$NM$24,0),IF($NO$24="Bell_Curve",$NM$24*(301-$NQ$24+1)*($NR$24-301+1)/$NT$24,$NM$24/$NS$24)),0)</f>
        <v/>
      </c>
      <c r="KS24" s="18">
        <f>IF(AND(302&gt;=$NQ$24,302&lt;=$NR$24),IF($NO$24="Single_Point",IF(302=$NQ$24,$NM$24,0),IF($NO$24="Bell_Curve",$NM$24*(302-$NQ$24+1)*($NR$24-302+1)/$NT$24,$NM$24/$NS$24)),0)</f>
        <v/>
      </c>
      <c r="KT24" s="18">
        <f>IF(AND(303&gt;=$NQ$24,303&lt;=$NR$24),IF($NO$24="Single_Point",IF(303=$NQ$24,$NM$24,0),IF($NO$24="Bell_Curve",$NM$24*(303-$NQ$24+1)*($NR$24-303+1)/$NT$24,$NM$24/$NS$24)),0)</f>
        <v/>
      </c>
      <c r="KU24" s="18">
        <f>IF(AND(304&gt;=$NQ$24,304&lt;=$NR$24),IF($NO$24="Single_Point",IF(304=$NQ$24,$NM$24,0),IF($NO$24="Bell_Curve",$NM$24*(304-$NQ$24+1)*($NR$24-304+1)/$NT$24,$NM$24/$NS$24)),0)</f>
        <v/>
      </c>
      <c r="KV24" s="18">
        <f>IF(AND(305&gt;=$NQ$24,305&lt;=$NR$24),IF($NO$24="Single_Point",IF(305=$NQ$24,$NM$24,0),IF($NO$24="Bell_Curve",$NM$24*(305-$NQ$24+1)*($NR$24-305+1)/$NT$24,$NM$24/$NS$24)),0)</f>
        <v/>
      </c>
      <c r="KW24" s="18">
        <f>IF(AND(306&gt;=$NQ$24,306&lt;=$NR$24),IF($NO$24="Single_Point",IF(306=$NQ$24,$NM$24,0),IF($NO$24="Bell_Curve",$NM$24*(306-$NQ$24+1)*($NR$24-306+1)/$NT$24,$NM$24/$NS$24)),0)</f>
        <v/>
      </c>
      <c r="KX24" s="18">
        <f>IF(AND(307&gt;=$NQ$24,307&lt;=$NR$24),IF($NO$24="Single_Point",IF(307=$NQ$24,$NM$24,0),IF($NO$24="Bell_Curve",$NM$24*(307-$NQ$24+1)*($NR$24-307+1)/$NT$24,$NM$24/$NS$24)),0)</f>
        <v/>
      </c>
      <c r="KY24" s="18">
        <f>IF(AND(308&gt;=$NQ$24,308&lt;=$NR$24),IF($NO$24="Single_Point",IF(308=$NQ$24,$NM$24,0),IF($NO$24="Bell_Curve",$NM$24*(308-$NQ$24+1)*($NR$24-308+1)/$NT$24,$NM$24/$NS$24)),0)</f>
        <v/>
      </c>
      <c r="KZ24" s="18">
        <f>IF(AND(309&gt;=$NQ$24,309&lt;=$NR$24),IF($NO$24="Single_Point",IF(309=$NQ$24,$NM$24,0),IF($NO$24="Bell_Curve",$NM$24*(309-$NQ$24+1)*($NR$24-309+1)/$NT$24,$NM$24/$NS$24)),0)</f>
        <v/>
      </c>
      <c r="LA24" s="18">
        <f>IF(AND(310&gt;=$NQ$24,310&lt;=$NR$24),IF($NO$24="Single_Point",IF(310=$NQ$24,$NM$24,0),IF($NO$24="Bell_Curve",$NM$24*(310-$NQ$24+1)*($NR$24-310+1)/$NT$24,$NM$24/$NS$24)),0)</f>
        <v/>
      </c>
      <c r="LB24" s="18">
        <f>IF(AND(311&gt;=$NQ$24,311&lt;=$NR$24),IF($NO$24="Single_Point",IF(311=$NQ$24,$NM$24,0),IF($NO$24="Bell_Curve",$NM$24*(311-$NQ$24+1)*($NR$24-311+1)/$NT$24,$NM$24/$NS$24)),0)</f>
        <v/>
      </c>
      <c r="LC24" s="18">
        <f>IF(AND(312&gt;=$NQ$24,312&lt;=$NR$24),IF($NO$24="Single_Point",IF(312=$NQ$24,$NM$24,0),IF($NO$24="Bell_Curve",$NM$24*(312-$NQ$24+1)*($NR$24-312+1)/$NT$24,$NM$24/$NS$24)),0)</f>
        <v/>
      </c>
      <c r="LD24" s="18">
        <f>IF(AND(313&gt;=$NQ$24,313&lt;=$NR$24),IF($NO$24="Single_Point",IF(313=$NQ$24,$NM$24,0),IF($NO$24="Bell_Curve",$NM$24*(313-$NQ$24+1)*($NR$24-313+1)/$NT$24,$NM$24/$NS$24)),0)</f>
        <v/>
      </c>
      <c r="LE24" s="18">
        <f>IF(AND(314&gt;=$NQ$24,314&lt;=$NR$24),IF($NO$24="Single_Point",IF(314=$NQ$24,$NM$24,0),IF($NO$24="Bell_Curve",$NM$24*(314-$NQ$24+1)*($NR$24-314+1)/$NT$24,$NM$24/$NS$24)),0)</f>
        <v/>
      </c>
      <c r="LF24" s="18">
        <f>IF(AND(315&gt;=$NQ$24,315&lt;=$NR$24),IF($NO$24="Single_Point",IF(315=$NQ$24,$NM$24,0),IF($NO$24="Bell_Curve",$NM$24*(315-$NQ$24+1)*($NR$24-315+1)/$NT$24,$NM$24/$NS$24)),0)</f>
        <v/>
      </c>
      <c r="LG24" s="18">
        <f>IF(AND(316&gt;=$NQ$24,316&lt;=$NR$24),IF($NO$24="Single_Point",IF(316=$NQ$24,$NM$24,0),IF($NO$24="Bell_Curve",$NM$24*(316-$NQ$24+1)*($NR$24-316+1)/$NT$24,$NM$24/$NS$24)),0)</f>
        <v/>
      </c>
      <c r="LH24" s="18">
        <f>IF(AND(317&gt;=$NQ$24,317&lt;=$NR$24),IF($NO$24="Single_Point",IF(317=$NQ$24,$NM$24,0),IF($NO$24="Bell_Curve",$NM$24*(317-$NQ$24+1)*($NR$24-317+1)/$NT$24,$NM$24/$NS$24)),0)</f>
        <v/>
      </c>
      <c r="LI24" s="18">
        <f>IF(AND(318&gt;=$NQ$24,318&lt;=$NR$24),IF($NO$24="Single_Point",IF(318=$NQ$24,$NM$24,0),IF($NO$24="Bell_Curve",$NM$24*(318-$NQ$24+1)*($NR$24-318+1)/$NT$24,$NM$24/$NS$24)),0)</f>
        <v/>
      </c>
      <c r="LJ24" s="18">
        <f>IF(AND(319&gt;=$NQ$24,319&lt;=$NR$24),IF($NO$24="Single_Point",IF(319=$NQ$24,$NM$24,0),IF($NO$24="Bell_Curve",$NM$24*(319-$NQ$24+1)*($NR$24-319+1)/$NT$24,$NM$24/$NS$24)),0)</f>
        <v/>
      </c>
      <c r="LK24" s="18">
        <f>IF(AND(320&gt;=$NQ$24,320&lt;=$NR$24),IF($NO$24="Single_Point",IF(320=$NQ$24,$NM$24,0),IF($NO$24="Bell_Curve",$NM$24*(320-$NQ$24+1)*($NR$24-320+1)/$NT$24,$NM$24/$NS$24)),0)</f>
        <v/>
      </c>
      <c r="LL24" s="18">
        <f>IF(AND(321&gt;=$NQ$24,321&lt;=$NR$24),IF($NO$24="Single_Point",IF(321=$NQ$24,$NM$24,0),IF($NO$24="Bell_Curve",$NM$24*(321-$NQ$24+1)*($NR$24-321+1)/$NT$24,$NM$24/$NS$24)),0)</f>
        <v/>
      </c>
      <c r="LM24" s="18">
        <f>IF(AND(322&gt;=$NQ$24,322&lt;=$NR$24),IF($NO$24="Single_Point",IF(322=$NQ$24,$NM$24,0),IF($NO$24="Bell_Curve",$NM$24*(322-$NQ$24+1)*($NR$24-322+1)/$NT$24,$NM$24/$NS$24)),0)</f>
        <v/>
      </c>
      <c r="LN24" s="18">
        <f>IF(AND(323&gt;=$NQ$24,323&lt;=$NR$24),IF($NO$24="Single_Point",IF(323=$NQ$24,$NM$24,0),IF($NO$24="Bell_Curve",$NM$24*(323-$NQ$24+1)*($NR$24-323+1)/$NT$24,$NM$24/$NS$24)),0)</f>
        <v/>
      </c>
      <c r="LO24" s="18">
        <f>IF(AND(324&gt;=$NQ$24,324&lt;=$NR$24),IF($NO$24="Single_Point",IF(324=$NQ$24,$NM$24,0),IF($NO$24="Bell_Curve",$NM$24*(324-$NQ$24+1)*($NR$24-324+1)/$NT$24,$NM$24/$NS$24)),0)</f>
        <v/>
      </c>
      <c r="LP24" s="18">
        <f>IF(AND(325&gt;=$NQ$24,325&lt;=$NR$24),IF($NO$24="Single_Point",IF(325=$NQ$24,$NM$24,0),IF($NO$24="Bell_Curve",$NM$24*(325-$NQ$24+1)*($NR$24-325+1)/$NT$24,$NM$24/$NS$24)),0)</f>
        <v/>
      </c>
      <c r="LQ24" s="18">
        <f>IF(AND(326&gt;=$NQ$24,326&lt;=$NR$24),IF($NO$24="Single_Point",IF(326=$NQ$24,$NM$24,0),IF($NO$24="Bell_Curve",$NM$24*(326-$NQ$24+1)*($NR$24-326+1)/$NT$24,$NM$24/$NS$24)),0)</f>
        <v/>
      </c>
      <c r="LR24" s="18">
        <f>IF(AND(327&gt;=$NQ$24,327&lt;=$NR$24),IF($NO$24="Single_Point",IF(327=$NQ$24,$NM$24,0),IF($NO$24="Bell_Curve",$NM$24*(327-$NQ$24+1)*($NR$24-327+1)/$NT$24,$NM$24/$NS$24)),0)</f>
        <v/>
      </c>
      <c r="LS24" s="18">
        <f>IF(AND(328&gt;=$NQ$24,328&lt;=$NR$24),IF($NO$24="Single_Point",IF(328=$NQ$24,$NM$24,0),IF($NO$24="Bell_Curve",$NM$24*(328-$NQ$24+1)*($NR$24-328+1)/$NT$24,$NM$24/$NS$24)),0)</f>
        <v/>
      </c>
      <c r="LT24" s="18">
        <f>IF(AND(329&gt;=$NQ$24,329&lt;=$NR$24),IF($NO$24="Single_Point",IF(329=$NQ$24,$NM$24,0),IF($NO$24="Bell_Curve",$NM$24*(329-$NQ$24+1)*($NR$24-329+1)/$NT$24,$NM$24/$NS$24)),0)</f>
        <v/>
      </c>
      <c r="LU24" s="18">
        <f>IF(AND(330&gt;=$NQ$24,330&lt;=$NR$24),IF($NO$24="Single_Point",IF(330=$NQ$24,$NM$24,0),IF($NO$24="Bell_Curve",$NM$24*(330-$NQ$24+1)*($NR$24-330+1)/$NT$24,$NM$24/$NS$24)),0)</f>
        <v/>
      </c>
      <c r="LV24" s="18">
        <f>IF(AND(331&gt;=$NQ$24,331&lt;=$NR$24),IF($NO$24="Single_Point",IF(331=$NQ$24,$NM$24,0),IF($NO$24="Bell_Curve",$NM$24*(331-$NQ$24+1)*($NR$24-331+1)/$NT$24,$NM$24/$NS$24)),0)</f>
        <v/>
      </c>
      <c r="LW24" s="18">
        <f>IF(AND(332&gt;=$NQ$24,332&lt;=$NR$24),IF($NO$24="Single_Point",IF(332=$NQ$24,$NM$24,0),IF($NO$24="Bell_Curve",$NM$24*(332-$NQ$24+1)*($NR$24-332+1)/$NT$24,$NM$24/$NS$24)),0)</f>
        <v/>
      </c>
      <c r="LX24" s="18">
        <f>IF(AND(333&gt;=$NQ$24,333&lt;=$NR$24),IF($NO$24="Single_Point",IF(333=$NQ$24,$NM$24,0),IF($NO$24="Bell_Curve",$NM$24*(333-$NQ$24+1)*($NR$24-333+1)/$NT$24,$NM$24/$NS$24)),0)</f>
        <v/>
      </c>
      <c r="LY24" s="18">
        <f>IF(AND(334&gt;=$NQ$24,334&lt;=$NR$24),IF($NO$24="Single_Point",IF(334=$NQ$24,$NM$24,0),IF($NO$24="Bell_Curve",$NM$24*(334-$NQ$24+1)*($NR$24-334+1)/$NT$24,$NM$24/$NS$24)),0)</f>
        <v/>
      </c>
      <c r="LZ24" s="18">
        <f>IF(AND(335&gt;=$NQ$24,335&lt;=$NR$24),IF($NO$24="Single_Point",IF(335=$NQ$24,$NM$24,0),IF($NO$24="Bell_Curve",$NM$24*(335-$NQ$24+1)*($NR$24-335+1)/$NT$24,$NM$24/$NS$24)),0)</f>
        <v/>
      </c>
      <c r="MA24" s="18">
        <f>IF(AND(336&gt;=$NQ$24,336&lt;=$NR$24),IF($NO$24="Single_Point",IF(336=$NQ$24,$NM$24,0),IF($NO$24="Bell_Curve",$NM$24*(336-$NQ$24+1)*($NR$24-336+1)/$NT$24,$NM$24/$NS$24)),0)</f>
        <v/>
      </c>
      <c r="MB24" s="18">
        <f>IF(AND(337&gt;=$NQ$24,337&lt;=$NR$24),IF($NO$24="Single_Point",IF(337=$NQ$24,$NM$24,0),IF($NO$24="Bell_Curve",$NM$24*(337-$NQ$24+1)*($NR$24-337+1)/$NT$24,$NM$24/$NS$24)),0)</f>
        <v/>
      </c>
      <c r="MC24" s="18">
        <f>IF(AND(338&gt;=$NQ$24,338&lt;=$NR$24),IF($NO$24="Single_Point",IF(338=$NQ$24,$NM$24,0),IF($NO$24="Bell_Curve",$NM$24*(338-$NQ$24+1)*($NR$24-338+1)/$NT$24,$NM$24/$NS$24)),0)</f>
        <v/>
      </c>
      <c r="MD24" s="18">
        <f>IF(AND(339&gt;=$NQ$24,339&lt;=$NR$24),IF($NO$24="Single_Point",IF(339=$NQ$24,$NM$24,0),IF($NO$24="Bell_Curve",$NM$24*(339-$NQ$24+1)*($NR$24-339+1)/$NT$24,$NM$24/$NS$24)),0)</f>
        <v/>
      </c>
      <c r="ME24" s="18">
        <f>IF(AND(340&gt;=$NQ$24,340&lt;=$NR$24),IF($NO$24="Single_Point",IF(340=$NQ$24,$NM$24,0),IF($NO$24="Bell_Curve",$NM$24*(340-$NQ$24+1)*($NR$24-340+1)/$NT$24,$NM$24/$NS$24)),0)</f>
        <v/>
      </c>
      <c r="MF24" s="18">
        <f>IF(AND(341&gt;=$NQ$24,341&lt;=$NR$24),IF($NO$24="Single_Point",IF(341=$NQ$24,$NM$24,0),IF($NO$24="Bell_Curve",$NM$24*(341-$NQ$24+1)*($NR$24-341+1)/$NT$24,$NM$24/$NS$24)),0)</f>
        <v/>
      </c>
      <c r="MG24" s="18">
        <f>IF(AND(342&gt;=$NQ$24,342&lt;=$NR$24),IF($NO$24="Single_Point",IF(342=$NQ$24,$NM$24,0),IF($NO$24="Bell_Curve",$NM$24*(342-$NQ$24+1)*($NR$24-342+1)/$NT$24,$NM$24/$NS$24)),0)</f>
        <v/>
      </c>
      <c r="MH24" s="18">
        <f>IF(AND(343&gt;=$NQ$24,343&lt;=$NR$24),IF($NO$24="Single_Point",IF(343=$NQ$24,$NM$24,0),IF($NO$24="Bell_Curve",$NM$24*(343-$NQ$24+1)*($NR$24-343+1)/$NT$24,$NM$24/$NS$24)),0)</f>
        <v/>
      </c>
      <c r="MI24" s="18">
        <f>IF(AND(344&gt;=$NQ$24,344&lt;=$NR$24),IF($NO$24="Single_Point",IF(344=$NQ$24,$NM$24,0),IF($NO$24="Bell_Curve",$NM$24*(344-$NQ$24+1)*($NR$24-344+1)/$NT$24,$NM$24/$NS$24)),0)</f>
        <v/>
      </c>
      <c r="MJ24" s="18">
        <f>IF(AND(345&gt;=$NQ$24,345&lt;=$NR$24),IF($NO$24="Single_Point",IF(345=$NQ$24,$NM$24,0),IF($NO$24="Bell_Curve",$NM$24*(345-$NQ$24+1)*($NR$24-345+1)/$NT$24,$NM$24/$NS$24)),0)</f>
        <v/>
      </c>
      <c r="MK24" s="18">
        <f>IF(AND(346&gt;=$NQ$24,346&lt;=$NR$24),IF($NO$24="Single_Point",IF(346=$NQ$24,$NM$24,0),IF($NO$24="Bell_Curve",$NM$24*(346-$NQ$24+1)*($NR$24-346+1)/$NT$24,$NM$24/$NS$24)),0)</f>
        <v/>
      </c>
      <c r="ML24" s="18">
        <f>IF(AND(347&gt;=$NQ$24,347&lt;=$NR$24),IF($NO$24="Single_Point",IF(347=$NQ$24,$NM$24,0),IF($NO$24="Bell_Curve",$NM$24*(347-$NQ$24+1)*($NR$24-347+1)/$NT$24,$NM$24/$NS$24)),0)</f>
        <v/>
      </c>
      <c r="MM24" s="18">
        <f>IF(AND(348&gt;=$NQ$24,348&lt;=$NR$24),IF($NO$24="Single_Point",IF(348=$NQ$24,$NM$24,0),IF($NO$24="Bell_Curve",$NM$24*(348-$NQ$24+1)*($NR$24-348+1)/$NT$24,$NM$24/$NS$24)),0)</f>
        <v/>
      </c>
      <c r="MN24" s="18">
        <f>IF(AND(349&gt;=$NQ$24,349&lt;=$NR$24),IF($NO$24="Single_Point",IF(349=$NQ$24,$NM$24,0),IF($NO$24="Bell_Curve",$NM$24*(349-$NQ$24+1)*($NR$24-349+1)/$NT$24,$NM$24/$NS$24)),0)</f>
        <v/>
      </c>
      <c r="MO24" s="18">
        <f>IF(AND(350&gt;=$NQ$24,350&lt;=$NR$24),IF($NO$24="Single_Point",IF(350=$NQ$24,$NM$24,0),IF($NO$24="Bell_Curve",$NM$24*(350-$NQ$24+1)*($NR$24-350+1)/$NT$24,$NM$24/$NS$24)),0)</f>
        <v/>
      </c>
      <c r="MP24" s="18">
        <f>IF(AND(351&gt;=$NQ$24,351&lt;=$NR$24),IF($NO$24="Single_Point",IF(351=$NQ$24,$NM$24,0),IF($NO$24="Bell_Curve",$NM$24*(351-$NQ$24+1)*($NR$24-351+1)/$NT$24,$NM$24/$NS$24)),0)</f>
        <v/>
      </c>
      <c r="MQ24" s="18">
        <f>IF(AND(352&gt;=$NQ$24,352&lt;=$NR$24),IF($NO$24="Single_Point",IF(352=$NQ$24,$NM$24,0),IF($NO$24="Bell_Curve",$NM$24*(352-$NQ$24+1)*($NR$24-352+1)/$NT$24,$NM$24/$NS$24)),0)</f>
        <v/>
      </c>
      <c r="MR24" s="18">
        <f>IF(AND(353&gt;=$NQ$24,353&lt;=$NR$24),IF($NO$24="Single_Point",IF(353=$NQ$24,$NM$24,0),IF($NO$24="Bell_Curve",$NM$24*(353-$NQ$24+1)*($NR$24-353+1)/$NT$24,$NM$24/$NS$24)),0)</f>
        <v/>
      </c>
      <c r="MS24" s="18">
        <f>IF(AND(354&gt;=$NQ$24,354&lt;=$NR$24),IF($NO$24="Single_Point",IF(354=$NQ$24,$NM$24,0),IF($NO$24="Bell_Curve",$NM$24*(354-$NQ$24+1)*($NR$24-354+1)/$NT$24,$NM$24/$NS$24)),0)</f>
        <v/>
      </c>
      <c r="MT24" s="18">
        <f>IF(AND(355&gt;=$NQ$24,355&lt;=$NR$24),IF($NO$24="Single_Point",IF(355=$NQ$24,$NM$24,0),IF($NO$24="Bell_Curve",$NM$24*(355-$NQ$24+1)*($NR$24-355+1)/$NT$24,$NM$24/$NS$24)),0)</f>
        <v/>
      </c>
      <c r="MU24" s="18">
        <f>IF(AND(356&gt;=$NQ$24,356&lt;=$NR$24),IF($NO$24="Single_Point",IF(356=$NQ$24,$NM$24,0),IF($NO$24="Bell_Curve",$NM$24*(356-$NQ$24+1)*($NR$24-356+1)/$NT$24,$NM$24/$NS$24)),0)</f>
        <v/>
      </c>
      <c r="MV24" s="18">
        <f>IF(AND(357&gt;=$NQ$24,357&lt;=$NR$24),IF($NO$24="Single_Point",IF(357=$NQ$24,$NM$24,0),IF($NO$24="Bell_Curve",$NM$24*(357-$NQ$24+1)*($NR$24-357+1)/$NT$24,$NM$24/$NS$24)),0)</f>
        <v/>
      </c>
      <c r="MW24" s="18">
        <f>IF(AND(358&gt;=$NQ$24,358&lt;=$NR$24),IF($NO$24="Single_Point",IF(358=$NQ$24,$NM$24,0),IF($NO$24="Bell_Curve",$NM$24*(358-$NQ$24+1)*($NR$24-358+1)/$NT$24,$NM$24/$NS$24)),0)</f>
        <v/>
      </c>
      <c r="MX24" s="18">
        <f>IF(AND(359&gt;=$NQ$24,359&lt;=$NR$24),IF($NO$24="Single_Point",IF(359=$NQ$24,$NM$24,0),IF($NO$24="Bell_Curve",$NM$24*(359-$NQ$24+1)*($NR$24-359+1)/$NT$24,$NM$24/$NS$24)),0)</f>
        <v/>
      </c>
      <c r="MY24" s="18">
        <f>IF(AND(360&gt;=$NQ$24,360&lt;=$NR$24),IF($NO$24="Single_Point",IF(360=$NQ$24,$NM$24,0),IF($NO$24="Bell_Curve",$NM$24*(360-$NQ$24+1)*($NR$24-360+1)/$NT$24,$NM$24/$NS$24)),0)</f>
        <v/>
      </c>
      <c r="MZ24" s="18">
        <f>IF(AND(361&gt;=$NQ$24,361&lt;=$NR$24),IF($NO$24="Single_Point",IF(361=$NQ$24,$NM$24,0),IF($NO$24="Bell_Curve",$NM$24*(361-$NQ$24+1)*($NR$24-361+1)/$NT$24,$NM$24/$NS$24)),0)</f>
        <v/>
      </c>
      <c r="NA24" s="18">
        <f>IF(AND(362&gt;=$NQ$24,362&lt;=$NR$24),IF($NO$24="Single_Point",IF(362=$NQ$24,$NM$24,0),IF($NO$24="Bell_Curve",$NM$24*(362-$NQ$24+1)*($NR$24-362+1)/$NT$24,$NM$24/$NS$24)),0)</f>
        <v/>
      </c>
      <c r="NB24" s="18">
        <f>IF(AND(363&gt;=$NQ$24,363&lt;=$NR$24),IF($NO$24="Single_Point",IF(363=$NQ$24,$NM$24,0),IF($NO$24="Bell_Curve",$NM$24*(363-$NQ$24+1)*($NR$24-363+1)/$NT$24,$NM$24/$NS$24)),0)</f>
        <v/>
      </c>
      <c r="NC24" s="18">
        <f>IF(AND(364&gt;=$NQ$24,364&lt;=$NR$24),IF($NO$24="Single_Point",IF(364=$NQ$24,$NM$24,0),IF($NO$24="Bell_Curve",$NM$24*(364-$NQ$24+1)*($NR$24-364+1)/$NT$24,$NM$24/$NS$24)),0)</f>
        <v/>
      </c>
      <c r="ND24" s="18">
        <f>IF(AND(365&gt;=$NQ$24,365&lt;=$NR$24),IF($NO$24="Single_Point",IF(365=$NQ$24,$NM$24,0),IF($NO$24="Bell_Curve",$NM$24*(365-$NQ$24+1)*($NR$24-365+1)/$NT$24,$NM$24/$NS$24)),0)</f>
        <v/>
      </c>
      <c r="NE24" s="18">
        <f>IF(AND(366&gt;=$NQ$24,366&lt;=$NR$24),IF($NO$24="Single_Point",IF(366=$NQ$24,$NM$24,0),IF($NO$24="Bell_Curve",$NM$24*(366-$NQ$24+1)*($NR$24-366+1)/$NT$24,$NM$24/$NS$24)),0)</f>
        <v/>
      </c>
      <c r="NF24" s="18">
        <f>IF(AND(367&gt;=$NQ$24,367&lt;=$NR$24),IF($NO$24="Single_Point",IF(367=$NQ$24,$NM$24,0),IF($NO$24="Bell_Curve",$NM$24*(367-$NQ$24+1)*($NR$24-367+1)/$NT$24,$NM$24/$NS$24)),0)</f>
        <v/>
      </c>
      <c r="NG24" s="18">
        <f>IF(AND(368&gt;=$NQ$24,368&lt;=$NR$24),IF($NO$24="Single_Point",IF(368=$NQ$24,$NM$24,0),IF($NO$24="Bell_Curve",$NM$24*(368-$NQ$24+1)*($NR$24-368+1)/$NT$24,$NM$24/$NS$24)),0)</f>
        <v/>
      </c>
      <c r="NH24" s="18">
        <f>IF(AND(369&gt;=$NQ$24,369&lt;=$NR$24),IF($NO$24="Single_Point",IF(369=$NQ$24,$NM$24,0),IF($NO$24="Bell_Curve",$NM$24*(369-$NQ$24+1)*($NR$24-369+1)/$NT$24,$NM$24/$NS$24)),0)</f>
        <v/>
      </c>
      <c r="NI24" s="18">
        <f>IF(AND(370&gt;=$NQ$24,370&lt;=$NR$24),IF($NO$24="Single_Point",IF(370=$NQ$24,$NM$24,0),IF($NO$24="Bell_Curve",$NM$24*(370-$NQ$24+1)*($NR$24-370+1)/$NT$24,$NM$24/$NS$24)),0)</f>
        <v/>
      </c>
      <c r="NJ24" s="18">
        <f>IF(AND(371&gt;=$NQ$24,371&lt;=$NR$24),IF($NO$24="Single_Point",IF(371=$NQ$24,$NM$24,0),IF($NO$24="Bell_Curve",$NM$24*(371-$NQ$24+1)*($NR$24-371+1)/$NT$24,$NM$24/$NS$24)),0)</f>
        <v/>
      </c>
      <c r="NK24" s="18">
        <f>IF(AND(372&gt;=$NQ$24,372&lt;=$NR$24),IF($NO$24="Single_Point",IF(372=$NQ$24,$NM$24,0),IF($NO$24="Bell_Curve",$NM$24*(372-$NQ$24+1)*($NR$24-372+1)/$NT$24,$NM$24/$NS$24)),0)</f>
        <v/>
      </c>
      <c r="NM24" s="18">
        <f>Budget!I23</f>
        <v/>
      </c>
      <c r="NN24" s="42">
        <f>Budget!F23</f>
        <v/>
      </c>
      <c r="NO24" s="42">
        <f>Budget!G23</f>
        <v/>
      </c>
      <c r="NP24" s="17">
        <f>Budget!H23</f>
        <v/>
      </c>
      <c r="NQ24" s="32">
        <f>MAX(1,MIN(372,INDEX(MilestoneStart,MATCH(NN24,MilestoneNames,0))+NP24))</f>
        <v/>
      </c>
      <c r="NR24" s="32">
        <f>MAX(NQ24,MIN(372,INDEX(MilestoneEnd,MATCH(NN24,MilestoneNames,0))+NP24))</f>
        <v/>
      </c>
      <c r="NS24" s="17">
        <f>NR24-NQ24+1</f>
        <v/>
      </c>
      <c r="NT24" s="17">
        <f>NS24*(NS24+1)*(NS24+2)/6</f>
        <v/>
      </c>
    </row>
    <row r="25">
      <c r="A25" s="5" t="inlineStr">
        <is>
          <t>Other Soft Cost 5</t>
        </is>
      </c>
      <c r="C25" s="41">
        <f>SUM(D25:NK25)</f>
        <v/>
      </c>
      <c r="D25" s="18">
        <f>IF(AND(1&gt;=$NQ$25,1&lt;=$NR$25),IF($NO$25="Single_Point",IF(1=$NQ$25,$NM$25,0),IF($NO$25="Bell_Curve",$NM$25*(1-$NQ$25+1)*($NR$25-1+1)/$NT$25,$NM$25/$NS$25)),0)</f>
        <v/>
      </c>
      <c r="E25" s="18">
        <f>IF(AND(2&gt;=$NQ$25,2&lt;=$NR$25),IF($NO$25="Single_Point",IF(2=$NQ$25,$NM$25,0),IF($NO$25="Bell_Curve",$NM$25*(2-$NQ$25+1)*($NR$25-2+1)/$NT$25,$NM$25/$NS$25)),0)</f>
        <v/>
      </c>
      <c r="F25" s="18">
        <f>IF(AND(3&gt;=$NQ$25,3&lt;=$NR$25),IF($NO$25="Single_Point",IF(3=$NQ$25,$NM$25,0),IF($NO$25="Bell_Curve",$NM$25*(3-$NQ$25+1)*($NR$25-3+1)/$NT$25,$NM$25/$NS$25)),0)</f>
        <v/>
      </c>
      <c r="G25" s="18">
        <f>IF(AND(4&gt;=$NQ$25,4&lt;=$NR$25),IF($NO$25="Single_Point",IF(4=$NQ$25,$NM$25,0),IF($NO$25="Bell_Curve",$NM$25*(4-$NQ$25+1)*($NR$25-4+1)/$NT$25,$NM$25/$NS$25)),0)</f>
        <v/>
      </c>
      <c r="H25" s="18">
        <f>IF(AND(5&gt;=$NQ$25,5&lt;=$NR$25),IF($NO$25="Single_Point",IF(5=$NQ$25,$NM$25,0),IF($NO$25="Bell_Curve",$NM$25*(5-$NQ$25+1)*($NR$25-5+1)/$NT$25,$NM$25/$NS$25)),0)</f>
        <v/>
      </c>
      <c r="I25" s="18">
        <f>IF(AND(6&gt;=$NQ$25,6&lt;=$NR$25),IF($NO$25="Single_Point",IF(6=$NQ$25,$NM$25,0),IF($NO$25="Bell_Curve",$NM$25*(6-$NQ$25+1)*($NR$25-6+1)/$NT$25,$NM$25/$NS$25)),0)</f>
        <v/>
      </c>
      <c r="J25" s="18">
        <f>IF(AND(7&gt;=$NQ$25,7&lt;=$NR$25),IF($NO$25="Single_Point",IF(7=$NQ$25,$NM$25,0),IF($NO$25="Bell_Curve",$NM$25*(7-$NQ$25+1)*($NR$25-7+1)/$NT$25,$NM$25/$NS$25)),0)</f>
        <v/>
      </c>
      <c r="K25" s="18">
        <f>IF(AND(8&gt;=$NQ$25,8&lt;=$NR$25),IF($NO$25="Single_Point",IF(8=$NQ$25,$NM$25,0),IF($NO$25="Bell_Curve",$NM$25*(8-$NQ$25+1)*($NR$25-8+1)/$NT$25,$NM$25/$NS$25)),0)</f>
        <v/>
      </c>
      <c r="L25" s="18">
        <f>IF(AND(9&gt;=$NQ$25,9&lt;=$NR$25),IF($NO$25="Single_Point",IF(9=$NQ$25,$NM$25,0),IF($NO$25="Bell_Curve",$NM$25*(9-$NQ$25+1)*($NR$25-9+1)/$NT$25,$NM$25/$NS$25)),0)</f>
        <v/>
      </c>
      <c r="M25" s="18">
        <f>IF(AND(10&gt;=$NQ$25,10&lt;=$NR$25),IF($NO$25="Single_Point",IF(10=$NQ$25,$NM$25,0),IF($NO$25="Bell_Curve",$NM$25*(10-$NQ$25+1)*($NR$25-10+1)/$NT$25,$NM$25/$NS$25)),0)</f>
        <v/>
      </c>
      <c r="N25" s="18">
        <f>IF(AND(11&gt;=$NQ$25,11&lt;=$NR$25),IF($NO$25="Single_Point",IF(11=$NQ$25,$NM$25,0),IF($NO$25="Bell_Curve",$NM$25*(11-$NQ$25+1)*($NR$25-11+1)/$NT$25,$NM$25/$NS$25)),0)</f>
        <v/>
      </c>
      <c r="O25" s="18">
        <f>IF(AND(12&gt;=$NQ$25,12&lt;=$NR$25),IF($NO$25="Single_Point",IF(12=$NQ$25,$NM$25,0),IF($NO$25="Bell_Curve",$NM$25*(12-$NQ$25+1)*($NR$25-12+1)/$NT$25,$NM$25/$NS$25)),0)</f>
        <v/>
      </c>
      <c r="P25" s="18">
        <f>IF(AND(13&gt;=$NQ$25,13&lt;=$NR$25),IF($NO$25="Single_Point",IF(13=$NQ$25,$NM$25,0),IF($NO$25="Bell_Curve",$NM$25*(13-$NQ$25+1)*($NR$25-13+1)/$NT$25,$NM$25/$NS$25)),0)</f>
        <v/>
      </c>
      <c r="Q25" s="18">
        <f>IF(AND(14&gt;=$NQ$25,14&lt;=$NR$25),IF($NO$25="Single_Point",IF(14=$NQ$25,$NM$25,0),IF($NO$25="Bell_Curve",$NM$25*(14-$NQ$25+1)*($NR$25-14+1)/$NT$25,$NM$25/$NS$25)),0)</f>
        <v/>
      </c>
      <c r="R25" s="18">
        <f>IF(AND(15&gt;=$NQ$25,15&lt;=$NR$25),IF($NO$25="Single_Point",IF(15=$NQ$25,$NM$25,0),IF($NO$25="Bell_Curve",$NM$25*(15-$NQ$25+1)*($NR$25-15+1)/$NT$25,$NM$25/$NS$25)),0)</f>
        <v/>
      </c>
      <c r="S25" s="18">
        <f>IF(AND(16&gt;=$NQ$25,16&lt;=$NR$25),IF($NO$25="Single_Point",IF(16=$NQ$25,$NM$25,0),IF($NO$25="Bell_Curve",$NM$25*(16-$NQ$25+1)*($NR$25-16+1)/$NT$25,$NM$25/$NS$25)),0)</f>
        <v/>
      </c>
      <c r="T25" s="18">
        <f>IF(AND(17&gt;=$NQ$25,17&lt;=$NR$25),IF($NO$25="Single_Point",IF(17=$NQ$25,$NM$25,0),IF($NO$25="Bell_Curve",$NM$25*(17-$NQ$25+1)*($NR$25-17+1)/$NT$25,$NM$25/$NS$25)),0)</f>
        <v/>
      </c>
      <c r="U25" s="18">
        <f>IF(AND(18&gt;=$NQ$25,18&lt;=$NR$25),IF($NO$25="Single_Point",IF(18=$NQ$25,$NM$25,0),IF($NO$25="Bell_Curve",$NM$25*(18-$NQ$25+1)*($NR$25-18+1)/$NT$25,$NM$25/$NS$25)),0)</f>
        <v/>
      </c>
      <c r="V25" s="18">
        <f>IF(AND(19&gt;=$NQ$25,19&lt;=$NR$25),IF($NO$25="Single_Point",IF(19=$NQ$25,$NM$25,0),IF($NO$25="Bell_Curve",$NM$25*(19-$NQ$25+1)*($NR$25-19+1)/$NT$25,$NM$25/$NS$25)),0)</f>
        <v/>
      </c>
      <c r="W25" s="18">
        <f>IF(AND(20&gt;=$NQ$25,20&lt;=$NR$25),IF($NO$25="Single_Point",IF(20=$NQ$25,$NM$25,0),IF($NO$25="Bell_Curve",$NM$25*(20-$NQ$25+1)*($NR$25-20+1)/$NT$25,$NM$25/$NS$25)),0)</f>
        <v/>
      </c>
      <c r="X25" s="18">
        <f>IF(AND(21&gt;=$NQ$25,21&lt;=$NR$25),IF($NO$25="Single_Point",IF(21=$NQ$25,$NM$25,0),IF($NO$25="Bell_Curve",$NM$25*(21-$NQ$25+1)*($NR$25-21+1)/$NT$25,$NM$25/$NS$25)),0)</f>
        <v/>
      </c>
      <c r="Y25" s="18">
        <f>IF(AND(22&gt;=$NQ$25,22&lt;=$NR$25),IF($NO$25="Single_Point",IF(22=$NQ$25,$NM$25,0),IF($NO$25="Bell_Curve",$NM$25*(22-$NQ$25+1)*($NR$25-22+1)/$NT$25,$NM$25/$NS$25)),0)</f>
        <v/>
      </c>
      <c r="Z25" s="18">
        <f>IF(AND(23&gt;=$NQ$25,23&lt;=$NR$25),IF($NO$25="Single_Point",IF(23=$NQ$25,$NM$25,0),IF($NO$25="Bell_Curve",$NM$25*(23-$NQ$25+1)*($NR$25-23+1)/$NT$25,$NM$25/$NS$25)),0)</f>
        <v/>
      </c>
      <c r="AA25" s="18">
        <f>IF(AND(24&gt;=$NQ$25,24&lt;=$NR$25),IF($NO$25="Single_Point",IF(24=$NQ$25,$NM$25,0),IF($NO$25="Bell_Curve",$NM$25*(24-$NQ$25+1)*($NR$25-24+1)/$NT$25,$NM$25/$NS$25)),0)</f>
        <v/>
      </c>
      <c r="AB25" s="18">
        <f>IF(AND(25&gt;=$NQ$25,25&lt;=$NR$25),IF($NO$25="Single_Point",IF(25=$NQ$25,$NM$25,0),IF($NO$25="Bell_Curve",$NM$25*(25-$NQ$25+1)*($NR$25-25+1)/$NT$25,$NM$25/$NS$25)),0)</f>
        <v/>
      </c>
      <c r="AC25" s="18">
        <f>IF(AND(26&gt;=$NQ$25,26&lt;=$NR$25),IF($NO$25="Single_Point",IF(26=$NQ$25,$NM$25,0),IF($NO$25="Bell_Curve",$NM$25*(26-$NQ$25+1)*($NR$25-26+1)/$NT$25,$NM$25/$NS$25)),0)</f>
        <v/>
      </c>
      <c r="AD25" s="18">
        <f>IF(AND(27&gt;=$NQ$25,27&lt;=$NR$25),IF($NO$25="Single_Point",IF(27=$NQ$25,$NM$25,0),IF($NO$25="Bell_Curve",$NM$25*(27-$NQ$25+1)*($NR$25-27+1)/$NT$25,$NM$25/$NS$25)),0)</f>
        <v/>
      </c>
      <c r="AE25" s="18">
        <f>IF(AND(28&gt;=$NQ$25,28&lt;=$NR$25),IF($NO$25="Single_Point",IF(28=$NQ$25,$NM$25,0),IF($NO$25="Bell_Curve",$NM$25*(28-$NQ$25+1)*($NR$25-28+1)/$NT$25,$NM$25/$NS$25)),0)</f>
        <v/>
      </c>
      <c r="AF25" s="18">
        <f>IF(AND(29&gt;=$NQ$25,29&lt;=$NR$25),IF($NO$25="Single_Point",IF(29=$NQ$25,$NM$25,0),IF($NO$25="Bell_Curve",$NM$25*(29-$NQ$25+1)*($NR$25-29+1)/$NT$25,$NM$25/$NS$25)),0)</f>
        <v/>
      </c>
      <c r="AG25" s="18">
        <f>IF(AND(30&gt;=$NQ$25,30&lt;=$NR$25),IF($NO$25="Single_Point",IF(30=$NQ$25,$NM$25,0),IF($NO$25="Bell_Curve",$NM$25*(30-$NQ$25+1)*($NR$25-30+1)/$NT$25,$NM$25/$NS$25)),0)</f>
        <v/>
      </c>
      <c r="AH25" s="18">
        <f>IF(AND(31&gt;=$NQ$25,31&lt;=$NR$25),IF($NO$25="Single_Point",IF(31=$NQ$25,$NM$25,0),IF($NO$25="Bell_Curve",$NM$25*(31-$NQ$25+1)*($NR$25-31+1)/$NT$25,$NM$25/$NS$25)),0)</f>
        <v/>
      </c>
      <c r="AI25" s="18">
        <f>IF(AND(32&gt;=$NQ$25,32&lt;=$NR$25),IF($NO$25="Single_Point",IF(32=$NQ$25,$NM$25,0),IF($NO$25="Bell_Curve",$NM$25*(32-$NQ$25+1)*($NR$25-32+1)/$NT$25,$NM$25/$NS$25)),0)</f>
        <v/>
      </c>
      <c r="AJ25" s="18">
        <f>IF(AND(33&gt;=$NQ$25,33&lt;=$NR$25),IF($NO$25="Single_Point",IF(33=$NQ$25,$NM$25,0),IF($NO$25="Bell_Curve",$NM$25*(33-$NQ$25+1)*($NR$25-33+1)/$NT$25,$NM$25/$NS$25)),0)</f>
        <v/>
      </c>
      <c r="AK25" s="18">
        <f>IF(AND(34&gt;=$NQ$25,34&lt;=$NR$25),IF($NO$25="Single_Point",IF(34=$NQ$25,$NM$25,0),IF($NO$25="Bell_Curve",$NM$25*(34-$NQ$25+1)*($NR$25-34+1)/$NT$25,$NM$25/$NS$25)),0)</f>
        <v/>
      </c>
      <c r="AL25" s="18">
        <f>IF(AND(35&gt;=$NQ$25,35&lt;=$NR$25),IF($NO$25="Single_Point",IF(35=$NQ$25,$NM$25,0),IF($NO$25="Bell_Curve",$NM$25*(35-$NQ$25+1)*($NR$25-35+1)/$NT$25,$NM$25/$NS$25)),0)</f>
        <v/>
      </c>
      <c r="AM25" s="18">
        <f>IF(AND(36&gt;=$NQ$25,36&lt;=$NR$25),IF($NO$25="Single_Point",IF(36=$NQ$25,$NM$25,0),IF($NO$25="Bell_Curve",$NM$25*(36-$NQ$25+1)*($NR$25-36+1)/$NT$25,$NM$25/$NS$25)),0)</f>
        <v/>
      </c>
      <c r="AN25" s="18">
        <f>IF(AND(37&gt;=$NQ$25,37&lt;=$NR$25),IF($NO$25="Single_Point",IF(37=$NQ$25,$NM$25,0),IF($NO$25="Bell_Curve",$NM$25*(37-$NQ$25+1)*($NR$25-37+1)/$NT$25,$NM$25/$NS$25)),0)</f>
        <v/>
      </c>
      <c r="AO25" s="18">
        <f>IF(AND(38&gt;=$NQ$25,38&lt;=$NR$25),IF($NO$25="Single_Point",IF(38=$NQ$25,$NM$25,0),IF($NO$25="Bell_Curve",$NM$25*(38-$NQ$25+1)*($NR$25-38+1)/$NT$25,$NM$25/$NS$25)),0)</f>
        <v/>
      </c>
      <c r="AP25" s="18">
        <f>IF(AND(39&gt;=$NQ$25,39&lt;=$NR$25),IF($NO$25="Single_Point",IF(39=$NQ$25,$NM$25,0),IF($NO$25="Bell_Curve",$NM$25*(39-$NQ$25+1)*($NR$25-39+1)/$NT$25,$NM$25/$NS$25)),0)</f>
        <v/>
      </c>
      <c r="AQ25" s="18">
        <f>IF(AND(40&gt;=$NQ$25,40&lt;=$NR$25),IF($NO$25="Single_Point",IF(40=$NQ$25,$NM$25,0),IF($NO$25="Bell_Curve",$NM$25*(40-$NQ$25+1)*($NR$25-40+1)/$NT$25,$NM$25/$NS$25)),0)</f>
        <v/>
      </c>
      <c r="AR25" s="18">
        <f>IF(AND(41&gt;=$NQ$25,41&lt;=$NR$25),IF($NO$25="Single_Point",IF(41=$NQ$25,$NM$25,0),IF($NO$25="Bell_Curve",$NM$25*(41-$NQ$25+1)*($NR$25-41+1)/$NT$25,$NM$25/$NS$25)),0)</f>
        <v/>
      </c>
      <c r="AS25" s="18">
        <f>IF(AND(42&gt;=$NQ$25,42&lt;=$NR$25),IF($NO$25="Single_Point",IF(42=$NQ$25,$NM$25,0),IF($NO$25="Bell_Curve",$NM$25*(42-$NQ$25+1)*($NR$25-42+1)/$NT$25,$NM$25/$NS$25)),0)</f>
        <v/>
      </c>
      <c r="AT25" s="18">
        <f>IF(AND(43&gt;=$NQ$25,43&lt;=$NR$25),IF($NO$25="Single_Point",IF(43=$NQ$25,$NM$25,0),IF($NO$25="Bell_Curve",$NM$25*(43-$NQ$25+1)*($NR$25-43+1)/$NT$25,$NM$25/$NS$25)),0)</f>
        <v/>
      </c>
      <c r="AU25" s="18">
        <f>IF(AND(44&gt;=$NQ$25,44&lt;=$NR$25),IF($NO$25="Single_Point",IF(44=$NQ$25,$NM$25,0),IF($NO$25="Bell_Curve",$NM$25*(44-$NQ$25+1)*($NR$25-44+1)/$NT$25,$NM$25/$NS$25)),0)</f>
        <v/>
      </c>
      <c r="AV25" s="18">
        <f>IF(AND(45&gt;=$NQ$25,45&lt;=$NR$25),IF($NO$25="Single_Point",IF(45=$NQ$25,$NM$25,0),IF($NO$25="Bell_Curve",$NM$25*(45-$NQ$25+1)*($NR$25-45+1)/$NT$25,$NM$25/$NS$25)),0)</f>
        <v/>
      </c>
      <c r="AW25" s="18">
        <f>IF(AND(46&gt;=$NQ$25,46&lt;=$NR$25),IF($NO$25="Single_Point",IF(46=$NQ$25,$NM$25,0),IF($NO$25="Bell_Curve",$NM$25*(46-$NQ$25+1)*($NR$25-46+1)/$NT$25,$NM$25/$NS$25)),0)</f>
        <v/>
      </c>
      <c r="AX25" s="18">
        <f>IF(AND(47&gt;=$NQ$25,47&lt;=$NR$25),IF($NO$25="Single_Point",IF(47=$NQ$25,$NM$25,0),IF($NO$25="Bell_Curve",$NM$25*(47-$NQ$25+1)*($NR$25-47+1)/$NT$25,$NM$25/$NS$25)),0)</f>
        <v/>
      </c>
      <c r="AY25" s="18">
        <f>IF(AND(48&gt;=$NQ$25,48&lt;=$NR$25),IF($NO$25="Single_Point",IF(48=$NQ$25,$NM$25,0),IF($NO$25="Bell_Curve",$NM$25*(48-$NQ$25+1)*($NR$25-48+1)/$NT$25,$NM$25/$NS$25)),0)</f>
        <v/>
      </c>
      <c r="AZ25" s="18">
        <f>IF(AND(49&gt;=$NQ$25,49&lt;=$NR$25),IF($NO$25="Single_Point",IF(49=$NQ$25,$NM$25,0),IF($NO$25="Bell_Curve",$NM$25*(49-$NQ$25+1)*($NR$25-49+1)/$NT$25,$NM$25/$NS$25)),0)</f>
        <v/>
      </c>
      <c r="BA25" s="18">
        <f>IF(AND(50&gt;=$NQ$25,50&lt;=$NR$25),IF($NO$25="Single_Point",IF(50=$NQ$25,$NM$25,0),IF($NO$25="Bell_Curve",$NM$25*(50-$NQ$25+1)*($NR$25-50+1)/$NT$25,$NM$25/$NS$25)),0)</f>
        <v/>
      </c>
      <c r="BB25" s="18">
        <f>IF(AND(51&gt;=$NQ$25,51&lt;=$NR$25),IF($NO$25="Single_Point",IF(51=$NQ$25,$NM$25,0),IF($NO$25="Bell_Curve",$NM$25*(51-$NQ$25+1)*($NR$25-51+1)/$NT$25,$NM$25/$NS$25)),0)</f>
        <v/>
      </c>
      <c r="BC25" s="18">
        <f>IF(AND(52&gt;=$NQ$25,52&lt;=$NR$25),IF($NO$25="Single_Point",IF(52=$NQ$25,$NM$25,0),IF($NO$25="Bell_Curve",$NM$25*(52-$NQ$25+1)*($NR$25-52+1)/$NT$25,$NM$25/$NS$25)),0)</f>
        <v/>
      </c>
      <c r="BD25" s="18">
        <f>IF(AND(53&gt;=$NQ$25,53&lt;=$NR$25),IF($NO$25="Single_Point",IF(53=$NQ$25,$NM$25,0),IF($NO$25="Bell_Curve",$NM$25*(53-$NQ$25+1)*($NR$25-53+1)/$NT$25,$NM$25/$NS$25)),0)</f>
        <v/>
      </c>
      <c r="BE25" s="18">
        <f>IF(AND(54&gt;=$NQ$25,54&lt;=$NR$25),IF($NO$25="Single_Point",IF(54=$NQ$25,$NM$25,0),IF($NO$25="Bell_Curve",$NM$25*(54-$NQ$25+1)*($NR$25-54+1)/$NT$25,$NM$25/$NS$25)),0)</f>
        <v/>
      </c>
      <c r="BF25" s="18">
        <f>IF(AND(55&gt;=$NQ$25,55&lt;=$NR$25),IF($NO$25="Single_Point",IF(55=$NQ$25,$NM$25,0),IF($NO$25="Bell_Curve",$NM$25*(55-$NQ$25+1)*($NR$25-55+1)/$NT$25,$NM$25/$NS$25)),0)</f>
        <v/>
      </c>
      <c r="BG25" s="18">
        <f>IF(AND(56&gt;=$NQ$25,56&lt;=$NR$25),IF($NO$25="Single_Point",IF(56=$NQ$25,$NM$25,0),IF($NO$25="Bell_Curve",$NM$25*(56-$NQ$25+1)*($NR$25-56+1)/$NT$25,$NM$25/$NS$25)),0)</f>
        <v/>
      </c>
      <c r="BH25" s="18">
        <f>IF(AND(57&gt;=$NQ$25,57&lt;=$NR$25),IF($NO$25="Single_Point",IF(57=$NQ$25,$NM$25,0),IF($NO$25="Bell_Curve",$NM$25*(57-$NQ$25+1)*($NR$25-57+1)/$NT$25,$NM$25/$NS$25)),0)</f>
        <v/>
      </c>
      <c r="BI25" s="18">
        <f>IF(AND(58&gt;=$NQ$25,58&lt;=$NR$25),IF($NO$25="Single_Point",IF(58=$NQ$25,$NM$25,0),IF($NO$25="Bell_Curve",$NM$25*(58-$NQ$25+1)*($NR$25-58+1)/$NT$25,$NM$25/$NS$25)),0)</f>
        <v/>
      </c>
      <c r="BJ25" s="18">
        <f>IF(AND(59&gt;=$NQ$25,59&lt;=$NR$25),IF($NO$25="Single_Point",IF(59=$NQ$25,$NM$25,0),IF($NO$25="Bell_Curve",$NM$25*(59-$NQ$25+1)*($NR$25-59+1)/$NT$25,$NM$25/$NS$25)),0)</f>
        <v/>
      </c>
      <c r="BK25" s="18">
        <f>IF(AND(60&gt;=$NQ$25,60&lt;=$NR$25),IF($NO$25="Single_Point",IF(60=$NQ$25,$NM$25,0),IF($NO$25="Bell_Curve",$NM$25*(60-$NQ$25+1)*($NR$25-60+1)/$NT$25,$NM$25/$NS$25)),0)</f>
        <v/>
      </c>
      <c r="BL25" s="18">
        <f>IF(AND(61&gt;=$NQ$25,61&lt;=$NR$25),IF($NO$25="Single_Point",IF(61=$NQ$25,$NM$25,0),IF($NO$25="Bell_Curve",$NM$25*(61-$NQ$25+1)*($NR$25-61+1)/$NT$25,$NM$25/$NS$25)),0)</f>
        <v/>
      </c>
      <c r="BM25" s="18">
        <f>IF(AND(62&gt;=$NQ$25,62&lt;=$NR$25),IF($NO$25="Single_Point",IF(62=$NQ$25,$NM$25,0),IF($NO$25="Bell_Curve",$NM$25*(62-$NQ$25+1)*($NR$25-62+1)/$NT$25,$NM$25/$NS$25)),0)</f>
        <v/>
      </c>
      <c r="BN25" s="18">
        <f>IF(AND(63&gt;=$NQ$25,63&lt;=$NR$25),IF($NO$25="Single_Point",IF(63=$NQ$25,$NM$25,0),IF($NO$25="Bell_Curve",$NM$25*(63-$NQ$25+1)*($NR$25-63+1)/$NT$25,$NM$25/$NS$25)),0)</f>
        <v/>
      </c>
      <c r="BO25" s="18">
        <f>IF(AND(64&gt;=$NQ$25,64&lt;=$NR$25),IF($NO$25="Single_Point",IF(64=$NQ$25,$NM$25,0),IF($NO$25="Bell_Curve",$NM$25*(64-$NQ$25+1)*($NR$25-64+1)/$NT$25,$NM$25/$NS$25)),0)</f>
        <v/>
      </c>
      <c r="BP25" s="18">
        <f>IF(AND(65&gt;=$NQ$25,65&lt;=$NR$25),IF($NO$25="Single_Point",IF(65=$NQ$25,$NM$25,0),IF($NO$25="Bell_Curve",$NM$25*(65-$NQ$25+1)*($NR$25-65+1)/$NT$25,$NM$25/$NS$25)),0)</f>
        <v/>
      </c>
      <c r="BQ25" s="18">
        <f>IF(AND(66&gt;=$NQ$25,66&lt;=$NR$25),IF($NO$25="Single_Point",IF(66=$NQ$25,$NM$25,0),IF($NO$25="Bell_Curve",$NM$25*(66-$NQ$25+1)*($NR$25-66+1)/$NT$25,$NM$25/$NS$25)),0)</f>
        <v/>
      </c>
      <c r="BR25" s="18">
        <f>IF(AND(67&gt;=$NQ$25,67&lt;=$NR$25),IF($NO$25="Single_Point",IF(67=$NQ$25,$NM$25,0),IF($NO$25="Bell_Curve",$NM$25*(67-$NQ$25+1)*($NR$25-67+1)/$NT$25,$NM$25/$NS$25)),0)</f>
        <v/>
      </c>
      <c r="BS25" s="18">
        <f>IF(AND(68&gt;=$NQ$25,68&lt;=$NR$25),IF($NO$25="Single_Point",IF(68=$NQ$25,$NM$25,0),IF($NO$25="Bell_Curve",$NM$25*(68-$NQ$25+1)*($NR$25-68+1)/$NT$25,$NM$25/$NS$25)),0)</f>
        <v/>
      </c>
      <c r="BT25" s="18">
        <f>IF(AND(69&gt;=$NQ$25,69&lt;=$NR$25),IF($NO$25="Single_Point",IF(69=$NQ$25,$NM$25,0),IF($NO$25="Bell_Curve",$NM$25*(69-$NQ$25+1)*($NR$25-69+1)/$NT$25,$NM$25/$NS$25)),0)</f>
        <v/>
      </c>
      <c r="BU25" s="18">
        <f>IF(AND(70&gt;=$NQ$25,70&lt;=$NR$25),IF($NO$25="Single_Point",IF(70=$NQ$25,$NM$25,0),IF($NO$25="Bell_Curve",$NM$25*(70-$NQ$25+1)*($NR$25-70+1)/$NT$25,$NM$25/$NS$25)),0)</f>
        <v/>
      </c>
      <c r="BV25" s="18">
        <f>IF(AND(71&gt;=$NQ$25,71&lt;=$NR$25),IF($NO$25="Single_Point",IF(71=$NQ$25,$NM$25,0),IF($NO$25="Bell_Curve",$NM$25*(71-$NQ$25+1)*($NR$25-71+1)/$NT$25,$NM$25/$NS$25)),0)</f>
        <v/>
      </c>
      <c r="BW25" s="18">
        <f>IF(AND(72&gt;=$NQ$25,72&lt;=$NR$25),IF($NO$25="Single_Point",IF(72=$NQ$25,$NM$25,0),IF($NO$25="Bell_Curve",$NM$25*(72-$NQ$25+1)*($NR$25-72+1)/$NT$25,$NM$25/$NS$25)),0)</f>
        <v/>
      </c>
      <c r="BX25" s="18">
        <f>IF(AND(73&gt;=$NQ$25,73&lt;=$NR$25),IF($NO$25="Single_Point",IF(73=$NQ$25,$NM$25,0),IF($NO$25="Bell_Curve",$NM$25*(73-$NQ$25+1)*($NR$25-73+1)/$NT$25,$NM$25/$NS$25)),0)</f>
        <v/>
      </c>
      <c r="BY25" s="18">
        <f>IF(AND(74&gt;=$NQ$25,74&lt;=$NR$25),IF($NO$25="Single_Point",IF(74=$NQ$25,$NM$25,0),IF($NO$25="Bell_Curve",$NM$25*(74-$NQ$25+1)*($NR$25-74+1)/$NT$25,$NM$25/$NS$25)),0)</f>
        <v/>
      </c>
      <c r="BZ25" s="18">
        <f>IF(AND(75&gt;=$NQ$25,75&lt;=$NR$25),IF($NO$25="Single_Point",IF(75=$NQ$25,$NM$25,0),IF($NO$25="Bell_Curve",$NM$25*(75-$NQ$25+1)*($NR$25-75+1)/$NT$25,$NM$25/$NS$25)),0)</f>
        <v/>
      </c>
      <c r="CA25" s="18">
        <f>IF(AND(76&gt;=$NQ$25,76&lt;=$NR$25),IF($NO$25="Single_Point",IF(76=$NQ$25,$NM$25,0),IF($NO$25="Bell_Curve",$NM$25*(76-$NQ$25+1)*($NR$25-76+1)/$NT$25,$NM$25/$NS$25)),0)</f>
        <v/>
      </c>
      <c r="CB25" s="18">
        <f>IF(AND(77&gt;=$NQ$25,77&lt;=$NR$25),IF($NO$25="Single_Point",IF(77=$NQ$25,$NM$25,0),IF($NO$25="Bell_Curve",$NM$25*(77-$NQ$25+1)*($NR$25-77+1)/$NT$25,$NM$25/$NS$25)),0)</f>
        <v/>
      </c>
      <c r="CC25" s="18">
        <f>IF(AND(78&gt;=$NQ$25,78&lt;=$NR$25),IF($NO$25="Single_Point",IF(78=$NQ$25,$NM$25,0),IF($NO$25="Bell_Curve",$NM$25*(78-$NQ$25+1)*($NR$25-78+1)/$NT$25,$NM$25/$NS$25)),0)</f>
        <v/>
      </c>
      <c r="CD25" s="18">
        <f>IF(AND(79&gt;=$NQ$25,79&lt;=$NR$25),IF($NO$25="Single_Point",IF(79=$NQ$25,$NM$25,0),IF($NO$25="Bell_Curve",$NM$25*(79-$NQ$25+1)*($NR$25-79+1)/$NT$25,$NM$25/$NS$25)),0)</f>
        <v/>
      </c>
      <c r="CE25" s="18">
        <f>IF(AND(80&gt;=$NQ$25,80&lt;=$NR$25),IF($NO$25="Single_Point",IF(80=$NQ$25,$NM$25,0),IF($NO$25="Bell_Curve",$NM$25*(80-$NQ$25+1)*($NR$25-80+1)/$NT$25,$NM$25/$NS$25)),0)</f>
        <v/>
      </c>
      <c r="CF25" s="18">
        <f>IF(AND(81&gt;=$NQ$25,81&lt;=$NR$25),IF($NO$25="Single_Point",IF(81=$NQ$25,$NM$25,0),IF($NO$25="Bell_Curve",$NM$25*(81-$NQ$25+1)*($NR$25-81+1)/$NT$25,$NM$25/$NS$25)),0)</f>
        <v/>
      </c>
      <c r="CG25" s="18">
        <f>IF(AND(82&gt;=$NQ$25,82&lt;=$NR$25),IF($NO$25="Single_Point",IF(82=$NQ$25,$NM$25,0),IF($NO$25="Bell_Curve",$NM$25*(82-$NQ$25+1)*($NR$25-82+1)/$NT$25,$NM$25/$NS$25)),0)</f>
        <v/>
      </c>
      <c r="CH25" s="18">
        <f>IF(AND(83&gt;=$NQ$25,83&lt;=$NR$25),IF($NO$25="Single_Point",IF(83=$NQ$25,$NM$25,0),IF($NO$25="Bell_Curve",$NM$25*(83-$NQ$25+1)*($NR$25-83+1)/$NT$25,$NM$25/$NS$25)),0)</f>
        <v/>
      </c>
      <c r="CI25" s="18">
        <f>IF(AND(84&gt;=$NQ$25,84&lt;=$NR$25),IF($NO$25="Single_Point",IF(84=$NQ$25,$NM$25,0),IF($NO$25="Bell_Curve",$NM$25*(84-$NQ$25+1)*($NR$25-84+1)/$NT$25,$NM$25/$NS$25)),0)</f>
        <v/>
      </c>
      <c r="CJ25" s="18">
        <f>IF(AND(85&gt;=$NQ$25,85&lt;=$NR$25),IF($NO$25="Single_Point",IF(85=$NQ$25,$NM$25,0),IF($NO$25="Bell_Curve",$NM$25*(85-$NQ$25+1)*($NR$25-85+1)/$NT$25,$NM$25/$NS$25)),0)</f>
        <v/>
      </c>
      <c r="CK25" s="18">
        <f>IF(AND(86&gt;=$NQ$25,86&lt;=$NR$25),IF($NO$25="Single_Point",IF(86=$NQ$25,$NM$25,0),IF($NO$25="Bell_Curve",$NM$25*(86-$NQ$25+1)*($NR$25-86+1)/$NT$25,$NM$25/$NS$25)),0)</f>
        <v/>
      </c>
      <c r="CL25" s="18">
        <f>IF(AND(87&gt;=$NQ$25,87&lt;=$NR$25),IF($NO$25="Single_Point",IF(87=$NQ$25,$NM$25,0),IF($NO$25="Bell_Curve",$NM$25*(87-$NQ$25+1)*($NR$25-87+1)/$NT$25,$NM$25/$NS$25)),0)</f>
        <v/>
      </c>
      <c r="CM25" s="18">
        <f>IF(AND(88&gt;=$NQ$25,88&lt;=$NR$25),IF($NO$25="Single_Point",IF(88=$NQ$25,$NM$25,0),IF($NO$25="Bell_Curve",$NM$25*(88-$NQ$25+1)*($NR$25-88+1)/$NT$25,$NM$25/$NS$25)),0)</f>
        <v/>
      </c>
      <c r="CN25" s="18">
        <f>IF(AND(89&gt;=$NQ$25,89&lt;=$NR$25),IF($NO$25="Single_Point",IF(89=$NQ$25,$NM$25,0),IF($NO$25="Bell_Curve",$NM$25*(89-$NQ$25+1)*($NR$25-89+1)/$NT$25,$NM$25/$NS$25)),0)</f>
        <v/>
      </c>
      <c r="CO25" s="18">
        <f>IF(AND(90&gt;=$NQ$25,90&lt;=$NR$25),IF($NO$25="Single_Point",IF(90=$NQ$25,$NM$25,0),IF($NO$25="Bell_Curve",$NM$25*(90-$NQ$25+1)*($NR$25-90+1)/$NT$25,$NM$25/$NS$25)),0)</f>
        <v/>
      </c>
      <c r="CP25" s="18">
        <f>IF(AND(91&gt;=$NQ$25,91&lt;=$NR$25),IF($NO$25="Single_Point",IF(91=$NQ$25,$NM$25,0),IF($NO$25="Bell_Curve",$NM$25*(91-$NQ$25+1)*($NR$25-91+1)/$NT$25,$NM$25/$NS$25)),0)</f>
        <v/>
      </c>
      <c r="CQ25" s="18">
        <f>IF(AND(92&gt;=$NQ$25,92&lt;=$NR$25),IF($NO$25="Single_Point",IF(92=$NQ$25,$NM$25,0),IF($NO$25="Bell_Curve",$NM$25*(92-$NQ$25+1)*($NR$25-92+1)/$NT$25,$NM$25/$NS$25)),0)</f>
        <v/>
      </c>
      <c r="CR25" s="18">
        <f>IF(AND(93&gt;=$NQ$25,93&lt;=$NR$25),IF($NO$25="Single_Point",IF(93=$NQ$25,$NM$25,0),IF($NO$25="Bell_Curve",$NM$25*(93-$NQ$25+1)*($NR$25-93+1)/$NT$25,$NM$25/$NS$25)),0)</f>
        <v/>
      </c>
      <c r="CS25" s="18">
        <f>IF(AND(94&gt;=$NQ$25,94&lt;=$NR$25),IF($NO$25="Single_Point",IF(94=$NQ$25,$NM$25,0),IF($NO$25="Bell_Curve",$NM$25*(94-$NQ$25+1)*($NR$25-94+1)/$NT$25,$NM$25/$NS$25)),0)</f>
        <v/>
      </c>
      <c r="CT25" s="18">
        <f>IF(AND(95&gt;=$NQ$25,95&lt;=$NR$25),IF($NO$25="Single_Point",IF(95=$NQ$25,$NM$25,0),IF($NO$25="Bell_Curve",$NM$25*(95-$NQ$25+1)*($NR$25-95+1)/$NT$25,$NM$25/$NS$25)),0)</f>
        <v/>
      </c>
      <c r="CU25" s="18">
        <f>IF(AND(96&gt;=$NQ$25,96&lt;=$NR$25),IF($NO$25="Single_Point",IF(96=$NQ$25,$NM$25,0),IF($NO$25="Bell_Curve",$NM$25*(96-$NQ$25+1)*($NR$25-96+1)/$NT$25,$NM$25/$NS$25)),0)</f>
        <v/>
      </c>
      <c r="CV25" s="18">
        <f>IF(AND(97&gt;=$NQ$25,97&lt;=$NR$25),IF($NO$25="Single_Point",IF(97=$NQ$25,$NM$25,0),IF($NO$25="Bell_Curve",$NM$25*(97-$NQ$25+1)*($NR$25-97+1)/$NT$25,$NM$25/$NS$25)),0)</f>
        <v/>
      </c>
      <c r="CW25" s="18">
        <f>IF(AND(98&gt;=$NQ$25,98&lt;=$NR$25),IF($NO$25="Single_Point",IF(98=$NQ$25,$NM$25,0),IF($NO$25="Bell_Curve",$NM$25*(98-$NQ$25+1)*($NR$25-98+1)/$NT$25,$NM$25/$NS$25)),0)</f>
        <v/>
      </c>
      <c r="CX25" s="18">
        <f>IF(AND(99&gt;=$NQ$25,99&lt;=$NR$25),IF($NO$25="Single_Point",IF(99=$NQ$25,$NM$25,0),IF($NO$25="Bell_Curve",$NM$25*(99-$NQ$25+1)*($NR$25-99+1)/$NT$25,$NM$25/$NS$25)),0)</f>
        <v/>
      </c>
      <c r="CY25" s="18">
        <f>IF(AND(100&gt;=$NQ$25,100&lt;=$NR$25),IF($NO$25="Single_Point",IF(100=$NQ$25,$NM$25,0),IF($NO$25="Bell_Curve",$NM$25*(100-$NQ$25+1)*($NR$25-100+1)/$NT$25,$NM$25/$NS$25)),0)</f>
        <v/>
      </c>
      <c r="CZ25" s="18">
        <f>IF(AND(101&gt;=$NQ$25,101&lt;=$NR$25),IF($NO$25="Single_Point",IF(101=$NQ$25,$NM$25,0),IF($NO$25="Bell_Curve",$NM$25*(101-$NQ$25+1)*($NR$25-101+1)/$NT$25,$NM$25/$NS$25)),0)</f>
        <v/>
      </c>
      <c r="DA25" s="18">
        <f>IF(AND(102&gt;=$NQ$25,102&lt;=$NR$25),IF($NO$25="Single_Point",IF(102=$NQ$25,$NM$25,0),IF($NO$25="Bell_Curve",$NM$25*(102-$NQ$25+1)*($NR$25-102+1)/$NT$25,$NM$25/$NS$25)),0)</f>
        <v/>
      </c>
      <c r="DB25" s="18">
        <f>IF(AND(103&gt;=$NQ$25,103&lt;=$NR$25),IF($NO$25="Single_Point",IF(103=$NQ$25,$NM$25,0),IF($NO$25="Bell_Curve",$NM$25*(103-$NQ$25+1)*($NR$25-103+1)/$NT$25,$NM$25/$NS$25)),0)</f>
        <v/>
      </c>
      <c r="DC25" s="18">
        <f>IF(AND(104&gt;=$NQ$25,104&lt;=$NR$25),IF($NO$25="Single_Point",IF(104=$NQ$25,$NM$25,0),IF($NO$25="Bell_Curve",$NM$25*(104-$NQ$25+1)*($NR$25-104+1)/$NT$25,$NM$25/$NS$25)),0)</f>
        <v/>
      </c>
      <c r="DD25" s="18">
        <f>IF(AND(105&gt;=$NQ$25,105&lt;=$NR$25),IF($NO$25="Single_Point",IF(105=$NQ$25,$NM$25,0),IF($NO$25="Bell_Curve",$NM$25*(105-$NQ$25+1)*($NR$25-105+1)/$NT$25,$NM$25/$NS$25)),0)</f>
        <v/>
      </c>
      <c r="DE25" s="18">
        <f>IF(AND(106&gt;=$NQ$25,106&lt;=$NR$25),IF($NO$25="Single_Point",IF(106=$NQ$25,$NM$25,0),IF($NO$25="Bell_Curve",$NM$25*(106-$NQ$25+1)*($NR$25-106+1)/$NT$25,$NM$25/$NS$25)),0)</f>
        <v/>
      </c>
      <c r="DF25" s="18">
        <f>IF(AND(107&gt;=$NQ$25,107&lt;=$NR$25),IF($NO$25="Single_Point",IF(107=$NQ$25,$NM$25,0),IF($NO$25="Bell_Curve",$NM$25*(107-$NQ$25+1)*($NR$25-107+1)/$NT$25,$NM$25/$NS$25)),0)</f>
        <v/>
      </c>
      <c r="DG25" s="18">
        <f>IF(AND(108&gt;=$NQ$25,108&lt;=$NR$25),IF($NO$25="Single_Point",IF(108=$NQ$25,$NM$25,0),IF($NO$25="Bell_Curve",$NM$25*(108-$NQ$25+1)*($NR$25-108+1)/$NT$25,$NM$25/$NS$25)),0)</f>
        <v/>
      </c>
      <c r="DH25" s="18">
        <f>IF(AND(109&gt;=$NQ$25,109&lt;=$NR$25),IF($NO$25="Single_Point",IF(109=$NQ$25,$NM$25,0),IF($NO$25="Bell_Curve",$NM$25*(109-$NQ$25+1)*($NR$25-109+1)/$NT$25,$NM$25/$NS$25)),0)</f>
        <v/>
      </c>
      <c r="DI25" s="18">
        <f>IF(AND(110&gt;=$NQ$25,110&lt;=$NR$25),IF($NO$25="Single_Point",IF(110=$NQ$25,$NM$25,0),IF($NO$25="Bell_Curve",$NM$25*(110-$NQ$25+1)*($NR$25-110+1)/$NT$25,$NM$25/$NS$25)),0)</f>
        <v/>
      </c>
      <c r="DJ25" s="18">
        <f>IF(AND(111&gt;=$NQ$25,111&lt;=$NR$25),IF($NO$25="Single_Point",IF(111=$NQ$25,$NM$25,0),IF($NO$25="Bell_Curve",$NM$25*(111-$NQ$25+1)*($NR$25-111+1)/$NT$25,$NM$25/$NS$25)),0)</f>
        <v/>
      </c>
      <c r="DK25" s="18">
        <f>IF(AND(112&gt;=$NQ$25,112&lt;=$NR$25),IF($NO$25="Single_Point",IF(112=$NQ$25,$NM$25,0),IF($NO$25="Bell_Curve",$NM$25*(112-$NQ$25+1)*($NR$25-112+1)/$NT$25,$NM$25/$NS$25)),0)</f>
        <v/>
      </c>
      <c r="DL25" s="18">
        <f>IF(AND(113&gt;=$NQ$25,113&lt;=$NR$25),IF($NO$25="Single_Point",IF(113=$NQ$25,$NM$25,0),IF($NO$25="Bell_Curve",$NM$25*(113-$NQ$25+1)*($NR$25-113+1)/$NT$25,$NM$25/$NS$25)),0)</f>
        <v/>
      </c>
      <c r="DM25" s="18">
        <f>IF(AND(114&gt;=$NQ$25,114&lt;=$NR$25),IF($NO$25="Single_Point",IF(114=$NQ$25,$NM$25,0),IF($NO$25="Bell_Curve",$NM$25*(114-$NQ$25+1)*($NR$25-114+1)/$NT$25,$NM$25/$NS$25)),0)</f>
        <v/>
      </c>
      <c r="DN25" s="18">
        <f>IF(AND(115&gt;=$NQ$25,115&lt;=$NR$25),IF($NO$25="Single_Point",IF(115=$NQ$25,$NM$25,0),IF($NO$25="Bell_Curve",$NM$25*(115-$NQ$25+1)*($NR$25-115+1)/$NT$25,$NM$25/$NS$25)),0)</f>
        <v/>
      </c>
      <c r="DO25" s="18">
        <f>IF(AND(116&gt;=$NQ$25,116&lt;=$NR$25),IF($NO$25="Single_Point",IF(116=$NQ$25,$NM$25,0),IF($NO$25="Bell_Curve",$NM$25*(116-$NQ$25+1)*($NR$25-116+1)/$NT$25,$NM$25/$NS$25)),0)</f>
        <v/>
      </c>
      <c r="DP25" s="18">
        <f>IF(AND(117&gt;=$NQ$25,117&lt;=$NR$25),IF($NO$25="Single_Point",IF(117=$NQ$25,$NM$25,0),IF($NO$25="Bell_Curve",$NM$25*(117-$NQ$25+1)*($NR$25-117+1)/$NT$25,$NM$25/$NS$25)),0)</f>
        <v/>
      </c>
      <c r="DQ25" s="18">
        <f>IF(AND(118&gt;=$NQ$25,118&lt;=$NR$25),IF($NO$25="Single_Point",IF(118=$NQ$25,$NM$25,0),IF($NO$25="Bell_Curve",$NM$25*(118-$NQ$25+1)*($NR$25-118+1)/$NT$25,$NM$25/$NS$25)),0)</f>
        <v/>
      </c>
      <c r="DR25" s="18">
        <f>IF(AND(119&gt;=$NQ$25,119&lt;=$NR$25),IF($NO$25="Single_Point",IF(119=$NQ$25,$NM$25,0),IF($NO$25="Bell_Curve",$NM$25*(119-$NQ$25+1)*($NR$25-119+1)/$NT$25,$NM$25/$NS$25)),0)</f>
        <v/>
      </c>
      <c r="DS25" s="18">
        <f>IF(AND(120&gt;=$NQ$25,120&lt;=$NR$25),IF($NO$25="Single_Point",IF(120=$NQ$25,$NM$25,0),IF($NO$25="Bell_Curve",$NM$25*(120-$NQ$25+1)*($NR$25-120+1)/$NT$25,$NM$25/$NS$25)),0)</f>
        <v/>
      </c>
      <c r="DT25" s="18">
        <f>IF(AND(121&gt;=$NQ$25,121&lt;=$NR$25),IF($NO$25="Single_Point",IF(121=$NQ$25,$NM$25,0),IF($NO$25="Bell_Curve",$NM$25*(121-$NQ$25+1)*($NR$25-121+1)/$NT$25,$NM$25/$NS$25)),0)</f>
        <v/>
      </c>
      <c r="DU25" s="18">
        <f>IF(AND(122&gt;=$NQ$25,122&lt;=$NR$25),IF($NO$25="Single_Point",IF(122=$NQ$25,$NM$25,0),IF($NO$25="Bell_Curve",$NM$25*(122-$NQ$25+1)*($NR$25-122+1)/$NT$25,$NM$25/$NS$25)),0)</f>
        <v/>
      </c>
      <c r="DV25" s="18">
        <f>IF(AND(123&gt;=$NQ$25,123&lt;=$NR$25),IF($NO$25="Single_Point",IF(123=$NQ$25,$NM$25,0),IF($NO$25="Bell_Curve",$NM$25*(123-$NQ$25+1)*($NR$25-123+1)/$NT$25,$NM$25/$NS$25)),0)</f>
        <v/>
      </c>
      <c r="DW25" s="18">
        <f>IF(AND(124&gt;=$NQ$25,124&lt;=$NR$25),IF($NO$25="Single_Point",IF(124=$NQ$25,$NM$25,0),IF($NO$25="Bell_Curve",$NM$25*(124-$NQ$25+1)*($NR$25-124+1)/$NT$25,$NM$25/$NS$25)),0)</f>
        <v/>
      </c>
      <c r="DX25" s="18">
        <f>IF(AND(125&gt;=$NQ$25,125&lt;=$NR$25),IF($NO$25="Single_Point",IF(125=$NQ$25,$NM$25,0),IF($NO$25="Bell_Curve",$NM$25*(125-$NQ$25+1)*($NR$25-125+1)/$NT$25,$NM$25/$NS$25)),0)</f>
        <v/>
      </c>
      <c r="DY25" s="18">
        <f>IF(AND(126&gt;=$NQ$25,126&lt;=$NR$25),IF($NO$25="Single_Point",IF(126=$NQ$25,$NM$25,0),IF($NO$25="Bell_Curve",$NM$25*(126-$NQ$25+1)*($NR$25-126+1)/$NT$25,$NM$25/$NS$25)),0)</f>
        <v/>
      </c>
      <c r="DZ25" s="18">
        <f>IF(AND(127&gt;=$NQ$25,127&lt;=$NR$25),IF($NO$25="Single_Point",IF(127=$NQ$25,$NM$25,0),IF($NO$25="Bell_Curve",$NM$25*(127-$NQ$25+1)*($NR$25-127+1)/$NT$25,$NM$25/$NS$25)),0)</f>
        <v/>
      </c>
      <c r="EA25" s="18">
        <f>IF(AND(128&gt;=$NQ$25,128&lt;=$NR$25),IF($NO$25="Single_Point",IF(128=$NQ$25,$NM$25,0),IF($NO$25="Bell_Curve",$NM$25*(128-$NQ$25+1)*($NR$25-128+1)/$NT$25,$NM$25/$NS$25)),0)</f>
        <v/>
      </c>
      <c r="EB25" s="18">
        <f>IF(AND(129&gt;=$NQ$25,129&lt;=$NR$25),IF($NO$25="Single_Point",IF(129=$NQ$25,$NM$25,0),IF($NO$25="Bell_Curve",$NM$25*(129-$NQ$25+1)*($NR$25-129+1)/$NT$25,$NM$25/$NS$25)),0)</f>
        <v/>
      </c>
      <c r="EC25" s="18">
        <f>IF(AND(130&gt;=$NQ$25,130&lt;=$NR$25),IF($NO$25="Single_Point",IF(130=$NQ$25,$NM$25,0),IF($NO$25="Bell_Curve",$NM$25*(130-$NQ$25+1)*($NR$25-130+1)/$NT$25,$NM$25/$NS$25)),0)</f>
        <v/>
      </c>
      <c r="ED25" s="18">
        <f>IF(AND(131&gt;=$NQ$25,131&lt;=$NR$25),IF($NO$25="Single_Point",IF(131=$NQ$25,$NM$25,0),IF($NO$25="Bell_Curve",$NM$25*(131-$NQ$25+1)*($NR$25-131+1)/$NT$25,$NM$25/$NS$25)),0)</f>
        <v/>
      </c>
      <c r="EE25" s="18">
        <f>IF(AND(132&gt;=$NQ$25,132&lt;=$NR$25),IF($NO$25="Single_Point",IF(132=$NQ$25,$NM$25,0),IF($NO$25="Bell_Curve",$NM$25*(132-$NQ$25+1)*($NR$25-132+1)/$NT$25,$NM$25/$NS$25)),0)</f>
        <v/>
      </c>
      <c r="EF25" s="18">
        <f>IF(AND(133&gt;=$NQ$25,133&lt;=$NR$25),IF($NO$25="Single_Point",IF(133=$NQ$25,$NM$25,0),IF($NO$25="Bell_Curve",$NM$25*(133-$NQ$25+1)*($NR$25-133+1)/$NT$25,$NM$25/$NS$25)),0)</f>
        <v/>
      </c>
      <c r="EG25" s="18">
        <f>IF(AND(134&gt;=$NQ$25,134&lt;=$NR$25),IF($NO$25="Single_Point",IF(134=$NQ$25,$NM$25,0),IF($NO$25="Bell_Curve",$NM$25*(134-$NQ$25+1)*($NR$25-134+1)/$NT$25,$NM$25/$NS$25)),0)</f>
        <v/>
      </c>
      <c r="EH25" s="18">
        <f>IF(AND(135&gt;=$NQ$25,135&lt;=$NR$25),IF($NO$25="Single_Point",IF(135=$NQ$25,$NM$25,0),IF($NO$25="Bell_Curve",$NM$25*(135-$NQ$25+1)*($NR$25-135+1)/$NT$25,$NM$25/$NS$25)),0)</f>
        <v/>
      </c>
      <c r="EI25" s="18">
        <f>IF(AND(136&gt;=$NQ$25,136&lt;=$NR$25),IF($NO$25="Single_Point",IF(136=$NQ$25,$NM$25,0),IF($NO$25="Bell_Curve",$NM$25*(136-$NQ$25+1)*($NR$25-136+1)/$NT$25,$NM$25/$NS$25)),0)</f>
        <v/>
      </c>
      <c r="EJ25" s="18">
        <f>IF(AND(137&gt;=$NQ$25,137&lt;=$NR$25),IF($NO$25="Single_Point",IF(137=$NQ$25,$NM$25,0),IF($NO$25="Bell_Curve",$NM$25*(137-$NQ$25+1)*($NR$25-137+1)/$NT$25,$NM$25/$NS$25)),0)</f>
        <v/>
      </c>
      <c r="EK25" s="18">
        <f>IF(AND(138&gt;=$NQ$25,138&lt;=$NR$25),IF($NO$25="Single_Point",IF(138=$NQ$25,$NM$25,0),IF($NO$25="Bell_Curve",$NM$25*(138-$NQ$25+1)*($NR$25-138+1)/$NT$25,$NM$25/$NS$25)),0)</f>
        <v/>
      </c>
      <c r="EL25" s="18">
        <f>IF(AND(139&gt;=$NQ$25,139&lt;=$NR$25),IF($NO$25="Single_Point",IF(139=$NQ$25,$NM$25,0),IF($NO$25="Bell_Curve",$NM$25*(139-$NQ$25+1)*($NR$25-139+1)/$NT$25,$NM$25/$NS$25)),0)</f>
        <v/>
      </c>
      <c r="EM25" s="18">
        <f>IF(AND(140&gt;=$NQ$25,140&lt;=$NR$25),IF($NO$25="Single_Point",IF(140=$NQ$25,$NM$25,0),IF($NO$25="Bell_Curve",$NM$25*(140-$NQ$25+1)*($NR$25-140+1)/$NT$25,$NM$25/$NS$25)),0)</f>
        <v/>
      </c>
      <c r="EN25" s="18">
        <f>IF(AND(141&gt;=$NQ$25,141&lt;=$NR$25),IF($NO$25="Single_Point",IF(141=$NQ$25,$NM$25,0),IF($NO$25="Bell_Curve",$NM$25*(141-$NQ$25+1)*($NR$25-141+1)/$NT$25,$NM$25/$NS$25)),0)</f>
        <v/>
      </c>
      <c r="EO25" s="18">
        <f>IF(AND(142&gt;=$NQ$25,142&lt;=$NR$25),IF($NO$25="Single_Point",IF(142=$NQ$25,$NM$25,0),IF($NO$25="Bell_Curve",$NM$25*(142-$NQ$25+1)*($NR$25-142+1)/$NT$25,$NM$25/$NS$25)),0)</f>
        <v/>
      </c>
      <c r="EP25" s="18">
        <f>IF(AND(143&gt;=$NQ$25,143&lt;=$NR$25),IF($NO$25="Single_Point",IF(143=$NQ$25,$NM$25,0),IF($NO$25="Bell_Curve",$NM$25*(143-$NQ$25+1)*($NR$25-143+1)/$NT$25,$NM$25/$NS$25)),0)</f>
        <v/>
      </c>
      <c r="EQ25" s="18">
        <f>IF(AND(144&gt;=$NQ$25,144&lt;=$NR$25),IF($NO$25="Single_Point",IF(144=$NQ$25,$NM$25,0),IF($NO$25="Bell_Curve",$NM$25*(144-$NQ$25+1)*($NR$25-144+1)/$NT$25,$NM$25/$NS$25)),0)</f>
        <v/>
      </c>
      <c r="ER25" s="18">
        <f>IF(AND(145&gt;=$NQ$25,145&lt;=$NR$25),IF($NO$25="Single_Point",IF(145=$NQ$25,$NM$25,0),IF($NO$25="Bell_Curve",$NM$25*(145-$NQ$25+1)*($NR$25-145+1)/$NT$25,$NM$25/$NS$25)),0)</f>
        <v/>
      </c>
      <c r="ES25" s="18">
        <f>IF(AND(146&gt;=$NQ$25,146&lt;=$NR$25),IF($NO$25="Single_Point",IF(146=$NQ$25,$NM$25,0),IF($NO$25="Bell_Curve",$NM$25*(146-$NQ$25+1)*($NR$25-146+1)/$NT$25,$NM$25/$NS$25)),0)</f>
        <v/>
      </c>
      <c r="ET25" s="18">
        <f>IF(AND(147&gt;=$NQ$25,147&lt;=$NR$25),IF($NO$25="Single_Point",IF(147=$NQ$25,$NM$25,0),IF($NO$25="Bell_Curve",$NM$25*(147-$NQ$25+1)*($NR$25-147+1)/$NT$25,$NM$25/$NS$25)),0)</f>
        <v/>
      </c>
      <c r="EU25" s="18">
        <f>IF(AND(148&gt;=$NQ$25,148&lt;=$NR$25),IF($NO$25="Single_Point",IF(148=$NQ$25,$NM$25,0),IF($NO$25="Bell_Curve",$NM$25*(148-$NQ$25+1)*($NR$25-148+1)/$NT$25,$NM$25/$NS$25)),0)</f>
        <v/>
      </c>
      <c r="EV25" s="18">
        <f>IF(AND(149&gt;=$NQ$25,149&lt;=$NR$25),IF($NO$25="Single_Point",IF(149=$NQ$25,$NM$25,0),IF($NO$25="Bell_Curve",$NM$25*(149-$NQ$25+1)*($NR$25-149+1)/$NT$25,$NM$25/$NS$25)),0)</f>
        <v/>
      </c>
      <c r="EW25" s="18">
        <f>IF(AND(150&gt;=$NQ$25,150&lt;=$NR$25),IF($NO$25="Single_Point",IF(150=$NQ$25,$NM$25,0),IF($NO$25="Bell_Curve",$NM$25*(150-$NQ$25+1)*($NR$25-150+1)/$NT$25,$NM$25/$NS$25)),0)</f>
        <v/>
      </c>
      <c r="EX25" s="18">
        <f>IF(AND(151&gt;=$NQ$25,151&lt;=$NR$25),IF($NO$25="Single_Point",IF(151=$NQ$25,$NM$25,0),IF($NO$25="Bell_Curve",$NM$25*(151-$NQ$25+1)*($NR$25-151+1)/$NT$25,$NM$25/$NS$25)),0)</f>
        <v/>
      </c>
      <c r="EY25" s="18">
        <f>IF(AND(152&gt;=$NQ$25,152&lt;=$NR$25),IF($NO$25="Single_Point",IF(152=$NQ$25,$NM$25,0),IF($NO$25="Bell_Curve",$NM$25*(152-$NQ$25+1)*($NR$25-152+1)/$NT$25,$NM$25/$NS$25)),0)</f>
        <v/>
      </c>
      <c r="EZ25" s="18">
        <f>IF(AND(153&gt;=$NQ$25,153&lt;=$NR$25),IF($NO$25="Single_Point",IF(153=$NQ$25,$NM$25,0),IF($NO$25="Bell_Curve",$NM$25*(153-$NQ$25+1)*($NR$25-153+1)/$NT$25,$NM$25/$NS$25)),0)</f>
        <v/>
      </c>
      <c r="FA25" s="18">
        <f>IF(AND(154&gt;=$NQ$25,154&lt;=$NR$25),IF($NO$25="Single_Point",IF(154=$NQ$25,$NM$25,0),IF($NO$25="Bell_Curve",$NM$25*(154-$NQ$25+1)*($NR$25-154+1)/$NT$25,$NM$25/$NS$25)),0)</f>
        <v/>
      </c>
      <c r="FB25" s="18">
        <f>IF(AND(155&gt;=$NQ$25,155&lt;=$NR$25),IF($NO$25="Single_Point",IF(155=$NQ$25,$NM$25,0),IF($NO$25="Bell_Curve",$NM$25*(155-$NQ$25+1)*($NR$25-155+1)/$NT$25,$NM$25/$NS$25)),0)</f>
        <v/>
      </c>
      <c r="FC25" s="18">
        <f>IF(AND(156&gt;=$NQ$25,156&lt;=$NR$25),IF($NO$25="Single_Point",IF(156=$NQ$25,$NM$25,0),IF($NO$25="Bell_Curve",$NM$25*(156-$NQ$25+1)*($NR$25-156+1)/$NT$25,$NM$25/$NS$25)),0)</f>
        <v/>
      </c>
      <c r="FD25" s="18">
        <f>IF(AND(157&gt;=$NQ$25,157&lt;=$NR$25),IF($NO$25="Single_Point",IF(157=$NQ$25,$NM$25,0),IF($NO$25="Bell_Curve",$NM$25*(157-$NQ$25+1)*($NR$25-157+1)/$NT$25,$NM$25/$NS$25)),0)</f>
        <v/>
      </c>
      <c r="FE25" s="18">
        <f>IF(AND(158&gt;=$NQ$25,158&lt;=$NR$25),IF($NO$25="Single_Point",IF(158=$NQ$25,$NM$25,0),IF($NO$25="Bell_Curve",$NM$25*(158-$NQ$25+1)*($NR$25-158+1)/$NT$25,$NM$25/$NS$25)),0)</f>
        <v/>
      </c>
      <c r="FF25" s="18">
        <f>IF(AND(159&gt;=$NQ$25,159&lt;=$NR$25),IF($NO$25="Single_Point",IF(159=$NQ$25,$NM$25,0),IF($NO$25="Bell_Curve",$NM$25*(159-$NQ$25+1)*($NR$25-159+1)/$NT$25,$NM$25/$NS$25)),0)</f>
        <v/>
      </c>
      <c r="FG25" s="18">
        <f>IF(AND(160&gt;=$NQ$25,160&lt;=$NR$25),IF($NO$25="Single_Point",IF(160=$NQ$25,$NM$25,0),IF($NO$25="Bell_Curve",$NM$25*(160-$NQ$25+1)*($NR$25-160+1)/$NT$25,$NM$25/$NS$25)),0)</f>
        <v/>
      </c>
      <c r="FH25" s="18">
        <f>IF(AND(161&gt;=$NQ$25,161&lt;=$NR$25),IF($NO$25="Single_Point",IF(161=$NQ$25,$NM$25,0),IF($NO$25="Bell_Curve",$NM$25*(161-$NQ$25+1)*($NR$25-161+1)/$NT$25,$NM$25/$NS$25)),0)</f>
        <v/>
      </c>
      <c r="FI25" s="18">
        <f>IF(AND(162&gt;=$NQ$25,162&lt;=$NR$25),IF($NO$25="Single_Point",IF(162=$NQ$25,$NM$25,0),IF($NO$25="Bell_Curve",$NM$25*(162-$NQ$25+1)*($NR$25-162+1)/$NT$25,$NM$25/$NS$25)),0)</f>
        <v/>
      </c>
      <c r="FJ25" s="18">
        <f>IF(AND(163&gt;=$NQ$25,163&lt;=$NR$25),IF($NO$25="Single_Point",IF(163=$NQ$25,$NM$25,0),IF($NO$25="Bell_Curve",$NM$25*(163-$NQ$25+1)*($NR$25-163+1)/$NT$25,$NM$25/$NS$25)),0)</f>
        <v/>
      </c>
      <c r="FK25" s="18">
        <f>IF(AND(164&gt;=$NQ$25,164&lt;=$NR$25),IF($NO$25="Single_Point",IF(164=$NQ$25,$NM$25,0),IF($NO$25="Bell_Curve",$NM$25*(164-$NQ$25+1)*($NR$25-164+1)/$NT$25,$NM$25/$NS$25)),0)</f>
        <v/>
      </c>
      <c r="FL25" s="18">
        <f>IF(AND(165&gt;=$NQ$25,165&lt;=$NR$25),IF($NO$25="Single_Point",IF(165=$NQ$25,$NM$25,0),IF($NO$25="Bell_Curve",$NM$25*(165-$NQ$25+1)*($NR$25-165+1)/$NT$25,$NM$25/$NS$25)),0)</f>
        <v/>
      </c>
      <c r="FM25" s="18">
        <f>IF(AND(166&gt;=$NQ$25,166&lt;=$NR$25),IF($NO$25="Single_Point",IF(166=$NQ$25,$NM$25,0),IF($NO$25="Bell_Curve",$NM$25*(166-$NQ$25+1)*($NR$25-166+1)/$NT$25,$NM$25/$NS$25)),0)</f>
        <v/>
      </c>
      <c r="FN25" s="18">
        <f>IF(AND(167&gt;=$NQ$25,167&lt;=$NR$25),IF($NO$25="Single_Point",IF(167=$NQ$25,$NM$25,0),IF($NO$25="Bell_Curve",$NM$25*(167-$NQ$25+1)*($NR$25-167+1)/$NT$25,$NM$25/$NS$25)),0)</f>
        <v/>
      </c>
      <c r="FO25" s="18">
        <f>IF(AND(168&gt;=$NQ$25,168&lt;=$NR$25),IF($NO$25="Single_Point",IF(168=$NQ$25,$NM$25,0),IF($NO$25="Bell_Curve",$NM$25*(168-$NQ$25+1)*($NR$25-168+1)/$NT$25,$NM$25/$NS$25)),0)</f>
        <v/>
      </c>
      <c r="FP25" s="18">
        <f>IF(AND(169&gt;=$NQ$25,169&lt;=$NR$25),IF($NO$25="Single_Point",IF(169=$NQ$25,$NM$25,0),IF($NO$25="Bell_Curve",$NM$25*(169-$NQ$25+1)*($NR$25-169+1)/$NT$25,$NM$25/$NS$25)),0)</f>
        <v/>
      </c>
      <c r="FQ25" s="18">
        <f>IF(AND(170&gt;=$NQ$25,170&lt;=$NR$25),IF($NO$25="Single_Point",IF(170=$NQ$25,$NM$25,0),IF($NO$25="Bell_Curve",$NM$25*(170-$NQ$25+1)*($NR$25-170+1)/$NT$25,$NM$25/$NS$25)),0)</f>
        <v/>
      </c>
      <c r="FR25" s="18">
        <f>IF(AND(171&gt;=$NQ$25,171&lt;=$NR$25),IF($NO$25="Single_Point",IF(171=$NQ$25,$NM$25,0),IF($NO$25="Bell_Curve",$NM$25*(171-$NQ$25+1)*($NR$25-171+1)/$NT$25,$NM$25/$NS$25)),0)</f>
        <v/>
      </c>
      <c r="FS25" s="18">
        <f>IF(AND(172&gt;=$NQ$25,172&lt;=$NR$25),IF($NO$25="Single_Point",IF(172=$NQ$25,$NM$25,0),IF($NO$25="Bell_Curve",$NM$25*(172-$NQ$25+1)*($NR$25-172+1)/$NT$25,$NM$25/$NS$25)),0)</f>
        <v/>
      </c>
      <c r="FT25" s="18">
        <f>IF(AND(173&gt;=$NQ$25,173&lt;=$NR$25),IF($NO$25="Single_Point",IF(173=$NQ$25,$NM$25,0),IF($NO$25="Bell_Curve",$NM$25*(173-$NQ$25+1)*($NR$25-173+1)/$NT$25,$NM$25/$NS$25)),0)</f>
        <v/>
      </c>
      <c r="FU25" s="18">
        <f>IF(AND(174&gt;=$NQ$25,174&lt;=$NR$25),IF($NO$25="Single_Point",IF(174=$NQ$25,$NM$25,0),IF($NO$25="Bell_Curve",$NM$25*(174-$NQ$25+1)*($NR$25-174+1)/$NT$25,$NM$25/$NS$25)),0)</f>
        <v/>
      </c>
      <c r="FV25" s="18">
        <f>IF(AND(175&gt;=$NQ$25,175&lt;=$NR$25),IF($NO$25="Single_Point",IF(175=$NQ$25,$NM$25,0),IF($NO$25="Bell_Curve",$NM$25*(175-$NQ$25+1)*($NR$25-175+1)/$NT$25,$NM$25/$NS$25)),0)</f>
        <v/>
      </c>
      <c r="FW25" s="18">
        <f>IF(AND(176&gt;=$NQ$25,176&lt;=$NR$25),IF($NO$25="Single_Point",IF(176=$NQ$25,$NM$25,0),IF($NO$25="Bell_Curve",$NM$25*(176-$NQ$25+1)*($NR$25-176+1)/$NT$25,$NM$25/$NS$25)),0)</f>
        <v/>
      </c>
      <c r="FX25" s="18">
        <f>IF(AND(177&gt;=$NQ$25,177&lt;=$NR$25),IF($NO$25="Single_Point",IF(177=$NQ$25,$NM$25,0),IF($NO$25="Bell_Curve",$NM$25*(177-$NQ$25+1)*($NR$25-177+1)/$NT$25,$NM$25/$NS$25)),0)</f>
        <v/>
      </c>
      <c r="FY25" s="18">
        <f>IF(AND(178&gt;=$NQ$25,178&lt;=$NR$25),IF($NO$25="Single_Point",IF(178=$NQ$25,$NM$25,0),IF($NO$25="Bell_Curve",$NM$25*(178-$NQ$25+1)*($NR$25-178+1)/$NT$25,$NM$25/$NS$25)),0)</f>
        <v/>
      </c>
      <c r="FZ25" s="18">
        <f>IF(AND(179&gt;=$NQ$25,179&lt;=$NR$25),IF($NO$25="Single_Point",IF(179=$NQ$25,$NM$25,0),IF($NO$25="Bell_Curve",$NM$25*(179-$NQ$25+1)*($NR$25-179+1)/$NT$25,$NM$25/$NS$25)),0)</f>
        <v/>
      </c>
      <c r="GA25" s="18">
        <f>IF(AND(180&gt;=$NQ$25,180&lt;=$NR$25),IF($NO$25="Single_Point",IF(180=$NQ$25,$NM$25,0),IF($NO$25="Bell_Curve",$NM$25*(180-$NQ$25+1)*($NR$25-180+1)/$NT$25,$NM$25/$NS$25)),0)</f>
        <v/>
      </c>
      <c r="GB25" s="18">
        <f>IF(AND(181&gt;=$NQ$25,181&lt;=$NR$25),IF($NO$25="Single_Point",IF(181=$NQ$25,$NM$25,0),IF($NO$25="Bell_Curve",$NM$25*(181-$NQ$25+1)*($NR$25-181+1)/$NT$25,$NM$25/$NS$25)),0)</f>
        <v/>
      </c>
      <c r="GC25" s="18">
        <f>IF(AND(182&gt;=$NQ$25,182&lt;=$NR$25),IF($NO$25="Single_Point",IF(182=$NQ$25,$NM$25,0),IF($NO$25="Bell_Curve",$NM$25*(182-$NQ$25+1)*($NR$25-182+1)/$NT$25,$NM$25/$NS$25)),0)</f>
        <v/>
      </c>
      <c r="GD25" s="18">
        <f>IF(AND(183&gt;=$NQ$25,183&lt;=$NR$25),IF($NO$25="Single_Point",IF(183=$NQ$25,$NM$25,0),IF($NO$25="Bell_Curve",$NM$25*(183-$NQ$25+1)*($NR$25-183+1)/$NT$25,$NM$25/$NS$25)),0)</f>
        <v/>
      </c>
      <c r="GE25" s="18">
        <f>IF(AND(184&gt;=$NQ$25,184&lt;=$NR$25),IF($NO$25="Single_Point",IF(184=$NQ$25,$NM$25,0),IF($NO$25="Bell_Curve",$NM$25*(184-$NQ$25+1)*($NR$25-184+1)/$NT$25,$NM$25/$NS$25)),0)</f>
        <v/>
      </c>
      <c r="GF25" s="18">
        <f>IF(AND(185&gt;=$NQ$25,185&lt;=$NR$25),IF($NO$25="Single_Point",IF(185=$NQ$25,$NM$25,0),IF($NO$25="Bell_Curve",$NM$25*(185-$NQ$25+1)*($NR$25-185+1)/$NT$25,$NM$25/$NS$25)),0)</f>
        <v/>
      </c>
      <c r="GG25" s="18">
        <f>IF(AND(186&gt;=$NQ$25,186&lt;=$NR$25),IF($NO$25="Single_Point",IF(186=$NQ$25,$NM$25,0),IF($NO$25="Bell_Curve",$NM$25*(186-$NQ$25+1)*($NR$25-186+1)/$NT$25,$NM$25/$NS$25)),0)</f>
        <v/>
      </c>
      <c r="GH25" s="18">
        <f>IF(AND(187&gt;=$NQ$25,187&lt;=$NR$25),IF($NO$25="Single_Point",IF(187=$NQ$25,$NM$25,0),IF($NO$25="Bell_Curve",$NM$25*(187-$NQ$25+1)*($NR$25-187+1)/$NT$25,$NM$25/$NS$25)),0)</f>
        <v/>
      </c>
      <c r="GI25" s="18">
        <f>IF(AND(188&gt;=$NQ$25,188&lt;=$NR$25),IF($NO$25="Single_Point",IF(188=$NQ$25,$NM$25,0),IF($NO$25="Bell_Curve",$NM$25*(188-$NQ$25+1)*($NR$25-188+1)/$NT$25,$NM$25/$NS$25)),0)</f>
        <v/>
      </c>
      <c r="GJ25" s="18">
        <f>IF(AND(189&gt;=$NQ$25,189&lt;=$NR$25),IF($NO$25="Single_Point",IF(189=$NQ$25,$NM$25,0),IF($NO$25="Bell_Curve",$NM$25*(189-$NQ$25+1)*($NR$25-189+1)/$NT$25,$NM$25/$NS$25)),0)</f>
        <v/>
      </c>
      <c r="GK25" s="18">
        <f>IF(AND(190&gt;=$NQ$25,190&lt;=$NR$25),IF($NO$25="Single_Point",IF(190=$NQ$25,$NM$25,0),IF($NO$25="Bell_Curve",$NM$25*(190-$NQ$25+1)*($NR$25-190+1)/$NT$25,$NM$25/$NS$25)),0)</f>
        <v/>
      </c>
      <c r="GL25" s="18">
        <f>IF(AND(191&gt;=$NQ$25,191&lt;=$NR$25),IF($NO$25="Single_Point",IF(191=$NQ$25,$NM$25,0),IF($NO$25="Bell_Curve",$NM$25*(191-$NQ$25+1)*($NR$25-191+1)/$NT$25,$NM$25/$NS$25)),0)</f>
        <v/>
      </c>
      <c r="GM25" s="18">
        <f>IF(AND(192&gt;=$NQ$25,192&lt;=$NR$25),IF($NO$25="Single_Point",IF(192=$NQ$25,$NM$25,0),IF($NO$25="Bell_Curve",$NM$25*(192-$NQ$25+1)*($NR$25-192+1)/$NT$25,$NM$25/$NS$25)),0)</f>
        <v/>
      </c>
      <c r="GN25" s="18">
        <f>IF(AND(193&gt;=$NQ$25,193&lt;=$NR$25),IF($NO$25="Single_Point",IF(193=$NQ$25,$NM$25,0),IF($NO$25="Bell_Curve",$NM$25*(193-$NQ$25+1)*($NR$25-193+1)/$NT$25,$NM$25/$NS$25)),0)</f>
        <v/>
      </c>
      <c r="GO25" s="18">
        <f>IF(AND(194&gt;=$NQ$25,194&lt;=$NR$25),IF($NO$25="Single_Point",IF(194=$NQ$25,$NM$25,0),IF($NO$25="Bell_Curve",$NM$25*(194-$NQ$25+1)*($NR$25-194+1)/$NT$25,$NM$25/$NS$25)),0)</f>
        <v/>
      </c>
      <c r="GP25" s="18">
        <f>IF(AND(195&gt;=$NQ$25,195&lt;=$NR$25),IF($NO$25="Single_Point",IF(195=$NQ$25,$NM$25,0),IF($NO$25="Bell_Curve",$NM$25*(195-$NQ$25+1)*($NR$25-195+1)/$NT$25,$NM$25/$NS$25)),0)</f>
        <v/>
      </c>
      <c r="GQ25" s="18">
        <f>IF(AND(196&gt;=$NQ$25,196&lt;=$NR$25),IF($NO$25="Single_Point",IF(196=$NQ$25,$NM$25,0),IF($NO$25="Bell_Curve",$NM$25*(196-$NQ$25+1)*($NR$25-196+1)/$NT$25,$NM$25/$NS$25)),0)</f>
        <v/>
      </c>
      <c r="GR25" s="18">
        <f>IF(AND(197&gt;=$NQ$25,197&lt;=$NR$25),IF($NO$25="Single_Point",IF(197=$NQ$25,$NM$25,0),IF($NO$25="Bell_Curve",$NM$25*(197-$NQ$25+1)*($NR$25-197+1)/$NT$25,$NM$25/$NS$25)),0)</f>
        <v/>
      </c>
      <c r="GS25" s="18">
        <f>IF(AND(198&gt;=$NQ$25,198&lt;=$NR$25),IF($NO$25="Single_Point",IF(198=$NQ$25,$NM$25,0),IF($NO$25="Bell_Curve",$NM$25*(198-$NQ$25+1)*($NR$25-198+1)/$NT$25,$NM$25/$NS$25)),0)</f>
        <v/>
      </c>
      <c r="GT25" s="18">
        <f>IF(AND(199&gt;=$NQ$25,199&lt;=$NR$25),IF($NO$25="Single_Point",IF(199=$NQ$25,$NM$25,0),IF($NO$25="Bell_Curve",$NM$25*(199-$NQ$25+1)*($NR$25-199+1)/$NT$25,$NM$25/$NS$25)),0)</f>
        <v/>
      </c>
      <c r="GU25" s="18">
        <f>IF(AND(200&gt;=$NQ$25,200&lt;=$NR$25),IF($NO$25="Single_Point",IF(200=$NQ$25,$NM$25,0),IF($NO$25="Bell_Curve",$NM$25*(200-$NQ$25+1)*($NR$25-200+1)/$NT$25,$NM$25/$NS$25)),0)</f>
        <v/>
      </c>
      <c r="GV25" s="18">
        <f>IF(AND(201&gt;=$NQ$25,201&lt;=$NR$25),IF($NO$25="Single_Point",IF(201=$NQ$25,$NM$25,0),IF($NO$25="Bell_Curve",$NM$25*(201-$NQ$25+1)*($NR$25-201+1)/$NT$25,$NM$25/$NS$25)),0)</f>
        <v/>
      </c>
      <c r="GW25" s="18">
        <f>IF(AND(202&gt;=$NQ$25,202&lt;=$NR$25),IF($NO$25="Single_Point",IF(202=$NQ$25,$NM$25,0),IF($NO$25="Bell_Curve",$NM$25*(202-$NQ$25+1)*($NR$25-202+1)/$NT$25,$NM$25/$NS$25)),0)</f>
        <v/>
      </c>
      <c r="GX25" s="18">
        <f>IF(AND(203&gt;=$NQ$25,203&lt;=$NR$25),IF($NO$25="Single_Point",IF(203=$NQ$25,$NM$25,0),IF($NO$25="Bell_Curve",$NM$25*(203-$NQ$25+1)*($NR$25-203+1)/$NT$25,$NM$25/$NS$25)),0)</f>
        <v/>
      </c>
      <c r="GY25" s="18">
        <f>IF(AND(204&gt;=$NQ$25,204&lt;=$NR$25),IF($NO$25="Single_Point",IF(204=$NQ$25,$NM$25,0),IF($NO$25="Bell_Curve",$NM$25*(204-$NQ$25+1)*($NR$25-204+1)/$NT$25,$NM$25/$NS$25)),0)</f>
        <v/>
      </c>
      <c r="GZ25" s="18">
        <f>IF(AND(205&gt;=$NQ$25,205&lt;=$NR$25),IF($NO$25="Single_Point",IF(205=$NQ$25,$NM$25,0),IF($NO$25="Bell_Curve",$NM$25*(205-$NQ$25+1)*($NR$25-205+1)/$NT$25,$NM$25/$NS$25)),0)</f>
        <v/>
      </c>
      <c r="HA25" s="18">
        <f>IF(AND(206&gt;=$NQ$25,206&lt;=$NR$25),IF($NO$25="Single_Point",IF(206=$NQ$25,$NM$25,0),IF($NO$25="Bell_Curve",$NM$25*(206-$NQ$25+1)*($NR$25-206+1)/$NT$25,$NM$25/$NS$25)),0)</f>
        <v/>
      </c>
      <c r="HB25" s="18">
        <f>IF(AND(207&gt;=$NQ$25,207&lt;=$NR$25),IF($NO$25="Single_Point",IF(207=$NQ$25,$NM$25,0),IF($NO$25="Bell_Curve",$NM$25*(207-$NQ$25+1)*($NR$25-207+1)/$NT$25,$NM$25/$NS$25)),0)</f>
        <v/>
      </c>
      <c r="HC25" s="18">
        <f>IF(AND(208&gt;=$NQ$25,208&lt;=$NR$25),IF($NO$25="Single_Point",IF(208=$NQ$25,$NM$25,0),IF($NO$25="Bell_Curve",$NM$25*(208-$NQ$25+1)*($NR$25-208+1)/$NT$25,$NM$25/$NS$25)),0)</f>
        <v/>
      </c>
      <c r="HD25" s="18">
        <f>IF(AND(209&gt;=$NQ$25,209&lt;=$NR$25),IF($NO$25="Single_Point",IF(209=$NQ$25,$NM$25,0),IF($NO$25="Bell_Curve",$NM$25*(209-$NQ$25+1)*($NR$25-209+1)/$NT$25,$NM$25/$NS$25)),0)</f>
        <v/>
      </c>
      <c r="HE25" s="18">
        <f>IF(AND(210&gt;=$NQ$25,210&lt;=$NR$25),IF($NO$25="Single_Point",IF(210=$NQ$25,$NM$25,0),IF($NO$25="Bell_Curve",$NM$25*(210-$NQ$25+1)*($NR$25-210+1)/$NT$25,$NM$25/$NS$25)),0)</f>
        <v/>
      </c>
      <c r="HF25" s="18">
        <f>IF(AND(211&gt;=$NQ$25,211&lt;=$NR$25),IF($NO$25="Single_Point",IF(211=$NQ$25,$NM$25,0),IF($NO$25="Bell_Curve",$NM$25*(211-$NQ$25+1)*($NR$25-211+1)/$NT$25,$NM$25/$NS$25)),0)</f>
        <v/>
      </c>
      <c r="HG25" s="18">
        <f>IF(AND(212&gt;=$NQ$25,212&lt;=$NR$25),IF($NO$25="Single_Point",IF(212=$NQ$25,$NM$25,0),IF($NO$25="Bell_Curve",$NM$25*(212-$NQ$25+1)*($NR$25-212+1)/$NT$25,$NM$25/$NS$25)),0)</f>
        <v/>
      </c>
      <c r="HH25" s="18">
        <f>IF(AND(213&gt;=$NQ$25,213&lt;=$NR$25),IF($NO$25="Single_Point",IF(213=$NQ$25,$NM$25,0),IF($NO$25="Bell_Curve",$NM$25*(213-$NQ$25+1)*($NR$25-213+1)/$NT$25,$NM$25/$NS$25)),0)</f>
        <v/>
      </c>
      <c r="HI25" s="18">
        <f>IF(AND(214&gt;=$NQ$25,214&lt;=$NR$25),IF($NO$25="Single_Point",IF(214=$NQ$25,$NM$25,0),IF($NO$25="Bell_Curve",$NM$25*(214-$NQ$25+1)*($NR$25-214+1)/$NT$25,$NM$25/$NS$25)),0)</f>
        <v/>
      </c>
      <c r="HJ25" s="18">
        <f>IF(AND(215&gt;=$NQ$25,215&lt;=$NR$25),IF($NO$25="Single_Point",IF(215=$NQ$25,$NM$25,0),IF($NO$25="Bell_Curve",$NM$25*(215-$NQ$25+1)*($NR$25-215+1)/$NT$25,$NM$25/$NS$25)),0)</f>
        <v/>
      </c>
      <c r="HK25" s="18">
        <f>IF(AND(216&gt;=$NQ$25,216&lt;=$NR$25),IF($NO$25="Single_Point",IF(216=$NQ$25,$NM$25,0),IF($NO$25="Bell_Curve",$NM$25*(216-$NQ$25+1)*($NR$25-216+1)/$NT$25,$NM$25/$NS$25)),0)</f>
        <v/>
      </c>
      <c r="HL25" s="18">
        <f>IF(AND(217&gt;=$NQ$25,217&lt;=$NR$25),IF($NO$25="Single_Point",IF(217=$NQ$25,$NM$25,0),IF($NO$25="Bell_Curve",$NM$25*(217-$NQ$25+1)*($NR$25-217+1)/$NT$25,$NM$25/$NS$25)),0)</f>
        <v/>
      </c>
      <c r="HM25" s="18">
        <f>IF(AND(218&gt;=$NQ$25,218&lt;=$NR$25),IF($NO$25="Single_Point",IF(218=$NQ$25,$NM$25,0),IF($NO$25="Bell_Curve",$NM$25*(218-$NQ$25+1)*($NR$25-218+1)/$NT$25,$NM$25/$NS$25)),0)</f>
        <v/>
      </c>
      <c r="HN25" s="18">
        <f>IF(AND(219&gt;=$NQ$25,219&lt;=$NR$25),IF($NO$25="Single_Point",IF(219=$NQ$25,$NM$25,0),IF($NO$25="Bell_Curve",$NM$25*(219-$NQ$25+1)*($NR$25-219+1)/$NT$25,$NM$25/$NS$25)),0)</f>
        <v/>
      </c>
      <c r="HO25" s="18">
        <f>IF(AND(220&gt;=$NQ$25,220&lt;=$NR$25),IF($NO$25="Single_Point",IF(220=$NQ$25,$NM$25,0),IF($NO$25="Bell_Curve",$NM$25*(220-$NQ$25+1)*($NR$25-220+1)/$NT$25,$NM$25/$NS$25)),0)</f>
        <v/>
      </c>
      <c r="HP25" s="18">
        <f>IF(AND(221&gt;=$NQ$25,221&lt;=$NR$25),IF($NO$25="Single_Point",IF(221=$NQ$25,$NM$25,0),IF($NO$25="Bell_Curve",$NM$25*(221-$NQ$25+1)*($NR$25-221+1)/$NT$25,$NM$25/$NS$25)),0)</f>
        <v/>
      </c>
      <c r="HQ25" s="18">
        <f>IF(AND(222&gt;=$NQ$25,222&lt;=$NR$25),IF($NO$25="Single_Point",IF(222=$NQ$25,$NM$25,0),IF($NO$25="Bell_Curve",$NM$25*(222-$NQ$25+1)*($NR$25-222+1)/$NT$25,$NM$25/$NS$25)),0)</f>
        <v/>
      </c>
      <c r="HR25" s="18">
        <f>IF(AND(223&gt;=$NQ$25,223&lt;=$NR$25),IF($NO$25="Single_Point",IF(223=$NQ$25,$NM$25,0),IF($NO$25="Bell_Curve",$NM$25*(223-$NQ$25+1)*($NR$25-223+1)/$NT$25,$NM$25/$NS$25)),0)</f>
        <v/>
      </c>
      <c r="HS25" s="18">
        <f>IF(AND(224&gt;=$NQ$25,224&lt;=$NR$25),IF($NO$25="Single_Point",IF(224=$NQ$25,$NM$25,0),IF($NO$25="Bell_Curve",$NM$25*(224-$NQ$25+1)*($NR$25-224+1)/$NT$25,$NM$25/$NS$25)),0)</f>
        <v/>
      </c>
      <c r="HT25" s="18">
        <f>IF(AND(225&gt;=$NQ$25,225&lt;=$NR$25),IF($NO$25="Single_Point",IF(225=$NQ$25,$NM$25,0),IF($NO$25="Bell_Curve",$NM$25*(225-$NQ$25+1)*($NR$25-225+1)/$NT$25,$NM$25/$NS$25)),0)</f>
        <v/>
      </c>
      <c r="HU25" s="18">
        <f>IF(AND(226&gt;=$NQ$25,226&lt;=$NR$25),IF($NO$25="Single_Point",IF(226=$NQ$25,$NM$25,0),IF($NO$25="Bell_Curve",$NM$25*(226-$NQ$25+1)*($NR$25-226+1)/$NT$25,$NM$25/$NS$25)),0)</f>
        <v/>
      </c>
      <c r="HV25" s="18">
        <f>IF(AND(227&gt;=$NQ$25,227&lt;=$NR$25),IF($NO$25="Single_Point",IF(227=$NQ$25,$NM$25,0),IF($NO$25="Bell_Curve",$NM$25*(227-$NQ$25+1)*($NR$25-227+1)/$NT$25,$NM$25/$NS$25)),0)</f>
        <v/>
      </c>
      <c r="HW25" s="18">
        <f>IF(AND(228&gt;=$NQ$25,228&lt;=$NR$25),IF($NO$25="Single_Point",IF(228=$NQ$25,$NM$25,0),IF($NO$25="Bell_Curve",$NM$25*(228-$NQ$25+1)*($NR$25-228+1)/$NT$25,$NM$25/$NS$25)),0)</f>
        <v/>
      </c>
      <c r="HX25" s="18">
        <f>IF(AND(229&gt;=$NQ$25,229&lt;=$NR$25),IF($NO$25="Single_Point",IF(229=$NQ$25,$NM$25,0),IF($NO$25="Bell_Curve",$NM$25*(229-$NQ$25+1)*($NR$25-229+1)/$NT$25,$NM$25/$NS$25)),0)</f>
        <v/>
      </c>
      <c r="HY25" s="18">
        <f>IF(AND(230&gt;=$NQ$25,230&lt;=$NR$25),IF($NO$25="Single_Point",IF(230=$NQ$25,$NM$25,0),IF($NO$25="Bell_Curve",$NM$25*(230-$NQ$25+1)*($NR$25-230+1)/$NT$25,$NM$25/$NS$25)),0)</f>
        <v/>
      </c>
      <c r="HZ25" s="18">
        <f>IF(AND(231&gt;=$NQ$25,231&lt;=$NR$25),IF($NO$25="Single_Point",IF(231=$NQ$25,$NM$25,0),IF($NO$25="Bell_Curve",$NM$25*(231-$NQ$25+1)*($NR$25-231+1)/$NT$25,$NM$25/$NS$25)),0)</f>
        <v/>
      </c>
      <c r="IA25" s="18">
        <f>IF(AND(232&gt;=$NQ$25,232&lt;=$NR$25),IF($NO$25="Single_Point",IF(232=$NQ$25,$NM$25,0),IF($NO$25="Bell_Curve",$NM$25*(232-$NQ$25+1)*($NR$25-232+1)/$NT$25,$NM$25/$NS$25)),0)</f>
        <v/>
      </c>
      <c r="IB25" s="18">
        <f>IF(AND(233&gt;=$NQ$25,233&lt;=$NR$25),IF($NO$25="Single_Point",IF(233=$NQ$25,$NM$25,0),IF($NO$25="Bell_Curve",$NM$25*(233-$NQ$25+1)*($NR$25-233+1)/$NT$25,$NM$25/$NS$25)),0)</f>
        <v/>
      </c>
      <c r="IC25" s="18">
        <f>IF(AND(234&gt;=$NQ$25,234&lt;=$NR$25),IF($NO$25="Single_Point",IF(234=$NQ$25,$NM$25,0),IF($NO$25="Bell_Curve",$NM$25*(234-$NQ$25+1)*($NR$25-234+1)/$NT$25,$NM$25/$NS$25)),0)</f>
        <v/>
      </c>
      <c r="ID25" s="18">
        <f>IF(AND(235&gt;=$NQ$25,235&lt;=$NR$25),IF($NO$25="Single_Point",IF(235=$NQ$25,$NM$25,0),IF($NO$25="Bell_Curve",$NM$25*(235-$NQ$25+1)*($NR$25-235+1)/$NT$25,$NM$25/$NS$25)),0)</f>
        <v/>
      </c>
      <c r="IE25" s="18">
        <f>IF(AND(236&gt;=$NQ$25,236&lt;=$NR$25),IF($NO$25="Single_Point",IF(236=$NQ$25,$NM$25,0),IF($NO$25="Bell_Curve",$NM$25*(236-$NQ$25+1)*($NR$25-236+1)/$NT$25,$NM$25/$NS$25)),0)</f>
        <v/>
      </c>
      <c r="IF25" s="18">
        <f>IF(AND(237&gt;=$NQ$25,237&lt;=$NR$25),IF($NO$25="Single_Point",IF(237=$NQ$25,$NM$25,0),IF($NO$25="Bell_Curve",$NM$25*(237-$NQ$25+1)*($NR$25-237+1)/$NT$25,$NM$25/$NS$25)),0)</f>
        <v/>
      </c>
      <c r="IG25" s="18">
        <f>IF(AND(238&gt;=$NQ$25,238&lt;=$NR$25),IF($NO$25="Single_Point",IF(238=$NQ$25,$NM$25,0),IF($NO$25="Bell_Curve",$NM$25*(238-$NQ$25+1)*($NR$25-238+1)/$NT$25,$NM$25/$NS$25)),0)</f>
        <v/>
      </c>
      <c r="IH25" s="18">
        <f>IF(AND(239&gt;=$NQ$25,239&lt;=$NR$25),IF($NO$25="Single_Point",IF(239=$NQ$25,$NM$25,0),IF($NO$25="Bell_Curve",$NM$25*(239-$NQ$25+1)*($NR$25-239+1)/$NT$25,$NM$25/$NS$25)),0)</f>
        <v/>
      </c>
      <c r="II25" s="18">
        <f>IF(AND(240&gt;=$NQ$25,240&lt;=$NR$25),IF($NO$25="Single_Point",IF(240=$NQ$25,$NM$25,0),IF($NO$25="Bell_Curve",$NM$25*(240-$NQ$25+1)*($NR$25-240+1)/$NT$25,$NM$25/$NS$25)),0)</f>
        <v/>
      </c>
      <c r="IJ25" s="18">
        <f>IF(AND(241&gt;=$NQ$25,241&lt;=$NR$25),IF($NO$25="Single_Point",IF(241=$NQ$25,$NM$25,0),IF($NO$25="Bell_Curve",$NM$25*(241-$NQ$25+1)*($NR$25-241+1)/$NT$25,$NM$25/$NS$25)),0)</f>
        <v/>
      </c>
      <c r="IK25" s="18">
        <f>IF(AND(242&gt;=$NQ$25,242&lt;=$NR$25),IF($NO$25="Single_Point",IF(242=$NQ$25,$NM$25,0),IF($NO$25="Bell_Curve",$NM$25*(242-$NQ$25+1)*($NR$25-242+1)/$NT$25,$NM$25/$NS$25)),0)</f>
        <v/>
      </c>
      <c r="IL25" s="18">
        <f>IF(AND(243&gt;=$NQ$25,243&lt;=$NR$25),IF($NO$25="Single_Point",IF(243=$NQ$25,$NM$25,0),IF($NO$25="Bell_Curve",$NM$25*(243-$NQ$25+1)*($NR$25-243+1)/$NT$25,$NM$25/$NS$25)),0)</f>
        <v/>
      </c>
      <c r="IM25" s="18">
        <f>IF(AND(244&gt;=$NQ$25,244&lt;=$NR$25),IF($NO$25="Single_Point",IF(244=$NQ$25,$NM$25,0),IF($NO$25="Bell_Curve",$NM$25*(244-$NQ$25+1)*($NR$25-244+1)/$NT$25,$NM$25/$NS$25)),0)</f>
        <v/>
      </c>
      <c r="IN25" s="18">
        <f>IF(AND(245&gt;=$NQ$25,245&lt;=$NR$25),IF($NO$25="Single_Point",IF(245=$NQ$25,$NM$25,0),IF($NO$25="Bell_Curve",$NM$25*(245-$NQ$25+1)*($NR$25-245+1)/$NT$25,$NM$25/$NS$25)),0)</f>
        <v/>
      </c>
      <c r="IO25" s="18">
        <f>IF(AND(246&gt;=$NQ$25,246&lt;=$NR$25),IF($NO$25="Single_Point",IF(246=$NQ$25,$NM$25,0),IF($NO$25="Bell_Curve",$NM$25*(246-$NQ$25+1)*($NR$25-246+1)/$NT$25,$NM$25/$NS$25)),0)</f>
        <v/>
      </c>
      <c r="IP25" s="18">
        <f>IF(AND(247&gt;=$NQ$25,247&lt;=$NR$25),IF($NO$25="Single_Point",IF(247=$NQ$25,$NM$25,0),IF($NO$25="Bell_Curve",$NM$25*(247-$NQ$25+1)*($NR$25-247+1)/$NT$25,$NM$25/$NS$25)),0)</f>
        <v/>
      </c>
      <c r="IQ25" s="18">
        <f>IF(AND(248&gt;=$NQ$25,248&lt;=$NR$25),IF($NO$25="Single_Point",IF(248=$NQ$25,$NM$25,0),IF($NO$25="Bell_Curve",$NM$25*(248-$NQ$25+1)*($NR$25-248+1)/$NT$25,$NM$25/$NS$25)),0)</f>
        <v/>
      </c>
      <c r="IR25" s="18">
        <f>IF(AND(249&gt;=$NQ$25,249&lt;=$NR$25),IF($NO$25="Single_Point",IF(249=$NQ$25,$NM$25,0),IF($NO$25="Bell_Curve",$NM$25*(249-$NQ$25+1)*($NR$25-249+1)/$NT$25,$NM$25/$NS$25)),0)</f>
        <v/>
      </c>
      <c r="IS25" s="18">
        <f>IF(AND(250&gt;=$NQ$25,250&lt;=$NR$25),IF($NO$25="Single_Point",IF(250=$NQ$25,$NM$25,0),IF($NO$25="Bell_Curve",$NM$25*(250-$NQ$25+1)*($NR$25-250+1)/$NT$25,$NM$25/$NS$25)),0)</f>
        <v/>
      </c>
      <c r="IT25" s="18">
        <f>IF(AND(251&gt;=$NQ$25,251&lt;=$NR$25),IF($NO$25="Single_Point",IF(251=$NQ$25,$NM$25,0),IF($NO$25="Bell_Curve",$NM$25*(251-$NQ$25+1)*($NR$25-251+1)/$NT$25,$NM$25/$NS$25)),0)</f>
        <v/>
      </c>
      <c r="IU25" s="18">
        <f>IF(AND(252&gt;=$NQ$25,252&lt;=$NR$25),IF($NO$25="Single_Point",IF(252=$NQ$25,$NM$25,0),IF($NO$25="Bell_Curve",$NM$25*(252-$NQ$25+1)*($NR$25-252+1)/$NT$25,$NM$25/$NS$25)),0)</f>
        <v/>
      </c>
      <c r="IV25" s="18">
        <f>IF(AND(253&gt;=$NQ$25,253&lt;=$NR$25),IF($NO$25="Single_Point",IF(253=$NQ$25,$NM$25,0),IF($NO$25="Bell_Curve",$NM$25*(253-$NQ$25+1)*($NR$25-253+1)/$NT$25,$NM$25/$NS$25)),0)</f>
        <v/>
      </c>
      <c r="IW25" s="18">
        <f>IF(AND(254&gt;=$NQ$25,254&lt;=$NR$25),IF($NO$25="Single_Point",IF(254=$NQ$25,$NM$25,0),IF($NO$25="Bell_Curve",$NM$25*(254-$NQ$25+1)*($NR$25-254+1)/$NT$25,$NM$25/$NS$25)),0)</f>
        <v/>
      </c>
      <c r="IX25" s="18">
        <f>IF(AND(255&gt;=$NQ$25,255&lt;=$NR$25),IF($NO$25="Single_Point",IF(255=$NQ$25,$NM$25,0),IF($NO$25="Bell_Curve",$NM$25*(255-$NQ$25+1)*($NR$25-255+1)/$NT$25,$NM$25/$NS$25)),0)</f>
        <v/>
      </c>
      <c r="IY25" s="18">
        <f>IF(AND(256&gt;=$NQ$25,256&lt;=$NR$25),IF($NO$25="Single_Point",IF(256=$NQ$25,$NM$25,0),IF($NO$25="Bell_Curve",$NM$25*(256-$NQ$25+1)*($NR$25-256+1)/$NT$25,$NM$25/$NS$25)),0)</f>
        <v/>
      </c>
      <c r="IZ25" s="18">
        <f>IF(AND(257&gt;=$NQ$25,257&lt;=$NR$25),IF($NO$25="Single_Point",IF(257=$NQ$25,$NM$25,0),IF($NO$25="Bell_Curve",$NM$25*(257-$NQ$25+1)*($NR$25-257+1)/$NT$25,$NM$25/$NS$25)),0)</f>
        <v/>
      </c>
      <c r="JA25" s="18">
        <f>IF(AND(258&gt;=$NQ$25,258&lt;=$NR$25),IF($NO$25="Single_Point",IF(258=$NQ$25,$NM$25,0),IF($NO$25="Bell_Curve",$NM$25*(258-$NQ$25+1)*($NR$25-258+1)/$NT$25,$NM$25/$NS$25)),0)</f>
        <v/>
      </c>
      <c r="JB25" s="18">
        <f>IF(AND(259&gt;=$NQ$25,259&lt;=$NR$25),IF($NO$25="Single_Point",IF(259=$NQ$25,$NM$25,0),IF($NO$25="Bell_Curve",$NM$25*(259-$NQ$25+1)*($NR$25-259+1)/$NT$25,$NM$25/$NS$25)),0)</f>
        <v/>
      </c>
      <c r="JC25" s="18">
        <f>IF(AND(260&gt;=$NQ$25,260&lt;=$NR$25),IF($NO$25="Single_Point",IF(260=$NQ$25,$NM$25,0),IF($NO$25="Bell_Curve",$NM$25*(260-$NQ$25+1)*($NR$25-260+1)/$NT$25,$NM$25/$NS$25)),0)</f>
        <v/>
      </c>
      <c r="JD25" s="18">
        <f>IF(AND(261&gt;=$NQ$25,261&lt;=$NR$25),IF($NO$25="Single_Point",IF(261=$NQ$25,$NM$25,0),IF($NO$25="Bell_Curve",$NM$25*(261-$NQ$25+1)*($NR$25-261+1)/$NT$25,$NM$25/$NS$25)),0)</f>
        <v/>
      </c>
      <c r="JE25" s="18">
        <f>IF(AND(262&gt;=$NQ$25,262&lt;=$NR$25),IF($NO$25="Single_Point",IF(262=$NQ$25,$NM$25,0),IF($NO$25="Bell_Curve",$NM$25*(262-$NQ$25+1)*($NR$25-262+1)/$NT$25,$NM$25/$NS$25)),0)</f>
        <v/>
      </c>
      <c r="JF25" s="18">
        <f>IF(AND(263&gt;=$NQ$25,263&lt;=$NR$25),IF($NO$25="Single_Point",IF(263=$NQ$25,$NM$25,0),IF($NO$25="Bell_Curve",$NM$25*(263-$NQ$25+1)*($NR$25-263+1)/$NT$25,$NM$25/$NS$25)),0)</f>
        <v/>
      </c>
      <c r="JG25" s="18">
        <f>IF(AND(264&gt;=$NQ$25,264&lt;=$NR$25),IF($NO$25="Single_Point",IF(264=$NQ$25,$NM$25,0),IF($NO$25="Bell_Curve",$NM$25*(264-$NQ$25+1)*($NR$25-264+1)/$NT$25,$NM$25/$NS$25)),0)</f>
        <v/>
      </c>
      <c r="JH25" s="18">
        <f>IF(AND(265&gt;=$NQ$25,265&lt;=$NR$25),IF($NO$25="Single_Point",IF(265=$NQ$25,$NM$25,0),IF($NO$25="Bell_Curve",$NM$25*(265-$NQ$25+1)*($NR$25-265+1)/$NT$25,$NM$25/$NS$25)),0)</f>
        <v/>
      </c>
      <c r="JI25" s="18">
        <f>IF(AND(266&gt;=$NQ$25,266&lt;=$NR$25),IF($NO$25="Single_Point",IF(266=$NQ$25,$NM$25,0),IF($NO$25="Bell_Curve",$NM$25*(266-$NQ$25+1)*($NR$25-266+1)/$NT$25,$NM$25/$NS$25)),0)</f>
        <v/>
      </c>
      <c r="JJ25" s="18">
        <f>IF(AND(267&gt;=$NQ$25,267&lt;=$NR$25),IF($NO$25="Single_Point",IF(267=$NQ$25,$NM$25,0),IF($NO$25="Bell_Curve",$NM$25*(267-$NQ$25+1)*($NR$25-267+1)/$NT$25,$NM$25/$NS$25)),0)</f>
        <v/>
      </c>
      <c r="JK25" s="18">
        <f>IF(AND(268&gt;=$NQ$25,268&lt;=$NR$25),IF($NO$25="Single_Point",IF(268=$NQ$25,$NM$25,0),IF($NO$25="Bell_Curve",$NM$25*(268-$NQ$25+1)*($NR$25-268+1)/$NT$25,$NM$25/$NS$25)),0)</f>
        <v/>
      </c>
      <c r="JL25" s="18">
        <f>IF(AND(269&gt;=$NQ$25,269&lt;=$NR$25),IF($NO$25="Single_Point",IF(269=$NQ$25,$NM$25,0),IF($NO$25="Bell_Curve",$NM$25*(269-$NQ$25+1)*($NR$25-269+1)/$NT$25,$NM$25/$NS$25)),0)</f>
        <v/>
      </c>
      <c r="JM25" s="18">
        <f>IF(AND(270&gt;=$NQ$25,270&lt;=$NR$25),IF($NO$25="Single_Point",IF(270=$NQ$25,$NM$25,0),IF($NO$25="Bell_Curve",$NM$25*(270-$NQ$25+1)*($NR$25-270+1)/$NT$25,$NM$25/$NS$25)),0)</f>
        <v/>
      </c>
      <c r="JN25" s="18">
        <f>IF(AND(271&gt;=$NQ$25,271&lt;=$NR$25),IF($NO$25="Single_Point",IF(271=$NQ$25,$NM$25,0),IF($NO$25="Bell_Curve",$NM$25*(271-$NQ$25+1)*($NR$25-271+1)/$NT$25,$NM$25/$NS$25)),0)</f>
        <v/>
      </c>
      <c r="JO25" s="18">
        <f>IF(AND(272&gt;=$NQ$25,272&lt;=$NR$25),IF($NO$25="Single_Point",IF(272=$NQ$25,$NM$25,0),IF($NO$25="Bell_Curve",$NM$25*(272-$NQ$25+1)*($NR$25-272+1)/$NT$25,$NM$25/$NS$25)),0)</f>
        <v/>
      </c>
      <c r="JP25" s="18">
        <f>IF(AND(273&gt;=$NQ$25,273&lt;=$NR$25),IF($NO$25="Single_Point",IF(273=$NQ$25,$NM$25,0),IF($NO$25="Bell_Curve",$NM$25*(273-$NQ$25+1)*($NR$25-273+1)/$NT$25,$NM$25/$NS$25)),0)</f>
        <v/>
      </c>
      <c r="JQ25" s="18">
        <f>IF(AND(274&gt;=$NQ$25,274&lt;=$NR$25),IF($NO$25="Single_Point",IF(274=$NQ$25,$NM$25,0),IF($NO$25="Bell_Curve",$NM$25*(274-$NQ$25+1)*($NR$25-274+1)/$NT$25,$NM$25/$NS$25)),0)</f>
        <v/>
      </c>
      <c r="JR25" s="18">
        <f>IF(AND(275&gt;=$NQ$25,275&lt;=$NR$25),IF($NO$25="Single_Point",IF(275=$NQ$25,$NM$25,0),IF($NO$25="Bell_Curve",$NM$25*(275-$NQ$25+1)*($NR$25-275+1)/$NT$25,$NM$25/$NS$25)),0)</f>
        <v/>
      </c>
      <c r="JS25" s="18">
        <f>IF(AND(276&gt;=$NQ$25,276&lt;=$NR$25),IF($NO$25="Single_Point",IF(276=$NQ$25,$NM$25,0),IF($NO$25="Bell_Curve",$NM$25*(276-$NQ$25+1)*($NR$25-276+1)/$NT$25,$NM$25/$NS$25)),0)</f>
        <v/>
      </c>
      <c r="JT25" s="18">
        <f>IF(AND(277&gt;=$NQ$25,277&lt;=$NR$25),IF($NO$25="Single_Point",IF(277=$NQ$25,$NM$25,0),IF($NO$25="Bell_Curve",$NM$25*(277-$NQ$25+1)*($NR$25-277+1)/$NT$25,$NM$25/$NS$25)),0)</f>
        <v/>
      </c>
      <c r="JU25" s="18">
        <f>IF(AND(278&gt;=$NQ$25,278&lt;=$NR$25),IF($NO$25="Single_Point",IF(278=$NQ$25,$NM$25,0),IF($NO$25="Bell_Curve",$NM$25*(278-$NQ$25+1)*($NR$25-278+1)/$NT$25,$NM$25/$NS$25)),0)</f>
        <v/>
      </c>
      <c r="JV25" s="18">
        <f>IF(AND(279&gt;=$NQ$25,279&lt;=$NR$25),IF($NO$25="Single_Point",IF(279=$NQ$25,$NM$25,0),IF($NO$25="Bell_Curve",$NM$25*(279-$NQ$25+1)*($NR$25-279+1)/$NT$25,$NM$25/$NS$25)),0)</f>
        <v/>
      </c>
      <c r="JW25" s="18">
        <f>IF(AND(280&gt;=$NQ$25,280&lt;=$NR$25),IF($NO$25="Single_Point",IF(280=$NQ$25,$NM$25,0),IF($NO$25="Bell_Curve",$NM$25*(280-$NQ$25+1)*($NR$25-280+1)/$NT$25,$NM$25/$NS$25)),0)</f>
        <v/>
      </c>
      <c r="JX25" s="18">
        <f>IF(AND(281&gt;=$NQ$25,281&lt;=$NR$25),IF($NO$25="Single_Point",IF(281=$NQ$25,$NM$25,0),IF($NO$25="Bell_Curve",$NM$25*(281-$NQ$25+1)*($NR$25-281+1)/$NT$25,$NM$25/$NS$25)),0)</f>
        <v/>
      </c>
      <c r="JY25" s="18">
        <f>IF(AND(282&gt;=$NQ$25,282&lt;=$NR$25),IF($NO$25="Single_Point",IF(282=$NQ$25,$NM$25,0),IF($NO$25="Bell_Curve",$NM$25*(282-$NQ$25+1)*($NR$25-282+1)/$NT$25,$NM$25/$NS$25)),0)</f>
        <v/>
      </c>
      <c r="JZ25" s="18">
        <f>IF(AND(283&gt;=$NQ$25,283&lt;=$NR$25),IF($NO$25="Single_Point",IF(283=$NQ$25,$NM$25,0),IF($NO$25="Bell_Curve",$NM$25*(283-$NQ$25+1)*($NR$25-283+1)/$NT$25,$NM$25/$NS$25)),0)</f>
        <v/>
      </c>
      <c r="KA25" s="18">
        <f>IF(AND(284&gt;=$NQ$25,284&lt;=$NR$25),IF($NO$25="Single_Point",IF(284=$NQ$25,$NM$25,0),IF($NO$25="Bell_Curve",$NM$25*(284-$NQ$25+1)*($NR$25-284+1)/$NT$25,$NM$25/$NS$25)),0)</f>
        <v/>
      </c>
      <c r="KB25" s="18">
        <f>IF(AND(285&gt;=$NQ$25,285&lt;=$NR$25),IF($NO$25="Single_Point",IF(285=$NQ$25,$NM$25,0),IF($NO$25="Bell_Curve",$NM$25*(285-$NQ$25+1)*($NR$25-285+1)/$NT$25,$NM$25/$NS$25)),0)</f>
        <v/>
      </c>
      <c r="KC25" s="18">
        <f>IF(AND(286&gt;=$NQ$25,286&lt;=$NR$25),IF($NO$25="Single_Point",IF(286=$NQ$25,$NM$25,0),IF($NO$25="Bell_Curve",$NM$25*(286-$NQ$25+1)*($NR$25-286+1)/$NT$25,$NM$25/$NS$25)),0)</f>
        <v/>
      </c>
      <c r="KD25" s="18">
        <f>IF(AND(287&gt;=$NQ$25,287&lt;=$NR$25),IF($NO$25="Single_Point",IF(287=$NQ$25,$NM$25,0),IF($NO$25="Bell_Curve",$NM$25*(287-$NQ$25+1)*($NR$25-287+1)/$NT$25,$NM$25/$NS$25)),0)</f>
        <v/>
      </c>
      <c r="KE25" s="18">
        <f>IF(AND(288&gt;=$NQ$25,288&lt;=$NR$25),IF($NO$25="Single_Point",IF(288=$NQ$25,$NM$25,0),IF($NO$25="Bell_Curve",$NM$25*(288-$NQ$25+1)*($NR$25-288+1)/$NT$25,$NM$25/$NS$25)),0)</f>
        <v/>
      </c>
      <c r="KF25" s="18">
        <f>IF(AND(289&gt;=$NQ$25,289&lt;=$NR$25),IF($NO$25="Single_Point",IF(289=$NQ$25,$NM$25,0),IF($NO$25="Bell_Curve",$NM$25*(289-$NQ$25+1)*($NR$25-289+1)/$NT$25,$NM$25/$NS$25)),0)</f>
        <v/>
      </c>
      <c r="KG25" s="18">
        <f>IF(AND(290&gt;=$NQ$25,290&lt;=$NR$25),IF($NO$25="Single_Point",IF(290=$NQ$25,$NM$25,0),IF($NO$25="Bell_Curve",$NM$25*(290-$NQ$25+1)*($NR$25-290+1)/$NT$25,$NM$25/$NS$25)),0)</f>
        <v/>
      </c>
      <c r="KH25" s="18">
        <f>IF(AND(291&gt;=$NQ$25,291&lt;=$NR$25),IF($NO$25="Single_Point",IF(291=$NQ$25,$NM$25,0),IF($NO$25="Bell_Curve",$NM$25*(291-$NQ$25+1)*($NR$25-291+1)/$NT$25,$NM$25/$NS$25)),0)</f>
        <v/>
      </c>
      <c r="KI25" s="18">
        <f>IF(AND(292&gt;=$NQ$25,292&lt;=$NR$25),IF($NO$25="Single_Point",IF(292=$NQ$25,$NM$25,0),IF($NO$25="Bell_Curve",$NM$25*(292-$NQ$25+1)*($NR$25-292+1)/$NT$25,$NM$25/$NS$25)),0)</f>
        <v/>
      </c>
      <c r="KJ25" s="18">
        <f>IF(AND(293&gt;=$NQ$25,293&lt;=$NR$25),IF($NO$25="Single_Point",IF(293=$NQ$25,$NM$25,0),IF($NO$25="Bell_Curve",$NM$25*(293-$NQ$25+1)*($NR$25-293+1)/$NT$25,$NM$25/$NS$25)),0)</f>
        <v/>
      </c>
      <c r="KK25" s="18">
        <f>IF(AND(294&gt;=$NQ$25,294&lt;=$NR$25),IF($NO$25="Single_Point",IF(294=$NQ$25,$NM$25,0),IF($NO$25="Bell_Curve",$NM$25*(294-$NQ$25+1)*($NR$25-294+1)/$NT$25,$NM$25/$NS$25)),0)</f>
        <v/>
      </c>
      <c r="KL25" s="18">
        <f>IF(AND(295&gt;=$NQ$25,295&lt;=$NR$25),IF($NO$25="Single_Point",IF(295=$NQ$25,$NM$25,0),IF($NO$25="Bell_Curve",$NM$25*(295-$NQ$25+1)*($NR$25-295+1)/$NT$25,$NM$25/$NS$25)),0)</f>
        <v/>
      </c>
      <c r="KM25" s="18">
        <f>IF(AND(296&gt;=$NQ$25,296&lt;=$NR$25),IF($NO$25="Single_Point",IF(296=$NQ$25,$NM$25,0),IF($NO$25="Bell_Curve",$NM$25*(296-$NQ$25+1)*($NR$25-296+1)/$NT$25,$NM$25/$NS$25)),0)</f>
        <v/>
      </c>
      <c r="KN25" s="18">
        <f>IF(AND(297&gt;=$NQ$25,297&lt;=$NR$25),IF($NO$25="Single_Point",IF(297=$NQ$25,$NM$25,0),IF($NO$25="Bell_Curve",$NM$25*(297-$NQ$25+1)*($NR$25-297+1)/$NT$25,$NM$25/$NS$25)),0)</f>
        <v/>
      </c>
      <c r="KO25" s="18">
        <f>IF(AND(298&gt;=$NQ$25,298&lt;=$NR$25),IF($NO$25="Single_Point",IF(298=$NQ$25,$NM$25,0),IF($NO$25="Bell_Curve",$NM$25*(298-$NQ$25+1)*($NR$25-298+1)/$NT$25,$NM$25/$NS$25)),0)</f>
        <v/>
      </c>
      <c r="KP25" s="18">
        <f>IF(AND(299&gt;=$NQ$25,299&lt;=$NR$25),IF($NO$25="Single_Point",IF(299=$NQ$25,$NM$25,0),IF($NO$25="Bell_Curve",$NM$25*(299-$NQ$25+1)*($NR$25-299+1)/$NT$25,$NM$25/$NS$25)),0)</f>
        <v/>
      </c>
      <c r="KQ25" s="18">
        <f>IF(AND(300&gt;=$NQ$25,300&lt;=$NR$25),IF($NO$25="Single_Point",IF(300=$NQ$25,$NM$25,0),IF($NO$25="Bell_Curve",$NM$25*(300-$NQ$25+1)*($NR$25-300+1)/$NT$25,$NM$25/$NS$25)),0)</f>
        <v/>
      </c>
      <c r="KR25" s="18">
        <f>IF(AND(301&gt;=$NQ$25,301&lt;=$NR$25),IF($NO$25="Single_Point",IF(301=$NQ$25,$NM$25,0),IF($NO$25="Bell_Curve",$NM$25*(301-$NQ$25+1)*($NR$25-301+1)/$NT$25,$NM$25/$NS$25)),0)</f>
        <v/>
      </c>
      <c r="KS25" s="18">
        <f>IF(AND(302&gt;=$NQ$25,302&lt;=$NR$25),IF($NO$25="Single_Point",IF(302=$NQ$25,$NM$25,0),IF($NO$25="Bell_Curve",$NM$25*(302-$NQ$25+1)*($NR$25-302+1)/$NT$25,$NM$25/$NS$25)),0)</f>
        <v/>
      </c>
      <c r="KT25" s="18">
        <f>IF(AND(303&gt;=$NQ$25,303&lt;=$NR$25),IF($NO$25="Single_Point",IF(303=$NQ$25,$NM$25,0),IF($NO$25="Bell_Curve",$NM$25*(303-$NQ$25+1)*($NR$25-303+1)/$NT$25,$NM$25/$NS$25)),0)</f>
        <v/>
      </c>
      <c r="KU25" s="18">
        <f>IF(AND(304&gt;=$NQ$25,304&lt;=$NR$25),IF($NO$25="Single_Point",IF(304=$NQ$25,$NM$25,0),IF($NO$25="Bell_Curve",$NM$25*(304-$NQ$25+1)*($NR$25-304+1)/$NT$25,$NM$25/$NS$25)),0)</f>
        <v/>
      </c>
      <c r="KV25" s="18">
        <f>IF(AND(305&gt;=$NQ$25,305&lt;=$NR$25),IF($NO$25="Single_Point",IF(305=$NQ$25,$NM$25,0),IF($NO$25="Bell_Curve",$NM$25*(305-$NQ$25+1)*($NR$25-305+1)/$NT$25,$NM$25/$NS$25)),0)</f>
        <v/>
      </c>
      <c r="KW25" s="18">
        <f>IF(AND(306&gt;=$NQ$25,306&lt;=$NR$25),IF($NO$25="Single_Point",IF(306=$NQ$25,$NM$25,0),IF($NO$25="Bell_Curve",$NM$25*(306-$NQ$25+1)*($NR$25-306+1)/$NT$25,$NM$25/$NS$25)),0)</f>
        <v/>
      </c>
      <c r="KX25" s="18">
        <f>IF(AND(307&gt;=$NQ$25,307&lt;=$NR$25),IF($NO$25="Single_Point",IF(307=$NQ$25,$NM$25,0),IF($NO$25="Bell_Curve",$NM$25*(307-$NQ$25+1)*($NR$25-307+1)/$NT$25,$NM$25/$NS$25)),0)</f>
        <v/>
      </c>
      <c r="KY25" s="18">
        <f>IF(AND(308&gt;=$NQ$25,308&lt;=$NR$25),IF($NO$25="Single_Point",IF(308=$NQ$25,$NM$25,0),IF($NO$25="Bell_Curve",$NM$25*(308-$NQ$25+1)*($NR$25-308+1)/$NT$25,$NM$25/$NS$25)),0)</f>
        <v/>
      </c>
      <c r="KZ25" s="18">
        <f>IF(AND(309&gt;=$NQ$25,309&lt;=$NR$25),IF($NO$25="Single_Point",IF(309=$NQ$25,$NM$25,0),IF($NO$25="Bell_Curve",$NM$25*(309-$NQ$25+1)*($NR$25-309+1)/$NT$25,$NM$25/$NS$25)),0)</f>
        <v/>
      </c>
      <c r="LA25" s="18">
        <f>IF(AND(310&gt;=$NQ$25,310&lt;=$NR$25),IF($NO$25="Single_Point",IF(310=$NQ$25,$NM$25,0),IF($NO$25="Bell_Curve",$NM$25*(310-$NQ$25+1)*($NR$25-310+1)/$NT$25,$NM$25/$NS$25)),0)</f>
        <v/>
      </c>
      <c r="LB25" s="18">
        <f>IF(AND(311&gt;=$NQ$25,311&lt;=$NR$25),IF($NO$25="Single_Point",IF(311=$NQ$25,$NM$25,0),IF($NO$25="Bell_Curve",$NM$25*(311-$NQ$25+1)*($NR$25-311+1)/$NT$25,$NM$25/$NS$25)),0)</f>
        <v/>
      </c>
      <c r="LC25" s="18">
        <f>IF(AND(312&gt;=$NQ$25,312&lt;=$NR$25),IF($NO$25="Single_Point",IF(312=$NQ$25,$NM$25,0),IF($NO$25="Bell_Curve",$NM$25*(312-$NQ$25+1)*($NR$25-312+1)/$NT$25,$NM$25/$NS$25)),0)</f>
        <v/>
      </c>
      <c r="LD25" s="18">
        <f>IF(AND(313&gt;=$NQ$25,313&lt;=$NR$25),IF($NO$25="Single_Point",IF(313=$NQ$25,$NM$25,0),IF($NO$25="Bell_Curve",$NM$25*(313-$NQ$25+1)*($NR$25-313+1)/$NT$25,$NM$25/$NS$25)),0)</f>
        <v/>
      </c>
      <c r="LE25" s="18">
        <f>IF(AND(314&gt;=$NQ$25,314&lt;=$NR$25),IF($NO$25="Single_Point",IF(314=$NQ$25,$NM$25,0),IF($NO$25="Bell_Curve",$NM$25*(314-$NQ$25+1)*($NR$25-314+1)/$NT$25,$NM$25/$NS$25)),0)</f>
        <v/>
      </c>
      <c r="LF25" s="18">
        <f>IF(AND(315&gt;=$NQ$25,315&lt;=$NR$25),IF($NO$25="Single_Point",IF(315=$NQ$25,$NM$25,0),IF($NO$25="Bell_Curve",$NM$25*(315-$NQ$25+1)*($NR$25-315+1)/$NT$25,$NM$25/$NS$25)),0)</f>
        <v/>
      </c>
      <c r="LG25" s="18">
        <f>IF(AND(316&gt;=$NQ$25,316&lt;=$NR$25),IF($NO$25="Single_Point",IF(316=$NQ$25,$NM$25,0),IF($NO$25="Bell_Curve",$NM$25*(316-$NQ$25+1)*($NR$25-316+1)/$NT$25,$NM$25/$NS$25)),0)</f>
        <v/>
      </c>
      <c r="LH25" s="18">
        <f>IF(AND(317&gt;=$NQ$25,317&lt;=$NR$25),IF($NO$25="Single_Point",IF(317=$NQ$25,$NM$25,0),IF($NO$25="Bell_Curve",$NM$25*(317-$NQ$25+1)*($NR$25-317+1)/$NT$25,$NM$25/$NS$25)),0)</f>
        <v/>
      </c>
      <c r="LI25" s="18">
        <f>IF(AND(318&gt;=$NQ$25,318&lt;=$NR$25),IF($NO$25="Single_Point",IF(318=$NQ$25,$NM$25,0),IF($NO$25="Bell_Curve",$NM$25*(318-$NQ$25+1)*($NR$25-318+1)/$NT$25,$NM$25/$NS$25)),0)</f>
        <v/>
      </c>
      <c r="LJ25" s="18">
        <f>IF(AND(319&gt;=$NQ$25,319&lt;=$NR$25),IF($NO$25="Single_Point",IF(319=$NQ$25,$NM$25,0),IF($NO$25="Bell_Curve",$NM$25*(319-$NQ$25+1)*($NR$25-319+1)/$NT$25,$NM$25/$NS$25)),0)</f>
        <v/>
      </c>
      <c r="LK25" s="18">
        <f>IF(AND(320&gt;=$NQ$25,320&lt;=$NR$25),IF($NO$25="Single_Point",IF(320=$NQ$25,$NM$25,0),IF($NO$25="Bell_Curve",$NM$25*(320-$NQ$25+1)*($NR$25-320+1)/$NT$25,$NM$25/$NS$25)),0)</f>
        <v/>
      </c>
      <c r="LL25" s="18">
        <f>IF(AND(321&gt;=$NQ$25,321&lt;=$NR$25),IF($NO$25="Single_Point",IF(321=$NQ$25,$NM$25,0),IF($NO$25="Bell_Curve",$NM$25*(321-$NQ$25+1)*($NR$25-321+1)/$NT$25,$NM$25/$NS$25)),0)</f>
        <v/>
      </c>
      <c r="LM25" s="18">
        <f>IF(AND(322&gt;=$NQ$25,322&lt;=$NR$25),IF($NO$25="Single_Point",IF(322=$NQ$25,$NM$25,0),IF($NO$25="Bell_Curve",$NM$25*(322-$NQ$25+1)*($NR$25-322+1)/$NT$25,$NM$25/$NS$25)),0)</f>
        <v/>
      </c>
      <c r="LN25" s="18">
        <f>IF(AND(323&gt;=$NQ$25,323&lt;=$NR$25),IF($NO$25="Single_Point",IF(323=$NQ$25,$NM$25,0),IF($NO$25="Bell_Curve",$NM$25*(323-$NQ$25+1)*($NR$25-323+1)/$NT$25,$NM$25/$NS$25)),0)</f>
        <v/>
      </c>
      <c r="LO25" s="18">
        <f>IF(AND(324&gt;=$NQ$25,324&lt;=$NR$25),IF($NO$25="Single_Point",IF(324=$NQ$25,$NM$25,0),IF($NO$25="Bell_Curve",$NM$25*(324-$NQ$25+1)*($NR$25-324+1)/$NT$25,$NM$25/$NS$25)),0)</f>
        <v/>
      </c>
      <c r="LP25" s="18">
        <f>IF(AND(325&gt;=$NQ$25,325&lt;=$NR$25),IF($NO$25="Single_Point",IF(325=$NQ$25,$NM$25,0),IF($NO$25="Bell_Curve",$NM$25*(325-$NQ$25+1)*($NR$25-325+1)/$NT$25,$NM$25/$NS$25)),0)</f>
        <v/>
      </c>
      <c r="LQ25" s="18">
        <f>IF(AND(326&gt;=$NQ$25,326&lt;=$NR$25),IF($NO$25="Single_Point",IF(326=$NQ$25,$NM$25,0),IF($NO$25="Bell_Curve",$NM$25*(326-$NQ$25+1)*($NR$25-326+1)/$NT$25,$NM$25/$NS$25)),0)</f>
        <v/>
      </c>
      <c r="LR25" s="18">
        <f>IF(AND(327&gt;=$NQ$25,327&lt;=$NR$25),IF($NO$25="Single_Point",IF(327=$NQ$25,$NM$25,0),IF($NO$25="Bell_Curve",$NM$25*(327-$NQ$25+1)*($NR$25-327+1)/$NT$25,$NM$25/$NS$25)),0)</f>
        <v/>
      </c>
      <c r="LS25" s="18">
        <f>IF(AND(328&gt;=$NQ$25,328&lt;=$NR$25),IF($NO$25="Single_Point",IF(328=$NQ$25,$NM$25,0),IF($NO$25="Bell_Curve",$NM$25*(328-$NQ$25+1)*($NR$25-328+1)/$NT$25,$NM$25/$NS$25)),0)</f>
        <v/>
      </c>
      <c r="LT25" s="18">
        <f>IF(AND(329&gt;=$NQ$25,329&lt;=$NR$25),IF($NO$25="Single_Point",IF(329=$NQ$25,$NM$25,0),IF($NO$25="Bell_Curve",$NM$25*(329-$NQ$25+1)*($NR$25-329+1)/$NT$25,$NM$25/$NS$25)),0)</f>
        <v/>
      </c>
      <c r="LU25" s="18">
        <f>IF(AND(330&gt;=$NQ$25,330&lt;=$NR$25),IF($NO$25="Single_Point",IF(330=$NQ$25,$NM$25,0),IF($NO$25="Bell_Curve",$NM$25*(330-$NQ$25+1)*($NR$25-330+1)/$NT$25,$NM$25/$NS$25)),0)</f>
        <v/>
      </c>
      <c r="LV25" s="18">
        <f>IF(AND(331&gt;=$NQ$25,331&lt;=$NR$25),IF($NO$25="Single_Point",IF(331=$NQ$25,$NM$25,0),IF($NO$25="Bell_Curve",$NM$25*(331-$NQ$25+1)*($NR$25-331+1)/$NT$25,$NM$25/$NS$25)),0)</f>
        <v/>
      </c>
      <c r="LW25" s="18">
        <f>IF(AND(332&gt;=$NQ$25,332&lt;=$NR$25),IF($NO$25="Single_Point",IF(332=$NQ$25,$NM$25,0),IF($NO$25="Bell_Curve",$NM$25*(332-$NQ$25+1)*($NR$25-332+1)/$NT$25,$NM$25/$NS$25)),0)</f>
        <v/>
      </c>
      <c r="LX25" s="18">
        <f>IF(AND(333&gt;=$NQ$25,333&lt;=$NR$25),IF($NO$25="Single_Point",IF(333=$NQ$25,$NM$25,0),IF($NO$25="Bell_Curve",$NM$25*(333-$NQ$25+1)*($NR$25-333+1)/$NT$25,$NM$25/$NS$25)),0)</f>
        <v/>
      </c>
      <c r="LY25" s="18">
        <f>IF(AND(334&gt;=$NQ$25,334&lt;=$NR$25),IF($NO$25="Single_Point",IF(334=$NQ$25,$NM$25,0),IF($NO$25="Bell_Curve",$NM$25*(334-$NQ$25+1)*($NR$25-334+1)/$NT$25,$NM$25/$NS$25)),0)</f>
        <v/>
      </c>
      <c r="LZ25" s="18">
        <f>IF(AND(335&gt;=$NQ$25,335&lt;=$NR$25),IF($NO$25="Single_Point",IF(335=$NQ$25,$NM$25,0),IF($NO$25="Bell_Curve",$NM$25*(335-$NQ$25+1)*($NR$25-335+1)/$NT$25,$NM$25/$NS$25)),0)</f>
        <v/>
      </c>
      <c r="MA25" s="18">
        <f>IF(AND(336&gt;=$NQ$25,336&lt;=$NR$25),IF($NO$25="Single_Point",IF(336=$NQ$25,$NM$25,0),IF($NO$25="Bell_Curve",$NM$25*(336-$NQ$25+1)*($NR$25-336+1)/$NT$25,$NM$25/$NS$25)),0)</f>
        <v/>
      </c>
      <c r="MB25" s="18">
        <f>IF(AND(337&gt;=$NQ$25,337&lt;=$NR$25),IF($NO$25="Single_Point",IF(337=$NQ$25,$NM$25,0),IF($NO$25="Bell_Curve",$NM$25*(337-$NQ$25+1)*($NR$25-337+1)/$NT$25,$NM$25/$NS$25)),0)</f>
        <v/>
      </c>
      <c r="MC25" s="18">
        <f>IF(AND(338&gt;=$NQ$25,338&lt;=$NR$25),IF($NO$25="Single_Point",IF(338=$NQ$25,$NM$25,0),IF($NO$25="Bell_Curve",$NM$25*(338-$NQ$25+1)*($NR$25-338+1)/$NT$25,$NM$25/$NS$25)),0)</f>
        <v/>
      </c>
      <c r="MD25" s="18">
        <f>IF(AND(339&gt;=$NQ$25,339&lt;=$NR$25),IF($NO$25="Single_Point",IF(339=$NQ$25,$NM$25,0),IF($NO$25="Bell_Curve",$NM$25*(339-$NQ$25+1)*($NR$25-339+1)/$NT$25,$NM$25/$NS$25)),0)</f>
        <v/>
      </c>
      <c r="ME25" s="18">
        <f>IF(AND(340&gt;=$NQ$25,340&lt;=$NR$25),IF($NO$25="Single_Point",IF(340=$NQ$25,$NM$25,0),IF($NO$25="Bell_Curve",$NM$25*(340-$NQ$25+1)*($NR$25-340+1)/$NT$25,$NM$25/$NS$25)),0)</f>
        <v/>
      </c>
      <c r="MF25" s="18">
        <f>IF(AND(341&gt;=$NQ$25,341&lt;=$NR$25),IF($NO$25="Single_Point",IF(341=$NQ$25,$NM$25,0),IF($NO$25="Bell_Curve",$NM$25*(341-$NQ$25+1)*($NR$25-341+1)/$NT$25,$NM$25/$NS$25)),0)</f>
        <v/>
      </c>
      <c r="MG25" s="18">
        <f>IF(AND(342&gt;=$NQ$25,342&lt;=$NR$25),IF($NO$25="Single_Point",IF(342=$NQ$25,$NM$25,0),IF($NO$25="Bell_Curve",$NM$25*(342-$NQ$25+1)*($NR$25-342+1)/$NT$25,$NM$25/$NS$25)),0)</f>
        <v/>
      </c>
      <c r="MH25" s="18">
        <f>IF(AND(343&gt;=$NQ$25,343&lt;=$NR$25),IF($NO$25="Single_Point",IF(343=$NQ$25,$NM$25,0),IF($NO$25="Bell_Curve",$NM$25*(343-$NQ$25+1)*($NR$25-343+1)/$NT$25,$NM$25/$NS$25)),0)</f>
        <v/>
      </c>
      <c r="MI25" s="18">
        <f>IF(AND(344&gt;=$NQ$25,344&lt;=$NR$25),IF($NO$25="Single_Point",IF(344=$NQ$25,$NM$25,0),IF($NO$25="Bell_Curve",$NM$25*(344-$NQ$25+1)*($NR$25-344+1)/$NT$25,$NM$25/$NS$25)),0)</f>
        <v/>
      </c>
      <c r="MJ25" s="18">
        <f>IF(AND(345&gt;=$NQ$25,345&lt;=$NR$25),IF($NO$25="Single_Point",IF(345=$NQ$25,$NM$25,0),IF($NO$25="Bell_Curve",$NM$25*(345-$NQ$25+1)*($NR$25-345+1)/$NT$25,$NM$25/$NS$25)),0)</f>
        <v/>
      </c>
      <c r="MK25" s="18">
        <f>IF(AND(346&gt;=$NQ$25,346&lt;=$NR$25),IF($NO$25="Single_Point",IF(346=$NQ$25,$NM$25,0),IF($NO$25="Bell_Curve",$NM$25*(346-$NQ$25+1)*($NR$25-346+1)/$NT$25,$NM$25/$NS$25)),0)</f>
        <v/>
      </c>
      <c r="ML25" s="18">
        <f>IF(AND(347&gt;=$NQ$25,347&lt;=$NR$25),IF($NO$25="Single_Point",IF(347=$NQ$25,$NM$25,0),IF($NO$25="Bell_Curve",$NM$25*(347-$NQ$25+1)*($NR$25-347+1)/$NT$25,$NM$25/$NS$25)),0)</f>
        <v/>
      </c>
      <c r="MM25" s="18">
        <f>IF(AND(348&gt;=$NQ$25,348&lt;=$NR$25),IF($NO$25="Single_Point",IF(348=$NQ$25,$NM$25,0),IF($NO$25="Bell_Curve",$NM$25*(348-$NQ$25+1)*($NR$25-348+1)/$NT$25,$NM$25/$NS$25)),0)</f>
        <v/>
      </c>
      <c r="MN25" s="18">
        <f>IF(AND(349&gt;=$NQ$25,349&lt;=$NR$25),IF($NO$25="Single_Point",IF(349=$NQ$25,$NM$25,0),IF($NO$25="Bell_Curve",$NM$25*(349-$NQ$25+1)*($NR$25-349+1)/$NT$25,$NM$25/$NS$25)),0)</f>
        <v/>
      </c>
      <c r="MO25" s="18">
        <f>IF(AND(350&gt;=$NQ$25,350&lt;=$NR$25),IF($NO$25="Single_Point",IF(350=$NQ$25,$NM$25,0),IF($NO$25="Bell_Curve",$NM$25*(350-$NQ$25+1)*($NR$25-350+1)/$NT$25,$NM$25/$NS$25)),0)</f>
        <v/>
      </c>
      <c r="MP25" s="18">
        <f>IF(AND(351&gt;=$NQ$25,351&lt;=$NR$25),IF($NO$25="Single_Point",IF(351=$NQ$25,$NM$25,0),IF($NO$25="Bell_Curve",$NM$25*(351-$NQ$25+1)*($NR$25-351+1)/$NT$25,$NM$25/$NS$25)),0)</f>
        <v/>
      </c>
      <c r="MQ25" s="18">
        <f>IF(AND(352&gt;=$NQ$25,352&lt;=$NR$25),IF($NO$25="Single_Point",IF(352=$NQ$25,$NM$25,0),IF($NO$25="Bell_Curve",$NM$25*(352-$NQ$25+1)*($NR$25-352+1)/$NT$25,$NM$25/$NS$25)),0)</f>
        <v/>
      </c>
      <c r="MR25" s="18">
        <f>IF(AND(353&gt;=$NQ$25,353&lt;=$NR$25),IF($NO$25="Single_Point",IF(353=$NQ$25,$NM$25,0),IF($NO$25="Bell_Curve",$NM$25*(353-$NQ$25+1)*($NR$25-353+1)/$NT$25,$NM$25/$NS$25)),0)</f>
        <v/>
      </c>
      <c r="MS25" s="18">
        <f>IF(AND(354&gt;=$NQ$25,354&lt;=$NR$25),IF($NO$25="Single_Point",IF(354=$NQ$25,$NM$25,0),IF($NO$25="Bell_Curve",$NM$25*(354-$NQ$25+1)*($NR$25-354+1)/$NT$25,$NM$25/$NS$25)),0)</f>
        <v/>
      </c>
      <c r="MT25" s="18">
        <f>IF(AND(355&gt;=$NQ$25,355&lt;=$NR$25),IF($NO$25="Single_Point",IF(355=$NQ$25,$NM$25,0),IF($NO$25="Bell_Curve",$NM$25*(355-$NQ$25+1)*($NR$25-355+1)/$NT$25,$NM$25/$NS$25)),0)</f>
        <v/>
      </c>
      <c r="MU25" s="18">
        <f>IF(AND(356&gt;=$NQ$25,356&lt;=$NR$25),IF($NO$25="Single_Point",IF(356=$NQ$25,$NM$25,0),IF($NO$25="Bell_Curve",$NM$25*(356-$NQ$25+1)*($NR$25-356+1)/$NT$25,$NM$25/$NS$25)),0)</f>
        <v/>
      </c>
      <c r="MV25" s="18">
        <f>IF(AND(357&gt;=$NQ$25,357&lt;=$NR$25),IF($NO$25="Single_Point",IF(357=$NQ$25,$NM$25,0),IF($NO$25="Bell_Curve",$NM$25*(357-$NQ$25+1)*($NR$25-357+1)/$NT$25,$NM$25/$NS$25)),0)</f>
        <v/>
      </c>
      <c r="MW25" s="18">
        <f>IF(AND(358&gt;=$NQ$25,358&lt;=$NR$25),IF($NO$25="Single_Point",IF(358=$NQ$25,$NM$25,0),IF($NO$25="Bell_Curve",$NM$25*(358-$NQ$25+1)*($NR$25-358+1)/$NT$25,$NM$25/$NS$25)),0)</f>
        <v/>
      </c>
      <c r="MX25" s="18">
        <f>IF(AND(359&gt;=$NQ$25,359&lt;=$NR$25),IF($NO$25="Single_Point",IF(359=$NQ$25,$NM$25,0),IF($NO$25="Bell_Curve",$NM$25*(359-$NQ$25+1)*($NR$25-359+1)/$NT$25,$NM$25/$NS$25)),0)</f>
        <v/>
      </c>
      <c r="MY25" s="18">
        <f>IF(AND(360&gt;=$NQ$25,360&lt;=$NR$25),IF($NO$25="Single_Point",IF(360=$NQ$25,$NM$25,0),IF($NO$25="Bell_Curve",$NM$25*(360-$NQ$25+1)*($NR$25-360+1)/$NT$25,$NM$25/$NS$25)),0)</f>
        <v/>
      </c>
      <c r="MZ25" s="18">
        <f>IF(AND(361&gt;=$NQ$25,361&lt;=$NR$25),IF($NO$25="Single_Point",IF(361=$NQ$25,$NM$25,0),IF($NO$25="Bell_Curve",$NM$25*(361-$NQ$25+1)*($NR$25-361+1)/$NT$25,$NM$25/$NS$25)),0)</f>
        <v/>
      </c>
      <c r="NA25" s="18">
        <f>IF(AND(362&gt;=$NQ$25,362&lt;=$NR$25),IF($NO$25="Single_Point",IF(362=$NQ$25,$NM$25,0),IF($NO$25="Bell_Curve",$NM$25*(362-$NQ$25+1)*($NR$25-362+1)/$NT$25,$NM$25/$NS$25)),0)</f>
        <v/>
      </c>
      <c r="NB25" s="18">
        <f>IF(AND(363&gt;=$NQ$25,363&lt;=$NR$25),IF($NO$25="Single_Point",IF(363=$NQ$25,$NM$25,0),IF($NO$25="Bell_Curve",$NM$25*(363-$NQ$25+1)*($NR$25-363+1)/$NT$25,$NM$25/$NS$25)),0)</f>
        <v/>
      </c>
      <c r="NC25" s="18">
        <f>IF(AND(364&gt;=$NQ$25,364&lt;=$NR$25),IF($NO$25="Single_Point",IF(364=$NQ$25,$NM$25,0),IF($NO$25="Bell_Curve",$NM$25*(364-$NQ$25+1)*($NR$25-364+1)/$NT$25,$NM$25/$NS$25)),0)</f>
        <v/>
      </c>
      <c r="ND25" s="18">
        <f>IF(AND(365&gt;=$NQ$25,365&lt;=$NR$25),IF($NO$25="Single_Point",IF(365=$NQ$25,$NM$25,0),IF($NO$25="Bell_Curve",$NM$25*(365-$NQ$25+1)*($NR$25-365+1)/$NT$25,$NM$25/$NS$25)),0)</f>
        <v/>
      </c>
      <c r="NE25" s="18">
        <f>IF(AND(366&gt;=$NQ$25,366&lt;=$NR$25),IF($NO$25="Single_Point",IF(366=$NQ$25,$NM$25,0),IF($NO$25="Bell_Curve",$NM$25*(366-$NQ$25+1)*($NR$25-366+1)/$NT$25,$NM$25/$NS$25)),0)</f>
        <v/>
      </c>
      <c r="NF25" s="18">
        <f>IF(AND(367&gt;=$NQ$25,367&lt;=$NR$25),IF($NO$25="Single_Point",IF(367=$NQ$25,$NM$25,0),IF($NO$25="Bell_Curve",$NM$25*(367-$NQ$25+1)*($NR$25-367+1)/$NT$25,$NM$25/$NS$25)),0)</f>
        <v/>
      </c>
      <c r="NG25" s="18">
        <f>IF(AND(368&gt;=$NQ$25,368&lt;=$NR$25),IF($NO$25="Single_Point",IF(368=$NQ$25,$NM$25,0),IF($NO$25="Bell_Curve",$NM$25*(368-$NQ$25+1)*($NR$25-368+1)/$NT$25,$NM$25/$NS$25)),0)</f>
        <v/>
      </c>
      <c r="NH25" s="18">
        <f>IF(AND(369&gt;=$NQ$25,369&lt;=$NR$25),IF($NO$25="Single_Point",IF(369=$NQ$25,$NM$25,0),IF($NO$25="Bell_Curve",$NM$25*(369-$NQ$25+1)*($NR$25-369+1)/$NT$25,$NM$25/$NS$25)),0)</f>
        <v/>
      </c>
      <c r="NI25" s="18">
        <f>IF(AND(370&gt;=$NQ$25,370&lt;=$NR$25),IF($NO$25="Single_Point",IF(370=$NQ$25,$NM$25,0),IF($NO$25="Bell_Curve",$NM$25*(370-$NQ$25+1)*($NR$25-370+1)/$NT$25,$NM$25/$NS$25)),0)</f>
        <v/>
      </c>
      <c r="NJ25" s="18">
        <f>IF(AND(371&gt;=$NQ$25,371&lt;=$NR$25),IF($NO$25="Single_Point",IF(371=$NQ$25,$NM$25,0),IF($NO$25="Bell_Curve",$NM$25*(371-$NQ$25+1)*($NR$25-371+1)/$NT$25,$NM$25/$NS$25)),0)</f>
        <v/>
      </c>
      <c r="NK25" s="18">
        <f>IF(AND(372&gt;=$NQ$25,372&lt;=$NR$25),IF($NO$25="Single_Point",IF(372=$NQ$25,$NM$25,0),IF($NO$25="Bell_Curve",$NM$25*(372-$NQ$25+1)*($NR$25-372+1)/$NT$25,$NM$25/$NS$25)),0)</f>
        <v/>
      </c>
      <c r="NM25" s="18">
        <f>Budget!I24</f>
        <v/>
      </c>
      <c r="NN25" s="42">
        <f>Budget!F24</f>
        <v/>
      </c>
      <c r="NO25" s="42">
        <f>Budget!G24</f>
        <v/>
      </c>
      <c r="NP25" s="17">
        <f>Budget!H24</f>
        <v/>
      </c>
      <c r="NQ25" s="32">
        <f>MAX(1,MIN(372,INDEX(MilestoneStart,MATCH(NN25,MilestoneNames,0))+NP25))</f>
        <v/>
      </c>
      <c r="NR25" s="32">
        <f>MAX(NQ25,MIN(372,INDEX(MilestoneEnd,MATCH(NN25,MilestoneNames,0))+NP25))</f>
        <v/>
      </c>
      <c r="NS25" s="17">
        <f>NR25-NQ25+1</f>
        <v/>
      </c>
      <c r="NT25" s="17">
        <f>NS25*(NS25+1)*(NS25+2)/6</f>
        <v/>
      </c>
    </row>
    <row r="26">
      <c r="A26" s="5" t="inlineStr">
        <is>
          <t>Other Soft Cost 6</t>
        </is>
      </c>
      <c r="C26" s="41">
        <f>SUM(D26:NK26)</f>
        <v/>
      </c>
      <c r="D26" s="18">
        <f>IF(AND(1&gt;=$NQ$26,1&lt;=$NR$26),IF($NO$26="Single_Point",IF(1=$NQ$26,$NM$26,0),IF($NO$26="Bell_Curve",$NM$26*(1-$NQ$26+1)*($NR$26-1+1)/$NT$26,$NM$26/$NS$26)),0)</f>
        <v/>
      </c>
      <c r="E26" s="18">
        <f>IF(AND(2&gt;=$NQ$26,2&lt;=$NR$26),IF($NO$26="Single_Point",IF(2=$NQ$26,$NM$26,0),IF($NO$26="Bell_Curve",$NM$26*(2-$NQ$26+1)*($NR$26-2+1)/$NT$26,$NM$26/$NS$26)),0)</f>
        <v/>
      </c>
      <c r="F26" s="18">
        <f>IF(AND(3&gt;=$NQ$26,3&lt;=$NR$26),IF($NO$26="Single_Point",IF(3=$NQ$26,$NM$26,0),IF($NO$26="Bell_Curve",$NM$26*(3-$NQ$26+1)*($NR$26-3+1)/$NT$26,$NM$26/$NS$26)),0)</f>
        <v/>
      </c>
      <c r="G26" s="18">
        <f>IF(AND(4&gt;=$NQ$26,4&lt;=$NR$26),IF($NO$26="Single_Point",IF(4=$NQ$26,$NM$26,0),IF($NO$26="Bell_Curve",$NM$26*(4-$NQ$26+1)*($NR$26-4+1)/$NT$26,$NM$26/$NS$26)),0)</f>
        <v/>
      </c>
      <c r="H26" s="18">
        <f>IF(AND(5&gt;=$NQ$26,5&lt;=$NR$26),IF($NO$26="Single_Point",IF(5=$NQ$26,$NM$26,0),IF($NO$26="Bell_Curve",$NM$26*(5-$NQ$26+1)*($NR$26-5+1)/$NT$26,$NM$26/$NS$26)),0)</f>
        <v/>
      </c>
      <c r="I26" s="18">
        <f>IF(AND(6&gt;=$NQ$26,6&lt;=$NR$26),IF($NO$26="Single_Point",IF(6=$NQ$26,$NM$26,0),IF($NO$26="Bell_Curve",$NM$26*(6-$NQ$26+1)*($NR$26-6+1)/$NT$26,$NM$26/$NS$26)),0)</f>
        <v/>
      </c>
      <c r="J26" s="18">
        <f>IF(AND(7&gt;=$NQ$26,7&lt;=$NR$26),IF($NO$26="Single_Point",IF(7=$NQ$26,$NM$26,0),IF($NO$26="Bell_Curve",$NM$26*(7-$NQ$26+1)*($NR$26-7+1)/$NT$26,$NM$26/$NS$26)),0)</f>
        <v/>
      </c>
      <c r="K26" s="18">
        <f>IF(AND(8&gt;=$NQ$26,8&lt;=$NR$26),IF($NO$26="Single_Point",IF(8=$NQ$26,$NM$26,0),IF($NO$26="Bell_Curve",$NM$26*(8-$NQ$26+1)*($NR$26-8+1)/$NT$26,$NM$26/$NS$26)),0)</f>
        <v/>
      </c>
      <c r="L26" s="18">
        <f>IF(AND(9&gt;=$NQ$26,9&lt;=$NR$26),IF($NO$26="Single_Point",IF(9=$NQ$26,$NM$26,0),IF($NO$26="Bell_Curve",$NM$26*(9-$NQ$26+1)*($NR$26-9+1)/$NT$26,$NM$26/$NS$26)),0)</f>
        <v/>
      </c>
      <c r="M26" s="18">
        <f>IF(AND(10&gt;=$NQ$26,10&lt;=$NR$26),IF($NO$26="Single_Point",IF(10=$NQ$26,$NM$26,0),IF($NO$26="Bell_Curve",$NM$26*(10-$NQ$26+1)*($NR$26-10+1)/$NT$26,$NM$26/$NS$26)),0)</f>
        <v/>
      </c>
      <c r="N26" s="18">
        <f>IF(AND(11&gt;=$NQ$26,11&lt;=$NR$26),IF($NO$26="Single_Point",IF(11=$NQ$26,$NM$26,0),IF($NO$26="Bell_Curve",$NM$26*(11-$NQ$26+1)*($NR$26-11+1)/$NT$26,$NM$26/$NS$26)),0)</f>
        <v/>
      </c>
      <c r="O26" s="18">
        <f>IF(AND(12&gt;=$NQ$26,12&lt;=$NR$26),IF($NO$26="Single_Point",IF(12=$NQ$26,$NM$26,0),IF($NO$26="Bell_Curve",$NM$26*(12-$NQ$26+1)*($NR$26-12+1)/$NT$26,$NM$26/$NS$26)),0)</f>
        <v/>
      </c>
      <c r="P26" s="18">
        <f>IF(AND(13&gt;=$NQ$26,13&lt;=$NR$26),IF($NO$26="Single_Point",IF(13=$NQ$26,$NM$26,0),IF($NO$26="Bell_Curve",$NM$26*(13-$NQ$26+1)*($NR$26-13+1)/$NT$26,$NM$26/$NS$26)),0)</f>
        <v/>
      </c>
      <c r="Q26" s="18">
        <f>IF(AND(14&gt;=$NQ$26,14&lt;=$NR$26),IF($NO$26="Single_Point",IF(14=$NQ$26,$NM$26,0),IF($NO$26="Bell_Curve",$NM$26*(14-$NQ$26+1)*($NR$26-14+1)/$NT$26,$NM$26/$NS$26)),0)</f>
        <v/>
      </c>
      <c r="R26" s="18">
        <f>IF(AND(15&gt;=$NQ$26,15&lt;=$NR$26),IF($NO$26="Single_Point",IF(15=$NQ$26,$NM$26,0),IF($NO$26="Bell_Curve",$NM$26*(15-$NQ$26+1)*($NR$26-15+1)/$NT$26,$NM$26/$NS$26)),0)</f>
        <v/>
      </c>
      <c r="S26" s="18">
        <f>IF(AND(16&gt;=$NQ$26,16&lt;=$NR$26),IF($NO$26="Single_Point",IF(16=$NQ$26,$NM$26,0),IF($NO$26="Bell_Curve",$NM$26*(16-$NQ$26+1)*($NR$26-16+1)/$NT$26,$NM$26/$NS$26)),0)</f>
        <v/>
      </c>
      <c r="T26" s="18">
        <f>IF(AND(17&gt;=$NQ$26,17&lt;=$NR$26),IF($NO$26="Single_Point",IF(17=$NQ$26,$NM$26,0),IF($NO$26="Bell_Curve",$NM$26*(17-$NQ$26+1)*($NR$26-17+1)/$NT$26,$NM$26/$NS$26)),0)</f>
        <v/>
      </c>
      <c r="U26" s="18">
        <f>IF(AND(18&gt;=$NQ$26,18&lt;=$NR$26),IF($NO$26="Single_Point",IF(18=$NQ$26,$NM$26,0),IF($NO$26="Bell_Curve",$NM$26*(18-$NQ$26+1)*($NR$26-18+1)/$NT$26,$NM$26/$NS$26)),0)</f>
        <v/>
      </c>
      <c r="V26" s="18">
        <f>IF(AND(19&gt;=$NQ$26,19&lt;=$NR$26),IF($NO$26="Single_Point",IF(19=$NQ$26,$NM$26,0),IF($NO$26="Bell_Curve",$NM$26*(19-$NQ$26+1)*($NR$26-19+1)/$NT$26,$NM$26/$NS$26)),0)</f>
        <v/>
      </c>
      <c r="W26" s="18">
        <f>IF(AND(20&gt;=$NQ$26,20&lt;=$NR$26),IF($NO$26="Single_Point",IF(20=$NQ$26,$NM$26,0),IF($NO$26="Bell_Curve",$NM$26*(20-$NQ$26+1)*($NR$26-20+1)/$NT$26,$NM$26/$NS$26)),0)</f>
        <v/>
      </c>
      <c r="X26" s="18">
        <f>IF(AND(21&gt;=$NQ$26,21&lt;=$NR$26),IF($NO$26="Single_Point",IF(21=$NQ$26,$NM$26,0),IF($NO$26="Bell_Curve",$NM$26*(21-$NQ$26+1)*($NR$26-21+1)/$NT$26,$NM$26/$NS$26)),0)</f>
        <v/>
      </c>
      <c r="Y26" s="18">
        <f>IF(AND(22&gt;=$NQ$26,22&lt;=$NR$26),IF($NO$26="Single_Point",IF(22=$NQ$26,$NM$26,0),IF($NO$26="Bell_Curve",$NM$26*(22-$NQ$26+1)*($NR$26-22+1)/$NT$26,$NM$26/$NS$26)),0)</f>
        <v/>
      </c>
      <c r="Z26" s="18">
        <f>IF(AND(23&gt;=$NQ$26,23&lt;=$NR$26),IF($NO$26="Single_Point",IF(23=$NQ$26,$NM$26,0),IF($NO$26="Bell_Curve",$NM$26*(23-$NQ$26+1)*($NR$26-23+1)/$NT$26,$NM$26/$NS$26)),0)</f>
        <v/>
      </c>
      <c r="AA26" s="18">
        <f>IF(AND(24&gt;=$NQ$26,24&lt;=$NR$26),IF($NO$26="Single_Point",IF(24=$NQ$26,$NM$26,0),IF($NO$26="Bell_Curve",$NM$26*(24-$NQ$26+1)*($NR$26-24+1)/$NT$26,$NM$26/$NS$26)),0)</f>
        <v/>
      </c>
      <c r="AB26" s="18">
        <f>IF(AND(25&gt;=$NQ$26,25&lt;=$NR$26),IF($NO$26="Single_Point",IF(25=$NQ$26,$NM$26,0),IF($NO$26="Bell_Curve",$NM$26*(25-$NQ$26+1)*($NR$26-25+1)/$NT$26,$NM$26/$NS$26)),0)</f>
        <v/>
      </c>
      <c r="AC26" s="18">
        <f>IF(AND(26&gt;=$NQ$26,26&lt;=$NR$26),IF($NO$26="Single_Point",IF(26=$NQ$26,$NM$26,0),IF($NO$26="Bell_Curve",$NM$26*(26-$NQ$26+1)*($NR$26-26+1)/$NT$26,$NM$26/$NS$26)),0)</f>
        <v/>
      </c>
      <c r="AD26" s="18">
        <f>IF(AND(27&gt;=$NQ$26,27&lt;=$NR$26),IF($NO$26="Single_Point",IF(27=$NQ$26,$NM$26,0),IF($NO$26="Bell_Curve",$NM$26*(27-$NQ$26+1)*($NR$26-27+1)/$NT$26,$NM$26/$NS$26)),0)</f>
        <v/>
      </c>
      <c r="AE26" s="18">
        <f>IF(AND(28&gt;=$NQ$26,28&lt;=$NR$26),IF($NO$26="Single_Point",IF(28=$NQ$26,$NM$26,0),IF($NO$26="Bell_Curve",$NM$26*(28-$NQ$26+1)*($NR$26-28+1)/$NT$26,$NM$26/$NS$26)),0)</f>
        <v/>
      </c>
      <c r="AF26" s="18">
        <f>IF(AND(29&gt;=$NQ$26,29&lt;=$NR$26),IF($NO$26="Single_Point",IF(29=$NQ$26,$NM$26,0),IF($NO$26="Bell_Curve",$NM$26*(29-$NQ$26+1)*($NR$26-29+1)/$NT$26,$NM$26/$NS$26)),0)</f>
        <v/>
      </c>
      <c r="AG26" s="18">
        <f>IF(AND(30&gt;=$NQ$26,30&lt;=$NR$26),IF($NO$26="Single_Point",IF(30=$NQ$26,$NM$26,0),IF($NO$26="Bell_Curve",$NM$26*(30-$NQ$26+1)*($NR$26-30+1)/$NT$26,$NM$26/$NS$26)),0)</f>
        <v/>
      </c>
      <c r="AH26" s="18">
        <f>IF(AND(31&gt;=$NQ$26,31&lt;=$NR$26),IF($NO$26="Single_Point",IF(31=$NQ$26,$NM$26,0),IF($NO$26="Bell_Curve",$NM$26*(31-$NQ$26+1)*($NR$26-31+1)/$NT$26,$NM$26/$NS$26)),0)</f>
        <v/>
      </c>
      <c r="AI26" s="18">
        <f>IF(AND(32&gt;=$NQ$26,32&lt;=$NR$26),IF($NO$26="Single_Point",IF(32=$NQ$26,$NM$26,0),IF($NO$26="Bell_Curve",$NM$26*(32-$NQ$26+1)*($NR$26-32+1)/$NT$26,$NM$26/$NS$26)),0)</f>
        <v/>
      </c>
      <c r="AJ26" s="18">
        <f>IF(AND(33&gt;=$NQ$26,33&lt;=$NR$26),IF($NO$26="Single_Point",IF(33=$NQ$26,$NM$26,0),IF($NO$26="Bell_Curve",$NM$26*(33-$NQ$26+1)*($NR$26-33+1)/$NT$26,$NM$26/$NS$26)),0)</f>
        <v/>
      </c>
      <c r="AK26" s="18">
        <f>IF(AND(34&gt;=$NQ$26,34&lt;=$NR$26),IF($NO$26="Single_Point",IF(34=$NQ$26,$NM$26,0),IF($NO$26="Bell_Curve",$NM$26*(34-$NQ$26+1)*($NR$26-34+1)/$NT$26,$NM$26/$NS$26)),0)</f>
        <v/>
      </c>
      <c r="AL26" s="18">
        <f>IF(AND(35&gt;=$NQ$26,35&lt;=$NR$26),IF($NO$26="Single_Point",IF(35=$NQ$26,$NM$26,0),IF($NO$26="Bell_Curve",$NM$26*(35-$NQ$26+1)*($NR$26-35+1)/$NT$26,$NM$26/$NS$26)),0)</f>
        <v/>
      </c>
      <c r="AM26" s="18">
        <f>IF(AND(36&gt;=$NQ$26,36&lt;=$NR$26),IF($NO$26="Single_Point",IF(36=$NQ$26,$NM$26,0),IF($NO$26="Bell_Curve",$NM$26*(36-$NQ$26+1)*($NR$26-36+1)/$NT$26,$NM$26/$NS$26)),0)</f>
        <v/>
      </c>
      <c r="AN26" s="18">
        <f>IF(AND(37&gt;=$NQ$26,37&lt;=$NR$26),IF($NO$26="Single_Point",IF(37=$NQ$26,$NM$26,0),IF($NO$26="Bell_Curve",$NM$26*(37-$NQ$26+1)*($NR$26-37+1)/$NT$26,$NM$26/$NS$26)),0)</f>
        <v/>
      </c>
      <c r="AO26" s="18">
        <f>IF(AND(38&gt;=$NQ$26,38&lt;=$NR$26),IF($NO$26="Single_Point",IF(38=$NQ$26,$NM$26,0),IF($NO$26="Bell_Curve",$NM$26*(38-$NQ$26+1)*($NR$26-38+1)/$NT$26,$NM$26/$NS$26)),0)</f>
        <v/>
      </c>
      <c r="AP26" s="18">
        <f>IF(AND(39&gt;=$NQ$26,39&lt;=$NR$26),IF($NO$26="Single_Point",IF(39=$NQ$26,$NM$26,0),IF($NO$26="Bell_Curve",$NM$26*(39-$NQ$26+1)*($NR$26-39+1)/$NT$26,$NM$26/$NS$26)),0)</f>
        <v/>
      </c>
      <c r="AQ26" s="18">
        <f>IF(AND(40&gt;=$NQ$26,40&lt;=$NR$26),IF($NO$26="Single_Point",IF(40=$NQ$26,$NM$26,0),IF($NO$26="Bell_Curve",$NM$26*(40-$NQ$26+1)*($NR$26-40+1)/$NT$26,$NM$26/$NS$26)),0)</f>
        <v/>
      </c>
      <c r="AR26" s="18">
        <f>IF(AND(41&gt;=$NQ$26,41&lt;=$NR$26),IF($NO$26="Single_Point",IF(41=$NQ$26,$NM$26,0),IF($NO$26="Bell_Curve",$NM$26*(41-$NQ$26+1)*($NR$26-41+1)/$NT$26,$NM$26/$NS$26)),0)</f>
        <v/>
      </c>
      <c r="AS26" s="18">
        <f>IF(AND(42&gt;=$NQ$26,42&lt;=$NR$26),IF($NO$26="Single_Point",IF(42=$NQ$26,$NM$26,0),IF($NO$26="Bell_Curve",$NM$26*(42-$NQ$26+1)*($NR$26-42+1)/$NT$26,$NM$26/$NS$26)),0)</f>
        <v/>
      </c>
      <c r="AT26" s="18">
        <f>IF(AND(43&gt;=$NQ$26,43&lt;=$NR$26),IF($NO$26="Single_Point",IF(43=$NQ$26,$NM$26,0),IF($NO$26="Bell_Curve",$NM$26*(43-$NQ$26+1)*($NR$26-43+1)/$NT$26,$NM$26/$NS$26)),0)</f>
        <v/>
      </c>
      <c r="AU26" s="18">
        <f>IF(AND(44&gt;=$NQ$26,44&lt;=$NR$26),IF($NO$26="Single_Point",IF(44=$NQ$26,$NM$26,0),IF($NO$26="Bell_Curve",$NM$26*(44-$NQ$26+1)*($NR$26-44+1)/$NT$26,$NM$26/$NS$26)),0)</f>
        <v/>
      </c>
      <c r="AV26" s="18">
        <f>IF(AND(45&gt;=$NQ$26,45&lt;=$NR$26),IF($NO$26="Single_Point",IF(45=$NQ$26,$NM$26,0),IF($NO$26="Bell_Curve",$NM$26*(45-$NQ$26+1)*($NR$26-45+1)/$NT$26,$NM$26/$NS$26)),0)</f>
        <v/>
      </c>
      <c r="AW26" s="18">
        <f>IF(AND(46&gt;=$NQ$26,46&lt;=$NR$26),IF($NO$26="Single_Point",IF(46=$NQ$26,$NM$26,0),IF($NO$26="Bell_Curve",$NM$26*(46-$NQ$26+1)*($NR$26-46+1)/$NT$26,$NM$26/$NS$26)),0)</f>
        <v/>
      </c>
      <c r="AX26" s="18">
        <f>IF(AND(47&gt;=$NQ$26,47&lt;=$NR$26),IF($NO$26="Single_Point",IF(47=$NQ$26,$NM$26,0),IF($NO$26="Bell_Curve",$NM$26*(47-$NQ$26+1)*($NR$26-47+1)/$NT$26,$NM$26/$NS$26)),0)</f>
        <v/>
      </c>
      <c r="AY26" s="18">
        <f>IF(AND(48&gt;=$NQ$26,48&lt;=$NR$26),IF($NO$26="Single_Point",IF(48=$NQ$26,$NM$26,0),IF($NO$26="Bell_Curve",$NM$26*(48-$NQ$26+1)*($NR$26-48+1)/$NT$26,$NM$26/$NS$26)),0)</f>
        <v/>
      </c>
      <c r="AZ26" s="18">
        <f>IF(AND(49&gt;=$NQ$26,49&lt;=$NR$26),IF($NO$26="Single_Point",IF(49=$NQ$26,$NM$26,0),IF($NO$26="Bell_Curve",$NM$26*(49-$NQ$26+1)*($NR$26-49+1)/$NT$26,$NM$26/$NS$26)),0)</f>
        <v/>
      </c>
      <c r="BA26" s="18">
        <f>IF(AND(50&gt;=$NQ$26,50&lt;=$NR$26),IF($NO$26="Single_Point",IF(50=$NQ$26,$NM$26,0),IF($NO$26="Bell_Curve",$NM$26*(50-$NQ$26+1)*($NR$26-50+1)/$NT$26,$NM$26/$NS$26)),0)</f>
        <v/>
      </c>
      <c r="BB26" s="18">
        <f>IF(AND(51&gt;=$NQ$26,51&lt;=$NR$26),IF($NO$26="Single_Point",IF(51=$NQ$26,$NM$26,0),IF($NO$26="Bell_Curve",$NM$26*(51-$NQ$26+1)*($NR$26-51+1)/$NT$26,$NM$26/$NS$26)),0)</f>
        <v/>
      </c>
      <c r="BC26" s="18">
        <f>IF(AND(52&gt;=$NQ$26,52&lt;=$NR$26),IF($NO$26="Single_Point",IF(52=$NQ$26,$NM$26,0),IF($NO$26="Bell_Curve",$NM$26*(52-$NQ$26+1)*($NR$26-52+1)/$NT$26,$NM$26/$NS$26)),0)</f>
        <v/>
      </c>
      <c r="BD26" s="18">
        <f>IF(AND(53&gt;=$NQ$26,53&lt;=$NR$26),IF($NO$26="Single_Point",IF(53=$NQ$26,$NM$26,0),IF($NO$26="Bell_Curve",$NM$26*(53-$NQ$26+1)*($NR$26-53+1)/$NT$26,$NM$26/$NS$26)),0)</f>
        <v/>
      </c>
      <c r="BE26" s="18">
        <f>IF(AND(54&gt;=$NQ$26,54&lt;=$NR$26),IF($NO$26="Single_Point",IF(54=$NQ$26,$NM$26,0),IF($NO$26="Bell_Curve",$NM$26*(54-$NQ$26+1)*($NR$26-54+1)/$NT$26,$NM$26/$NS$26)),0)</f>
        <v/>
      </c>
      <c r="BF26" s="18">
        <f>IF(AND(55&gt;=$NQ$26,55&lt;=$NR$26),IF($NO$26="Single_Point",IF(55=$NQ$26,$NM$26,0),IF($NO$26="Bell_Curve",$NM$26*(55-$NQ$26+1)*($NR$26-55+1)/$NT$26,$NM$26/$NS$26)),0)</f>
        <v/>
      </c>
      <c r="BG26" s="18">
        <f>IF(AND(56&gt;=$NQ$26,56&lt;=$NR$26),IF($NO$26="Single_Point",IF(56=$NQ$26,$NM$26,0),IF($NO$26="Bell_Curve",$NM$26*(56-$NQ$26+1)*($NR$26-56+1)/$NT$26,$NM$26/$NS$26)),0)</f>
        <v/>
      </c>
      <c r="BH26" s="18">
        <f>IF(AND(57&gt;=$NQ$26,57&lt;=$NR$26),IF($NO$26="Single_Point",IF(57=$NQ$26,$NM$26,0),IF($NO$26="Bell_Curve",$NM$26*(57-$NQ$26+1)*($NR$26-57+1)/$NT$26,$NM$26/$NS$26)),0)</f>
        <v/>
      </c>
      <c r="BI26" s="18">
        <f>IF(AND(58&gt;=$NQ$26,58&lt;=$NR$26),IF($NO$26="Single_Point",IF(58=$NQ$26,$NM$26,0),IF($NO$26="Bell_Curve",$NM$26*(58-$NQ$26+1)*($NR$26-58+1)/$NT$26,$NM$26/$NS$26)),0)</f>
        <v/>
      </c>
      <c r="BJ26" s="18">
        <f>IF(AND(59&gt;=$NQ$26,59&lt;=$NR$26),IF($NO$26="Single_Point",IF(59=$NQ$26,$NM$26,0),IF($NO$26="Bell_Curve",$NM$26*(59-$NQ$26+1)*($NR$26-59+1)/$NT$26,$NM$26/$NS$26)),0)</f>
        <v/>
      </c>
      <c r="BK26" s="18">
        <f>IF(AND(60&gt;=$NQ$26,60&lt;=$NR$26),IF($NO$26="Single_Point",IF(60=$NQ$26,$NM$26,0),IF($NO$26="Bell_Curve",$NM$26*(60-$NQ$26+1)*($NR$26-60+1)/$NT$26,$NM$26/$NS$26)),0)</f>
        <v/>
      </c>
      <c r="BL26" s="18">
        <f>IF(AND(61&gt;=$NQ$26,61&lt;=$NR$26),IF($NO$26="Single_Point",IF(61=$NQ$26,$NM$26,0),IF($NO$26="Bell_Curve",$NM$26*(61-$NQ$26+1)*($NR$26-61+1)/$NT$26,$NM$26/$NS$26)),0)</f>
        <v/>
      </c>
      <c r="BM26" s="18">
        <f>IF(AND(62&gt;=$NQ$26,62&lt;=$NR$26),IF($NO$26="Single_Point",IF(62=$NQ$26,$NM$26,0),IF($NO$26="Bell_Curve",$NM$26*(62-$NQ$26+1)*($NR$26-62+1)/$NT$26,$NM$26/$NS$26)),0)</f>
        <v/>
      </c>
      <c r="BN26" s="18">
        <f>IF(AND(63&gt;=$NQ$26,63&lt;=$NR$26),IF($NO$26="Single_Point",IF(63=$NQ$26,$NM$26,0),IF($NO$26="Bell_Curve",$NM$26*(63-$NQ$26+1)*($NR$26-63+1)/$NT$26,$NM$26/$NS$26)),0)</f>
        <v/>
      </c>
      <c r="BO26" s="18">
        <f>IF(AND(64&gt;=$NQ$26,64&lt;=$NR$26),IF($NO$26="Single_Point",IF(64=$NQ$26,$NM$26,0),IF($NO$26="Bell_Curve",$NM$26*(64-$NQ$26+1)*($NR$26-64+1)/$NT$26,$NM$26/$NS$26)),0)</f>
        <v/>
      </c>
      <c r="BP26" s="18">
        <f>IF(AND(65&gt;=$NQ$26,65&lt;=$NR$26),IF($NO$26="Single_Point",IF(65=$NQ$26,$NM$26,0),IF($NO$26="Bell_Curve",$NM$26*(65-$NQ$26+1)*($NR$26-65+1)/$NT$26,$NM$26/$NS$26)),0)</f>
        <v/>
      </c>
      <c r="BQ26" s="18">
        <f>IF(AND(66&gt;=$NQ$26,66&lt;=$NR$26),IF($NO$26="Single_Point",IF(66=$NQ$26,$NM$26,0),IF($NO$26="Bell_Curve",$NM$26*(66-$NQ$26+1)*($NR$26-66+1)/$NT$26,$NM$26/$NS$26)),0)</f>
        <v/>
      </c>
      <c r="BR26" s="18">
        <f>IF(AND(67&gt;=$NQ$26,67&lt;=$NR$26),IF($NO$26="Single_Point",IF(67=$NQ$26,$NM$26,0),IF($NO$26="Bell_Curve",$NM$26*(67-$NQ$26+1)*($NR$26-67+1)/$NT$26,$NM$26/$NS$26)),0)</f>
        <v/>
      </c>
      <c r="BS26" s="18">
        <f>IF(AND(68&gt;=$NQ$26,68&lt;=$NR$26),IF($NO$26="Single_Point",IF(68=$NQ$26,$NM$26,0),IF($NO$26="Bell_Curve",$NM$26*(68-$NQ$26+1)*($NR$26-68+1)/$NT$26,$NM$26/$NS$26)),0)</f>
        <v/>
      </c>
      <c r="BT26" s="18">
        <f>IF(AND(69&gt;=$NQ$26,69&lt;=$NR$26),IF($NO$26="Single_Point",IF(69=$NQ$26,$NM$26,0),IF($NO$26="Bell_Curve",$NM$26*(69-$NQ$26+1)*($NR$26-69+1)/$NT$26,$NM$26/$NS$26)),0)</f>
        <v/>
      </c>
      <c r="BU26" s="18">
        <f>IF(AND(70&gt;=$NQ$26,70&lt;=$NR$26),IF($NO$26="Single_Point",IF(70=$NQ$26,$NM$26,0),IF($NO$26="Bell_Curve",$NM$26*(70-$NQ$26+1)*($NR$26-70+1)/$NT$26,$NM$26/$NS$26)),0)</f>
        <v/>
      </c>
      <c r="BV26" s="18">
        <f>IF(AND(71&gt;=$NQ$26,71&lt;=$NR$26),IF($NO$26="Single_Point",IF(71=$NQ$26,$NM$26,0),IF($NO$26="Bell_Curve",$NM$26*(71-$NQ$26+1)*($NR$26-71+1)/$NT$26,$NM$26/$NS$26)),0)</f>
        <v/>
      </c>
      <c r="BW26" s="18">
        <f>IF(AND(72&gt;=$NQ$26,72&lt;=$NR$26),IF($NO$26="Single_Point",IF(72=$NQ$26,$NM$26,0),IF($NO$26="Bell_Curve",$NM$26*(72-$NQ$26+1)*($NR$26-72+1)/$NT$26,$NM$26/$NS$26)),0)</f>
        <v/>
      </c>
      <c r="BX26" s="18">
        <f>IF(AND(73&gt;=$NQ$26,73&lt;=$NR$26),IF($NO$26="Single_Point",IF(73=$NQ$26,$NM$26,0),IF($NO$26="Bell_Curve",$NM$26*(73-$NQ$26+1)*($NR$26-73+1)/$NT$26,$NM$26/$NS$26)),0)</f>
        <v/>
      </c>
      <c r="BY26" s="18">
        <f>IF(AND(74&gt;=$NQ$26,74&lt;=$NR$26),IF($NO$26="Single_Point",IF(74=$NQ$26,$NM$26,0),IF($NO$26="Bell_Curve",$NM$26*(74-$NQ$26+1)*($NR$26-74+1)/$NT$26,$NM$26/$NS$26)),0)</f>
        <v/>
      </c>
      <c r="BZ26" s="18">
        <f>IF(AND(75&gt;=$NQ$26,75&lt;=$NR$26),IF($NO$26="Single_Point",IF(75=$NQ$26,$NM$26,0),IF($NO$26="Bell_Curve",$NM$26*(75-$NQ$26+1)*($NR$26-75+1)/$NT$26,$NM$26/$NS$26)),0)</f>
        <v/>
      </c>
      <c r="CA26" s="18">
        <f>IF(AND(76&gt;=$NQ$26,76&lt;=$NR$26),IF($NO$26="Single_Point",IF(76=$NQ$26,$NM$26,0),IF($NO$26="Bell_Curve",$NM$26*(76-$NQ$26+1)*($NR$26-76+1)/$NT$26,$NM$26/$NS$26)),0)</f>
        <v/>
      </c>
      <c r="CB26" s="18">
        <f>IF(AND(77&gt;=$NQ$26,77&lt;=$NR$26),IF($NO$26="Single_Point",IF(77=$NQ$26,$NM$26,0),IF($NO$26="Bell_Curve",$NM$26*(77-$NQ$26+1)*($NR$26-77+1)/$NT$26,$NM$26/$NS$26)),0)</f>
        <v/>
      </c>
      <c r="CC26" s="18">
        <f>IF(AND(78&gt;=$NQ$26,78&lt;=$NR$26),IF($NO$26="Single_Point",IF(78=$NQ$26,$NM$26,0),IF($NO$26="Bell_Curve",$NM$26*(78-$NQ$26+1)*($NR$26-78+1)/$NT$26,$NM$26/$NS$26)),0)</f>
        <v/>
      </c>
      <c r="CD26" s="18">
        <f>IF(AND(79&gt;=$NQ$26,79&lt;=$NR$26),IF($NO$26="Single_Point",IF(79=$NQ$26,$NM$26,0),IF($NO$26="Bell_Curve",$NM$26*(79-$NQ$26+1)*($NR$26-79+1)/$NT$26,$NM$26/$NS$26)),0)</f>
        <v/>
      </c>
      <c r="CE26" s="18">
        <f>IF(AND(80&gt;=$NQ$26,80&lt;=$NR$26),IF($NO$26="Single_Point",IF(80=$NQ$26,$NM$26,0),IF($NO$26="Bell_Curve",$NM$26*(80-$NQ$26+1)*($NR$26-80+1)/$NT$26,$NM$26/$NS$26)),0)</f>
        <v/>
      </c>
      <c r="CF26" s="18">
        <f>IF(AND(81&gt;=$NQ$26,81&lt;=$NR$26),IF($NO$26="Single_Point",IF(81=$NQ$26,$NM$26,0),IF($NO$26="Bell_Curve",$NM$26*(81-$NQ$26+1)*($NR$26-81+1)/$NT$26,$NM$26/$NS$26)),0)</f>
        <v/>
      </c>
      <c r="CG26" s="18">
        <f>IF(AND(82&gt;=$NQ$26,82&lt;=$NR$26),IF($NO$26="Single_Point",IF(82=$NQ$26,$NM$26,0),IF($NO$26="Bell_Curve",$NM$26*(82-$NQ$26+1)*($NR$26-82+1)/$NT$26,$NM$26/$NS$26)),0)</f>
        <v/>
      </c>
      <c r="CH26" s="18">
        <f>IF(AND(83&gt;=$NQ$26,83&lt;=$NR$26),IF($NO$26="Single_Point",IF(83=$NQ$26,$NM$26,0),IF($NO$26="Bell_Curve",$NM$26*(83-$NQ$26+1)*($NR$26-83+1)/$NT$26,$NM$26/$NS$26)),0)</f>
        <v/>
      </c>
      <c r="CI26" s="18">
        <f>IF(AND(84&gt;=$NQ$26,84&lt;=$NR$26),IF($NO$26="Single_Point",IF(84=$NQ$26,$NM$26,0),IF($NO$26="Bell_Curve",$NM$26*(84-$NQ$26+1)*($NR$26-84+1)/$NT$26,$NM$26/$NS$26)),0)</f>
        <v/>
      </c>
      <c r="CJ26" s="18">
        <f>IF(AND(85&gt;=$NQ$26,85&lt;=$NR$26),IF($NO$26="Single_Point",IF(85=$NQ$26,$NM$26,0),IF($NO$26="Bell_Curve",$NM$26*(85-$NQ$26+1)*($NR$26-85+1)/$NT$26,$NM$26/$NS$26)),0)</f>
        <v/>
      </c>
      <c r="CK26" s="18">
        <f>IF(AND(86&gt;=$NQ$26,86&lt;=$NR$26),IF($NO$26="Single_Point",IF(86=$NQ$26,$NM$26,0),IF($NO$26="Bell_Curve",$NM$26*(86-$NQ$26+1)*($NR$26-86+1)/$NT$26,$NM$26/$NS$26)),0)</f>
        <v/>
      </c>
      <c r="CL26" s="18">
        <f>IF(AND(87&gt;=$NQ$26,87&lt;=$NR$26),IF($NO$26="Single_Point",IF(87=$NQ$26,$NM$26,0),IF($NO$26="Bell_Curve",$NM$26*(87-$NQ$26+1)*($NR$26-87+1)/$NT$26,$NM$26/$NS$26)),0)</f>
        <v/>
      </c>
      <c r="CM26" s="18">
        <f>IF(AND(88&gt;=$NQ$26,88&lt;=$NR$26),IF($NO$26="Single_Point",IF(88=$NQ$26,$NM$26,0),IF($NO$26="Bell_Curve",$NM$26*(88-$NQ$26+1)*($NR$26-88+1)/$NT$26,$NM$26/$NS$26)),0)</f>
        <v/>
      </c>
      <c r="CN26" s="18">
        <f>IF(AND(89&gt;=$NQ$26,89&lt;=$NR$26),IF($NO$26="Single_Point",IF(89=$NQ$26,$NM$26,0),IF($NO$26="Bell_Curve",$NM$26*(89-$NQ$26+1)*($NR$26-89+1)/$NT$26,$NM$26/$NS$26)),0)</f>
        <v/>
      </c>
      <c r="CO26" s="18">
        <f>IF(AND(90&gt;=$NQ$26,90&lt;=$NR$26),IF($NO$26="Single_Point",IF(90=$NQ$26,$NM$26,0),IF($NO$26="Bell_Curve",$NM$26*(90-$NQ$26+1)*($NR$26-90+1)/$NT$26,$NM$26/$NS$26)),0)</f>
        <v/>
      </c>
      <c r="CP26" s="18">
        <f>IF(AND(91&gt;=$NQ$26,91&lt;=$NR$26),IF($NO$26="Single_Point",IF(91=$NQ$26,$NM$26,0),IF($NO$26="Bell_Curve",$NM$26*(91-$NQ$26+1)*($NR$26-91+1)/$NT$26,$NM$26/$NS$26)),0)</f>
        <v/>
      </c>
      <c r="CQ26" s="18">
        <f>IF(AND(92&gt;=$NQ$26,92&lt;=$NR$26),IF($NO$26="Single_Point",IF(92=$NQ$26,$NM$26,0),IF($NO$26="Bell_Curve",$NM$26*(92-$NQ$26+1)*($NR$26-92+1)/$NT$26,$NM$26/$NS$26)),0)</f>
        <v/>
      </c>
      <c r="CR26" s="18">
        <f>IF(AND(93&gt;=$NQ$26,93&lt;=$NR$26),IF($NO$26="Single_Point",IF(93=$NQ$26,$NM$26,0),IF($NO$26="Bell_Curve",$NM$26*(93-$NQ$26+1)*($NR$26-93+1)/$NT$26,$NM$26/$NS$26)),0)</f>
        <v/>
      </c>
      <c r="CS26" s="18">
        <f>IF(AND(94&gt;=$NQ$26,94&lt;=$NR$26),IF($NO$26="Single_Point",IF(94=$NQ$26,$NM$26,0),IF($NO$26="Bell_Curve",$NM$26*(94-$NQ$26+1)*($NR$26-94+1)/$NT$26,$NM$26/$NS$26)),0)</f>
        <v/>
      </c>
      <c r="CT26" s="18">
        <f>IF(AND(95&gt;=$NQ$26,95&lt;=$NR$26),IF($NO$26="Single_Point",IF(95=$NQ$26,$NM$26,0),IF($NO$26="Bell_Curve",$NM$26*(95-$NQ$26+1)*($NR$26-95+1)/$NT$26,$NM$26/$NS$26)),0)</f>
        <v/>
      </c>
      <c r="CU26" s="18">
        <f>IF(AND(96&gt;=$NQ$26,96&lt;=$NR$26),IF($NO$26="Single_Point",IF(96=$NQ$26,$NM$26,0),IF($NO$26="Bell_Curve",$NM$26*(96-$NQ$26+1)*($NR$26-96+1)/$NT$26,$NM$26/$NS$26)),0)</f>
        <v/>
      </c>
      <c r="CV26" s="18">
        <f>IF(AND(97&gt;=$NQ$26,97&lt;=$NR$26),IF($NO$26="Single_Point",IF(97=$NQ$26,$NM$26,0),IF($NO$26="Bell_Curve",$NM$26*(97-$NQ$26+1)*($NR$26-97+1)/$NT$26,$NM$26/$NS$26)),0)</f>
        <v/>
      </c>
      <c r="CW26" s="18">
        <f>IF(AND(98&gt;=$NQ$26,98&lt;=$NR$26),IF($NO$26="Single_Point",IF(98=$NQ$26,$NM$26,0),IF($NO$26="Bell_Curve",$NM$26*(98-$NQ$26+1)*($NR$26-98+1)/$NT$26,$NM$26/$NS$26)),0)</f>
        <v/>
      </c>
      <c r="CX26" s="18">
        <f>IF(AND(99&gt;=$NQ$26,99&lt;=$NR$26),IF($NO$26="Single_Point",IF(99=$NQ$26,$NM$26,0),IF($NO$26="Bell_Curve",$NM$26*(99-$NQ$26+1)*($NR$26-99+1)/$NT$26,$NM$26/$NS$26)),0)</f>
        <v/>
      </c>
      <c r="CY26" s="18">
        <f>IF(AND(100&gt;=$NQ$26,100&lt;=$NR$26),IF($NO$26="Single_Point",IF(100=$NQ$26,$NM$26,0),IF($NO$26="Bell_Curve",$NM$26*(100-$NQ$26+1)*($NR$26-100+1)/$NT$26,$NM$26/$NS$26)),0)</f>
        <v/>
      </c>
      <c r="CZ26" s="18">
        <f>IF(AND(101&gt;=$NQ$26,101&lt;=$NR$26),IF($NO$26="Single_Point",IF(101=$NQ$26,$NM$26,0),IF($NO$26="Bell_Curve",$NM$26*(101-$NQ$26+1)*($NR$26-101+1)/$NT$26,$NM$26/$NS$26)),0)</f>
        <v/>
      </c>
      <c r="DA26" s="18">
        <f>IF(AND(102&gt;=$NQ$26,102&lt;=$NR$26),IF($NO$26="Single_Point",IF(102=$NQ$26,$NM$26,0),IF($NO$26="Bell_Curve",$NM$26*(102-$NQ$26+1)*($NR$26-102+1)/$NT$26,$NM$26/$NS$26)),0)</f>
        <v/>
      </c>
      <c r="DB26" s="18">
        <f>IF(AND(103&gt;=$NQ$26,103&lt;=$NR$26),IF($NO$26="Single_Point",IF(103=$NQ$26,$NM$26,0),IF($NO$26="Bell_Curve",$NM$26*(103-$NQ$26+1)*($NR$26-103+1)/$NT$26,$NM$26/$NS$26)),0)</f>
        <v/>
      </c>
      <c r="DC26" s="18">
        <f>IF(AND(104&gt;=$NQ$26,104&lt;=$NR$26),IF($NO$26="Single_Point",IF(104=$NQ$26,$NM$26,0),IF($NO$26="Bell_Curve",$NM$26*(104-$NQ$26+1)*($NR$26-104+1)/$NT$26,$NM$26/$NS$26)),0)</f>
        <v/>
      </c>
      <c r="DD26" s="18">
        <f>IF(AND(105&gt;=$NQ$26,105&lt;=$NR$26),IF($NO$26="Single_Point",IF(105=$NQ$26,$NM$26,0),IF($NO$26="Bell_Curve",$NM$26*(105-$NQ$26+1)*($NR$26-105+1)/$NT$26,$NM$26/$NS$26)),0)</f>
        <v/>
      </c>
      <c r="DE26" s="18">
        <f>IF(AND(106&gt;=$NQ$26,106&lt;=$NR$26),IF($NO$26="Single_Point",IF(106=$NQ$26,$NM$26,0),IF($NO$26="Bell_Curve",$NM$26*(106-$NQ$26+1)*($NR$26-106+1)/$NT$26,$NM$26/$NS$26)),0)</f>
        <v/>
      </c>
      <c r="DF26" s="18">
        <f>IF(AND(107&gt;=$NQ$26,107&lt;=$NR$26),IF($NO$26="Single_Point",IF(107=$NQ$26,$NM$26,0),IF($NO$26="Bell_Curve",$NM$26*(107-$NQ$26+1)*($NR$26-107+1)/$NT$26,$NM$26/$NS$26)),0)</f>
        <v/>
      </c>
      <c r="DG26" s="18">
        <f>IF(AND(108&gt;=$NQ$26,108&lt;=$NR$26),IF($NO$26="Single_Point",IF(108=$NQ$26,$NM$26,0),IF($NO$26="Bell_Curve",$NM$26*(108-$NQ$26+1)*($NR$26-108+1)/$NT$26,$NM$26/$NS$26)),0)</f>
        <v/>
      </c>
      <c r="DH26" s="18">
        <f>IF(AND(109&gt;=$NQ$26,109&lt;=$NR$26),IF($NO$26="Single_Point",IF(109=$NQ$26,$NM$26,0),IF($NO$26="Bell_Curve",$NM$26*(109-$NQ$26+1)*($NR$26-109+1)/$NT$26,$NM$26/$NS$26)),0)</f>
        <v/>
      </c>
      <c r="DI26" s="18">
        <f>IF(AND(110&gt;=$NQ$26,110&lt;=$NR$26),IF($NO$26="Single_Point",IF(110=$NQ$26,$NM$26,0),IF($NO$26="Bell_Curve",$NM$26*(110-$NQ$26+1)*($NR$26-110+1)/$NT$26,$NM$26/$NS$26)),0)</f>
        <v/>
      </c>
      <c r="DJ26" s="18">
        <f>IF(AND(111&gt;=$NQ$26,111&lt;=$NR$26),IF($NO$26="Single_Point",IF(111=$NQ$26,$NM$26,0),IF($NO$26="Bell_Curve",$NM$26*(111-$NQ$26+1)*($NR$26-111+1)/$NT$26,$NM$26/$NS$26)),0)</f>
        <v/>
      </c>
      <c r="DK26" s="18">
        <f>IF(AND(112&gt;=$NQ$26,112&lt;=$NR$26),IF($NO$26="Single_Point",IF(112=$NQ$26,$NM$26,0),IF($NO$26="Bell_Curve",$NM$26*(112-$NQ$26+1)*($NR$26-112+1)/$NT$26,$NM$26/$NS$26)),0)</f>
        <v/>
      </c>
      <c r="DL26" s="18">
        <f>IF(AND(113&gt;=$NQ$26,113&lt;=$NR$26),IF($NO$26="Single_Point",IF(113=$NQ$26,$NM$26,0),IF($NO$26="Bell_Curve",$NM$26*(113-$NQ$26+1)*($NR$26-113+1)/$NT$26,$NM$26/$NS$26)),0)</f>
        <v/>
      </c>
      <c r="DM26" s="18">
        <f>IF(AND(114&gt;=$NQ$26,114&lt;=$NR$26),IF($NO$26="Single_Point",IF(114=$NQ$26,$NM$26,0),IF($NO$26="Bell_Curve",$NM$26*(114-$NQ$26+1)*($NR$26-114+1)/$NT$26,$NM$26/$NS$26)),0)</f>
        <v/>
      </c>
      <c r="DN26" s="18">
        <f>IF(AND(115&gt;=$NQ$26,115&lt;=$NR$26),IF($NO$26="Single_Point",IF(115=$NQ$26,$NM$26,0),IF($NO$26="Bell_Curve",$NM$26*(115-$NQ$26+1)*($NR$26-115+1)/$NT$26,$NM$26/$NS$26)),0)</f>
        <v/>
      </c>
      <c r="DO26" s="18">
        <f>IF(AND(116&gt;=$NQ$26,116&lt;=$NR$26),IF($NO$26="Single_Point",IF(116=$NQ$26,$NM$26,0),IF($NO$26="Bell_Curve",$NM$26*(116-$NQ$26+1)*($NR$26-116+1)/$NT$26,$NM$26/$NS$26)),0)</f>
        <v/>
      </c>
      <c r="DP26" s="18">
        <f>IF(AND(117&gt;=$NQ$26,117&lt;=$NR$26),IF($NO$26="Single_Point",IF(117=$NQ$26,$NM$26,0),IF($NO$26="Bell_Curve",$NM$26*(117-$NQ$26+1)*($NR$26-117+1)/$NT$26,$NM$26/$NS$26)),0)</f>
        <v/>
      </c>
      <c r="DQ26" s="18">
        <f>IF(AND(118&gt;=$NQ$26,118&lt;=$NR$26),IF($NO$26="Single_Point",IF(118=$NQ$26,$NM$26,0),IF($NO$26="Bell_Curve",$NM$26*(118-$NQ$26+1)*($NR$26-118+1)/$NT$26,$NM$26/$NS$26)),0)</f>
        <v/>
      </c>
      <c r="DR26" s="18">
        <f>IF(AND(119&gt;=$NQ$26,119&lt;=$NR$26),IF($NO$26="Single_Point",IF(119=$NQ$26,$NM$26,0),IF($NO$26="Bell_Curve",$NM$26*(119-$NQ$26+1)*($NR$26-119+1)/$NT$26,$NM$26/$NS$26)),0)</f>
        <v/>
      </c>
      <c r="DS26" s="18">
        <f>IF(AND(120&gt;=$NQ$26,120&lt;=$NR$26),IF($NO$26="Single_Point",IF(120=$NQ$26,$NM$26,0),IF($NO$26="Bell_Curve",$NM$26*(120-$NQ$26+1)*($NR$26-120+1)/$NT$26,$NM$26/$NS$26)),0)</f>
        <v/>
      </c>
      <c r="DT26" s="18">
        <f>IF(AND(121&gt;=$NQ$26,121&lt;=$NR$26),IF($NO$26="Single_Point",IF(121=$NQ$26,$NM$26,0),IF($NO$26="Bell_Curve",$NM$26*(121-$NQ$26+1)*($NR$26-121+1)/$NT$26,$NM$26/$NS$26)),0)</f>
        <v/>
      </c>
      <c r="DU26" s="18">
        <f>IF(AND(122&gt;=$NQ$26,122&lt;=$NR$26),IF($NO$26="Single_Point",IF(122=$NQ$26,$NM$26,0),IF($NO$26="Bell_Curve",$NM$26*(122-$NQ$26+1)*($NR$26-122+1)/$NT$26,$NM$26/$NS$26)),0)</f>
        <v/>
      </c>
      <c r="DV26" s="18">
        <f>IF(AND(123&gt;=$NQ$26,123&lt;=$NR$26),IF($NO$26="Single_Point",IF(123=$NQ$26,$NM$26,0),IF($NO$26="Bell_Curve",$NM$26*(123-$NQ$26+1)*($NR$26-123+1)/$NT$26,$NM$26/$NS$26)),0)</f>
        <v/>
      </c>
      <c r="DW26" s="18">
        <f>IF(AND(124&gt;=$NQ$26,124&lt;=$NR$26),IF($NO$26="Single_Point",IF(124=$NQ$26,$NM$26,0),IF($NO$26="Bell_Curve",$NM$26*(124-$NQ$26+1)*($NR$26-124+1)/$NT$26,$NM$26/$NS$26)),0)</f>
        <v/>
      </c>
      <c r="DX26" s="18">
        <f>IF(AND(125&gt;=$NQ$26,125&lt;=$NR$26),IF($NO$26="Single_Point",IF(125=$NQ$26,$NM$26,0),IF($NO$26="Bell_Curve",$NM$26*(125-$NQ$26+1)*($NR$26-125+1)/$NT$26,$NM$26/$NS$26)),0)</f>
        <v/>
      </c>
      <c r="DY26" s="18">
        <f>IF(AND(126&gt;=$NQ$26,126&lt;=$NR$26),IF($NO$26="Single_Point",IF(126=$NQ$26,$NM$26,0),IF($NO$26="Bell_Curve",$NM$26*(126-$NQ$26+1)*($NR$26-126+1)/$NT$26,$NM$26/$NS$26)),0)</f>
        <v/>
      </c>
      <c r="DZ26" s="18">
        <f>IF(AND(127&gt;=$NQ$26,127&lt;=$NR$26),IF($NO$26="Single_Point",IF(127=$NQ$26,$NM$26,0),IF($NO$26="Bell_Curve",$NM$26*(127-$NQ$26+1)*($NR$26-127+1)/$NT$26,$NM$26/$NS$26)),0)</f>
        <v/>
      </c>
      <c r="EA26" s="18">
        <f>IF(AND(128&gt;=$NQ$26,128&lt;=$NR$26),IF($NO$26="Single_Point",IF(128=$NQ$26,$NM$26,0),IF($NO$26="Bell_Curve",$NM$26*(128-$NQ$26+1)*($NR$26-128+1)/$NT$26,$NM$26/$NS$26)),0)</f>
        <v/>
      </c>
      <c r="EB26" s="18">
        <f>IF(AND(129&gt;=$NQ$26,129&lt;=$NR$26),IF($NO$26="Single_Point",IF(129=$NQ$26,$NM$26,0),IF($NO$26="Bell_Curve",$NM$26*(129-$NQ$26+1)*($NR$26-129+1)/$NT$26,$NM$26/$NS$26)),0)</f>
        <v/>
      </c>
      <c r="EC26" s="18">
        <f>IF(AND(130&gt;=$NQ$26,130&lt;=$NR$26),IF($NO$26="Single_Point",IF(130=$NQ$26,$NM$26,0),IF($NO$26="Bell_Curve",$NM$26*(130-$NQ$26+1)*($NR$26-130+1)/$NT$26,$NM$26/$NS$26)),0)</f>
        <v/>
      </c>
      <c r="ED26" s="18">
        <f>IF(AND(131&gt;=$NQ$26,131&lt;=$NR$26),IF($NO$26="Single_Point",IF(131=$NQ$26,$NM$26,0),IF($NO$26="Bell_Curve",$NM$26*(131-$NQ$26+1)*($NR$26-131+1)/$NT$26,$NM$26/$NS$26)),0)</f>
        <v/>
      </c>
      <c r="EE26" s="18">
        <f>IF(AND(132&gt;=$NQ$26,132&lt;=$NR$26),IF($NO$26="Single_Point",IF(132=$NQ$26,$NM$26,0),IF($NO$26="Bell_Curve",$NM$26*(132-$NQ$26+1)*($NR$26-132+1)/$NT$26,$NM$26/$NS$26)),0)</f>
        <v/>
      </c>
      <c r="EF26" s="18">
        <f>IF(AND(133&gt;=$NQ$26,133&lt;=$NR$26),IF($NO$26="Single_Point",IF(133=$NQ$26,$NM$26,0),IF($NO$26="Bell_Curve",$NM$26*(133-$NQ$26+1)*($NR$26-133+1)/$NT$26,$NM$26/$NS$26)),0)</f>
        <v/>
      </c>
      <c r="EG26" s="18">
        <f>IF(AND(134&gt;=$NQ$26,134&lt;=$NR$26),IF($NO$26="Single_Point",IF(134=$NQ$26,$NM$26,0),IF($NO$26="Bell_Curve",$NM$26*(134-$NQ$26+1)*($NR$26-134+1)/$NT$26,$NM$26/$NS$26)),0)</f>
        <v/>
      </c>
      <c r="EH26" s="18">
        <f>IF(AND(135&gt;=$NQ$26,135&lt;=$NR$26),IF($NO$26="Single_Point",IF(135=$NQ$26,$NM$26,0),IF($NO$26="Bell_Curve",$NM$26*(135-$NQ$26+1)*($NR$26-135+1)/$NT$26,$NM$26/$NS$26)),0)</f>
        <v/>
      </c>
      <c r="EI26" s="18">
        <f>IF(AND(136&gt;=$NQ$26,136&lt;=$NR$26),IF($NO$26="Single_Point",IF(136=$NQ$26,$NM$26,0),IF($NO$26="Bell_Curve",$NM$26*(136-$NQ$26+1)*($NR$26-136+1)/$NT$26,$NM$26/$NS$26)),0)</f>
        <v/>
      </c>
      <c r="EJ26" s="18">
        <f>IF(AND(137&gt;=$NQ$26,137&lt;=$NR$26),IF($NO$26="Single_Point",IF(137=$NQ$26,$NM$26,0),IF($NO$26="Bell_Curve",$NM$26*(137-$NQ$26+1)*($NR$26-137+1)/$NT$26,$NM$26/$NS$26)),0)</f>
        <v/>
      </c>
      <c r="EK26" s="18">
        <f>IF(AND(138&gt;=$NQ$26,138&lt;=$NR$26),IF($NO$26="Single_Point",IF(138=$NQ$26,$NM$26,0),IF($NO$26="Bell_Curve",$NM$26*(138-$NQ$26+1)*($NR$26-138+1)/$NT$26,$NM$26/$NS$26)),0)</f>
        <v/>
      </c>
      <c r="EL26" s="18">
        <f>IF(AND(139&gt;=$NQ$26,139&lt;=$NR$26),IF($NO$26="Single_Point",IF(139=$NQ$26,$NM$26,0),IF($NO$26="Bell_Curve",$NM$26*(139-$NQ$26+1)*($NR$26-139+1)/$NT$26,$NM$26/$NS$26)),0)</f>
        <v/>
      </c>
      <c r="EM26" s="18">
        <f>IF(AND(140&gt;=$NQ$26,140&lt;=$NR$26),IF($NO$26="Single_Point",IF(140=$NQ$26,$NM$26,0),IF($NO$26="Bell_Curve",$NM$26*(140-$NQ$26+1)*($NR$26-140+1)/$NT$26,$NM$26/$NS$26)),0)</f>
        <v/>
      </c>
      <c r="EN26" s="18">
        <f>IF(AND(141&gt;=$NQ$26,141&lt;=$NR$26),IF($NO$26="Single_Point",IF(141=$NQ$26,$NM$26,0),IF($NO$26="Bell_Curve",$NM$26*(141-$NQ$26+1)*($NR$26-141+1)/$NT$26,$NM$26/$NS$26)),0)</f>
        <v/>
      </c>
      <c r="EO26" s="18">
        <f>IF(AND(142&gt;=$NQ$26,142&lt;=$NR$26),IF($NO$26="Single_Point",IF(142=$NQ$26,$NM$26,0),IF($NO$26="Bell_Curve",$NM$26*(142-$NQ$26+1)*($NR$26-142+1)/$NT$26,$NM$26/$NS$26)),0)</f>
        <v/>
      </c>
      <c r="EP26" s="18">
        <f>IF(AND(143&gt;=$NQ$26,143&lt;=$NR$26),IF($NO$26="Single_Point",IF(143=$NQ$26,$NM$26,0),IF($NO$26="Bell_Curve",$NM$26*(143-$NQ$26+1)*($NR$26-143+1)/$NT$26,$NM$26/$NS$26)),0)</f>
        <v/>
      </c>
      <c r="EQ26" s="18">
        <f>IF(AND(144&gt;=$NQ$26,144&lt;=$NR$26),IF($NO$26="Single_Point",IF(144=$NQ$26,$NM$26,0),IF($NO$26="Bell_Curve",$NM$26*(144-$NQ$26+1)*($NR$26-144+1)/$NT$26,$NM$26/$NS$26)),0)</f>
        <v/>
      </c>
      <c r="ER26" s="18">
        <f>IF(AND(145&gt;=$NQ$26,145&lt;=$NR$26),IF($NO$26="Single_Point",IF(145=$NQ$26,$NM$26,0),IF($NO$26="Bell_Curve",$NM$26*(145-$NQ$26+1)*($NR$26-145+1)/$NT$26,$NM$26/$NS$26)),0)</f>
        <v/>
      </c>
      <c r="ES26" s="18">
        <f>IF(AND(146&gt;=$NQ$26,146&lt;=$NR$26),IF($NO$26="Single_Point",IF(146=$NQ$26,$NM$26,0),IF($NO$26="Bell_Curve",$NM$26*(146-$NQ$26+1)*($NR$26-146+1)/$NT$26,$NM$26/$NS$26)),0)</f>
        <v/>
      </c>
      <c r="ET26" s="18">
        <f>IF(AND(147&gt;=$NQ$26,147&lt;=$NR$26),IF($NO$26="Single_Point",IF(147=$NQ$26,$NM$26,0),IF($NO$26="Bell_Curve",$NM$26*(147-$NQ$26+1)*($NR$26-147+1)/$NT$26,$NM$26/$NS$26)),0)</f>
        <v/>
      </c>
      <c r="EU26" s="18">
        <f>IF(AND(148&gt;=$NQ$26,148&lt;=$NR$26),IF($NO$26="Single_Point",IF(148=$NQ$26,$NM$26,0),IF($NO$26="Bell_Curve",$NM$26*(148-$NQ$26+1)*($NR$26-148+1)/$NT$26,$NM$26/$NS$26)),0)</f>
        <v/>
      </c>
      <c r="EV26" s="18">
        <f>IF(AND(149&gt;=$NQ$26,149&lt;=$NR$26),IF($NO$26="Single_Point",IF(149=$NQ$26,$NM$26,0),IF($NO$26="Bell_Curve",$NM$26*(149-$NQ$26+1)*($NR$26-149+1)/$NT$26,$NM$26/$NS$26)),0)</f>
        <v/>
      </c>
      <c r="EW26" s="18">
        <f>IF(AND(150&gt;=$NQ$26,150&lt;=$NR$26),IF($NO$26="Single_Point",IF(150=$NQ$26,$NM$26,0),IF($NO$26="Bell_Curve",$NM$26*(150-$NQ$26+1)*($NR$26-150+1)/$NT$26,$NM$26/$NS$26)),0)</f>
        <v/>
      </c>
      <c r="EX26" s="18">
        <f>IF(AND(151&gt;=$NQ$26,151&lt;=$NR$26),IF($NO$26="Single_Point",IF(151=$NQ$26,$NM$26,0),IF($NO$26="Bell_Curve",$NM$26*(151-$NQ$26+1)*($NR$26-151+1)/$NT$26,$NM$26/$NS$26)),0)</f>
        <v/>
      </c>
      <c r="EY26" s="18">
        <f>IF(AND(152&gt;=$NQ$26,152&lt;=$NR$26),IF($NO$26="Single_Point",IF(152=$NQ$26,$NM$26,0),IF($NO$26="Bell_Curve",$NM$26*(152-$NQ$26+1)*($NR$26-152+1)/$NT$26,$NM$26/$NS$26)),0)</f>
        <v/>
      </c>
      <c r="EZ26" s="18">
        <f>IF(AND(153&gt;=$NQ$26,153&lt;=$NR$26),IF($NO$26="Single_Point",IF(153=$NQ$26,$NM$26,0),IF($NO$26="Bell_Curve",$NM$26*(153-$NQ$26+1)*($NR$26-153+1)/$NT$26,$NM$26/$NS$26)),0)</f>
        <v/>
      </c>
      <c r="FA26" s="18">
        <f>IF(AND(154&gt;=$NQ$26,154&lt;=$NR$26),IF($NO$26="Single_Point",IF(154=$NQ$26,$NM$26,0),IF($NO$26="Bell_Curve",$NM$26*(154-$NQ$26+1)*($NR$26-154+1)/$NT$26,$NM$26/$NS$26)),0)</f>
        <v/>
      </c>
      <c r="FB26" s="18">
        <f>IF(AND(155&gt;=$NQ$26,155&lt;=$NR$26),IF($NO$26="Single_Point",IF(155=$NQ$26,$NM$26,0),IF($NO$26="Bell_Curve",$NM$26*(155-$NQ$26+1)*($NR$26-155+1)/$NT$26,$NM$26/$NS$26)),0)</f>
        <v/>
      </c>
      <c r="FC26" s="18">
        <f>IF(AND(156&gt;=$NQ$26,156&lt;=$NR$26),IF($NO$26="Single_Point",IF(156=$NQ$26,$NM$26,0),IF($NO$26="Bell_Curve",$NM$26*(156-$NQ$26+1)*($NR$26-156+1)/$NT$26,$NM$26/$NS$26)),0)</f>
        <v/>
      </c>
      <c r="FD26" s="18">
        <f>IF(AND(157&gt;=$NQ$26,157&lt;=$NR$26),IF($NO$26="Single_Point",IF(157=$NQ$26,$NM$26,0),IF($NO$26="Bell_Curve",$NM$26*(157-$NQ$26+1)*($NR$26-157+1)/$NT$26,$NM$26/$NS$26)),0)</f>
        <v/>
      </c>
      <c r="FE26" s="18">
        <f>IF(AND(158&gt;=$NQ$26,158&lt;=$NR$26),IF($NO$26="Single_Point",IF(158=$NQ$26,$NM$26,0),IF($NO$26="Bell_Curve",$NM$26*(158-$NQ$26+1)*($NR$26-158+1)/$NT$26,$NM$26/$NS$26)),0)</f>
        <v/>
      </c>
      <c r="FF26" s="18">
        <f>IF(AND(159&gt;=$NQ$26,159&lt;=$NR$26),IF($NO$26="Single_Point",IF(159=$NQ$26,$NM$26,0),IF($NO$26="Bell_Curve",$NM$26*(159-$NQ$26+1)*($NR$26-159+1)/$NT$26,$NM$26/$NS$26)),0)</f>
        <v/>
      </c>
      <c r="FG26" s="18">
        <f>IF(AND(160&gt;=$NQ$26,160&lt;=$NR$26),IF($NO$26="Single_Point",IF(160=$NQ$26,$NM$26,0),IF($NO$26="Bell_Curve",$NM$26*(160-$NQ$26+1)*($NR$26-160+1)/$NT$26,$NM$26/$NS$26)),0)</f>
        <v/>
      </c>
      <c r="FH26" s="18">
        <f>IF(AND(161&gt;=$NQ$26,161&lt;=$NR$26),IF($NO$26="Single_Point",IF(161=$NQ$26,$NM$26,0),IF($NO$26="Bell_Curve",$NM$26*(161-$NQ$26+1)*($NR$26-161+1)/$NT$26,$NM$26/$NS$26)),0)</f>
        <v/>
      </c>
      <c r="FI26" s="18">
        <f>IF(AND(162&gt;=$NQ$26,162&lt;=$NR$26),IF($NO$26="Single_Point",IF(162=$NQ$26,$NM$26,0),IF($NO$26="Bell_Curve",$NM$26*(162-$NQ$26+1)*($NR$26-162+1)/$NT$26,$NM$26/$NS$26)),0)</f>
        <v/>
      </c>
      <c r="FJ26" s="18">
        <f>IF(AND(163&gt;=$NQ$26,163&lt;=$NR$26),IF($NO$26="Single_Point",IF(163=$NQ$26,$NM$26,0),IF($NO$26="Bell_Curve",$NM$26*(163-$NQ$26+1)*($NR$26-163+1)/$NT$26,$NM$26/$NS$26)),0)</f>
        <v/>
      </c>
      <c r="FK26" s="18">
        <f>IF(AND(164&gt;=$NQ$26,164&lt;=$NR$26),IF($NO$26="Single_Point",IF(164=$NQ$26,$NM$26,0),IF($NO$26="Bell_Curve",$NM$26*(164-$NQ$26+1)*($NR$26-164+1)/$NT$26,$NM$26/$NS$26)),0)</f>
        <v/>
      </c>
      <c r="FL26" s="18">
        <f>IF(AND(165&gt;=$NQ$26,165&lt;=$NR$26),IF($NO$26="Single_Point",IF(165=$NQ$26,$NM$26,0),IF($NO$26="Bell_Curve",$NM$26*(165-$NQ$26+1)*($NR$26-165+1)/$NT$26,$NM$26/$NS$26)),0)</f>
        <v/>
      </c>
      <c r="FM26" s="18">
        <f>IF(AND(166&gt;=$NQ$26,166&lt;=$NR$26),IF($NO$26="Single_Point",IF(166=$NQ$26,$NM$26,0),IF($NO$26="Bell_Curve",$NM$26*(166-$NQ$26+1)*($NR$26-166+1)/$NT$26,$NM$26/$NS$26)),0)</f>
        <v/>
      </c>
      <c r="FN26" s="18">
        <f>IF(AND(167&gt;=$NQ$26,167&lt;=$NR$26),IF($NO$26="Single_Point",IF(167=$NQ$26,$NM$26,0),IF($NO$26="Bell_Curve",$NM$26*(167-$NQ$26+1)*($NR$26-167+1)/$NT$26,$NM$26/$NS$26)),0)</f>
        <v/>
      </c>
      <c r="FO26" s="18">
        <f>IF(AND(168&gt;=$NQ$26,168&lt;=$NR$26),IF($NO$26="Single_Point",IF(168=$NQ$26,$NM$26,0),IF($NO$26="Bell_Curve",$NM$26*(168-$NQ$26+1)*($NR$26-168+1)/$NT$26,$NM$26/$NS$26)),0)</f>
        <v/>
      </c>
      <c r="FP26" s="18">
        <f>IF(AND(169&gt;=$NQ$26,169&lt;=$NR$26),IF($NO$26="Single_Point",IF(169=$NQ$26,$NM$26,0),IF($NO$26="Bell_Curve",$NM$26*(169-$NQ$26+1)*($NR$26-169+1)/$NT$26,$NM$26/$NS$26)),0)</f>
        <v/>
      </c>
      <c r="FQ26" s="18">
        <f>IF(AND(170&gt;=$NQ$26,170&lt;=$NR$26),IF($NO$26="Single_Point",IF(170=$NQ$26,$NM$26,0),IF($NO$26="Bell_Curve",$NM$26*(170-$NQ$26+1)*($NR$26-170+1)/$NT$26,$NM$26/$NS$26)),0)</f>
        <v/>
      </c>
      <c r="FR26" s="18">
        <f>IF(AND(171&gt;=$NQ$26,171&lt;=$NR$26),IF($NO$26="Single_Point",IF(171=$NQ$26,$NM$26,0),IF($NO$26="Bell_Curve",$NM$26*(171-$NQ$26+1)*($NR$26-171+1)/$NT$26,$NM$26/$NS$26)),0)</f>
        <v/>
      </c>
      <c r="FS26" s="18">
        <f>IF(AND(172&gt;=$NQ$26,172&lt;=$NR$26),IF($NO$26="Single_Point",IF(172=$NQ$26,$NM$26,0),IF($NO$26="Bell_Curve",$NM$26*(172-$NQ$26+1)*($NR$26-172+1)/$NT$26,$NM$26/$NS$26)),0)</f>
        <v/>
      </c>
      <c r="FT26" s="18">
        <f>IF(AND(173&gt;=$NQ$26,173&lt;=$NR$26),IF($NO$26="Single_Point",IF(173=$NQ$26,$NM$26,0),IF($NO$26="Bell_Curve",$NM$26*(173-$NQ$26+1)*($NR$26-173+1)/$NT$26,$NM$26/$NS$26)),0)</f>
        <v/>
      </c>
      <c r="FU26" s="18">
        <f>IF(AND(174&gt;=$NQ$26,174&lt;=$NR$26),IF($NO$26="Single_Point",IF(174=$NQ$26,$NM$26,0),IF($NO$26="Bell_Curve",$NM$26*(174-$NQ$26+1)*($NR$26-174+1)/$NT$26,$NM$26/$NS$26)),0)</f>
        <v/>
      </c>
      <c r="FV26" s="18">
        <f>IF(AND(175&gt;=$NQ$26,175&lt;=$NR$26),IF($NO$26="Single_Point",IF(175=$NQ$26,$NM$26,0),IF($NO$26="Bell_Curve",$NM$26*(175-$NQ$26+1)*($NR$26-175+1)/$NT$26,$NM$26/$NS$26)),0)</f>
        <v/>
      </c>
      <c r="FW26" s="18">
        <f>IF(AND(176&gt;=$NQ$26,176&lt;=$NR$26),IF($NO$26="Single_Point",IF(176=$NQ$26,$NM$26,0),IF($NO$26="Bell_Curve",$NM$26*(176-$NQ$26+1)*($NR$26-176+1)/$NT$26,$NM$26/$NS$26)),0)</f>
        <v/>
      </c>
      <c r="FX26" s="18">
        <f>IF(AND(177&gt;=$NQ$26,177&lt;=$NR$26),IF($NO$26="Single_Point",IF(177=$NQ$26,$NM$26,0),IF($NO$26="Bell_Curve",$NM$26*(177-$NQ$26+1)*($NR$26-177+1)/$NT$26,$NM$26/$NS$26)),0)</f>
        <v/>
      </c>
      <c r="FY26" s="18">
        <f>IF(AND(178&gt;=$NQ$26,178&lt;=$NR$26),IF($NO$26="Single_Point",IF(178=$NQ$26,$NM$26,0),IF($NO$26="Bell_Curve",$NM$26*(178-$NQ$26+1)*($NR$26-178+1)/$NT$26,$NM$26/$NS$26)),0)</f>
        <v/>
      </c>
      <c r="FZ26" s="18">
        <f>IF(AND(179&gt;=$NQ$26,179&lt;=$NR$26),IF($NO$26="Single_Point",IF(179=$NQ$26,$NM$26,0),IF($NO$26="Bell_Curve",$NM$26*(179-$NQ$26+1)*($NR$26-179+1)/$NT$26,$NM$26/$NS$26)),0)</f>
        <v/>
      </c>
      <c r="GA26" s="18">
        <f>IF(AND(180&gt;=$NQ$26,180&lt;=$NR$26),IF($NO$26="Single_Point",IF(180=$NQ$26,$NM$26,0),IF($NO$26="Bell_Curve",$NM$26*(180-$NQ$26+1)*($NR$26-180+1)/$NT$26,$NM$26/$NS$26)),0)</f>
        <v/>
      </c>
      <c r="GB26" s="18">
        <f>IF(AND(181&gt;=$NQ$26,181&lt;=$NR$26),IF($NO$26="Single_Point",IF(181=$NQ$26,$NM$26,0),IF($NO$26="Bell_Curve",$NM$26*(181-$NQ$26+1)*($NR$26-181+1)/$NT$26,$NM$26/$NS$26)),0)</f>
        <v/>
      </c>
      <c r="GC26" s="18">
        <f>IF(AND(182&gt;=$NQ$26,182&lt;=$NR$26),IF($NO$26="Single_Point",IF(182=$NQ$26,$NM$26,0),IF($NO$26="Bell_Curve",$NM$26*(182-$NQ$26+1)*($NR$26-182+1)/$NT$26,$NM$26/$NS$26)),0)</f>
        <v/>
      </c>
      <c r="GD26" s="18">
        <f>IF(AND(183&gt;=$NQ$26,183&lt;=$NR$26),IF($NO$26="Single_Point",IF(183=$NQ$26,$NM$26,0),IF($NO$26="Bell_Curve",$NM$26*(183-$NQ$26+1)*($NR$26-183+1)/$NT$26,$NM$26/$NS$26)),0)</f>
        <v/>
      </c>
      <c r="GE26" s="18">
        <f>IF(AND(184&gt;=$NQ$26,184&lt;=$NR$26),IF($NO$26="Single_Point",IF(184=$NQ$26,$NM$26,0),IF($NO$26="Bell_Curve",$NM$26*(184-$NQ$26+1)*($NR$26-184+1)/$NT$26,$NM$26/$NS$26)),0)</f>
        <v/>
      </c>
      <c r="GF26" s="18">
        <f>IF(AND(185&gt;=$NQ$26,185&lt;=$NR$26),IF($NO$26="Single_Point",IF(185=$NQ$26,$NM$26,0),IF($NO$26="Bell_Curve",$NM$26*(185-$NQ$26+1)*($NR$26-185+1)/$NT$26,$NM$26/$NS$26)),0)</f>
        <v/>
      </c>
      <c r="GG26" s="18">
        <f>IF(AND(186&gt;=$NQ$26,186&lt;=$NR$26),IF($NO$26="Single_Point",IF(186=$NQ$26,$NM$26,0),IF($NO$26="Bell_Curve",$NM$26*(186-$NQ$26+1)*($NR$26-186+1)/$NT$26,$NM$26/$NS$26)),0)</f>
        <v/>
      </c>
      <c r="GH26" s="18">
        <f>IF(AND(187&gt;=$NQ$26,187&lt;=$NR$26),IF($NO$26="Single_Point",IF(187=$NQ$26,$NM$26,0),IF($NO$26="Bell_Curve",$NM$26*(187-$NQ$26+1)*($NR$26-187+1)/$NT$26,$NM$26/$NS$26)),0)</f>
        <v/>
      </c>
      <c r="GI26" s="18">
        <f>IF(AND(188&gt;=$NQ$26,188&lt;=$NR$26),IF($NO$26="Single_Point",IF(188=$NQ$26,$NM$26,0),IF($NO$26="Bell_Curve",$NM$26*(188-$NQ$26+1)*($NR$26-188+1)/$NT$26,$NM$26/$NS$26)),0)</f>
        <v/>
      </c>
      <c r="GJ26" s="18">
        <f>IF(AND(189&gt;=$NQ$26,189&lt;=$NR$26),IF($NO$26="Single_Point",IF(189=$NQ$26,$NM$26,0),IF($NO$26="Bell_Curve",$NM$26*(189-$NQ$26+1)*($NR$26-189+1)/$NT$26,$NM$26/$NS$26)),0)</f>
        <v/>
      </c>
      <c r="GK26" s="18">
        <f>IF(AND(190&gt;=$NQ$26,190&lt;=$NR$26),IF($NO$26="Single_Point",IF(190=$NQ$26,$NM$26,0),IF($NO$26="Bell_Curve",$NM$26*(190-$NQ$26+1)*($NR$26-190+1)/$NT$26,$NM$26/$NS$26)),0)</f>
        <v/>
      </c>
      <c r="GL26" s="18">
        <f>IF(AND(191&gt;=$NQ$26,191&lt;=$NR$26),IF($NO$26="Single_Point",IF(191=$NQ$26,$NM$26,0),IF($NO$26="Bell_Curve",$NM$26*(191-$NQ$26+1)*($NR$26-191+1)/$NT$26,$NM$26/$NS$26)),0)</f>
        <v/>
      </c>
      <c r="GM26" s="18">
        <f>IF(AND(192&gt;=$NQ$26,192&lt;=$NR$26),IF($NO$26="Single_Point",IF(192=$NQ$26,$NM$26,0),IF($NO$26="Bell_Curve",$NM$26*(192-$NQ$26+1)*($NR$26-192+1)/$NT$26,$NM$26/$NS$26)),0)</f>
        <v/>
      </c>
      <c r="GN26" s="18">
        <f>IF(AND(193&gt;=$NQ$26,193&lt;=$NR$26),IF($NO$26="Single_Point",IF(193=$NQ$26,$NM$26,0),IF($NO$26="Bell_Curve",$NM$26*(193-$NQ$26+1)*($NR$26-193+1)/$NT$26,$NM$26/$NS$26)),0)</f>
        <v/>
      </c>
      <c r="GO26" s="18">
        <f>IF(AND(194&gt;=$NQ$26,194&lt;=$NR$26),IF($NO$26="Single_Point",IF(194=$NQ$26,$NM$26,0),IF($NO$26="Bell_Curve",$NM$26*(194-$NQ$26+1)*($NR$26-194+1)/$NT$26,$NM$26/$NS$26)),0)</f>
        <v/>
      </c>
      <c r="GP26" s="18">
        <f>IF(AND(195&gt;=$NQ$26,195&lt;=$NR$26),IF($NO$26="Single_Point",IF(195=$NQ$26,$NM$26,0),IF($NO$26="Bell_Curve",$NM$26*(195-$NQ$26+1)*($NR$26-195+1)/$NT$26,$NM$26/$NS$26)),0)</f>
        <v/>
      </c>
      <c r="GQ26" s="18">
        <f>IF(AND(196&gt;=$NQ$26,196&lt;=$NR$26),IF($NO$26="Single_Point",IF(196=$NQ$26,$NM$26,0),IF($NO$26="Bell_Curve",$NM$26*(196-$NQ$26+1)*($NR$26-196+1)/$NT$26,$NM$26/$NS$26)),0)</f>
        <v/>
      </c>
      <c r="GR26" s="18">
        <f>IF(AND(197&gt;=$NQ$26,197&lt;=$NR$26),IF($NO$26="Single_Point",IF(197=$NQ$26,$NM$26,0),IF($NO$26="Bell_Curve",$NM$26*(197-$NQ$26+1)*($NR$26-197+1)/$NT$26,$NM$26/$NS$26)),0)</f>
        <v/>
      </c>
      <c r="GS26" s="18">
        <f>IF(AND(198&gt;=$NQ$26,198&lt;=$NR$26),IF($NO$26="Single_Point",IF(198=$NQ$26,$NM$26,0),IF($NO$26="Bell_Curve",$NM$26*(198-$NQ$26+1)*($NR$26-198+1)/$NT$26,$NM$26/$NS$26)),0)</f>
        <v/>
      </c>
      <c r="GT26" s="18">
        <f>IF(AND(199&gt;=$NQ$26,199&lt;=$NR$26),IF($NO$26="Single_Point",IF(199=$NQ$26,$NM$26,0),IF($NO$26="Bell_Curve",$NM$26*(199-$NQ$26+1)*($NR$26-199+1)/$NT$26,$NM$26/$NS$26)),0)</f>
        <v/>
      </c>
      <c r="GU26" s="18">
        <f>IF(AND(200&gt;=$NQ$26,200&lt;=$NR$26),IF($NO$26="Single_Point",IF(200=$NQ$26,$NM$26,0),IF($NO$26="Bell_Curve",$NM$26*(200-$NQ$26+1)*($NR$26-200+1)/$NT$26,$NM$26/$NS$26)),0)</f>
        <v/>
      </c>
      <c r="GV26" s="18">
        <f>IF(AND(201&gt;=$NQ$26,201&lt;=$NR$26),IF($NO$26="Single_Point",IF(201=$NQ$26,$NM$26,0),IF($NO$26="Bell_Curve",$NM$26*(201-$NQ$26+1)*($NR$26-201+1)/$NT$26,$NM$26/$NS$26)),0)</f>
        <v/>
      </c>
      <c r="GW26" s="18">
        <f>IF(AND(202&gt;=$NQ$26,202&lt;=$NR$26),IF($NO$26="Single_Point",IF(202=$NQ$26,$NM$26,0),IF($NO$26="Bell_Curve",$NM$26*(202-$NQ$26+1)*($NR$26-202+1)/$NT$26,$NM$26/$NS$26)),0)</f>
        <v/>
      </c>
      <c r="GX26" s="18">
        <f>IF(AND(203&gt;=$NQ$26,203&lt;=$NR$26),IF($NO$26="Single_Point",IF(203=$NQ$26,$NM$26,0),IF($NO$26="Bell_Curve",$NM$26*(203-$NQ$26+1)*($NR$26-203+1)/$NT$26,$NM$26/$NS$26)),0)</f>
        <v/>
      </c>
      <c r="GY26" s="18">
        <f>IF(AND(204&gt;=$NQ$26,204&lt;=$NR$26),IF($NO$26="Single_Point",IF(204=$NQ$26,$NM$26,0),IF($NO$26="Bell_Curve",$NM$26*(204-$NQ$26+1)*($NR$26-204+1)/$NT$26,$NM$26/$NS$26)),0)</f>
        <v/>
      </c>
      <c r="GZ26" s="18">
        <f>IF(AND(205&gt;=$NQ$26,205&lt;=$NR$26),IF($NO$26="Single_Point",IF(205=$NQ$26,$NM$26,0),IF($NO$26="Bell_Curve",$NM$26*(205-$NQ$26+1)*($NR$26-205+1)/$NT$26,$NM$26/$NS$26)),0)</f>
        <v/>
      </c>
      <c r="HA26" s="18">
        <f>IF(AND(206&gt;=$NQ$26,206&lt;=$NR$26),IF($NO$26="Single_Point",IF(206=$NQ$26,$NM$26,0),IF($NO$26="Bell_Curve",$NM$26*(206-$NQ$26+1)*($NR$26-206+1)/$NT$26,$NM$26/$NS$26)),0)</f>
        <v/>
      </c>
      <c r="HB26" s="18">
        <f>IF(AND(207&gt;=$NQ$26,207&lt;=$NR$26),IF($NO$26="Single_Point",IF(207=$NQ$26,$NM$26,0),IF($NO$26="Bell_Curve",$NM$26*(207-$NQ$26+1)*($NR$26-207+1)/$NT$26,$NM$26/$NS$26)),0)</f>
        <v/>
      </c>
      <c r="HC26" s="18">
        <f>IF(AND(208&gt;=$NQ$26,208&lt;=$NR$26),IF($NO$26="Single_Point",IF(208=$NQ$26,$NM$26,0),IF($NO$26="Bell_Curve",$NM$26*(208-$NQ$26+1)*($NR$26-208+1)/$NT$26,$NM$26/$NS$26)),0)</f>
        <v/>
      </c>
      <c r="HD26" s="18">
        <f>IF(AND(209&gt;=$NQ$26,209&lt;=$NR$26),IF($NO$26="Single_Point",IF(209=$NQ$26,$NM$26,0),IF($NO$26="Bell_Curve",$NM$26*(209-$NQ$26+1)*($NR$26-209+1)/$NT$26,$NM$26/$NS$26)),0)</f>
        <v/>
      </c>
      <c r="HE26" s="18">
        <f>IF(AND(210&gt;=$NQ$26,210&lt;=$NR$26),IF($NO$26="Single_Point",IF(210=$NQ$26,$NM$26,0),IF($NO$26="Bell_Curve",$NM$26*(210-$NQ$26+1)*($NR$26-210+1)/$NT$26,$NM$26/$NS$26)),0)</f>
        <v/>
      </c>
      <c r="HF26" s="18">
        <f>IF(AND(211&gt;=$NQ$26,211&lt;=$NR$26),IF($NO$26="Single_Point",IF(211=$NQ$26,$NM$26,0),IF($NO$26="Bell_Curve",$NM$26*(211-$NQ$26+1)*($NR$26-211+1)/$NT$26,$NM$26/$NS$26)),0)</f>
        <v/>
      </c>
      <c r="HG26" s="18">
        <f>IF(AND(212&gt;=$NQ$26,212&lt;=$NR$26),IF($NO$26="Single_Point",IF(212=$NQ$26,$NM$26,0),IF($NO$26="Bell_Curve",$NM$26*(212-$NQ$26+1)*($NR$26-212+1)/$NT$26,$NM$26/$NS$26)),0)</f>
        <v/>
      </c>
      <c r="HH26" s="18">
        <f>IF(AND(213&gt;=$NQ$26,213&lt;=$NR$26),IF($NO$26="Single_Point",IF(213=$NQ$26,$NM$26,0),IF($NO$26="Bell_Curve",$NM$26*(213-$NQ$26+1)*($NR$26-213+1)/$NT$26,$NM$26/$NS$26)),0)</f>
        <v/>
      </c>
      <c r="HI26" s="18">
        <f>IF(AND(214&gt;=$NQ$26,214&lt;=$NR$26),IF($NO$26="Single_Point",IF(214=$NQ$26,$NM$26,0),IF($NO$26="Bell_Curve",$NM$26*(214-$NQ$26+1)*($NR$26-214+1)/$NT$26,$NM$26/$NS$26)),0)</f>
        <v/>
      </c>
      <c r="HJ26" s="18">
        <f>IF(AND(215&gt;=$NQ$26,215&lt;=$NR$26),IF($NO$26="Single_Point",IF(215=$NQ$26,$NM$26,0),IF($NO$26="Bell_Curve",$NM$26*(215-$NQ$26+1)*($NR$26-215+1)/$NT$26,$NM$26/$NS$26)),0)</f>
        <v/>
      </c>
      <c r="HK26" s="18">
        <f>IF(AND(216&gt;=$NQ$26,216&lt;=$NR$26),IF($NO$26="Single_Point",IF(216=$NQ$26,$NM$26,0),IF($NO$26="Bell_Curve",$NM$26*(216-$NQ$26+1)*($NR$26-216+1)/$NT$26,$NM$26/$NS$26)),0)</f>
        <v/>
      </c>
      <c r="HL26" s="18">
        <f>IF(AND(217&gt;=$NQ$26,217&lt;=$NR$26),IF($NO$26="Single_Point",IF(217=$NQ$26,$NM$26,0),IF($NO$26="Bell_Curve",$NM$26*(217-$NQ$26+1)*($NR$26-217+1)/$NT$26,$NM$26/$NS$26)),0)</f>
        <v/>
      </c>
      <c r="HM26" s="18">
        <f>IF(AND(218&gt;=$NQ$26,218&lt;=$NR$26),IF($NO$26="Single_Point",IF(218=$NQ$26,$NM$26,0),IF($NO$26="Bell_Curve",$NM$26*(218-$NQ$26+1)*($NR$26-218+1)/$NT$26,$NM$26/$NS$26)),0)</f>
        <v/>
      </c>
      <c r="HN26" s="18">
        <f>IF(AND(219&gt;=$NQ$26,219&lt;=$NR$26),IF($NO$26="Single_Point",IF(219=$NQ$26,$NM$26,0),IF($NO$26="Bell_Curve",$NM$26*(219-$NQ$26+1)*($NR$26-219+1)/$NT$26,$NM$26/$NS$26)),0)</f>
        <v/>
      </c>
      <c r="HO26" s="18">
        <f>IF(AND(220&gt;=$NQ$26,220&lt;=$NR$26),IF($NO$26="Single_Point",IF(220=$NQ$26,$NM$26,0),IF($NO$26="Bell_Curve",$NM$26*(220-$NQ$26+1)*($NR$26-220+1)/$NT$26,$NM$26/$NS$26)),0)</f>
        <v/>
      </c>
      <c r="HP26" s="18">
        <f>IF(AND(221&gt;=$NQ$26,221&lt;=$NR$26),IF($NO$26="Single_Point",IF(221=$NQ$26,$NM$26,0),IF($NO$26="Bell_Curve",$NM$26*(221-$NQ$26+1)*($NR$26-221+1)/$NT$26,$NM$26/$NS$26)),0)</f>
        <v/>
      </c>
      <c r="HQ26" s="18">
        <f>IF(AND(222&gt;=$NQ$26,222&lt;=$NR$26),IF($NO$26="Single_Point",IF(222=$NQ$26,$NM$26,0),IF($NO$26="Bell_Curve",$NM$26*(222-$NQ$26+1)*($NR$26-222+1)/$NT$26,$NM$26/$NS$26)),0)</f>
        <v/>
      </c>
      <c r="HR26" s="18">
        <f>IF(AND(223&gt;=$NQ$26,223&lt;=$NR$26),IF($NO$26="Single_Point",IF(223=$NQ$26,$NM$26,0),IF($NO$26="Bell_Curve",$NM$26*(223-$NQ$26+1)*($NR$26-223+1)/$NT$26,$NM$26/$NS$26)),0)</f>
        <v/>
      </c>
      <c r="HS26" s="18">
        <f>IF(AND(224&gt;=$NQ$26,224&lt;=$NR$26),IF($NO$26="Single_Point",IF(224=$NQ$26,$NM$26,0),IF($NO$26="Bell_Curve",$NM$26*(224-$NQ$26+1)*($NR$26-224+1)/$NT$26,$NM$26/$NS$26)),0)</f>
        <v/>
      </c>
      <c r="HT26" s="18">
        <f>IF(AND(225&gt;=$NQ$26,225&lt;=$NR$26),IF($NO$26="Single_Point",IF(225=$NQ$26,$NM$26,0),IF($NO$26="Bell_Curve",$NM$26*(225-$NQ$26+1)*($NR$26-225+1)/$NT$26,$NM$26/$NS$26)),0)</f>
        <v/>
      </c>
      <c r="HU26" s="18">
        <f>IF(AND(226&gt;=$NQ$26,226&lt;=$NR$26),IF($NO$26="Single_Point",IF(226=$NQ$26,$NM$26,0),IF($NO$26="Bell_Curve",$NM$26*(226-$NQ$26+1)*($NR$26-226+1)/$NT$26,$NM$26/$NS$26)),0)</f>
        <v/>
      </c>
      <c r="HV26" s="18">
        <f>IF(AND(227&gt;=$NQ$26,227&lt;=$NR$26),IF($NO$26="Single_Point",IF(227=$NQ$26,$NM$26,0),IF($NO$26="Bell_Curve",$NM$26*(227-$NQ$26+1)*($NR$26-227+1)/$NT$26,$NM$26/$NS$26)),0)</f>
        <v/>
      </c>
      <c r="HW26" s="18">
        <f>IF(AND(228&gt;=$NQ$26,228&lt;=$NR$26),IF($NO$26="Single_Point",IF(228=$NQ$26,$NM$26,0),IF($NO$26="Bell_Curve",$NM$26*(228-$NQ$26+1)*($NR$26-228+1)/$NT$26,$NM$26/$NS$26)),0)</f>
        <v/>
      </c>
      <c r="HX26" s="18">
        <f>IF(AND(229&gt;=$NQ$26,229&lt;=$NR$26),IF($NO$26="Single_Point",IF(229=$NQ$26,$NM$26,0),IF($NO$26="Bell_Curve",$NM$26*(229-$NQ$26+1)*($NR$26-229+1)/$NT$26,$NM$26/$NS$26)),0)</f>
        <v/>
      </c>
      <c r="HY26" s="18">
        <f>IF(AND(230&gt;=$NQ$26,230&lt;=$NR$26),IF($NO$26="Single_Point",IF(230=$NQ$26,$NM$26,0),IF($NO$26="Bell_Curve",$NM$26*(230-$NQ$26+1)*($NR$26-230+1)/$NT$26,$NM$26/$NS$26)),0)</f>
        <v/>
      </c>
      <c r="HZ26" s="18">
        <f>IF(AND(231&gt;=$NQ$26,231&lt;=$NR$26),IF($NO$26="Single_Point",IF(231=$NQ$26,$NM$26,0),IF($NO$26="Bell_Curve",$NM$26*(231-$NQ$26+1)*($NR$26-231+1)/$NT$26,$NM$26/$NS$26)),0)</f>
        <v/>
      </c>
      <c r="IA26" s="18">
        <f>IF(AND(232&gt;=$NQ$26,232&lt;=$NR$26),IF($NO$26="Single_Point",IF(232=$NQ$26,$NM$26,0),IF($NO$26="Bell_Curve",$NM$26*(232-$NQ$26+1)*($NR$26-232+1)/$NT$26,$NM$26/$NS$26)),0)</f>
        <v/>
      </c>
      <c r="IB26" s="18">
        <f>IF(AND(233&gt;=$NQ$26,233&lt;=$NR$26),IF($NO$26="Single_Point",IF(233=$NQ$26,$NM$26,0),IF($NO$26="Bell_Curve",$NM$26*(233-$NQ$26+1)*($NR$26-233+1)/$NT$26,$NM$26/$NS$26)),0)</f>
        <v/>
      </c>
      <c r="IC26" s="18">
        <f>IF(AND(234&gt;=$NQ$26,234&lt;=$NR$26),IF($NO$26="Single_Point",IF(234=$NQ$26,$NM$26,0),IF($NO$26="Bell_Curve",$NM$26*(234-$NQ$26+1)*($NR$26-234+1)/$NT$26,$NM$26/$NS$26)),0)</f>
        <v/>
      </c>
      <c r="ID26" s="18">
        <f>IF(AND(235&gt;=$NQ$26,235&lt;=$NR$26),IF($NO$26="Single_Point",IF(235=$NQ$26,$NM$26,0),IF($NO$26="Bell_Curve",$NM$26*(235-$NQ$26+1)*($NR$26-235+1)/$NT$26,$NM$26/$NS$26)),0)</f>
        <v/>
      </c>
      <c r="IE26" s="18">
        <f>IF(AND(236&gt;=$NQ$26,236&lt;=$NR$26),IF($NO$26="Single_Point",IF(236=$NQ$26,$NM$26,0),IF($NO$26="Bell_Curve",$NM$26*(236-$NQ$26+1)*($NR$26-236+1)/$NT$26,$NM$26/$NS$26)),0)</f>
        <v/>
      </c>
      <c r="IF26" s="18">
        <f>IF(AND(237&gt;=$NQ$26,237&lt;=$NR$26),IF($NO$26="Single_Point",IF(237=$NQ$26,$NM$26,0),IF($NO$26="Bell_Curve",$NM$26*(237-$NQ$26+1)*($NR$26-237+1)/$NT$26,$NM$26/$NS$26)),0)</f>
        <v/>
      </c>
      <c r="IG26" s="18">
        <f>IF(AND(238&gt;=$NQ$26,238&lt;=$NR$26),IF($NO$26="Single_Point",IF(238=$NQ$26,$NM$26,0),IF($NO$26="Bell_Curve",$NM$26*(238-$NQ$26+1)*($NR$26-238+1)/$NT$26,$NM$26/$NS$26)),0)</f>
        <v/>
      </c>
      <c r="IH26" s="18">
        <f>IF(AND(239&gt;=$NQ$26,239&lt;=$NR$26),IF($NO$26="Single_Point",IF(239=$NQ$26,$NM$26,0),IF($NO$26="Bell_Curve",$NM$26*(239-$NQ$26+1)*($NR$26-239+1)/$NT$26,$NM$26/$NS$26)),0)</f>
        <v/>
      </c>
      <c r="II26" s="18">
        <f>IF(AND(240&gt;=$NQ$26,240&lt;=$NR$26),IF($NO$26="Single_Point",IF(240=$NQ$26,$NM$26,0),IF($NO$26="Bell_Curve",$NM$26*(240-$NQ$26+1)*($NR$26-240+1)/$NT$26,$NM$26/$NS$26)),0)</f>
        <v/>
      </c>
      <c r="IJ26" s="18">
        <f>IF(AND(241&gt;=$NQ$26,241&lt;=$NR$26),IF($NO$26="Single_Point",IF(241=$NQ$26,$NM$26,0),IF($NO$26="Bell_Curve",$NM$26*(241-$NQ$26+1)*($NR$26-241+1)/$NT$26,$NM$26/$NS$26)),0)</f>
        <v/>
      </c>
      <c r="IK26" s="18">
        <f>IF(AND(242&gt;=$NQ$26,242&lt;=$NR$26),IF($NO$26="Single_Point",IF(242=$NQ$26,$NM$26,0),IF($NO$26="Bell_Curve",$NM$26*(242-$NQ$26+1)*($NR$26-242+1)/$NT$26,$NM$26/$NS$26)),0)</f>
        <v/>
      </c>
      <c r="IL26" s="18">
        <f>IF(AND(243&gt;=$NQ$26,243&lt;=$NR$26),IF($NO$26="Single_Point",IF(243=$NQ$26,$NM$26,0),IF($NO$26="Bell_Curve",$NM$26*(243-$NQ$26+1)*($NR$26-243+1)/$NT$26,$NM$26/$NS$26)),0)</f>
        <v/>
      </c>
      <c r="IM26" s="18">
        <f>IF(AND(244&gt;=$NQ$26,244&lt;=$NR$26),IF($NO$26="Single_Point",IF(244=$NQ$26,$NM$26,0),IF($NO$26="Bell_Curve",$NM$26*(244-$NQ$26+1)*($NR$26-244+1)/$NT$26,$NM$26/$NS$26)),0)</f>
        <v/>
      </c>
      <c r="IN26" s="18">
        <f>IF(AND(245&gt;=$NQ$26,245&lt;=$NR$26),IF($NO$26="Single_Point",IF(245=$NQ$26,$NM$26,0),IF($NO$26="Bell_Curve",$NM$26*(245-$NQ$26+1)*($NR$26-245+1)/$NT$26,$NM$26/$NS$26)),0)</f>
        <v/>
      </c>
      <c r="IO26" s="18">
        <f>IF(AND(246&gt;=$NQ$26,246&lt;=$NR$26),IF($NO$26="Single_Point",IF(246=$NQ$26,$NM$26,0),IF($NO$26="Bell_Curve",$NM$26*(246-$NQ$26+1)*($NR$26-246+1)/$NT$26,$NM$26/$NS$26)),0)</f>
        <v/>
      </c>
      <c r="IP26" s="18">
        <f>IF(AND(247&gt;=$NQ$26,247&lt;=$NR$26),IF($NO$26="Single_Point",IF(247=$NQ$26,$NM$26,0),IF($NO$26="Bell_Curve",$NM$26*(247-$NQ$26+1)*($NR$26-247+1)/$NT$26,$NM$26/$NS$26)),0)</f>
        <v/>
      </c>
      <c r="IQ26" s="18">
        <f>IF(AND(248&gt;=$NQ$26,248&lt;=$NR$26),IF($NO$26="Single_Point",IF(248=$NQ$26,$NM$26,0),IF($NO$26="Bell_Curve",$NM$26*(248-$NQ$26+1)*($NR$26-248+1)/$NT$26,$NM$26/$NS$26)),0)</f>
        <v/>
      </c>
      <c r="IR26" s="18">
        <f>IF(AND(249&gt;=$NQ$26,249&lt;=$NR$26),IF($NO$26="Single_Point",IF(249=$NQ$26,$NM$26,0),IF($NO$26="Bell_Curve",$NM$26*(249-$NQ$26+1)*($NR$26-249+1)/$NT$26,$NM$26/$NS$26)),0)</f>
        <v/>
      </c>
      <c r="IS26" s="18">
        <f>IF(AND(250&gt;=$NQ$26,250&lt;=$NR$26),IF($NO$26="Single_Point",IF(250=$NQ$26,$NM$26,0),IF($NO$26="Bell_Curve",$NM$26*(250-$NQ$26+1)*($NR$26-250+1)/$NT$26,$NM$26/$NS$26)),0)</f>
        <v/>
      </c>
      <c r="IT26" s="18">
        <f>IF(AND(251&gt;=$NQ$26,251&lt;=$NR$26),IF($NO$26="Single_Point",IF(251=$NQ$26,$NM$26,0),IF($NO$26="Bell_Curve",$NM$26*(251-$NQ$26+1)*($NR$26-251+1)/$NT$26,$NM$26/$NS$26)),0)</f>
        <v/>
      </c>
      <c r="IU26" s="18">
        <f>IF(AND(252&gt;=$NQ$26,252&lt;=$NR$26),IF($NO$26="Single_Point",IF(252=$NQ$26,$NM$26,0),IF($NO$26="Bell_Curve",$NM$26*(252-$NQ$26+1)*($NR$26-252+1)/$NT$26,$NM$26/$NS$26)),0)</f>
        <v/>
      </c>
      <c r="IV26" s="18">
        <f>IF(AND(253&gt;=$NQ$26,253&lt;=$NR$26),IF($NO$26="Single_Point",IF(253=$NQ$26,$NM$26,0),IF($NO$26="Bell_Curve",$NM$26*(253-$NQ$26+1)*($NR$26-253+1)/$NT$26,$NM$26/$NS$26)),0)</f>
        <v/>
      </c>
      <c r="IW26" s="18">
        <f>IF(AND(254&gt;=$NQ$26,254&lt;=$NR$26),IF($NO$26="Single_Point",IF(254=$NQ$26,$NM$26,0),IF($NO$26="Bell_Curve",$NM$26*(254-$NQ$26+1)*($NR$26-254+1)/$NT$26,$NM$26/$NS$26)),0)</f>
        <v/>
      </c>
      <c r="IX26" s="18">
        <f>IF(AND(255&gt;=$NQ$26,255&lt;=$NR$26),IF($NO$26="Single_Point",IF(255=$NQ$26,$NM$26,0),IF($NO$26="Bell_Curve",$NM$26*(255-$NQ$26+1)*($NR$26-255+1)/$NT$26,$NM$26/$NS$26)),0)</f>
        <v/>
      </c>
      <c r="IY26" s="18">
        <f>IF(AND(256&gt;=$NQ$26,256&lt;=$NR$26),IF($NO$26="Single_Point",IF(256=$NQ$26,$NM$26,0),IF($NO$26="Bell_Curve",$NM$26*(256-$NQ$26+1)*($NR$26-256+1)/$NT$26,$NM$26/$NS$26)),0)</f>
        <v/>
      </c>
      <c r="IZ26" s="18">
        <f>IF(AND(257&gt;=$NQ$26,257&lt;=$NR$26),IF($NO$26="Single_Point",IF(257=$NQ$26,$NM$26,0),IF($NO$26="Bell_Curve",$NM$26*(257-$NQ$26+1)*($NR$26-257+1)/$NT$26,$NM$26/$NS$26)),0)</f>
        <v/>
      </c>
      <c r="JA26" s="18">
        <f>IF(AND(258&gt;=$NQ$26,258&lt;=$NR$26),IF($NO$26="Single_Point",IF(258=$NQ$26,$NM$26,0),IF($NO$26="Bell_Curve",$NM$26*(258-$NQ$26+1)*($NR$26-258+1)/$NT$26,$NM$26/$NS$26)),0)</f>
        <v/>
      </c>
      <c r="JB26" s="18">
        <f>IF(AND(259&gt;=$NQ$26,259&lt;=$NR$26),IF($NO$26="Single_Point",IF(259=$NQ$26,$NM$26,0),IF($NO$26="Bell_Curve",$NM$26*(259-$NQ$26+1)*($NR$26-259+1)/$NT$26,$NM$26/$NS$26)),0)</f>
        <v/>
      </c>
      <c r="JC26" s="18">
        <f>IF(AND(260&gt;=$NQ$26,260&lt;=$NR$26),IF($NO$26="Single_Point",IF(260=$NQ$26,$NM$26,0),IF($NO$26="Bell_Curve",$NM$26*(260-$NQ$26+1)*($NR$26-260+1)/$NT$26,$NM$26/$NS$26)),0)</f>
        <v/>
      </c>
      <c r="JD26" s="18">
        <f>IF(AND(261&gt;=$NQ$26,261&lt;=$NR$26),IF($NO$26="Single_Point",IF(261=$NQ$26,$NM$26,0),IF($NO$26="Bell_Curve",$NM$26*(261-$NQ$26+1)*($NR$26-261+1)/$NT$26,$NM$26/$NS$26)),0)</f>
        <v/>
      </c>
      <c r="JE26" s="18">
        <f>IF(AND(262&gt;=$NQ$26,262&lt;=$NR$26),IF($NO$26="Single_Point",IF(262=$NQ$26,$NM$26,0),IF($NO$26="Bell_Curve",$NM$26*(262-$NQ$26+1)*($NR$26-262+1)/$NT$26,$NM$26/$NS$26)),0)</f>
        <v/>
      </c>
      <c r="JF26" s="18">
        <f>IF(AND(263&gt;=$NQ$26,263&lt;=$NR$26),IF($NO$26="Single_Point",IF(263=$NQ$26,$NM$26,0),IF($NO$26="Bell_Curve",$NM$26*(263-$NQ$26+1)*($NR$26-263+1)/$NT$26,$NM$26/$NS$26)),0)</f>
        <v/>
      </c>
      <c r="JG26" s="18">
        <f>IF(AND(264&gt;=$NQ$26,264&lt;=$NR$26),IF($NO$26="Single_Point",IF(264=$NQ$26,$NM$26,0),IF($NO$26="Bell_Curve",$NM$26*(264-$NQ$26+1)*($NR$26-264+1)/$NT$26,$NM$26/$NS$26)),0)</f>
        <v/>
      </c>
      <c r="JH26" s="18">
        <f>IF(AND(265&gt;=$NQ$26,265&lt;=$NR$26),IF($NO$26="Single_Point",IF(265=$NQ$26,$NM$26,0),IF($NO$26="Bell_Curve",$NM$26*(265-$NQ$26+1)*($NR$26-265+1)/$NT$26,$NM$26/$NS$26)),0)</f>
        <v/>
      </c>
      <c r="JI26" s="18">
        <f>IF(AND(266&gt;=$NQ$26,266&lt;=$NR$26),IF($NO$26="Single_Point",IF(266=$NQ$26,$NM$26,0),IF($NO$26="Bell_Curve",$NM$26*(266-$NQ$26+1)*($NR$26-266+1)/$NT$26,$NM$26/$NS$26)),0)</f>
        <v/>
      </c>
      <c r="JJ26" s="18">
        <f>IF(AND(267&gt;=$NQ$26,267&lt;=$NR$26),IF($NO$26="Single_Point",IF(267=$NQ$26,$NM$26,0),IF($NO$26="Bell_Curve",$NM$26*(267-$NQ$26+1)*($NR$26-267+1)/$NT$26,$NM$26/$NS$26)),0)</f>
        <v/>
      </c>
      <c r="JK26" s="18">
        <f>IF(AND(268&gt;=$NQ$26,268&lt;=$NR$26),IF($NO$26="Single_Point",IF(268=$NQ$26,$NM$26,0),IF($NO$26="Bell_Curve",$NM$26*(268-$NQ$26+1)*($NR$26-268+1)/$NT$26,$NM$26/$NS$26)),0)</f>
        <v/>
      </c>
      <c r="JL26" s="18">
        <f>IF(AND(269&gt;=$NQ$26,269&lt;=$NR$26),IF($NO$26="Single_Point",IF(269=$NQ$26,$NM$26,0),IF($NO$26="Bell_Curve",$NM$26*(269-$NQ$26+1)*($NR$26-269+1)/$NT$26,$NM$26/$NS$26)),0)</f>
        <v/>
      </c>
      <c r="JM26" s="18">
        <f>IF(AND(270&gt;=$NQ$26,270&lt;=$NR$26),IF($NO$26="Single_Point",IF(270=$NQ$26,$NM$26,0),IF($NO$26="Bell_Curve",$NM$26*(270-$NQ$26+1)*($NR$26-270+1)/$NT$26,$NM$26/$NS$26)),0)</f>
        <v/>
      </c>
      <c r="JN26" s="18">
        <f>IF(AND(271&gt;=$NQ$26,271&lt;=$NR$26),IF($NO$26="Single_Point",IF(271=$NQ$26,$NM$26,0),IF($NO$26="Bell_Curve",$NM$26*(271-$NQ$26+1)*($NR$26-271+1)/$NT$26,$NM$26/$NS$26)),0)</f>
        <v/>
      </c>
      <c r="JO26" s="18">
        <f>IF(AND(272&gt;=$NQ$26,272&lt;=$NR$26),IF($NO$26="Single_Point",IF(272=$NQ$26,$NM$26,0),IF($NO$26="Bell_Curve",$NM$26*(272-$NQ$26+1)*($NR$26-272+1)/$NT$26,$NM$26/$NS$26)),0)</f>
        <v/>
      </c>
      <c r="JP26" s="18">
        <f>IF(AND(273&gt;=$NQ$26,273&lt;=$NR$26),IF($NO$26="Single_Point",IF(273=$NQ$26,$NM$26,0),IF($NO$26="Bell_Curve",$NM$26*(273-$NQ$26+1)*($NR$26-273+1)/$NT$26,$NM$26/$NS$26)),0)</f>
        <v/>
      </c>
      <c r="JQ26" s="18">
        <f>IF(AND(274&gt;=$NQ$26,274&lt;=$NR$26),IF($NO$26="Single_Point",IF(274=$NQ$26,$NM$26,0),IF($NO$26="Bell_Curve",$NM$26*(274-$NQ$26+1)*($NR$26-274+1)/$NT$26,$NM$26/$NS$26)),0)</f>
        <v/>
      </c>
      <c r="JR26" s="18">
        <f>IF(AND(275&gt;=$NQ$26,275&lt;=$NR$26),IF($NO$26="Single_Point",IF(275=$NQ$26,$NM$26,0),IF($NO$26="Bell_Curve",$NM$26*(275-$NQ$26+1)*($NR$26-275+1)/$NT$26,$NM$26/$NS$26)),0)</f>
        <v/>
      </c>
      <c r="JS26" s="18">
        <f>IF(AND(276&gt;=$NQ$26,276&lt;=$NR$26),IF($NO$26="Single_Point",IF(276=$NQ$26,$NM$26,0),IF($NO$26="Bell_Curve",$NM$26*(276-$NQ$26+1)*($NR$26-276+1)/$NT$26,$NM$26/$NS$26)),0)</f>
        <v/>
      </c>
      <c r="JT26" s="18">
        <f>IF(AND(277&gt;=$NQ$26,277&lt;=$NR$26),IF($NO$26="Single_Point",IF(277=$NQ$26,$NM$26,0),IF($NO$26="Bell_Curve",$NM$26*(277-$NQ$26+1)*($NR$26-277+1)/$NT$26,$NM$26/$NS$26)),0)</f>
        <v/>
      </c>
      <c r="JU26" s="18">
        <f>IF(AND(278&gt;=$NQ$26,278&lt;=$NR$26),IF($NO$26="Single_Point",IF(278=$NQ$26,$NM$26,0),IF($NO$26="Bell_Curve",$NM$26*(278-$NQ$26+1)*($NR$26-278+1)/$NT$26,$NM$26/$NS$26)),0)</f>
        <v/>
      </c>
      <c r="JV26" s="18">
        <f>IF(AND(279&gt;=$NQ$26,279&lt;=$NR$26),IF($NO$26="Single_Point",IF(279=$NQ$26,$NM$26,0),IF($NO$26="Bell_Curve",$NM$26*(279-$NQ$26+1)*($NR$26-279+1)/$NT$26,$NM$26/$NS$26)),0)</f>
        <v/>
      </c>
      <c r="JW26" s="18">
        <f>IF(AND(280&gt;=$NQ$26,280&lt;=$NR$26),IF($NO$26="Single_Point",IF(280=$NQ$26,$NM$26,0),IF($NO$26="Bell_Curve",$NM$26*(280-$NQ$26+1)*($NR$26-280+1)/$NT$26,$NM$26/$NS$26)),0)</f>
        <v/>
      </c>
      <c r="JX26" s="18">
        <f>IF(AND(281&gt;=$NQ$26,281&lt;=$NR$26),IF($NO$26="Single_Point",IF(281=$NQ$26,$NM$26,0),IF($NO$26="Bell_Curve",$NM$26*(281-$NQ$26+1)*($NR$26-281+1)/$NT$26,$NM$26/$NS$26)),0)</f>
        <v/>
      </c>
      <c r="JY26" s="18">
        <f>IF(AND(282&gt;=$NQ$26,282&lt;=$NR$26),IF($NO$26="Single_Point",IF(282=$NQ$26,$NM$26,0),IF($NO$26="Bell_Curve",$NM$26*(282-$NQ$26+1)*($NR$26-282+1)/$NT$26,$NM$26/$NS$26)),0)</f>
        <v/>
      </c>
      <c r="JZ26" s="18">
        <f>IF(AND(283&gt;=$NQ$26,283&lt;=$NR$26),IF($NO$26="Single_Point",IF(283=$NQ$26,$NM$26,0),IF($NO$26="Bell_Curve",$NM$26*(283-$NQ$26+1)*($NR$26-283+1)/$NT$26,$NM$26/$NS$26)),0)</f>
        <v/>
      </c>
      <c r="KA26" s="18">
        <f>IF(AND(284&gt;=$NQ$26,284&lt;=$NR$26),IF($NO$26="Single_Point",IF(284=$NQ$26,$NM$26,0),IF($NO$26="Bell_Curve",$NM$26*(284-$NQ$26+1)*($NR$26-284+1)/$NT$26,$NM$26/$NS$26)),0)</f>
        <v/>
      </c>
      <c r="KB26" s="18">
        <f>IF(AND(285&gt;=$NQ$26,285&lt;=$NR$26),IF($NO$26="Single_Point",IF(285=$NQ$26,$NM$26,0),IF($NO$26="Bell_Curve",$NM$26*(285-$NQ$26+1)*($NR$26-285+1)/$NT$26,$NM$26/$NS$26)),0)</f>
        <v/>
      </c>
      <c r="KC26" s="18">
        <f>IF(AND(286&gt;=$NQ$26,286&lt;=$NR$26),IF($NO$26="Single_Point",IF(286=$NQ$26,$NM$26,0),IF($NO$26="Bell_Curve",$NM$26*(286-$NQ$26+1)*($NR$26-286+1)/$NT$26,$NM$26/$NS$26)),0)</f>
        <v/>
      </c>
      <c r="KD26" s="18">
        <f>IF(AND(287&gt;=$NQ$26,287&lt;=$NR$26),IF($NO$26="Single_Point",IF(287=$NQ$26,$NM$26,0),IF($NO$26="Bell_Curve",$NM$26*(287-$NQ$26+1)*($NR$26-287+1)/$NT$26,$NM$26/$NS$26)),0)</f>
        <v/>
      </c>
      <c r="KE26" s="18">
        <f>IF(AND(288&gt;=$NQ$26,288&lt;=$NR$26),IF($NO$26="Single_Point",IF(288=$NQ$26,$NM$26,0),IF($NO$26="Bell_Curve",$NM$26*(288-$NQ$26+1)*($NR$26-288+1)/$NT$26,$NM$26/$NS$26)),0)</f>
        <v/>
      </c>
      <c r="KF26" s="18">
        <f>IF(AND(289&gt;=$NQ$26,289&lt;=$NR$26),IF($NO$26="Single_Point",IF(289=$NQ$26,$NM$26,0),IF($NO$26="Bell_Curve",$NM$26*(289-$NQ$26+1)*($NR$26-289+1)/$NT$26,$NM$26/$NS$26)),0)</f>
        <v/>
      </c>
      <c r="KG26" s="18">
        <f>IF(AND(290&gt;=$NQ$26,290&lt;=$NR$26),IF($NO$26="Single_Point",IF(290=$NQ$26,$NM$26,0),IF($NO$26="Bell_Curve",$NM$26*(290-$NQ$26+1)*($NR$26-290+1)/$NT$26,$NM$26/$NS$26)),0)</f>
        <v/>
      </c>
      <c r="KH26" s="18">
        <f>IF(AND(291&gt;=$NQ$26,291&lt;=$NR$26),IF($NO$26="Single_Point",IF(291=$NQ$26,$NM$26,0),IF($NO$26="Bell_Curve",$NM$26*(291-$NQ$26+1)*($NR$26-291+1)/$NT$26,$NM$26/$NS$26)),0)</f>
        <v/>
      </c>
      <c r="KI26" s="18">
        <f>IF(AND(292&gt;=$NQ$26,292&lt;=$NR$26),IF($NO$26="Single_Point",IF(292=$NQ$26,$NM$26,0),IF($NO$26="Bell_Curve",$NM$26*(292-$NQ$26+1)*($NR$26-292+1)/$NT$26,$NM$26/$NS$26)),0)</f>
        <v/>
      </c>
      <c r="KJ26" s="18">
        <f>IF(AND(293&gt;=$NQ$26,293&lt;=$NR$26),IF($NO$26="Single_Point",IF(293=$NQ$26,$NM$26,0),IF($NO$26="Bell_Curve",$NM$26*(293-$NQ$26+1)*($NR$26-293+1)/$NT$26,$NM$26/$NS$26)),0)</f>
        <v/>
      </c>
      <c r="KK26" s="18">
        <f>IF(AND(294&gt;=$NQ$26,294&lt;=$NR$26),IF($NO$26="Single_Point",IF(294=$NQ$26,$NM$26,0),IF($NO$26="Bell_Curve",$NM$26*(294-$NQ$26+1)*($NR$26-294+1)/$NT$26,$NM$26/$NS$26)),0)</f>
        <v/>
      </c>
      <c r="KL26" s="18">
        <f>IF(AND(295&gt;=$NQ$26,295&lt;=$NR$26),IF($NO$26="Single_Point",IF(295=$NQ$26,$NM$26,0),IF($NO$26="Bell_Curve",$NM$26*(295-$NQ$26+1)*($NR$26-295+1)/$NT$26,$NM$26/$NS$26)),0)</f>
        <v/>
      </c>
      <c r="KM26" s="18">
        <f>IF(AND(296&gt;=$NQ$26,296&lt;=$NR$26),IF($NO$26="Single_Point",IF(296=$NQ$26,$NM$26,0),IF($NO$26="Bell_Curve",$NM$26*(296-$NQ$26+1)*($NR$26-296+1)/$NT$26,$NM$26/$NS$26)),0)</f>
        <v/>
      </c>
      <c r="KN26" s="18">
        <f>IF(AND(297&gt;=$NQ$26,297&lt;=$NR$26),IF($NO$26="Single_Point",IF(297=$NQ$26,$NM$26,0),IF($NO$26="Bell_Curve",$NM$26*(297-$NQ$26+1)*($NR$26-297+1)/$NT$26,$NM$26/$NS$26)),0)</f>
        <v/>
      </c>
      <c r="KO26" s="18">
        <f>IF(AND(298&gt;=$NQ$26,298&lt;=$NR$26),IF($NO$26="Single_Point",IF(298=$NQ$26,$NM$26,0),IF($NO$26="Bell_Curve",$NM$26*(298-$NQ$26+1)*($NR$26-298+1)/$NT$26,$NM$26/$NS$26)),0)</f>
        <v/>
      </c>
      <c r="KP26" s="18">
        <f>IF(AND(299&gt;=$NQ$26,299&lt;=$NR$26),IF($NO$26="Single_Point",IF(299=$NQ$26,$NM$26,0),IF($NO$26="Bell_Curve",$NM$26*(299-$NQ$26+1)*($NR$26-299+1)/$NT$26,$NM$26/$NS$26)),0)</f>
        <v/>
      </c>
      <c r="KQ26" s="18">
        <f>IF(AND(300&gt;=$NQ$26,300&lt;=$NR$26),IF($NO$26="Single_Point",IF(300=$NQ$26,$NM$26,0),IF($NO$26="Bell_Curve",$NM$26*(300-$NQ$26+1)*($NR$26-300+1)/$NT$26,$NM$26/$NS$26)),0)</f>
        <v/>
      </c>
      <c r="KR26" s="18">
        <f>IF(AND(301&gt;=$NQ$26,301&lt;=$NR$26),IF($NO$26="Single_Point",IF(301=$NQ$26,$NM$26,0),IF($NO$26="Bell_Curve",$NM$26*(301-$NQ$26+1)*($NR$26-301+1)/$NT$26,$NM$26/$NS$26)),0)</f>
        <v/>
      </c>
      <c r="KS26" s="18">
        <f>IF(AND(302&gt;=$NQ$26,302&lt;=$NR$26),IF($NO$26="Single_Point",IF(302=$NQ$26,$NM$26,0),IF($NO$26="Bell_Curve",$NM$26*(302-$NQ$26+1)*($NR$26-302+1)/$NT$26,$NM$26/$NS$26)),0)</f>
        <v/>
      </c>
      <c r="KT26" s="18">
        <f>IF(AND(303&gt;=$NQ$26,303&lt;=$NR$26),IF($NO$26="Single_Point",IF(303=$NQ$26,$NM$26,0),IF($NO$26="Bell_Curve",$NM$26*(303-$NQ$26+1)*($NR$26-303+1)/$NT$26,$NM$26/$NS$26)),0)</f>
        <v/>
      </c>
      <c r="KU26" s="18">
        <f>IF(AND(304&gt;=$NQ$26,304&lt;=$NR$26),IF($NO$26="Single_Point",IF(304=$NQ$26,$NM$26,0),IF($NO$26="Bell_Curve",$NM$26*(304-$NQ$26+1)*($NR$26-304+1)/$NT$26,$NM$26/$NS$26)),0)</f>
        <v/>
      </c>
      <c r="KV26" s="18">
        <f>IF(AND(305&gt;=$NQ$26,305&lt;=$NR$26),IF($NO$26="Single_Point",IF(305=$NQ$26,$NM$26,0),IF($NO$26="Bell_Curve",$NM$26*(305-$NQ$26+1)*($NR$26-305+1)/$NT$26,$NM$26/$NS$26)),0)</f>
        <v/>
      </c>
      <c r="KW26" s="18">
        <f>IF(AND(306&gt;=$NQ$26,306&lt;=$NR$26),IF($NO$26="Single_Point",IF(306=$NQ$26,$NM$26,0),IF($NO$26="Bell_Curve",$NM$26*(306-$NQ$26+1)*($NR$26-306+1)/$NT$26,$NM$26/$NS$26)),0)</f>
        <v/>
      </c>
      <c r="KX26" s="18">
        <f>IF(AND(307&gt;=$NQ$26,307&lt;=$NR$26),IF($NO$26="Single_Point",IF(307=$NQ$26,$NM$26,0),IF($NO$26="Bell_Curve",$NM$26*(307-$NQ$26+1)*($NR$26-307+1)/$NT$26,$NM$26/$NS$26)),0)</f>
        <v/>
      </c>
      <c r="KY26" s="18">
        <f>IF(AND(308&gt;=$NQ$26,308&lt;=$NR$26),IF($NO$26="Single_Point",IF(308=$NQ$26,$NM$26,0),IF($NO$26="Bell_Curve",$NM$26*(308-$NQ$26+1)*($NR$26-308+1)/$NT$26,$NM$26/$NS$26)),0)</f>
        <v/>
      </c>
      <c r="KZ26" s="18">
        <f>IF(AND(309&gt;=$NQ$26,309&lt;=$NR$26),IF($NO$26="Single_Point",IF(309=$NQ$26,$NM$26,0),IF($NO$26="Bell_Curve",$NM$26*(309-$NQ$26+1)*($NR$26-309+1)/$NT$26,$NM$26/$NS$26)),0)</f>
        <v/>
      </c>
      <c r="LA26" s="18">
        <f>IF(AND(310&gt;=$NQ$26,310&lt;=$NR$26),IF($NO$26="Single_Point",IF(310=$NQ$26,$NM$26,0),IF($NO$26="Bell_Curve",$NM$26*(310-$NQ$26+1)*($NR$26-310+1)/$NT$26,$NM$26/$NS$26)),0)</f>
        <v/>
      </c>
      <c r="LB26" s="18">
        <f>IF(AND(311&gt;=$NQ$26,311&lt;=$NR$26),IF($NO$26="Single_Point",IF(311=$NQ$26,$NM$26,0),IF($NO$26="Bell_Curve",$NM$26*(311-$NQ$26+1)*($NR$26-311+1)/$NT$26,$NM$26/$NS$26)),0)</f>
        <v/>
      </c>
      <c r="LC26" s="18">
        <f>IF(AND(312&gt;=$NQ$26,312&lt;=$NR$26),IF($NO$26="Single_Point",IF(312=$NQ$26,$NM$26,0),IF($NO$26="Bell_Curve",$NM$26*(312-$NQ$26+1)*($NR$26-312+1)/$NT$26,$NM$26/$NS$26)),0)</f>
        <v/>
      </c>
      <c r="LD26" s="18">
        <f>IF(AND(313&gt;=$NQ$26,313&lt;=$NR$26),IF($NO$26="Single_Point",IF(313=$NQ$26,$NM$26,0),IF($NO$26="Bell_Curve",$NM$26*(313-$NQ$26+1)*($NR$26-313+1)/$NT$26,$NM$26/$NS$26)),0)</f>
        <v/>
      </c>
      <c r="LE26" s="18">
        <f>IF(AND(314&gt;=$NQ$26,314&lt;=$NR$26),IF($NO$26="Single_Point",IF(314=$NQ$26,$NM$26,0),IF($NO$26="Bell_Curve",$NM$26*(314-$NQ$26+1)*($NR$26-314+1)/$NT$26,$NM$26/$NS$26)),0)</f>
        <v/>
      </c>
      <c r="LF26" s="18">
        <f>IF(AND(315&gt;=$NQ$26,315&lt;=$NR$26),IF($NO$26="Single_Point",IF(315=$NQ$26,$NM$26,0),IF($NO$26="Bell_Curve",$NM$26*(315-$NQ$26+1)*($NR$26-315+1)/$NT$26,$NM$26/$NS$26)),0)</f>
        <v/>
      </c>
      <c r="LG26" s="18">
        <f>IF(AND(316&gt;=$NQ$26,316&lt;=$NR$26),IF($NO$26="Single_Point",IF(316=$NQ$26,$NM$26,0),IF($NO$26="Bell_Curve",$NM$26*(316-$NQ$26+1)*($NR$26-316+1)/$NT$26,$NM$26/$NS$26)),0)</f>
        <v/>
      </c>
      <c r="LH26" s="18">
        <f>IF(AND(317&gt;=$NQ$26,317&lt;=$NR$26),IF($NO$26="Single_Point",IF(317=$NQ$26,$NM$26,0),IF($NO$26="Bell_Curve",$NM$26*(317-$NQ$26+1)*($NR$26-317+1)/$NT$26,$NM$26/$NS$26)),0)</f>
        <v/>
      </c>
      <c r="LI26" s="18">
        <f>IF(AND(318&gt;=$NQ$26,318&lt;=$NR$26),IF($NO$26="Single_Point",IF(318=$NQ$26,$NM$26,0),IF($NO$26="Bell_Curve",$NM$26*(318-$NQ$26+1)*($NR$26-318+1)/$NT$26,$NM$26/$NS$26)),0)</f>
        <v/>
      </c>
      <c r="LJ26" s="18">
        <f>IF(AND(319&gt;=$NQ$26,319&lt;=$NR$26),IF($NO$26="Single_Point",IF(319=$NQ$26,$NM$26,0),IF($NO$26="Bell_Curve",$NM$26*(319-$NQ$26+1)*($NR$26-319+1)/$NT$26,$NM$26/$NS$26)),0)</f>
        <v/>
      </c>
      <c r="LK26" s="18">
        <f>IF(AND(320&gt;=$NQ$26,320&lt;=$NR$26),IF($NO$26="Single_Point",IF(320=$NQ$26,$NM$26,0),IF($NO$26="Bell_Curve",$NM$26*(320-$NQ$26+1)*($NR$26-320+1)/$NT$26,$NM$26/$NS$26)),0)</f>
        <v/>
      </c>
      <c r="LL26" s="18">
        <f>IF(AND(321&gt;=$NQ$26,321&lt;=$NR$26),IF($NO$26="Single_Point",IF(321=$NQ$26,$NM$26,0),IF($NO$26="Bell_Curve",$NM$26*(321-$NQ$26+1)*($NR$26-321+1)/$NT$26,$NM$26/$NS$26)),0)</f>
        <v/>
      </c>
      <c r="LM26" s="18">
        <f>IF(AND(322&gt;=$NQ$26,322&lt;=$NR$26),IF($NO$26="Single_Point",IF(322=$NQ$26,$NM$26,0),IF($NO$26="Bell_Curve",$NM$26*(322-$NQ$26+1)*($NR$26-322+1)/$NT$26,$NM$26/$NS$26)),0)</f>
        <v/>
      </c>
      <c r="LN26" s="18">
        <f>IF(AND(323&gt;=$NQ$26,323&lt;=$NR$26),IF($NO$26="Single_Point",IF(323=$NQ$26,$NM$26,0),IF($NO$26="Bell_Curve",$NM$26*(323-$NQ$26+1)*($NR$26-323+1)/$NT$26,$NM$26/$NS$26)),0)</f>
        <v/>
      </c>
      <c r="LO26" s="18">
        <f>IF(AND(324&gt;=$NQ$26,324&lt;=$NR$26),IF($NO$26="Single_Point",IF(324=$NQ$26,$NM$26,0),IF($NO$26="Bell_Curve",$NM$26*(324-$NQ$26+1)*($NR$26-324+1)/$NT$26,$NM$26/$NS$26)),0)</f>
        <v/>
      </c>
      <c r="LP26" s="18">
        <f>IF(AND(325&gt;=$NQ$26,325&lt;=$NR$26),IF($NO$26="Single_Point",IF(325=$NQ$26,$NM$26,0),IF($NO$26="Bell_Curve",$NM$26*(325-$NQ$26+1)*($NR$26-325+1)/$NT$26,$NM$26/$NS$26)),0)</f>
        <v/>
      </c>
      <c r="LQ26" s="18">
        <f>IF(AND(326&gt;=$NQ$26,326&lt;=$NR$26),IF($NO$26="Single_Point",IF(326=$NQ$26,$NM$26,0),IF($NO$26="Bell_Curve",$NM$26*(326-$NQ$26+1)*($NR$26-326+1)/$NT$26,$NM$26/$NS$26)),0)</f>
        <v/>
      </c>
      <c r="LR26" s="18">
        <f>IF(AND(327&gt;=$NQ$26,327&lt;=$NR$26),IF($NO$26="Single_Point",IF(327=$NQ$26,$NM$26,0),IF($NO$26="Bell_Curve",$NM$26*(327-$NQ$26+1)*($NR$26-327+1)/$NT$26,$NM$26/$NS$26)),0)</f>
        <v/>
      </c>
      <c r="LS26" s="18">
        <f>IF(AND(328&gt;=$NQ$26,328&lt;=$NR$26),IF($NO$26="Single_Point",IF(328=$NQ$26,$NM$26,0),IF($NO$26="Bell_Curve",$NM$26*(328-$NQ$26+1)*($NR$26-328+1)/$NT$26,$NM$26/$NS$26)),0)</f>
        <v/>
      </c>
      <c r="LT26" s="18">
        <f>IF(AND(329&gt;=$NQ$26,329&lt;=$NR$26),IF($NO$26="Single_Point",IF(329=$NQ$26,$NM$26,0),IF($NO$26="Bell_Curve",$NM$26*(329-$NQ$26+1)*($NR$26-329+1)/$NT$26,$NM$26/$NS$26)),0)</f>
        <v/>
      </c>
      <c r="LU26" s="18">
        <f>IF(AND(330&gt;=$NQ$26,330&lt;=$NR$26),IF($NO$26="Single_Point",IF(330=$NQ$26,$NM$26,0),IF($NO$26="Bell_Curve",$NM$26*(330-$NQ$26+1)*($NR$26-330+1)/$NT$26,$NM$26/$NS$26)),0)</f>
        <v/>
      </c>
      <c r="LV26" s="18">
        <f>IF(AND(331&gt;=$NQ$26,331&lt;=$NR$26),IF($NO$26="Single_Point",IF(331=$NQ$26,$NM$26,0),IF($NO$26="Bell_Curve",$NM$26*(331-$NQ$26+1)*($NR$26-331+1)/$NT$26,$NM$26/$NS$26)),0)</f>
        <v/>
      </c>
      <c r="LW26" s="18">
        <f>IF(AND(332&gt;=$NQ$26,332&lt;=$NR$26),IF($NO$26="Single_Point",IF(332=$NQ$26,$NM$26,0),IF($NO$26="Bell_Curve",$NM$26*(332-$NQ$26+1)*($NR$26-332+1)/$NT$26,$NM$26/$NS$26)),0)</f>
        <v/>
      </c>
      <c r="LX26" s="18">
        <f>IF(AND(333&gt;=$NQ$26,333&lt;=$NR$26),IF($NO$26="Single_Point",IF(333=$NQ$26,$NM$26,0),IF($NO$26="Bell_Curve",$NM$26*(333-$NQ$26+1)*($NR$26-333+1)/$NT$26,$NM$26/$NS$26)),0)</f>
        <v/>
      </c>
      <c r="LY26" s="18">
        <f>IF(AND(334&gt;=$NQ$26,334&lt;=$NR$26),IF($NO$26="Single_Point",IF(334=$NQ$26,$NM$26,0),IF($NO$26="Bell_Curve",$NM$26*(334-$NQ$26+1)*($NR$26-334+1)/$NT$26,$NM$26/$NS$26)),0)</f>
        <v/>
      </c>
      <c r="LZ26" s="18">
        <f>IF(AND(335&gt;=$NQ$26,335&lt;=$NR$26),IF($NO$26="Single_Point",IF(335=$NQ$26,$NM$26,0),IF($NO$26="Bell_Curve",$NM$26*(335-$NQ$26+1)*($NR$26-335+1)/$NT$26,$NM$26/$NS$26)),0)</f>
        <v/>
      </c>
      <c r="MA26" s="18">
        <f>IF(AND(336&gt;=$NQ$26,336&lt;=$NR$26),IF($NO$26="Single_Point",IF(336=$NQ$26,$NM$26,0),IF($NO$26="Bell_Curve",$NM$26*(336-$NQ$26+1)*($NR$26-336+1)/$NT$26,$NM$26/$NS$26)),0)</f>
        <v/>
      </c>
      <c r="MB26" s="18">
        <f>IF(AND(337&gt;=$NQ$26,337&lt;=$NR$26),IF($NO$26="Single_Point",IF(337=$NQ$26,$NM$26,0),IF($NO$26="Bell_Curve",$NM$26*(337-$NQ$26+1)*($NR$26-337+1)/$NT$26,$NM$26/$NS$26)),0)</f>
        <v/>
      </c>
      <c r="MC26" s="18">
        <f>IF(AND(338&gt;=$NQ$26,338&lt;=$NR$26),IF($NO$26="Single_Point",IF(338=$NQ$26,$NM$26,0),IF($NO$26="Bell_Curve",$NM$26*(338-$NQ$26+1)*($NR$26-338+1)/$NT$26,$NM$26/$NS$26)),0)</f>
        <v/>
      </c>
      <c r="MD26" s="18">
        <f>IF(AND(339&gt;=$NQ$26,339&lt;=$NR$26),IF($NO$26="Single_Point",IF(339=$NQ$26,$NM$26,0),IF($NO$26="Bell_Curve",$NM$26*(339-$NQ$26+1)*($NR$26-339+1)/$NT$26,$NM$26/$NS$26)),0)</f>
        <v/>
      </c>
      <c r="ME26" s="18">
        <f>IF(AND(340&gt;=$NQ$26,340&lt;=$NR$26),IF($NO$26="Single_Point",IF(340=$NQ$26,$NM$26,0),IF($NO$26="Bell_Curve",$NM$26*(340-$NQ$26+1)*($NR$26-340+1)/$NT$26,$NM$26/$NS$26)),0)</f>
        <v/>
      </c>
      <c r="MF26" s="18">
        <f>IF(AND(341&gt;=$NQ$26,341&lt;=$NR$26),IF($NO$26="Single_Point",IF(341=$NQ$26,$NM$26,0),IF($NO$26="Bell_Curve",$NM$26*(341-$NQ$26+1)*($NR$26-341+1)/$NT$26,$NM$26/$NS$26)),0)</f>
        <v/>
      </c>
      <c r="MG26" s="18">
        <f>IF(AND(342&gt;=$NQ$26,342&lt;=$NR$26),IF($NO$26="Single_Point",IF(342=$NQ$26,$NM$26,0),IF($NO$26="Bell_Curve",$NM$26*(342-$NQ$26+1)*($NR$26-342+1)/$NT$26,$NM$26/$NS$26)),0)</f>
        <v/>
      </c>
      <c r="MH26" s="18">
        <f>IF(AND(343&gt;=$NQ$26,343&lt;=$NR$26),IF($NO$26="Single_Point",IF(343=$NQ$26,$NM$26,0),IF($NO$26="Bell_Curve",$NM$26*(343-$NQ$26+1)*($NR$26-343+1)/$NT$26,$NM$26/$NS$26)),0)</f>
        <v/>
      </c>
      <c r="MI26" s="18">
        <f>IF(AND(344&gt;=$NQ$26,344&lt;=$NR$26),IF($NO$26="Single_Point",IF(344=$NQ$26,$NM$26,0),IF($NO$26="Bell_Curve",$NM$26*(344-$NQ$26+1)*($NR$26-344+1)/$NT$26,$NM$26/$NS$26)),0)</f>
        <v/>
      </c>
      <c r="MJ26" s="18">
        <f>IF(AND(345&gt;=$NQ$26,345&lt;=$NR$26),IF($NO$26="Single_Point",IF(345=$NQ$26,$NM$26,0),IF($NO$26="Bell_Curve",$NM$26*(345-$NQ$26+1)*($NR$26-345+1)/$NT$26,$NM$26/$NS$26)),0)</f>
        <v/>
      </c>
      <c r="MK26" s="18">
        <f>IF(AND(346&gt;=$NQ$26,346&lt;=$NR$26),IF($NO$26="Single_Point",IF(346=$NQ$26,$NM$26,0),IF($NO$26="Bell_Curve",$NM$26*(346-$NQ$26+1)*($NR$26-346+1)/$NT$26,$NM$26/$NS$26)),0)</f>
        <v/>
      </c>
      <c r="ML26" s="18">
        <f>IF(AND(347&gt;=$NQ$26,347&lt;=$NR$26),IF($NO$26="Single_Point",IF(347=$NQ$26,$NM$26,0),IF($NO$26="Bell_Curve",$NM$26*(347-$NQ$26+1)*($NR$26-347+1)/$NT$26,$NM$26/$NS$26)),0)</f>
        <v/>
      </c>
      <c r="MM26" s="18">
        <f>IF(AND(348&gt;=$NQ$26,348&lt;=$NR$26),IF($NO$26="Single_Point",IF(348=$NQ$26,$NM$26,0),IF($NO$26="Bell_Curve",$NM$26*(348-$NQ$26+1)*($NR$26-348+1)/$NT$26,$NM$26/$NS$26)),0)</f>
        <v/>
      </c>
      <c r="MN26" s="18">
        <f>IF(AND(349&gt;=$NQ$26,349&lt;=$NR$26),IF($NO$26="Single_Point",IF(349=$NQ$26,$NM$26,0),IF($NO$26="Bell_Curve",$NM$26*(349-$NQ$26+1)*($NR$26-349+1)/$NT$26,$NM$26/$NS$26)),0)</f>
        <v/>
      </c>
      <c r="MO26" s="18">
        <f>IF(AND(350&gt;=$NQ$26,350&lt;=$NR$26),IF($NO$26="Single_Point",IF(350=$NQ$26,$NM$26,0),IF($NO$26="Bell_Curve",$NM$26*(350-$NQ$26+1)*($NR$26-350+1)/$NT$26,$NM$26/$NS$26)),0)</f>
        <v/>
      </c>
      <c r="MP26" s="18">
        <f>IF(AND(351&gt;=$NQ$26,351&lt;=$NR$26),IF($NO$26="Single_Point",IF(351=$NQ$26,$NM$26,0),IF($NO$26="Bell_Curve",$NM$26*(351-$NQ$26+1)*($NR$26-351+1)/$NT$26,$NM$26/$NS$26)),0)</f>
        <v/>
      </c>
      <c r="MQ26" s="18">
        <f>IF(AND(352&gt;=$NQ$26,352&lt;=$NR$26),IF($NO$26="Single_Point",IF(352=$NQ$26,$NM$26,0),IF($NO$26="Bell_Curve",$NM$26*(352-$NQ$26+1)*($NR$26-352+1)/$NT$26,$NM$26/$NS$26)),0)</f>
        <v/>
      </c>
      <c r="MR26" s="18">
        <f>IF(AND(353&gt;=$NQ$26,353&lt;=$NR$26),IF($NO$26="Single_Point",IF(353=$NQ$26,$NM$26,0),IF($NO$26="Bell_Curve",$NM$26*(353-$NQ$26+1)*($NR$26-353+1)/$NT$26,$NM$26/$NS$26)),0)</f>
        <v/>
      </c>
      <c r="MS26" s="18">
        <f>IF(AND(354&gt;=$NQ$26,354&lt;=$NR$26),IF($NO$26="Single_Point",IF(354=$NQ$26,$NM$26,0),IF($NO$26="Bell_Curve",$NM$26*(354-$NQ$26+1)*($NR$26-354+1)/$NT$26,$NM$26/$NS$26)),0)</f>
        <v/>
      </c>
      <c r="MT26" s="18">
        <f>IF(AND(355&gt;=$NQ$26,355&lt;=$NR$26),IF($NO$26="Single_Point",IF(355=$NQ$26,$NM$26,0),IF($NO$26="Bell_Curve",$NM$26*(355-$NQ$26+1)*($NR$26-355+1)/$NT$26,$NM$26/$NS$26)),0)</f>
        <v/>
      </c>
      <c r="MU26" s="18">
        <f>IF(AND(356&gt;=$NQ$26,356&lt;=$NR$26),IF($NO$26="Single_Point",IF(356=$NQ$26,$NM$26,0),IF($NO$26="Bell_Curve",$NM$26*(356-$NQ$26+1)*($NR$26-356+1)/$NT$26,$NM$26/$NS$26)),0)</f>
        <v/>
      </c>
      <c r="MV26" s="18">
        <f>IF(AND(357&gt;=$NQ$26,357&lt;=$NR$26),IF($NO$26="Single_Point",IF(357=$NQ$26,$NM$26,0),IF($NO$26="Bell_Curve",$NM$26*(357-$NQ$26+1)*($NR$26-357+1)/$NT$26,$NM$26/$NS$26)),0)</f>
        <v/>
      </c>
      <c r="MW26" s="18">
        <f>IF(AND(358&gt;=$NQ$26,358&lt;=$NR$26),IF($NO$26="Single_Point",IF(358=$NQ$26,$NM$26,0),IF($NO$26="Bell_Curve",$NM$26*(358-$NQ$26+1)*($NR$26-358+1)/$NT$26,$NM$26/$NS$26)),0)</f>
        <v/>
      </c>
      <c r="MX26" s="18">
        <f>IF(AND(359&gt;=$NQ$26,359&lt;=$NR$26),IF($NO$26="Single_Point",IF(359=$NQ$26,$NM$26,0),IF($NO$26="Bell_Curve",$NM$26*(359-$NQ$26+1)*($NR$26-359+1)/$NT$26,$NM$26/$NS$26)),0)</f>
        <v/>
      </c>
      <c r="MY26" s="18">
        <f>IF(AND(360&gt;=$NQ$26,360&lt;=$NR$26),IF($NO$26="Single_Point",IF(360=$NQ$26,$NM$26,0),IF($NO$26="Bell_Curve",$NM$26*(360-$NQ$26+1)*($NR$26-360+1)/$NT$26,$NM$26/$NS$26)),0)</f>
        <v/>
      </c>
      <c r="MZ26" s="18">
        <f>IF(AND(361&gt;=$NQ$26,361&lt;=$NR$26),IF($NO$26="Single_Point",IF(361=$NQ$26,$NM$26,0),IF($NO$26="Bell_Curve",$NM$26*(361-$NQ$26+1)*($NR$26-361+1)/$NT$26,$NM$26/$NS$26)),0)</f>
        <v/>
      </c>
      <c r="NA26" s="18">
        <f>IF(AND(362&gt;=$NQ$26,362&lt;=$NR$26),IF($NO$26="Single_Point",IF(362=$NQ$26,$NM$26,0),IF($NO$26="Bell_Curve",$NM$26*(362-$NQ$26+1)*($NR$26-362+1)/$NT$26,$NM$26/$NS$26)),0)</f>
        <v/>
      </c>
      <c r="NB26" s="18">
        <f>IF(AND(363&gt;=$NQ$26,363&lt;=$NR$26),IF($NO$26="Single_Point",IF(363=$NQ$26,$NM$26,0),IF($NO$26="Bell_Curve",$NM$26*(363-$NQ$26+1)*($NR$26-363+1)/$NT$26,$NM$26/$NS$26)),0)</f>
        <v/>
      </c>
      <c r="NC26" s="18">
        <f>IF(AND(364&gt;=$NQ$26,364&lt;=$NR$26),IF($NO$26="Single_Point",IF(364=$NQ$26,$NM$26,0),IF($NO$26="Bell_Curve",$NM$26*(364-$NQ$26+1)*($NR$26-364+1)/$NT$26,$NM$26/$NS$26)),0)</f>
        <v/>
      </c>
      <c r="ND26" s="18">
        <f>IF(AND(365&gt;=$NQ$26,365&lt;=$NR$26),IF($NO$26="Single_Point",IF(365=$NQ$26,$NM$26,0),IF($NO$26="Bell_Curve",$NM$26*(365-$NQ$26+1)*($NR$26-365+1)/$NT$26,$NM$26/$NS$26)),0)</f>
        <v/>
      </c>
      <c r="NE26" s="18">
        <f>IF(AND(366&gt;=$NQ$26,366&lt;=$NR$26),IF($NO$26="Single_Point",IF(366=$NQ$26,$NM$26,0),IF($NO$26="Bell_Curve",$NM$26*(366-$NQ$26+1)*($NR$26-366+1)/$NT$26,$NM$26/$NS$26)),0)</f>
        <v/>
      </c>
      <c r="NF26" s="18">
        <f>IF(AND(367&gt;=$NQ$26,367&lt;=$NR$26),IF($NO$26="Single_Point",IF(367=$NQ$26,$NM$26,0),IF($NO$26="Bell_Curve",$NM$26*(367-$NQ$26+1)*($NR$26-367+1)/$NT$26,$NM$26/$NS$26)),0)</f>
        <v/>
      </c>
      <c r="NG26" s="18">
        <f>IF(AND(368&gt;=$NQ$26,368&lt;=$NR$26),IF($NO$26="Single_Point",IF(368=$NQ$26,$NM$26,0),IF($NO$26="Bell_Curve",$NM$26*(368-$NQ$26+1)*($NR$26-368+1)/$NT$26,$NM$26/$NS$26)),0)</f>
        <v/>
      </c>
      <c r="NH26" s="18">
        <f>IF(AND(369&gt;=$NQ$26,369&lt;=$NR$26),IF($NO$26="Single_Point",IF(369=$NQ$26,$NM$26,0),IF($NO$26="Bell_Curve",$NM$26*(369-$NQ$26+1)*($NR$26-369+1)/$NT$26,$NM$26/$NS$26)),0)</f>
        <v/>
      </c>
      <c r="NI26" s="18">
        <f>IF(AND(370&gt;=$NQ$26,370&lt;=$NR$26),IF($NO$26="Single_Point",IF(370=$NQ$26,$NM$26,0),IF($NO$26="Bell_Curve",$NM$26*(370-$NQ$26+1)*($NR$26-370+1)/$NT$26,$NM$26/$NS$26)),0)</f>
        <v/>
      </c>
      <c r="NJ26" s="18">
        <f>IF(AND(371&gt;=$NQ$26,371&lt;=$NR$26),IF($NO$26="Single_Point",IF(371=$NQ$26,$NM$26,0),IF($NO$26="Bell_Curve",$NM$26*(371-$NQ$26+1)*($NR$26-371+1)/$NT$26,$NM$26/$NS$26)),0)</f>
        <v/>
      </c>
      <c r="NK26" s="18">
        <f>IF(AND(372&gt;=$NQ$26,372&lt;=$NR$26),IF($NO$26="Single_Point",IF(372=$NQ$26,$NM$26,0),IF($NO$26="Bell_Curve",$NM$26*(372-$NQ$26+1)*($NR$26-372+1)/$NT$26,$NM$26/$NS$26)),0)</f>
        <v/>
      </c>
      <c r="NM26" s="18">
        <f>Budget!I25</f>
        <v/>
      </c>
      <c r="NN26" s="42">
        <f>Budget!F25</f>
        <v/>
      </c>
      <c r="NO26" s="42">
        <f>Budget!G25</f>
        <v/>
      </c>
      <c r="NP26" s="17">
        <f>Budget!H25</f>
        <v/>
      </c>
      <c r="NQ26" s="32">
        <f>MAX(1,MIN(372,INDEX(MilestoneStart,MATCH(NN26,MilestoneNames,0))+NP26))</f>
        <v/>
      </c>
      <c r="NR26" s="32">
        <f>MAX(NQ26,MIN(372,INDEX(MilestoneEnd,MATCH(NN26,MilestoneNames,0))+NP26))</f>
        <v/>
      </c>
      <c r="NS26" s="17">
        <f>NR26-NQ26+1</f>
        <v/>
      </c>
      <c r="NT26" s="17">
        <f>NS26*(NS26+1)*(NS26+2)/6</f>
        <v/>
      </c>
    </row>
    <row r="27">
      <c r="A27" s="5" t="inlineStr">
        <is>
          <t>Other Hard Cost 1 - Landscape</t>
        </is>
      </c>
      <c r="C27" s="41">
        <f>SUM(D27:NK27)</f>
        <v/>
      </c>
      <c r="D27" s="18">
        <f>IF(AND(1&gt;=$NQ$27,1&lt;=$NR$27),IF($NO$27="Single_Point",IF(1=$NQ$27,$NM$27,0),IF($NO$27="Bell_Curve",$NM$27*(1-$NQ$27+1)*($NR$27-1+1)/$NT$27,$NM$27/$NS$27)),0)</f>
        <v/>
      </c>
      <c r="E27" s="18">
        <f>IF(AND(2&gt;=$NQ$27,2&lt;=$NR$27),IF($NO$27="Single_Point",IF(2=$NQ$27,$NM$27,0),IF($NO$27="Bell_Curve",$NM$27*(2-$NQ$27+1)*($NR$27-2+1)/$NT$27,$NM$27/$NS$27)),0)</f>
        <v/>
      </c>
      <c r="F27" s="18">
        <f>IF(AND(3&gt;=$NQ$27,3&lt;=$NR$27),IF($NO$27="Single_Point",IF(3=$NQ$27,$NM$27,0),IF($NO$27="Bell_Curve",$NM$27*(3-$NQ$27+1)*($NR$27-3+1)/$NT$27,$NM$27/$NS$27)),0)</f>
        <v/>
      </c>
      <c r="G27" s="18">
        <f>IF(AND(4&gt;=$NQ$27,4&lt;=$NR$27),IF($NO$27="Single_Point",IF(4=$NQ$27,$NM$27,0),IF($NO$27="Bell_Curve",$NM$27*(4-$NQ$27+1)*($NR$27-4+1)/$NT$27,$NM$27/$NS$27)),0)</f>
        <v/>
      </c>
      <c r="H27" s="18">
        <f>IF(AND(5&gt;=$NQ$27,5&lt;=$NR$27),IF($NO$27="Single_Point",IF(5=$NQ$27,$NM$27,0),IF($NO$27="Bell_Curve",$NM$27*(5-$NQ$27+1)*($NR$27-5+1)/$NT$27,$NM$27/$NS$27)),0)</f>
        <v/>
      </c>
      <c r="I27" s="18">
        <f>IF(AND(6&gt;=$NQ$27,6&lt;=$NR$27),IF($NO$27="Single_Point",IF(6=$NQ$27,$NM$27,0),IF($NO$27="Bell_Curve",$NM$27*(6-$NQ$27+1)*($NR$27-6+1)/$NT$27,$NM$27/$NS$27)),0)</f>
        <v/>
      </c>
      <c r="J27" s="18">
        <f>IF(AND(7&gt;=$NQ$27,7&lt;=$NR$27),IF($NO$27="Single_Point",IF(7=$NQ$27,$NM$27,0),IF($NO$27="Bell_Curve",$NM$27*(7-$NQ$27+1)*($NR$27-7+1)/$NT$27,$NM$27/$NS$27)),0)</f>
        <v/>
      </c>
      <c r="K27" s="18">
        <f>IF(AND(8&gt;=$NQ$27,8&lt;=$NR$27),IF($NO$27="Single_Point",IF(8=$NQ$27,$NM$27,0),IF($NO$27="Bell_Curve",$NM$27*(8-$NQ$27+1)*($NR$27-8+1)/$NT$27,$NM$27/$NS$27)),0)</f>
        <v/>
      </c>
      <c r="L27" s="18">
        <f>IF(AND(9&gt;=$NQ$27,9&lt;=$NR$27),IF($NO$27="Single_Point",IF(9=$NQ$27,$NM$27,0),IF($NO$27="Bell_Curve",$NM$27*(9-$NQ$27+1)*($NR$27-9+1)/$NT$27,$NM$27/$NS$27)),0)</f>
        <v/>
      </c>
      <c r="M27" s="18">
        <f>IF(AND(10&gt;=$NQ$27,10&lt;=$NR$27),IF($NO$27="Single_Point",IF(10=$NQ$27,$NM$27,0),IF($NO$27="Bell_Curve",$NM$27*(10-$NQ$27+1)*($NR$27-10+1)/$NT$27,$NM$27/$NS$27)),0)</f>
        <v/>
      </c>
      <c r="N27" s="18">
        <f>IF(AND(11&gt;=$NQ$27,11&lt;=$NR$27),IF($NO$27="Single_Point",IF(11=$NQ$27,$NM$27,0),IF($NO$27="Bell_Curve",$NM$27*(11-$NQ$27+1)*($NR$27-11+1)/$NT$27,$NM$27/$NS$27)),0)</f>
        <v/>
      </c>
      <c r="O27" s="18">
        <f>IF(AND(12&gt;=$NQ$27,12&lt;=$NR$27),IF($NO$27="Single_Point",IF(12=$NQ$27,$NM$27,0),IF($NO$27="Bell_Curve",$NM$27*(12-$NQ$27+1)*($NR$27-12+1)/$NT$27,$NM$27/$NS$27)),0)</f>
        <v/>
      </c>
      <c r="P27" s="18">
        <f>IF(AND(13&gt;=$NQ$27,13&lt;=$NR$27),IF($NO$27="Single_Point",IF(13=$NQ$27,$NM$27,0),IF($NO$27="Bell_Curve",$NM$27*(13-$NQ$27+1)*($NR$27-13+1)/$NT$27,$NM$27/$NS$27)),0)</f>
        <v/>
      </c>
      <c r="Q27" s="18">
        <f>IF(AND(14&gt;=$NQ$27,14&lt;=$NR$27),IF($NO$27="Single_Point",IF(14=$NQ$27,$NM$27,0),IF($NO$27="Bell_Curve",$NM$27*(14-$NQ$27+1)*($NR$27-14+1)/$NT$27,$NM$27/$NS$27)),0)</f>
        <v/>
      </c>
      <c r="R27" s="18">
        <f>IF(AND(15&gt;=$NQ$27,15&lt;=$NR$27),IF($NO$27="Single_Point",IF(15=$NQ$27,$NM$27,0),IF($NO$27="Bell_Curve",$NM$27*(15-$NQ$27+1)*($NR$27-15+1)/$NT$27,$NM$27/$NS$27)),0)</f>
        <v/>
      </c>
      <c r="S27" s="18">
        <f>IF(AND(16&gt;=$NQ$27,16&lt;=$NR$27),IF($NO$27="Single_Point",IF(16=$NQ$27,$NM$27,0),IF($NO$27="Bell_Curve",$NM$27*(16-$NQ$27+1)*($NR$27-16+1)/$NT$27,$NM$27/$NS$27)),0)</f>
        <v/>
      </c>
      <c r="T27" s="18">
        <f>IF(AND(17&gt;=$NQ$27,17&lt;=$NR$27),IF($NO$27="Single_Point",IF(17=$NQ$27,$NM$27,0),IF($NO$27="Bell_Curve",$NM$27*(17-$NQ$27+1)*($NR$27-17+1)/$NT$27,$NM$27/$NS$27)),0)</f>
        <v/>
      </c>
      <c r="U27" s="18">
        <f>IF(AND(18&gt;=$NQ$27,18&lt;=$NR$27),IF($NO$27="Single_Point",IF(18=$NQ$27,$NM$27,0),IF($NO$27="Bell_Curve",$NM$27*(18-$NQ$27+1)*($NR$27-18+1)/$NT$27,$NM$27/$NS$27)),0)</f>
        <v/>
      </c>
      <c r="V27" s="18">
        <f>IF(AND(19&gt;=$NQ$27,19&lt;=$NR$27),IF($NO$27="Single_Point",IF(19=$NQ$27,$NM$27,0),IF($NO$27="Bell_Curve",$NM$27*(19-$NQ$27+1)*($NR$27-19+1)/$NT$27,$NM$27/$NS$27)),0)</f>
        <v/>
      </c>
      <c r="W27" s="18">
        <f>IF(AND(20&gt;=$NQ$27,20&lt;=$NR$27),IF($NO$27="Single_Point",IF(20=$NQ$27,$NM$27,0),IF($NO$27="Bell_Curve",$NM$27*(20-$NQ$27+1)*($NR$27-20+1)/$NT$27,$NM$27/$NS$27)),0)</f>
        <v/>
      </c>
      <c r="X27" s="18">
        <f>IF(AND(21&gt;=$NQ$27,21&lt;=$NR$27),IF($NO$27="Single_Point",IF(21=$NQ$27,$NM$27,0),IF($NO$27="Bell_Curve",$NM$27*(21-$NQ$27+1)*($NR$27-21+1)/$NT$27,$NM$27/$NS$27)),0)</f>
        <v/>
      </c>
      <c r="Y27" s="18">
        <f>IF(AND(22&gt;=$NQ$27,22&lt;=$NR$27),IF($NO$27="Single_Point",IF(22=$NQ$27,$NM$27,0),IF($NO$27="Bell_Curve",$NM$27*(22-$NQ$27+1)*($NR$27-22+1)/$NT$27,$NM$27/$NS$27)),0)</f>
        <v/>
      </c>
      <c r="Z27" s="18">
        <f>IF(AND(23&gt;=$NQ$27,23&lt;=$NR$27),IF($NO$27="Single_Point",IF(23=$NQ$27,$NM$27,0),IF($NO$27="Bell_Curve",$NM$27*(23-$NQ$27+1)*($NR$27-23+1)/$NT$27,$NM$27/$NS$27)),0)</f>
        <v/>
      </c>
      <c r="AA27" s="18">
        <f>IF(AND(24&gt;=$NQ$27,24&lt;=$NR$27),IF($NO$27="Single_Point",IF(24=$NQ$27,$NM$27,0),IF($NO$27="Bell_Curve",$NM$27*(24-$NQ$27+1)*($NR$27-24+1)/$NT$27,$NM$27/$NS$27)),0)</f>
        <v/>
      </c>
      <c r="AB27" s="18">
        <f>IF(AND(25&gt;=$NQ$27,25&lt;=$NR$27),IF($NO$27="Single_Point",IF(25=$NQ$27,$NM$27,0),IF($NO$27="Bell_Curve",$NM$27*(25-$NQ$27+1)*($NR$27-25+1)/$NT$27,$NM$27/$NS$27)),0)</f>
        <v/>
      </c>
      <c r="AC27" s="18">
        <f>IF(AND(26&gt;=$NQ$27,26&lt;=$NR$27),IF($NO$27="Single_Point",IF(26=$NQ$27,$NM$27,0),IF($NO$27="Bell_Curve",$NM$27*(26-$NQ$27+1)*($NR$27-26+1)/$NT$27,$NM$27/$NS$27)),0)</f>
        <v/>
      </c>
      <c r="AD27" s="18">
        <f>IF(AND(27&gt;=$NQ$27,27&lt;=$NR$27),IF($NO$27="Single_Point",IF(27=$NQ$27,$NM$27,0),IF($NO$27="Bell_Curve",$NM$27*(27-$NQ$27+1)*($NR$27-27+1)/$NT$27,$NM$27/$NS$27)),0)</f>
        <v/>
      </c>
      <c r="AE27" s="18">
        <f>IF(AND(28&gt;=$NQ$27,28&lt;=$NR$27),IF($NO$27="Single_Point",IF(28=$NQ$27,$NM$27,0),IF($NO$27="Bell_Curve",$NM$27*(28-$NQ$27+1)*($NR$27-28+1)/$NT$27,$NM$27/$NS$27)),0)</f>
        <v/>
      </c>
      <c r="AF27" s="18">
        <f>IF(AND(29&gt;=$NQ$27,29&lt;=$NR$27),IF($NO$27="Single_Point",IF(29=$NQ$27,$NM$27,0),IF($NO$27="Bell_Curve",$NM$27*(29-$NQ$27+1)*($NR$27-29+1)/$NT$27,$NM$27/$NS$27)),0)</f>
        <v/>
      </c>
      <c r="AG27" s="18">
        <f>IF(AND(30&gt;=$NQ$27,30&lt;=$NR$27),IF($NO$27="Single_Point",IF(30=$NQ$27,$NM$27,0),IF($NO$27="Bell_Curve",$NM$27*(30-$NQ$27+1)*($NR$27-30+1)/$NT$27,$NM$27/$NS$27)),0)</f>
        <v/>
      </c>
      <c r="AH27" s="18">
        <f>IF(AND(31&gt;=$NQ$27,31&lt;=$NR$27),IF($NO$27="Single_Point",IF(31=$NQ$27,$NM$27,0),IF($NO$27="Bell_Curve",$NM$27*(31-$NQ$27+1)*($NR$27-31+1)/$NT$27,$NM$27/$NS$27)),0)</f>
        <v/>
      </c>
      <c r="AI27" s="18">
        <f>IF(AND(32&gt;=$NQ$27,32&lt;=$NR$27),IF($NO$27="Single_Point",IF(32=$NQ$27,$NM$27,0),IF($NO$27="Bell_Curve",$NM$27*(32-$NQ$27+1)*($NR$27-32+1)/$NT$27,$NM$27/$NS$27)),0)</f>
        <v/>
      </c>
      <c r="AJ27" s="18">
        <f>IF(AND(33&gt;=$NQ$27,33&lt;=$NR$27),IF($NO$27="Single_Point",IF(33=$NQ$27,$NM$27,0),IF($NO$27="Bell_Curve",$NM$27*(33-$NQ$27+1)*($NR$27-33+1)/$NT$27,$NM$27/$NS$27)),0)</f>
        <v/>
      </c>
      <c r="AK27" s="18">
        <f>IF(AND(34&gt;=$NQ$27,34&lt;=$NR$27),IF($NO$27="Single_Point",IF(34=$NQ$27,$NM$27,0),IF($NO$27="Bell_Curve",$NM$27*(34-$NQ$27+1)*($NR$27-34+1)/$NT$27,$NM$27/$NS$27)),0)</f>
        <v/>
      </c>
      <c r="AL27" s="18">
        <f>IF(AND(35&gt;=$NQ$27,35&lt;=$NR$27),IF($NO$27="Single_Point",IF(35=$NQ$27,$NM$27,0),IF($NO$27="Bell_Curve",$NM$27*(35-$NQ$27+1)*($NR$27-35+1)/$NT$27,$NM$27/$NS$27)),0)</f>
        <v/>
      </c>
      <c r="AM27" s="18">
        <f>IF(AND(36&gt;=$NQ$27,36&lt;=$NR$27),IF($NO$27="Single_Point",IF(36=$NQ$27,$NM$27,0),IF($NO$27="Bell_Curve",$NM$27*(36-$NQ$27+1)*($NR$27-36+1)/$NT$27,$NM$27/$NS$27)),0)</f>
        <v/>
      </c>
      <c r="AN27" s="18">
        <f>IF(AND(37&gt;=$NQ$27,37&lt;=$NR$27),IF($NO$27="Single_Point",IF(37=$NQ$27,$NM$27,0),IF($NO$27="Bell_Curve",$NM$27*(37-$NQ$27+1)*($NR$27-37+1)/$NT$27,$NM$27/$NS$27)),0)</f>
        <v/>
      </c>
      <c r="AO27" s="18">
        <f>IF(AND(38&gt;=$NQ$27,38&lt;=$NR$27),IF($NO$27="Single_Point",IF(38=$NQ$27,$NM$27,0),IF($NO$27="Bell_Curve",$NM$27*(38-$NQ$27+1)*($NR$27-38+1)/$NT$27,$NM$27/$NS$27)),0)</f>
        <v/>
      </c>
      <c r="AP27" s="18">
        <f>IF(AND(39&gt;=$NQ$27,39&lt;=$NR$27),IF($NO$27="Single_Point",IF(39=$NQ$27,$NM$27,0),IF($NO$27="Bell_Curve",$NM$27*(39-$NQ$27+1)*($NR$27-39+1)/$NT$27,$NM$27/$NS$27)),0)</f>
        <v/>
      </c>
      <c r="AQ27" s="18">
        <f>IF(AND(40&gt;=$NQ$27,40&lt;=$NR$27),IF($NO$27="Single_Point",IF(40=$NQ$27,$NM$27,0),IF($NO$27="Bell_Curve",$NM$27*(40-$NQ$27+1)*($NR$27-40+1)/$NT$27,$NM$27/$NS$27)),0)</f>
        <v/>
      </c>
      <c r="AR27" s="18">
        <f>IF(AND(41&gt;=$NQ$27,41&lt;=$NR$27),IF($NO$27="Single_Point",IF(41=$NQ$27,$NM$27,0),IF($NO$27="Bell_Curve",$NM$27*(41-$NQ$27+1)*($NR$27-41+1)/$NT$27,$NM$27/$NS$27)),0)</f>
        <v/>
      </c>
      <c r="AS27" s="18">
        <f>IF(AND(42&gt;=$NQ$27,42&lt;=$NR$27),IF($NO$27="Single_Point",IF(42=$NQ$27,$NM$27,0),IF($NO$27="Bell_Curve",$NM$27*(42-$NQ$27+1)*($NR$27-42+1)/$NT$27,$NM$27/$NS$27)),0)</f>
        <v/>
      </c>
      <c r="AT27" s="18">
        <f>IF(AND(43&gt;=$NQ$27,43&lt;=$NR$27),IF($NO$27="Single_Point",IF(43=$NQ$27,$NM$27,0),IF($NO$27="Bell_Curve",$NM$27*(43-$NQ$27+1)*($NR$27-43+1)/$NT$27,$NM$27/$NS$27)),0)</f>
        <v/>
      </c>
      <c r="AU27" s="18">
        <f>IF(AND(44&gt;=$NQ$27,44&lt;=$NR$27),IF($NO$27="Single_Point",IF(44=$NQ$27,$NM$27,0),IF($NO$27="Bell_Curve",$NM$27*(44-$NQ$27+1)*($NR$27-44+1)/$NT$27,$NM$27/$NS$27)),0)</f>
        <v/>
      </c>
      <c r="AV27" s="18">
        <f>IF(AND(45&gt;=$NQ$27,45&lt;=$NR$27),IF($NO$27="Single_Point",IF(45=$NQ$27,$NM$27,0),IF($NO$27="Bell_Curve",$NM$27*(45-$NQ$27+1)*($NR$27-45+1)/$NT$27,$NM$27/$NS$27)),0)</f>
        <v/>
      </c>
      <c r="AW27" s="18">
        <f>IF(AND(46&gt;=$NQ$27,46&lt;=$NR$27),IF($NO$27="Single_Point",IF(46=$NQ$27,$NM$27,0),IF($NO$27="Bell_Curve",$NM$27*(46-$NQ$27+1)*($NR$27-46+1)/$NT$27,$NM$27/$NS$27)),0)</f>
        <v/>
      </c>
      <c r="AX27" s="18">
        <f>IF(AND(47&gt;=$NQ$27,47&lt;=$NR$27),IF($NO$27="Single_Point",IF(47=$NQ$27,$NM$27,0),IF($NO$27="Bell_Curve",$NM$27*(47-$NQ$27+1)*($NR$27-47+1)/$NT$27,$NM$27/$NS$27)),0)</f>
        <v/>
      </c>
      <c r="AY27" s="18">
        <f>IF(AND(48&gt;=$NQ$27,48&lt;=$NR$27),IF($NO$27="Single_Point",IF(48=$NQ$27,$NM$27,0),IF($NO$27="Bell_Curve",$NM$27*(48-$NQ$27+1)*($NR$27-48+1)/$NT$27,$NM$27/$NS$27)),0)</f>
        <v/>
      </c>
      <c r="AZ27" s="18">
        <f>IF(AND(49&gt;=$NQ$27,49&lt;=$NR$27),IF($NO$27="Single_Point",IF(49=$NQ$27,$NM$27,0),IF($NO$27="Bell_Curve",$NM$27*(49-$NQ$27+1)*($NR$27-49+1)/$NT$27,$NM$27/$NS$27)),0)</f>
        <v/>
      </c>
      <c r="BA27" s="18">
        <f>IF(AND(50&gt;=$NQ$27,50&lt;=$NR$27),IF($NO$27="Single_Point",IF(50=$NQ$27,$NM$27,0),IF($NO$27="Bell_Curve",$NM$27*(50-$NQ$27+1)*($NR$27-50+1)/$NT$27,$NM$27/$NS$27)),0)</f>
        <v/>
      </c>
      <c r="BB27" s="18">
        <f>IF(AND(51&gt;=$NQ$27,51&lt;=$NR$27),IF($NO$27="Single_Point",IF(51=$NQ$27,$NM$27,0),IF($NO$27="Bell_Curve",$NM$27*(51-$NQ$27+1)*($NR$27-51+1)/$NT$27,$NM$27/$NS$27)),0)</f>
        <v/>
      </c>
      <c r="BC27" s="18">
        <f>IF(AND(52&gt;=$NQ$27,52&lt;=$NR$27),IF($NO$27="Single_Point",IF(52=$NQ$27,$NM$27,0),IF($NO$27="Bell_Curve",$NM$27*(52-$NQ$27+1)*($NR$27-52+1)/$NT$27,$NM$27/$NS$27)),0)</f>
        <v/>
      </c>
      <c r="BD27" s="18">
        <f>IF(AND(53&gt;=$NQ$27,53&lt;=$NR$27),IF($NO$27="Single_Point",IF(53=$NQ$27,$NM$27,0),IF($NO$27="Bell_Curve",$NM$27*(53-$NQ$27+1)*($NR$27-53+1)/$NT$27,$NM$27/$NS$27)),0)</f>
        <v/>
      </c>
      <c r="BE27" s="18">
        <f>IF(AND(54&gt;=$NQ$27,54&lt;=$NR$27),IF($NO$27="Single_Point",IF(54=$NQ$27,$NM$27,0),IF($NO$27="Bell_Curve",$NM$27*(54-$NQ$27+1)*($NR$27-54+1)/$NT$27,$NM$27/$NS$27)),0)</f>
        <v/>
      </c>
      <c r="BF27" s="18">
        <f>IF(AND(55&gt;=$NQ$27,55&lt;=$NR$27),IF($NO$27="Single_Point",IF(55=$NQ$27,$NM$27,0),IF($NO$27="Bell_Curve",$NM$27*(55-$NQ$27+1)*($NR$27-55+1)/$NT$27,$NM$27/$NS$27)),0)</f>
        <v/>
      </c>
      <c r="BG27" s="18">
        <f>IF(AND(56&gt;=$NQ$27,56&lt;=$NR$27),IF($NO$27="Single_Point",IF(56=$NQ$27,$NM$27,0),IF($NO$27="Bell_Curve",$NM$27*(56-$NQ$27+1)*($NR$27-56+1)/$NT$27,$NM$27/$NS$27)),0)</f>
        <v/>
      </c>
      <c r="BH27" s="18">
        <f>IF(AND(57&gt;=$NQ$27,57&lt;=$NR$27),IF($NO$27="Single_Point",IF(57=$NQ$27,$NM$27,0),IF($NO$27="Bell_Curve",$NM$27*(57-$NQ$27+1)*($NR$27-57+1)/$NT$27,$NM$27/$NS$27)),0)</f>
        <v/>
      </c>
      <c r="BI27" s="18">
        <f>IF(AND(58&gt;=$NQ$27,58&lt;=$NR$27),IF($NO$27="Single_Point",IF(58=$NQ$27,$NM$27,0),IF($NO$27="Bell_Curve",$NM$27*(58-$NQ$27+1)*($NR$27-58+1)/$NT$27,$NM$27/$NS$27)),0)</f>
        <v/>
      </c>
      <c r="BJ27" s="18">
        <f>IF(AND(59&gt;=$NQ$27,59&lt;=$NR$27),IF($NO$27="Single_Point",IF(59=$NQ$27,$NM$27,0),IF($NO$27="Bell_Curve",$NM$27*(59-$NQ$27+1)*($NR$27-59+1)/$NT$27,$NM$27/$NS$27)),0)</f>
        <v/>
      </c>
      <c r="BK27" s="18">
        <f>IF(AND(60&gt;=$NQ$27,60&lt;=$NR$27),IF($NO$27="Single_Point",IF(60=$NQ$27,$NM$27,0),IF($NO$27="Bell_Curve",$NM$27*(60-$NQ$27+1)*($NR$27-60+1)/$NT$27,$NM$27/$NS$27)),0)</f>
        <v/>
      </c>
      <c r="BL27" s="18">
        <f>IF(AND(61&gt;=$NQ$27,61&lt;=$NR$27),IF($NO$27="Single_Point",IF(61=$NQ$27,$NM$27,0),IF($NO$27="Bell_Curve",$NM$27*(61-$NQ$27+1)*($NR$27-61+1)/$NT$27,$NM$27/$NS$27)),0)</f>
        <v/>
      </c>
      <c r="BM27" s="18">
        <f>IF(AND(62&gt;=$NQ$27,62&lt;=$NR$27),IF($NO$27="Single_Point",IF(62=$NQ$27,$NM$27,0),IF($NO$27="Bell_Curve",$NM$27*(62-$NQ$27+1)*($NR$27-62+1)/$NT$27,$NM$27/$NS$27)),0)</f>
        <v/>
      </c>
      <c r="BN27" s="18">
        <f>IF(AND(63&gt;=$NQ$27,63&lt;=$NR$27),IF($NO$27="Single_Point",IF(63=$NQ$27,$NM$27,0),IF($NO$27="Bell_Curve",$NM$27*(63-$NQ$27+1)*($NR$27-63+1)/$NT$27,$NM$27/$NS$27)),0)</f>
        <v/>
      </c>
      <c r="BO27" s="18">
        <f>IF(AND(64&gt;=$NQ$27,64&lt;=$NR$27),IF($NO$27="Single_Point",IF(64=$NQ$27,$NM$27,0),IF($NO$27="Bell_Curve",$NM$27*(64-$NQ$27+1)*($NR$27-64+1)/$NT$27,$NM$27/$NS$27)),0)</f>
        <v/>
      </c>
      <c r="BP27" s="18">
        <f>IF(AND(65&gt;=$NQ$27,65&lt;=$NR$27),IF($NO$27="Single_Point",IF(65=$NQ$27,$NM$27,0),IF($NO$27="Bell_Curve",$NM$27*(65-$NQ$27+1)*($NR$27-65+1)/$NT$27,$NM$27/$NS$27)),0)</f>
        <v/>
      </c>
      <c r="BQ27" s="18">
        <f>IF(AND(66&gt;=$NQ$27,66&lt;=$NR$27),IF($NO$27="Single_Point",IF(66=$NQ$27,$NM$27,0),IF($NO$27="Bell_Curve",$NM$27*(66-$NQ$27+1)*($NR$27-66+1)/$NT$27,$NM$27/$NS$27)),0)</f>
        <v/>
      </c>
      <c r="BR27" s="18">
        <f>IF(AND(67&gt;=$NQ$27,67&lt;=$NR$27),IF($NO$27="Single_Point",IF(67=$NQ$27,$NM$27,0),IF($NO$27="Bell_Curve",$NM$27*(67-$NQ$27+1)*($NR$27-67+1)/$NT$27,$NM$27/$NS$27)),0)</f>
        <v/>
      </c>
      <c r="BS27" s="18">
        <f>IF(AND(68&gt;=$NQ$27,68&lt;=$NR$27),IF($NO$27="Single_Point",IF(68=$NQ$27,$NM$27,0),IF($NO$27="Bell_Curve",$NM$27*(68-$NQ$27+1)*($NR$27-68+1)/$NT$27,$NM$27/$NS$27)),0)</f>
        <v/>
      </c>
      <c r="BT27" s="18">
        <f>IF(AND(69&gt;=$NQ$27,69&lt;=$NR$27),IF($NO$27="Single_Point",IF(69=$NQ$27,$NM$27,0),IF($NO$27="Bell_Curve",$NM$27*(69-$NQ$27+1)*($NR$27-69+1)/$NT$27,$NM$27/$NS$27)),0)</f>
        <v/>
      </c>
      <c r="BU27" s="18">
        <f>IF(AND(70&gt;=$NQ$27,70&lt;=$NR$27),IF($NO$27="Single_Point",IF(70=$NQ$27,$NM$27,0),IF($NO$27="Bell_Curve",$NM$27*(70-$NQ$27+1)*($NR$27-70+1)/$NT$27,$NM$27/$NS$27)),0)</f>
        <v/>
      </c>
      <c r="BV27" s="18">
        <f>IF(AND(71&gt;=$NQ$27,71&lt;=$NR$27),IF($NO$27="Single_Point",IF(71=$NQ$27,$NM$27,0),IF($NO$27="Bell_Curve",$NM$27*(71-$NQ$27+1)*($NR$27-71+1)/$NT$27,$NM$27/$NS$27)),0)</f>
        <v/>
      </c>
      <c r="BW27" s="18">
        <f>IF(AND(72&gt;=$NQ$27,72&lt;=$NR$27),IF($NO$27="Single_Point",IF(72=$NQ$27,$NM$27,0),IF($NO$27="Bell_Curve",$NM$27*(72-$NQ$27+1)*($NR$27-72+1)/$NT$27,$NM$27/$NS$27)),0)</f>
        <v/>
      </c>
      <c r="BX27" s="18">
        <f>IF(AND(73&gt;=$NQ$27,73&lt;=$NR$27),IF($NO$27="Single_Point",IF(73=$NQ$27,$NM$27,0),IF($NO$27="Bell_Curve",$NM$27*(73-$NQ$27+1)*($NR$27-73+1)/$NT$27,$NM$27/$NS$27)),0)</f>
        <v/>
      </c>
      <c r="BY27" s="18">
        <f>IF(AND(74&gt;=$NQ$27,74&lt;=$NR$27),IF($NO$27="Single_Point",IF(74=$NQ$27,$NM$27,0),IF($NO$27="Bell_Curve",$NM$27*(74-$NQ$27+1)*($NR$27-74+1)/$NT$27,$NM$27/$NS$27)),0)</f>
        <v/>
      </c>
      <c r="BZ27" s="18">
        <f>IF(AND(75&gt;=$NQ$27,75&lt;=$NR$27),IF($NO$27="Single_Point",IF(75=$NQ$27,$NM$27,0),IF($NO$27="Bell_Curve",$NM$27*(75-$NQ$27+1)*($NR$27-75+1)/$NT$27,$NM$27/$NS$27)),0)</f>
        <v/>
      </c>
      <c r="CA27" s="18">
        <f>IF(AND(76&gt;=$NQ$27,76&lt;=$NR$27),IF($NO$27="Single_Point",IF(76=$NQ$27,$NM$27,0),IF($NO$27="Bell_Curve",$NM$27*(76-$NQ$27+1)*($NR$27-76+1)/$NT$27,$NM$27/$NS$27)),0)</f>
        <v/>
      </c>
      <c r="CB27" s="18">
        <f>IF(AND(77&gt;=$NQ$27,77&lt;=$NR$27),IF($NO$27="Single_Point",IF(77=$NQ$27,$NM$27,0),IF($NO$27="Bell_Curve",$NM$27*(77-$NQ$27+1)*($NR$27-77+1)/$NT$27,$NM$27/$NS$27)),0)</f>
        <v/>
      </c>
      <c r="CC27" s="18">
        <f>IF(AND(78&gt;=$NQ$27,78&lt;=$NR$27),IF($NO$27="Single_Point",IF(78=$NQ$27,$NM$27,0),IF($NO$27="Bell_Curve",$NM$27*(78-$NQ$27+1)*($NR$27-78+1)/$NT$27,$NM$27/$NS$27)),0)</f>
        <v/>
      </c>
      <c r="CD27" s="18">
        <f>IF(AND(79&gt;=$NQ$27,79&lt;=$NR$27),IF($NO$27="Single_Point",IF(79=$NQ$27,$NM$27,0),IF($NO$27="Bell_Curve",$NM$27*(79-$NQ$27+1)*($NR$27-79+1)/$NT$27,$NM$27/$NS$27)),0)</f>
        <v/>
      </c>
      <c r="CE27" s="18">
        <f>IF(AND(80&gt;=$NQ$27,80&lt;=$NR$27),IF($NO$27="Single_Point",IF(80=$NQ$27,$NM$27,0),IF($NO$27="Bell_Curve",$NM$27*(80-$NQ$27+1)*($NR$27-80+1)/$NT$27,$NM$27/$NS$27)),0)</f>
        <v/>
      </c>
      <c r="CF27" s="18">
        <f>IF(AND(81&gt;=$NQ$27,81&lt;=$NR$27),IF($NO$27="Single_Point",IF(81=$NQ$27,$NM$27,0),IF($NO$27="Bell_Curve",$NM$27*(81-$NQ$27+1)*($NR$27-81+1)/$NT$27,$NM$27/$NS$27)),0)</f>
        <v/>
      </c>
      <c r="CG27" s="18">
        <f>IF(AND(82&gt;=$NQ$27,82&lt;=$NR$27),IF($NO$27="Single_Point",IF(82=$NQ$27,$NM$27,0),IF($NO$27="Bell_Curve",$NM$27*(82-$NQ$27+1)*($NR$27-82+1)/$NT$27,$NM$27/$NS$27)),0)</f>
        <v/>
      </c>
      <c r="CH27" s="18">
        <f>IF(AND(83&gt;=$NQ$27,83&lt;=$NR$27),IF($NO$27="Single_Point",IF(83=$NQ$27,$NM$27,0),IF($NO$27="Bell_Curve",$NM$27*(83-$NQ$27+1)*($NR$27-83+1)/$NT$27,$NM$27/$NS$27)),0)</f>
        <v/>
      </c>
      <c r="CI27" s="18">
        <f>IF(AND(84&gt;=$NQ$27,84&lt;=$NR$27),IF($NO$27="Single_Point",IF(84=$NQ$27,$NM$27,0),IF($NO$27="Bell_Curve",$NM$27*(84-$NQ$27+1)*($NR$27-84+1)/$NT$27,$NM$27/$NS$27)),0)</f>
        <v/>
      </c>
      <c r="CJ27" s="18">
        <f>IF(AND(85&gt;=$NQ$27,85&lt;=$NR$27),IF($NO$27="Single_Point",IF(85=$NQ$27,$NM$27,0),IF($NO$27="Bell_Curve",$NM$27*(85-$NQ$27+1)*($NR$27-85+1)/$NT$27,$NM$27/$NS$27)),0)</f>
        <v/>
      </c>
      <c r="CK27" s="18">
        <f>IF(AND(86&gt;=$NQ$27,86&lt;=$NR$27),IF($NO$27="Single_Point",IF(86=$NQ$27,$NM$27,0),IF($NO$27="Bell_Curve",$NM$27*(86-$NQ$27+1)*($NR$27-86+1)/$NT$27,$NM$27/$NS$27)),0)</f>
        <v/>
      </c>
      <c r="CL27" s="18">
        <f>IF(AND(87&gt;=$NQ$27,87&lt;=$NR$27),IF($NO$27="Single_Point",IF(87=$NQ$27,$NM$27,0),IF($NO$27="Bell_Curve",$NM$27*(87-$NQ$27+1)*($NR$27-87+1)/$NT$27,$NM$27/$NS$27)),0)</f>
        <v/>
      </c>
      <c r="CM27" s="18">
        <f>IF(AND(88&gt;=$NQ$27,88&lt;=$NR$27),IF($NO$27="Single_Point",IF(88=$NQ$27,$NM$27,0),IF($NO$27="Bell_Curve",$NM$27*(88-$NQ$27+1)*($NR$27-88+1)/$NT$27,$NM$27/$NS$27)),0)</f>
        <v/>
      </c>
      <c r="CN27" s="18">
        <f>IF(AND(89&gt;=$NQ$27,89&lt;=$NR$27),IF($NO$27="Single_Point",IF(89=$NQ$27,$NM$27,0),IF($NO$27="Bell_Curve",$NM$27*(89-$NQ$27+1)*($NR$27-89+1)/$NT$27,$NM$27/$NS$27)),0)</f>
        <v/>
      </c>
      <c r="CO27" s="18">
        <f>IF(AND(90&gt;=$NQ$27,90&lt;=$NR$27),IF($NO$27="Single_Point",IF(90=$NQ$27,$NM$27,0),IF($NO$27="Bell_Curve",$NM$27*(90-$NQ$27+1)*($NR$27-90+1)/$NT$27,$NM$27/$NS$27)),0)</f>
        <v/>
      </c>
      <c r="CP27" s="18">
        <f>IF(AND(91&gt;=$NQ$27,91&lt;=$NR$27),IF($NO$27="Single_Point",IF(91=$NQ$27,$NM$27,0),IF($NO$27="Bell_Curve",$NM$27*(91-$NQ$27+1)*($NR$27-91+1)/$NT$27,$NM$27/$NS$27)),0)</f>
        <v/>
      </c>
      <c r="CQ27" s="18">
        <f>IF(AND(92&gt;=$NQ$27,92&lt;=$NR$27),IF($NO$27="Single_Point",IF(92=$NQ$27,$NM$27,0),IF($NO$27="Bell_Curve",$NM$27*(92-$NQ$27+1)*($NR$27-92+1)/$NT$27,$NM$27/$NS$27)),0)</f>
        <v/>
      </c>
      <c r="CR27" s="18">
        <f>IF(AND(93&gt;=$NQ$27,93&lt;=$NR$27),IF($NO$27="Single_Point",IF(93=$NQ$27,$NM$27,0),IF($NO$27="Bell_Curve",$NM$27*(93-$NQ$27+1)*($NR$27-93+1)/$NT$27,$NM$27/$NS$27)),0)</f>
        <v/>
      </c>
      <c r="CS27" s="18">
        <f>IF(AND(94&gt;=$NQ$27,94&lt;=$NR$27),IF($NO$27="Single_Point",IF(94=$NQ$27,$NM$27,0),IF($NO$27="Bell_Curve",$NM$27*(94-$NQ$27+1)*($NR$27-94+1)/$NT$27,$NM$27/$NS$27)),0)</f>
        <v/>
      </c>
      <c r="CT27" s="18">
        <f>IF(AND(95&gt;=$NQ$27,95&lt;=$NR$27),IF($NO$27="Single_Point",IF(95=$NQ$27,$NM$27,0),IF($NO$27="Bell_Curve",$NM$27*(95-$NQ$27+1)*($NR$27-95+1)/$NT$27,$NM$27/$NS$27)),0)</f>
        <v/>
      </c>
      <c r="CU27" s="18">
        <f>IF(AND(96&gt;=$NQ$27,96&lt;=$NR$27),IF($NO$27="Single_Point",IF(96=$NQ$27,$NM$27,0),IF($NO$27="Bell_Curve",$NM$27*(96-$NQ$27+1)*($NR$27-96+1)/$NT$27,$NM$27/$NS$27)),0)</f>
        <v/>
      </c>
      <c r="CV27" s="18">
        <f>IF(AND(97&gt;=$NQ$27,97&lt;=$NR$27),IF($NO$27="Single_Point",IF(97=$NQ$27,$NM$27,0),IF($NO$27="Bell_Curve",$NM$27*(97-$NQ$27+1)*($NR$27-97+1)/$NT$27,$NM$27/$NS$27)),0)</f>
        <v/>
      </c>
      <c r="CW27" s="18">
        <f>IF(AND(98&gt;=$NQ$27,98&lt;=$NR$27),IF($NO$27="Single_Point",IF(98=$NQ$27,$NM$27,0),IF($NO$27="Bell_Curve",$NM$27*(98-$NQ$27+1)*($NR$27-98+1)/$NT$27,$NM$27/$NS$27)),0)</f>
        <v/>
      </c>
      <c r="CX27" s="18">
        <f>IF(AND(99&gt;=$NQ$27,99&lt;=$NR$27),IF($NO$27="Single_Point",IF(99=$NQ$27,$NM$27,0),IF($NO$27="Bell_Curve",$NM$27*(99-$NQ$27+1)*($NR$27-99+1)/$NT$27,$NM$27/$NS$27)),0)</f>
        <v/>
      </c>
      <c r="CY27" s="18">
        <f>IF(AND(100&gt;=$NQ$27,100&lt;=$NR$27),IF($NO$27="Single_Point",IF(100=$NQ$27,$NM$27,0),IF($NO$27="Bell_Curve",$NM$27*(100-$NQ$27+1)*($NR$27-100+1)/$NT$27,$NM$27/$NS$27)),0)</f>
        <v/>
      </c>
      <c r="CZ27" s="18">
        <f>IF(AND(101&gt;=$NQ$27,101&lt;=$NR$27),IF($NO$27="Single_Point",IF(101=$NQ$27,$NM$27,0),IF($NO$27="Bell_Curve",$NM$27*(101-$NQ$27+1)*($NR$27-101+1)/$NT$27,$NM$27/$NS$27)),0)</f>
        <v/>
      </c>
      <c r="DA27" s="18">
        <f>IF(AND(102&gt;=$NQ$27,102&lt;=$NR$27),IF($NO$27="Single_Point",IF(102=$NQ$27,$NM$27,0),IF($NO$27="Bell_Curve",$NM$27*(102-$NQ$27+1)*($NR$27-102+1)/$NT$27,$NM$27/$NS$27)),0)</f>
        <v/>
      </c>
      <c r="DB27" s="18">
        <f>IF(AND(103&gt;=$NQ$27,103&lt;=$NR$27),IF($NO$27="Single_Point",IF(103=$NQ$27,$NM$27,0),IF($NO$27="Bell_Curve",$NM$27*(103-$NQ$27+1)*($NR$27-103+1)/$NT$27,$NM$27/$NS$27)),0)</f>
        <v/>
      </c>
      <c r="DC27" s="18">
        <f>IF(AND(104&gt;=$NQ$27,104&lt;=$NR$27),IF($NO$27="Single_Point",IF(104=$NQ$27,$NM$27,0),IF($NO$27="Bell_Curve",$NM$27*(104-$NQ$27+1)*($NR$27-104+1)/$NT$27,$NM$27/$NS$27)),0)</f>
        <v/>
      </c>
      <c r="DD27" s="18">
        <f>IF(AND(105&gt;=$NQ$27,105&lt;=$NR$27),IF($NO$27="Single_Point",IF(105=$NQ$27,$NM$27,0),IF($NO$27="Bell_Curve",$NM$27*(105-$NQ$27+1)*($NR$27-105+1)/$NT$27,$NM$27/$NS$27)),0)</f>
        <v/>
      </c>
      <c r="DE27" s="18">
        <f>IF(AND(106&gt;=$NQ$27,106&lt;=$NR$27),IF($NO$27="Single_Point",IF(106=$NQ$27,$NM$27,0),IF($NO$27="Bell_Curve",$NM$27*(106-$NQ$27+1)*($NR$27-106+1)/$NT$27,$NM$27/$NS$27)),0)</f>
        <v/>
      </c>
      <c r="DF27" s="18">
        <f>IF(AND(107&gt;=$NQ$27,107&lt;=$NR$27),IF($NO$27="Single_Point",IF(107=$NQ$27,$NM$27,0),IF($NO$27="Bell_Curve",$NM$27*(107-$NQ$27+1)*($NR$27-107+1)/$NT$27,$NM$27/$NS$27)),0)</f>
        <v/>
      </c>
      <c r="DG27" s="18">
        <f>IF(AND(108&gt;=$NQ$27,108&lt;=$NR$27),IF($NO$27="Single_Point",IF(108=$NQ$27,$NM$27,0),IF($NO$27="Bell_Curve",$NM$27*(108-$NQ$27+1)*($NR$27-108+1)/$NT$27,$NM$27/$NS$27)),0)</f>
        <v/>
      </c>
      <c r="DH27" s="18">
        <f>IF(AND(109&gt;=$NQ$27,109&lt;=$NR$27),IF($NO$27="Single_Point",IF(109=$NQ$27,$NM$27,0),IF($NO$27="Bell_Curve",$NM$27*(109-$NQ$27+1)*($NR$27-109+1)/$NT$27,$NM$27/$NS$27)),0)</f>
        <v/>
      </c>
      <c r="DI27" s="18">
        <f>IF(AND(110&gt;=$NQ$27,110&lt;=$NR$27),IF($NO$27="Single_Point",IF(110=$NQ$27,$NM$27,0),IF($NO$27="Bell_Curve",$NM$27*(110-$NQ$27+1)*($NR$27-110+1)/$NT$27,$NM$27/$NS$27)),0)</f>
        <v/>
      </c>
      <c r="DJ27" s="18">
        <f>IF(AND(111&gt;=$NQ$27,111&lt;=$NR$27),IF($NO$27="Single_Point",IF(111=$NQ$27,$NM$27,0),IF($NO$27="Bell_Curve",$NM$27*(111-$NQ$27+1)*($NR$27-111+1)/$NT$27,$NM$27/$NS$27)),0)</f>
        <v/>
      </c>
      <c r="DK27" s="18">
        <f>IF(AND(112&gt;=$NQ$27,112&lt;=$NR$27),IF($NO$27="Single_Point",IF(112=$NQ$27,$NM$27,0),IF($NO$27="Bell_Curve",$NM$27*(112-$NQ$27+1)*($NR$27-112+1)/$NT$27,$NM$27/$NS$27)),0)</f>
        <v/>
      </c>
      <c r="DL27" s="18">
        <f>IF(AND(113&gt;=$NQ$27,113&lt;=$NR$27),IF($NO$27="Single_Point",IF(113=$NQ$27,$NM$27,0),IF($NO$27="Bell_Curve",$NM$27*(113-$NQ$27+1)*($NR$27-113+1)/$NT$27,$NM$27/$NS$27)),0)</f>
        <v/>
      </c>
      <c r="DM27" s="18">
        <f>IF(AND(114&gt;=$NQ$27,114&lt;=$NR$27),IF($NO$27="Single_Point",IF(114=$NQ$27,$NM$27,0),IF($NO$27="Bell_Curve",$NM$27*(114-$NQ$27+1)*($NR$27-114+1)/$NT$27,$NM$27/$NS$27)),0)</f>
        <v/>
      </c>
      <c r="DN27" s="18">
        <f>IF(AND(115&gt;=$NQ$27,115&lt;=$NR$27),IF($NO$27="Single_Point",IF(115=$NQ$27,$NM$27,0),IF($NO$27="Bell_Curve",$NM$27*(115-$NQ$27+1)*($NR$27-115+1)/$NT$27,$NM$27/$NS$27)),0)</f>
        <v/>
      </c>
      <c r="DO27" s="18">
        <f>IF(AND(116&gt;=$NQ$27,116&lt;=$NR$27),IF($NO$27="Single_Point",IF(116=$NQ$27,$NM$27,0),IF($NO$27="Bell_Curve",$NM$27*(116-$NQ$27+1)*($NR$27-116+1)/$NT$27,$NM$27/$NS$27)),0)</f>
        <v/>
      </c>
      <c r="DP27" s="18">
        <f>IF(AND(117&gt;=$NQ$27,117&lt;=$NR$27),IF($NO$27="Single_Point",IF(117=$NQ$27,$NM$27,0),IF($NO$27="Bell_Curve",$NM$27*(117-$NQ$27+1)*($NR$27-117+1)/$NT$27,$NM$27/$NS$27)),0)</f>
        <v/>
      </c>
      <c r="DQ27" s="18">
        <f>IF(AND(118&gt;=$NQ$27,118&lt;=$NR$27),IF($NO$27="Single_Point",IF(118=$NQ$27,$NM$27,0),IF($NO$27="Bell_Curve",$NM$27*(118-$NQ$27+1)*($NR$27-118+1)/$NT$27,$NM$27/$NS$27)),0)</f>
        <v/>
      </c>
      <c r="DR27" s="18">
        <f>IF(AND(119&gt;=$NQ$27,119&lt;=$NR$27),IF($NO$27="Single_Point",IF(119=$NQ$27,$NM$27,0),IF($NO$27="Bell_Curve",$NM$27*(119-$NQ$27+1)*($NR$27-119+1)/$NT$27,$NM$27/$NS$27)),0)</f>
        <v/>
      </c>
      <c r="DS27" s="18">
        <f>IF(AND(120&gt;=$NQ$27,120&lt;=$NR$27),IF($NO$27="Single_Point",IF(120=$NQ$27,$NM$27,0),IF($NO$27="Bell_Curve",$NM$27*(120-$NQ$27+1)*($NR$27-120+1)/$NT$27,$NM$27/$NS$27)),0)</f>
        <v/>
      </c>
      <c r="DT27" s="18">
        <f>IF(AND(121&gt;=$NQ$27,121&lt;=$NR$27),IF($NO$27="Single_Point",IF(121=$NQ$27,$NM$27,0),IF($NO$27="Bell_Curve",$NM$27*(121-$NQ$27+1)*($NR$27-121+1)/$NT$27,$NM$27/$NS$27)),0)</f>
        <v/>
      </c>
      <c r="DU27" s="18">
        <f>IF(AND(122&gt;=$NQ$27,122&lt;=$NR$27),IF($NO$27="Single_Point",IF(122=$NQ$27,$NM$27,0),IF($NO$27="Bell_Curve",$NM$27*(122-$NQ$27+1)*($NR$27-122+1)/$NT$27,$NM$27/$NS$27)),0)</f>
        <v/>
      </c>
      <c r="DV27" s="18">
        <f>IF(AND(123&gt;=$NQ$27,123&lt;=$NR$27),IF($NO$27="Single_Point",IF(123=$NQ$27,$NM$27,0),IF($NO$27="Bell_Curve",$NM$27*(123-$NQ$27+1)*($NR$27-123+1)/$NT$27,$NM$27/$NS$27)),0)</f>
        <v/>
      </c>
      <c r="DW27" s="18">
        <f>IF(AND(124&gt;=$NQ$27,124&lt;=$NR$27),IF($NO$27="Single_Point",IF(124=$NQ$27,$NM$27,0),IF($NO$27="Bell_Curve",$NM$27*(124-$NQ$27+1)*($NR$27-124+1)/$NT$27,$NM$27/$NS$27)),0)</f>
        <v/>
      </c>
      <c r="DX27" s="18">
        <f>IF(AND(125&gt;=$NQ$27,125&lt;=$NR$27),IF($NO$27="Single_Point",IF(125=$NQ$27,$NM$27,0),IF($NO$27="Bell_Curve",$NM$27*(125-$NQ$27+1)*($NR$27-125+1)/$NT$27,$NM$27/$NS$27)),0)</f>
        <v/>
      </c>
      <c r="DY27" s="18">
        <f>IF(AND(126&gt;=$NQ$27,126&lt;=$NR$27),IF($NO$27="Single_Point",IF(126=$NQ$27,$NM$27,0),IF($NO$27="Bell_Curve",$NM$27*(126-$NQ$27+1)*($NR$27-126+1)/$NT$27,$NM$27/$NS$27)),0)</f>
        <v/>
      </c>
      <c r="DZ27" s="18">
        <f>IF(AND(127&gt;=$NQ$27,127&lt;=$NR$27),IF($NO$27="Single_Point",IF(127=$NQ$27,$NM$27,0),IF($NO$27="Bell_Curve",$NM$27*(127-$NQ$27+1)*($NR$27-127+1)/$NT$27,$NM$27/$NS$27)),0)</f>
        <v/>
      </c>
      <c r="EA27" s="18">
        <f>IF(AND(128&gt;=$NQ$27,128&lt;=$NR$27),IF($NO$27="Single_Point",IF(128=$NQ$27,$NM$27,0),IF($NO$27="Bell_Curve",$NM$27*(128-$NQ$27+1)*($NR$27-128+1)/$NT$27,$NM$27/$NS$27)),0)</f>
        <v/>
      </c>
      <c r="EB27" s="18">
        <f>IF(AND(129&gt;=$NQ$27,129&lt;=$NR$27),IF($NO$27="Single_Point",IF(129=$NQ$27,$NM$27,0),IF($NO$27="Bell_Curve",$NM$27*(129-$NQ$27+1)*($NR$27-129+1)/$NT$27,$NM$27/$NS$27)),0)</f>
        <v/>
      </c>
      <c r="EC27" s="18">
        <f>IF(AND(130&gt;=$NQ$27,130&lt;=$NR$27),IF($NO$27="Single_Point",IF(130=$NQ$27,$NM$27,0),IF($NO$27="Bell_Curve",$NM$27*(130-$NQ$27+1)*($NR$27-130+1)/$NT$27,$NM$27/$NS$27)),0)</f>
        <v/>
      </c>
      <c r="ED27" s="18">
        <f>IF(AND(131&gt;=$NQ$27,131&lt;=$NR$27),IF($NO$27="Single_Point",IF(131=$NQ$27,$NM$27,0),IF($NO$27="Bell_Curve",$NM$27*(131-$NQ$27+1)*($NR$27-131+1)/$NT$27,$NM$27/$NS$27)),0)</f>
        <v/>
      </c>
      <c r="EE27" s="18">
        <f>IF(AND(132&gt;=$NQ$27,132&lt;=$NR$27),IF($NO$27="Single_Point",IF(132=$NQ$27,$NM$27,0),IF($NO$27="Bell_Curve",$NM$27*(132-$NQ$27+1)*($NR$27-132+1)/$NT$27,$NM$27/$NS$27)),0)</f>
        <v/>
      </c>
      <c r="EF27" s="18">
        <f>IF(AND(133&gt;=$NQ$27,133&lt;=$NR$27),IF($NO$27="Single_Point",IF(133=$NQ$27,$NM$27,0),IF($NO$27="Bell_Curve",$NM$27*(133-$NQ$27+1)*($NR$27-133+1)/$NT$27,$NM$27/$NS$27)),0)</f>
        <v/>
      </c>
      <c r="EG27" s="18">
        <f>IF(AND(134&gt;=$NQ$27,134&lt;=$NR$27),IF($NO$27="Single_Point",IF(134=$NQ$27,$NM$27,0),IF($NO$27="Bell_Curve",$NM$27*(134-$NQ$27+1)*($NR$27-134+1)/$NT$27,$NM$27/$NS$27)),0)</f>
        <v/>
      </c>
      <c r="EH27" s="18">
        <f>IF(AND(135&gt;=$NQ$27,135&lt;=$NR$27),IF($NO$27="Single_Point",IF(135=$NQ$27,$NM$27,0),IF($NO$27="Bell_Curve",$NM$27*(135-$NQ$27+1)*($NR$27-135+1)/$NT$27,$NM$27/$NS$27)),0)</f>
        <v/>
      </c>
      <c r="EI27" s="18">
        <f>IF(AND(136&gt;=$NQ$27,136&lt;=$NR$27),IF($NO$27="Single_Point",IF(136=$NQ$27,$NM$27,0),IF($NO$27="Bell_Curve",$NM$27*(136-$NQ$27+1)*($NR$27-136+1)/$NT$27,$NM$27/$NS$27)),0)</f>
        <v/>
      </c>
      <c r="EJ27" s="18">
        <f>IF(AND(137&gt;=$NQ$27,137&lt;=$NR$27),IF($NO$27="Single_Point",IF(137=$NQ$27,$NM$27,0),IF($NO$27="Bell_Curve",$NM$27*(137-$NQ$27+1)*($NR$27-137+1)/$NT$27,$NM$27/$NS$27)),0)</f>
        <v/>
      </c>
      <c r="EK27" s="18">
        <f>IF(AND(138&gt;=$NQ$27,138&lt;=$NR$27),IF($NO$27="Single_Point",IF(138=$NQ$27,$NM$27,0),IF($NO$27="Bell_Curve",$NM$27*(138-$NQ$27+1)*($NR$27-138+1)/$NT$27,$NM$27/$NS$27)),0)</f>
        <v/>
      </c>
      <c r="EL27" s="18">
        <f>IF(AND(139&gt;=$NQ$27,139&lt;=$NR$27),IF($NO$27="Single_Point",IF(139=$NQ$27,$NM$27,0),IF($NO$27="Bell_Curve",$NM$27*(139-$NQ$27+1)*($NR$27-139+1)/$NT$27,$NM$27/$NS$27)),0)</f>
        <v/>
      </c>
      <c r="EM27" s="18">
        <f>IF(AND(140&gt;=$NQ$27,140&lt;=$NR$27),IF($NO$27="Single_Point",IF(140=$NQ$27,$NM$27,0),IF($NO$27="Bell_Curve",$NM$27*(140-$NQ$27+1)*($NR$27-140+1)/$NT$27,$NM$27/$NS$27)),0)</f>
        <v/>
      </c>
      <c r="EN27" s="18">
        <f>IF(AND(141&gt;=$NQ$27,141&lt;=$NR$27),IF($NO$27="Single_Point",IF(141=$NQ$27,$NM$27,0),IF($NO$27="Bell_Curve",$NM$27*(141-$NQ$27+1)*($NR$27-141+1)/$NT$27,$NM$27/$NS$27)),0)</f>
        <v/>
      </c>
      <c r="EO27" s="18">
        <f>IF(AND(142&gt;=$NQ$27,142&lt;=$NR$27),IF($NO$27="Single_Point",IF(142=$NQ$27,$NM$27,0),IF($NO$27="Bell_Curve",$NM$27*(142-$NQ$27+1)*($NR$27-142+1)/$NT$27,$NM$27/$NS$27)),0)</f>
        <v/>
      </c>
      <c r="EP27" s="18">
        <f>IF(AND(143&gt;=$NQ$27,143&lt;=$NR$27),IF($NO$27="Single_Point",IF(143=$NQ$27,$NM$27,0),IF($NO$27="Bell_Curve",$NM$27*(143-$NQ$27+1)*($NR$27-143+1)/$NT$27,$NM$27/$NS$27)),0)</f>
        <v/>
      </c>
      <c r="EQ27" s="18">
        <f>IF(AND(144&gt;=$NQ$27,144&lt;=$NR$27),IF($NO$27="Single_Point",IF(144=$NQ$27,$NM$27,0),IF($NO$27="Bell_Curve",$NM$27*(144-$NQ$27+1)*($NR$27-144+1)/$NT$27,$NM$27/$NS$27)),0)</f>
        <v/>
      </c>
      <c r="ER27" s="18">
        <f>IF(AND(145&gt;=$NQ$27,145&lt;=$NR$27),IF($NO$27="Single_Point",IF(145=$NQ$27,$NM$27,0),IF($NO$27="Bell_Curve",$NM$27*(145-$NQ$27+1)*($NR$27-145+1)/$NT$27,$NM$27/$NS$27)),0)</f>
        <v/>
      </c>
      <c r="ES27" s="18">
        <f>IF(AND(146&gt;=$NQ$27,146&lt;=$NR$27),IF($NO$27="Single_Point",IF(146=$NQ$27,$NM$27,0),IF($NO$27="Bell_Curve",$NM$27*(146-$NQ$27+1)*($NR$27-146+1)/$NT$27,$NM$27/$NS$27)),0)</f>
        <v/>
      </c>
      <c r="ET27" s="18">
        <f>IF(AND(147&gt;=$NQ$27,147&lt;=$NR$27),IF($NO$27="Single_Point",IF(147=$NQ$27,$NM$27,0),IF($NO$27="Bell_Curve",$NM$27*(147-$NQ$27+1)*($NR$27-147+1)/$NT$27,$NM$27/$NS$27)),0)</f>
        <v/>
      </c>
      <c r="EU27" s="18">
        <f>IF(AND(148&gt;=$NQ$27,148&lt;=$NR$27),IF($NO$27="Single_Point",IF(148=$NQ$27,$NM$27,0),IF($NO$27="Bell_Curve",$NM$27*(148-$NQ$27+1)*($NR$27-148+1)/$NT$27,$NM$27/$NS$27)),0)</f>
        <v/>
      </c>
      <c r="EV27" s="18">
        <f>IF(AND(149&gt;=$NQ$27,149&lt;=$NR$27),IF($NO$27="Single_Point",IF(149=$NQ$27,$NM$27,0),IF($NO$27="Bell_Curve",$NM$27*(149-$NQ$27+1)*($NR$27-149+1)/$NT$27,$NM$27/$NS$27)),0)</f>
        <v/>
      </c>
      <c r="EW27" s="18">
        <f>IF(AND(150&gt;=$NQ$27,150&lt;=$NR$27),IF($NO$27="Single_Point",IF(150=$NQ$27,$NM$27,0),IF($NO$27="Bell_Curve",$NM$27*(150-$NQ$27+1)*($NR$27-150+1)/$NT$27,$NM$27/$NS$27)),0)</f>
        <v/>
      </c>
      <c r="EX27" s="18">
        <f>IF(AND(151&gt;=$NQ$27,151&lt;=$NR$27),IF($NO$27="Single_Point",IF(151=$NQ$27,$NM$27,0),IF($NO$27="Bell_Curve",$NM$27*(151-$NQ$27+1)*($NR$27-151+1)/$NT$27,$NM$27/$NS$27)),0)</f>
        <v/>
      </c>
      <c r="EY27" s="18">
        <f>IF(AND(152&gt;=$NQ$27,152&lt;=$NR$27),IF($NO$27="Single_Point",IF(152=$NQ$27,$NM$27,0),IF($NO$27="Bell_Curve",$NM$27*(152-$NQ$27+1)*($NR$27-152+1)/$NT$27,$NM$27/$NS$27)),0)</f>
        <v/>
      </c>
      <c r="EZ27" s="18">
        <f>IF(AND(153&gt;=$NQ$27,153&lt;=$NR$27),IF($NO$27="Single_Point",IF(153=$NQ$27,$NM$27,0),IF($NO$27="Bell_Curve",$NM$27*(153-$NQ$27+1)*($NR$27-153+1)/$NT$27,$NM$27/$NS$27)),0)</f>
        <v/>
      </c>
      <c r="FA27" s="18">
        <f>IF(AND(154&gt;=$NQ$27,154&lt;=$NR$27),IF($NO$27="Single_Point",IF(154=$NQ$27,$NM$27,0),IF($NO$27="Bell_Curve",$NM$27*(154-$NQ$27+1)*($NR$27-154+1)/$NT$27,$NM$27/$NS$27)),0)</f>
        <v/>
      </c>
      <c r="FB27" s="18">
        <f>IF(AND(155&gt;=$NQ$27,155&lt;=$NR$27),IF($NO$27="Single_Point",IF(155=$NQ$27,$NM$27,0),IF($NO$27="Bell_Curve",$NM$27*(155-$NQ$27+1)*($NR$27-155+1)/$NT$27,$NM$27/$NS$27)),0)</f>
        <v/>
      </c>
      <c r="FC27" s="18">
        <f>IF(AND(156&gt;=$NQ$27,156&lt;=$NR$27),IF($NO$27="Single_Point",IF(156=$NQ$27,$NM$27,0),IF($NO$27="Bell_Curve",$NM$27*(156-$NQ$27+1)*($NR$27-156+1)/$NT$27,$NM$27/$NS$27)),0)</f>
        <v/>
      </c>
      <c r="FD27" s="18">
        <f>IF(AND(157&gt;=$NQ$27,157&lt;=$NR$27),IF($NO$27="Single_Point",IF(157=$NQ$27,$NM$27,0),IF($NO$27="Bell_Curve",$NM$27*(157-$NQ$27+1)*($NR$27-157+1)/$NT$27,$NM$27/$NS$27)),0)</f>
        <v/>
      </c>
      <c r="FE27" s="18">
        <f>IF(AND(158&gt;=$NQ$27,158&lt;=$NR$27),IF($NO$27="Single_Point",IF(158=$NQ$27,$NM$27,0),IF($NO$27="Bell_Curve",$NM$27*(158-$NQ$27+1)*($NR$27-158+1)/$NT$27,$NM$27/$NS$27)),0)</f>
        <v/>
      </c>
      <c r="FF27" s="18">
        <f>IF(AND(159&gt;=$NQ$27,159&lt;=$NR$27),IF($NO$27="Single_Point",IF(159=$NQ$27,$NM$27,0),IF($NO$27="Bell_Curve",$NM$27*(159-$NQ$27+1)*($NR$27-159+1)/$NT$27,$NM$27/$NS$27)),0)</f>
        <v/>
      </c>
      <c r="FG27" s="18">
        <f>IF(AND(160&gt;=$NQ$27,160&lt;=$NR$27),IF($NO$27="Single_Point",IF(160=$NQ$27,$NM$27,0),IF($NO$27="Bell_Curve",$NM$27*(160-$NQ$27+1)*($NR$27-160+1)/$NT$27,$NM$27/$NS$27)),0)</f>
        <v/>
      </c>
      <c r="FH27" s="18">
        <f>IF(AND(161&gt;=$NQ$27,161&lt;=$NR$27),IF($NO$27="Single_Point",IF(161=$NQ$27,$NM$27,0),IF($NO$27="Bell_Curve",$NM$27*(161-$NQ$27+1)*($NR$27-161+1)/$NT$27,$NM$27/$NS$27)),0)</f>
        <v/>
      </c>
      <c r="FI27" s="18">
        <f>IF(AND(162&gt;=$NQ$27,162&lt;=$NR$27),IF($NO$27="Single_Point",IF(162=$NQ$27,$NM$27,0),IF($NO$27="Bell_Curve",$NM$27*(162-$NQ$27+1)*($NR$27-162+1)/$NT$27,$NM$27/$NS$27)),0)</f>
        <v/>
      </c>
      <c r="FJ27" s="18">
        <f>IF(AND(163&gt;=$NQ$27,163&lt;=$NR$27),IF($NO$27="Single_Point",IF(163=$NQ$27,$NM$27,0),IF($NO$27="Bell_Curve",$NM$27*(163-$NQ$27+1)*($NR$27-163+1)/$NT$27,$NM$27/$NS$27)),0)</f>
        <v/>
      </c>
      <c r="FK27" s="18">
        <f>IF(AND(164&gt;=$NQ$27,164&lt;=$NR$27),IF($NO$27="Single_Point",IF(164=$NQ$27,$NM$27,0),IF($NO$27="Bell_Curve",$NM$27*(164-$NQ$27+1)*($NR$27-164+1)/$NT$27,$NM$27/$NS$27)),0)</f>
        <v/>
      </c>
      <c r="FL27" s="18">
        <f>IF(AND(165&gt;=$NQ$27,165&lt;=$NR$27),IF($NO$27="Single_Point",IF(165=$NQ$27,$NM$27,0),IF($NO$27="Bell_Curve",$NM$27*(165-$NQ$27+1)*($NR$27-165+1)/$NT$27,$NM$27/$NS$27)),0)</f>
        <v/>
      </c>
      <c r="FM27" s="18">
        <f>IF(AND(166&gt;=$NQ$27,166&lt;=$NR$27),IF($NO$27="Single_Point",IF(166=$NQ$27,$NM$27,0),IF($NO$27="Bell_Curve",$NM$27*(166-$NQ$27+1)*($NR$27-166+1)/$NT$27,$NM$27/$NS$27)),0)</f>
        <v/>
      </c>
      <c r="FN27" s="18">
        <f>IF(AND(167&gt;=$NQ$27,167&lt;=$NR$27),IF($NO$27="Single_Point",IF(167=$NQ$27,$NM$27,0),IF($NO$27="Bell_Curve",$NM$27*(167-$NQ$27+1)*($NR$27-167+1)/$NT$27,$NM$27/$NS$27)),0)</f>
        <v/>
      </c>
      <c r="FO27" s="18">
        <f>IF(AND(168&gt;=$NQ$27,168&lt;=$NR$27),IF($NO$27="Single_Point",IF(168=$NQ$27,$NM$27,0),IF($NO$27="Bell_Curve",$NM$27*(168-$NQ$27+1)*($NR$27-168+1)/$NT$27,$NM$27/$NS$27)),0)</f>
        <v/>
      </c>
      <c r="FP27" s="18">
        <f>IF(AND(169&gt;=$NQ$27,169&lt;=$NR$27),IF($NO$27="Single_Point",IF(169=$NQ$27,$NM$27,0),IF($NO$27="Bell_Curve",$NM$27*(169-$NQ$27+1)*($NR$27-169+1)/$NT$27,$NM$27/$NS$27)),0)</f>
        <v/>
      </c>
      <c r="FQ27" s="18">
        <f>IF(AND(170&gt;=$NQ$27,170&lt;=$NR$27),IF($NO$27="Single_Point",IF(170=$NQ$27,$NM$27,0),IF($NO$27="Bell_Curve",$NM$27*(170-$NQ$27+1)*($NR$27-170+1)/$NT$27,$NM$27/$NS$27)),0)</f>
        <v/>
      </c>
      <c r="FR27" s="18">
        <f>IF(AND(171&gt;=$NQ$27,171&lt;=$NR$27),IF($NO$27="Single_Point",IF(171=$NQ$27,$NM$27,0),IF($NO$27="Bell_Curve",$NM$27*(171-$NQ$27+1)*($NR$27-171+1)/$NT$27,$NM$27/$NS$27)),0)</f>
        <v/>
      </c>
      <c r="FS27" s="18">
        <f>IF(AND(172&gt;=$NQ$27,172&lt;=$NR$27),IF($NO$27="Single_Point",IF(172=$NQ$27,$NM$27,0),IF($NO$27="Bell_Curve",$NM$27*(172-$NQ$27+1)*($NR$27-172+1)/$NT$27,$NM$27/$NS$27)),0)</f>
        <v/>
      </c>
      <c r="FT27" s="18">
        <f>IF(AND(173&gt;=$NQ$27,173&lt;=$NR$27),IF($NO$27="Single_Point",IF(173=$NQ$27,$NM$27,0),IF($NO$27="Bell_Curve",$NM$27*(173-$NQ$27+1)*($NR$27-173+1)/$NT$27,$NM$27/$NS$27)),0)</f>
        <v/>
      </c>
      <c r="FU27" s="18">
        <f>IF(AND(174&gt;=$NQ$27,174&lt;=$NR$27),IF($NO$27="Single_Point",IF(174=$NQ$27,$NM$27,0),IF($NO$27="Bell_Curve",$NM$27*(174-$NQ$27+1)*($NR$27-174+1)/$NT$27,$NM$27/$NS$27)),0)</f>
        <v/>
      </c>
      <c r="FV27" s="18">
        <f>IF(AND(175&gt;=$NQ$27,175&lt;=$NR$27),IF($NO$27="Single_Point",IF(175=$NQ$27,$NM$27,0),IF($NO$27="Bell_Curve",$NM$27*(175-$NQ$27+1)*($NR$27-175+1)/$NT$27,$NM$27/$NS$27)),0)</f>
        <v/>
      </c>
      <c r="FW27" s="18">
        <f>IF(AND(176&gt;=$NQ$27,176&lt;=$NR$27),IF($NO$27="Single_Point",IF(176=$NQ$27,$NM$27,0),IF($NO$27="Bell_Curve",$NM$27*(176-$NQ$27+1)*($NR$27-176+1)/$NT$27,$NM$27/$NS$27)),0)</f>
        <v/>
      </c>
      <c r="FX27" s="18">
        <f>IF(AND(177&gt;=$NQ$27,177&lt;=$NR$27),IF($NO$27="Single_Point",IF(177=$NQ$27,$NM$27,0),IF($NO$27="Bell_Curve",$NM$27*(177-$NQ$27+1)*($NR$27-177+1)/$NT$27,$NM$27/$NS$27)),0)</f>
        <v/>
      </c>
      <c r="FY27" s="18">
        <f>IF(AND(178&gt;=$NQ$27,178&lt;=$NR$27),IF($NO$27="Single_Point",IF(178=$NQ$27,$NM$27,0),IF($NO$27="Bell_Curve",$NM$27*(178-$NQ$27+1)*($NR$27-178+1)/$NT$27,$NM$27/$NS$27)),0)</f>
        <v/>
      </c>
      <c r="FZ27" s="18">
        <f>IF(AND(179&gt;=$NQ$27,179&lt;=$NR$27),IF($NO$27="Single_Point",IF(179=$NQ$27,$NM$27,0),IF($NO$27="Bell_Curve",$NM$27*(179-$NQ$27+1)*($NR$27-179+1)/$NT$27,$NM$27/$NS$27)),0)</f>
        <v/>
      </c>
      <c r="GA27" s="18">
        <f>IF(AND(180&gt;=$NQ$27,180&lt;=$NR$27),IF($NO$27="Single_Point",IF(180=$NQ$27,$NM$27,0),IF($NO$27="Bell_Curve",$NM$27*(180-$NQ$27+1)*($NR$27-180+1)/$NT$27,$NM$27/$NS$27)),0)</f>
        <v/>
      </c>
      <c r="GB27" s="18">
        <f>IF(AND(181&gt;=$NQ$27,181&lt;=$NR$27),IF($NO$27="Single_Point",IF(181=$NQ$27,$NM$27,0),IF($NO$27="Bell_Curve",$NM$27*(181-$NQ$27+1)*($NR$27-181+1)/$NT$27,$NM$27/$NS$27)),0)</f>
        <v/>
      </c>
      <c r="GC27" s="18">
        <f>IF(AND(182&gt;=$NQ$27,182&lt;=$NR$27),IF($NO$27="Single_Point",IF(182=$NQ$27,$NM$27,0),IF($NO$27="Bell_Curve",$NM$27*(182-$NQ$27+1)*($NR$27-182+1)/$NT$27,$NM$27/$NS$27)),0)</f>
        <v/>
      </c>
      <c r="GD27" s="18">
        <f>IF(AND(183&gt;=$NQ$27,183&lt;=$NR$27),IF($NO$27="Single_Point",IF(183=$NQ$27,$NM$27,0),IF($NO$27="Bell_Curve",$NM$27*(183-$NQ$27+1)*($NR$27-183+1)/$NT$27,$NM$27/$NS$27)),0)</f>
        <v/>
      </c>
      <c r="GE27" s="18">
        <f>IF(AND(184&gt;=$NQ$27,184&lt;=$NR$27),IF($NO$27="Single_Point",IF(184=$NQ$27,$NM$27,0),IF($NO$27="Bell_Curve",$NM$27*(184-$NQ$27+1)*($NR$27-184+1)/$NT$27,$NM$27/$NS$27)),0)</f>
        <v/>
      </c>
      <c r="GF27" s="18">
        <f>IF(AND(185&gt;=$NQ$27,185&lt;=$NR$27),IF($NO$27="Single_Point",IF(185=$NQ$27,$NM$27,0),IF($NO$27="Bell_Curve",$NM$27*(185-$NQ$27+1)*($NR$27-185+1)/$NT$27,$NM$27/$NS$27)),0)</f>
        <v/>
      </c>
      <c r="GG27" s="18">
        <f>IF(AND(186&gt;=$NQ$27,186&lt;=$NR$27),IF($NO$27="Single_Point",IF(186=$NQ$27,$NM$27,0),IF($NO$27="Bell_Curve",$NM$27*(186-$NQ$27+1)*($NR$27-186+1)/$NT$27,$NM$27/$NS$27)),0)</f>
        <v/>
      </c>
      <c r="GH27" s="18">
        <f>IF(AND(187&gt;=$NQ$27,187&lt;=$NR$27),IF($NO$27="Single_Point",IF(187=$NQ$27,$NM$27,0),IF($NO$27="Bell_Curve",$NM$27*(187-$NQ$27+1)*($NR$27-187+1)/$NT$27,$NM$27/$NS$27)),0)</f>
        <v/>
      </c>
      <c r="GI27" s="18">
        <f>IF(AND(188&gt;=$NQ$27,188&lt;=$NR$27),IF($NO$27="Single_Point",IF(188=$NQ$27,$NM$27,0),IF($NO$27="Bell_Curve",$NM$27*(188-$NQ$27+1)*($NR$27-188+1)/$NT$27,$NM$27/$NS$27)),0)</f>
        <v/>
      </c>
      <c r="GJ27" s="18">
        <f>IF(AND(189&gt;=$NQ$27,189&lt;=$NR$27),IF($NO$27="Single_Point",IF(189=$NQ$27,$NM$27,0),IF($NO$27="Bell_Curve",$NM$27*(189-$NQ$27+1)*($NR$27-189+1)/$NT$27,$NM$27/$NS$27)),0)</f>
        <v/>
      </c>
      <c r="GK27" s="18">
        <f>IF(AND(190&gt;=$NQ$27,190&lt;=$NR$27),IF($NO$27="Single_Point",IF(190=$NQ$27,$NM$27,0),IF($NO$27="Bell_Curve",$NM$27*(190-$NQ$27+1)*($NR$27-190+1)/$NT$27,$NM$27/$NS$27)),0)</f>
        <v/>
      </c>
      <c r="GL27" s="18">
        <f>IF(AND(191&gt;=$NQ$27,191&lt;=$NR$27),IF($NO$27="Single_Point",IF(191=$NQ$27,$NM$27,0),IF($NO$27="Bell_Curve",$NM$27*(191-$NQ$27+1)*($NR$27-191+1)/$NT$27,$NM$27/$NS$27)),0)</f>
        <v/>
      </c>
      <c r="GM27" s="18">
        <f>IF(AND(192&gt;=$NQ$27,192&lt;=$NR$27),IF($NO$27="Single_Point",IF(192=$NQ$27,$NM$27,0),IF($NO$27="Bell_Curve",$NM$27*(192-$NQ$27+1)*($NR$27-192+1)/$NT$27,$NM$27/$NS$27)),0)</f>
        <v/>
      </c>
      <c r="GN27" s="18">
        <f>IF(AND(193&gt;=$NQ$27,193&lt;=$NR$27),IF($NO$27="Single_Point",IF(193=$NQ$27,$NM$27,0),IF($NO$27="Bell_Curve",$NM$27*(193-$NQ$27+1)*($NR$27-193+1)/$NT$27,$NM$27/$NS$27)),0)</f>
        <v/>
      </c>
      <c r="GO27" s="18">
        <f>IF(AND(194&gt;=$NQ$27,194&lt;=$NR$27),IF($NO$27="Single_Point",IF(194=$NQ$27,$NM$27,0),IF($NO$27="Bell_Curve",$NM$27*(194-$NQ$27+1)*($NR$27-194+1)/$NT$27,$NM$27/$NS$27)),0)</f>
        <v/>
      </c>
      <c r="GP27" s="18">
        <f>IF(AND(195&gt;=$NQ$27,195&lt;=$NR$27),IF($NO$27="Single_Point",IF(195=$NQ$27,$NM$27,0),IF($NO$27="Bell_Curve",$NM$27*(195-$NQ$27+1)*($NR$27-195+1)/$NT$27,$NM$27/$NS$27)),0)</f>
        <v/>
      </c>
      <c r="GQ27" s="18">
        <f>IF(AND(196&gt;=$NQ$27,196&lt;=$NR$27),IF($NO$27="Single_Point",IF(196=$NQ$27,$NM$27,0),IF($NO$27="Bell_Curve",$NM$27*(196-$NQ$27+1)*($NR$27-196+1)/$NT$27,$NM$27/$NS$27)),0)</f>
        <v/>
      </c>
      <c r="GR27" s="18">
        <f>IF(AND(197&gt;=$NQ$27,197&lt;=$NR$27),IF($NO$27="Single_Point",IF(197=$NQ$27,$NM$27,0),IF($NO$27="Bell_Curve",$NM$27*(197-$NQ$27+1)*($NR$27-197+1)/$NT$27,$NM$27/$NS$27)),0)</f>
        <v/>
      </c>
      <c r="GS27" s="18">
        <f>IF(AND(198&gt;=$NQ$27,198&lt;=$NR$27),IF($NO$27="Single_Point",IF(198=$NQ$27,$NM$27,0),IF($NO$27="Bell_Curve",$NM$27*(198-$NQ$27+1)*($NR$27-198+1)/$NT$27,$NM$27/$NS$27)),0)</f>
        <v/>
      </c>
      <c r="GT27" s="18">
        <f>IF(AND(199&gt;=$NQ$27,199&lt;=$NR$27),IF($NO$27="Single_Point",IF(199=$NQ$27,$NM$27,0),IF($NO$27="Bell_Curve",$NM$27*(199-$NQ$27+1)*($NR$27-199+1)/$NT$27,$NM$27/$NS$27)),0)</f>
        <v/>
      </c>
      <c r="GU27" s="18">
        <f>IF(AND(200&gt;=$NQ$27,200&lt;=$NR$27),IF($NO$27="Single_Point",IF(200=$NQ$27,$NM$27,0),IF($NO$27="Bell_Curve",$NM$27*(200-$NQ$27+1)*($NR$27-200+1)/$NT$27,$NM$27/$NS$27)),0)</f>
        <v/>
      </c>
      <c r="GV27" s="18">
        <f>IF(AND(201&gt;=$NQ$27,201&lt;=$NR$27),IF($NO$27="Single_Point",IF(201=$NQ$27,$NM$27,0),IF($NO$27="Bell_Curve",$NM$27*(201-$NQ$27+1)*($NR$27-201+1)/$NT$27,$NM$27/$NS$27)),0)</f>
        <v/>
      </c>
      <c r="GW27" s="18">
        <f>IF(AND(202&gt;=$NQ$27,202&lt;=$NR$27),IF($NO$27="Single_Point",IF(202=$NQ$27,$NM$27,0),IF($NO$27="Bell_Curve",$NM$27*(202-$NQ$27+1)*($NR$27-202+1)/$NT$27,$NM$27/$NS$27)),0)</f>
        <v/>
      </c>
      <c r="GX27" s="18">
        <f>IF(AND(203&gt;=$NQ$27,203&lt;=$NR$27),IF($NO$27="Single_Point",IF(203=$NQ$27,$NM$27,0),IF($NO$27="Bell_Curve",$NM$27*(203-$NQ$27+1)*($NR$27-203+1)/$NT$27,$NM$27/$NS$27)),0)</f>
        <v/>
      </c>
      <c r="GY27" s="18">
        <f>IF(AND(204&gt;=$NQ$27,204&lt;=$NR$27),IF($NO$27="Single_Point",IF(204=$NQ$27,$NM$27,0),IF($NO$27="Bell_Curve",$NM$27*(204-$NQ$27+1)*($NR$27-204+1)/$NT$27,$NM$27/$NS$27)),0)</f>
        <v/>
      </c>
      <c r="GZ27" s="18">
        <f>IF(AND(205&gt;=$NQ$27,205&lt;=$NR$27),IF($NO$27="Single_Point",IF(205=$NQ$27,$NM$27,0),IF($NO$27="Bell_Curve",$NM$27*(205-$NQ$27+1)*($NR$27-205+1)/$NT$27,$NM$27/$NS$27)),0)</f>
        <v/>
      </c>
      <c r="HA27" s="18">
        <f>IF(AND(206&gt;=$NQ$27,206&lt;=$NR$27),IF($NO$27="Single_Point",IF(206=$NQ$27,$NM$27,0),IF($NO$27="Bell_Curve",$NM$27*(206-$NQ$27+1)*($NR$27-206+1)/$NT$27,$NM$27/$NS$27)),0)</f>
        <v/>
      </c>
      <c r="HB27" s="18">
        <f>IF(AND(207&gt;=$NQ$27,207&lt;=$NR$27),IF($NO$27="Single_Point",IF(207=$NQ$27,$NM$27,0),IF($NO$27="Bell_Curve",$NM$27*(207-$NQ$27+1)*($NR$27-207+1)/$NT$27,$NM$27/$NS$27)),0)</f>
        <v/>
      </c>
      <c r="HC27" s="18">
        <f>IF(AND(208&gt;=$NQ$27,208&lt;=$NR$27),IF($NO$27="Single_Point",IF(208=$NQ$27,$NM$27,0),IF($NO$27="Bell_Curve",$NM$27*(208-$NQ$27+1)*($NR$27-208+1)/$NT$27,$NM$27/$NS$27)),0)</f>
        <v/>
      </c>
      <c r="HD27" s="18">
        <f>IF(AND(209&gt;=$NQ$27,209&lt;=$NR$27),IF($NO$27="Single_Point",IF(209=$NQ$27,$NM$27,0),IF($NO$27="Bell_Curve",$NM$27*(209-$NQ$27+1)*($NR$27-209+1)/$NT$27,$NM$27/$NS$27)),0)</f>
        <v/>
      </c>
      <c r="HE27" s="18">
        <f>IF(AND(210&gt;=$NQ$27,210&lt;=$NR$27),IF($NO$27="Single_Point",IF(210=$NQ$27,$NM$27,0),IF($NO$27="Bell_Curve",$NM$27*(210-$NQ$27+1)*($NR$27-210+1)/$NT$27,$NM$27/$NS$27)),0)</f>
        <v/>
      </c>
      <c r="HF27" s="18">
        <f>IF(AND(211&gt;=$NQ$27,211&lt;=$NR$27),IF($NO$27="Single_Point",IF(211=$NQ$27,$NM$27,0),IF($NO$27="Bell_Curve",$NM$27*(211-$NQ$27+1)*($NR$27-211+1)/$NT$27,$NM$27/$NS$27)),0)</f>
        <v/>
      </c>
      <c r="HG27" s="18">
        <f>IF(AND(212&gt;=$NQ$27,212&lt;=$NR$27),IF($NO$27="Single_Point",IF(212=$NQ$27,$NM$27,0),IF($NO$27="Bell_Curve",$NM$27*(212-$NQ$27+1)*($NR$27-212+1)/$NT$27,$NM$27/$NS$27)),0)</f>
        <v/>
      </c>
      <c r="HH27" s="18">
        <f>IF(AND(213&gt;=$NQ$27,213&lt;=$NR$27),IF($NO$27="Single_Point",IF(213=$NQ$27,$NM$27,0),IF($NO$27="Bell_Curve",$NM$27*(213-$NQ$27+1)*($NR$27-213+1)/$NT$27,$NM$27/$NS$27)),0)</f>
        <v/>
      </c>
      <c r="HI27" s="18">
        <f>IF(AND(214&gt;=$NQ$27,214&lt;=$NR$27),IF($NO$27="Single_Point",IF(214=$NQ$27,$NM$27,0),IF($NO$27="Bell_Curve",$NM$27*(214-$NQ$27+1)*($NR$27-214+1)/$NT$27,$NM$27/$NS$27)),0)</f>
        <v/>
      </c>
      <c r="HJ27" s="18">
        <f>IF(AND(215&gt;=$NQ$27,215&lt;=$NR$27),IF($NO$27="Single_Point",IF(215=$NQ$27,$NM$27,0),IF($NO$27="Bell_Curve",$NM$27*(215-$NQ$27+1)*($NR$27-215+1)/$NT$27,$NM$27/$NS$27)),0)</f>
        <v/>
      </c>
      <c r="HK27" s="18">
        <f>IF(AND(216&gt;=$NQ$27,216&lt;=$NR$27),IF($NO$27="Single_Point",IF(216=$NQ$27,$NM$27,0),IF($NO$27="Bell_Curve",$NM$27*(216-$NQ$27+1)*($NR$27-216+1)/$NT$27,$NM$27/$NS$27)),0)</f>
        <v/>
      </c>
      <c r="HL27" s="18">
        <f>IF(AND(217&gt;=$NQ$27,217&lt;=$NR$27),IF($NO$27="Single_Point",IF(217=$NQ$27,$NM$27,0),IF($NO$27="Bell_Curve",$NM$27*(217-$NQ$27+1)*($NR$27-217+1)/$NT$27,$NM$27/$NS$27)),0)</f>
        <v/>
      </c>
      <c r="HM27" s="18">
        <f>IF(AND(218&gt;=$NQ$27,218&lt;=$NR$27),IF($NO$27="Single_Point",IF(218=$NQ$27,$NM$27,0),IF($NO$27="Bell_Curve",$NM$27*(218-$NQ$27+1)*($NR$27-218+1)/$NT$27,$NM$27/$NS$27)),0)</f>
        <v/>
      </c>
      <c r="HN27" s="18">
        <f>IF(AND(219&gt;=$NQ$27,219&lt;=$NR$27),IF($NO$27="Single_Point",IF(219=$NQ$27,$NM$27,0),IF($NO$27="Bell_Curve",$NM$27*(219-$NQ$27+1)*($NR$27-219+1)/$NT$27,$NM$27/$NS$27)),0)</f>
        <v/>
      </c>
      <c r="HO27" s="18">
        <f>IF(AND(220&gt;=$NQ$27,220&lt;=$NR$27),IF($NO$27="Single_Point",IF(220=$NQ$27,$NM$27,0),IF($NO$27="Bell_Curve",$NM$27*(220-$NQ$27+1)*($NR$27-220+1)/$NT$27,$NM$27/$NS$27)),0)</f>
        <v/>
      </c>
      <c r="HP27" s="18">
        <f>IF(AND(221&gt;=$NQ$27,221&lt;=$NR$27),IF($NO$27="Single_Point",IF(221=$NQ$27,$NM$27,0),IF($NO$27="Bell_Curve",$NM$27*(221-$NQ$27+1)*($NR$27-221+1)/$NT$27,$NM$27/$NS$27)),0)</f>
        <v/>
      </c>
      <c r="HQ27" s="18">
        <f>IF(AND(222&gt;=$NQ$27,222&lt;=$NR$27),IF($NO$27="Single_Point",IF(222=$NQ$27,$NM$27,0),IF($NO$27="Bell_Curve",$NM$27*(222-$NQ$27+1)*($NR$27-222+1)/$NT$27,$NM$27/$NS$27)),0)</f>
        <v/>
      </c>
      <c r="HR27" s="18">
        <f>IF(AND(223&gt;=$NQ$27,223&lt;=$NR$27),IF($NO$27="Single_Point",IF(223=$NQ$27,$NM$27,0),IF($NO$27="Bell_Curve",$NM$27*(223-$NQ$27+1)*($NR$27-223+1)/$NT$27,$NM$27/$NS$27)),0)</f>
        <v/>
      </c>
      <c r="HS27" s="18">
        <f>IF(AND(224&gt;=$NQ$27,224&lt;=$NR$27),IF($NO$27="Single_Point",IF(224=$NQ$27,$NM$27,0),IF($NO$27="Bell_Curve",$NM$27*(224-$NQ$27+1)*($NR$27-224+1)/$NT$27,$NM$27/$NS$27)),0)</f>
        <v/>
      </c>
      <c r="HT27" s="18">
        <f>IF(AND(225&gt;=$NQ$27,225&lt;=$NR$27),IF($NO$27="Single_Point",IF(225=$NQ$27,$NM$27,0),IF($NO$27="Bell_Curve",$NM$27*(225-$NQ$27+1)*($NR$27-225+1)/$NT$27,$NM$27/$NS$27)),0)</f>
        <v/>
      </c>
      <c r="HU27" s="18">
        <f>IF(AND(226&gt;=$NQ$27,226&lt;=$NR$27),IF($NO$27="Single_Point",IF(226=$NQ$27,$NM$27,0),IF($NO$27="Bell_Curve",$NM$27*(226-$NQ$27+1)*($NR$27-226+1)/$NT$27,$NM$27/$NS$27)),0)</f>
        <v/>
      </c>
      <c r="HV27" s="18">
        <f>IF(AND(227&gt;=$NQ$27,227&lt;=$NR$27),IF($NO$27="Single_Point",IF(227=$NQ$27,$NM$27,0),IF($NO$27="Bell_Curve",$NM$27*(227-$NQ$27+1)*($NR$27-227+1)/$NT$27,$NM$27/$NS$27)),0)</f>
        <v/>
      </c>
      <c r="HW27" s="18">
        <f>IF(AND(228&gt;=$NQ$27,228&lt;=$NR$27),IF($NO$27="Single_Point",IF(228=$NQ$27,$NM$27,0),IF($NO$27="Bell_Curve",$NM$27*(228-$NQ$27+1)*($NR$27-228+1)/$NT$27,$NM$27/$NS$27)),0)</f>
        <v/>
      </c>
      <c r="HX27" s="18">
        <f>IF(AND(229&gt;=$NQ$27,229&lt;=$NR$27),IF($NO$27="Single_Point",IF(229=$NQ$27,$NM$27,0),IF($NO$27="Bell_Curve",$NM$27*(229-$NQ$27+1)*($NR$27-229+1)/$NT$27,$NM$27/$NS$27)),0)</f>
        <v/>
      </c>
      <c r="HY27" s="18">
        <f>IF(AND(230&gt;=$NQ$27,230&lt;=$NR$27),IF($NO$27="Single_Point",IF(230=$NQ$27,$NM$27,0),IF($NO$27="Bell_Curve",$NM$27*(230-$NQ$27+1)*($NR$27-230+1)/$NT$27,$NM$27/$NS$27)),0)</f>
        <v/>
      </c>
      <c r="HZ27" s="18">
        <f>IF(AND(231&gt;=$NQ$27,231&lt;=$NR$27),IF($NO$27="Single_Point",IF(231=$NQ$27,$NM$27,0),IF($NO$27="Bell_Curve",$NM$27*(231-$NQ$27+1)*($NR$27-231+1)/$NT$27,$NM$27/$NS$27)),0)</f>
        <v/>
      </c>
      <c r="IA27" s="18">
        <f>IF(AND(232&gt;=$NQ$27,232&lt;=$NR$27),IF($NO$27="Single_Point",IF(232=$NQ$27,$NM$27,0),IF($NO$27="Bell_Curve",$NM$27*(232-$NQ$27+1)*($NR$27-232+1)/$NT$27,$NM$27/$NS$27)),0)</f>
        <v/>
      </c>
      <c r="IB27" s="18">
        <f>IF(AND(233&gt;=$NQ$27,233&lt;=$NR$27),IF($NO$27="Single_Point",IF(233=$NQ$27,$NM$27,0),IF($NO$27="Bell_Curve",$NM$27*(233-$NQ$27+1)*($NR$27-233+1)/$NT$27,$NM$27/$NS$27)),0)</f>
        <v/>
      </c>
      <c r="IC27" s="18">
        <f>IF(AND(234&gt;=$NQ$27,234&lt;=$NR$27),IF($NO$27="Single_Point",IF(234=$NQ$27,$NM$27,0),IF($NO$27="Bell_Curve",$NM$27*(234-$NQ$27+1)*($NR$27-234+1)/$NT$27,$NM$27/$NS$27)),0)</f>
        <v/>
      </c>
      <c r="ID27" s="18">
        <f>IF(AND(235&gt;=$NQ$27,235&lt;=$NR$27),IF($NO$27="Single_Point",IF(235=$NQ$27,$NM$27,0),IF($NO$27="Bell_Curve",$NM$27*(235-$NQ$27+1)*($NR$27-235+1)/$NT$27,$NM$27/$NS$27)),0)</f>
        <v/>
      </c>
      <c r="IE27" s="18">
        <f>IF(AND(236&gt;=$NQ$27,236&lt;=$NR$27),IF($NO$27="Single_Point",IF(236=$NQ$27,$NM$27,0),IF($NO$27="Bell_Curve",$NM$27*(236-$NQ$27+1)*($NR$27-236+1)/$NT$27,$NM$27/$NS$27)),0)</f>
        <v/>
      </c>
      <c r="IF27" s="18">
        <f>IF(AND(237&gt;=$NQ$27,237&lt;=$NR$27),IF($NO$27="Single_Point",IF(237=$NQ$27,$NM$27,0),IF($NO$27="Bell_Curve",$NM$27*(237-$NQ$27+1)*($NR$27-237+1)/$NT$27,$NM$27/$NS$27)),0)</f>
        <v/>
      </c>
      <c r="IG27" s="18">
        <f>IF(AND(238&gt;=$NQ$27,238&lt;=$NR$27),IF($NO$27="Single_Point",IF(238=$NQ$27,$NM$27,0),IF($NO$27="Bell_Curve",$NM$27*(238-$NQ$27+1)*($NR$27-238+1)/$NT$27,$NM$27/$NS$27)),0)</f>
        <v/>
      </c>
      <c r="IH27" s="18">
        <f>IF(AND(239&gt;=$NQ$27,239&lt;=$NR$27),IF($NO$27="Single_Point",IF(239=$NQ$27,$NM$27,0),IF($NO$27="Bell_Curve",$NM$27*(239-$NQ$27+1)*($NR$27-239+1)/$NT$27,$NM$27/$NS$27)),0)</f>
        <v/>
      </c>
      <c r="II27" s="18">
        <f>IF(AND(240&gt;=$NQ$27,240&lt;=$NR$27),IF($NO$27="Single_Point",IF(240=$NQ$27,$NM$27,0),IF($NO$27="Bell_Curve",$NM$27*(240-$NQ$27+1)*($NR$27-240+1)/$NT$27,$NM$27/$NS$27)),0)</f>
        <v/>
      </c>
      <c r="IJ27" s="18">
        <f>IF(AND(241&gt;=$NQ$27,241&lt;=$NR$27),IF($NO$27="Single_Point",IF(241=$NQ$27,$NM$27,0),IF($NO$27="Bell_Curve",$NM$27*(241-$NQ$27+1)*($NR$27-241+1)/$NT$27,$NM$27/$NS$27)),0)</f>
        <v/>
      </c>
      <c r="IK27" s="18">
        <f>IF(AND(242&gt;=$NQ$27,242&lt;=$NR$27),IF($NO$27="Single_Point",IF(242=$NQ$27,$NM$27,0),IF($NO$27="Bell_Curve",$NM$27*(242-$NQ$27+1)*($NR$27-242+1)/$NT$27,$NM$27/$NS$27)),0)</f>
        <v/>
      </c>
      <c r="IL27" s="18">
        <f>IF(AND(243&gt;=$NQ$27,243&lt;=$NR$27),IF($NO$27="Single_Point",IF(243=$NQ$27,$NM$27,0),IF($NO$27="Bell_Curve",$NM$27*(243-$NQ$27+1)*($NR$27-243+1)/$NT$27,$NM$27/$NS$27)),0)</f>
        <v/>
      </c>
      <c r="IM27" s="18">
        <f>IF(AND(244&gt;=$NQ$27,244&lt;=$NR$27),IF($NO$27="Single_Point",IF(244=$NQ$27,$NM$27,0),IF($NO$27="Bell_Curve",$NM$27*(244-$NQ$27+1)*($NR$27-244+1)/$NT$27,$NM$27/$NS$27)),0)</f>
        <v/>
      </c>
      <c r="IN27" s="18">
        <f>IF(AND(245&gt;=$NQ$27,245&lt;=$NR$27),IF($NO$27="Single_Point",IF(245=$NQ$27,$NM$27,0),IF($NO$27="Bell_Curve",$NM$27*(245-$NQ$27+1)*($NR$27-245+1)/$NT$27,$NM$27/$NS$27)),0)</f>
        <v/>
      </c>
      <c r="IO27" s="18">
        <f>IF(AND(246&gt;=$NQ$27,246&lt;=$NR$27),IF($NO$27="Single_Point",IF(246=$NQ$27,$NM$27,0),IF($NO$27="Bell_Curve",$NM$27*(246-$NQ$27+1)*($NR$27-246+1)/$NT$27,$NM$27/$NS$27)),0)</f>
        <v/>
      </c>
      <c r="IP27" s="18">
        <f>IF(AND(247&gt;=$NQ$27,247&lt;=$NR$27),IF($NO$27="Single_Point",IF(247=$NQ$27,$NM$27,0),IF($NO$27="Bell_Curve",$NM$27*(247-$NQ$27+1)*($NR$27-247+1)/$NT$27,$NM$27/$NS$27)),0)</f>
        <v/>
      </c>
      <c r="IQ27" s="18">
        <f>IF(AND(248&gt;=$NQ$27,248&lt;=$NR$27),IF($NO$27="Single_Point",IF(248=$NQ$27,$NM$27,0),IF($NO$27="Bell_Curve",$NM$27*(248-$NQ$27+1)*($NR$27-248+1)/$NT$27,$NM$27/$NS$27)),0)</f>
        <v/>
      </c>
      <c r="IR27" s="18">
        <f>IF(AND(249&gt;=$NQ$27,249&lt;=$NR$27),IF($NO$27="Single_Point",IF(249=$NQ$27,$NM$27,0),IF($NO$27="Bell_Curve",$NM$27*(249-$NQ$27+1)*($NR$27-249+1)/$NT$27,$NM$27/$NS$27)),0)</f>
        <v/>
      </c>
      <c r="IS27" s="18">
        <f>IF(AND(250&gt;=$NQ$27,250&lt;=$NR$27),IF($NO$27="Single_Point",IF(250=$NQ$27,$NM$27,0),IF($NO$27="Bell_Curve",$NM$27*(250-$NQ$27+1)*($NR$27-250+1)/$NT$27,$NM$27/$NS$27)),0)</f>
        <v/>
      </c>
      <c r="IT27" s="18">
        <f>IF(AND(251&gt;=$NQ$27,251&lt;=$NR$27),IF($NO$27="Single_Point",IF(251=$NQ$27,$NM$27,0),IF($NO$27="Bell_Curve",$NM$27*(251-$NQ$27+1)*($NR$27-251+1)/$NT$27,$NM$27/$NS$27)),0)</f>
        <v/>
      </c>
      <c r="IU27" s="18">
        <f>IF(AND(252&gt;=$NQ$27,252&lt;=$NR$27),IF($NO$27="Single_Point",IF(252=$NQ$27,$NM$27,0),IF($NO$27="Bell_Curve",$NM$27*(252-$NQ$27+1)*($NR$27-252+1)/$NT$27,$NM$27/$NS$27)),0)</f>
        <v/>
      </c>
      <c r="IV27" s="18">
        <f>IF(AND(253&gt;=$NQ$27,253&lt;=$NR$27),IF($NO$27="Single_Point",IF(253=$NQ$27,$NM$27,0),IF($NO$27="Bell_Curve",$NM$27*(253-$NQ$27+1)*($NR$27-253+1)/$NT$27,$NM$27/$NS$27)),0)</f>
        <v/>
      </c>
      <c r="IW27" s="18">
        <f>IF(AND(254&gt;=$NQ$27,254&lt;=$NR$27),IF($NO$27="Single_Point",IF(254=$NQ$27,$NM$27,0),IF($NO$27="Bell_Curve",$NM$27*(254-$NQ$27+1)*($NR$27-254+1)/$NT$27,$NM$27/$NS$27)),0)</f>
        <v/>
      </c>
      <c r="IX27" s="18">
        <f>IF(AND(255&gt;=$NQ$27,255&lt;=$NR$27),IF($NO$27="Single_Point",IF(255=$NQ$27,$NM$27,0),IF($NO$27="Bell_Curve",$NM$27*(255-$NQ$27+1)*($NR$27-255+1)/$NT$27,$NM$27/$NS$27)),0)</f>
        <v/>
      </c>
      <c r="IY27" s="18">
        <f>IF(AND(256&gt;=$NQ$27,256&lt;=$NR$27),IF($NO$27="Single_Point",IF(256=$NQ$27,$NM$27,0),IF($NO$27="Bell_Curve",$NM$27*(256-$NQ$27+1)*($NR$27-256+1)/$NT$27,$NM$27/$NS$27)),0)</f>
        <v/>
      </c>
      <c r="IZ27" s="18">
        <f>IF(AND(257&gt;=$NQ$27,257&lt;=$NR$27),IF($NO$27="Single_Point",IF(257=$NQ$27,$NM$27,0),IF($NO$27="Bell_Curve",$NM$27*(257-$NQ$27+1)*($NR$27-257+1)/$NT$27,$NM$27/$NS$27)),0)</f>
        <v/>
      </c>
      <c r="JA27" s="18">
        <f>IF(AND(258&gt;=$NQ$27,258&lt;=$NR$27),IF($NO$27="Single_Point",IF(258=$NQ$27,$NM$27,0),IF($NO$27="Bell_Curve",$NM$27*(258-$NQ$27+1)*($NR$27-258+1)/$NT$27,$NM$27/$NS$27)),0)</f>
        <v/>
      </c>
      <c r="JB27" s="18">
        <f>IF(AND(259&gt;=$NQ$27,259&lt;=$NR$27),IF($NO$27="Single_Point",IF(259=$NQ$27,$NM$27,0),IF($NO$27="Bell_Curve",$NM$27*(259-$NQ$27+1)*($NR$27-259+1)/$NT$27,$NM$27/$NS$27)),0)</f>
        <v/>
      </c>
      <c r="JC27" s="18">
        <f>IF(AND(260&gt;=$NQ$27,260&lt;=$NR$27),IF($NO$27="Single_Point",IF(260=$NQ$27,$NM$27,0),IF($NO$27="Bell_Curve",$NM$27*(260-$NQ$27+1)*($NR$27-260+1)/$NT$27,$NM$27/$NS$27)),0)</f>
        <v/>
      </c>
      <c r="JD27" s="18">
        <f>IF(AND(261&gt;=$NQ$27,261&lt;=$NR$27),IF($NO$27="Single_Point",IF(261=$NQ$27,$NM$27,0),IF($NO$27="Bell_Curve",$NM$27*(261-$NQ$27+1)*($NR$27-261+1)/$NT$27,$NM$27/$NS$27)),0)</f>
        <v/>
      </c>
      <c r="JE27" s="18">
        <f>IF(AND(262&gt;=$NQ$27,262&lt;=$NR$27),IF($NO$27="Single_Point",IF(262=$NQ$27,$NM$27,0),IF($NO$27="Bell_Curve",$NM$27*(262-$NQ$27+1)*($NR$27-262+1)/$NT$27,$NM$27/$NS$27)),0)</f>
        <v/>
      </c>
      <c r="JF27" s="18">
        <f>IF(AND(263&gt;=$NQ$27,263&lt;=$NR$27),IF($NO$27="Single_Point",IF(263=$NQ$27,$NM$27,0),IF($NO$27="Bell_Curve",$NM$27*(263-$NQ$27+1)*($NR$27-263+1)/$NT$27,$NM$27/$NS$27)),0)</f>
        <v/>
      </c>
      <c r="JG27" s="18">
        <f>IF(AND(264&gt;=$NQ$27,264&lt;=$NR$27),IF($NO$27="Single_Point",IF(264=$NQ$27,$NM$27,0),IF($NO$27="Bell_Curve",$NM$27*(264-$NQ$27+1)*($NR$27-264+1)/$NT$27,$NM$27/$NS$27)),0)</f>
        <v/>
      </c>
      <c r="JH27" s="18">
        <f>IF(AND(265&gt;=$NQ$27,265&lt;=$NR$27),IF($NO$27="Single_Point",IF(265=$NQ$27,$NM$27,0),IF($NO$27="Bell_Curve",$NM$27*(265-$NQ$27+1)*($NR$27-265+1)/$NT$27,$NM$27/$NS$27)),0)</f>
        <v/>
      </c>
      <c r="JI27" s="18">
        <f>IF(AND(266&gt;=$NQ$27,266&lt;=$NR$27),IF($NO$27="Single_Point",IF(266=$NQ$27,$NM$27,0),IF($NO$27="Bell_Curve",$NM$27*(266-$NQ$27+1)*($NR$27-266+1)/$NT$27,$NM$27/$NS$27)),0)</f>
        <v/>
      </c>
      <c r="JJ27" s="18">
        <f>IF(AND(267&gt;=$NQ$27,267&lt;=$NR$27),IF($NO$27="Single_Point",IF(267=$NQ$27,$NM$27,0),IF($NO$27="Bell_Curve",$NM$27*(267-$NQ$27+1)*($NR$27-267+1)/$NT$27,$NM$27/$NS$27)),0)</f>
        <v/>
      </c>
      <c r="JK27" s="18">
        <f>IF(AND(268&gt;=$NQ$27,268&lt;=$NR$27),IF($NO$27="Single_Point",IF(268=$NQ$27,$NM$27,0),IF($NO$27="Bell_Curve",$NM$27*(268-$NQ$27+1)*($NR$27-268+1)/$NT$27,$NM$27/$NS$27)),0)</f>
        <v/>
      </c>
      <c r="JL27" s="18">
        <f>IF(AND(269&gt;=$NQ$27,269&lt;=$NR$27),IF($NO$27="Single_Point",IF(269=$NQ$27,$NM$27,0),IF($NO$27="Bell_Curve",$NM$27*(269-$NQ$27+1)*($NR$27-269+1)/$NT$27,$NM$27/$NS$27)),0)</f>
        <v/>
      </c>
      <c r="JM27" s="18">
        <f>IF(AND(270&gt;=$NQ$27,270&lt;=$NR$27),IF($NO$27="Single_Point",IF(270=$NQ$27,$NM$27,0),IF($NO$27="Bell_Curve",$NM$27*(270-$NQ$27+1)*($NR$27-270+1)/$NT$27,$NM$27/$NS$27)),0)</f>
        <v/>
      </c>
      <c r="JN27" s="18">
        <f>IF(AND(271&gt;=$NQ$27,271&lt;=$NR$27),IF($NO$27="Single_Point",IF(271=$NQ$27,$NM$27,0),IF($NO$27="Bell_Curve",$NM$27*(271-$NQ$27+1)*($NR$27-271+1)/$NT$27,$NM$27/$NS$27)),0)</f>
        <v/>
      </c>
      <c r="JO27" s="18">
        <f>IF(AND(272&gt;=$NQ$27,272&lt;=$NR$27),IF($NO$27="Single_Point",IF(272=$NQ$27,$NM$27,0),IF($NO$27="Bell_Curve",$NM$27*(272-$NQ$27+1)*($NR$27-272+1)/$NT$27,$NM$27/$NS$27)),0)</f>
        <v/>
      </c>
      <c r="JP27" s="18">
        <f>IF(AND(273&gt;=$NQ$27,273&lt;=$NR$27),IF($NO$27="Single_Point",IF(273=$NQ$27,$NM$27,0),IF($NO$27="Bell_Curve",$NM$27*(273-$NQ$27+1)*($NR$27-273+1)/$NT$27,$NM$27/$NS$27)),0)</f>
        <v/>
      </c>
      <c r="JQ27" s="18">
        <f>IF(AND(274&gt;=$NQ$27,274&lt;=$NR$27),IF($NO$27="Single_Point",IF(274=$NQ$27,$NM$27,0),IF($NO$27="Bell_Curve",$NM$27*(274-$NQ$27+1)*($NR$27-274+1)/$NT$27,$NM$27/$NS$27)),0)</f>
        <v/>
      </c>
      <c r="JR27" s="18">
        <f>IF(AND(275&gt;=$NQ$27,275&lt;=$NR$27),IF($NO$27="Single_Point",IF(275=$NQ$27,$NM$27,0),IF($NO$27="Bell_Curve",$NM$27*(275-$NQ$27+1)*($NR$27-275+1)/$NT$27,$NM$27/$NS$27)),0)</f>
        <v/>
      </c>
      <c r="JS27" s="18">
        <f>IF(AND(276&gt;=$NQ$27,276&lt;=$NR$27),IF($NO$27="Single_Point",IF(276=$NQ$27,$NM$27,0),IF($NO$27="Bell_Curve",$NM$27*(276-$NQ$27+1)*($NR$27-276+1)/$NT$27,$NM$27/$NS$27)),0)</f>
        <v/>
      </c>
      <c r="JT27" s="18">
        <f>IF(AND(277&gt;=$NQ$27,277&lt;=$NR$27),IF($NO$27="Single_Point",IF(277=$NQ$27,$NM$27,0),IF($NO$27="Bell_Curve",$NM$27*(277-$NQ$27+1)*($NR$27-277+1)/$NT$27,$NM$27/$NS$27)),0)</f>
        <v/>
      </c>
      <c r="JU27" s="18">
        <f>IF(AND(278&gt;=$NQ$27,278&lt;=$NR$27),IF($NO$27="Single_Point",IF(278=$NQ$27,$NM$27,0),IF($NO$27="Bell_Curve",$NM$27*(278-$NQ$27+1)*($NR$27-278+1)/$NT$27,$NM$27/$NS$27)),0)</f>
        <v/>
      </c>
      <c r="JV27" s="18">
        <f>IF(AND(279&gt;=$NQ$27,279&lt;=$NR$27),IF($NO$27="Single_Point",IF(279=$NQ$27,$NM$27,0),IF($NO$27="Bell_Curve",$NM$27*(279-$NQ$27+1)*($NR$27-279+1)/$NT$27,$NM$27/$NS$27)),0)</f>
        <v/>
      </c>
      <c r="JW27" s="18">
        <f>IF(AND(280&gt;=$NQ$27,280&lt;=$NR$27),IF($NO$27="Single_Point",IF(280=$NQ$27,$NM$27,0),IF($NO$27="Bell_Curve",$NM$27*(280-$NQ$27+1)*($NR$27-280+1)/$NT$27,$NM$27/$NS$27)),0)</f>
        <v/>
      </c>
      <c r="JX27" s="18">
        <f>IF(AND(281&gt;=$NQ$27,281&lt;=$NR$27),IF($NO$27="Single_Point",IF(281=$NQ$27,$NM$27,0),IF($NO$27="Bell_Curve",$NM$27*(281-$NQ$27+1)*($NR$27-281+1)/$NT$27,$NM$27/$NS$27)),0)</f>
        <v/>
      </c>
      <c r="JY27" s="18">
        <f>IF(AND(282&gt;=$NQ$27,282&lt;=$NR$27),IF($NO$27="Single_Point",IF(282=$NQ$27,$NM$27,0),IF($NO$27="Bell_Curve",$NM$27*(282-$NQ$27+1)*($NR$27-282+1)/$NT$27,$NM$27/$NS$27)),0)</f>
        <v/>
      </c>
      <c r="JZ27" s="18">
        <f>IF(AND(283&gt;=$NQ$27,283&lt;=$NR$27),IF($NO$27="Single_Point",IF(283=$NQ$27,$NM$27,0),IF($NO$27="Bell_Curve",$NM$27*(283-$NQ$27+1)*($NR$27-283+1)/$NT$27,$NM$27/$NS$27)),0)</f>
        <v/>
      </c>
      <c r="KA27" s="18">
        <f>IF(AND(284&gt;=$NQ$27,284&lt;=$NR$27),IF($NO$27="Single_Point",IF(284=$NQ$27,$NM$27,0),IF($NO$27="Bell_Curve",$NM$27*(284-$NQ$27+1)*($NR$27-284+1)/$NT$27,$NM$27/$NS$27)),0)</f>
        <v/>
      </c>
      <c r="KB27" s="18">
        <f>IF(AND(285&gt;=$NQ$27,285&lt;=$NR$27),IF($NO$27="Single_Point",IF(285=$NQ$27,$NM$27,0),IF($NO$27="Bell_Curve",$NM$27*(285-$NQ$27+1)*($NR$27-285+1)/$NT$27,$NM$27/$NS$27)),0)</f>
        <v/>
      </c>
      <c r="KC27" s="18">
        <f>IF(AND(286&gt;=$NQ$27,286&lt;=$NR$27),IF($NO$27="Single_Point",IF(286=$NQ$27,$NM$27,0),IF($NO$27="Bell_Curve",$NM$27*(286-$NQ$27+1)*($NR$27-286+1)/$NT$27,$NM$27/$NS$27)),0)</f>
        <v/>
      </c>
      <c r="KD27" s="18">
        <f>IF(AND(287&gt;=$NQ$27,287&lt;=$NR$27),IF($NO$27="Single_Point",IF(287=$NQ$27,$NM$27,0),IF($NO$27="Bell_Curve",$NM$27*(287-$NQ$27+1)*($NR$27-287+1)/$NT$27,$NM$27/$NS$27)),0)</f>
        <v/>
      </c>
      <c r="KE27" s="18">
        <f>IF(AND(288&gt;=$NQ$27,288&lt;=$NR$27),IF($NO$27="Single_Point",IF(288=$NQ$27,$NM$27,0),IF($NO$27="Bell_Curve",$NM$27*(288-$NQ$27+1)*($NR$27-288+1)/$NT$27,$NM$27/$NS$27)),0)</f>
        <v/>
      </c>
      <c r="KF27" s="18">
        <f>IF(AND(289&gt;=$NQ$27,289&lt;=$NR$27),IF($NO$27="Single_Point",IF(289=$NQ$27,$NM$27,0),IF($NO$27="Bell_Curve",$NM$27*(289-$NQ$27+1)*($NR$27-289+1)/$NT$27,$NM$27/$NS$27)),0)</f>
        <v/>
      </c>
      <c r="KG27" s="18">
        <f>IF(AND(290&gt;=$NQ$27,290&lt;=$NR$27),IF($NO$27="Single_Point",IF(290=$NQ$27,$NM$27,0),IF($NO$27="Bell_Curve",$NM$27*(290-$NQ$27+1)*($NR$27-290+1)/$NT$27,$NM$27/$NS$27)),0)</f>
        <v/>
      </c>
      <c r="KH27" s="18">
        <f>IF(AND(291&gt;=$NQ$27,291&lt;=$NR$27),IF($NO$27="Single_Point",IF(291=$NQ$27,$NM$27,0),IF($NO$27="Bell_Curve",$NM$27*(291-$NQ$27+1)*($NR$27-291+1)/$NT$27,$NM$27/$NS$27)),0)</f>
        <v/>
      </c>
      <c r="KI27" s="18">
        <f>IF(AND(292&gt;=$NQ$27,292&lt;=$NR$27),IF($NO$27="Single_Point",IF(292=$NQ$27,$NM$27,0),IF($NO$27="Bell_Curve",$NM$27*(292-$NQ$27+1)*($NR$27-292+1)/$NT$27,$NM$27/$NS$27)),0)</f>
        <v/>
      </c>
      <c r="KJ27" s="18">
        <f>IF(AND(293&gt;=$NQ$27,293&lt;=$NR$27),IF($NO$27="Single_Point",IF(293=$NQ$27,$NM$27,0),IF($NO$27="Bell_Curve",$NM$27*(293-$NQ$27+1)*($NR$27-293+1)/$NT$27,$NM$27/$NS$27)),0)</f>
        <v/>
      </c>
      <c r="KK27" s="18">
        <f>IF(AND(294&gt;=$NQ$27,294&lt;=$NR$27),IF($NO$27="Single_Point",IF(294=$NQ$27,$NM$27,0),IF($NO$27="Bell_Curve",$NM$27*(294-$NQ$27+1)*($NR$27-294+1)/$NT$27,$NM$27/$NS$27)),0)</f>
        <v/>
      </c>
      <c r="KL27" s="18">
        <f>IF(AND(295&gt;=$NQ$27,295&lt;=$NR$27),IF($NO$27="Single_Point",IF(295=$NQ$27,$NM$27,0),IF($NO$27="Bell_Curve",$NM$27*(295-$NQ$27+1)*($NR$27-295+1)/$NT$27,$NM$27/$NS$27)),0)</f>
        <v/>
      </c>
      <c r="KM27" s="18">
        <f>IF(AND(296&gt;=$NQ$27,296&lt;=$NR$27),IF($NO$27="Single_Point",IF(296=$NQ$27,$NM$27,0),IF($NO$27="Bell_Curve",$NM$27*(296-$NQ$27+1)*($NR$27-296+1)/$NT$27,$NM$27/$NS$27)),0)</f>
        <v/>
      </c>
      <c r="KN27" s="18">
        <f>IF(AND(297&gt;=$NQ$27,297&lt;=$NR$27),IF($NO$27="Single_Point",IF(297=$NQ$27,$NM$27,0),IF($NO$27="Bell_Curve",$NM$27*(297-$NQ$27+1)*($NR$27-297+1)/$NT$27,$NM$27/$NS$27)),0)</f>
        <v/>
      </c>
      <c r="KO27" s="18">
        <f>IF(AND(298&gt;=$NQ$27,298&lt;=$NR$27),IF($NO$27="Single_Point",IF(298=$NQ$27,$NM$27,0),IF($NO$27="Bell_Curve",$NM$27*(298-$NQ$27+1)*($NR$27-298+1)/$NT$27,$NM$27/$NS$27)),0)</f>
        <v/>
      </c>
      <c r="KP27" s="18">
        <f>IF(AND(299&gt;=$NQ$27,299&lt;=$NR$27),IF($NO$27="Single_Point",IF(299=$NQ$27,$NM$27,0),IF($NO$27="Bell_Curve",$NM$27*(299-$NQ$27+1)*($NR$27-299+1)/$NT$27,$NM$27/$NS$27)),0)</f>
        <v/>
      </c>
      <c r="KQ27" s="18">
        <f>IF(AND(300&gt;=$NQ$27,300&lt;=$NR$27),IF($NO$27="Single_Point",IF(300=$NQ$27,$NM$27,0),IF($NO$27="Bell_Curve",$NM$27*(300-$NQ$27+1)*($NR$27-300+1)/$NT$27,$NM$27/$NS$27)),0)</f>
        <v/>
      </c>
      <c r="KR27" s="18">
        <f>IF(AND(301&gt;=$NQ$27,301&lt;=$NR$27),IF($NO$27="Single_Point",IF(301=$NQ$27,$NM$27,0),IF($NO$27="Bell_Curve",$NM$27*(301-$NQ$27+1)*($NR$27-301+1)/$NT$27,$NM$27/$NS$27)),0)</f>
        <v/>
      </c>
      <c r="KS27" s="18">
        <f>IF(AND(302&gt;=$NQ$27,302&lt;=$NR$27),IF($NO$27="Single_Point",IF(302=$NQ$27,$NM$27,0),IF($NO$27="Bell_Curve",$NM$27*(302-$NQ$27+1)*($NR$27-302+1)/$NT$27,$NM$27/$NS$27)),0)</f>
        <v/>
      </c>
      <c r="KT27" s="18">
        <f>IF(AND(303&gt;=$NQ$27,303&lt;=$NR$27),IF($NO$27="Single_Point",IF(303=$NQ$27,$NM$27,0),IF($NO$27="Bell_Curve",$NM$27*(303-$NQ$27+1)*($NR$27-303+1)/$NT$27,$NM$27/$NS$27)),0)</f>
        <v/>
      </c>
      <c r="KU27" s="18">
        <f>IF(AND(304&gt;=$NQ$27,304&lt;=$NR$27),IF($NO$27="Single_Point",IF(304=$NQ$27,$NM$27,0),IF($NO$27="Bell_Curve",$NM$27*(304-$NQ$27+1)*($NR$27-304+1)/$NT$27,$NM$27/$NS$27)),0)</f>
        <v/>
      </c>
      <c r="KV27" s="18">
        <f>IF(AND(305&gt;=$NQ$27,305&lt;=$NR$27),IF($NO$27="Single_Point",IF(305=$NQ$27,$NM$27,0),IF($NO$27="Bell_Curve",$NM$27*(305-$NQ$27+1)*($NR$27-305+1)/$NT$27,$NM$27/$NS$27)),0)</f>
        <v/>
      </c>
      <c r="KW27" s="18">
        <f>IF(AND(306&gt;=$NQ$27,306&lt;=$NR$27),IF($NO$27="Single_Point",IF(306=$NQ$27,$NM$27,0),IF($NO$27="Bell_Curve",$NM$27*(306-$NQ$27+1)*($NR$27-306+1)/$NT$27,$NM$27/$NS$27)),0)</f>
        <v/>
      </c>
      <c r="KX27" s="18">
        <f>IF(AND(307&gt;=$NQ$27,307&lt;=$NR$27),IF($NO$27="Single_Point",IF(307=$NQ$27,$NM$27,0),IF($NO$27="Bell_Curve",$NM$27*(307-$NQ$27+1)*($NR$27-307+1)/$NT$27,$NM$27/$NS$27)),0)</f>
        <v/>
      </c>
      <c r="KY27" s="18">
        <f>IF(AND(308&gt;=$NQ$27,308&lt;=$NR$27),IF($NO$27="Single_Point",IF(308=$NQ$27,$NM$27,0),IF($NO$27="Bell_Curve",$NM$27*(308-$NQ$27+1)*($NR$27-308+1)/$NT$27,$NM$27/$NS$27)),0)</f>
        <v/>
      </c>
      <c r="KZ27" s="18">
        <f>IF(AND(309&gt;=$NQ$27,309&lt;=$NR$27),IF($NO$27="Single_Point",IF(309=$NQ$27,$NM$27,0),IF($NO$27="Bell_Curve",$NM$27*(309-$NQ$27+1)*($NR$27-309+1)/$NT$27,$NM$27/$NS$27)),0)</f>
        <v/>
      </c>
      <c r="LA27" s="18">
        <f>IF(AND(310&gt;=$NQ$27,310&lt;=$NR$27),IF($NO$27="Single_Point",IF(310=$NQ$27,$NM$27,0),IF($NO$27="Bell_Curve",$NM$27*(310-$NQ$27+1)*($NR$27-310+1)/$NT$27,$NM$27/$NS$27)),0)</f>
        <v/>
      </c>
      <c r="LB27" s="18">
        <f>IF(AND(311&gt;=$NQ$27,311&lt;=$NR$27),IF($NO$27="Single_Point",IF(311=$NQ$27,$NM$27,0),IF($NO$27="Bell_Curve",$NM$27*(311-$NQ$27+1)*($NR$27-311+1)/$NT$27,$NM$27/$NS$27)),0)</f>
        <v/>
      </c>
      <c r="LC27" s="18">
        <f>IF(AND(312&gt;=$NQ$27,312&lt;=$NR$27),IF($NO$27="Single_Point",IF(312=$NQ$27,$NM$27,0),IF($NO$27="Bell_Curve",$NM$27*(312-$NQ$27+1)*($NR$27-312+1)/$NT$27,$NM$27/$NS$27)),0)</f>
        <v/>
      </c>
      <c r="LD27" s="18">
        <f>IF(AND(313&gt;=$NQ$27,313&lt;=$NR$27),IF($NO$27="Single_Point",IF(313=$NQ$27,$NM$27,0),IF($NO$27="Bell_Curve",$NM$27*(313-$NQ$27+1)*($NR$27-313+1)/$NT$27,$NM$27/$NS$27)),0)</f>
        <v/>
      </c>
      <c r="LE27" s="18">
        <f>IF(AND(314&gt;=$NQ$27,314&lt;=$NR$27),IF($NO$27="Single_Point",IF(314=$NQ$27,$NM$27,0),IF($NO$27="Bell_Curve",$NM$27*(314-$NQ$27+1)*($NR$27-314+1)/$NT$27,$NM$27/$NS$27)),0)</f>
        <v/>
      </c>
      <c r="LF27" s="18">
        <f>IF(AND(315&gt;=$NQ$27,315&lt;=$NR$27),IF($NO$27="Single_Point",IF(315=$NQ$27,$NM$27,0),IF($NO$27="Bell_Curve",$NM$27*(315-$NQ$27+1)*($NR$27-315+1)/$NT$27,$NM$27/$NS$27)),0)</f>
        <v/>
      </c>
      <c r="LG27" s="18">
        <f>IF(AND(316&gt;=$NQ$27,316&lt;=$NR$27),IF($NO$27="Single_Point",IF(316=$NQ$27,$NM$27,0),IF($NO$27="Bell_Curve",$NM$27*(316-$NQ$27+1)*($NR$27-316+1)/$NT$27,$NM$27/$NS$27)),0)</f>
        <v/>
      </c>
      <c r="LH27" s="18">
        <f>IF(AND(317&gt;=$NQ$27,317&lt;=$NR$27),IF($NO$27="Single_Point",IF(317=$NQ$27,$NM$27,0),IF($NO$27="Bell_Curve",$NM$27*(317-$NQ$27+1)*($NR$27-317+1)/$NT$27,$NM$27/$NS$27)),0)</f>
        <v/>
      </c>
      <c r="LI27" s="18">
        <f>IF(AND(318&gt;=$NQ$27,318&lt;=$NR$27),IF($NO$27="Single_Point",IF(318=$NQ$27,$NM$27,0),IF($NO$27="Bell_Curve",$NM$27*(318-$NQ$27+1)*($NR$27-318+1)/$NT$27,$NM$27/$NS$27)),0)</f>
        <v/>
      </c>
      <c r="LJ27" s="18">
        <f>IF(AND(319&gt;=$NQ$27,319&lt;=$NR$27),IF($NO$27="Single_Point",IF(319=$NQ$27,$NM$27,0),IF($NO$27="Bell_Curve",$NM$27*(319-$NQ$27+1)*($NR$27-319+1)/$NT$27,$NM$27/$NS$27)),0)</f>
        <v/>
      </c>
      <c r="LK27" s="18">
        <f>IF(AND(320&gt;=$NQ$27,320&lt;=$NR$27),IF($NO$27="Single_Point",IF(320=$NQ$27,$NM$27,0),IF($NO$27="Bell_Curve",$NM$27*(320-$NQ$27+1)*($NR$27-320+1)/$NT$27,$NM$27/$NS$27)),0)</f>
        <v/>
      </c>
      <c r="LL27" s="18">
        <f>IF(AND(321&gt;=$NQ$27,321&lt;=$NR$27),IF($NO$27="Single_Point",IF(321=$NQ$27,$NM$27,0),IF($NO$27="Bell_Curve",$NM$27*(321-$NQ$27+1)*($NR$27-321+1)/$NT$27,$NM$27/$NS$27)),0)</f>
        <v/>
      </c>
      <c r="LM27" s="18">
        <f>IF(AND(322&gt;=$NQ$27,322&lt;=$NR$27),IF($NO$27="Single_Point",IF(322=$NQ$27,$NM$27,0),IF($NO$27="Bell_Curve",$NM$27*(322-$NQ$27+1)*($NR$27-322+1)/$NT$27,$NM$27/$NS$27)),0)</f>
        <v/>
      </c>
      <c r="LN27" s="18">
        <f>IF(AND(323&gt;=$NQ$27,323&lt;=$NR$27),IF($NO$27="Single_Point",IF(323=$NQ$27,$NM$27,0),IF($NO$27="Bell_Curve",$NM$27*(323-$NQ$27+1)*($NR$27-323+1)/$NT$27,$NM$27/$NS$27)),0)</f>
        <v/>
      </c>
      <c r="LO27" s="18">
        <f>IF(AND(324&gt;=$NQ$27,324&lt;=$NR$27),IF($NO$27="Single_Point",IF(324=$NQ$27,$NM$27,0),IF($NO$27="Bell_Curve",$NM$27*(324-$NQ$27+1)*($NR$27-324+1)/$NT$27,$NM$27/$NS$27)),0)</f>
        <v/>
      </c>
      <c r="LP27" s="18">
        <f>IF(AND(325&gt;=$NQ$27,325&lt;=$NR$27),IF($NO$27="Single_Point",IF(325=$NQ$27,$NM$27,0),IF($NO$27="Bell_Curve",$NM$27*(325-$NQ$27+1)*($NR$27-325+1)/$NT$27,$NM$27/$NS$27)),0)</f>
        <v/>
      </c>
      <c r="LQ27" s="18">
        <f>IF(AND(326&gt;=$NQ$27,326&lt;=$NR$27),IF($NO$27="Single_Point",IF(326=$NQ$27,$NM$27,0),IF($NO$27="Bell_Curve",$NM$27*(326-$NQ$27+1)*($NR$27-326+1)/$NT$27,$NM$27/$NS$27)),0)</f>
        <v/>
      </c>
      <c r="LR27" s="18">
        <f>IF(AND(327&gt;=$NQ$27,327&lt;=$NR$27),IF($NO$27="Single_Point",IF(327=$NQ$27,$NM$27,0),IF($NO$27="Bell_Curve",$NM$27*(327-$NQ$27+1)*($NR$27-327+1)/$NT$27,$NM$27/$NS$27)),0)</f>
        <v/>
      </c>
      <c r="LS27" s="18">
        <f>IF(AND(328&gt;=$NQ$27,328&lt;=$NR$27),IF($NO$27="Single_Point",IF(328=$NQ$27,$NM$27,0),IF($NO$27="Bell_Curve",$NM$27*(328-$NQ$27+1)*($NR$27-328+1)/$NT$27,$NM$27/$NS$27)),0)</f>
        <v/>
      </c>
      <c r="LT27" s="18">
        <f>IF(AND(329&gt;=$NQ$27,329&lt;=$NR$27),IF($NO$27="Single_Point",IF(329=$NQ$27,$NM$27,0),IF($NO$27="Bell_Curve",$NM$27*(329-$NQ$27+1)*($NR$27-329+1)/$NT$27,$NM$27/$NS$27)),0)</f>
        <v/>
      </c>
      <c r="LU27" s="18">
        <f>IF(AND(330&gt;=$NQ$27,330&lt;=$NR$27),IF($NO$27="Single_Point",IF(330=$NQ$27,$NM$27,0),IF($NO$27="Bell_Curve",$NM$27*(330-$NQ$27+1)*($NR$27-330+1)/$NT$27,$NM$27/$NS$27)),0)</f>
        <v/>
      </c>
      <c r="LV27" s="18">
        <f>IF(AND(331&gt;=$NQ$27,331&lt;=$NR$27),IF($NO$27="Single_Point",IF(331=$NQ$27,$NM$27,0),IF($NO$27="Bell_Curve",$NM$27*(331-$NQ$27+1)*($NR$27-331+1)/$NT$27,$NM$27/$NS$27)),0)</f>
        <v/>
      </c>
      <c r="LW27" s="18">
        <f>IF(AND(332&gt;=$NQ$27,332&lt;=$NR$27),IF($NO$27="Single_Point",IF(332=$NQ$27,$NM$27,0),IF($NO$27="Bell_Curve",$NM$27*(332-$NQ$27+1)*($NR$27-332+1)/$NT$27,$NM$27/$NS$27)),0)</f>
        <v/>
      </c>
      <c r="LX27" s="18">
        <f>IF(AND(333&gt;=$NQ$27,333&lt;=$NR$27),IF($NO$27="Single_Point",IF(333=$NQ$27,$NM$27,0),IF($NO$27="Bell_Curve",$NM$27*(333-$NQ$27+1)*($NR$27-333+1)/$NT$27,$NM$27/$NS$27)),0)</f>
        <v/>
      </c>
      <c r="LY27" s="18">
        <f>IF(AND(334&gt;=$NQ$27,334&lt;=$NR$27),IF($NO$27="Single_Point",IF(334=$NQ$27,$NM$27,0),IF($NO$27="Bell_Curve",$NM$27*(334-$NQ$27+1)*($NR$27-334+1)/$NT$27,$NM$27/$NS$27)),0)</f>
        <v/>
      </c>
      <c r="LZ27" s="18">
        <f>IF(AND(335&gt;=$NQ$27,335&lt;=$NR$27),IF($NO$27="Single_Point",IF(335=$NQ$27,$NM$27,0),IF($NO$27="Bell_Curve",$NM$27*(335-$NQ$27+1)*($NR$27-335+1)/$NT$27,$NM$27/$NS$27)),0)</f>
        <v/>
      </c>
      <c r="MA27" s="18">
        <f>IF(AND(336&gt;=$NQ$27,336&lt;=$NR$27),IF($NO$27="Single_Point",IF(336=$NQ$27,$NM$27,0),IF($NO$27="Bell_Curve",$NM$27*(336-$NQ$27+1)*($NR$27-336+1)/$NT$27,$NM$27/$NS$27)),0)</f>
        <v/>
      </c>
      <c r="MB27" s="18">
        <f>IF(AND(337&gt;=$NQ$27,337&lt;=$NR$27),IF($NO$27="Single_Point",IF(337=$NQ$27,$NM$27,0),IF($NO$27="Bell_Curve",$NM$27*(337-$NQ$27+1)*($NR$27-337+1)/$NT$27,$NM$27/$NS$27)),0)</f>
        <v/>
      </c>
      <c r="MC27" s="18">
        <f>IF(AND(338&gt;=$NQ$27,338&lt;=$NR$27),IF($NO$27="Single_Point",IF(338=$NQ$27,$NM$27,0),IF($NO$27="Bell_Curve",$NM$27*(338-$NQ$27+1)*($NR$27-338+1)/$NT$27,$NM$27/$NS$27)),0)</f>
        <v/>
      </c>
      <c r="MD27" s="18">
        <f>IF(AND(339&gt;=$NQ$27,339&lt;=$NR$27),IF($NO$27="Single_Point",IF(339=$NQ$27,$NM$27,0),IF($NO$27="Bell_Curve",$NM$27*(339-$NQ$27+1)*($NR$27-339+1)/$NT$27,$NM$27/$NS$27)),0)</f>
        <v/>
      </c>
      <c r="ME27" s="18">
        <f>IF(AND(340&gt;=$NQ$27,340&lt;=$NR$27),IF($NO$27="Single_Point",IF(340=$NQ$27,$NM$27,0),IF($NO$27="Bell_Curve",$NM$27*(340-$NQ$27+1)*($NR$27-340+1)/$NT$27,$NM$27/$NS$27)),0)</f>
        <v/>
      </c>
      <c r="MF27" s="18">
        <f>IF(AND(341&gt;=$NQ$27,341&lt;=$NR$27),IF($NO$27="Single_Point",IF(341=$NQ$27,$NM$27,0),IF($NO$27="Bell_Curve",$NM$27*(341-$NQ$27+1)*($NR$27-341+1)/$NT$27,$NM$27/$NS$27)),0)</f>
        <v/>
      </c>
      <c r="MG27" s="18">
        <f>IF(AND(342&gt;=$NQ$27,342&lt;=$NR$27),IF($NO$27="Single_Point",IF(342=$NQ$27,$NM$27,0),IF($NO$27="Bell_Curve",$NM$27*(342-$NQ$27+1)*($NR$27-342+1)/$NT$27,$NM$27/$NS$27)),0)</f>
        <v/>
      </c>
      <c r="MH27" s="18">
        <f>IF(AND(343&gt;=$NQ$27,343&lt;=$NR$27),IF($NO$27="Single_Point",IF(343=$NQ$27,$NM$27,0),IF($NO$27="Bell_Curve",$NM$27*(343-$NQ$27+1)*($NR$27-343+1)/$NT$27,$NM$27/$NS$27)),0)</f>
        <v/>
      </c>
      <c r="MI27" s="18">
        <f>IF(AND(344&gt;=$NQ$27,344&lt;=$NR$27),IF($NO$27="Single_Point",IF(344=$NQ$27,$NM$27,0),IF($NO$27="Bell_Curve",$NM$27*(344-$NQ$27+1)*($NR$27-344+1)/$NT$27,$NM$27/$NS$27)),0)</f>
        <v/>
      </c>
      <c r="MJ27" s="18">
        <f>IF(AND(345&gt;=$NQ$27,345&lt;=$NR$27),IF($NO$27="Single_Point",IF(345=$NQ$27,$NM$27,0),IF($NO$27="Bell_Curve",$NM$27*(345-$NQ$27+1)*($NR$27-345+1)/$NT$27,$NM$27/$NS$27)),0)</f>
        <v/>
      </c>
      <c r="MK27" s="18">
        <f>IF(AND(346&gt;=$NQ$27,346&lt;=$NR$27),IF($NO$27="Single_Point",IF(346=$NQ$27,$NM$27,0),IF($NO$27="Bell_Curve",$NM$27*(346-$NQ$27+1)*($NR$27-346+1)/$NT$27,$NM$27/$NS$27)),0)</f>
        <v/>
      </c>
      <c r="ML27" s="18">
        <f>IF(AND(347&gt;=$NQ$27,347&lt;=$NR$27),IF($NO$27="Single_Point",IF(347=$NQ$27,$NM$27,0),IF($NO$27="Bell_Curve",$NM$27*(347-$NQ$27+1)*($NR$27-347+1)/$NT$27,$NM$27/$NS$27)),0)</f>
        <v/>
      </c>
      <c r="MM27" s="18">
        <f>IF(AND(348&gt;=$NQ$27,348&lt;=$NR$27),IF($NO$27="Single_Point",IF(348=$NQ$27,$NM$27,0),IF($NO$27="Bell_Curve",$NM$27*(348-$NQ$27+1)*($NR$27-348+1)/$NT$27,$NM$27/$NS$27)),0)</f>
        <v/>
      </c>
      <c r="MN27" s="18">
        <f>IF(AND(349&gt;=$NQ$27,349&lt;=$NR$27),IF($NO$27="Single_Point",IF(349=$NQ$27,$NM$27,0),IF($NO$27="Bell_Curve",$NM$27*(349-$NQ$27+1)*($NR$27-349+1)/$NT$27,$NM$27/$NS$27)),0)</f>
        <v/>
      </c>
      <c r="MO27" s="18">
        <f>IF(AND(350&gt;=$NQ$27,350&lt;=$NR$27),IF($NO$27="Single_Point",IF(350=$NQ$27,$NM$27,0),IF($NO$27="Bell_Curve",$NM$27*(350-$NQ$27+1)*($NR$27-350+1)/$NT$27,$NM$27/$NS$27)),0)</f>
        <v/>
      </c>
      <c r="MP27" s="18">
        <f>IF(AND(351&gt;=$NQ$27,351&lt;=$NR$27),IF($NO$27="Single_Point",IF(351=$NQ$27,$NM$27,0),IF($NO$27="Bell_Curve",$NM$27*(351-$NQ$27+1)*($NR$27-351+1)/$NT$27,$NM$27/$NS$27)),0)</f>
        <v/>
      </c>
      <c r="MQ27" s="18">
        <f>IF(AND(352&gt;=$NQ$27,352&lt;=$NR$27),IF($NO$27="Single_Point",IF(352=$NQ$27,$NM$27,0),IF($NO$27="Bell_Curve",$NM$27*(352-$NQ$27+1)*($NR$27-352+1)/$NT$27,$NM$27/$NS$27)),0)</f>
        <v/>
      </c>
      <c r="MR27" s="18">
        <f>IF(AND(353&gt;=$NQ$27,353&lt;=$NR$27),IF($NO$27="Single_Point",IF(353=$NQ$27,$NM$27,0),IF($NO$27="Bell_Curve",$NM$27*(353-$NQ$27+1)*($NR$27-353+1)/$NT$27,$NM$27/$NS$27)),0)</f>
        <v/>
      </c>
      <c r="MS27" s="18">
        <f>IF(AND(354&gt;=$NQ$27,354&lt;=$NR$27),IF($NO$27="Single_Point",IF(354=$NQ$27,$NM$27,0),IF($NO$27="Bell_Curve",$NM$27*(354-$NQ$27+1)*($NR$27-354+1)/$NT$27,$NM$27/$NS$27)),0)</f>
        <v/>
      </c>
      <c r="MT27" s="18">
        <f>IF(AND(355&gt;=$NQ$27,355&lt;=$NR$27),IF($NO$27="Single_Point",IF(355=$NQ$27,$NM$27,0),IF($NO$27="Bell_Curve",$NM$27*(355-$NQ$27+1)*($NR$27-355+1)/$NT$27,$NM$27/$NS$27)),0)</f>
        <v/>
      </c>
      <c r="MU27" s="18">
        <f>IF(AND(356&gt;=$NQ$27,356&lt;=$NR$27),IF($NO$27="Single_Point",IF(356=$NQ$27,$NM$27,0),IF($NO$27="Bell_Curve",$NM$27*(356-$NQ$27+1)*($NR$27-356+1)/$NT$27,$NM$27/$NS$27)),0)</f>
        <v/>
      </c>
      <c r="MV27" s="18">
        <f>IF(AND(357&gt;=$NQ$27,357&lt;=$NR$27),IF($NO$27="Single_Point",IF(357=$NQ$27,$NM$27,0),IF($NO$27="Bell_Curve",$NM$27*(357-$NQ$27+1)*($NR$27-357+1)/$NT$27,$NM$27/$NS$27)),0)</f>
        <v/>
      </c>
      <c r="MW27" s="18">
        <f>IF(AND(358&gt;=$NQ$27,358&lt;=$NR$27),IF($NO$27="Single_Point",IF(358=$NQ$27,$NM$27,0),IF($NO$27="Bell_Curve",$NM$27*(358-$NQ$27+1)*($NR$27-358+1)/$NT$27,$NM$27/$NS$27)),0)</f>
        <v/>
      </c>
      <c r="MX27" s="18">
        <f>IF(AND(359&gt;=$NQ$27,359&lt;=$NR$27),IF($NO$27="Single_Point",IF(359=$NQ$27,$NM$27,0),IF($NO$27="Bell_Curve",$NM$27*(359-$NQ$27+1)*($NR$27-359+1)/$NT$27,$NM$27/$NS$27)),0)</f>
        <v/>
      </c>
      <c r="MY27" s="18">
        <f>IF(AND(360&gt;=$NQ$27,360&lt;=$NR$27),IF($NO$27="Single_Point",IF(360=$NQ$27,$NM$27,0),IF($NO$27="Bell_Curve",$NM$27*(360-$NQ$27+1)*($NR$27-360+1)/$NT$27,$NM$27/$NS$27)),0)</f>
        <v/>
      </c>
      <c r="MZ27" s="18">
        <f>IF(AND(361&gt;=$NQ$27,361&lt;=$NR$27),IF($NO$27="Single_Point",IF(361=$NQ$27,$NM$27,0),IF($NO$27="Bell_Curve",$NM$27*(361-$NQ$27+1)*($NR$27-361+1)/$NT$27,$NM$27/$NS$27)),0)</f>
        <v/>
      </c>
      <c r="NA27" s="18">
        <f>IF(AND(362&gt;=$NQ$27,362&lt;=$NR$27),IF($NO$27="Single_Point",IF(362=$NQ$27,$NM$27,0),IF($NO$27="Bell_Curve",$NM$27*(362-$NQ$27+1)*($NR$27-362+1)/$NT$27,$NM$27/$NS$27)),0)</f>
        <v/>
      </c>
      <c r="NB27" s="18">
        <f>IF(AND(363&gt;=$NQ$27,363&lt;=$NR$27),IF($NO$27="Single_Point",IF(363=$NQ$27,$NM$27,0),IF($NO$27="Bell_Curve",$NM$27*(363-$NQ$27+1)*($NR$27-363+1)/$NT$27,$NM$27/$NS$27)),0)</f>
        <v/>
      </c>
      <c r="NC27" s="18">
        <f>IF(AND(364&gt;=$NQ$27,364&lt;=$NR$27),IF($NO$27="Single_Point",IF(364=$NQ$27,$NM$27,0),IF($NO$27="Bell_Curve",$NM$27*(364-$NQ$27+1)*($NR$27-364+1)/$NT$27,$NM$27/$NS$27)),0)</f>
        <v/>
      </c>
      <c r="ND27" s="18">
        <f>IF(AND(365&gt;=$NQ$27,365&lt;=$NR$27),IF($NO$27="Single_Point",IF(365=$NQ$27,$NM$27,0),IF($NO$27="Bell_Curve",$NM$27*(365-$NQ$27+1)*($NR$27-365+1)/$NT$27,$NM$27/$NS$27)),0)</f>
        <v/>
      </c>
      <c r="NE27" s="18">
        <f>IF(AND(366&gt;=$NQ$27,366&lt;=$NR$27),IF($NO$27="Single_Point",IF(366=$NQ$27,$NM$27,0),IF($NO$27="Bell_Curve",$NM$27*(366-$NQ$27+1)*($NR$27-366+1)/$NT$27,$NM$27/$NS$27)),0)</f>
        <v/>
      </c>
      <c r="NF27" s="18">
        <f>IF(AND(367&gt;=$NQ$27,367&lt;=$NR$27),IF($NO$27="Single_Point",IF(367=$NQ$27,$NM$27,0),IF($NO$27="Bell_Curve",$NM$27*(367-$NQ$27+1)*($NR$27-367+1)/$NT$27,$NM$27/$NS$27)),0)</f>
        <v/>
      </c>
      <c r="NG27" s="18">
        <f>IF(AND(368&gt;=$NQ$27,368&lt;=$NR$27),IF($NO$27="Single_Point",IF(368=$NQ$27,$NM$27,0),IF($NO$27="Bell_Curve",$NM$27*(368-$NQ$27+1)*($NR$27-368+1)/$NT$27,$NM$27/$NS$27)),0)</f>
        <v/>
      </c>
      <c r="NH27" s="18">
        <f>IF(AND(369&gt;=$NQ$27,369&lt;=$NR$27),IF($NO$27="Single_Point",IF(369=$NQ$27,$NM$27,0),IF($NO$27="Bell_Curve",$NM$27*(369-$NQ$27+1)*($NR$27-369+1)/$NT$27,$NM$27/$NS$27)),0)</f>
        <v/>
      </c>
      <c r="NI27" s="18">
        <f>IF(AND(370&gt;=$NQ$27,370&lt;=$NR$27),IF($NO$27="Single_Point",IF(370=$NQ$27,$NM$27,0),IF($NO$27="Bell_Curve",$NM$27*(370-$NQ$27+1)*($NR$27-370+1)/$NT$27,$NM$27/$NS$27)),0)</f>
        <v/>
      </c>
      <c r="NJ27" s="18">
        <f>IF(AND(371&gt;=$NQ$27,371&lt;=$NR$27),IF($NO$27="Single_Point",IF(371=$NQ$27,$NM$27,0),IF($NO$27="Bell_Curve",$NM$27*(371-$NQ$27+1)*($NR$27-371+1)/$NT$27,$NM$27/$NS$27)),0)</f>
        <v/>
      </c>
      <c r="NK27" s="18">
        <f>IF(AND(372&gt;=$NQ$27,372&lt;=$NR$27),IF($NO$27="Single_Point",IF(372=$NQ$27,$NM$27,0),IF($NO$27="Bell_Curve",$NM$27*(372-$NQ$27+1)*($NR$27-372+1)/$NT$27,$NM$27/$NS$27)),0)</f>
        <v/>
      </c>
      <c r="NM27" s="18">
        <f>Budget!I26</f>
        <v/>
      </c>
      <c r="NN27" s="42">
        <f>Budget!F26</f>
        <v/>
      </c>
      <c r="NO27" s="42">
        <f>Budget!G26</f>
        <v/>
      </c>
      <c r="NP27" s="17">
        <f>Budget!H26</f>
        <v/>
      </c>
      <c r="NQ27" s="32">
        <f>MAX(1,MIN(372,INDEX(MilestoneStart,MATCH(NN27,MilestoneNames,0))+NP27))</f>
        <v/>
      </c>
      <c r="NR27" s="32">
        <f>MAX(NQ27,MIN(372,INDEX(MilestoneEnd,MATCH(NN27,MilestoneNames,0))+NP27))</f>
        <v/>
      </c>
      <c r="NS27" s="17">
        <f>NR27-NQ27+1</f>
        <v/>
      </c>
      <c r="NT27" s="17">
        <f>NS27*(NS27+1)*(NS27+2)/6</f>
        <v/>
      </c>
    </row>
    <row r="28">
      <c r="A28" s="5" t="inlineStr">
        <is>
          <t>Other Hard Cost 2 - Amenity</t>
        </is>
      </c>
      <c r="C28" s="41">
        <f>SUM(D28:NK28)</f>
        <v/>
      </c>
      <c r="D28" s="18">
        <f>IF(AND(1&gt;=$NQ$28,1&lt;=$NR$28),IF($NO$28="Single_Point",IF(1=$NQ$28,$NM$28,0),IF($NO$28="Bell_Curve",$NM$28*(1-$NQ$28+1)*($NR$28-1+1)/$NT$28,$NM$28/$NS$28)),0)</f>
        <v/>
      </c>
      <c r="E28" s="18">
        <f>IF(AND(2&gt;=$NQ$28,2&lt;=$NR$28),IF($NO$28="Single_Point",IF(2=$NQ$28,$NM$28,0),IF($NO$28="Bell_Curve",$NM$28*(2-$NQ$28+1)*($NR$28-2+1)/$NT$28,$NM$28/$NS$28)),0)</f>
        <v/>
      </c>
      <c r="F28" s="18">
        <f>IF(AND(3&gt;=$NQ$28,3&lt;=$NR$28),IF($NO$28="Single_Point",IF(3=$NQ$28,$NM$28,0),IF($NO$28="Bell_Curve",$NM$28*(3-$NQ$28+1)*($NR$28-3+1)/$NT$28,$NM$28/$NS$28)),0)</f>
        <v/>
      </c>
      <c r="G28" s="18">
        <f>IF(AND(4&gt;=$NQ$28,4&lt;=$NR$28),IF($NO$28="Single_Point",IF(4=$NQ$28,$NM$28,0),IF($NO$28="Bell_Curve",$NM$28*(4-$NQ$28+1)*($NR$28-4+1)/$NT$28,$NM$28/$NS$28)),0)</f>
        <v/>
      </c>
      <c r="H28" s="18">
        <f>IF(AND(5&gt;=$NQ$28,5&lt;=$NR$28),IF($NO$28="Single_Point",IF(5=$NQ$28,$NM$28,0),IF($NO$28="Bell_Curve",$NM$28*(5-$NQ$28+1)*($NR$28-5+1)/$NT$28,$NM$28/$NS$28)),0)</f>
        <v/>
      </c>
      <c r="I28" s="18">
        <f>IF(AND(6&gt;=$NQ$28,6&lt;=$NR$28),IF($NO$28="Single_Point",IF(6=$NQ$28,$NM$28,0),IF($NO$28="Bell_Curve",$NM$28*(6-$NQ$28+1)*($NR$28-6+1)/$NT$28,$NM$28/$NS$28)),0)</f>
        <v/>
      </c>
      <c r="J28" s="18">
        <f>IF(AND(7&gt;=$NQ$28,7&lt;=$NR$28),IF($NO$28="Single_Point",IF(7=$NQ$28,$NM$28,0),IF($NO$28="Bell_Curve",$NM$28*(7-$NQ$28+1)*($NR$28-7+1)/$NT$28,$NM$28/$NS$28)),0)</f>
        <v/>
      </c>
      <c r="K28" s="18">
        <f>IF(AND(8&gt;=$NQ$28,8&lt;=$NR$28),IF($NO$28="Single_Point",IF(8=$NQ$28,$NM$28,0),IF($NO$28="Bell_Curve",$NM$28*(8-$NQ$28+1)*($NR$28-8+1)/$NT$28,$NM$28/$NS$28)),0)</f>
        <v/>
      </c>
      <c r="L28" s="18">
        <f>IF(AND(9&gt;=$NQ$28,9&lt;=$NR$28),IF($NO$28="Single_Point",IF(9=$NQ$28,$NM$28,0),IF($NO$28="Bell_Curve",$NM$28*(9-$NQ$28+1)*($NR$28-9+1)/$NT$28,$NM$28/$NS$28)),0)</f>
        <v/>
      </c>
      <c r="M28" s="18">
        <f>IF(AND(10&gt;=$NQ$28,10&lt;=$NR$28),IF($NO$28="Single_Point",IF(10=$NQ$28,$NM$28,0),IF($NO$28="Bell_Curve",$NM$28*(10-$NQ$28+1)*($NR$28-10+1)/$NT$28,$NM$28/$NS$28)),0)</f>
        <v/>
      </c>
      <c r="N28" s="18">
        <f>IF(AND(11&gt;=$NQ$28,11&lt;=$NR$28),IF($NO$28="Single_Point",IF(11=$NQ$28,$NM$28,0),IF($NO$28="Bell_Curve",$NM$28*(11-$NQ$28+1)*($NR$28-11+1)/$NT$28,$NM$28/$NS$28)),0)</f>
        <v/>
      </c>
      <c r="O28" s="18">
        <f>IF(AND(12&gt;=$NQ$28,12&lt;=$NR$28),IF($NO$28="Single_Point",IF(12=$NQ$28,$NM$28,0),IF($NO$28="Bell_Curve",$NM$28*(12-$NQ$28+1)*($NR$28-12+1)/$NT$28,$NM$28/$NS$28)),0)</f>
        <v/>
      </c>
      <c r="P28" s="18">
        <f>IF(AND(13&gt;=$NQ$28,13&lt;=$NR$28),IF($NO$28="Single_Point",IF(13=$NQ$28,$NM$28,0),IF($NO$28="Bell_Curve",$NM$28*(13-$NQ$28+1)*($NR$28-13+1)/$NT$28,$NM$28/$NS$28)),0)</f>
        <v/>
      </c>
      <c r="Q28" s="18">
        <f>IF(AND(14&gt;=$NQ$28,14&lt;=$NR$28),IF($NO$28="Single_Point",IF(14=$NQ$28,$NM$28,0),IF($NO$28="Bell_Curve",$NM$28*(14-$NQ$28+1)*($NR$28-14+1)/$NT$28,$NM$28/$NS$28)),0)</f>
        <v/>
      </c>
      <c r="R28" s="18">
        <f>IF(AND(15&gt;=$NQ$28,15&lt;=$NR$28),IF($NO$28="Single_Point",IF(15=$NQ$28,$NM$28,0),IF($NO$28="Bell_Curve",$NM$28*(15-$NQ$28+1)*($NR$28-15+1)/$NT$28,$NM$28/$NS$28)),0)</f>
        <v/>
      </c>
      <c r="S28" s="18">
        <f>IF(AND(16&gt;=$NQ$28,16&lt;=$NR$28),IF($NO$28="Single_Point",IF(16=$NQ$28,$NM$28,0),IF($NO$28="Bell_Curve",$NM$28*(16-$NQ$28+1)*($NR$28-16+1)/$NT$28,$NM$28/$NS$28)),0)</f>
        <v/>
      </c>
      <c r="T28" s="18">
        <f>IF(AND(17&gt;=$NQ$28,17&lt;=$NR$28),IF($NO$28="Single_Point",IF(17=$NQ$28,$NM$28,0),IF($NO$28="Bell_Curve",$NM$28*(17-$NQ$28+1)*($NR$28-17+1)/$NT$28,$NM$28/$NS$28)),0)</f>
        <v/>
      </c>
      <c r="U28" s="18">
        <f>IF(AND(18&gt;=$NQ$28,18&lt;=$NR$28),IF($NO$28="Single_Point",IF(18=$NQ$28,$NM$28,0),IF($NO$28="Bell_Curve",$NM$28*(18-$NQ$28+1)*($NR$28-18+1)/$NT$28,$NM$28/$NS$28)),0)</f>
        <v/>
      </c>
      <c r="V28" s="18">
        <f>IF(AND(19&gt;=$NQ$28,19&lt;=$NR$28),IF($NO$28="Single_Point",IF(19=$NQ$28,$NM$28,0),IF($NO$28="Bell_Curve",$NM$28*(19-$NQ$28+1)*($NR$28-19+1)/$NT$28,$NM$28/$NS$28)),0)</f>
        <v/>
      </c>
      <c r="W28" s="18">
        <f>IF(AND(20&gt;=$NQ$28,20&lt;=$NR$28),IF($NO$28="Single_Point",IF(20=$NQ$28,$NM$28,0),IF($NO$28="Bell_Curve",$NM$28*(20-$NQ$28+1)*($NR$28-20+1)/$NT$28,$NM$28/$NS$28)),0)</f>
        <v/>
      </c>
      <c r="X28" s="18">
        <f>IF(AND(21&gt;=$NQ$28,21&lt;=$NR$28),IF($NO$28="Single_Point",IF(21=$NQ$28,$NM$28,0),IF($NO$28="Bell_Curve",$NM$28*(21-$NQ$28+1)*($NR$28-21+1)/$NT$28,$NM$28/$NS$28)),0)</f>
        <v/>
      </c>
      <c r="Y28" s="18">
        <f>IF(AND(22&gt;=$NQ$28,22&lt;=$NR$28),IF($NO$28="Single_Point",IF(22=$NQ$28,$NM$28,0),IF($NO$28="Bell_Curve",$NM$28*(22-$NQ$28+1)*($NR$28-22+1)/$NT$28,$NM$28/$NS$28)),0)</f>
        <v/>
      </c>
      <c r="Z28" s="18">
        <f>IF(AND(23&gt;=$NQ$28,23&lt;=$NR$28),IF($NO$28="Single_Point",IF(23=$NQ$28,$NM$28,0),IF($NO$28="Bell_Curve",$NM$28*(23-$NQ$28+1)*($NR$28-23+1)/$NT$28,$NM$28/$NS$28)),0)</f>
        <v/>
      </c>
      <c r="AA28" s="18">
        <f>IF(AND(24&gt;=$NQ$28,24&lt;=$NR$28),IF($NO$28="Single_Point",IF(24=$NQ$28,$NM$28,0),IF($NO$28="Bell_Curve",$NM$28*(24-$NQ$28+1)*($NR$28-24+1)/$NT$28,$NM$28/$NS$28)),0)</f>
        <v/>
      </c>
      <c r="AB28" s="18">
        <f>IF(AND(25&gt;=$NQ$28,25&lt;=$NR$28),IF($NO$28="Single_Point",IF(25=$NQ$28,$NM$28,0),IF($NO$28="Bell_Curve",$NM$28*(25-$NQ$28+1)*($NR$28-25+1)/$NT$28,$NM$28/$NS$28)),0)</f>
        <v/>
      </c>
      <c r="AC28" s="18">
        <f>IF(AND(26&gt;=$NQ$28,26&lt;=$NR$28),IF($NO$28="Single_Point",IF(26=$NQ$28,$NM$28,0),IF($NO$28="Bell_Curve",$NM$28*(26-$NQ$28+1)*($NR$28-26+1)/$NT$28,$NM$28/$NS$28)),0)</f>
        <v/>
      </c>
      <c r="AD28" s="18">
        <f>IF(AND(27&gt;=$NQ$28,27&lt;=$NR$28),IF($NO$28="Single_Point",IF(27=$NQ$28,$NM$28,0),IF($NO$28="Bell_Curve",$NM$28*(27-$NQ$28+1)*($NR$28-27+1)/$NT$28,$NM$28/$NS$28)),0)</f>
        <v/>
      </c>
      <c r="AE28" s="18">
        <f>IF(AND(28&gt;=$NQ$28,28&lt;=$NR$28),IF($NO$28="Single_Point",IF(28=$NQ$28,$NM$28,0),IF($NO$28="Bell_Curve",$NM$28*(28-$NQ$28+1)*($NR$28-28+1)/$NT$28,$NM$28/$NS$28)),0)</f>
        <v/>
      </c>
      <c r="AF28" s="18">
        <f>IF(AND(29&gt;=$NQ$28,29&lt;=$NR$28),IF($NO$28="Single_Point",IF(29=$NQ$28,$NM$28,0),IF($NO$28="Bell_Curve",$NM$28*(29-$NQ$28+1)*($NR$28-29+1)/$NT$28,$NM$28/$NS$28)),0)</f>
        <v/>
      </c>
      <c r="AG28" s="18">
        <f>IF(AND(30&gt;=$NQ$28,30&lt;=$NR$28),IF($NO$28="Single_Point",IF(30=$NQ$28,$NM$28,0),IF($NO$28="Bell_Curve",$NM$28*(30-$NQ$28+1)*($NR$28-30+1)/$NT$28,$NM$28/$NS$28)),0)</f>
        <v/>
      </c>
      <c r="AH28" s="18">
        <f>IF(AND(31&gt;=$NQ$28,31&lt;=$NR$28),IF($NO$28="Single_Point",IF(31=$NQ$28,$NM$28,0),IF($NO$28="Bell_Curve",$NM$28*(31-$NQ$28+1)*($NR$28-31+1)/$NT$28,$NM$28/$NS$28)),0)</f>
        <v/>
      </c>
      <c r="AI28" s="18">
        <f>IF(AND(32&gt;=$NQ$28,32&lt;=$NR$28),IF($NO$28="Single_Point",IF(32=$NQ$28,$NM$28,0),IF($NO$28="Bell_Curve",$NM$28*(32-$NQ$28+1)*($NR$28-32+1)/$NT$28,$NM$28/$NS$28)),0)</f>
        <v/>
      </c>
      <c r="AJ28" s="18">
        <f>IF(AND(33&gt;=$NQ$28,33&lt;=$NR$28),IF($NO$28="Single_Point",IF(33=$NQ$28,$NM$28,0),IF($NO$28="Bell_Curve",$NM$28*(33-$NQ$28+1)*($NR$28-33+1)/$NT$28,$NM$28/$NS$28)),0)</f>
        <v/>
      </c>
      <c r="AK28" s="18">
        <f>IF(AND(34&gt;=$NQ$28,34&lt;=$NR$28),IF($NO$28="Single_Point",IF(34=$NQ$28,$NM$28,0),IF($NO$28="Bell_Curve",$NM$28*(34-$NQ$28+1)*($NR$28-34+1)/$NT$28,$NM$28/$NS$28)),0)</f>
        <v/>
      </c>
      <c r="AL28" s="18">
        <f>IF(AND(35&gt;=$NQ$28,35&lt;=$NR$28),IF($NO$28="Single_Point",IF(35=$NQ$28,$NM$28,0),IF($NO$28="Bell_Curve",$NM$28*(35-$NQ$28+1)*($NR$28-35+1)/$NT$28,$NM$28/$NS$28)),0)</f>
        <v/>
      </c>
      <c r="AM28" s="18">
        <f>IF(AND(36&gt;=$NQ$28,36&lt;=$NR$28),IF($NO$28="Single_Point",IF(36=$NQ$28,$NM$28,0),IF($NO$28="Bell_Curve",$NM$28*(36-$NQ$28+1)*($NR$28-36+1)/$NT$28,$NM$28/$NS$28)),0)</f>
        <v/>
      </c>
      <c r="AN28" s="18">
        <f>IF(AND(37&gt;=$NQ$28,37&lt;=$NR$28),IF($NO$28="Single_Point",IF(37=$NQ$28,$NM$28,0),IF($NO$28="Bell_Curve",$NM$28*(37-$NQ$28+1)*($NR$28-37+1)/$NT$28,$NM$28/$NS$28)),0)</f>
        <v/>
      </c>
      <c r="AO28" s="18">
        <f>IF(AND(38&gt;=$NQ$28,38&lt;=$NR$28),IF($NO$28="Single_Point",IF(38=$NQ$28,$NM$28,0),IF($NO$28="Bell_Curve",$NM$28*(38-$NQ$28+1)*($NR$28-38+1)/$NT$28,$NM$28/$NS$28)),0)</f>
        <v/>
      </c>
      <c r="AP28" s="18">
        <f>IF(AND(39&gt;=$NQ$28,39&lt;=$NR$28),IF($NO$28="Single_Point",IF(39=$NQ$28,$NM$28,0),IF($NO$28="Bell_Curve",$NM$28*(39-$NQ$28+1)*($NR$28-39+1)/$NT$28,$NM$28/$NS$28)),0)</f>
        <v/>
      </c>
      <c r="AQ28" s="18">
        <f>IF(AND(40&gt;=$NQ$28,40&lt;=$NR$28),IF($NO$28="Single_Point",IF(40=$NQ$28,$NM$28,0),IF($NO$28="Bell_Curve",$NM$28*(40-$NQ$28+1)*($NR$28-40+1)/$NT$28,$NM$28/$NS$28)),0)</f>
        <v/>
      </c>
      <c r="AR28" s="18">
        <f>IF(AND(41&gt;=$NQ$28,41&lt;=$NR$28),IF($NO$28="Single_Point",IF(41=$NQ$28,$NM$28,0),IF($NO$28="Bell_Curve",$NM$28*(41-$NQ$28+1)*($NR$28-41+1)/$NT$28,$NM$28/$NS$28)),0)</f>
        <v/>
      </c>
      <c r="AS28" s="18">
        <f>IF(AND(42&gt;=$NQ$28,42&lt;=$NR$28),IF($NO$28="Single_Point",IF(42=$NQ$28,$NM$28,0),IF($NO$28="Bell_Curve",$NM$28*(42-$NQ$28+1)*($NR$28-42+1)/$NT$28,$NM$28/$NS$28)),0)</f>
        <v/>
      </c>
      <c r="AT28" s="18">
        <f>IF(AND(43&gt;=$NQ$28,43&lt;=$NR$28),IF($NO$28="Single_Point",IF(43=$NQ$28,$NM$28,0),IF($NO$28="Bell_Curve",$NM$28*(43-$NQ$28+1)*($NR$28-43+1)/$NT$28,$NM$28/$NS$28)),0)</f>
        <v/>
      </c>
      <c r="AU28" s="18">
        <f>IF(AND(44&gt;=$NQ$28,44&lt;=$NR$28),IF($NO$28="Single_Point",IF(44=$NQ$28,$NM$28,0),IF($NO$28="Bell_Curve",$NM$28*(44-$NQ$28+1)*($NR$28-44+1)/$NT$28,$NM$28/$NS$28)),0)</f>
        <v/>
      </c>
      <c r="AV28" s="18">
        <f>IF(AND(45&gt;=$NQ$28,45&lt;=$NR$28),IF($NO$28="Single_Point",IF(45=$NQ$28,$NM$28,0),IF($NO$28="Bell_Curve",$NM$28*(45-$NQ$28+1)*($NR$28-45+1)/$NT$28,$NM$28/$NS$28)),0)</f>
        <v/>
      </c>
      <c r="AW28" s="18">
        <f>IF(AND(46&gt;=$NQ$28,46&lt;=$NR$28),IF($NO$28="Single_Point",IF(46=$NQ$28,$NM$28,0),IF($NO$28="Bell_Curve",$NM$28*(46-$NQ$28+1)*($NR$28-46+1)/$NT$28,$NM$28/$NS$28)),0)</f>
        <v/>
      </c>
      <c r="AX28" s="18">
        <f>IF(AND(47&gt;=$NQ$28,47&lt;=$NR$28),IF($NO$28="Single_Point",IF(47=$NQ$28,$NM$28,0),IF($NO$28="Bell_Curve",$NM$28*(47-$NQ$28+1)*($NR$28-47+1)/$NT$28,$NM$28/$NS$28)),0)</f>
        <v/>
      </c>
      <c r="AY28" s="18">
        <f>IF(AND(48&gt;=$NQ$28,48&lt;=$NR$28),IF($NO$28="Single_Point",IF(48=$NQ$28,$NM$28,0),IF($NO$28="Bell_Curve",$NM$28*(48-$NQ$28+1)*($NR$28-48+1)/$NT$28,$NM$28/$NS$28)),0)</f>
        <v/>
      </c>
      <c r="AZ28" s="18">
        <f>IF(AND(49&gt;=$NQ$28,49&lt;=$NR$28),IF($NO$28="Single_Point",IF(49=$NQ$28,$NM$28,0),IF($NO$28="Bell_Curve",$NM$28*(49-$NQ$28+1)*($NR$28-49+1)/$NT$28,$NM$28/$NS$28)),0)</f>
        <v/>
      </c>
      <c r="BA28" s="18">
        <f>IF(AND(50&gt;=$NQ$28,50&lt;=$NR$28),IF($NO$28="Single_Point",IF(50=$NQ$28,$NM$28,0),IF($NO$28="Bell_Curve",$NM$28*(50-$NQ$28+1)*($NR$28-50+1)/$NT$28,$NM$28/$NS$28)),0)</f>
        <v/>
      </c>
      <c r="BB28" s="18">
        <f>IF(AND(51&gt;=$NQ$28,51&lt;=$NR$28),IF($NO$28="Single_Point",IF(51=$NQ$28,$NM$28,0),IF($NO$28="Bell_Curve",$NM$28*(51-$NQ$28+1)*($NR$28-51+1)/$NT$28,$NM$28/$NS$28)),0)</f>
        <v/>
      </c>
      <c r="BC28" s="18">
        <f>IF(AND(52&gt;=$NQ$28,52&lt;=$NR$28),IF($NO$28="Single_Point",IF(52=$NQ$28,$NM$28,0),IF($NO$28="Bell_Curve",$NM$28*(52-$NQ$28+1)*($NR$28-52+1)/$NT$28,$NM$28/$NS$28)),0)</f>
        <v/>
      </c>
      <c r="BD28" s="18">
        <f>IF(AND(53&gt;=$NQ$28,53&lt;=$NR$28),IF($NO$28="Single_Point",IF(53=$NQ$28,$NM$28,0),IF($NO$28="Bell_Curve",$NM$28*(53-$NQ$28+1)*($NR$28-53+1)/$NT$28,$NM$28/$NS$28)),0)</f>
        <v/>
      </c>
      <c r="BE28" s="18">
        <f>IF(AND(54&gt;=$NQ$28,54&lt;=$NR$28),IF($NO$28="Single_Point",IF(54=$NQ$28,$NM$28,0),IF($NO$28="Bell_Curve",$NM$28*(54-$NQ$28+1)*($NR$28-54+1)/$NT$28,$NM$28/$NS$28)),0)</f>
        <v/>
      </c>
      <c r="BF28" s="18">
        <f>IF(AND(55&gt;=$NQ$28,55&lt;=$NR$28),IF($NO$28="Single_Point",IF(55=$NQ$28,$NM$28,0),IF($NO$28="Bell_Curve",$NM$28*(55-$NQ$28+1)*($NR$28-55+1)/$NT$28,$NM$28/$NS$28)),0)</f>
        <v/>
      </c>
      <c r="BG28" s="18">
        <f>IF(AND(56&gt;=$NQ$28,56&lt;=$NR$28),IF($NO$28="Single_Point",IF(56=$NQ$28,$NM$28,0),IF($NO$28="Bell_Curve",$NM$28*(56-$NQ$28+1)*($NR$28-56+1)/$NT$28,$NM$28/$NS$28)),0)</f>
        <v/>
      </c>
      <c r="BH28" s="18">
        <f>IF(AND(57&gt;=$NQ$28,57&lt;=$NR$28),IF($NO$28="Single_Point",IF(57=$NQ$28,$NM$28,0),IF($NO$28="Bell_Curve",$NM$28*(57-$NQ$28+1)*($NR$28-57+1)/$NT$28,$NM$28/$NS$28)),0)</f>
        <v/>
      </c>
      <c r="BI28" s="18">
        <f>IF(AND(58&gt;=$NQ$28,58&lt;=$NR$28),IF($NO$28="Single_Point",IF(58=$NQ$28,$NM$28,0),IF($NO$28="Bell_Curve",$NM$28*(58-$NQ$28+1)*($NR$28-58+1)/$NT$28,$NM$28/$NS$28)),0)</f>
        <v/>
      </c>
      <c r="BJ28" s="18">
        <f>IF(AND(59&gt;=$NQ$28,59&lt;=$NR$28),IF($NO$28="Single_Point",IF(59=$NQ$28,$NM$28,0),IF($NO$28="Bell_Curve",$NM$28*(59-$NQ$28+1)*($NR$28-59+1)/$NT$28,$NM$28/$NS$28)),0)</f>
        <v/>
      </c>
      <c r="BK28" s="18">
        <f>IF(AND(60&gt;=$NQ$28,60&lt;=$NR$28),IF($NO$28="Single_Point",IF(60=$NQ$28,$NM$28,0),IF($NO$28="Bell_Curve",$NM$28*(60-$NQ$28+1)*($NR$28-60+1)/$NT$28,$NM$28/$NS$28)),0)</f>
        <v/>
      </c>
      <c r="BL28" s="18">
        <f>IF(AND(61&gt;=$NQ$28,61&lt;=$NR$28),IF($NO$28="Single_Point",IF(61=$NQ$28,$NM$28,0),IF($NO$28="Bell_Curve",$NM$28*(61-$NQ$28+1)*($NR$28-61+1)/$NT$28,$NM$28/$NS$28)),0)</f>
        <v/>
      </c>
      <c r="BM28" s="18">
        <f>IF(AND(62&gt;=$NQ$28,62&lt;=$NR$28),IF($NO$28="Single_Point",IF(62=$NQ$28,$NM$28,0),IF($NO$28="Bell_Curve",$NM$28*(62-$NQ$28+1)*($NR$28-62+1)/$NT$28,$NM$28/$NS$28)),0)</f>
        <v/>
      </c>
      <c r="BN28" s="18">
        <f>IF(AND(63&gt;=$NQ$28,63&lt;=$NR$28),IF($NO$28="Single_Point",IF(63=$NQ$28,$NM$28,0),IF($NO$28="Bell_Curve",$NM$28*(63-$NQ$28+1)*($NR$28-63+1)/$NT$28,$NM$28/$NS$28)),0)</f>
        <v/>
      </c>
      <c r="BO28" s="18">
        <f>IF(AND(64&gt;=$NQ$28,64&lt;=$NR$28),IF($NO$28="Single_Point",IF(64=$NQ$28,$NM$28,0),IF($NO$28="Bell_Curve",$NM$28*(64-$NQ$28+1)*($NR$28-64+1)/$NT$28,$NM$28/$NS$28)),0)</f>
        <v/>
      </c>
      <c r="BP28" s="18">
        <f>IF(AND(65&gt;=$NQ$28,65&lt;=$NR$28),IF($NO$28="Single_Point",IF(65=$NQ$28,$NM$28,0),IF($NO$28="Bell_Curve",$NM$28*(65-$NQ$28+1)*($NR$28-65+1)/$NT$28,$NM$28/$NS$28)),0)</f>
        <v/>
      </c>
      <c r="BQ28" s="18">
        <f>IF(AND(66&gt;=$NQ$28,66&lt;=$NR$28),IF($NO$28="Single_Point",IF(66=$NQ$28,$NM$28,0),IF($NO$28="Bell_Curve",$NM$28*(66-$NQ$28+1)*($NR$28-66+1)/$NT$28,$NM$28/$NS$28)),0)</f>
        <v/>
      </c>
      <c r="BR28" s="18">
        <f>IF(AND(67&gt;=$NQ$28,67&lt;=$NR$28),IF($NO$28="Single_Point",IF(67=$NQ$28,$NM$28,0),IF($NO$28="Bell_Curve",$NM$28*(67-$NQ$28+1)*($NR$28-67+1)/$NT$28,$NM$28/$NS$28)),0)</f>
        <v/>
      </c>
      <c r="BS28" s="18">
        <f>IF(AND(68&gt;=$NQ$28,68&lt;=$NR$28),IF($NO$28="Single_Point",IF(68=$NQ$28,$NM$28,0),IF($NO$28="Bell_Curve",$NM$28*(68-$NQ$28+1)*($NR$28-68+1)/$NT$28,$NM$28/$NS$28)),0)</f>
        <v/>
      </c>
      <c r="BT28" s="18">
        <f>IF(AND(69&gt;=$NQ$28,69&lt;=$NR$28),IF($NO$28="Single_Point",IF(69=$NQ$28,$NM$28,0),IF($NO$28="Bell_Curve",$NM$28*(69-$NQ$28+1)*($NR$28-69+1)/$NT$28,$NM$28/$NS$28)),0)</f>
        <v/>
      </c>
      <c r="BU28" s="18">
        <f>IF(AND(70&gt;=$NQ$28,70&lt;=$NR$28),IF($NO$28="Single_Point",IF(70=$NQ$28,$NM$28,0),IF($NO$28="Bell_Curve",$NM$28*(70-$NQ$28+1)*($NR$28-70+1)/$NT$28,$NM$28/$NS$28)),0)</f>
        <v/>
      </c>
      <c r="BV28" s="18">
        <f>IF(AND(71&gt;=$NQ$28,71&lt;=$NR$28),IF($NO$28="Single_Point",IF(71=$NQ$28,$NM$28,0),IF($NO$28="Bell_Curve",$NM$28*(71-$NQ$28+1)*($NR$28-71+1)/$NT$28,$NM$28/$NS$28)),0)</f>
        <v/>
      </c>
      <c r="BW28" s="18">
        <f>IF(AND(72&gt;=$NQ$28,72&lt;=$NR$28),IF($NO$28="Single_Point",IF(72=$NQ$28,$NM$28,0),IF($NO$28="Bell_Curve",$NM$28*(72-$NQ$28+1)*($NR$28-72+1)/$NT$28,$NM$28/$NS$28)),0)</f>
        <v/>
      </c>
      <c r="BX28" s="18">
        <f>IF(AND(73&gt;=$NQ$28,73&lt;=$NR$28),IF($NO$28="Single_Point",IF(73=$NQ$28,$NM$28,0),IF($NO$28="Bell_Curve",$NM$28*(73-$NQ$28+1)*($NR$28-73+1)/$NT$28,$NM$28/$NS$28)),0)</f>
        <v/>
      </c>
      <c r="BY28" s="18">
        <f>IF(AND(74&gt;=$NQ$28,74&lt;=$NR$28),IF($NO$28="Single_Point",IF(74=$NQ$28,$NM$28,0),IF($NO$28="Bell_Curve",$NM$28*(74-$NQ$28+1)*($NR$28-74+1)/$NT$28,$NM$28/$NS$28)),0)</f>
        <v/>
      </c>
      <c r="BZ28" s="18">
        <f>IF(AND(75&gt;=$NQ$28,75&lt;=$NR$28),IF($NO$28="Single_Point",IF(75=$NQ$28,$NM$28,0),IF($NO$28="Bell_Curve",$NM$28*(75-$NQ$28+1)*($NR$28-75+1)/$NT$28,$NM$28/$NS$28)),0)</f>
        <v/>
      </c>
      <c r="CA28" s="18">
        <f>IF(AND(76&gt;=$NQ$28,76&lt;=$NR$28),IF($NO$28="Single_Point",IF(76=$NQ$28,$NM$28,0),IF($NO$28="Bell_Curve",$NM$28*(76-$NQ$28+1)*($NR$28-76+1)/$NT$28,$NM$28/$NS$28)),0)</f>
        <v/>
      </c>
      <c r="CB28" s="18">
        <f>IF(AND(77&gt;=$NQ$28,77&lt;=$NR$28),IF($NO$28="Single_Point",IF(77=$NQ$28,$NM$28,0),IF($NO$28="Bell_Curve",$NM$28*(77-$NQ$28+1)*($NR$28-77+1)/$NT$28,$NM$28/$NS$28)),0)</f>
        <v/>
      </c>
      <c r="CC28" s="18">
        <f>IF(AND(78&gt;=$NQ$28,78&lt;=$NR$28),IF($NO$28="Single_Point",IF(78=$NQ$28,$NM$28,0),IF($NO$28="Bell_Curve",$NM$28*(78-$NQ$28+1)*($NR$28-78+1)/$NT$28,$NM$28/$NS$28)),0)</f>
        <v/>
      </c>
      <c r="CD28" s="18">
        <f>IF(AND(79&gt;=$NQ$28,79&lt;=$NR$28),IF($NO$28="Single_Point",IF(79=$NQ$28,$NM$28,0),IF($NO$28="Bell_Curve",$NM$28*(79-$NQ$28+1)*($NR$28-79+1)/$NT$28,$NM$28/$NS$28)),0)</f>
        <v/>
      </c>
      <c r="CE28" s="18">
        <f>IF(AND(80&gt;=$NQ$28,80&lt;=$NR$28),IF($NO$28="Single_Point",IF(80=$NQ$28,$NM$28,0),IF($NO$28="Bell_Curve",$NM$28*(80-$NQ$28+1)*($NR$28-80+1)/$NT$28,$NM$28/$NS$28)),0)</f>
        <v/>
      </c>
      <c r="CF28" s="18">
        <f>IF(AND(81&gt;=$NQ$28,81&lt;=$NR$28),IF($NO$28="Single_Point",IF(81=$NQ$28,$NM$28,0),IF($NO$28="Bell_Curve",$NM$28*(81-$NQ$28+1)*($NR$28-81+1)/$NT$28,$NM$28/$NS$28)),0)</f>
        <v/>
      </c>
      <c r="CG28" s="18">
        <f>IF(AND(82&gt;=$NQ$28,82&lt;=$NR$28),IF($NO$28="Single_Point",IF(82=$NQ$28,$NM$28,0),IF($NO$28="Bell_Curve",$NM$28*(82-$NQ$28+1)*($NR$28-82+1)/$NT$28,$NM$28/$NS$28)),0)</f>
        <v/>
      </c>
      <c r="CH28" s="18">
        <f>IF(AND(83&gt;=$NQ$28,83&lt;=$NR$28),IF($NO$28="Single_Point",IF(83=$NQ$28,$NM$28,0),IF($NO$28="Bell_Curve",$NM$28*(83-$NQ$28+1)*($NR$28-83+1)/$NT$28,$NM$28/$NS$28)),0)</f>
        <v/>
      </c>
      <c r="CI28" s="18">
        <f>IF(AND(84&gt;=$NQ$28,84&lt;=$NR$28),IF($NO$28="Single_Point",IF(84=$NQ$28,$NM$28,0),IF($NO$28="Bell_Curve",$NM$28*(84-$NQ$28+1)*($NR$28-84+1)/$NT$28,$NM$28/$NS$28)),0)</f>
        <v/>
      </c>
      <c r="CJ28" s="18">
        <f>IF(AND(85&gt;=$NQ$28,85&lt;=$NR$28),IF($NO$28="Single_Point",IF(85=$NQ$28,$NM$28,0),IF($NO$28="Bell_Curve",$NM$28*(85-$NQ$28+1)*($NR$28-85+1)/$NT$28,$NM$28/$NS$28)),0)</f>
        <v/>
      </c>
      <c r="CK28" s="18">
        <f>IF(AND(86&gt;=$NQ$28,86&lt;=$NR$28),IF($NO$28="Single_Point",IF(86=$NQ$28,$NM$28,0),IF($NO$28="Bell_Curve",$NM$28*(86-$NQ$28+1)*($NR$28-86+1)/$NT$28,$NM$28/$NS$28)),0)</f>
        <v/>
      </c>
      <c r="CL28" s="18">
        <f>IF(AND(87&gt;=$NQ$28,87&lt;=$NR$28),IF($NO$28="Single_Point",IF(87=$NQ$28,$NM$28,0),IF($NO$28="Bell_Curve",$NM$28*(87-$NQ$28+1)*($NR$28-87+1)/$NT$28,$NM$28/$NS$28)),0)</f>
        <v/>
      </c>
      <c r="CM28" s="18">
        <f>IF(AND(88&gt;=$NQ$28,88&lt;=$NR$28),IF($NO$28="Single_Point",IF(88=$NQ$28,$NM$28,0),IF($NO$28="Bell_Curve",$NM$28*(88-$NQ$28+1)*($NR$28-88+1)/$NT$28,$NM$28/$NS$28)),0)</f>
        <v/>
      </c>
      <c r="CN28" s="18">
        <f>IF(AND(89&gt;=$NQ$28,89&lt;=$NR$28),IF($NO$28="Single_Point",IF(89=$NQ$28,$NM$28,0),IF($NO$28="Bell_Curve",$NM$28*(89-$NQ$28+1)*($NR$28-89+1)/$NT$28,$NM$28/$NS$28)),0)</f>
        <v/>
      </c>
      <c r="CO28" s="18">
        <f>IF(AND(90&gt;=$NQ$28,90&lt;=$NR$28),IF($NO$28="Single_Point",IF(90=$NQ$28,$NM$28,0),IF($NO$28="Bell_Curve",$NM$28*(90-$NQ$28+1)*($NR$28-90+1)/$NT$28,$NM$28/$NS$28)),0)</f>
        <v/>
      </c>
      <c r="CP28" s="18">
        <f>IF(AND(91&gt;=$NQ$28,91&lt;=$NR$28),IF($NO$28="Single_Point",IF(91=$NQ$28,$NM$28,0),IF($NO$28="Bell_Curve",$NM$28*(91-$NQ$28+1)*($NR$28-91+1)/$NT$28,$NM$28/$NS$28)),0)</f>
        <v/>
      </c>
      <c r="CQ28" s="18">
        <f>IF(AND(92&gt;=$NQ$28,92&lt;=$NR$28),IF($NO$28="Single_Point",IF(92=$NQ$28,$NM$28,0),IF($NO$28="Bell_Curve",$NM$28*(92-$NQ$28+1)*($NR$28-92+1)/$NT$28,$NM$28/$NS$28)),0)</f>
        <v/>
      </c>
      <c r="CR28" s="18">
        <f>IF(AND(93&gt;=$NQ$28,93&lt;=$NR$28),IF($NO$28="Single_Point",IF(93=$NQ$28,$NM$28,0),IF($NO$28="Bell_Curve",$NM$28*(93-$NQ$28+1)*($NR$28-93+1)/$NT$28,$NM$28/$NS$28)),0)</f>
        <v/>
      </c>
      <c r="CS28" s="18">
        <f>IF(AND(94&gt;=$NQ$28,94&lt;=$NR$28),IF($NO$28="Single_Point",IF(94=$NQ$28,$NM$28,0),IF($NO$28="Bell_Curve",$NM$28*(94-$NQ$28+1)*($NR$28-94+1)/$NT$28,$NM$28/$NS$28)),0)</f>
        <v/>
      </c>
      <c r="CT28" s="18">
        <f>IF(AND(95&gt;=$NQ$28,95&lt;=$NR$28),IF($NO$28="Single_Point",IF(95=$NQ$28,$NM$28,0),IF($NO$28="Bell_Curve",$NM$28*(95-$NQ$28+1)*($NR$28-95+1)/$NT$28,$NM$28/$NS$28)),0)</f>
        <v/>
      </c>
      <c r="CU28" s="18">
        <f>IF(AND(96&gt;=$NQ$28,96&lt;=$NR$28),IF($NO$28="Single_Point",IF(96=$NQ$28,$NM$28,0),IF($NO$28="Bell_Curve",$NM$28*(96-$NQ$28+1)*($NR$28-96+1)/$NT$28,$NM$28/$NS$28)),0)</f>
        <v/>
      </c>
      <c r="CV28" s="18">
        <f>IF(AND(97&gt;=$NQ$28,97&lt;=$NR$28),IF($NO$28="Single_Point",IF(97=$NQ$28,$NM$28,0),IF($NO$28="Bell_Curve",$NM$28*(97-$NQ$28+1)*($NR$28-97+1)/$NT$28,$NM$28/$NS$28)),0)</f>
        <v/>
      </c>
      <c r="CW28" s="18">
        <f>IF(AND(98&gt;=$NQ$28,98&lt;=$NR$28),IF($NO$28="Single_Point",IF(98=$NQ$28,$NM$28,0),IF($NO$28="Bell_Curve",$NM$28*(98-$NQ$28+1)*($NR$28-98+1)/$NT$28,$NM$28/$NS$28)),0)</f>
        <v/>
      </c>
      <c r="CX28" s="18">
        <f>IF(AND(99&gt;=$NQ$28,99&lt;=$NR$28),IF($NO$28="Single_Point",IF(99=$NQ$28,$NM$28,0),IF($NO$28="Bell_Curve",$NM$28*(99-$NQ$28+1)*($NR$28-99+1)/$NT$28,$NM$28/$NS$28)),0)</f>
        <v/>
      </c>
      <c r="CY28" s="18">
        <f>IF(AND(100&gt;=$NQ$28,100&lt;=$NR$28),IF($NO$28="Single_Point",IF(100=$NQ$28,$NM$28,0),IF($NO$28="Bell_Curve",$NM$28*(100-$NQ$28+1)*($NR$28-100+1)/$NT$28,$NM$28/$NS$28)),0)</f>
        <v/>
      </c>
      <c r="CZ28" s="18">
        <f>IF(AND(101&gt;=$NQ$28,101&lt;=$NR$28),IF($NO$28="Single_Point",IF(101=$NQ$28,$NM$28,0),IF($NO$28="Bell_Curve",$NM$28*(101-$NQ$28+1)*($NR$28-101+1)/$NT$28,$NM$28/$NS$28)),0)</f>
        <v/>
      </c>
      <c r="DA28" s="18">
        <f>IF(AND(102&gt;=$NQ$28,102&lt;=$NR$28),IF($NO$28="Single_Point",IF(102=$NQ$28,$NM$28,0),IF($NO$28="Bell_Curve",$NM$28*(102-$NQ$28+1)*($NR$28-102+1)/$NT$28,$NM$28/$NS$28)),0)</f>
        <v/>
      </c>
      <c r="DB28" s="18">
        <f>IF(AND(103&gt;=$NQ$28,103&lt;=$NR$28),IF($NO$28="Single_Point",IF(103=$NQ$28,$NM$28,0),IF($NO$28="Bell_Curve",$NM$28*(103-$NQ$28+1)*($NR$28-103+1)/$NT$28,$NM$28/$NS$28)),0)</f>
        <v/>
      </c>
      <c r="DC28" s="18">
        <f>IF(AND(104&gt;=$NQ$28,104&lt;=$NR$28),IF($NO$28="Single_Point",IF(104=$NQ$28,$NM$28,0),IF($NO$28="Bell_Curve",$NM$28*(104-$NQ$28+1)*($NR$28-104+1)/$NT$28,$NM$28/$NS$28)),0)</f>
        <v/>
      </c>
      <c r="DD28" s="18">
        <f>IF(AND(105&gt;=$NQ$28,105&lt;=$NR$28),IF($NO$28="Single_Point",IF(105=$NQ$28,$NM$28,0),IF($NO$28="Bell_Curve",$NM$28*(105-$NQ$28+1)*($NR$28-105+1)/$NT$28,$NM$28/$NS$28)),0)</f>
        <v/>
      </c>
      <c r="DE28" s="18">
        <f>IF(AND(106&gt;=$NQ$28,106&lt;=$NR$28),IF($NO$28="Single_Point",IF(106=$NQ$28,$NM$28,0),IF($NO$28="Bell_Curve",$NM$28*(106-$NQ$28+1)*($NR$28-106+1)/$NT$28,$NM$28/$NS$28)),0)</f>
        <v/>
      </c>
      <c r="DF28" s="18">
        <f>IF(AND(107&gt;=$NQ$28,107&lt;=$NR$28),IF($NO$28="Single_Point",IF(107=$NQ$28,$NM$28,0),IF($NO$28="Bell_Curve",$NM$28*(107-$NQ$28+1)*($NR$28-107+1)/$NT$28,$NM$28/$NS$28)),0)</f>
        <v/>
      </c>
      <c r="DG28" s="18">
        <f>IF(AND(108&gt;=$NQ$28,108&lt;=$NR$28),IF($NO$28="Single_Point",IF(108=$NQ$28,$NM$28,0),IF($NO$28="Bell_Curve",$NM$28*(108-$NQ$28+1)*($NR$28-108+1)/$NT$28,$NM$28/$NS$28)),0)</f>
        <v/>
      </c>
      <c r="DH28" s="18">
        <f>IF(AND(109&gt;=$NQ$28,109&lt;=$NR$28),IF($NO$28="Single_Point",IF(109=$NQ$28,$NM$28,0),IF($NO$28="Bell_Curve",$NM$28*(109-$NQ$28+1)*($NR$28-109+1)/$NT$28,$NM$28/$NS$28)),0)</f>
        <v/>
      </c>
      <c r="DI28" s="18">
        <f>IF(AND(110&gt;=$NQ$28,110&lt;=$NR$28),IF($NO$28="Single_Point",IF(110=$NQ$28,$NM$28,0),IF($NO$28="Bell_Curve",$NM$28*(110-$NQ$28+1)*($NR$28-110+1)/$NT$28,$NM$28/$NS$28)),0)</f>
        <v/>
      </c>
      <c r="DJ28" s="18">
        <f>IF(AND(111&gt;=$NQ$28,111&lt;=$NR$28),IF($NO$28="Single_Point",IF(111=$NQ$28,$NM$28,0),IF($NO$28="Bell_Curve",$NM$28*(111-$NQ$28+1)*($NR$28-111+1)/$NT$28,$NM$28/$NS$28)),0)</f>
        <v/>
      </c>
      <c r="DK28" s="18">
        <f>IF(AND(112&gt;=$NQ$28,112&lt;=$NR$28),IF($NO$28="Single_Point",IF(112=$NQ$28,$NM$28,0),IF($NO$28="Bell_Curve",$NM$28*(112-$NQ$28+1)*($NR$28-112+1)/$NT$28,$NM$28/$NS$28)),0)</f>
        <v/>
      </c>
      <c r="DL28" s="18">
        <f>IF(AND(113&gt;=$NQ$28,113&lt;=$NR$28),IF($NO$28="Single_Point",IF(113=$NQ$28,$NM$28,0),IF($NO$28="Bell_Curve",$NM$28*(113-$NQ$28+1)*($NR$28-113+1)/$NT$28,$NM$28/$NS$28)),0)</f>
        <v/>
      </c>
      <c r="DM28" s="18">
        <f>IF(AND(114&gt;=$NQ$28,114&lt;=$NR$28),IF($NO$28="Single_Point",IF(114=$NQ$28,$NM$28,0),IF($NO$28="Bell_Curve",$NM$28*(114-$NQ$28+1)*($NR$28-114+1)/$NT$28,$NM$28/$NS$28)),0)</f>
        <v/>
      </c>
      <c r="DN28" s="18">
        <f>IF(AND(115&gt;=$NQ$28,115&lt;=$NR$28),IF($NO$28="Single_Point",IF(115=$NQ$28,$NM$28,0),IF($NO$28="Bell_Curve",$NM$28*(115-$NQ$28+1)*($NR$28-115+1)/$NT$28,$NM$28/$NS$28)),0)</f>
        <v/>
      </c>
      <c r="DO28" s="18">
        <f>IF(AND(116&gt;=$NQ$28,116&lt;=$NR$28),IF($NO$28="Single_Point",IF(116=$NQ$28,$NM$28,0),IF($NO$28="Bell_Curve",$NM$28*(116-$NQ$28+1)*($NR$28-116+1)/$NT$28,$NM$28/$NS$28)),0)</f>
        <v/>
      </c>
      <c r="DP28" s="18">
        <f>IF(AND(117&gt;=$NQ$28,117&lt;=$NR$28),IF($NO$28="Single_Point",IF(117=$NQ$28,$NM$28,0),IF($NO$28="Bell_Curve",$NM$28*(117-$NQ$28+1)*($NR$28-117+1)/$NT$28,$NM$28/$NS$28)),0)</f>
        <v/>
      </c>
      <c r="DQ28" s="18">
        <f>IF(AND(118&gt;=$NQ$28,118&lt;=$NR$28),IF($NO$28="Single_Point",IF(118=$NQ$28,$NM$28,0),IF($NO$28="Bell_Curve",$NM$28*(118-$NQ$28+1)*($NR$28-118+1)/$NT$28,$NM$28/$NS$28)),0)</f>
        <v/>
      </c>
      <c r="DR28" s="18">
        <f>IF(AND(119&gt;=$NQ$28,119&lt;=$NR$28),IF($NO$28="Single_Point",IF(119=$NQ$28,$NM$28,0),IF($NO$28="Bell_Curve",$NM$28*(119-$NQ$28+1)*($NR$28-119+1)/$NT$28,$NM$28/$NS$28)),0)</f>
        <v/>
      </c>
      <c r="DS28" s="18">
        <f>IF(AND(120&gt;=$NQ$28,120&lt;=$NR$28),IF($NO$28="Single_Point",IF(120=$NQ$28,$NM$28,0),IF($NO$28="Bell_Curve",$NM$28*(120-$NQ$28+1)*($NR$28-120+1)/$NT$28,$NM$28/$NS$28)),0)</f>
        <v/>
      </c>
      <c r="DT28" s="18">
        <f>IF(AND(121&gt;=$NQ$28,121&lt;=$NR$28),IF($NO$28="Single_Point",IF(121=$NQ$28,$NM$28,0),IF($NO$28="Bell_Curve",$NM$28*(121-$NQ$28+1)*($NR$28-121+1)/$NT$28,$NM$28/$NS$28)),0)</f>
        <v/>
      </c>
      <c r="DU28" s="18">
        <f>IF(AND(122&gt;=$NQ$28,122&lt;=$NR$28),IF($NO$28="Single_Point",IF(122=$NQ$28,$NM$28,0),IF($NO$28="Bell_Curve",$NM$28*(122-$NQ$28+1)*($NR$28-122+1)/$NT$28,$NM$28/$NS$28)),0)</f>
        <v/>
      </c>
      <c r="DV28" s="18">
        <f>IF(AND(123&gt;=$NQ$28,123&lt;=$NR$28),IF($NO$28="Single_Point",IF(123=$NQ$28,$NM$28,0),IF($NO$28="Bell_Curve",$NM$28*(123-$NQ$28+1)*($NR$28-123+1)/$NT$28,$NM$28/$NS$28)),0)</f>
        <v/>
      </c>
      <c r="DW28" s="18">
        <f>IF(AND(124&gt;=$NQ$28,124&lt;=$NR$28),IF($NO$28="Single_Point",IF(124=$NQ$28,$NM$28,0),IF($NO$28="Bell_Curve",$NM$28*(124-$NQ$28+1)*($NR$28-124+1)/$NT$28,$NM$28/$NS$28)),0)</f>
        <v/>
      </c>
      <c r="DX28" s="18">
        <f>IF(AND(125&gt;=$NQ$28,125&lt;=$NR$28),IF($NO$28="Single_Point",IF(125=$NQ$28,$NM$28,0),IF($NO$28="Bell_Curve",$NM$28*(125-$NQ$28+1)*($NR$28-125+1)/$NT$28,$NM$28/$NS$28)),0)</f>
        <v/>
      </c>
      <c r="DY28" s="18">
        <f>IF(AND(126&gt;=$NQ$28,126&lt;=$NR$28),IF($NO$28="Single_Point",IF(126=$NQ$28,$NM$28,0),IF($NO$28="Bell_Curve",$NM$28*(126-$NQ$28+1)*($NR$28-126+1)/$NT$28,$NM$28/$NS$28)),0)</f>
        <v/>
      </c>
      <c r="DZ28" s="18">
        <f>IF(AND(127&gt;=$NQ$28,127&lt;=$NR$28),IF($NO$28="Single_Point",IF(127=$NQ$28,$NM$28,0),IF($NO$28="Bell_Curve",$NM$28*(127-$NQ$28+1)*($NR$28-127+1)/$NT$28,$NM$28/$NS$28)),0)</f>
        <v/>
      </c>
      <c r="EA28" s="18">
        <f>IF(AND(128&gt;=$NQ$28,128&lt;=$NR$28),IF($NO$28="Single_Point",IF(128=$NQ$28,$NM$28,0),IF($NO$28="Bell_Curve",$NM$28*(128-$NQ$28+1)*($NR$28-128+1)/$NT$28,$NM$28/$NS$28)),0)</f>
        <v/>
      </c>
      <c r="EB28" s="18">
        <f>IF(AND(129&gt;=$NQ$28,129&lt;=$NR$28),IF($NO$28="Single_Point",IF(129=$NQ$28,$NM$28,0),IF($NO$28="Bell_Curve",$NM$28*(129-$NQ$28+1)*($NR$28-129+1)/$NT$28,$NM$28/$NS$28)),0)</f>
        <v/>
      </c>
      <c r="EC28" s="18">
        <f>IF(AND(130&gt;=$NQ$28,130&lt;=$NR$28),IF($NO$28="Single_Point",IF(130=$NQ$28,$NM$28,0),IF($NO$28="Bell_Curve",$NM$28*(130-$NQ$28+1)*($NR$28-130+1)/$NT$28,$NM$28/$NS$28)),0)</f>
        <v/>
      </c>
      <c r="ED28" s="18">
        <f>IF(AND(131&gt;=$NQ$28,131&lt;=$NR$28),IF($NO$28="Single_Point",IF(131=$NQ$28,$NM$28,0),IF($NO$28="Bell_Curve",$NM$28*(131-$NQ$28+1)*($NR$28-131+1)/$NT$28,$NM$28/$NS$28)),0)</f>
        <v/>
      </c>
      <c r="EE28" s="18">
        <f>IF(AND(132&gt;=$NQ$28,132&lt;=$NR$28),IF($NO$28="Single_Point",IF(132=$NQ$28,$NM$28,0),IF($NO$28="Bell_Curve",$NM$28*(132-$NQ$28+1)*($NR$28-132+1)/$NT$28,$NM$28/$NS$28)),0)</f>
        <v/>
      </c>
      <c r="EF28" s="18">
        <f>IF(AND(133&gt;=$NQ$28,133&lt;=$NR$28),IF($NO$28="Single_Point",IF(133=$NQ$28,$NM$28,0),IF($NO$28="Bell_Curve",$NM$28*(133-$NQ$28+1)*($NR$28-133+1)/$NT$28,$NM$28/$NS$28)),0)</f>
        <v/>
      </c>
      <c r="EG28" s="18">
        <f>IF(AND(134&gt;=$NQ$28,134&lt;=$NR$28),IF($NO$28="Single_Point",IF(134=$NQ$28,$NM$28,0),IF($NO$28="Bell_Curve",$NM$28*(134-$NQ$28+1)*($NR$28-134+1)/$NT$28,$NM$28/$NS$28)),0)</f>
        <v/>
      </c>
      <c r="EH28" s="18">
        <f>IF(AND(135&gt;=$NQ$28,135&lt;=$NR$28),IF($NO$28="Single_Point",IF(135=$NQ$28,$NM$28,0),IF($NO$28="Bell_Curve",$NM$28*(135-$NQ$28+1)*($NR$28-135+1)/$NT$28,$NM$28/$NS$28)),0)</f>
        <v/>
      </c>
      <c r="EI28" s="18">
        <f>IF(AND(136&gt;=$NQ$28,136&lt;=$NR$28),IF($NO$28="Single_Point",IF(136=$NQ$28,$NM$28,0),IF($NO$28="Bell_Curve",$NM$28*(136-$NQ$28+1)*($NR$28-136+1)/$NT$28,$NM$28/$NS$28)),0)</f>
        <v/>
      </c>
      <c r="EJ28" s="18">
        <f>IF(AND(137&gt;=$NQ$28,137&lt;=$NR$28),IF($NO$28="Single_Point",IF(137=$NQ$28,$NM$28,0),IF($NO$28="Bell_Curve",$NM$28*(137-$NQ$28+1)*($NR$28-137+1)/$NT$28,$NM$28/$NS$28)),0)</f>
        <v/>
      </c>
      <c r="EK28" s="18">
        <f>IF(AND(138&gt;=$NQ$28,138&lt;=$NR$28),IF($NO$28="Single_Point",IF(138=$NQ$28,$NM$28,0),IF($NO$28="Bell_Curve",$NM$28*(138-$NQ$28+1)*($NR$28-138+1)/$NT$28,$NM$28/$NS$28)),0)</f>
        <v/>
      </c>
      <c r="EL28" s="18">
        <f>IF(AND(139&gt;=$NQ$28,139&lt;=$NR$28),IF($NO$28="Single_Point",IF(139=$NQ$28,$NM$28,0),IF($NO$28="Bell_Curve",$NM$28*(139-$NQ$28+1)*($NR$28-139+1)/$NT$28,$NM$28/$NS$28)),0)</f>
        <v/>
      </c>
      <c r="EM28" s="18">
        <f>IF(AND(140&gt;=$NQ$28,140&lt;=$NR$28),IF($NO$28="Single_Point",IF(140=$NQ$28,$NM$28,0),IF($NO$28="Bell_Curve",$NM$28*(140-$NQ$28+1)*($NR$28-140+1)/$NT$28,$NM$28/$NS$28)),0)</f>
        <v/>
      </c>
      <c r="EN28" s="18">
        <f>IF(AND(141&gt;=$NQ$28,141&lt;=$NR$28),IF($NO$28="Single_Point",IF(141=$NQ$28,$NM$28,0),IF($NO$28="Bell_Curve",$NM$28*(141-$NQ$28+1)*($NR$28-141+1)/$NT$28,$NM$28/$NS$28)),0)</f>
        <v/>
      </c>
      <c r="EO28" s="18">
        <f>IF(AND(142&gt;=$NQ$28,142&lt;=$NR$28),IF($NO$28="Single_Point",IF(142=$NQ$28,$NM$28,0),IF($NO$28="Bell_Curve",$NM$28*(142-$NQ$28+1)*($NR$28-142+1)/$NT$28,$NM$28/$NS$28)),0)</f>
        <v/>
      </c>
      <c r="EP28" s="18">
        <f>IF(AND(143&gt;=$NQ$28,143&lt;=$NR$28),IF($NO$28="Single_Point",IF(143=$NQ$28,$NM$28,0),IF($NO$28="Bell_Curve",$NM$28*(143-$NQ$28+1)*($NR$28-143+1)/$NT$28,$NM$28/$NS$28)),0)</f>
        <v/>
      </c>
      <c r="EQ28" s="18">
        <f>IF(AND(144&gt;=$NQ$28,144&lt;=$NR$28),IF($NO$28="Single_Point",IF(144=$NQ$28,$NM$28,0),IF($NO$28="Bell_Curve",$NM$28*(144-$NQ$28+1)*($NR$28-144+1)/$NT$28,$NM$28/$NS$28)),0)</f>
        <v/>
      </c>
      <c r="ER28" s="18">
        <f>IF(AND(145&gt;=$NQ$28,145&lt;=$NR$28),IF($NO$28="Single_Point",IF(145=$NQ$28,$NM$28,0),IF($NO$28="Bell_Curve",$NM$28*(145-$NQ$28+1)*($NR$28-145+1)/$NT$28,$NM$28/$NS$28)),0)</f>
        <v/>
      </c>
      <c r="ES28" s="18">
        <f>IF(AND(146&gt;=$NQ$28,146&lt;=$NR$28),IF($NO$28="Single_Point",IF(146=$NQ$28,$NM$28,0),IF($NO$28="Bell_Curve",$NM$28*(146-$NQ$28+1)*($NR$28-146+1)/$NT$28,$NM$28/$NS$28)),0)</f>
        <v/>
      </c>
      <c r="ET28" s="18">
        <f>IF(AND(147&gt;=$NQ$28,147&lt;=$NR$28),IF($NO$28="Single_Point",IF(147=$NQ$28,$NM$28,0),IF($NO$28="Bell_Curve",$NM$28*(147-$NQ$28+1)*($NR$28-147+1)/$NT$28,$NM$28/$NS$28)),0)</f>
        <v/>
      </c>
      <c r="EU28" s="18">
        <f>IF(AND(148&gt;=$NQ$28,148&lt;=$NR$28),IF($NO$28="Single_Point",IF(148=$NQ$28,$NM$28,0),IF($NO$28="Bell_Curve",$NM$28*(148-$NQ$28+1)*($NR$28-148+1)/$NT$28,$NM$28/$NS$28)),0)</f>
        <v/>
      </c>
      <c r="EV28" s="18">
        <f>IF(AND(149&gt;=$NQ$28,149&lt;=$NR$28),IF($NO$28="Single_Point",IF(149=$NQ$28,$NM$28,0),IF($NO$28="Bell_Curve",$NM$28*(149-$NQ$28+1)*($NR$28-149+1)/$NT$28,$NM$28/$NS$28)),0)</f>
        <v/>
      </c>
      <c r="EW28" s="18">
        <f>IF(AND(150&gt;=$NQ$28,150&lt;=$NR$28),IF($NO$28="Single_Point",IF(150=$NQ$28,$NM$28,0),IF($NO$28="Bell_Curve",$NM$28*(150-$NQ$28+1)*($NR$28-150+1)/$NT$28,$NM$28/$NS$28)),0)</f>
        <v/>
      </c>
      <c r="EX28" s="18">
        <f>IF(AND(151&gt;=$NQ$28,151&lt;=$NR$28),IF($NO$28="Single_Point",IF(151=$NQ$28,$NM$28,0),IF($NO$28="Bell_Curve",$NM$28*(151-$NQ$28+1)*($NR$28-151+1)/$NT$28,$NM$28/$NS$28)),0)</f>
        <v/>
      </c>
      <c r="EY28" s="18">
        <f>IF(AND(152&gt;=$NQ$28,152&lt;=$NR$28),IF($NO$28="Single_Point",IF(152=$NQ$28,$NM$28,0),IF($NO$28="Bell_Curve",$NM$28*(152-$NQ$28+1)*($NR$28-152+1)/$NT$28,$NM$28/$NS$28)),0)</f>
        <v/>
      </c>
      <c r="EZ28" s="18">
        <f>IF(AND(153&gt;=$NQ$28,153&lt;=$NR$28),IF($NO$28="Single_Point",IF(153=$NQ$28,$NM$28,0),IF($NO$28="Bell_Curve",$NM$28*(153-$NQ$28+1)*($NR$28-153+1)/$NT$28,$NM$28/$NS$28)),0)</f>
        <v/>
      </c>
      <c r="FA28" s="18">
        <f>IF(AND(154&gt;=$NQ$28,154&lt;=$NR$28),IF($NO$28="Single_Point",IF(154=$NQ$28,$NM$28,0),IF($NO$28="Bell_Curve",$NM$28*(154-$NQ$28+1)*($NR$28-154+1)/$NT$28,$NM$28/$NS$28)),0)</f>
        <v/>
      </c>
      <c r="FB28" s="18">
        <f>IF(AND(155&gt;=$NQ$28,155&lt;=$NR$28),IF($NO$28="Single_Point",IF(155=$NQ$28,$NM$28,0),IF($NO$28="Bell_Curve",$NM$28*(155-$NQ$28+1)*($NR$28-155+1)/$NT$28,$NM$28/$NS$28)),0)</f>
        <v/>
      </c>
      <c r="FC28" s="18">
        <f>IF(AND(156&gt;=$NQ$28,156&lt;=$NR$28),IF($NO$28="Single_Point",IF(156=$NQ$28,$NM$28,0),IF($NO$28="Bell_Curve",$NM$28*(156-$NQ$28+1)*($NR$28-156+1)/$NT$28,$NM$28/$NS$28)),0)</f>
        <v/>
      </c>
      <c r="FD28" s="18">
        <f>IF(AND(157&gt;=$NQ$28,157&lt;=$NR$28),IF($NO$28="Single_Point",IF(157=$NQ$28,$NM$28,0),IF($NO$28="Bell_Curve",$NM$28*(157-$NQ$28+1)*($NR$28-157+1)/$NT$28,$NM$28/$NS$28)),0)</f>
        <v/>
      </c>
      <c r="FE28" s="18">
        <f>IF(AND(158&gt;=$NQ$28,158&lt;=$NR$28),IF($NO$28="Single_Point",IF(158=$NQ$28,$NM$28,0),IF($NO$28="Bell_Curve",$NM$28*(158-$NQ$28+1)*($NR$28-158+1)/$NT$28,$NM$28/$NS$28)),0)</f>
        <v/>
      </c>
      <c r="FF28" s="18">
        <f>IF(AND(159&gt;=$NQ$28,159&lt;=$NR$28),IF($NO$28="Single_Point",IF(159=$NQ$28,$NM$28,0),IF($NO$28="Bell_Curve",$NM$28*(159-$NQ$28+1)*($NR$28-159+1)/$NT$28,$NM$28/$NS$28)),0)</f>
        <v/>
      </c>
      <c r="FG28" s="18">
        <f>IF(AND(160&gt;=$NQ$28,160&lt;=$NR$28),IF($NO$28="Single_Point",IF(160=$NQ$28,$NM$28,0),IF($NO$28="Bell_Curve",$NM$28*(160-$NQ$28+1)*($NR$28-160+1)/$NT$28,$NM$28/$NS$28)),0)</f>
        <v/>
      </c>
      <c r="FH28" s="18">
        <f>IF(AND(161&gt;=$NQ$28,161&lt;=$NR$28),IF($NO$28="Single_Point",IF(161=$NQ$28,$NM$28,0),IF($NO$28="Bell_Curve",$NM$28*(161-$NQ$28+1)*($NR$28-161+1)/$NT$28,$NM$28/$NS$28)),0)</f>
        <v/>
      </c>
      <c r="FI28" s="18">
        <f>IF(AND(162&gt;=$NQ$28,162&lt;=$NR$28),IF($NO$28="Single_Point",IF(162=$NQ$28,$NM$28,0),IF($NO$28="Bell_Curve",$NM$28*(162-$NQ$28+1)*($NR$28-162+1)/$NT$28,$NM$28/$NS$28)),0)</f>
        <v/>
      </c>
      <c r="FJ28" s="18">
        <f>IF(AND(163&gt;=$NQ$28,163&lt;=$NR$28),IF($NO$28="Single_Point",IF(163=$NQ$28,$NM$28,0),IF($NO$28="Bell_Curve",$NM$28*(163-$NQ$28+1)*($NR$28-163+1)/$NT$28,$NM$28/$NS$28)),0)</f>
        <v/>
      </c>
      <c r="FK28" s="18">
        <f>IF(AND(164&gt;=$NQ$28,164&lt;=$NR$28),IF($NO$28="Single_Point",IF(164=$NQ$28,$NM$28,0),IF($NO$28="Bell_Curve",$NM$28*(164-$NQ$28+1)*($NR$28-164+1)/$NT$28,$NM$28/$NS$28)),0)</f>
        <v/>
      </c>
      <c r="FL28" s="18">
        <f>IF(AND(165&gt;=$NQ$28,165&lt;=$NR$28),IF($NO$28="Single_Point",IF(165=$NQ$28,$NM$28,0),IF($NO$28="Bell_Curve",$NM$28*(165-$NQ$28+1)*($NR$28-165+1)/$NT$28,$NM$28/$NS$28)),0)</f>
        <v/>
      </c>
      <c r="FM28" s="18">
        <f>IF(AND(166&gt;=$NQ$28,166&lt;=$NR$28),IF($NO$28="Single_Point",IF(166=$NQ$28,$NM$28,0),IF($NO$28="Bell_Curve",$NM$28*(166-$NQ$28+1)*($NR$28-166+1)/$NT$28,$NM$28/$NS$28)),0)</f>
        <v/>
      </c>
      <c r="FN28" s="18">
        <f>IF(AND(167&gt;=$NQ$28,167&lt;=$NR$28),IF($NO$28="Single_Point",IF(167=$NQ$28,$NM$28,0),IF($NO$28="Bell_Curve",$NM$28*(167-$NQ$28+1)*($NR$28-167+1)/$NT$28,$NM$28/$NS$28)),0)</f>
        <v/>
      </c>
      <c r="FO28" s="18">
        <f>IF(AND(168&gt;=$NQ$28,168&lt;=$NR$28),IF($NO$28="Single_Point",IF(168=$NQ$28,$NM$28,0),IF($NO$28="Bell_Curve",$NM$28*(168-$NQ$28+1)*($NR$28-168+1)/$NT$28,$NM$28/$NS$28)),0)</f>
        <v/>
      </c>
      <c r="FP28" s="18">
        <f>IF(AND(169&gt;=$NQ$28,169&lt;=$NR$28),IF($NO$28="Single_Point",IF(169=$NQ$28,$NM$28,0),IF($NO$28="Bell_Curve",$NM$28*(169-$NQ$28+1)*($NR$28-169+1)/$NT$28,$NM$28/$NS$28)),0)</f>
        <v/>
      </c>
      <c r="FQ28" s="18">
        <f>IF(AND(170&gt;=$NQ$28,170&lt;=$NR$28),IF($NO$28="Single_Point",IF(170=$NQ$28,$NM$28,0),IF($NO$28="Bell_Curve",$NM$28*(170-$NQ$28+1)*($NR$28-170+1)/$NT$28,$NM$28/$NS$28)),0)</f>
        <v/>
      </c>
      <c r="FR28" s="18">
        <f>IF(AND(171&gt;=$NQ$28,171&lt;=$NR$28),IF($NO$28="Single_Point",IF(171=$NQ$28,$NM$28,0),IF($NO$28="Bell_Curve",$NM$28*(171-$NQ$28+1)*($NR$28-171+1)/$NT$28,$NM$28/$NS$28)),0)</f>
        <v/>
      </c>
      <c r="FS28" s="18">
        <f>IF(AND(172&gt;=$NQ$28,172&lt;=$NR$28),IF($NO$28="Single_Point",IF(172=$NQ$28,$NM$28,0),IF($NO$28="Bell_Curve",$NM$28*(172-$NQ$28+1)*($NR$28-172+1)/$NT$28,$NM$28/$NS$28)),0)</f>
        <v/>
      </c>
      <c r="FT28" s="18">
        <f>IF(AND(173&gt;=$NQ$28,173&lt;=$NR$28),IF($NO$28="Single_Point",IF(173=$NQ$28,$NM$28,0),IF($NO$28="Bell_Curve",$NM$28*(173-$NQ$28+1)*($NR$28-173+1)/$NT$28,$NM$28/$NS$28)),0)</f>
        <v/>
      </c>
      <c r="FU28" s="18">
        <f>IF(AND(174&gt;=$NQ$28,174&lt;=$NR$28),IF($NO$28="Single_Point",IF(174=$NQ$28,$NM$28,0),IF($NO$28="Bell_Curve",$NM$28*(174-$NQ$28+1)*($NR$28-174+1)/$NT$28,$NM$28/$NS$28)),0)</f>
        <v/>
      </c>
      <c r="FV28" s="18">
        <f>IF(AND(175&gt;=$NQ$28,175&lt;=$NR$28),IF($NO$28="Single_Point",IF(175=$NQ$28,$NM$28,0),IF($NO$28="Bell_Curve",$NM$28*(175-$NQ$28+1)*($NR$28-175+1)/$NT$28,$NM$28/$NS$28)),0)</f>
        <v/>
      </c>
      <c r="FW28" s="18">
        <f>IF(AND(176&gt;=$NQ$28,176&lt;=$NR$28),IF($NO$28="Single_Point",IF(176=$NQ$28,$NM$28,0),IF($NO$28="Bell_Curve",$NM$28*(176-$NQ$28+1)*($NR$28-176+1)/$NT$28,$NM$28/$NS$28)),0)</f>
        <v/>
      </c>
      <c r="FX28" s="18">
        <f>IF(AND(177&gt;=$NQ$28,177&lt;=$NR$28),IF($NO$28="Single_Point",IF(177=$NQ$28,$NM$28,0),IF($NO$28="Bell_Curve",$NM$28*(177-$NQ$28+1)*($NR$28-177+1)/$NT$28,$NM$28/$NS$28)),0)</f>
        <v/>
      </c>
      <c r="FY28" s="18">
        <f>IF(AND(178&gt;=$NQ$28,178&lt;=$NR$28),IF($NO$28="Single_Point",IF(178=$NQ$28,$NM$28,0),IF($NO$28="Bell_Curve",$NM$28*(178-$NQ$28+1)*($NR$28-178+1)/$NT$28,$NM$28/$NS$28)),0)</f>
        <v/>
      </c>
      <c r="FZ28" s="18">
        <f>IF(AND(179&gt;=$NQ$28,179&lt;=$NR$28),IF($NO$28="Single_Point",IF(179=$NQ$28,$NM$28,0),IF($NO$28="Bell_Curve",$NM$28*(179-$NQ$28+1)*($NR$28-179+1)/$NT$28,$NM$28/$NS$28)),0)</f>
        <v/>
      </c>
      <c r="GA28" s="18">
        <f>IF(AND(180&gt;=$NQ$28,180&lt;=$NR$28),IF($NO$28="Single_Point",IF(180=$NQ$28,$NM$28,0),IF($NO$28="Bell_Curve",$NM$28*(180-$NQ$28+1)*($NR$28-180+1)/$NT$28,$NM$28/$NS$28)),0)</f>
        <v/>
      </c>
      <c r="GB28" s="18">
        <f>IF(AND(181&gt;=$NQ$28,181&lt;=$NR$28),IF($NO$28="Single_Point",IF(181=$NQ$28,$NM$28,0),IF($NO$28="Bell_Curve",$NM$28*(181-$NQ$28+1)*($NR$28-181+1)/$NT$28,$NM$28/$NS$28)),0)</f>
        <v/>
      </c>
      <c r="GC28" s="18">
        <f>IF(AND(182&gt;=$NQ$28,182&lt;=$NR$28),IF($NO$28="Single_Point",IF(182=$NQ$28,$NM$28,0),IF($NO$28="Bell_Curve",$NM$28*(182-$NQ$28+1)*($NR$28-182+1)/$NT$28,$NM$28/$NS$28)),0)</f>
        <v/>
      </c>
      <c r="GD28" s="18">
        <f>IF(AND(183&gt;=$NQ$28,183&lt;=$NR$28),IF($NO$28="Single_Point",IF(183=$NQ$28,$NM$28,0),IF($NO$28="Bell_Curve",$NM$28*(183-$NQ$28+1)*($NR$28-183+1)/$NT$28,$NM$28/$NS$28)),0)</f>
        <v/>
      </c>
      <c r="GE28" s="18">
        <f>IF(AND(184&gt;=$NQ$28,184&lt;=$NR$28),IF($NO$28="Single_Point",IF(184=$NQ$28,$NM$28,0),IF($NO$28="Bell_Curve",$NM$28*(184-$NQ$28+1)*($NR$28-184+1)/$NT$28,$NM$28/$NS$28)),0)</f>
        <v/>
      </c>
      <c r="GF28" s="18">
        <f>IF(AND(185&gt;=$NQ$28,185&lt;=$NR$28),IF($NO$28="Single_Point",IF(185=$NQ$28,$NM$28,0),IF($NO$28="Bell_Curve",$NM$28*(185-$NQ$28+1)*($NR$28-185+1)/$NT$28,$NM$28/$NS$28)),0)</f>
        <v/>
      </c>
      <c r="GG28" s="18">
        <f>IF(AND(186&gt;=$NQ$28,186&lt;=$NR$28),IF($NO$28="Single_Point",IF(186=$NQ$28,$NM$28,0),IF($NO$28="Bell_Curve",$NM$28*(186-$NQ$28+1)*($NR$28-186+1)/$NT$28,$NM$28/$NS$28)),0)</f>
        <v/>
      </c>
      <c r="GH28" s="18">
        <f>IF(AND(187&gt;=$NQ$28,187&lt;=$NR$28),IF($NO$28="Single_Point",IF(187=$NQ$28,$NM$28,0),IF($NO$28="Bell_Curve",$NM$28*(187-$NQ$28+1)*($NR$28-187+1)/$NT$28,$NM$28/$NS$28)),0)</f>
        <v/>
      </c>
      <c r="GI28" s="18">
        <f>IF(AND(188&gt;=$NQ$28,188&lt;=$NR$28),IF($NO$28="Single_Point",IF(188=$NQ$28,$NM$28,0),IF($NO$28="Bell_Curve",$NM$28*(188-$NQ$28+1)*($NR$28-188+1)/$NT$28,$NM$28/$NS$28)),0)</f>
        <v/>
      </c>
      <c r="GJ28" s="18">
        <f>IF(AND(189&gt;=$NQ$28,189&lt;=$NR$28),IF($NO$28="Single_Point",IF(189=$NQ$28,$NM$28,0),IF($NO$28="Bell_Curve",$NM$28*(189-$NQ$28+1)*($NR$28-189+1)/$NT$28,$NM$28/$NS$28)),0)</f>
        <v/>
      </c>
      <c r="GK28" s="18">
        <f>IF(AND(190&gt;=$NQ$28,190&lt;=$NR$28),IF($NO$28="Single_Point",IF(190=$NQ$28,$NM$28,0),IF($NO$28="Bell_Curve",$NM$28*(190-$NQ$28+1)*($NR$28-190+1)/$NT$28,$NM$28/$NS$28)),0)</f>
        <v/>
      </c>
      <c r="GL28" s="18">
        <f>IF(AND(191&gt;=$NQ$28,191&lt;=$NR$28),IF($NO$28="Single_Point",IF(191=$NQ$28,$NM$28,0),IF($NO$28="Bell_Curve",$NM$28*(191-$NQ$28+1)*($NR$28-191+1)/$NT$28,$NM$28/$NS$28)),0)</f>
        <v/>
      </c>
      <c r="GM28" s="18">
        <f>IF(AND(192&gt;=$NQ$28,192&lt;=$NR$28),IF($NO$28="Single_Point",IF(192=$NQ$28,$NM$28,0),IF($NO$28="Bell_Curve",$NM$28*(192-$NQ$28+1)*($NR$28-192+1)/$NT$28,$NM$28/$NS$28)),0)</f>
        <v/>
      </c>
      <c r="GN28" s="18">
        <f>IF(AND(193&gt;=$NQ$28,193&lt;=$NR$28),IF($NO$28="Single_Point",IF(193=$NQ$28,$NM$28,0),IF($NO$28="Bell_Curve",$NM$28*(193-$NQ$28+1)*($NR$28-193+1)/$NT$28,$NM$28/$NS$28)),0)</f>
        <v/>
      </c>
      <c r="GO28" s="18">
        <f>IF(AND(194&gt;=$NQ$28,194&lt;=$NR$28),IF($NO$28="Single_Point",IF(194=$NQ$28,$NM$28,0),IF($NO$28="Bell_Curve",$NM$28*(194-$NQ$28+1)*($NR$28-194+1)/$NT$28,$NM$28/$NS$28)),0)</f>
        <v/>
      </c>
      <c r="GP28" s="18">
        <f>IF(AND(195&gt;=$NQ$28,195&lt;=$NR$28),IF($NO$28="Single_Point",IF(195=$NQ$28,$NM$28,0),IF($NO$28="Bell_Curve",$NM$28*(195-$NQ$28+1)*($NR$28-195+1)/$NT$28,$NM$28/$NS$28)),0)</f>
        <v/>
      </c>
      <c r="GQ28" s="18">
        <f>IF(AND(196&gt;=$NQ$28,196&lt;=$NR$28),IF($NO$28="Single_Point",IF(196=$NQ$28,$NM$28,0),IF($NO$28="Bell_Curve",$NM$28*(196-$NQ$28+1)*($NR$28-196+1)/$NT$28,$NM$28/$NS$28)),0)</f>
        <v/>
      </c>
      <c r="GR28" s="18">
        <f>IF(AND(197&gt;=$NQ$28,197&lt;=$NR$28),IF($NO$28="Single_Point",IF(197=$NQ$28,$NM$28,0),IF($NO$28="Bell_Curve",$NM$28*(197-$NQ$28+1)*($NR$28-197+1)/$NT$28,$NM$28/$NS$28)),0)</f>
        <v/>
      </c>
      <c r="GS28" s="18">
        <f>IF(AND(198&gt;=$NQ$28,198&lt;=$NR$28),IF($NO$28="Single_Point",IF(198=$NQ$28,$NM$28,0),IF($NO$28="Bell_Curve",$NM$28*(198-$NQ$28+1)*($NR$28-198+1)/$NT$28,$NM$28/$NS$28)),0)</f>
        <v/>
      </c>
      <c r="GT28" s="18">
        <f>IF(AND(199&gt;=$NQ$28,199&lt;=$NR$28),IF($NO$28="Single_Point",IF(199=$NQ$28,$NM$28,0),IF($NO$28="Bell_Curve",$NM$28*(199-$NQ$28+1)*($NR$28-199+1)/$NT$28,$NM$28/$NS$28)),0)</f>
        <v/>
      </c>
      <c r="GU28" s="18">
        <f>IF(AND(200&gt;=$NQ$28,200&lt;=$NR$28),IF($NO$28="Single_Point",IF(200=$NQ$28,$NM$28,0),IF($NO$28="Bell_Curve",$NM$28*(200-$NQ$28+1)*($NR$28-200+1)/$NT$28,$NM$28/$NS$28)),0)</f>
        <v/>
      </c>
      <c r="GV28" s="18">
        <f>IF(AND(201&gt;=$NQ$28,201&lt;=$NR$28),IF($NO$28="Single_Point",IF(201=$NQ$28,$NM$28,0),IF($NO$28="Bell_Curve",$NM$28*(201-$NQ$28+1)*($NR$28-201+1)/$NT$28,$NM$28/$NS$28)),0)</f>
        <v/>
      </c>
      <c r="GW28" s="18">
        <f>IF(AND(202&gt;=$NQ$28,202&lt;=$NR$28),IF($NO$28="Single_Point",IF(202=$NQ$28,$NM$28,0),IF($NO$28="Bell_Curve",$NM$28*(202-$NQ$28+1)*($NR$28-202+1)/$NT$28,$NM$28/$NS$28)),0)</f>
        <v/>
      </c>
      <c r="GX28" s="18">
        <f>IF(AND(203&gt;=$NQ$28,203&lt;=$NR$28),IF($NO$28="Single_Point",IF(203=$NQ$28,$NM$28,0),IF($NO$28="Bell_Curve",$NM$28*(203-$NQ$28+1)*($NR$28-203+1)/$NT$28,$NM$28/$NS$28)),0)</f>
        <v/>
      </c>
      <c r="GY28" s="18">
        <f>IF(AND(204&gt;=$NQ$28,204&lt;=$NR$28),IF($NO$28="Single_Point",IF(204=$NQ$28,$NM$28,0),IF($NO$28="Bell_Curve",$NM$28*(204-$NQ$28+1)*($NR$28-204+1)/$NT$28,$NM$28/$NS$28)),0)</f>
        <v/>
      </c>
      <c r="GZ28" s="18">
        <f>IF(AND(205&gt;=$NQ$28,205&lt;=$NR$28),IF($NO$28="Single_Point",IF(205=$NQ$28,$NM$28,0),IF($NO$28="Bell_Curve",$NM$28*(205-$NQ$28+1)*($NR$28-205+1)/$NT$28,$NM$28/$NS$28)),0)</f>
        <v/>
      </c>
      <c r="HA28" s="18">
        <f>IF(AND(206&gt;=$NQ$28,206&lt;=$NR$28),IF($NO$28="Single_Point",IF(206=$NQ$28,$NM$28,0),IF($NO$28="Bell_Curve",$NM$28*(206-$NQ$28+1)*($NR$28-206+1)/$NT$28,$NM$28/$NS$28)),0)</f>
        <v/>
      </c>
      <c r="HB28" s="18">
        <f>IF(AND(207&gt;=$NQ$28,207&lt;=$NR$28),IF($NO$28="Single_Point",IF(207=$NQ$28,$NM$28,0),IF($NO$28="Bell_Curve",$NM$28*(207-$NQ$28+1)*($NR$28-207+1)/$NT$28,$NM$28/$NS$28)),0)</f>
        <v/>
      </c>
      <c r="HC28" s="18">
        <f>IF(AND(208&gt;=$NQ$28,208&lt;=$NR$28),IF($NO$28="Single_Point",IF(208=$NQ$28,$NM$28,0),IF($NO$28="Bell_Curve",$NM$28*(208-$NQ$28+1)*($NR$28-208+1)/$NT$28,$NM$28/$NS$28)),0)</f>
        <v/>
      </c>
      <c r="HD28" s="18">
        <f>IF(AND(209&gt;=$NQ$28,209&lt;=$NR$28),IF($NO$28="Single_Point",IF(209=$NQ$28,$NM$28,0),IF($NO$28="Bell_Curve",$NM$28*(209-$NQ$28+1)*($NR$28-209+1)/$NT$28,$NM$28/$NS$28)),0)</f>
        <v/>
      </c>
      <c r="HE28" s="18">
        <f>IF(AND(210&gt;=$NQ$28,210&lt;=$NR$28),IF($NO$28="Single_Point",IF(210=$NQ$28,$NM$28,0),IF($NO$28="Bell_Curve",$NM$28*(210-$NQ$28+1)*($NR$28-210+1)/$NT$28,$NM$28/$NS$28)),0)</f>
        <v/>
      </c>
      <c r="HF28" s="18">
        <f>IF(AND(211&gt;=$NQ$28,211&lt;=$NR$28),IF($NO$28="Single_Point",IF(211=$NQ$28,$NM$28,0),IF($NO$28="Bell_Curve",$NM$28*(211-$NQ$28+1)*($NR$28-211+1)/$NT$28,$NM$28/$NS$28)),0)</f>
        <v/>
      </c>
      <c r="HG28" s="18">
        <f>IF(AND(212&gt;=$NQ$28,212&lt;=$NR$28),IF($NO$28="Single_Point",IF(212=$NQ$28,$NM$28,0),IF($NO$28="Bell_Curve",$NM$28*(212-$NQ$28+1)*($NR$28-212+1)/$NT$28,$NM$28/$NS$28)),0)</f>
        <v/>
      </c>
      <c r="HH28" s="18">
        <f>IF(AND(213&gt;=$NQ$28,213&lt;=$NR$28),IF($NO$28="Single_Point",IF(213=$NQ$28,$NM$28,0),IF($NO$28="Bell_Curve",$NM$28*(213-$NQ$28+1)*($NR$28-213+1)/$NT$28,$NM$28/$NS$28)),0)</f>
        <v/>
      </c>
      <c r="HI28" s="18">
        <f>IF(AND(214&gt;=$NQ$28,214&lt;=$NR$28),IF($NO$28="Single_Point",IF(214=$NQ$28,$NM$28,0),IF($NO$28="Bell_Curve",$NM$28*(214-$NQ$28+1)*($NR$28-214+1)/$NT$28,$NM$28/$NS$28)),0)</f>
        <v/>
      </c>
      <c r="HJ28" s="18">
        <f>IF(AND(215&gt;=$NQ$28,215&lt;=$NR$28),IF($NO$28="Single_Point",IF(215=$NQ$28,$NM$28,0),IF($NO$28="Bell_Curve",$NM$28*(215-$NQ$28+1)*($NR$28-215+1)/$NT$28,$NM$28/$NS$28)),0)</f>
        <v/>
      </c>
      <c r="HK28" s="18">
        <f>IF(AND(216&gt;=$NQ$28,216&lt;=$NR$28),IF($NO$28="Single_Point",IF(216=$NQ$28,$NM$28,0),IF($NO$28="Bell_Curve",$NM$28*(216-$NQ$28+1)*($NR$28-216+1)/$NT$28,$NM$28/$NS$28)),0)</f>
        <v/>
      </c>
      <c r="HL28" s="18">
        <f>IF(AND(217&gt;=$NQ$28,217&lt;=$NR$28),IF($NO$28="Single_Point",IF(217=$NQ$28,$NM$28,0),IF($NO$28="Bell_Curve",$NM$28*(217-$NQ$28+1)*($NR$28-217+1)/$NT$28,$NM$28/$NS$28)),0)</f>
        <v/>
      </c>
      <c r="HM28" s="18">
        <f>IF(AND(218&gt;=$NQ$28,218&lt;=$NR$28),IF($NO$28="Single_Point",IF(218=$NQ$28,$NM$28,0),IF($NO$28="Bell_Curve",$NM$28*(218-$NQ$28+1)*($NR$28-218+1)/$NT$28,$NM$28/$NS$28)),0)</f>
        <v/>
      </c>
      <c r="HN28" s="18">
        <f>IF(AND(219&gt;=$NQ$28,219&lt;=$NR$28),IF($NO$28="Single_Point",IF(219=$NQ$28,$NM$28,0),IF($NO$28="Bell_Curve",$NM$28*(219-$NQ$28+1)*($NR$28-219+1)/$NT$28,$NM$28/$NS$28)),0)</f>
        <v/>
      </c>
      <c r="HO28" s="18">
        <f>IF(AND(220&gt;=$NQ$28,220&lt;=$NR$28),IF($NO$28="Single_Point",IF(220=$NQ$28,$NM$28,0),IF($NO$28="Bell_Curve",$NM$28*(220-$NQ$28+1)*($NR$28-220+1)/$NT$28,$NM$28/$NS$28)),0)</f>
        <v/>
      </c>
      <c r="HP28" s="18">
        <f>IF(AND(221&gt;=$NQ$28,221&lt;=$NR$28),IF($NO$28="Single_Point",IF(221=$NQ$28,$NM$28,0),IF($NO$28="Bell_Curve",$NM$28*(221-$NQ$28+1)*($NR$28-221+1)/$NT$28,$NM$28/$NS$28)),0)</f>
        <v/>
      </c>
      <c r="HQ28" s="18">
        <f>IF(AND(222&gt;=$NQ$28,222&lt;=$NR$28),IF($NO$28="Single_Point",IF(222=$NQ$28,$NM$28,0),IF($NO$28="Bell_Curve",$NM$28*(222-$NQ$28+1)*($NR$28-222+1)/$NT$28,$NM$28/$NS$28)),0)</f>
        <v/>
      </c>
      <c r="HR28" s="18">
        <f>IF(AND(223&gt;=$NQ$28,223&lt;=$NR$28),IF($NO$28="Single_Point",IF(223=$NQ$28,$NM$28,0),IF($NO$28="Bell_Curve",$NM$28*(223-$NQ$28+1)*($NR$28-223+1)/$NT$28,$NM$28/$NS$28)),0)</f>
        <v/>
      </c>
      <c r="HS28" s="18">
        <f>IF(AND(224&gt;=$NQ$28,224&lt;=$NR$28),IF($NO$28="Single_Point",IF(224=$NQ$28,$NM$28,0),IF($NO$28="Bell_Curve",$NM$28*(224-$NQ$28+1)*($NR$28-224+1)/$NT$28,$NM$28/$NS$28)),0)</f>
        <v/>
      </c>
      <c r="HT28" s="18">
        <f>IF(AND(225&gt;=$NQ$28,225&lt;=$NR$28),IF($NO$28="Single_Point",IF(225=$NQ$28,$NM$28,0),IF($NO$28="Bell_Curve",$NM$28*(225-$NQ$28+1)*($NR$28-225+1)/$NT$28,$NM$28/$NS$28)),0)</f>
        <v/>
      </c>
      <c r="HU28" s="18">
        <f>IF(AND(226&gt;=$NQ$28,226&lt;=$NR$28),IF($NO$28="Single_Point",IF(226=$NQ$28,$NM$28,0),IF($NO$28="Bell_Curve",$NM$28*(226-$NQ$28+1)*($NR$28-226+1)/$NT$28,$NM$28/$NS$28)),0)</f>
        <v/>
      </c>
      <c r="HV28" s="18">
        <f>IF(AND(227&gt;=$NQ$28,227&lt;=$NR$28),IF($NO$28="Single_Point",IF(227=$NQ$28,$NM$28,0),IF($NO$28="Bell_Curve",$NM$28*(227-$NQ$28+1)*($NR$28-227+1)/$NT$28,$NM$28/$NS$28)),0)</f>
        <v/>
      </c>
      <c r="HW28" s="18">
        <f>IF(AND(228&gt;=$NQ$28,228&lt;=$NR$28),IF($NO$28="Single_Point",IF(228=$NQ$28,$NM$28,0),IF($NO$28="Bell_Curve",$NM$28*(228-$NQ$28+1)*($NR$28-228+1)/$NT$28,$NM$28/$NS$28)),0)</f>
        <v/>
      </c>
      <c r="HX28" s="18">
        <f>IF(AND(229&gt;=$NQ$28,229&lt;=$NR$28),IF($NO$28="Single_Point",IF(229=$NQ$28,$NM$28,0),IF($NO$28="Bell_Curve",$NM$28*(229-$NQ$28+1)*($NR$28-229+1)/$NT$28,$NM$28/$NS$28)),0)</f>
        <v/>
      </c>
      <c r="HY28" s="18">
        <f>IF(AND(230&gt;=$NQ$28,230&lt;=$NR$28),IF($NO$28="Single_Point",IF(230=$NQ$28,$NM$28,0),IF($NO$28="Bell_Curve",$NM$28*(230-$NQ$28+1)*($NR$28-230+1)/$NT$28,$NM$28/$NS$28)),0)</f>
        <v/>
      </c>
      <c r="HZ28" s="18">
        <f>IF(AND(231&gt;=$NQ$28,231&lt;=$NR$28),IF($NO$28="Single_Point",IF(231=$NQ$28,$NM$28,0),IF($NO$28="Bell_Curve",$NM$28*(231-$NQ$28+1)*($NR$28-231+1)/$NT$28,$NM$28/$NS$28)),0)</f>
        <v/>
      </c>
      <c r="IA28" s="18">
        <f>IF(AND(232&gt;=$NQ$28,232&lt;=$NR$28),IF($NO$28="Single_Point",IF(232=$NQ$28,$NM$28,0),IF($NO$28="Bell_Curve",$NM$28*(232-$NQ$28+1)*($NR$28-232+1)/$NT$28,$NM$28/$NS$28)),0)</f>
        <v/>
      </c>
      <c r="IB28" s="18">
        <f>IF(AND(233&gt;=$NQ$28,233&lt;=$NR$28),IF($NO$28="Single_Point",IF(233=$NQ$28,$NM$28,0),IF($NO$28="Bell_Curve",$NM$28*(233-$NQ$28+1)*($NR$28-233+1)/$NT$28,$NM$28/$NS$28)),0)</f>
        <v/>
      </c>
      <c r="IC28" s="18">
        <f>IF(AND(234&gt;=$NQ$28,234&lt;=$NR$28),IF($NO$28="Single_Point",IF(234=$NQ$28,$NM$28,0),IF($NO$28="Bell_Curve",$NM$28*(234-$NQ$28+1)*($NR$28-234+1)/$NT$28,$NM$28/$NS$28)),0)</f>
        <v/>
      </c>
      <c r="ID28" s="18">
        <f>IF(AND(235&gt;=$NQ$28,235&lt;=$NR$28),IF($NO$28="Single_Point",IF(235=$NQ$28,$NM$28,0),IF($NO$28="Bell_Curve",$NM$28*(235-$NQ$28+1)*($NR$28-235+1)/$NT$28,$NM$28/$NS$28)),0)</f>
        <v/>
      </c>
      <c r="IE28" s="18">
        <f>IF(AND(236&gt;=$NQ$28,236&lt;=$NR$28),IF($NO$28="Single_Point",IF(236=$NQ$28,$NM$28,0),IF($NO$28="Bell_Curve",$NM$28*(236-$NQ$28+1)*($NR$28-236+1)/$NT$28,$NM$28/$NS$28)),0)</f>
        <v/>
      </c>
      <c r="IF28" s="18">
        <f>IF(AND(237&gt;=$NQ$28,237&lt;=$NR$28),IF($NO$28="Single_Point",IF(237=$NQ$28,$NM$28,0),IF($NO$28="Bell_Curve",$NM$28*(237-$NQ$28+1)*($NR$28-237+1)/$NT$28,$NM$28/$NS$28)),0)</f>
        <v/>
      </c>
      <c r="IG28" s="18">
        <f>IF(AND(238&gt;=$NQ$28,238&lt;=$NR$28),IF($NO$28="Single_Point",IF(238=$NQ$28,$NM$28,0),IF($NO$28="Bell_Curve",$NM$28*(238-$NQ$28+1)*($NR$28-238+1)/$NT$28,$NM$28/$NS$28)),0)</f>
        <v/>
      </c>
      <c r="IH28" s="18">
        <f>IF(AND(239&gt;=$NQ$28,239&lt;=$NR$28),IF($NO$28="Single_Point",IF(239=$NQ$28,$NM$28,0),IF($NO$28="Bell_Curve",$NM$28*(239-$NQ$28+1)*($NR$28-239+1)/$NT$28,$NM$28/$NS$28)),0)</f>
        <v/>
      </c>
      <c r="II28" s="18">
        <f>IF(AND(240&gt;=$NQ$28,240&lt;=$NR$28),IF($NO$28="Single_Point",IF(240=$NQ$28,$NM$28,0),IF($NO$28="Bell_Curve",$NM$28*(240-$NQ$28+1)*($NR$28-240+1)/$NT$28,$NM$28/$NS$28)),0)</f>
        <v/>
      </c>
      <c r="IJ28" s="18">
        <f>IF(AND(241&gt;=$NQ$28,241&lt;=$NR$28),IF($NO$28="Single_Point",IF(241=$NQ$28,$NM$28,0),IF($NO$28="Bell_Curve",$NM$28*(241-$NQ$28+1)*($NR$28-241+1)/$NT$28,$NM$28/$NS$28)),0)</f>
        <v/>
      </c>
      <c r="IK28" s="18">
        <f>IF(AND(242&gt;=$NQ$28,242&lt;=$NR$28),IF($NO$28="Single_Point",IF(242=$NQ$28,$NM$28,0),IF($NO$28="Bell_Curve",$NM$28*(242-$NQ$28+1)*($NR$28-242+1)/$NT$28,$NM$28/$NS$28)),0)</f>
        <v/>
      </c>
      <c r="IL28" s="18">
        <f>IF(AND(243&gt;=$NQ$28,243&lt;=$NR$28),IF($NO$28="Single_Point",IF(243=$NQ$28,$NM$28,0),IF($NO$28="Bell_Curve",$NM$28*(243-$NQ$28+1)*($NR$28-243+1)/$NT$28,$NM$28/$NS$28)),0)</f>
        <v/>
      </c>
      <c r="IM28" s="18">
        <f>IF(AND(244&gt;=$NQ$28,244&lt;=$NR$28),IF($NO$28="Single_Point",IF(244=$NQ$28,$NM$28,0),IF($NO$28="Bell_Curve",$NM$28*(244-$NQ$28+1)*($NR$28-244+1)/$NT$28,$NM$28/$NS$28)),0)</f>
        <v/>
      </c>
      <c r="IN28" s="18">
        <f>IF(AND(245&gt;=$NQ$28,245&lt;=$NR$28),IF($NO$28="Single_Point",IF(245=$NQ$28,$NM$28,0),IF($NO$28="Bell_Curve",$NM$28*(245-$NQ$28+1)*($NR$28-245+1)/$NT$28,$NM$28/$NS$28)),0)</f>
        <v/>
      </c>
      <c r="IO28" s="18">
        <f>IF(AND(246&gt;=$NQ$28,246&lt;=$NR$28),IF($NO$28="Single_Point",IF(246=$NQ$28,$NM$28,0),IF($NO$28="Bell_Curve",$NM$28*(246-$NQ$28+1)*($NR$28-246+1)/$NT$28,$NM$28/$NS$28)),0)</f>
        <v/>
      </c>
      <c r="IP28" s="18">
        <f>IF(AND(247&gt;=$NQ$28,247&lt;=$NR$28),IF($NO$28="Single_Point",IF(247=$NQ$28,$NM$28,0),IF($NO$28="Bell_Curve",$NM$28*(247-$NQ$28+1)*($NR$28-247+1)/$NT$28,$NM$28/$NS$28)),0)</f>
        <v/>
      </c>
      <c r="IQ28" s="18">
        <f>IF(AND(248&gt;=$NQ$28,248&lt;=$NR$28),IF($NO$28="Single_Point",IF(248=$NQ$28,$NM$28,0),IF($NO$28="Bell_Curve",$NM$28*(248-$NQ$28+1)*($NR$28-248+1)/$NT$28,$NM$28/$NS$28)),0)</f>
        <v/>
      </c>
      <c r="IR28" s="18">
        <f>IF(AND(249&gt;=$NQ$28,249&lt;=$NR$28),IF($NO$28="Single_Point",IF(249=$NQ$28,$NM$28,0),IF($NO$28="Bell_Curve",$NM$28*(249-$NQ$28+1)*($NR$28-249+1)/$NT$28,$NM$28/$NS$28)),0)</f>
        <v/>
      </c>
      <c r="IS28" s="18">
        <f>IF(AND(250&gt;=$NQ$28,250&lt;=$NR$28),IF($NO$28="Single_Point",IF(250=$NQ$28,$NM$28,0),IF($NO$28="Bell_Curve",$NM$28*(250-$NQ$28+1)*($NR$28-250+1)/$NT$28,$NM$28/$NS$28)),0)</f>
        <v/>
      </c>
      <c r="IT28" s="18">
        <f>IF(AND(251&gt;=$NQ$28,251&lt;=$NR$28),IF($NO$28="Single_Point",IF(251=$NQ$28,$NM$28,0),IF($NO$28="Bell_Curve",$NM$28*(251-$NQ$28+1)*($NR$28-251+1)/$NT$28,$NM$28/$NS$28)),0)</f>
        <v/>
      </c>
      <c r="IU28" s="18">
        <f>IF(AND(252&gt;=$NQ$28,252&lt;=$NR$28),IF($NO$28="Single_Point",IF(252=$NQ$28,$NM$28,0),IF($NO$28="Bell_Curve",$NM$28*(252-$NQ$28+1)*($NR$28-252+1)/$NT$28,$NM$28/$NS$28)),0)</f>
        <v/>
      </c>
      <c r="IV28" s="18">
        <f>IF(AND(253&gt;=$NQ$28,253&lt;=$NR$28),IF($NO$28="Single_Point",IF(253=$NQ$28,$NM$28,0),IF($NO$28="Bell_Curve",$NM$28*(253-$NQ$28+1)*($NR$28-253+1)/$NT$28,$NM$28/$NS$28)),0)</f>
        <v/>
      </c>
      <c r="IW28" s="18">
        <f>IF(AND(254&gt;=$NQ$28,254&lt;=$NR$28),IF($NO$28="Single_Point",IF(254=$NQ$28,$NM$28,0),IF($NO$28="Bell_Curve",$NM$28*(254-$NQ$28+1)*($NR$28-254+1)/$NT$28,$NM$28/$NS$28)),0)</f>
        <v/>
      </c>
      <c r="IX28" s="18">
        <f>IF(AND(255&gt;=$NQ$28,255&lt;=$NR$28),IF($NO$28="Single_Point",IF(255=$NQ$28,$NM$28,0),IF($NO$28="Bell_Curve",$NM$28*(255-$NQ$28+1)*($NR$28-255+1)/$NT$28,$NM$28/$NS$28)),0)</f>
        <v/>
      </c>
      <c r="IY28" s="18">
        <f>IF(AND(256&gt;=$NQ$28,256&lt;=$NR$28),IF($NO$28="Single_Point",IF(256=$NQ$28,$NM$28,0),IF($NO$28="Bell_Curve",$NM$28*(256-$NQ$28+1)*($NR$28-256+1)/$NT$28,$NM$28/$NS$28)),0)</f>
        <v/>
      </c>
      <c r="IZ28" s="18">
        <f>IF(AND(257&gt;=$NQ$28,257&lt;=$NR$28),IF($NO$28="Single_Point",IF(257=$NQ$28,$NM$28,0),IF($NO$28="Bell_Curve",$NM$28*(257-$NQ$28+1)*($NR$28-257+1)/$NT$28,$NM$28/$NS$28)),0)</f>
        <v/>
      </c>
      <c r="JA28" s="18">
        <f>IF(AND(258&gt;=$NQ$28,258&lt;=$NR$28),IF($NO$28="Single_Point",IF(258=$NQ$28,$NM$28,0),IF($NO$28="Bell_Curve",$NM$28*(258-$NQ$28+1)*($NR$28-258+1)/$NT$28,$NM$28/$NS$28)),0)</f>
        <v/>
      </c>
      <c r="JB28" s="18">
        <f>IF(AND(259&gt;=$NQ$28,259&lt;=$NR$28),IF($NO$28="Single_Point",IF(259=$NQ$28,$NM$28,0),IF($NO$28="Bell_Curve",$NM$28*(259-$NQ$28+1)*($NR$28-259+1)/$NT$28,$NM$28/$NS$28)),0)</f>
        <v/>
      </c>
      <c r="JC28" s="18">
        <f>IF(AND(260&gt;=$NQ$28,260&lt;=$NR$28),IF($NO$28="Single_Point",IF(260=$NQ$28,$NM$28,0),IF($NO$28="Bell_Curve",$NM$28*(260-$NQ$28+1)*($NR$28-260+1)/$NT$28,$NM$28/$NS$28)),0)</f>
        <v/>
      </c>
      <c r="JD28" s="18">
        <f>IF(AND(261&gt;=$NQ$28,261&lt;=$NR$28),IF($NO$28="Single_Point",IF(261=$NQ$28,$NM$28,0),IF($NO$28="Bell_Curve",$NM$28*(261-$NQ$28+1)*($NR$28-261+1)/$NT$28,$NM$28/$NS$28)),0)</f>
        <v/>
      </c>
      <c r="JE28" s="18">
        <f>IF(AND(262&gt;=$NQ$28,262&lt;=$NR$28),IF($NO$28="Single_Point",IF(262=$NQ$28,$NM$28,0),IF($NO$28="Bell_Curve",$NM$28*(262-$NQ$28+1)*($NR$28-262+1)/$NT$28,$NM$28/$NS$28)),0)</f>
        <v/>
      </c>
      <c r="JF28" s="18">
        <f>IF(AND(263&gt;=$NQ$28,263&lt;=$NR$28),IF($NO$28="Single_Point",IF(263=$NQ$28,$NM$28,0),IF($NO$28="Bell_Curve",$NM$28*(263-$NQ$28+1)*($NR$28-263+1)/$NT$28,$NM$28/$NS$28)),0)</f>
        <v/>
      </c>
      <c r="JG28" s="18">
        <f>IF(AND(264&gt;=$NQ$28,264&lt;=$NR$28),IF($NO$28="Single_Point",IF(264=$NQ$28,$NM$28,0),IF($NO$28="Bell_Curve",$NM$28*(264-$NQ$28+1)*($NR$28-264+1)/$NT$28,$NM$28/$NS$28)),0)</f>
        <v/>
      </c>
      <c r="JH28" s="18">
        <f>IF(AND(265&gt;=$NQ$28,265&lt;=$NR$28),IF($NO$28="Single_Point",IF(265=$NQ$28,$NM$28,0),IF($NO$28="Bell_Curve",$NM$28*(265-$NQ$28+1)*($NR$28-265+1)/$NT$28,$NM$28/$NS$28)),0)</f>
        <v/>
      </c>
      <c r="JI28" s="18">
        <f>IF(AND(266&gt;=$NQ$28,266&lt;=$NR$28),IF($NO$28="Single_Point",IF(266=$NQ$28,$NM$28,0),IF($NO$28="Bell_Curve",$NM$28*(266-$NQ$28+1)*($NR$28-266+1)/$NT$28,$NM$28/$NS$28)),0)</f>
        <v/>
      </c>
      <c r="JJ28" s="18">
        <f>IF(AND(267&gt;=$NQ$28,267&lt;=$NR$28),IF($NO$28="Single_Point",IF(267=$NQ$28,$NM$28,0),IF($NO$28="Bell_Curve",$NM$28*(267-$NQ$28+1)*($NR$28-267+1)/$NT$28,$NM$28/$NS$28)),0)</f>
        <v/>
      </c>
      <c r="JK28" s="18">
        <f>IF(AND(268&gt;=$NQ$28,268&lt;=$NR$28),IF($NO$28="Single_Point",IF(268=$NQ$28,$NM$28,0),IF($NO$28="Bell_Curve",$NM$28*(268-$NQ$28+1)*($NR$28-268+1)/$NT$28,$NM$28/$NS$28)),0)</f>
        <v/>
      </c>
      <c r="JL28" s="18">
        <f>IF(AND(269&gt;=$NQ$28,269&lt;=$NR$28),IF($NO$28="Single_Point",IF(269=$NQ$28,$NM$28,0),IF($NO$28="Bell_Curve",$NM$28*(269-$NQ$28+1)*($NR$28-269+1)/$NT$28,$NM$28/$NS$28)),0)</f>
        <v/>
      </c>
      <c r="JM28" s="18">
        <f>IF(AND(270&gt;=$NQ$28,270&lt;=$NR$28),IF($NO$28="Single_Point",IF(270=$NQ$28,$NM$28,0),IF($NO$28="Bell_Curve",$NM$28*(270-$NQ$28+1)*($NR$28-270+1)/$NT$28,$NM$28/$NS$28)),0)</f>
        <v/>
      </c>
      <c r="JN28" s="18">
        <f>IF(AND(271&gt;=$NQ$28,271&lt;=$NR$28),IF($NO$28="Single_Point",IF(271=$NQ$28,$NM$28,0),IF($NO$28="Bell_Curve",$NM$28*(271-$NQ$28+1)*($NR$28-271+1)/$NT$28,$NM$28/$NS$28)),0)</f>
        <v/>
      </c>
      <c r="JO28" s="18">
        <f>IF(AND(272&gt;=$NQ$28,272&lt;=$NR$28),IF($NO$28="Single_Point",IF(272=$NQ$28,$NM$28,0),IF($NO$28="Bell_Curve",$NM$28*(272-$NQ$28+1)*($NR$28-272+1)/$NT$28,$NM$28/$NS$28)),0)</f>
        <v/>
      </c>
      <c r="JP28" s="18">
        <f>IF(AND(273&gt;=$NQ$28,273&lt;=$NR$28),IF($NO$28="Single_Point",IF(273=$NQ$28,$NM$28,0),IF($NO$28="Bell_Curve",$NM$28*(273-$NQ$28+1)*($NR$28-273+1)/$NT$28,$NM$28/$NS$28)),0)</f>
        <v/>
      </c>
      <c r="JQ28" s="18">
        <f>IF(AND(274&gt;=$NQ$28,274&lt;=$NR$28),IF($NO$28="Single_Point",IF(274=$NQ$28,$NM$28,0),IF($NO$28="Bell_Curve",$NM$28*(274-$NQ$28+1)*($NR$28-274+1)/$NT$28,$NM$28/$NS$28)),0)</f>
        <v/>
      </c>
      <c r="JR28" s="18">
        <f>IF(AND(275&gt;=$NQ$28,275&lt;=$NR$28),IF($NO$28="Single_Point",IF(275=$NQ$28,$NM$28,0),IF($NO$28="Bell_Curve",$NM$28*(275-$NQ$28+1)*($NR$28-275+1)/$NT$28,$NM$28/$NS$28)),0)</f>
        <v/>
      </c>
      <c r="JS28" s="18">
        <f>IF(AND(276&gt;=$NQ$28,276&lt;=$NR$28),IF($NO$28="Single_Point",IF(276=$NQ$28,$NM$28,0),IF($NO$28="Bell_Curve",$NM$28*(276-$NQ$28+1)*($NR$28-276+1)/$NT$28,$NM$28/$NS$28)),0)</f>
        <v/>
      </c>
      <c r="JT28" s="18">
        <f>IF(AND(277&gt;=$NQ$28,277&lt;=$NR$28),IF($NO$28="Single_Point",IF(277=$NQ$28,$NM$28,0),IF($NO$28="Bell_Curve",$NM$28*(277-$NQ$28+1)*($NR$28-277+1)/$NT$28,$NM$28/$NS$28)),0)</f>
        <v/>
      </c>
      <c r="JU28" s="18">
        <f>IF(AND(278&gt;=$NQ$28,278&lt;=$NR$28),IF($NO$28="Single_Point",IF(278=$NQ$28,$NM$28,0),IF($NO$28="Bell_Curve",$NM$28*(278-$NQ$28+1)*($NR$28-278+1)/$NT$28,$NM$28/$NS$28)),0)</f>
        <v/>
      </c>
      <c r="JV28" s="18">
        <f>IF(AND(279&gt;=$NQ$28,279&lt;=$NR$28),IF($NO$28="Single_Point",IF(279=$NQ$28,$NM$28,0),IF($NO$28="Bell_Curve",$NM$28*(279-$NQ$28+1)*($NR$28-279+1)/$NT$28,$NM$28/$NS$28)),0)</f>
        <v/>
      </c>
      <c r="JW28" s="18">
        <f>IF(AND(280&gt;=$NQ$28,280&lt;=$NR$28),IF($NO$28="Single_Point",IF(280=$NQ$28,$NM$28,0),IF($NO$28="Bell_Curve",$NM$28*(280-$NQ$28+1)*($NR$28-280+1)/$NT$28,$NM$28/$NS$28)),0)</f>
        <v/>
      </c>
      <c r="JX28" s="18">
        <f>IF(AND(281&gt;=$NQ$28,281&lt;=$NR$28),IF($NO$28="Single_Point",IF(281=$NQ$28,$NM$28,0),IF($NO$28="Bell_Curve",$NM$28*(281-$NQ$28+1)*($NR$28-281+1)/$NT$28,$NM$28/$NS$28)),0)</f>
        <v/>
      </c>
      <c r="JY28" s="18">
        <f>IF(AND(282&gt;=$NQ$28,282&lt;=$NR$28),IF($NO$28="Single_Point",IF(282=$NQ$28,$NM$28,0),IF($NO$28="Bell_Curve",$NM$28*(282-$NQ$28+1)*($NR$28-282+1)/$NT$28,$NM$28/$NS$28)),0)</f>
        <v/>
      </c>
      <c r="JZ28" s="18">
        <f>IF(AND(283&gt;=$NQ$28,283&lt;=$NR$28),IF($NO$28="Single_Point",IF(283=$NQ$28,$NM$28,0),IF($NO$28="Bell_Curve",$NM$28*(283-$NQ$28+1)*($NR$28-283+1)/$NT$28,$NM$28/$NS$28)),0)</f>
        <v/>
      </c>
      <c r="KA28" s="18">
        <f>IF(AND(284&gt;=$NQ$28,284&lt;=$NR$28),IF($NO$28="Single_Point",IF(284=$NQ$28,$NM$28,0),IF($NO$28="Bell_Curve",$NM$28*(284-$NQ$28+1)*($NR$28-284+1)/$NT$28,$NM$28/$NS$28)),0)</f>
        <v/>
      </c>
      <c r="KB28" s="18">
        <f>IF(AND(285&gt;=$NQ$28,285&lt;=$NR$28),IF($NO$28="Single_Point",IF(285=$NQ$28,$NM$28,0),IF($NO$28="Bell_Curve",$NM$28*(285-$NQ$28+1)*($NR$28-285+1)/$NT$28,$NM$28/$NS$28)),0)</f>
        <v/>
      </c>
      <c r="KC28" s="18">
        <f>IF(AND(286&gt;=$NQ$28,286&lt;=$NR$28),IF($NO$28="Single_Point",IF(286=$NQ$28,$NM$28,0),IF($NO$28="Bell_Curve",$NM$28*(286-$NQ$28+1)*($NR$28-286+1)/$NT$28,$NM$28/$NS$28)),0)</f>
        <v/>
      </c>
      <c r="KD28" s="18">
        <f>IF(AND(287&gt;=$NQ$28,287&lt;=$NR$28),IF($NO$28="Single_Point",IF(287=$NQ$28,$NM$28,0),IF($NO$28="Bell_Curve",$NM$28*(287-$NQ$28+1)*($NR$28-287+1)/$NT$28,$NM$28/$NS$28)),0)</f>
        <v/>
      </c>
      <c r="KE28" s="18">
        <f>IF(AND(288&gt;=$NQ$28,288&lt;=$NR$28),IF($NO$28="Single_Point",IF(288=$NQ$28,$NM$28,0),IF($NO$28="Bell_Curve",$NM$28*(288-$NQ$28+1)*($NR$28-288+1)/$NT$28,$NM$28/$NS$28)),0)</f>
        <v/>
      </c>
      <c r="KF28" s="18">
        <f>IF(AND(289&gt;=$NQ$28,289&lt;=$NR$28),IF($NO$28="Single_Point",IF(289=$NQ$28,$NM$28,0),IF($NO$28="Bell_Curve",$NM$28*(289-$NQ$28+1)*($NR$28-289+1)/$NT$28,$NM$28/$NS$28)),0)</f>
        <v/>
      </c>
      <c r="KG28" s="18">
        <f>IF(AND(290&gt;=$NQ$28,290&lt;=$NR$28),IF($NO$28="Single_Point",IF(290=$NQ$28,$NM$28,0),IF($NO$28="Bell_Curve",$NM$28*(290-$NQ$28+1)*($NR$28-290+1)/$NT$28,$NM$28/$NS$28)),0)</f>
        <v/>
      </c>
      <c r="KH28" s="18">
        <f>IF(AND(291&gt;=$NQ$28,291&lt;=$NR$28),IF($NO$28="Single_Point",IF(291=$NQ$28,$NM$28,0),IF($NO$28="Bell_Curve",$NM$28*(291-$NQ$28+1)*($NR$28-291+1)/$NT$28,$NM$28/$NS$28)),0)</f>
        <v/>
      </c>
      <c r="KI28" s="18">
        <f>IF(AND(292&gt;=$NQ$28,292&lt;=$NR$28),IF($NO$28="Single_Point",IF(292=$NQ$28,$NM$28,0),IF($NO$28="Bell_Curve",$NM$28*(292-$NQ$28+1)*($NR$28-292+1)/$NT$28,$NM$28/$NS$28)),0)</f>
        <v/>
      </c>
      <c r="KJ28" s="18">
        <f>IF(AND(293&gt;=$NQ$28,293&lt;=$NR$28),IF($NO$28="Single_Point",IF(293=$NQ$28,$NM$28,0),IF($NO$28="Bell_Curve",$NM$28*(293-$NQ$28+1)*($NR$28-293+1)/$NT$28,$NM$28/$NS$28)),0)</f>
        <v/>
      </c>
      <c r="KK28" s="18">
        <f>IF(AND(294&gt;=$NQ$28,294&lt;=$NR$28),IF($NO$28="Single_Point",IF(294=$NQ$28,$NM$28,0),IF($NO$28="Bell_Curve",$NM$28*(294-$NQ$28+1)*($NR$28-294+1)/$NT$28,$NM$28/$NS$28)),0)</f>
        <v/>
      </c>
      <c r="KL28" s="18">
        <f>IF(AND(295&gt;=$NQ$28,295&lt;=$NR$28),IF($NO$28="Single_Point",IF(295=$NQ$28,$NM$28,0),IF($NO$28="Bell_Curve",$NM$28*(295-$NQ$28+1)*($NR$28-295+1)/$NT$28,$NM$28/$NS$28)),0)</f>
        <v/>
      </c>
      <c r="KM28" s="18">
        <f>IF(AND(296&gt;=$NQ$28,296&lt;=$NR$28),IF($NO$28="Single_Point",IF(296=$NQ$28,$NM$28,0),IF($NO$28="Bell_Curve",$NM$28*(296-$NQ$28+1)*($NR$28-296+1)/$NT$28,$NM$28/$NS$28)),0)</f>
        <v/>
      </c>
      <c r="KN28" s="18">
        <f>IF(AND(297&gt;=$NQ$28,297&lt;=$NR$28),IF($NO$28="Single_Point",IF(297=$NQ$28,$NM$28,0),IF($NO$28="Bell_Curve",$NM$28*(297-$NQ$28+1)*($NR$28-297+1)/$NT$28,$NM$28/$NS$28)),0)</f>
        <v/>
      </c>
      <c r="KO28" s="18">
        <f>IF(AND(298&gt;=$NQ$28,298&lt;=$NR$28),IF($NO$28="Single_Point",IF(298=$NQ$28,$NM$28,0),IF($NO$28="Bell_Curve",$NM$28*(298-$NQ$28+1)*($NR$28-298+1)/$NT$28,$NM$28/$NS$28)),0)</f>
        <v/>
      </c>
      <c r="KP28" s="18">
        <f>IF(AND(299&gt;=$NQ$28,299&lt;=$NR$28),IF($NO$28="Single_Point",IF(299=$NQ$28,$NM$28,0),IF($NO$28="Bell_Curve",$NM$28*(299-$NQ$28+1)*($NR$28-299+1)/$NT$28,$NM$28/$NS$28)),0)</f>
        <v/>
      </c>
      <c r="KQ28" s="18">
        <f>IF(AND(300&gt;=$NQ$28,300&lt;=$NR$28),IF($NO$28="Single_Point",IF(300=$NQ$28,$NM$28,0),IF($NO$28="Bell_Curve",$NM$28*(300-$NQ$28+1)*($NR$28-300+1)/$NT$28,$NM$28/$NS$28)),0)</f>
        <v/>
      </c>
      <c r="KR28" s="18">
        <f>IF(AND(301&gt;=$NQ$28,301&lt;=$NR$28),IF($NO$28="Single_Point",IF(301=$NQ$28,$NM$28,0),IF($NO$28="Bell_Curve",$NM$28*(301-$NQ$28+1)*($NR$28-301+1)/$NT$28,$NM$28/$NS$28)),0)</f>
        <v/>
      </c>
      <c r="KS28" s="18">
        <f>IF(AND(302&gt;=$NQ$28,302&lt;=$NR$28),IF($NO$28="Single_Point",IF(302=$NQ$28,$NM$28,0),IF($NO$28="Bell_Curve",$NM$28*(302-$NQ$28+1)*($NR$28-302+1)/$NT$28,$NM$28/$NS$28)),0)</f>
        <v/>
      </c>
      <c r="KT28" s="18">
        <f>IF(AND(303&gt;=$NQ$28,303&lt;=$NR$28),IF($NO$28="Single_Point",IF(303=$NQ$28,$NM$28,0),IF($NO$28="Bell_Curve",$NM$28*(303-$NQ$28+1)*($NR$28-303+1)/$NT$28,$NM$28/$NS$28)),0)</f>
        <v/>
      </c>
      <c r="KU28" s="18">
        <f>IF(AND(304&gt;=$NQ$28,304&lt;=$NR$28),IF($NO$28="Single_Point",IF(304=$NQ$28,$NM$28,0),IF($NO$28="Bell_Curve",$NM$28*(304-$NQ$28+1)*($NR$28-304+1)/$NT$28,$NM$28/$NS$28)),0)</f>
        <v/>
      </c>
      <c r="KV28" s="18">
        <f>IF(AND(305&gt;=$NQ$28,305&lt;=$NR$28),IF($NO$28="Single_Point",IF(305=$NQ$28,$NM$28,0),IF($NO$28="Bell_Curve",$NM$28*(305-$NQ$28+1)*($NR$28-305+1)/$NT$28,$NM$28/$NS$28)),0)</f>
        <v/>
      </c>
      <c r="KW28" s="18">
        <f>IF(AND(306&gt;=$NQ$28,306&lt;=$NR$28),IF($NO$28="Single_Point",IF(306=$NQ$28,$NM$28,0),IF($NO$28="Bell_Curve",$NM$28*(306-$NQ$28+1)*($NR$28-306+1)/$NT$28,$NM$28/$NS$28)),0)</f>
        <v/>
      </c>
      <c r="KX28" s="18">
        <f>IF(AND(307&gt;=$NQ$28,307&lt;=$NR$28),IF($NO$28="Single_Point",IF(307=$NQ$28,$NM$28,0),IF($NO$28="Bell_Curve",$NM$28*(307-$NQ$28+1)*($NR$28-307+1)/$NT$28,$NM$28/$NS$28)),0)</f>
        <v/>
      </c>
      <c r="KY28" s="18">
        <f>IF(AND(308&gt;=$NQ$28,308&lt;=$NR$28),IF($NO$28="Single_Point",IF(308=$NQ$28,$NM$28,0),IF($NO$28="Bell_Curve",$NM$28*(308-$NQ$28+1)*($NR$28-308+1)/$NT$28,$NM$28/$NS$28)),0)</f>
        <v/>
      </c>
      <c r="KZ28" s="18">
        <f>IF(AND(309&gt;=$NQ$28,309&lt;=$NR$28),IF($NO$28="Single_Point",IF(309=$NQ$28,$NM$28,0),IF($NO$28="Bell_Curve",$NM$28*(309-$NQ$28+1)*($NR$28-309+1)/$NT$28,$NM$28/$NS$28)),0)</f>
        <v/>
      </c>
      <c r="LA28" s="18">
        <f>IF(AND(310&gt;=$NQ$28,310&lt;=$NR$28),IF($NO$28="Single_Point",IF(310=$NQ$28,$NM$28,0),IF($NO$28="Bell_Curve",$NM$28*(310-$NQ$28+1)*($NR$28-310+1)/$NT$28,$NM$28/$NS$28)),0)</f>
        <v/>
      </c>
      <c r="LB28" s="18">
        <f>IF(AND(311&gt;=$NQ$28,311&lt;=$NR$28),IF($NO$28="Single_Point",IF(311=$NQ$28,$NM$28,0),IF($NO$28="Bell_Curve",$NM$28*(311-$NQ$28+1)*($NR$28-311+1)/$NT$28,$NM$28/$NS$28)),0)</f>
        <v/>
      </c>
      <c r="LC28" s="18">
        <f>IF(AND(312&gt;=$NQ$28,312&lt;=$NR$28),IF($NO$28="Single_Point",IF(312=$NQ$28,$NM$28,0),IF($NO$28="Bell_Curve",$NM$28*(312-$NQ$28+1)*($NR$28-312+1)/$NT$28,$NM$28/$NS$28)),0)</f>
        <v/>
      </c>
      <c r="LD28" s="18">
        <f>IF(AND(313&gt;=$NQ$28,313&lt;=$NR$28),IF($NO$28="Single_Point",IF(313=$NQ$28,$NM$28,0),IF($NO$28="Bell_Curve",$NM$28*(313-$NQ$28+1)*($NR$28-313+1)/$NT$28,$NM$28/$NS$28)),0)</f>
        <v/>
      </c>
      <c r="LE28" s="18">
        <f>IF(AND(314&gt;=$NQ$28,314&lt;=$NR$28),IF($NO$28="Single_Point",IF(314=$NQ$28,$NM$28,0),IF($NO$28="Bell_Curve",$NM$28*(314-$NQ$28+1)*($NR$28-314+1)/$NT$28,$NM$28/$NS$28)),0)</f>
        <v/>
      </c>
      <c r="LF28" s="18">
        <f>IF(AND(315&gt;=$NQ$28,315&lt;=$NR$28),IF($NO$28="Single_Point",IF(315=$NQ$28,$NM$28,0),IF($NO$28="Bell_Curve",$NM$28*(315-$NQ$28+1)*($NR$28-315+1)/$NT$28,$NM$28/$NS$28)),0)</f>
        <v/>
      </c>
      <c r="LG28" s="18">
        <f>IF(AND(316&gt;=$NQ$28,316&lt;=$NR$28),IF($NO$28="Single_Point",IF(316=$NQ$28,$NM$28,0),IF($NO$28="Bell_Curve",$NM$28*(316-$NQ$28+1)*($NR$28-316+1)/$NT$28,$NM$28/$NS$28)),0)</f>
        <v/>
      </c>
      <c r="LH28" s="18">
        <f>IF(AND(317&gt;=$NQ$28,317&lt;=$NR$28),IF($NO$28="Single_Point",IF(317=$NQ$28,$NM$28,0),IF($NO$28="Bell_Curve",$NM$28*(317-$NQ$28+1)*($NR$28-317+1)/$NT$28,$NM$28/$NS$28)),0)</f>
        <v/>
      </c>
      <c r="LI28" s="18">
        <f>IF(AND(318&gt;=$NQ$28,318&lt;=$NR$28),IF($NO$28="Single_Point",IF(318=$NQ$28,$NM$28,0),IF($NO$28="Bell_Curve",$NM$28*(318-$NQ$28+1)*($NR$28-318+1)/$NT$28,$NM$28/$NS$28)),0)</f>
        <v/>
      </c>
      <c r="LJ28" s="18">
        <f>IF(AND(319&gt;=$NQ$28,319&lt;=$NR$28),IF($NO$28="Single_Point",IF(319=$NQ$28,$NM$28,0),IF($NO$28="Bell_Curve",$NM$28*(319-$NQ$28+1)*($NR$28-319+1)/$NT$28,$NM$28/$NS$28)),0)</f>
        <v/>
      </c>
      <c r="LK28" s="18">
        <f>IF(AND(320&gt;=$NQ$28,320&lt;=$NR$28),IF($NO$28="Single_Point",IF(320=$NQ$28,$NM$28,0),IF($NO$28="Bell_Curve",$NM$28*(320-$NQ$28+1)*($NR$28-320+1)/$NT$28,$NM$28/$NS$28)),0)</f>
        <v/>
      </c>
      <c r="LL28" s="18">
        <f>IF(AND(321&gt;=$NQ$28,321&lt;=$NR$28),IF($NO$28="Single_Point",IF(321=$NQ$28,$NM$28,0),IF($NO$28="Bell_Curve",$NM$28*(321-$NQ$28+1)*($NR$28-321+1)/$NT$28,$NM$28/$NS$28)),0)</f>
        <v/>
      </c>
      <c r="LM28" s="18">
        <f>IF(AND(322&gt;=$NQ$28,322&lt;=$NR$28),IF($NO$28="Single_Point",IF(322=$NQ$28,$NM$28,0),IF($NO$28="Bell_Curve",$NM$28*(322-$NQ$28+1)*($NR$28-322+1)/$NT$28,$NM$28/$NS$28)),0)</f>
        <v/>
      </c>
      <c r="LN28" s="18">
        <f>IF(AND(323&gt;=$NQ$28,323&lt;=$NR$28),IF($NO$28="Single_Point",IF(323=$NQ$28,$NM$28,0),IF($NO$28="Bell_Curve",$NM$28*(323-$NQ$28+1)*($NR$28-323+1)/$NT$28,$NM$28/$NS$28)),0)</f>
        <v/>
      </c>
      <c r="LO28" s="18">
        <f>IF(AND(324&gt;=$NQ$28,324&lt;=$NR$28),IF($NO$28="Single_Point",IF(324=$NQ$28,$NM$28,0),IF($NO$28="Bell_Curve",$NM$28*(324-$NQ$28+1)*($NR$28-324+1)/$NT$28,$NM$28/$NS$28)),0)</f>
        <v/>
      </c>
      <c r="LP28" s="18">
        <f>IF(AND(325&gt;=$NQ$28,325&lt;=$NR$28),IF($NO$28="Single_Point",IF(325=$NQ$28,$NM$28,0),IF($NO$28="Bell_Curve",$NM$28*(325-$NQ$28+1)*($NR$28-325+1)/$NT$28,$NM$28/$NS$28)),0)</f>
        <v/>
      </c>
      <c r="LQ28" s="18">
        <f>IF(AND(326&gt;=$NQ$28,326&lt;=$NR$28),IF($NO$28="Single_Point",IF(326=$NQ$28,$NM$28,0),IF($NO$28="Bell_Curve",$NM$28*(326-$NQ$28+1)*($NR$28-326+1)/$NT$28,$NM$28/$NS$28)),0)</f>
        <v/>
      </c>
      <c r="LR28" s="18">
        <f>IF(AND(327&gt;=$NQ$28,327&lt;=$NR$28),IF($NO$28="Single_Point",IF(327=$NQ$28,$NM$28,0),IF($NO$28="Bell_Curve",$NM$28*(327-$NQ$28+1)*($NR$28-327+1)/$NT$28,$NM$28/$NS$28)),0)</f>
        <v/>
      </c>
      <c r="LS28" s="18">
        <f>IF(AND(328&gt;=$NQ$28,328&lt;=$NR$28),IF($NO$28="Single_Point",IF(328=$NQ$28,$NM$28,0),IF($NO$28="Bell_Curve",$NM$28*(328-$NQ$28+1)*($NR$28-328+1)/$NT$28,$NM$28/$NS$28)),0)</f>
        <v/>
      </c>
      <c r="LT28" s="18">
        <f>IF(AND(329&gt;=$NQ$28,329&lt;=$NR$28),IF($NO$28="Single_Point",IF(329=$NQ$28,$NM$28,0),IF($NO$28="Bell_Curve",$NM$28*(329-$NQ$28+1)*($NR$28-329+1)/$NT$28,$NM$28/$NS$28)),0)</f>
        <v/>
      </c>
      <c r="LU28" s="18">
        <f>IF(AND(330&gt;=$NQ$28,330&lt;=$NR$28),IF($NO$28="Single_Point",IF(330=$NQ$28,$NM$28,0),IF($NO$28="Bell_Curve",$NM$28*(330-$NQ$28+1)*($NR$28-330+1)/$NT$28,$NM$28/$NS$28)),0)</f>
        <v/>
      </c>
      <c r="LV28" s="18">
        <f>IF(AND(331&gt;=$NQ$28,331&lt;=$NR$28),IF($NO$28="Single_Point",IF(331=$NQ$28,$NM$28,0),IF($NO$28="Bell_Curve",$NM$28*(331-$NQ$28+1)*($NR$28-331+1)/$NT$28,$NM$28/$NS$28)),0)</f>
        <v/>
      </c>
      <c r="LW28" s="18">
        <f>IF(AND(332&gt;=$NQ$28,332&lt;=$NR$28),IF($NO$28="Single_Point",IF(332=$NQ$28,$NM$28,0),IF($NO$28="Bell_Curve",$NM$28*(332-$NQ$28+1)*($NR$28-332+1)/$NT$28,$NM$28/$NS$28)),0)</f>
        <v/>
      </c>
      <c r="LX28" s="18">
        <f>IF(AND(333&gt;=$NQ$28,333&lt;=$NR$28),IF($NO$28="Single_Point",IF(333=$NQ$28,$NM$28,0),IF($NO$28="Bell_Curve",$NM$28*(333-$NQ$28+1)*($NR$28-333+1)/$NT$28,$NM$28/$NS$28)),0)</f>
        <v/>
      </c>
      <c r="LY28" s="18">
        <f>IF(AND(334&gt;=$NQ$28,334&lt;=$NR$28),IF($NO$28="Single_Point",IF(334=$NQ$28,$NM$28,0),IF($NO$28="Bell_Curve",$NM$28*(334-$NQ$28+1)*($NR$28-334+1)/$NT$28,$NM$28/$NS$28)),0)</f>
        <v/>
      </c>
      <c r="LZ28" s="18">
        <f>IF(AND(335&gt;=$NQ$28,335&lt;=$NR$28),IF($NO$28="Single_Point",IF(335=$NQ$28,$NM$28,0),IF($NO$28="Bell_Curve",$NM$28*(335-$NQ$28+1)*($NR$28-335+1)/$NT$28,$NM$28/$NS$28)),0)</f>
        <v/>
      </c>
      <c r="MA28" s="18">
        <f>IF(AND(336&gt;=$NQ$28,336&lt;=$NR$28),IF($NO$28="Single_Point",IF(336=$NQ$28,$NM$28,0),IF($NO$28="Bell_Curve",$NM$28*(336-$NQ$28+1)*($NR$28-336+1)/$NT$28,$NM$28/$NS$28)),0)</f>
        <v/>
      </c>
      <c r="MB28" s="18">
        <f>IF(AND(337&gt;=$NQ$28,337&lt;=$NR$28),IF($NO$28="Single_Point",IF(337=$NQ$28,$NM$28,0),IF($NO$28="Bell_Curve",$NM$28*(337-$NQ$28+1)*($NR$28-337+1)/$NT$28,$NM$28/$NS$28)),0)</f>
        <v/>
      </c>
      <c r="MC28" s="18">
        <f>IF(AND(338&gt;=$NQ$28,338&lt;=$NR$28),IF($NO$28="Single_Point",IF(338=$NQ$28,$NM$28,0),IF($NO$28="Bell_Curve",$NM$28*(338-$NQ$28+1)*($NR$28-338+1)/$NT$28,$NM$28/$NS$28)),0)</f>
        <v/>
      </c>
      <c r="MD28" s="18">
        <f>IF(AND(339&gt;=$NQ$28,339&lt;=$NR$28),IF($NO$28="Single_Point",IF(339=$NQ$28,$NM$28,0),IF($NO$28="Bell_Curve",$NM$28*(339-$NQ$28+1)*($NR$28-339+1)/$NT$28,$NM$28/$NS$28)),0)</f>
        <v/>
      </c>
      <c r="ME28" s="18">
        <f>IF(AND(340&gt;=$NQ$28,340&lt;=$NR$28),IF($NO$28="Single_Point",IF(340=$NQ$28,$NM$28,0),IF($NO$28="Bell_Curve",$NM$28*(340-$NQ$28+1)*($NR$28-340+1)/$NT$28,$NM$28/$NS$28)),0)</f>
        <v/>
      </c>
      <c r="MF28" s="18">
        <f>IF(AND(341&gt;=$NQ$28,341&lt;=$NR$28),IF($NO$28="Single_Point",IF(341=$NQ$28,$NM$28,0),IF($NO$28="Bell_Curve",$NM$28*(341-$NQ$28+1)*($NR$28-341+1)/$NT$28,$NM$28/$NS$28)),0)</f>
        <v/>
      </c>
      <c r="MG28" s="18">
        <f>IF(AND(342&gt;=$NQ$28,342&lt;=$NR$28),IF($NO$28="Single_Point",IF(342=$NQ$28,$NM$28,0),IF($NO$28="Bell_Curve",$NM$28*(342-$NQ$28+1)*($NR$28-342+1)/$NT$28,$NM$28/$NS$28)),0)</f>
        <v/>
      </c>
      <c r="MH28" s="18">
        <f>IF(AND(343&gt;=$NQ$28,343&lt;=$NR$28),IF($NO$28="Single_Point",IF(343=$NQ$28,$NM$28,0),IF($NO$28="Bell_Curve",$NM$28*(343-$NQ$28+1)*($NR$28-343+1)/$NT$28,$NM$28/$NS$28)),0)</f>
        <v/>
      </c>
      <c r="MI28" s="18">
        <f>IF(AND(344&gt;=$NQ$28,344&lt;=$NR$28),IF($NO$28="Single_Point",IF(344=$NQ$28,$NM$28,0),IF($NO$28="Bell_Curve",$NM$28*(344-$NQ$28+1)*($NR$28-344+1)/$NT$28,$NM$28/$NS$28)),0)</f>
        <v/>
      </c>
      <c r="MJ28" s="18">
        <f>IF(AND(345&gt;=$NQ$28,345&lt;=$NR$28),IF($NO$28="Single_Point",IF(345=$NQ$28,$NM$28,0),IF($NO$28="Bell_Curve",$NM$28*(345-$NQ$28+1)*($NR$28-345+1)/$NT$28,$NM$28/$NS$28)),0)</f>
        <v/>
      </c>
      <c r="MK28" s="18">
        <f>IF(AND(346&gt;=$NQ$28,346&lt;=$NR$28),IF($NO$28="Single_Point",IF(346=$NQ$28,$NM$28,0),IF($NO$28="Bell_Curve",$NM$28*(346-$NQ$28+1)*($NR$28-346+1)/$NT$28,$NM$28/$NS$28)),0)</f>
        <v/>
      </c>
      <c r="ML28" s="18">
        <f>IF(AND(347&gt;=$NQ$28,347&lt;=$NR$28),IF($NO$28="Single_Point",IF(347=$NQ$28,$NM$28,0),IF($NO$28="Bell_Curve",$NM$28*(347-$NQ$28+1)*($NR$28-347+1)/$NT$28,$NM$28/$NS$28)),0)</f>
        <v/>
      </c>
      <c r="MM28" s="18">
        <f>IF(AND(348&gt;=$NQ$28,348&lt;=$NR$28),IF($NO$28="Single_Point",IF(348=$NQ$28,$NM$28,0),IF($NO$28="Bell_Curve",$NM$28*(348-$NQ$28+1)*($NR$28-348+1)/$NT$28,$NM$28/$NS$28)),0)</f>
        <v/>
      </c>
      <c r="MN28" s="18">
        <f>IF(AND(349&gt;=$NQ$28,349&lt;=$NR$28),IF($NO$28="Single_Point",IF(349=$NQ$28,$NM$28,0),IF($NO$28="Bell_Curve",$NM$28*(349-$NQ$28+1)*($NR$28-349+1)/$NT$28,$NM$28/$NS$28)),0)</f>
        <v/>
      </c>
      <c r="MO28" s="18">
        <f>IF(AND(350&gt;=$NQ$28,350&lt;=$NR$28),IF($NO$28="Single_Point",IF(350=$NQ$28,$NM$28,0),IF($NO$28="Bell_Curve",$NM$28*(350-$NQ$28+1)*($NR$28-350+1)/$NT$28,$NM$28/$NS$28)),0)</f>
        <v/>
      </c>
      <c r="MP28" s="18">
        <f>IF(AND(351&gt;=$NQ$28,351&lt;=$NR$28),IF($NO$28="Single_Point",IF(351=$NQ$28,$NM$28,0),IF($NO$28="Bell_Curve",$NM$28*(351-$NQ$28+1)*($NR$28-351+1)/$NT$28,$NM$28/$NS$28)),0)</f>
        <v/>
      </c>
      <c r="MQ28" s="18">
        <f>IF(AND(352&gt;=$NQ$28,352&lt;=$NR$28),IF($NO$28="Single_Point",IF(352=$NQ$28,$NM$28,0),IF($NO$28="Bell_Curve",$NM$28*(352-$NQ$28+1)*($NR$28-352+1)/$NT$28,$NM$28/$NS$28)),0)</f>
        <v/>
      </c>
      <c r="MR28" s="18">
        <f>IF(AND(353&gt;=$NQ$28,353&lt;=$NR$28),IF($NO$28="Single_Point",IF(353=$NQ$28,$NM$28,0),IF($NO$28="Bell_Curve",$NM$28*(353-$NQ$28+1)*($NR$28-353+1)/$NT$28,$NM$28/$NS$28)),0)</f>
        <v/>
      </c>
      <c r="MS28" s="18">
        <f>IF(AND(354&gt;=$NQ$28,354&lt;=$NR$28),IF($NO$28="Single_Point",IF(354=$NQ$28,$NM$28,0),IF($NO$28="Bell_Curve",$NM$28*(354-$NQ$28+1)*($NR$28-354+1)/$NT$28,$NM$28/$NS$28)),0)</f>
        <v/>
      </c>
      <c r="MT28" s="18">
        <f>IF(AND(355&gt;=$NQ$28,355&lt;=$NR$28),IF($NO$28="Single_Point",IF(355=$NQ$28,$NM$28,0),IF($NO$28="Bell_Curve",$NM$28*(355-$NQ$28+1)*($NR$28-355+1)/$NT$28,$NM$28/$NS$28)),0)</f>
        <v/>
      </c>
      <c r="MU28" s="18">
        <f>IF(AND(356&gt;=$NQ$28,356&lt;=$NR$28),IF($NO$28="Single_Point",IF(356=$NQ$28,$NM$28,0),IF($NO$28="Bell_Curve",$NM$28*(356-$NQ$28+1)*($NR$28-356+1)/$NT$28,$NM$28/$NS$28)),0)</f>
        <v/>
      </c>
      <c r="MV28" s="18">
        <f>IF(AND(357&gt;=$NQ$28,357&lt;=$NR$28),IF($NO$28="Single_Point",IF(357=$NQ$28,$NM$28,0),IF($NO$28="Bell_Curve",$NM$28*(357-$NQ$28+1)*($NR$28-357+1)/$NT$28,$NM$28/$NS$28)),0)</f>
        <v/>
      </c>
      <c r="MW28" s="18">
        <f>IF(AND(358&gt;=$NQ$28,358&lt;=$NR$28),IF($NO$28="Single_Point",IF(358=$NQ$28,$NM$28,0),IF($NO$28="Bell_Curve",$NM$28*(358-$NQ$28+1)*($NR$28-358+1)/$NT$28,$NM$28/$NS$28)),0)</f>
        <v/>
      </c>
      <c r="MX28" s="18">
        <f>IF(AND(359&gt;=$NQ$28,359&lt;=$NR$28),IF($NO$28="Single_Point",IF(359=$NQ$28,$NM$28,0),IF($NO$28="Bell_Curve",$NM$28*(359-$NQ$28+1)*($NR$28-359+1)/$NT$28,$NM$28/$NS$28)),0)</f>
        <v/>
      </c>
      <c r="MY28" s="18">
        <f>IF(AND(360&gt;=$NQ$28,360&lt;=$NR$28),IF($NO$28="Single_Point",IF(360=$NQ$28,$NM$28,0),IF($NO$28="Bell_Curve",$NM$28*(360-$NQ$28+1)*($NR$28-360+1)/$NT$28,$NM$28/$NS$28)),0)</f>
        <v/>
      </c>
      <c r="MZ28" s="18">
        <f>IF(AND(361&gt;=$NQ$28,361&lt;=$NR$28),IF($NO$28="Single_Point",IF(361=$NQ$28,$NM$28,0),IF($NO$28="Bell_Curve",$NM$28*(361-$NQ$28+1)*($NR$28-361+1)/$NT$28,$NM$28/$NS$28)),0)</f>
        <v/>
      </c>
      <c r="NA28" s="18">
        <f>IF(AND(362&gt;=$NQ$28,362&lt;=$NR$28),IF($NO$28="Single_Point",IF(362=$NQ$28,$NM$28,0),IF($NO$28="Bell_Curve",$NM$28*(362-$NQ$28+1)*($NR$28-362+1)/$NT$28,$NM$28/$NS$28)),0)</f>
        <v/>
      </c>
      <c r="NB28" s="18">
        <f>IF(AND(363&gt;=$NQ$28,363&lt;=$NR$28),IF($NO$28="Single_Point",IF(363=$NQ$28,$NM$28,0),IF($NO$28="Bell_Curve",$NM$28*(363-$NQ$28+1)*($NR$28-363+1)/$NT$28,$NM$28/$NS$28)),0)</f>
        <v/>
      </c>
      <c r="NC28" s="18">
        <f>IF(AND(364&gt;=$NQ$28,364&lt;=$NR$28),IF($NO$28="Single_Point",IF(364=$NQ$28,$NM$28,0),IF($NO$28="Bell_Curve",$NM$28*(364-$NQ$28+1)*($NR$28-364+1)/$NT$28,$NM$28/$NS$28)),0)</f>
        <v/>
      </c>
      <c r="ND28" s="18">
        <f>IF(AND(365&gt;=$NQ$28,365&lt;=$NR$28),IF($NO$28="Single_Point",IF(365=$NQ$28,$NM$28,0),IF($NO$28="Bell_Curve",$NM$28*(365-$NQ$28+1)*($NR$28-365+1)/$NT$28,$NM$28/$NS$28)),0)</f>
        <v/>
      </c>
      <c r="NE28" s="18">
        <f>IF(AND(366&gt;=$NQ$28,366&lt;=$NR$28),IF($NO$28="Single_Point",IF(366=$NQ$28,$NM$28,0),IF($NO$28="Bell_Curve",$NM$28*(366-$NQ$28+1)*($NR$28-366+1)/$NT$28,$NM$28/$NS$28)),0)</f>
        <v/>
      </c>
      <c r="NF28" s="18">
        <f>IF(AND(367&gt;=$NQ$28,367&lt;=$NR$28),IF($NO$28="Single_Point",IF(367=$NQ$28,$NM$28,0),IF($NO$28="Bell_Curve",$NM$28*(367-$NQ$28+1)*($NR$28-367+1)/$NT$28,$NM$28/$NS$28)),0)</f>
        <v/>
      </c>
      <c r="NG28" s="18">
        <f>IF(AND(368&gt;=$NQ$28,368&lt;=$NR$28),IF($NO$28="Single_Point",IF(368=$NQ$28,$NM$28,0),IF($NO$28="Bell_Curve",$NM$28*(368-$NQ$28+1)*($NR$28-368+1)/$NT$28,$NM$28/$NS$28)),0)</f>
        <v/>
      </c>
      <c r="NH28" s="18">
        <f>IF(AND(369&gt;=$NQ$28,369&lt;=$NR$28),IF($NO$28="Single_Point",IF(369=$NQ$28,$NM$28,0),IF($NO$28="Bell_Curve",$NM$28*(369-$NQ$28+1)*($NR$28-369+1)/$NT$28,$NM$28/$NS$28)),0)</f>
        <v/>
      </c>
      <c r="NI28" s="18">
        <f>IF(AND(370&gt;=$NQ$28,370&lt;=$NR$28),IF($NO$28="Single_Point",IF(370=$NQ$28,$NM$28,0),IF($NO$28="Bell_Curve",$NM$28*(370-$NQ$28+1)*($NR$28-370+1)/$NT$28,$NM$28/$NS$28)),0)</f>
        <v/>
      </c>
      <c r="NJ28" s="18">
        <f>IF(AND(371&gt;=$NQ$28,371&lt;=$NR$28),IF($NO$28="Single_Point",IF(371=$NQ$28,$NM$28,0),IF($NO$28="Bell_Curve",$NM$28*(371-$NQ$28+1)*($NR$28-371+1)/$NT$28,$NM$28/$NS$28)),0)</f>
        <v/>
      </c>
      <c r="NK28" s="18">
        <f>IF(AND(372&gt;=$NQ$28,372&lt;=$NR$28),IF($NO$28="Single_Point",IF(372=$NQ$28,$NM$28,0),IF($NO$28="Bell_Curve",$NM$28*(372-$NQ$28+1)*($NR$28-372+1)/$NT$28,$NM$28/$NS$28)),0)</f>
        <v/>
      </c>
      <c r="NM28" s="18">
        <f>Budget!I27</f>
        <v/>
      </c>
      <c r="NN28" s="42">
        <f>Budget!F27</f>
        <v/>
      </c>
      <c r="NO28" s="42">
        <f>Budget!G27</f>
        <v/>
      </c>
      <c r="NP28" s="17">
        <f>Budget!H27</f>
        <v/>
      </c>
      <c r="NQ28" s="32">
        <f>MAX(1,MIN(372,INDEX(MilestoneStart,MATCH(NN28,MilestoneNames,0))+NP28))</f>
        <v/>
      </c>
      <c r="NR28" s="32">
        <f>MAX(NQ28,MIN(372,INDEX(MilestoneEnd,MATCH(NN28,MilestoneNames,0))+NP28))</f>
        <v/>
      </c>
      <c r="NS28" s="17">
        <f>NR28-NQ28+1</f>
        <v/>
      </c>
      <c r="NT28" s="17">
        <f>NS28*(NS28+1)*(NS28+2)/6</f>
        <v/>
      </c>
    </row>
    <row r="29">
      <c r="A29" s="5" t="inlineStr">
        <is>
          <t>Other Hard Cost 3 - Signage</t>
        </is>
      </c>
      <c r="C29" s="41">
        <f>SUM(D29:NK29)</f>
        <v/>
      </c>
      <c r="D29" s="18">
        <f>IF(AND(1&gt;=$NQ$29,1&lt;=$NR$29),IF($NO$29="Single_Point",IF(1=$NQ$29,$NM$29,0),IF($NO$29="Bell_Curve",$NM$29*(1-$NQ$29+1)*($NR$29-1+1)/$NT$29,$NM$29/$NS$29)),0)</f>
        <v/>
      </c>
      <c r="E29" s="18">
        <f>IF(AND(2&gt;=$NQ$29,2&lt;=$NR$29),IF($NO$29="Single_Point",IF(2=$NQ$29,$NM$29,0),IF($NO$29="Bell_Curve",$NM$29*(2-$NQ$29+1)*($NR$29-2+1)/$NT$29,$NM$29/$NS$29)),0)</f>
        <v/>
      </c>
      <c r="F29" s="18">
        <f>IF(AND(3&gt;=$NQ$29,3&lt;=$NR$29),IF($NO$29="Single_Point",IF(3=$NQ$29,$NM$29,0),IF($NO$29="Bell_Curve",$NM$29*(3-$NQ$29+1)*($NR$29-3+1)/$NT$29,$NM$29/$NS$29)),0)</f>
        <v/>
      </c>
      <c r="G29" s="18">
        <f>IF(AND(4&gt;=$NQ$29,4&lt;=$NR$29),IF($NO$29="Single_Point",IF(4=$NQ$29,$NM$29,0),IF($NO$29="Bell_Curve",$NM$29*(4-$NQ$29+1)*($NR$29-4+1)/$NT$29,$NM$29/$NS$29)),0)</f>
        <v/>
      </c>
      <c r="H29" s="18">
        <f>IF(AND(5&gt;=$NQ$29,5&lt;=$NR$29),IF($NO$29="Single_Point",IF(5=$NQ$29,$NM$29,0),IF($NO$29="Bell_Curve",$NM$29*(5-$NQ$29+1)*($NR$29-5+1)/$NT$29,$NM$29/$NS$29)),0)</f>
        <v/>
      </c>
      <c r="I29" s="18">
        <f>IF(AND(6&gt;=$NQ$29,6&lt;=$NR$29),IF($NO$29="Single_Point",IF(6=$NQ$29,$NM$29,0),IF($NO$29="Bell_Curve",$NM$29*(6-$NQ$29+1)*($NR$29-6+1)/$NT$29,$NM$29/$NS$29)),0)</f>
        <v/>
      </c>
      <c r="J29" s="18">
        <f>IF(AND(7&gt;=$NQ$29,7&lt;=$NR$29),IF($NO$29="Single_Point",IF(7=$NQ$29,$NM$29,0),IF($NO$29="Bell_Curve",$NM$29*(7-$NQ$29+1)*($NR$29-7+1)/$NT$29,$NM$29/$NS$29)),0)</f>
        <v/>
      </c>
      <c r="K29" s="18">
        <f>IF(AND(8&gt;=$NQ$29,8&lt;=$NR$29),IF($NO$29="Single_Point",IF(8=$NQ$29,$NM$29,0),IF($NO$29="Bell_Curve",$NM$29*(8-$NQ$29+1)*($NR$29-8+1)/$NT$29,$NM$29/$NS$29)),0)</f>
        <v/>
      </c>
      <c r="L29" s="18">
        <f>IF(AND(9&gt;=$NQ$29,9&lt;=$NR$29),IF($NO$29="Single_Point",IF(9=$NQ$29,$NM$29,0),IF($NO$29="Bell_Curve",$NM$29*(9-$NQ$29+1)*($NR$29-9+1)/$NT$29,$NM$29/$NS$29)),0)</f>
        <v/>
      </c>
      <c r="M29" s="18">
        <f>IF(AND(10&gt;=$NQ$29,10&lt;=$NR$29),IF($NO$29="Single_Point",IF(10=$NQ$29,$NM$29,0),IF($NO$29="Bell_Curve",$NM$29*(10-$NQ$29+1)*($NR$29-10+1)/$NT$29,$NM$29/$NS$29)),0)</f>
        <v/>
      </c>
      <c r="N29" s="18">
        <f>IF(AND(11&gt;=$NQ$29,11&lt;=$NR$29),IF($NO$29="Single_Point",IF(11=$NQ$29,$NM$29,0),IF($NO$29="Bell_Curve",$NM$29*(11-$NQ$29+1)*($NR$29-11+1)/$NT$29,$NM$29/$NS$29)),0)</f>
        <v/>
      </c>
      <c r="O29" s="18">
        <f>IF(AND(12&gt;=$NQ$29,12&lt;=$NR$29),IF($NO$29="Single_Point",IF(12=$NQ$29,$NM$29,0),IF($NO$29="Bell_Curve",$NM$29*(12-$NQ$29+1)*($NR$29-12+1)/$NT$29,$NM$29/$NS$29)),0)</f>
        <v/>
      </c>
      <c r="P29" s="18">
        <f>IF(AND(13&gt;=$NQ$29,13&lt;=$NR$29),IF($NO$29="Single_Point",IF(13=$NQ$29,$NM$29,0),IF($NO$29="Bell_Curve",$NM$29*(13-$NQ$29+1)*($NR$29-13+1)/$NT$29,$NM$29/$NS$29)),0)</f>
        <v/>
      </c>
      <c r="Q29" s="18">
        <f>IF(AND(14&gt;=$NQ$29,14&lt;=$NR$29),IF($NO$29="Single_Point",IF(14=$NQ$29,$NM$29,0),IF($NO$29="Bell_Curve",$NM$29*(14-$NQ$29+1)*($NR$29-14+1)/$NT$29,$NM$29/$NS$29)),0)</f>
        <v/>
      </c>
      <c r="R29" s="18">
        <f>IF(AND(15&gt;=$NQ$29,15&lt;=$NR$29),IF($NO$29="Single_Point",IF(15=$NQ$29,$NM$29,0),IF($NO$29="Bell_Curve",$NM$29*(15-$NQ$29+1)*($NR$29-15+1)/$NT$29,$NM$29/$NS$29)),0)</f>
        <v/>
      </c>
      <c r="S29" s="18">
        <f>IF(AND(16&gt;=$NQ$29,16&lt;=$NR$29),IF($NO$29="Single_Point",IF(16=$NQ$29,$NM$29,0),IF($NO$29="Bell_Curve",$NM$29*(16-$NQ$29+1)*($NR$29-16+1)/$NT$29,$NM$29/$NS$29)),0)</f>
        <v/>
      </c>
      <c r="T29" s="18">
        <f>IF(AND(17&gt;=$NQ$29,17&lt;=$NR$29),IF($NO$29="Single_Point",IF(17=$NQ$29,$NM$29,0),IF($NO$29="Bell_Curve",$NM$29*(17-$NQ$29+1)*($NR$29-17+1)/$NT$29,$NM$29/$NS$29)),0)</f>
        <v/>
      </c>
      <c r="U29" s="18">
        <f>IF(AND(18&gt;=$NQ$29,18&lt;=$NR$29),IF($NO$29="Single_Point",IF(18=$NQ$29,$NM$29,0),IF($NO$29="Bell_Curve",$NM$29*(18-$NQ$29+1)*($NR$29-18+1)/$NT$29,$NM$29/$NS$29)),0)</f>
        <v/>
      </c>
      <c r="V29" s="18">
        <f>IF(AND(19&gt;=$NQ$29,19&lt;=$NR$29),IF($NO$29="Single_Point",IF(19=$NQ$29,$NM$29,0),IF($NO$29="Bell_Curve",$NM$29*(19-$NQ$29+1)*($NR$29-19+1)/$NT$29,$NM$29/$NS$29)),0)</f>
        <v/>
      </c>
      <c r="W29" s="18">
        <f>IF(AND(20&gt;=$NQ$29,20&lt;=$NR$29),IF($NO$29="Single_Point",IF(20=$NQ$29,$NM$29,0),IF($NO$29="Bell_Curve",$NM$29*(20-$NQ$29+1)*($NR$29-20+1)/$NT$29,$NM$29/$NS$29)),0)</f>
        <v/>
      </c>
      <c r="X29" s="18">
        <f>IF(AND(21&gt;=$NQ$29,21&lt;=$NR$29),IF($NO$29="Single_Point",IF(21=$NQ$29,$NM$29,0),IF($NO$29="Bell_Curve",$NM$29*(21-$NQ$29+1)*($NR$29-21+1)/$NT$29,$NM$29/$NS$29)),0)</f>
        <v/>
      </c>
      <c r="Y29" s="18">
        <f>IF(AND(22&gt;=$NQ$29,22&lt;=$NR$29),IF($NO$29="Single_Point",IF(22=$NQ$29,$NM$29,0),IF($NO$29="Bell_Curve",$NM$29*(22-$NQ$29+1)*($NR$29-22+1)/$NT$29,$NM$29/$NS$29)),0)</f>
        <v/>
      </c>
      <c r="Z29" s="18">
        <f>IF(AND(23&gt;=$NQ$29,23&lt;=$NR$29),IF($NO$29="Single_Point",IF(23=$NQ$29,$NM$29,0),IF($NO$29="Bell_Curve",$NM$29*(23-$NQ$29+1)*($NR$29-23+1)/$NT$29,$NM$29/$NS$29)),0)</f>
        <v/>
      </c>
      <c r="AA29" s="18">
        <f>IF(AND(24&gt;=$NQ$29,24&lt;=$NR$29),IF($NO$29="Single_Point",IF(24=$NQ$29,$NM$29,0),IF($NO$29="Bell_Curve",$NM$29*(24-$NQ$29+1)*($NR$29-24+1)/$NT$29,$NM$29/$NS$29)),0)</f>
        <v/>
      </c>
      <c r="AB29" s="18">
        <f>IF(AND(25&gt;=$NQ$29,25&lt;=$NR$29),IF($NO$29="Single_Point",IF(25=$NQ$29,$NM$29,0),IF($NO$29="Bell_Curve",$NM$29*(25-$NQ$29+1)*($NR$29-25+1)/$NT$29,$NM$29/$NS$29)),0)</f>
        <v/>
      </c>
      <c r="AC29" s="18">
        <f>IF(AND(26&gt;=$NQ$29,26&lt;=$NR$29),IF($NO$29="Single_Point",IF(26=$NQ$29,$NM$29,0),IF($NO$29="Bell_Curve",$NM$29*(26-$NQ$29+1)*($NR$29-26+1)/$NT$29,$NM$29/$NS$29)),0)</f>
        <v/>
      </c>
      <c r="AD29" s="18">
        <f>IF(AND(27&gt;=$NQ$29,27&lt;=$NR$29),IF($NO$29="Single_Point",IF(27=$NQ$29,$NM$29,0),IF($NO$29="Bell_Curve",$NM$29*(27-$NQ$29+1)*($NR$29-27+1)/$NT$29,$NM$29/$NS$29)),0)</f>
        <v/>
      </c>
      <c r="AE29" s="18">
        <f>IF(AND(28&gt;=$NQ$29,28&lt;=$NR$29),IF($NO$29="Single_Point",IF(28=$NQ$29,$NM$29,0),IF($NO$29="Bell_Curve",$NM$29*(28-$NQ$29+1)*($NR$29-28+1)/$NT$29,$NM$29/$NS$29)),0)</f>
        <v/>
      </c>
      <c r="AF29" s="18">
        <f>IF(AND(29&gt;=$NQ$29,29&lt;=$NR$29),IF($NO$29="Single_Point",IF(29=$NQ$29,$NM$29,0),IF($NO$29="Bell_Curve",$NM$29*(29-$NQ$29+1)*($NR$29-29+1)/$NT$29,$NM$29/$NS$29)),0)</f>
        <v/>
      </c>
      <c r="AG29" s="18">
        <f>IF(AND(30&gt;=$NQ$29,30&lt;=$NR$29),IF($NO$29="Single_Point",IF(30=$NQ$29,$NM$29,0),IF($NO$29="Bell_Curve",$NM$29*(30-$NQ$29+1)*($NR$29-30+1)/$NT$29,$NM$29/$NS$29)),0)</f>
        <v/>
      </c>
      <c r="AH29" s="18">
        <f>IF(AND(31&gt;=$NQ$29,31&lt;=$NR$29),IF($NO$29="Single_Point",IF(31=$NQ$29,$NM$29,0),IF($NO$29="Bell_Curve",$NM$29*(31-$NQ$29+1)*($NR$29-31+1)/$NT$29,$NM$29/$NS$29)),0)</f>
        <v/>
      </c>
      <c r="AI29" s="18">
        <f>IF(AND(32&gt;=$NQ$29,32&lt;=$NR$29),IF($NO$29="Single_Point",IF(32=$NQ$29,$NM$29,0),IF($NO$29="Bell_Curve",$NM$29*(32-$NQ$29+1)*($NR$29-32+1)/$NT$29,$NM$29/$NS$29)),0)</f>
        <v/>
      </c>
      <c r="AJ29" s="18">
        <f>IF(AND(33&gt;=$NQ$29,33&lt;=$NR$29),IF($NO$29="Single_Point",IF(33=$NQ$29,$NM$29,0),IF($NO$29="Bell_Curve",$NM$29*(33-$NQ$29+1)*($NR$29-33+1)/$NT$29,$NM$29/$NS$29)),0)</f>
        <v/>
      </c>
      <c r="AK29" s="18">
        <f>IF(AND(34&gt;=$NQ$29,34&lt;=$NR$29),IF($NO$29="Single_Point",IF(34=$NQ$29,$NM$29,0),IF($NO$29="Bell_Curve",$NM$29*(34-$NQ$29+1)*($NR$29-34+1)/$NT$29,$NM$29/$NS$29)),0)</f>
        <v/>
      </c>
      <c r="AL29" s="18">
        <f>IF(AND(35&gt;=$NQ$29,35&lt;=$NR$29),IF($NO$29="Single_Point",IF(35=$NQ$29,$NM$29,0),IF($NO$29="Bell_Curve",$NM$29*(35-$NQ$29+1)*($NR$29-35+1)/$NT$29,$NM$29/$NS$29)),0)</f>
        <v/>
      </c>
      <c r="AM29" s="18">
        <f>IF(AND(36&gt;=$NQ$29,36&lt;=$NR$29),IF($NO$29="Single_Point",IF(36=$NQ$29,$NM$29,0),IF($NO$29="Bell_Curve",$NM$29*(36-$NQ$29+1)*($NR$29-36+1)/$NT$29,$NM$29/$NS$29)),0)</f>
        <v/>
      </c>
      <c r="AN29" s="18">
        <f>IF(AND(37&gt;=$NQ$29,37&lt;=$NR$29),IF($NO$29="Single_Point",IF(37=$NQ$29,$NM$29,0),IF($NO$29="Bell_Curve",$NM$29*(37-$NQ$29+1)*($NR$29-37+1)/$NT$29,$NM$29/$NS$29)),0)</f>
        <v/>
      </c>
      <c r="AO29" s="18">
        <f>IF(AND(38&gt;=$NQ$29,38&lt;=$NR$29),IF($NO$29="Single_Point",IF(38=$NQ$29,$NM$29,0),IF($NO$29="Bell_Curve",$NM$29*(38-$NQ$29+1)*($NR$29-38+1)/$NT$29,$NM$29/$NS$29)),0)</f>
        <v/>
      </c>
      <c r="AP29" s="18">
        <f>IF(AND(39&gt;=$NQ$29,39&lt;=$NR$29),IF($NO$29="Single_Point",IF(39=$NQ$29,$NM$29,0),IF($NO$29="Bell_Curve",$NM$29*(39-$NQ$29+1)*($NR$29-39+1)/$NT$29,$NM$29/$NS$29)),0)</f>
        <v/>
      </c>
      <c r="AQ29" s="18">
        <f>IF(AND(40&gt;=$NQ$29,40&lt;=$NR$29),IF($NO$29="Single_Point",IF(40=$NQ$29,$NM$29,0),IF($NO$29="Bell_Curve",$NM$29*(40-$NQ$29+1)*($NR$29-40+1)/$NT$29,$NM$29/$NS$29)),0)</f>
        <v/>
      </c>
      <c r="AR29" s="18">
        <f>IF(AND(41&gt;=$NQ$29,41&lt;=$NR$29),IF($NO$29="Single_Point",IF(41=$NQ$29,$NM$29,0),IF($NO$29="Bell_Curve",$NM$29*(41-$NQ$29+1)*($NR$29-41+1)/$NT$29,$NM$29/$NS$29)),0)</f>
        <v/>
      </c>
      <c r="AS29" s="18">
        <f>IF(AND(42&gt;=$NQ$29,42&lt;=$NR$29),IF($NO$29="Single_Point",IF(42=$NQ$29,$NM$29,0),IF($NO$29="Bell_Curve",$NM$29*(42-$NQ$29+1)*($NR$29-42+1)/$NT$29,$NM$29/$NS$29)),0)</f>
        <v/>
      </c>
      <c r="AT29" s="18">
        <f>IF(AND(43&gt;=$NQ$29,43&lt;=$NR$29),IF($NO$29="Single_Point",IF(43=$NQ$29,$NM$29,0),IF($NO$29="Bell_Curve",$NM$29*(43-$NQ$29+1)*($NR$29-43+1)/$NT$29,$NM$29/$NS$29)),0)</f>
        <v/>
      </c>
      <c r="AU29" s="18">
        <f>IF(AND(44&gt;=$NQ$29,44&lt;=$NR$29),IF($NO$29="Single_Point",IF(44=$NQ$29,$NM$29,0),IF($NO$29="Bell_Curve",$NM$29*(44-$NQ$29+1)*($NR$29-44+1)/$NT$29,$NM$29/$NS$29)),0)</f>
        <v/>
      </c>
      <c r="AV29" s="18">
        <f>IF(AND(45&gt;=$NQ$29,45&lt;=$NR$29),IF($NO$29="Single_Point",IF(45=$NQ$29,$NM$29,0),IF($NO$29="Bell_Curve",$NM$29*(45-$NQ$29+1)*($NR$29-45+1)/$NT$29,$NM$29/$NS$29)),0)</f>
        <v/>
      </c>
      <c r="AW29" s="18">
        <f>IF(AND(46&gt;=$NQ$29,46&lt;=$NR$29),IF($NO$29="Single_Point",IF(46=$NQ$29,$NM$29,0),IF($NO$29="Bell_Curve",$NM$29*(46-$NQ$29+1)*($NR$29-46+1)/$NT$29,$NM$29/$NS$29)),0)</f>
        <v/>
      </c>
      <c r="AX29" s="18">
        <f>IF(AND(47&gt;=$NQ$29,47&lt;=$NR$29),IF($NO$29="Single_Point",IF(47=$NQ$29,$NM$29,0),IF($NO$29="Bell_Curve",$NM$29*(47-$NQ$29+1)*($NR$29-47+1)/$NT$29,$NM$29/$NS$29)),0)</f>
        <v/>
      </c>
      <c r="AY29" s="18">
        <f>IF(AND(48&gt;=$NQ$29,48&lt;=$NR$29),IF($NO$29="Single_Point",IF(48=$NQ$29,$NM$29,0),IF($NO$29="Bell_Curve",$NM$29*(48-$NQ$29+1)*($NR$29-48+1)/$NT$29,$NM$29/$NS$29)),0)</f>
        <v/>
      </c>
      <c r="AZ29" s="18">
        <f>IF(AND(49&gt;=$NQ$29,49&lt;=$NR$29),IF($NO$29="Single_Point",IF(49=$NQ$29,$NM$29,0),IF($NO$29="Bell_Curve",$NM$29*(49-$NQ$29+1)*($NR$29-49+1)/$NT$29,$NM$29/$NS$29)),0)</f>
        <v/>
      </c>
      <c r="BA29" s="18">
        <f>IF(AND(50&gt;=$NQ$29,50&lt;=$NR$29),IF($NO$29="Single_Point",IF(50=$NQ$29,$NM$29,0),IF($NO$29="Bell_Curve",$NM$29*(50-$NQ$29+1)*($NR$29-50+1)/$NT$29,$NM$29/$NS$29)),0)</f>
        <v/>
      </c>
      <c r="BB29" s="18">
        <f>IF(AND(51&gt;=$NQ$29,51&lt;=$NR$29),IF($NO$29="Single_Point",IF(51=$NQ$29,$NM$29,0),IF($NO$29="Bell_Curve",$NM$29*(51-$NQ$29+1)*($NR$29-51+1)/$NT$29,$NM$29/$NS$29)),0)</f>
        <v/>
      </c>
      <c r="BC29" s="18">
        <f>IF(AND(52&gt;=$NQ$29,52&lt;=$NR$29),IF($NO$29="Single_Point",IF(52=$NQ$29,$NM$29,0),IF($NO$29="Bell_Curve",$NM$29*(52-$NQ$29+1)*($NR$29-52+1)/$NT$29,$NM$29/$NS$29)),0)</f>
        <v/>
      </c>
      <c r="BD29" s="18">
        <f>IF(AND(53&gt;=$NQ$29,53&lt;=$NR$29),IF($NO$29="Single_Point",IF(53=$NQ$29,$NM$29,0),IF($NO$29="Bell_Curve",$NM$29*(53-$NQ$29+1)*($NR$29-53+1)/$NT$29,$NM$29/$NS$29)),0)</f>
        <v/>
      </c>
      <c r="BE29" s="18">
        <f>IF(AND(54&gt;=$NQ$29,54&lt;=$NR$29),IF($NO$29="Single_Point",IF(54=$NQ$29,$NM$29,0),IF($NO$29="Bell_Curve",$NM$29*(54-$NQ$29+1)*($NR$29-54+1)/$NT$29,$NM$29/$NS$29)),0)</f>
        <v/>
      </c>
      <c r="BF29" s="18">
        <f>IF(AND(55&gt;=$NQ$29,55&lt;=$NR$29),IF($NO$29="Single_Point",IF(55=$NQ$29,$NM$29,0),IF($NO$29="Bell_Curve",$NM$29*(55-$NQ$29+1)*($NR$29-55+1)/$NT$29,$NM$29/$NS$29)),0)</f>
        <v/>
      </c>
      <c r="BG29" s="18">
        <f>IF(AND(56&gt;=$NQ$29,56&lt;=$NR$29),IF($NO$29="Single_Point",IF(56=$NQ$29,$NM$29,0),IF($NO$29="Bell_Curve",$NM$29*(56-$NQ$29+1)*($NR$29-56+1)/$NT$29,$NM$29/$NS$29)),0)</f>
        <v/>
      </c>
      <c r="BH29" s="18">
        <f>IF(AND(57&gt;=$NQ$29,57&lt;=$NR$29),IF($NO$29="Single_Point",IF(57=$NQ$29,$NM$29,0),IF($NO$29="Bell_Curve",$NM$29*(57-$NQ$29+1)*($NR$29-57+1)/$NT$29,$NM$29/$NS$29)),0)</f>
        <v/>
      </c>
      <c r="BI29" s="18">
        <f>IF(AND(58&gt;=$NQ$29,58&lt;=$NR$29),IF($NO$29="Single_Point",IF(58=$NQ$29,$NM$29,0),IF($NO$29="Bell_Curve",$NM$29*(58-$NQ$29+1)*($NR$29-58+1)/$NT$29,$NM$29/$NS$29)),0)</f>
        <v/>
      </c>
      <c r="BJ29" s="18">
        <f>IF(AND(59&gt;=$NQ$29,59&lt;=$NR$29),IF($NO$29="Single_Point",IF(59=$NQ$29,$NM$29,0),IF($NO$29="Bell_Curve",$NM$29*(59-$NQ$29+1)*($NR$29-59+1)/$NT$29,$NM$29/$NS$29)),0)</f>
        <v/>
      </c>
      <c r="BK29" s="18">
        <f>IF(AND(60&gt;=$NQ$29,60&lt;=$NR$29),IF($NO$29="Single_Point",IF(60=$NQ$29,$NM$29,0),IF($NO$29="Bell_Curve",$NM$29*(60-$NQ$29+1)*($NR$29-60+1)/$NT$29,$NM$29/$NS$29)),0)</f>
        <v/>
      </c>
      <c r="BL29" s="18">
        <f>IF(AND(61&gt;=$NQ$29,61&lt;=$NR$29),IF($NO$29="Single_Point",IF(61=$NQ$29,$NM$29,0),IF($NO$29="Bell_Curve",$NM$29*(61-$NQ$29+1)*($NR$29-61+1)/$NT$29,$NM$29/$NS$29)),0)</f>
        <v/>
      </c>
      <c r="BM29" s="18">
        <f>IF(AND(62&gt;=$NQ$29,62&lt;=$NR$29),IF($NO$29="Single_Point",IF(62=$NQ$29,$NM$29,0),IF($NO$29="Bell_Curve",$NM$29*(62-$NQ$29+1)*($NR$29-62+1)/$NT$29,$NM$29/$NS$29)),0)</f>
        <v/>
      </c>
      <c r="BN29" s="18">
        <f>IF(AND(63&gt;=$NQ$29,63&lt;=$NR$29),IF($NO$29="Single_Point",IF(63=$NQ$29,$NM$29,0),IF($NO$29="Bell_Curve",$NM$29*(63-$NQ$29+1)*($NR$29-63+1)/$NT$29,$NM$29/$NS$29)),0)</f>
        <v/>
      </c>
      <c r="BO29" s="18">
        <f>IF(AND(64&gt;=$NQ$29,64&lt;=$NR$29),IF($NO$29="Single_Point",IF(64=$NQ$29,$NM$29,0),IF($NO$29="Bell_Curve",$NM$29*(64-$NQ$29+1)*($NR$29-64+1)/$NT$29,$NM$29/$NS$29)),0)</f>
        <v/>
      </c>
      <c r="BP29" s="18">
        <f>IF(AND(65&gt;=$NQ$29,65&lt;=$NR$29),IF($NO$29="Single_Point",IF(65=$NQ$29,$NM$29,0),IF($NO$29="Bell_Curve",$NM$29*(65-$NQ$29+1)*($NR$29-65+1)/$NT$29,$NM$29/$NS$29)),0)</f>
        <v/>
      </c>
      <c r="BQ29" s="18">
        <f>IF(AND(66&gt;=$NQ$29,66&lt;=$NR$29),IF($NO$29="Single_Point",IF(66=$NQ$29,$NM$29,0),IF($NO$29="Bell_Curve",$NM$29*(66-$NQ$29+1)*($NR$29-66+1)/$NT$29,$NM$29/$NS$29)),0)</f>
        <v/>
      </c>
      <c r="BR29" s="18">
        <f>IF(AND(67&gt;=$NQ$29,67&lt;=$NR$29),IF($NO$29="Single_Point",IF(67=$NQ$29,$NM$29,0),IF($NO$29="Bell_Curve",$NM$29*(67-$NQ$29+1)*($NR$29-67+1)/$NT$29,$NM$29/$NS$29)),0)</f>
        <v/>
      </c>
      <c r="BS29" s="18">
        <f>IF(AND(68&gt;=$NQ$29,68&lt;=$NR$29),IF($NO$29="Single_Point",IF(68=$NQ$29,$NM$29,0),IF($NO$29="Bell_Curve",$NM$29*(68-$NQ$29+1)*($NR$29-68+1)/$NT$29,$NM$29/$NS$29)),0)</f>
        <v/>
      </c>
      <c r="BT29" s="18">
        <f>IF(AND(69&gt;=$NQ$29,69&lt;=$NR$29),IF($NO$29="Single_Point",IF(69=$NQ$29,$NM$29,0),IF($NO$29="Bell_Curve",$NM$29*(69-$NQ$29+1)*($NR$29-69+1)/$NT$29,$NM$29/$NS$29)),0)</f>
        <v/>
      </c>
      <c r="BU29" s="18">
        <f>IF(AND(70&gt;=$NQ$29,70&lt;=$NR$29),IF($NO$29="Single_Point",IF(70=$NQ$29,$NM$29,0),IF($NO$29="Bell_Curve",$NM$29*(70-$NQ$29+1)*($NR$29-70+1)/$NT$29,$NM$29/$NS$29)),0)</f>
        <v/>
      </c>
      <c r="BV29" s="18">
        <f>IF(AND(71&gt;=$NQ$29,71&lt;=$NR$29),IF($NO$29="Single_Point",IF(71=$NQ$29,$NM$29,0),IF($NO$29="Bell_Curve",$NM$29*(71-$NQ$29+1)*($NR$29-71+1)/$NT$29,$NM$29/$NS$29)),0)</f>
        <v/>
      </c>
      <c r="BW29" s="18">
        <f>IF(AND(72&gt;=$NQ$29,72&lt;=$NR$29),IF($NO$29="Single_Point",IF(72=$NQ$29,$NM$29,0),IF($NO$29="Bell_Curve",$NM$29*(72-$NQ$29+1)*($NR$29-72+1)/$NT$29,$NM$29/$NS$29)),0)</f>
        <v/>
      </c>
      <c r="BX29" s="18">
        <f>IF(AND(73&gt;=$NQ$29,73&lt;=$NR$29),IF($NO$29="Single_Point",IF(73=$NQ$29,$NM$29,0),IF($NO$29="Bell_Curve",$NM$29*(73-$NQ$29+1)*($NR$29-73+1)/$NT$29,$NM$29/$NS$29)),0)</f>
        <v/>
      </c>
      <c r="BY29" s="18">
        <f>IF(AND(74&gt;=$NQ$29,74&lt;=$NR$29),IF($NO$29="Single_Point",IF(74=$NQ$29,$NM$29,0),IF($NO$29="Bell_Curve",$NM$29*(74-$NQ$29+1)*($NR$29-74+1)/$NT$29,$NM$29/$NS$29)),0)</f>
        <v/>
      </c>
      <c r="BZ29" s="18">
        <f>IF(AND(75&gt;=$NQ$29,75&lt;=$NR$29),IF($NO$29="Single_Point",IF(75=$NQ$29,$NM$29,0),IF($NO$29="Bell_Curve",$NM$29*(75-$NQ$29+1)*($NR$29-75+1)/$NT$29,$NM$29/$NS$29)),0)</f>
        <v/>
      </c>
      <c r="CA29" s="18">
        <f>IF(AND(76&gt;=$NQ$29,76&lt;=$NR$29),IF($NO$29="Single_Point",IF(76=$NQ$29,$NM$29,0),IF($NO$29="Bell_Curve",$NM$29*(76-$NQ$29+1)*($NR$29-76+1)/$NT$29,$NM$29/$NS$29)),0)</f>
        <v/>
      </c>
      <c r="CB29" s="18">
        <f>IF(AND(77&gt;=$NQ$29,77&lt;=$NR$29),IF($NO$29="Single_Point",IF(77=$NQ$29,$NM$29,0),IF($NO$29="Bell_Curve",$NM$29*(77-$NQ$29+1)*($NR$29-77+1)/$NT$29,$NM$29/$NS$29)),0)</f>
        <v/>
      </c>
      <c r="CC29" s="18">
        <f>IF(AND(78&gt;=$NQ$29,78&lt;=$NR$29),IF($NO$29="Single_Point",IF(78=$NQ$29,$NM$29,0),IF($NO$29="Bell_Curve",$NM$29*(78-$NQ$29+1)*($NR$29-78+1)/$NT$29,$NM$29/$NS$29)),0)</f>
        <v/>
      </c>
      <c r="CD29" s="18">
        <f>IF(AND(79&gt;=$NQ$29,79&lt;=$NR$29),IF($NO$29="Single_Point",IF(79=$NQ$29,$NM$29,0),IF($NO$29="Bell_Curve",$NM$29*(79-$NQ$29+1)*($NR$29-79+1)/$NT$29,$NM$29/$NS$29)),0)</f>
        <v/>
      </c>
      <c r="CE29" s="18">
        <f>IF(AND(80&gt;=$NQ$29,80&lt;=$NR$29),IF($NO$29="Single_Point",IF(80=$NQ$29,$NM$29,0),IF($NO$29="Bell_Curve",$NM$29*(80-$NQ$29+1)*($NR$29-80+1)/$NT$29,$NM$29/$NS$29)),0)</f>
        <v/>
      </c>
      <c r="CF29" s="18">
        <f>IF(AND(81&gt;=$NQ$29,81&lt;=$NR$29),IF($NO$29="Single_Point",IF(81=$NQ$29,$NM$29,0),IF($NO$29="Bell_Curve",$NM$29*(81-$NQ$29+1)*($NR$29-81+1)/$NT$29,$NM$29/$NS$29)),0)</f>
        <v/>
      </c>
      <c r="CG29" s="18">
        <f>IF(AND(82&gt;=$NQ$29,82&lt;=$NR$29),IF($NO$29="Single_Point",IF(82=$NQ$29,$NM$29,0),IF($NO$29="Bell_Curve",$NM$29*(82-$NQ$29+1)*($NR$29-82+1)/$NT$29,$NM$29/$NS$29)),0)</f>
        <v/>
      </c>
      <c r="CH29" s="18">
        <f>IF(AND(83&gt;=$NQ$29,83&lt;=$NR$29),IF($NO$29="Single_Point",IF(83=$NQ$29,$NM$29,0),IF($NO$29="Bell_Curve",$NM$29*(83-$NQ$29+1)*($NR$29-83+1)/$NT$29,$NM$29/$NS$29)),0)</f>
        <v/>
      </c>
      <c r="CI29" s="18">
        <f>IF(AND(84&gt;=$NQ$29,84&lt;=$NR$29),IF($NO$29="Single_Point",IF(84=$NQ$29,$NM$29,0),IF($NO$29="Bell_Curve",$NM$29*(84-$NQ$29+1)*($NR$29-84+1)/$NT$29,$NM$29/$NS$29)),0)</f>
        <v/>
      </c>
      <c r="CJ29" s="18">
        <f>IF(AND(85&gt;=$NQ$29,85&lt;=$NR$29),IF($NO$29="Single_Point",IF(85=$NQ$29,$NM$29,0),IF($NO$29="Bell_Curve",$NM$29*(85-$NQ$29+1)*($NR$29-85+1)/$NT$29,$NM$29/$NS$29)),0)</f>
        <v/>
      </c>
      <c r="CK29" s="18">
        <f>IF(AND(86&gt;=$NQ$29,86&lt;=$NR$29),IF($NO$29="Single_Point",IF(86=$NQ$29,$NM$29,0),IF($NO$29="Bell_Curve",$NM$29*(86-$NQ$29+1)*($NR$29-86+1)/$NT$29,$NM$29/$NS$29)),0)</f>
        <v/>
      </c>
      <c r="CL29" s="18">
        <f>IF(AND(87&gt;=$NQ$29,87&lt;=$NR$29),IF($NO$29="Single_Point",IF(87=$NQ$29,$NM$29,0),IF($NO$29="Bell_Curve",$NM$29*(87-$NQ$29+1)*($NR$29-87+1)/$NT$29,$NM$29/$NS$29)),0)</f>
        <v/>
      </c>
      <c r="CM29" s="18">
        <f>IF(AND(88&gt;=$NQ$29,88&lt;=$NR$29),IF($NO$29="Single_Point",IF(88=$NQ$29,$NM$29,0),IF($NO$29="Bell_Curve",$NM$29*(88-$NQ$29+1)*($NR$29-88+1)/$NT$29,$NM$29/$NS$29)),0)</f>
        <v/>
      </c>
      <c r="CN29" s="18">
        <f>IF(AND(89&gt;=$NQ$29,89&lt;=$NR$29),IF($NO$29="Single_Point",IF(89=$NQ$29,$NM$29,0),IF($NO$29="Bell_Curve",$NM$29*(89-$NQ$29+1)*($NR$29-89+1)/$NT$29,$NM$29/$NS$29)),0)</f>
        <v/>
      </c>
      <c r="CO29" s="18">
        <f>IF(AND(90&gt;=$NQ$29,90&lt;=$NR$29),IF($NO$29="Single_Point",IF(90=$NQ$29,$NM$29,0),IF($NO$29="Bell_Curve",$NM$29*(90-$NQ$29+1)*($NR$29-90+1)/$NT$29,$NM$29/$NS$29)),0)</f>
        <v/>
      </c>
      <c r="CP29" s="18">
        <f>IF(AND(91&gt;=$NQ$29,91&lt;=$NR$29),IF($NO$29="Single_Point",IF(91=$NQ$29,$NM$29,0),IF($NO$29="Bell_Curve",$NM$29*(91-$NQ$29+1)*($NR$29-91+1)/$NT$29,$NM$29/$NS$29)),0)</f>
        <v/>
      </c>
      <c r="CQ29" s="18">
        <f>IF(AND(92&gt;=$NQ$29,92&lt;=$NR$29),IF($NO$29="Single_Point",IF(92=$NQ$29,$NM$29,0),IF($NO$29="Bell_Curve",$NM$29*(92-$NQ$29+1)*($NR$29-92+1)/$NT$29,$NM$29/$NS$29)),0)</f>
        <v/>
      </c>
      <c r="CR29" s="18">
        <f>IF(AND(93&gt;=$NQ$29,93&lt;=$NR$29),IF($NO$29="Single_Point",IF(93=$NQ$29,$NM$29,0),IF($NO$29="Bell_Curve",$NM$29*(93-$NQ$29+1)*($NR$29-93+1)/$NT$29,$NM$29/$NS$29)),0)</f>
        <v/>
      </c>
      <c r="CS29" s="18">
        <f>IF(AND(94&gt;=$NQ$29,94&lt;=$NR$29),IF($NO$29="Single_Point",IF(94=$NQ$29,$NM$29,0),IF($NO$29="Bell_Curve",$NM$29*(94-$NQ$29+1)*($NR$29-94+1)/$NT$29,$NM$29/$NS$29)),0)</f>
        <v/>
      </c>
      <c r="CT29" s="18">
        <f>IF(AND(95&gt;=$NQ$29,95&lt;=$NR$29),IF($NO$29="Single_Point",IF(95=$NQ$29,$NM$29,0),IF($NO$29="Bell_Curve",$NM$29*(95-$NQ$29+1)*($NR$29-95+1)/$NT$29,$NM$29/$NS$29)),0)</f>
        <v/>
      </c>
      <c r="CU29" s="18">
        <f>IF(AND(96&gt;=$NQ$29,96&lt;=$NR$29),IF($NO$29="Single_Point",IF(96=$NQ$29,$NM$29,0),IF($NO$29="Bell_Curve",$NM$29*(96-$NQ$29+1)*($NR$29-96+1)/$NT$29,$NM$29/$NS$29)),0)</f>
        <v/>
      </c>
      <c r="CV29" s="18">
        <f>IF(AND(97&gt;=$NQ$29,97&lt;=$NR$29),IF($NO$29="Single_Point",IF(97=$NQ$29,$NM$29,0),IF($NO$29="Bell_Curve",$NM$29*(97-$NQ$29+1)*($NR$29-97+1)/$NT$29,$NM$29/$NS$29)),0)</f>
        <v/>
      </c>
      <c r="CW29" s="18">
        <f>IF(AND(98&gt;=$NQ$29,98&lt;=$NR$29),IF($NO$29="Single_Point",IF(98=$NQ$29,$NM$29,0),IF($NO$29="Bell_Curve",$NM$29*(98-$NQ$29+1)*($NR$29-98+1)/$NT$29,$NM$29/$NS$29)),0)</f>
        <v/>
      </c>
      <c r="CX29" s="18">
        <f>IF(AND(99&gt;=$NQ$29,99&lt;=$NR$29),IF($NO$29="Single_Point",IF(99=$NQ$29,$NM$29,0),IF($NO$29="Bell_Curve",$NM$29*(99-$NQ$29+1)*($NR$29-99+1)/$NT$29,$NM$29/$NS$29)),0)</f>
        <v/>
      </c>
      <c r="CY29" s="18">
        <f>IF(AND(100&gt;=$NQ$29,100&lt;=$NR$29),IF($NO$29="Single_Point",IF(100=$NQ$29,$NM$29,0),IF($NO$29="Bell_Curve",$NM$29*(100-$NQ$29+1)*($NR$29-100+1)/$NT$29,$NM$29/$NS$29)),0)</f>
        <v/>
      </c>
      <c r="CZ29" s="18">
        <f>IF(AND(101&gt;=$NQ$29,101&lt;=$NR$29),IF($NO$29="Single_Point",IF(101=$NQ$29,$NM$29,0),IF($NO$29="Bell_Curve",$NM$29*(101-$NQ$29+1)*($NR$29-101+1)/$NT$29,$NM$29/$NS$29)),0)</f>
        <v/>
      </c>
      <c r="DA29" s="18">
        <f>IF(AND(102&gt;=$NQ$29,102&lt;=$NR$29),IF($NO$29="Single_Point",IF(102=$NQ$29,$NM$29,0),IF($NO$29="Bell_Curve",$NM$29*(102-$NQ$29+1)*($NR$29-102+1)/$NT$29,$NM$29/$NS$29)),0)</f>
        <v/>
      </c>
      <c r="DB29" s="18">
        <f>IF(AND(103&gt;=$NQ$29,103&lt;=$NR$29),IF($NO$29="Single_Point",IF(103=$NQ$29,$NM$29,0),IF($NO$29="Bell_Curve",$NM$29*(103-$NQ$29+1)*($NR$29-103+1)/$NT$29,$NM$29/$NS$29)),0)</f>
        <v/>
      </c>
      <c r="DC29" s="18">
        <f>IF(AND(104&gt;=$NQ$29,104&lt;=$NR$29),IF($NO$29="Single_Point",IF(104=$NQ$29,$NM$29,0),IF($NO$29="Bell_Curve",$NM$29*(104-$NQ$29+1)*($NR$29-104+1)/$NT$29,$NM$29/$NS$29)),0)</f>
        <v/>
      </c>
      <c r="DD29" s="18">
        <f>IF(AND(105&gt;=$NQ$29,105&lt;=$NR$29),IF($NO$29="Single_Point",IF(105=$NQ$29,$NM$29,0),IF($NO$29="Bell_Curve",$NM$29*(105-$NQ$29+1)*($NR$29-105+1)/$NT$29,$NM$29/$NS$29)),0)</f>
        <v/>
      </c>
      <c r="DE29" s="18">
        <f>IF(AND(106&gt;=$NQ$29,106&lt;=$NR$29),IF($NO$29="Single_Point",IF(106=$NQ$29,$NM$29,0),IF($NO$29="Bell_Curve",$NM$29*(106-$NQ$29+1)*($NR$29-106+1)/$NT$29,$NM$29/$NS$29)),0)</f>
        <v/>
      </c>
      <c r="DF29" s="18">
        <f>IF(AND(107&gt;=$NQ$29,107&lt;=$NR$29),IF($NO$29="Single_Point",IF(107=$NQ$29,$NM$29,0),IF($NO$29="Bell_Curve",$NM$29*(107-$NQ$29+1)*($NR$29-107+1)/$NT$29,$NM$29/$NS$29)),0)</f>
        <v/>
      </c>
      <c r="DG29" s="18">
        <f>IF(AND(108&gt;=$NQ$29,108&lt;=$NR$29),IF($NO$29="Single_Point",IF(108=$NQ$29,$NM$29,0),IF($NO$29="Bell_Curve",$NM$29*(108-$NQ$29+1)*($NR$29-108+1)/$NT$29,$NM$29/$NS$29)),0)</f>
        <v/>
      </c>
      <c r="DH29" s="18">
        <f>IF(AND(109&gt;=$NQ$29,109&lt;=$NR$29),IF($NO$29="Single_Point",IF(109=$NQ$29,$NM$29,0),IF($NO$29="Bell_Curve",$NM$29*(109-$NQ$29+1)*($NR$29-109+1)/$NT$29,$NM$29/$NS$29)),0)</f>
        <v/>
      </c>
      <c r="DI29" s="18">
        <f>IF(AND(110&gt;=$NQ$29,110&lt;=$NR$29),IF($NO$29="Single_Point",IF(110=$NQ$29,$NM$29,0),IF($NO$29="Bell_Curve",$NM$29*(110-$NQ$29+1)*($NR$29-110+1)/$NT$29,$NM$29/$NS$29)),0)</f>
        <v/>
      </c>
      <c r="DJ29" s="18">
        <f>IF(AND(111&gt;=$NQ$29,111&lt;=$NR$29),IF($NO$29="Single_Point",IF(111=$NQ$29,$NM$29,0),IF($NO$29="Bell_Curve",$NM$29*(111-$NQ$29+1)*($NR$29-111+1)/$NT$29,$NM$29/$NS$29)),0)</f>
        <v/>
      </c>
      <c r="DK29" s="18">
        <f>IF(AND(112&gt;=$NQ$29,112&lt;=$NR$29),IF($NO$29="Single_Point",IF(112=$NQ$29,$NM$29,0),IF($NO$29="Bell_Curve",$NM$29*(112-$NQ$29+1)*($NR$29-112+1)/$NT$29,$NM$29/$NS$29)),0)</f>
        <v/>
      </c>
      <c r="DL29" s="18">
        <f>IF(AND(113&gt;=$NQ$29,113&lt;=$NR$29),IF($NO$29="Single_Point",IF(113=$NQ$29,$NM$29,0),IF($NO$29="Bell_Curve",$NM$29*(113-$NQ$29+1)*($NR$29-113+1)/$NT$29,$NM$29/$NS$29)),0)</f>
        <v/>
      </c>
      <c r="DM29" s="18">
        <f>IF(AND(114&gt;=$NQ$29,114&lt;=$NR$29),IF($NO$29="Single_Point",IF(114=$NQ$29,$NM$29,0),IF($NO$29="Bell_Curve",$NM$29*(114-$NQ$29+1)*($NR$29-114+1)/$NT$29,$NM$29/$NS$29)),0)</f>
        <v/>
      </c>
      <c r="DN29" s="18">
        <f>IF(AND(115&gt;=$NQ$29,115&lt;=$NR$29),IF($NO$29="Single_Point",IF(115=$NQ$29,$NM$29,0),IF($NO$29="Bell_Curve",$NM$29*(115-$NQ$29+1)*($NR$29-115+1)/$NT$29,$NM$29/$NS$29)),0)</f>
        <v/>
      </c>
      <c r="DO29" s="18">
        <f>IF(AND(116&gt;=$NQ$29,116&lt;=$NR$29),IF($NO$29="Single_Point",IF(116=$NQ$29,$NM$29,0),IF($NO$29="Bell_Curve",$NM$29*(116-$NQ$29+1)*($NR$29-116+1)/$NT$29,$NM$29/$NS$29)),0)</f>
        <v/>
      </c>
      <c r="DP29" s="18">
        <f>IF(AND(117&gt;=$NQ$29,117&lt;=$NR$29),IF($NO$29="Single_Point",IF(117=$NQ$29,$NM$29,0),IF($NO$29="Bell_Curve",$NM$29*(117-$NQ$29+1)*($NR$29-117+1)/$NT$29,$NM$29/$NS$29)),0)</f>
        <v/>
      </c>
      <c r="DQ29" s="18">
        <f>IF(AND(118&gt;=$NQ$29,118&lt;=$NR$29),IF($NO$29="Single_Point",IF(118=$NQ$29,$NM$29,0),IF($NO$29="Bell_Curve",$NM$29*(118-$NQ$29+1)*($NR$29-118+1)/$NT$29,$NM$29/$NS$29)),0)</f>
        <v/>
      </c>
      <c r="DR29" s="18">
        <f>IF(AND(119&gt;=$NQ$29,119&lt;=$NR$29),IF($NO$29="Single_Point",IF(119=$NQ$29,$NM$29,0),IF($NO$29="Bell_Curve",$NM$29*(119-$NQ$29+1)*($NR$29-119+1)/$NT$29,$NM$29/$NS$29)),0)</f>
        <v/>
      </c>
      <c r="DS29" s="18">
        <f>IF(AND(120&gt;=$NQ$29,120&lt;=$NR$29),IF($NO$29="Single_Point",IF(120=$NQ$29,$NM$29,0),IF($NO$29="Bell_Curve",$NM$29*(120-$NQ$29+1)*($NR$29-120+1)/$NT$29,$NM$29/$NS$29)),0)</f>
        <v/>
      </c>
      <c r="DT29" s="18">
        <f>IF(AND(121&gt;=$NQ$29,121&lt;=$NR$29),IF($NO$29="Single_Point",IF(121=$NQ$29,$NM$29,0),IF($NO$29="Bell_Curve",$NM$29*(121-$NQ$29+1)*($NR$29-121+1)/$NT$29,$NM$29/$NS$29)),0)</f>
        <v/>
      </c>
      <c r="DU29" s="18">
        <f>IF(AND(122&gt;=$NQ$29,122&lt;=$NR$29),IF($NO$29="Single_Point",IF(122=$NQ$29,$NM$29,0),IF($NO$29="Bell_Curve",$NM$29*(122-$NQ$29+1)*($NR$29-122+1)/$NT$29,$NM$29/$NS$29)),0)</f>
        <v/>
      </c>
      <c r="DV29" s="18">
        <f>IF(AND(123&gt;=$NQ$29,123&lt;=$NR$29),IF($NO$29="Single_Point",IF(123=$NQ$29,$NM$29,0),IF($NO$29="Bell_Curve",$NM$29*(123-$NQ$29+1)*($NR$29-123+1)/$NT$29,$NM$29/$NS$29)),0)</f>
        <v/>
      </c>
      <c r="DW29" s="18">
        <f>IF(AND(124&gt;=$NQ$29,124&lt;=$NR$29),IF($NO$29="Single_Point",IF(124=$NQ$29,$NM$29,0),IF($NO$29="Bell_Curve",$NM$29*(124-$NQ$29+1)*($NR$29-124+1)/$NT$29,$NM$29/$NS$29)),0)</f>
        <v/>
      </c>
      <c r="DX29" s="18">
        <f>IF(AND(125&gt;=$NQ$29,125&lt;=$NR$29),IF($NO$29="Single_Point",IF(125=$NQ$29,$NM$29,0),IF($NO$29="Bell_Curve",$NM$29*(125-$NQ$29+1)*($NR$29-125+1)/$NT$29,$NM$29/$NS$29)),0)</f>
        <v/>
      </c>
      <c r="DY29" s="18">
        <f>IF(AND(126&gt;=$NQ$29,126&lt;=$NR$29),IF($NO$29="Single_Point",IF(126=$NQ$29,$NM$29,0),IF($NO$29="Bell_Curve",$NM$29*(126-$NQ$29+1)*($NR$29-126+1)/$NT$29,$NM$29/$NS$29)),0)</f>
        <v/>
      </c>
      <c r="DZ29" s="18">
        <f>IF(AND(127&gt;=$NQ$29,127&lt;=$NR$29),IF($NO$29="Single_Point",IF(127=$NQ$29,$NM$29,0),IF($NO$29="Bell_Curve",$NM$29*(127-$NQ$29+1)*($NR$29-127+1)/$NT$29,$NM$29/$NS$29)),0)</f>
        <v/>
      </c>
      <c r="EA29" s="18">
        <f>IF(AND(128&gt;=$NQ$29,128&lt;=$NR$29),IF($NO$29="Single_Point",IF(128=$NQ$29,$NM$29,0),IF($NO$29="Bell_Curve",$NM$29*(128-$NQ$29+1)*($NR$29-128+1)/$NT$29,$NM$29/$NS$29)),0)</f>
        <v/>
      </c>
      <c r="EB29" s="18">
        <f>IF(AND(129&gt;=$NQ$29,129&lt;=$NR$29),IF($NO$29="Single_Point",IF(129=$NQ$29,$NM$29,0),IF($NO$29="Bell_Curve",$NM$29*(129-$NQ$29+1)*($NR$29-129+1)/$NT$29,$NM$29/$NS$29)),0)</f>
        <v/>
      </c>
      <c r="EC29" s="18">
        <f>IF(AND(130&gt;=$NQ$29,130&lt;=$NR$29),IF($NO$29="Single_Point",IF(130=$NQ$29,$NM$29,0),IF($NO$29="Bell_Curve",$NM$29*(130-$NQ$29+1)*($NR$29-130+1)/$NT$29,$NM$29/$NS$29)),0)</f>
        <v/>
      </c>
      <c r="ED29" s="18">
        <f>IF(AND(131&gt;=$NQ$29,131&lt;=$NR$29),IF($NO$29="Single_Point",IF(131=$NQ$29,$NM$29,0),IF($NO$29="Bell_Curve",$NM$29*(131-$NQ$29+1)*($NR$29-131+1)/$NT$29,$NM$29/$NS$29)),0)</f>
        <v/>
      </c>
      <c r="EE29" s="18">
        <f>IF(AND(132&gt;=$NQ$29,132&lt;=$NR$29),IF($NO$29="Single_Point",IF(132=$NQ$29,$NM$29,0),IF($NO$29="Bell_Curve",$NM$29*(132-$NQ$29+1)*($NR$29-132+1)/$NT$29,$NM$29/$NS$29)),0)</f>
        <v/>
      </c>
      <c r="EF29" s="18">
        <f>IF(AND(133&gt;=$NQ$29,133&lt;=$NR$29),IF($NO$29="Single_Point",IF(133=$NQ$29,$NM$29,0),IF($NO$29="Bell_Curve",$NM$29*(133-$NQ$29+1)*($NR$29-133+1)/$NT$29,$NM$29/$NS$29)),0)</f>
        <v/>
      </c>
      <c r="EG29" s="18">
        <f>IF(AND(134&gt;=$NQ$29,134&lt;=$NR$29),IF($NO$29="Single_Point",IF(134=$NQ$29,$NM$29,0),IF($NO$29="Bell_Curve",$NM$29*(134-$NQ$29+1)*($NR$29-134+1)/$NT$29,$NM$29/$NS$29)),0)</f>
        <v/>
      </c>
      <c r="EH29" s="18">
        <f>IF(AND(135&gt;=$NQ$29,135&lt;=$NR$29),IF($NO$29="Single_Point",IF(135=$NQ$29,$NM$29,0),IF($NO$29="Bell_Curve",$NM$29*(135-$NQ$29+1)*($NR$29-135+1)/$NT$29,$NM$29/$NS$29)),0)</f>
        <v/>
      </c>
      <c r="EI29" s="18">
        <f>IF(AND(136&gt;=$NQ$29,136&lt;=$NR$29),IF($NO$29="Single_Point",IF(136=$NQ$29,$NM$29,0),IF($NO$29="Bell_Curve",$NM$29*(136-$NQ$29+1)*($NR$29-136+1)/$NT$29,$NM$29/$NS$29)),0)</f>
        <v/>
      </c>
      <c r="EJ29" s="18">
        <f>IF(AND(137&gt;=$NQ$29,137&lt;=$NR$29),IF($NO$29="Single_Point",IF(137=$NQ$29,$NM$29,0),IF($NO$29="Bell_Curve",$NM$29*(137-$NQ$29+1)*($NR$29-137+1)/$NT$29,$NM$29/$NS$29)),0)</f>
        <v/>
      </c>
      <c r="EK29" s="18">
        <f>IF(AND(138&gt;=$NQ$29,138&lt;=$NR$29),IF($NO$29="Single_Point",IF(138=$NQ$29,$NM$29,0),IF($NO$29="Bell_Curve",$NM$29*(138-$NQ$29+1)*($NR$29-138+1)/$NT$29,$NM$29/$NS$29)),0)</f>
        <v/>
      </c>
      <c r="EL29" s="18">
        <f>IF(AND(139&gt;=$NQ$29,139&lt;=$NR$29),IF($NO$29="Single_Point",IF(139=$NQ$29,$NM$29,0),IF($NO$29="Bell_Curve",$NM$29*(139-$NQ$29+1)*($NR$29-139+1)/$NT$29,$NM$29/$NS$29)),0)</f>
        <v/>
      </c>
      <c r="EM29" s="18">
        <f>IF(AND(140&gt;=$NQ$29,140&lt;=$NR$29),IF($NO$29="Single_Point",IF(140=$NQ$29,$NM$29,0),IF($NO$29="Bell_Curve",$NM$29*(140-$NQ$29+1)*($NR$29-140+1)/$NT$29,$NM$29/$NS$29)),0)</f>
        <v/>
      </c>
      <c r="EN29" s="18">
        <f>IF(AND(141&gt;=$NQ$29,141&lt;=$NR$29),IF($NO$29="Single_Point",IF(141=$NQ$29,$NM$29,0),IF($NO$29="Bell_Curve",$NM$29*(141-$NQ$29+1)*($NR$29-141+1)/$NT$29,$NM$29/$NS$29)),0)</f>
        <v/>
      </c>
      <c r="EO29" s="18">
        <f>IF(AND(142&gt;=$NQ$29,142&lt;=$NR$29),IF($NO$29="Single_Point",IF(142=$NQ$29,$NM$29,0),IF($NO$29="Bell_Curve",$NM$29*(142-$NQ$29+1)*($NR$29-142+1)/$NT$29,$NM$29/$NS$29)),0)</f>
        <v/>
      </c>
      <c r="EP29" s="18">
        <f>IF(AND(143&gt;=$NQ$29,143&lt;=$NR$29),IF($NO$29="Single_Point",IF(143=$NQ$29,$NM$29,0),IF($NO$29="Bell_Curve",$NM$29*(143-$NQ$29+1)*($NR$29-143+1)/$NT$29,$NM$29/$NS$29)),0)</f>
        <v/>
      </c>
      <c r="EQ29" s="18">
        <f>IF(AND(144&gt;=$NQ$29,144&lt;=$NR$29),IF($NO$29="Single_Point",IF(144=$NQ$29,$NM$29,0),IF($NO$29="Bell_Curve",$NM$29*(144-$NQ$29+1)*($NR$29-144+1)/$NT$29,$NM$29/$NS$29)),0)</f>
        <v/>
      </c>
      <c r="ER29" s="18">
        <f>IF(AND(145&gt;=$NQ$29,145&lt;=$NR$29),IF($NO$29="Single_Point",IF(145=$NQ$29,$NM$29,0),IF($NO$29="Bell_Curve",$NM$29*(145-$NQ$29+1)*($NR$29-145+1)/$NT$29,$NM$29/$NS$29)),0)</f>
        <v/>
      </c>
      <c r="ES29" s="18">
        <f>IF(AND(146&gt;=$NQ$29,146&lt;=$NR$29),IF($NO$29="Single_Point",IF(146=$NQ$29,$NM$29,0),IF($NO$29="Bell_Curve",$NM$29*(146-$NQ$29+1)*($NR$29-146+1)/$NT$29,$NM$29/$NS$29)),0)</f>
        <v/>
      </c>
      <c r="ET29" s="18">
        <f>IF(AND(147&gt;=$NQ$29,147&lt;=$NR$29),IF($NO$29="Single_Point",IF(147=$NQ$29,$NM$29,0),IF($NO$29="Bell_Curve",$NM$29*(147-$NQ$29+1)*($NR$29-147+1)/$NT$29,$NM$29/$NS$29)),0)</f>
        <v/>
      </c>
      <c r="EU29" s="18">
        <f>IF(AND(148&gt;=$NQ$29,148&lt;=$NR$29),IF($NO$29="Single_Point",IF(148=$NQ$29,$NM$29,0),IF($NO$29="Bell_Curve",$NM$29*(148-$NQ$29+1)*($NR$29-148+1)/$NT$29,$NM$29/$NS$29)),0)</f>
        <v/>
      </c>
      <c r="EV29" s="18">
        <f>IF(AND(149&gt;=$NQ$29,149&lt;=$NR$29),IF($NO$29="Single_Point",IF(149=$NQ$29,$NM$29,0),IF($NO$29="Bell_Curve",$NM$29*(149-$NQ$29+1)*($NR$29-149+1)/$NT$29,$NM$29/$NS$29)),0)</f>
        <v/>
      </c>
      <c r="EW29" s="18">
        <f>IF(AND(150&gt;=$NQ$29,150&lt;=$NR$29),IF($NO$29="Single_Point",IF(150=$NQ$29,$NM$29,0),IF($NO$29="Bell_Curve",$NM$29*(150-$NQ$29+1)*($NR$29-150+1)/$NT$29,$NM$29/$NS$29)),0)</f>
        <v/>
      </c>
      <c r="EX29" s="18">
        <f>IF(AND(151&gt;=$NQ$29,151&lt;=$NR$29),IF($NO$29="Single_Point",IF(151=$NQ$29,$NM$29,0),IF($NO$29="Bell_Curve",$NM$29*(151-$NQ$29+1)*($NR$29-151+1)/$NT$29,$NM$29/$NS$29)),0)</f>
        <v/>
      </c>
      <c r="EY29" s="18">
        <f>IF(AND(152&gt;=$NQ$29,152&lt;=$NR$29),IF($NO$29="Single_Point",IF(152=$NQ$29,$NM$29,0),IF($NO$29="Bell_Curve",$NM$29*(152-$NQ$29+1)*($NR$29-152+1)/$NT$29,$NM$29/$NS$29)),0)</f>
        <v/>
      </c>
      <c r="EZ29" s="18">
        <f>IF(AND(153&gt;=$NQ$29,153&lt;=$NR$29),IF($NO$29="Single_Point",IF(153=$NQ$29,$NM$29,0),IF($NO$29="Bell_Curve",$NM$29*(153-$NQ$29+1)*($NR$29-153+1)/$NT$29,$NM$29/$NS$29)),0)</f>
        <v/>
      </c>
      <c r="FA29" s="18">
        <f>IF(AND(154&gt;=$NQ$29,154&lt;=$NR$29),IF($NO$29="Single_Point",IF(154=$NQ$29,$NM$29,0),IF($NO$29="Bell_Curve",$NM$29*(154-$NQ$29+1)*($NR$29-154+1)/$NT$29,$NM$29/$NS$29)),0)</f>
        <v/>
      </c>
      <c r="FB29" s="18">
        <f>IF(AND(155&gt;=$NQ$29,155&lt;=$NR$29),IF($NO$29="Single_Point",IF(155=$NQ$29,$NM$29,0),IF($NO$29="Bell_Curve",$NM$29*(155-$NQ$29+1)*($NR$29-155+1)/$NT$29,$NM$29/$NS$29)),0)</f>
        <v/>
      </c>
      <c r="FC29" s="18">
        <f>IF(AND(156&gt;=$NQ$29,156&lt;=$NR$29),IF($NO$29="Single_Point",IF(156=$NQ$29,$NM$29,0),IF($NO$29="Bell_Curve",$NM$29*(156-$NQ$29+1)*($NR$29-156+1)/$NT$29,$NM$29/$NS$29)),0)</f>
        <v/>
      </c>
      <c r="FD29" s="18">
        <f>IF(AND(157&gt;=$NQ$29,157&lt;=$NR$29),IF($NO$29="Single_Point",IF(157=$NQ$29,$NM$29,0),IF($NO$29="Bell_Curve",$NM$29*(157-$NQ$29+1)*($NR$29-157+1)/$NT$29,$NM$29/$NS$29)),0)</f>
        <v/>
      </c>
      <c r="FE29" s="18">
        <f>IF(AND(158&gt;=$NQ$29,158&lt;=$NR$29),IF($NO$29="Single_Point",IF(158=$NQ$29,$NM$29,0),IF($NO$29="Bell_Curve",$NM$29*(158-$NQ$29+1)*($NR$29-158+1)/$NT$29,$NM$29/$NS$29)),0)</f>
        <v/>
      </c>
      <c r="FF29" s="18">
        <f>IF(AND(159&gt;=$NQ$29,159&lt;=$NR$29),IF($NO$29="Single_Point",IF(159=$NQ$29,$NM$29,0),IF($NO$29="Bell_Curve",$NM$29*(159-$NQ$29+1)*($NR$29-159+1)/$NT$29,$NM$29/$NS$29)),0)</f>
        <v/>
      </c>
      <c r="FG29" s="18">
        <f>IF(AND(160&gt;=$NQ$29,160&lt;=$NR$29),IF($NO$29="Single_Point",IF(160=$NQ$29,$NM$29,0),IF($NO$29="Bell_Curve",$NM$29*(160-$NQ$29+1)*($NR$29-160+1)/$NT$29,$NM$29/$NS$29)),0)</f>
        <v/>
      </c>
      <c r="FH29" s="18">
        <f>IF(AND(161&gt;=$NQ$29,161&lt;=$NR$29),IF($NO$29="Single_Point",IF(161=$NQ$29,$NM$29,0),IF($NO$29="Bell_Curve",$NM$29*(161-$NQ$29+1)*($NR$29-161+1)/$NT$29,$NM$29/$NS$29)),0)</f>
        <v/>
      </c>
      <c r="FI29" s="18">
        <f>IF(AND(162&gt;=$NQ$29,162&lt;=$NR$29),IF($NO$29="Single_Point",IF(162=$NQ$29,$NM$29,0),IF($NO$29="Bell_Curve",$NM$29*(162-$NQ$29+1)*($NR$29-162+1)/$NT$29,$NM$29/$NS$29)),0)</f>
        <v/>
      </c>
      <c r="FJ29" s="18">
        <f>IF(AND(163&gt;=$NQ$29,163&lt;=$NR$29),IF($NO$29="Single_Point",IF(163=$NQ$29,$NM$29,0),IF($NO$29="Bell_Curve",$NM$29*(163-$NQ$29+1)*($NR$29-163+1)/$NT$29,$NM$29/$NS$29)),0)</f>
        <v/>
      </c>
      <c r="FK29" s="18">
        <f>IF(AND(164&gt;=$NQ$29,164&lt;=$NR$29),IF($NO$29="Single_Point",IF(164=$NQ$29,$NM$29,0),IF($NO$29="Bell_Curve",$NM$29*(164-$NQ$29+1)*($NR$29-164+1)/$NT$29,$NM$29/$NS$29)),0)</f>
        <v/>
      </c>
      <c r="FL29" s="18">
        <f>IF(AND(165&gt;=$NQ$29,165&lt;=$NR$29),IF($NO$29="Single_Point",IF(165=$NQ$29,$NM$29,0),IF($NO$29="Bell_Curve",$NM$29*(165-$NQ$29+1)*($NR$29-165+1)/$NT$29,$NM$29/$NS$29)),0)</f>
        <v/>
      </c>
      <c r="FM29" s="18">
        <f>IF(AND(166&gt;=$NQ$29,166&lt;=$NR$29),IF($NO$29="Single_Point",IF(166=$NQ$29,$NM$29,0),IF($NO$29="Bell_Curve",$NM$29*(166-$NQ$29+1)*($NR$29-166+1)/$NT$29,$NM$29/$NS$29)),0)</f>
        <v/>
      </c>
      <c r="FN29" s="18">
        <f>IF(AND(167&gt;=$NQ$29,167&lt;=$NR$29),IF($NO$29="Single_Point",IF(167=$NQ$29,$NM$29,0),IF($NO$29="Bell_Curve",$NM$29*(167-$NQ$29+1)*($NR$29-167+1)/$NT$29,$NM$29/$NS$29)),0)</f>
        <v/>
      </c>
      <c r="FO29" s="18">
        <f>IF(AND(168&gt;=$NQ$29,168&lt;=$NR$29),IF($NO$29="Single_Point",IF(168=$NQ$29,$NM$29,0),IF($NO$29="Bell_Curve",$NM$29*(168-$NQ$29+1)*($NR$29-168+1)/$NT$29,$NM$29/$NS$29)),0)</f>
        <v/>
      </c>
      <c r="FP29" s="18">
        <f>IF(AND(169&gt;=$NQ$29,169&lt;=$NR$29),IF($NO$29="Single_Point",IF(169=$NQ$29,$NM$29,0),IF($NO$29="Bell_Curve",$NM$29*(169-$NQ$29+1)*($NR$29-169+1)/$NT$29,$NM$29/$NS$29)),0)</f>
        <v/>
      </c>
      <c r="FQ29" s="18">
        <f>IF(AND(170&gt;=$NQ$29,170&lt;=$NR$29),IF($NO$29="Single_Point",IF(170=$NQ$29,$NM$29,0),IF($NO$29="Bell_Curve",$NM$29*(170-$NQ$29+1)*($NR$29-170+1)/$NT$29,$NM$29/$NS$29)),0)</f>
        <v/>
      </c>
      <c r="FR29" s="18">
        <f>IF(AND(171&gt;=$NQ$29,171&lt;=$NR$29),IF($NO$29="Single_Point",IF(171=$NQ$29,$NM$29,0),IF($NO$29="Bell_Curve",$NM$29*(171-$NQ$29+1)*($NR$29-171+1)/$NT$29,$NM$29/$NS$29)),0)</f>
        <v/>
      </c>
      <c r="FS29" s="18">
        <f>IF(AND(172&gt;=$NQ$29,172&lt;=$NR$29),IF($NO$29="Single_Point",IF(172=$NQ$29,$NM$29,0),IF($NO$29="Bell_Curve",$NM$29*(172-$NQ$29+1)*($NR$29-172+1)/$NT$29,$NM$29/$NS$29)),0)</f>
        <v/>
      </c>
      <c r="FT29" s="18">
        <f>IF(AND(173&gt;=$NQ$29,173&lt;=$NR$29),IF($NO$29="Single_Point",IF(173=$NQ$29,$NM$29,0),IF($NO$29="Bell_Curve",$NM$29*(173-$NQ$29+1)*($NR$29-173+1)/$NT$29,$NM$29/$NS$29)),0)</f>
        <v/>
      </c>
      <c r="FU29" s="18">
        <f>IF(AND(174&gt;=$NQ$29,174&lt;=$NR$29),IF($NO$29="Single_Point",IF(174=$NQ$29,$NM$29,0),IF($NO$29="Bell_Curve",$NM$29*(174-$NQ$29+1)*($NR$29-174+1)/$NT$29,$NM$29/$NS$29)),0)</f>
        <v/>
      </c>
      <c r="FV29" s="18">
        <f>IF(AND(175&gt;=$NQ$29,175&lt;=$NR$29),IF($NO$29="Single_Point",IF(175=$NQ$29,$NM$29,0),IF($NO$29="Bell_Curve",$NM$29*(175-$NQ$29+1)*($NR$29-175+1)/$NT$29,$NM$29/$NS$29)),0)</f>
        <v/>
      </c>
      <c r="FW29" s="18">
        <f>IF(AND(176&gt;=$NQ$29,176&lt;=$NR$29),IF($NO$29="Single_Point",IF(176=$NQ$29,$NM$29,0),IF($NO$29="Bell_Curve",$NM$29*(176-$NQ$29+1)*($NR$29-176+1)/$NT$29,$NM$29/$NS$29)),0)</f>
        <v/>
      </c>
      <c r="FX29" s="18">
        <f>IF(AND(177&gt;=$NQ$29,177&lt;=$NR$29),IF($NO$29="Single_Point",IF(177=$NQ$29,$NM$29,0),IF($NO$29="Bell_Curve",$NM$29*(177-$NQ$29+1)*($NR$29-177+1)/$NT$29,$NM$29/$NS$29)),0)</f>
        <v/>
      </c>
      <c r="FY29" s="18">
        <f>IF(AND(178&gt;=$NQ$29,178&lt;=$NR$29),IF($NO$29="Single_Point",IF(178=$NQ$29,$NM$29,0),IF($NO$29="Bell_Curve",$NM$29*(178-$NQ$29+1)*($NR$29-178+1)/$NT$29,$NM$29/$NS$29)),0)</f>
        <v/>
      </c>
      <c r="FZ29" s="18">
        <f>IF(AND(179&gt;=$NQ$29,179&lt;=$NR$29),IF($NO$29="Single_Point",IF(179=$NQ$29,$NM$29,0),IF($NO$29="Bell_Curve",$NM$29*(179-$NQ$29+1)*($NR$29-179+1)/$NT$29,$NM$29/$NS$29)),0)</f>
        <v/>
      </c>
      <c r="GA29" s="18">
        <f>IF(AND(180&gt;=$NQ$29,180&lt;=$NR$29),IF($NO$29="Single_Point",IF(180=$NQ$29,$NM$29,0),IF($NO$29="Bell_Curve",$NM$29*(180-$NQ$29+1)*($NR$29-180+1)/$NT$29,$NM$29/$NS$29)),0)</f>
        <v/>
      </c>
      <c r="GB29" s="18">
        <f>IF(AND(181&gt;=$NQ$29,181&lt;=$NR$29),IF($NO$29="Single_Point",IF(181=$NQ$29,$NM$29,0),IF($NO$29="Bell_Curve",$NM$29*(181-$NQ$29+1)*($NR$29-181+1)/$NT$29,$NM$29/$NS$29)),0)</f>
        <v/>
      </c>
      <c r="GC29" s="18">
        <f>IF(AND(182&gt;=$NQ$29,182&lt;=$NR$29),IF($NO$29="Single_Point",IF(182=$NQ$29,$NM$29,0),IF($NO$29="Bell_Curve",$NM$29*(182-$NQ$29+1)*($NR$29-182+1)/$NT$29,$NM$29/$NS$29)),0)</f>
        <v/>
      </c>
      <c r="GD29" s="18">
        <f>IF(AND(183&gt;=$NQ$29,183&lt;=$NR$29),IF($NO$29="Single_Point",IF(183=$NQ$29,$NM$29,0),IF($NO$29="Bell_Curve",$NM$29*(183-$NQ$29+1)*($NR$29-183+1)/$NT$29,$NM$29/$NS$29)),0)</f>
        <v/>
      </c>
      <c r="GE29" s="18">
        <f>IF(AND(184&gt;=$NQ$29,184&lt;=$NR$29),IF($NO$29="Single_Point",IF(184=$NQ$29,$NM$29,0),IF($NO$29="Bell_Curve",$NM$29*(184-$NQ$29+1)*($NR$29-184+1)/$NT$29,$NM$29/$NS$29)),0)</f>
        <v/>
      </c>
      <c r="GF29" s="18">
        <f>IF(AND(185&gt;=$NQ$29,185&lt;=$NR$29),IF($NO$29="Single_Point",IF(185=$NQ$29,$NM$29,0),IF($NO$29="Bell_Curve",$NM$29*(185-$NQ$29+1)*($NR$29-185+1)/$NT$29,$NM$29/$NS$29)),0)</f>
        <v/>
      </c>
      <c r="GG29" s="18">
        <f>IF(AND(186&gt;=$NQ$29,186&lt;=$NR$29),IF($NO$29="Single_Point",IF(186=$NQ$29,$NM$29,0),IF($NO$29="Bell_Curve",$NM$29*(186-$NQ$29+1)*($NR$29-186+1)/$NT$29,$NM$29/$NS$29)),0)</f>
        <v/>
      </c>
      <c r="GH29" s="18">
        <f>IF(AND(187&gt;=$NQ$29,187&lt;=$NR$29),IF($NO$29="Single_Point",IF(187=$NQ$29,$NM$29,0),IF($NO$29="Bell_Curve",$NM$29*(187-$NQ$29+1)*($NR$29-187+1)/$NT$29,$NM$29/$NS$29)),0)</f>
        <v/>
      </c>
      <c r="GI29" s="18">
        <f>IF(AND(188&gt;=$NQ$29,188&lt;=$NR$29),IF($NO$29="Single_Point",IF(188=$NQ$29,$NM$29,0),IF($NO$29="Bell_Curve",$NM$29*(188-$NQ$29+1)*($NR$29-188+1)/$NT$29,$NM$29/$NS$29)),0)</f>
        <v/>
      </c>
      <c r="GJ29" s="18">
        <f>IF(AND(189&gt;=$NQ$29,189&lt;=$NR$29),IF($NO$29="Single_Point",IF(189=$NQ$29,$NM$29,0),IF($NO$29="Bell_Curve",$NM$29*(189-$NQ$29+1)*($NR$29-189+1)/$NT$29,$NM$29/$NS$29)),0)</f>
        <v/>
      </c>
      <c r="GK29" s="18">
        <f>IF(AND(190&gt;=$NQ$29,190&lt;=$NR$29),IF($NO$29="Single_Point",IF(190=$NQ$29,$NM$29,0),IF($NO$29="Bell_Curve",$NM$29*(190-$NQ$29+1)*($NR$29-190+1)/$NT$29,$NM$29/$NS$29)),0)</f>
        <v/>
      </c>
      <c r="GL29" s="18">
        <f>IF(AND(191&gt;=$NQ$29,191&lt;=$NR$29),IF($NO$29="Single_Point",IF(191=$NQ$29,$NM$29,0),IF($NO$29="Bell_Curve",$NM$29*(191-$NQ$29+1)*($NR$29-191+1)/$NT$29,$NM$29/$NS$29)),0)</f>
        <v/>
      </c>
      <c r="GM29" s="18">
        <f>IF(AND(192&gt;=$NQ$29,192&lt;=$NR$29),IF($NO$29="Single_Point",IF(192=$NQ$29,$NM$29,0),IF($NO$29="Bell_Curve",$NM$29*(192-$NQ$29+1)*($NR$29-192+1)/$NT$29,$NM$29/$NS$29)),0)</f>
        <v/>
      </c>
      <c r="GN29" s="18">
        <f>IF(AND(193&gt;=$NQ$29,193&lt;=$NR$29),IF($NO$29="Single_Point",IF(193=$NQ$29,$NM$29,0),IF($NO$29="Bell_Curve",$NM$29*(193-$NQ$29+1)*($NR$29-193+1)/$NT$29,$NM$29/$NS$29)),0)</f>
        <v/>
      </c>
      <c r="GO29" s="18">
        <f>IF(AND(194&gt;=$NQ$29,194&lt;=$NR$29),IF($NO$29="Single_Point",IF(194=$NQ$29,$NM$29,0),IF($NO$29="Bell_Curve",$NM$29*(194-$NQ$29+1)*($NR$29-194+1)/$NT$29,$NM$29/$NS$29)),0)</f>
        <v/>
      </c>
      <c r="GP29" s="18">
        <f>IF(AND(195&gt;=$NQ$29,195&lt;=$NR$29),IF($NO$29="Single_Point",IF(195=$NQ$29,$NM$29,0),IF($NO$29="Bell_Curve",$NM$29*(195-$NQ$29+1)*($NR$29-195+1)/$NT$29,$NM$29/$NS$29)),0)</f>
        <v/>
      </c>
      <c r="GQ29" s="18">
        <f>IF(AND(196&gt;=$NQ$29,196&lt;=$NR$29),IF($NO$29="Single_Point",IF(196=$NQ$29,$NM$29,0),IF($NO$29="Bell_Curve",$NM$29*(196-$NQ$29+1)*($NR$29-196+1)/$NT$29,$NM$29/$NS$29)),0)</f>
        <v/>
      </c>
      <c r="GR29" s="18">
        <f>IF(AND(197&gt;=$NQ$29,197&lt;=$NR$29),IF($NO$29="Single_Point",IF(197=$NQ$29,$NM$29,0),IF($NO$29="Bell_Curve",$NM$29*(197-$NQ$29+1)*($NR$29-197+1)/$NT$29,$NM$29/$NS$29)),0)</f>
        <v/>
      </c>
      <c r="GS29" s="18">
        <f>IF(AND(198&gt;=$NQ$29,198&lt;=$NR$29),IF($NO$29="Single_Point",IF(198=$NQ$29,$NM$29,0),IF($NO$29="Bell_Curve",$NM$29*(198-$NQ$29+1)*($NR$29-198+1)/$NT$29,$NM$29/$NS$29)),0)</f>
        <v/>
      </c>
      <c r="GT29" s="18">
        <f>IF(AND(199&gt;=$NQ$29,199&lt;=$NR$29),IF($NO$29="Single_Point",IF(199=$NQ$29,$NM$29,0),IF($NO$29="Bell_Curve",$NM$29*(199-$NQ$29+1)*($NR$29-199+1)/$NT$29,$NM$29/$NS$29)),0)</f>
        <v/>
      </c>
      <c r="GU29" s="18">
        <f>IF(AND(200&gt;=$NQ$29,200&lt;=$NR$29),IF($NO$29="Single_Point",IF(200=$NQ$29,$NM$29,0),IF($NO$29="Bell_Curve",$NM$29*(200-$NQ$29+1)*($NR$29-200+1)/$NT$29,$NM$29/$NS$29)),0)</f>
        <v/>
      </c>
      <c r="GV29" s="18">
        <f>IF(AND(201&gt;=$NQ$29,201&lt;=$NR$29),IF($NO$29="Single_Point",IF(201=$NQ$29,$NM$29,0),IF($NO$29="Bell_Curve",$NM$29*(201-$NQ$29+1)*($NR$29-201+1)/$NT$29,$NM$29/$NS$29)),0)</f>
        <v/>
      </c>
      <c r="GW29" s="18">
        <f>IF(AND(202&gt;=$NQ$29,202&lt;=$NR$29),IF($NO$29="Single_Point",IF(202=$NQ$29,$NM$29,0),IF($NO$29="Bell_Curve",$NM$29*(202-$NQ$29+1)*($NR$29-202+1)/$NT$29,$NM$29/$NS$29)),0)</f>
        <v/>
      </c>
      <c r="GX29" s="18">
        <f>IF(AND(203&gt;=$NQ$29,203&lt;=$NR$29),IF($NO$29="Single_Point",IF(203=$NQ$29,$NM$29,0),IF($NO$29="Bell_Curve",$NM$29*(203-$NQ$29+1)*($NR$29-203+1)/$NT$29,$NM$29/$NS$29)),0)</f>
        <v/>
      </c>
      <c r="GY29" s="18">
        <f>IF(AND(204&gt;=$NQ$29,204&lt;=$NR$29),IF($NO$29="Single_Point",IF(204=$NQ$29,$NM$29,0),IF($NO$29="Bell_Curve",$NM$29*(204-$NQ$29+1)*($NR$29-204+1)/$NT$29,$NM$29/$NS$29)),0)</f>
        <v/>
      </c>
      <c r="GZ29" s="18">
        <f>IF(AND(205&gt;=$NQ$29,205&lt;=$NR$29),IF($NO$29="Single_Point",IF(205=$NQ$29,$NM$29,0),IF($NO$29="Bell_Curve",$NM$29*(205-$NQ$29+1)*($NR$29-205+1)/$NT$29,$NM$29/$NS$29)),0)</f>
        <v/>
      </c>
      <c r="HA29" s="18">
        <f>IF(AND(206&gt;=$NQ$29,206&lt;=$NR$29),IF($NO$29="Single_Point",IF(206=$NQ$29,$NM$29,0),IF($NO$29="Bell_Curve",$NM$29*(206-$NQ$29+1)*($NR$29-206+1)/$NT$29,$NM$29/$NS$29)),0)</f>
        <v/>
      </c>
      <c r="HB29" s="18">
        <f>IF(AND(207&gt;=$NQ$29,207&lt;=$NR$29),IF($NO$29="Single_Point",IF(207=$NQ$29,$NM$29,0),IF($NO$29="Bell_Curve",$NM$29*(207-$NQ$29+1)*($NR$29-207+1)/$NT$29,$NM$29/$NS$29)),0)</f>
        <v/>
      </c>
      <c r="HC29" s="18">
        <f>IF(AND(208&gt;=$NQ$29,208&lt;=$NR$29),IF($NO$29="Single_Point",IF(208=$NQ$29,$NM$29,0),IF($NO$29="Bell_Curve",$NM$29*(208-$NQ$29+1)*($NR$29-208+1)/$NT$29,$NM$29/$NS$29)),0)</f>
        <v/>
      </c>
      <c r="HD29" s="18">
        <f>IF(AND(209&gt;=$NQ$29,209&lt;=$NR$29),IF($NO$29="Single_Point",IF(209=$NQ$29,$NM$29,0),IF($NO$29="Bell_Curve",$NM$29*(209-$NQ$29+1)*($NR$29-209+1)/$NT$29,$NM$29/$NS$29)),0)</f>
        <v/>
      </c>
      <c r="HE29" s="18">
        <f>IF(AND(210&gt;=$NQ$29,210&lt;=$NR$29),IF($NO$29="Single_Point",IF(210=$NQ$29,$NM$29,0),IF($NO$29="Bell_Curve",$NM$29*(210-$NQ$29+1)*($NR$29-210+1)/$NT$29,$NM$29/$NS$29)),0)</f>
        <v/>
      </c>
      <c r="HF29" s="18">
        <f>IF(AND(211&gt;=$NQ$29,211&lt;=$NR$29),IF($NO$29="Single_Point",IF(211=$NQ$29,$NM$29,0),IF($NO$29="Bell_Curve",$NM$29*(211-$NQ$29+1)*($NR$29-211+1)/$NT$29,$NM$29/$NS$29)),0)</f>
        <v/>
      </c>
      <c r="HG29" s="18">
        <f>IF(AND(212&gt;=$NQ$29,212&lt;=$NR$29),IF($NO$29="Single_Point",IF(212=$NQ$29,$NM$29,0),IF($NO$29="Bell_Curve",$NM$29*(212-$NQ$29+1)*($NR$29-212+1)/$NT$29,$NM$29/$NS$29)),0)</f>
        <v/>
      </c>
      <c r="HH29" s="18">
        <f>IF(AND(213&gt;=$NQ$29,213&lt;=$NR$29),IF($NO$29="Single_Point",IF(213=$NQ$29,$NM$29,0),IF($NO$29="Bell_Curve",$NM$29*(213-$NQ$29+1)*($NR$29-213+1)/$NT$29,$NM$29/$NS$29)),0)</f>
        <v/>
      </c>
      <c r="HI29" s="18">
        <f>IF(AND(214&gt;=$NQ$29,214&lt;=$NR$29),IF($NO$29="Single_Point",IF(214=$NQ$29,$NM$29,0),IF($NO$29="Bell_Curve",$NM$29*(214-$NQ$29+1)*($NR$29-214+1)/$NT$29,$NM$29/$NS$29)),0)</f>
        <v/>
      </c>
      <c r="HJ29" s="18">
        <f>IF(AND(215&gt;=$NQ$29,215&lt;=$NR$29),IF($NO$29="Single_Point",IF(215=$NQ$29,$NM$29,0),IF($NO$29="Bell_Curve",$NM$29*(215-$NQ$29+1)*($NR$29-215+1)/$NT$29,$NM$29/$NS$29)),0)</f>
        <v/>
      </c>
      <c r="HK29" s="18">
        <f>IF(AND(216&gt;=$NQ$29,216&lt;=$NR$29),IF($NO$29="Single_Point",IF(216=$NQ$29,$NM$29,0),IF($NO$29="Bell_Curve",$NM$29*(216-$NQ$29+1)*($NR$29-216+1)/$NT$29,$NM$29/$NS$29)),0)</f>
        <v/>
      </c>
      <c r="HL29" s="18">
        <f>IF(AND(217&gt;=$NQ$29,217&lt;=$NR$29),IF($NO$29="Single_Point",IF(217=$NQ$29,$NM$29,0),IF($NO$29="Bell_Curve",$NM$29*(217-$NQ$29+1)*($NR$29-217+1)/$NT$29,$NM$29/$NS$29)),0)</f>
        <v/>
      </c>
      <c r="HM29" s="18">
        <f>IF(AND(218&gt;=$NQ$29,218&lt;=$NR$29),IF($NO$29="Single_Point",IF(218=$NQ$29,$NM$29,0),IF($NO$29="Bell_Curve",$NM$29*(218-$NQ$29+1)*($NR$29-218+1)/$NT$29,$NM$29/$NS$29)),0)</f>
        <v/>
      </c>
      <c r="HN29" s="18">
        <f>IF(AND(219&gt;=$NQ$29,219&lt;=$NR$29),IF($NO$29="Single_Point",IF(219=$NQ$29,$NM$29,0),IF($NO$29="Bell_Curve",$NM$29*(219-$NQ$29+1)*($NR$29-219+1)/$NT$29,$NM$29/$NS$29)),0)</f>
        <v/>
      </c>
      <c r="HO29" s="18">
        <f>IF(AND(220&gt;=$NQ$29,220&lt;=$NR$29),IF($NO$29="Single_Point",IF(220=$NQ$29,$NM$29,0),IF($NO$29="Bell_Curve",$NM$29*(220-$NQ$29+1)*($NR$29-220+1)/$NT$29,$NM$29/$NS$29)),0)</f>
        <v/>
      </c>
      <c r="HP29" s="18">
        <f>IF(AND(221&gt;=$NQ$29,221&lt;=$NR$29),IF($NO$29="Single_Point",IF(221=$NQ$29,$NM$29,0),IF($NO$29="Bell_Curve",$NM$29*(221-$NQ$29+1)*($NR$29-221+1)/$NT$29,$NM$29/$NS$29)),0)</f>
        <v/>
      </c>
      <c r="HQ29" s="18">
        <f>IF(AND(222&gt;=$NQ$29,222&lt;=$NR$29),IF($NO$29="Single_Point",IF(222=$NQ$29,$NM$29,0),IF($NO$29="Bell_Curve",$NM$29*(222-$NQ$29+1)*($NR$29-222+1)/$NT$29,$NM$29/$NS$29)),0)</f>
        <v/>
      </c>
      <c r="HR29" s="18">
        <f>IF(AND(223&gt;=$NQ$29,223&lt;=$NR$29),IF($NO$29="Single_Point",IF(223=$NQ$29,$NM$29,0),IF($NO$29="Bell_Curve",$NM$29*(223-$NQ$29+1)*($NR$29-223+1)/$NT$29,$NM$29/$NS$29)),0)</f>
        <v/>
      </c>
      <c r="HS29" s="18">
        <f>IF(AND(224&gt;=$NQ$29,224&lt;=$NR$29),IF($NO$29="Single_Point",IF(224=$NQ$29,$NM$29,0),IF($NO$29="Bell_Curve",$NM$29*(224-$NQ$29+1)*($NR$29-224+1)/$NT$29,$NM$29/$NS$29)),0)</f>
        <v/>
      </c>
      <c r="HT29" s="18">
        <f>IF(AND(225&gt;=$NQ$29,225&lt;=$NR$29),IF($NO$29="Single_Point",IF(225=$NQ$29,$NM$29,0),IF($NO$29="Bell_Curve",$NM$29*(225-$NQ$29+1)*($NR$29-225+1)/$NT$29,$NM$29/$NS$29)),0)</f>
        <v/>
      </c>
      <c r="HU29" s="18">
        <f>IF(AND(226&gt;=$NQ$29,226&lt;=$NR$29),IF($NO$29="Single_Point",IF(226=$NQ$29,$NM$29,0),IF($NO$29="Bell_Curve",$NM$29*(226-$NQ$29+1)*($NR$29-226+1)/$NT$29,$NM$29/$NS$29)),0)</f>
        <v/>
      </c>
      <c r="HV29" s="18">
        <f>IF(AND(227&gt;=$NQ$29,227&lt;=$NR$29),IF($NO$29="Single_Point",IF(227=$NQ$29,$NM$29,0),IF($NO$29="Bell_Curve",$NM$29*(227-$NQ$29+1)*($NR$29-227+1)/$NT$29,$NM$29/$NS$29)),0)</f>
        <v/>
      </c>
      <c r="HW29" s="18">
        <f>IF(AND(228&gt;=$NQ$29,228&lt;=$NR$29),IF($NO$29="Single_Point",IF(228=$NQ$29,$NM$29,0),IF($NO$29="Bell_Curve",$NM$29*(228-$NQ$29+1)*($NR$29-228+1)/$NT$29,$NM$29/$NS$29)),0)</f>
        <v/>
      </c>
      <c r="HX29" s="18">
        <f>IF(AND(229&gt;=$NQ$29,229&lt;=$NR$29),IF($NO$29="Single_Point",IF(229=$NQ$29,$NM$29,0),IF($NO$29="Bell_Curve",$NM$29*(229-$NQ$29+1)*($NR$29-229+1)/$NT$29,$NM$29/$NS$29)),0)</f>
        <v/>
      </c>
      <c r="HY29" s="18">
        <f>IF(AND(230&gt;=$NQ$29,230&lt;=$NR$29),IF($NO$29="Single_Point",IF(230=$NQ$29,$NM$29,0),IF($NO$29="Bell_Curve",$NM$29*(230-$NQ$29+1)*($NR$29-230+1)/$NT$29,$NM$29/$NS$29)),0)</f>
        <v/>
      </c>
      <c r="HZ29" s="18">
        <f>IF(AND(231&gt;=$NQ$29,231&lt;=$NR$29),IF($NO$29="Single_Point",IF(231=$NQ$29,$NM$29,0),IF($NO$29="Bell_Curve",$NM$29*(231-$NQ$29+1)*($NR$29-231+1)/$NT$29,$NM$29/$NS$29)),0)</f>
        <v/>
      </c>
      <c r="IA29" s="18">
        <f>IF(AND(232&gt;=$NQ$29,232&lt;=$NR$29),IF($NO$29="Single_Point",IF(232=$NQ$29,$NM$29,0),IF($NO$29="Bell_Curve",$NM$29*(232-$NQ$29+1)*($NR$29-232+1)/$NT$29,$NM$29/$NS$29)),0)</f>
        <v/>
      </c>
      <c r="IB29" s="18">
        <f>IF(AND(233&gt;=$NQ$29,233&lt;=$NR$29),IF($NO$29="Single_Point",IF(233=$NQ$29,$NM$29,0),IF($NO$29="Bell_Curve",$NM$29*(233-$NQ$29+1)*($NR$29-233+1)/$NT$29,$NM$29/$NS$29)),0)</f>
        <v/>
      </c>
      <c r="IC29" s="18">
        <f>IF(AND(234&gt;=$NQ$29,234&lt;=$NR$29),IF($NO$29="Single_Point",IF(234=$NQ$29,$NM$29,0),IF($NO$29="Bell_Curve",$NM$29*(234-$NQ$29+1)*($NR$29-234+1)/$NT$29,$NM$29/$NS$29)),0)</f>
        <v/>
      </c>
      <c r="ID29" s="18">
        <f>IF(AND(235&gt;=$NQ$29,235&lt;=$NR$29),IF($NO$29="Single_Point",IF(235=$NQ$29,$NM$29,0),IF($NO$29="Bell_Curve",$NM$29*(235-$NQ$29+1)*($NR$29-235+1)/$NT$29,$NM$29/$NS$29)),0)</f>
        <v/>
      </c>
      <c r="IE29" s="18">
        <f>IF(AND(236&gt;=$NQ$29,236&lt;=$NR$29),IF($NO$29="Single_Point",IF(236=$NQ$29,$NM$29,0),IF($NO$29="Bell_Curve",$NM$29*(236-$NQ$29+1)*($NR$29-236+1)/$NT$29,$NM$29/$NS$29)),0)</f>
        <v/>
      </c>
      <c r="IF29" s="18">
        <f>IF(AND(237&gt;=$NQ$29,237&lt;=$NR$29),IF($NO$29="Single_Point",IF(237=$NQ$29,$NM$29,0),IF($NO$29="Bell_Curve",$NM$29*(237-$NQ$29+1)*($NR$29-237+1)/$NT$29,$NM$29/$NS$29)),0)</f>
        <v/>
      </c>
      <c r="IG29" s="18">
        <f>IF(AND(238&gt;=$NQ$29,238&lt;=$NR$29),IF($NO$29="Single_Point",IF(238=$NQ$29,$NM$29,0),IF($NO$29="Bell_Curve",$NM$29*(238-$NQ$29+1)*($NR$29-238+1)/$NT$29,$NM$29/$NS$29)),0)</f>
        <v/>
      </c>
      <c r="IH29" s="18">
        <f>IF(AND(239&gt;=$NQ$29,239&lt;=$NR$29),IF($NO$29="Single_Point",IF(239=$NQ$29,$NM$29,0),IF($NO$29="Bell_Curve",$NM$29*(239-$NQ$29+1)*($NR$29-239+1)/$NT$29,$NM$29/$NS$29)),0)</f>
        <v/>
      </c>
      <c r="II29" s="18">
        <f>IF(AND(240&gt;=$NQ$29,240&lt;=$NR$29),IF($NO$29="Single_Point",IF(240=$NQ$29,$NM$29,0),IF($NO$29="Bell_Curve",$NM$29*(240-$NQ$29+1)*($NR$29-240+1)/$NT$29,$NM$29/$NS$29)),0)</f>
        <v/>
      </c>
      <c r="IJ29" s="18">
        <f>IF(AND(241&gt;=$NQ$29,241&lt;=$NR$29),IF($NO$29="Single_Point",IF(241=$NQ$29,$NM$29,0),IF($NO$29="Bell_Curve",$NM$29*(241-$NQ$29+1)*($NR$29-241+1)/$NT$29,$NM$29/$NS$29)),0)</f>
        <v/>
      </c>
      <c r="IK29" s="18">
        <f>IF(AND(242&gt;=$NQ$29,242&lt;=$NR$29),IF($NO$29="Single_Point",IF(242=$NQ$29,$NM$29,0),IF($NO$29="Bell_Curve",$NM$29*(242-$NQ$29+1)*($NR$29-242+1)/$NT$29,$NM$29/$NS$29)),0)</f>
        <v/>
      </c>
      <c r="IL29" s="18">
        <f>IF(AND(243&gt;=$NQ$29,243&lt;=$NR$29),IF($NO$29="Single_Point",IF(243=$NQ$29,$NM$29,0),IF($NO$29="Bell_Curve",$NM$29*(243-$NQ$29+1)*($NR$29-243+1)/$NT$29,$NM$29/$NS$29)),0)</f>
        <v/>
      </c>
      <c r="IM29" s="18">
        <f>IF(AND(244&gt;=$NQ$29,244&lt;=$NR$29),IF($NO$29="Single_Point",IF(244=$NQ$29,$NM$29,0),IF($NO$29="Bell_Curve",$NM$29*(244-$NQ$29+1)*($NR$29-244+1)/$NT$29,$NM$29/$NS$29)),0)</f>
        <v/>
      </c>
      <c r="IN29" s="18">
        <f>IF(AND(245&gt;=$NQ$29,245&lt;=$NR$29),IF($NO$29="Single_Point",IF(245=$NQ$29,$NM$29,0),IF($NO$29="Bell_Curve",$NM$29*(245-$NQ$29+1)*($NR$29-245+1)/$NT$29,$NM$29/$NS$29)),0)</f>
        <v/>
      </c>
      <c r="IO29" s="18">
        <f>IF(AND(246&gt;=$NQ$29,246&lt;=$NR$29),IF($NO$29="Single_Point",IF(246=$NQ$29,$NM$29,0),IF($NO$29="Bell_Curve",$NM$29*(246-$NQ$29+1)*($NR$29-246+1)/$NT$29,$NM$29/$NS$29)),0)</f>
        <v/>
      </c>
      <c r="IP29" s="18">
        <f>IF(AND(247&gt;=$NQ$29,247&lt;=$NR$29),IF($NO$29="Single_Point",IF(247=$NQ$29,$NM$29,0),IF($NO$29="Bell_Curve",$NM$29*(247-$NQ$29+1)*($NR$29-247+1)/$NT$29,$NM$29/$NS$29)),0)</f>
        <v/>
      </c>
      <c r="IQ29" s="18">
        <f>IF(AND(248&gt;=$NQ$29,248&lt;=$NR$29),IF($NO$29="Single_Point",IF(248=$NQ$29,$NM$29,0),IF($NO$29="Bell_Curve",$NM$29*(248-$NQ$29+1)*($NR$29-248+1)/$NT$29,$NM$29/$NS$29)),0)</f>
        <v/>
      </c>
      <c r="IR29" s="18">
        <f>IF(AND(249&gt;=$NQ$29,249&lt;=$NR$29),IF($NO$29="Single_Point",IF(249=$NQ$29,$NM$29,0),IF($NO$29="Bell_Curve",$NM$29*(249-$NQ$29+1)*($NR$29-249+1)/$NT$29,$NM$29/$NS$29)),0)</f>
        <v/>
      </c>
      <c r="IS29" s="18">
        <f>IF(AND(250&gt;=$NQ$29,250&lt;=$NR$29),IF($NO$29="Single_Point",IF(250=$NQ$29,$NM$29,0),IF($NO$29="Bell_Curve",$NM$29*(250-$NQ$29+1)*($NR$29-250+1)/$NT$29,$NM$29/$NS$29)),0)</f>
        <v/>
      </c>
      <c r="IT29" s="18">
        <f>IF(AND(251&gt;=$NQ$29,251&lt;=$NR$29),IF($NO$29="Single_Point",IF(251=$NQ$29,$NM$29,0),IF($NO$29="Bell_Curve",$NM$29*(251-$NQ$29+1)*($NR$29-251+1)/$NT$29,$NM$29/$NS$29)),0)</f>
        <v/>
      </c>
      <c r="IU29" s="18">
        <f>IF(AND(252&gt;=$NQ$29,252&lt;=$NR$29),IF($NO$29="Single_Point",IF(252=$NQ$29,$NM$29,0),IF($NO$29="Bell_Curve",$NM$29*(252-$NQ$29+1)*($NR$29-252+1)/$NT$29,$NM$29/$NS$29)),0)</f>
        <v/>
      </c>
      <c r="IV29" s="18">
        <f>IF(AND(253&gt;=$NQ$29,253&lt;=$NR$29),IF($NO$29="Single_Point",IF(253=$NQ$29,$NM$29,0),IF($NO$29="Bell_Curve",$NM$29*(253-$NQ$29+1)*($NR$29-253+1)/$NT$29,$NM$29/$NS$29)),0)</f>
        <v/>
      </c>
      <c r="IW29" s="18">
        <f>IF(AND(254&gt;=$NQ$29,254&lt;=$NR$29),IF($NO$29="Single_Point",IF(254=$NQ$29,$NM$29,0),IF($NO$29="Bell_Curve",$NM$29*(254-$NQ$29+1)*($NR$29-254+1)/$NT$29,$NM$29/$NS$29)),0)</f>
        <v/>
      </c>
      <c r="IX29" s="18">
        <f>IF(AND(255&gt;=$NQ$29,255&lt;=$NR$29),IF($NO$29="Single_Point",IF(255=$NQ$29,$NM$29,0),IF($NO$29="Bell_Curve",$NM$29*(255-$NQ$29+1)*($NR$29-255+1)/$NT$29,$NM$29/$NS$29)),0)</f>
        <v/>
      </c>
      <c r="IY29" s="18">
        <f>IF(AND(256&gt;=$NQ$29,256&lt;=$NR$29),IF($NO$29="Single_Point",IF(256=$NQ$29,$NM$29,0),IF($NO$29="Bell_Curve",$NM$29*(256-$NQ$29+1)*($NR$29-256+1)/$NT$29,$NM$29/$NS$29)),0)</f>
        <v/>
      </c>
      <c r="IZ29" s="18">
        <f>IF(AND(257&gt;=$NQ$29,257&lt;=$NR$29),IF($NO$29="Single_Point",IF(257=$NQ$29,$NM$29,0),IF($NO$29="Bell_Curve",$NM$29*(257-$NQ$29+1)*($NR$29-257+1)/$NT$29,$NM$29/$NS$29)),0)</f>
        <v/>
      </c>
      <c r="JA29" s="18">
        <f>IF(AND(258&gt;=$NQ$29,258&lt;=$NR$29),IF($NO$29="Single_Point",IF(258=$NQ$29,$NM$29,0),IF($NO$29="Bell_Curve",$NM$29*(258-$NQ$29+1)*($NR$29-258+1)/$NT$29,$NM$29/$NS$29)),0)</f>
        <v/>
      </c>
      <c r="JB29" s="18">
        <f>IF(AND(259&gt;=$NQ$29,259&lt;=$NR$29),IF($NO$29="Single_Point",IF(259=$NQ$29,$NM$29,0),IF($NO$29="Bell_Curve",$NM$29*(259-$NQ$29+1)*($NR$29-259+1)/$NT$29,$NM$29/$NS$29)),0)</f>
        <v/>
      </c>
      <c r="JC29" s="18">
        <f>IF(AND(260&gt;=$NQ$29,260&lt;=$NR$29),IF($NO$29="Single_Point",IF(260=$NQ$29,$NM$29,0),IF($NO$29="Bell_Curve",$NM$29*(260-$NQ$29+1)*($NR$29-260+1)/$NT$29,$NM$29/$NS$29)),0)</f>
        <v/>
      </c>
      <c r="JD29" s="18">
        <f>IF(AND(261&gt;=$NQ$29,261&lt;=$NR$29),IF($NO$29="Single_Point",IF(261=$NQ$29,$NM$29,0),IF($NO$29="Bell_Curve",$NM$29*(261-$NQ$29+1)*($NR$29-261+1)/$NT$29,$NM$29/$NS$29)),0)</f>
        <v/>
      </c>
      <c r="JE29" s="18">
        <f>IF(AND(262&gt;=$NQ$29,262&lt;=$NR$29),IF($NO$29="Single_Point",IF(262=$NQ$29,$NM$29,0),IF($NO$29="Bell_Curve",$NM$29*(262-$NQ$29+1)*($NR$29-262+1)/$NT$29,$NM$29/$NS$29)),0)</f>
        <v/>
      </c>
      <c r="JF29" s="18">
        <f>IF(AND(263&gt;=$NQ$29,263&lt;=$NR$29),IF($NO$29="Single_Point",IF(263=$NQ$29,$NM$29,0),IF($NO$29="Bell_Curve",$NM$29*(263-$NQ$29+1)*($NR$29-263+1)/$NT$29,$NM$29/$NS$29)),0)</f>
        <v/>
      </c>
      <c r="JG29" s="18">
        <f>IF(AND(264&gt;=$NQ$29,264&lt;=$NR$29),IF($NO$29="Single_Point",IF(264=$NQ$29,$NM$29,0),IF($NO$29="Bell_Curve",$NM$29*(264-$NQ$29+1)*($NR$29-264+1)/$NT$29,$NM$29/$NS$29)),0)</f>
        <v/>
      </c>
      <c r="JH29" s="18">
        <f>IF(AND(265&gt;=$NQ$29,265&lt;=$NR$29),IF($NO$29="Single_Point",IF(265=$NQ$29,$NM$29,0),IF($NO$29="Bell_Curve",$NM$29*(265-$NQ$29+1)*($NR$29-265+1)/$NT$29,$NM$29/$NS$29)),0)</f>
        <v/>
      </c>
      <c r="JI29" s="18">
        <f>IF(AND(266&gt;=$NQ$29,266&lt;=$NR$29),IF($NO$29="Single_Point",IF(266=$NQ$29,$NM$29,0),IF($NO$29="Bell_Curve",$NM$29*(266-$NQ$29+1)*($NR$29-266+1)/$NT$29,$NM$29/$NS$29)),0)</f>
        <v/>
      </c>
      <c r="JJ29" s="18">
        <f>IF(AND(267&gt;=$NQ$29,267&lt;=$NR$29),IF($NO$29="Single_Point",IF(267=$NQ$29,$NM$29,0),IF($NO$29="Bell_Curve",$NM$29*(267-$NQ$29+1)*($NR$29-267+1)/$NT$29,$NM$29/$NS$29)),0)</f>
        <v/>
      </c>
      <c r="JK29" s="18">
        <f>IF(AND(268&gt;=$NQ$29,268&lt;=$NR$29),IF($NO$29="Single_Point",IF(268=$NQ$29,$NM$29,0),IF($NO$29="Bell_Curve",$NM$29*(268-$NQ$29+1)*($NR$29-268+1)/$NT$29,$NM$29/$NS$29)),0)</f>
        <v/>
      </c>
      <c r="JL29" s="18">
        <f>IF(AND(269&gt;=$NQ$29,269&lt;=$NR$29),IF($NO$29="Single_Point",IF(269=$NQ$29,$NM$29,0),IF($NO$29="Bell_Curve",$NM$29*(269-$NQ$29+1)*($NR$29-269+1)/$NT$29,$NM$29/$NS$29)),0)</f>
        <v/>
      </c>
      <c r="JM29" s="18">
        <f>IF(AND(270&gt;=$NQ$29,270&lt;=$NR$29),IF($NO$29="Single_Point",IF(270=$NQ$29,$NM$29,0),IF($NO$29="Bell_Curve",$NM$29*(270-$NQ$29+1)*($NR$29-270+1)/$NT$29,$NM$29/$NS$29)),0)</f>
        <v/>
      </c>
      <c r="JN29" s="18">
        <f>IF(AND(271&gt;=$NQ$29,271&lt;=$NR$29),IF($NO$29="Single_Point",IF(271=$NQ$29,$NM$29,0),IF($NO$29="Bell_Curve",$NM$29*(271-$NQ$29+1)*($NR$29-271+1)/$NT$29,$NM$29/$NS$29)),0)</f>
        <v/>
      </c>
      <c r="JO29" s="18">
        <f>IF(AND(272&gt;=$NQ$29,272&lt;=$NR$29),IF($NO$29="Single_Point",IF(272=$NQ$29,$NM$29,0),IF($NO$29="Bell_Curve",$NM$29*(272-$NQ$29+1)*($NR$29-272+1)/$NT$29,$NM$29/$NS$29)),0)</f>
        <v/>
      </c>
      <c r="JP29" s="18">
        <f>IF(AND(273&gt;=$NQ$29,273&lt;=$NR$29),IF($NO$29="Single_Point",IF(273=$NQ$29,$NM$29,0),IF($NO$29="Bell_Curve",$NM$29*(273-$NQ$29+1)*($NR$29-273+1)/$NT$29,$NM$29/$NS$29)),0)</f>
        <v/>
      </c>
      <c r="JQ29" s="18">
        <f>IF(AND(274&gt;=$NQ$29,274&lt;=$NR$29),IF($NO$29="Single_Point",IF(274=$NQ$29,$NM$29,0),IF($NO$29="Bell_Curve",$NM$29*(274-$NQ$29+1)*($NR$29-274+1)/$NT$29,$NM$29/$NS$29)),0)</f>
        <v/>
      </c>
      <c r="JR29" s="18">
        <f>IF(AND(275&gt;=$NQ$29,275&lt;=$NR$29),IF($NO$29="Single_Point",IF(275=$NQ$29,$NM$29,0),IF($NO$29="Bell_Curve",$NM$29*(275-$NQ$29+1)*($NR$29-275+1)/$NT$29,$NM$29/$NS$29)),0)</f>
        <v/>
      </c>
      <c r="JS29" s="18">
        <f>IF(AND(276&gt;=$NQ$29,276&lt;=$NR$29),IF($NO$29="Single_Point",IF(276=$NQ$29,$NM$29,0),IF($NO$29="Bell_Curve",$NM$29*(276-$NQ$29+1)*($NR$29-276+1)/$NT$29,$NM$29/$NS$29)),0)</f>
        <v/>
      </c>
      <c r="JT29" s="18">
        <f>IF(AND(277&gt;=$NQ$29,277&lt;=$NR$29),IF($NO$29="Single_Point",IF(277=$NQ$29,$NM$29,0),IF($NO$29="Bell_Curve",$NM$29*(277-$NQ$29+1)*($NR$29-277+1)/$NT$29,$NM$29/$NS$29)),0)</f>
        <v/>
      </c>
      <c r="JU29" s="18">
        <f>IF(AND(278&gt;=$NQ$29,278&lt;=$NR$29),IF($NO$29="Single_Point",IF(278=$NQ$29,$NM$29,0),IF($NO$29="Bell_Curve",$NM$29*(278-$NQ$29+1)*($NR$29-278+1)/$NT$29,$NM$29/$NS$29)),0)</f>
        <v/>
      </c>
      <c r="JV29" s="18">
        <f>IF(AND(279&gt;=$NQ$29,279&lt;=$NR$29),IF($NO$29="Single_Point",IF(279=$NQ$29,$NM$29,0),IF($NO$29="Bell_Curve",$NM$29*(279-$NQ$29+1)*($NR$29-279+1)/$NT$29,$NM$29/$NS$29)),0)</f>
        <v/>
      </c>
      <c r="JW29" s="18">
        <f>IF(AND(280&gt;=$NQ$29,280&lt;=$NR$29),IF($NO$29="Single_Point",IF(280=$NQ$29,$NM$29,0),IF($NO$29="Bell_Curve",$NM$29*(280-$NQ$29+1)*($NR$29-280+1)/$NT$29,$NM$29/$NS$29)),0)</f>
        <v/>
      </c>
      <c r="JX29" s="18">
        <f>IF(AND(281&gt;=$NQ$29,281&lt;=$NR$29),IF($NO$29="Single_Point",IF(281=$NQ$29,$NM$29,0),IF($NO$29="Bell_Curve",$NM$29*(281-$NQ$29+1)*($NR$29-281+1)/$NT$29,$NM$29/$NS$29)),0)</f>
        <v/>
      </c>
      <c r="JY29" s="18">
        <f>IF(AND(282&gt;=$NQ$29,282&lt;=$NR$29),IF($NO$29="Single_Point",IF(282=$NQ$29,$NM$29,0),IF($NO$29="Bell_Curve",$NM$29*(282-$NQ$29+1)*($NR$29-282+1)/$NT$29,$NM$29/$NS$29)),0)</f>
        <v/>
      </c>
      <c r="JZ29" s="18">
        <f>IF(AND(283&gt;=$NQ$29,283&lt;=$NR$29),IF($NO$29="Single_Point",IF(283=$NQ$29,$NM$29,0),IF($NO$29="Bell_Curve",$NM$29*(283-$NQ$29+1)*($NR$29-283+1)/$NT$29,$NM$29/$NS$29)),0)</f>
        <v/>
      </c>
      <c r="KA29" s="18">
        <f>IF(AND(284&gt;=$NQ$29,284&lt;=$NR$29),IF($NO$29="Single_Point",IF(284=$NQ$29,$NM$29,0),IF($NO$29="Bell_Curve",$NM$29*(284-$NQ$29+1)*($NR$29-284+1)/$NT$29,$NM$29/$NS$29)),0)</f>
        <v/>
      </c>
      <c r="KB29" s="18">
        <f>IF(AND(285&gt;=$NQ$29,285&lt;=$NR$29),IF($NO$29="Single_Point",IF(285=$NQ$29,$NM$29,0),IF($NO$29="Bell_Curve",$NM$29*(285-$NQ$29+1)*($NR$29-285+1)/$NT$29,$NM$29/$NS$29)),0)</f>
        <v/>
      </c>
      <c r="KC29" s="18">
        <f>IF(AND(286&gt;=$NQ$29,286&lt;=$NR$29),IF($NO$29="Single_Point",IF(286=$NQ$29,$NM$29,0),IF($NO$29="Bell_Curve",$NM$29*(286-$NQ$29+1)*($NR$29-286+1)/$NT$29,$NM$29/$NS$29)),0)</f>
        <v/>
      </c>
      <c r="KD29" s="18">
        <f>IF(AND(287&gt;=$NQ$29,287&lt;=$NR$29),IF($NO$29="Single_Point",IF(287=$NQ$29,$NM$29,0),IF($NO$29="Bell_Curve",$NM$29*(287-$NQ$29+1)*($NR$29-287+1)/$NT$29,$NM$29/$NS$29)),0)</f>
        <v/>
      </c>
      <c r="KE29" s="18">
        <f>IF(AND(288&gt;=$NQ$29,288&lt;=$NR$29),IF($NO$29="Single_Point",IF(288=$NQ$29,$NM$29,0),IF($NO$29="Bell_Curve",$NM$29*(288-$NQ$29+1)*($NR$29-288+1)/$NT$29,$NM$29/$NS$29)),0)</f>
        <v/>
      </c>
      <c r="KF29" s="18">
        <f>IF(AND(289&gt;=$NQ$29,289&lt;=$NR$29),IF($NO$29="Single_Point",IF(289=$NQ$29,$NM$29,0),IF($NO$29="Bell_Curve",$NM$29*(289-$NQ$29+1)*($NR$29-289+1)/$NT$29,$NM$29/$NS$29)),0)</f>
        <v/>
      </c>
      <c r="KG29" s="18">
        <f>IF(AND(290&gt;=$NQ$29,290&lt;=$NR$29),IF($NO$29="Single_Point",IF(290=$NQ$29,$NM$29,0),IF($NO$29="Bell_Curve",$NM$29*(290-$NQ$29+1)*($NR$29-290+1)/$NT$29,$NM$29/$NS$29)),0)</f>
        <v/>
      </c>
      <c r="KH29" s="18">
        <f>IF(AND(291&gt;=$NQ$29,291&lt;=$NR$29),IF($NO$29="Single_Point",IF(291=$NQ$29,$NM$29,0),IF($NO$29="Bell_Curve",$NM$29*(291-$NQ$29+1)*($NR$29-291+1)/$NT$29,$NM$29/$NS$29)),0)</f>
        <v/>
      </c>
      <c r="KI29" s="18">
        <f>IF(AND(292&gt;=$NQ$29,292&lt;=$NR$29),IF($NO$29="Single_Point",IF(292=$NQ$29,$NM$29,0),IF($NO$29="Bell_Curve",$NM$29*(292-$NQ$29+1)*($NR$29-292+1)/$NT$29,$NM$29/$NS$29)),0)</f>
        <v/>
      </c>
      <c r="KJ29" s="18">
        <f>IF(AND(293&gt;=$NQ$29,293&lt;=$NR$29),IF($NO$29="Single_Point",IF(293=$NQ$29,$NM$29,0),IF($NO$29="Bell_Curve",$NM$29*(293-$NQ$29+1)*($NR$29-293+1)/$NT$29,$NM$29/$NS$29)),0)</f>
        <v/>
      </c>
      <c r="KK29" s="18">
        <f>IF(AND(294&gt;=$NQ$29,294&lt;=$NR$29),IF($NO$29="Single_Point",IF(294=$NQ$29,$NM$29,0),IF($NO$29="Bell_Curve",$NM$29*(294-$NQ$29+1)*($NR$29-294+1)/$NT$29,$NM$29/$NS$29)),0)</f>
        <v/>
      </c>
      <c r="KL29" s="18">
        <f>IF(AND(295&gt;=$NQ$29,295&lt;=$NR$29),IF($NO$29="Single_Point",IF(295=$NQ$29,$NM$29,0),IF($NO$29="Bell_Curve",$NM$29*(295-$NQ$29+1)*($NR$29-295+1)/$NT$29,$NM$29/$NS$29)),0)</f>
        <v/>
      </c>
      <c r="KM29" s="18">
        <f>IF(AND(296&gt;=$NQ$29,296&lt;=$NR$29),IF($NO$29="Single_Point",IF(296=$NQ$29,$NM$29,0),IF($NO$29="Bell_Curve",$NM$29*(296-$NQ$29+1)*($NR$29-296+1)/$NT$29,$NM$29/$NS$29)),0)</f>
        <v/>
      </c>
      <c r="KN29" s="18">
        <f>IF(AND(297&gt;=$NQ$29,297&lt;=$NR$29),IF($NO$29="Single_Point",IF(297=$NQ$29,$NM$29,0),IF($NO$29="Bell_Curve",$NM$29*(297-$NQ$29+1)*($NR$29-297+1)/$NT$29,$NM$29/$NS$29)),0)</f>
        <v/>
      </c>
      <c r="KO29" s="18">
        <f>IF(AND(298&gt;=$NQ$29,298&lt;=$NR$29),IF($NO$29="Single_Point",IF(298=$NQ$29,$NM$29,0),IF($NO$29="Bell_Curve",$NM$29*(298-$NQ$29+1)*($NR$29-298+1)/$NT$29,$NM$29/$NS$29)),0)</f>
        <v/>
      </c>
      <c r="KP29" s="18">
        <f>IF(AND(299&gt;=$NQ$29,299&lt;=$NR$29),IF($NO$29="Single_Point",IF(299=$NQ$29,$NM$29,0),IF($NO$29="Bell_Curve",$NM$29*(299-$NQ$29+1)*($NR$29-299+1)/$NT$29,$NM$29/$NS$29)),0)</f>
        <v/>
      </c>
      <c r="KQ29" s="18">
        <f>IF(AND(300&gt;=$NQ$29,300&lt;=$NR$29),IF($NO$29="Single_Point",IF(300=$NQ$29,$NM$29,0),IF($NO$29="Bell_Curve",$NM$29*(300-$NQ$29+1)*($NR$29-300+1)/$NT$29,$NM$29/$NS$29)),0)</f>
        <v/>
      </c>
      <c r="KR29" s="18">
        <f>IF(AND(301&gt;=$NQ$29,301&lt;=$NR$29),IF($NO$29="Single_Point",IF(301=$NQ$29,$NM$29,0),IF($NO$29="Bell_Curve",$NM$29*(301-$NQ$29+1)*($NR$29-301+1)/$NT$29,$NM$29/$NS$29)),0)</f>
        <v/>
      </c>
      <c r="KS29" s="18">
        <f>IF(AND(302&gt;=$NQ$29,302&lt;=$NR$29),IF($NO$29="Single_Point",IF(302=$NQ$29,$NM$29,0),IF($NO$29="Bell_Curve",$NM$29*(302-$NQ$29+1)*($NR$29-302+1)/$NT$29,$NM$29/$NS$29)),0)</f>
        <v/>
      </c>
      <c r="KT29" s="18">
        <f>IF(AND(303&gt;=$NQ$29,303&lt;=$NR$29),IF($NO$29="Single_Point",IF(303=$NQ$29,$NM$29,0),IF($NO$29="Bell_Curve",$NM$29*(303-$NQ$29+1)*($NR$29-303+1)/$NT$29,$NM$29/$NS$29)),0)</f>
        <v/>
      </c>
      <c r="KU29" s="18">
        <f>IF(AND(304&gt;=$NQ$29,304&lt;=$NR$29),IF($NO$29="Single_Point",IF(304=$NQ$29,$NM$29,0),IF($NO$29="Bell_Curve",$NM$29*(304-$NQ$29+1)*($NR$29-304+1)/$NT$29,$NM$29/$NS$29)),0)</f>
        <v/>
      </c>
      <c r="KV29" s="18">
        <f>IF(AND(305&gt;=$NQ$29,305&lt;=$NR$29),IF($NO$29="Single_Point",IF(305=$NQ$29,$NM$29,0),IF($NO$29="Bell_Curve",$NM$29*(305-$NQ$29+1)*($NR$29-305+1)/$NT$29,$NM$29/$NS$29)),0)</f>
        <v/>
      </c>
      <c r="KW29" s="18">
        <f>IF(AND(306&gt;=$NQ$29,306&lt;=$NR$29),IF($NO$29="Single_Point",IF(306=$NQ$29,$NM$29,0),IF($NO$29="Bell_Curve",$NM$29*(306-$NQ$29+1)*($NR$29-306+1)/$NT$29,$NM$29/$NS$29)),0)</f>
        <v/>
      </c>
      <c r="KX29" s="18">
        <f>IF(AND(307&gt;=$NQ$29,307&lt;=$NR$29),IF($NO$29="Single_Point",IF(307=$NQ$29,$NM$29,0),IF($NO$29="Bell_Curve",$NM$29*(307-$NQ$29+1)*($NR$29-307+1)/$NT$29,$NM$29/$NS$29)),0)</f>
        <v/>
      </c>
      <c r="KY29" s="18">
        <f>IF(AND(308&gt;=$NQ$29,308&lt;=$NR$29),IF($NO$29="Single_Point",IF(308=$NQ$29,$NM$29,0),IF($NO$29="Bell_Curve",$NM$29*(308-$NQ$29+1)*($NR$29-308+1)/$NT$29,$NM$29/$NS$29)),0)</f>
        <v/>
      </c>
      <c r="KZ29" s="18">
        <f>IF(AND(309&gt;=$NQ$29,309&lt;=$NR$29),IF($NO$29="Single_Point",IF(309=$NQ$29,$NM$29,0),IF($NO$29="Bell_Curve",$NM$29*(309-$NQ$29+1)*($NR$29-309+1)/$NT$29,$NM$29/$NS$29)),0)</f>
        <v/>
      </c>
      <c r="LA29" s="18">
        <f>IF(AND(310&gt;=$NQ$29,310&lt;=$NR$29),IF($NO$29="Single_Point",IF(310=$NQ$29,$NM$29,0),IF($NO$29="Bell_Curve",$NM$29*(310-$NQ$29+1)*($NR$29-310+1)/$NT$29,$NM$29/$NS$29)),0)</f>
        <v/>
      </c>
      <c r="LB29" s="18">
        <f>IF(AND(311&gt;=$NQ$29,311&lt;=$NR$29),IF($NO$29="Single_Point",IF(311=$NQ$29,$NM$29,0),IF($NO$29="Bell_Curve",$NM$29*(311-$NQ$29+1)*($NR$29-311+1)/$NT$29,$NM$29/$NS$29)),0)</f>
        <v/>
      </c>
      <c r="LC29" s="18">
        <f>IF(AND(312&gt;=$NQ$29,312&lt;=$NR$29),IF($NO$29="Single_Point",IF(312=$NQ$29,$NM$29,0),IF($NO$29="Bell_Curve",$NM$29*(312-$NQ$29+1)*($NR$29-312+1)/$NT$29,$NM$29/$NS$29)),0)</f>
        <v/>
      </c>
      <c r="LD29" s="18">
        <f>IF(AND(313&gt;=$NQ$29,313&lt;=$NR$29),IF($NO$29="Single_Point",IF(313=$NQ$29,$NM$29,0),IF($NO$29="Bell_Curve",$NM$29*(313-$NQ$29+1)*($NR$29-313+1)/$NT$29,$NM$29/$NS$29)),0)</f>
        <v/>
      </c>
      <c r="LE29" s="18">
        <f>IF(AND(314&gt;=$NQ$29,314&lt;=$NR$29),IF($NO$29="Single_Point",IF(314=$NQ$29,$NM$29,0),IF($NO$29="Bell_Curve",$NM$29*(314-$NQ$29+1)*($NR$29-314+1)/$NT$29,$NM$29/$NS$29)),0)</f>
        <v/>
      </c>
      <c r="LF29" s="18">
        <f>IF(AND(315&gt;=$NQ$29,315&lt;=$NR$29),IF($NO$29="Single_Point",IF(315=$NQ$29,$NM$29,0),IF($NO$29="Bell_Curve",$NM$29*(315-$NQ$29+1)*($NR$29-315+1)/$NT$29,$NM$29/$NS$29)),0)</f>
        <v/>
      </c>
      <c r="LG29" s="18">
        <f>IF(AND(316&gt;=$NQ$29,316&lt;=$NR$29),IF($NO$29="Single_Point",IF(316=$NQ$29,$NM$29,0),IF($NO$29="Bell_Curve",$NM$29*(316-$NQ$29+1)*($NR$29-316+1)/$NT$29,$NM$29/$NS$29)),0)</f>
        <v/>
      </c>
      <c r="LH29" s="18">
        <f>IF(AND(317&gt;=$NQ$29,317&lt;=$NR$29),IF($NO$29="Single_Point",IF(317=$NQ$29,$NM$29,0),IF($NO$29="Bell_Curve",$NM$29*(317-$NQ$29+1)*($NR$29-317+1)/$NT$29,$NM$29/$NS$29)),0)</f>
        <v/>
      </c>
      <c r="LI29" s="18">
        <f>IF(AND(318&gt;=$NQ$29,318&lt;=$NR$29),IF($NO$29="Single_Point",IF(318=$NQ$29,$NM$29,0),IF($NO$29="Bell_Curve",$NM$29*(318-$NQ$29+1)*($NR$29-318+1)/$NT$29,$NM$29/$NS$29)),0)</f>
        <v/>
      </c>
      <c r="LJ29" s="18">
        <f>IF(AND(319&gt;=$NQ$29,319&lt;=$NR$29),IF($NO$29="Single_Point",IF(319=$NQ$29,$NM$29,0),IF($NO$29="Bell_Curve",$NM$29*(319-$NQ$29+1)*($NR$29-319+1)/$NT$29,$NM$29/$NS$29)),0)</f>
        <v/>
      </c>
      <c r="LK29" s="18">
        <f>IF(AND(320&gt;=$NQ$29,320&lt;=$NR$29),IF($NO$29="Single_Point",IF(320=$NQ$29,$NM$29,0),IF($NO$29="Bell_Curve",$NM$29*(320-$NQ$29+1)*($NR$29-320+1)/$NT$29,$NM$29/$NS$29)),0)</f>
        <v/>
      </c>
      <c r="LL29" s="18">
        <f>IF(AND(321&gt;=$NQ$29,321&lt;=$NR$29),IF($NO$29="Single_Point",IF(321=$NQ$29,$NM$29,0),IF($NO$29="Bell_Curve",$NM$29*(321-$NQ$29+1)*($NR$29-321+1)/$NT$29,$NM$29/$NS$29)),0)</f>
        <v/>
      </c>
      <c r="LM29" s="18">
        <f>IF(AND(322&gt;=$NQ$29,322&lt;=$NR$29),IF($NO$29="Single_Point",IF(322=$NQ$29,$NM$29,0),IF($NO$29="Bell_Curve",$NM$29*(322-$NQ$29+1)*($NR$29-322+1)/$NT$29,$NM$29/$NS$29)),0)</f>
        <v/>
      </c>
      <c r="LN29" s="18">
        <f>IF(AND(323&gt;=$NQ$29,323&lt;=$NR$29),IF($NO$29="Single_Point",IF(323=$NQ$29,$NM$29,0),IF($NO$29="Bell_Curve",$NM$29*(323-$NQ$29+1)*($NR$29-323+1)/$NT$29,$NM$29/$NS$29)),0)</f>
        <v/>
      </c>
      <c r="LO29" s="18">
        <f>IF(AND(324&gt;=$NQ$29,324&lt;=$NR$29),IF($NO$29="Single_Point",IF(324=$NQ$29,$NM$29,0),IF($NO$29="Bell_Curve",$NM$29*(324-$NQ$29+1)*($NR$29-324+1)/$NT$29,$NM$29/$NS$29)),0)</f>
        <v/>
      </c>
      <c r="LP29" s="18">
        <f>IF(AND(325&gt;=$NQ$29,325&lt;=$NR$29),IF($NO$29="Single_Point",IF(325=$NQ$29,$NM$29,0),IF($NO$29="Bell_Curve",$NM$29*(325-$NQ$29+1)*($NR$29-325+1)/$NT$29,$NM$29/$NS$29)),0)</f>
        <v/>
      </c>
      <c r="LQ29" s="18">
        <f>IF(AND(326&gt;=$NQ$29,326&lt;=$NR$29),IF($NO$29="Single_Point",IF(326=$NQ$29,$NM$29,0),IF($NO$29="Bell_Curve",$NM$29*(326-$NQ$29+1)*($NR$29-326+1)/$NT$29,$NM$29/$NS$29)),0)</f>
        <v/>
      </c>
      <c r="LR29" s="18">
        <f>IF(AND(327&gt;=$NQ$29,327&lt;=$NR$29),IF($NO$29="Single_Point",IF(327=$NQ$29,$NM$29,0),IF($NO$29="Bell_Curve",$NM$29*(327-$NQ$29+1)*($NR$29-327+1)/$NT$29,$NM$29/$NS$29)),0)</f>
        <v/>
      </c>
      <c r="LS29" s="18">
        <f>IF(AND(328&gt;=$NQ$29,328&lt;=$NR$29),IF($NO$29="Single_Point",IF(328=$NQ$29,$NM$29,0),IF($NO$29="Bell_Curve",$NM$29*(328-$NQ$29+1)*($NR$29-328+1)/$NT$29,$NM$29/$NS$29)),0)</f>
        <v/>
      </c>
      <c r="LT29" s="18">
        <f>IF(AND(329&gt;=$NQ$29,329&lt;=$NR$29),IF($NO$29="Single_Point",IF(329=$NQ$29,$NM$29,0),IF($NO$29="Bell_Curve",$NM$29*(329-$NQ$29+1)*($NR$29-329+1)/$NT$29,$NM$29/$NS$29)),0)</f>
        <v/>
      </c>
      <c r="LU29" s="18">
        <f>IF(AND(330&gt;=$NQ$29,330&lt;=$NR$29),IF($NO$29="Single_Point",IF(330=$NQ$29,$NM$29,0),IF($NO$29="Bell_Curve",$NM$29*(330-$NQ$29+1)*($NR$29-330+1)/$NT$29,$NM$29/$NS$29)),0)</f>
        <v/>
      </c>
      <c r="LV29" s="18">
        <f>IF(AND(331&gt;=$NQ$29,331&lt;=$NR$29),IF($NO$29="Single_Point",IF(331=$NQ$29,$NM$29,0),IF($NO$29="Bell_Curve",$NM$29*(331-$NQ$29+1)*($NR$29-331+1)/$NT$29,$NM$29/$NS$29)),0)</f>
        <v/>
      </c>
      <c r="LW29" s="18">
        <f>IF(AND(332&gt;=$NQ$29,332&lt;=$NR$29),IF($NO$29="Single_Point",IF(332=$NQ$29,$NM$29,0),IF($NO$29="Bell_Curve",$NM$29*(332-$NQ$29+1)*($NR$29-332+1)/$NT$29,$NM$29/$NS$29)),0)</f>
        <v/>
      </c>
      <c r="LX29" s="18">
        <f>IF(AND(333&gt;=$NQ$29,333&lt;=$NR$29),IF($NO$29="Single_Point",IF(333=$NQ$29,$NM$29,0),IF($NO$29="Bell_Curve",$NM$29*(333-$NQ$29+1)*($NR$29-333+1)/$NT$29,$NM$29/$NS$29)),0)</f>
        <v/>
      </c>
      <c r="LY29" s="18">
        <f>IF(AND(334&gt;=$NQ$29,334&lt;=$NR$29),IF($NO$29="Single_Point",IF(334=$NQ$29,$NM$29,0),IF($NO$29="Bell_Curve",$NM$29*(334-$NQ$29+1)*($NR$29-334+1)/$NT$29,$NM$29/$NS$29)),0)</f>
        <v/>
      </c>
      <c r="LZ29" s="18">
        <f>IF(AND(335&gt;=$NQ$29,335&lt;=$NR$29),IF($NO$29="Single_Point",IF(335=$NQ$29,$NM$29,0),IF($NO$29="Bell_Curve",$NM$29*(335-$NQ$29+1)*($NR$29-335+1)/$NT$29,$NM$29/$NS$29)),0)</f>
        <v/>
      </c>
      <c r="MA29" s="18">
        <f>IF(AND(336&gt;=$NQ$29,336&lt;=$NR$29),IF($NO$29="Single_Point",IF(336=$NQ$29,$NM$29,0),IF($NO$29="Bell_Curve",$NM$29*(336-$NQ$29+1)*($NR$29-336+1)/$NT$29,$NM$29/$NS$29)),0)</f>
        <v/>
      </c>
      <c r="MB29" s="18">
        <f>IF(AND(337&gt;=$NQ$29,337&lt;=$NR$29),IF($NO$29="Single_Point",IF(337=$NQ$29,$NM$29,0),IF($NO$29="Bell_Curve",$NM$29*(337-$NQ$29+1)*($NR$29-337+1)/$NT$29,$NM$29/$NS$29)),0)</f>
        <v/>
      </c>
      <c r="MC29" s="18">
        <f>IF(AND(338&gt;=$NQ$29,338&lt;=$NR$29),IF($NO$29="Single_Point",IF(338=$NQ$29,$NM$29,0),IF($NO$29="Bell_Curve",$NM$29*(338-$NQ$29+1)*($NR$29-338+1)/$NT$29,$NM$29/$NS$29)),0)</f>
        <v/>
      </c>
      <c r="MD29" s="18">
        <f>IF(AND(339&gt;=$NQ$29,339&lt;=$NR$29),IF($NO$29="Single_Point",IF(339=$NQ$29,$NM$29,0),IF($NO$29="Bell_Curve",$NM$29*(339-$NQ$29+1)*($NR$29-339+1)/$NT$29,$NM$29/$NS$29)),0)</f>
        <v/>
      </c>
      <c r="ME29" s="18">
        <f>IF(AND(340&gt;=$NQ$29,340&lt;=$NR$29),IF($NO$29="Single_Point",IF(340=$NQ$29,$NM$29,0),IF($NO$29="Bell_Curve",$NM$29*(340-$NQ$29+1)*($NR$29-340+1)/$NT$29,$NM$29/$NS$29)),0)</f>
        <v/>
      </c>
      <c r="MF29" s="18">
        <f>IF(AND(341&gt;=$NQ$29,341&lt;=$NR$29),IF($NO$29="Single_Point",IF(341=$NQ$29,$NM$29,0),IF($NO$29="Bell_Curve",$NM$29*(341-$NQ$29+1)*($NR$29-341+1)/$NT$29,$NM$29/$NS$29)),0)</f>
        <v/>
      </c>
      <c r="MG29" s="18">
        <f>IF(AND(342&gt;=$NQ$29,342&lt;=$NR$29),IF($NO$29="Single_Point",IF(342=$NQ$29,$NM$29,0),IF($NO$29="Bell_Curve",$NM$29*(342-$NQ$29+1)*($NR$29-342+1)/$NT$29,$NM$29/$NS$29)),0)</f>
        <v/>
      </c>
      <c r="MH29" s="18">
        <f>IF(AND(343&gt;=$NQ$29,343&lt;=$NR$29),IF($NO$29="Single_Point",IF(343=$NQ$29,$NM$29,0),IF($NO$29="Bell_Curve",$NM$29*(343-$NQ$29+1)*($NR$29-343+1)/$NT$29,$NM$29/$NS$29)),0)</f>
        <v/>
      </c>
      <c r="MI29" s="18">
        <f>IF(AND(344&gt;=$NQ$29,344&lt;=$NR$29),IF($NO$29="Single_Point",IF(344=$NQ$29,$NM$29,0),IF($NO$29="Bell_Curve",$NM$29*(344-$NQ$29+1)*($NR$29-344+1)/$NT$29,$NM$29/$NS$29)),0)</f>
        <v/>
      </c>
      <c r="MJ29" s="18">
        <f>IF(AND(345&gt;=$NQ$29,345&lt;=$NR$29),IF($NO$29="Single_Point",IF(345=$NQ$29,$NM$29,0),IF($NO$29="Bell_Curve",$NM$29*(345-$NQ$29+1)*($NR$29-345+1)/$NT$29,$NM$29/$NS$29)),0)</f>
        <v/>
      </c>
      <c r="MK29" s="18">
        <f>IF(AND(346&gt;=$NQ$29,346&lt;=$NR$29),IF($NO$29="Single_Point",IF(346=$NQ$29,$NM$29,0),IF($NO$29="Bell_Curve",$NM$29*(346-$NQ$29+1)*($NR$29-346+1)/$NT$29,$NM$29/$NS$29)),0)</f>
        <v/>
      </c>
      <c r="ML29" s="18">
        <f>IF(AND(347&gt;=$NQ$29,347&lt;=$NR$29),IF($NO$29="Single_Point",IF(347=$NQ$29,$NM$29,0),IF($NO$29="Bell_Curve",$NM$29*(347-$NQ$29+1)*($NR$29-347+1)/$NT$29,$NM$29/$NS$29)),0)</f>
        <v/>
      </c>
      <c r="MM29" s="18">
        <f>IF(AND(348&gt;=$NQ$29,348&lt;=$NR$29),IF($NO$29="Single_Point",IF(348=$NQ$29,$NM$29,0),IF($NO$29="Bell_Curve",$NM$29*(348-$NQ$29+1)*($NR$29-348+1)/$NT$29,$NM$29/$NS$29)),0)</f>
        <v/>
      </c>
      <c r="MN29" s="18">
        <f>IF(AND(349&gt;=$NQ$29,349&lt;=$NR$29),IF($NO$29="Single_Point",IF(349=$NQ$29,$NM$29,0),IF($NO$29="Bell_Curve",$NM$29*(349-$NQ$29+1)*($NR$29-349+1)/$NT$29,$NM$29/$NS$29)),0)</f>
        <v/>
      </c>
      <c r="MO29" s="18">
        <f>IF(AND(350&gt;=$NQ$29,350&lt;=$NR$29),IF($NO$29="Single_Point",IF(350=$NQ$29,$NM$29,0),IF($NO$29="Bell_Curve",$NM$29*(350-$NQ$29+1)*($NR$29-350+1)/$NT$29,$NM$29/$NS$29)),0)</f>
        <v/>
      </c>
      <c r="MP29" s="18">
        <f>IF(AND(351&gt;=$NQ$29,351&lt;=$NR$29),IF($NO$29="Single_Point",IF(351=$NQ$29,$NM$29,0),IF($NO$29="Bell_Curve",$NM$29*(351-$NQ$29+1)*($NR$29-351+1)/$NT$29,$NM$29/$NS$29)),0)</f>
        <v/>
      </c>
      <c r="MQ29" s="18">
        <f>IF(AND(352&gt;=$NQ$29,352&lt;=$NR$29),IF($NO$29="Single_Point",IF(352=$NQ$29,$NM$29,0),IF($NO$29="Bell_Curve",$NM$29*(352-$NQ$29+1)*($NR$29-352+1)/$NT$29,$NM$29/$NS$29)),0)</f>
        <v/>
      </c>
      <c r="MR29" s="18">
        <f>IF(AND(353&gt;=$NQ$29,353&lt;=$NR$29),IF($NO$29="Single_Point",IF(353=$NQ$29,$NM$29,0),IF($NO$29="Bell_Curve",$NM$29*(353-$NQ$29+1)*($NR$29-353+1)/$NT$29,$NM$29/$NS$29)),0)</f>
        <v/>
      </c>
      <c r="MS29" s="18">
        <f>IF(AND(354&gt;=$NQ$29,354&lt;=$NR$29),IF($NO$29="Single_Point",IF(354=$NQ$29,$NM$29,0),IF($NO$29="Bell_Curve",$NM$29*(354-$NQ$29+1)*($NR$29-354+1)/$NT$29,$NM$29/$NS$29)),0)</f>
        <v/>
      </c>
      <c r="MT29" s="18">
        <f>IF(AND(355&gt;=$NQ$29,355&lt;=$NR$29),IF($NO$29="Single_Point",IF(355=$NQ$29,$NM$29,0),IF($NO$29="Bell_Curve",$NM$29*(355-$NQ$29+1)*($NR$29-355+1)/$NT$29,$NM$29/$NS$29)),0)</f>
        <v/>
      </c>
      <c r="MU29" s="18">
        <f>IF(AND(356&gt;=$NQ$29,356&lt;=$NR$29),IF($NO$29="Single_Point",IF(356=$NQ$29,$NM$29,0),IF($NO$29="Bell_Curve",$NM$29*(356-$NQ$29+1)*($NR$29-356+1)/$NT$29,$NM$29/$NS$29)),0)</f>
        <v/>
      </c>
      <c r="MV29" s="18">
        <f>IF(AND(357&gt;=$NQ$29,357&lt;=$NR$29),IF($NO$29="Single_Point",IF(357=$NQ$29,$NM$29,0),IF($NO$29="Bell_Curve",$NM$29*(357-$NQ$29+1)*($NR$29-357+1)/$NT$29,$NM$29/$NS$29)),0)</f>
        <v/>
      </c>
      <c r="MW29" s="18">
        <f>IF(AND(358&gt;=$NQ$29,358&lt;=$NR$29),IF($NO$29="Single_Point",IF(358=$NQ$29,$NM$29,0),IF($NO$29="Bell_Curve",$NM$29*(358-$NQ$29+1)*($NR$29-358+1)/$NT$29,$NM$29/$NS$29)),0)</f>
        <v/>
      </c>
      <c r="MX29" s="18">
        <f>IF(AND(359&gt;=$NQ$29,359&lt;=$NR$29),IF($NO$29="Single_Point",IF(359=$NQ$29,$NM$29,0),IF($NO$29="Bell_Curve",$NM$29*(359-$NQ$29+1)*($NR$29-359+1)/$NT$29,$NM$29/$NS$29)),0)</f>
        <v/>
      </c>
      <c r="MY29" s="18">
        <f>IF(AND(360&gt;=$NQ$29,360&lt;=$NR$29),IF($NO$29="Single_Point",IF(360=$NQ$29,$NM$29,0),IF($NO$29="Bell_Curve",$NM$29*(360-$NQ$29+1)*($NR$29-360+1)/$NT$29,$NM$29/$NS$29)),0)</f>
        <v/>
      </c>
      <c r="MZ29" s="18">
        <f>IF(AND(361&gt;=$NQ$29,361&lt;=$NR$29),IF($NO$29="Single_Point",IF(361=$NQ$29,$NM$29,0),IF($NO$29="Bell_Curve",$NM$29*(361-$NQ$29+1)*($NR$29-361+1)/$NT$29,$NM$29/$NS$29)),0)</f>
        <v/>
      </c>
      <c r="NA29" s="18">
        <f>IF(AND(362&gt;=$NQ$29,362&lt;=$NR$29),IF($NO$29="Single_Point",IF(362=$NQ$29,$NM$29,0),IF($NO$29="Bell_Curve",$NM$29*(362-$NQ$29+1)*($NR$29-362+1)/$NT$29,$NM$29/$NS$29)),0)</f>
        <v/>
      </c>
      <c r="NB29" s="18">
        <f>IF(AND(363&gt;=$NQ$29,363&lt;=$NR$29),IF($NO$29="Single_Point",IF(363=$NQ$29,$NM$29,0),IF($NO$29="Bell_Curve",$NM$29*(363-$NQ$29+1)*($NR$29-363+1)/$NT$29,$NM$29/$NS$29)),0)</f>
        <v/>
      </c>
      <c r="NC29" s="18">
        <f>IF(AND(364&gt;=$NQ$29,364&lt;=$NR$29),IF($NO$29="Single_Point",IF(364=$NQ$29,$NM$29,0),IF($NO$29="Bell_Curve",$NM$29*(364-$NQ$29+1)*($NR$29-364+1)/$NT$29,$NM$29/$NS$29)),0)</f>
        <v/>
      </c>
      <c r="ND29" s="18">
        <f>IF(AND(365&gt;=$NQ$29,365&lt;=$NR$29),IF($NO$29="Single_Point",IF(365=$NQ$29,$NM$29,0),IF($NO$29="Bell_Curve",$NM$29*(365-$NQ$29+1)*($NR$29-365+1)/$NT$29,$NM$29/$NS$29)),0)</f>
        <v/>
      </c>
      <c r="NE29" s="18">
        <f>IF(AND(366&gt;=$NQ$29,366&lt;=$NR$29),IF($NO$29="Single_Point",IF(366=$NQ$29,$NM$29,0),IF($NO$29="Bell_Curve",$NM$29*(366-$NQ$29+1)*($NR$29-366+1)/$NT$29,$NM$29/$NS$29)),0)</f>
        <v/>
      </c>
      <c r="NF29" s="18">
        <f>IF(AND(367&gt;=$NQ$29,367&lt;=$NR$29),IF($NO$29="Single_Point",IF(367=$NQ$29,$NM$29,0),IF($NO$29="Bell_Curve",$NM$29*(367-$NQ$29+1)*($NR$29-367+1)/$NT$29,$NM$29/$NS$29)),0)</f>
        <v/>
      </c>
      <c r="NG29" s="18">
        <f>IF(AND(368&gt;=$NQ$29,368&lt;=$NR$29),IF($NO$29="Single_Point",IF(368=$NQ$29,$NM$29,0),IF($NO$29="Bell_Curve",$NM$29*(368-$NQ$29+1)*($NR$29-368+1)/$NT$29,$NM$29/$NS$29)),0)</f>
        <v/>
      </c>
      <c r="NH29" s="18">
        <f>IF(AND(369&gt;=$NQ$29,369&lt;=$NR$29),IF($NO$29="Single_Point",IF(369=$NQ$29,$NM$29,0),IF($NO$29="Bell_Curve",$NM$29*(369-$NQ$29+1)*($NR$29-369+1)/$NT$29,$NM$29/$NS$29)),0)</f>
        <v/>
      </c>
      <c r="NI29" s="18">
        <f>IF(AND(370&gt;=$NQ$29,370&lt;=$NR$29),IF($NO$29="Single_Point",IF(370=$NQ$29,$NM$29,0),IF($NO$29="Bell_Curve",$NM$29*(370-$NQ$29+1)*($NR$29-370+1)/$NT$29,$NM$29/$NS$29)),0)</f>
        <v/>
      </c>
      <c r="NJ29" s="18">
        <f>IF(AND(371&gt;=$NQ$29,371&lt;=$NR$29),IF($NO$29="Single_Point",IF(371=$NQ$29,$NM$29,0),IF($NO$29="Bell_Curve",$NM$29*(371-$NQ$29+1)*($NR$29-371+1)/$NT$29,$NM$29/$NS$29)),0)</f>
        <v/>
      </c>
      <c r="NK29" s="18">
        <f>IF(AND(372&gt;=$NQ$29,372&lt;=$NR$29),IF($NO$29="Single_Point",IF(372=$NQ$29,$NM$29,0),IF($NO$29="Bell_Curve",$NM$29*(372-$NQ$29+1)*($NR$29-372+1)/$NT$29,$NM$29/$NS$29)),0)</f>
        <v/>
      </c>
      <c r="NM29" s="18">
        <f>Budget!I28</f>
        <v/>
      </c>
      <c r="NN29" s="42">
        <f>Budget!F28</f>
        <v/>
      </c>
      <c r="NO29" s="42">
        <f>Budget!G28</f>
        <v/>
      </c>
      <c r="NP29" s="17">
        <f>Budget!H28</f>
        <v/>
      </c>
      <c r="NQ29" s="32">
        <f>MAX(1,MIN(372,INDEX(MilestoneStart,MATCH(NN29,MilestoneNames,0))+NP29))</f>
        <v/>
      </c>
      <c r="NR29" s="32">
        <f>MAX(NQ29,MIN(372,INDEX(MilestoneEnd,MATCH(NN29,MilestoneNames,0))+NP29))</f>
        <v/>
      </c>
      <c r="NS29" s="17">
        <f>NR29-NQ29+1</f>
        <v/>
      </c>
      <c r="NT29" s="17">
        <f>NS29*(NS29+1)*(NS29+2)/6</f>
        <v/>
      </c>
    </row>
    <row r="30">
      <c r="A30" s="5" t="inlineStr">
        <is>
          <t>Other Hard Cost 4</t>
        </is>
      </c>
      <c r="C30" s="41">
        <f>SUM(D30:NK30)</f>
        <v/>
      </c>
      <c r="D30" s="18">
        <f>IF(AND(1&gt;=$NQ$30,1&lt;=$NR$30),IF($NO$30="Single_Point",IF(1=$NQ$30,$NM$30,0),IF($NO$30="Bell_Curve",$NM$30*(1-$NQ$30+1)*($NR$30-1+1)/$NT$30,$NM$30/$NS$30)),0)</f>
        <v/>
      </c>
      <c r="E30" s="18">
        <f>IF(AND(2&gt;=$NQ$30,2&lt;=$NR$30),IF($NO$30="Single_Point",IF(2=$NQ$30,$NM$30,0),IF($NO$30="Bell_Curve",$NM$30*(2-$NQ$30+1)*($NR$30-2+1)/$NT$30,$NM$30/$NS$30)),0)</f>
        <v/>
      </c>
      <c r="F30" s="18">
        <f>IF(AND(3&gt;=$NQ$30,3&lt;=$NR$30),IF($NO$30="Single_Point",IF(3=$NQ$30,$NM$30,0),IF($NO$30="Bell_Curve",$NM$30*(3-$NQ$30+1)*($NR$30-3+1)/$NT$30,$NM$30/$NS$30)),0)</f>
        <v/>
      </c>
      <c r="G30" s="18">
        <f>IF(AND(4&gt;=$NQ$30,4&lt;=$NR$30),IF($NO$30="Single_Point",IF(4=$NQ$30,$NM$30,0),IF($NO$30="Bell_Curve",$NM$30*(4-$NQ$30+1)*($NR$30-4+1)/$NT$30,$NM$30/$NS$30)),0)</f>
        <v/>
      </c>
      <c r="H30" s="18">
        <f>IF(AND(5&gt;=$NQ$30,5&lt;=$NR$30),IF($NO$30="Single_Point",IF(5=$NQ$30,$NM$30,0),IF($NO$30="Bell_Curve",$NM$30*(5-$NQ$30+1)*($NR$30-5+1)/$NT$30,$NM$30/$NS$30)),0)</f>
        <v/>
      </c>
      <c r="I30" s="18">
        <f>IF(AND(6&gt;=$NQ$30,6&lt;=$NR$30),IF($NO$30="Single_Point",IF(6=$NQ$30,$NM$30,0),IF($NO$30="Bell_Curve",$NM$30*(6-$NQ$30+1)*($NR$30-6+1)/$NT$30,$NM$30/$NS$30)),0)</f>
        <v/>
      </c>
      <c r="J30" s="18">
        <f>IF(AND(7&gt;=$NQ$30,7&lt;=$NR$30),IF($NO$30="Single_Point",IF(7=$NQ$30,$NM$30,0),IF($NO$30="Bell_Curve",$NM$30*(7-$NQ$30+1)*($NR$30-7+1)/$NT$30,$NM$30/$NS$30)),0)</f>
        <v/>
      </c>
      <c r="K30" s="18">
        <f>IF(AND(8&gt;=$NQ$30,8&lt;=$NR$30),IF($NO$30="Single_Point",IF(8=$NQ$30,$NM$30,0),IF($NO$30="Bell_Curve",$NM$30*(8-$NQ$30+1)*($NR$30-8+1)/$NT$30,$NM$30/$NS$30)),0)</f>
        <v/>
      </c>
      <c r="L30" s="18">
        <f>IF(AND(9&gt;=$NQ$30,9&lt;=$NR$30),IF($NO$30="Single_Point",IF(9=$NQ$30,$NM$30,0),IF($NO$30="Bell_Curve",$NM$30*(9-$NQ$30+1)*($NR$30-9+1)/$NT$30,$NM$30/$NS$30)),0)</f>
        <v/>
      </c>
      <c r="M30" s="18">
        <f>IF(AND(10&gt;=$NQ$30,10&lt;=$NR$30),IF($NO$30="Single_Point",IF(10=$NQ$30,$NM$30,0),IF($NO$30="Bell_Curve",$NM$30*(10-$NQ$30+1)*($NR$30-10+1)/$NT$30,$NM$30/$NS$30)),0)</f>
        <v/>
      </c>
      <c r="N30" s="18">
        <f>IF(AND(11&gt;=$NQ$30,11&lt;=$NR$30),IF($NO$30="Single_Point",IF(11=$NQ$30,$NM$30,0),IF($NO$30="Bell_Curve",$NM$30*(11-$NQ$30+1)*($NR$30-11+1)/$NT$30,$NM$30/$NS$30)),0)</f>
        <v/>
      </c>
      <c r="O30" s="18">
        <f>IF(AND(12&gt;=$NQ$30,12&lt;=$NR$30),IF($NO$30="Single_Point",IF(12=$NQ$30,$NM$30,0),IF($NO$30="Bell_Curve",$NM$30*(12-$NQ$30+1)*($NR$30-12+1)/$NT$30,$NM$30/$NS$30)),0)</f>
        <v/>
      </c>
      <c r="P30" s="18">
        <f>IF(AND(13&gt;=$NQ$30,13&lt;=$NR$30),IF($NO$30="Single_Point",IF(13=$NQ$30,$NM$30,0),IF($NO$30="Bell_Curve",$NM$30*(13-$NQ$30+1)*($NR$30-13+1)/$NT$30,$NM$30/$NS$30)),0)</f>
        <v/>
      </c>
      <c r="Q30" s="18">
        <f>IF(AND(14&gt;=$NQ$30,14&lt;=$NR$30),IF($NO$30="Single_Point",IF(14=$NQ$30,$NM$30,0),IF($NO$30="Bell_Curve",$NM$30*(14-$NQ$30+1)*($NR$30-14+1)/$NT$30,$NM$30/$NS$30)),0)</f>
        <v/>
      </c>
      <c r="R30" s="18">
        <f>IF(AND(15&gt;=$NQ$30,15&lt;=$NR$30),IF($NO$30="Single_Point",IF(15=$NQ$30,$NM$30,0),IF($NO$30="Bell_Curve",$NM$30*(15-$NQ$30+1)*($NR$30-15+1)/$NT$30,$NM$30/$NS$30)),0)</f>
        <v/>
      </c>
      <c r="S30" s="18">
        <f>IF(AND(16&gt;=$NQ$30,16&lt;=$NR$30),IF($NO$30="Single_Point",IF(16=$NQ$30,$NM$30,0),IF($NO$30="Bell_Curve",$NM$30*(16-$NQ$30+1)*($NR$30-16+1)/$NT$30,$NM$30/$NS$30)),0)</f>
        <v/>
      </c>
      <c r="T30" s="18">
        <f>IF(AND(17&gt;=$NQ$30,17&lt;=$NR$30),IF($NO$30="Single_Point",IF(17=$NQ$30,$NM$30,0),IF($NO$30="Bell_Curve",$NM$30*(17-$NQ$30+1)*($NR$30-17+1)/$NT$30,$NM$30/$NS$30)),0)</f>
        <v/>
      </c>
      <c r="U30" s="18">
        <f>IF(AND(18&gt;=$NQ$30,18&lt;=$NR$30),IF($NO$30="Single_Point",IF(18=$NQ$30,$NM$30,0),IF($NO$30="Bell_Curve",$NM$30*(18-$NQ$30+1)*($NR$30-18+1)/$NT$30,$NM$30/$NS$30)),0)</f>
        <v/>
      </c>
      <c r="V30" s="18">
        <f>IF(AND(19&gt;=$NQ$30,19&lt;=$NR$30),IF($NO$30="Single_Point",IF(19=$NQ$30,$NM$30,0),IF($NO$30="Bell_Curve",$NM$30*(19-$NQ$30+1)*($NR$30-19+1)/$NT$30,$NM$30/$NS$30)),0)</f>
        <v/>
      </c>
      <c r="W30" s="18">
        <f>IF(AND(20&gt;=$NQ$30,20&lt;=$NR$30),IF($NO$30="Single_Point",IF(20=$NQ$30,$NM$30,0),IF($NO$30="Bell_Curve",$NM$30*(20-$NQ$30+1)*($NR$30-20+1)/$NT$30,$NM$30/$NS$30)),0)</f>
        <v/>
      </c>
      <c r="X30" s="18">
        <f>IF(AND(21&gt;=$NQ$30,21&lt;=$NR$30),IF($NO$30="Single_Point",IF(21=$NQ$30,$NM$30,0),IF($NO$30="Bell_Curve",$NM$30*(21-$NQ$30+1)*($NR$30-21+1)/$NT$30,$NM$30/$NS$30)),0)</f>
        <v/>
      </c>
      <c r="Y30" s="18">
        <f>IF(AND(22&gt;=$NQ$30,22&lt;=$NR$30),IF($NO$30="Single_Point",IF(22=$NQ$30,$NM$30,0),IF($NO$30="Bell_Curve",$NM$30*(22-$NQ$30+1)*($NR$30-22+1)/$NT$30,$NM$30/$NS$30)),0)</f>
        <v/>
      </c>
      <c r="Z30" s="18">
        <f>IF(AND(23&gt;=$NQ$30,23&lt;=$NR$30),IF($NO$30="Single_Point",IF(23=$NQ$30,$NM$30,0),IF($NO$30="Bell_Curve",$NM$30*(23-$NQ$30+1)*($NR$30-23+1)/$NT$30,$NM$30/$NS$30)),0)</f>
        <v/>
      </c>
      <c r="AA30" s="18">
        <f>IF(AND(24&gt;=$NQ$30,24&lt;=$NR$30),IF($NO$30="Single_Point",IF(24=$NQ$30,$NM$30,0),IF($NO$30="Bell_Curve",$NM$30*(24-$NQ$30+1)*($NR$30-24+1)/$NT$30,$NM$30/$NS$30)),0)</f>
        <v/>
      </c>
      <c r="AB30" s="18">
        <f>IF(AND(25&gt;=$NQ$30,25&lt;=$NR$30),IF($NO$30="Single_Point",IF(25=$NQ$30,$NM$30,0),IF($NO$30="Bell_Curve",$NM$30*(25-$NQ$30+1)*($NR$30-25+1)/$NT$30,$NM$30/$NS$30)),0)</f>
        <v/>
      </c>
      <c r="AC30" s="18">
        <f>IF(AND(26&gt;=$NQ$30,26&lt;=$NR$30),IF($NO$30="Single_Point",IF(26=$NQ$30,$NM$30,0),IF($NO$30="Bell_Curve",$NM$30*(26-$NQ$30+1)*($NR$30-26+1)/$NT$30,$NM$30/$NS$30)),0)</f>
        <v/>
      </c>
      <c r="AD30" s="18">
        <f>IF(AND(27&gt;=$NQ$30,27&lt;=$NR$30),IF($NO$30="Single_Point",IF(27=$NQ$30,$NM$30,0),IF($NO$30="Bell_Curve",$NM$30*(27-$NQ$30+1)*($NR$30-27+1)/$NT$30,$NM$30/$NS$30)),0)</f>
        <v/>
      </c>
      <c r="AE30" s="18">
        <f>IF(AND(28&gt;=$NQ$30,28&lt;=$NR$30),IF($NO$30="Single_Point",IF(28=$NQ$30,$NM$30,0),IF($NO$30="Bell_Curve",$NM$30*(28-$NQ$30+1)*($NR$30-28+1)/$NT$30,$NM$30/$NS$30)),0)</f>
        <v/>
      </c>
      <c r="AF30" s="18">
        <f>IF(AND(29&gt;=$NQ$30,29&lt;=$NR$30),IF($NO$30="Single_Point",IF(29=$NQ$30,$NM$30,0),IF($NO$30="Bell_Curve",$NM$30*(29-$NQ$30+1)*($NR$30-29+1)/$NT$30,$NM$30/$NS$30)),0)</f>
        <v/>
      </c>
      <c r="AG30" s="18">
        <f>IF(AND(30&gt;=$NQ$30,30&lt;=$NR$30),IF($NO$30="Single_Point",IF(30=$NQ$30,$NM$30,0),IF($NO$30="Bell_Curve",$NM$30*(30-$NQ$30+1)*($NR$30-30+1)/$NT$30,$NM$30/$NS$30)),0)</f>
        <v/>
      </c>
      <c r="AH30" s="18">
        <f>IF(AND(31&gt;=$NQ$30,31&lt;=$NR$30),IF($NO$30="Single_Point",IF(31=$NQ$30,$NM$30,0),IF($NO$30="Bell_Curve",$NM$30*(31-$NQ$30+1)*($NR$30-31+1)/$NT$30,$NM$30/$NS$30)),0)</f>
        <v/>
      </c>
      <c r="AI30" s="18">
        <f>IF(AND(32&gt;=$NQ$30,32&lt;=$NR$30),IF($NO$30="Single_Point",IF(32=$NQ$30,$NM$30,0),IF($NO$30="Bell_Curve",$NM$30*(32-$NQ$30+1)*($NR$30-32+1)/$NT$30,$NM$30/$NS$30)),0)</f>
        <v/>
      </c>
      <c r="AJ30" s="18">
        <f>IF(AND(33&gt;=$NQ$30,33&lt;=$NR$30),IF($NO$30="Single_Point",IF(33=$NQ$30,$NM$30,0),IF($NO$30="Bell_Curve",$NM$30*(33-$NQ$30+1)*($NR$30-33+1)/$NT$30,$NM$30/$NS$30)),0)</f>
        <v/>
      </c>
      <c r="AK30" s="18">
        <f>IF(AND(34&gt;=$NQ$30,34&lt;=$NR$30),IF($NO$30="Single_Point",IF(34=$NQ$30,$NM$30,0),IF($NO$30="Bell_Curve",$NM$30*(34-$NQ$30+1)*($NR$30-34+1)/$NT$30,$NM$30/$NS$30)),0)</f>
        <v/>
      </c>
      <c r="AL30" s="18">
        <f>IF(AND(35&gt;=$NQ$30,35&lt;=$NR$30),IF($NO$30="Single_Point",IF(35=$NQ$30,$NM$30,0),IF($NO$30="Bell_Curve",$NM$30*(35-$NQ$30+1)*($NR$30-35+1)/$NT$30,$NM$30/$NS$30)),0)</f>
        <v/>
      </c>
      <c r="AM30" s="18">
        <f>IF(AND(36&gt;=$NQ$30,36&lt;=$NR$30),IF($NO$30="Single_Point",IF(36=$NQ$30,$NM$30,0),IF($NO$30="Bell_Curve",$NM$30*(36-$NQ$30+1)*($NR$30-36+1)/$NT$30,$NM$30/$NS$30)),0)</f>
        <v/>
      </c>
      <c r="AN30" s="18">
        <f>IF(AND(37&gt;=$NQ$30,37&lt;=$NR$30),IF($NO$30="Single_Point",IF(37=$NQ$30,$NM$30,0),IF($NO$30="Bell_Curve",$NM$30*(37-$NQ$30+1)*($NR$30-37+1)/$NT$30,$NM$30/$NS$30)),0)</f>
        <v/>
      </c>
      <c r="AO30" s="18">
        <f>IF(AND(38&gt;=$NQ$30,38&lt;=$NR$30),IF($NO$30="Single_Point",IF(38=$NQ$30,$NM$30,0),IF($NO$30="Bell_Curve",$NM$30*(38-$NQ$30+1)*($NR$30-38+1)/$NT$30,$NM$30/$NS$30)),0)</f>
        <v/>
      </c>
      <c r="AP30" s="18">
        <f>IF(AND(39&gt;=$NQ$30,39&lt;=$NR$30),IF($NO$30="Single_Point",IF(39=$NQ$30,$NM$30,0),IF($NO$30="Bell_Curve",$NM$30*(39-$NQ$30+1)*($NR$30-39+1)/$NT$30,$NM$30/$NS$30)),0)</f>
        <v/>
      </c>
      <c r="AQ30" s="18">
        <f>IF(AND(40&gt;=$NQ$30,40&lt;=$NR$30),IF($NO$30="Single_Point",IF(40=$NQ$30,$NM$30,0),IF($NO$30="Bell_Curve",$NM$30*(40-$NQ$30+1)*($NR$30-40+1)/$NT$30,$NM$30/$NS$30)),0)</f>
        <v/>
      </c>
      <c r="AR30" s="18">
        <f>IF(AND(41&gt;=$NQ$30,41&lt;=$NR$30),IF($NO$30="Single_Point",IF(41=$NQ$30,$NM$30,0),IF($NO$30="Bell_Curve",$NM$30*(41-$NQ$30+1)*($NR$30-41+1)/$NT$30,$NM$30/$NS$30)),0)</f>
        <v/>
      </c>
      <c r="AS30" s="18">
        <f>IF(AND(42&gt;=$NQ$30,42&lt;=$NR$30),IF($NO$30="Single_Point",IF(42=$NQ$30,$NM$30,0),IF($NO$30="Bell_Curve",$NM$30*(42-$NQ$30+1)*($NR$30-42+1)/$NT$30,$NM$30/$NS$30)),0)</f>
        <v/>
      </c>
      <c r="AT30" s="18">
        <f>IF(AND(43&gt;=$NQ$30,43&lt;=$NR$30),IF($NO$30="Single_Point",IF(43=$NQ$30,$NM$30,0),IF($NO$30="Bell_Curve",$NM$30*(43-$NQ$30+1)*($NR$30-43+1)/$NT$30,$NM$30/$NS$30)),0)</f>
        <v/>
      </c>
      <c r="AU30" s="18">
        <f>IF(AND(44&gt;=$NQ$30,44&lt;=$NR$30),IF($NO$30="Single_Point",IF(44=$NQ$30,$NM$30,0),IF($NO$30="Bell_Curve",$NM$30*(44-$NQ$30+1)*($NR$30-44+1)/$NT$30,$NM$30/$NS$30)),0)</f>
        <v/>
      </c>
      <c r="AV30" s="18">
        <f>IF(AND(45&gt;=$NQ$30,45&lt;=$NR$30),IF($NO$30="Single_Point",IF(45=$NQ$30,$NM$30,0),IF($NO$30="Bell_Curve",$NM$30*(45-$NQ$30+1)*($NR$30-45+1)/$NT$30,$NM$30/$NS$30)),0)</f>
        <v/>
      </c>
      <c r="AW30" s="18">
        <f>IF(AND(46&gt;=$NQ$30,46&lt;=$NR$30),IF($NO$30="Single_Point",IF(46=$NQ$30,$NM$30,0),IF($NO$30="Bell_Curve",$NM$30*(46-$NQ$30+1)*($NR$30-46+1)/$NT$30,$NM$30/$NS$30)),0)</f>
        <v/>
      </c>
      <c r="AX30" s="18">
        <f>IF(AND(47&gt;=$NQ$30,47&lt;=$NR$30),IF($NO$30="Single_Point",IF(47=$NQ$30,$NM$30,0),IF($NO$30="Bell_Curve",$NM$30*(47-$NQ$30+1)*($NR$30-47+1)/$NT$30,$NM$30/$NS$30)),0)</f>
        <v/>
      </c>
      <c r="AY30" s="18">
        <f>IF(AND(48&gt;=$NQ$30,48&lt;=$NR$30),IF($NO$30="Single_Point",IF(48=$NQ$30,$NM$30,0),IF($NO$30="Bell_Curve",$NM$30*(48-$NQ$30+1)*($NR$30-48+1)/$NT$30,$NM$30/$NS$30)),0)</f>
        <v/>
      </c>
      <c r="AZ30" s="18">
        <f>IF(AND(49&gt;=$NQ$30,49&lt;=$NR$30),IF($NO$30="Single_Point",IF(49=$NQ$30,$NM$30,0),IF($NO$30="Bell_Curve",$NM$30*(49-$NQ$30+1)*($NR$30-49+1)/$NT$30,$NM$30/$NS$30)),0)</f>
        <v/>
      </c>
      <c r="BA30" s="18">
        <f>IF(AND(50&gt;=$NQ$30,50&lt;=$NR$30),IF($NO$30="Single_Point",IF(50=$NQ$30,$NM$30,0),IF($NO$30="Bell_Curve",$NM$30*(50-$NQ$30+1)*($NR$30-50+1)/$NT$30,$NM$30/$NS$30)),0)</f>
        <v/>
      </c>
      <c r="BB30" s="18">
        <f>IF(AND(51&gt;=$NQ$30,51&lt;=$NR$30),IF($NO$30="Single_Point",IF(51=$NQ$30,$NM$30,0),IF($NO$30="Bell_Curve",$NM$30*(51-$NQ$30+1)*($NR$30-51+1)/$NT$30,$NM$30/$NS$30)),0)</f>
        <v/>
      </c>
      <c r="BC30" s="18">
        <f>IF(AND(52&gt;=$NQ$30,52&lt;=$NR$30),IF($NO$30="Single_Point",IF(52=$NQ$30,$NM$30,0),IF($NO$30="Bell_Curve",$NM$30*(52-$NQ$30+1)*($NR$30-52+1)/$NT$30,$NM$30/$NS$30)),0)</f>
        <v/>
      </c>
      <c r="BD30" s="18">
        <f>IF(AND(53&gt;=$NQ$30,53&lt;=$NR$30),IF($NO$30="Single_Point",IF(53=$NQ$30,$NM$30,0),IF($NO$30="Bell_Curve",$NM$30*(53-$NQ$30+1)*($NR$30-53+1)/$NT$30,$NM$30/$NS$30)),0)</f>
        <v/>
      </c>
      <c r="BE30" s="18">
        <f>IF(AND(54&gt;=$NQ$30,54&lt;=$NR$30),IF($NO$30="Single_Point",IF(54=$NQ$30,$NM$30,0),IF($NO$30="Bell_Curve",$NM$30*(54-$NQ$30+1)*($NR$30-54+1)/$NT$30,$NM$30/$NS$30)),0)</f>
        <v/>
      </c>
      <c r="BF30" s="18">
        <f>IF(AND(55&gt;=$NQ$30,55&lt;=$NR$30),IF($NO$30="Single_Point",IF(55=$NQ$30,$NM$30,0),IF($NO$30="Bell_Curve",$NM$30*(55-$NQ$30+1)*($NR$30-55+1)/$NT$30,$NM$30/$NS$30)),0)</f>
        <v/>
      </c>
      <c r="BG30" s="18">
        <f>IF(AND(56&gt;=$NQ$30,56&lt;=$NR$30),IF($NO$30="Single_Point",IF(56=$NQ$30,$NM$30,0),IF($NO$30="Bell_Curve",$NM$30*(56-$NQ$30+1)*($NR$30-56+1)/$NT$30,$NM$30/$NS$30)),0)</f>
        <v/>
      </c>
      <c r="BH30" s="18">
        <f>IF(AND(57&gt;=$NQ$30,57&lt;=$NR$30),IF($NO$30="Single_Point",IF(57=$NQ$30,$NM$30,0),IF($NO$30="Bell_Curve",$NM$30*(57-$NQ$30+1)*($NR$30-57+1)/$NT$30,$NM$30/$NS$30)),0)</f>
        <v/>
      </c>
      <c r="BI30" s="18">
        <f>IF(AND(58&gt;=$NQ$30,58&lt;=$NR$30),IF($NO$30="Single_Point",IF(58=$NQ$30,$NM$30,0),IF($NO$30="Bell_Curve",$NM$30*(58-$NQ$30+1)*($NR$30-58+1)/$NT$30,$NM$30/$NS$30)),0)</f>
        <v/>
      </c>
      <c r="BJ30" s="18">
        <f>IF(AND(59&gt;=$NQ$30,59&lt;=$NR$30),IF($NO$30="Single_Point",IF(59=$NQ$30,$NM$30,0),IF($NO$30="Bell_Curve",$NM$30*(59-$NQ$30+1)*($NR$30-59+1)/$NT$30,$NM$30/$NS$30)),0)</f>
        <v/>
      </c>
      <c r="BK30" s="18">
        <f>IF(AND(60&gt;=$NQ$30,60&lt;=$NR$30),IF($NO$30="Single_Point",IF(60=$NQ$30,$NM$30,0),IF($NO$30="Bell_Curve",$NM$30*(60-$NQ$30+1)*($NR$30-60+1)/$NT$30,$NM$30/$NS$30)),0)</f>
        <v/>
      </c>
      <c r="BL30" s="18">
        <f>IF(AND(61&gt;=$NQ$30,61&lt;=$NR$30),IF($NO$30="Single_Point",IF(61=$NQ$30,$NM$30,0),IF($NO$30="Bell_Curve",$NM$30*(61-$NQ$30+1)*($NR$30-61+1)/$NT$30,$NM$30/$NS$30)),0)</f>
        <v/>
      </c>
      <c r="BM30" s="18">
        <f>IF(AND(62&gt;=$NQ$30,62&lt;=$NR$30),IF($NO$30="Single_Point",IF(62=$NQ$30,$NM$30,0),IF($NO$30="Bell_Curve",$NM$30*(62-$NQ$30+1)*($NR$30-62+1)/$NT$30,$NM$30/$NS$30)),0)</f>
        <v/>
      </c>
      <c r="BN30" s="18">
        <f>IF(AND(63&gt;=$NQ$30,63&lt;=$NR$30),IF($NO$30="Single_Point",IF(63=$NQ$30,$NM$30,0),IF($NO$30="Bell_Curve",$NM$30*(63-$NQ$30+1)*($NR$30-63+1)/$NT$30,$NM$30/$NS$30)),0)</f>
        <v/>
      </c>
      <c r="BO30" s="18">
        <f>IF(AND(64&gt;=$NQ$30,64&lt;=$NR$30),IF($NO$30="Single_Point",IF(64=$NQ$30,$NM$30,0),IF($NO$30="Bell_Curve",$NM$30*(64-$NQ$30+1)*($NR$30-64+1)/$NT$30,$NM$30/$NS$30)),0)</f>
        <v/>
      </c>
      <c r="BP30" s="18">
        <f>IF(AND(65&gt;=$NQ$30,65&lt;=$NR$30),IF($NO$30="Single_Point",IF(65=$NQ$30,$NM$30,0),IF($NO$30="Bell_Curve",$NM$30*(65-$NQ$30+1)*($NR$30-65+1)/$NT$30,$NM$30/$NS$30)),0)</f>
        <v/>
      </c>
      <c r="BQ30" s="18">
        <f>IF(AND(66&gt;=$NQ$30,66&lt;=$NR$30),IF($NO$30="Single_Point",IF(66=$NQ$30,$NM$30,0),IF($NO$30="Bell_Curve",$NM$30*(66-$NQ$30+1)*($NR$30-66+1)/$NT$30,$NM$30/$NS$30)),0)</f>
        <v/>
      </c>
      <c r="BR30" s="18">
        <f>IF(AND(67&gt;=$NQ$30,67&lt;=$NR$30),IF($NO$30="Single_Point",IF(67=$NQ$30,$NM$30,0),IF($NO$30="Bell_Curve",$NM$30*(67-$NQ$30+1)*($NR$30-67+1)/$NT$30,$NM$30/$NS$30)),0)</f>
        <v/>
      </c>
      <c r="BS30" s="18">
        <f>IF(AND(68&gt;=$NQ$30,68&lt;=$NR$30),IF($NO$30="Single_Point",IF(68=$NQ$30,$NM$30,0),IF($NO$30="Bell_Curve",$NM$30*(68-$NQ$30+1)*($NR$30-68+1)/$NT$30,$NM$30/$NS$30)),0)</f>
        <v/>
      </c>
      <c r="BT30" s="18">
        <f>IF(AND(69&gt;=$NQ$30,69&lt;=$NR$30),IF($NO$30="Single_Point",IF(69=$NQ$30,$NM$30,0),IF($NO$30="Bell_Curve",$NM$30*(69-$NQ$30+1)*($NR$30-69+1)/$NT$30,$NM$30/$NS$30)),0)</f>
        <v/>
      </c>
      <c r="BU30" s="18">
        <f>IF(AND(70&gt;=$NQ$30,70&lt;=$NR$30),IF($NO$30="Single_Point",IF(70=$NQ$30,$NM$30,0),IF($NO$30="Bell_Curve",$NM$30*(70-$NQ$30+1)*($NR$30-70+1)/$NT$30,$NM$30/$NS$30)),0)</f>
        <v/>
      </c>
      <c r="BV30" s="18">
        <f>IF(AND(71&gt;=$NQ$30,71&lt;=$NR$30),IF($NO$30="Single_Point",IF(71=$NQ$30,$NM$30,0),IF($NO$30="Bell_Curve",$NM$30*(71-$NQ$30+1)*($NR$30-71+1)/$NT$30,$NM$30/$NS$30)),0)</f>
        <v/>
      </c>
      <c r="BW30" s="18">
        <f>IF(AND(72&gt;=$NQ$30,72&lt;=$NR$30),IF($NO$30="Single_Point",IF(72=$NQ$30,$NM$30,0),IF($NO$30="Bell_Curve",$NM$30*(72-$NQ$30+1)*($NR$30-72+1)/$NT$30,$NM$30/$NS$30)),0)</f>
        <v/>
      </c>
      <c r="BX30" s="18">
        <f>IF(AND(73&gt;=$NQ$30,73&lt;=$NR$30),IF($NO$30="Single_Point",IF(73=$NQ$30,$NM$30,0),IF($NO$30="Bell_Curve",$NM$30*(73-$NQ$30+1)*($NR$30-73+1)/$NT$30,$NM$30/$NS$30)),0)</f>
        <v/>
      </c>
      <c r="BY30" s="18">
        <f>IF(AND(74&gt;=$NQ$30,74&lt;=$NR$30),IF($NO$30="Single_Point",IF(74=$NQ$30,$NM$30,0),IF($NO$30="Bell_Curve",$NM$30*(74-$NQ$30+1)*($NR$30-74+1)/$NT$30,$NM$30/$NS$30)),0)</f>
        <v/>
      </c>
      <c r="BZ30" s="18">
        <f>IF(AND(75&gt;=$NQ$30,75&lt;=$NR$30),IF($NO$30="Single_Point",IF(75=$NQ$30,$NM$30,0),IF($NO$30="Bell_Curve",$NM$30*(75-$NQ$30+1)*($NR$30-75+1)/$NT$30,$NM$30/$NS$30)),0)</f>
        <v/>
      </c>
      <c r="CA30" s="18">
        <f>IF(AND(76&gt;=$NQ$30,76&lt;=$NR$30),IF($NO$30="Single_Point",IF(76=$NQ$30,$NM$30,0),IF($NO$30="Bell_Curve",$NM$30*(76-$NQ$30+1)*($NR$30-76+1)/$NT$30,$NM$30/$NS$30)),0)</f>
        <v/>
      </c>
      <c r="CB30" s="18">
        <f>IF(AND(77&gt;=$NQ$30,77&lt;=$NR$30),IF($NO$30="Single_Point",IF(77=$NQ$30,$NM$30,0),IF($NO$30="Bell_Curve",$NM$30*(77-$NQ$30+1)*($NR$30-77+1)/$NT$30,$NM$30/$NS$30)),0)</f>
        <v/>
      </c>
      <c r="CC30" s="18">
        <f>IF(AND(78&gt;=$NQ$30,78&lt;=$NR$30),IF($NO$30="Single_Point",IF(78=$NQ$30,$NM$30,0),IF($NO$30="Bell_Curve",$NM$30*(78-$NQ$30+1)*($NR$30-78+1)/$NT$30,$NM$30/$NS$30)),0)</f>
        <v/>
      </c>
      <c r="CD30" s="18">
        <f>IF(AND(79&gt;=$NQ$30,79&lt;=$NR$30),IF($NO$30="Single_Point",IF(79=$NQ$30,$NM$30,0),IF($NO$30="Bell_Curve",$NM$30*(79-$NQ$30+1)*($NR$30-79+1)/$NT$30,$NM$30/$NS$30)),0)</f>
        <v/>
      </c>
      <c r="CE30" s="18">
        <f>IF(AND(80&gt;=$NQ$30,80&lt;=$NR$30),IF($NO$30="Single_Point",IF(80=$NQ$30,$NM$30,0),IF($NO$30="Bell_Curve",$NM$30*(80-$NQ$30+1)*($NR$30-80+1)/$NT$30,$NM$30/$NS$30)),0)</f>
        <v/>
      </c>
      <c r="CF30" s="18">
        <f>IF(AND(81&gt;=$NQ$30,81&lt;=$NR$30),IF($NO$30="Single_Point",IF(81=$NQ$30,$NM$30,0),IF($NO$30="Bell_Curve",$NM$30*(81-$NQ$30+1)*($NR$30-81+1)/$NT$30,$NM$30/$NS$30)),0)</f>
        <v/>
      </c>
      <c r="CG30" s="18">
        <f>IF(AND(82&gt;=$NQ$30,82&lt;=$NR$30),IF($NO$30="Single_Point",IF(82=$NQ$30,$NM$30,0),IF($NO$30="Bell_Curve",$NM$30*(82-$NQ$30+1)*($NR$30-82+1)/$NT$30,$NM$30/$NS$30)),0)</f>
        <v/>
      </c>
      <c r="CH30" s="18">
        <f>IF(AND(83&gt;=$NQ$30,83&lt;=$NR$30),IF($NO$30="Single_Point",IF(83=$NQ$30,$NM$30,0),IF($NO$30="Bell_Curve",$NM$30*(83-$NQ$30+1)*($NR$30-83+1)/$NT$30,$NM$30/$NS$30)),0)</f>
        <v/>
      </c>
      <c r="CI30" s="18">
        <f>IF(AND(84&gt;=$NQ$30,84&lt;=$NR$30),IF($NO$30="Single_Point",IF(84=$NQ$30,$NM$30,0),IF($NO$30="Bell_Curve",$NM$30*(84-$NQ$30+1)*($NR$30-84+1)/$NT$30,$NM$30/$NS$30)),0)</f>
        <v/>
      </c>
      <c r="CJ30" s="18">
        <f>IF(AND(85&gt;=$NQ$30,85&lt;=$NR$30),IF($NO$30="Single_Point",IF(85=$NQ$30,$NM$30,0),IF($NO$30="Bell_Curve",$NM$30*(85-$NQ$30+1)*($NR$30-85+1)/$NT$30,$NM$30/$NS$30)),0)</f>
        <v/>
      </c>
      <c r="CK30" s="18">
        <f>IF(AND(86&gt;=$NQ$30,86&lt;=$NR$30),IF($NO$30="Single_Point",IF(86=$NQ$30,$NM$30,0),IF($NO$30="Bell_Curve",$NM$30*(86-$NQ$30+1)*($NR$30-86+1)/$NT$30,$NM$30/$NS$30)),0)</f>
        <v/>
      </c>
      <c r="CL30" s="18">
        <f>IF(AND(87&gt;=$NQ$30,87&lt;=$NR$30),IF($NO$30="Single_Point",IF(87=$NQ$30,$NM$30,0),IF($NO$30="Bell_Curve",$NM$30*(87-$NQ$30+1)*($NR$30-87+1)/$NT$30,$NM$30/$NS$30)),0)</f>
        <v/>
      </c>
      <c r="CM30" s="18">
        <f>IF(AND(88&gt;=$NQ$30,88&lt;=$NR$30),IF($NO$30="Single_Point",IF(88=$NQ$30,$NM$30,0),IF($NO$30="Bell_Curve",$NM$30*(88-$NQ$30+1)*($NR$30-88+1)/$NT$30,$NM$30/$NS$30)),0)</f>
        <v/>
      </c>
      <c r="CN30" s="18">
        <f>IF(AND(89&gt;=$NQ$30,89&lt;=$NR$30),IF($NO$30="Single_Point",IF(89=$NQ$30,$NM$30,0),IF($NO$30="Bell_Curve",$NM$30*(89-$NQ$30+1)*($NR$30-89+1)/$NT$30,$NM$30/$NS$30)),0)</f>
        <v/>
      </c>
      <c r="CO30" s="18">
        <f>IF(AND(90&gt;=$NQ$30,90&lt;=$NR$30),IF($NO$30="Single_Point",IF(90=$NQ$30,$NM$30,0),IF($NO$30="Bell_Curve",$NM$30*(90-$NQ$30+1)*($NR$30-90+1)/$NT$30,$NM$30/$NS$30)),0)</f>
        <v/>
      </c>
      <c r="CP30" s="18">
        <f>IF(AND(91&gt;=$NQ$30,91&lt;=$NR$30),IF($NO$30="Single_Point",IF(91=$NQ$30,$NM$30,0),IF($NO$30="Bell_Curve",$NM$30*(91-$NQ$30+1)*($NR$30-91+1)/$NT$30,$NM$30/$NS$30)),0)</f>
        <v/>
      </c>
      <c r="CQ30" s="18">
        <f>IF(AND(92&gt;=$NQ$30,92&lt;=$NR$30),IF($NO$30="Single_Point",IF(92=$NQ$30,$NM$30,0),IF($NO$30="Bell_Curve",$NM$30*(92-$NQ$30+1)*($NR$30-92+1)/$NT$30,$NM$30/$NS$30)),0)</f>
        <v/>
      </c>
      <c r="CR30" s="18">
        <f>IF(AND(93&gt;=$NQ$30,93&lt;=$NR$30),IF($NO$30="Single_Point",IF(93=$NQ$30,$NM$30,0),IF($NO$30="Bell_Curve",$NM$30*(93-$NQ$30+1)*($NR$30-93+1)/$NT$30,$NM$30/$NS$30)),0)</f>
        <v/>
      </c>
      <c r="CS30" s="18">
        <f>IF(AND(94&gt;=$NQ$30,94&lt;=$NR$30),IF($NO$30="Single_Point",IF(94=$NQ$30,$NM$30,0),IF($NO$30="Bell_Curve",$NM$30*(94-$NQ$30+1)*($NR$30-94+1)/$NT$30,$NM$30/$NS$30)),0)</f>
        <v/>
      </c>
      <c r="CT30" s="18">
        <f>IF(AND(95&gt;=$NQ$30,95&lt;=$NR$30),IF($NO$30="Single_Point",IF(95=$NQ$30,$NM$30,0),IF($NO$30="Bell_Curve",$NM$30*(95-$NQ$30+1)*($NR$30-95+1)/$NT$30,$NM$30/$NS$30)),0)</f>
        <v/>
      </c>
      <c r="CU30" s="18">
        <f>IF(AND(96&gt;=$NQ$30,96&lt;=$NR$30),IF($NO$30="Single_Point",IF(96=$NQ$30,$NM$30,0),IF($NO$30="Bell_Curve",$NM$30*(96-$NQ$30+1)*($NR$30-96+1)/$NT$30,$NM$30/$NS$30)),0)</f>
        <v/>
      </c>
      <c r="CV30" s="18">
        <f>IF(AND(97&gt;=$NQ$30,97&lt;=$NR$30),IF($NO$30="Single_Point",IF(97=$NQ$30,$NM$30,0),IF($NO$30="Bell_Curve",$NM$30*(97-$NQ$30+1)*($NR$30-97+1)/$NT$30,$NM$30/$NS$30)),0)</f>
        <v/>
      </c>
      <c r="CW30" s="18">
        <f>IF(AND(98&gt;=$NQ$30,98&lt;=$NR$30),IF($NO$30="Single_Point",IF(98=$NQ$30,$NM$30,0),IF($NO$30="Bell_Curve",$NM$30*(98-$NQ$30+1)*($NR$30-98+1)/$NT$30,$NM$30/$NS$30)),0)</f>
        <v/>
      </c>
      <c r="CX30" s="18">
        <f>IF(AND(99&gt;=$NQ$30,99&lt;=$NR$30),IF($NO$30="Single_Point",IF(99=$NQ$30,$NM$30,0),IF($NO$30="Bell_Curve",$NM$30*(99-$NQ$30+1)*($NR$30-99+1)/$NT$30,$NM$30/$NS$30)),0)</f>
        <v/>
      </c>
      <c r="CY30" s="18">
        <f>IF(AND(100&gt;=$NQ$30,100&lt;=$NR$30),IF($NO$30="Single_Point",IF(100=$NQ$30,$NM$30,0),IF($NO$30="Bell_Curve",$NM$30*(100-$NQ$30+1)*($NR$30-100+1)/$NT$30,$NM$30/$NS$30)),0)</f>
        <v/>
      </c>
      <c r="CZ30" s="18">
        <f>IF(AND(101&gt;=$NQ$30,101&lt;=$NR$30),IF($NO$30="Single_Point",IF(101=$NQ$30,$NM$30,0),IF($NO$30="Bell_Curve",$NM$30*(101-$NQ$30+1)*($NR$30-101+1)/$NT$30,$NM$30/$NS$30)),0)</f>
        <v/>
      </c>
      <c r="DA30" s="18">
        <f>IF(AND(102&gt;=$NQ$30,102&lt;=$NR$30),IF($NO$30="Single_Point",IF(102=$NQ$30,$NM$30,0),IF($NO$30="Bell_Curve",$NM$30*(102-$NQ$30+1)*($NR$30-102+1)/$NT$30,$NM$30/$NS$30)),0)</f>
        <v/>
      </c>
      <c r="DB30" s="18">
        <f>IF(AND(103&gt;=$NQ$30,103&lt;=$NR$30),IF($NO$30="Single_Point",IF(103=$NQ$30,$NM$30,0),IF($NO$30="Bell_Curve",$NM$30*(103-$NQ$30+1)*($NR$30-103+1)/$NT$30,$NM$30/$NS$30)),0)</f>
        <v/>
      </c>
      <c r="DC30" s="18">
        <f>IF(AND(104&gt;=$NQ$30,104&lt;=$NR$30),IF($NO$30="Single_Point",IF(104=$NQ$30,$NM$30,0),IF($NO$30="Bell_Curve",$NM$30*(104-$NQ$30+1)*($NR$30-104+1)/$NT$30,$NM$30/$NS$30)),0)</f>
        <v/>
      </c>
      <c r="DD30" s="18">
        <f>IF(AND(105&gt;=$NQ$30,105&lt;=$NR$30),IF($NO$30="Single_Point",IF(105=$NQ$30,$NM$30,0),IF($NO$30="Bell_Curve",$NM$30*(105-$NQ$30+1)*($NR$30-105+1)/$NT$30,$NM$30/$NS$30)),0)</f>
        <v/>
      </c>
      <c r="DE30" s="18">
        <f>IF(AND(106&gt;=$NQ$30,106&lt;=$NR$30),IF($NO$30="Single_Point",IF(106=$NQ$30,$NM$30,0),IF($NO$30="Bell_Curve",$NM$30*(106-$NQ$30+1)*($NR$30-106+1)/$NT$30,$NM$30/$NS$30)),0)</f>
        <v/>
      </c>
      <c r="DF30" s="18">
        <f>IF(AND(107&gt;=$NQ$30,107&lt;=$NR$30),IF($NO$30="Single_Point",IF(107=$NQ$30,$NM$30,0),IF($NO$30="Bell_Curve",$NM$30*(107-$NQ$30+1)*($NR$30-107+1)/$NT$30,$NM$30/$NS$30)),0)</f>
        <v/>
      </c>
      <c r="DG30" s="18">
        <f>IF(AND(108&gt;=$NQ$30,108&lt;=$NR$30),IF($NO$30="Single_Point",IF(108=$NQ$30,$NM$30,0),IF($NO$30="Bell_Curve",$NM$30*(108-$NQ$30+1)*($NR$30-108+1)/$NT$30,$NM$30/$NS$30)),0)</f>
        <v/>
      </c>
      <c r="DH30" s="18">
        <f>IF(AND(109&gt;=$NQ$30,109&lt;=$NR$30),IF($NO$30="Single_Point",IF(109=$NQ$30,$NM$30,0),IF($NO$30="Bell_Curve",$NM$30*(109-$NQ$30+1)*($NR$30-109+1)/$NT$30,$NM$30/$NS$30)),0)</f>
        <v/>
      </c>
      <c r="DI30" s="18">
        <f>IF(AND(110&gt;=$NQ$30,110&lt;=$NR$30),IF($NO$30="Single_Point",IF(110=$NQ$30,$NM$30,0),IF($NO$30="Bell_Curve",$NM$30*(110-$NQ$30+1)*($NR$30-110+1)/$NT$30,$NM$30/$NS$30)),0)</f>
        <v/>
      </c>
      <c r="DJ30" s="18">
        <f>IF(AND(111&gt;=$NQ$30,111&lt;=$NR$30),IF($NO$30="Single_Point",IF(111=$NQ$30,$NM$30,0),IF($NO$30="Bell_Curve",$NM$30*(111-$NQ$30+1)*($NR$30-111+1)/$NT$30,$NM$30/$NS$30)),0)</f>
        <v/>
      </c>
      <c r="DK30" s="18">
        <f>IF(AND(112&gt;=$NQ$30,112&lt;=$NR$30),IF($NO$30="Single_Point",IF(112=$NQ$30,$NM$30,0),IF($NO$30="Bell_Curve",$NM$30*(112-$NQ$30+1)*($NR$30-112+1)/$NT$30,$NM$30/$NS$30)),0)</f>
        <v/>
      </c>
      <c r="DL30" s="18">
        <f>IF(AND(113&gt;=$NQ$30,113&lt;=$NR$30),IF($NO$30="Single_Point",IF(113=$NQ$30,$NM$30,0),IF($NO$30="Bell_Curve",$NM$30*(113-$NQ$30+1)*($NR$30-113+1)/$NT$30,$NM$30/$NS$30)),0)</f>
        <v/>
      </c>
      <c r="DM30" s="18">
        <f>IF(AND(114&gt;=$NQ$30,114&lt;=$NR$30),IF($NO$30="Single_Point",IF(114=$NQ$30,$NM$30,0),IF($NO$30="Bell_Curve",$NM$30*(114-$NQ$30+1)*($NR$30-114+1)/$NT$30,$NM$30/$NS$30)),0)</f>
        <v/>
      </c>
      <c r="DN30" s="18">
        <f>IF(AND(115&gt;=$NQ$30,115&lt;=$NR$30),IF($NO$30="Single_Point",IF(115=$NQ$30,$NM$30,0),IF($NO$30="Bell_Curve",$NM$30*(115-$NQ$30+1)*($NR$30-115+1)/$NT$30,$NM$30/$NS$30)),0)</f>
        <v/>
      </c>
      <c r="DO30" s="18">
        <f>IF(AND(116&gt;=$NQ$30,116&lt;=$NR$30),IF($NO$30="Single_Point",IF(116=$NQ$30,$NM$30,0),IF($NO$30="Bell_Curve",$NM$30*(116-$NQ$30+1)*($NR$30-116+1)/$NT$30,$NM$30/$NS$30)),0)</f>
        <v/>
      </c>
      <c r="DP30" s="18">
        <f>IF(AND(117&gt;=$NQ$30,117&lt;=$NR$30),IF($NO$30="Single_Point",IF(117=$NQ$30,$NM$30,0),IF($NO$30="Bell_Curve",$NM$30*(117-$NQ$30+1)*($NR$30-117+1)/$NT$30,$NM$30/$NS$30)),0)</f>
        <v/>
      </c>
      <c r="DQ30" s="18">
        <f>IF(AND(118&gt;=$NQ$30,118&lt;=$NR$30),IF($NO$30="Single_Point",IF(118=$NQ$30,$NM$30,0),IF($NO$30="Bell_Curve",$NM$30*(118-$NQ$30+1)*($NR$30-118+1)/$NT$30,$NM$30/$NS$30)),0)</f>
        <v/>
      </c>
      <c r="DR30" s="18">
        <f>IF(AND(119&gt;=$NQ$30,119&lt;=$NR$30),IF($NO$30="Single_Point",IF(119=$NQ$30,$NM$30,0),IF($NO$30="Bell_Curve",$NM$30*(119-$NQ$30+1)*($NR$30-119+1)/$NT$30,$NM$30/$NS$30)),0)</f>
        <v/>
      </c>
      <c r="DS30" s="18">
        <f>IF(AND(120&gt;=$NQ$30,120&lt;=$NR$30),IF($NO$30="Single_Point",IF(120=$NQ$30,$NM$30,0),IF($NO$30="Bell_Curve",$NM$30*(120-$NQ$30+1)*($NR$30-120+1)/$NT$30,$NM$30/$NS$30)),0)</f>
        <v/>
      </c>
      <c r="DT30" s="18">
        <f>IF(AND(121&gt;=$NQ$30,121&lt;=$NR$30),IF($NO$30="Single_Point",IF(121=$NQ$30,$NM$30,0),IF($NO$30="Bell_Curve",$NM$30*(121-$NQ$30+1)*($NR$30-121+1)/$NT$30,$NM$30/$NS$30)),0)</f>
        <v/>
      </c>
      <c r="DU30" s="18">
        <f>IF(AND(122&gt;=$NQ$30,122&lt;=$NR$30),IF($NO$30="Single_Point",IF(122=$NQ$30,$NM$30,0),IF($NO$30="Bell_Curve",$NM$30*(122-$NQ$30+1)*($NR$30-122+1)/$NT$30,$NM$30/$NS$30)),0)</f>
        <v/>
      </c>
      <c r="DV30" s="18">
        <f>IF(AND(123&gt;=$NQ$30,123&lt;=$NR$30),IF($NO$30="Single_Point",IF(123=$NQ$30,$NM$30,0),IF($NO$30="Bell_Curve",$NM$30*(123-$NQ$30+1)*($NR$30-123+1)/$NT$30,$NM$30/$NS$30)),0)</f>
        <v/>
      </c>
      <c r="DW30" s="18">
        <f>IF(AND(124&gt;=$NQ$30,124&lt;=$NR$30),IF($NO$30="Single_Point",IF(124=$NQ$30,$NM$30,0),IF($NO$30="Bell_Curve",$NM$30*(124-$NQ$30+1)*($NR$30-124+1)/$NT$30,$NM$30/$NS$30)),0)</f>
        <v/>
      </c>
      <c r="DX30" s="18">
        <f>IF(AND(125&gt;=$NQ$30,125&lt;=$NR$30),IF($NO$30="Single_Point",IF(125=$NQ$30,$NM$30,0),IF($NO$30="Bell_Curve",$NM$30*(125-$NQ$30+1)*($NR$30-125+1)/$NT$30,$NM$30/$NS$30)),0)</f>
        <v/>
      </c>
      <c r="DY30" s="18">
        <f>IF(AND(126&gt;=$NQ$30,126&lt;=$NR$30),IF($NO$30="Single_Point",IF(126=$NQ$30,$NM$30,0),IF($NO$30="Bell_Curve",$NM$30*(126-$NQ$30+1)*($NR$30-126+1)/$NT$30,$NM$30/$NS$30)),0)</f>
        <v/>
      </c>
      <c r="DZ30" s="18">
        <f>IF(AND(127&gt;=$NQ$30,127&lt;=$NR$30),IF($NO$30="Single_Point",IF(127=$NQ$30,$NM$30,0),IF($NO$30="Bell_Curve",$NM$30*(127-$NQ$30+1)*($NR$30-127+1)/$NT$30,$NM$30/$NS$30)),0)</f>
        <v/>
      </c>
      <c r="EA30" s="18">
        <f>IF(AND(128&gt;=$NQ$30,128&lt;=$NR$30),IF($NO$30="Single_Point",IF(128=$NQ$30,$NM$30,0),IF($NO$30="Bell_Curve",$NM$30*(128-$NQ$30+1)*($NR$30-128+1)/$NT$30,$NM$30/$NS$30)),0)</f>
        <v/>
      </c>
      <c r="EB30" s="18">
        <f>IF(AND(129&gt;=$NQ$30,129&lt;=$NR$30),IF($NO$30="Single_Point",IF(129=$NQ$30,$NM$30,0),IF($NO$30="Bell_Curve",$NM$30*(129-$NQ$30+1)*($NR$30-129+1)/$NT$30,$NM$30/$NS$30)),0)</f>
        <v/>
      </c>
      <c r="EC30" s="18">
        <f>IF(AND(130&gt;=$NQ$30,130&lt;=$NR$30),IF($NO$30="Single_Point",IF(130=$NQ$30,$NM$30,0),IF($NO$30="Bell_Curve",$NM$30*(130-$NQ$30+1)*($NR$30-130+1)/$NT$30,$NM$30/$NS$30)),0)</f>
        <v/>
      </c>
      <c r="ED30" s="18">
        <f>IF(AND(131&gt;=$NQ$30,131&lt;=$NR$30),IF($NO$30="Single_Point",IF(131=$NQ$30,$NM$30,0),IF($NO$30="Bell_Curve",$NM$30*(131-$NQ$30+1)*($NR$30-131+1)/$NT$30,$NM$30/$NS$30)),0)</f>
        <v/>
      </c>
      <c r="EE30" s="18">
        <f>IF(AND(132&gt;=$NQ$30,132&lt;=$NR$30),IF($NO$30="Single_Point",IF(132=$NQ$30,$NM$30,0),IF($NO$30="Bell_Curve",$NM$30*(132-$NQ$30+1)*($NR$30-132+1)/$NT$30,$NM$30/$NS$30)),0)</f>
        <v/>
      </c>
      <c r="EF30" s="18">
        <f>IF(AND(133&gt;=$NQ$30,133&lt;=$NR$30),IF($NO$30="Single_Point",IF(133=$NQ$30,$NM$30,0),IF($NO$30="Bell_Curve",$NM$30*(133-$NQ$30+1)*($NR$30-133+1)/$NT$30,$NM$30/$NS$30)),0)</f>
        <v/>
      </c>
      <c r="EG30" s="18">
        <f>IF(AND(134&gt;=$NQ$30,134&lt;=$NR$30),IF($NO$30="Single_Point",IF(134=$NQ$30,$NM$30,0),IF($NO$30="Bell_Curve",$NM$30*(134-$NQ$30+1)*($NR$30-134+1)/$NT$30,$NM$30/$NS$30)),0)</f>
        <v/>
      </c>
      <c r="EH30" s="18">
        <f>IF(AND(135&gt;=$NQ$30,135&lt;=$NR$30),IF($NO$30="Single_Point",IF(135=$NQ$30,$NM$30,0),IF($NO$30="Bell_Curve",$NM$30*(135-$NQ$30+1)*($NR$30-135+1)/$NT$30,$NM$30/$NS$30)),0)</f>
        <v/>
      </c>
      <c r="EI30" s="18">
        <f>IF(AND(136&gt;=$NQ$30,136&lt;=$NR$30),IF($NO$30="Single_Point",IF(136=$NQ$30,$NM$30,0),IF($NO$30="Bell_Curve",$NM$30*(136-$NQ$30+1)*($NR$30-136+1)/$NT$30,$NM$30/$NS$30)),0)</f>
        <v/>
      </c>
      <c r="EJ30" s="18">
        <f>IF(AND(137&gt;=$NQ$30,137&lt;=$NR$30),IF($NO$30="Single_Point",IF(137=$NQ$30,$NM$30,0),IF($NO$30="Bell_Curve",$NM$30*(137-$NQ$30+1)*($NR$30-137+1)/$NT$30,$NM$30/$NS$30)),0)</f>
        <v/>
      </c>
      <c r="EK30" s="18">
        <f>IF(AND(138&gt;=$NQ$30,138&lt;=$NR$30),IF($NO$30="Single_Point",IF(138=$NQ$30,$NM$30,0),IF($NO$30="Bell_Curve",$NM$30*(138-$NQ$30+1)*($NR$30-138+1)/$NT$30,$NM$30/$NS$30)),0)</f>
        <v/>
      </c>
      <c r="EL30" s="18">
        <f>IF(AND(139&gt;=$NQ$30,139&lt;=$NR$30),IF($NO$30="Single_Point",IF(139=$NQ$30,$NM$30,0),IF($NO$30="Bell_Curve",$NM$30*(139-$NQ$30+1)*($NR$30-139+1)/$NT$30,$NM$30/$NS$30)),0)</f>
        <v/>
      </c>
      <c r="EM30" s="18">
        <f>IF(AND(140&gt;=$NQ$30,140&lt;=$NR$30),IF($NO$30="Single_Point",IF(140=$NQ$30,$NM$30,0),IF($NO$30="Bell_Curve",$NM$30*(140-$NQ$30+1)*($NR$30-140+1)/$NT$30,$NM$30/$NS$30)),0)</f>
        <v/>
      </c>
      <c r="EN30" s="18">
        <f>IF(AND(141&gt;=$NQ$30,141&lt;=$NR$30),IF($NO$30="Single_Point",IF(141=$NQ$30,$NM$30,0),IF($NO$30="Bell_Curve",$NM$30*(141-$NQ$30+1)*($NR$30-141+1)/$NT$30,$NM$30/$NS$30)),0)</f>
        <v/>
      </c>
      <c r="EO30" s="18">
        <f>IF(AND(142&gt;=$NQ$30,142&lt;=$NR$30),IF($NO$30="Single_Point",IF(142=$NQ$30,$NM$30,0),IF($NO$30="Bell_Curve",$NM$30*(142-$NQ$30+1)*($NR$30-142+1)/$NT$30,$NM$30/$NS$30)),0)</f>
        <v/>
      </c>
      <c r="EP30" s="18">
        <f>IF(AND(143&gt;=$NQ$30,143&lt;=$NR$30),IF($NO$30="Single_Point",IF(143=$NQ$30,$NM$30,0),IF($NO$30="Bell_Curve",$NM$30*(143-$NQ$30+1)*($NR$30-143+1)/$NT$30,$NM$30/$NS$30)),0)</f>
        <v/>
      </c>
      <c r="EQ30" s="18">
        <f>IF(AND(144&gt;=$NQ$30,144&lt;=$NR$30),IF($NO$30="Single_Point",IF(144=$NQ$30,$NM$30,0),IF($NO$30="Bell_Curve",$NM$30*(144-$NQ$30+1)*($NR$30-144+1)/$NT$30,$NM$30/$NS$30)),0)</f>
        <v/>
      </c>
      <c r="ER30" s="18">
        <f>IF(AND(145&gt;=$NQ$30,145&lt;=$NR$30),IF($NO$30="Single_Point",IF(145=$NQ$30,$NM$30,0),IF($NO$30="Bell_Curve",$NM$30*(145-$NQ$30+1)*($NR$30-145+1)/$NT$30,$NM$30/$NS$30)),0)</f>
        <v/>
      </c>
      <c r="ES30" s="18">
        <f>IF(AND(146&gt;=$NQ$30,146&lt;=$NR$30),IF($NO$30="Single_Point",IF(146=$NQ$30,$NM$30,0),IF($NO$30="Bell_Curve",$NM$30*(146-$NQ$30+1)*($NR$30-146+1)/$NT$30,$NM$30/$NS$30)),0)</f>
        <v/>
      </c>
      <c r="ET30" s="18">
        <f>IF(AND(147&gt;=$NQ$30,147&lt;=$NR$30),IF($NO$30="Single_Point",IF(147=$NQ$30,$NM$30,0),IF($NO$30="Bell_Curve",$NM$30*(147-$NQ$30+1)*($NR$30-147+1)/$NT$30,$NM$30/$NS$30)),0)</f>
        <v/>
      </c>
      <c r="EU30" s="18">
        <f>IF(AND(148&gt;=$NQ$30,148&lt;=$NR$30),IF($NO$30="Single_Point",IF(148=$NQ$30,$NM$30,0),IF($NO$30="Bell_Curve",$NM$30*(148-$NQ$30+1)*($NR$30-148+1)/$NT$30,$NM$30/$NS$30)),0)</f>
        <v/>
      </c>
      <c r="EV30" s="18">
        <f>IF(AND(149&gt;=$NQ$30,149&lt;=$NR$30),IF($NO$30="Single_Point",IF(149=$NQ$30,$NM$30,0),IF($NO$30="Bell_Curve",$NM$30*(149-$NQ$30+1)*($NR$30-149+1)/$NT$30,$NM$30/$NS$30)),0)</f>
        <v/>
      </c>
      <c r="EW30" s="18">
        <f>IF(AND(150&gt;=$NQ$30,150&lt;=$NR$30),IF($NO$30="Single_Point",IF(150=$NQ$30,$NM$30,0),IF($NO$30="Bell_Curve",$NM$30*(150-$NQ$30+1)*($NR$30-150+1)/$NT$30,$NM$30/$NS$30)),0)</f>
        <v/>
      </c>
      <c r="EX30" s="18">
        <f>IF(AND(151&gt;=$NQ$30,151&lt;=$NR$30),IF($NO$30="Single_Point",IF(151=$NQ$30,$NM$30,0),IF($NO$30="Bell_Curve",$NM$30*(151-$NQ$30+1)*($NR$30-151+1)/$NT$30,$NM$30/$NS$30)),0)</f>
        <v/>
      </c>
      <c r="EY30" s="18">
        <f>IF(AND(152&gt;=$NQ$30,152&lt;=$NR$30),IF($NO$30="Single_Point",IF(152=$NQ$30,$NM$30,0),IF($NO$30="Bell_Curve",$NM$30*(152-$NQ$30+1)*($NR$30-152+1)/$NT$30,$NM$30/$NS$30)),0)</f>
        <v/>
      </c>
      <c r="EZ30" s="18">
        <f>IF(AND(153&gt;=$NQ$30,153&lt;=$NR$30),IF($NO$30="Single_Point",IF(153=$NQ$30,$NM$30,0),IF($NO$30="Bell_Curve",$NM$30*(153-$NQ$30+1)*($NR$30-153+1)/$NT$30,$NM$30/$NS$30)),0)</f>
        <v/>
      </c>
      <c r="FA30" s="18">
        <f>IF(AND(154&gt;=$NQ$30,154&lt;=$NR$30),IF($NO$30="Single_Point",IF(154=$NQ$30,$NM$30,0),IF($NO$30="Bell_Curve",$NM$30*(154-$NQ$30+1)*($NR$30-154+1)/$NT$30,$NM$30/$NS$30)),0)</f>
        <v/>
      </c>
      <c r="FB30" s="18">
        <f>IF(AND(155&gt;=$NQ$30,155&lt;=$NR$30),IF($NO$30="Single_Point",IF(155=$NQ$30,$NM$30,0),IF($NO$30="Bell_Curve",$NM$30*(155-$NQ$30+1)*($NR$30-155+1)/$NT$30,$NM$30/$NS$30)),0)</f>
        <v/>
      </c>
      <c r="FC30" s="18">
        <f>IF(AND(156&gt;=$NQ$30,156&lt;=$NR$30),IF($NO$30="Single_Point",IF(156=$NQ$30,$NM$30,0),IF($NO$30="Bell_Curve",$NM$30*(156-$NQ$30+1)*($NR$30-156+1)/$NT$30,$NM$30/$NS$30)),0)</f>
        <v/>
      </c>
      <c r="FD30" s="18">
        <f>IF(AND(157&gt;=$NQ$30,157&lt;=$NR$30),IF($NO$30="Single_Point",IF(157=$NQ$30,$NM$30,0),IF($NO$30="Bell_Curve",$NM$30*(157-$NQ$30+1)*($NR$30-157+1)/$NT$30,$NM$30/$NS$30)),0)</f>
        <v/>
      </c>
      <c r="FE30" s="18">
        <f>IF(AND(158&gt;=$NQ$30,158&lt;=$NR$30),IF($NO$30="Single_Point",IF(158=$NQ$30,$NM$30,0),IF($NO$30="Bell_Curve",$NM$30*(158-$NQ$30+1)*($NR$30-158+1)/$NT$30,$NM$30/$NS$30)),0)</f>
        <v/>
      </c>
      <c r="FF30" s="18">
        <f>IF(AND(159&gt;=$NQ$30,159&lt;=$NR$30),IF($NO$30="Single_Point",IF(159=$NQ$30,$NM$30,0),IF($NO$30="Bell_Curve",$NM$30*(159-$NQ$30+1)*($NR$30-159+1)/$NT$30,$NM$30/$NS$30)),0)</f>
        <v/>
      </c>
      <c r="FG30" s="18">
        <f>IF(AND(160&gt;=$NQ$30,160&lt;=$NR$30),IF($NO$30="Single_Point",IF(160=$NQ$30,$NM$30,0),IF($NO$30="Bell_Curve",$NM$30*(160-$NQ$30+1)*($NR$30-160+1)/$NT$30,$NM$30/$NS$30)),0)</f>
        <v/>
      </c>
      <c r="FH30" s="18">
        <f>IF(AND(161&gt;=$NQ$30,161&lt;=$NR$30),IF($NO$30="Single_Point",IF(161=$NQ$30,$NM$30,0),IF($NO$30="Bell_Curve",$NM$30*(161-$NQ$30+1)*($NR$30-161+1)/$NT$30,$NM$30/$NS$30)),0)</f>
        <v/>
      </c>
      <c r="FI30" s="18">
        <f>IF(AND(162&gt;=$NQ$30,162&lt;=$NR$30),IF($NO$30="Single_Point",IF(162=$NQ$30,$NM$30,0),IF($NO$30="Bell_Curve",$NM$30*(162-$NQ$30+1)*($NR$30-162+1)/$NT$30,$NM$30/$NS$30)),0)</f>
        <v/>
      </c>
      <c r="FJ30" s="18">
        <f>IF(AND(163&gt;=$NQ$30,163&lt;=$NR$30),IF($NO$30="Single_Point",IF(163=$NQ$30,$NM$30,0),IF($NO$30="Bell_Curve",$NM$30*(163-$NQ$30+1)*($NR$30-163+1)/$NT$30,$NM$30/$NS$30)),0)</f>
        <v/>
      </c>
      <c r="FK30" s="18">
        <f>IF(AND(164&gt;=$NQ$30,164&lt;=$NR$30),IF($NO$30="Single_Point",IF(164=$NQ$30,$NM$30,0),IF($NO$30="Bell_Curve",$NM$30*(164-$NQ$30+1)*($NR$30-164+1)/$NT$30,$NM$30/$NS$30)),0)</f>
        <v/>
      </c>
      <c r="FL30" s="18">
        <f>IF(AND(165&gt;=$NQ$30,165&lt;=$NR$30),IF($NO$30="Single_Point",IF(165=$NQ$30,$NM$30,0),IF($NO$30="Bell_Curve",$NM$30*(165-$NQ$30+1)*($NR$30-165+1)/$NT$30,$NM$30/$NS$30)),0)</f>
        <v/>
      </c>
      <c r="FM30" s="18">
        <f>IF(AND(166&gt;=$NQ$30,166&lt;=$NR$30),IF($NO$30="Single_Point",IF(166=$NQ$30,$NM$30,0),IF($NO$30="Bell_Curve",$NM$30*(166-$NQ$30+1)*($NR$30-166+1)/$NT$30,$NM$30/$NS$30)),0)</f>
        <v/>
      </c>
      <c r="FN30" s="18">
        <f>IF(AND(167&gt;=$NQ$30,167&lt;=$NR$30),IF($NO$30="Single_Point",IF(167=$NQ$30,$NM$30,0),IF($NO$30="Bell_Curve",$NM$30*(167-$NQ$30+1)*($NR$30-167+1)/$NT$30,$NM$30/$NS$30)),0)</f>
        <v/>
      </c>
      <c r="FO30" s="18">
        <f>IF(AND(168&gt;=$NQ$30,168&lt;=$NR$30),IF($NO$30="Single_Point",IF(168=$NQ$30,$NM$30,0),IF($NO$30="Bell_Curve",$NM$30*(168-$NQ$30+1)*($NR$30-168+1)/$NT$30,$NM$30/$NS$30)),0)</f>
        <v/>
      </c>
      <c r="FP30" s="18">
        <f>IF(AND(169&gt;=$NQ$30,169&lt;=$NR$30),IF($NO$30="Single_Point",IF(169=$NQ$30,$NM$30,0),IF($NO$30="Bell_Curve",$NM$30*(169-$NQ$30+1)*($NR$30-169+1)/$NT$30,$NM$30/$NS$30)),0)</f>
        <v/>
      </c>
      <c r="FQ30" s="18">
        <f>IF(AND(170&gt;=$NQ$30,170&lt;=$NR$30),IF($NO$30="Single_Point",IF(170=$NQ$30,$NM$30,0),IF($NO$30="Bell_Curve",$NM$30*(170-$NQ$30+1)*($NR$30-170+1)/$NT$30,$NM$30/$NS$30)),0)</f>
        <v/>
      </c>
      <c r="FR30" s="18">
        <f>IF(AND(171&gt;=$NQ$30,171&lt;=$NR$30),IF($NO$30="Single_Point",IF(171=$NQ$30,$NM$30,0),IF($NO$30="Bell_Curve",$NM$30*(171-$NQ$30+1)*($NR$30-171+1)/$NT$30,$NM$30/$NS$30)),0)</f>
        <v/>
      </c>
      <c r="FS30" s="18">
        <f>IF(AND(172&gt;=$NQ$30,172&lt;=$NR$30),IF($NO$30="Single_Point",IF(172=$NQ$30,$NM$30,0),IF($NO$30="Bell_Curve",$NM$30*(172-$NQ$30+1)*($NR$30-172+1)/$NT$30,$NM$30/$NS$30)),0)</f>
        <v/>
      </c>
      <c r="FT30" s="18">
        <f>IF(AND(173&gt;=$NQ$30,173&lt;=$NR$30),IF($NO$30="Single_Point",IF(173=$NQ$30,$NM$30,0),IF($NO$30="Bell_Curve",$NM$30*(173-$NQ$30+1)*($NR$30-173+1)/$NT$30,$NM$30/$NS$30)),0)</f>
        <v/>
      </c>
      <c r="FU30" s="18">
        <f>IF(AND(174&gt;=$NQ$30,174&lt;=$NR$30),IF($NO$30="Single_Point",IF(174=$NQ$30,$NM$30,0),IF($NO$30="Bell_Curve",$NM$30*(174-$NQ$30+1)*($NR$30-174+1)/$NT$30,$NM$30/$NS$30)),0)</f>
        <v/>
      </c>
      <c r="FV30" s="18">
        <f>IF(AND(175&gt;=$NQ$30,175&lt;=$NR$30),IF($NO$30="Single_Point",IF(175=$NQ$30,$NM$30,0),IF($NO$30="Bell_Curve",$NM$30*(175-$NQ$30+1)*($NR$30-175+1)/$NT$30,$NM$30/$NS$30)),0)</f>
        <v/>
      </c>
      <c r="FW30" s="18">
        <f>IF(AND(176&gt;=$NQ$30,176&lt;=$NR$30),IF($NO$30="Single_Point",IF(176=$NQ$30,$NM$30,0),IF($NO$30="Bell_Curve",$NM$30*(176-$NQ$30+1)*($NR$30-176+1)/$NT$30,$NM$30/$NS$30)),0)</f>
        <v/>
      </c>
      <c r="FX30" s="18">
        <f>IF(AND(177&gt;=$NQ$30,177&lt;=$NR$30),IF($NO$30="Single_Point",IF(177=$NQ$30,$NM$30,0),IF($NO$30="Bell_Curve",$NM$30*(177-$NQ$30+1)*($NR$30-177+1)/$NT$30,$NM$30/$NS$30)),0)</f>
        <v/>
      </c>
      <c r="FY30" s="18">
        <f>IF(AND(178&gt;=$NQ$30,178&lt;=$NR$30),IF($NO$30="Single_Point",IF(178=$NQ$30,$NM$30,0),IF($NO$30="Bell_Curve",$NM$30*(178-$NQ$30+1)*($NR$30-178+1)/$NT$30,$NM$30/$NS$30)),0)</f>
        <v/>
      </c>
      <c r="FZ30" s="18">
        <f>IF(AND(179&gt;=$NQ$30,179&lt;=$NR$30),IF($NO$30="Single_Point",IF(179=$NQ$30,$NM$30,0),IF($NO$30="Bell_Curve",$NM$30*(179-$NQ$30+1)*($NR$30-179+1)/$NT$30,$NM$30/$NS$30)),0)</f>
        <v/>
      </c>
      <c r="GA30" s="18">
        <f>IF(AND(180&gt;=$NQ$30,180&lt;=$NR$30),IF($NO$30="Single_Point",IF(180=$NQ$30,$NM$30,0),IF($NO$30="Bell_Curve",$NM$30*(180-$NQ$30+1)*($NR$30-180+1)/$NT$30,$NM$30/$NS$30)),0)</f>
        <v/>
      </c>
      <c r="GB30" s="18">
        <f>IF(AND(181&gt;=$NQ$30,181&lt;=$NR$30),IF($NO$30="Single_Point",IF(181=$NQ$30,$NM$30,0),IF($NO$30="Bell_Curve",$NM$30*(181-$NQ$30+1)*($NR$30-181+1)/$NT$30,$NM$30/$NS$30)),0)</f>
        <v/>
      </c>
      <c r="GC30" s="18">
        <f>IF(AND(182&gt;=$NQ$30,182&lt;=$NR$30),IF($NO$30="Single_Point",IF(182=$NQ$30,$NM$30,0),IF($NO$30="Bell_Curve",$NM$30*(182-$NQ$30+1)*($NR$30-182+1)/$NT$30,$NM$30/$NS$30)),0)</f>
        <v/>
      </c>
      <c r="GD30" s="18">
        <f>IF(AND(183&gt;=$NQ$30,183&lt;=$NR$30),IF($NO$30="Single_Point",IF(183=$NQ$30,$NM$30,0),IF($NO$30="Bell_Curve",$NM$30*(183-$NQ$30+1)*($NR$30-183+1)/$NT$30,$NM$30/$NS$30)),0)</f>
        <v/>
      </c>
      <c r="GE30" s="18">
        <f>IF(AND(184&gt;=$NQ$30,184&lt;=$NR$30),IF($NO$30="Single_Point",IF(184=$NQ$30,$NM$30,0),IF($NO$30="Bell_Curve",$NM$30*(184-$NQ$30+1)*($NR$30-184+1)/$NT$30,$NM$30/$NS$30)),0)</f>
        <v/>
      </c>
      <c r="GF30" s="18">
        <f>IF(AND(185&gt;=$NQ$30,185&lt;=$NR$30),IF($NO$30="Single_Point",IF(185=$NQ$30,$NM$30,0),IF($NO$30="Bell_Curve",$NM$30*(185-$NQ$30+1)*($NR$30-185+1)/$NT$30,$NM$30/$NS$30)),0)</f>
        <v/>
      </c>
      <c r="GG30" s="18">
        <f>IF(AND(186&gt;=$NQ$30,186&lt;=$NR$30),IF($NO$30="Single_Point",IF(186=$NQ$30,$NM$30,0),IF($NO$30="Bell_Curve",$NM$30*(186-$NQ$30+1)*($NR$30-186+1)/$NT$30,$NM$30/$NS$30)),0)</f>
        <v/>
      </c>
      <c r="GH30" s="18">
        <f>IF(AND(187&gt;=$NQ$30,187&lt;=$NR$30),IF($NO$30="Single_Point",IF(187=$NQ$30,$NM$30,0),IF($NO$30="Bell_Curve",$NM$30*(187-$NQ$30+1)*($NR$30-187+1)/$NT$30,$NM$30/$NS$30)),0)</f>
        <v/>
      </c>
      <c r="GI30" s="18">
        <f>IF(AND(188&gt;=$NQ$30,188&lt;=$NR$30),IF($NO$30="Single_Point",IF(188=$NQ$30,$NM$30,0),IF($NO$30="Bell_Curve",$NM$30*(188-$NQ$30+1)*($NR$30-188+1)/$NT$30,$NM$30/$NS$30)),0)</f>
        <v/>
      </c>
      <c r="GJ30" s="18">
        <f>IF(AND(189&gt;=$NQ$30,189&lt;=$NR$30),IF($NO$30="Single_Point",IF(189=$NQ$30,$NM$30,0),IF($NO$30="Bell_Curve",$NM$30*(189-$NQ$30+1)*($NR$30-189+1)/$NT$30,$NM$30/$NS$30)),0)</f>
        <v/>
      </c>
      <c r="GK30" s="18">
        <f>IF(AND(190&gt;=$NQ$30,190&lt;=$NR$30),IF($NO$30="Single_Point",IF(190=$NQ$30,$NM$30,0),IF($NO$30="Bell_Curve",$NM$30*(190-$NQ$30+1)*($NR$30-190+1)/$NT$30,$NM$30/$NS$30)),0)</f>
        <v/>
      </c>
      <c r="GL30" s="18">
        <f>IF(AND(191&gt;=$NQ$30,191&lt;=$NR$30),IF($NO$30="Single_Point",IF(191=$NQ$30,$NM$30,0),IF($NO$30="Bell_Curve",$NM$30*(191-$NQ$30+1)*($NR$30-191+1)/$NT$30,$NM$30/$NS$30)),0)</f>
        <v/>
      </c>
      <c r="GM30" s="18">
        <f>IF(AND(192&gt;=$NQ$30,192&lt;=$NR$30),IF($NO$30="Single_Point",IF(192=$NQ$30,$NM$30,0),IF($NO$30="Bell_Curve",$NM$30*(192-$NQ$30+1)*($NR$30-192+1)/$NT$30,$NM$30/$NS$30)),0)</f>
        <v/>
      </c>
      <c r="GN30" s="18">
        <f>IF(AND(193&gt;=$NQ$30,193&lt;=$NR$30),IF($NO$30="Single_Point",IF(193=$NQ$30,$NM$30,0),IF($NO$30="Bell_Curve",$NM$30*(193-$NQ$30+1)*($NR$30-193+1)/$NT$30,$NM$30/$NS$30)),0)</f>
        <v/>
      </c>
      <c r="GO30" s="18">
        <f>IF(AND(194&gt;=$NQ$30,194&lt;=$NR$30),IF($NO$30="Single_Point",IF(194=$NQ$30,$NM$30,0),IF($NO$30="Bell_Curve",$NM$30*(194-$NQ$30+1)*($NR$30-194+1)/$NT$30,$NM$30/$NS$30)),0)</f>
        <v/>
      </c>
      <c r="GP30" s="18">
        <f>IF(AND(195&gt;=$NQ$30,195&lt;=$NR$30),IF($NO$30="Single_Point",IF(195=$NQ$30,$NM$30,0),IF($NO$30="Bell_Curve",$NM$30*(195-$NQ$30+1)*($NR$30-195+1)/$NT$30,$NM$30/$NS$30)),0)</f>
        <v/>
      </c>
      <c r="GQ30" s="18">
        <f>IF(AND(196&gt;=$NQ$30,196&lt;=$NR$30),IF($NO$30="Single_Point",IF(196=$NQ$30,$NM$30,0),IF($NO$30="Bell_Curve",$NM$30*(196-$NQ$30+1)*($NR$30-196+1)/$NT$30,$NM$30/$NS$30)),0)</f>
        <v/>
      </c>
      <c r="GR30" s="18">
        <f>IF(AND(197&gt;=$NQ$30,197&lt;=$NR$30),IF($NO$30="Single_Point",IF(197=$NQ$30,$NM$30,0),IF($NO$30="Bell_Curve",$NM$30*(197-$NQ$30+1)*($NR$30-197+1)/$NT$30,$NM$30/$NS$30)),0)</f>
        <v/>
      </c>
      <c r="GS30" s="18">
        <f>IF(AND(198&gt;=$NQ$30,198&lt;=$NR$30),IF($NO$30="Single_Point",IF(198=$NQ$30,$NM$30,0),IF($NO$30="Bell_Curve",$NM$30*(198-$NQ$30+1)*($NR$30-198+1)/$NT$30,$NM$30/$NS$30)),0)</f>
        <v/>
      </c>
      <c r="GT30" s="18">
        <f>IF(AND(199&gt;=$NQ$30,199&lt;=$NR$30),IF($NO$30="Single_Point",IF(199=$NQ$30,$NM$30,0),IF($NO$30="Bell_Curve",$NM$30*(199-$NQ$30+1)*($NR$30-199+1)/$NT$30,$NM$30/$NS$30)),0)</f>
        <v/>
      </c>
      <c r="GU30" s="18">
        <f>IF(AND(200&gt;=$NQ$30,200&lt;=$NR$30),IF($NO$30="Single_Point",IF(200=$NQ$30,$NM$30,0),IF($NO$30="Bell_Curve",$NM$30*(200-$NQ$30+1)*($NR$30-200+1)/$NT$30,$NM$30/$NS$30)),0)</f>
        <v/>
      </c>
      <c r="GV30" s="18">
        <f>IF(AND(201&gt;=$NQ$30,201&lt;=$NR$30),IF($NO$30="Single_Point",IF(201=$NQ$30,$NM$30,0),IF($NO$30="Bell_Curve",$NM$30*(201-$NQ$30+1)*($NR$30-201+1)/$NT$30,$NM$30/$NS$30)),0)</f>
        <v/>
      </c>
      <c r="GW30" s="18">
        <f>IF(AND(202&gt;=$NQ$30,202&lt;=$NR$30),IF($NO$30="Single_Point",IF(202=$NQ$30,$NM$30,0),IF($NO$30="Bell_Curve",$NM$30*(202-$NQ$30+1)*($NR$30-202+1)/$NT$30,$NM$30/$NS$30)),0)</f>
        <v/>
      </c>
      <c r="GX30" s="18">
        <f>IF(AND(203&gt;=$NQ$30,203&lt;=$NR$30),IF($NO$30="Single_Point",IF(203=$NQ$30,$NM$30,0),IF($NO$30="Bell_Curve",$NM$30*(203-$NQ$30+1)*($NR$30-203+1)/$NT$30,$NM$30/$NS$30)),0)</f>
        <v/>
      </c>
      <c r="GY30" s="18">
        <f>IF(AND(204&gt;=$NQ$30,204&lt;=$NR$30),IF($NO$30="Single_Point",IF(204=$NQ$30,$NM$30,0),IF($NO$30="Bell_Curve",$NM$30*(204-$NQ$30+1)*($NR$30-204+1)/$NT$30,$NM$30/$NS$30)),0)</f>
        <v/>
      </c>
      <c r="GZ30" s="18">
        <f>IF(AND(205&gt;=$NQ$30,205&lt;=$NR$30),IF($NO$30="Single_Point",IF(205=$NQ$30,$NM$30,0),IF($NO$30="Bell_Curve",$NM$30*(205-$NQ$30+1)*($NR$30-205+1)/$NT$30,$NM$30/$NS$30)),0)</f>
        <v/>
      </c>
      <c r="HA30" s="18">
        <f>IF(AND(206&gt;=$NQ$30,206&lt;=$NR$30),IF($NO$30="Single_Point",IF(206=$NQ$30,$NM$30,0),IF($NO$30="Bell_Curve",$NM$30*(206-$NQ$30+1)*($NR$30-206+1)/$NT$30,$NM$30/$NS$30)),0)</f>
        <v/>
      </c>
      <c r="HB30" s="18">
        <f>IF(AND(207&gt;=$NQ$30,207&lt;=$NR$30),IF($NO$30="Single_Point",IF(207=$NQ$30,$NM$30,0),IF($NO$30="Bell_Curve",$NM$30*(207-$NQ$30+1)*($NR$30-207+1)/$NT$30,$NM$30/$NS$30)),0)</f>
        <v/>
      </c>
      <c r="HC30" s="18">
        <f>IF(AND(208&gt;=$NQ$30,208&lt;=$NR$30),IF($NO$30="Single_Point",IF(208=$NQ$30,$NM$30,0),IF($NO$30="Bell_Curve",$NM$30*(208-$NQ$30+1)*($NR$30-208+1)/$NT$30,$NM$30/$NS$30)),0)</f>
        <v/>
      </c>
      <c r="HD30" s="18">
        <f>IF(AND(209&gt;=$NQ$30,209&lt;=$NR$30),IF($NO$30="Single_Point",IF(209=$NQ$30,$NM$30,0),IF($NO$30="Bell_Curve",$NM$30*(209-$NQ$30+1)*($NR$30-209+1)/$NT$30,$NM$30/$NS$30)),0)</f>
        <v/>
      </c>
      <c r="HE30" s="18">
        <f>IF(AND(210&gt;=$NQ$30,210&lt;=$NR$30),IF($NO$30="Single_Point",IF(210=$NQ$30,$NM$30,0),IF($NO$30="Bell_Curve",$NM$30*(210-$NQ$30+1)*($NR$30-210+1)/$NT$30,$NM$30/$NS$30)),0)</f>
        <v/>
      </c>
      <c r="HF30" s="18">
        <f>IF(AND(211&gt;=$NQ$30,211&lt;=$NR$30),IF($NO$30="Single_Point",IF(211=$NQ$30,$NM$30,0),IF($NO$30="Bell_Curve",$NM$30*(211-$NQ$30+1)*($NR$30-211+1)/$NT$30,$NM$30/$NS$30)),0)</f>
        <v/>
      </c>
      <c r="HG30" s="18">
        <f>IF(AND(212&gt;=$NQ$30,212&lt;=$NR$30),IF($NO$30="Single_Point",IF(212=$NQ$30,$NM$30,0),IF($NO$30="Bell_Curve",$NM$30*(212-$NQ$30+1)*($NR$30-212+1)/$NT$30,$NM$30/$NS$30)),0)</f>
        <v/>
      </c>
      <c r="HH30" s="18">
        <f>IF(AND(213&gt;=$NQ$30,213&lt;=$NR$30),IF($NO$30="Single_Point",IF(213=$NQ$30,$NM$30,0),IF($NO$30="Bell_Curve",$NM$30*(213-$NQ$30+1)*($NR$30-213+1)/$NT$30,$NM$30/$NS$30)),0)</f>
        <v/>
      </c>
      <c r="HI30" s="18">
        <f>IF(AND(214&gt;=$NQ$30,214&lt;=$NR$30),IF($NO$30="Single_Point",IF(214=$NQ$30,$NM$30,0),IF($NO$30="Bell_Curve",$NM$30*(214-$NQ$30+1)*($NR$30-214+1)/$NT$30,$NM$30/$NS$30)),0)</f>
        <v/>
      </c>
      <c r="HJ30" s="18">
        <f>IF(AND(215&gt;=$NQ$30,215&lt;=$NR$30),IF($NO$30="Single_Point",IF(215=$NQ$30,$NM$30,0),IF($NO$30="Bell_Curve",$NM$30*(215-$NQ$30+1)*($NR$30-215+1)/$NT$30,$NM$30/$NS$30)),0)</f>
        <v/>
      </c>
      <c r="HK30" s="18">
        <f>IF(AND(216&gt;=$NQ$30,216&lt;=$NR$30),IF($NO$30="Single_Point",IF(216=$NQ$30,$NM$30,0),IF($NO$30="Bell_Curve",$NM$30*(216-$NQ$30+1)*($NR$30-216+1)/$NT$30,$NM$30/$NS$30)),0)</f>
        <v/>
      </c>
      <c r="HL30" s="18">
        <f>IF(AND(217&gt;=$NQ$30,217&lt;=$NR$30),IF($NO$30="Single_Point",IF(217=$NQ$30,$NM$30,0),IF($NO$30="Bell_Curve",$NM$30*(217-$NQ$30+1)*($NR$30-217+1)/$NT$30,$NM$30/$NS$30)),0)</f>
        <v/>
      </c>
      <c r="HM30" s="18">
        <f>IF(AND(218&gt;=$NQ$30,218&lt;=$NR$30),IF($NO$30="Single_Point",IF(218=$NQ$30,$NM$30,0),IF($NO$30="Bell_Curve",$NM$30*(218-$NQ$30+1)*($NR$30-218+1)/$NT$30,$NM$30/$NS$30)),0)</f>
        <v/>
      </c>
      <c r="HN30" s="18">
        <f>IF(AND(219&gt;=$NQ$30,219&lt;=$NR$30),IF($NO$30="Single_Point",IF(219=$NQ$30,$NM$30,0),IF($NO$30="Bell_Curve",$NM$30*(219-$NQ$30+1)*($NR$30-219+1)/$NT$30,$NM$30/$NS$30)),0)</f>
        <v/>
      </c>
      <c r="HO30" s="18">
        <f>IF(AND(220&gt;=$NQ$30,220&lt;=$NR$30),IF($NO$30="Single_Point",IF(220=$NQ$30,$NM$30,0),IF($NO$30="Bell_Curve",$NM$30*(220-$NQ$30+1)*($NR$30-220+1)/$NT$30,$NM$30/$NS$30)),0)</f>
        <v/>
      </c>
      <c r="HP30" s="18">
        <f>IF(AND(221&gt;=$NQ$30,221&lt;=$NR$30),IF($NO$30="Single_Point",IF(221=$NQ$30,$NM$30,0),IF($NO$30="Bell_Curve",$NM$30*(221-$NQ$30+1)*($NR$30-221+1)/$NT$30,$NM$30/$NS$30)),0)</f>
        <v/>
      </c>
      <c r="HQ30" s="18">
        <f>IF(AND(222&gt;=$NQ$30,222&lt;=$NR$30),IF($NO$30="Single_Point",IF(222=$NQ$30,$NM$30,0),IF($NO$30="Bell_Curve",$NM$30*(222-$NQ$30+1)*($NR$30-222+1)/$NT$30,$NM$30/$NS$30)),0)</f>
        <v/>
      </c>
      <c r="HR30" s="18">
        <f>IF(AND(223&gt;=$NQ$30,223&lt;=$NR$30),IF($NO$30="Single_Point",IF(223=$NQ$30,$NM$30,0),IF($NO$30="Bell_Curve",$NM$30*(223-$NQ$30+1)*($NR$30-223+1)/$NT$30,$NM$30/$NS$30)),0)</f>
        <v/>
      </c>
      <c r="HS30" s="18">
        <f>IF(AND(224&gt;=$NQ$30,224&lt;=$NR$30),IF($NO$30="Single_Point",IF(224=$NQ$30,$NM$30,0),IF($NO$30="Bell_Curve",$NM$30*(224-$NQ$30+1)*($NR$30-224+1)/$NT$30,$NM$30/$NS$30)),0)</f>
        <v/>
      </c>
      <c r="HT30" s="18">
        <f>IF(AND(225&gt;=$NQ$30,225&lt;=$NR$30),IF($NO$30="Single_Point",IF(225=$NQ$30,$NM$30,0),IF($NO$30="Bell_Curve",$NM$30*(225-$NQ$30+1)*($NR$30-225+1)/$NT$30,$NM$30/$NS$30)),0)</f>
        <v/>
      </c>
      <c r="HU30" s="18">
        <f>IF(AND(226&gt;=$NQ$30,226&lt;=$NR$30),IF($NO$30="Single_Point",IF(226=$NQ$30,$NM$30,0),IF($NO$30="Bell_Curve",$NM$30*(226-$NQ$30+1)*($NR$30-226+1)/$NT$30,$NM$30/$NS$30)),0)</f>
        <v/>
      </c>
      <c r="HV30" s="18">
        <f>IF(AND(227&gt;=$NQ$30,227&lt;=$NR$30),IF($NO$30="Single_Point",IF(227=$NQ$30,$NM$30,0),IF($NO$30="Bell_Curve",$NM$30*(227-$NQ$30+1)*($NR$30-227+1)/$NT$30,$NM$30/$NS$30)),0)</f>
        <v/>
      </c>
      <c r="HW30" s="18">
        <f>IF(AND(228&gt;=$NQ$30,228&lt;=$NR$30),IF($NO$30="Single_Point",IF(228=$NQ$30,$NM$30,0),IF($NO$30="Bell_Curve",$NM$30*(228-$NQ$30+1)*($NR$30-228+1)/$NT$30,$NM$30/$NS$30)),0)</f>
        <v/>
      </c>
      <c r="HX30" s="18">
        <f>IF(AND(229&gt;=$NQ$30,229&lt;=$NR$30),IF($NO$30="Single_Point",IF(229=$NQ$30,$NM$30,0),IF($NO$30="Bell_Curve",$NM$30*(229-$NQ$30+1)*($NR$30-229+1)/$NT$30,$NM$30/$NS$30)),0)</f>
        <v/>
      </c>
      <c r="HY30" s="18">
        <f>IF(AND(230&gt;=$NQ$30,230&lt;=$NR$30),IF($NO$30="Single_Point",IF(230=$NQ$30,$NM$30,0),IF($NO$30="Bell_Curve",$NM$30*(230-$NQ$30+1)*($NR$30-230+1)/$NT$30,$NM$30/$NS$30)),0)</f>
        <v/>
      </c>
      <c r="HZ30" s="18">
        <f>IF(AND(231&gt;=$NQ$30,231&lt;=$NR$30),IF($NO$30="Single_Point",IF(231=$NQ$30,$NM$30,0),IF($NO$30="Bell_Curve",$NM$30*(231-$NQ$30+1)*($NR$30-231+1)/$NT$30,$NM$30/$NS$30)),0)</f>
        <v/>
      </c>
      <c r="IA30" s="18">
        <f>IF(AND(232&gt;=$NQ$30,232&lt;=$NR$30),IF($NO$30="Single_Point",IF(232=$NQ$30,$NM$30,0),IF($NO$30="Bell_Curve",$NM$30*(232-$NQ$30+1)*($NR$30-232+1)/$NT$30,$NM$30/$NS$30)),0)</f>
        <v/>
      </c>
      <c r="IB30" s="18">
        <f>IF(AND(233&gt;=$NQ$30,233&lt;=$NR$30),IF($NO$30="Single_Point",IF(233=$NQ$30,$NM$30,0),IF($NO$30="Bell_Curve",$NM$30*(233-$NQ$30+1)*($NR$30-233+1)/$NT$30,$NM$30/$NS$30)),0)</f>
        <v/>
      </c>
      <c r="IC30" s="18">
        <f>IF(AND(234&gt;=$NQ$30,234&lt;=$NR$30),IF($NO$30="Single_Point",IF(234=$NQ$30,$NM$30,0),IF($NO$30="Bell_Curve",$NM$30*(234-$NQ$30+1)*($NR$30-234+1)/$NT$30,$NM$30/$NS$30)),0)</f>
        <v/>
      </c>
      <c r="ID30" s="18">
        <f>IF(AND(235&gt;=$NQ$30,235&lt;=$NR$30),IF($NO$30="Single_Point",IF(235=$NQ$30,$NM$30,0),IF($NO$30="Bell_Curve",$NM$30*(235-$NQ$30+1)*($NR$30-235+1)/$NT$30,$NM$30/$NS$30)),0)</f>
        <v/>
      </c>
      <c r="IE30" s="18">
        <f>IF(AND(236&gt;=$NQ$30,236&lt;=$NR$30),IF($NO$30="Single_Point",IF(236=$NQ$30,$NM$30,0),IF($NO$30="Bell_Curve",$NM$30*(236-$NQ$30+1)*($NR$30-236+1)/$NT$30,$NM$30/$NS$30)),0)</f>
        <v/>
      </c>
      <c r="IF30" s="18">
        <f>IF(AND(237&gt;=$NQ$30,237&lt;=$NR$30),IF($NO$30="Single_Point",IF(237=$NQ$30,$NM$30,0),IF($NO$30="Bell_Curve",$NM$30*(237-$NQ$30+1)*($NR$30-237+1)/$NT$30,$NM$30/$NS$30)),0)</f>
        <v/>
      </c>
      <c r="IG30" s="18">
        <f>IF(AND(238&gt;=$NQ$30,238&lt;=$NR$30),IF($NO$30="Single_Point",IF(238=$NQ$30,$NM$30,0),IF($NO$30="Bell_Curve",$NM$30*(238-$NQ$30+1)*($NR$30-238+1)/$NT$30,$NM$30/$NS$30)),0)</f>
        <v/>
      </c>
      <c r="IH30" s="18">
        <f>IF(AND(239&gt;=$NQ$30,239&lt;=$NR$30),IF($NO$30="Single_Point",IF(239=$NQ$30,$NM$30,0),IF($NO$30="Bell_Curve",$NM$30*(239-$NQ$30+1)*($NR$30-239+1)/$NT$30,$NM$30/$NS$30)),0)</f>
        <v/>
      </c>
      <c r="II30" s="18">
        <f>IF(AND(240&gt;=$NQ$30,240&lt;=$NR$30),IF($NO$30="Single_Point",IF(240=$NQ$30,$NM$30,0),IF($NO$30="Bell_Curve",$NM$30*(240-$NQ$30+1)*($NR$30-240+1)/$NT$30,$NM$30/$NS$30)),0)</f>
        <v/>
      </c>
      <c r="IJ30" s="18">
        <f>IF(AND(241&gt;=$NQ$30,241&lt;=$NR$30),IF($NO$30="Single_Point",IF(241=$NQ$30,$NM$30,0),IF($NO$30="Bell_Curve",$NM$30*(241-$NQ$30+1)*($NR$30-241+1)/$NT$30,$NM$30/$NS$30)),0)</f>
        <v/>
      </c>
      <c r="IK30" s="18">
        <f>IF(AND(242&gt;=$NQ$30,242&lt;=$NR$30),IF($NO$30="Single_Point",IF(242=$NQ$30,$NM$30,0),IF($NO$30="Bell_Curve",$NM$30*(242-$NQ$30+1)*($NR$30-242+1)/$NT$30,$NM$30/$NS$30)),0)</f>
        <v/>
      </c>
      <c r="IL30" s="18">
        <f>IF(AND(243&gt;=$NQ$30,243&lt;=$NR$30),IF($NO$30="Single_Point",IF(243=$NQ$30,$NM$30,0),IF($NO$30="Bell_Curve",$NM$30*(243-$NQ$30+1)*($NR$30-243+1)/$NT$30,$NM$30/$NS$30)),0)</f>
        <v/>
      </c>
      <c r="IM30" s="18">
        <f>IF(AND(244&gt;=$NQ$30,244&lt;=$NR$30),IF($NO$30="Single_Point",IF(244=$NQ$30,$NM$30,0),IF($NO$30="Bell_Curve",$NM$30*(244-$NQ$30+1)*($NR$30-244+1)/$NT$30,$NM$30/$NS$30)),0)</f>
        <v/>
      </c>
      <c r="IN30" s="18">
        <f>IF(AND(245&gt;=$NQ$30,245&lt;=$NR$30),IF($NO$30="Single_Point",IF(245=$NQ$30,$NM$30,0),IF($NO$30="Bell_Curve",$NM$30*(245-$NQ$30+1)*($NR$30-245+1)/$NT$30,$NM$30/$NS$30)),0)</f>
        <v/>
      </c>
      <c r="IO30" s="18">
        <f>IF(AND(246&gt;=$NQ$30,246&lt;=$NR$30),IF($NO$30="Single_Point",IF(246=$NQ$30,$NM$30,0),IF($NO$30="Bell_Curve",$NM$30*(246-$NQ$30+1)*($NR$30-246+1)/$NT$30,$NM$30/$NS$30)),0)</f>
        <v/>
      </c>
      <c r="IP30" s="18">
        <f>IF(AND(247&gt;=$NQ$30,247&lt;=$NR$30),IF($NO$30="Single_Point",IF(247=$NQ$30,$NM$30,0),IF($NO$30="Bell_Curve",$NM$30*(247-$NQ$30+1)*($NR$30-247+1)/$NT$30,$NM$30/$NS$30)),0)</f>
        <v/>
      </c>
      <c r="IQ30" s="18">
        <f>IF(AND(248&gt;=$NQ$30,248&lt;=$NR$30),IF($NO$30="Single_Point",IF(248=$NQ$30,$NM$30,0),IF($NO$30="Bell_Curve",$NM$30*(248-$NQ$30+1)*($NR$30-248+1)/$NT$30,$NM$30/$NS$30)),0)</f>
        <v/>
      </c>
      <c r="IR30" s="18">
        <f>IF(AND(249&gt;=$NQ$30,249&lt;=$NR$30),IF($NO$30="Single_Point",IF(249=$NQ$30,$NM$30,0),IF($NO$30="Bell_Curve",$NM$30*(249-$NQ$30+1)*($NR$30-249+1)/$NT$30,$NM$30/$NS$30)),0)</f>
        <v/>
      </c>
      <c r="IS30" s="18">
        <f>IF(AND(250&gt;=$NQ$30,250&lt;=$NR$30),IF($NO$30="Single_Point",IF(250=$NQ$30,$NM$30,0),IF($NO$30="Bell_Curve",$NM$30*(250-$NQ$30+1)*($NR$30-250+1)/$NT$30,$NM$30/$NS$30)),0)</f>
        <v/>
      </c>
      <c r="IT30" s="18">
        <f>IF(AND(251&gt;=$NQ$30,251&lt;=$NR$30),IF($NO$30="Single_Point",IF(251=$NQ$30,$NM$30,0),IF($NO$30="Bell_Curve",$NM$30*(251-$NQ$30+1)*($NR$30-251+1)/$NT$30,$NM$30/$NS$30)),0)</f>
        <v/>
      </c>
      <c r="IU30" s="18">
        <f>IF(AND(252&gt;=$NQ$30,252&lt;=$NR$30),IF($NO$30="Single_Point",IF(252=$NQ$30,$NM$30,0),IF($NO$30="Bell_Curve",$NM$30*(252-$NQ$30+1)*($NR$30-252+1)/$NT$30,$NM$30/$NS$30)),0)</f>
        <v/>
      </c>
      <c r="IV30" s="18">
        <f>IF(AND(253&gt;=$NQ$30,253&lt;=$NR$30),IF($NO$30="Single_Point",IF(253=$NQ$30,$NM$30,0),IF($NO$30="Bell_Curve",$NM$30*(253-$NQ$30+1)*($NR$30-253+1)/$NT$30,$NM$30/$NS$30)),0)</f>
        <v/>
      </c>
      <c r="IW30" s="18">
        <f>IF(AND(254&gt;=$NQ$30,254&lt;=$NR$30),IF($NO$30="Single_Point",IF(254=$NQ$30,$NM$30,0),IF($NO$30="Bell_Curve",$NM$30*(254-$NQ$30+1)*($NR$30-254+1)/$NT$30,$NM$30/$NS$30)),0)</f>
        <v/>
      </c>
      <c r="IX30" s="18">
        <f>IF(AND(255&gt;=$NQ$30,255&lt;=$NR$30),IF($NO$30="Single_Point",IF(255=$NQ$30,$NM$30,0),IF($NO$30="Bell_Curve",$NM$30*(255-$NQ$30+1)*($NR$30-255+1)/$NT$30,$NM$30/$NS$30)),0)</f>
        <v/>
      </c>
      <c r="IY30" s="18">
        <f>IF(AND(256&gt;=$NQ$30,256&lt;=$NR$30),IF($NO$30="Single_Point",IF(256=$NQ$30,$NM$30,0),IF($NO$30="Bell_Curve",$NM$30*(256-$NQ$30+1)*($NR$30-256+1)/$NT$30,$NM$30/$NS$30)),0)</f>
        <v/>
      </c>
      <c r="IZ30" s="18">
        <f>IF(AND(257&gt;=$NQ$30,257&lt;=$NR$30),IF($NO$30="Single_Point",IF(257=$NQ$30,$NM$30,0),IF($NO$30="Bell_Curve",$NM$30*(257-$NQ$30+1)*($NR$30-257+1)/$NT$30,$NM$30/$NS$30)),0)</f>
        <v/>
      </c>
      <c r="JA30" s="18">
        <f>IF(AND(258&gt;=$NQ$30,258&lt;=$NR$30),IF($NO$30="Single_Point",IF(258=$NQ$30,$NM$30,0),IF($NO$30="Bell_Curve",$NM$30*(258-$NQ$30+1)*($NR$30-258+1)/$NT$30,$NM$30/$NS$30)),0)</f>
        <v/>
      </c>
      <c r="JB30" s="18">
        <f>IF(AND(259&gt;=$NQ$30,259&lt;=$NR$30),IF($NO$30="Single_Point",IF(259=$NQ$30,$NM$30,0),IF($NO$30="Bell_Curve",$NM$30*(259-$NQ$30+1)*($NR$30-259+1)/$NT$30,$NM$30/$NS$30)),0)</f>
        <v/>
      </c>
      <c r="JC30" s="18">
        <f>IF(AND(260&gt;=$NQ$30,260&lt;=$NR$30),IF($NO$30="Single_Point",IF(260=$NQ$30,$NM$30,0),IF($NO$30="Bell_Curve",$NM$30*(260-$NQ$30+1)*($NR$30-260+1)/$NT$30,$NM$30/$NS$30)),0)</f>
        <v/>
      </c>
      <c r="JD30" s="18">
        <f>IF(AND(261&gt;=$NQ$30,261&lt;=$NR$30),IF($NO$30="Single_Point",IF(261=$NQ$30,$NM$30,0),IF($NO$30="Bell_Curve",$NM$30*(261-$NQ$30+1)*($NR$30-261+1)/$NT$30,$NM$30/$NS$30)),0)</f>
        <v/>
      </c>
      <c r="JE30" s="18">
        <f>IF(AND(262&gt;=$NQ$30,262&lt;=$NR$30),IF($NO$30="Single_Point",IF(262=$NQ$30,$NM$30,0),IF($NO$30="Bell_Curve",$NM$30*(262-$NQ$30+1)*($NR$30-262+1)/$NT$30,$NM$30/$NS$30)),0)</f>
        <v/>
      </c>
      <c r="JF30" s="18">
        <f>IF(AND(263&gt;=$NQ$30,263&lt;=$NR$30),IF($NO$30="Single_Point",IF(263=$NQ$30,$NM$30,0),IF($NO$30="Bell_Curve",$NM$30*(263-$NQ$30+1)*($NR$30-263+1)/$NT$30,$NM$30/$NS$30)),0)</f>
        <v/>
      </c>
      <c r="JG30" s="18">
        <f>IF(AND(264&gt;=$NQ$30,264&lt;=$NR$30),IF($NO$30="Single_Point",IF(264=$NQ$30,$NM$30,0),IF($NO$30="Bell_Curve",$NM$30*(264-$NQ$30+1)*($NR$30-264+1)/$NT$30,$NM$30/$NS$30)),0)</f>
        <v/>
      </c>
      <c r="JH30" s="18">
        <f>IF(AND(265&gt;=$NQ$30,265&lt;=$NR$30),IF($NO$30="Single_Point",IF(265=$NQ$30,$NM$30,0),IF($NO$30="Bell_Curve",$NM$30*(265-$NQ$30+1)*($NR$30-265+1)/$NT$30,$NM$30/$NS$30)),0)</f>
        <v/>
      </c>
      <c r="JI30" s="18">
        <f>IF(AND(266&gt;=$NQ$30,266&lt;=$NR$30),IF($NO$30="Single_Point",IF(266=$NQ$30,$NM$30,0),IF($NO$30="Bell_Curve",$NM$30*(266-$NQ$30+1)*($NR$30-266+1)/$NT$30,$NM$30/$NS$30)),0)</f>
        <v/>
      </c>
      <c r="JJ30" s="18">
        <f>IF(AND(267&gt;=$NQ$30,267&lt;=$NR$30),IF($NO$30="Single_Point",IF(267=$NQ$30,$NM$30,0),IF($NO$30="Bell_Curve",$NM$30*(267-$NQ$30+1)*($NR$30-267+1)/$NT$30,$NM$30/$NS$30)),0)</f>
        <v/>
      </c>
      <c r="JK30" s="18">
        <f>IF(AND(268&gt;=$NQ$30,268&lt;=$NR$30),IF($NO$30="Single_Point",IF(268=$NQ$30,$NM$30,0),IF($NO$30="Bell_Curve",$NM$30*(268-$NQ$30+1)*($NR$30-268+1)/$NT$30,$NM$30/$NS$30)),0)</f>
        <v/>
      </c>
      <c r="JL30" s="18">
        <f>IF(AND(269&gt;=$NQ$30,269&lt;=$NR$30),IF($NO$30="Single_Point",IF(269=$NQ$30,$NM$30,0),IF($NO$30="Bell_Curve",$NM$30*(269-$NQ$30+1)*($NR$30-269+1)/$NT$30,$NM$30/$NS$30)),0)</f>
        <v/>
      </c>
      <c r="JM30" s="18">
        <f>IF(AND(270&gt;=$NQ$30,270&lt;=$NR$30),IF($NO$30="Single_Point",IF(270=$NQ$30,$NM$30,0),IF($NO$30="Bell_Curve",$NM$30*(270-$NQ$30+1)*($NR$30-270+1)/$NT$30,$NM$30/$NS$30)),0)</f>
        <v/>
      </c>
      <c r="JN30" s="18">
        <f>IF(AND(271&gt;=$NQ$30,271&lt;=$NR$30),IF($NO$30="Single_Point",IF(271=$NQ$30,$NM$30,0),IF($NO$30="Bell_Curve",$NM$30*(271-$NQ$30+1)*($NR$30-271+1)/$NT$30,$NM$30/$NS$30)),0)</f>
        <v/>
      </c>
      <c r="JO30" s="18">
        <f>IF(AND(272&gt;=$NQ$30,272&lt;=$NR$30),IF($NO$30="Single_Point",IF(272=$NQ$30,$NM$30,0),IF($NO$30="Bell_Curve",$NM$30*(272-$NQ$30+1)*($NR$30-272+1)/$NT$30,$NM$30/$NS$30)),0)</f>
        <v/>
      </c>
      <c r="JP30" s="18">
        <f>IF(AND(273&gt;=$NQ$30,273&lt;=$NR$30),IF($NO$30="Single_Point",IF(273=$NQ$30,$NM$30,0),IF($NO$30="Bell_Curve",$NM$30*(273-$NQ$30+1)*($NR$30-273+1)/$NT$30,$NM$30/$NS$30)),0)</f>
        <v/>
      </c>
      <c r="JQ30" s="18">
        <f>IF(AND(274&gt;=$NQ$30,274&lt;=$NR$30),IF($NO$30="Single_Point",IF(274=$NQ$30,$NM$30,0),IF($NO$30="Bell_Curve",$NM$30*(274-$NQ$30+1)*($NR$30-274+1)/$NT$30,$NM$30/$NS$30)),0)</f>
        <v/>
      </c>
      <c r="JR30" s="18">
        <f>IF(AND(275&gt;=$NQ$30,275&lt;=$NR$30),IF($NO$30="Single_Point",IF(275=$NQ$30,$NM$30,0),IF($NO$30="Bell_Curve",$NM$30*(275-$NQ$30+1)*($NR$30-275+1)/$NT$30,$NM$30/$NS$30)),0)</f>
        <v/>
      </c>
      <c r="JS30" s="18">
        <f>IF(AND(276&gt;=$NQ$30,276&lt;=$NR$30),IF($NO$30="Single_Point",IF(276=$NQ$30,$NM$30,0),IF($NO$30="Bell_Curve",$NM$30*(276-$NQ$30+1)*($NR$30-276+1)/$NT$30,$NM$30/$NS$30)),0)</f>
        <v/>
      </c>
      <c r="JT30" s="18">
        <f>IF(AND(277&gt;=$NQ$30,277&lt;=$NR$30),IF($NO$30="Single_Point",IF(277=$NQ$30,$NM$30,0),IF($NO$30="Bell_Curve",$NM$30*(277-$NQ$30+1)*($NR$30-277+1)/$NT$30,$NM$30/$NS$30)),0)</f>
        <v/>
      </c>
      <c r="JU30" s="18">
        <f>IF(AND(278&gt;=$NQ$30,278&lt;=$NR$30),IF($NO$30="Single_Point",IF(278=$NQ$30,$NM$30,0),IF($NO$30="Bell_Curve",$NM$30*(278-$NQ$30+1)*($NR$30-278+1)/$NT$30,$NM$30/$NS$30)),0)</f>
        <v/>
      </c>
      <c r="JV30" s="18">
        <f>IF(AND(279&gt;=$NQ$30,279&lt;=$NR$30),IF($NO$30="Single_Point",IF(279=$NQ$30,$NM$30,0),IF($NO$30="Bell_Curve",$NM$30*(279-$NQ$30+1)*($NR$30-279+1)/$NT$30,$NM$30/$NS$30)),0)</f>
        <v/>
      </c>
      <c r="JW30" s="18">
        <f>IF(AND(280&gt;=$NQ$30,280&lt;=$NR$30),IF($NO$30="Single_Point",IF(280=$NQ$30,$NM$30,0),IF($NO$30="Bell_Curve",$NM$30*(280-$NQ$30+1)*($NR$30-280+1)/$NT$30,$NM$30/$NS$30)),0)</f>
        <v/>
      </c>
      <c r="JX30" s="18">
        <f>IF(AND(281&gt;=$NQ$30,281&lt;=$NR$30),IF($NO$30="Single_Point",IF(281=$NQ$30,$NM$30,0),IF($NO$30="Bell_Curve",$NM$30*(281-$NQ$30+1)*($NR$30-281+1)/$NT$30,$NM$30/$NS$30)),0)</f>
        <v/>
      </c>
      <c r="JY30" s="18">
        <f>IF(AND(282&gt;=$NQ$30,282&lt;=$NR$30),IF($NO$30="Single_Point",IF(282=$NQ$30,$NM$30,0),IF($NO$30="Bell_Curve",$NM$30*(282-$NQ$30+1)*($NR$30-282+1)/$NT$30,$NM$30/$NS$30)),0)</f>
        <v/>
      </c>
      <c r="JZ30" s="18">
        <f>IF(AND(283&gt;=$NQ$30,283&lt;=$NR$30),IF($NO$30="Single_Point",IF(283=$NQ$30,$NM$30,0),IF($NO$30="Bell_Curve",$NM$30*(283-$NQ$30+1)*($NR$30-283+1)/$NT$30,$NM$30/$NS$30)),0)</f>
        <v/>
      </c>
      <c r="KA30" s="18">
        <f>IF(AND(284&gt;=$NQ$30,284&lt;=$NR$30),IF($NO$30="Single_Point",IF(284=$NQ$30,$NM$30,0),IF($NO$30="Bell_Curve",$NM$30*(284-$NQ$30+1)*($NR$30-284+1)/$NT$30,$NM$30/$NS$30)),0)</f>
        <v/>
      </c>
      <c r="KB30" s="18">
        <f>IF(AND(285&gt;=$NQ$30,285&lt;=$NR$30),IF($NO$30="Single_Point",IF(285=$NQ$30,$NM$30,0),IF($NO$30="Bell_Curve",$NM$30*(285-$NQ$30+1)*($NR$30-285+1)/$NT$30,$NM$30/$NS$30)),0)</f>
        <v/>
      </c>
      <c r="KC30" s="18">
        <f>IF(AND(286&gt;=$NQ$30,286&lt;=$NR$30),IF($NO$30="Single_Point",IF(286=$NQ$30,$NM$30,0),IF($NO$30="Bell_Curve",$NM$30*(286-$NQ$30+1)*($NR$30-286+1)/$NT$30,$NM$30/$NS$30)),0)</f>
        <v/>
      </c>
      <c r="KD30" s="18">
        <f>IF(AND(287&gt;=$NQ$30,287&lt;=$NR$30),IF($NO$30="Single_Point",IF(287=$NQ$30,$NM$30,0),IF($NO$30="Bell_Curve",$NM$30*(287-$NQ$30+1)*($NR$30-287+1)/$NT$30,$NM$30/$NS$30)),0)</f>
        <v/>
      </c>
      <c r="KE30" s="18">
        <f>IF(AND(288&gt;=$NQ$30,288&lt;=$NR$30),IF($NO$30="Single_Point",IF(288=$NQ$30,$NM$30,0),IF($NO$30="Bell_Curve",$NM$30*(288-$NQ$30+1)*($NR$30-288+1)/$NT$30,$NM$30/$NS$30)),0)</f>
        <v/>
      </c>
      <c r="KF30" s="18">
        <f>IF(AND(289&gt;=$NQ$30,289&lt;=$NR$30),IF($NO$30="Single_Point",IF(289=$NQ$30,$NM$30,0),IF($NO$30="Bell_Curve",$NM$30*(289-$NQ$30+1)*($NR$30-289+1)/$NT$30,$NM$30/$NS$30)),0)</f>
        <v/>
      </c>
      <c r="KG30" s="18">
        <f>IF(AND(290&gt;=$NQ$30,290&lt;=$NR$30),IF($NO$30="Single_Point",IF(290=$NQ$30,$NM$30,0),IF($NO$30="Bell_Curve",$NM$30*(290-$NQ$30+1)*($NR$30-290+1)/$NT$30,$NM$30/$NS$30)),0)</f>
        <v/>
      </c>
      <c r="KH30" s="18">
        <f>IF(AND(291&gt;=$NQ$30,291&lt;=$NR$30),IF($NO$30="Single_Point",IF(291=$NQ$30,$NM$30,0),IF($NO$30="Bell_Curve",$NM$30*(291-$NQ$30+1)*($NR$30-291+1)/$NT$30,$NM$30/$NS$30)),0)</f>
        <v/>
      </c>
      <c r="KI30" s="18">
        <f>IF(AND(292&gt;=$NQ$30,292&lt;=$NR$30),IF($NO$30="Single_Point",IF(292=$NQ$30,$NM$30,0),IF($NO$30="Bell_Curve",$NM$30*(292-$NQ$30+1)*($NR$30-292+1)/$NT$30,$NM$30/$NS$30)),0)</f>
        <v/>
      </c>
      <c r="KJ30" s="18">
        <f>IF(AND(293&gt;=$NQ$30,293&lt;=$NR$30),IF($NO$30="Single_Point",IF(293=$NQ$30,$NM$30,0),IF($NO$30="Bell_Curve",$NM$30*(293-$NQ$30+1)*($NR$30-293+1)/$NT$30,$NM$30/$NS$30)),0)</f>
        <v/>
      </c>
      <c r="KK30" s="18">
        <f>IF(AND(294&gt;=$NQ$30,294&lt;=$NR$30),IF($NO$30="Single_Point",IF(294=$NQ$30,$NM$30,0),IF($NO$30="Bell_Curve",$NM$30*(294-$NQ$30+1)*($NR$30-294+1)/$NT$30,$NM$30/$NS$30)),0)</f>
        <v/>
      </c>
      <c r="KL30" s="18">
        <f>IF(AND(295&gt;=$NQ$30,295&lt;=$NR$30),IF($NO$30="Single_Point",IF(295=$NQ$30,$NM$30,0),IF($NO$30="Bell_Curve",$NM$30*(295-$NQ$30+1)*($NR$30-295+1)/$NT$30,$NM$30/$NS$30)),0)</f>
        <v/>
      </c>
      <c r="KM30" s="18">
        <f>IF(AND(296&gt;=$NQ$30,296&lt;=$NR$30),IF($NO$30="Single_Point",IF(296=$NQ$30,$NM$30,0),IF($NO$30="Bell_Curve",$NM$30*(296-$NQ$30+1)*($NR$30-296+1)/$NT$30,$NM$30/$NS$30)),0)</f>
        <v/>
      </c>
      <c r="KN30" s="18">
        <f>IF(AND(297&gt;=$NQ$30,297&lt;=$NR$30),IF($NO$30="Single_Point",IF(297=$NQ$30,$NM$30,0),IF($NO$30="Bell_Curve",$NM$30*(297-$NQ$30+1)*($NR$30-297+1)/$NT$30,$NM$30/$NS$30)),0)</f>
        <v/>
      </c>
      <c r="KO30" s="18">
        <f>IF(AND(298&gt;=$NQ$30,298&lt;=$NR$30),IF($NO$30="Single_Point",IF(298=$NQ$30,$NM$30,0),IF($NO$30="Bell_Curve",$NM$30*(298-$NQ$30+1)*($NR$30-298+1)/$NT$30,$NM$30/$NS$30)),0)</f>
        <v/>
      </c>
      <c r="KP30" s="18">
        <f>IF(AND(299&gt;=$NQ$30,299&lt;=$NR$30),IF($NO$30="Single_Point",IF(299=$NQ$30,$NM$30,0),IF($NO$30="Bell_Curve",$NM$30*(299-$NQ$30+1)*($NR$30-299+1)/$NT$30,$NM$30/$NS$30)),0)</f>
        <v/>
      </c>
      <c r="KQ30" s="18">
        <f>IF(AND(300&gt;=$NQ$30,300&lt;=$NR$30),IF($NO$30="Single_Point",IF(300=$NQ$30,$NM$30,0),IF($NO$30="Bell_Curve",$NM$30*(300-$NQ$30+1)*($NR$30-300+1)/$NT$30,$NM$30/$NS$30)),0)</f>
        <v/>
      </c>
      <c r="KR30" s="18">
        <f>IF(AND(301&gt;=$NQ$30,301&lt;=$NR$30),IF($NO$30="Single_Point",IF(301=$NQ$30,$NM$30,0),IF($NO$30="Bell_Curve",$NM$30*(301-$NQ$30+1)*($NR$30-301+1)/$NT$30,$NM$30/$NS$30)),0)</f>
        <v/>
      </c>
      <c r="KS30" s="18">
        <f>IF(AND(302&gt;=$NQ$30,302&lt;=$NR$30),IF($NO$30="Single_Point",IF(302=$NQ$30,$NM$30,0),IF($NO$30="Bell_Curve",$NM$30*(302-$NQ$30+1)*($NR$30-302+1)/$NT$30,$NM$30/$NS$30)),0)</f>
        <v/>
      </c>
      <c r="KT30" s="18">
        <f>IF(AND(303&gt;=$NQ$30,303&lt;=$NR$30),IF($NO$30="Single_Point",IF(303=$NQ$30,$NM$30,0),IF($NO$30="Bell_Curve",$NM$30*(303-$NQ$30+1)*($NR$30-303+1)/$NT$30,$NM$30/$NS$30)),0)</f>
        <v/>
      </c>
      <c r="KU30" s="18">
        <f>IF(AND(304&gt;=$NQ$30,304&lt;=$NR$30),IF($NO$30="Single_Point",IF(304=$NQ$30,$NM$30,0),IF($NO$30="Bell_Curve",$NM$30*(304-$NQ$30+1)*($NR$30-304+1)/$NT$30,$NM$30/$NS$30)),0)</f>
        <v/>
      </c>
      <c r="KV30" s="18">
        <f>IF(AND(305&gt;=$NQ$30,305&lt;=$NR$30),IF($NO$30="Single_Point",IF(305=$NQ$30,$NM$30,0),IF($NO$30="Bell_Curve",$NM$30*(305-$NQ$30+1)*($NR$30-305+1)/$NT$30,$NM$30/$NS$30)),0)</f>
        <v/>
      </c>
      <c r="KW30" s="18">
        <f>IF(AND(306&gt;=$NQ$30,306&lt;=$NR$30),IF($NO$30="Single_Point",IF(306=$NQ$30,$NM$30,0),IF($NO$30="Bell_Curve",$NM$30*(306-$NQ$30+1)*($NR$30-306+1)/$NT$30,$NM$30/$NS$30)),0)</f>
        <v/>
      </c>
      <c r="KX30" s="18">
        <f>IF(AND(307&gt;=$NQ$30,307&lt;=$NR$30),IF($NO$30="Single_Point",IF(307=$NQ$30,$NM$30,0),IF($NO$30="Bell_Curve",$NM$30*(307-$NQ$30+1)*($NR$30-307+1)/$NT$30,$NM$30/$NS$30)),0)</f>
        <v/>
      </c>
      <c r="KY30" s="18">
        <f>IF(AND(308&gt;=$NQ$30,308&lt;=$NR$30),IF($NO$30="Single_Point",IF(308=$NQ$30,$NM$30,0),IF($NO$30="Bell_Curve",$NM$30*(308-$NQ$30+1)*($NR$30-308+1)/$NT$30,$NM$30/$NS$30)),0)</f>
        <v/>
      </c>
      <c r="KZ30" s="18">
        <f>IF(AND(309&gt;=$NQ$30,309&lt;=$NR$30),IF($NO$30="Single_Point",IF(309=$NQ$30,$NM$30,0),IF($NO$30="Bell_Curve",$NM$30*(309-$NQ$30+1)*($NR$30-309+1)/$NT$30,$NM$30/$NS$30)),0)</f>
        <v/>
      </c>
      <c r="LA30" s="18">
        <f>IF(AND(310&gt;=$NQ$30,310&lt;=$NR$30),IF($NO$30="Single_Point",IF(310=$NQ$30,$NM$30,0),IF($NO$30="Bell_Curve",$NM$30*(310-$NQ$30+1)*($NR$30-310+1)/$NT$30,$NM$30/$NS$30)),0)</f>
        <v/>
      </c>
      <c r="LB30" s="18">
        <f>IF(AND(311&gt;=$NQ$30,311&lt;=$NR$30),IF($NO$30="Single_Point",IF(311=$NQ$30,$NM$30,0),IF($NO$30="Bell_Curve",$NM$30*(311-$NQ$30+1)*($NR$30-311+1)/$NT$30,$NM$30/$NS$30)),0)</f>
        <v/>
      </c>
      <c r="LC30" s="18">
        <f>IF(AND(312&gt;=$NQ$30,312&lt;=$NR$30),IF($NO$30="Single_Point",IF(312=$NQ$30,$NM$30,0),IF($NO$30="Bell_Curve",$NM$30*(312-$NQ$30+1)*($NR$30-312+1)/$NT$30,$NM$30/$NS$30)),0)</f>
        <v/>
      </c>
      <c r="LD30" s="18">
        <f>IF(AND(313&gt;=$NQ$30,313&lt;=$NR$30),IF($NO$30="Single_Point",IF(313=$NQ$30,$NM$30,0),IF($NO$30="Bell_Curve",$NM$30*(313-$NQ$30+1)*($NR$30-313+1)/$NT$30,$NM$30/$NS$30)),0)</f>
        <v/>
      </c>
      <c r="LE30" s="18">
        <f>IF(AND(314&gt;=$NQ$30,314&lt;=$NR$30),IF($NO$30="Single_Point",IF(314=$NQ$30,$NM$30,0),IF($NO$30="Bell_Curve",$NM$30*(314-$NQ$30+1)*($NR$30-314+1)/$NT$30,$NM$30/$NS$30)),0)</f>
        <v/>
      </c>
      <c r="LF30" s="18">
        <f>IF(AND(315&gt;=$NQ$30,315&lt;=$NR$30),IF($NO$30="Single_Point",IF(315=$NQ$30,$NM$30,0),IF($NO$30="Bell_Curve",$NM$30*(315-$NQ$30+1)*($NR$30-315+1)/$NT$30,$NM$30/$NS$30)),0)</f>
        <v/>
      </c>
      <c r="LG30" s="18">
        <f>IF(AND(316&gt;=$NQ$30,316&lt;=$NR$30),IF($NO$30="Single_Point",IF(316=$NQ$30,$NM$30,0),IF($NO$30="Bell_Curve",$NM$30*(316-$NQ$30+1)*($NR$30-316+1)/$NT$30,$NM$30/$NS$30)),0)</f>
        <v/>
      </c>
      <c r="LH30" s="18">
        <f>IF(AND(317&gt;=$NQ$30,317&lt;=$NR$30),IF($NO$30="Single_Point",IF(317=$NQ$30,$NM$30,0),IF($NO$30="Bell_Curve",$NM$30*(317-$NQ$30+1)*($NR$30-317+1)/$NT$30,$NM$30/$NS$30)),0)</f>
        <v/>
      </c>
      <c r="LI30" s="18">
        <f>IF(AND(318&gt;=$NQ$30,318&lt;=$NR$30),IF($NO$30="Single_Point",IF(318=$NQ$30,$NM$30,0),IF($NO$30="Bell_Curve",$NM$30*(318-$NQ$30+1)*($NR$30-318+1)/$NT$30,$NM$30/$NS$30)),0)</f>
        <v/>
      </c>
      <c r="LJ30" s="18">
        <f>IF(AND(319&gt;=$NQ$30,319&lt;=$NR$30),IF($NO$30="Single_Point",IF(319=$NQ$30,$NM$30,0),IF($NO$30="Bell_Curve",$NM$30*(319-$NQ$30+1)*($NR$30-319+1)/$NT$30,$NM$30/$NS$30)),0)</f>
        <v/>
      </c>
      <c r="LK30" s="18">
        <f>IF(AND(320&gt;=$NQ$30,320&lt;=$NR$30),IF($NO$30="Single_Point",IF(320=$NQ$30,$NM$30,0),IF($NO$30="Bell_Curve",$NM$30*(320-$NQ$30+1)*($NR$30-320+1)/$NT$30,$NM$30/$NS$30)),0)</f>
        <v/>
      </c>
      <c r="LL30" s="18">
        <f>IF(AND(321&gt;=$NQ$30,321&lt;=$NR$30),IF($NO$30="Single_Point",IF(321=$NQ$30,$NM$30,0),IF($NO$30="Bell_Curve",$NM$30*(321-$NQ$30+1)*($NR$30-321+1)/$NT$30,$NM$30/$NS$30)),0)</f>
        <v/>
      </c>
      <c r="LM30" s="18">
        <f>IF(AND(322&gt;=$NQ$30,322&lt;=$NR$30),IF($NO$30="Single_Point",IF(322=$NQ$30,$NM$30,0),IF($NO$30="Bell_Curve",$NM$30*(322-$NQ$30+1)*($NR$30-322+1)/$NT$30,$NM$30/$NS$30)),0)</f>
        <v/>
      </c>
      <c r="LN30" s="18">
        <f>IF(AND(323&gt;=$NQ$30,323&lt;=$NR$30),IF($NO$30="Single_Point",IF(323=$NQ$30,$NM$30,0),IF($NO$30="Bell_Curve",$NM$30*(323-$NQ$30+1)*($NR$30-323+1)/$NT$30,$NM$30/$NS$30)),0)</f>
        <v/>
      </c>
      <c r="LO30" s="18">
        <f>IF(AND(324&gt;=$NQ$30,324&lt;=$NR$30),IF($NO$30="Single_Point",IF(324=$NQ$30,$NM$30,0),IF($NO$30="Bell_Curve",$NM$30*(324-$NQ$30+1)*($NR$30-324+1)/$NT$30,$NM$30/$NS$30)),0)</f>
        <v/>
      </c>
      <c r="LP30" s="18">
        <f>IF(AND(325&gt;=$NQ$30,325&lt;=$NR$30),IF($NO$30="Single_Point",IF(325=$NQ$30,$NM$30,0),IF($NO$30="Bell_Curve",$NM$30*(325-$NQ$30+1)*($NR$30-325+1)/$NT$30,$NM$30/$NS$30)),0)</f>
        <v/>
      </c>
      <c r="LQ30" s="18">
        <f>IF(AND(326&gt;=$NQ$30,326&lt;=$NR$30),IF($NO$30="Single_Point",IF(326=$NQ$30,$NM$30,0),IF($NO$30="Bell_Curve",$NM$30*(326-$NQ$30+1)*($NR$30-326+1)/$NT$30,$NM$30/$NS$30)),0)</f>
        <v/>
      </c>
      <c r="LR30" s="18">
        <f>IF(AND(327&gt;=$NQ$30,327&lt;=$NR$30),IF($NO$30="Single_Point",IF(327=$NQ$30,$NM$30,0),IF($NO$30="Bell_Curve",$NM$30*(327-$NQ$30+1)*($NR$30-327+1)/$NT$30,$NM$30/$NS$30)),0)</f>
        <v/>
      </c>
      <c r="LS30" s="18">
        <f>IF(AND(328&gt;=$NQ$30,328&lt;=$NR$30),IF($NO$30="Single_Point",IF(328=$NQ$30,$NM$30,0),IF($NO$30="Bell_Curve",$NM$30*(328-$NQ$30+1)*($NR$30-328+1)/$NT$30,$NM$30/$NS$30)),0)</f>
        <v/>
      </c>
      <c r="LT30" s="18">
        <f>IF(AND(329&gt;=$NQ$30,329&lt;=$NR$30),IF($NO$30="Single_Point",IF(329=$NQ$30,$NM$30,0),IF($NO$30="Bell_Curve",$NM$30*(329-$NQ$30+1)*($NR$30-329+1)/$NT$30,$NM$30/$NS$30)),0)</f>
        <v/>
      </c>
      <c r="LU30" s="18">
        <f>IF(AND(330&gt;=$NQ$30,330&lt;=$NR$30),IF($NO$30="Single_Point",IF(330=$NQ$30,$NM$30,0),IF($NO$30="Bell_Curve",$NM$30*(330-$NQ$30+1)*($NR$30-330+1)/$NT$30,$NM$30/$NS$30)),0)</f>
        <v/>
      </c>
      <c r="LV30" s="18">
        <f>IF(AND(331&gt;=$NQ$30,331&lt;=$NR$30),IF($NO$30="Single_Point",IF(331=$NQ$30,$NM$30,0),IF($NO$30="Bell_Curve",$NM$30*(331-$NQ$30+1)*($NR$30-331+1)/$NT$30,$NM$30/$NS$30)),0)</f>
        <v/>
      </c>
      <c r="LW30" s="18">
        <f>IF(AND(332&gt;=$NQ$30,332&lt;=$NR$30),IF($NO$30="Single_Point",IF(332=$NQ$30,$NM$30,0),IF($NO$30="Bell_Curve",$NM$30*(332-$NQ$30+1)*($NR$30-332+1)/$NT$30,$NM$30/$NS$30)),0)</f>
        <v/>
      </c>
      <c r="LX30" s="18">
        <f>IF(AND(333&gt;=$NQ$30,333&lt;=$NR$30),IF($NO$30="Single_Point",IF(333=$NQ$30,$NM$30,0),IF($NO$30="Bell_Curve",$NM$30*(333-$NQ$30+1)*($NR$30-333+1)/$NT$30,$NM$30/$NS$30)),0)</f>
        <v/>
      </c>
      <c r="LY30" s="18">
        <f>IF(AND(334&gt;=$NQ$30,334&lt;=$NR$30),IF($NO$30="Single_Point",IF(334=$NQ$30,$NM$30,0),IF($NO$30="Bell_Curve",$NM$30*(334-$NQ$30+1)*($NR$30-334+1)/$NT$30,$NM$30/$NS$30)),0)</f>
        <v/>
      </c>
      <c r="LZ30" s="18">
        <f>IF(AND(335&gt;=$NQ$30,335&lt;=$NR$30),IF($NO$30="Single_Point",IF(335=$NQ$30,$NM$30,0),IF($NO$30="Bell_Curve",$NM$30*(335-$NQ$30+1)*($NR$30-335+1)/$NT$30,$NM$30/$NS$30)),0)</f>
        <v/>
      </c>
      <c r="MA30" s="18">
        <f>IF(AND(336&gt;=$NQ$30,336&lt;=$NR$30),IF($NO$30="Single_Point",IF(336=$NQ$30,$NM$30,0),IF($NO$30="Bell_Curve",$NM$30*(336-$NQ$30+1)*($NR$30-336+1)/$NT$30,$NM$30/$NS$30)),0)</f>
        <v/>
      </c>
      <c r="MB30" s="18">
        <f>IF(AND(337&gt;=$NQ$30,337&lt;=$NR$30),IF($NO$30="Single_Point",IF(337=$NQ$30,$NM$30,0),IF($NO$30="Bell_Curve",$NM$30*(337-$NQ$30+1)*($NR$30-337+1)/$NT$30,$NM$30/$NS$30)),0)</f>
        <v/>
      </c>
      <c r="MC30" s="18">
        <f>IF(AND(338&gt;=$NQ$30,338&lt;=$NR$30),IF($NO$30="Single_Point",IF(338=$NQ$30,$NM$30,0),IF($NO$30="Bell_Curve",$NM$30*(338-$NQ$30+1)*($NR$30-338+1)/$NT$30,$NM$30/$NS$30)),0)</f>
        <v/>
      </c>
      <c r="MD30" s="18">
        <f>IF(AND(339&gt;=$NQ$30,339&lt;=$NR$30),IF($NO$30="Single_Point",IF(339=$NQ$30,$NM$30,0),IF($NO$30="Bell_Curve",$NM$30*(339-$NQ$30+1)*($NR$30-339+1)/$NT$30,$NM$30/$NS$30)),0)</f>
        <v/>
      </c>
      <c r="ME30" s="18">
        <f>IF(AND(340&gt;=$NQ$30,340&lt;=$NR$30),IF($NO$30="Single_Point",IF(340=$NQ$30,$NM$30,0),IF($NO$30="Bell_Curve",$NM$30*(340-$NQ$30+1)*($NR$30-340+1)/$NT$30,$NM$30/$NS$30)),0)</f>
        <v/>
      </c>
      <c r="MF30" s="18">
        <f>IF(AND(341&gt;=$NQ$30,341&lt;=$NR$30),IF($NO$30="Single_Point",IF(341=$NQ$30,$NM$30,0),IF($NO$30="Bell_Curve",$NM$30*(341-$NQ$30+1)*($NR$30-341+1)/$NT$30,$NM$30/$NS$30)),0)</f>
        <v/>
      </c>
      <c r="MG30" s="18">
        <f>IF(AND(342&gt;=$NQ$30,342&lt;=$NR$30),IF($NO$30="Single_Point",IF(342=$NQ$30,$NM$30,0),IF($NO$30="Bell_Curve",$NM$30*(342-$NQ$30+1)*($NR$30-342+1)/$NT$30,$NM$30/$NS$30)),0)</f>
        <v/>
      </c>
      <c r="MH30" s="18">
        <f>IF(AND(343&gt;=$NQ$30,343&lt;=$NR$30),IF($NO$30="Single_Point",IF(343=$NQ$30,$NM$30,0),IF($NO$30="Bell_Curve",$NM$30*(343-$NQ$30+1)*($NR$30-343+1)/$NT$30,$NM$30/$NS$30)),0)</f>
        <v/>
      </c>
      <c r="MI30" s="18">
        <f>IF(AND(344&gt;=$NQ$30,344&lt;=$NR$30),IF($NO$30="Single_Point",IF(344=$NQ$30,$NM$30,0),IF($NO$30="Bell_Curve",$NM$30*(344-$NQ$30+1)*($NR$30-344+1)/$NT$30,$NM$30/$NS$30)),0)</f>
        <v/>
      </c>
      <c r="MJ30" s="18">
        <f>IF(AND(345&gt;=$NQ$30,345&lt;=$NR$30),IF($NO$30="Single_Point",IF(345=$NQ$30,$NM$30,0),IF($NO$30="Bell_Curve",$NM$30*(345-$NQ$30+1)*($NR$30-345+1)/$NT$30,$NM$30/$NS$30)),0)</f>
        <v/>
      </c>
      <c r="MK30" s="18">
        <f>IF(AND(346&gt;=$NQ$30,346&lt;=$NR$30),IF($NO$30="Single_Point",IF(346=$NQ$30,$NM$30,0),IF($NO$30="Bell_Curve",$NM$30*(346-$NQ$30+1)*($NR$30-346+1)/$NT$30,$NM$30/$NS$30)),0)</f>
        <v/>
      </c>
      <c r="ML30" s="18">
        <f>IF(AND(347&gt;=$NQ$30,347&lt;=$NR$30),IF($NO$30="Single_Point",IF(347=$NQ$30,$NM$30,0),IF($NO$30="Bell_Curve",$NM$30*(347-$NQ$30+1)*($NR$30-347+1)/$NT$30,$NM$30/$NS$30)),0)</f>
        <v/>
      </c>
      <c r="MM30" s="18">
        <f>IF(AND(348&gt;=$NQ$30,348&lt;=$NR$30),IF($NO$30="Single_Point",IF(348=$NQ$30,$NM$30,0),IF($NO$30="Bell_Curve",$NM$30*(348-$NQ$30+1)*($NR$30-348+1)/$NT$30,$NM$30/$NS$30)),0)</f>
        <v/>
      </c>
      <c r="MN30" s="18">
        <f>IF(AND(349&gt;=$NQ$30,349&lt;=$NR$30),IF($NO$30="Single_Point",IF(349=$NQ$30,$NM$30,0),IF($NO$30="Bell_Curve",$NM$30*(349-$NQ$30+1)*($NR$30-349+1)/$NT$30,$NM$30/$NS$30)),0)</f>
        <v/>
      </c>
      <c r="MO30" s="18">
        <f>IF(AND(350&gt;=$NQ$30,350&lt;=$NR$30),IF($NO$30="Single_Point",IF(350=$NQ$30,$NM$30,0),IF($NO$30="Bell_Curve",$NM$30*(350-$NQ$30+1)*($NR$30-350+1)/$NT$30,$NM$30/$NS$30)),0)</f>
        <v/>
      </c>
      <c r="MP30" s="18">
        <f>IF(AND(351&gt;=$NQ$30,351&lt;=$NR$30),IF($NO$30="Single_Point",IF(351=$NQ$30,$NM$30,0),IF($NO$30="Bell_Curve",$NM$30*(351-$NQ$30+1)*($NR$30-351+1)/$NT$30,$NM$30/$NS$30)),0)</f>
        <v/>
      </c>
      <c r="MQ30" s="18">
        <f>IF(AND(352&gt;=$NQ$30,352&lt;=$NR$30),IF($NO$30="Single_Point",IF(352=$NQ$30,$NM$30,0),IF($NO$30="Bell_Curve",$NM$30*(352-$NQ$30+1)*($NR$30-352+1)/$NT$30,$NM$30/$NS$30)),0)</f>
        <v/>
      </c>
      <c r="MR30" s="18">
        <f>IF(AND(353&gt;=$NQ$30,353&lt;=$NR$30),IF($NO$30="Single_Point",IF(353=$NQ$30,$NM$30,0),IF($NO$30="Bell_Curve",$NM$30*(353-$NQ$30+1)*($NR$30-353+1)/$NT$30,$NM$30/$NS$30)),0)</f>
        <v/>
      </c>
      <c r="MS30" s="18">
        <f>IF(AND(354&gt;=$NQ$30,354&lt;=$NR$30),IF($NO$30="Single_Point",IF(354=$NQ$30,$NM$30,0),IF($NO$30="Bell_Curve",$NM$30*(354-$NQ$30+1)*($NR$30-354+1)/$NT$30,$NM$30/$NS$30)),0)</f>
        <v/>
      </c>
      <c r="MT30" s="18">
        <f>IF(AND(355&gt;=$NQ$30,355&lt;=$NR$30),IF($NO$30="Single_Point",IF(355=$NQ$30,$NM$30,0),IF($NO$30="Bell_Curve",$NM$30*(355-$NQ$30+1)*($NR$30-355+1)/$NT$30,$NM$30/$NS$30)),0)</f>
        <v/>
      </c>
      <c r="MU30" s="18">
        <f>IF(AND(356&gt;=$NQ$30,356&lt;=$NR$30),IF($NO$30="Single_Point",IF(356=$NQ$30,$NM$30,0),IF($NO$30="Bell_Curve",$NM$30*(356-$NQ$30+1)*($NR$30-356+1)/$NT$30,$NM$30/$NS$30)),0)</f>
        <v/>
      </c>
      <c r="MV30" s="18">
        <f>IF(AND(357&gt;=$NQ$30,357&lt;=$NR$30),IF($NO$30="Single_Point",IF(357=$NQ$30,$NM$30,0),IF($NO$30="Bell_Curve",$NM$30*(357-$NQ$30+1)*($NR$30-357+1)/$NT$30,$NM$30/$NS$30)),0)</f>
        <v/>
      </c>
      <c r="MW30" s="18">
        <f>IF(AND(358&gt;=$NQ$30,358&lt;=$NR$30),IF($NO$30="Single_Point",IF(358=$NQ$30,$NM$30,0),IF($NO$30="Bell_Curve",$NM$30*(358-$NQ$30+1)*($NR$30-358+1)/$NT$30,$NM$30/$NS$30)),0)</f>
        <v/>
      </c>
      <c r="MX30" s="18">
        <f>IF(AND(359&gt;=$NQ$30,359&lt;=$NR$30),IF($NO$30="Single_Point",IF(359=$NQ$30,$NM$30,0),IF($NO$30="Bell_Curve",$NM$30*(359-$NQ$30+1)*($NR$30-359+1)/$NT$30,$NM$30/$NS$30)),0)</f>
        <v/>
      </c>
      <c r="MY30" s="18">
        <f>IF(AND(360&gt;=$NQ$30,360&lt;=$NR$30),IF($NO$30="Single_Point",IF(360=$NQ$30,$NM$30,0),IF($NO$30="Bell_Curve",$NM$30*(360-$NQ$30+1)*($NR$30-360+1)/$NT$30,$NM$30/$NS$30)),0)</f>
        <v/>
      </c>
      <c r="MZ30" s="18">
        <f>IF(AND(361&gt;=$NQ$30,361&lt;=$NR$30),IF($NO$30="Single_Point",IF(361=$NQ$30,$NM$30,0),IF($NO$30="Bell_Curve",$NM$30*(361-$NQ$30+1)*($NR$30-361+1)/$NT$30,$NM$30/$NS$30)),0)</f>
        <v/>
      </c>
      <c r="NA30" s="18">
        <f>IF(AND(362&gt;=$NQ$30,362&lt;=$NR$30),IF($NO$30="Single_Point",IF(362=$NQ$30,$NM$30,0),IF($NO$30="Bell_Curve",$NM$30*(362-$NQ$30+1)*($NR$30-362+1)/$NT$30,$NM$30/$NS$30)),0)</f>
        <v/>
      </c>
      <c r="NB30" s="18">
        <f>IF(AND(363&gt;=$NQ$30,363&lt;=$NR$30),IF($NO$30="Single_Point",IF(363=$NQ$30,$NM$30,0),IF($NO$30="Bell_Curve",$NM$30*(363-$NQ$30+1)*($NR$30-363+1)/$NT$30,$NM$30/$NS$30)),0)</f>
        <v/>
      </c>
      <c r="NC30" s="18">
        <f>IF(AND(364&gt;=$NQ$30,364&lt;=$NR$30),IF($NO$30="Single_Point",IF(364=$NQ$30,$NM$30,0),IF($NO$30="Bell_Curve",$NM$30*(364-$NQ$30+1)*($NR$30-364+1)/$NT$30,$NM$30/$NS$30)),0)</f>
        <v/>
      </c>
      <c r="ND30" s="18">
        <f>IF(AND(365&gt;=$NQ$30,365&lt;=$NR$30),IF($NO$30="Single_Point",IF(365=$NQ$30,$NM$30,0),IF($NO$30="Bell_Curve",$NM$30*(365-$NQ$30+1)*($NR$30-365+1)/$NT$30,$NM$30/$NS$30)),0)</f>
        <v/>
      </c>
      <c r="NE30" s="18">
        <f>IF(AND(366&gt;=$NQ$30,366&lt;=$NR$30),IF($NO$30="Single_Point",IF(366=$NQ$30,$NM$30,0),IF($NO$30="Bell_Curve",$NM$30*(366-$NQ$30+1)*($NR$30-366+1)/$NT$30,$NM$30/$NS$30)),0)</f>
        <v/>
      </c>
      <c r="NF30" s="18">
        <f>IF(AND(367&gt;=$NQ$30,367&lt;=$NR$30),IF($NO$30="Single_Point",IF(367=$NQ$30,$NM$30,0),IF($NO$30="Bell_Curve",$NM$30*(367-$NQ$30+1)*($NR$30-367+1)/$NT$30,$NM$30/$NS$30)),0)</f>
        <v/>
      </c>
      <c r="NG30" s="18">
        <f>IF(AND(368&gt;=$NQ$30,368&lt;=$NR$30),IF($NO$30="Single_Point",IF(368=$NQ$30,$NM$30,0),IF($NO$30="Bell_Curve",$NM$30*(368-$NQ$30+1)*($NR$30-368+1)/$NT$30,$NM$30/$NS$30)),0)</f>
        <v/>
      </c>
      <c r="NH30" s="18">
        <f>IF(AND(369&gt;=$NQ$30,369&lt;=$NR$30),IF($NO$30="Single_Point",IF(369=$NQ$30,$NM$30,0),IF($NO$30="Bell_Curve",$NM$30*(369-$NQ$30+1)*($NR$30-369+1)/$NT$30,$NM$30/$NS$30)),0)</f>
        <v/>
      </c>
      <c r="NI30" s="18">
        <f>IF(AND(370&gt;=$NQ$30,370&lt;=$NR$30),IF($NO$30="Single_Point",IF(370=$NQ$30,$NM$30,0),IF($NO$30="Bell_Curve",$NM$30*(370-$NQ$30+1)*($NR$30-370+1)/$NT$30,$NM$30/$NS$30)),0)</f>
        <v/>
      </c>
      <c r="NJ30" s="18">
        <f>IF(AND(371&gt;=$NQ$30,371&lt;=$NR$30),IF($NO$30="Single_Point",IF(371=$NQ$30,$NM$30,0),IF($NO$30="Bell_Curve",$NM$30*(371-$NQ$30+1)*($NR$30-371+1)/$NT$30,$NM$30/$NS$30)),0)</f>
        <v/>
      </c>
      <c r="NK30" s="18">
        <f>IF(AND(372&gt;=$NQ$30,372&lt;=$NR$30),IF($NO$30="Single_Point",IF(372=$NQ$30,$NM$30,0),IF($NO$30="Bell_Curve",$NM$30*(372-$NQ$30+1)*($NR$30-372+1)/$NT$30,$NM$30/$NS$30)),0)</f>
        <v/>
      </c>
      <c r="NM30" s="18">
        <f>Budget!I29</f>
        <v/>
      </c>
      <c r="NN30" s="42">
        <f>Budget!F29</f>
        <v/>
      </c>
      <c r="NO30" s="42">
        <f>Budget!G29</f>
        <v/>
      </c>
      <c r="NP30" s="17">
        <f>Budget!H29</f>
        <v/>
      </c>
      <c r="NQ30" s="32">
        <f>MAX(1,MIN(372,INDEX(MilestoneStart,MATCH(NN30,MilestoneNames,0))+NP30))</f>
        <v/>
      </c>
      <c r="NR30" s="32">
        <f>MAX(NQ30,MIN(372,INDEX(MilestoneEnd,MATCH(NN30,MilestoneNames,0))+NP30))</f>
        <v/>
      </c>
      <c r="NS30" s="17">
        <f>NR30-NQ30+1</f>
        <v/>
      </c>
      <c r="NT30" s="17">
        <f>NS30*(NS30+1)*(NS30+2)/6</f>
        <v/>
      </c>
    </row>
    <row r="31">
      <c r="A31" s="5" t="inlineStr">
        <is>
          <t>Other Hard Cost 5</t>
        </is>
      </c>
      <c r="C31" s="41">
        <f>SUM(D31:NK31)</f>
        <v/>
      </c>
      <c r="D31" s="18">
        <f>IF(AND(1&gt;=$NQ$31,1&lt;=$NR$31),IF($NO$31="Single_Point",IF(1=$NQ$31,$NM$31,0),IF($NO$31="Bell_Curve",$NM$31*(1-$NQ$31+1)*($NR$31-1+1)/$NT$31,$NM$31/$NS$31)),0)</f>
        <v/>
      </c>
      <c r="E31" s="18">
        <f>IF(AND(2&gt;=$NQ$31,2&lt;=$NR$31),IF($NO$31="Single_Point",IF(2=$NQ$31,$NM$31,0),IF($NO$31="Bell_Curve",$NM$31*(2-$NQ$31+1)*($NR$31-2+1)/$NT$31,$NM$31/$NS$31)),0)</f>
        <v/>
      </c>
      <c r="F31" s="18">
        <f>IF(AND(3&gt;=$NQ$31,3&lt;=$NR$31),IF($NO$31="Single_Point",IF(3=$NQ$31,$NM$31,0),IF($NO$31="Bell_Curve",$NM$31*(3-$NQ$31+1)*($NR$31-3+1)/$NT$31,$NM$31/$NS$31)),0)</f>
        <v/>
      </c>
      <c r="G31" s="18">
        <f>IF(AND(4&gt;=$NQ$31,4&lt;=$NR$31),IF($NO$31="Single_Point",IF(4=$NQ$31,$NM$31,0),IF($NO$31="Bell_Curve",$NM$31*(4-$NQ$31+1)*($NR$31-4+1)/$NT$31,$NM$31/$NS$31)),0)</f>
        <v/>
      </c>
      <c r="H31" s="18">
        <f>IF(AND(5&gt;=$NQ$31,5&lt;=$NR$31),IF($NO$31="Single_Point",IF(5=$NQ$31,$NM$31,0),IF($NO$31="Bell_Curve",$NM$31*(5-$NQ$31+1)*($NR$31-5+1)/$NT$31,$NM$31/$NS$31)),0)</f>
        <v/>
      </c>
      <c r="I31" s="18">
        <f>IF(AND(6&gt;=$NQ$31,6&lt;=$NR$31),IF($NO$31="Single_Point",IF(6=$NQ$31,$NM$31,0),IF($NO$31="Bell_Curve",$NM$31*(6-$NQ$31+1)*($NR$31-6+1)/$NT$31,$NM$31/$NS$31)),0)</f>
        <v/>
      </c>
      <c r="J31" s="18">
        <f>IF(AND(7&gt;=$NQ$31,7&lt;=$NR$31),IF($NO$31="Single_Point",IF(7=$NQ$31,$NM$31,0),IF($NO$31="Bell_Curve",$NM$31*(7-$NQ$31+1)*($NR$31-7+1)/$NT$31,$NM$31/$NS$31)),0)</f>
        <v/>
      </c>
      <c r="K31" s="18">
        <f>IF(AND(8&gt;=$NQ$31,8&lt;=$NR$31),IF($NO$31="Single_Point",IF(8=$NQ$31,$NM$31,0),IF($NO$31="Bell_Curve",$NM$31*(8-$NQ$31+1)*($NR$31-8+1)/$NT$31,$NM$31/$NS$31)),0)</f>
        <v/>
      </c>
      <c r="L31" s="18">
        <f>IF(AND(9&gt;=$NQ$31,9&lt;=$NR$31),IF($NO$31="Single_Point",IF(9=$NQ$31,$NM$31,0),IF($NO$31="Bell_Curve",$NM$31*(9-$NQ$31+1)*($NR$31-9+1)/$NT$31,$NM$31/$NS$31)),0)</f>
        <v/>
      </c>
      <c r="M31" s="18">
        <f>IF(AND(10&gt;=$NQ$31,10&lt;=$NR$31),IF($NO$31="Single_Point",IF(10=$NQ$31,$NM$31,0),IF($NO$31="Bell_Curve",$NM$31*(10-$NQ$31+1)*($NR$31-10+1)/$NT$31,$NM$31/$NS$31)),0)</f>
        <v/>
      </c>
      <c r="N31" s="18">
        <f>IF(AND(11&gt;=$NQ$31,11&lt;=$NR$31),IF($NO$31="Single_Point",IF(11=$NQ$31,$NM$31,0),IF($NO$31="Bell_Curve",$NM$31*(11-$NQ$31+1)*($NR$31-11+1)/$NT$31,$NM$31/$NS$31)),0)</f>
        <v/>
      </c>
      <c r="O31" s="18">
        <f>IF(AND(12&gt;=$NQ$31,12&lt;=$NR$31),IF($NO$31="Single_Point",IF(12=$NQ$31,$NM$31,0),IF($NO$31="Bell_Curve",$NM$31*(12-$NQ$31+1)*($NR$31-12+1)/$NT$31,$NM$31/$NS$31)),0)</f>
        <v/>
      </c>
      <c r="P31" s="18">
        <f>IF(AND(13&gt;=$NQ$31,13&lt;=$NR$31),IF($NO$31="Single_Point",IF(13=$NQ$31,$NM$31,0),IF($NO$31="Bell_Curve",$NM$31*(13-$NQ$31+1)*($NR$31-13+1)/$NT$31,$NM$31/$NS$31)),0)</f>
        <v/>
      </c>
      <c r="Q31" s="18">
        <f>IF(AND(14&gt;=$NQ$31,14&lt;=$NR$31),IF($NO$31="Single_Point",IF(14=$NQ$31,$NM$31,0),IF($NO$31="Bell_Curve",$NM$31*(14-$NQ$31+1)*($NR$31-14+1)/$NT$31,$NM$31/$NS$31)),0)</f>
        <v/>
      </c>
      <c r="R31" s="18">
        <f>IF(AND(15&gt;=$NQ$31,15&lt;=$NR$31),IF($NO$31="Single_Point",IF(15=$NQ$31,$NM$31,0),IF($NO$31="Bell_Curve",$NM$31*(15-$NQ$31+1)*($NR$31-15+1)/$NT$31,$NM$31/$NS$31)),0)</f>
        <v/>
      </c>
      <c r="S31" s="18">
        <f>IF(AND(16&gt;=$NQ$31,16&lt;=$NR$31),IF($NO$31="Single_Point",IF(16=$NQ$31,$NM$31,0),IF($NO$31="Bell_Curve",$NM$31*(16-$NQ$31+1)*($NR$31-16+1)/$NT$31,$NM$31/$NS$31)),0)</f>
        <v/>
      </c>
      <c r="T31" s="18">
        <f>IF(AND(17&gt;=$NQ$31,17&lt;=$NR$31),IF($NO$31="Single_Point",IF(17=$NQ$31,$NM$31,0),IF($NO$31="Bell_Curve",$NM$31*(17-$NQ$31+1)*($NR$31-17+1)/$NT$31,$NM$31/$NS$31)),0)</f>
        <v/>
      </c>
      <c r="U31" s="18">
        <f>IF(AND(18&gt;=$NQ$31,18&lt;=$NR$31),IF($NO$31="Single_Point",IF(18=$NQ$31,$NM$31,0),IF($NO$31="Bell_Curve",$NM$31*(18-$NQ$31+1)*($NR$31-18+1)/$NT$31,$NM$31/$NS$31)),0)</f>
        <v/>
      </c>
      <c r="V31" s="18">
        <f>IF(AND(19&gt;=$NQ$31,19&lt;=$NR$31),IF($NO$31="Single_Point",IF(19=$NQ$31,$NM$31,0),IF($NO$31="Bell_Curve",$NM$31*(19-$NQ$31+1)*($NR$31-19+1)/$NT$31,$NM$31/$NS$31)),0)</f>
        <v/>
      </c>
      <c r="W31" s="18">
        <f>IF(AND(20&gt;=$NQ$31,20&lt;=$NR$31),IF($NO$31="Single_Point",IF(20=$NQ$31,$NM$31,0),IF($NO$31="Bell_Curve",$NM$31*(20-$NQ$31+1)*($NR$31-20+1)/$NT$31,$NM$31/$NS$31)),0)</f>
        <v/>
      </c>
      <c r="X31" s="18">
        <f>IF(AND(21&gt;=$NQ$31,21&lt;=$NR$31),IF($NO$31="Single_Point",IF(21=$NQ$31,$NM$31,0),IF($NO$31="Bell_Curve",$NM$31*(21-$NQ$31+1)*($NR$31-21+1)/$NT$31,$NM$31/$NS$31)),0)</f>
        <v/>
      </c>
      <c r="Y31" s="18">
        <f>IF(AND(22&gt;=$NQ$31,22&lt;=$NR$31),IF($NO$31="Single_Point",IF(22=$NQ$31,$NM$31,0),IF($NO$31="Bell_Curve",$NM$31*(22-$NQ$31+1)*($NR$31-22+1)/$NT$31,$NM$31/$NS$31)),0)</f>
        <v/>
      </c>
      <c r="Z31" s="18">
        <f>IF(AND(23&gt;=$NQ$31,23&lt;=$NR$31),IF($NO$31="Single_Point",IF(23=$NQ$31,$NM$31,0),IF($NO$31="Bell_Curve",$NM$31*(23-$NQ$31+1)*($NR$31-23+1)/$NT$31,$NM$31/$NS$31)),0)</f>
        <v/>
      </c>
      <c r="AA31" s="18">
        <f>IF(AND(24&gt;=$NQ$31,24&lt;=$NR$31),IF($NO$31="Single_Point",IF(24=$NQ$31,$NM$31,0),IF($NO$31="Bell_Curve",$NM$31*(24-$NQ$31+1)*($NR$31-24+1)/$NT$31,$NM$31/$NS$31)),0)</f>
        <v/>
      </c>
      <c r="AB31" s="18">
        <f>IF(AND(25&gt;=$NQ$31,25&lt;=$NR$31),IF($NO$31="Single_Point",IF(25=$NQ$31,$NM$31,0),IF($NO$31="Bell_Curve",$NM$31*(25-$NQ$31+1)*($NR$31-25+1)/$NT$31,$NM$31/$NS$31)),0)</f>
        <v/>
      </c>
      <c r="AC31" s="18">
        <f>IF(AND(26&gt;=$NQ$31,26&lt;=$NR$31),IF($NO$31="Single_Point",IF(26=$NQ$31,$NM$31,0),IF($NO$31="Bell_Curve",$NM$31*(26-$NQ$31+1)*($NR$31-26+1)/$NT$31,$NM$31/$NS$31)),0)</f>
        <v/>
      </c>
      <c r="AD31" s="18">
        <f>IF(AND(27&gt;=$NQ$31,27&lt;=$NR$31),IF($NO$31="Single_Point",IF(27=$NQ$31,$NM$31,0),IF($NO$31="Bell_Curve",$NM$31*(27-$NQ$31+1)*($NR$31-27+1)/$NT$31,$NM$31/$NS$31)),0)</f>
        <v/>
      </c>
      <c r="AE31" s="18">
        <f>IF(AND(28&gt;=$NQ$31,28&lt;=$NR$31),IF($NO$31="Single_Point",IF(28=$NQ$31,$NM$31,0),IF($NO$31="Bell_Curve",$NM$31*(28-$NQ$31+1)*($NR$31-28+1)/$NT$31,$NM$31/$NS$31)),0)</f>
        <v/>
      </c>
      <c r="AF31" s="18">
        <f>IF(AND(29&gt;=$NQ$31,29&lt;=$NR$31),IF($NO$31="Single_Point",IF(29=$NQ$31,$NM$31,0),IF($NO$31="Bell_Curve",$NM$31*(29-$NQ$31+1)*($NR$31-29+1)/$NT$31,$NM$31/$NS$31)),0)</f>
        <v/>
      </c>
      <c r="AG31" s="18">
        <f>IF(AND(30&gt;=$NQ$31,30&lt;=$NR$31),IF($NO$31="Single_Point",IF(30=$NQ$31,$NM$31,0),IF($NO$31="Bell_Curve",$NM$31*(30-$NQ$31+1)*($NR$31-30+1)/$NT$31,$NM$31/$NS$31)),0)</f>
        <v/>
      </c>
      <c r="AH31" s="18">
        <f>IF(AND(31&gt;=$NQ$31,31&lt;=$NR$31),IF($NO$31="Single_Point",IF(31=$NQ$31,$NM$31,0),IF($NO$31="Bell_Curve",$NM$31*(31-$NQ$31+1)*($NR$31-31+1)/$NT$31,$NM$31/$NS$31)),0)</f>
        <v/>
      </c>
      <c r="AI31" s="18">
        <f>IF(AND(32&gt;=$NQ$31,32&lt;=$NR$31),IF($NO$31="Single_Point",IF(32=$NQ$31,$NM$31,0),IF($NO$31="Bell_Curve",$NM$31*(32-$NQ$31+1)*($NR$31-32+1)/$NT$31,$NM$31/$NS$31)),0)</f>
        <v/>
      </c>
      <c r="AJ31" s="18">
        <f>IF(AND(33&gt;=$NQ$31,33&lt;=$NR$31),IF($NO$31="Single_Point",IF(33=$NQ$31,$NM$31,0),IF($NO$31="Bell_Curve",$NM$31*(33-$NQ$31+1)*($NR$31-33+1)/$NT$31,$NM$31/$NS$31)),0)</f>
        <v/>
      </c>
      <c r="AK31" s="18">
        <f>IF(AND(34&gt;=$NQ$31,34&lt;=$NR$31),IF($NO$31="Single_Point",IF(34=$NQ$31,$NM$31,0),IF($NO$31="Bell_Curve",$NM$31*(34-$NQ$31+1)*($NR$31-34+1)/$NT$31,$NM$31/$NS$31)),0)</f>
        <v/>
      </c>
      <c r="AL31" s="18">
        <f>IF(AND(35&gt;=$NQ$31,35&lt;=$NR$31),IF($NO$31="Single_Point",IF(35=$NQ$31,$NM$31,0),IF($NO$31="Bell_Curve",$NM$31*(35-$NQ$31+1)*($NR$31-35+1)/$NT$31,$NM$31/$NS$31)),0)</f>
        <v/>
      </c>
      <c r="AM31" s="18">
        <f>IF(AND(36&gt;=$NQ$31,36&lt;=$NR$31),IF($NO$31="Single_Point",IF(36=$NQ$31,$NM$31,0),IF($NO$31="Bell_Curve",$NM$31*(36-$NQ$31+1)*($NR$31-36+1)/$NT$31,$NM$31/$NS$31)),0)</f>
        <v/>
      </c>
      <c r="AN31" s="18">
        <f>IF(AND(37&gt;=$NQ$31,37&lt;=$NR$31),IF($NO$31="Single_Point",IF(37=$NQ$31,$NM$31,0),IF($NO$31="Bell_Curve",$NM$31*(37-$NQ$31+1)*($NR$31-37+1)/$NT$31,$NM$31/$NS$31)),0)</f>
        <v/>
      </c>
      <c r="AO31" s="18">
        <f>IF(AND(38&gt;=$NQ$31,38&lt;=$NR$31),IF($NO$31="Single_Point",IF(38=$NQ$31,$NM$31,0),IF($NO$31="Bell_Curve",$NM$31*(38-$NQ$31+1)*($NR$31-38+1)/$NT$31,$NM$31/$NS$31)),0)</f>
        <v/>
      </c>
      <c r="AP31" s="18">
        <f>IF(AND(39&gt;=$NQ$31,39&lt;=$NR$31),IF($NO$31="Single_Point",IF(39=$NQ$31,$NM$31,0),IF($NO$31="Bell_Curve",$NM$31*(39-$NQ$31+1)*($NR$31-39+1)/$NT$31,$NM$31/$NS$31)),0)</f>
        <v/>
      </c>
      <c r="AQ31" s="18">
        <f>IF(AND(40&gt;=$NQ$31,40&lt;=$NR$31),IF($NO$31="Single_Point",IF(40=$NQ$31,$NM$31,0),IF($NO$31="Bell_Curve",$NM$31*(40-$NQ$31+1)*($NR$31-40+1)/$NT$31,$NM$31/$NS$31)),0)</f>
        <v/>
      </c>
      <c r="AR31" s="18">
        <f>IF(AND(41&gt;=$NQ$31,41&lt;=$NR$31),IF($NO$31="Single_Point",IF(41=$NQ$31,$NM$31,0),IF($NO$31="Bell_Curve",$NM$31*(41-$NQ$31+1)*($NR$31-41+1)/$NT$31,$NM$31/$NS$31)),0)</f>
        <v/>
      </c>
      <c r="AS31" s="18">
        <f>IF(AND(42&gt;=$NQ$31,42&lt;=$NR$31),IF($NO$31="Single_Point",IF(42=$NQ$31,$NM$31,0),IF($NO$31="Bell_Curve",$NM$31*(42-$NQ$31+1)*($NR$31-42+1)/$NT$31,$NM$31/$NS$31)),0)</f>
        <v/>
      </c>
      <c r="AT31" s="18">
        <f>IF(AND(43&gt;=$NQ$31,43&lt;=$NR$31),IF($NO$31="Single_Point",IF(43=$NQ$31,$NM$31,0),IF($NO$31="Bell_Curve",$NM$31*(43-$NQ$31+1)*($NR$31-43+1)/$NT$31,$NM$31/$NS$31)),0)</f>
        <v/>
      </c>
      <c r="AU31" s="18">
        <f>IF(AND(44&gt;=$NQ$31,44&lt;=$NR$31),IF($NO$31="Single_Point",IF(44=$NQ$31,$NM$31,0),IF($NO$31="Bell_Curve",$NM$31*(44-$NQ$31+1)*($NR$31-44+1)/$NT$31,$NM$31/$NS$31)),0)</f>
        <v/>
      </c>
      <c r="AV31" s="18">
        <f>IF(AND(45&gt;=$NQ$31,45&lt;=$NR$31),IF($NO$31="Single_Point",IF(45=$NQ$31,$NM$31,0),IF($NO$31="Bell_Curve",$NM$31*(45-$NQ$31+1)*($NR$31-45+1)/$NT$31,$NM$31/$NS$31)),0)</f>
        <v/>
      </c>
      <c r="AW31" s="18">
        <f>IF(AND(46&gt;=$NQ$31,46&lt;=$NR$31),IF($NO$31="Single_Point",IF(46=$NQ$31,$NM$31,0),IF($NO$31="Bell_Curve",$NM$31*(46-$NQ$31+1)*($NR$31-46+1)/$NT$31,$NM$31/$NS$31)),0)</f>
        <v/>
      </c>
      <c r="AX31" s="18">
        <f>IF(AND(47&gt;=$NQ$31,47&lt;=$NR$31),IF($NO$31="Single_Point",IF(47=$NQ$31,$NM$31,0),IF($NO$31="Bell_Curve",$NM$31*(47-$NQ$31+1)*($NR$31-47+1)/$NT$31,$NM$31/$NS$31)),0)</f>
        <v/>
      </c>
      <c r="AY31" s="18">
        <f>IF(AND(48&gt;=$NQ$31,48&lt;=$NR$31),IF($NO$31="Single_Point",IF(48=$NQ$31,$NM$31,0),IF($NO$31="Bell_Curve",$NM$31*(48-$NQ$31+1)*($NR$31-48+1)/$NT$31,$NM$31/$NS$31)),0)</f>
        <v/>
      </c>
      <c r="AZ31" s="18">
        <f>IF(AND(49&gt;=$NQ$31,49&lt;=$NR$31),IF($NO$31="Single_Point",IF(49=$NQ$31,$NM$31,0),IF($NO$31="Bell_Curve",$NM$31*(49-$NQ$31+1)*($NR$31-49+1)/$NT$31,$NM$31/$NS$31)),0)</f>
        <v/>
      </c>
      <c r="BA31" s="18">
        <f>IF(AND(50&gt;=$NQ$31,50&lt;=$NR$31),IF($NO$31="Single_Point",IF(50=$NQ$31,$NM$31,0),IF($NO$31="Bell_Curve",$NM$31*(50-$NQ$31+1)*($NR$31-50+1)/$NT$31,$NM$31/$NS$31)),0)</f>
        <v/>
      </c>
      <c r="BB31" s="18">
        <f>IF(AND(51&gt;=$NQ$31,51&lt;=$NR$31),IF($NO$31="Single_Point",IF(51=$NQ$31,$NM$31,0),IF($NO$31="Bell_Curve",$NM$31*(51-$NQ$31+1)*($NR$31-51+1)/$NT$31,$NM$31/$NS$31)),0)</f>
        <v/>
      </c>
      <c r="BC31" s="18">
        <f>IF(AND(52&gt;=$NQ$31,52&lt;=$NR$31),IF($NO$31="Single_Point",IF(52=$NQ$31,$NM$31,0),IF($NO$31="Bell_Curve",$NM$31*(52-$NQ$31+1)*($NR$31-52+1)/$NT$31,$NM$31/$NS$31)),0)</f>
        <v/>
      </c>
      <c r="BD31" s="18">
        <f>IF(AND(53&gt;=$NQ$31,53&lt;=$NR$31),IF($NO$31="Single_Point",IF(53=$NQ$31,$NM$31,0),IF($NO$31="Bell_Curve",$NM$31*(53-$NQ$31+1)*($NR$31-53+1)/$NT$31,$NM$31/$NS$31)),0)</f>
        <v/>
      </c>
      <c r="BE31" s="18">
        <f>IF(AND(54&gt;=$NQ$31,54&lt;=$NR$31),IF($NO$31="Single_Point",IF(54=$NQ$31,$NM$31,0),IF($NO$31="Bell_Curve",$NM$31*(54-$NQ$31+1)*($NR$31-54+1)/$NT$31,$NM$31/$NS$31)),0)</f>
        <v/>
      </c>
      <c r="BF31" s="18">
        <f>IF(AND(55&gt;=$NQ$31,55&lt;=$NR$31),IF($NO$31="Single_Point",IF(55=$NQ$31,$NM$31,0),IF($NO$31="Bell_Curve",$NM$31*(55-$NQ$31+1)*($NR$31-55+1)/$NT$31,$NM$31/$NS$31)),0)</f>
        <v/>
      </c>
      <c r="BG31" s="18">
        <f>IF(AND(56&gt;=$NQ$31,56&lt;=$NR$31),IF($NO$31="Single_Point",IF(56=$NQ$31,$NM$31,0),IF($NO$31="Bell_Curve",$NM$31*(56-$NQ$31+1)*($NR$31-56+1)/$NT$31,$NM$31/$NS$31)),0)</f>
        <v/>
      </c>
      <c r="BH31" s="18">
        <f>IF(AND(57&gt;=$NQ$31,57&lt;=$NR$31),IF($NO$31="Single_Point",IF(57=$NQ$31,$NM$31,0),IF($NO$31="Bell_Curve",$NM$31*(57-$NQ$31+1)*($NR$31-57+1)/$NT$31,$NM$31/$NS$31)),0)</f>
        <v/>
      </c>
      <c r="BI31" s="18">
        <f>IF(AND(58&gt;=$NQ$31,58&lt;=$NR$31),IF($NO$31="Single_Point",IF(58=$NQ$31,$NM$31,0),IF($NO$31="Bell_Curve",$NM$31*(58-$NQ$31+1)*($NR$31-58+1)/$NT$31,$NM$31/$NS$31)),0)</f>
        <v/>
      </c>
      <c r="BJ31" s="18">
        <f>IF(AND(59&gt;=$NQ$31,59&lt;=$NR$31),IF($NO$31="Single_Point",IF(59=$NQ$31,$NM$31,0),IF($NO$31="Bell_Curve",$NM$31*(59-$NQ$31+1)*($NR$31-59+1)/$NT$31,$NM$31/$NS$31)),0)</f>
        <v/>
      </c>
      <c r="BK31" s="18">
        <f>IF(AND(60&gt;=$NQ$31,60&lt;=$NR$31),IF($NO$31="Single_Point",IF(60=$NQ$31,$NM$31,0),IF($NO$31="Bell_Curve",$NM$31*(60-$NQ$31+1)*($NR$31-60+1)/$NT$31,$NM$31/$NS$31)),0)</f>
        <v/>
      </c>
      <c r="BL31" s="18">
        <f>IF(AND(61&gt;=$NQ$31,61&lt;=$NR$31),IF($NO$31="Single_Point",IF(61=$NQ$31,$NM$31,0),IF($NO$31="Bell_Curve",$NM$31*(61-$NQ$31+1)*($NR$31-61+1)/$NT$31,$NM$31/$NS$31)),0)</f>
        <v/>
      </c>
      <c r="BM31" s="18">
        <f>IF(AND(62&gt;=$NQ$31,62&lt;=$NR$31),IF($NO$31="Single_Point",IF(62=$NQ$31,$NM$31,0),IF($NO$31="Bell_Curve",$NM$31*(62-$NQ$31+1)*($NR$31-62+1)/$NT$31,$NM$31/$NS$31)),0)</f>
        <v/>
      </c>
      <c r="BN31" s="18">
        <f>IF(AND(63&gt;=$NQ$31,63&lt;=$NR$31),IF($NO$31="Single_Point",IF(63=$NQ$31,$NM$31,0),IF($NO$31="Bell_Curve",$NM$31*(63-$NQ$31+1)*($NR$31-63+1)/$NT$31,$NM$31/$NS$31)),0)</f>
        <v/>
      </c>
      <c r="BO31" s="18">
        <f>IF(AND(64&gt;=$NQ$31,64&lt;=$NR$31),IF($NO$31="Single_Point",IF(64=$NQ$31,$NM$31,0),IF($NO$31="Bell_Curve",$NM$31*(64-$NQ$31+1)*($NR$31-64+1)/$NT$31,$NM$31/$NS$31)),0)</f>
        <v/>
      </c>
      <c r="BP31" s="18">
        <f>IF(AND(65&gt;=$NQ$31,65&lt;=$NR$31),IF($NO$31="Single_Point",IF(65=$NQ$31,$NM$31,0),IF($NO$31="Bell_Curve",$NM$31*(65-$NQ$31+1)*($NR$31-65+1)/$NT$31,$NM$31/$NS$31)),0)</f>
        <v/>
      </c>
      <c r="BQ31" s="18">
        <f>IF(AND(66&gt;=$NQ$31,66&lt;=$NR$31),IF($NO$31="Single_Point",IF(66=$NQ$31,$NM$31,0),IF($NO$31="Bell_Curve",$NM$31*(66-$NQ$31+1)*($NR$31-66+1)/$NT$31,$NM$31/$NS$31)),0)</f>
        <v/>
      </c>
      <c r="BR31" s="18">
        <f>IF(AND(67&gt;=$NQ$31,67&lt;=$NR$31),IF($NO$31="Single_Point",IF(67=$NQ$31,$NM$31,0),IF($NO$31="Bell_Curve",$NM$31*(67-$NQ$31+1)*($NR$31-67+1)/$NT$31,$NM$31/$NS$31)),0)</f>
        <v/>
      </c>
      <c r="BS31" s="18">
        <f>IF(AND(68&gt;=$NQ$31,68&lt;=$NR$31),IF($NO$31="Single_Point",IF(68=$NQ$31,$NM$31,0),IF($NO$31="Bell_Curve",$NM$31*(68-$NQ$31+1)*($NR$31-68+1)/$NT$31,$NM$31/$NS$31)),0)</f>
        <v/>
      </c>
      <c r="BT31" s="18">
        <f>IF(AND(69&gt;=$NQ$31,69&lt;=$NR$31),IF($NO$31="Single_Point",IF(69=$NQ$31,$NM$31,0),IF($NO$31="Bell_Curve",$NM$31*(69-$NQ$31+1)*($NR$31-69+1)/$NT$31,$NM$31/$NS$31)),0)</f>
        <v/>
      </c>
      <c r="BU31" s="18">
        <f>IF(AND(70&gt;=$NQ$31,70&lt;=$NR$31),IF($NO$31="Single_Point",IF(70=$NQ$31,$NM$31,0),IF($NO$31="Bell_Curve",$NM$31*(70-$NQ$31+1)*($NR$31-70+1)/$NT$31,$NM$31/$NS$31)),0)</f>
        <v/>
      </c>
      <c r="BV31" s="18">
        <f>IF(AND(71&gt;=$NQ$31,71&lt;=$NR$31),IF($NO$31="Single_Point",IF(71=$NQ$31,$NM$31,0),IF($NO$31="Bell_Curve",$NM$31*(71-$NQ$31+1)*($NR$31-71+1)/$NT$31,$NM$31/$NS$31)),0)</f>
        <v/>
      </c>
      <c r="BW31" s="18">
        <f>IF(AND(72&gt;=$NQ$31,72&lt;=$NR$31),IF($NO$31="Single_Point",IF(72=$NQ$31,$NM$31,0),IF($NO$31="Bell_Curve",$NM$31*(72-$NQ$31+1)*($NR$31-72+1)/$NT$31,$NM$31/$NS$31)),0)</f>
        <v/>
      </c>
      <c r="BX31" s="18">
        <f>IF(AND(73&gt;=$NQ$31,73&lt;=$NR$31),IF($NO$31="Single_Point",IF(73=$NQ$31,$NM$31,0),IF($NO$31="Bell_Curve",$NM$31*(73-$NQ$31+1)*($NR$31-73+1)/$NT$31,$NM$31/$NS$31)),0)</f>
        <v/>
      </c>
      <c r="BY31" s="18">
        <f>IF(AND(74&gt;=$NQ$31,74&lt;=$NR$31),IF($NO$31="Single_Point",IF(74=$NQ$31,$NM$31,0),IF($NO$31="Bell_Curve",$NM$31*(74-$NQ$31+1)*($NR$31-74+1)/$NT$31,$NM$31/$NS$31)),0)</f>
        <v/>
      </c>
      <c r="BZ31" s="18">
        <f>IF(AND(75&gt;=$NQ$31,75&lt;=$NR$31),IF($NO$31="Single_Point",IF(75=$NQ$31,$NM$31,0),IF($NO$31="Bell_Curve",$NM$31*(75-$NQ$31+1)*($NR$31-75+1)/$NT$31,$NM$31/$NS$31)),0)</f>
        <v/>
      </c>
      <c r="CA31" s="18">
        <f>IF(AND(76&gt;=$NQ$31,76&lt;=$NR$31),IF($NO$31="Single_Point",IF(76=$NQ$31,$NM$31,0),IF($NO$31="Bell_Curve",$NM$31*(76-$NQ$31+1)*($NR$31-76+1)/$NT$31,$NM$31/$NS$31)),0)</f>
        <v/>
      </c>
      <c r="CB31" s="18">
        <f>IF(AND(77&gt;=$NQ$31,77&lt;=$NR$31),IF($NO$31="Single_Point",IF(77=$NQ$31,$NM$31,0),IF($NO$31="Bell_Curve",$NM$31*(77-$NQ$31+1)*($NR$31-77+1)/$NT$31,$NM$31/$NS$31)),0)</f>
        <v/>
      </c>
      <c r="CC31" s="18">
        <f>IF(AND(78&gt;=$NQ$31,78&lt;=$NR$31),IF($NO$31="Single_Point",IF(78=$NQ$31,$NM$31,0),IF($NO$31="Bell_Curve",$NM$31*(78-$NQ$31+1)*($NR$31-78+1)/$NT$31,$NM$31/$NS$31)),0)</f>
        <v/>
      </c>
      <c r="CD31" s="18">
        <f>IF(AND(79&gt;=$NQ$31,79&lt;=$NR$31),IF($NO$31="Single_Point",IF(79=$NQ$31,$NM$31,0),IF($NO$31="Bell_Curve",$NM$31*(79-$NQ$31+1)*($NR$31-79+1)/$NT$31,$NM$31/$NS$31)),0)</f>
        <v/>
      </c>
      <c r="CE31" s="18">
        <f>IF(AND(80&gt;=$NQ$31,80&lt;=$NR$31),IF($NO$31="Single_Point",IF(80=$NQ$31,$NM$31,0),IF($NO$31="Bell_Curve",$NM$31*(80-$NQ$31+1)*($NR$31-80+1)/$NT$31,$NM$31/$NS$31)),0)</f>
        <v/>
      </c>
      <c r="CF31" s="18">
        <f>IF(AND(81&gt;=$NQ$31,81&lt;=$NR$31),IF($NO$31="Single_Point",IF(81=$NQ$31,$NM$31,0),IF($NO$31="Bell_Curve",$NM$31*(81-$NQ$31+1)*($NR$31-81+1)/$NT$31,$NM$31/$NS$31)),0)</f>
        <v/>
      </c>
      <c r="CG31" s="18">
        <f>IF(AND(82&gt;=$NQ$31,82&lt;=$NR$31),IF($NO$31="Single_Point",IF(82=$NQ$31,$NM$31,0),IF($NO$31="Bell_Curve",$NM$31*(82-$NQ$31+1)*($NR$31-82+1)/$NT$31,$NM$31/$NS$31)),0)</f>
        <v/>
      </c>
      <c r="CH31" s="18">
        <f>IF(AND(83&gt;=$NQ$31,83&lt;=$NR$31),IF($NO$31="Single_Point",IF(83=$NQ$31,$NM$31,0),IF($NO$31="Bell_Curve",$NM$31*(83-$NQ$31+1)*($NR$31-83+1)/$NT$31,$NM$31/$NS$31)),0)</f>
        <v/>
      </c>
      <c r="CI31" s="18">
        <f>IF(AND(84&gt;=$NQ$31,84&lt;=$NR$31),IF($NO$31="Single_Point",IF(84=$NQ$31,$NM$31,0),IF($NO$31="Bell_Curve",$NM$31*(84-$NQ$31+1)*($NR$31-84+1)/$NT$31,$NM$31/$NS$31)),0)</f>
        <v/>
      </c>
      <c r="CJ31" s="18">
        <f>IF(AND(85&gt;=$NQ$31,85&lt;=$NR$31),IF($NO$31="Single_Point",IF(85=$NQ$31,$NM$31,0),IF($NO$31="Bell_Curve",$NM$31*(85-$NQ$31+1)*($NR$31-85+1)/$NT$31,$NM$31/$NS$31)),0)</f>
        <v/>
      </c>
      <c r="CK31" s="18">
        <f>IF(AND(86&gt;=$NQ$31,86&lt;=$NR$31),IF($NO$31="Single_Point",IF(86=$NQ$31,$NM$31,0),IF($NO$31="Bell_Curve",$NM$31*(86-$NQ$31+1)*($NR$31-86+1)/$NT$31,$NM$31/$NS$31)),0)</f>
        <v/>
      </c>
      <c r="CL31" s="18">
        <f>IF(AND(87&gt;=$NQ$31,87&lt;=$NR$31),IF($NO$31="Single_Point",IF(87=$NQ$31,$NM$31,0),IF($NO$31="Bell_Curve",$NM$31*(87-$NQ$31+1)*($NR$31-87+1)/$NT$31,$NM$31/$NS$31)),0)</f>
        <v/>
      </c>
      <c r="CM31" s="18">
        <f>IF(AND(88&gt;=$NQ$31,88&lt;=$NR$31),IF($NO$31="Single_Point",IF(88=$NQ$31,$NM$31,0),IF($NO$31="Bell_Curve",$NM$31*(88-$NQ$31+1)*($NR$31-88+1)/$NT$31,$NM$31/$NS$31)),0)</f>
        <v/>
      </c>
      <c r="CN31" s="18">
        <f>IF(AND(89&gt;=$NQ$31,89&lt;=$NR$31),IF($NO$31="Single_Point",IF(89=$NQ$31,$NM$31,0),IF($NO$31="Bell_Curve",$NM$31*(89-$NQ$31+1)*($NR$31-89+1)/$NT$31,$NM$31/$NS$31)),0)</f>
        <v/>
      </c>
      <c r="CO31" s="18">
        <f>IF(AND(90&gt;=$NQ$31,90&lt;=$NR$31),IF($NO$31="Single_Point",IF(90=$NQ$31,$NM$31,0),IF($NO$31="Bell_Curve",$NM$31*(90-$NQ$31+1)*($NR$31-90+1)/$NT$31,$NM$31/$NS$31)),0)</f>
        <v/>
      </c>
      <c r="CP31" s="18">
        <f>IF(AND(91&gt;=$NQ$31,91&lt;=$NR$31),IF($NO$31="Single_Point",IF(91=$NQ$31,$NM$31,0),IF($NO$31="Bell_Curve",$NM$31*(91-$NQ$31+1)*($NR$31-91+1)/$NT$31,$NM$31/$NS$31)),0)</f>
        <v/>
      </c>
      <c r="CQ31" s="18">
        <f>IF(AND(92&gt;=$NQ$31,92&lt;=$NR$31),IF($NO$31="Single_Point",IF(92=$NQ$31,$NM$31,0),IF($NO$31="Bell_Curve",$NM$31*(92-$NQ$31+1)*($NR$31-92+1)/$NT$31,$NM$31/$NS$31)),0)</f>
        <v/>
      </c>
      <c r="CR31" s="18">
        <f>IF(AND(93&gt;=$NQ$31,93&lt;=$NR$31),IF($NO$31="Single_Point",IF(93=$NQ$31,$NM$31,0),IF($NO$31="Bell_Curve",$NM$31*(93-$NQ$31+1)*($NR$31-93+1)/$NT$31,$NM$31/$NS$31)),0)</f>
        <v/>
      </c>
      <c r="CS31" s="18">
        <f>IF(AND(94&gt;=$NQ$31,94&lt;=$NR$31),IF($NO$31="Single_Point",IF(94=$NQ$31,$NM$31,0),IF($NO$31="Bell_Curve",$NM$31*(94-$NQ$31+1)*($NR$31-94+1)/$NT$31,$NM$31/$NS$31)),0)</f>
        <v/>
      </c>
      <c r="CT31" s="18">
        <f>IF(AND(95&gt;=$NQ$31,95&lt;=$NR$31),IF($NO$31="Single_Point",IF(95=$NQ$31,$NM$31,0),IF($NO$31="Bell_Curve",$NM$31*(95-$NQ$31+1)*($NR$31-95+1)/$NT$31,$NM$31/$NS$31)),0)</f>
        <v/>
      </c>
      <c r="CU31" s="18">
        <f>IF(AND(96&gt;=$NQ$31,96&lt;=$NR$31),IF($NO$31="Single_Point",IF(96=$NQ$31,$NM$31,0),IF($NO$31="Bell_Curve",$NM$31*(96-$NQ$31+1)*($NR$31-96+1)/$NT$31,$NM$31/$NS$31)),0)</f>
        <v/>
      </c>
      <c r="CV31" s="18">
        <f>IF(AND(97&gt;=$NQ$31,97&lt;=$NR$31),IF($NO$31="Single_Point",IF(97=$NQ$31,$NM$31,0),IF($NO$31="Bell_Curve",$NM$31*(97-$NQ$31+1)*($NR$31-97+1)/$NT$31,$NM$31/$NS$31)),0)</f>
        <v/>
      </c>
      <c r="CW31" s="18">
        <f>IF(AND(98&gt;=$NQ$31,98&lt;=$NR$31),IF($NO$31="Single_Point",IF(98=$NQ$31,$NM$31,0),IF($NO$31="Bell_Curve",$NM$31*(98-$NQ$31+1)*($NR$31-98+1)/$NT$31,$NM$31/$NS$31)),0)</f>
        <v/>
      </c>
      <c r="CX31" s="18">
        <f>IF(AND(99&gt;=$NQ$31,99&lt;=$NR$31),IF($NO$31="Single_Point",IF(99=$NQ$31,$NM$31,0),IF($NO$31="Bell_Curve",$NM$31*(99-$NQ$31+1)*($NR$31-99+1)/$NT$31,$NM$31/$NS$31)),0)</f>
        <v/>
      </c>
      <c r="CY31" s="18">
        <f>IF(AND(100&gt;=$NQ$31,100&lt;=$NR$31),IF($NO$31="Single_Point",IF(100=$NQ$31,$NM$31,0),IF($NO$31="Bell_Curve",$NM$31*(100-$NQ$31+1)*($NR$31-100+1)/$NT$31,$NM$31/$NS$31)),0)</f>
        <v/>
      </c>
      <c r="CZ31" s="18">
        <f>IF(AND(101&gt;=$NQ$31,101&lt;=$NR$31),IF($NO$31="Single_Point",IF(101=$NQ$31,$NM$31,0),IF($NO$31="Bell_Curve",$NM$31*(101-$NQ$31+1)*($NR$31-101+1)/$NT$31,$NM$31/$NS$31)),0)</f>
        <v/>
      </c>
      <c r="DA31" s="18">
        <f>IF(AND(102&gt;=$NQ$31,102&lt;=$NR$31),IF($NO$31="Single_Point",IF(102=$NQ$31,$NM$31,0),IF($NO$31="Bell_Curve",$NM$31*(102-$NQ$31+1)*($NR$31-102+1)/$NT$31,$NM$31/$NS$31)),0)</f>
        <v/>
      </c>
      <c r="DB31" s="18">
        <f>IF(AND(103&gt;=$NQ$31,103&lt;=$NR$31),IF($NO$31="Single_Point",IF(103=$NQ$31,$NM$31,0),IF($NO$31="Bell_Curve",$NM$31*(103-$NQ$31+1)*($NR$31-103+1)/$NT$31,$NM$31/$NS$31)),0)</f>
        <v/>
      </c>
      <c r="DC31" s="18">
        <f>IF(AND(104&gt;=$NQ$31,104&lt;=$NR$31),IF($NO$31="Single_Point",IF(104=$NQ$31,$NM$31,0),IF($NO$31="Bell_Curve",$NM$31*(104-$NQ$31+1)*($NR$31-104+1)/$NT$31,$NM$31/$NS$31)),0)</f>
        <v/>
      </c>
      <c r="DD31" s="18">
        <f>IF(AND(105&gt;=$NQ$31,105&lt;=$NR$31),IF($NO$31="Single_Point",IF(105=$NQ$31,$NM$31,0),IF($NO$31="Bell_Curve",$NM$31*(105-$NQ$31+1)*($NR$31-105+1)/$NT$31,$NM$31/$NS$31)),0)</f>
        <v/>
      </c>
      <c r="DE31" s="18">
        <f>IF(AND(106&gt;=$NQ$31,106&lt;=$NR$31),IF($NO$31="Single_Point",IF(106=$NQ$31,$NM$31,0),IF($NO$31="Bell_Curve",$NM$31*(106-$NQ$31+1)*($NR$31-106+1)/$NT$31,$NM$31/$NS$31)),0)</f>
        <v/>
      </c>
      <c r="DF31" s="18">
        <f>IF(AND(107&gt;=$NQ$31,107&lt;=$NR$31),IF($NO$31="Single_Point",IF(107=$NQ$31,$NM$31,0),IF($NO$31="Bell_Curve",$NM$31*(107-$NQ$31+1)*($NR$31-107+1)/$NT$31,$NM$31/$NS$31)),0)</f>
        <v/>
      </c>
      <c r="DG31" s="18">
        <f>IF(AND(108&gt;=$NQ$31,108&lt;=$NR$31),IF($NO$31="Single_Point",IF(108=$NQ$31,$NM$31,0),IF($NO$31="Bell_Curve",$NM$31*(108-$NQ$31+1)*($NR$31-108+1)/$NT$31,$NM$31/$NS$31)),0)</f>
        <v/>
      </c>
      <c r="DH31" s="18">
        <f>IF(AND(109&gt;=$NQ$31,109&lt;=$NR$31),IF($NO$31="Single_Point",IF(109=$NQ$31,$NM$31,0),IF($NO$31="Bell_Curve",$NM$31*(109-$NQ$31+1)*($NR$31-109+1)/$NT$31,$NM$31/$NS$31)),0)</f>
        <v/>
      </c>
      <c r="DI31" s="18">
        <f>IF(AND(110&gt;=$NQ$31,110&lt;=$NR$31),IF($NO$31="Single_Point",IF(110=$NQ$31,$NM$31,0),IF($NO$31="Bell_Curve",$NM$31*(110-$NQ$31+1)*($NR$31-110+1)/$NT$31,$NM$31/$NS$31)),0)</f>
        <v/>
      </c>
      <c r="DJ31" s="18">
        <f>IF(AND(111&gt;=$NQ$31,111&lt;=$NR$31),IF($NO$31="Single_Point",IF(111=$NQ$31,$NM$31,0),IF($NO$31="Bell_Curve",$NM$31*(111-$NQ$31+1)*($NR$31-111+1)/$NT$31,$NM$31/$NS$31)),0)</f>
        <v/>
      </c>
      <c r="DK31" s="18">
        <f>IF(AND(112&gt;=$NQ$31,112&lt;=$NR$31),IF($NO$31="Single_Point",IF(112=$NQ$31,$NM$31,0),IF($NO$31="Bell_Curve",$NM$31*(112-$NQ$31+1)*($NR$31-112+1)/$NT$31,$NM$31/$NS$31)),0)</f>
        <v/>
      </c>
      <c r="DL31" s="18">
        <f>IF(AND(113&gt;=$NQ$31,113&lt;=$NR$31),IF($NO$31="Single_Point",IF(113=$NQ$31,$NM$31,0),IF($NO$31="Bell_Curve",$NM$31*(113-$NQ$31+1)*($NR$31-113+1)/$NT$31,$NM$31/$NS$31)),0)</f>
        <v/>
      </c>
      <c r="DM31" s="18">
        <f>IF(AND(114&gt;=$NQ$31,114&lt;=$NR$31),IF($NO$31="Single_Point",IF(114=$NQ$31,$NM$31,0),IF($NO$31="Bell_Curve",$NM$31*(114-$NQ$31+1)*($NR$31-114+1)/$NT$31,$NM$31/$NS$31)),0)</f>
        <v/>
      </c>
      <c r="DN31" s="18">
        <f>IF(AND(115&gt;=$NQ$31,115&lt;=$NR$31),IF($NO$31="Single_Point",IF(115=$NQ$31,$NM$31,0),IF($NO$31="Bell_Curve",$NM$31*(115-$NQ$31+1)*($NR$31-115+1)/$NT$31,$NM$31/$NS$31)),0)</f>
        <v/>
      </c>
      <c r="DO31" s="18">
        <f>IF(AND(116&gt;=$NQ$31,116&lt;=$NR$31),IF($NO$31="Single_Point",IF(116=$NQ$31,$NM$31,0),IF($NO$31="Bell_Curve",$NM$31*(116-$NQ$31+1)*($NR$31-116+1)/$NT$31,$NM$31/$NS$31)),0)</f>
        <v/>
      </c>
      <c r="DP31" s="18">
        <f>IF(AND(117&gt;=$NQ$31,117&lt;=$NR$31),IF($NO$31="Single_Point",IF(117=$NQ$31,$NM$31,0),IF($NO$31="Bell_Curve",$NM$31*(117-$NQ$31+1)*($NR$31-117+1)/$NT$31,$NM$31/$NS$31)),0)</f>
        <v/>
      </c>
      <c r="DQ31" s="18">
        <f>IF(AND(118&gt;=$NQ$31,118&lt;=$NR$31),IF($NO$31="Single_Point",IF(118=$NQ$31,$NM$31,0),IF($NO$31="Bell_Curve",$NM$31*(118-$NQ$31+1)*($NR$31-118+1)/$NT$31,$NM$31/$NS$31)),0)</f>
        <v/>
      </c>
      <c r="DR31" s="18">
        <f>IF(AND(119&gt;=$NQ$31,119&lt;=$NR$31),IF($NO$31="Single_Point",IF(119=$NQ$31,$NM$31,0),IF($NO$31="Bell_Curve",$NM$31*(119-$NQ$31+1)*($NR$31-119+1)/$NT$31,$NM$31/$NS$31)),0)</f>
        <v/>
      </c>
      <c r="DS31" s="18">
        <f>IF(AND(120&gt;=$NQ$31,120&lt;=$NR$31),IF($NO$31="Single_Point",IF(120=$NQ$31,$NM$31,0),IF($NO$31="Bell_Curve",$NM$31*(120-$NQ$31+1)*($NR$31-120+1)/$NT$31,$NM$31/$NS$31)),0)</f>
        <v/>
      </c>
      <c r="DT31" s="18">
        <f>IF(AND(121&gt;=$NQ$31,121&lt;=$NR$31),IF($NO$31="Single_Point",IF(121=$NQ$31,$NM$31,0),IF($NO$31="Bell_Curve",$NM$31*(121-$NQ$31+1)*($NR$31-121+1)/$NT$31,$NM$31/$NS$31)),0)</f>
        <v/>
      </c>
      <c r="DU31" s="18">
        <f>IF(AND(122&gt;=$NQ$31,122&lt;=$NR$31),IF($NO$31="Single_Point",IF(122=$NQ$31,$NM$31,0),IF($NO$31="Bell_Curve",$NM$31*(122-$NQ$31+1)*($NR$31-122+1)/$NT$31,$NM$31/$NS$31)),0)</f>
        <v/>
      </c>
      <c r="DV31" s="18">
        <f>IF(AND(123&gt;=$NQ$31,123&lt;=$NR$31),IF($NO$31="Single_Point",IF(123=$NQ$31,$NM$31,0),IF($NO$31="Bell_Curve",$NM$31*(123-$NQ$31+1)*($NR$31-123+1)/$NT$31,$NM$31/$NS$31)),0)</f>
        <v/>
      </c>
      <c r="DW31" s="18">
        <f>IF(AND(124&gt;=$NQ$31,124&lt;=$NR$31),IF($NO$31="Single_Point",IF(124=$NQ$31,$NM$31,0),IF($NO$31="Bell_Curve",$NM$31*(124-$NQ$31+1)*($NR$31-124+1)/$NT$31,$NM$31/$NS$31)),0)</f>
        <v/>
      </c>
      <c r="DX31" s="18">
        <f>IF(AND(125&gt;=$NQ$31,125&lt;=$NR$31),IF($NO$31="Single_Point",IF(125=$NQ$31,$NM$31,0),IF($NO$31="Bell_Curve",$NM$31*(125-$NQ$31+1)*($NR$31-125+1)/$NT$31,$NM$31/$NS$31)),0)</f>
        <v/>
      </c>
      <c r="DY31" s="18">
        <f>IF(AND(126&gt;=$NQ$31,126&lt;=$NR$31),IF($NO$31="Single_Point",IF(126=$NQ$31,$NM$31,0),IF($NO$31="Bell_Curve",$NM$31*(126-$NQ$31+1)*($NR$31-126+1)/$NT$31,$NM$31/$NS$31)),0)</f>
        <v/>
      </c>
      <c r="DZ31" s="18">
        <f>IF(AND(127&gt;=$NQ$31,127&lt;=$NR$31),IF($NO$31="Single_Point",IF(127=$NQ$31,$NM$31,0),IF($NO$31="Bell_Curve",$NM$31*(127-$NQ$31+1)*($NR$31-127+1)/$NT$31,$NM$31/$NS$31)),0)</f>
        <v/>
      </c>
      <c r="EA31" s="18">
        <f>IF(AND(128&gt;=$NQ$31,128&lt;=$NR$31),IF($NO$31="Single_Point",IF(128=$NQ$31,$NM$31,0),IF($NO$31="Bell_Curve",$NM$31*(128-$NQ$31+1)*($NR$31-128+1)/$NT$31,$NM$31/$NS$31)),0)</f>
        <v/>
      </c>
      <c r="EB31" s="18">
        <f>IF(AND(129&gt;=$NQ$31,129&lt;=$NR$31),IF($NO$31="Single_Point",IF(129=$NQ$31,$NM$31,0),IF($NO$31="Bell_Curve",$NM$31*(129-$NQ$31+1)*($NR$31-129+1)/$NT$31,$NM$31/$NS$31)),0)</f>
        <v/>
      </c>
      <c r="EC31" s="18">
        <f>IF(AND(130&gt;=$NQ$31,130&lt;=$NR$31),IF($NO$31="Single_Point",IF(130=$NQ$31,$NM$31,0),IF($NO$31="Bell_Curve",$NM$31*(130-$NQ$31+1)*($NR$31-130+1)/$NT$31,$NM$31/$NS$31)),0)</f>
        <v/>
      </c>
      <c r="ED31" s="18">
        <f>IF(AND(131&gt;=$NQ$31,131&lt;=$NR$31),IF($NO$31="Single_Point",IF(131=$NQ$31,$NM$31,0),IF($NO$31="Bell_Curve",$NM$31*(131-$NQ$31+1)*($NR$31-131+1)/$NT$31,$NM$31/$NS$31)),0)</f>
        <v/>
      </c>
      <c r="EE31" s="18">
        <f>IF(AND(132&gt;=$NQ$31,132&lt;=$NR$31),IF($NO$31="Single_Point",IF(132=$NQ$31,$NM$31,0),IF($NO$31="Bell_Curve",$NM$31*(132-$NQ$31+1)*($NR$31-132+1)/$NT$31,$NM$31/$NS$31)),0)</f>
        <v/>
      </c>
      <c r="EF31" s="18">
        <f>IF(AND(133&gt;=$NQ$31,133&lt;=$NR$31),IF($NO$31="Single_Point",IF(133=$NQ$31,$NM$31,0),IF($NO$31="Bell_Curve",$NM$31*(133-$NQ$31+1)*($NR$31-133+1)/$NT$31,$NM$31/$NS$31)),0)</f>
        <v/>
      </c>
      <c r="EG31" s="18">
        <f>IF(AND(134&gt;=$NQ$31,134&lt;=$NR$31),IF($NO$31="Single_Point",IF(134=$NQ$31,$NM$31,0),IF($NO$31="Bell_Curve",$NM$31*(134-$NQ$31+1)*($NR$31-134+1)/$NT$31,$NM$31/$NS$31)),0)</f>
        <v/>
      </c>
      <c r="EH31" s="18">
        <f>IF(AND(135&gt;=$NQ$31,135&lt;=$NR$31),IF($NO$31="Single_Point",IF(135=$NQ$31,$NM$31,0),IF($NO$31="Bell_Curve",$NM$31*(135-$NQ$31+1)*($NR$31-135+1)/$NT$31,$NM$31/$NS$31)),0)</f>
        <v/>
      </c>
      <c r="EI31" s="18">
        <f>IF(AND(136&gt;=$NQ$31,136&lt;=$NR$31),IF($NO$31="Single_Point",IF(136=$NQ$31,$NM$31,0),IF($NO$31="Bell_Curve",$NM$31*(136-$NQ$31+1)*($NR$31-136+1)/$NT$31,$NM$31/$NS$31)),0)</f>
        <v/>
      </c>
      <c r="EJ31" s="18">
        <f>IF(AND(137&gt;=$NQ$31,137&lt;=$NR$31),IF($NO$31="Single_Point",IF(137=$NQ$31,$NM$31,0),IF($NO$31="Bell_Curve",$NM$31*(137-$NQ$31+1)*($NR$31-137+1)/$NT$31,$NM$31/$NS$31)),0)</f>
        <v/>
      </c>
      <c r="EK31" s="18">
        <f>IF(AND(138&gt;=$NQ$31,138&lt;=$NR$31),IF($NO$31="Single_Point",IF(138=$NQ$31,$NM$31,0),IF($NO$31="Bell_Curve",$NM$31*(138-$NQ$31+1)*($NR$31-138+1)/$NT$31,$NM$31/$NS$31)),0)</f>
        <v/>
      </c>
      <c r="EL31" s="18">
        <f>IF(AND(139&gt;=$NQ$31,139&lt;=$NR$31),IF($NO$31="Single_Point",IF(139=$NQ$31,$NM$31,0),IF($NO$31="Bell_Curve",$NM$31*(139-$NQ$31+1)*($NR$31-139+1)/$NT$31,$NM$31/$NS$31)),0)</f>
        <v/>
      </c>
      <c r="EM31" s="18">
        <f>IF(AND(140&gt;=$NQ$31,140&lt;=$NR$31),IF($NO$31="Single_Point",IF(140=$NQ$31,$NM$31,0),IF($NO$31="Bell_Curve",$NM$31*(140-$NQ$31+1)*($NR$31-140+1)/$NT$31,$NM$31/$NS$31)),0)</f>
        <v/>
      </c>
      <c r="EN31" s="18">
        <f>IF(AND(141&gt;=$NQ$31,141&lt;=$NR$31),IF($NO$31="Single_Point",IF(141=$NQ$31,$NM$31,0),IF($NO$31="Bell_Curve",$NM$31*(141-$NQ$31+1)*($NR$31-141+1)/$NT$31,$NM$31/$NS$31)),0)</f>
        <v/>
      </c>
      <c r="EO31" s="18">
        <f>IF(AND(142&gt;=$NQ$31,142&lt;=$NR$31),IF($NO$31="Single_Point",IF(142=$NQ$31,$NM$31,0),IF($NO$31="Bell_Curve",$NM$31*(142-$NQ$31+1)*($NR$31-142+1)/$NT$31,$NM$31/$NS$31)),0)</f>
        <v/>
      </c>
      <c r="EP31" s="18">
        <f>IF(AND(143&gt;=$NQ$31,143&lt;=$NR$31),IF($NO$31="Single_Point",IF(143=$NQ$31,$NM$31,0),IF($NO$31="Bell_Curve",$NM$31*(143-$NQ$31+1)*($NR$31-143+1)/$NT$31,$NM$31/$NS$31)),0)</f>
        <v/>
      </c>
      <c r="EQ31" s="18">
        <f>IF(AND(144&gt;=$NQ$31,144&lt;=$NR$31),IF($NO$31="Single_Point",IF(144=$NQ$31,$NM$31,0),IF($NO$31="Bell_Curve",$NM$31*(144-$NQ$31+1)*($NR$31-144+1)/$NT$31,$NM$31/$NS$31)),0)</f>
        <v/>
      </c>
      <c r="ER31" s="18">
        <f>IF(AND(145&gt;=$NQ$31,145&lt;=$NR$31),IF($NO$31="Single_Point",IF(145=$NQ$31,$NM$31,0),IF($NO$31="Bell_Curve",$NM$31*(145-$NQ$31+1)*($NR$31-145+1)/$NT$31,$NM$31/$NS$31)),0)</f>
        <v/>
      </c>
      <c r="ES31" s="18">
        <f>IF(AND(146&gt;=$NQ$31,146&lt;=$NR$31),IF($NO$31="Single_Point",IF(146=$NQ$31,$NM$31,0),IF($NO$31="Bell_Curve",$NM$31*(146-$NQ$31+1)*($NR$31-146+1)/$NT$31,$NM$31/$NS$31)),0)</f>
        <v/>
      </c>
      <c r="ET31" s="18">
        <f>IF(AND(147&gt;=$NQ$31,147&lt;=$NR$31),IF($NO$31="Single_Point",IF(147=$NQ$31,$NM$31,0),IF($NO$31="Bell_Curve",$NM$31*(147-$NQ$31+1)*($NR$31-147+1)/$NT$31,$NM$31/$NS$31)),0)</f>
        <v/>
      </c>
      <c r="EU31" s="18">
        <f>IF(AND(148&gt;=$NQ$31,148&lt;=$NR$31),IF($NO$31="Single_Point",IF(148=$NQ$31,$NM$31,0),IF($NO$31="Bell_Curve",$NM$31*(148-$NQ$31+1)*($NR$31-148+1)/$NT$31,$NM$31/$NS$31)),0)</f>
        <v/>
      </c>
      <c r="EV31" s="18">
        <f>IF(AND(149&gt;=$NQ$31,149&lt;=$NR$31),IF($NO$31="Single_Point",IF(149=$NQ$31,$NM$31,0),IF($NO$31="Bell_Curve",$NM$31*(149-$NQ$31+1)*($NR$31-149+1)/$NT$31,$NM$31/$NS$31)),0)</f>
        <v/>
      </c>
      <c r="EW31" s="18">
        <f>IF(AND(150&gt;=$NQ$31,150&lt;=$NR$31),IF($NO$31="Single_Point",IF(150=$NQ$31,$NM$31,0),IF($NO$31="Bell_Curve",$NM$31*(150-$NQ$31+1)*($NR$31-150+1)/$NT$31,$NM$31/$NS$31)),0)</f>
        <v/>
      </c>
      <c r="EX31" s="18">
        <f>IF(AND(151&gt;=$NQ$31,151&lt;=$NR$31),IF($NO$31="Single_Point",IF(151=$NQ$31,$NM$31,0),IF($NO$31="Bell_Curve",$NM$31*(151-$NQ$31+1)*($NR$31-151+1)/$NT$31,$NM$31/$NS$31)),0)</f>
        <v/>
      </c>
      <c r="EY31" s="18">
        <f>IF(AND(152&gt;=$NQ$31,152&lt;=$NR$31),IF($NO$31="Single_Point",IF(152=$NQ$31,$NM$31,0),IF($NO$31="Bell_Curve",$NM$31*(152-$NQ$31+1)*($NR$31-152+1)/$NT$31,$NM$31/$NS$31)),0)</f>
        <v/>
      </c>
      <c r="EZ31" s="18">
        <f>IF(AND(153&gt;=$NQ$31,153&lt;=$NR$31),IF($NO$31="Single_Point",IF(153=$NQ$31,$NM$31,0),IF($NO$31="Bell_Curve",$NM$31*(153-$NQ$31+1)*($NR$31-153+1)/$NT$31,$NM$31/$NS$31)),0)</f>
        <v/>
      </c>
      <c r="FA31" s="18">
        <f>IF(AND(154&gt;=$NQ$31,154&lt;=$NR$31),IF($NO$31="Single_Point",IF(154=$NQ$31,$NM$31,0),IF($NO$31="Bell_Curve",$NM$31*(154-$NQ$31+1)*($NR$31-154+1)/$NT$31,$NM$31/$NS$31)),0)</f>
        <v/>
      </c>
      <c r="FB31" s="18">
        <f>IF(AND(155&gt;=$NQ$31,155&lt;=$NR$31),IF($NO$31="Single_Point",IF(155=$NQ$31,$NM$31,0),IF($NO$31="Bell_Curve",$NM$31*(155-$NQ$31+1)*($NR$31-155+1)/$NT$31,$NM$31/$NS$31)),0)</f>
        <v/>
      </c>
      <c r="FC31" s="18">
        <f>IF(AND(156&gt;=$NQ$31,156&lt;=$NR$31),IF($NO$31="Single_Point",IF(156=$NQ$31,$NM$31,0),IF($NO$31="Bell_Curve",$NM$31*(156-$NQ$31+1)*($NR$31-156+1)/$NT$31,$NM$31/$NS$31)),0)</f>
        <v/>
      </c>
      <c r="FD31" s="18">
        <f>IF(AND(157&gt;=$NQ$31,157&lt;=$NR$31),IF($NO$31="Single_Point",IF(157=$NQ$31,$NM$31,0),IF($NO$31="Bell_Curve",$NM$31*(157-$NQ$31+1)*($NR$31-157+1)/$NT$31,$NM$31/$NS$31)),0)</f>
        <v/>
      </c>
      <c r="FE31" s="18">
        <f>IF(AND(158&gt;=$NQ$31,158&lt;=$NR$31),IF($NO$31="Single_Point",IF(158=$NQ$31,$NM$31,0),IF($NO$31="Bell_Curve",$NM$31*(158-$NQ$31+1)*($NR$31-158+1)/$NT$31,$NM$31/$NS$31)),0)</f>
        <v/>
      </c>
      <c r="FF31" s="18">
        <f>IF(AND(159&gt;=$NQ$31,159&lt;=$NR$31),IF($NO$31="Single_Point",IF(159=$NQ$31,$NM$31,0),IF($NO$31="Bell_Curve",$NM$31*(159-$NQ$31+1)*($NR$31-159+1)/$NT$31,$NM$31/$NS$31)),0)</f>
        <v/>
      </c>
      <c r="FG31" s="18">
        <f>IF(AND(160&gt;=$NQ$31,160&lt;=$NR$31),IF($NO$31="Single_Point",IF(160=$NQ$31,$NM$31,0),IF($NO$31="Bell_Curve",$NM$31*(160-$NQ$31+1)*($NR$31-160+1)/$NT$31,$NM$31/$NS$31)),0)</f>
        <v/>
      </c>
      <c r="FH31" s="18">
        <f>IF(AND(161&gt;=$NQ$31,161&lt;=$NR$31),IF($NO$31="Single_Point",IF(161=$NQ$31,$NM$31,0),IF($NO$31="Bell_Curve",$NM$31*(161-$NQ$31+1)*($NR$31-161+1)/$NT$31,$NM$31/$NS$31)),0)</f>
        <v/>
      </c>
      <c r="FI31" s="18">
        <f>IF(AND(162&gt;=$NQ$31,162&lt;=$NR$31),IF($NO$31="Single_Point",IF(162=$NQ$31,$NM$31,0),IF($NO$31="Bell_Curve",$NM$31*(162-$NQ$31+1)*($NR$31-162+1)/$NT$31,$NM$31/$NS$31)),0)</f>
        <v/>
      </c>
      <c r="FJ31" s="18">
        <f>IF(AND(163&gt;=$NQ$31,163&lt;=$NR$31),IF($NO$31="Single_Point",IF(163=$NQ$31,$NM$31,0),IF($NO$31="Bell_Curve",$NM$31*(163-$NQ$31+1)*($NR$31-163+1)/$NT$31,$NM$31/$NS$31)),0)</f>
        <v/>
      </c>
      <c r="FK31" s="18">
        <f>IF(AND(164&gt;=$NQ$31,164&lt;=$NR$31),IF($NO$31="Single_Point",IF(164=$NQ$31,$NM$31,0),IF($NO$31="Bell_Curve",$NM$31*(164-$NQ$31+1)*($NR$31-164+1)/$NT$31,$NM$31/$NS$31)),0)</f>
        <v/>
      </c>
      <c r="FL31" s="18">
        <f>IF(AND(165&gt;=$NQ$31,165&lt;=$NR$31),IF($NO$31="Single_Point",IF(165=$NQ$31,$NM$31,0),IF($NO$31="Bell_Curve",$NM$31*(165-$NQ$31+1)*($NR$31-165+1)/$NT$31,$NM$31/$NS$31)),0)</f>
        <v/>
      </c>
      <c r="FM31" s="18">
        <f>IF(AND(166&gt;=$NQ$31,166&lt;=$NR$31),IF($NO$31="Single_Point",IF(166=$NQ$31,$NM$31,0),IF($NO$31="Bell_Curve",$NM$31*(166-$NQ$31+1)*($NR$31-166+1)/$NT$31,$NM$31/$NS$31)),0)</f>
        <v/>
      </c>
      <c r="FN31" s="18">
        <f>IF(AND(167&gt;=$NQ$31,167&lt;=$NR$31),IF($NO$31="Single_Point",IF(167=$NQ$31,$NM$31,0),IF($NO$31="Bell_Curve",$NM$31*(167-$NQ$31+1)*($NR$31-167+1)/$NT$31,$NM$31/$NS$31)),0)</f>
        <v/>
      </c>
      <c r="FO31" s="18">
        <f>IF(AND(168&gt;=$NQ$31,168&lt;=$NR$31),IF($NO$31="Single_Point",IF(168=$NQ$31,$NM$31,0),IF($NO$31="Bell_Curve",$NM$31*(168-$NQ$31+1)*($NR$31-168+1)/$NT$31,$NM$31/$NS$31)),0)</f>
        <v/>
      </c>
      <c r="FP31" s="18">
        <f>IF(AND(169&gt;=$NQ$31,169&lt;=$NR$31),IF($NO$31="Single_Point",IF(169=$NQ$31,$NM$31,0),IF($NO$31="Bell_Curve",$NM$31*(169-$NQ$31+1)*($NR$31-169+1)/$NT$31,$NM$31/$NS$31)),0)</f>
        <v/>
      </c>
      <c r="FQ31" s="18">
        <f>IF(AND(170&gt;=$NQ$31,170&lt;=$NR$31),IF($NO$31="Single_Point",IF(170=$NQ$31,$NM$31,0),IF($NO$31="Bell_Curve",$NM$31*(170-$NQ$31+1)*($NR$31-170+1)/$NT$31,$NM$31/$NS$31)),0)</f>
        <v/>
      </c>
      <c r="FR31" s="18">
        <f>IF(AND(171&gt;=$NQ$31,171&lt;=$NR$31),IF($NO$31="Single_Point",IF(171=$NQ$31,$NM$31,0),IF($NO$31="Bell_Curve",$NM$31*(171-$NQ$31+1)*($NR$31-171+1)/$NT$31,$NM$31/$NS$31)),0)</f>
        <v/>
      </c>
      <c r="FS31" s="18">
        <f>IF(AND(172&gt;=$NQ$31,172&lt;=$NR$31),IF($NO$31="Single_Point",IF(172=$NQ$31,$NM$31,0),IF($NO$31="Bell_Curve",$NM$31*(172-$NQ$31+1)*($NR$31-172+1)/$NT$31,$NM$31/$NS$31)),0)</f>
        <v/>
      </c>
      <c r="FT31" s="18">
        <f>IF(AND(173&gt;=$NQ$31,173&lt;=$NR$31),IF($NO$31="Single_Point",IF(173=$NQ$31,$NM$31,0),IF($NO$31="Bell_Curve",$NM$31*(173-$NQ$31+1)*($NR$31-173+1)/$NT$31,$NM$31/$NS$31)),0)</f>
        <v/>
      </c>
      <c r="FU31" s="18">
        <f>IF(AND(174&gt;=$NQ$31,174&lt;=$NR$31),IF($NO$31="Single_Point",IF(174=$NQ$31,$NM$31,0),IF($NO$31="Bell_Curve",$NM$31*(174-$NQ$31+1)*($NR$31-174+1)/$NT$31,$NM$31/$NS$31)),0)</f>
        <v/>
      </c>
      <c r="FV31" s="18">
        <f>IF(AND(175&gt;=$NQ$31,175&lt;=$NR$31),IF($NO$31="Single_Point",IF(175=$NQ$31,$NM$31,0),IF($NO$31="Bell_Curve",$NM$31*(175-$NQ$31+1)*($NR$31-175+1)/$NT$31,$NM$31/$NS$31)),0)</f>
        <v/>
      </c>
      <c r="FW31" s="18">
        <f>IF(AND(176&gt;=$NQ$31,176&lt;=$NR$31),IF($NO$31="Single_Point",IF(176=$NQ$31,$NM$31,0),IF($NO$31="Bell_Curve",$NM$31*(176-$NQ$31+1)*($NR$31-176+1)/$NT$31,$NM$31/$NS$31)),0)</f>
        <v/>
      </c>
      <c r="FX31" s="18">
        <f>IF(AND(177&gt;=$NQ$31,177&lt;=$NR$31),IF($NO$31="Single_Point",IF(177=$NQ$31,$NM$31,0),IF($NO$31="Bell_Curve",$NM$31*(177-$NQ$31+1)*($NR$31-177+1)/$NT$31,$NM$31/$NS$31)),0)</f>
        <v/>
      </c>
      <c r="FY31" s="18">
        <f>IF(AND(178&gt;=$NQ$31,178&lt;=$NR$31),IF($NO$31="Single_Point",IF(178=$NQ$31,$NM$31,0),IF($NO$31="Bell_Curve",$NM$31*(178-$NQ$31+1)*($NR$31-178+1)/$NT$31,$NM$31/$NS$31)),0)</f>
        <v/>
      </c>
      <c r="FZ31" s="18">
        <f>IF(AND(179&gt;=$NQ$31,179&lt;=$NR$31),IF($NO$31="Single_Point",IF(179=$NQ$31,$NM$31,0),IF($NO$31="Bell_Curve",$NM$31*(179-$NQ$31+1)*($NR$31-179+1)/$NT$31,$NM$31/$NS$31)),0)</f>
        <v/>
      </c>
      <c r="GA31" s="18">
        <f>IF(AND(180&gt;=$NQ$31,180&lt;=$NR$31),IF($NO$31="Single_Point",IF(180=$NQ$31,$NM$31,0),IF($NO$31="Bell_Curve",$NM$31*(180-$NQ$31+1)*($NR$31-180+1)/$NT$31,$NM$31/$NS$31)),0)</f>
        <v/>
      </c>
      <c r="GB31" s="18">
        <f>IF(AND(181&gt;=$NQ$31,181&lt;=$NR$31),IF($NO$31="Single_Point",IF(181=$NQ$31,$NM$31,0),IF($NO$31="Bell_Curve",$NM$31*(181-$NQ$31+1)*($NR$31-181+1)/$NT$31,$NM$31/$NS$31)),0)</f>
        <v/>
      </c>
      <c r="GC31" s="18">
        <f>IF(AND(182&gt;=$NQ$31,182&lt;=$NR$31),IF($NO$31="Single_Point",IF(182=$NQ$31,$NM$31,0),IF($NO$31="Bell_Curve",$NM$31*(182-$NQ$31+1)*($NR$31-182+1)/$NT$31,$NM$31/$NS$31)),0)</f>
        <v/>
      </c>
      <c r="GD31" s="18">
        <f>IF(AND(183&gt;=$NQ$31,183&lt;=$NR$31),IF($NO$31="Single_Point",IF(183=$NQ$31,$NM$31,0),IF($NO$31="Bell_Curve",$NM$31*(183-$NQ$31+1)*($NR$31-183+1)/$NT$31,$NM$31/$NS$31)),0)</f>
        <v/>
      </c>
      <c r="GE31" s="18">
        <f>IF(AND(184&gt;=$NQ$31,184&lt;=$NR$31),IF($NO$31="Single_Point",IF(184=$NQ$31,$NM$31,0),IF($NO$31="Bell_Curve",$NM$31*(184-$NQ$31+1)*($NR$31-184+1)/$NT$31,$NM$31/$NS$31)),0)</f>
        <v/>
      </c>
      <c r="GF31" s="18">
        <f>IF(AND(185&gt;=$NQ$31,185&lt;=$NR$31),IF($NO$31="Single_Point",IF(185=$NQ$31,$NM$31,0),IF($NO$31="Bell_Curve",$NM$31*(185-$NQ$31+1)*($NR$31-185+1)/$NT$31,$NM$31/$NS$31)),0)</f>
        <v/>
      </c>
      <c r="GG31" s="18">
        <f>IF(AND(186&gt;=$NQ$31,186&lt;=$NR$31),IF($NO$31="Single_Point",IF(186=$NQ$31,$NM$31,0),IF($NO$31="Bell_Curve",$NM$31*(186-$NQ$31+1)*($NR$31-186+1)/$NT$31,$NM$31/$NS$31)),0)</f>
        <v/>
      </c>
      <c r="GH31" s="18">
        <f>IF(AND(187&gt;=$NQ$31,187&lt;=$NR$31),IF($NO$31="Single_Point",IF(187=$NQ$31,$NM$31,0),IF($NO$31="Bell_Curve",$NM$31*(187-$NQ$31+1)*($NR$31-187+1)/$NT$31,$NM$31/$NS$31)),0)</f>
        <v/>
      </c>
      <c r="GI31" s="18">
        <f>IF(AND(188&gt;=$NQ$31,188&lt;=$NR$31),IF($NO$31="Single_Point",IF(188=$NQ$31,$NM$31,0),IF($NO$31="Bell_Curve",$NM$31*(188-$NQ$31+1)*($NR$31-188+1)/$NT$31,$NM$31/$NS$31)),0)</f>
        <v/>
      </c>
      <c r="GJ31" s="18">
        <f>IF(AND(189&gt;=$NQ$31,189&lt;=$NR$31),IF($NO$31="Single_Point",IF(189=$NQ$31,$NM$31,0),IF($NO$31="Bell_Curve",$NM$31*(189-$NQ$31+1)*($NR$31-189+1)/$NT$31,$NM$31/$NS$31)),0)</f>
        <v/>
      </c>
      <c r="GK31" s="18">
        <f>IF(AND(190&gt;=$NQ$31,190&lt;=$NR$31),IF($NO$31="Single_Point",IF(190=$NQ$31,$NM$31,0),IF($NO$31="Bell_Curve",$NM$31*(190-$NQ$31+1)*($NR$31-190+1)/$NT$31,$NM$31/$NS$31)),0)</f>
        <v/>
      </c>
      <c r="GL31" s="18">
        <f>IF(AND(191&gt;=$NQ$31,191&lt;=$NR$31),IF($NO$31="Single_Point",IF(191=$NQ$31,$NM$31,0),IF($NO$31="Bell_Curve",$NM$31*(191-$NQ$31+1)*($NR$31-191+1)/$NT$31,$NM$31/$NS$31)),0)</f>
        <v/>
      </c>
      <c r="GM31" s="18">
        <f>IF(AND(192&gt;=$NQ$31,192&lt;=$NR$31),IF($NO$31="Single_Point",IF(192=$NQ$31,$NM$31,0),IF($NO$31="Bell_Curve",$NM$31*(192-$NQ$31+1)*($NR$31-192+1)/$NT$31,$NM$31/$NS$31)),0)</f>
        <v/>
      </c>
      <c r="GN31" s="18">
        <f>IF(AND(193&gt;=$NQ$31,193&lt;=$NR$31),IF($NO$31="Single_Point",IF(193=$NQ$31,$NM$31,0),IF($NO$31="Bell_Curve",$NM$31*(193-$NQ$31+1)*($NR$31-193+1)/$NT$31,$NM$31/$NS$31)),0)</f>
        <v/>
      </c>
      <c r="GO31" s="18">
        <f>IF(AND(194&gt;=$NQ$31,194&lt;=$NR$31),IF($NO$31="Single_Point",IF(194=$NQ$31,$NM$31,0),IF($NO$31="Bell_Curve",$NM$31*(194-$NQ$31+1)*($NR$31-194+1)/$NT$31,$NM$31/$NS$31)),0)</f>
        <v/>
      </c>
      <c r="GP31" s="18">
        <f>IF(AND(195&gt;=$NQ$31,195&lt;=$NR$31),IF($NO$31="Single_Point",IF(195=$NQ$31,$NM$31,0),IF($NO$31="Bell_Curve",$NM$31*(195-$NQ$31+1)*($NR$31-195+1)/$NT$31,$NM$31/$NS$31)),0)</f>
        <v/>
      </c>
      <c r="GQ31" s="18">
        <f>IF(AND(196&gt;=$NQ$31,196&lt;=$NR$31),IF($NO$31="Single_Point",IF(196=$NQ$31,$NM$31,0),IF($NO$31="Bell_Curve",$NM$31*(196-$NQ$31+1)*($NR$31-196+1)/$NT$31,$NM$31/$NS$31)),0)</f>
        <v/>
      </c>
      <c r="GR31" s="18">
        <f>IF(AND(197&gt;=$NQ$31,197&lt;=$NR$31),IF($NO$31="Single_Point",IF(197=$NQ$31,$NM$31,0),IF($NO$31="Bell_Curve",$NM$31*(197-$NQ$31+1)*($NR$31-197+1)/$NT$31,$NM$31/$NS$31)),0)</f>
        <v/>
      </c>
      <c r="GS31" s="18">
        <f>IF(AND(198&gt;=$NQ$31,198&lt;=$NR$31),IF($NO$31="Single_Point",IF(198=$NQ$31,$NM$31,0),IF($NO$31="Bell_Curve",$NM$31*(198-$NQ$31+1)*($NR$31-198+1)/$NT$31,$NM$31/$NS$31)),0)</f>
        <v/>
      </c>
      <c r="GT31" s="18">
        <f>IF(AND(199&gt;=$NQ$31,199&lt;=$NR$31),IF($NO$31="Single_Point",IF(199=$NQ$31,$NM$31,0),IF($NO$31="Bell_Curve",$NM$31*(199-$NQ$31+1)*($NR$31-199+1)/$NT$31,$NM$31/$NS$31)),0)</f>
        <v/>
      </c>
      <c r="GU31" s="18">
        <f>IF(AND(200&gt;=$NQ$31,200&lt;=$NR$31),IF($NO$31="Single_Point",IF(200=$NQ$31,$NM$31,0),IF($NO$31="Bell_Curve",$NM$31*(200-$NQ$31+1)*($NR$31-200+1)/$NT$31,$NM$31/$NS$31)),0)</f>
        <v/>
      </c>
      <c r="GV31" s="18">
        <f>IF(AND(201&gt;=$NQ$31,201&lt;=$NR$31),IF($NO$31="Single_Point",IF(201=$NQ$31,$NM$31,0),IF($NO$31="Bell_Curve",$NM$31*(201-$NQ$31+1)*($NR$31-201+1)/$NT$31,$NM$31/$NS$31)),0)</f>
        <v/>
      </c>
      <c r="GW31" s="18">
        <f>IF(AND(202&gt;=$NQ$31,202&lt;=$NR$31),IF($NO$31="Single_Point",IF(202=$NQ$31,$NM$31,0),IF($NO$31="Bell_Curve",$NM$31*(202-$NQ$31+1)*($NR$31-202+1)/$NT$31,$NM$31/$NS$31)),0)</f>
        <v/>
      </c>
      <c r="GX31" s="18">
        <f>IF(AND(203&gt;=$NQ$31,203&lt;=$NR$31),IF($NO$31="Single_Point",IF(203=$NQ$31,$NM$31,0),IF($NO$31="Bell_Curve",$NM$31*(203-$NQ$31+1)*($NR$31-203+1)/$NT$31,$NM$31/$NS$31)),0)</f>
        <v/>
      </c>
      <c r="GY31" s="18">
        <f>IF(AND(204&gt;=$NQ$31,204&lt;=$NR$31),IF($NO$31="Single_Point",IF(204=$NQ$31,$NM$31,0),IF($NO$31="Bell_Curve",$NM$31*(204-$NQ$31+1)*($NR$31-204+1)/$NT$31,$NM$31/$NS$31)),0)</f>
        <v/>
      </c>
      <c r="GZ31" s="18">
        <f>IF(AND(205&gt;=$NQ$31,205&lt;=$NR$31),IF($NO$31="Single_Point",IF(205=$NQ$31,$NM$31,0),IF($NO$31="Bell_Curve",$NM$31*(205-$NQ$31+1)*($NR$31-205+1)/$NT$31,$NM$31/$NS$31)),0)</f>
        <v/>
      </c>
      <c r="HA31" s="18">
        <f>IF(AND(206&gt;=$NQ$31,206&lt;=$NR$31),IF($NO$31="Single_Point",IF(206=$NQ$31,$NM$31,0),IF($NO$31="Bell_Curve",$NM$31*(206-$NQ$31+1)*($NR$31-206+1)/$NT$31,$NM$31/$NS$31)),0)</f>
        <v/>
      </c>
      <c r="HB31" s="18">
        <f>IF(AND(207&gt;=$NQ$31,207&lt;=$NR$31),IF($NO$31="Single_Point",IF(207=$NQ$31,$NM$31,0),IF($NO$31="Bell_Curve",$NM$31*(207-$NQ$31+1)*($NR$31-207+1)/$NT$31,$NM$31/$NS$31)),0)</f>
        <v/>
      </c>
      <c r="HC31" s="18">
        <f>IF(AND(208&gt;=$NQ$31,208&lt;=$NR$31),IF($NO$31="Single_Point",IF(208=$NQ$31,$NM$31,0),IF($NO$31="Bell_Curve",$NM$31*(208-$NQ$31+1)*($NR$31-208+1)/$NT$31,$NM$31/$NS$31)),0)</f>
        <v/>
      </c>
      <c r="HD31" s="18">
        <f>IF(AND(209&gt;=$NQ$31,209&lt;=$NR$31),IF($NO$31="Single_Point",IF(209=$NQ$31,$NM$31,0),IF($NO$31="Bell_Curve",$NM$31*(209-$NQ$31+1)*($NR$31-209+1)/$NT$31,$NM$31/$NS$31)),0)</f>
        <v/>
      </c>
      <c r="HE31" s="18">
        <f>IF(AND(210&gt;=$NQ$31,210&lt;=$NR$31),IF($NO$31="Single_Point",IF(210=$NQ$31,$NM$31,0),IF($NO$31="Bell_Curve",$NM$31*(210-$NQ$31+1)*($NR$31-210+1)/$NT$31,$NM$31/$NS$31)),0)</f>
        <v/>
      </c>
      <c r="HF31" s="18">
        <f>IF(AND(211&gt;=$NQ$31,211&lt;=$NR$31),IF($NO$31="Single_Point",IF(211=$NQ$31,$NM$31,0),IF($NO$31="Bell_Curve",$NM$31*(211-$NQ$31+1)*($NR$31-211+1)/$NT$31,$NM$31/$NS$31)),0)</f>
        <v/>
      </c>
      <c r="HG31" s="18">
        <f>IF(AND(212&gt;=$NQ$31,212&lt;=$NR$31),IF($NO$31="Single_Point",IF(212=$NQ$31,$NM$31,0),IF($NO$31="Bell_Curve",$NM$31*(212-$NQ$31+1)*($NR$31-212+1)/$NT$31,$NM$31/$NS$31)),0)</f>
        <v/>
      </c>
      <c r="HH31" s="18">
        <f>IF(AND(213&gt;=$NQ$31,213&lt;=$NR$31),IF($NO$31="Single_Point",IF(213=$NQ$31,$NM$31,0),IF($NO$31="Bell_Curve",$NM$31*(213-$NQ$31+1)*($NR$31-213+1)/$NT$31,$NM$31/$NS$31)),0)</f>
        <v/>
      </c>
      <c r="HI31" s="18">
        <f>IF(AND(214&gt;=$NQ$31,214&lt;=$NR$31),IF($NO$31="Single_Point",IF(214=$NQ$31,$NM$31,0),IF($NO$31="Bell_Curve",$NM$31*(214-$NQ$31+1)*($NR$31-214+1)/$NT$31,$NM$31/$NS$31)),0)</f>
        <v/>
      </c>
      <c r="HJ31" s="18">
        <f>IF(AND(215&gt;=$NQ$31,215&lt;=$NR$31),IF($NO$31="Single_Point",IF(215=$NQ$31,$NM$31,0),IF($NO$31="Bell_Curve",$NM$31*(215-$NQ$31+1)*($NR$31-215+1)/$NT$31,$NM$31/$NS$31)),0)</f>
        <v/>
      </c>
      <c r="HK31" s="18">
        <f>IF(AND(216&gt;=$NQ$31,216&lt;=$NR$31),IF($NO$31="Single_Point",IF(216=$NQ$31,$NM$31,0),IF($NO$31="Bell_Curve",$NM$31*(216-$NQ$31+1)*($NR$31-216+1)/$NT$31,$NM$31/$NS$31)),0)</f>
        <v/>
      </c>
      <c r="HL31" s="18">
        <f>IF(AND(217&gt;=$NQ$31,217&lt;=$NR$31),IF($NO$31="Single_Point",IF(217=$NQ$31,$NM$31,0),IF($NO$31="Bell_Curve",$NM$31*(217-$NQ$31+1)*($NR$31-217+1)/$NT$31,$NM$31/$NS$31)),0)</f>
        <v/>
      </c>
      <c r="HM31" s="18">
        <f>IF(AND(218&gt;=$NQ$31,218&lt;=$NR$31),IF($NO$31="Single_Point",IF(218=$NQ$31,$NM$31,0),IF($NO$31="Bell_Curve",$NM$31*(218-$NQ$31+1)*($NR$31-218+1)/$NT$31,$NM$31/$NS$31)),0)</f>
        <v/>
      </c>
      <c r="HN31" s="18">
        <f>IF(AND(219&gt;=$NQ$31,219&lt;=$NR$31),IF($NO$31="Single_Point",IF(219=$NQ$31,$NM$31,0),IF($NO$31="Bell_Curve",$NM$31*(219-$NQ$31+1)*($NR$31-219+1)/$NT$31,$NM$31/$NS$31)),0)</f>
        <v/>
      </c>
      <c r="HO31" s="18">
        <f>IF(AND(220&gt;=$NQ$31,220&lt;=$NR$31),IF($NO$31="Single_Point",IF(220=$NQ$31,$NM$31,0),IF($NO$31="Bell_Curve",$NM$31*(220-$NQ$31+1)*($NR$31-220+1)/$NT$31,$NM$31/$NS$31)),0)</f>
        <v/>
      </c>
      <c r="HP31" s="18">
        <f>IF(AND(221&gt;=$NQ$31,221&lt;=$NR$31),IF($NO$31="Single_Point",IF(221=$NQ$31,$NM$31,0),IF($NO$31="Bell_Curve",$NM$31*(221-$NQ$31+1)*($NR$31-221+1)/$NT$31,$NM$31/$NS$31)),0)</f>
        <v/>
      </c>
      <c r="HQ31" s="18">
        <f>IF(AND(222&gt;=$NQ$31,222&lt;=$NR$31),IF($NO$31="Single_Point",IF(222=$NQ$31,$NM$31,0),IF($NO$31="Bell_Curve",$NM$31*(222-$NQ$31+1)*($NR$31-222+1)/$NT$31,$NM$31/$NS$31)),0)</f>
        <v/>
      </c>
      <c r="HR31" s="18">
        <f>IF(AND(223&gt;=$NQ$31,223&lt;=$NR$31),IF($NO$31="Single_Point",IF(223=$NQ$31,$NM$31,0),IF($NO$31="Bell_Curve",$NM$31*(223-$NQ$31+1)*($NR$31-223+1)/$NT$31,$NM$31/$NS$31)),0)</f>
        <v/>
      </c>
      <c r="HS31" s="18">
        <f>IF(AND(224&gt;=$NQ$31,224&lt;=$NR$31),IF($NO$31="Single_Point",IF(224=$NQ$31,$NM$31,0),IF($NO$31="Bell_Curve",$NM$31*(224-$NQ$31+1)*($NR$31-224+1)/$NT$31,$NM$31/$NS$31)),0)</f>
        <v/>
      </c>
      <c r="HT31" s="18">
        <f>IF(AND(225&gt;=$NQ$31,225&lt;=$NR$31),IF($NO$31="Single_Point",IF(225=$NQ$31,$NM$31,0),IF($NO$31="Bell_Curve",$NM$31*(225-$NQ$31+1)*($NR$31-225+1)/$NT$31,$NM$31/$NS$31)),0)</f>
        <v/>
      </c>
      <c r="HU31" s="18">
        <f>IF(AND(226&gt;=$NQ$31,226&lt;=$NR$31),IF($NO$31="Single_Point",IF(226=$NQ$31,$NM$31,0),IF($NO$31="Bell_Curve",$NM$31*(226-$NQ$31+1)*($NR$31-226+1)/$NT$31,$NM$31/$NS$31)),0)</f>
        <v/>
      </c>
      <c r="HV31" s="18">
        <f>IF(AND(227&gt;=$NQ$31,227&lt;=$NR$31),IF($NO$31="Single_Point",IF(227=$NQ$31,$NM$31,0),IF($NO$31="Bell_Curve",$NM$31*(227-$NQ$31+1)*($NR$31-227+1)/$NT$31,$NM$31/$NS$31)),0)</f>
        <v/>
      </c>
      <c r="HW31" s="18">
        <f>IF(AND(228&gt;=$NQ$31,228&lt;=$NR$31),IF($NO$31="Single_Point",IF(228=$NQ$31,$NM$31,0),IF($NO$31="Bell_Curve",$NM$31*(228-$NQ$31+1)*($NR$31-228+1)/$NT$31,$NM$31/$NS$31)),0)</f>
        <v/>
      </c>
      <c r="HX31" s="18">
        <f>IF(AND(229&gt;=$NQ$31,229&lt;=$NR$31),IF($NO$31="Single_Point",IF(229=$NQ$31,$NM$31,0),IF($NO$31="Bell_Curve",$NM$31*(229-$NQ$31+1)*($NR$31-229+1)/$NT$31,$NM$31/$NS$31)),0)</f>
        <v/>
      </c>
      <c r="HY31" s="18">
        <f>IF(AND(230&gt;=$NQ$31,230&lt;=$NR$31),IF($NO$31="Single_Point",IF(230=$NQ$31,$NM$31,0),IF($NO$31="Bell_Curve",$NM$31*(230-$NQ$31+1)*($NR$31-230+1)/$NT$31,$NM$31/$NS$31)),0)</f>
        <v/>
      </c>
      <c r="HZ31" s="18">
        <f>IF(AND(231&gt;=$NQ$31,231&lt;=$NR$31),IF($NO$31="Single_Point",IF(231=$NQ$31,$NM$31,0),IF($NO$31="Bell_Curve",$NM$31*(231-$NQ$31+1)*($NR$31-231+1)/$NT$31,$NM$31/$NS$31)),0)</f>
        <v/>
      </c>
      <c r="IA31" s="18">
        <f>IF(AND(232&gt;=$NQ$31,232&lt;=$NR$31),IF($NO$31="Single_Point",IF(232=$NQ$31,$NM$31,0),IF($NO$31="Bell_Curve",$NM$31*(232-$NQ$31+1)*($NR$31-232+1)/$NT$31,$NM$31/$NS$31)),0)</f>
        <v/>
      </c>
      <c r="IB31" s="18">
        <f>IF(AND(233&gt;=$NQ$31,233&lt;=$NR$31),IF($NO$31="Single_Point",IF(233=$NQ$31,$NM$31,0),IF($NO$31="Bell_Curve",$NM$31*(233-$NQ$31+1)*($NR$31-233+1)/$NT$31,$NM$31/$NS$31)),0)</f>
        <v/>
      </c>
      <c r="IC31" s="18">
        <f>IF(AND(234&gt;=$NQ$31,234&lt;=$NR$31),IF($NO$31="Single_Point",IF(234=$NQ$31,$NM$31,0),IF($NO$31="Bell_Curve",$NM$31*(234-$NQ$31+1)*($NR$31-234+1)/$NT$31,$NM$31/$NS$31)),0)</f>
        <v/>
      </c>
      <c r="ID31" s="18">
        <f>IF(AND(235&gt;=$NQ$31,235&lt;=$NR$31),IF($NO$31="Single_Point",IF(235=$NQ$31,$NM$31,0),IF($NO$31="Bell_Curve",$NM$31*(235-$NQ$31+1)*($NR$31-235+1)/$NT$31,$NM$31/$NS$31)),0)</f>
        <v/>
      </c>
      <c r="IE31" s="18">
        <f>IF(AND(236&gt;=$NQ$31,236&lt;=$NR$31),IF($NO$31="Single_Point",IF(236=$NQ$31,$NM$31,0),IF($NO$31="Bell_Curve",$NM$31*(236-$NQ$31+1)*($NR$31-236+1)/$NT$31,$NM$31/$NS$31)),0)</f>
        <v/>
      </c>
      <c r="IF31" s="18">
        <f>IF(AND(237&gt;=$NQ$31,237&lt;=$NR$31),IF($NO$31="Single_Point",IF(237=$NQ$31,$NM$31,0),IF($NO$31="Bell_Curve",$NM$31*(237-$NQ$31+1)*($NR$31-237+1)/$NT$31,$NM$31/$NS$31)),0)</f>
        <v/>
      </c>
      <c r="IG31" s="18">
        <f>IF(AND(238&gt;=$NQ$31,238&lt;=$NR$31),IF($NO$31="Single_Point",IF(238=$NQ$31,$NM$31,0),IF($NO$31="Bell_Curve",$NM$31*(238-$NQ$31+1)*($NR$31-238+1)/$NT$31,$NM$31/$NS$31)),0)</f>
        <v/>
      </c>
      <c r="IH31" s="18">
        <f>IF(AND(239&gt;=$NQ$31,239&lt;=$NR$31),IF($NO$31="Single_Point",IF(239=$NQ$31,$NM$31,0),IF($NO$31="Bell_Curve",$NM$31*(239-$NQ$31+1)*($NR$31-239+1)/$NT$31,$NM$31/$NS$31)),0)</f>
        <v/>
      </c>
      <c r="II31" s="18">
        <f>IF(AND(240&gt;=$NQ$31,240&lt;=$NR$31),IF($NO$31="Single_Point",IF(240=$NQ$31,$NM$31,0),IF($NO$31="Bell_Curve",$NM$31*(240-$NQ$31+1)*($NR$31-240+1)/$NT$31,$NM$31/$NS$31)),0)</f>
        <v/>
      </c>
      <c r="IJ31" s="18">
        <f>IF(AND(241&gt;=$NQ$31,241&lt;=$NR$31),IF($NO$31="Single_Point",IF(241=$NQ$31,$NM$31,0),IF($NO$31="Bell_Curve",$NM$31*(241-$NQ$31+1)*($NR$31-241+1)/$NT$31,$NM$31/$NS$31)),0)</f>
        <v/>
      </c>
      <c r="IK31" s="18">
        <f>IF(AND(242&gt;=$NQ$31,242&lt;=$NR$31),IF($NO$31="Single_Point",IF(242=$NQ$31,$NM$31,0),IF($NO$31="Bell_Curve",$NM$31*(242-$NQ$31+1)*($NR$31-242+1)/$NT$31,$NM$31/$NS$31)),0)</f>
        <v/>
      </c>
      <c r="IL31" s="18">
        <f>IF(AND(243&gt;=$NQ$31,243&lt;=$NR$31),IF($NO$31="Single_Point",IF(243=$NQ$31,$NM$31,0),IF($NO$31="Bell_Curve",$NM$31*(243-$NQ$31+1)*($NR$31-243+1)/$NT$31,$NM$31/$NS$31)),0)</f>
        <v/>
      </c>
      <c r="IM31" s="18">
        <f>IF(AND(244&gt;=$NQ$31,244&lt;=$NR$31),IF($NO$31="Single_Point",IF(244=$NQ$31,$NM$31,0),IF($NO$31="Bell_Curve",$NM$31*(244-$NQ$31+1)*($NR$31-244+1)/$NT$31,$NM$31/$NS$31)),0)</f>
        <v/>
      </c>
      <c r="IN31" s="18">
        <f>IF(AND(245&gt;=$NQ$31,245&lt;=$NR$31),IF($NO$31="Single_Point",IF(245=$NQ$31,$NM$31,0),IF($NO$31="Bell_Curve",$NM$31*(245-$NQ$31+1)*($NR$31-245+1)/$NT$31,$NM$31/$NS$31)),0)</f>
        <v/>
      </c>
      <c r="IO31" s="18">
        <f>IF(AND(246&gt;=$NQ$31,246&lt;=$NR$31),IF($NO$31="Single_Point",IF(246=$NQ$31,$NM$31,0),IF($NO$31="Bell_Curve",$NM$31*(246-$NQ$31+1)*($NR$31-246+1)/$NT$31,$NM$31/$NS$31)),0)</f>
        <v/>
      </c>
      <c r="IP31" s="18">
        <f>IF(AND(247&gt;=$NQ$31,247&lt;=$NR$31),IF($NO$31="Single_Point",IF(247=$NQ$31,$NM$31,0),IF($NO$31="Bell_Curve",$NM$31*(247-$NQ$31+1)*($NR$31-247+1)/$NT$31,$NM$31/$NS$31)),0)</f>
        <v/>
      </c>
      <c r="IQ31" s="18">
        <f>IF(AND(248&gt;=$NQ$31,248&lt;=$NR$31),IF($NO$31="Single_Point",IF(248=$NQ$31,$NM$31,0),IF($NO$31="Bell_Curve",$NM$31*(248-$NQ$31+1)*($NR$31-248+1)/$NT$31,$NM$31/$NS$31)),0)</f>
        <v/>
      </c>
      <c r="IR31" s="18">
        <f>IF(AND(249&gt;=$NQ$31,249&lt;=$NR$31),IF($NO$31="Single_Point",IF(249=$NQ$31,$NM$31,0),IF($NO$31="Bell_Curve",$NM$31*(249-$NQ$31+1)*($NR$31-249+1)/$NT$31,$NM$31/$NS$31)),0)</f>
        <v/>
      </c>
      <c r="IS31" s="18">
        <f>IF(AND(250&gt;=$NQ$31,250&lt;=$NR$31),IF($NO$31="Single_Point",IF(250=$NQ$31,$NM$31,0),IF($NO$31="Bell_Curve",$NM$31*(250-$NQ$31+1)*($NR$31-250+1)/$NT$31,$NM$31/$NS$31)),0)</f>
        <v/>
      </c>
      <c r="IT31" s="18">
        <f>IF(AND(251&gt;=$NQ$31,251&lt;=$NR$31),IF($NO$31="Single_Point",IF(251=$NQ$31,$NM$31,0),IF($NO$31="Bell_Curve",$NM$31*(251-$NQ$31+1)*($NR$31-251+1)/$NT$31,$NM$31/$NS$31)),0)</f>
        <v/>
      </c>
      <c r="IU31" s="18">
        <f>IF(AND(252&gt;=$NQ$31,252&lt;=$NR$31),IF($NO$31="Single_Point",IF(252=$NQ$31,$NM$31,0),IF($NO$31="Bell_Curve",$NM$31*(252-$NQ$31+1)*($NR$31-252+1)/$NT$31,$NM$31/$NS$31)),0)</f>
        <v/>
      </c>
      <c r="IV31" s="18">
        <f>IF(AND(253&gt;=$NQ$31,253&lt;=$NR$31),IF($NO$31="Single_Point",IF(253=$NQ$31,$NM$31,0),IF($NO$31="Bell_Curve",$NM$31*(253-$NQ$31+1)*($NR$31-253+1)/$NT$31,$NM$31/$NS$31)),0)</f>
        <v/>
      </c>
      <c r="IW31" s="18">
        <f>IF(AND(254&gt;=$NQ$31,254&lt;=$NR$31),IF($NO$31="Single_Point",IF(254=$NQ$31,$NM$31,0),IF($NO$31="Bell_Curve",$NM$31*(254-$NQ$31+1)*($NR$31-254+1)/$NT$31,$NM$31/$NS$31)),0)</f>
        <v/>
      </c>
      <c r="IX31" s="18">
        <f>IF(AND(255&gt;=$NQ$31,255&lt;=$NR$31),IF($NO$31="Single_Point",IF(255=$NQ$31,$NM$31,0),IF($NO$31="Bell_Curve",$NM$31*(255-$NQ$31+1)*($NR$31-255+1)/$NT$31,$NM$31/$NS$31)),0)</f>
        <v/>
      </c>
      <c r="IY31" s="18">
        <f>IF(AND(256&gt;=$NQ$31,256&lt;=$NR$31),IF($NO$31="Single_Point",IF(256=$NQ$31,$NM$31,0),IF($NO$31="Bell_Curve",$NM$31*(256-$NQ$31+1)*($NR$31-256+1)/$NT$31,$NM$31/$NS$31)),0)</f>
        <v/>
      </c>
      <c r="IZ31" s="18">
        <f>IF(AND(257&gt;=$NQ$31,257&lt;=$NR$31),IF($NO$31="Single_Point",IF(257=$NQ$31,$NM$31,0),IF($NO$31="Bell_Curve",$NM$31*(257-$NQ$31+1)*($NR$31-257+1)/$NT$31,$NM$31/$NS$31)),0)</f>
        <v/>
      </c>
      <c r="JA31" s="18">
        <f>IF(AND(258&gt;=$NQ$31,258&lt;=$NR$31),IF($NO$31="Single_Point",IF(258=$NQ$31,$NM$31,0),IF($NO$31="Bell_Curve",$NM$31*(258-$NQ$31+1)*($NR$31-258+1)/$NT$31,$NM$31/$NS$31)),0)</f>
        <v/>
      </c>
      <c r="JB31" s="18">
        <f>IF(AND(259&gt;=$NQ$31,259&lt;=$NR$31),IF($NO$31="Single_Point",IF(259=$NQ$31,$NM$31,0),IF($NO$31="Bell_Curve",$NM$31*(259-$NQ$31+1)*($NR$31-259+1)/$NT$31,$NM$31/$NS$31)),0)</f>
        <v/>
      </c>
      <c r="JC31" s="18">
        <f>IF(AND(260&gt;=$NQ$31,260&lt;=$NR$31),IF($NO$31="Single_Point",IF(260=$NQ$31,$NM$31,0),IF($NO$31="Bell_Curve",$NM$31*(260-$NQ$31+1)*($NR$31-260+1)/$NT$31,$NM$31/$NS$31)),0)</f>
        <v/>
      </c>
      <c r="JD31" s="18">
        <f>IF(AND(261&gt;=$NQ$31,261&lt;=$NR$31),IF($NO$31="Single_Point",IF(261=$NQ$31,$NM$31,0),IF($NO$31="Bell_Curve",$NM$31*(261-$NQ$31+1)*($NR$31-261+1)/$NT$31,$NM$31/$NS$31)),0)</f>
        <v/>
      </c>
      <c r="JE31" s="18">
        <f>IF(AND(262&gt;=$NQ$31,262&lt;=$NR$31),IF($NO$31="Single_Point",IF(262=$NQ$31,$NM$31,0),IF($NO$31="Bell_Curve",$NM$31*(262-$NQ$31+1)*($NR$31-262+1)/$NT$31,$NM$31/$NS$31)),0)</f>
        <v/>
      </c>
      <c r="JF31" s="18">
        <f>IF(AND(263&gt;=$NQ$31,263&lt;=$NR$31),IF($NO$31="Single_Point",IF(263=$NQ$31,$NM$31,0),IF($NO$31="Bell_Curve",$NM$31*(263-$NQ$31+1)*($NR$31-263+1)/$NT$31,$NM$31/$NS$31)),0)</f>
        <v/>
      </c>
      <c r="JG31" s="18">
        <f>IF(AND(264&gt;=$NQ$31,264&lt;=$NR$31),IF($NO$31="Single_Point",IF(264=$NQ$31,$NM$31,0),IF($NO$31="Bell_Curve",$NM$31*(264-$NQ$31+1)*($NR$31-264+1)/$NT$31,$NM$31/$NS$31)),0)</f>
        <v/>
      </c>
      <c r="JH31" s="18">
        <f>IF(AND(265&gt;=$NQ$31,265&lt;=$NR$31),IF($NO$31="Single_Point",IF(265=$NQ$31,$NM$31,0),IF($NO$31="Bell_Curve",$NM$31*(265-$NQ$31+1)*($NR$31-265+1)/$NT$31,$NM$31/$NS$31)),0)</f>
        <v/>
      </c>
      <c r="JI31" s="18">
        <f>IF(AND(266&gt;=$NQ$31,266&lt;=$NR$31),IF($NO$31="Single_Point",IF(266=$NQ$31,$NM$31,0),IF($NO$31="Bell_Curve",$NM$31*(266-$NQ$31+1)*($NR$31-266+1)/$NT$31,$NM$31/$NS$31)),0)</f>
        <v/>
      </c>
      <c r="JJ31" s="18">
        <f>IF(AND(267&gt;=$NQ$31,267&lt;=$NR$31),IF($NO$31="Single_Point",IF(267=$NQ$31,$NM$31,0),IF($NO$31="Bell_Curve",$NM$31*(267-$NQ$31+1)*($NR$31-267+1)/$NT$31,$NM$31/$NS$31)),0)</f>
        <v/>
      </c>
      <c r="JK31" s="18">
        <f>IF(AND(268&gt;=$NQ$31,268&lt;=$NR$31),IF($NO$31="Single_Point",IF(268=$NQ$31,$NM$31,0),IF($NO$31="Bell_Curve",$NM$31*(268-$NQ$31+1)*($NR$31-268+1)/$NT$31,$NM$31/$NS$31)),0)</f>
        <v/>
      </c>
      <c r="JL31" s="18">
        <f>IF(AND(269&gt;=$NQ$31,269&lt;=$NR$31),IF($NO$31="Single_Point",IF(269=$NQ$31,$NM$31,0),IF($NO$31="Bell_Curve",$NM$31*(269-$NQ$31+1)*($NR$31-269+1)/$NT$31,$NM$31/$NS$31)),0)</f>
        <v/>
      </c>
      <c r="JM31" s="18">
        <f>IF(AND(270&gt;=$NQ$31,270&lt;=$NR$31),IF($NO$31="Single_Point",IF(270=$NQ$31,$NM$31,0),IF($NO$31="Bell_Curve",$NM$31*(270-$NQ$31+1)*($NR$31-270+1)/$NT$31,$NM$31/$NS$31)),0)</f>
        <v/>
      </c>
      <c r="JN31" s="18">
        <f>IF(AND(271&gt;=$NQ$31,271&lt;=$NR$31),IF($NO$31="Single_Point",IF(271=$NQ$31,$NM$31,0),IF($NO$31="Bell_Curve",$NM$31*(271-$NQ$31+1)*($NR$31-271+1)/$NT$31,$NM$31/$NS$31)),0)</f>
        <v/>
      </c>
      <c r="JO31" s="18">
        <f>IF(AND(272&gt;=$NQ$31,272&lt;=$NR$31),IF($NO$31="Single_Point",IF(272=$NQ$31,$NM$31,0),IF($NO$31="Bell_Curve",$NM$31*(272-$NQ$31+1)*($NR$31-272+1)/$NT$31,$NM$31/$NS$31)),0)</f>
        <v/>
      </c>
      <c r="JP31" s="18">
        <f>IF(AND(273&gt;=$NQ$31,273&lt;=$NR$31),IF($NO$31="Single_Point",IF(273=$NQ$31,$NM$31,0),IF($NO$31="Bell_Curve",$NM$31*(273-$NQ$31+1)*($NR$31-273+1)/$NT$31,$NM$31/$NS$31)),0)</f>
        <v/>
      </c>
      <c r="JQ31" s="18">
        <f>IF(AND(274&gt;=$NQ$31,274&lt;=$NR$31),IF($NO$31="Single_Point",IF(274=$NQ$31,$NM$31,0),IF($NO$31="Bell_Curve",$NM$31*(274-$NQ$31+1)*($NR$31-274+1)/$NT$31,$NM$31/$NS$31)),0)</f>
        <v/>
      </c>
      <c r="JR31" s="18">
        <f>IF(AND(275&gt;=$NQ$31,275&lt;=$NR$31),IF($NO$31="Single_Point",IF(275=$NQ$31,$NM$31,0),IF($NO$31="Bell_Curve",$NM$31*(275-$NQ$31+1)*($NR$31-275+1)/$NT$31,$NM$31/$NS$31)),0)</f>
        <v/>
      </c>
      <c r="JS31" s="18">
        <f>IF(AND(276&gt;=$NQ$31,276&lt;=$NR$31),IF($NO$31="Single_Point",IF(276=$NQ$31,$NM$31,0),IF($NO$31="Bell_Curve",$NM$31*(276-$NQ$31+1)*($NR$31-276+1)/$NT$31,$NM$31/$NS$31)),0)</f>
        <v/>
      </c>
      <c r="JT31" s="18">
        <f>IF(AND(277&gt;=$NQ$31,277&lt;=$NR$31),IF($NO$31="Single_Point",IF(277=$NQ$31,$NM$31,0),IF($NO$31="Bell_Curve",$NM$31*(277-$NQ$31+1)*($NR$31-277+1)/$NT$31,$NM$31/$NS$31)),0)</f>
        <v/>
      </c>
      <c r="JU31" s="18">
        <f>IF(AND(278&gt;=$NQ$31,278&lt;=$NR$31),IF($NO$31="Single_Point",IF(278=$NQ$31,$NM$31,0),IF($NO$31="Bell_Curve",$NM$31*(278-$NQ$31+1)*($NR$31-278+1)/$NT$31,$NM$31/$NS$31)),0)</f>
        <v/>
      </c>
      <c r="JV31" s="18">
        <f>IF(AND(279&gt;=$NQ$31,279&lt;=$NR$31),IF($NO$31="Single_Point",IF(279=$NQ$31,$NM$31,0),IF($NO$31="Bell_Curve",$NM$31*(279-$NQ$31+1)*($NR$31-279+1)/$NT$31,$NM$31/$NS$31)),0)</f>
        <v/>
      </c>
      <c r="JW31" s="18">
        <f>IF(AND(280&gt;=$NQ$31,280&lt;=$NR$31),IF($NO$31="Single_Point",IF(280=$NQ$31,$NM$31,0),IF($NO$31="Bell_Curve",$NM$31*(280-$NQ$31+1)*($NR$31-280+1)/$NT$31,$NM$31/$NS$31)),0)</f>
        <v/>
      </c>
      <c r="JX31" s="18">
        <f>IF(AND(281&gt;=$NQ$31,281&lt;=$NR$31),IF($NO$31="Single_Point",IF(281=$NQ$31,$NM$31,0),IF($NO$31="Bell_Curve",$NM$31*(281-$NQ$31+1)*($NR$31-281+1)/$NT$31,$NM$31/$NS$31)),0)</f>
        <v/>
      </c>
      <c r="JY31" s="18">
        <f>IF(AND(282&gt;=$NQ$31,282&lt;=$NR$31),IF($NO$31="Single_Point",IF(282=$NQ$31,$NM$31,0),IF($NO$31="Bell_Curve",$NM$31*(282-$NQ$31+1)*($NR$31-282+1)/$NT$31,$NM$31/$NS$31)),0)</f>
        <v/>
      </c>
      <c r="JZ31" s="18">
        <f>IF(AND(283&gt;=$NQ$31,283&lt;=$NR$31),IF($NO$31="Single_Point",IF(283=$NQ$31,$NM$31,0),IF($NO$31="Bell_Curve",$NM$31*(283-$NQ$31+1)*($NR$31-283+1)/$NT$31,$NM$31/$NS$31)),0)</f>
        <v/>
      </c>
      <c r="KA31" s="18">
        <f>IF(AND(284&gt;=$NQ$31,284&lt;=$NR$31),IF($NO$31="Single_Point",IF(284=$NQ$31,$NM$31,0),IF($NO$31="Bell_Curve",$NM$31*(284-$NQ$31+1)*($NR$31-284+1)/$NT$31,$NM$31/$NS$31)),0)</f>
        <v/>
      </c>
      <c r="KB31" s="18">
        <f>IF(AND(285&gt;=$NQ$31,285&lt;=$NR$31),IF($NO$31="Single_Point",IF(285=$NQ$31,$NM$31,0),IF($NO$31="Bell_Curve",$NM$31*(285-$NQ$31+1)*($NR$31-285+1)/$NT$31,$NM$31/$NS$31)),0)</f>
        <v/>
      </c>
      <c r="KC31" s="18">
        <f>IF(AND(286&gt;=$NQ$31,286&lt;=$NR$31),IF($NO$31="Single_Point",IF(286=$NQ$31,$NM$31,0),IF($NO$31="Bell_Curve",$NM$31*(286-$NQ$31+1)*($NR$31-286+1)/$NT$31,$NM$31/$NS$31)),0)</f>
        <v/>
      </c>
      <c r="KD31" s="18">
        <f>IF(AND(287&gt;=$NQ$31,287&lt;=$NR$31),IF($NO$31="Single_Point",IF(287=$NQ$31,$NM$31,0),IF($NO$31="Bell_Curve",$NM$31*(287-$NQ$31+1)*($NR$31-287+1)/$NT$31,$NM$31/$NS$31)),0)</f>
        <v/>
      </c>
      <c r="KE31" s="18">
        <f>IF(AND(288&gt;=$NQ$31,288&lt;=$NR$31),IF($NO$31="Single_Point",IF(288=$NQ$31,$NM$31,0),IF($NO$31="Bell_Curve",$NM$31*(288-$NQ$31+1)*($NR$31-288+1)/$NT$31,$NM$31/$NS$31)),0)</f>
        <v/>
      </c>
      <c r="KF31" s="18">
        <f>IF(AND(289&gt;=$NQ$31,289&lt;=$NR$31),IF($NO$31="Single_Point",IF(289=$NQ$31,$NM$31,0),IF($NO$31="Bell_Curve",$NM$31*(289-$NQ$31+1)*($NR$31-289+1)/$NT$31,$NM$31/$NS$31)),0)</f>
        <v/>
      </c>
      <c r="KG31" s="18">
        <f>IF(AND(290&gt;=$NQ$31,290&lt;=$NR$31),IF($NO$31="Single_Point",IF(290=$NQ$31,$NM$31,0),IF($NO$31="Bell_Curve",$NM$31*(290-$NQ$31+1)*($NR$31-290+1)/$NT$31,$NM$31/$NS$31)),0)</f>
        <v/>
      </c>
      <c r="KH31" s="18">
        <f>IF(AND(291&gt;=$NQ$31,291&lt;=$NR$31),IF($NO$31="Single_Point",IF(291=$NQ$31,$NM$31,0),IF($NO$31="Bell_Curve",$NM$31*(291-$NQ$31+1)*($NR$31-291+1)/$NT$31,$NM$31/$NS$31)),0)</f>
        <v/>
      </c>
      <c r="KI31" s="18">
        <f>IF(AND(292&gt;=$NQ$31,292&lt;=$NR$31),IF($NO$31="Single_Point",IF(292=$NQ$31,$NM$31,0),IF($NO$31="Bell_Curve",$NM$31*(292-$NQ$31+1)*($NR$31-292+1)/$NT$31,$NM$31/$NS$31)),0)</f>
        <v/>
      </c>
      <c r="KJ31" s="18">
        <f>IF(AND(293&gt;=$NQ$31,293&lt;=$NR$31),IF($NO$31="Single_Point",IF(293=$NQ$31,$NM$31,0),IF($NO$31="Bell_Curve",$NM$31*(293-$NQ$31+1)*($NR$31-293+1)/$NT$31,$NM$31/$NS$31)),0)</f>
        <v/>
      </c>
      <c r="KK31" s="18">
        <f>IF(AND(294&gt;=$NQ$31,294&lt;=$NR$31),IF($NO$31="Single_Point",IF(294=$NQ$31,$NM$31,0),IF($NO$31="Bell_Curve",$NM$31*(294-$NQ$31+1)*($NR$31-294+1)/$NT$31,$NM$31/$NS$31)),0)</f>
        <v/>
      </c>
      <c r="KL31" s="18">
        <f>IF(AND(295&gt;=$NQ$31,295&lt;=$NR$31),IF($NO$31="Single_Point",IF(295=$NQ$31,$NM$31,0),IF($NO$31="Bell_Curve",$NM$31*(295-$NQ$31+1)*($NR$31-295+1)/$NT$31,$NM$31/$NS$31)),0)</f>
        <v/>
      </c>
      <c r="KM31" s="18">
        <f>IF(AND(296&gt;=$NQ$31,296&lt;=$NR$31),IF($NO$31="Single_Point",IF(296=$NQ$31,$NM$31,0),IF($NO$31="Bell_Curve",$NM$31*(296-$NQ$31+1)*($NR$31-296+1)/$NT$31,$NM$31/$NS$31)),0)</f>
        <v/>
      </c>
      <c r="KN31" s="18">
        <f>IF(AND(297&gt;=$NQ$31,297&lt;=$NR$31),IF($NO$31="Single_Point",IF(297=$NQ$31,$NM$31,0),IF($NO$31="Bell_Curve",$NM$31*(297-$NQ$31+1)*($NR$31-297+1)/$NT$31,$NM$31/$NS$31)),0)</f>
        <v/>
      </c>
      <c r="KO31" s="18">
        <f>IF(AND(298&gt;=$NQ$31,298&lt;=$NR$31),IF($NO$31="Single_Point",IF(298=$NQ$31,$NM$31,0),IF($NO$31="Bell_Curve",$NM$31*(298-$NQ$31+1)*($NR$31-298+1)/$NT$31,$NM$31/$NS$31)),0)</f>
        <v/>
      </c>
      <c r="KP31" s="18">
        <f>IF(AND(299&gt;=$NQ$31,299&lt;=$NR$31),IF($NO$31="Single_Point",IF(299=$NQ$31,$NM$31,0),IF($NO$31="Bell_Curve",$NM$31*(299-$NQ$31+1)*($NR$31-299+1)/$NT$31,$NM$31/$NS$31)),0)</f>
        <v/>
      </c>
      <c r="KQ31" s="18">
        <f>IF(AND(300&gt;=$NQ$31,300&lt;=$NR$31),IF($NO$31="Single_Point",IF(300=$NQ$31,$NM$31,0),IF($NO$31="Bell_Curve",$NM$31*(300-$NQ$31+1)*($NR$31-300+1)/$NT$31,$NM$31/$NS$31)),0)</f>
        <v/>
      </c>
      <c r="KR31" s="18">
        <f>IF(AND(301&gt;=$NQ$31,301&lt;=$NR$31),IF($NO$31="Single_Point",IF(301=$NQ$31,$NM$31,0),IF($NO$31="Bell_Curve",$NM$31*(301-$NQ$31+1)*($NR$31-301+1)/$NT$31,$NM$31/$NS$31)),0)</f>
        <v/>
      </c>
      <c r="KS31" s="18">
        <f>IF(AND(302&gt;=$NQ$31,302&lt;=$NR$31),IF($NO$31="Single_Point",IF(302=$NQ$31,$NM$31,0),IF($NO$31="Bell_Curve",$NM$31*(302-$NQ$31+1)*($NR$31-302+1)/$NT$31,$NM$31/$NS$31)),0)</f>
        <v/>
      </c>
      <c r="KT31" s="18">
        <f>IF(AND(303&gt;=$NQ$31,303&lt;=$NR$31),IF($NO$31="Single_Point",IF(303=$NQ$31,$NM$31,0),IF($NO$31="Bell_Curve",$NM$31*(303-$NQ$31+1)*($NR$31-303+1)/$NT$31,$NM$31/$NS$31)),0)</f>
        <v/>
      </c>
      <c r="KU31" s="18">
        <f>IF(AND(304&gt;=$NQ$31,304&lt;=$NR$31),IF($NO$31="Single_Point",IF(304=$NQ$31,$NM$31,0),IF($NO$31="Bell_Curve",$NM$31*(304-$NQ$31+1)*($NR$31-304+1)/$NT$31,$NM$31/$NS$31)),0)</f>
        <v/>
      </c>
      <c r="KV31" s="18">
        <f>IF(AND(305&gt;=$NQ$31,305&lt;=$NR$31),IF($NO$31="Single_Point",IF(305=$NQ$31,$NM$31,0),IF($NO$31="Bell_Curve",$NM$31*(305-$NQ$31+1)*($NR$31-305+1)/$NT$31,$NM$31/$NS$31)),0)</f>
        <v/>
      </c>
      <c r="KW31" s="18">
        <f>IF(AND(306&gt;=$NQ$31,306&lt;=$NR$31),IF($NO$31="Single_Point",IF(306=$NQ$31,$NM$31,0),IF($NO$31="Bell_Curve",$NM$31*(306-$NQ$31+1)*($NR$31-306+1)/$NT$31,$NM$31/$NS$31)),0)</f>
        <v/>
      </c>
      <c r="KX31" s="18">
        <f>IF(AND(307&gt;=$NQ$31,307&lt;=$NR$31),IF($NO$31="Single_Point",IF(307=$NQ$31,$NM$31,0),IF($NO$31="Bell_Curve",$NM$31*(307-$NQ$31+1)*($NR$31-307+1)/$NT$31,$NM$31/$NS$31)),0)</f>
        <v/>
      </c>
      <c r="KY31" s="18">
        <f>IF(AND(308&gt;=$NQ$31,308&lt;=$NR$31),IF($NO$31="Single_Point",IF(308=$NQ$31,$NM$31,0),IF($NO$31="Bell_Curve",$NM$31*(308-$NQ$31+1)*($NR$31-308+1)/$NT$31,$NM$31/$NS$31)),0)</f>
        <v/>
      </c>
      <c r="KZ31" s="18">
        <f>IF(AND(309&gt;=$NQ$31,309&lt;=$NR$31),IF($NO$31="Single_Point",IF(309=$NQ$31,$NM$31,0),IF($NO$31="Bell_Curve",$NM$31*(309-$NQ$31+1)*($NR$31-309+1)/$NT$31,$NM$31/$NS$31)),0)</f>
        <v/>
      </c>
      <c r="LA31" s="18">
        <f>IF(AND(310&gt;=$NQ$31,310&lt;=$NR$31),IF($NO$31="Single_Point",IF(310=$NQ$31,$NM$31,0),IF($NO$31="Bell_Curve",$NM$31*(310-$NQ$31+1)*($NR$31-310+1)/$NT$31,$NM$31/$NS$31)),0)</f>
        <v/>
      </c>
      <c r="LB31" s="18">
        <f>IF(AND(311&gt;=$NQ$31,311&lt;=$NR$31),IF($NO$31="Single_Point",IF(311=$NQ$31,$NM$31,0),IF($NO$31="Bell_Curve",$NM$31*(311-$NQ$31+1)*($NR$31-311+1)/$NT$31,$NM$31/$NS$31)),0)</f>
        <v/>
      </c>
      <c r="LC31" s="18">
        <f>IF(AND(312&gt;=$NQ$31,312&lt;=$NR$31),IF($NO$31="Single_Point",IF(312=$NQ$31,$NM$31,0),IF($NO$31="Bell_Curve",$NM$31*(312-$NQ$31+1)*($NR$31-312+1)/$NT$31,$NM$31/$NS$31)),0)</f>
        <v/>
      </c>
      <c r="LD31" s="18">
        <f>IF(AND(313&gt;=$NQ$31,313&lt;=$NR$31),IF($NO$31="Single_Point",IF(313=$NQ$31,$NM$31,0),IF($NO$31="Bell_Curve",$NM$31*(313-$NQ$31+1)*($NR$31-313+1)/$NT$31,$NM$31/$NS$31)),0)</f>
        <v/>
      </c>
      <c r="LE31" s="18">
        <f>IF(AND(314&gt;=$NQ$31,314&lt;=$NR$31),IF($NO$31="Single_Point",IF(314=$NQ$31,$NM$31,0),IF($NO$31="Bell_Curve",$NM$31*(314-$NQ$31+1)*($NR$31-314+1)/$NT$31,$NM$31/$NS$31)),0)</f>
        <v/>
      </c>
      <c r="LF31" s="18">
        <f>IF(AND(315&gt;=$NQ$31,315&lt;=$NR$31),IF($NO$31="Single_Point",IF(315=$NQ$31,$NM$31,0),IF($NO$31="Bell_Curve",$NM$31*(315-$NQ$31+1)*($NR$31-315+1)/$NT$31,$NM$31/$NS$31)),0)</f>
        <v/>
      </c>
      <c r="LG31" s="18">
        <f>IF(AND(316&gt;=$NQ$31,316&lt;=$NR$31),IF($NO$31="Single_Point",IF(316=$NQ$31,$NM$31,0),IF($NO$31="Bell_Curve",$NM$31*(316-$NQ$31+1)*($NR$31-316+1)/$NT$31,$NM$31/$NS$31)),0)</f>
        <v/>
      </c>
      <c r="LH31" s="18">
        <f>IF(AND(317&gt;=$NQ$31,317&lt;=$NR$31),IF($NO$31="Single_Point",IF(317=$NQ$31,$NM$31,0),IF($NO$31="Bell_Curve",$NM$31*(317-$NQ$31+1)*($NR$31-317+1)/$NT$31,$NM$31/$NS$31)),0)</f>
        <v/>
      </c>
      <c r="LI31" s="18">
        <f>IF(AND(318&gt;=$NQ$31,318&lt;=$NR$31),IF($NO$31="Single_Point",IF(318=$NQ$31,$NM$31,0),IF($NO$31="Bell_Curve",$NM$31*(318-$NQ$31+1)*($NR$31-318+1)/$NT$31,$NM$31/$NS$31)),0)</f>
        <v/>
      </c>
      <c r="LJ31" s="18">
        <f>IF(AND(319&gt;=$NQ$31,319&lt;=$NR$31),IF($NO$31="Single_Point",IF(319=$NQ$31,$NM$31,0),IF($NO$31="Bell_Curve",$NM$31*(319-$NQ$31+1)*($NR$31-319+1)/$NT$31,$NM$31/$NS$31)),0)</f>
        <v/>
      </c>
      <c r="LK31" s="18">
        <f>IF(AND(320&gt;=$NQ$31,320&lt;=$NR$31),IF($NO$31="Single_Point",IF(320=$NQ$31,$NM$31,0),IF($NO$31="Bell_Curve",$NM$31*(320-$NQ$31+1)*($NR$31-320+1)/$NT$31,$NM$31/$NS$31)),0)</f>
        <v/>
      </c>
      <c r="LL31" s="18">
        <f>IF(AND(321&gt;=$NQ$31,321&lt;=$NR$31),IF($NO$31="Single_Point",IF(321=$NQ$31,$NM$31,0),IF($NO$31="Bell_Curve",$NM$31*(321-$NQ$31+1)*($NR$31-321+1)/$NT$31,$NM$31/$NS$31)),0)</f>
        <v/>
      </c>
      <c r="LM31" s="18">
        <f>IF(AND(322&gt;=$NQ$31,322&lt;=$NR$31),IF($NO$31="Single_Point",IF(322=$NQ$31,$NM$31,0),IF($NO$31="Bell_Curve",$NM$31*(322-$NQ$31+1)*($NR$31-322+1)/$NT$31,$NM$31/$NS$31)),0)</f>
        <v/>
      </c>
      <c r="LN31" s="18">
        <f>IF(AND(323&gt;=$NQ$31,323&lt;=$NR$31),IF($NO$31="Single_Point",IF(323=$NQ$31,$NM$31,0),IF($NO$31="Bell_Curve",$NM$31*(323-$NQ$31+1)*($NR$31-323+1)/$NT$31,$NM$31/$NS$31)),0)</f>
        <v/>
      </c>
      <c r="LO31" s="18">
        <f>IF(AND(324&gt;=$NQ$31,324&lt;=$NR$31),IF($NO$31="Single_Point",IF(324=$NQ$31,$NM$31,0),IF($NO$31="Bell_Curve",$NM$31*(324-$NQ$31+1)*($NR$31-324+1)/$NT$31,$NM$31/$NS$31)),0)</f>
        <v/>
      </c>
      <c r="LP31" s="18">
        <f>IF(AND(325&gt;=$NQ$31,325&lt;=$NR$31),IF($NO$31="Single_Point",IF(325=$NQ$31,$NM$31,0),IF($NO$31="Bell_Curve",$NM$31*(325-$NQ$31+1)*($NR$31-325+1)/$NT$31,$NM$31/$NS$31)),0)</f>
        <v/>
      </c>
      <c r="LQ31" s="18">
        <f>IF(AND(326&gt;=$NQ$31,326&lt;=$NR$31),IF($NO$31="Single_Point",IF(326=$NQ$31,$NM$31,0),IF($NO$31="Bell_Curve",$NM$31*(326-$NQ$31+1)*($NR$31-326+1)/$NT$31,$NM$31/$NS$31)),0)</f>
        <v/>
      </c>
      <c r="LR31" s="18">
        <f>IF(AND(327&gt;=$NQ$31,327&lt;=$NR$31),IF($NO$31="Single_Point",IF(327=$NQ$31,$NM$31,0),IF($NO$31="Bell_Curve",$NM$31*(327-$NQ$31+1)*($NR$31-327+1)/$NT$31,$NM$31/$NS$31)),0)</f>
        <v/>
      </c>
      <c r="LS31" s="18">
        <f>IF(AND(328&gt;=$NQ$31,328&lt;=$NR$31),IF($NO$31="Single_Point",IF(328=$NQ$31,$NM$31,0),IF($NO$31="Bell_Curve",$NM$31*(328-$NQ$31+1)*($NR$31-328+1)/$NT$31,$NM$31/$NS$31)),0)</f>
        <v/>
      </c>
      <c r="LT31" s="18">
        <f>IF(AND(329&gt;=$NQ$31,329&lt;=$NR$31),IF($NO$31="Single_Point",IF(329=$NQ$31,$NM$31,0),IF($NO$31="Bell_Curve",$NM$31*(329-$NQ$31+1)*($NR$31-329+1)/$NT$31,$NM$31/$NS$31)),0)</f>
        <v/>
      </c>
      <c r="LU31" s="18">
        <f>IF(AND(330&gt;=$NQ$31,330&lt;=$NR$31),IF($NO$31="Single_Point",IF(330=$NQ$31,$NM$31,0),IF($NO$31="Bell_Curve",$NM$31*(330-$NQ$31+1)*($NR$31-330+1)/$NT$31,$NM$31/$NS$31)),0)</f>
        <v/>
      </c>
      <c r="LV31" s="18">
        <f>IF(AND(331&gt;=$NQ$31,331&lt;=$NR$31),IF($NO$31="Single_Point",IF(331=$NQ$31,$NM$31,0),IF($NO$31="Bell_Curve",$NM$31*(331-$NQ$31+1)*($NR$31-331+1)/$NT$31,$NM$31/$NS$31)),0)</f>
        <v/>
      </c>
      <c r="LW31" s="18">
        <f>IF(AND(332&gt;=$NQ$31,332&lt;=$NR$31),IF($NO$31="Single_Point",IF(332=$NQ$31,$NM$31,0),IF($NO$31="Bell_Curve",$NM$31*(332-$NQ$31+1)*($NR$31-332+1)/$NT$31,$NM$31/$NS$31)),0)</f>
        <v/>
      </c>
      <c r="LX31" s="18">
        <f>IF(AND(333&gt;=$NQ$31,333&lt;=$NR$31),IF($NO$31="Single_Point",IF(333=$NQ$31,$NM$31,0),IF($NO$31="Bell_Curve",$NM$31*(333-$NQ$31+1)*($NR$31-333+1)/$NT$31,$NM$31/$NS$31)),0)</f>
        <v/>
      </c>
      <c r="LY31" s="18">
        <f>IF(AND(334&gt;=$NQ$31,334&lt;=$NR$31),IF($NO$31="Single_Point",IF(334=$NQ$31,$NM$31,0),IF($NO$31="Bell_Curve",$NM$31*(334-$NQ$31+1)*($NR$31-334+1)/$NT$31,$NM$31/$NS$31)),0)</f>
        <v/>
      </c>
      <c r="LZ31" s="18">
        <f>IF(AND(335&gt;=$NQ$31,335&lt;=$NR$31),IF($NO$31="Single_Point",IF(335=$NQ$31,$NM$31,0),IF($NO$31="Bell_Curve",$NM$31*(335-$NQ$31+1)*($NR$31-335+1)/$NT$31,$NM$31/$NS$31)),0)</f>
        <v/>
      </c>
      <c r="MA31" s="18">
        <f>IF(AND(336&gt;=$NQ$31,336&lt;=$NR$31),IF($NO$31="Single_Point",IF(336=$NQ$31,$NM$31,0),IF($NO$31="Bell_Curve",$NM$31*(336-$NQ$31+1)*($NR$31-336+1)/$NT$31,$NM$31/$NS$31)),0)</f>
        <v/>
      </c>
      <c r="MB31" s="18">
        <f>IF(AND(337&gt;=$NQ$31,337&lt;=$NR$31),IF($NO$31="Single_Point",IF(337=$NQ$31,$NM$31,0),IF($NO$31="Bell_Curve",$NM$31*(337-$NQ$31+1)*($NR$31-337+1)/$NT$31,$NM$31/$NS$31)),0)</f>
        <v/>
      </c>
      <c r="MC31" s="18">
        <f>IF(AND(338&gt;=$NQ$31,338&lt;=$NR$31),IF($NO$31="Single_Point",IF(338=$NQ$31,$NM$31,0),IF($NO$31="Bell_Curve",$NM$31*(338-$NQ$31+1)*($NR$31-338+1)/$NT$31,$NM$31/$NS$31)),0)</f>
        <v/>
      </c>
      <c r="MD31" s="18">
        <f>IF(AND(339&gt;=$NQ$31,339&lt;=$NR$31),IF($NO$31="Single_Point",IF(339=$NQ$31,$NM$31,0),IF($NO$31="Bell_Curve",$NM$31*(339-$NQ$31+1)*($NR$31-339+1)/$NT$31,$NM$31/$NS$31)),0)</f>
        <v/>
      </c>
      <c r="ME31" s="18">
        <f>IF(AND(340&gt;=$NQ$31,340&lt;=$NR$31),IF($NO$31="Single_Point",IF(340=$NQ$31,$NM$31,0),IF($NO$31="Bell_Curve",$NM$31*(340-$NQ$31+1)*($NR$31-340+1)/$NT$31,$NM$31/$NS$31)),0)</f>
        <v/>
      </c>
      <c r="MF31" s="18">
        <f>IF(AND(341&gt;=$NQ$31,341&lt;=$NR$31),IF($NO$31="Single_Point",IF(341=$NQ$31,$NM$31,0),IF($NO$31="Bell_Curve",$NM$31*(341-$NQ$31+1)*($NR$31-341+1)/$NT$31,$NM$31/$NS$31)),0)</f>
        <v/>
      </c>
      <c r="MG31" s="18">
        <f>IF(AND(342&gt;=$NQ$31,342&lt;=$NR$31),IF($NO$31="Single_Point",IF(342=$NQ$31,$NM$31,0),IF($NO$31="Bell_Curve",$NM$31*(342-$NQ$31+1)*($NR$31-342+1)/$NT$31,$NM$31/$NS$31)),0)</f>
        <v/>
      </c>
      <c r="MH31" s="18">
        <f>IF(AND(343&gt;=$NQ$31,343&lt;=$NR$31),IF($NO$31="Single_Point",IF(343=$NQ$31,$NM$31,0),IF($NO$31="Bell_Curve",$NM$31*(343-$NQ$31+1)*($NR$31-343+1)/$NT$31,$NM$31/$NS$31)),0)</f>
        <v/>
      </c>
      <c r="MI31" s="18">
        <f>IF(AND(344&gt;=$NQ$31,344&lt;=$NR$31),IF($NO$31="Single_Point",IF(344=$NQ$31,$NM$31,0),IF($NO$31="Bell_Curve",$NM$31*(344-$NQ$31+1)*($NR$31-344+1)/$NT$31,$NM$31/$NS$31)),0)</f>
        <v/>
      </c>
      <c r="MJ31" s="18">
        <f>IF(AND(345&gt;=$NQ$31,345&lt;=$NR$31),IF($NO$31="Single_Point",IF(345=$NQ$31,$NM$31,0),IF($NO$31="Bell_Curve",$NM$31*(345-$NQ$31+1)*($NR$31-345+1)/$NT$31,$NM$31/$NS$31)),0)</f>
        <v/>
      </c>
      <c r="MK31" s="18">
        <f>IF(AND(346&gt;=$NQ$31,346&lt;=$NR$31),IF($NO$31="Single_Point",IF(346=$NQ$31,$NM$31,0),IF($NO$31="Bell_Curve",$NM$31*(346-$NQ$31+1)*($NR$31-346+1)/$NT$31,$NM$31/$NS$31)),0)</f>
        <v/>
      </c>
      <c r="ML31" s="18">
        <f>IF(AND(347&gt;=$NQ$31,347&lt;=$NR$31),IF($NO$31="Single_Point",IF(347=$NQ$31,$NM$31,0),IF($NO$31="Bell_Curve",$NM$31*(347-$NQ$31+1)*($NR$31-347+1)/$NT$31,$NM$31/$NS$31)),0)</f>
        <v/>
      </c>
      <c r="MM31" s="18">
        <f>IF(AND(348&gt;=$NQ$31,348&lt;=$NR$31),IF($NO$31="Single_Point",IF(348=$NQ$31,$NM$31,0),IF($NO$31="Bell_Curve",$NM$31*(348-$NQ$31+1)*($NR$31-348+1)/$NT$31,$NM$31/$NS$31)),0)</f>
        <v/>
      </c>
      <c r="MN31" s="18">
        <f>IF(AND(349&gt;=$NQ$31,349&lt;=$NR$31),IF($NO$31="Single_Point",IF(349=$NQ$31,$NM$31,0),IF($NO$31="Bell_Curve",$NM$31*(349-$NQ$31+1)*($NR$31-349+1)/$NT$31,$NM$31/$NS$31)),0)</f>
        <v/>
      </c>
      <c r="MO31" s="18">
        <f>IF(AND(350&gt;=$NQ$31,350&lt;=$NR$31),IF($NO$31="Single_Point",IF(350=$NQ$31,$NM$31,0),IF($NO$31="Bell_Curve",$NM$31*(350-$NQ$31+1)*($NR$31-350+1)/$NT$31,$NM$31/$NS$31)),0)</f>
        <v/>
      </c>
      <c r="MP31" s="18">
        <f>IF(AND(351&gt;=$NQ$31,351&lt;=$NR$31),IF($NO$31="Single_Point",IF(351=$NQ$31,$NM$31,0),IF($NO$31="Bell_Curve",$NM$31*(351-$NQ$31+1)*($NR$31-351+1)/$NT$31,$NM$31/$NS$31)),0)</f>
        <v/>
      </c>
      <c r="MQ31" s="18">
        <f>IF(AND(352&gt;=$NQ$31,352&lt;=$NR$31),IF($NO$31="Single_Point",IF(352=$NQ$31,$NM$31,0),IF($NO$31="Bell_Curve",$NM$31*(352-$NQ$31+1)*($NR$31-352+1)/$NT$31,$NM$31/$NS$31)),0)</f>
        <v/>
      </c>
      <c r="MR31" s="18">
        <f>IF(AND(353&gt;=$NQ$31,353&lt;=$NR$31),IF($NO$31="Single_Point",IF(353=$NQ$31,$NM$31,0),IF($NO$31="Bell_Curve",$NM$31*(353-$NQ$31+1)*($NR$31-353+1)/$NT$31,$NM$31/$NS$31)),0)</f>
        <v/>
      </c>
      <c r="MS31" s="18">
        <f>IF(AND(354&gt;=$NQ$31,354&lt;=$NR$31),IF($NO$31="Single_Point",IF(354=$NQ$31,$NM$31,0),IF($NO$31="Bell_Curve",$NM$31*(354-$NQ$31+1)*($NR$31-354+1)/$NT$31,$NM$31/$NS$31)),0)</f>
        <v/>
      </c>
      <c r="MT31" s="18">
        <f>IF(AND(355&gt;=$NQ$31,355&lt;=$NR$31),IF($NO$31="Single_Point",IF(355=$NQ$31,$NM$31,0),IF($NO$31="Bell_Curve",$NM$31*(355-$NQ$31+1)*($NR$31-355+1)/$NT$31,$NM$31/$NS$31)),0)</f>
        <v/>
      </c>
      <c r="MU31" s="18">
        <f>IF(AND(356&gt;=$NQ$31,356&lt;=$NR$31),IF($NO$31="Single_Point",IF(356=$NQ$31,$NM$31,0),IF($NO$31="Bell_Curve",$NM$31*(356-$NQ$31+1)*($NR$31-356+1)/$NT$31,$NM$31/$NS$31)),0)</f>
        <v/>
      </c>
      <c r="MV31" s="18">
        <f>IF(AND(357&gt;=$NQ$31,357&lt;=$NR$31),IF($NO$31="Single_Point",IF(357=$NQ$31,$NM$31,0),IF($NO$31="Bell_Curve",$NM$31*(357-$NQ$31+1)*($NR$31-357+1)/$NT$31,$NM$31/$NS$31)),0)</f>
        <v/>
      </c>
      <c r="MW31" s="18">
        <f>IF(AND(358&gt;=$NQ$31,358&lt;=$NR$31),IF($NO$31="Single_Point",IF(358=$NQ$31,$NM$31,0),IF($NO$31="Bell_Curve",$NM$31*(358-$NQ$31+1)*($NR$31-358+1)/$NT$31,$NM$31/$NS$31)),0)</f>
        <v/>
      </c>
      <c r="MX31" s="18">
        <f>IF(AND(359&gt;=$NQ$31,359&lt;=$NR$31),IF($NO$31="Single_Point",IF(359=$NQ$31,$NM$31,0),IF($NO$31="Bell_Curve",$NM$31*(359-$NQ$31+1)*($NR$31-359+1)/$NT$31,$NM$31/$NS$31)),0)</f>
        <v/>
      </c>
      <c r="MY31" s="18">
        <f>IF(AND(360&gt;=$NQ$31,360&lt;=$NR$31),IF($NO$31="Single_Point",IF(360=$NQ$31,$NM$31,0),IF($NO$31="Bell_Curve",$NM$31*(360-$NQ$31+1)*($NR$31-360+1)/$NT$31,$NM$31/$NS$31)),0)</f>
        <v/>
      </c>
      <c r="MZ31" s="18">
        <f>IF(AND(361&gt;=$NQ$31,361&lt;=$NR$31),IF($NO$31="Single_Point",IF(361=$NQ$31,$NM$31,0),IF($NO$31="Bell_Curve",$NM$31*(361-$NQ$31+1)*($NR$31-361+1)/$NT$31,$NM$31/$NS$31)),0)</f>
        <v/>
      </c>
      <c r="NA31" s="18">
        <f>IF(AND(362&gt;=$NQ$31,362&lt;=$NR$31),IF($NO$31="Single_Point",IF(362=$NQ$31,$NM$31,0),IF($NO$31="Bell_Curve",$NM$31*(362-$NQ$31+1)*($NR$31-362+1)/$NT$31,$NM$31/$NS$31)),0)</f>
        <v/>
      </c>
      <c r="NB31" s="18">
        <f>IF(AND(363&gt;=$NQ$31,363&lt;=$NR$31),IF($NO$31="Single_Point",IF(363=$NQ$31,$NM$31,0),IF($NO$31="Bell_Curve",$NM$31*(363-$NQ$31+1)*($NR$31-363+1)/$NT$31,$NM$31/$NS$31)),0)</f>
        <v/>
      </c>
      <c r="NC31" s="18">
        <f>IF(AND(364&gt;=$NQ$31,364&lt;=$NR$31),IF($NO$31="Single_Point",IF(364=$NQ$31,$NM$31,0),IF($NO$31="Bell_Curve",$NM$31*(364-$NQ$31+1)*($NR$31-364+1)/$NT$31,$NM$31/$NS$31)),0)</f>
        <v/>
      </c>
      <c r="ND31" s="18">
        <f>IF(AND(365&gt;=$NQ$31,365&lt;=$NR$31),IF($NO$31="Single_Point",IF(365=$NQ$31,$NM$31,0),IF($NO$31="Bell_Curve",$NM$31*(365-$NQ$31+1)*($NR$31-365+1)/$NT$31,$NM$31/$NS$31)),0)</f>
        <v/>
      </c>
      <c r="NE31" s="18">
        <f>IF(AND(366&gt;=$NQ$31,366&lt;=$NR$31),IF($NO$31="Single_Point",IF(366=$NQ$31,$NM$31,0),IF($NO$31="Bell_Curve",$NM$31*(366-$NQ$31+1)*($NR$31-366+1)/$NT$31,$NM$31/$NS$31)),0)</f>
        <v/>
      </c>
      <c r="NF31" s="18">
        <f>IF(AND(367&gt;=$NQ$31,367&lt;=$NR$31),IF($NO$31="Single_Point",IF(367=$NQ$31,$NM$31,0),IF($NO$31="Bell_Curve",$NM$31*(367-$NQ$31+1)*($NR$31-367+1)/$NT$31,$NM$31/$NS$31)),0)</f>
        <v/>
      </c>
      <c r="NG31" s="18">
        <f>IF(AND(368&gt;=$NQ$31,368&lt;=$NR$31),IF($NO$31="Single_Point",IF(368=$NQ$31,$NM$31,0),IF($NO$31="Bell_Curve",$NM$31*(368-$NQ$31+1)*($NR$31-368+1)/$NT$31,$NM$31/$NS$31)),0)</f>
        <v/>
      </c>
      <c r="NH31" s="18">
        <f>IF(AND(369&gt;=$NQ$31,369&lt;=$NR$31),IF($NO$31="Single_Point",IF(369=$NQ$31,$NM$31,0),IF($NO$31="Bell_Curve",$NM$31*(369-$NQ$31+1)*($NR$31-369+1)/$NT$31,$NM$31/$NS$31)),0)</f>
        <v/>
      </c>
      <c r="NI31" s="18">
        <f>IF(AND(370&gt;=$NQ$31,370&lt;=$NR$31),IF($NO$31="Single_Point",IF(370=$NQ$31,$NM$31,0),IF($NO$31="Bell_Curve",$NM$31*(370-$NQ$31+1)*($NR$31-370+1)/$NT$31,$NM$31/$NS$31)),0)</f>
        <v/>
      </c>
      <c r="NJ31" s="18">
        <f>IF(AND(371&gt;=$NQ$31,371&lt;=$NR$31),IF($NO$31="Single_Point",IF(371=$NQ$31,$NM$31,0),IF($NO$31="Bell_Curve",$NM$31*(371-$NQ$31+1)*($NR$31-371+1)/$NT$31,$NM$31/$NS$31)),0)</f>
        <v/>
      </c>
      <c r="NK31" s="18">
        <f>IF(AND(372&gt;=$NQ$31,372&lt;=$NR$31),IF($NO$31="Single_Point",IF(372=$NQ$31,$NM$31,0),IF($NO$31="Bell_Curve",$NM$31*(372-$NQ$31+1)*($NR$31-372+1)/$NT$31,$NM$31/$NS$31)),0)</f>
        <v/>
      </c>
      <c r="NM31" s="18">
        <f>Budget!I30</f>
        <v/>
      </c>
      <c r="NN31" s="42">
        <f>Budget!F30</f>
        <v/>
      </c>
      <c r="NO31" s="42">
        <f>Budget!G30</f>
        <v/>
      </c>
      <c r="NP31" s="17">
        <f>Budget!H30</f>
        <v/>
      </c>
      <c r="NQ31" s="32">
        <f>MAX(1,MIN(372,INDEX(MilestoneStart,MATCH(NN31,MilestoneNames,0))+NP31))</f>
        <v/>
      </c>
      <c r="NR31" s="32">
        <f>MAX(NQ31,MIN(372,INDEX(MilestoneEnd,MATCH(NN31,MilestoneNames,0))+NP31))</f>
        <v/>
      </c>
      <c r="NS31" s="17">
        <f>NR31-NQ31+1</f>
        <v/>
      </c>
      <c r="NT31" s="17">
        <f>NS31*(NS31+1)*(NS31+2)/6</f>
        <v/>
      </c>
    </row>
    <row r="32">
      <c r="A32" s="5" t="inlineStr">
        <is>
          <t>Other Hard Cost 6</t>
        </is>
      </c>
      <c r="C32" s="41">
        <f>SUM(D32:NK32)</f>
        <v/>
      </c>
      <c r="D32" s="18">
        <f>IF(AND(1&gt;=$NQ$32,1&lt;=$NR$32),IF($NO$32="Single_Point",IF(1=$NQ$32,$NM$32,0),IF($NO$32="Bell_Curve",$NM$32*(1-$NQ$32+1)*($NR$32-1+1)/$NT$32,$NM$32/$NS$32)),0)</f>
        <v/>
      </c>
      <c r="E32" s="18">
        <f>IF(AND(2&gt;=$NQ$32,2&lt;=$NR$32),IF($NO$32="Single_Point",IF(2=$NQ$32,$NM$32,0),IF($NO$32="Bell_Curve",$NM$32*(2-$NQ$32+1)*($NR$32-2+1)/$NT$32,$NM$32/$NS$32)),0)</f>
        <v/>
      </c>
      <c r="F32" s="18">
        <f>IF(AND(3&gt;=$NQ$32,3&lt;=$NR$32),IF($NO$32="Single_Point",IF(3=$NQ$32,$NM$32,0),IF($NO$32="Bell_Curve",$NM$32*(3-$NQ$32+1)*($NR$32-3+1)/$NT$32,$NM$32/$NS$32)),0)</f>
        <v/>
      </c>
      <c r="G32" s="18">
        <f>IF(AND(4&gt;=$NQ$32,4&lt;=$NR$32),IF($NO$32="Single_Point",IF(4=$NQ$32,$NM$32,0),IF($NO$32="Bell_Curve",$NM$32*(4-$NQ$32+1)*($NR$32-4+1)/$NT$32,$NM$32/$NS$32)),0)</f>
        <v/>
      </c>
      <c r="H32" s="18">
        <f>IF(AND(5&gt;=$NQ$32,5&lt;=$NR$32),IF($NO$32="Single_Point",IF(5=$NQ$32,$NM$32,0),IF($NO$32="Bell_Curve",$NM$32*(5-$NQ$32+1)*($NR$32-5+1)/$NT$32,$NM$32/$NS$32)),0)</f>
        <v/>
      </c>
      <c r="I32" s="18">
        <f>IF(AND(6&gt;=$NQ$32,6&lt;=$NR$32),IF($NO$32="Single_Point",IF(6=$NQ$32,$NM$32,0),IF($NO$32="Bell_Curve",$NM$32*(6-$NQ$32+1)*($NR$32-6+1)/$NT$32,$NM$32/$NS$32)),0)</f>
        <v/>
      </c>
      <c r="J32" s="18">
        <f>IF(AND(7&gt;=$NQ$32,7&lt;=$NR$32),IF($NO$32="Single_Point",IF(7=$NQ$32,$NM$32,0),IF($NO$32="Bell_Curve",$NM$32*(7-$NQ$32+1)*($NR$32-7+1)/$NT$32,$NM$32/$NS$32)),0)</f>
        <v/>
      </c>
      <c r="K32" s="18">
        <f>IF(AND(8&gt;=$NQ$32,8&lt;=$NR$32),IF($NO$32="Single_Point",IF(8=$NQ$32,$NM$32,0),IF($NO$32="Bell_Curve",$NM$32*(8-$NQ$32+1)*($NR$32-8+1)/$NT$32,$NM$32/$NS$32)),0)</f>
        <v/>
      </c>
      <c r="L32" s="18">
        <f>IF(AND(9&gt;=$NQ$32,9&lt;=$NR$32),IF($NO$32="Single_Point",IF(9=$NQ$32,$NM$32,0),IF($NO$32="Bell_Curve",$NM$32*(9-$NQ$32+1)*($NR$32-9+1)/$NT$32,$NM$32/$NS$32)),0)</f>
        <v/>
      </c>
      <c r="M32" s="18">
        <f>IF(AND(10&gt;=$NQ$32,10&lt;=$NR$32),IF($NO$32="Single_Point",IF(10=$NQ$32,$NM$32,0),IF($NO$32="Bell_Curve",$NM$32*(10-$NQ$32+1)*($NR$32-10+1)/$NT$32,$NM$32/$NS$32)),0)</f>
        <v/>
      </c>
      <c r="N32" s="18">
        <f>IF(AND(11&gt;=$NQ$32,11&lt;=$NR$32),IF($NO$32="Single_Point",IF(11=$NQ$32,$NM$32,0),IF($NO$32="Bell_Curve",$NM$32*(11-$NQ$32+1)*($NR$32-11+1)/$NT$32,$NM$32/$NS$32)),0)</f>
        <v/>
      </c>
      <c r="O32" s="18">
        <f>IF(AND(12&gt;=$NQ$32,12&lt;=$NR$32),IF($NO$32="Single_Point",IF(12=$NQ$32,$NM$32,0),IF($NO$32="Bell_Curve",$NM$32*(12-$NQ$32+1)*($NR$32-12+1)/$NT$32,$NM$32/$NS$32)),0)</f>
        <v/>
      </c>
      <c r="P32" s="18">
        <f>IF(AND(13&gt;=$NQ$32,13&lt;=$NR$32),IF($NO$32="Single_Point",IF(13=$NQ$32,$NM$32,0),IF($NO$32="Bell_Curve",$NM$32*(13-$NQ$32+1)*($NR$32-13+1)/$NT$32,$NM$32/$NS$32)),0)</f>
        <v/>
      </c>
      <c r="Q32" s="18">
        <f>IF(AND(14&gt;=$NQ$32,14&lt;=$NR$32),IF($NO$32="Single_Point",IF(14=$NQ$32,$NM$32,0),IF($NO$32="Bell_Curve",$NM$32*(14-$NQ$32+1)*($NR$32-14+1)/$NT$32,$NM$32/$NS$32)),0)</f>
        <v/>
      </c>
      <c r="R32" s="18">
        <f>IF(AND(15&gt;=$NQ$32,15&lt;=$NR$32),IF($NO$32="Single_Point",IF(15=$NQ$32,$NM$32,0),IF($NO$32="Bell_Curve",$NM$32*(15-$NQ$32+1)*($NR$32-15+1)/$NT$32,$NM$32/$NS$32)),0)</f>
        <v/>
      </c>
      <c r="S32" s="18">
        <f>IF(AND(16&gt;=$NQ$32,16&lt;=$NR$32),IF($NO$32="Single_Point",IF(16=$NQ$32,$NM$32,0),IF($NO$32="Bell_Curve",$NM$32*(16-$NQ$32+1)*($NR$32-16+1)/$NT$32,$NM$32/$NS$32)),0)</f>
        <v/>
      </c>
      <c r="T32" s="18">
        <f>IF(AND(17&gt;=$NQ$32,17&lt;=$NR$32),IF($NO$32="Single_Point",IF(17=$NQ$32,$NM$32,0),IF($NO$32="Bell_Curve",$NM$32*(17-$NQ$32+1)*($NR$32-17+1)/$NT$32,$NM$32/$NS$32)),0)</f>
        <v/>
      </c>
      <c r="U32" s="18">
        <f>IF(AND(18&gt;=$NQ$32,18&lt;=$NR$32),IF($NO$32="Single_Point",IF(18=$NQ$32,$NM$32,0),IF($NO$32="Bell_Curve",$NM$32*(18-$NQ$32+1)*($NR$32-18+1)/$NT$32,$NM$32/$NS$32)),0)</f>
        <v/>
      </c>
      <c r="V32" s="18">
        <f>IF(AND(19&gt;=$NQ$32,19&lt;=$NR$32),IF($NO$32="Single_Point",IF(19=$NQ$32,$NM$32,0),IF($NO$32="Bell_Curve",$NM$32*(19-$NQ$32+1)*($NR$32-19+1)/$NT$32,$NM$32/$NS$32)),0)</f>
        <v/>
      </c>
      <c r="W32" s="18">
        <f>IF(AND(20&gt;=$NQ$32,20&lt;=$NR$32),IF($NO$32="Single_Point",IF(20=$NQ$32,$NM$32,0),IF($NO$32="Bell_Curve",$NM$32*(20-$NQ$32+1)*($NR$32-20+1)/$NT$32,$NM$32/$NS$32)),0)</f>
        <v/>
      </c>
      <c r="X32" s="18">
        <f>IF(AND(21&gt;=$NQ$32,21&lt;=$NR$32),IF($NO$32="Single_Point",IF(21=$NQ$32,$NM$32,0),IF($NO$32="Bell_Curve",$NM$32*(21-$NQ$32+1)*($NR$32-21+1)/$NT$32,$NM$32/$NS$32)),0)</f>
        <v/>
      </c>
      <c r="Y32" s="18">
        <f>IF(AND(22&gt;=$NQ$32,22&lt;=$NR$32),IF($NO$32="Single_Point",IF(22=$NQ$32,$NM$32,0),IF($NO$32="Bell_Curve",$NM$32*(22-$NQ$32+1)*($NR$32-22+1)/$NT$32,$NM$32/$NS$32)),0)</f>
        <v/>
      </c>
      <c r="Z32" s="18">
        <f>IF(AND(23&gt;=$NQ$32,23&lt;=$NR$32),IF($NO$32="Single_Point",IF(23=$NQ$32,$NM$32,0),IF($NO$32="Bell_Curve",$NM$32*(23-$NQ$32+1)*($NR$32-23+1)/$NT$32,$NM$32/$NS$32)),0)</f>
        <v/>
      </c>
      <c r="AA32" s="18">
        <f>IF(AND(24&gt;=$NQ$32,24&lt;=$NR$32),IF($NO$32="Single_Point",IF(24=$NQ$32,$NM$32,0),IF($NO$32="Bell_Curve",$NM$32*(24-$NQ$32+1)*($NR$32-24+1)/$NT$32,$NM$32/$NS$32)),0)</f>
        <v/>
      </c>
      <c r="AB32" s="18">
        <f>IF(AND(25&gt;=$NQ$32,25&lt;=$NR$32),IF($NO$32="Single_Point",IF(25=$NQ$32,$NM$32,0),IF($NO$32="Bell_Curve",$NM$32*(25-$NQ$32+1)*($NR$32-25+1)/$NT$32,$NM$32/$NS$32)),0)</f>
        <v/>
      </c>
      <c r="AC32" s="18">
        <f>IF(AND(26&gt;=$NQ$32,26&lt;=$NR$32),IF($NO$32="Single_Point",IF(26=$NQ$32,$NM$32,0),IF($NO$32="Bell_Curve",$NM$32*(26-$NQ$32+1)*($NR$32-26+1)/$NT$32,$NM$32/$NS$32)),0)</f>
        <v/>
      </c>
      <c r="AD32" s="18">
        <f>IF(AND(27&gt;=$NQ$32,27&lt;=$NR$32),IF($NO$32="Single_Point",IF(27=$NQ$32,$NM$32,0),IF($NO$32="Bell_Curve",$NM$32*(27-$NQ$32+1)*($NR$32-27+1)/$NT$32,$NM$32/$NS$32)),0)</f>
        <v/>
      </c>
      <c r="AE32" s="18">
        <f>IF(AND(28&gt;=$NQ$32,28&lt;=$NR$32),IF($NO$32="Single_Point",IF(28=$NQ$32,$NM$32,0),IF($NO$32="Bell_Curve",$NM$32*(28-$NQ$32+1)*($NR$32-28+1)/$NT$32,$NM$32/$NS$32)),0)</f>
        <v/>
      </c>
      <c r="AF32" s="18">
        <f>IF(AND(29&gt;=$NQ$32,29&lt;=$NR$32),IF($NO$32="Single_Point",IF(29=$NQ$32,$NM$32,0),IF($NO$32="Bell_Curve",$NM$32*(29-$NQ$32+1)*($NR$32-29+1)/$NT$32,$NM$32/$NS$32)),0)</f>
        <v/>
      </c>
      <c r="AG32" s="18">
        <f>IF(AND(30&gt;=$NQ$32,30&lt;=$NR$32),IF($NO$32="Single_Point",IF(30=$NQ$32,$NM$32,0),IF($NO$32="Bell_Curve",$NM$32*(30-$NQ$32+1)*($NR$32-30+1)/$NT$32,$NM$32/$NS$32)),0)</f>
        <v/>
      </c>
      <c r="AH32" s="18">
        <f>IF(AND(31&gt;=$NQ$32,31&lt;=$NR$32),IF($NO$32="Single_Point",IF(31=$NQ$32,$NM$32,0),IF($NO$32="Bell_Curve",$NM$32*(31-$NQ$32+1)*($NR$32-31+1)/$NT$32,$NM$32/$NS$32)),0)</f>
        <v/>
      </c>
      <c r="AI32" s="18">
        <f>IF(AND(32&gt;=$NQ$32,32&lt;=$NR$32),IF($NO$32="Single_Point",IF(32=$NQ$32,$NM$32,0),IF($NO$32="Bell_Curve",$NM$32*(32-$NQ$32+1)*($NR$32-32+1)/$NT$32,$NM$32/$NS$32)),0)</f>
        <v/>
      </c>
      <c r="AJ32" s="18">
        <f>IF(AND(33&gt;=$NQ$32,33&lt;=$NR$32),IF($NO$32="Single_Point",IF(33=$NQ$32,$NM$32,0),IF($NO$32="Bell_Curve",$NM$32*(33-$NQ$32+1)*($NR$32-33+1)/$NT$32,$NM$32/$NS$32)),0)</f>
        <v/>
      </c>
      <c r="AK32" s="18">
        <f>IF(AND(34&gt;=$NQ$32,34&lt;=$NR$32),IF($NO$32="Single_Point",IF(34=$NQ$32,$NM$32,0),IF($NO$32="Bell_Curve",$NM$32*(34-$NQ$32+1)*($NR$32-34+1)/$NT$32,$NM$32/$NS$32)),0)</f>
        <v/>
      </c>
      <c r="AL32" s="18">
        <f>IF(AND(35&gt;=$NQ$32,35&lt;=$NR$32),IF($NO$32="Single_Point",IF(35=$NQ$32,$NM$32,0),IF($NO$32="Bell_Curve",$NM$32*(35-$NQ$32+1)*($NR$32-35+1)/$NT$32,$NM$32/$NS$32)),0)</f>
        <v/>
      </c>
      <c r="AM32" s="18">
        <f>IF(AND(36&gt;=$NQ$32,36&lt;=$NR$32),IF($NO$32="Single_Point",IF(36=$NQ$32,$NM$32,0),IF($NO$32="Bell_Curve",$NM$32*(36-$NQ$32+1)*($NR$32-36+1)/$NT$32,$NM$32/$NS$32)),0)</f>
        <v/>
      </c>
      <c r="AN32" s="18">
        <f>IF(AND(37&gt;=$NQ$32,37&lt;=$NR$32),IF($NO$32="Single_Point",IF(37=$NQ$32,$NM$32,0),IF($NO$32="Bell_Curve",$NM$32*(37-$NQ$32+1)*($NR$32-37+1)/$NT$32,$NM$32/$NS$32)),0)</f>
        <v/>
      </c>
      <c r="AO32" s="18">
        <f>IF(AND(38&gt;=$NQ$32,38&lt;=$NR$32),IF($NO$32="Single_Point",IF(38=$NQ$32,$NM$32,0),IF($NO$32="Bell_Curve",$NM$32*(38-$NQ$32+1)*($NR$32-38+1)/$NT$32,$NM$32/$NS$32)),0)</f>
        <v/>
      </c>
      <c r="AP32" s="18">
        <f>IF(AND(39&gt;=$NQ$32,39&lt;=$NR$32),IF($NO$32="Single_Point",IF(39=$NQ$32,$NM$32,0),IF($NO$32="Bell_Curve",$NM$32*(39-$NQ$32+1)*($NR$32-39+1)/$NT$32,$NM$32/$NS$32)),0)</f>
        <v/>
      </c>
      <c r="AQ32" s="18">
        <f>IF(AND(40&gt;=$NQ$32,40&lt;=$NR$32),IF($NO$32="Single_Point",IF(40=$NQ$32,$NM$32,0),IF($NO$32="Bell_Curve",$NM$32*(40-$NQ$32+1)*($NR$32-40+1)/$NT$32,$NM$32/$NS$32)),0)</f>
        <v/>
      </c>
      <c r="AR32" s="18">
        <f>IF(AND(41&gt;=$NQ$32,41&lt;=$NR$32),IF($NO$32="Single_Point",IF(41=$NQ$32,$NM$32,0),IF($NO$32="Bell_Curve",$NM$32*(41-$NQ$32+1)*($NR$32-41+1)/$NT$32,$NM$32/$NS$32)),0)</f>
        <v/>
      </c>
      <c r="AS32" s="18">
        <f>IF(AND(42&gt;=$NQ$32,42&lt;=$NR$32),IF($NO$32="Single_Point",IF(42=$NQ$32,$NM$32,0),IF($NO$32="Bell_Curve",$NM$32*(42-$NQ$32+1)*($NR$32-42+1)/$NT$32,$NM$32/$NS$32)),0)</f>
        <v/>
      </c>
      <c r="AT32" s="18">
        <f>IF(AND(43&gt;=$NQ$32,43&lt;=$NR$32),IF($NO$32="Single_Point",IF(43=$NQ$32,$NM$32,0),IF($NO$32="Bell_Curve",$NM$32*(43-$NQ$32+1)*($NR$32-43+1)/$NT$32,$NM$32/$NS$32)),0)</f>
        <v/>
      </c>
      <c r="AU32" s="18">
        <f>IF(AND(44&gt;=$NQ$32,44&lt;=$NR$32),IF($NO$32="Single_Point",IF(44=$NQ$32,$NM$32,0),IF($NO$32="Bell_Curve",$NM$32*(44-$NQ$32+1)*($NR$32-44+1)/$NT$32,$NM$32/$NS$32)),0)</f>
        <v/>
      </c>
      <c r="AV32" s="18">
        <f>IF(AND(45&gt;=$NQ$32,45&lt;=$NR$32),IF($NO$32="Single_Point",IF(45=$NQ$32,$NM$32,0),IF($NO$32="Bell_Curve",$NM$32*(45-$NQ$32+1)*($NR$32-45+1)/$NT$32,$NM$32/$NS$32)),0)</f>
        <v/>
      </c>
      <c r="AW32" s="18">
        <f>IF(AND(46&gt;=$NQ$32,46&lt;=$NR$32),IF($NO$32="Single_Point",IF(46=$NQ$32,$NM$32,0),IF($NO$32="Bell_Curve",$NM$32*(46-$NQ$32+1)*($NR$32-46+1)/$NT$32,$NM$32/$NS$32)),0)</f>
        <v/>
      </c>
      <c r="AX32" s="18">
        <f>IF(AND(47&gt;=$NQ$32,47&lt;=$NR$32),IF($NO$32="Single_Point",IF(47=$NQ$32,$NM$32,0),IF($NO$32="Bell_Curve",$NM$32*(47-$NQ$32+1)*($NR$32-47+1)/$NT$32,$NM$32/$NS$32)),0)</f>
        <v/>
      </c>
      <c r="AY32" s="18">
        <f>IF(AND(48&gt;=$NQ$32,48&lt;=$NR$32),IF($NO$32="Single_Point",IF(48=$NQ$32,$NM$32,0),IF($NO$32="Bell_Curve",$NM$32*(48-$NQ$32+1)*($NR$32-48+1)/$NT$32,$NM$32/$NS$32)),0)</f>
        <v/>
      </c>
      <c r="AZ32" s="18">
        <f>IF(AND(49&gt;=$NQ$32,49&lt;=$NR$32),IF($NO$32="Single_Point",IF(49=$NQ$32,$NM$32,0),IF($NO$32="Bell_Curve",$NM$32*(49-$NQ$32+1)*($NR$32-49+1)/$NT$32,$NM$32/$NS$32)),0)</f>
        <v/>
      </c>
      <c r="BA32" s="18">
        <f>IF(AND(50&gt;=$NQ$32,50&lt;=$NR$32),IF($NO$32="Single_Point",IF(50=$NQ$32,$NM$32,0),IF($NO$32="Bell_Curve",$NM$32*(50-$NQ$32+1)*($NR$32-50+1)/$NT$32,$NM$32/$NS$32)),0)</f>
        <v/>
      </c>
      <c r="BB32" s="18">
        <f>IF(AND(51&gt;=$NQ$32,51&lt;=$NR$32),IF($NO$32="Single_Point",IF(51=$NQ$32,$NM$32,0),IF($NO$32="Bell_Curve",$NM$32*(51-$NQ$32+1)*($NR$32-51+1)/$NT$32,$NM$32/$NS$32)),0)</f>
        <v/>
      </c>
      <c r="BC32" s="18">
        <f>IF(AND(52&gt;=$NQ$32,52&lt;=$NR$32),IF($NO$32="Single_Point",IF(52=$NQ$32,$NM$32,0),IF($NO$32="Bell_Curve",$NM$32*(52-$NQ$32+1)*($NR$32-52+1)/$NT$32,$NM$32/$NS$32)),0)</f>
        <v/>
      </c>
      <c r="BD32" s="18">
        <f>IF(AND(53&gt;=$NQ$32,53&lt;=$NR$32),IF($NO$32="Single_Point",IF(53=$NQ$32,$NM$32,0),IF($NO$32="Bell_Curve",$NM$32*(53-$NQ$32+1)*($NR$32-53+1)/$NT$32,$NM$32/$NS$32)),0)</f>
        <v/>
      </c>
      <c r="BE32" s="18">
        <f>IF(AND(54&gt;=$NQ$32,54&lt;=$NR$32),IF($NO$32="Single_Point",IF(54=$NQ$32,$NM$32,0),IF($NO$32="Bell_Curve",$NM$32*(54-$NQ$32+1)*($NR$32-54+1)/$NT$32,$NM$32/$NS$32)),0)</f>
        <v/>
      </c>
      <c r="BF32" s="18">
        <f>IF(AND(55&gt;=$NQ$32,55&lt;=$NR$32),IF($NO$32="Single_Point",IF(55=$NQ$32,$NM$32,0),IF($NO$32="Bell_Curve",$NM$32*(55-$NQ$32+1)*($NR$32-55+1)/$NT$32,$NM$32/$NS$32)),0)</f>
        <v/>
      </c>
      <c r="BG32" s="18">
        <f>IF(AND(56&gt;=$NQ$32,56&lt;=$NR$32),IF($NO$32="Single_Point",IF(56=$NQ$32,$NM$32,0),IF($NO$32="Bell_Curve",$NM$32*(56-$NQ$32+1)*($NR$32-56+1)/$NT$32,$NM$32/$NS$32)),0)</f>
        <v/>
      </c>
      <c r="BH32" s="18">
        <f>IF(AND(57&gt;=$NQ$32,57&lt;=$NR$32),IF($NO$32="Single_Point",IF(57=$NQ$32,$NM$32,0),IF($NO$32="Bell_Curve",$NM$32*(57-$NQ$32+1)*($NR$32-57+1)/$NT$32,$NM$32/$NS$32)),0)</f>
        <v/>
      </c>
      <c r="BI32" s="18">
        <f>IF(AND(58&gt;=$NQ$32,58&lt;=$NR$32),IF($NO$32="Single_Point",IF(58=$NQ$32,$NM$32,0),IF($NO$32="Bell_Curve",$NM$32*(58-$NQ$32+1)*($NR$32-58+1)/$NT$32,$NM$32/$NS$32)),0)</f>
        <v/>
      </c>
      <c r="BJ32" s="18">
        <f>IF(AND(59&gt;=$NQ$32,59&lt;=$NR$32),IF($NO$32="Single_Point",IF(59=$NQ$32,$NM$32,0),IF($NO$32="Bell_Curve",$NM$32*(59-$NQ$32+1)*($NR$32-59+1)/$NT$32,$NM$32/$NS$32)),0)</f>
        <v/>
      </c>
      <c r="BK32" s="18">
        <f>IF(AND(60&gt;=$NQ$32,60&lt;=$NR$32),IF($NO$32="Single_Point",IF(60=$NQ$32,$NM$32,0),IF($NO$32="Bell_Curve",$NM$32*(60-$NQ$32+1)*($NR$32-60+1)/$NT$32,$NM$32/$NS$32)),0)</f>
        <v/>
      </c>
      <c r="BL32" s="18">
        <f>IF(AND(61&gt;=$NQ$32,61&lt;=$NR$32),IF($NO$32="Single_Point",IF(61=$NQ$32,$NM$32,0),IF($NO$32="Bell_Curve",$NM$32*(61-$NQ$32+1)*($NR$32-61+1)/$NT$32,$NM$32/$NS$32)),0)</f>
        <v/>
      </c>
      <c r="BM32" s="18">
        <f>IF(AND(62&gt;=$NQ$32,62&lt;=$NR$32),IF($NO$32="Single_Point",IF(62=$NQ$32,$NM$32,0),IF($NO$32="Bell_Curve",$NM$32*(62-$NQ$32+1)*($NR$32-62+1)/$NT$32,$NM$32/$NS$32)),0)</f>
        <v/>
      </c>
      <c r="BN32" s="18">
        <f>IF(AND(63&gt;=$NQ$32,63&lt;=$NR$32),IF($NO$32="Single_Point",IF(63=$NQ$32,$NM$32,0),IF($NO$32="Bell_Curve",$NM$32*(63-$NQ$32+1)*($NR$32-63+1)/$NT$32,$NM$32/$NS$32)),0)</f>
        <v/>
      </c>
      <c r="BO32" s="18">
        <f>IF(AND(64&gt;=$NQ$32,64&lt;=$NR$32),IF($NO$32="Single_Point",IF(64=$NQ$32,$NM$32,0),IF($NO$32="Bell_Curve",$NM$32*(64-$NQ$32+1)*($NR$32-64+1)/$NT$32,$NM$32/$NS$32)),0)</f>
        <v/>
      </c>
      <c r="BP32" s="18">
        <f>IF(AND(65&gt;=$NQ$32,65&lt;=$NR$32),IF($NO$32="Single_Point",IF(65=$NQ$32,$NM$32,0),IF($NO$32="Bell_Curve",$NM$32*(65-$NQ$32+1)*($NR$32-65+1)/$NT$32,$NM$32/$NS$32)),0)</f>
        <v/>
      </c>
      <c r="BQ32" s="18">
        <f>IF(AND(66&gt;=$NQ$32,66&lt;=$NR$32),IF($NO$32="Single_Point",IF(66=$NQ$32,$NM$32,0),IF($NO$32="Bell_Curve",$NM$32*(66-$NQ$32+1)*($NR$32-66+1)/$NT$32,$NM$32/$NS$32)),0)</f>
        <v/>
      </c>
      <c r="BR32" s="18">
        <f>IF(AND(67&gt;=$NQ$32,67&lt;=$NR$32),IF($NO$32="Single_Point",IF(67=$NQ$32,$NM$32,0),IF($NO$32="Bell_Curve",$NM$32*(67-$NQ$32+1)*($NR$32-67+1)/$NT$32,$NM$32/$NS$32)),0)</f>
        <v/>
      </c>
      <c r="BS32" s="18">
        <f>IF(AND(68&gt;=$NQ$32,68&lt;=$NR$32),IF($NO$32="Single_Point",IF(68=$NQ$32,$NM$32,0),IF($NO$32="Bell_Curve",$NM$32*(68-$NQ$32+1)*($NR$32-68+1)/$NT$32,$NM$32/$NS$32)),0)</f>
        <v/>
      </c>
      <c r="BT32" s="18">
        <f>IF(AND(69&gt;=$NQ$32,69&lt;=$NR$32),IF($NO$32="Single_Point",IF(69=$NQ$32,$NM$32,0),IF($NO$32="Bell_Curve",$NM$32*(69-$NQ$32+1)*($NR$32-69+1)/$NT$32,$NM$32/$NS$32)),0)</f>
        <v/>
      </c>
      <c r="BU32" s="18">
        <f>IF(AND(70&gt;=$NQ$32,70&lt;=$NR$32),IF($NO$32="Single_Point",IF(70=$NQ$32,$NM$32,0),IF($NO$32="Bell_Curve",$NM$32*(70-$NQ$32+1)*($NR$32-70+1)/$NT$32,$NM$32/$NS$32)),0)</f>
        <v/>
      </c>
      <c r="BV32" s="18">
        <f>IF(AND(71&gt;=$NQ$32,71&lt;=$NR$32),IF($NO$32="Single_Point",IF(71=$NQ$32,$NM$32,0),IF($NO$32="Bell_Curve",$NM$32*(71-$NQ$32+1)*($NR$32-71+1)/$NT$32,$NM$32/$NS$32)),0)</f>
        <v/>
      </c>
      <c r="BW32" s="18">
        <f>IF(AND(72&gt;=$NQ$32,72&lt;=$NR$32),IF($NO$32="Single_Point",IF(72=$NQ$32,$NM$32,0),IF($NO$32="Bell_Curve",$NM$32*(72-$NQ$32+1)*($NR$32-72+1)/$NT$32,$NM$32/$NS$32)),0)</f>
        <v/>
      </c>
      <c r="BX32" s="18">
        <f>IF(AND(73&gt;=$NQ$32,73&lt;=$NR$32),IF($NO$32="Single_Point",IF(73=$NQ$32,$NM$32,0),IF($NO$32="Bell_Curve",$NM$32*(73-$NQ$32+1)*($NR$32-73+1)/$NT$32,$NM$32/$NS$32)),0)</f>
        <v/>
      </c>
      <c r="BY32" s="18">
        <f>IF(AND(74&gt;=$NQ$32,74&lt;=$NR$32),IF($NO$32="Single_Point",IF(74=$NQ$32,$NM$32,0),IF($NO$32="Bell_Curve",$NM$32*(74-$NQ$32+1)*($NR$32-74+1)/$NT$32,$NM$32/$NS$32)),0)</f>
        <v/>
      </c>
      <c r="BZ32" s="18">
        <f>IF(AND(75&gt;=$NQ$32,75&lt;=$NR$32),IF($NO$32="Single_Point",IF(75=$NQ$32,$NM$32,0),IF($NO$32="Bell_Curve",$NM$32*(75-$NQ$32+1)*($NR$32-75+1)/$NT$32,$NM$32/$NS$32)),0)</f>
        <v/>
      </c>
      <c r="CA32" s="18">
        <f>IF(AND(76&gt;=$NQ$32,76&lt;=$NR$32),IF($NO$32="Single_Point",IF(76=$NQ$32,$NM$32,0),IF($NO$32="Bell_Curve",$NM$32*(76-$NQ$32+1)*($NR$32-76+1)/$NT$32,$NM$32/$NS$32)),0)</f>
        <v/>
      </c>
      <c r="CB32" s="18">
        <f>IF(AND(77&gt;=$NQ$32,77&lt;=$NR$32),IF($NO$32="Single_Point",IF(77=$NQ$32,$NM$32,0),IF($NO$32="Bell_Curve",$NM$32*(77-$NQ$32+1)*($NR$32-77+1)/$NT$32,$NM$32/$NS$32)),0)</f>
        <v/>
      </c>
      <c r="CC32" s="18">
        <f>IF(AND(78&gt;=$NQ$32,78&lt;=$NR$32),IF($NO$32="Single_Point",IF(78=$NQ$32,$NM$32,0),IF($NO$32="Bell_Curve",$NM$32*(78-$NQ$32+1)*($NR$32-78+1)/$NT$32,$NM$32/$NS$32)),0)</f>
        <v/>
      </c>
      <c r="CD32" s="18">
        <f>IF(AND(79&gt;=$NQ$32,79&lt;=$NR$32),IF($NO$32="Single_Point",IF(79=$NQ$32,$NM$32,0),IF($NO$32="Bell_Curve",$NM$32*(79-$NQ$32+1)*($NR$32-79+1)/$NT$32,$NM$32/$NS$32)),0)</f>
        <v/>
      </c>
      <c r="CE32" s="18">
        <f>IF(AND(80&gt;=$NQ$32,80&lt;=$NR$32),IF($NO$32="Single_Point",IF(80=$NQ$32,$NM$32,0),IF($NO$32="Bell_Curve",$NM$32*(80-$NQ$32+1)*($NR$32-80+1)/$NT$32,$NM$32/$NS$32)),0)</f>
        <v/>
      </c>
      <c r="CF32" s="18">
        <f>IF(AND(81&gt;=$NQ$32,81&lt;=$NR$32),IF($NO$32="Single_Point",IF(81=$NQ$32,$NM$32,0),IF($NO$32="Bell_Curve",$NM$32*(81-$NQ$32+1)*($NR$32-81+1)/$NT$32,$NM$32/$NS$32)),0)</f>
        <v/>
      </c>
      <c r="CG32" s="18">
        <f>IF(AND(82&gt;=$NQ$32,82&lt;=$NR$32),IF($NO$32="Single_Point",IF(82=$NQ$32,$NM$32,0),IF($NO$32="Bell_Curve",$NM$32*(82-$NQ$32+1)*($NR$32-82+1)/$NT$32,$NM$32/$NS$32)),0)</f>
        <v/>
      </c>
      <c r="CH32" s="18">
        <f>IF(AND(83&gt;=$NQ$32,83&lt;=$NR$32),IF($NO$32="Single_Point",IF(83=$NQ$32,$NM$32,0),IF($NO$32="Bell_Curve",$NM$32*(83-$NQ$32+1)*($NR$32-83+1)/$NT$32,$NM$32/$NS$32)),0)</f>
        <v/>
      </c>
      <c r="CI32" s="18">
        <f>IF(AND(84&gt;=$NQ$32,84&lt;=$NR$32),IF($NO$32="Single_Point",IF(84=$NQ$32,$NM$32,0),IF($NO$32="Bell_Curve",$NM$32*(84-$NQ$32+1)*($NR$32-84+1)/$NT$32,$NM$32/$NS$32)),0)</f>
        <v/>
      </c>
      <c r="CJ32" s="18">
        <f>IF(AND(85&gt;=$NQ$32,85&lt;=$NR$32),IF($NO$32="Single_Point",IF(85=$NQ$32,$NM$32,0),IF($NO$32="Bell_Curve",$NM$32*(85-$NQ$32+1)*($NR$32-85+1)/$NT$32,$NM$32/$NS$32)),0)</f>
        <v/>
      </c>
      <c r="CK32" s="18">
        <f>IF(AND(86&gt;=$NQ$32,86&lt;=$NR$32),IF($NO$32="Single_Point",IF(86=$NQ$32,$NM$32,0),IF($NO$32="Bell_Curve",$NM$32*(86-$NQ$32+1)*($NR$32-86+1)/$NT$32,$NM$32/$NS$32)),0)</f>
        <v/>
      </c>
      <c r="CL32" s="18">
        <f>IF(AND(87&gt;=$NQ$32,87&lt;=$NR$32),IF($NO$32="Single_Point",IF(87=$NQ$32,$NM$32,0),IF($NO$32="Bell_Curve",$NM$32*(87-$NQ$32+1)*($NR$32-87+1)/$NT$32,$NM$32/$NS$32)),0)</f>
        <v/>
      </c>
      <c r="CM32" s="18">
        <f>IF(AND(88&gt;=$NQ$32,88&lt;=$NR$32),IF($NO$32="Single_Point",IF(88=$NQ$32,$NM$32,0),IF($NO$32="Bell_Curve",$NM$32*(88-$NQ$32+1)*($NR$32-88+1)/$NT$32,$NM$32/$NS$32)),0)</f>
        <v/>
      </c>
      <c r="CN32" s="18">
        <f>IF(AND(89&gt;=$NQ$32,89&lt;=$NR$32),IF($NO$32="Single_Point",IF(89=$NQ$32,$NM$32,0),IF($NO$32="Bell_Curve",$NM$32*(89-$NQ$32+1)*($NR$32-89+1)/$NT$32,$NM$32/$NS$32)),0)</f>
        <v/>
      </c>
      <c r="CO32" s="18">
        <f>IF(AND(90&gt;=$NQ$32,90&lt;=$NR$32),IF($NO$32="Single_Point",IF(90=$NQ$32,$NM$32,0),IF($NO$32="Bell_Curve",$NM$32*(90-$NQ$32+1)*($NR$32-90+1)/$NT$32,$NM$32/$NS$32)),0)</f>
        <v/>
      </c>
      <c r="CP32" s="18">
        <f>IF(AND(91&gt;=$NQ$32,91&lt;=$NR$32),IF($NO$32="Single_Point",IF(91=$NQ$32,$NM$32,0),IF($NO$32="Bell_Curve",$NM$32*(91-$NQ$32+1)*($NR$32-91+1)/$NT$32,$NM$32/$NS$32)),0)</f>
        <v/>
      </c>
      <c r="CQ32" s="18">
        <f>IF(AND(92&gt;=$NQ$32,92&lt;=$NR$32),IF($NO$32="Single_Point",IF(92=$NQ$32,$NM$32,0),IF($NO$32="Bell_Curve",$NM$32*(92-$NQ$32+1)*($NR$32-92+1)/$NT$32,$NM$32/$NS$32)),0)</f>
        <v/>
      </c>
      <c r="CR32" s="18">
        <f>IF(AND(93&gt;=$NQ$32,93&lt;=$NR$32),IF($NO$32="Single_Point",IF(93=$NQ$32,$NM$32,0),IF($NO$32="Bell_Curve",$NM$32*(93-$NQ$32+1)*($NR$32-93+1)/$NT$32,$NM$32/$NS$32)),0)</f>
        <v/>
      </c>
      <c r="CS32" s="18">
        <f>IF(AND(94&gt;=$NQ$32,94&lt;=$NR$32),IF($NO$32="Single_Point",IF(94=$NQ$32,$NM$32,0),IF($NO$32="Bell_Curve",$NM$32*(94-$NQ$32+1)*($NR$32-94+1)/$NT$32,$NM$32/$NS$32)),0)</f>
        <v/>
      </c>
      <c r="CT32" s="18">
        <f>IF(AND(95&gt;=$NQ$32,95&lt;=$NR$32),IF($NO$32="Single_Point",IF(95=$NQ$32,$NM$32,0),IF($NO$32="Bell_Curve",$NM$32*(95-$NQ$32+1)*($NR$32-95+1)/$NT$32,$NM$32/$NS$32)),0)</f>
        <v/>
      </c>
      <c r="CU32" s="18">
        <f>IF(AND(96&gt;=$NQ$32,96&lt;=$NR$32),IF($NO$32="Single_Point",IF(96=$NQ$32,$NM$32,0),IF($NO$32="Bell_Curve",$NM$32*(96-$NQ$32+1)*($NR$32-96+1)/$NT$32,$NM$32/$NS$32)),0)</f>
        <v/>
      </c>
      <c r="CV32" s="18">
        <f>IF(AND(97&gt;=$NQ$32,97&lt;=$NR$32),IF($NO$32="Single_Point",IF(97=$NQ$32,$NM$32,0),IF($NO$32="Bell_Curve",$NM$32*(97-$NQ$32+1)*($NR$32-97+1)/$NT$32,$NM$32/$NS$32)),0)</f>
        <v/>
      </c>
      <c r="CW32" s="18">
        <f>IF(AND(98&gt;=$NQ$32,98&lt;=$NR$32),IF($NO$32="Single_Point",IF(98=$NQ$32,$NM$32,0),IF($NO$32="Bell_Curve",$NM$32*(98-$NQ$32+1)*($NR$32-98+1)/$NT$32,$NM$32/$NS$32)),0)</f>
        <v/>
      </c>
      <c r="CX32" s="18">
        <f>IF(AND(99&gt;=$NQ$32,99&lt;=$NR$32),IF($NO$32="Single_Point",IF(99=$NQ$32,$NM$32,0),IF($NO$32="Bell_Curve",$NM$32*(99-$NQ$32+1)*($NR$32-99+1)/$NT$32,$NM$32/$NS$32)),0)</f>
        <v/>
      </c>
      <c r="CY32" s="18">
        <f>IF(AND(100&gt;=$NQ$32,100&lt;=$NR$32),IF($NO$32="Single_Point",IF(100=$NQ$32,$NM$32,0),IF($NO$32="Bell_Curve",$NM$32*(100-$NQ$32+1)*($NR$32-100+1)/$NT$32,$NM$32/$NS$32)),0)</f>
        <v/>
      </c>
      <c r="CZ32" s="18">
        <f>IF(AND(101&gt;=$NQ$32,101&lt;=$NR$32),IF($NO$32="Single_Point",IF(101=$NQ$32,$NM$32,0),IF($NO$32="Bell_Curve",$NM$32*(101-$NQ$32+1)*($NR$32-101+1)/$NT$32,$NM$32/$NS$32)),0)</f>
        <v/>
      </c>
      <c r="DA32" s="18">
        <f>IF(AND(102&gt;=$NQ$32,102&lt;=$NR$32),IF($NO$32="Single_Point",IF(102=$NQ$32,$NM$32,0),IF($NO$32="Bell_Curve",$NM$32*(102-$NQ$32+1)*($NR$32-102+1)/$NT$32,$NM$32/$NS$32)),0)</f>
        <v/>
      </c>
      <c r="DB32" s="18">
        <f>IF(AND(103&gt;=$NQ$32,103&lt;=$NR$32),IF($NO$32="Single_Point",IF(103=$NQ$32,$NM$32,0),IF($NO$32="Bell_Curve",$NM$32*(103-$NQ$32+1)*($NR$32-103+1)/$NT$32,$NM$32/$NS$32)),0)</f>
        <v/>
      </c>
      <c r="DC32" s="18">
        <f>IF(AND(104&gt;=$NQ$32,104&lt;=$NR$32),IF($NO$32="Single_Point",IF(104=$NQ$32,$NM$32,0),IF($NO$32="Bell_Curve",$NM$32*(104-$NQ$32+1)*($NR$32-104+1)/$NT$32,$NM$32/$NS$32)),0)</f>
        <v/>
      </c>
      <c r="DD32" s="18">
        <f>IF(AND(105&gt;=$NQ$32,105&lt;=$NR$32),IF($NO$32="Single_Point",IF(105=$NQ$32,$NM$32,0),IF($NO$32="Bell_Curve",$NM$32*(105-$NQ$32+1)*($NR$32-105+1)/$NT$32,$NM$32/$NS$32)),0)</f>
        <v/>
      </c>
      <c r="DE32" s="18">
        <f>IF(AND(106&gt;=$NQ$32,106&lt;=$NR$32),IF($NO$32="Single_Point",IF(106=$NQ$32,$NM$32,0),IF($NO$32="Bell_Curve",$NM$32*(106-$NQ$32+1)*($NR$32-106+1)/$NT$32,$NM$32/$NS$32)),0)</f>
        <v/>
      </c>
      <c r="DF32" s="18">
        <f>IF(AND(107&gt;=$NQ$32,107&lt;=$NR$32),IF($NO$32="Single_Point",IF(107=$NQ$32,$NM$32,0),IF($NO$32="Bell_Curve",$NM$32*(107-$NQ$32+1)*($NR$32-107+1)/$NT$32,$NM$32/$NS$32)),0)</f>
        <v/>
      </c>
      <c r="DG32" s="18">
        <f>IF(AND(108&gt;=$NQ$32,108&lt;=$NR$32),IF($NO$32="Single_Point",IF(108=$NQ$32,$NM$32,0),IF($NO$32="Bell_Curve",$NM$32*(108-$NQ$32+1)*($NR$32-108+1)/$NT$32,$NM$32/$NS$32)),0)</f>
        <v/>
      </c>
      <c r="DH32" s="18">
        <f>IF(AND(109&gt;=$NQ$32,109&lt;=$NR$32),IF($NO$32="Single_Point",IF(109=$NQ$32,$NM$32,0),IF($NO$32="Bell_Curve",$NM$32*(109-$NQ$32+1)*($NR$32-109+1)/$NT$32,$NM$32/$NS$32)),0)</f>
        <v/>
      </c>
      <c r="DI32" s="18">
        <f>IF(AND(110&gt;=$NQ$32,110&lt;=$NR$32),IF($NO$32="Single_Point",IF(110=$NQ$32,$NM$32,0),IF($NO$32="Bell_Curve",$NM$32*(110-$NQ$32+1)*($NR$32-110+1)/$NT$32,$NM$32/$NS$32)),0)</f>
        <v/>
      </c>
      <c r="DJ32" s="18">
        <f>IF(AND(111&gt;=$NQ$32,111&lt;=$NR$32),IF($NO$32="Single_Point",IF(111=$NQ$32,$NM$32,0),IF($NO$32="Bell_Curve",$NM$32*(111-$NQ$32+1)*($NR$32-111+1)/$NT$32,$NM$32/$NS$32)),0)</f>
        <v/>
      </c>
      <c r="DK32" s="18">
        <f>IF(AND(112&gt;=$NQ$32,112&lt;=$NR$32),IF($NO$32="Single_Point",IF(112=$NQ$32,$NM$32,0),IF($NO$32="Bell_Curve",$NM$32*(112-$NQ$32+1)*($NR$32-112+1)/$NT$32,$NM$32/$NS$32)),0)</f>
        <v/>
      </c>
      <c r="DL32" s="18">
        <f>IF(AND(113&gt;=$NQ$32,113&lt;=$NR$32),IF($NO$32="Single_Point",IF(113=$NQ$32,$NM$32,0),IF($NO$32="Bell_Curve",$NM$32*(113-$NQ$32+1)*($NR$32-113+1)/$NT$32,$NM$32/$NS$32)),0)</f>
        <v/>
      </c>
      <c r="DM32" s="18">
        <f>IF(AND(114&gt;=$NQ$32,114&lt;=$NR$32),IF($NO$32="Single_Point",IF(114=$NQ$32,$NM$32,0),IF($NO$32="Bell_Curve",$NM$32*(114-$NQ$32+1)*($NR$32-114+1)/$NT$32,$NM$32/$NS$32)),0)</f>
        <v/>
      </c>
      <c r="DN32" s="18">
        <f>IF(AND(115&gt;=$NQ$32,115&lt;=$NR$32),IF($NO$32="Single_Point",IF(115=$NQ$32,$NM$32,0),IF($NO$32="Bell_Curve",$NM$32*(115-$NQ$32+1)*($NR$32-115+1)/$NT$32,$NM$32/$NS$32)),0)</f>
        <v/>
      </c>
      <c r="DO32" s="18">
        <f>IF(AND(116&gt;=$NQ$32,116&lt;=$NR$32),IF($NO$32="Single_Point",IF(116=$NQ$32,$NM$32,0),IF($NO$32="Bell_Curve",$NM$32*(116-$NQ$32+1)*($NR$32-116+1)/$NT$32,$NM$32/$NS$32)),0)</f>
        <v/>
      </c>
      <c r="DP32" s="18">
        <f>IF(AND(117&gt;=$NQ$32,117&lt;=$NR$32),IF($NO$32="Single_Point",IF(117=$NQ$32,$NM$32,0),IF($NO$32="Bell_Curve",$NM$32*(117-$NQ$32+1)*($NR$32-117+1)/$NT$32,$NM$32/$NS$32)),0)</f>
        <v/>
      </c>
      <c r="DQ32" s="18">
        <f>IF(AND(118&gt;=$NQ$32,118&lt;=$NR$32),IF($NO$32="Single_Point",IF(118=$NQ$32,$NM$32,0),IF($NO$32="Bell_Curve",$NM$32*(118-$NQ$32+1)*($NR$32-118+1)/$NT$32,$NM$32/$NS$32)),0)</f>
        <v/>
      </c>
      <c r="DR32" s="18">
        <f>IF(AND(119&gt;=$NQ$32,119&lt;=$NR$32),IF($NO$32="Single_Point",IF(119=$NQ$32,$NM$32,0),IF($NO$32="Bell_Curve",$NM$32*(119-$NQ$32+1)*($NR$32-119+1)/$NT$32,$NM$32/$NS$32)),0)</f>
        <v/>
      </c>
      <c r="DS32" s="18">
        <f>IF(AND(120&gt;=$NQ$32,120&lt;=$NR$32),IF($NO$32="Single_Point",IF(120=$NQ$32,$NM$32,0),IF($NO$32="Bell_Curve",$NM$32*(120-$NQ$32+1)*($NR$32-120+1)/$NT$32,$NM$32/$NS$32)),0)</f>
        <v/>
      </c>
      <c r="DT32" s="18">
        <f>IF(AND(121&gt;=$NQ$32,121&lt;=$NR$32),IF($NO$32="Single_Point",IF(121=$NQ$32,$NM$32,0),IF($NO$32="Bell_Curve",$NM$32*(121-$NQ$32+1)*($NR$32-121+1)/$NT$32,$NM$32/$NS$32)),0)</f>
        <v/>
      </c>
      <c r="DU32" s="18">
        <f>IF(AND(122&gt;=$NQ$32,122&lt;=$NR$32),IF($NO$32="Single_Point",IF(122=$NQ$32,$NM$32,0),IF($NO$32="Bell_Curve",$NM$32*(122-$NQ$32+1)*($NR$32-122+1)/$NT$32,$NM$32/$NS$32)),0)</f>
        <v/>
      </c>
      <c r="DV32" s="18">
        <f>IF(AND(123&gt;=$NQ$32,123&lt;=$NR$32),IF($NO$32="Single_Point",IF(123=$NQ$32,$NM$32,0),IF($NO$32="Bell_Curve",$NM$32*(123-$NQ$32+1)*($NR$32-123+1)/$NT$32,$NM$32/$NS$32)),0)</f>
        <v/>
      </c>
      <c r="DW32" s="18">
        <f>IF(AND(124&gt;=$NQ$32,124&lt;=$NR$32),IF($NO$32="Single_Point",IF(124=$NQ$32,$NM$32,0),IF($NO$32="Bell_Curve",$NM$32*(124-$NQ$32+1)*($NR$32-124+1)/$NT$32,$NM$32/$NS$32)),0)</f>
        <v/>
      </c>
      <c r="DX32" s="18">
        <f>IF(AND(125&gt;=$NQ$32,125&lt;=$NR$32),IF($NO$32="Single_Point",IF(125=$NQ$32,$NM$32,0),IF($NO$32="Bell_Curve",$NM$32*(125-$NQ$32+1)*($NR$32-125+1)/$NT$32,$NM$32/$NS$32)),0)</f>
        <v/>
      </c>
      <c r="DY32" s="18">
        <f>IF(AND(126&gt;=$NQ$32,126&lt;=$NR$32),IF($NO$32="Single_Point",IF(126=$NQ$32,$NM$32,0),IF($NO$32="Bell_Curve",$NM$32*(126-$NQ$32+1)*($NR$32-126+1)/$NT$32,$NM$32/$NS$32)),0)</f>
        <v/>
      </c>
      <c r="DZ32" s="18">
        <f>IF(AND(127&gt;=$NQ$32,127&lt;=$NR$32),IF($NO$32="Single_Point",IF(127=$NQ$32,$NM$32,0),IF($NO$32="Bell_Curve",$NM$32*(127-$NQ$32+1)*($NR$32-127+1)/$NT$32,$NM$32/$NS$32)),0)</f>
        <v/>
      </c>
      <c r="EA32" s="18">
        <f>IF(AND(128&gt;=$NQ$32,128&lt;=$NR$32),IF($NO$32="Single_Point",IF(128=$NQ$32,$NM$32,0),IF($NO$32="Bell_Curve",$NM$32*(128-$NQ$32+1)*($NR$32-128+1)/$NT$32,$NM$32/$NS$32)),0)</f>
        <v/>
      </c>
      <c r="EB32" s="18">
        <f>IF(AND(129&gt;=$NQ$32,129&lt;=$NR$32),IF($NO$32="Single_Point",IF(129=$NQ$32,$NM$32,0),IF($NO$32="Bell_Curve",$NM$32*(129-$NQ$32+1)*($NR$32-129+1)/$NT$32,$NM$32/$NS$32)),0)</f>
        <v/>
      </c>
      <c r="EC32" s="18">
        <f>IF(AND(130&gt;=$NQ$32,130&lt;=$NR$32),IF($NO$32="Single_Point",IF(130=$NQ$32,$NM$32,0),IF($NO$32="Bell_Curve",$NM$32*(130-$NQ$32+1)*($NR$32-130+1)/$NT$32,$NM$32/$NS$32)),0)</f>
        <v/>
      </c>
      <c r="ED32" s="18">
        <f>IF(AND(131&gt;=$NQ$32,131&lt;=$NR$32),IF($NO$32="Single_Point",IF(131=$NQ$32,$NM$32,0),IF($NO$32="Bell_Curve",$NM$32*(131-$NQ$32+1)*($NR$32-131+1)/$NT$32,$NM$32/$NS$32)),0)</f>
        <v/>
      </c>
      <c r="EE32" s="18">
        <f>IF(AND(132&gt;=$NQ$32,132&lt;=$NR$32),IF($NO$32="Single_Point",IF(132=$NQ$32,$NM$32,0),IF($NO$32="Bell_Curve",$NM$32*(132-$NQ$32+1)*($NR$32-132+1)/$NT$32,$NM$32/$NS$32)),0)</f>
        <v/>
      </c>
      <c r="EF32" s="18">
        <f>IF(AND(133&gt;=$NQ$32,133&lt;=$NR$32),IF($NO$32="Single_Point",IF(133=$NQ$32,$NM$32,0),IF($NO$32="Bell_Curve",$NM$32*(133-$NQ$32+1)*($NR$32-133+1)/$NT$32,$NM$32/$NS$32)),0)</f>
        <v/>
      </c>
      <c r="EG32" s="18">
        <f>IF(AND(134&gt;=$NQ$32,134&lt;=$NR$32),IF($NO$32="Single_Point",IF(134=$NQ$32,$NM$32,0),IF($NO$32="Bell_Curve",$NM$32*(134-$NQ$32+1)*($NR$32-134+1)/$NT$32,$NM$32/$NS$32)),0)</f>
        <v/>
      </c>
      <c r="EH32" s="18">
        <f>IF(AND(135&gt;=$NQ$32,135&lt;=$NR$32),IF($NO$32="Single_Point",IF(135=$NQ$32,$NM$32,0),IF($NO$32="Bell_Curve",$NM$32*(135-$NQ$32+1)*($NR$32-135+1)/$NT$32,$NM$32/$NS$32)),0)</f>
        <v/>
      </c>
      <c r="EI32" s="18">
        <f>IF(AND(136&gt;=$NQ$32,136&lt;=$NR$32),IF($NO$32="Single_Point",IF(136=$NQ$32,$NM$32,0),IF($NO$32="Bell_Curve",$NM$32*(136-$NQ$32+1)*($NR$32-136+1)/$NT$32,$NM$32/$NS$32)),0)</f>
        <v/>
      </c>
      <c r="EJ32" s="18">
        <f>IF(AND(137&gt;=$NQ$32,137&lt;=$NR$32),IF($NO$32="Single_Point",IF(137=$NQ$32,$NM$32,0),IF($NO$32="Bell_Curve",$NM$32*(137-$NQ$32+1)*($NR$32-137+1)/$NT$32,$NM$32/$NS$32)),0)</f>
        <v/>
      </c>
      <c r="EK32" s="18">
        <f>IF(AND(138&gt;=$NQ$32,138&lt;=$NR$32),IF($NO$32="Single_Point",IF(138=$NQ$32,$NM$32,0),IF($NO$32="Bell_Curve",$NM$32*(138-$NQ$32+1)*($NR$32-138+1)/$NT$32,$NM$32/$NS$32)),0)</f>
        <v/>
      </c>
      <c r="EL32" s="18">
        <f>IF(AND(139&gt;=$NQ$32,139&lt;=$NR$32),IF($NO$32="Single_Point",IF(139=$NQ$32,$NM$32,0),IF($NO$32="Bell_Curve",$NM$32*(139-$NQ$32+1)*($NR$32-139+1)/$NT$32,$NM$32/$NS$32)),0)</f>
        <v/>
      </c>
      <c r="EM32" s="18">
        <f>IF(AND(140&gt;=$NQ$32,140&lt;=$NR$32),IF($NO$32="Single_Point",IF(140=$NQ$32,$NM$32,0),IF($NO$32="Bell_Curve",$NM$32*(140-$NQ$32+1)*($NR$32-140+1)/$NT$32,$NM$32/$NS$32)),0)</f>
        <v/>
      </c>
      <c r="EN32" s="18">
        <f>IF(AND(141&gt;=$NQ$32,141&lt;=$NR$32),IF($NO$32="Single_Point",IF(141=$NQ$32,$NM$32,0),IF($NO$32="Bell_Curve",$NM$32*(141-$NQ$32+1)*($NR$32-141+1)/$NT$32,$NM$32/$NS$32)),0)</f>
        <v/>
      </c>
      <c r="EO32" s="18">
        <f>IF(AND(142&gt;=$NQ$32,142&lt;=$NR$32),IF($NO$32="Single_Point",IF(142=$NQ$32,$NM$32,0),IF($NO$32="Bell_Curve",$NM$32*(142-$NQ$32+1)*($NR$32-142+1)/$NT$32,$NM$32/$NS$32)),0)</f>
        <v/>
      </c>
      <c r="EP32" s="18">
        <f>IF(AND(143&gt;=$NQ$32,143&lt;=$NR$32),IF($NO$32="Single_Point",IF(143=$NQ$32,$NM$32,0),IF($NO$32="Bell_Curve",$NM$32*(143-$NQ$32+1)*($NR$32-143+1)/$NT$32,$NM$32/$NS$32)),0)</f>
        <v/>
      </c>
      <c r="EQ32" s="18">
        <f>IF(AND(144&gt;=$NQ$32,144&lt;=$NR$32),IF($NO$32="Single_Point",IF(144=$NQ$32,$NM$32,0),IF($NO$32="Bell_Curve",$NM$32*(144-$NQ$32+1)*($NR$32-144+1)/$NT$32,$NM$32/$NS$32)),0)</f>
        <v/>
      </c>
      <c r="ER32" s="18">
        <f>IF(AND(145&gt;=$NQ$32,145&lt;=$NR$32),IF($NO$32="Single_Point",IF(145=$NQ$32,$NM$32,0),IF($NO$32="Bell_Curve",$NM$32*(145-$NQ$32+1)*($NR$32-145+1)/$NT$32,$NM$32/$NS$32)),0)</f>
        <v/>
      </c>
      <c r="ES32" s="18">
        <f>IF(AND(146&gt;=$NQ$32,146&lt;=$NR$32),IF($NO$32="Single_Point",IF(146=$NQ$32,$NM$32,0),IF($NO$32="Bell_Curve",$NM$32*(146-$NQ$32+1)*($NR$32-146+1)/$NT$32,$NM$32/$NS$32)),0)</f>
        <v/>
      </c>
      <c r="ET32" s="18">
        <f>IF(AND(147&gt;=$NQ$32,147&lt;=$NR$32),IF($NO$32="Single_Point",IF(147=$NQ$32,$NM$32,0),IF($NO$32="Bell_Curve",$NM$32*(147-$NQ$32+1)*($NR$32-147+1)/$NT$32,$NM$32/$NS$32)),0)</f>
        <v/>
      </c>
      <c r="EU32" s="18">
        <f>IF(AND(148&gt;=$NQ$32,148&lt;=$NR$32),IF($NO$32="Single_Point",IF(148=$NQ$32,$NM$32,0),IF($NO$32="Bell_Curve",$NM$32*(148-$NQ$32+1)*($NR$32-148+1)/$NT$32,$NM$32/$NS$32)),0)</f>
        <v/>
      </c>
      <c r="EV32" s="18">
        <f>IF(AND(149&gt;=$NQ$32,149&lt;=$NR$32),IF($NO$32="Single_Point",IF(149=$NQ$32,$NM$32,0),IF($NO$32="Bell_Curve",$NM$32*(149-$NQ$32+1)*($NR$32-149+1)/$NT$32,$NM$32/$NS$32)),0)</f>
        <v/>
      </c>
      <c r="EW32" s="18">
        <f>IF(AND(150&gt;=$NQ$32,150&lt;=$NR$32),IF($NO$32="Single_Point",IF(150=$NQ$32,$NM$32,0),IF($NO$32="Bell_Curve",$NM$32*(150-$NQ$32+1)*($NR$32-150+1)/$NT$32,$NM$32/$NS$32)),0)</f>
        <v/>
      </c>
      <c r="EX32" s="18">
        <f>IF(AND(151&gt;=$NQ$32,151&lt;=$NR$32),IF($NO$32="Single_Point",IF(151=$NQ$32,$NM$32,0),IF($NO$32="Bell_Curve",$NM$32*(151-$NQ$32+1)*($NR$32-151+1)/$NT$32,$NM$32/$NS$32)),0)</f>
        <v/>
      </c>
      <c r="EY32" s="18">
        <f>IF(AND(152&gt;=$NQ$32,152&lt;=$NR$32),IF($NO$32="Single_Point",IF(152=$NQ$32,$NM$32,0),IF($NO$32="Bell_Curve",$NM$32*(152-$NQ$32+1)*($NR$32-152+1)/$NT$32,$NM$32/$NS$32)),0)</f>
        <v/>
      </c>
      <c r="EZ32" s="18">
        <f>IF(AND(153&gt;=$NQ$32,153&lt;=$NR$32),IF($NO$32="Single_Point",IF(153=$NQ$32,$NM$32,0),IF($NO$32="Bell_Curve",$NM$32*(153-$NQ$32+1)*($NR$32-153+1)/$NT$32,$NM$32/$NS$32)),0)</f>
        <v/>
      </c>
      <c r="FA32" s="18">
        <f>IF(AND(154&gt;=$NQ$32,154&lt;=$NR$32),IF($NO$32="Single_Point",IF(154=$NQ$32,$NM$32,0),IF($NO$32="Bell_Curve",$NM$32*(154-$NQ$32+1)*($NR$32-154+1)/$NT$32,$NM$32/$NS$32)),0)</f>
        <v/>
      </c>
      <c r="FB32" s="18">
        <f>IF(AND(155&gt;=$NQ$32,155&lt;=$NR$32),IF($NO$32="Single_Point",IF(155=$NQ$32,$NM$32,0),IF($NO$32="Bell_Curve",$NM$32*(155-$NQ$32+1)*($NR$32-155+1)/$NT$32,$NM$32/$NS$32)),0)</f>
        <v/>
      </c>
      <c r="FC32" s="18">
        <f>IF(AND(156&gt;=$NQ$32,156&lt;=$NR$32),IF($NO$32="Single_Point",IF(156=$NQ$32,$NM$32,0),IF($NO$32="Bell_Curve",$NM$32*(156-$NQ$32+1)*($NR$32-156+1)/$NT$32,$NM$32/$NS$32)),0)</f>
        <v/>
      </c>
      <c r="FD32" s="18">
        <f>IF(AND(157&gt;=$NQ$32,157&lt;=$NR$32),IF($NO$32="Single_Point",IF(157=$NQ$32,$NM$32,0),IF($NO$32="Bell_Curve",$NM$32*(157-$NQ$32+1)*($NR$32-157+1)/$NT$32,$NM$32/$NS$32)),0)</f>
        <v/>
      </c>
      <c r="FE32" s="18">
        <f>IF(AND(158&gt;=$NQ$32,158&lt;=$NR$32),IF($NO$32="Single_Point",IF(158=$NQ$32,$NM$32,0),IF($NO$32="Bell_Curve",$NM$32*(158-$NQ$32+1)*($NR$32-158+1)/$NT$32,$NM$32/$NS$32)),0)</f>
        <v/>
      </c>
      <c r="FF32" s="18">
        <f>IF(AND(159&gt;=$NQ$32,159&lt;=$NR$32),IF($NO$32="Single_Point",IF(159=$NQ$32,$NM$32,0),IF($NO$32="Bell_Curve",$NM$32*(159-$NQ$32+1)*($NR$32-159+1)/$NT$32,$NM$32/$NS$32)),0)</f>
        <v/>
      </c>
      <c r="FG32" s="18">
        <f>IF(AND(160&gt;=$NQ$32,160&lt;=$NR$32),IF($NO$32="Single_Point",IF(160=$NQ$32,$NM$32,0),IF($NO$32="Bell_Curve",$NM$32*(160-$NQ$32+1)*($NR$32-160+1)/$NT$32,$NM$32/$NS$32)),0)</f>
        <v/>
      </c>
      <c r="FH32" s="18">
        <f>IF(AND(161&gt;=$NQ$32,161&lt;=$NR$32),IF($NO$32="Single_Point",IF(161=$NQ$32,$NM$32,0),IF($NO$32="Bell_Curve",$NM$32*(161-$NQ$32+1)*($NR$32-161+1)/$NT$32,$NM$32/$NS$32)),0)</f>
        <v/>
      </c>
      <c r="FI32" s="18">
        <f>IF(AND(162&gt;=$NQ$32,162&lt;=$NR$32),IF($NO$32="Single_Point",IF(162=$NQ$32,$NM$32,0),IF($NO$32="Bell_Curve",$NM$32*(162-$NQ$32+1)*($NR$32-162+1)/$NT$32,$NM$32/$NS$32)),0)</f>
        <v/>
      </c>
      <c r="FJ32" s="18">
        <f>IF(AND(163&gt;=$NQ$32,163&lt;=$NR$32),IF($NO$32="Single_Point",IF(163=$NQ$32,$NM$32,0),IF($NO$32="Bell_Curve",$NM$32*(163-$NQ$32+1)*($NR$32-163+1)/$NT$32,$NM$32/$NS$32)),0)</f>
        <v/>
      </c>
      <c r="FK32" s="18">
        <f>IF(AND(164&gt;=$NQ$32,164&lt;=$NR$32),IF($NO$32="Single_Point",IF(164=$NQ$32,$NM$32,0),IF($NO$32="Bell_Curve",$NM$32*(164-$NQ$32+1)*($NR$32-164+1)/$NT$32,$NM$32/$NS$32)),0)</f>
        <v/>
      </c>
      <c r="FL32" s="18">
        <f>IF(AND(165&gt;=$NQ$32,165&lt;=$NR$32),IF($NO$32="Single_Point",IF(165=$NQ$32,$NM$32,0),IF($NO$32="Bell_Curve",$NM$32*(165-$NQ$32+1)*($NR$32-165+1)/$NT$32,$NM$32/$NS$32)),0)</f>
        <v/>
      </c>
      <c r="FM32" s="18">
        <f>IF(AND(166&gt;=$NQ$32,166&lt;=$NR$32),IF($NO$32="Single_Point",IF(166=$NQ$32,$NM$32,0),IF($NO$32="Bell_Curve",$NM$32*(166-$NQ$32+1)*($NR$32-166+1)/$NT$32,$NM$32/$NS$32)),0)</f>
        <v/>
      </c>
      <c r="FN32" s="18">
        <f>IF(AND(167&gt;=$NQ$32,167&lt;=$NR$32),IF($NO$32="Single_Point",IF(167=$NQ$32,$NM$32,0),IF($NO$32="Bell_Curve",$NM$32*(167-$NQ$32+1)*($NR$32-167+1)/$NT$32,$NM$32/$NS$32)),0)</f>
        <v/>
      </c>
      <c r="FO32" s="18">
        <f>IF(AND(168&gt;=$NQ$32,168&lt;=$NR$32),IF($NO$32="Single_Point",IF(168=$NQ$32,$NM$32,0),IF($NO$32="Bell_Curve",$NM$32*(168-$NQ$32+1)*($NR$32-168+1)/$NT$32,$NM$32/$NS$32)),0)</f>
        <v/>
      </c>
      <c r="FP32" s="18">
        <f>IF(AND(169&gt;=$NQ$32,169&lt;=$NR$32),IF($NO$32="Single_Point",IF(169=$NQ$32,$NM$32,0),IF($NO$32="Bell_Curve",$NM$32*(169-$NQ$32+1)*($NR$32-169+1)/$NT$32,$NM$32/$NS$32)),0)</f>
        <v/>
      </c>
      <c r="FQ32" s="18">
        <f>IF(AND(170&gt;=$NQ$32,170&lt;=$NR$32),IF($NO$32="Single_Point",IF(170=$NQ$32,$NM$32,0),IF($NO$32="Bell_Curve",$NM$32*(170-$NQ$32+1)*($NR$32-170+1)/$NT$32,$NM$32/$NS$32)),0)</f>
        <v/>
      </c>
      <c r="FR32" s="18">
        <f>IF(AND(171&gt;=$NQ$32,171&lt;=$NR$32),IF($NO$32="Single_Point",IF(171=$NQ$32,$NM$32,0),IF($NO$32="Bell_Curve",$NM$32*(171-$NQ$32+1)*($NR$32-171+1)/$NT$32,$NM$32/$NS$32)),0)</f>
        <v/>
      </c>
      <c r="FS32" s="18">
        <f>IF(AND(172&gt;=$NQ$32,172&lt;=$NR$32),IF($NO$32="Single_Point",IF(172=$NQ$32,$NM$32,0),IF($NO$32="Bell_Curve",$NM$32*(172-$NQ$32+1)*($NR$32-172+1)/$NT$32,$NM$32/$NS$32)),0)</f>
        <v/>
      </c>
      <c r="FT32" s="18">
        <f>IF(AND(173&gt;=$NQ$32,173&lt;=$NR$32),IF($NO$32="Single_Point",IF(173=$NQ$32,$NM$32,0),IF($NO$32="Bell_Curve",$NM$32*(173-$NQ$32+1)*($NR$32-173+1)/$NT$32,$NM$32/$NS$32)),0)</f>
        <v/>
      </c>
      <c r="FU32" s="18">
        <f>IF(AND(174&gt;=$NQ$32,174&lt;=$NR$32),IF($NO$32="Single_Point",IF(174=$NQ$32,$NM$32,0),IF($NO$32="Bell_Curve",$NM$32*(174-$NQ$32+1)*($NR$32-174+1)/$NT$32,$NM$32/$NS$32)),0)</f>
        <v/>
      </c>
      <c r="FV32" s="18">
        <f>IF(AND(175&gt;=$NQ$32,175&lt;=$NR$32),IF($NO$32="Single_Point",IF(175=$NQ$32,$NM$32,0),IF($NO$32="Bell_Curve",$NM$32*(175-$NQ$32+1)*($NR$32-175+1)/$NT$32,$NM$32/$NS$32)),0)</f>
        <v/>
      </c>
      <c r="FW32" s="18">
        <f>IF(AND(176&gt;=$NQ$32,176&lt;=$NR$32),IF($NO$32="Single_Point",IF(176=$NQ$32,$NM$32,0),IF($NO$32="Bell_Curve",$NM$32*(176-$NQ$32+1)*($NR$32-176+1)/$NT$32,$NM$32/$NS$32)),0)</f>
        <v/>
      </c>
      <c r="FX32" s="18">
        <f>IF(AND(177&gt;=$NQ$32,177&lt;=$NR$32),IF($NO$32="Single_Point",IF(177=$NQ$32,$NM$32,0),IF($NO$32="Bell_Curve",$NM$32*(177-$NQ$32+1)*($NR$32-177+1)/$NT$32,$NM$32/$NS$32)),0)</f>
        <v/>
      </c>
      <c r="FY32" s="18">
        <f>IF(AND(178&gt;=$NQ$32,178&lt;=$NR$32),IF($NO$32="Single_Point",IF(178=$NQ$32,$NM$32,0),IF($NO$32="Bell_Curve",$NM$32*(178-$NQ$32+1)*($NR$32-178+1)/$NT$32,$NM$32/$NS$32)),0)</f>
        <v/>
      </c>
      <c r="FZ32" s="18">
        <f>IF(AND(179&gt;=$NQ$32,179&lt;=$NR$32),IF($NO$32="Single_Point",IF(179=$NQ$32,$NM$32,0),IF($NO$32="Bell_Curve",$NM$32*(179-$NQ$32+1)*($NR$32-179+1)/$NT$32,$NM$32/$NS$32)),0)</f>
        <v/>
      </c>
      <c r="GA32" s="18">
        <f>IF(AND(180&gt;=$NQ$32,180&lt;=$NR$32),IF($NO$32="Single_Point",IF(180=$NQ$32,$NM$32,0),IF($NO$32="Bell_Curve",$NM$32*(180-$NQ$32+1)*($NR$32-180+1)/$NT$32,$NM$32/$NS$32)),0)</f>
        <v/>
      </c>
      <c r="GB32" s="18">
        <f>IF(AND(181&gt;=$NQ$32,181&lt;=$NR$32),IF($NO$32="Single_Point",IF(181=$NQ$32,$NM$32,0),IF($NO$32="Bell_Curve",$NM$32*(181-$NQ$32+1)*($NR$32-181+1)/$NT$32,$NM$32/$NS$32)),0)</f>
        <v/>
      </c>
      <c r="GC32" s="18">
        <f>IF(AND(182&gt;=$NQ$32,182&lt;=$NR$32),IF($NO$32="Single_Point",IF(182=$NQ$32,$NM$32,0),IF($NO$32="Bell_Curve",$NM$32*(182-$NQ$32+1)*($NR$32-182+1)/$NT$32,$NM$32/$NS$32)),0)</f>
        <v/>
      </c>
      <c r="GD32" s="18">
        <f>IF(AND(183&gt;=$NQ$32,183&lt;=$NR$32),IF($NO$32="Single_Point",IF(183=$NQ$32,$NM$32,0),IF($NO$32="Bell_Curve",$NM$32*(183-$NQ$32+1)*($NR$32-183+1)/$NT$32,$NM$32/$NS$32)),0)</f>
        <v/>
      </c>
      <c r="GE32" s="18">
        <f>IF(AND(184&gt;=$NQ$32,184&lt;=$NR$32),IF($NO$32="Single_Point",IF(184=$NQ$32,$NM$32,0),IF($NO$32="Bell_Curve",$NM$32*(184-$NQ$32+1)*($NR$32-184+1)/$NT$32,$NM$32/$NS$32)),0)</f>
        <v/>
      </c>
      <c r="GF32" s="18">
        <f>IF(AND(185&gt;=$NQ$32,185&lt;=$NR$32),IF($NO$32="Single_Point",IF(185=$NQ$32,$NM$32,0),IF($NO$32="Bell_Curve",$NM$32*(185-$NQ$32+1)*($NR$32-185+1)/$NT$32,$NM$32/$NS$32)),0)</f>
        <v/>
      </c>
      <c r="GG32" s="18">
        <f>IF(AND(186&gt;=$NQ$32,186&lt;=$NR$32),IF($NO$32="Single_Point",IF(186=$NQ$32,$NM$32,0),IF($NO$32="Bell_Curve",$NM$32*(186-$NQ$32+1)*($NR$32-186+1)/$NT$32,$NM$32/$NS$32)),0)</f>
        <v/>
      </c>
      <c r="GH32" s="18">
        <f>IF(AND(187&gt;=$NQ$32,187&lt;=$NR$32),IF($NO$32="Single_Point",IF(187=$NQ$32,$NM$32,0),IF($NO$32="Bell_Curve",$NM$32*(187-$NQ$32+1)*($NR$32-187+1)/$NT$32,$NM$32/$NS$32)),0)</f>
        <v/>
      </c>
      <c r="GI32" s="18">
        <f>IF(AND(188&gt;=$NQ$32,188&lt;=$NR$32),IF($NO$32="Single_Point",IF(188=$NQ$32,$NM$32,0),IF($NO$32="Bell_Curve",$NM$32*(188-$NQ$32+1)*($NR$32-188+1)/$NT$32,$NM$32/$NS$32)),0)</f>
        <v/>
      </c>
      <c r="GJ32" s="18">
        <f>IF(AND(189&gt;=$NQ$32,189&lt;=$NR$32),IF($NO$32="Single_Point",IF(189=$NQ$32,$NM$32,0),IF($NO$32="Bell_Curve",$NM$32*(189-$NQ$32+1)*($NR$32-189+1)/$NT$32,$NM$32/$NS$32)),0)</f>
        <v/>
      </c>
      <c r="GK32" s="18">
        <f>IF(AND(190&gt;=$NQ$32,190&lt;=$NR$32),IF($NO$32="Single_Point",IF(190=$NQ$32,$NM$32,0),IF($NO$32="Bell_Curve",$NM$32*(190-$NQ$32+1)*($NR$32-190+1)/$NT$32,$NM$32/$NS$32)),0)</f>
        <v/>
      </c>
      <c r="GL32" s="18">
        <f>IF(AND(191&gt;=$NQ$32,191&lt;=$NR$32),IF($NO$32="Single_Point",IF(191=$NQ$32,$NM$32,0),IF($NO$32="Bell_Curve",$NM$32*(191-$NQ$32+1)*($NR$32-191+1)/$NT$32,$NM$32/$NS$32)),0)</f>
        <v/>
      </c>
      <c r="GM32" s="18">
        <f>IF(AND(192&gt;=$NQ$32,192&lt;=$NR$32),IF($NO$32="Single_Point",IF(192=$NQ$32,$NM$32,0),IF($NO$32="Bell_Curve",$NM$32*(192-$NQ$32+1)*($NR$32-192+1)/$NT$32,$NM$32/$NS$32)),0)</f>
        <v/>
      </c>
      <c r="GN32" s="18">
        <f>IF(AND(193&gt;=$NQ$32,193&lt;=$NR$32),IF($NO$32="Single_Point",IF(193=$NQ$32,$NM$32,0),IF($NO$32="Bell_Curve",$NM$32*(193-$NQ$32+1)*($NR$32-193+1)/$NT$32,$NM$32/$NS$32)),0)</f>
        <v/>
      </c>
      <c r="GO32" s="18">
        <f>IF(AND(194&gt;=$NQ$32,194&lt;=$NR$32),IF($NO$32="Single_Point",IF(194=$NQ$32,$NM$32,0),IF($NO$32="Bell_Curve",$NM$32*(194-$NQ$32+1)*($NR$32-194+1)/$NT$32,$NM$32/$NS$32)),0)</f>
        <v/>
      </c>
      <c r="GP32" s="18">
        <f>IF(AND(195&gt;=$NQ$32,195&lt;=$NR$32),IF($NO$32="Single_Point",IF(195=$NQ$32,$NM$32,0),IF($NO$32="Bell_Curve",$NM$32*(195-$NQ$32+1)*($NR$32-195+1)/$NT$32,$NM$32/$NS$32)),0)</f>
        <v/>
      </c>
      <c r="GQ32" s="18">
        <f>IF(AND(196&gt;=$NQ$32,196&lt;=$NR$32),IF($NO$32="Single_Point",IF(196=$NQ$32,$NM$32,0),IF($NO$32="Bell_Curve",$NM$32*(196-$NQ$32+1)*($NR$32-196+1)/$NT$32,$NM$32/$NS$32)),0)</f>
        <v/>
      </c>
      <c r="GR32" s="18">
        <f>IF(AND(197&gt;=$NQ$32,197&lt;=$NR$32),IF($NO$32="Single_Point",IF(197=$NQ$32,$NM$32,0),IF($NO$32="Bell_Curve",$NM$32*(197-$NQ$32+1)*($NR$32-197+1)/$NT$32,$NM$32/$NS$32)),0)</f>
        <v/>
      </c>
      <c r="GS32" s="18">
        <f>IF(AND(198&gt;=$NQ$32,198&lt;=$NR$32),IF($NO$32="Single_Point",IF(198=$NQ$32,$NM$32,0),IF($NO$32="Bell_Curve",$NM$32*(198-$NQ$32+1)*($NR$32-198+1)/$NT$32,$NM$32/$NS$32)),0)</f>
        <v/>
      </c>
      <c r="GT32" s="18">
        <f>IF(AND(199&gt;=$NQ$32,199&lt;=$NR$32),IF($NO$32="Single_Point",IF(199=$NQ$32,$NM$32,0),IF($NO$32="Bell_Curve",$NM$32*(199-$NQ$32+1)*($NR$32-199+1)/$NT$32,$NM$32/$NS$32)),0)</f>
        <v/>
      </c>
      <c r="GU32" s="18">
        <f>IF(AND(200&gt;=$NQ$32,200&lt;=$NR$32),IF($NO$32="Single_Point",IF(200=$NQ$32,$NM$32,0),IF($NO$32="Bell_Curve",$NM$32*(200-$NQ$32+1)*($NR$32-200+1)/$NT$32,$NM$32/$NS$32)),0)</f>
        <v/>
      </c>
      <c r="GV32" s="18">
        <f>IF(AND(201&gt;=$NQ$32,201&lt;=$NR$32),IF($NO$32="Single_Point",IF(201=$NQ$32,$NM$32,0),IF($NO$32="Bell_Curve",$NM$32*(201-$NQ$32+1)*($NR$32-201+1)/$NT$32,$NM$32/$NS$32)),0)</f>
        <v/>
      </c>
      <c r="GW32" s="18">
        <f>IF(AND(202&gt;=$NQ$32,202&lt;=$NR$32),IF($NO$32="Single_Point",IF(202=$NQ$32,$NM$32,0),IF($NO$32="Bell_Curve",$NM$32*(202-$NQ$32+1)*($NR$32-202+1)/$NT$32,$NM$32/$NS$32)),0)</f>
        <v/>
      </c>
      <c r="GX32" s="18">
        <f>IF(AND(203&gt;=$NQ$32,203&lt;=$NR$32),IF($NO$32="Single_Point",IF(203=$NQ$32,$NM$32,0),IF($NO$32="Bell_Curve",$NM$32*(203-$NQ$32+1)*($NR$32-203+1)/$NT$32,$NM$32/$NS$32)),0)</f>
        <v/>
      </c>
      <c r="GY32" s="18">
        <f>IF(AND(204&gt;=$NQ$32,204&lt;=$NR$32),IF($NO$32="Single_Point",IF(204=$NQ$32,$NM$32,0),IF($NO$32="Bell_Curve",$NM$32*(204-$NQ$32+1)*($NR$32-204+1)/$NT$32,$NM$32/$NS$32)),0)</f>
        <v/>
      </c>
      <c r="GZ32" s="18">
        <f>IF(AND(205&gt;=$NQ$32,205&lt;=$NR$32),IF($NO$32="Single_Point",IF(205=$NQ$32,$NM$32,0),IF($NO$32="Bell_Curve",$NM$32*(205-$NQ$32+1)*($NR$32-205+1)/$NT$32,$NM$32/$NS$32)),0)</f>
        <v/>
      </c>
      <c r="HA32" s="18">
        <f>IF(AND(206&gt;=$NQ$32,206&lt;=$NR$32),IF($NO$32="Single_Point",IF(206=$NQ$32,$NM$32,0),IF($NO$32="Bell_Curve",$NM$32*(206-$NQ$32+1)*($NR$32-206+1)/$NT$32,$NM$32/$NS$32)),0)</f>
        <v/>
      </c>
      <c r="HB32" s="18">
        <f>IF(AND(207&gt;=$NQ$32,207&lt;=$NR$32),IF($NO$32="Single_Point",IF(207=$NQ$32,$NM$32,0),IF($NO$32="Bell_Curve",$NM$32*(207-$NQ$32+1)*($NR$32-207+1)/$NT$32,$NM$32/$NS$32)),0)</f>
        <v/>
      </c>
      <c r="HC32" s="18">
        <f>IF(AND(208&gt;=$NQ$32,208&lt;=$NR$32),IF($NO$32="Single_Point",IF(208=$NQ$32,$NM$32,0),IF($NO$32="Bell_Curve",$NM$32*(208-$NQ$32+1)*($NR$32-208+1)/$NT$32,$NM$32/$NS$32)),0)</f>
        <v/>
      </c>
      <c r="HD32" s="18">
        <f>IF(AND(209&gt;=$NQ$32,209&lt;=$NR$32),IF($NO$32="Single_Point",IF(209=$NQ$32,$NM$32,0),IF($NO$32="Bell_Curve",$NM$32*(209-$NQ$32+1)*($NR$32-209+1)/$NT$32,$NM$32/$NS$32)),0)</f>
        <v/>
      </c>
      <c r="HE32" s="18">
        <f>IF(AND(210&gt;=$NQ$32,210&lt;=$NR$32),IF($NO$32="Single_Point",IF(210=$NQ$32,$NM$32,0),IF($NO$32="Bell_Curve",$NM$32*(210-$NQ$32+1)*($NR$32-210+1)/$NT$32,$NM$32/$NS$32)),0)</f>
        <v/>
      </c>
      <c r="HF32" s="18">
        <f>IF(AND(211&gt;=$NQ$32,211&lt;=$NR$32),IF($NO$32="Single_Point",IF(211=$NQ$32,$NM$32,0),IF($NO$32="Bell_Curve",$NM$32*(211-$NQ$32+1)*($NR$32-211+1)/$NT$32,$NM$32/$NS$32)),0)</f>
        <v/>
      </c>
      <c r="HG32" s="18">
        <f>IF(AND(212&gt;=$NQ$32,212&lt;=$NR$32),IF($NO$32="Single_Point",IF(212=$NQ$32,$NM$32,0),IF($NO$32="Bell_Curve",$NM$32*(212-$NQ$32+1)*($NR$32-212+1)/$NT$32,$NM$32/$NS$32)),0)</f>
        <v/>
      </c>
      <c r="HH32" s="18">
        <f>IF(AND(213&gt;=$NQ$32,213&lt;=$NR$32),IF($NO$32="Single_Point",IF(213=$NQ$32,$NM$32,0),IF($NO$32="Bell_Curve",$NM$32*(213-$NQ$32+1)*($NR$32-213+1)/$NT$32,$NM$32/$NS$32)),0)</f>
        <v/>
      </c>
      <c r="HI32" s="18">
        <f>IF(AND(214&gt;=$NQ$32,214&lt;=$NR$32),IF($NO$32="Single_Point",IF(214=$NQ$32,$NM$32,0),IF($NO$32="Bell_Curve",$NM$32*(214-$NQ$32+1)*($NR$32-214+1)/$NT$32,$NM$32/$NS$32)),0)</f>
        <v/>
      </c>
      <c r="HJ32" s="18">
        <f>IF(AND(215&gt;=$NQ$32,215&lt;=$NR$32),IF($NO$32="Single_Point",IF(215=$NQ$32,$NM$32,0),IF($NO$32="Bell_Curve",$NM$32*(215-$NQ$32+1)*($NR$32-215+1)/$NT$32,$NM$32/$NS$32)),0)</f>
        <v/>
      </c>
      <c r="HK32" s="18">
        <f>IF(AND(216&gt;=$NQ$32,216&lt;=$NR$32),IF($NO$32="Single_Point",IF(216=$NQ$32,$NM$32,0),IF($NO$32="Bell_Curve",$NM$32*(216-$NQ$32+1)*($NR$32-216+1)/$NT$32,$NM$32/$NS$32)),0)</f>
        <v/>
      </c>
      <c r="HL32" s="18">
        <f>IF(AND(217&gt;=$NQ$32,217&lt;=$NR$32),IF($NO$32="Single_Point",IF(217=$NQ$32,$NM$32,0),IF($NO$32="Bell_Curve",$NM$32*(217-$NQ$32+1)*($NR$32-217+1)/$NT$32,$NM$32/$NS$32)),0)</f>
        <v/>
      </c>
      <c r="HM32" s="18">
        <f>IF(AND(218&gt;=$NQ$32,218&lt;=$NR$32),IF($NO$32="Single_Point",IF(218=$NQ$32,$NM$32,0),IF($NO$32="Bell_Curve",$NM$32*(218-$NQ$32+1)*($NR$32-218+1)/$NT$32,$NM$32/$NS$32)),0)</f>
        <v/>
      </c>
      <c r="HN32" s="18">
        <f>IF(AND(219&gt;=$NQ$32,219&lt;=$NR$32),IF($NO$32="Single_Point",IF(219=$NQ$32,$NM$32,0),IF($NO$32="Bell_Curve",$NM$32*(219-$NQ$32+1)*($NR$32-219+1)/$NT$32,$NM$32/$NS$32)),0)</f>
        <v/>
      </c>
      <c r="HO32" s="18">
        <f>IF(AND(220&gt;=$NQ$32,220&lt;=$NR$32),IF($NO$32="Single_Point",IF(220=$NQ$32,$NM$32,0),IF($NO$32="Bell_Curve",$NM$32*(220-$NQ$32+1)*($NR$32-220+1)/$NT$32,$NM$32/$NS$32)),0)</f>
        <v/>
      </c>
      <c r="HP32" s="18">
        <f>IF(AND(221&gt;=$NQ$32,221&lt;=$NR$32),IF($NO$32="Single_Point",IF(221=$NQ$32,$NM$32,0),IF($NO$32="Bell_Curve",$NM$32*(221-$NQ$32+1)*($NR$32-221+1)/$NT$32,$NM$32/$NS$32)),0)</f>
        <v/>
      </c>
      <c r="HQ32" s="18">
        <f>IF(AND(222&gt;=$NQ$32,222&lt;=$NR$32),IF($NO$32="Single_Point",IF(222=$NQ$32,$NM$32,0),IF($NO$32="Bell_Curve",$NM$32*(222-$NQ$32+1)*($NR$32-222+1)/$NT$32,$NM$32/$NS$32)),0)</f>
        <v/>
      </c>
      <c r="HR32" s="18">
        <f>IF(AND(223&gt;=$NQ$32,223&lt;=$NR$32),IF($NO$32="Single_Point",IF(223=$NQ$32,$NM$32,0),IF($NO$32="Bell_Curve",$NM$32*(223-$NQ$32+1)*($NR$32-223+1)/$NT$32,$NM$32/$NS$32)),0)</f>
        <v/>
      </c>
      <c r="HS32" s="18">
        <f>IF(AND(224&gt;=$NQ$32,224&lt;=$NR$32),IF($NO$32="Single_Point",IF(224=$NQ$32,$NM$32,0),IF($NO$32="Bell_Curve",$NM$32*(224-$NQ$32+1)*($NR$32-224+1)/$NT$32,$NM$32/$NS$32)),0)</f>
        <v/>
      </c>
      <c r="HT32" s="18">
        <f>IF(AND(225&gt;=$NQ$32,225&lt;=$NR$32),IF($NO$32="Single_Point",IF(225=$NQ$32,$NM$32,0),IF($NO$32="Bell_Curve",$NM$32*(225-$NQ$32+1)*($NR$32-225+1)/$NT$32,$NM$32/$NS$32)),0)</f>
        <v/>
      </c>
      <c r="HU32" s="18">
        <f>IF(AND(226&gt;=$NQ$32,226&lt;=$NR$32),IF($NO$32="Single_Point",IF(226=$NQ$32,$NM$32,0),IF($NO$32="Bell_Curve",$NM$32*(226-$NQ$32+1)*($NR$32-226+1)/$NT$32,$NM$32/$NS$32)),0)</f>
        <v/>
      </c>
      <c r="HV32" s="18">
        <f>IF(AND(227&gt;=$NQ$32,227&lt;=$NR$32),IF($NO$32="Single_Point",IF(227=$NQ$32,$NM$32,0),IF($NO$32="Bell_Curve",$NM$32*(227-$NQ$32+1)*($NR$32-227+1)/$NT$32,$NM$32/$NS$32)),0)</f>
        <v/>
      </c>
      <c r="HW32" s="18">
        <f>IF(AND(228&gt;=$NQ$32,228&lt;=$NR$32),IF($NO$32="Single_Point",IF(228=$NQ$32,$NM$32,0),IF($NO$32="Bell_Curve",$NM$32*(228-$NQ$32+1)*($NR$32-228+1)/$NT$32,$NM$32/$NS$32)),0)</f>
        <v/>
      </c>
      <c r="HX32" s="18">
        <f>IF(AND(229&gt;=$NQ$32,229&lt;=$NR$32),IF($NO$32="Single_Point",IF(229=$NQ$32,$NM$32,0),IF($NO$32="Bell_Curve",$NM$32*(229-$NQ$32+1)*($NR$32-229+1)/$NT$32,$NM$32/$NS$32)),0)</f>
        <v/>
      </c>
      <c r="HY32" s="18">
        <f>IF(AND(230&gt;=$NQ$32,230&lt;=$NR$32),IF($NO$32="Single_Point",IF(230=$NQ$32,$NM$32,0),IF($NO$32="Bell_Curve",$NM$32*(230-$NQ$32+1)*($NR$32-230+1)/$NT$32,$NM$32/$NS$32)),0)</f>
        <v/>
      </c>
      <c r="HZ32" s="18">
        <f>IF(AND(231&gt;=$NQ$32,231&lt;=$NR$32),IF($NO$32="Single_Point",IF(231=$NQ$32,$NM$32,0),IF($NO$32="Bell_Curve",$NM$32*(231-$NQ$32+1)*($NR$32-231+1)/$NT$32,$NM$32/$NS$32)),0)</f>
        <v/>
      </c>
      <c r="IA32" s="18">
        <f>IF(AND(232&gt;=$NQ$32,232&lt;=$NR$32),IF($NO$32="Single_Point",IF(232=$NQ$32,$NM$32,0),IF($NO$32="Bell_Curve",$NM$32*(232-$NQ$32+1)*($NR$32-232+1)/$NT$32,$NM$32/$NS$32)),0)</f>
        <v/>
      </c>
      <c r="IB32" s="18">
        <f>IF(AND(233&gt;=$NQ$32,233&lt;=$NR$32),IF($NO$32="Single_Point",IF(233=$NQ$32,$NM$32,0),IF($NO$32="Bell_Curve",$NM$32*(233-$NQ$32+1)*($NR$32-233+1)/$NT$32,$NM$32/$NS$32)),0)</f>
        <v/>
      </c>
      <c r="IC32" s="18">
        <f>IF(AND(234&gt;=$NQ$32,234&lt;=$NR$32),IF($NO$32="Single_Point",IF(234=$NQ$32,$NM$32,0),IF($NO$32="Bell_Curve",$NM$32*(234-$NQ$32+1)*($NR$32-234+1)/$NT$32,$NM$32/$NS$32)),0)</f>
        <v/>
      </c>
      <c r="ID32" s="18">
        <f>IF(AND(235&gt;=$NQ$32,235&lt;=$NR$32),IF($NO$32="Single_Point",IF(235=$NQ$32,$NM$32,0),IF($NO$32="Bell_Curve",$NM$32*(235-$NQ$32+1)*($NR$32-235+1)/$NT$32,$NM$32/$NS$32)),0)</f>
        <v/>
      </c>
      <c r="IE32" s="18">
        <f>IF(AND(236&gt;=$NQ$32,236&lt;=$NR$32),IF($NO$32="Single_Point",IF(236=$NQ$32,$NM$32,0),IF($NO$32="Bell_Curve",$NM$32*(236-$NQ$32+1)*($NR$32-236+1)/$NT$32,$NM$32/$NS$32)),0)</f>
        <v/>
      </c>
      <c r="IF32" s="18">
        <f>IF(AND(237&gt;=$NQ$32,237&lt;=$NR$32),IF($NO$32="Single_Point",IF(237=$NQ$32,$NM$32,0),IF($NO$32="Bell_Curve",$NM$32*(237-$NQ$32+1)*($NR$32-237+1)/$NT$32,$NM$32/$NS$32)),0)</f>
        <v/>
      </c>
      <c r="IG32" s="18">
        <f>IF(AND(238&gt;=$NQ$32,238&lt;=$NR$32),IF($NO$32="Single_Point",IF(238=$NQ$32,$NM$32,0),IF($NO$32="Bell_Curve",$NM$32*(238-$NQ$32+1)*($NR$32-238+1)/$NT$32,$NM$32/$NS$32)),0)</f>
        <v/>
      </c>
      <c r="IH32" s="18">
        <f>IF(AND(239&gt;=$NQ$32,239&lt;=$NR$32),IF($NO$32="Single_Point",IF(239=$NQ$32,$NM$32,0),IF($NO$32="Bell_Curve",$NM$32*(239-$NQ$32+1)*($NR$32-239+1)/$NT$32,$NM$32/$NS$32)),0)</f>
        <v/>
      </c>
      <c r="II32" s="18">
        <f>IF(AND(240&gt;=$NQ$32,240&lt;=$NR$32),IF($NO$32="Single_Point",IF(240=$NQ$32,$NM$32,0),IF($NO$32="Bell_Curve",$NM$32*(240-$NQ$32+1)*($NR$32-240+1)/$NT$32,$NM$32/$NS$32)),0)</f>
        <v/>
      </c>
      <c r="IJ32" s="18">
        <f>IF(AND(241&gt;=$NQ$32,241&lt;=$NR$32),IF($NO$32="Single_Point",IF(241=$NQ$32,$NM$32,0),IF($NO$32="Bell_Curve",$NM$32*(241-$NQ$32+1)*($NR$32-241+1)/$NT$32,$NM$32/$NS$32)),0)</f>
        <v/>
      </c>
      <c r="IK32" s="18">
        <f>IF(AND(242&gt;=$NQ$32,242&lt;=$NR$32),IF($NO$32="Single_Point",IF(242=$NQ$32,$NM$32,0),IF($NO$32="Bell_Curve",$NM$32*(242-$NQ$32+1)*($NR$32-242+1)/$NT$32,$NM$32/$NS$32)),0)</f>
        <v/>
      </c>
      <c r="IL32" s="18">
        <f>IF(AND(243&gt;=$NQ$32,243&lt;=$NR$32),IF($NO$32="Single_Point",IF(243=$NQ$32,$NM$32,0),IF($NO$32="Bell_Curve",$NM$32*(243-$NQ$32+1)*($NR$32-243+1)/$NT$32,$NM$32/$NS$32)),0)</f>
        <v/>
      </c>
      <c r="IM32" s="18">
        <f>IF(AND(244&gt;=$NQ$32,244&lt;=$NR$32),IF($NO$32="Single_Point",IF(244=$NQ$32,$NM$32,0),IF($NO$32="Bell_Curve",$NM$32*(244-$NQ$32+1)*($NR$32-244+1)/$NT$32,$NM$32/$NS$32)),0)</f>
        <v/>
      </c>
      <c r="IN32" s="18">
        <f>IF(AND(245&gt;=$NQ$32,245&lt;=$NR$32),IF($NO$32="Single_Point",IF(245=$NQ$32,$NM$32,0),IF($NO$32="Bell_Curve",$NM$32*(245-$NQ$32+1)*($NR$32-245+1)/$NT$32,$NM$32/$NS$32)),0)</f>
        <v/>
      </c>
      <c r="IO32" s="18">
        <f>IF(AND(246&gt;=$NQ$32,246&lt;=$NR$32),IF($NO$32="Single_Point",IF(246=$NQ$32,$NM$32,0),IF($NO$32="Bell_Curve",$NM$32*(246-$NQ$32+1)*($NR$32-246+1)/$NT$32,$NM$32/$NS$32)),0)</f>
        <v/>
      </c>
      <c r="IP32" s="18">
        <f>IF(AND(247&gt;=$NQ$32,247&lt;=$NR$32),IF($NO$32="Single_Point",IF(247=$NQ$32,$NM$32,0),IF($NO$32="Bell_Curve",$NM$32*(247-$NQ$32+1)*($NR$32-247+1)/$NT$32,$NM$32/$NS$32)),0)</f>
        <v/>
      </c>
      <c r="IQ32" s="18">
        <f>IF(AND(248&gt;=$NQ$32,248&lt;=$NR$32),IF($NO$32="Single_Point",IF(248=$NQ$32,$NM$32,0),IF($NO$32="Bell_Curve",$NM$32*(248-$NQ$32+1)*($NR$32-248+1)/$NT$32,$NM$32/$NS$32)),0)</f>
        <v/>
      </c>
      <c r="IR32" s="18">
        <f>IF(AND(249&gt;=$NQ$32,249&lt;=$NR$32),IF($NO$32="Single_Point",IF(249=$NQ$32,$NM$32,0),IF($NO$32="Bell_Curve",$NM$32*(249-$NQ$32+1)*($NR$32-249+1)/$NT$32,$NM$32/$NS$32)),0)</f>
        <v/>
      </c>
      <c r="IS32" s="18">
        <f>IF(AND(250&gt;=$NQ$32,250&lt;=$NR$32),IF($NO$32="Single_Point",IF(250=$NQ$32,$NM$32,0),IF($NO$32="Bell_Curve",$NM$32*(250-$NQ$32+1)*($NR$32-250+1)/$NT$32,$NM$32/$NS$32)),0)</f>
        <v/>
      </c>
      <c r="IT32" s="18">
        <f>IF(AND(251&gt;=$NQ$32,251&lt;=$NR$32),IF($NO$32="Single_Point",IF(251=$NQ$32,$NM$32,0),IF($NO$32="Bell_Curve",$NM$32*(251-$NQ$32+1)*($NR$32-251+1)/$NT$32,$NM$32/$NS$32)),0)</f>
        <v/>
      </c>
      <c r="IU32" s="18">
        <f>IF(AND(252&gt;=$NQ$32,252&lt;=$NR$32),IF($NO$32="Single_Point",IF(252=$NQ$32,$NM$32,0),IF($NO$32="Bell_Curve",$NM$32*(252-$NQ$32+1)*($NR$32-252+1)/$NT$32,$NM$32/$NS$32)),0)</f>
        <v/>
      </c>
      <c r="IV32" s="18">
        <f>IF(AND(253&gt;=$NQ$32,253&lt;=$NR$32),IF($NO$32="Single_Point",IF(253=$NQ$32,$NM$32,0),IF($NO$32="Bell_Curve",$NM$32*(253-$NQ$32+1)*($NR$32-253+1)/$NT$32,$NM$32/$NS$32)),0)</f>
        <v/>
      </c>
      <c r="IW32" s="18">
        <f>IF(AND(254&gt;=$NQ$32,254&lt;=$NR$32),IF($NO$32="Single_Point",IF(254=$NQ$32,$NM$32,0),IF($NO$32="Bell_Curve",$NM$32*(254-$NQ$32+1)*($NR$32-254+1)/$NT$32,$NM$32/$NS$32)),0)</f>
        <v/>
      </c>
      <c r="IX32" s="18">
        <f>IF(AND(255&gt;=$NQ$32,255&lt;=$NR$32),IF($NO$32="Single_Point",IF(255=$NQ$32,$NM$32,0),IF($NO$32="Bell_Curve",$NM$32*(255-$NQ$32+1)*($NR$32-255+1)/$NT$32,$NM$32/$NS$32)),0)</f>
        <v/>
      </c>
      <c r="IY32" s="18">
        <f>IF(AND(256&gt;=$NQ$32,256&lt;=$NR$32),IF($NO$32="Single_Point",IF(256=$NQ$32,$NM$32,0),IF($NO$32="Bell_Curve",$NM$32*(256-$NQ$32+1)*($NR$32-256+1)/$NT$32,$NM$32/$NS$32)),0)</f>
        <v/>
      </c>
      <c r="IZ32" s="18">
        <f>IF(AND(257&gt;=$NQ$32,257&lt;=$NR$32),IF($NO$32="Single_Point",IF(257=$NQ$32,$NM$32,0),IF($NO$32="Bell_Curve",$NM$32*(257-$NQ$32+1)*($NR$32-257+1)/$NT$32,$NM$32/$NS$32)),0)</f>
        <v/>
      </c>
      <c r="JA32" s="18">
        <f>IF(AND(258&gt;=$NQ$32,258&lt;=$NR$32),IF($NO$32="Single_Point",IF(258=$NQ$32,$NM$32,0),IF($NO$32="Bell_Curve",$NM$32*(258-$NQ$32+1)*($NR$32-258+1)/$NT$32,$NM$32/$NS$32)),0)</f>
        <v/>
      </c>
      <c r="JB32" s="18">
        <f>IF(AND(259&gt;=$NQ$32,259&lt;=$NR$32),IF($NO$32="Single_Point",IF(259=$NQ$32,$NM$32,0),IF($NO$32="Bell_Curve",$NM$32*(259-$NQ$32+1)*($NR$32-259+1)/$NT$32,$NM$32/$NS$32)),0)</f>
        <v/>
      </c>
      <c r="JC32" s="18">
        <f>IF(AND(260&gt;=$NQ$32,260&lt;=$NR$32),IF($NO$32="Single_Point",IF(260=$NQ$32,$NM$32,0),IF($NO$32="Bell_Curve",$NM$32*(260-$NQ$32+1)*($NR$32-260+1)/$NT$32,$NM$32/$NS$32)),0)</f>
        <v/>
      </c>
      <c r="JD32" s="18">
        <f>IF(AND(261&gt;=$NQ$32,261&lt;=$NR$32),IF($NO$32="Single_Point",IF(261=$NQ$32,$NM$32,0),IF($NO$32="Bell_Curve",$NM$32*(261-$NQ$32+1)*($NR$32-261+1)/$NT$32,$NM$32/$NS$32)),0)</f>
        <v/>
      </c>
      <c r="JE32" s="18">
        <f>IF(AND(262&gt;=$NQ$32,262&lt;=$NR$32),IF($NO$32="Single_Point",IF(262=$NQ$32,$NM$32,0),IF($NO$32="Bell_Curve",$NM$32*(262-$NQ$32+1)*($NR$32-262+1)/$NT$32,$NM$32/$NS$32)),0)</f>
        <v/>
      </c>
      <c r="JF32" s="18">
        <f>IF(AND(263&gt;=$NQ$32,263&lt;=$NR$32),IF($NO$32="Single_Point",IF(263=$NQ$32,$NM$32,0),IF($NO$32="Bell_Curve",$NM$32*(263-$NQ$32+1)*($NR$32-263+1)/$NT$32,$NM$32/$NS$32)),0)</f>
        <v/>
      </c>
      <c r="JG32" s="18">
        <f>IF(AND(264&gt;=$NQ$32,264&lt;=$NR$32),IF($NO$32="Single_Point",IF(264=$NQ$32,$NM$32,0),IF($NO$32="Bell_Curve",$NM$32*(264-$NQ$32+1)*($NR$32-264+1)/$NT$32,$NM$32/$NS$32)),0)</f>
        <v/>
      </c>
      <c r="JH32" s="18">
        <f>IF(AND(265&gt;=$NQ$32,265&lt;=$NR$32),IF($NO$32="Single_Point",IF(265=$NQ$32,$NM$32,0),IF($NO$32="Bell_Curve",$NM$32*(265-$NQ$32+1)*($NR$32-265+1)/$NT$32,$NM$32/$NS$32)),0)</f>
        <v/>
      </c>
      <c r="JI32" s="18">
        <f>IF(AND(266&gt;=$NQ$32,266&lt;=$NR$32),IF($NO$32="Single_Point",IF(266=$NQ$32,$NM$32,0),IF($NO$32="Bell_Curve",$NM$32*(266-$NQ$32+1)*($NR$32-266+1)/$NT$32,$NM$32/$NS$32)),0)</f>
        <v/>
      </c>
      <c r="JJ32" s="18">
        <f>IF(AND(267&gt;=$NQ$32,267&lt;=$NR$32),IF($NO$32="Single_Point",IF(267=$NQ$32,$NM$32,0),IF($NO$32="Bell_Curve",$NM$32*(267-$NQ$32+1)*($NR$32-267+1)/$NT$32,$NM$32/$NS$32)),0)</f>
        <v/>
      </c>
      <c r="JK32" s="18">
        <f>IF(AND(268&gt;=$NQ$32,268&lt;=$NR$32),IF($NO$32="Single_Point",IF(268=$NQ$32,$NM$32,0),IF($NO$32="Bell_Curve",$NM$32*(268-$NQ$32+1)*($NR$32-268+1)/$NT$32,$NM$32/$NS$32)),0)</f>
        <v/>
      </c>
      <c r="JL32" s="18">
        <f>IF(AND(269&gt;=$NQ$32,269&lt;=$NR$32),IF($NO$32="Single_Point",IF(269=$NQ$32,$NM$32,0),IF($NO$32="Bell_Curve",$NM$32*(269-$NQ$32+1)*($NR$32-269+1)/$NT$32,$NM$32/$NS$32)),0)</f>
        <v/>
      </c>
      <c r="JM32" s="18">
        <f>IF(AND(270&gt;=$NQ$32,270&lt;=$NR$32),IF($NO$32="Single_Point",IF(270=$NQ$32,$NM$32,0),IF($NO$32="Bell_Curve",$NM$32*(270-$NQ$32+1)*($NR$32-270+1)/$NT$32,$NM$32/$NS$32)),0)</f>
        <v/>
      </c>
      <c r="JN32" s="18">
        <f>IF(AND(271&gt;=$NQ$32,271&lt;=$NR$32),IF($NO$32="Single_Point",IF(271=$NQ$32,$NM$32,0),IF($NO$32="Bell_Curve",$NM$32*(271-$NQ$32+1)*($NR$32-271+1)/$NT$32,$NM$32/$NS$32)),0)</f>
        <v/>
      </c>
      <c r="JO32" s="18">
        <f>IF(AND(272&gt;=$NQ$32,272&lt;=$NR$32),IF($NO$32="Single_Point",IF(272=$NQ$32,$NM$32,0),IF($NO$32="Bell_Curve",$NM$32*(272-$NQ$32+1)*($NR$32-272+1)/$NT$32,$NM$32/$NS$32)),0)</f>
        <v/>
      </c>
      <c r="JP32" s="18">
        <f>IF(AND(273&gt;=$NQ$32,273&lt;=$NR$32),IF($NO$32="Single_Point",IF(273=$NQ$32,$NM$32,0),IF($NO$32="Bell_Curve",$NM$32*(273-$NQ$32+1)*($NR$32-273+1)/$NT$32,$NM$32/$NS$32)),0)</f>
        <v/>
      </c>
      <c r="JQ32" s="18">
        <f>IF(AND(274&gt;=$NQ$32,274&lt;=$NR$32),IF($NO$32="Single_Point",IF(274=$NQ$32,$NM$32,0),IF($NO$32="Bell_Curve",$NM$32*(274-$NQ$32+1)*($NR$32-274+1)/$NT$32,$NM$32/$NS$32)),0)</f>
        <v/>
      </c>
      <c r="JR32" s="18">
        <f>IF(AND(275&gt;=$NQ$32,275&lt;=$NR$32),IF($NO$32="Single_Point",IF(275=$NQ$32,$NM$32,0),IF($NO$32="Bell_Curve",$NM$32*(275-$NQ$32+1)*($NR$32-275+1)/$NT$32,$NM$32/$NS$32)),0)</f>
        <v/>
      </c>
      <c r="JS32" s="18">
        <f>IF(AND(276&gt;=$NQ$32,276&lt;=$NR$32),IF($NO$32="Single_Point",IF(276=$NQ$32,$NM$32,0),IF($NO$32="Bell_Curve",$NM$32*(276-$NQ$32+1)*($NR$32-276+1)/$NT$32,$NM$32/$NS$32)),0)</f>
        <v/>
      </c>
      <c r="JT32" s="18">
        <f>IF(AND(277&gt;=$NQ$32,277&lt;=$NR$32),IF($NO$32="Single_Point",IF(277=$NQ$32,$NM$32,0),IF($NO$32="Bell_Curve",$NM$32*(277-$NQ$32+1)*($NR$32-277+1)/$NT$32,$NM$32/$NS$32)),0)</f>
        <v/>
      </c>
      <c r="JU32" s="18">
        <f>IF(AND(278&gt;=$NQ$32,278&lt;=$NR$32),IF($NO$32="Single_Point",IF(278=$NQ$32,$NM$32,0),IF($NO$32="Bell_Curve",$NM$32*(278-$NQ$32+1)*($NR$32-278+1)/$NT$32,$NM$32/$NS$32)),0)</f>
        <v/>
      </c>
      <c r="JV32" s="18">
        <f>IF(AND(279&gt;=$NQ$32,279&lt;=$NR$32),IF($NO$32="Single_Point",IF(279=$NQ$32,$NM$32,0),IF($NO$32="Bell_Curve",$NM$32*(279-$NQ$32+1)*($NR$32-279+1)/$NT$32,$NM$32/$NS$32)),0)</f>
        <v/>
      </c>
      <c r="JW32" s="18">
        <f>IF(AND(280&gt;=$NQ$32,280&lt;=$NR$32),IF($NO$32="Single_Point",IF(280=$NQ$32,$NM$32,0),IF($NO$32="Bell_Curve",$NM$32*(280-$NQ$32+1)*($NR$32-280+1)/$NT$32,$NM$32/$NS$32)),0)</f>
        <v/>
      </c>
      <c r="JX32" s="18">
        <f>IF(AND(281&gt;=$NQ$32,281&lt;=$NR$32),IF($NO$32="Single_Point",IF(281=$NQ$32,$NM$32,0),IF($NO$32="Bell_Curve",$NM$32*(281-$NQ$32+1)*($NR$32-281+1)/$NT$32,$NM$32/$NS$32)),0)</f>
        <v/>
      </c>
      <c r="JY32" s="18">
        <f>IF(AND(282&gt;=$NQ$32,282&lt;=$NR$32),IF($NO$32="Single_Point",IF(282=$NQ$32,$NM$32,0),IF($NO$32="Bell_Curve",$NM$32*(282-$NQ$32+1)*($NR$32-282+1)/$NT$32,$NM$32/$NS$32)),0)</f>
        <v/>
      </c>
      <c r="JZ32" s="18">
        <f>IF(AND(283&gt;=$NQ$32,283&lt;=$NR$32),IF($NO$32="Single_Point",IF(283=$NQ$32,$NM$32,0),IF($NO$32="Bell_Curve",$NM$32*(283-$NQ$32+1)*($NR$32-283+1)/$NT$32,$NM$32/$NS$32)),0)</f>
        <v/>
      </c>
      <c r="KA32" s="18">
        <f>IF(AND(284&gt;=$NQ$32,284&lt;=$NR$32),IF($NO$32="Single_Point",IF(284=$NQ$32,$NM$32,0),IF($NO$32="Bell_Curve",$NM$32*(284-$NQ$32+1)*($NR$32-284+1)/$NT$32,$NM$32/$NS$32)),0)</f>
        <v/>
      </c>
      <c r="KB32" s="18">
        <f>IF(AND(285&gt;=$NQ$32,285&lt;=$NR$32),IF($NO$32="Single_Point",IF(285=$NQ$32,$NM$32,0),IF($NO$32="Bell_Curve",$NM$32*(285-$NQ$32+1)*($NR$32-285+1)/$NT$32,$NM$32/$NS$32)),0)</f>
        <v/>
      </c>
      <c r="KC32" s="18">
        <f>IF(AND(286&gt;=$NQ$32,286&lt;=$NR$32),IF($NO$32="Single_Point",IF(286=$NQ$32,$NM$32,0),IF($NO$32="Bell_Curve",$NM$32*(286-$NQ$32+1)*($NR$32-286+1)/$NT$32,$NM$32/$NS$32)),0)</f>
        <v/>
      </c>
      <c r="KD32" s="18">
        <f>IF(AND(287&gt;=$NQ$32,287&lt;=$NR$32),IF($NO$32="Single_Point",IF(287=$NQ$32,$NM$32,0),IF($NO$32="Bell_Curve",$NM$32*(287-$NQ$32+1)*($NR$32-287+1)/$NT$32,$NM$32/$NS$32)),0)</f>
        <v/>
      </c>
      <c r="KE32" s="18">
        <f>IF(AND(288&gt;=$NQ$32,288&lt;=$NR$32),IF($NO$32="Single_Point",IF(288=$NQ$32,$NM$32,0),IF($NO$32="Bell_Curve",$NM$32*(288-$NQ$32+1)*($NR$32-288+1)/$NT$32,$NM$32/$NS$32)),0)</f>
        <v/>
      </c>
      <c r="KF32" s="18">
        <f>IF(AND(289&gt;=$NQ$32,289&lt;=$NR$32),IF($NO$32="Single_Point",IF(289=$NQ$32,$NM$32,0),IF($NO$32="Bell_Curve",$NM$32*(289-$NQ$32+1)*($NR$32-289+1)/$NT$32,$NM$32/$NS$32)),0)</f>
        <v/>
      </c>
      <c r="KG32" s="18">
        <f>IF(AND(290&gt;=$NQ$32,290&lt;=$NR$32),IF($NO$32="Single_Point",IF(290=$NQ$32,$NM$32,0),IF($NO$32="Bell_Curve",$NM$32*(290-$NQ$32+1)*($NR$32-290+1)/$NT$32,$NM$32/$NS$32)),0)</f>
        <v/>
      </c>
      <c r="KH32" s="18">
        <f>IF(AND(291&gt;=$NQ$32,291&lt;=$NR$32),IF($NO$32="Single_Point",IF(291=$NQ$32,$NM$32,0),IF($NO$32="Bell_Curve",$NM$32*(291-$NQ$32+1)*($NR$32-291+1)/$NT$32,$NM$32/$NS$32)),0)</f>
        <v/>
      </c>
      <c r="KI32" s="18">
        <f>IF(AND(292&gt;=$NQ$32,292&lt;=$NR$32),IF($NO$32="Single_Point",IF(292=$NQ$32,$NM$32,0),IF($NO$32="Bell_Curve",$NM$32*(292-$NQ$32+1)*($NR$32-292+1)/$NT$32,$NM$32/$NS$32)),0)</f>
        <v/>
      </c>
      <c r="KJ32" s="18">
        <f>IF(AND(293&gt;=$NQ$32,293&lt;=$NR$32),IF($NO$32="Single_Point",IF(293=$NQ$32,$NM$32,0),IF($NO$32="Bell_Curve",$NM$32*(293-$NQ$32+1)*($NR$32-293+1)/$NT$32,$NM$32/$NS$32)),0)</f>
        <v/>
      </c>
      <c r="KK32" s="18">
        <f>IF(AND(294&gt;=$NQ$32,294&lt;=$NR$32),IF($NO$32="Single_Point",IF(294=$NQ$32,$NM$32,0),IF($NO$32="Bell_Curve",$NM$32*(294-$NQ$32+1)*($NR$32-294+1)/$NT$32,$NM$32/$NS$32)),0)</f>
        <v/>
      </c>
      <c r="KL32" s="18">
        <f>IF(AND(295&gt;=$NQ$32,295&lt;=$NR$32),IF($NO$32="Single_Point",IF(295=$NQ$32,$NM$32,0),IF($NO$32="Bell_Curve",$NM$32*(295-$NQ$32+1)*($NR$32-295+1)/$NT$32,$NM$32/$NS$32)),0)</f>
        <v/>
      </c>
      <c r="KM32" s="18">
        <f>IF(AND(296&gt;=$NQ$32,296&lt;=$NR$32),IF($NO$32="Single_Point",IF(296=$NQ$32,$NM$32,0),IF($NO$32="Bell_Curve",$NM$32*(296-$NQ$32+1)*($NR$32-296+1)/$NT$32,$NM$32/$NS$32)),0)</f>
        <v/>
      </c>
      <c r="KN32" s="18">
        <f>IF(AND(297&gt;=$NQ$32,297&lt;=$NR$32),IF($NO$32="Single_Point",IF(297=$NQ$32,$NM$32,0),IF($NO$32="Bell_Curve",$NM$32*(297-$NQ$32+1)*($NR$32-297+1)/$NT$32,$NM$32/$NS$32)),0)</f>
        <v/>
      </c>
      <c r="KO32" s="18">
        <f>IF(AND(298&gt;=$NQ$32,298&lt;=$NR$32),IF($NO$32="Single_Point",IF(298=$NQ$32,$NM$32,0),IF($NO$32="Bell_Curve",$NM$32*(298-$NQ$32+1)*($NR$32-298+1)/$NT$32,$NM$32/$NS$32)),0)</f>
        <v/>
      </c>
      <c r="KP32" s="18">
        <f>IF(AND(299&gt;=$NQ$32,299&lt;=$NR$32),IF($NO$32="Single_Point",IF(299=$NQ$32,$NM$32,0),IF($NO$32="Bell_Curve",$NM$32*(299-$NQ$32+1)*($NR$32-299+1)/$NT$32,$NM$32/$NS$32)),0)</f>
        <v/>
      </c>
      <c r="KQ32" s="18">
        <f>IF(AND(300&gt;=$NQ$32,300&lt;=$NR$32),IF($NO$32="Single_Point",IF(300=$NQ$32,$NM$32,0),IF($NO$32="Bell_Curve",$NM$32*(300-$NQ$32+1)*($NR$32-300+1)/$NT$32,$NM$32/$NS$32)),0)</f>
        <v/>
      </c>
      <c r="KR32" s="18">
        <f>IF(AND(301&gt;=$NQ$32,301&lt;=$NR$32),IF($NO$32="Single_Point",IF(301=$NQ$32,$NM$32,0),IF($NO$32="Bell_Curve",$NM$32*(301-$NQ$32+1)*($NR$32-301+1)/$NT$32,$NM$32/$NS$32)),0)</f>
        <v/>
      </c>
      <c r="KS32" s="18">
        <f>IF(AND(302&gt;=$NQ$32,302&lt;=$NR$32),IF($NO$32="Single_Point",IF(302=$NQ$32,$NM$32,0),IF($NO$32="Bell_Curve",$NM$32*(302-$NQ$32+1)*($NR$32-302+1)/$NT$32,$NM$32/$NS$32)),0)</f>
        <v/>
      </c>
      <c r="KT32" s="18">
        <f>IF(AND(303&gt;=$NQ$32,303&lt;=$NR$32),IF($NO$32="Single_Point",IF(303=$NQ$32,$NM$32,0),IF($NO$32="Bell_Curve",$NM$32*(303-$NQ$32+1)*($NR$32-303+1)/$NT$32,$NM$32/$NS$32)),0)</f>
        <v/>
      </c>
      <c r="KU32" s="18">
        <f>IF(AND(304&gt;=$NQ$32,304&lt;=$NR$32),IF($NO$32="Single_Point",IF(304=$NQ$32,$NM$32,0),IF($NO$32="Bell_Curve",$NM$32*(304-$NQ$32+1)*($NR$32-304+1)/$NT$32,$NM$32/$NS$32)),0)</f>
        <v/>
      </c>
      <c r="KV32" s="18">
        <f>IF(AND(305&gt;=$NQ$32,305&lt;=$NR$32),IF($NO$32="Single_Point",IF(305=$NQ$32,$NM$32,0),IF($NO$32="Bell_Curve",$NM$32*(305-$NQ$32+1)*($NR$32-305+1)/$NT$32,$NM$32/$NS$32)),0)</f>
        <v/>
      </c>
      <c r="KW32" s="18">
        <f>IF(AND(306&gt;=$NQ$32,306&lt;=$NR$32),IF($NO$32="Single_Point",IF(306=$NQ$32,$NM$32,0),IF($NO$32="Bell_Curve",$NM$32*(306-$NQ$32+1)*($NR$32-306+1)/$NT$32,$NM$32/$NS$32)),0)</f>
        <v/>
      </c>
      <c r="KX32" s="18">
        <f>IF(AND(307&gt;=$NQ$32,307&lt;=$NR$32),IF($NO$32="Single_Point",IF(307=$NQ$32,$NM$32,0),IF($NO$32="Bell_Curve",$NM$32*(307-$NQ$32+1)*($NR$32-307+1)/$NT$32,$NM$32/$NS$32)),0)</f>
        <v/>
      </c>
      <c r="KY32" s="18">
        <f>IF(AND(308&gt;=$NQ$32,308&lt;=$NR$32),IF($NO$32="Single_Point",IF(308=$NQ$32,$NM$32,0),IF($NO$32="Bell_Curve",$NM$32*(308-$NQ$32+1)*($NR$32-308+1)/$NT$32,$NM$32/$NS$32)),0)</f>
        <v/>
      </c>
      <c r="KZ32" s="18">
        <f>IF(AND(309&gt;=$NQ$32,309&lt;=$NR$32),IF($NO$32="Single_Point",IF(309=$NQ$32,$NM$32,0),IF($NO$32="Bell_Curve",$NM$32*(309-$NQ$32+1)*($NR$32-309+1)/$NT$32,$NM$32/$NS$32)),0)</f>
        <v/>
      </c>
      <c r="LA32" s="18">
        <f>IF(AND(310&gt;=$NQ$32,310&lt;=$NR$32),IF($NO$32="Single_Point",IF(310=$NQ$32,$NM$32,0),IF($NO$32="Bell_Curve",$NM$32*(310-$NQ$32+1)*($NR$32-310+1)/$NT$32,$NM$32/$NS$32)),0)</f>
        <v/>
      </c>
      <c r="LB32" s="18">
        <f>IF(AND(311&gt;=$NQ$32,311&lt;=$NR$32),IF($NO$32="Single_Point",IF(311=$NQ$32,$NM$32,0),IF($NO$32="Bell_Curve",$NM$32*(311-$NQ$32+1)*($NR$32-311+1)/$NT$32,$NM$32/$NS$32)),0)</f>
        <v/>
      </c>
      <c r="LC32" s="18">
        <f>IF(AND(312&gt;=$NQ$32,312&lt;=$NR$32),IF($NO$32="Single_Point",IF(312=$NQ$32,$NM$32,0),IF($NO$32="Bell_Curve",$NM$32*(312-$NQ$32+1)*($NR$32-312+1)/$NT$32,$NM$32/$NS$32)),0)</f>
        <v/>
      </c>
      <c r="LD32" s="18">
        <f>IF(AND(313&gt;=$NQ$32,313&lt;=$NR$32),IF($NO$32="Single_Point",IF(313=$NQ$32,$NM$32,0),IF($NO$32="Bell_Curve",$NM$32*(313-$NQ$32+1)*($NR$32-313+1)/$NT$32,$NM$32/$NS$32)),0)</f>
        <v/>
      </c>
      <c r="LE32" s="18">
        <f>IF(AND(314&gt;=$NQ$32,314&lt;=$NR$32),IF($NO$32="Single_Point",IF(314=$NQ$32,$NM$32,0),IF($NO$32="Bell_Curve",$NM$32*(314-$NQ$32+1)*($NR$32-314+1)/$NT$32,$NM$32/$NS$32)),0)</f>
        <v/>
      </c>
      <c r="LF32" s="18">
        <f>IF(AND(315&gt;=$NQ$32,315&lt;=$NR$32),IF($NO$32="Single_Point",IF(315=$NQ$32,$NM$32,0),IF($NO$32="Bell_Curve",$NM$32*(315-$NQ$32+1)*($NR$32-315+1)/$NT$32,$NM$32/$NS$32)),0)</f>
        <v/>
      </c>
      <c r="LG32" s="18">
        <f>IF(AND(316&gt;=$NQ$32,316&lt;=$NR$32),IF($NO$32="Single_Point",IF(316=$NQ$32,$NM$32,0),IF($NO$32="Bell_Curve",$NM$32*(316-$NQ$32+1)*($NR$32-316+1)/$NT$32,$NM$32/$NS$32)),0)</f>
        <v/>
      </c>
      <c r="LH32" s="18">
        <f>IF(AND(317&gt;=$NQ$32,317&lt;=$NR$32),IF($NO$32="Single_Point",IF(317=$NQ$32,$NM$32,0),IF($NO$32="Bell_Curve",$NM$32*(317-$NQ$32+1)*($NR$32-317+1)/$NT$32,$NM$32/$NS$32)),0)</f>
        <v/>
      </c>
      <c r="LI32" s="18">
        <f>IF(AND(318&gt;=$NQ$32,318&lt;=$NR$32),IF($NO$32="Single_Point",IF(318=$NQ$32,$NM$32,0),IF($NO$32="Bell_Curve",$NM$32*(318-$NQ$32+1)*($NR$32-318+1)/$NT$32,$NM$32/$NS$32)),0)</f>
        <v/>
      </c>
      <c r="LJ32" s="18">
        <f>IF(AND(319&gt;=$NQ$32,319&lt;=$NR$32),IF($NO$32="Single_Point",IF(319=$NQ$32,$NM$32,0),IF($NO$32="Bell_Curve",$NM$32*(319-$NQ$32+1)*($NR$32-319+1)/$NT$32,$NM$32/$NS$32)),0)</f>
        <v/>
      </c>
      <c r="LK32" s="18">
        <f>IF(AND(320&gt;=$NQ$32,320&lt;=$NR$32),IF($NO$32="Single_Point",IF(320=$NQ$32,$NM$32,0),IF($NO$32="Bell_Curve",$NM$32*(320-$NQ$32+1)*($NR$32-320+1)/$NT$32,$NM$32/$NS$32)),0)</f>
        <v/>
      </c>
      <c r="LL32" s="18">
        <f>IF(AND(321&gt;=$NQ$32,321&lt;=$NR$32),IF($NO$32="Single_Point",IF(321=$NQ$32,$NM$32,0),IF($NO$32="Bell_Curve",$NM$32*(321-$NQ$32+1)*($NR$32-321+1)/$NT$32,$NM$32/$NS$32)),0)</f>
        <v/>
      </c>
      <c r="LM32" s="18">
        <f>IF(AND(322&gt;=$NQ$32,322&lt;=$NR$32),IF($NO$32="Single_Point",IF(322=$NQ$32,$NM$32,0),IF($NO$32="Bell_Curve",$NM$32*(322-$NQ$32+1)*($NR$32-322+1)/$NT$32,$NM$32/$NS$32)),0)</f>
        <v/>
      </c>
      <c r="LN32" s="18">
        <f>IF(AND(323&gt;=$NQ$32,323&lt;=$NR$32),IF($NO$32="Single_Point",IF(323=$NQ$32,$NM$32,0),IF($NO$32="Bell_Curve",$NM$32*(323-$NQ$32+1)*($NR$32-323+1)/$NT$32,$NM$32/$NS$32)),0)</f>
        <v/>
      </c>
      <c r="LO32" s="18">
        <f>IF(AND(324&gt;=$NQ$32,324&lt;=$NR$32),IF($NO$32="Single_Point",IF(324=$NQ$32,$NM$32,0),IF($NO$32="Bell_Curve",$NM$32*(324-$NQ$32+1)*($NR$32-324+1)/$NT$32,$NM$32/$NS$32)),0)</f>
        <v/>
      </c>
      <c r="LP32" s="18">
        <f>IF(AND(325&gt;=$NQ$32,325&lt;=$NR$32),IF($NO$32="Single_Point",IF(325=$NQ$32,$NM$32,0),IF($NO$32="Bell_Curve",$NM$32*(325-$NQ$32+1)*($NR$32-325+1)/$NT$32,$NM$32/$NS$32)),0)</f>
        <v/>
      </c>
      <c r="LQ32" s="18">
        <f>IF(AND(326&gt;=$NQ$32,326&lt;=$NR$32),IF($NO$32="Single_Point",IF(326=$NQ$32,$NM$32,0),IF($NO$32="Bell_Curve",$NM$32*(326-$NQ$32+1)*($NR$32-326+1)/$NT$32,$NM$32/$NS$32)),0)</f>
        <v/>
      </c>
      <c r="LR32" s="18">
        <f>IF(AND(327&gt;=$NQ$32,327&lt;=$NR$32),IF($NO$32="Single_Point",IF(327=$NQ$32,$NM$32,0),IF($NO$32="Bell_Curve",$NM$32*(327-$NQ$32+1)*($NR$32-327+1)/$NT$32,$NM$32/$NS$32)),0)</f>
        <v/>
      </c>
      <c r="LS32" s="18">
        <f>IF(AND(328&gt;=$NQ$32,328&lt;=$NR$32),IF($NO$32="Single_Point",IF(328=$NQ$32,$NM$32,0),IF($NO$32="Bell_Curve",$NM$32*(328-$NQ$32+1)*($NR$32-328+1)/$NT$32,$NM$32/$NS$32)),0)</f>
        <v/>
      </c>
      <c r="LT32" s="18">
        <f>IF(AND(329&gt;=$NQ$32,329&lt;=$NR$32),IF($NO$32="Single_Point",IF(329=$NQ$32,$NM$32,0),IF($NO$32="Bell_Curve",$NM$32*(329-$NQ$32+1)*($NR$32-329+1)/$NT$32,$NM$32/$NS$32)),0)</f>
        <v/>
      </c>
      <c r="LU32" s="18">
        <f>IF(AND(330&gt;=$NQ$32,330&lt;=$NR$32),IF($NO$32="Single_Point",IF(330=$NQ$32,$NM$32,0),IF($NO$32="Bell_Curve",$NM$32*(330-$NQ$32+1)*($NR$32-330+1)/$NT$32,$NM$32/$NS$32)),0)</f>
        <v/>
      </c>
      <c r="LV32" s="18">
        <f>IF(AND(331&gt;=$NQ$32,331&lt;=$NR$32),IF($NO$32="Single_Point",IF(331=$NQ$32,$NM$32,0),IF($NO$32="Bell_Curve",$NM$32*(331-$NQ$32+1)*($NR$32-331+1)/$NT$32,$NM$32/$NS$32)),0)</f>
        <v/>
      </c>
      <c r="LW32" s="18">
        <f>IF(AND(332&gt;=$NQ$32,332&lt;=$NR$32),IF($NO$32="Single_Point",IF(332=$NQ$32,$NM$32,0),IF($NO$32="Bell_Curve",$NM$32*(332-$NQ$32+1)*($NR$32-332+1)/$NT$32,$NM$32/$NS$32)),0)</f>
        <v/>
      </c>
      <c r="LX32" s="18">
        <f>IF(AND(333&gt;=$NQ$32,333&lt;=$NR$32),IF($NO$32="Single_Point",IF(333=$NQ$32,$NM$32,0),IF($NO$32="Bell_Curve",$NM$32*(333-$NQ$32+1)*($NR$32-333+1)/$NT$32,$NM$32/$NS$32)),0)</f>
        <v/>
      </c>
      <c r="LY32" s="18">
        <f>IF(AND(334&gt;=$NQ$32,334&lt;=$NR$32),IF($NO$32="Single_Point",IF(334=$NQ$32,$NM$32,0),IF($NO$32="Bell_Curve",$NM$32*(334-$NQ$32+1)*($NR$32-334+1)/$NT$32,$NM$32/$NS$32)),0)</f>
        <v/>
      </c>
      <c r="LZ32" s="18">
        <f>IF(AND(335&gt;=$NQ$32,335&lt;=$NR$32),IF($NO$32="Single_Point",IF(335=$NQ$32,$NM$32,0),IF($NO$32="Bell_Curve",$NM$32*(335-$NQ$32+1)*($NR$32-335+1)/$NT$32,$NM$32/$NS$32)),0)</f>
        <v/>
      </c>
      <c r="MA32" s="18">
        <f>IF(AND(336&gt;=$NQ$32,336&lt;=$NR$32),IF($NO$32="Single_Point",IF(336=$NQ$32,$NM$32,0),IF($NO$32="Bell_Curve",$NM$32*(336-$NQ$32+1)*($NR$32-336+1)/$NT$32,$NM$32/$NS$32)),0)</f>
        <v/>
      </c>
      <c r="MB32" s="18">
        <f>IF(AND(337&gt;=$NQ$32,337&lt;=$NR$32),IF($NO$32="Single_Point",IF(337=$NQ$32,$NM$32,0),IF($NO$32="Bell_Curve",$NM$32*(337-$NQ$32+1)*($NR$32-337+1)/$NT$32,$NM$32/$NS$32)),0)</f>
        <v/>
      </c>
      <c r="MC32" s="18">
        <f>IF(AND(338&gt;=$NQ$32,338&lt;=$NR$32),IF($NO$32="Single_Point",IF(338=$NQ$32,$NM$32,0),IF($NO$32="Bell_Curve",$NM$32*(338-$NQ$32+1)*($NR$32-338+1)/$NT$32,$NM$32/$NS$32)),0)</f>
        <v/>
      </c>
      <c r="MD32" s="18">
        <f>IF(AND(339&gt;=$NQ$32,339&lt;=$NR$32),IF($NO$32="Single_Point",IF(339=$NQ$32,$NM$32,0),IF($NO$32="Bell_Curve",$NM$32*(339-$NQ$32+1)*($NR$32-339+1)/$NT$32,$NM$32/$NS$32)),0)</f>
        <v/>
      </c>
      <c r="ME32" s="18">
        <f>IF(AND(340&gt;=$NQ$32,340&lt;=$NR$32),IF($NO$32="Single_Point",IF(340=$NQ$32,$NM$32,0),IF($NO$32="Bell_Curve",$NM$32*(340-$NQ$32+1)*($NR$32-340+1)/$NT$32,$NM$32/$NS$32)),0)</f>
        <v/>
      </c>
      <c r="MF32" s="18">
        <f>IF(AND(341&gt;=$NQ$32,341&lt;=$NR$32),IF($NO$32="Single_Point",IF(341=$NQ$32,$NM$32,0),IF($NO$32="Bell_Curve",$NM$32*(341-$NQ$32+1)*($NR$32-341+1)/$NT$32,$NM$32/$NS$32)),0)</f>
        <v/>
      </c>
      <c r="MG32" s="18">
        <f>IF(AND(342&gt;=$NQ$32,342&lt;=$NR$32),IF($NO$32="Single_Point",IF(342=$NQ$32,$NM$32,0),IF($NO$32="Bell_Curve",$NM$32*(342-$NQ$32+1)*($NR$32-342+1)/$NT$32,$NM$32/$NS$32)),0)</f>
        <v/>
      </c>
      <c r="MH32" s="18">
        <f>IF(AND(343&gt;=$NQ$32,343&lt;=$NR$32),IF($NO$32="Single_Point",IF(343=$NQ$32,$NM$32,0),IF($NO$32="Bell_Curve",$NM$32*(343-$NQ$32+1)*($NR$32-343+1)/$NT$32,$NM$32/$NS$32)),0)</f>
        <v/>
      </c>
      <c r="MI32" s="18">
        <f>IF(AND(344&gt;=$NQ$32,344&lt;=$NR$32),IF($NO$32="Single_Point",IF(344=$NQ$32,$NM$32,0),IF($NO$32="Bell_Curve",$NM$32*(344-$NQ$32+1)*($NR$32-344+1)/$NT$32,$NM$32/$NS$32)),0)</f>
        <v/>
      </c>
      <c r="MJ32" s="18">
        <f>IF(AND(345&gt;=$NQ$32,345&lt;=$NR$32),IF($NO$32="Single_Point",IF(345=$NQ$32,$NM$32,0),IF($NO$32="Bell_Curve",$NM$32*(345-$NQ$32+1)*($NR$32-345+1)/$NT$32,$NM$32/$NS$32)),0)</f>
        <v/>
      </c>
      <c r="MK32" s="18">
        <f>IF(AND(346&gt;=$NQ$32,346&lt;=$NR$32),IF($NO$32="Single_Point",IF(346=$NQ$32,$NM$32,0),IF($NO$32="Bell_Curve",$NM$32*(346-$NQ$32+1)*($NR$32-346+1)/$NT$32,$NM$32/$NS$32)),0)</f>
        <v/>
      </c>
      <c r="ML32" s="18">
        <f>IF(AND(347&gt;=$NQ$32,347&lt;=$NR$32),IF($NO$32="Single_Point",IF(347=$NQ$32,$NM$32,0),IF($NO$32="Bell_Curve",$NM$32*(347-$NQ$32+1)*($NR$32-347+1)/$NT$32,$NM$32/$NS$32)),0)</f>
        <v/>
      </c>
      <c r="MM32" s="18">
        <f>IF(AND(348&gt;=$NQ$32,348&lt;=$NR$32),IF($NO$32="Single_Point",IF(348=$NQ$32,$NM$32,0),IF($NO$32="Bell_Curve",$NM$32*(348-$NQ$32+1)*($NR$32-348+1)/$NT$32,$NM$32/$NS$32)),0)</f>
        <v/>
      </c>
      <c r="MN32" s="18">
        <f>IF(AND(349&gt;=$NQ$32,349&lt;=$NR$32),IF($NO$32="Single_Point",IF(349=$NQ$32,$NM$32,0),IF($NO$32="Bell_Curve",$NM$32*(349-$NQ$32+1)*($NR$32-349+1)/$NT$32,$NM$32/$NS$32)),0)</f>
        <v/>
      </c>
      <c r="MO32" s="18">
        <f>IF(AND(350&gt;=$NQ$32,350&lt;=$NR$32),IF($NO$32="Single_Point",IF(350=$NQ$32,$NM$32,0),IF($NO$32="Bell_Curve",$NM$32*(350-$NQ$32+1)*($NR$32-350+1)/$NT$32,$NM$32/$NS$32)),0)</f>
        <v/>
      </c>
      <c r="MP32" s="18">
        <f>IF(AND(351&gt;=$NQ$32,351&lt;=$NR$32),IF($NO$32="Single_Point",IF(351=$NQ$32,$NM$32,0),IF($NO$32="Bell_Curve",$NM$32*(351-$NQ$32+1)*($NR$32-351+1)/$NT$32,$NM$32/$NS$32)),0)</f>
        <v/>
      </c>
      <c r="MQ32" s="18">
        <f>IF(AND(352&gt;=$NQ$32,352&lt;=$NR$32),IF($NO$32="Single_Point",IF(352=$NQ$32,$NM$32,0),IF($NO$32="Bell_Curve",$NM$32*(352-$NQ$32+1)*($NR$32-352+1)/$NT$32,$NM$32/$NS$32)),0)</f>
        <v/>
      </c>
      <c r="MR32" s="18">
        <f>IF(AND(353&gt;=$NQ$32,353&lt;=$NR$32),IF($NO$32="Single_Point",IF(353=$NQ$32,$NM$32,0),IF($NO$32="Bell_Curve",$NM$32*(353-$NQ$32+1)*($NR$32-353+1)/$NT$32,$NM$32/$NS$32)),0)</f>
        <v/>
      </c>
      <c r="MS32" s="18">
        <f>IF(AND(354&gt;=$NQ$32,354&lt;=$NR$32),IF($NO$32="Single_Point",IF(354=$NQ$32,$NM$32,0),IF($NO$32="Bell_Curve",$NM$32*(354-$NQ$32+1)*($NR$32-354+1)/$NT$32,$NM$32/$NS$32)),0)</f>
        <v/>
      </c>
      <c r="MT32" s="18">
        <f>IF(AND(355&gt;=$NQ$32,355&lt;=$NR$32),IF($NO$32="Single_Point",IF(355=$NQ$32,$NM$32,0),IF($NO$32="Bell_Curve",$NM$32*(355-$NQ$32+1)*($NR$32-355+1)/$NT$32,$NM$32/$NS$32)),0)</f>
        <v/>
      </c>
      <c r="MU32" s="18">
        <f>IF(AND(356&gt;=$NQ$32,356&lt;=$NR$32),IF($NO$32="Single_Point",IF(356=$NQ$32,$NM$32,0),IF($NO$32="Bell_Curve",$NM$32*(356-$NQ$32+1)*($NR$32-356+1)/$NT$32,$NM$32/$NS$32)),0)</f>
        <v/>
      </c>
      <c r="MV32" s="18">
        <f>IF(AND(357&gt;=$NQ$32,357&lt;=$NR$32),IF($NO$32="Single_Point",IF(357=$NQ$32,$NM$32,0),IF($NO$32="Bell_Curve",$NM$32*(357-$NQ$32+1)*($NR$32-357+1)/$NT$32,$NM$32/$NS$32)),0)</f>
        <v/>
      </c>
      <c r="MW32" s="18">
        <f>IF(AND(358&gt;=$NQ$32,358&lt;=$NR$32),IF($NO$32="Single_Point",IF(358=$NQ$32,$NM$32,0),IF($NO$32="Bell_Curve",$NM$32*(358-$NQ$32+1)*($NR$32-358+1)/$NT$32,$NM$32/$NS$32)),0)</f>
        <v/>
      </c>
      <c r="MX32" s="18">
        <f>IF(AND(359&gt;=$NQ$32,359&lt;=$NR$32),IF($NO$32="Single_Point",IF(359=$NQ$32,$NM$32,0),IF($NO$32="Bell_Curve",$NM$32*(359-$NQ$32+1)*($NR$32-359+1)/$NT$32,$NM$32/$NS$32)),0)</f>
        <v/>
      </c>
      <c r="MY32" s="18">
        <f>IF(AND(360&gt;=$NQ$32,360&lt;=$NR$32),IF($NO$32="Single_Point",IF(360=$NQ$32,$NM$32,0),IF($NO$32="Bell_Curve",$NM$32*(360-$NQ$32+1)*($NR$32-360+1)/$NT$32,$NM$32/$NS$32)),0)</f>
        <v/>
      </c>
      <c r="MZ32" s="18">
        <f>IF(AND(361&gt;=$NQ$32,361&lt;=$NR$32),IF($NO$32="Single_Point",IF(361=$NQ$32,$NM$32,0),IF($NO$32="Bell_Curve",$NM$32*(361-$NQ$32+1)*($NR$32-361+1)/$NT$32,$NM$32/$NS$32)),0)</f>
        <v/>
      </c>
      <c r="NA32" s="18">
        <f>IF(AND(362&gt;=$NQ$32,362&lt;=$NR$32),IF($NO$32="Single_Point",IF(362=$NQ$32,$NM$32,0),IF($NO$32="Bell_Curve",$NM$32*(362-$NQ$32+1)*($NR$32-362+1)/$NT$32,$NM$32/$NS$32)),0)</f>
        <v/>
      </c>
      <c r="NB32" s="18">
        <f>IF(AND(363&gt;=$NQ$32,363&lt;=$NR$32),IF($NO$32="Single_Point",IF(363=$NQ$32,$NM$32,0),IF($NO$32="Bell_Curve",$NM$32*(363-$NQ$32+1)*($NR$32-363+1)/$NT$32,$NM$32/$NS$32)),0)</f>
        <v/>
      </c>
      <c r="NC32" s="18">
        <f>IF(AND(364&gt;=$NQ$32,364&lt;=$NR$32),IF($NO$32="Single_Point",IF(364=$NQ$32,$NM$32,0),IF($NO$32="Bell_Curve",$NM$32*(364-$NQ$32+1)*($NR$32-364+1)/$NT$32,$NM$32/$NS$32)),0)</f>
        <v/>
      </c>
      <c r="ND32" s="18">
        <f>IF(AND(365&gt;=$NQ$32,365&lt;=$NR$32),IF($NO$32="Single_Point",IF(365=$NQ$32,$NM$32,0),IF($NO$32="Bell_Curve",$NM$32*(365-$NQ$32+1)*($NR$32-365+1)/$NT$32,$NM$32/$NS$32)),0)</f>
        <v/>
      </c>
      <c r="NE32" s="18">
        <f>IF(AND(366&gt;=$NQ$32,366&lt;=$NR$32),IF($NO$32="Single_Point",IF(366=$NQ$32,$NM$32,0),IF($NO$32="Bell_Curve",$NM$32*(366-$NQ$32+1)*($NR$32-366+1)/$NT$32,$NM$32/$NS$32)),0)</f>
        <v/>
      </c>
      <c r="NF32" s="18">
        <f>IF(AND(367&gt;=$NQ$32,367&lt;=$NR$32),IF($NO$32="Single_Point",IF(367=$NQ$32,$NM$32,0),IF($NO$32="Bell_Curve",$NM$32*(367-$NQ$32+1)*($NR$32-367+1)/$NT$32,$NM$32/$NS$32)),0)</f>
        <v/>
      </c>
      <c r="NG32" s="18">
        <f>IF(AND(368&gt;=$NQ$32,368&lt;=$NR$32),IF($NO$32="Single_Point",IF(368=$NQ$32,$NM$32,0),IF($NO$32="Bell_Curve",$NM$32*(368-$NQ$32+1)*($NR$32-368+1)/$NT$32,$NM$32/$NS$32)),0)</f>
        <v/>
      </c>
      <c r="NH32" s="18">
        <f>IF(AND(369&gt;=$NQ$32,369&lt;=$NR$32),IF($NO$32="Single_Point",IF(369=$NQ$32,$NM$32,0),IF($NO$32="Bell_Curve",$NM$32*(369-$NQ$32+1)*($NR$32-369+1)/$NT$32,$NM$32/$NS$32)),0)</f>
        <v/>
      </c>
      <c r="NI32" s="18">
        <f>IF(AND(370&gt;=$NQ$32,370&lt;=$NR$32),IF($NO$32="Single_Point",IF(370=$NQ$32,$NM$32,0),IF($NO$32="Bell_Curve",$NM$32*(370-$NQ$32+1)*($NR$32-370+1)/$NT$32,$NM$32/$NS$32)),0)</f>
        <v/>
      </c>
      <c r="NJ32" s="18">
        <f>IF(AND(371&gt;=$NQ$32,371&lt;=$NR$32),IF($NO$32="Single_Point",IF(371=$NQ$32,$NM$32,0),IF($NO$32="Bell_Curve",$NM$32*(371-$NQ$32+1)*($NR$32-371+1)/$NT$32,$NM$32/$NS$32)),0)</f>
        <v/>
      </c>
      <c r="NK32" s="18">
        <f>IF(AND(372&gt;=$NQ$32,372&lt;=$NR$32),IF($NO$32="Single_Point",IF(372=$NQ$32,$NM$32,0),IF($NO$32="Bell_Curve",$NM$32*(372-$NQ$32+1)*($NR$32-372+1)/$NT$32,$NM$32/$NS$32)),0)</f>
        <v/>
      </c>
      <c r="NM32" s="18">
        <f>Budget!I31</f>
        <v/>
      </c>
      <c r="NN32" s="42">
        <f>Budget!F31</f>
        <v/>
      </c>
      <c r="NO32" s="42">
        <f>Budget!G31</f>
        <v/>
      </c>
      <c r="NP32" s="17">
        <f>Budget!H31</f>
        <v/>
      </c>
      <c r="NQ32" s="32">
        <f>MAX(1,MIN(372,INDEX(MilestoneStart,MATCH(NN32,MilestoneNames,0))+NP32))</f>
        <v/>
      </c>
      <c r="NR32" s="32">
        <f>MAX(NQ32,MIN(372,INDEX(MilestoneEnd,MATCH(NN32,MilestoneNames,0))+NP32))</f>
        <v/>
      </c>
      <c r="NS32" s="17">
        <f>NR32-NQ32+1</f>
        <v/>
      </c>
      <c r="NT32" s="17">
        <f>NS32*(NS32+1)*(NS32+2)/6</f>
        <v/>
      </c>
    </row>
    <row r="34">
      <c r="A34" s="21" t="inlineStr">
        <is>
          <t>Total Development Spend</t>
        </is>
      </c>
      <c r="C34" s="41">
        <f>SUM(D34:NK34)</f>
        <v/>
      </c>
      <c r="D34" s="43">
        <f>SUM(D6:D32)</f>
        <v/>
      </c>
      <c r="E34" s="43">
        <f>SUM(E6:E32)</f>
        <v/>
      </c>
      <c r="F34" s="43">
        <f>SUM(F6:F32)</f>
        <v/>
      </c>
      <c r="G34" s="43">
        <f>SUM(G6:G32)</f>
        <v/>
      </c>
      <c r="H34" s="43">
        <f>SUM(H6:H32)</f>
        <v/>
      </c>
      <c r="I34" s="43">
        <f>SUM(I6:I32)</f>
        <v/>
      </c>
      <c r="J34" s="43">
        <f>SUM(J6:J32)</f>
        <v/>
      </c>
      <c r="K34" s="43">
        <f>SUM(K6:K32)</f>
        <v/>
      </c>
      <c r="L34" s="43">
        <f>SUM(L6:L32)</f>
        <v/>
      </c>
      <c r="M34" s="43">
        <f>SUM(M6:M32)</f>
        <v/>
      </c>
      <c r="N34" s="43">
        <f>SUM(N6:N32)</f>
        <v/>
      </c>
      <c r="O34" s="43">
        <f>SUM(O6:O32)</f>
        <v/>
      </c>
      <c r="P34" s="43">
        <f>SUM(P6:P32)</f>
        <v/>
      </c>
      <c r="Q34" s="43">
        <f>SUM(Q6:Q32)</f>
        <v/>
      </c>
      <c r="R34" s="43">
        <f>SUM(R6:R32)</f>
        <v/>
      </c>
      <c r="S34" s="43">
        <f>SUM(S6:S32)</f>
        <v/>
      </c>
      <c r="T34" s="43">
        <f>SUM(T6:T32)</f>
        <v/>
      </c>
      <c r="U34" s="43">
        <f>SUM(U6:U32)</f>
        <v/>
      </c>
      <c r="V34" s="43">
        <f>SUM(V6:V32)</f>
        <v/>
      </c>
      <c r="W34" s="43">
        <f>SUM(W6:W32)</f>
        <v/>
      </c>
      <c r="X34" s="43">
        <f>SUM(X6:X32)</f>
        <v/>
      </c>
      <c r="Y34" s="43">
        <f>SUM(Y6:Y32)</f>
        <v/>
      </c>
      <c r="Z34" s="43">
        <f>SUM(Z6:Z32)</f>
        <v/>
      </c>
      <c r="AA34" s="43">
        <f>SUM(AA6:AA32)</f>
        <v/>
      </c>
      <c r="AB34" s="43">
        <f>SUM(AB6:AB32)</f>
        <v/>
      </c>
      <c r="AC34" s="43">
        <f>SUM(AC6:AC32)</f>
        <v/>
      </c>
      <c r="AD34" s="43">
        <f>SUM(AD6:AD32)</f>
        <v/>
      </c>
      <c r="AE34" s="43">
        <f>SUM(AE6:AE32)</f>
        <v/>
      </c>
      <c r="AF34" s="43">
        <f>SUM(AF6:AF32)</f>
        <v/>
      </c>
      <c r="AG34" s="43">
        <f>SUM(AG6:AG32)</f>
        <v/>
      </c>
      <c r="AH34" s="43">
        <f>SUM(AH6:AH32)</f>
        <v/>
      </c>
      <c r="AI34" s="43">
        <f>SUM(AI6:AI32)</f>
        <v/>
      </c>
      <c r="AJ34" s="43">
        <f>SUM(AJ6:AJ32)</f>
        <v/>
      </c>
      <c r="AK34" s="43">
        <f>SUM(AK6:AK32)</f>
        <v/>
      </c>
      <c r="AL34" s="43">
        <f>SUM(AL6:AL32)</f>
        <v/>
      </c>
      <c r="AM34" s="43">
        <f>SUM(AM6:AM32)</f>
        <v/>
      </c>
      <c r="AN34" s="43">
        <f>SUM(AN6:AN32)</f>
        <v/>
      </c>
      <c r="AO34" s="43">
        <f>SUM(AO6:AO32)</f>
        <v/>
      </c>
      <c r="AP34" s="43">
        <f>SUM(AP6:AP32)</f>
        <v/>
      </c>
      <c r="AQ34" s="43">
        <f>SUM(AQ6:AQ32)</f>
        <v/>
      </c>
      <c r="AR34" s="43">
        <f>SUM(AR6:AR32)</f>
        <v/>
      </c>
      <c r="AS34" s="43">
        <f>SUM(AS6:AS32)</f>
        <v/>
      </c>
      <c r="AT34" s="43">
        <f>SUM(AT6:AT32)</f>
        <v/>
      </c>
      <c r="AU34" s="43">
        <f>SUM(AU6:AU32)</f>
        <v/>
      </c>
      <c r="AV34" s="43">
        <f>SUM(AV6:AV32)</f>
        <v/>
      </c>
      <c r="AW34" s="43">
        <f>SUM(AW6:AW32)</f>
        <v/>
      </c>
      <c r="AX34" s="43">
        <f>SUM(AX6:AX32)</f>
        <v/>
      </c>
      <c r="AY34" s="43">
        <f>SUM(AY6:AY32)</f>
        <v/>
      </c>
      <c r="AZ34" s="43">
        <f>SUM(AZ6:AZ32)</f>
        <v/>
      </c>
      <c r="BA34" s="43">
        <f>SUM(BA6:BA32)</f>
        <v/>
      </c>
      <c r="BB34" s="43">
        <f>SUM(BB6:BB32)</f>
        <v/>
      </c>
      <c r="BC34" s="43">
        <f>SUM(BC6:BC32)</f>
        <v/>
      </c>
      <c r="BD34" s="43">
        <f>SUM(BD6:BD32)</f>
        <v/>
      </c>
      <c r="BE34" s="43">
        <f>SUM(BE6:BE32)</f>
        <v/>
      </c>
      <c r="BF34" s="43">
        <f>SUM(BF6:BF32)</f>
        <v/>
      </c>
      <c r="BG34" s="43">
        <f>SUM(BG6:BG32)</f>
        <v/>
      </c>
      <c r="BH34" s="43">
        <f>SUM(BH6:BH32)</f>
        <v/>
      </c>
      <c r="BI34" s="43">
        <f>SUM(BI6:BI32)</f>
        <v/>
      </c>
      <c r="BJ34" s="43">
        <f>SUM(BJ6:BJ32)</f>
        <v/>
      </c>
      <c r="BK34" s="43">
        <f>SUM(BK6:BK32)</f>
        <v/>
      </c>
      <c r="BL34" s="43">
        <f>SUM(BL6:BL32)</f>
        <v/>
      </c>
      <c r="BM34" s="43">
        <f>SUM(BM6:BM32)</f>
        <v/>
      </c>
      <c r="BN34" s="43">
        <f>SUM(BN6:BN32)</f>
        <v/>
      </c>
      <c r="BO34" s="43">
        <f>SUM(BO6:BO32)</f>
        <v/>
      </c>
      <c r="BP34" s="43">
        <f>SUM(BP6:BP32)</f>
        <v/>
      </c>
      <c r="BQ34" s="43">
        <f>SUM(BQ6:BQ32)</f>
        <v/>
      </c>
      <c r="BR34" s="43">
        <f>SUM(BR6:BR32)</f>
        <v/>
      </c>
      <c r="BS34" s="43">
        <f>SUM(BS6:BS32)</f>
        <v/>
      </c>
      <c r="BT34" s="43">
        <f>SUM(BT6:BT32)</f>
        <v/>
      </c>
      <c r="BU34" s="43">
        <f>SUM(BU6:BU32)</f>
        <v/>
      </c>
      <c r="BV34" s="43">
        <f>SUM(BV6:BV32)</f>
        <v/>
      </c>
      <c r="BW34" s="43">
        <f>SUM(BW6:BW32)</f>
        <v/>
      </c>
      <c r="BX34" s="43">
        <f>SUM(BX6:BX32)</f>
        <v/>
      </c>
      <c r="BY34" s="43">
        <f>SUM(BY6:BY32)</f>
        <v/>
      </c>
      <c r="BZ34" s="43">
        <f>SUM(BZ6:BZ32)</f>
        <v/>
      </c>
      <c r="CA34" s="43">
        <f>SUM(CA6:CA32)</f>
        <v/>
      </c>
      <c r="CB34" s="43">
        <f>SUM(CB6:CB32)</f>
        <v/>
      </c>
      <c r="CC34" s="43">
        <f>SUM(CC6:CC32)</f>
        <v/>
      </c>
      <c r="CD34" s="43">
        <f>SUM(CD6:CD32)</f>
        <v/>
      </c>
      <c r="CE34" s="43">
        <f>SUM(CE6:CE32)</f>
        <v/>
      </c>
      <c r="CF34" s="43">
        <f>SUM(CF6:CF32)</f>
        <v/>
      </c>
      <c r="CG34" s="43">
        <f>SUM(CG6:CG32)</f>
        <v/>
      </c>
      <c r="CH34" s="43">
        <f>SUM(CH6:CH32)</f>
        <v/>
      </c>
      <c r="CI34" s="43">
        <f>SUM(CI6:CI32)</f>
        <v/>
      </c>
      <c r="CJ34" s="43">
        <f>SUM(CJ6:CJ32)</f>
        <v/>
      </c>
      <c r="CK34" s="43">
        <f>SUM(CK6:CK32)</f>
        <v/>
      </c>
      <c r="CL34" s="43">
        <f>SUM(CL6:CL32)</f>
        <v/>
      </c>
      <c r="CM34" s="43">
        <f>SUM(CM6:CM32)</f>
        <v/>
      </c>
      <c r="CN34" s="43">
        <f>SUM(CN6:CN32)</f>
        <v/>
      </c>
      <c r="CO34" s="43">
        <f>SUM(CO6:CO32)</f>
        <v/>
      </c>
      <c r="CP34" s="43">
        <f>SUM(CP6:CP32)</f>
        <v/>
      </c>
      <c r="CQ34" s="43">
        <f>SUM(CQ6:CQ32)</f>
        <v/>
      </c>
      <c r="CR34" s="43">
        <f>SUM(CR6:CR32)</f>
        <v/>
      </c>
      <c r="CS34" s="43">
        <f>SUM(CS6:CS32)</f>
        <v/>
      </c>
      <c r="CT34" s="43">
        <f>SUM(CT6:CT32)</f>
        <v/>
      </c>
      <c r="CU34" s="43">
        <f>SUM(CU6:CU32)</f>
        <v/>
      </c>
      <c r="CV34" s="43">
        <f>SUM(CV6:CV32)</f>
        <v/>
      </c>
      <c r="CW34" s="43">
        <f>SUM(CW6:CW32)</f>
        <v/>
      </c>
      <c r="CX34" s="43">
        <f>SUM(CX6:CX32)</f>
        <v/>
      </c>
      <c r="CY34" s="43">
        <f>SUM(CY6:CY32)</f>
        <v/>
      </c>
      <c r="CZ34" s="43">
        <f>SUM(CZ6:CZ32)</f>
        <v/>
      </c>
      <c r="DA34" s="43">
        <f>SUM(DA6:DA32)</f>
        <v/>
      </c>
      <c r="DB34" s="43">
        <f>SUM(DB6:DB32)</f>
        <v/>
      </c>
      <c r="DC34" s="43">
        <f>SUM(DC6:DC32)</f>
        <v/>
      </c>
      <c r="DD34" s="43">
        <f>SUM(DD6:DD32)</f>
        <v/>
      </c>
      <c r="DE34" s="43">
        <f>SUM(DE6:DE32)</f>
        <v/>
      </c>
      <c r="DF34" s="43">
        <f>SUM(DF6:DF32)</f>
        <v/>
      </c>
      <c r="DG34" s="43">
        <f>SUM(DG6:DG32)</f>
        <v/>
      </c>
      <c r="DH34" s="43">
        <f>SUM(DH6:DH32)</f>
        <v/>
      </c>
      <c r="DI34" s="43">
        <f>SUM(DI6:DI32)</f>
        <v/>
      </c>
      <c r="DJ34" s="43">
        <f>SUM(DJ6:DJ32)</f>
        <v/>
      </c>
      <c r="DK34" s="43">
        <f>SUM(DK6:DK32)</f>
        <v/>
      </c>
      <c r="DL34" s="43">
        <f>SUM(DL6:DL32)</f>
        <v/>
      </c>
      <c r="DM34" s="43">
        <f>SUM(DM6:DM32)</f>
        <v/>
      </c>
      <c r="DN34" s="43">
        <f>SUM(DN6:DN32)</f>
        <v/>
      </c>
      <c r="DO34" s="43">
        <f>SUM(DO6:DO32)</f>
        <v/>
      </c>
      <c r="DP34" s="43">
        <f>SUM(DP6:DP32)</f>
        <v/>
      </c>
      <c r="DQ34" s="43">
        <f>SUM(DQ6:DQ32)</f>
        <v/>
      </c>
      <c r="DR34" s="43">
        <f>SUM(DR6:DR32)</f>
        <v/>
      </c>
      <c r="DS34" s="43">
        <f>SUM(DS6:DS32)</f>
        <v/>
      </c>
      <c r="DT34" s="43">
        <f>SUM(DT6:DT32)</f>
        <v/>
      </c>
      <c r="DU34" s="43">
        <f>SUM(DU6:DU32)</f>
        <v/>
      </c>
      <c r="DV34" s="43">
        <f>SUM(DV6:DV32)</f>
        <v/>
      </c>
      <c r="DW34" s="43">
        <f>SUM(DW6:DW32)</f>
        <v/>
      </c>
      <c r="DX34" s="43">
        <f>SUM(DX6:DX32)</f>
        <v/>
      </c>
      <c r="DY34" s="43">
        <f>SUM(DY6:DY32)</f>
        <v/>
      </c>
      <c r="DZ34" s="43">
        <f>SUM(DZ6:DZ32)</f>
        <v/>
      </c>
      <c r="EA34" s="43">
        <f>SUM(EA6:EA32)</f>
        <v/>
      </c>
      <c r="EB34" s="43">
        <f>SUM(EB6:EB32)</f>
        <v/>
      </c>
      <c r="EC34" s="43">
        <f>SUM(EC6:EC32)</f>
        <v/>
      </c>
      <c r="ED34" s="43">
        <f>SUM(ED6:ED32)</f>
        <v/>
      </c>
      <c r="EE34" s="43">
        <f>SUM(EE6:EE32)</f>
        <v/>
      </c>
      <c r="EF34" s="43">
        <f>SUM(EF6:EF32)</f>
        <v/>
      </c>
      <c r="EG34" s="43">
        <f>SUM(EG6:EG32)</f>
        <v/>
      </c>
      <c r="EH34" s="43">
        <f>SUM(EH6:EH32)</f>
        <v/>
      </c>
      <c r="EI34" s="43">
        <f>SUM(EI6:EI32)</f>
        <v/>
      </c>
      <c r="EJ34" s="43">
        <f>SUM(EJ6:EJ32)</f>
        <v/>
      </c>
      <c r="EK34" s="43">
        <f>SUM(EK6:EK32)</f>
        <v/>
      </c>
      <c r="EL34" s="43">
        <f>SUM(EL6:EL32)</f>
        <v/>
      </c>
      <c r="EM34" s="43">
        <f>SUM(EM6:EM32)</f>
        <v/>
      </c>
      <c r="EN34" s="43">
        <f>SUM(EN6:EN32)</f>
        <v/>
      </c>
      <c r="EO34" s="43">
        <f>SUM(EO6:EO32)</f>
        <v/>
      </c>
      <c r="EP34" s="43">
        <f>SUM(EP6:EP32)</f>
        <v/>
      </c>
      <c r="EQ34" s="43">
        <f>SUM(EQ6:EQ32)</f>
        <v/>
      </c>
      <c r="ER34" s="43">
        <f>SUM(ER6:ER32)</f>
        <v/>
      </c>
      <c r="ES34" s="43">
        <f>SUM(ES6:ES32)</f>
        <v/>
      </c>
      <c r="ET34" s="43">
        <f>SUM(ET6:ET32)</f>
        <v/>
      </c>
      <c r="EU34" s="43">
        <f>SUM(EU6:EU32)</f>
        <v/>
      </c>
      <c r="EV34" s="43">
        <f>SUM(EV6:EV32)</f>
        <v/>
      </c>
      <c r="EW34" s="43">
        <f>SUM(EW6:EW32)</f>
        <v/>
      </c>
      <c r="EX34" s="43">
        <f>SUM(EX6:EX32)</f>
        <v/>
      </c>
      <c r="EY34" s="43">
        <f>SUM(EY6:EY32)</f>
        <v/>
      </c>
      <c r="EZ34" s="43">
        <f>SUM(EZ6:EZ32)</f>
        <v/>
      </c>
      <c r="FA34" s="43">
        <f>SUM(FA6:FA32)</f>
        <v/>
      </c>
      <c r="FB34" s="43">
        <f>SUM(FB6:FB32)</f>
        <v/>
      </c>
      <c r="FC34" s="43">
        <f>SUM(FC6:FC32)</f>
        <v/>
      </c>
      <c r="FD34" s="43">
        <f>SUM(FD6:FD32)</f>
        <v/>
      </c>
      <c r="FE34" s="43">
        <f>SUM(FE6:FE32)</f>
        <v/>
      </c>
      <c r="FF34" s="43">
        <f>SUM(FF6:FF32)</f>
        <v/>
      </c>
      <c r="FG34" s="43">
        <f>SUM(FG6:FG32)</f>
        <v/>
      </c>
      <c r="FH34" s="43">
        <f>SUM(FH6:FH32)</f>
        <v/>
      </c>
      <c r="FI34" s="43">
        <f>SUM(FI6:FI32)</f>
        <v/>
      </c>
      <c r="FJ34" s="43">
        <f>SUM(FJ6:FJ32)</f>
        <v/>
      </c>
      <c r="FK34" s="43">
        <f>SUM(FK6:FK32)</f>
        <v/>
      </c>
      <c r="FL34" s="43">
        <f>SUM(FL6:FL32)</f>
        <v/>
      </c>
      <c r="FM34" s="43">
        <f>SUM(FM6:FM32)</f>
        <v/>
      </c>
      <c r="FN34" s="43">
        <f>SUM(FN6:FN32)</f>
        <v/>
      </c>
      <c r="FO34" s="43">
        <f>SUM(FO6:FO32)</f>
        <v/>
      </c>
      <c r="FP34" s="43">
        <f>SUM(FP6:FP32)</f>
        <v/>
      </c>
      <c r="FQ34" s="43">
        <f>SUM(FQ6:FQ32)</f>
        <v/>
      </c>
      <c r="FR34" s="43">
        <f>SUM(FR6:FR32)</f>
        <v/>
      </c>
      <c r="FS34" s="43">
        <f>SUM(FS6:FS32)</f>
        <v/>
      </c>
      <c r="FT34" s="43">
        <f>SUM(FT6:FT32)</f>
        <v/>
      </c>
      <c r="FU34" s="43">
        <f>SUM(FU6:FU32)</f>
        <v/>
      </c>
      <c r="FV34" s="43">
        <f>SUM(FV6:FV32)</f>
        <v/>
      </c>
      <c r="FW34" s="43">
        <f>SUM(FW6:FW32)</f>
        <v/>
      </c>
      <c r="FX34" s="43">
        <f>SUM(FX6:FX32)</f>
        <v/>
      </c>
      <c r="FY34" s="43">
        <f>SUM(FY6:FY32)</f>
        <v/>
      </c>
      <c r="FZ34" s="43">
        <f>SUM(FZ6:FZ32)</f>
        <v/>
      </c>
      <c r="GA34" s="43">
        <f>SUM(GA6:GA32)</f>
        <v/>
      </c>
      <c r="GB34" s="43">
        <f>SUM(GB6:GB32)</f>
        <v/>
      </c>
      <c r="GC34" s="43">
        <f>SUM(GC6:GC32)</f>
        <v/>
      </c>
      <c r="GD34" s="43">
        <f>SUM(GD6:GD32)</f>
        <v/>
      </c>
      <c r="GE34" s="43">
        <f>SUM(GE6:GE32)</f>
        <v/>
      </c>
      <c r="GF34" s="43">
        <f>SUM(GF6:GF32)</f>
        <v/>
      </c>
      <c r="GG34" s="43">
        <f>SUM(GG6:GG32)</f>
        <v/>
      </c>
      <c r="GH34" s="43">
        <f>SUM(GH6:GH32)</f>
        <v/>
      </c>
      <c r="GI34" s="43">
        <f>SUM(GI6:GI32)</f>
        <v/>
      </c>
      <c r="GJ34" s="43">
        <f>SUM(GJ6:GJ32)</f>
        <v/>
      </c>
      <c r="GK34" s="43">
        <f>SUM(GK6:GK32)</f>
        <v/>
      </c>
      <c r="GL34" s="43">
        <f>SUM(GL6:GL32)</f>
        <v/>
      </c>
      <c r="GM34" s="43">
        <f>SUM(GM6:GM32)</f>
        <v/>
      </c>
      <c r="GN34" s="43">
        <f>SUM(GN6:GN32)</f>
        <v/>
      </c>
      <c r="GO34" s="43">
        <f>SUM(GO6:GO32)</f>
        <v/>
      </c>
      <c r="GP34" s="43">
        <f>SUM(GP6:GP32)</f>
        <v/>
      </c>
      <c r="GQ34" s="43">
        <f>SUM(GQ6:GQ32)</f>
        <v/>
      </c>
      <c r="GR34" s="43">
        <f>SUM(GR6:GR32)</f>
        <v/>
      </c>
      <c r="GS34" s="43">
        <f>SUM(GS6:GS32)</f>
        <v/>
      </c>
      <c r="GT34" s="43">
        <f>SUM(GT6:GT32)</f>
        <v/>
      </c>
      <c r="GU34" s="43">
        <f>SUM(GU6:GU32)</f>
        <v/>
      </c>
      <c r="GV34" s="43">
        <f>SUM(GV6:GV32)</f>
        <v/>
      </c>
      <c r="GW34" s="43">
        <f>SUM(GW6:GW32)</f>
        <v/>
      </c>
      <c r="GX34" s="43">
        <f>SUM(GX6:GX32)</f>
        <v/>
      </c>
      <c r="GY34" s="43">
        <f>SUM(GY6:GY32)</f>
        <v/>
      </c>
      <c r="GZ34" s="43">
        <f>SUM(GZ6:GZ32)</f>
        <v/>
      </c>
      <c r="HA34" s="43">
        <f>SUM(HA6:HA32)</f>
        <v/>
      </c>
      <c r="HB34" s="43">
        <f>SUM(HB6:HB32)</f>
        <v/>
      </c>
      <c r="HC34" s="43">
        <f>SUM(HC6:HC32)</f>
        <v/>
      </c>
      <c r="HD34" s="43">
        <f>SUM(HD6:HD32)</f>
        <v/>
      </c>
      <c r="HE34" s="43">
        <f>SUM(HE6:HE32)</f>
        <v/>
      </c>
      <c r="HF34" s="43">
        <f>SUM(HF6:HF32)</f>
        <v/>
      </c>
      <c r="HG34" s="43">
        <f>SUM(HG6:HG32)</f>
        <v/>
      </c>
      <c r="HH34" s="43">
        <f>SUM(HH6:HH32)</f>
        <v/>
      </c>
      <c r="HI34" s="43">
        <f>SUM(HI6:HI32)</f>
        <v/>
      </c>
      <c r="HJ34" s="43">
        <f>SUM(HJ6:HJ32)</f>
        <v/>
      </c>
      <c r="HK34" s="43">
        <f>SUM(HK6:HK32)</f>
        <v/>
      </c>
      <c r="HL34" s="43">
        <f>SUM(HL6:HL32)</f>
        <v/>
      </c>
      <c r="HM34" s="43">
        <f>SUM(HM6:HM32)</f>
        <v/>
      </c>
      <c r="HN34" s="43">
        <f>SUM(HN6:HN32)</f>
        <v/>
      </c>
      <c r="HO34" s="43">
        <f>SUM(HO6:HO32)</f>
        <v/>
      </c>
      <c r="HP34" s="43">
        <f>SUM(HP6:HP32)</f>
        <v/>
      </c>
      <c r="HQ34" s="43">
        <f>SUM(HQ6:HQ32)</f>
        <v/>
      </c>
      <c r="HR34" s="43">
        <f>SUM(HR6:HR32)</f>
        <v/>
      </c>
      <c r="HS34" s="43">
        <f>SUM(HS6:HS32)</f>
        <v/>
      </c>
      <c r="HT34" s="43">
        <f>SUM(HT6:HT32)</f>
        <v/>
      </c>
      <c r="HU34" s="43">
        <f>SUM(HU6:HU32)</f>
        <v/>
      </c>
      <c r="HV34" s="43">
        <f>SUM(HV6:HV32)</f>
        <v/>
      </c>
      <c r="HW34" s="43">
        <f>SUM(HW6:HW32)</f>
        <v/>
      </c>
      <c r="HX34" s="43">
        <f>SUM(HX6:HX32)</f>
        <v/>
      </c>
      <c r="HY34" s="43">
        <f>SUM(HY6:HY32)</f>
        <v/>
      </c>
      <c r="HZ34" s="43">
        <f>SUM(HZ6:HZ32)</f>
        <v/>
      </c>
      <c r="IA34" s="43">
        <f>SUM(IA6:IA32)</f>
        <v/>
      </c>
      <c r="IB34" s="43">
        <f>SUM(IB6:IB32)</f>
        <v/>
      </c>
      <c r="IC34" s="43">
        <f>SUM(IC6:IC32)</f>
        <v/>
      </c>
      <c r="ID34" s="43">
        <f>SUM(ID6:ID32)</f>
        <v/>
      </c>
      <c r="IE34" s="43">
        <f>SUM(IE6:IE32)</f>
        <v/>
      </c>
      <c r="IF34" s="43">
        <f>SUM(IF6:IF32)</f>
        <v/>
      </c>
      <c r="IG34" s="43">
        <f>SUM(IG6:IG32)</f>
        <v/>
      </c>
      <c r="IH34" s="43">
        <f>SUM(IH6:IH32)</f>
        <v/>
      </c>
      <c r="II34" s="43">
        <f>SUM(II6:II32)</f>
        <v/>
      </c>
      <c r="IJ34" s="43">
        <f>SUM(IJ6:IJ32)</f>
        <v/>
      </c>
      <c r="IK34" s="43">
        <f>SUM(IK6:IK32)</f>
        <v/>
      </c>
      <c r="IL34" s="43">
        <f>SUM(IL6:IL32)</f>
        <v/>
      </c>
      <c r="IM34" s="43">
        <f>SUM(IM6:IM32)</f>
        <v/>
      </c>
      <c r="IN34" s="43">
        <f>SUM(IN6:IN32)</f>
        <v/>
      </c>
      <c r="IO34" s="43">
        <f>SUM(IO6:IO32)</f>
        <v/>
      </c>
      <c r="IP34" s="43">
        <f>SUM(IP6:IP32)</f>
        <v/>
      </c>
      <c r="IQ34" s="43">
        <f>SUM(IQ6:IQ32)</f>
        <v/>
      </c>
      <c r="IR34" s="43">
        <f>SUM(IR6:IR32)</f>
        <v/>
      </c>
      <c r="IS34" s="43">
        <f>SUM(IS6:IS32)</f>
        <v/>
      </c>
      <c r="IT34" s="43">
        <f>SUM(IT6:IT32)</f>
        <v/>
      </c>
      <c r="IU34" s="43">
        <f>SUM(IU6:IU32)</f>
        <v/>
      </c>
      <c r="IV34" s="43">
        <f>SUM(IV6:IV32)</f>
        <v/>
      </c>
      <c r="IW34" s="43">
        <f>SUM(IW6:IW32)</f>
        <v/>
      </c>
      <c r="IX34" s="43">
        <f>SUM(IX6:IX32)</f>
        <v/>
      </c>
      <c r="IY34" s="43">
        <f>SUM(IY6:IY32)</f>
        <v/>
      </c>
      <c r="IZ34" s="43">
        <f>SUM(IZ6:IZ32)</f>
        <v/>
      </c>
      <c r="JA34" s="43">
        <f>SUM(JA6:JA32)</f>
        <v/>
      </c>
      <c r="JB34" s="43">
        <f>SUM(JB6:JB32)</f>
        <v/>
      </c>
      <c r="JC34" s="43">
        <f>SUM(JC6:JC32)</f>
        <v/>
      </c>
      <c r="JD34" s="43">
        <f>SUM(JD6:JD32)</f>
        <v/>
      </c>
      <c r="JE34" s="43">
        <f>SUM(JE6:JE32)</f>
        <v/>
      </c>
      <c r="JF34" s="43">
        <f>SUM(JF6:JF32)</f>
        <v/>
      </c>
      <c r="JG34" s="43">
        <f>SUM(JG6:JG32)</f>
        <v/>
      </c>
      <c r="JH34" s="43">
        <f>SUM(JH6:JH32)</f>
        <v/>
      </c>
      <c r="JI34" s="43">
        <f>SUM(JI6:JI32)</f>
        <v/>
      </c>
      <c r="JJ34" s="43">
        <f>SUM(JJ6:JJ32)</f>
        <v/>
      </c>
      <c r="JK34" s="43">
        <f>SUM(JK6:JK32)</f>
        <v/>
      </c>
      <c r="JL34" s="43">
        <f>SUM(JL6:JL32)</f>
        <v/>
      </c>
      <c r="JM34" s="43">
        <f>SUM(JM6:JM32)</f>
        <v/>
      </c>
      <c r="JN34" s="43">
        <f>SUM(JN6:JN32)</f>
        <v/>
      </c>
      <c r="JO34" s="43">
        <f>SUM(JO6:JO32)</f>
        <v/>
      </c>
      <c r="JP34" s="43">
        <f>SUM(JP6:JP32)</f>
        <v/>
      </c>
      <c r="JQ34" s="43">
        <f>SUM(JQ6:JQ32)</f>
        <v/>
      </c>
      <c r="JR34" s="43">
        <f>SUM(JR6:JR32)</f>
        <v/>
      </c>
      <c r="JS34" s="43">
        <f>SUM(JS6:JS32)</f>
        <v/>
      </c>
      <c r="JT34" s="43">
        <f>SUM(JT6:JT32)</f>
        <v/>
      </c>
      <c r="JU34" s="43">
        <f>SUM(JU6:JU32)</f>
        <v/>
      </c>
      <c r="JV34" s="43">
        <f>SUM(JV6:JV32)</f>
        <v/>
      </c>
      <c r="JW34" s="43">
        <f>SUM(JW6:JW32)</f>
        <v/>
      </c>
      <c r="JX34" s="43">
        <f>SUM(JX6:JX32)</f>
        <v/>
      </c>
      <c r="JY34" s="43">
        <f>SUM(JY6:JY32)</f>
        <v/>
      </c>
      <c r="JZ34" s="43">
        <f>SUM(JZ6:JZ32)</f>
        <v/>
      </c>
      <c r="KA34" s="43">
        <f>SUM(KA6:KA32)</f>
        <v/>
      </c>
      <c r="KB34" s="43">
        <f>SUM(KB6:KB32)</f>
        <v/>
      </c>
      <c r="KC34" s="43">
        <f>SUM(KC6:KC32)</f>
        <v/>
      </c>
      <c r="KD34" s="43">
        <f>SUM(KD6:KD32)</f>
        <v/>
      </c>
      <c r="KE34" s="43">
        <f>SUM(KE6:KE32)</f>
        <v/>
      </c>
      <c r="KF34" s="43">
        <f>SUM(KF6:KF32)</f>
        <v/>
      </c>
      <c r="KG34" s="43">
        <f>SUM(KG6:KG32)</f>
        <v/>
      </c>
      <c r="KH34" s="43">
        <f>SUM(KH6:KH32)</f>
        <v/>
      </c>
      <c r="KI34" s="43">
        <f>SUM(KI6:KI32)</f>
        <v/>
      </c>
      <c r="KJ34" s="43">
        <f>SUM(KJ6:KJ32)</f>
        <v/>
      </c>
      <c r="KK34" s="43">
        <f>SUM(KK6:KK32)</f>
        <v/>
      </c>
      <c r="KL34" s="43">
        <f>SUM(KL6:KL32)</f>
        <v/>
      </c>
      <c r="KM34" s="43">
        <f>SUM(KM6:KM32)</f>
        <v/>
      </c>
      <c r="KN34" s="43">
        <f>SUM(KN6:KN32)</f>
        <v/>
      </c>
      <c r="KO34" s="43">
        <f>SUM(KO6:KO32)</f>
        <v/>
      </c>
      <c r="KP34" s="43">
        <f>SUM(KP6:KP32)</f>
        <v/>
      </c>
      <c r="KQ34" s="43">
        <f>SUM(KQ6:KQ32)</f>
        <v/>
      </c>
      <c r="KR34" s="43">
        <f>SUM(KR6:KR32)</f>
        <v/>
      </c>
      <c r="KS34" s="43">
        <f>SUM(KS6:KS32)</f>
        <v/>
      </c>
      <c r="KT34" s="43">
        <f>SUM(KT6:KT32)</f>
        <v/>
      </c>
      <c r="KU34" s="43">
        <f>SUM(KU6:KU32)</f>
        <v/>
      </c>
      <c r="KV34" s="43">
        <f>SUM(KV6:KV32)</f>
        <v/>
      </c>
      <c r="KW34" s="43">
        <f>SUM(KW6:KW32)</f>
        <v/>
      </c>
      <c r="KX34" s="43">
        <f>SUM(KX6:KX32)</f>
        <v/>
      </c>
      <c r="KY34" s="43">
        <f>SUM(KY6:KY32)</f>
        <v/>
      </c>
      <c r="KZ34" s="43">
        <f>SUM(KZ6:KZ32)</f>
        <v/>
      </c>
      <c r="LA34" s="43">
        <f>SUM(LA6:LA32)</f>
        <v/>
      </c>
      <c r="LB34" s="43">
        <f>SUM(LB6:LB32)</f>
        <v/>
      </c>
      <c r="LC34" s="43">
        <f>SUM(LC6:LC32)</f>
        <v/>
      </c>
      <c r="LD34" s="43">
        <f>SUM(LD6:LD32)</f>
        <v/>
      </c>
      <c r="LE34" s="43">
        <f>SUM(LE6:LE32)</f>
        <v/>
      </c>
      <c r="LF34" s="43">
        <f>SUM(LF6:LF32)</f>
        <v/>
      </c>
      <c r="LG34" s="43">
        <f>SUM(LG6:LG32)</f>
        <v/>
      </c>
      <c r="LH34" s="43">
        <f>SUM(LH6:LH32)</f>
        <v/>
      </c>
      <c r="LI34" s="43">
        <f>SUM(LI6:LI32)</f>
        <v/>
      </c>
      <c r="LJ34" s="43">
        <f>SUM(LJ6:LJ32)</f>
        <v/>
      </c>
      <c r="LK34" s="43">
        <f>SUM(LK6:LK32)</f>
        <v/>
      </c>
      <c r="LL34" s="43">
        <f>SUM(LL6:LL32)</f>
        <v/>
      </c>
      <c r="LM34" s="43">
        <f>SUM(LM6:LM32)</f>
        <v/>
      </c>
      <c r="LN34" s="43">
        <f>SUM(LN6:LN32)</f>
        <v/>
      </c>
      <c r="LO34" s="43">
        <f>SUM(LO6:LO32)</f>
        <v/>
      </c>
      <c r="LP34" s="43">
        <f>SUM(LP6:LP32)</f>
        <v/>
      </c>
      <c r="LQ34" s="43">
        <f>SUM(LQ6:LQ32)</f>
        <v/>
      </c>
      <c r="LR34" s="43">
        <f>SUM(LR6:LR32)</f>
        <v/>
      </c>
      <c r="LS34" s="43">
        <f>SUM(LS6:LS32)</f>
        <v/>
      </c>
      <c r="LT34" s="43">
        <f>SUM(LT6:LT32)</f>
        <v/>
      </c>
      <c r="LU34" s="43">
        <f>SUM(LU6:LU32)</f>
        <v/>
      </c>
      <c r="LV34" s="43">
        <f>SUM(LV6:LV32)</f>
        <v/>
      </c>
      <c r="LW34" s="43">
        <f>SUM(LW6:LW32)</f>
        <v/>
      </c>
      <c r="LX34" s="43">
        <f>SUM(LX6:LX32)</f>
        <v/>
      </c>
      <c r="LY34" s="43">
        <f>SUM(LY6:LY32)</f>
        <v/>
      </c>
      <c r="LZ34" s="43">
        <f>SUM(LZ6:LZ32)</f>
        <v/>
      </c>
      <c r="MA34" s="43">
        <f>SUM(MA6:MA32)</f>
        <v/>
      </c>
      <c r="MB34" s="43">
        <f>SUM(MB6:MB32)</f>
        <v/>
      </c>
      <c r="MC34" s="43">
        <f>SUM(MC6:MC32)</f>
        <v/>
      </c>
      <c r="MD34" s="43">
        <f>SUM(MD6:MD32)</f>
        <v/>
      </c>
      <c r="ME34" s="43">
        <f>SUM(ME6:ME32)</f>
        <v/>
      </c>
      <c r="MF34" s="43">
        <f>SUM(MF6:MF32)</f>
        <v/>
      </c>
      <c r="MG34" s="43">
        <f>SUM(MG6:MG32)</f>
        <v/>
      </c>
      <c r="MH34" s="43">
        <f>SUM(MH6:MH32)</f>
        <v/>
      </c>
      <c r="MI34" s="43">
        <f>SUM(MI6:MI32)</f>
        <v/>
      </c>
      <c r="MJ34" s="43">
        <f>SUM(MJ6:MJ32)</f>
        <v/>
      </c>
      <c r="MK34" s="43">
        <f>SUM(MK6:MK32)</f>
        <v/>
      </c>
      <c r="ML34" s="43">
        <f>SUM(ML6:ML32)</f>
        <v/>
      </c>
      <c r="MM34" s="43">
        <f>SUM(MM6:MM32)</f>
        <v/>
      </c>
      <c r="MN34" s="43">
        <f>SUM(MN6:MN32)</f>
        <v/>
      </c>
      <c r="MO34" s="43">
        <f>SUM(MO6:MO32)</f>
        <v/>
      </c>
      <c r="MP34" s="43">
        <f>SUM(MP6:MP32)</f>
        <v/>
      </c>
      <c r="MQ34" s="43">
        <f>SUM(MQ6:MQ32)</f>
        <v/>
      </c>
      <c r="MR34" s="43">
        <f>SUM(MR6:MR32)</f>
        <v/>
      </c>
      <c r="MS34" s="43">
        <f>SUM(MS6:MS32)</f>
        <v/>
      </c>
      <c r="MT34" s="43">
        <f>SUM(MT6:MT32)</f>
        <v/>
      </c>
      <c r="MU34" s="43">
        <f>SUM(MU6:MU32)</f>
        <v/>
      </c>
      <c r="MV34" s="43">
        <f>SUM(MV6:MV32)</f>
        <v/>
      </c>
      <c r="MW34" s="43">
        <f>SUM(MW6:MW32)</f>
        <v/>
      </c>
      <c r="MX34" s="43">
        <f>SUM(MX6:MX32)</f>
        <v/>
      </c>
      <c r="MY34" s="43">
        <f>SUM(MY6:MY32)</f>
        <v/>
      </c>
      <c r="MZ34" s="43">
        <f>SUM(MZ6:MZ32)</f>
        <v/>
      </c>
      <c r="NA34" s="43">
        <f>SUM(NA6:NA32)</f>
        <v/>
      </c>
      <c r="NB34" s="43">
        <f>SUM(NB6:NB32)</f>
        <v/>
      </c>
      <c r="NC34" s="43">
        <f>SUM(NC6:NC32)</f>
        <v/>
      </c>
      <c r="ND34" s="43">
        <f>SUM(ND6:ND32)</f>
        <v/>
      </c>
      <c r="NE34" s="43">
        <f>SUM(NE6:NE32)</f>
        <v/>
      </c>
      <c r="NF34" s="43">
        <f>SUM(NF6:NF32)</f>
        <v/>
      </c>
      <c r="NG34" s="43">
        <f>SUM(NG6:NG32)</f>
        <v/>
      </c>
      <c r="NH34" s="43">
        <f>SUM(NH6:NH32)</f>
        <v/>
      </c>
      <c r="NI34" s="43">
        <f>SUM(NI6:NI32)</f>
        <v/>
      </c>
      <c r="NJ34" s="43">
        <f>SUM(NJ6:NJ32)</f>
        <v/>
      </c>
      <c r="NK34" s="43">
        <f>SUM(NK6:NK32)</f>
        <v/>
      </c>
    </row>
    <row r="35">
      <c r="A35" s="5" t="inlineStr">
        <is>
          <t>Sponsor Development Fee</t>
        </is>
      </c>
      <c r="C35" s="41">
        <f>SUM(D35:NK35)</f>
        <v/>
      </c>
      <c r="D35" s="18">
        <f>IF(AND(1&gt;=MS_Initial_Closing_Start,1&lt;=MS_Stabilization_Start),DevFee/(MS_Stabilization_Start-MS_Initial_Closing_Start+1),0)</f>
        <v/>
      </c>
      <c r="E35" s="18">
        <f>IF(AND(2&gt;=MS_Initial_Closing_Start,2&lt;=MS_Stabilization_Start),DevFee/(MS_Stabilization_Start-MS_Initial_Closing_Start+1),0)</f>
        <v/>
      </c>
      <c r="F35" s="18">
        <f>IF(AND(3&gt;=MS_Initial_Closing_Start,3&lt;=MS_Stabilization_Start),DevFee/(MS_Stabilization_Start-MS_Initial_Closing_Start+1),0)</f>
        <v/>
      </c>
      <c r="G35" s="18">
        <f>IF(AND(4&gt;=MS_Initial_Closing_Start,4&lt;=MS_Stabilization_Start),DevFee/(MS_Stabilization_Start-MS_Initial_Closing_Start+1),0)</f>
        <v/>
      </c>
      <c r="H35" s="18">
        <f>IF(AND(5&gt;=MS_Initial_Closing_Start,5&lt;=MS_Stabilization_Start),DevFee/(MS_Stabilization_Start-MS_Initial_Closing_Start+1),0)</f>
        <v/>
      </c>
      <c r="I35" s="18">
        <f>IF(AND(6&gt;=MS_Initial_Closing_Start,6&lt;=MS_Stabilization_Start),DevFee/(MS_Stabilization_Start-MS_Initial_Closing_Start+1),0)</f>
        <v/>
      </c>
      <c r="J35" s="18">
        <f>IF(AND(7&gt;=MS_Initial_Closing_Start,7&lt;=MS_Stabilization_Start),DevFee/(MS_Stabilization_Start-MS_Initial_Closing_Start+1),0)</f>
        <v/>
      </c>
      <c r="K35" s="18">
        <f>IF(AND(8&gt;=MS_Initial_Closing_Start,8&lt;=MS_Stabilization_Start),DevFee/(MS_Stabilization_Start-MS_Initial_Closing_Start+1),0)</f>
        <v/>
      </c>
      <c r="L35" s="18">
        <f>IF(AND(9&gt;=MS_Initial_Closing_Start,9&lt;=MS_Stabilization_Start),DevFee/(MS_Stabilization_Start-MS_Initial_Closing_Start+1),0)</f>
        <v/>
      </c>
      <c r="M35" s="18">
        <f>IF(AND(10&gt;=MS_Initial_Closing_Start,10&lt;=MS_Stabilization_Start),DevFee/(MS_Stabilization_Start-MS_Initial_Closing_Start+1),0)</f>
        <v/>
      </c>
      <c r="N35" s="18">
        <f>IF(AND(11&gt;=MS_Initial_Closing_Start,11&lt;=MS_Stabilization_Start),DevFee/(MS_Stabilization_Start-MS_Initial_Closing_Start+1),0)</f>
        <v/>
      </c>
      <c r="O35" s="18">
        <f>IF(AND(12&gt;=MS_Initial_Closing_Start,12&lt;=MS_Stabilization_Start),DevFee/(MS_Stabilization_Start-MS_Initial_Closing_Start+1),0)</f>
        <v/>
      </c>
      <c r="P35" s="18">
        <f>IF(AND(13&gt;=MS_Initial_Closing_Start,13&lt;=MS_Stabilization_Start),DevFee/(MS_Stabilization_Start-MS_Initial_Closing_Start+1),0)</f>
        <v/>
      </c>
      <c r="Q35" s="18">
        <f>IF(AND(14&gt;=MS_Initial_Closing_Start,14&lt;=MS_Stabilization_Start),DevFee/(MS_Stabilization_Start-MS_Initial_Closing_Start+1),0)</f>
        <v/>
      </c>
      <c r="R35" s="18">
        <f>IF(AND(15&gt;=MS_Initial_Closing_Start,15&lt;=MS_Stabilization_Start),DevFee/(MS_Stabilization_Start-MS_Initial_Closing_Start+1),0)</f>
        <v/>
      </c>
      <c r="S35" s="18">
        <f>IF(AND(16&gt;=MS_Initial_Closing_Start,16&lt;=MS_Stabilization_Start),DevFee/(MS_Stabilization_Start-MS_Initial_Closing_Start+1),0)</f>
        <v/>
      </c>
      <c r="T35" s="18">
        <f>IF(AND(17&gt;=MS_Initial_Closing_Start,17&lt;=MS_Stabilization_Start),DevFee/(MS_Stabilization_Start-MS_Initial_Closing_Start+1),0)</f>
        <v/>
      </c>
      <c r="U35" s="18">
        <f>IF(AND(18&gt;=MS_Initial_Closing_Start,18&lt;=MS_Stabilization_Start),DevFee/(MS_Stabilization_Start-MS_Initial_Closing_Start+1),0)</f>
        <v/>
      </c>
      <c r="V35" s="18">
        <f>IF(AND(19&gt;=MS_Initial_Closing_Start,19&lt;=MS_Stabilization_Start),DevFee/(MS_Stabilization_Start-MS_Initial_Closing_Start+1),0)</f>
        <v/>
      </c>
      <c r="W35" s="18">
        <f>IF(AND(20&gt;=MS_Initial_Closing_Start,20&lt;=MS_Stabilization_Start),DevFee/(MS_Stabilization_Start-MS_Initial_Closing_Start+1),0)</f>
        <v/>
      </c>
      <c r="X35" s="18">
        <f>IF(AND(21&gt;=MS_Initial_Closing_Start,21&lt;=MS_Stabilization_Start),DevFee/(MS_Stabilization_Start-MS_Initial_Closing_Start+1),0)</f>
        <v/>
      </c>
      <c r="Y35" s="18">
        <f>IF(AND(22&gt;=MS_Initial_Closing_Start,22&lt;=MS_Stabilization_Start),DevFee/(MS_Stabilization_Start-MS_Initial_Closing_Start+1),0)</f>
        <v/>
      </c>
      <c r="Z35" s="18">
        <f>IF(AND(23&gt;=MS_Initial_Closing_Start,23&lt;=MS_Stabilization_Start),DevFee/(MS_Stabilization_Start-MS_Initial_Closing_Start+1),0)</f>
        <v/>
      </c>
      <c r="AA35" s="18">
        <f>IF(AND(24&gt;=MS_Initial_Closing_Start,24&lt;=MS_Stabilization_Start),DevFee/(MS_Stabilization_Start-MS_Initial_Closing_Start+1),0)</f>
        <v/>
      </c>
      <c r="AB35" s="18">
        <f>IF(AND(25&gt;=MS_Initial_Closing_Start,25&lt;=MS_Stabilization_Start),DevFee/(MS_Stabilization_Start-MS_Initial_Closing_Start+1),0)</f>
        <v/>
      </c>
      <c r="AC35" s="18">
        <f>IF(AND(26&gt;=MS_Initial_Closing_Start,26&lt;=MS_Stabilization_Start),DevFee/(MS_Stabilization_Start-MS_Initial_Closing_Start+1),0)</f>
        <v/>
      </c>
      <c r="AD35" s="18">
        <f>IF(AND(27&gt;=MS_Initial_Closing_Start,27&lt;=MS_Stabilization_Start),DevFee/(MS_Stabilization_Start-MS_Initial_Closing_Start+1),0)</f>
        <v/>
      </c>
      <c r="AE35" s="18">
        <f>IF(AND(28&gt;=MS_Initial_Closing_Start,28&lt;=MS_Stabilization_Start),DevFee/(MS_Stabilization_Start-MS_Initial_Closing_Start+1),0)</f>
        <v/>
      </c>
      <c r="AF35" s="18">
        <f>IF(AND(29&gt;=MS_Initial_Closing_Start,29&lt;=MS_Stabilization_Start),DevFee/(MS_Stabilization_Start-MS_Initial_Closing_Start+1),0)</f>
        <v/>
      </c>
      <c r="AG35" s="18">
        <f>IF(AND(30&gt;=MS_Initial_Closing_Start,30&lt;=MS_Stabilization_Start),DevFee/(MS_Stabilization_Start-MS_Initial_Closing_Start+1),0)</f>
        <v/>
      </c>
      <c r="AH35" s="18">
        <f>IF(AND(31&gt;=MS_Initial_Closing_Start,31&lt;=MS_Stabilization_Start),DevFee/(MS_Stabilization_Start-MS_Initial_Closing_Start+1),0)</f>
        <v/>
      </c>
      <c r="AI35" s="18">
        <f>IF(AND(32&gt;=MS_Initial_Closing_Start,32&lt;=MS_Stabilization_Start),DevFee/(MS_Stabilization_Start-MS_Initial_Closing_Start+1),0)</f>
        <v/>
      </c>
      <c r="AJ35" s="18">
        <f>IF(AND(33&gt;=MS_Initial_Closing_Start,33&lt;=MS_Stabilization_Start),DevFee/(MS_Stabilization_Start-MS_Initial_Closing_Start+1),0)</f>
        <v/>
      </c>
      <c r="AK35" s="18">
        <f>IF(AND(34&gt;=MS_Initial_Closing_Start,34&lt;=MS_Stabilization_Start),DevFee/(MS_Stabilization_Start-MS_Initial_Closing_Start+1),0)</f>
        <v/>
      </c>
      <c r="AL35" s="18">
        <f>IF(AND(35&gt;=MS_Initial_Closing_Start,35&lt;=MS_Stabilization_Start),DevFee/(MS_Stabilization_Start-MS_Initial_Closing_Start+1),0)</f>
        <v/>
      </c>
      <c r="AM35" s="18">
        <f>IF(AND(36&gt;=MS_Initial_Closing_Start,36&lt;=MS_Stabilization_Start),DevFee/(MS_Stabilization_Start-MS_Initial_Closing_Start+1),0)</f>
        <v/>
      </c>
      <c r="AN35" s="18">
        <f>IF(AND(37&gt;=MS_Initial_Closing_Start,37&lt;=MS_Stabilization_Start),DevFee/(MS_Stabilization_Start-MS_Initial_Closing_Start+1),0)</f>
        <v/>
      </c>
      <c r="AO35" s="18">
        <f>IF(AND(38&gt;=MS_Initial_Closing_Start,38&lt;=MS_Stabilization_Start),DevFee/(MS_Stabilization_Start-MS_Initial_Closing_Start+1),0)</f>
        <v/>
      </c>
      <c r="AP35" s="18">
        <f>IF(AND(39&gt;=MS_Initial_Closing_Start,39&lt;=MS_Stabilization_Start),DevFee/(MS_Stabilization_Start-MS_Initial_Closing_Start+1),0)</f>
        <v/>
      </c>
      <c r="AQ35" s="18">
        <f>IF(AND(40&gt;=MS_Initial_Closing_Start,40&lt;=MS_Stabilization_Start),DevFee/(MS_Stabilization_Start-MS_Initial_Closing_Start+1),0)</f>
        <v/>
      </c>
      <c r="AR35" s="18">
        <f>IF(AND(41&gt;=MS_Initial_Closing_Start,41&lt;=MS_Stabilization_Start),DevFee/(MS_Stabilization_Start-MS_Initial_Closing_Start+1),0)</f>
        <v/>
      </c>
      <c r="AS35" s="18">
        <f>IF(AND(42&gt;=MS_Initial_Closing_Start,42&lt;=MS_Stabilization_Start),DevFee/(MS_Stabilization_Start-MS_Initial_Closing_Start+1),0)</f>
        <v/>
      </c>
      <c r="AT35" s="18">
        <f>IF(AND(43&gt;=MS_Initial_Closing_Start,43&lt;=MS_Stabilization_Start),DevFee/(MS_Stabilization_Start-MS_Initial_Closing_Start+1),0)</f>
        <v/>
      </c>
      <c r="AU35" s="18">
        <f>IF(AND(44&gt;=MS_Initial_Closing_Start,44&lt;=MS_Stabilization_Start),DevFee/(MS_Stabilization_Start-MS_Initial_Closing_Start+1),0)</f>
        <v/>
      </c>
      <c r="AV35" s="18">
        <f>IF(AND(45&gt;=MS_Initial_Closing_Start,45&lt;=MS_Stabilization_Start),DevFee/(MS_Stabilization_Start-MS_Initial_Closing_Start+1),0)</f>
        <v/>
      </c>
      <c r="AW35" s="18">
        <f>IF(AND(46&gt;=MS_Initial_Closing_Start,46&lt;=MS_Stabilization_Start),DevFee/(MS_Stabilization_Start-MS_Initial_Closing_Start+1),0)</f>
        <v/>
      </c>
      <c r="AX35" s="18">
        <f>IF(AND(47&gt;=MS_Initial_Closing_Start,47&lt;=MS_Stabilization_Start),DevFee/(MS_Stabilization_Start-MS_Initial_Closing_Start+1),0)</f>
        <v/>
      </c>
      <c r="AY35" s="18">
        <f>IF(AND(48&gt;=MS_Initial_Closing_Start,48&lt;=MS_Stabilization_Start),DevFee/(MS_Stabilization_Start-MS_Initial_Closing_Start+1),0)</f>
        <v/>
      </c>
      <c r="AZ35" s="18">
        <f>IF(AND(49&gt;=MS_Initial_Closing_Start,49&lt;=MS_Stabilization_Start),DevFee/(MS_Stabilization_Start-MS_Initial_Closing_Start+1),0)</f>
        <v/>
      </c>
      <c r="BA35" s="18">
        <f>IF(AND(50&gt;=MS_Initial_Closing_Start,50&lt;=MS_Stabilization_Start),DevFee/(MS_Stabilization_Start-MS_Initial_Closing_Start+1),0)</f>
        <v/>
      </c>
      <c r="BB35" s="18">
        <f>IF(AND(51&gt;=MS_Initial_Closing_Start,51&lt;=MS_Stabilization_Start),DevFee/(MS_Stabilization_Start-MS_Initial_Closing_Start+1),0)</f>
        <v/>
      </c>
      <c r="BC35" s="18">
        <f>IF(AND(52&gt;=MS_Initial_Closing_Start,52&lt;=MS_Stabilization_Start),DevFee/(MS_Stabilization_Start-MS_Initial_Closing_Start+1),0)</f>
        <v/>
      </c>
      <c r="BD35" s="18">
        <f>IF(AND(53&gt;=MS_Initial_Closing_Start,53&lt;=MS_Stabilization_Start),DevFee/(MS_Stabilization_Start-MS_Initial_Closing_Start+1),0)</f>
        <v/>
      </c>
      <c r="BE35" s="18">
        <f>IF(AND(54&gt;=MS_Initial_Closing_Start,54&lt;=MS_Stabilization_Start),DevFee/(MS_Stabilization_Start-MS_Initial_Closing_Start+1),0)</f>
        <v/>
      </c>
      <c r="BF35" s="18">
        <f>IF(AND(55&gt;=MS_Initial_Closing_Start,55&lt;=MS_Stabilization_Start),DevFee/(MS_Stabilization_Start-MS_Initial_Closing_Start+1),0)</f>
        <v/>
      </c>
      <c r="BG35" s="18">
        <f>IF(AND(56&gt;=MS_Initial_Closing_Start,56&lt;=MS_Stabilization_Start),DevFee/(MS_Stabilization_Start-MS_Initial_Closing_Start+1),0)</f>
        <v/>
      </c>
      <c r="BH35" s="18">
        <f>IF(AND(57&gt;=MS_Initial_Closing_Start,57&lt;=MS_Stabilization_Start),DevFee/(MS_Stabilization_Start-MS_Initial_Closing_Start+1),0)</f>
        <v/>
      </c>
      <c r="BI35" s="18">
        <f>IF(AND(58&gt;=MS_Initial_Closing_Start,58&lt;=MS_Stabilization_Start),DevFee/(MS_Stabilization_Start-MS_Initial_Closing_Start+1),0)</f>
        <v/>
      </c>
      <c r="BJ35" s="18">
        <f>IF(AND(59&gt;=MS_Initial_Closing_Start,59&lt;=MS_Stabilization_Start),DevFee/(MS_Stabilization_Start-MS_Initial_Closing_Start+1),0)</f>
        <v/>
      </c>
      <c r="BK35" s="18">
        <f>IF(AND(60&gt;=MS_Initial_Closing_Start,60&lt;=MS_Stabilization_Start),DevFee/(MS_Stabilization_Start-MS_Initial_Closing_Start+1),0)</f>
        <v/>
      </c>
      <c r="BL35" s="18">
        <f>IF(AND(61&gt;=MS_Initial_Closing_Start,61&lt;=MS_Stabilization_Start),DevFee/(MS_Stabilization_Start-MS_Initial_Closing_Start+1),0)</f>
        <v/>
      </c>
      <c r="BM35" s="18">
        <f>IF(AND(62&gt;=MS_Initial_Closing_Start,62&lt;=MS_Stabilization_Start),DevFee/(MS_Stabilization_Start-MS_Initial_Closing_Start+1),0)</f>
        <v/>
      </c>
      <c r="BN35" s="18">
        <f>IF(AND(63&gt;=MS_Initial_Closing_Start,63&lt;=MS_Stabilization_Start),DevFee/(MS_Stabilization_Start-MS_Initial_Closing_Start+1),0)</f>
        <v/>
      </c>
      <c r="BO35" s="18">
        <f>IF(AND(64&gt;=MS_Initial_Closing_Start,64&lt;=MS_Stabilization_Start),DevFee/(MS_Stabilization_Start-MS_Initial_Closing_Start+1),0)</f>
        <v/>
      </c>
      <c r="BP35" s="18">
        <f>IF(AND(65&gt;=MS_Initial_Closing_Start,65&lt;=MS_Stabilization_Start),DevFee/(MS_Stabilization_Start-MS_Initial_Closing_Start+1),0)</f>
        <v/>
      </c>
      <c r="BQ35" s="18">
        <f>IF(AND(66&gt;=MS_Initial_Closing_Start,66&lt;=MS_Stabilization_Start),DevFee/(MS_Stabilization_Start-MS_Initial_Closing_Start+1),0)</f>
        <v/>
      </c>
      <c r="BR35" s="18">
        <f>IF(AND(67&gt;=MS_Initial_Closing_Start,67&lt;=MS_Stabilization_Start),DevFee/(MS_Stabilization_Start-MS_Initial_Closing_Start+1),0)</f>
        <v/>
      </c>
      <c r="BS35" s="18">
        <f>IF(AND(68&gt;=MS_Initial_Closing_Start,68&lt;=MS_Stabilization_Start),DevFee/(MS_Stabilization_Start-MS_Initial_Closing_Start+1),0)</f>
        <v/>
      </c>
      <c r="BT35" s="18">
        <f>IF(AND(69&gt;=MS_Initial_Closing_Start,69&lt;=MS_Stabilization_Start),DevFee/(MS_Stabilization_Start-MS_Initial_Closing_Start+1),0)</f>
        <v/>
      </c>
      <c r="BU35" s="18">
        <f>IF(AND(70&gt;=MS_Initial_Closing_Start,70&lt;=MS_Stabilization_Start),DevFee/(MS_Stabilization_Start-MS_Initial_Closing_Start+1),0)</f>
        <v/>
      </c>
      <c r="BV35" s="18">
        <f>IF(AND(71&gt;=MS_Initial_Closing_Start,71&lt;=MS_Stabilization_Start),DevFee/(MS_Stabilization_Start-MS_Initial_Closing_Start+1),0)</f>
        <v/>
      </c>
      <c r="BW35" s="18">
        <f>IF(AND(72&gt;=MS_Initial_Closing_Start,72&lt;=MS_Stabilization_Start),DevFee/(MS_Stabilization_Start-MS_Initial_Closing_Start+1),0)</f>
        <v/>
      </c>
      <c r="BX35" s="18">
        <f>IF(AND(73&gt;=MS_Initial_Closing_Start,73&lt;=MS_Stabilization_Start),DevFee/(MS_Stabilization_Start-MS_Initial_Closing_Start+1),0)</f>
        <v/>
      </c>
      <c r="BY35" s="18">
        <f>IF(AND(74&gt;=MS_Initial_Closing_Start,74&lt;=MS_Stabilization_Start),DevFee/(MS_Stabilization_Start-MS_Initial_Closing_Start+1),0)</f>
        <v/>
      </c>
      <c r="BZ35" s="18">
        <f>IF(AND(75&gt;=MS_Initial_Closing_Start,75&lt;=MS_Stabilization_Start),DevFee/(MS_Stabilization_Start-MS_Initial_Closing_Start+1),0)</f>
        <v/>
      </c>
      <c r="CA35" s="18">
        <f>IF(AND(76&gt;=MS_Initial_Closing_Start,76&lt;=MS_Stabilization_Start),DevFee/(MS_Stabilization_Start-MS_Initial_Closing_Start+1),0)</f>
        <v/>
      </c>
      <c r="CB35" s="18">
        <f>IF(AND(77&gt;=MS_Initial_Closing_Start,77&lt;=MS_Stabilization_Start),DevFee/(MS_Stabilization_Start-MS_Initial_Closing_Start+1),0)</f>
        <v/>
      </c>
      <c r="CC35" s="18">
        <f>IF(AND(78&gt;=MS_Initial_Closing_Start,78&lt;=MS_Stabilization_Start),DevFee/(MS_Stabilization_Start-MS_Initial_Closing_Start+1),0)</f>
        <v/>
      </c>
      <c r="CD35" s="18">
        <f>IF(AND(79&gt;=MS_Initial_Closing_Start,79&lt;=MS_Stabilization_Start),DevFee/(MS_Stabilization_Start-MS_Initial_Closing_Start+1),0)</f>
        <v/>
      </c>
      <c r="CE35" s="18">
        <f>IF(AND(80&gt;=MS_Initial_Closing_Start,80&lt;=MS_Stabilization_Start),DevFee/(MS_Stabilization_Start-MS_Initial_Closing_Start+1),0)</f>
        <v/>
      </c>
      <c r="CF35" s="18">
        <f>IF(AND(81&gt;=MS_Initial_Closing_Start,81&lt;=MS_Stabilization_Start),DevFee/(MS_Stabilization_Start-MS_Initial_Closing_Start+1),0)</f>
        <v/>
      </c>
      <c r="CG35" s="18">
        <f>IF(AND(82&gt;=MS_Initial_Closing_Start,82&lt;=MS_Stabilization_Start),DevFee/(MS_Stabilization_Start-MS_Initial_Closing_Start+1),0)</f>
        <v/>
      </c>
      <c r="CH35" s="18">
        <f>IF(AND(83&gt;=MS_Initial_Closing_Start,83&lt;=MS_Stabilization_Start),DevFee/(MS_Stabilization_Start-MS_Initial_Closing_Start+1),0)</f>
        <v/>
      </c>
      <c r="CI35" s="18">
        <f>IF(AND(84&gt;=MS_Initial_Closing_Start,84&lt;=MS_Stabilization_Start),DevFee/(MS_Stabilization_Start-MS_Initial_Closing_Start+1),0)</f>
        <v/>
      </c>
      <c r="CJ35" s="18">
        <f>IF(AND(85&gt;=MS_Initial_Closing_Start,85&lt;=MS_Stabilization_Start),DevFee/(MS_Stabilization_Start-MS_Initial_Closing_Start+1),0)</f>
        <v/>
      </c>
      <c r="CK35" s="18">
        <f>IF(AND(86&gt;=MS_Initial_Closing_Start,86&lt;=MS_Stabilization_Start),DevFee/(MS_Stabilization_Start-MS_Initial_Closing_Start+1),0)</f>
        <v/>
      </c>
      <c r="CL35" s="18">
        <f>IF(AND(87&gt;=MS_Initial_Closing_Start,87&lt;=MS_Stabilization_Start),DevFee/(MS_Stabilization_Start-MS_Initial_Closing_Start+1),0)</f>
        <v/>
      </c>
      <c r="CM35" s="18">
        <f>IF(AND(88&gt;=MS_Initial_Closing_Start,88&lt;=MS_Stabilization_Start),DevFee/(MS_Stabilization_Start-MS_Initial_Closing_Start+1),0)</f>
        <v/>
      </c>
      <c r="CN35" s="18">
        <f>IF(AND(89&gt;=MS_Initial_Closing_Start,89&lt;=MS_Stabilization_Start),DevFee/(MS_Stabilization_Start-MS_Initial_Closing_Start+1),0)</f>
        <v/>
      </c>
      <c r="CO35" s="18">
        <f>IF(AND(90&gt;=MS_Initial_Closing_Start,90&lt;=MS_Stabilization_Start),DevFee/(MS_Stabilization_Start-MS_Initial_Closing_Start+1),0)</f>
        <v/>
      </c>
      <c r="CP35" s="18">
        <f>IF(AND(91&gt;=MS_Initial_Closing_Start,91&lt;=MS_Stabilization_Start),DevFee/(MS_Stabilization_Start-MS_Initial_Closing_Start+1),0)</f>
        <v/>
      </c>
      <c r="CQ35" s="18">
        <f>IF(AND(92&gt;=MS_Initial_Closing_Start,92&lt;=MS_Stabilization_Start),DevFee/(MS_Stabilization_Start-MS_Initial_Closing_Start+1),0)</f>
        <v/>
      </c>
      <c r="CR35" s="18">
        <f>IF(AND(93&gt;=MS_Initial_Closing_Start,93&lt;=MS_Stabilization_Start),DevFee/(MS_Stabilization_Start-MS_Initial_Closing_Start+1),0)</f>
        <v/>
      </c>
      <c r="CS35" s="18">
        <f>IF(AND(94&gt;=MS_Initial_Closing_Start,94&lt;=MS_Stabilization_Start),DevFee/(MS_Stabilization_Start-MS_Initial_Closing_Start+1),0)</f>
        <v/>
      </c>
      <c r="CT35" s="18">
        <f>IF(AND(95&gt;=MS_Initial_Closing_Start,95&lt;=MS_Stabilization_Start),DevFee/(MS_Stabilization_Start-MS_Initial_Closing_Start+1),0)</f>
        <v/>
      </c>
      <c r="CU35" s="18">
        <f>IF(AND(96&gt;=MS_Initial_Closing_Start,96&lt;=MS_Stabilization_Start),DevFee/(MS_Stabilization_Start-MS_Initial_Closing_Start+1),0)</f>
        <v/>
      </c>
      <c r="CV35" s="18">
        <f>IF(AND(97&gt;=MS_Initial_Closing_Start,97&lt;=MS_Stabilization_Start),DevFee/(MS_Stabilization_Start-MS_Initial_Closing_Start+1),0)</f>
        <v/>
      </c>
      <c r="CW35" s="18">
        <f>IF(AND(98&gt;=MS_Initial_Closing_Start,98&lt;=MS_Stabilization_Start),DevFee/(MS_Stabilization_Start-MS_Initial_Closing_Start+1),0)</f>
        <v/>
      </c>
      <c r="CX35" s="18">
        <f>IF(AND(99&gt;=MS_Initial_Closing_Start,99&lt;=MS_Stabilization_Start),DevFee/(MS_Stabilization_Start-MS_Initial_Closing_Start+1),0)</f>
        <v/>
      </c>
      <c r="CY35" s="18">
        <f>IF(AND(100&gt;=MS_Initial_Closing_Start,100&lt;=MS_Stabilization_Start),DevFee/(MS_Stabilization_Start-MS_Initial_Closing_Start+1),0)</f>
        <v/>
      </c>
      <c r="CZ35" s="18">
        <f>IF(AND(101&gt;=MS_Initial_Closing_Start,101&lt;=MS_Stabilization_Start),DevFee/(MS_Stabilization_Start-MS_Initial_Closing_Start+1),0)</f>
        <v/>
      </c>
      <c r="DA35" s="18">
        <f>IF(AND(102&gt;=MS_Initial_Closing_Start,102&lt;=MS_Stabilization_Start),DevFee/(MS_Stabilization_Start-MS_Initial_Closing_Start+1),0)</f>
        <v/>
      </c>
      <c r="DB35" s="18">
        <f>IF(AND(103&gt;=MS_Initial_Closing_Start,103&lt;=MS_Stabilization_Start),DevFee/(MS_Stabilization_Start-MS_Initial_Closing_Start+1),0)</f>
        <v/>
      </c>
      <c r="DC35" s="18">
        <f>IF(AND(104&gt;=MS_Initial_Closing_Start,104&lt;=MS_Stabilization_Start),DevFee/(MS_Stabilization_Start-MS_Initial_Closing_Start+1),0)</f>
        <v/>
      </c>
      <c r="DD35" s="18">
        <f>IF(AND(105&gt;=MS_Initial_Closing_Start,105&lt;=MS_Stabilization_Start),DevFee/(MS_Stabilization_Start-MS_Initial_Closing_Start+1),0)</f>
        <v/>
      </c>
      <c r="DE35" s="18">
        <f>IF(AND(106&gt;=MS_Initial_Closing_Start,106&lt;=MS_Stabilization_Start),DevFee/(MS_Stabilization_Start-MS_Initial_Closing_Start+1),0)</f>
        <v/>
      </c>
      <c r="DF35" s="18">
        <f>IF(AND(107&gt;=MS_Initial_Closing_Start,107&lt;=MS_Stabilization_Start),DevFee/(MS_Stabilization_Start-MS_Initial_Closing_Start+1),0)</f>
        <v/>
      </c>
      <c r="DG35" s="18">
        <f>IF(AND(108&gt;=MS_Initial_Closing_Start,108&lt;=MS_Stabilization_Start),DevFee/(MS_Stabilization_Start-MS_Initial_Closing_Start+1),0)</f>
        <v/>
      </c>
      <c r="DH35" s="18">
        <f>IF(AND(109&gt;=MS_Initial_Closing_Start,109&lt;=MS_Stabilization_Start),DevFee/(MS_Stabilization_Start-MS_Initial_Closing_Start+1),0)</f>
        <v/>
      </c>
      <c r="DI35" s="18">
        <f>IF(AND(110&gt;=MS_Initial_Closing_Start,110&lt;=MS_Stabilization_Start),DevFee/(MS_Stabilization_Start-MS_Initial_Closing_Start+1),0)</f>
        <v/>
      </c>
      <c r="DJ35" s="18">
        <f>IF(AND(111&gt;=MS_Initial_Closing_Start,111&lt;=MS_Stabilization_Start),DevFee/(MS_Stabilization_Start-MS_Initial_Closing_Start+1),0)</f>
        <v/>
      </c>
      <c r="DK35" s="18">
        <f>IF(AND(112&gt;=MS_Initial_Closing_Start,112&lt;=MS_Stabilization_Start),DevFee/(MS_Stabilization_Start-MS_Initial_Closing_Start+1),0)</f>
        <v/>
      </c>
      <c r="DL35" s="18">
        <f>IF(AND(113&gt;=MS_Initial_Closing_Start,113&lt;=MS_Stabilization_Start),DevFee/(MS_Stabilization_Start-MS_Initial_Closing_Start+1),0)</f>
        <v/>
      </c>
      <c r="DM35" s="18">
        <f>IF(AND(114&gt;=MS_Initial_Closing_Start,114&lt;=MS_Stabilization_Start),DevFee/(MS_Stabilization_Start-MS_Initial_Closing_Start+1),0)</f>
        <v/>
      </c>
      <c r="DN35" s="18">
        <f>IF(AND(115&gt;=MS_Initial_Closing_Start,115&lt;=MS_Stabilization_Start),DevFee/(MS_Stabilization_Start-MS_Initial_Closing_Start+1),0)</f>
        <v/>
      </c>
      <c r="DO35" s="18">
        <f>IF(AND(116&gt;=MS_Initial_Closing_Start,116&lt;=MS_Stabilization_Start),DevFee/(MS_Stabilization_Start-MS_Initial_Closing_Start+1),0)</f>
        <v/>
      </c>
      <c r="DP35" s="18">
        <f>IF(AND(117&gt;=MS_Initial_Closing_Start,117&lt;=MS_Stabilization_Start),DevFee/(MS_Stabilization_Start-MS_Initial_Closing_Start+1),0)</f>
        <v/>
      </c>
      <c r="DQ35" s="18">
        <f>IF(AND(118&gt;=MS_Initial_Closing_Start,118&lt;=MS_Stabilization_Start),DevFee/(MS_Stabilization_Start-MS_Initial_Closing_Start+1),0)</f>
        <v/>
      </c>
      <c r="DR35" s="18">
        <f>IF(AND(119&gt;=MS_Initial_Closing_Start,119&lt;=MS_Stabilization_Start),DevFee/(MS_Stabilization_Start-MS_Initial_Closing_Start+1),0)</f>
        <v/>
      </c>
      <c r="DS35" s="18">
        <f>IF(AND(120&gt;=MS_Initial_Closing_Start,120&lt;=MS_Stabilization_Start),DevFee/(MS_Stabilization_Start-MS_Initial_Closing_Start+1),0)</f>
        <v/>
      </c>
      <c r="DT35" s="18">
        <f>IF(AND(121&gt;=MS_Initial_Closing_Start,121&lt;=MS_Stabilization_Start),DevFee/(MS_Stabilization_Start-MS_Initial_Closing_Start+1),0)</f>
        <v/>
      </c>
      <c r="DU35" s="18">
        <f>IF(AND(122&gt;=MS_Initial_Closing_Start,122&lt;=MS_Stabilization_Start),DevFee/(MS_Stabilization_Start-MS_Initial_Closing_Start+1),0)</f>
        <v/>
      </c>
      <c r="DV35" s="18">
        <f>IF(AND(123&gt;=MS_Initial_Closing_Start,123&lt;=MS_Stabilization_Start),DevFee/(MS_Stabilization_Start-MS_Initial_Closing_Start+1),0)</f>
        <v/>
      </c>
      <c r="DW35" s="18">
        <f>IF(AND(124&gt;=MS_Initial_Closing_Start,124&lt;=MS_Stabilization_Start),DevFee/(MS_Stabilization_Start-MS_Initial_Closing_Start+1),0)</f>
        <v/>
      </c>
      <c r="DX35" s="18">
        <f>IF(AND(125&gt;=MS_Initial_Closing_Start,125&lt;=MS_Stabilization_Start),DevFee/(MS_Stabilization_Start-MS_Initial_Closing_Start+1),0)</f>
        <v/>
      </c>
      <c r="DY35" s="18">
        <f>IF(AND(126&gt;=MS_Initial_Closing_Start,126&lt;=MS_Stabilization_Start),DevFee/(MS_Stabilization_Start-MS_Initial_Closing_Start+1),0)</f>
        <v/>
      </c>
      <c r="DZ35" s="18">
        <f>IF(AND(127&gt;=MS_Initial_Closing_Start,127&lt;=MS_Stabilization_Start),DevFee/(MS_Stabilization_Start-MS_Initial_Closing_Start+1),0)</f>
        <v/>
      </c>
      <c r="EA35" s="18">
        <f>IF(AND(128&gt;=MS_Initial_Closing_Start,128&lt;=MS_Stabilization_Start),DevFee/(MS_Stabilization_Start-MS_Initial_Closing_Start+1),0)</f>
        <v/>
      </c>
      <c r="EB35" s="18">
        <f>IF(AND(129&gt;=MS_Initial_Closing_Start,129&lt;=MS_Stabilization_Start),DevFee/(MS_Stabilization_Start-MS_Initial_Closing_Start+1),0)</f>
        <v/>
      </c>
      <c r="EC35" s="18">
        <f>IF(AND(130&gt;=MS_Initial_Closing_Start,130&lt;=MS_Stabilization_Start),DevFee/(MS_Stabilization_Start-MS_Initial_Closing_Start+1),0)</f>
        <v/>
      </c>
      <c r="ED35" s="18">
        <f>IF(AND(131&gt;=MS_Initial_Closing_Start,131&lt;=MS_Stabilization_Start),DevFee/(MS_Stabilization_Start-MS_Initial_Closing_Start+1),0)</f>
        <v/>
      </c>
      <c r="EE35" s="18">
        <f>IF(AND(132&gt;=MS_Initial_Closing_Start,132&lt;=MS_Stabilization_Start),DevFee/(MS_Stabilization_Start-MS_Initial_Closing_Start+1),0)</f>
        <v/>
      </c>
      <c r="EF35" s="18">
        <f>IF(AND(133&gt;=MS_Initial_Closing_Start,133&lt;=MS_Stabilization_Start),DevFee/(MS_Stabilization_Start-MS_Initial_Closing_Start+1),0)</f>
        <v/>
      </c>
      <c r="EG35" s="18">
        <f>IF(AND(134&gt;=MS_Initial_Closing_Start,134&lt;=MS_Stabilization_Start),DevFee/(MS_Stabilization_Start-MS_Initial_Closing_Start+1),0)</f>
        <v/>
      </c>
      <c r="EH35" s="18">
        <f>IF(AND(135&gt;=MS_Initial_Closing_Start,135&lt;=MS_Stabilization_Start),DevFee/(MS_Stabilization_Start-MS_Initial_Closing_Start+1),0)</f>
        <v/>
      </c>
      <c r="EI35" s="18">
        <f>IF(AND(136&gt;=MS_Initial_Closing_Start,136&lt;=MS_Stabilization_Start),DevFee/(MS_Stabilization_Start-MS_Initial_Closing_Start+1),0)</f>
        <v/>
      </c>
      <c r="EJ35" s="18">
        <f>IF(AND(137&gt;=MS_Initial_Closing_Start,137&lt;=MS_Stabilization_Start),DevFee/(MS_Stabilization_Start-MS_Initial_Closing_Start+1),0)</f>
        <v/>
      </c>
      <c r="EK35" s="18">
        <f>IF(AND(138&gt;=MS_Initial_Closing_Start,138&lt;=MS_Stabilization_Start),DevFee/(MS_Stabilization_Start-MS_Initial_Closing_Start+1),0)</f>
        <v/>
      </c>
      <c r="EL35" s="18">
        <f>IF(AND(139&gt;=MS_Initial_Closing_Start,139&lt;=MS_Stabilization_Start),DevFee/(MS_Stabilization_Start-MS_Initial_Closing_Start+1),0)</f>
        <v/>
      </c>
      <c r="EM35" s="18">
        <f>IF(AND(140&gt;=MS_Initial_Closing_Start,140&lt;=MS_Stabilization_Start),DevFee/(MS_Stabilization_Start-MS_Initial_Closing_Start+1),0)</f>
        <v/>
      </c>
      <c r="EN35" s="18">
        <f>IF(AND(141&gt;=MS_Initial_Closing_Start,141&lt;=MS_Stabilization_Start),DevFee/(MS_Stabilization_Start-MS_Initial_Closing_Start+1),0)</f>
        <v/>
      </c>
      <c r="EO35" s="18">
        <f>IF(AND(142&gt;=MS_Initial_Closing_Start,142&lt;=MS_Stabilization_Start),DevFee/(MS_Stabilization_Start-MS_Initial_Closing_Start+1),0)</f>
        <v/>
      </c>
      <c r="EP35" s="18">
        <f>IF(AND(143&gt;=MS_Initial_Closing_Start,143&lt;=MS_Stabilization_Start),DevFee/(MS_Stabilization_Start-MS_Initial_Closing_Start+1),0)</f>
        <v/>
      </c>
      <c r="EQ35" s="18">
        <f>IF(AND(144&gt;=MS_Initial_Closing_Start,144&lt;=MS_Stabilization_Start),DevFee/(MS_Stabilization_Start-MS_Initial_Closing_Start+1),0)</f>
        <v/>
      </c>
      <c r="ER35" s="18">
        <f>IF(AND(145&gt;=MS_Initial_Closing_Start,145&lt;=MS_Stabilization_Start),DevFee/(MS_Stabilization_Start-MS_Initial_Closing_Start+1),0)</f>
        <v/>
      </c>
      <c r="ES35" s="18">
        <f>IF(AND(146&gt;=MS_Initial_Closing_Start,146&lt;=MS_Stabilization_Start),DevFee/(MS_Stabilization_Start-MS_Initial_Closing_Start+1),0)</f>
        <v/>
      </c>
      <c r="ET35" s="18">
        <f>IF(AND(147&gt;=MS_Initial_Closing_Start,147&lt;=MS_Stabilization_Start),DevFee/(MS_Stabilization_Start-MS_Initial_Closing_Start+1),0)</f>
        <v/>
      </c>
      <c r="EU35" s="18">
        <f>IF(AND(148&gt;=MS_Initial_Closing_Start,148&lt;=MS_Stabilization_Start),DevFee/(MS_Stabilization_Start-MS_Initial_Closing_Start+1),0)</f>
        <v/>
      </c>
      <c r="EV35" s="18">
        <f>IF(AND(149&gt;=MS_Initial_Closing_Start,149&lt;=MS_Stabilization_Start),DevFee/(MS_Stabilization_Start-MS_Initial_Closing_Start+1),0)</f>
        <v/>
      </c>
      <c r="EW35" s="18">
        <f>IF(AND(150&gt;=MS_Initial_Closing_Start,150&lt;=MS_Stabilization_Start),DevFee/(MS_Stabilization_Start-MS_Initial_Closing_Start+1),0)</f>
        <v/>
      </c>
      <c r="EX35" s="18">
        <f>IF(AND(151&gt;=MS_Initial_Closing_Start,151&lt;=MS_Stabilization_Start),DevFee/(MS_Stabilization_Start-MS_Initial_Closing_Start+1),0)</f>
        <v/>
      </c>
      <c r="EY35" s="18">
        <f>IF(AND(152&gt;=MS_Initial_Closing_Start,152&lt;=MS_Stabilization_Start),DevFee/(MS_Stabilization_Start-MS_Initial_Closing_Start+1),0)</f>
        <v/>
      </c>
      <c r="EZ35" s="18">
        <f>IF(AND(153&gt;=MS_Initial_Closing_Start,153&lt;=MS_Stabilization_Start),DevFee/(MS_Stabilization_Start-MS_Initial_Closing_Start+1),0)</f>
        <v/>
      </c>
      <c r="FA35" s="18">
        <f>IF(AND(154&gt;=MS_Initial_Closing_Start,154&lt;=MS_Stabilization_Start),DevFee/(MS_Stabilization_Start-MS_Initial_Closing_Start+1),0)</f>
        <v/>
      </c>
      <c r="FB35" s="18">
        <f>IF(AND(155&gt;=MS_Initial_Closing_Start,155&lt;=MS_Stabilization_Start),DevFee/(MS_Stabilization_Start-MS_Initial_Closing_Start+1),0)</f>
        <v/>
      </c>
      <c r="FC35" s="18">
        <f>IF(AND(156&gt;=MS_Initial_Closing_Start,156&lt;=MS_Stabilization_Start),DevFee/(MS_Stabilization_Start-MS_Initial_Closing_Start+1),0)</f>
        <v/>
      </c>
      <c r="FD35" s="18">
        <f>IF(AND(157&gt;=MS_Initial_Closing_Start,157&lt;=MS_Stabilization_Start),DevFee/(MS_Stabilization_Start-MS_Initial_Closing_Start+1),0)</f>
        <v/>
      </c>
      <c r="FE35" s="18">
        <f>IF(AND(158&gt;=MS_Initial_Closing_Start,158&lt;=MS_Stabilization_Start),DevFee/(MS_Stabilization_Start-MS_Initial_Closing_Start+1),0)</f>
        <v/>
      </c>
      <c r="FF35" s="18">
        <f>IF(AND(159&gt;=MS_Initial_Closing_Start,159&lt;=MS_Stabilization_Start),DevFee/(MS_Stabilization_Start-MS_Initial_Closing_Start+1),0)</f>
        <v/>
      </c>
      <c r="FG35" s="18">
        <f>IF(AND(160&gt;=MS_Initial_Closing_Start,160&lt;=MS_Stabilization_Start),DevFee/(MS_Stabilization_Start-MS_Initial_Closing_Start+1),0)</f>
        <v/>
      </c>
      <c r="FH35" s="18">
        <f>IF(AND(161&gt;=MS_Initial_Closing_Start,161&lt;=MS_Stabilization_Start),DevFee/(MS_Stabilization_Start-MS_Initial_Closing_Start+1),0)</f>
        <v/>
      </c>
      <c r="FI35" s="18">
        <f>IF(AND(162&gt;=MS_Initial_Closing_Start,162&lt;=MS_Stabilization_Start),DevFee/(MS_Stabilization_Start-MS_Initial_Closing_Start+1),0)</f>
        <v/>
      </c>
      <c r="FJ35" s="18">
        <f>IF(AND(163&gt;=MS_Initial_Closing_Start,163&lt;=MS_Stabilization_Start),DevFee/(MS_Stabilization_Start-MS_Initial_Closing_Start+1),0)</f>
        <v/>
      </c>
      <c r="FK35" s="18">
        <f>IF(AND(164&gt;=MS_Initial_Closing_Start,164&lt;=MS_Stabilization_Start),DevFee/(MS_Stabilization_Start-MS_Initial_Closing_Start+1),0)</f>
        <v/>
      </c>
      <c r="FL35" s="18">
        <f>IF(AND(165&gt;=MS_Initial_Closing_Start,165&lt;=MS_Stabilization_Start),DevFee/(MS_Stabilization_Start-MS_Initial_Closing_Start+1),0)</f>
        <v/>
      </c>
      <c r="FM35" s="18">
        <f>IF(AND(166&gt;=MS_Initial_Closing_Start,166&lt;=MS_Stabilization_Start),DevFee/(MS_Stabilization_Start-MS_Initial_Closing_Start+1),0)</f>
        <v/>
      </c>
      <c r="FN35" s="18">
        <f>IF(AND(167&gt;=MS_Initial_Closing_Start,167&lt;=MS_Stabilization_Start),DevFee/(MS_Stabilization_Start-MS_Initial_Closing_Start+1),0)</f>
        <v/>
      </c>
      <c r="FO35" s="18">
        <f>IF(AND(168&gt;=MS_Initial_Closing_Start,168&lt;=MS_Stabilization_Start),DevFee/(MS_Stabilization_Start-MS_Initial_Closing_Start+1),0)</f>
        <v/>
      </c>
      <c r="FP35" s="18">
        <f>IF(AND(169&gt;=MS_Initial_Closing_Start,169&lt;=MS_Stabilization_Start),DevFee/(MS_Stabilization_Start-MS_Initial_Closing_Start+1),0)</f>
        <v/>
      </c>
      <c r="FQ35" s="18">
        <f>IF(AND(170&gt;=MS_Initial_Closing_Start,170&lt;=MS_Stabilization_Start),DevFee/(MS_Stabilization_Start-MS_Initial_Closing_Start+1),0)</f>
        <v/>
      </c>
      <c r="FR35" s="18">
        <f>IF(AND(171&gt;=MS_Initial_Closing_Start,171&lt;=MS_Stabilization_Start),DevFee/(MS_Stabilization_Start-MS_Initial_Closing_Start+1),0)</f>
        <v/>
      </c>
      <c r="FS35" s="18">
        <f>IF(AND(172&gt;=MS_Initial_Closing_Start,172&lt;=MS_Stabilization_Start),DevFee/(MS_Stabilization_Start-MS_Initial_Closing_Start+1),0)</f>
        <v/>
      </c>
      <c r="FT35" s="18">
        <f>IF(AND(173&gt;=MS_Initial_Closing_Start,173&lt;=MS_Stabilization_Start),DevFee/(MS_Stabilization_Start-MS_Initial_Closing_Start+1),0)</f>
        <v/>
      </c>
      <c r="FU35" s="18">
        <f>IF(AND(174&gt;=MS_Initial_Closing_Start,174&lt;=MS_Stabilization_Start),DevFee/(MS_Stabilization_Start-MS_Initial_Closing_Start+1),0)</f>
        <v/>
      </c>
      <c r="FV35" s="18">
        <f>IF(AND(175&gt;=MS_Initial_Closing_Start,175&lt;=MS_Stabilization_Start),DevFee/(MS_Stabilization_Start-MS_Initial_Closing_Start+1),0)</f>
        <v/>
      </c>
      <c r="FW35" s="18">
        <f>IF(AND(176&gt;=MS_Initial_Closing_Start,176&lt;=MS_Stabilization_Start),DevFee/(MS_Stabilization_Start-MS_Initial_Closing_Start+1),0)</f>
        <v/>
      </c>
      <c r="FX35" s="18">
        <f>IF(AND(177&gt;=MS_Initial_Closing_Start,177&lt;=MS_Stabilization_Start),DevFee/(MS_Stabilization_Start-MS_Initial_Closing_Start+1),0)</f>
        <v/>
      </c>
      <c r="FY35" s="18">
        <f>IF(AND(178&gt;=MS_Initial_Closing_Start,178&lt;=MS_Stabilization_Start),DevFee/(MS_Stabilization_Start-MS_Initial_Closing_Start+1),0)</f>
        <v/>
      </c>
      <c r="FZ35" s="18">
        <f>IF(AND(179&gt;=MS_Initial_Closing_Start,179&lt;=MS_Stabilization_Start),DevFee/(MS_Stabilization_Start-MS_Initial_Closing_Start+1),0)</f>
        <v/>
      </c>
      <c r="GA35" s="18">
        <f>IF(AND(180&gt;=MS_Initial_Closing_Start,180&lt;=MS_Stabilization_Start),DevFee/(MS_Stabilization_Start-MS_Initial_Closing_Start+1),0)</f>
        <v/>
      </c>
      <c r="GB35" s="18">
        <f>IF(AND(181&gt;=MS_Initial_Closing_Start,181&lt;=MS_Stabilization_Start),DevFee/(MS_Stabilization_Start-MS_Initial_Closing_Start+1),0)</f>
        <v/>
      </c>
      <c r="GC35" s="18">
        <f>IF(AND(182&gt;=MS_Initial_Closing_Start,182&lt;=MS_Stabilization_Start),DevFee/(MS_Stabilization_Start-MS_Initial_Closing_Start+1),0)</f>
        <v/>
      </c>
      <c r="GD35" s="18">
        <f>IF(AND(183&gt;=MS_Initial_Closing_Start,183&lt;=MS_Stabilization_Start),DevFee/(MS_Stabilization_Start-MS_Initial_Closing_Start+1),0)</f>
        <v/>
      </c>
      <c r="GE35" s="18">
        <f>IF(AND(184&gt;=MS_Initial_Closing_Start,184&lt;=MS_Stabilization_Start),DevFee/(MS_Stabilization_Start-MS_Initial_Closing_Start+1),0)</f>
        <v/>
      </c>
      <c r="GF35" s="18">
        <f>IF(AND(185&gt;=MS_Initial_Closing_Start,185&lt;=MS_Stabilization_Start),DevFee/(MS_Stabilization_Start-MS_Initial_Closing_Start+1),0)</f>
        <v/>
      </c>
      <c r="GG35" s="18">
        <f>IF(AND(186&gt;=MS_Initial_Closing_Start,186&lt;=MS_Stabilization_Start),DevFee/(MS_Stabilization_Start-MS_Initial_Closing_Start+1),0)</f>
        <v/>
      </c>
      <c r="GH35" s="18">
        <f>IF(AND(187&gt;=MS_Initial_Closing_Start,187&lt;=MS_Stabilization_Start),DevFee/(MS_Stabilization_Start-MS_Initial_Closing_Start+1),0)</f>
        <v/>
      </c>
      <c r="GI35" s="18">
        <f>IF(AND(188&gt;=MS_Initial_Closing_Start,188&lt;=MS_Stabilization_Start),DevFee/(MS_Stabilization_Start-MS_Initial_Closing_Start+1),0)</f>
        <v/>
      </c>
      <c r="GJ35" s="18">
        <f>IF(AND(189&gt;=MS_Initial_Closing_Start,189&lt;=MS_Stabilization_Start),DevFee/(MS_Stabilization_Start-MS_Initial_Closing_Start+1),0)</f>
        <v/>
      </c>
      <c r="GK35" s="18">
        <f>IF(AND(190&gt;=MS_Initial_Closing_Start,190&lt;=MS_Stabilization_Start),DevFee/(MS_Stabilization_Start-MS_Initial_Closing_Start+1),0)</f>
        <v/>
      </c>
      <c r="GL35" s="18">
        <f>IF(AND(191&gt;=MS_Initial_Closing_Start,191&lt;=MS_Stabilization_Start),DevFee/(MS_Stabilization_Start-MS_Initial_Closing_Start+1),0)</f>
        <v/>
      </c>
      <c r="GM35" s="18">
        <f>IF(AND(192&gt;=MS_Initial_Closing_Start,192&lt;=MS_Stabilization_Start),DevFee/(MS_Stabilization_Start-MS_Initial_Closing_Start+1),0)</f>
        <v/>
      </c>
      <c r="GN35" s="18">
        <f>IF(AND(193&gt;=MS_Initial_Closing_Start,193&lt;=MS_Stabilization_Start),DevFee/(MS_Stabilization_Start-MS_Initial_Closing_Start+1),0)</f>
        <v/>
      </c>
      <c r="GO35" s="18">
        <f>IF(AND(194&gt;=MS_Initial_Closing_Start,194&lt;=MS_Stabilization_Start),DevFee/(MS_Stabilization_Start-MS_Initial_Closing_Start+1),0)</f>
        <v/>
      </c>
      <c r="GP35" s="18">
        <f>IF(AND(195&gt;=MS_Initial_Closing_Start,195&lt;=MS_Stabilization_Start),DevFee/(MS_Stabilization_Start-MS_Initial_Closing_Start+1),0)</f>
        <v/>
      </c>
      <c r="GQ35" s="18">
        <f>IF(AND(196&gt;=MS_Initial_Closing_Start,196&lt;=MS_Stabilization_Start),DevFee/(MS_Stabilization_Start-MS_Initial_Closing_Start+1),0)</f>
        <v/>
      </c>
      <c r="GR35" s="18">
        <f>IF(AND(197&gt;=MS_Initial_Closing_Start,197&lt;=MS_Stabilization_Start),DevFee/(MS_Stabilization_Start-MS_Initial_Closing_Start+1),0)</f>
        <v/>
      </c>
      <c r="GS35" s="18">
        <f>IF(AND(198&gt;=MS_Initial_Closing_Start,198&lt;=MS_Stabilization_Start),DevFee/(MS_Stabilization_Start-MS_Initial_Closing_Start+1),0)</f>
        <v/>
      </c>
      <c r="GT35" s="18">
        <f>IF(AND(199&gt;=MS_Initial_Closing_Start,199&lt;=MS_Stabilization_Start),DevFee/(MS_Stabilization_Start-MS_Initial_Closing_Start+1),0)</f>
        <v/>
      </c>
      <c r="GU35" s="18">
        <f>IF(AND(200&gt;=MS_Initial_Closing_Start,200&lt;=MS_Stabilization_Start),DevFee/(MS_Stabilization_Start-MS_Initial_Closing_Start+1),0)</f>
        <v/>
      </c>
      <c r="GV35" s="18">
        <f>IF(AND(201&gt;=MS_Initial_Closing_Start,201&lt;=MS_Stabilization_Start),DevFee/(MS_Stabilization_Start-MS_Initial_Closing_Start+1),0)</f>
        <v/>
      </c>
      <c r="GW35" s="18">
        <f>IF(AND(202&gt;=MS_Initial_Closing_Start,202&lt;=MS_Stabilization_Start),DevFee/(MS_Stabilization_Start-MS_Initial_Closing_Start+1),0)</f>
        <v/>
      </c>
      <c r="GX35" s="18">
        <f>IF(AND(203&gt;=MS_Initial_Closing_Start,203&lt;=MS_Stabilization_Start),DevFee/(MS_Stabilization_Start-MS_Initial_Closing_Start+1),0)</f>
        <v/>
      </c>
      <c r="GY35" s="18">
        <f>IF(AND(204&gt;=MS_Initial_Closing_Start,204&lt;=MS_Stabilization_Start),DevFee/(MS_Stabilization_Start-MS_Initial_Closing_Start+1),0)</f>
        <v/>
      </c>
      <c r="GZ35" s="18">
        <f>IF(AND(205&gt;=MS_Initial_Closing_Start,205&lt;=MS_Stabilization_Start),DevFee/(MS_Stabilization_Start-MS_Initial_Closing_Start+1),0)</f>
        <v/>
      </c>
      <c r="HA35" s="18">
        <f>IF(AND(206&gt;=MS_Initial_Closing_Start,206&lt;=MS_Stabilization_Start),DevFee/(MS_Stabilization_Start-MS_Initial_Closing_Start+1),0)</f>
        <v/>
      </c>
      <c r="HB35" s="18">
        <f>IF(AND(207&gt;=MS_Initial_Closing_Start,207&lt;=MS_Stabilization_Start),DevFee/(MS_Stabilization_Start-MS_Initial_Closing_Start+1),0)</f>
        <v/>
      </c>
      <c r="HC35" s="18">
        <f>IF(AND(208&gt;=MS_Initial_Closing_Start,208&lt;=MS_Stabilization_Start),DevFee/(MS_Stabilization_Start-MS_Initial_Closing_Start+1),0)</f>
        <v/>
      </c>
      <c r="HD35" s="18">
        <f>IF(AND(209&gt;=MS_Initial_Closing_Start,209&lt;=MS_Stabilization_Start),DevFee/(MS_Stabilization_Start-MS_Initial_Closing_Start+1),0)</f>
        <v/>
      </c>
      <c r="HE35" s="18">
        <f>IF(AND(210&gt;=MS_Initial_Closing_Start,210&lt;=MS_Stabilization_Start),DevFee/(MS_Stabilization_Start-MS_Initial_Closing_Start+1),0)</f>
        <v/>
      </c>
      <c r="HF35" s="18">
        <f>IF(AND(211&gt;=MS_Initial_Closing_Start,211&lt;=MS_Stabilization_Start),DevFee/(MS_Stabilization_Start-MS_Initial_Closing_Start+1),0)</f>
        <v/>
      </c>
      <c r="HG35" s="18">
        <f>IF(AND(212&gt;=MS_Initial_Closing_Start,212&lt;=MS_Stabilization_Start),DevFee/(MS_Stabilization_Start-MS_Initial_Closing_Start+1),0)</f>
        <v/>
      </c>
      <c r="HH35" s="18">
        <f>IF(AND(213&gt;=MS_Initial_Closing_Start,213&lt;=MS_Stabilization_Start),DevFee/(MS_Stabilization_Start-MS_Initial_Closing_Start+1),0)</f>
        <v/>
      </c>
      <c r="HI35" s="18">
        <f>IF(AND(214&gt;=MS_Initial_Closing_Start,214&lt;=MS_Stabilization_Start),DevFee/(MS_Stabilization_Start-MS_Initial_Closing_Start+1),0)</f>
        <v/>
      </c>
      <c r="HJ35" s="18">
        <f>IF(AND(215&gt;=MS_Initial_Closing_Start,215&lt;=MS_Stabilization_Start),DevFee/(MS_Stabilization_Start-MS_Initial_Closing_Start+1),0)</f>
        <v/>
      </c>
      <c r="HK35" s="18">
        <f>IF(AND(216&gt;=MS_Initial_Closing_Start,216&lt;=MS_Stabilization_Start),DevFee/(MS_Stabilization_Start-MS_Initial_Closing_Start+1),0)</f>
        <v/>
      </c>
      <c r="HL35" s="18">
        <f>IF(AND(217&gt;=MS_Initial_Closing_Start,217&lt;=MS_Stabilization_Start),DevFee/(MS_Stabilization_Start-MS_Initial_Closing_Start+1),0)</f>
        <v/>
      </c>
      <c r="HM35" s="18">
        <f>IF(AND(218&gt;=MS_Initial_Closing_Start,218&lt;=MS_Stabilization_Start),DevFee/(MS_Stabilization_Start-MS_Initial_Closing_Start+1),0)</f>
        <v/>
      </c>
      <c r="HN35" s="18">
        <f>IF(AND(219&gt;=MS_Initial_Closing_Start,219&lt;=MS_Stabilization_Start),DevFee/(MS_Stabilization_Start-MS_Initial_Closing_Start+1),0)</f>
        <v/>
      </c>
      <c r="HO35" s="18">
        <f>IF(AND(220&gt;=MS_Initial_Closing_Start,220&lt;=MS_Stabilization_Start),DevFee/(MS_Stabilization_Start-MS_Initial_Closing_Start+1),0)</f>
        <v/>
      </c>
      <c r="HP35" s="18">
        <f>IF(AND(221&gt;=MS_Initial_Closing_Start,221&lt;=MS_Stabilization_Start),DevFee/(MS_Stabilization_Start-MS_Initial_Closing_Start+1),0)</f>
        <v/>
      </c>
      <c r="HQ35" s="18">
        <f>IF(AND(222&gt;=MS_Initial_Closing_Start,222&lt;=MS_Stabilization_Start),DevFee/(MS_Stabilization_Start-MS_Initial_Closing_Start+1),0)</f>
        <v/>
      </c>
      <c r="HR35" s="18">
        <f>IF(AND(223&gt;=MS_Initial_Closing_Start,223&lt;=MS_Stabilization_Start),DevFee/(MS_Stabilization_Start-MS_Initial_Closing_Start+1),0)</f>
        <v/>
      </c>
      <c r="HS35" s="18">
        <f>IF(AND(224&gt;=MS_Initial_Closing_Start,224&lt;=MS_Stabilization_Start),DevFee/(MS_Stabilization_Start-MS_Initial_Closing_Start+1),0)</f>
        <v/>
      </c>
      <c r="HT35" s="18">
        <f>IF(AND(225&gt;=MS_Initial_Closing_Start,225&lt;=MS_Stabilization_Start),DevFee/(MS_Stabilization_Start-MS_Initial_Closing_Start+1),0)</f>
        <v/>
      </c>
      <c r="HU35" s="18">
        <f>IF(AND(226&gt;=MS_Initial_Closing_Start,226&lt;=MS_Stabilization_Start),DevFee/(MS_Stabilization_Start-MS_Initial_Closing_Start+1),0)</f>
        <v/>
      </c>
      <c r="HV35" s="18">
        <f>IF(AND(227&gt;=MS_Initial_Closing_Start,227&lt;=MS_Stabilization_Start),DevFee/(MS_Stabilization_Start-MS_Initial_Closing_Start+1),0)</f>
        <v/>
      </c>
      <c r="HW35" s="18">
        <f>IF(AND(228&gt;=MS_Initial_Closing_Start,228&lt;=MS_Stabilization_Start),DevFee/(MS_Stabilization_Start-MS_Initial_Closing_Start+1),0)</f>
        <v/>
      </c>
      <c r="HX35" s="18">
        <f>IF(AND(229&gt;=MS_Initial_Closing_Start,229&lt;=MS_Stabilization_Start),DevFee/(MS_Stabilization_Start-MS_Initial_Closing_Start+1),0)</f>
        <v/>
      </c>
      <c r="HY35" s="18">
        <f>IF(AND(230&gt;=MS_Initial_Closing_Start,230&lt;=MS_Stabilization_Start),DevFee/(MS_Stabilization_Start-MS_Initial_Closing_Start+1),0)</f>
        <v/>
      </c>
      <c r="HZ35" s="18">
        <f>IF(AND(231&gt;=MS_Initial_Closing_Start,231&lt;=MS_Stabilization_Start),DevFee/(MS_Stabilization_Start-MS_Initial_Closing_Start+1),0)</f>
        <v/>
      </c>
      <c r="IA35" s="18">
        <f>IF(AND(232&gt;=MS_Initial_Closing_Start,232&lt;=MS_Stabilization_Start),DevFee/(MS_Stabilization_Start-MS_Initial_Closing_Start+1),0)</f>
        <v/>
      </c>
      <c r="IB35" s="18">
        <f>IF(AND(233&gt;=MS_Initial_Closing_Start,233&lt;=MS_Stabilization_Start),DevFee/(MS_Stabilization_Start-MS_Initial_Closing_Start+1),0)</f>
        <v/>
      </c>
      <c r="IC35" s="18">
        <f>IF(AND(234&gt;=MS_Initial_Closing_Start,234&lt;=MS_Stabilization_Start),DevFee/(MS_Stabilization_Start-MS_Initial_Closing_Start+1),0)</f>
        <v/>
      </c>
      <c r="ID35" s="18">
        <f>IF(AND(235&gt;=MS_Initial_Closing_Start,235&lt;=MS_Stabilization_Start),DevFee/(MS_Stabilization_Start-MS_Initial_Closing_Start+1),0)</f>
        <v/>
      </c>
      <c r="IE35" s="18">
        <f>IF(AND(236&gt;=MS_Initial_Closing_Start,236&lt;=MS_Stabilization_Start),DevFee/(MS_Stabilization_Start-MS_Initial_Closing_Start+1),0)</f>
        <v/>
      </c>
      <c r="IF35" s="18">
        <f>IF(AND(237&gt;=MS_Initial_Closing_Start,237&lt;=MS_Stabilization_Start),DevFee/(MS_Stabilization_Start-MS_Initial_Closing_Start+1),0)</f>
        <v/>
      </c>
      <c r="IG35" s="18">
        <f>IF(AND(238&gt;=MS_Initial_Closing_Start,238&lt;=MS_Stabilization_Start),DevFee/(MS_Stabilization_Start-MS_Initial_Closing_Start+1),0)</f>
        <v/>
      </c>
      <c r="IH35" s="18">
        <f>IF(AND(239&gt;=MS_Initial_Closing_Start,239&lt;=MS_Stabilization_Start),DevFee/(MS_Stabilization_Start-MS_Initial_Closing_Start+1),0)</f>
        <v/>
      </c>
      <c r="II35" s="18">
        <f>IF(AND(240&gt;=MS_Initial_Closing_Start,240&lt;=MS_Stabilization_Start),DevFee/(MS_Stabilization_Start-MS_Initial_Closing_Start+1),0)</f>
        <v/>
      </c>
      <c r="IJ35" s="18">
        <f>IF(AND(241&gt;=MS_Initial_Closing_Start,241&lt;=MS_Stabilization_Start),DevFee/(MS_Stabilization_Start-MS_Initial_Closing_Start+1),0)</f>
        <v/>
      </c>
      <c r="IK35" s="18">
        <f>IF(AND(242&gt;=MS_Initial_Closing_Start,242&lt;=MS_Stabilization_Start),DevFee/(MS_Stabilization_Start-MS_Initial_Closing_Start+1),0)</f>
        <v/>
      </c>
      <c r="IL35" s="18">
        <f>IF(AND(243&gt;=MS_Initial_Closing_Start,243&lt;=MS_Stabilization_Start),DevFee/(MS_Stabilization_Start-MS_Initial_Closing_Start+1),0)</f>
        <v/>
      </c>
      <c r="IM35" s="18">
        <f>IF(AND(244&gt;=MS_Initial_Closing_Start,244&lt;=MS_Stabilization_Start),DevFee/(MS_Stabilization_Start-MS_Initial_Closing_Start+1),0)</f>
        <v/>
      </c>
      <c r="IN35" s="18">
        <f>IF(AND(245&gt;=MS_Initial_Closing_Start,245&lt;=MS_Stabilization_Start),DevFee/(MS_Stabilization_Start-MS_Initial_Closing_Start+1),0)</f>
        <v/>
      </c>
      <c r="IO35" s="18">
        <f>IF(AND(246&gt;=MS_Initial_Closing_Start,246&lt;=MS_Stabilization_Start),DevFee/(MS_Stabilization_Start-MS_Initial_Closing_Start+1),0)</f>
        <v/>
      </c>
      <c r="IP35" s="18">
        <f>IF(AND(247&gt;=MS_Initial_Closing_Start,247&lt;=MS_Stabilization_Start),DevFee/(MS_Stabilization_Start-MS_Initial_Closing_Start+1),0)</f>
        <v/>
      </c>
      <c r="IQ35" s="18">
        <f>IF(AND(248&gt;=MS_Initial_Closing_Start,248&lt;=MS_Stabilization_Start),DevFee/(MS_Stabilization_Start-MS_Initial_Closing_Start+1),0)</f>
        <v/>
      </c>
      <c r="IR35" s="18">
        <f>IF(AND(249&gt;=MS_Initial_Closing_Start,249&lt;=MS_Stabilization_Start),DevFee/(MS_Stabilization_Start-MS_Initial_Closing_Start+1),0)</f>
        <v/>
      </c>
      <c r="IS35" s="18">
        <f>IF(AND(250&gt;=MS_Initial_Closing_Start,250&lt;=MS_Stabilization_Start),DevFee/(MS_Stabilization_Start-MS_Initial_Closing_Start+1),0)</f>
        <v/>
      </c>
      <c r="IT35" s="18">
        <f>IF(AND(251&gt;=MS_Initial_Closing_Start,251&lt;=MS_Stabilization_Start),DevFee/(MS_Stabilization_Start-MS_Initial_Closing_Start+1),0)</f>
        <v/>
      </c>
      <c r="IU35" s="18">
        <f>IF(AND(252&gt;=MS_Initial_Closing_Start,252&lt;=MS_Stabilization_Start),DevFee/(MS_Stabilization_Start-MS_Initial_Closing_Start+1),0)</f>
        <v/>
      </c>
      <c r="IV35" s="18">
        <f>IF(AND(253&gt;=MS_Initial_Closing_Start,253&lt;=MS_Stabilization_Start),DevFee/(MS_Stabilization_Start-MS_Initial_Closing_Start+1),0)</f>
        <v/>
      </c>
      <c r="IW35" s="18">
        <f>IF(AND(254&gt;=MS_Initial_Closing_Start,254&lt;=MS_Stabilization_Start),DevFee/(MS_Stabilization_Start-MS_Initial_Closing_Start+1),0)</f>
        <v/>
      </c>
      <c r="IX35" s="18">
        <f>IF(AND(255&gt;=MS_Initial_Closing_Start,255&lt;=MS_Stabilization_Start),DevFee/(MS_Stabilization_Start-MS_Initial_Closing_Start+1),0)</f>
        <v/>
      </c>
      <c r="IY35" s="18">
        <f>IF(AND(256&gt;=MS_Initial_Closing_Start,256&lt;=MS_Stabilization_Start),DevFee/(MS_Stabilization_Start-MS_Initial_Closing_Start+1),0)</f>
        <v/>
      </c>
      <c r="IZ35" s="18">
        <f>IF(AND(257&gt;=MS_Initial_Closing_Start,257&lt;=MS_Stabilization_Start),DevFee/(MS_Stabilization_Start-MS_Initial_Closing_Start+1),0)</f>
        <v/>
      </c>
      <c r="JA35" s="18">
        <f>IF(AND(258&gt;=MS_Initial_Closing_Start,258&lt;=MS_Stabilization_Start),DevFee/(MS_Stabilization_Start-MS_Initial_Closing_Start+1),0)</f>
        <v/>
      </c>
      <c r="JB35" s="18">
        <f>IF(AND(259&gt;=MS_Initial_Closing_Start,259&lt;=MS_Stabilization_Start),DevFee/(MS_Stabilization_Start-MS_Initial_Closing_Start+1),0)</f>
        <v/>
      </c>
      <c r="JC35" s="18">
        <f>IF(AND(260&gt;=MS_Initial_Closing_Start,260&lt;=MS_Stabilization_Start),DevFee/(MS_Stabilization_Start-MS_Initial_Closing_Start+1),0)</f>
        <v/>
      </c>
      <c r="JD35" s="18">
        <f>IF(AND(261&gt;=MS_Initial_Closing_Start,261&lt;=MS_Stabilization_Start),DevFee/(MS_Stabilization_Start-MS_Initial_Closing_Start+1),0)</f>
        <v/>
      </c>
      <c r="JE35" s="18">
        <f>IF(AND(262&gt;=MS_Initial_Closing_Start,262&lt;=MS_Stabilization_Start),DevFee/(MS_Stabilization_Start-MS_Initial_Closing_Start+1),0)</f>
        <v/>
      </c>
      <c r="JF35" s="18">
        <f>IF(AND(263&gt;=MS_Initial_Closing_Start,263&lt;=MS_Stabilization_Start),DevFee/(MS_Stabilization_Start-MS_Initial_Closing_Start+1),0)</f>
        <v/>
      </c>
      <c r="JG35" s="18">
        <f>IF(AND(264&gt;=MS_Initial_Closing_Start,264&lt;=MS_Stabilization_Start),DevFee/(MS_Stabilization_Start-MS_Initial_Closing_Start+1),0)</f>
        <v/>
      </c>
      <c r="JH35" s="18">
        <f>IF(AND(265&gt;=MS_Initial_Closing_Start,265&lt;=MS_Stabilization_Start),DevFee/(MS_Stabilization_Start-MS_Initial_Closing_Start+1),0)</f>
        <v/>
      </c>
      <c r="JI35" s="18">
        <f>IF(AND(266&gt;=MS_Initial_Closing_Start,266&lt;=MS_Stabilization_Start),DevFee/(MS_Stabilization_Start-MS_Initial_Closing_Start+1),0)</f>
        <v/>
      </c>
      <c r="JJ35" s="18">
        <f>IF(AND(267&gt;=MS_Initial_Closing_Start,267&lt;=MS_Stabilization_Start),DevFee/(MS_Stabilization_Start-MS_Initial_Closing_Start+1),0)</f>
        <v/>
      </c>
      <c r="JK35" s="18">
        <f>IF(AND(268&gt;=MS_Initial_Closing_Start,268&lt;=MS_Stabilization_Start),DevFee/(MS_Stabilization_Start-MS_Initial_Closing_Start+1),0)</f>
        <v/>
      </c>
      <c r="JL35" s="18">
        <f>IF(AND(269&gt;=MS_Initial_Closing_Start,269&lt;=MS_Stabilization_Start),DevFee/(MS_Stabilization_Start-MS_Initial_Closing_Start+1),0)</f>
        <v/>
      </c>
      <c r="JM35" s="18">
        <f>IF(AND(270&gt;=MS_Initial_Closing_Start,270&lt;=MS_Stabilization_Start),DevFee/(MS_Stabilization_Start-MS_Initial_Closing_Start+1),0)</f>
        <v/>
      </c>
      <c r="JN35" s="18">
        <f>IF(AND(271&gt;=MS_Initial_Closing_Start,271&lt;=MS_Stabilization_Start),DevFee/(MS_Stabilization_Start-MS_Initial_Closing_Start+1),0)</f>
        <v/>
      </c>
      <c r="JO35" s="18">
        <f>IF(AND(272&gt;=MS_Initial_Closing_Start,272&lt;=MS_Stabilization_Start),DevFee/(MS_Stabilization_Start-MS_Initial_Closing_Start+1),0)</f>
        <v/>
      </c>
      <c r="JP35" s="18">
        <f>IF(AND(273&gt;=MS_Initial_Closing_Start,273&lt;=MS_Stabilization_Start),DevFee/(MS_Stabilization_Start-MS_Initial_Closing_Start+1),0)</f>
        <v/>
      </c>
      <c r="JQ35" s="18">
        <f>IF(AND(274&gt;=MS_Initial_Closing_Start,274&lt;=MS_Stabilization_Start),DevFee/(MS_Stabilization_Start-MS_Initial_Closing_Start+1),0)</f>
        <v/>
      </c>
      <c r="JR35" s="18">
        <f>IF(AND(275&gt;=MS_Initial_Closing_Start,275&lt;=MS_Stabilization_Start),DevFee/(MS_Stabilization_Start-MS_Initial_Closing_Start+1),0)</f>
        <v/>
      </c>
      <c r="JS35" s="18">
        <f>IF(AND(276&gt;=MS_Initial_Closing_Start,276&lt;=MS_Stabilization_Start),DevFee/(MS_Stabilization_Start-MS_Initial_Closing_Start+1),0)</f>
        <v/>
      </c>
      <c r="JT35" s="18">
        <f>IF(AND(277&gt;=MS_Initial_Closing_Start,277&lt;=MS_Stabilization_Start),DevFee/(MS_Stabilization_Start-MS_Initial_Closing_Start+1),0)</f>
        <v/>
      </c>
      <c r="JU35" s="18">
        <f>IF(AND(278&gt;=MS_Initial_Closing_Start,278&lt;=MS_Stabilization_Start),DevFee/(MS_Stabilization_Start-MS_Initial_Closing_Start+1),0)</f>
        <v/>
      </c>
      <c r="JV35" s="18">
        <f>IF(AND(279&gt;=MS_Initial_Closing_Start,279&lt;=MS_Stabilization_Start),DevFee/(MS_Stabilization_Start-MS_Initial_Closing_Start+1),0)</f>
        <v/>
      </c>
      <c r="JW35" s="18">
        <f>IF(AND(280&gt;=MS_Initial_Closing_Start,280&lt;=MS_Stabilization_Start),DevFee/(MS_Stabilization_Start-MS_Initial_Closing_Start+1),0)</f>
        <v/>
      </c>
      <c r="JX35" s="18">
        <f>IF(AND(281&gt;=MS_Initial_Closing_Start,281&lt;=MS_Stabilization_Start),DevFee/(MS_Stabilization_Start-MS_Initial_Closing_Start+1),0)</f>
        <v/>
      </c>
      <c r="JY35" s="18">
        <f>IF(AND(282&gt;=MS_Initial_Closing_Start,282&lt;=MS_Stabilization_Start),DevFee/(MS_Stabilization_Start-MS_Initial_Closing_Start+1),0)</f>
        <v/>
      </c>
      <c r="JZ35" s="18">
        <f>IF(AND(283&gt;=MS_Initial_Closing_Start,283&lt;=MS_Stabilization_Start),DevFee/(MS_Stabilization_Start-MS_Initial_Closing_Start+1),0)</f>
        <v/>
      </c>
      <c r="KA35" s="18">
        <f>IF(AND(284&gt;=MS_Initial_Closing_Start,284&lt;=MS_Stabilization_Start),DevFee/(MS_Stabilization_Start-MS_Initial_Closing_Start+1),0)</f>
        <v/>
      </c>
      <c r="KB35" s="18">
        <f>IF(AND(285&gt;=MS_Initial_Closing_Start,285&lt;=MS_Stabilization_Start),DevFee/(MS_Stabilization_Start-MS_Initial_Closing_Start+1),0)</f>
        <v/>
      </c>
      <c r="KC35" s="18">
        <f>IF(AND(286&gt;=MS_Initial_Closing_Start,286&lt;=MS_Stabilization_Start),DevFee/(MS_Stabilization_Start-MS_Initial_Closing_Start+1),0)</f>
        <v/>
      </c>
      <c r="KD35" s="18">
        <f>IF(AND(287&gt;=MS_Initial_Closing_Start,287&lt;=MS_Stabilization_Start),DevFee/(MS_Stabilization_Start-MS_Initial_Closing_Start+1),0)</f>
        <v/>
      </c>
      <c r="KE35" s="18">
        <f>IF(AND(288&gt;=MS_Initial_Closing_Start,288&lt;=MS_Stabilization_Start),DevFee/(MS_Stabilization_Start-MS_Initial_Closing_Start+1),0)</f>
        <v/>
      </c>
      <c r="KF35" s="18">
        <f>IF(AND(289&gt;=MS_Initial_Closing_Start,289&lt;=MS_Stabilization_Start),DevFee/(MS_Stabilization_Start-MS_Initial_Closing_Start+1),0)</f>
        <v/>
      </c>
      <c r="KG35" s="18">
        <f>IF(AND(290&gt;=MS_Initial_Closing_Start,290&lt;=MS_Stabilization_Start),DevFee/(MS_Stabilization_Start-MS_Initial_Closing_Start+1),0)</f>
        <v/>
      </c>
      <c r="KH35" s="18">
        <f>IF(AND(291&gt;=MS_Initial_Closing_Start,291&lt;=MS_Stabilization_Start),DevFee/(MS_Stabilization_Start-MS_Initial_Closing_Start+1),0)</f>
        <v/>
      </c>
      <c r="KI35" s="18">
        <f>IF(AND(292&gt;=MS_Initial_Closing_Start,292&lt;=MS_Stabilization_Start),DevFee/(MS_Stabilization_Start-MS_Initial_Closing_Start+1),0)</f>
        <v/>
      </c>
      <c r="KJ35" s="18">
        <f>IF(AND(293&gt;=MS_Initial_Closing_Start,293&lt;=MS_Stabilization_Start),DevFee/(MS_Stabilization_Start-MS_Initial_Closing_Start+1),0)</f>
        <v/>
      </c>
      <c r="KK35" s="18">
        <f>IF(AND(294&gt;=MS_Initial_Closing_Start,294&lt;=MS_Stabilization_Start),DevFee/(MS_Stabilization_Start-MS_Initial_Closing_Start+1),0)</f>
        <v/>
      </c>
      <c r="KL35" s="18">
        <f>IF(AND(295&gt;=MS_Initial_Closing_Start,295&lt;=MS_Stabilization_Start),DevFee/(MS_Stabilization_Start-MS_Initial_Closing_Start+1),0)</f>
        <v/>
      </c>
      <c r="KM35" s="18">
        <f>IF(AND(296&gt;=MS_Initial_Closing_Start,296&lt;=MS_Stabilization_Start),DevFee/(MS_Stabilization_Start-MS_Initial_Closing_Start+1),0)</f>
        <v/>
      </c>
      <c r="KN35" s="18">
        <f>IF(AND(297&gt;=MS_Initial_Closing_Start,297&lt;=MS_Stabilization_Start),DevFee/(MS_Stabilization_Start-MS_Initial_Closing_Start+1),0)</f>
        <v/>
      </c>
      <c r="KO35" s="18">
        <f>IF(AND(298&gt;=MS_Initial_Closing_Start,298&lt;=MS_Stabilization_Start),DevFee/(MS_Stabilization_Start-MS_Initial_Closing_Start+1),0)</f>
        <v/>
      </c>
      <c r="KP35" s="18">
        <f>IF(AND(299&gt;=MS_Initial_Closing_Start,299&lt;=MS_Stabilization_Start),DevFee/(MS_Stabilization_Start-MS_Initial_Closing_Start+1),0)</f>
        <v/>
      </c>
      <c r="KQ35" s="18">
        <f>IF(AND(300&gt;=MS_Initial_Closing_Start,300&lt;=MS_Stabilization_Start),DevFee/(MS_Stabilization_Start-MS_Initial_Closing_Start+1),0)</f>
        <v/>
      </c>
      <c r="KR35" s="18">
        <f>IF(AND(301&gt;=MS_Initial_Closing_Start,301&lt;=MS_Stabilization_Start),DevFee/(MS_Stabilization_Start-MS_Initial_Closing_Start+1),0)</f>
        <v/>
      </c>
      <c r="KS35" s="18">
        <f>IF(AND(302&gt;=MS_Initial_Closing_Start,302&lt;=MS_Stabilization_Start),DevFee/(MS_Stabilization_Start-MS_Initial_Closing_Start+1),0)</f>
        <v/>
      </c>
      <c r="KT35" s="18">
        <f>IF(AND(303&gt;=MS_Initial_Closing_Start,303&lt;=MS_Stabilization_Start),DevFee/(MS_Stabilization_Start-MS_Initial_Closing_Start+1),0)</f>
        <v/>
      </c>
      <c r="KU35" s="18">
        <f>IF(AND(304&gt;=MS_Initial_Closing_Start,304&lt;=MS_Stabilization_Start),DevFee/(MS_Stabilization_Start-MS_Initial_Closing_Start+1),0)</f>
        <v/>
      </c>
      <c r="KV35" s="18">
        <f>IF(AND(305&gt;=MS_Initial_Closing_Start,305&lt;=MS_Stabilization_Start),DevFee/(MS_Stabilization_Start-MS_Initial_Closing_Start+1),0)</f>
        <v/>
      </c>
      <c r="KW35" s="18">
        <f>IF(AND(306&gt;=MS_Initial_Closing_Start,306&lt;=MS_Stabilization_Start),DevFee/(MS_Stabilization_Start-MS_Initial_Closing_Start+1),0)</f>
        <v/>
      </c>
      <c r="KX35" s="18">
        <f>IF(AND(307&gt;=MS_Initial_Closing_Start,307&lt;=MS_Stabilization_Start),DevFee/(MS_Stabilization_Start-MS_Initial_Closing_Start+1),0)</f>
        <v/>
      </c>
      <c r="KY35" s="18">
        <f>IF(AND(308&gt;=MS_Initial_Closing_Start,308&lt;=MS_Stabilization_Start),DevFee/(MS_Stabilization_Start-MS_Initial_Closing_Start+1),0)</f>
        <v/>
      </c>
      <c r="KZ35" s="18">
        <f>IF(AND(309&gt;=MS_Initial_Closing_Start,309&lt;=MS_Stabilization_Start),DevFee/(MS_Stabilization_Start-MS_Initial_Closing_Start+1),0)</f>
        <v/>
      </c>
      <c r="LA35" s="18">
        <f>IF(AND(310&gt;=MS_Initial_Closing_Start,310&lt;=MS_Stabilization_Start),DevFee/(MS_Stabilization_Start-MS_Initial_Closing_Start+1),0)</f>
        <v/>
      </c>
      <c r="LB35" s="18">
        <f>IF(AND(311&gt;=MS_Initial_Closing_Start,311&lt;=MS_Stabilization_Start),DevFee/(MS_Stabilization_Start-MS_Initial_Closing_Start+1),0)</f>
        <v/>
      </c>
      <c r="LC35" s="18">
        <f>IF(AND(312&gt;=MS_Initial_Closing_Start,312&lt;=MS_Stabilization_Start),DevFee/(MS_Stabilization_Start-MS_Initial_Closing_Start+1),0)</f>
        <v/>
      </c>
      <c r="LD35" s="18">
        <f>IF(AND(313&gt;=MS_Initial_Closing_Start,313&lt;=MS_Stabilization_Start),DevFee/(MS_Stabilization_Start-MS_Initial_Closing_Start+1),0)</f>
        <v/>
      </c>
      <c r="LE35" s="18">
        <f>IF(AND(314&gt;=MS_Initial_Closing_Start,314&lt;=MS_Stabilization_Start),DevFee/(MS_Stabilization_Start-MS_Initial_Closing_Start+1),0)</f>
        <v/>
      </c>
      <c r="LF35" s="18">
        <f>IF(AND(315&gt;=MS_Initial_Closing_Start,315&lt;=MS_Stabilization_Start),DevFee/(MS_Stabilization_Start-MS_Initial_Closing_Start+1),0)</f>
        <v/>
      </c>
      <c r="LG35" s="18">
        <f>IF(AND(316&gt;=MS_Initial_Closing_Start,316&lt;=MS_Stabilization_Start),DevFee/(MS_Stabilization_Start-MS_Initial_Closing_Start+1),0)</f>
        <v/>
      </c>
      <c r="LH35" s="18">
        <f>IF(AND(317&gt;=MS_Initial_Closing_Start,317&lt;=MS_Stabilization_Start),DevFee/(MS_Stabilization_Start-MS_Initial_Closing_Start+1),0)</f>
        <v/>
      </c>
      <c r="LI35" s="18">
        <f>IF(AND(318&gt;=MS_Initial_Closing_Start,318&lt;=MS_Stabilization_Start),DevFee/(MS_Stabilization_Start-MS_Initial_Closing_Start+1),0)</f>
        <v/>
      </c>
      <c r="LJ35" s="18">
        <f>IF(AND(319&gt;=MS_Initial_Closing_Start,319&lt;=MS_Stabilization_Start),DevFee/(MS_Stabilization_Start-MS_Initial_Closing_Start+1),0)</f>
        <v/>
      </c>
      <c r="LK35" s="18">
        <f>IF(AND(320&gt;=MS_Initial_Closing_Start,320&lt;=MS_Stabilization_Start),DevFee/(MS_Stabilization_Start-MS_Initial_Closing_Start+1),0)</f>
        <v/>
      </c>
      <c r="LL35" s="18">
        <f>IF(AND(321&gt;=MS_Initial_Closing_Start,321&lt;=MS_Stabilization_Start),DevFee/(MS_Stabilization_Start-MS_Initial_Closing_Start+1),0)</f>
        <v/>
      </c>
      <c r="LM35" s="18">
        <f>IF(AND(322&gt;=MS_Initial_Closing_Start,322&lt;=MS_Stabilization_Start),DevFee/(MS_Stabilization_Start-MS_Initial_Closing_Start+1),0)</f>
        <v/>
      </c>
      <c r="LN35" s="18">
        <f>IF(AND(323&gt;=MS_Initial_Closing_Start,323&lt;=MS_Stabilization_Start),DevFee/(MS_Stabilization_Start-MS_Initial_Closing_Start+1),0)</f>
        <v/>
      </c>
      <c r="LO35" s="18">
        <f>IF(AND(324&gt;=MS_Initial_Closing_Start,324&lt;=MS_Stabilization_Start),DevFee/(MS_Stabilization_Start-MS_Initial_Closing_Start+1),0)</f>
        <v/>
      </c>
      <c r="LP35" s="18">
        <f>IF(AND(325&gt;=MS_Initial_Closing_Start,325&lt;=MS_Stabilization_Start),DevFee/(MS_Stabilization_Start-MS_Initial_Closing_Start+1),0)</f>
        <v/>
      </c>
      <c r="LQ35" s="18">
        <f>IF(AND(326&gt;=MS_Initial_Closing_Start,326&lt;=MS_Stabilization_Start),DevFee/(MS_Stabilization_Start-MS_Initial_Closing_Start+1),0)</f>
        <v/>
      </c>
      <c r="LR35" s="18">
        <f>IF(AND(327&gt;=MS_Initial_Closing_Start,327&lt;=MS_Stabilization_Start),DevFee/(MS_Stabilization_Start-MS_Initial_Closing_Start+1),0)</f>
        <v/>
      </c>
      <c r="LS35" s="18">
        <f>IF(AND(328&gt;=MS_Initial_Closing_Start,328&lt;=MS_Stabilization_Start),DevFee/(MS_Stabilization_Start-MS_Initial_Closing_Start+1),0)</f>
        <v/>
      </c>
      <c r="LT35" s="18">
        <f>IF(AND(329&gt;=MS_Initial_Closing_Start,329&lt;=MS_Stabilization_Start),DevFee/(MS_Stabilization_Start-MS_Initial_Closing_Start+1),0)</f>
        <v/>
      </c>
      <c r="LU35" s="18">
        <f>IF(AND(330&gt;=MS_Initial_Closing_Start,330&lt;=MS_Stabilization_Start),DevFee/(MS_Stabilization_Start-MS_Initial_Closing_Start+1),0)</f>
        <v/>
      </c>
      <c r="LV35" s="18">
        <f>IF(AND(331&gt;=MS_Initial_Closing_Start,331&lt;=MS_Stabilization_Start),DevFee/(MS_Stabilization_Start-MS_Initial_Closing_Start+1),0)</f>
        <v/>
      </c>
      <c r="LW35" s="18">
        <f>IF(AND(332&gt;=MS_Initial_Closing_Start,332&lt;=MS_Stabilization_Start),DevFee/(MS_Stabilization_Start-MS_Initial_Closing_Start+1),0)</f>
        <v/>
      </c>
      <c r="LX35" s="18">
        <f>IF(AND(333&gt;=MS_Initial_Closing_Start,333&lt;=MS_Stabilization_Start),DevFee/(MS_Stabilization_Start-MS_Initial_Closing_Start+1),0)</f>
        <v/>
      </c>
      <c r="LY35" s="18">
        <f>IF(AND(334&gt;=MS_Initial_Closing_Start,334&lt;=MS_Stabilization_Start),DevFee/(MS_Stabilization_Start-MS_Initial_Closing_Start+1),0)</f>
        <v/>
      </c>
      <c r="LZ35" s="18">
        <f>IF(AND(335&gt;=MS_Initial_Closing_Start,335&lt;=MS_Stabilization_Start),DevFee/(MS_Stabilization_Start-MS_Initial_Closing_Start+1),0)</f>
        <v/>
      </c>
      <c r="MA35" s="18">
        <f>IF(AND(336&gt;=MS_Initial_Closing_Start,336&lt;=MS_Stabilization_Start),DevFee/(MS_Stabilization_Start-MS_Initial_Closing_Start+1),0)</f>
        <v/>
      </c>
      <c r="MB35" s="18">
        <f>IF(AND(337&gt;=MS_Initial_Closing_Start,337&lt;=MS_Stabilization_Start),DevFee/(MS_Stabilization_Start-MS_Initial_Closing_Start+1),0)</f>
        <v/>
      </c>
      <c r="MC35" s="18">
        <f>IF(AND(338&gt;=MS_Initial_Closing_Start,338&lt;=MS_Stabilization_Start),DevFee/(MS_Stabilization_Start-MS_Initial_Closing_Start+1),0)</f>
        <v/>
      </c>
      <c r="MD35" s="18">
        <f>IF(AND(339&gt;=MS_Initial_Closing_Start,339&lt;=MS_Stabilization_Start),DevFee/(MS_Stabilization_Start-MS_Initial_Closing_Start+1),0)</f>
        <v/>
      </c>
      <c r="ME35" s="18">
        <f>IF(AND(340&gt;=MS_Initial_Closing_Start,340&lt;=MS_Stabilization_Start),DevFee/(MS_Stabilization_Start-MS_Initial_Closing_Start+1),0)</f>
        <v/>
      </c>
      <c r="MF35" s="18">
        <f>IF(AND(341&gt;=MS_Initial_Closing_Start,341&lt;=MS_Stabilization_Start),DevFee/(MS_Stabilization_Start-MS_Initial_Closing_Start+1),0)</f>
        <v/>
      </c>
      <c r="MG35" s="18">
        <f>IF(AND(342&gt;=MS_Initial_Closing_Start,342&lt;=MS_Stabilization_Start),DevFee/(MS_Stabilization_Start-MS_Initial_Closing_Start+1),0)</f>
        <v/>
      </c>
      <c r="MH35" s="18">
        <f>IF(AND(343&gt;=MS_Initial_Closing_Start,343&lt;=MS_Stabilization_Start),DevFee/(MS_Stabilization_Start-MS_Initial_Closing_Start+1),0)</f>
        <v/>
      </c>
      <c r="MI35" s="18">
        <f>IF(AND(344&gt;=MS_Initial_Closing_Start,344&lt;=MS_Stabilization_Start),DevFee/(MS_Stabilization_Start-MS_Initial_Closing_Start+1),0)</f>
        <v/>
      </c>
      <c r="MJ35" s="18">
        <f>IF(AND(345&gt;=MS_Initial_Closing_Start,345&lt;=MS_Stabilization_Start),DevFee/(MS_Stabilization_Start-MS_Initial_Closing_Start+1),0)</f>
        <v/>
      </c>
      <c r="MK35" s="18">
        <f>IF(AND(346&gt;=MS_Initial_Closing_Start,346&lt;=MS_Stabilization_Start),DevFee/(MS_Stabilization_Start-MS_Initial_Closing_Start+1),0)</f>
        <v/>
      </c>
      <c r="ML35" s="18">
        <f>IF(AND(347&gt;=MS_Initial_Closing_Start,347&lt;=MS_Stabilization_Start),DevFee/(MS_Stabilization_Start-MS_Initial_Closing_Start+1),0)</f>
        <v/>
      </c>
      <c r="MM35" s="18">
        <f>IF(AND(348&gt;=MS_Initial_Closing_Start,348&lt;=MS_Stabilization_Start),DevFee/(MS_Stabilization_Start-MS_Initial_Closing_Start+1),0)</f>
        <v/>
      </c>
      <c r="MN35" s="18">
        <f>IF(AND(349&gt;=MS_Initial_Closing_Start,349&lt;=MS_Stabilization_Start),DevFee/(MS_Stabilization_Start-MS_Initial_Closing_Start+1),0)</f>
        <v/>
      </c>
      <c r="MO35" s="18">
        <f>IF(AND(350&gt;=MS_Initial_Closing_Start,350&lt;=MS_Stabilization_Start),DevFee/(MS_Stabilization_Start-MS_Initial_Closing_Start+1),0)</f>
        <v/>
      </c>
      <c r="MP35" s="18">
        <f>IF(AND(351&gt;=MS_Initial_Closing_Start,351&lt;=MS_Stabilization_Start),DevFee/(MS_Stabilization_Start-MS_Initial_Closing_Start+1),0)</f>
        <v/>
      </c>
      <c r="MQ35" s="18">
        <f>IF(AND(352&gt;=MS_Initial_Closing_Start,352&lt;=MS_Stabilization_Start),DevFee/(MS_Stabilization_Start-MS_Initial_Closing_Start+1),0)</f>
        <v/>
      </c>
      <c r="MR35" s="18">
        <f>IF(AND(353&gt;=MS_Initial_Closing_Start,353&lt;=MS_Stabilization_Start),DevFee/(MS_Stabilization_Start-MS_Initial_Closing_Start+1),0)</f>
        <v/>
      </c>
      <c r="MS35" s="18">
        <f>IF(AND(354&gt;=MS_Initial_Closing_Start,354&lt;=MS_Stabilization_Start),DevFee/(MS_Stabilization_Start-MS_Initial_Closing_Start+1),0)</f>
        <v/>
      </c>
      <c r="MT35" s="18">
        <f>IF(AND(355&gt;=MS_Initial_Closing_Start,355&lt;=MS_Stabilization_Start),DevFee/(MS_Stabilization_Start-MS_Initial_Closing_Start+1),0)</f>
        <v/>
      </c>
      <c r="MU35" s="18">
        <f>IF(AND(356&gt;=MS_Initial_Closing_Start,356&lt;=MS_Stabilization_Start),DevFee/(MS_Stabilization_Start-MS_Initial_Closing_Start+1),0)</f>
        <v/>
      </c>
      <c r="MV35" s="18">
        <f>IF(AND(357&gt;=MS_Initial_Closing_Start,357&lt;=MS_Stabilization_Start),DevFee/(MS_Stabilization_Start-MS_Initial_Closing_Start+1),0)</f>
        <v/>
      </c>
      <c r="MW35" s="18">
        <f>IF(AND(358&gt;=MS_Initial_Closing_Start,358&lt;=MS_Stabilization_Start),DevFee/(MS_Stabilization_Start-MS_Initial_Closing_Start+1),0)</f>
        <v/>
      </c>
      <c r="MX35" s="18">
        <f>IF(AND(359&gt;=MS_Initial_Closing_Start,359&lt;=MS_Stabilization_Start),DevFee/(MS_Stabilization_Start-MS_Initial_Closing_Start+1),0)</f>
        <v/>
      </c>
      <c r="MY35" s="18">
        <f>IF(AND(360&gt;=MS_Initial_Closing_Start,360&lt;=MS_Stabilization_Start),DevFee/(MS_Stabilization_Start-MS_Initial_Closing_Start+1),0)</f>
        <v/>
      </c>
      <c r="MZ35" s="18">
        <f>IF(AND(361&gt;=MS_Initial_Closing_Start,361&lt;=MS_Stabilization_Start),DevFee/(MS_Stabilization_Start-MS_Initial_Closing_Start+1),0)</f>
        <v/>
      </c>
      <c r="NA35" s="18">
        <f>IF(AND(362&gt;=MS_Initial_Closing_Start,362&lt;=MS_Stabilization_Start),DevFee/(MS_Stabilization_Start-MS_Initial_Closing_Start+1),0)</f>
        <v/>
      </c>
      <c r="NB35" s="18">
        <f>IF(AND(363&gt;=MS_Initial_Closing_Start,363&lt;=MS_Stabilization_Start),DevFee/(MS_Stabilization_Start-MS_Initial_Closing_Start+1),0)</f>
        <v/>
      </c>
      <c r="NC35" s="18">
        <f>IF(AND(364&gt;=MS_Initial_Closing_Start,364&lt;=MS_Stabilization_Start),DevFee/(MS_Stabilization_Start-MS_Initial_Closing_Start+1),0)</f>
        <v/>
      </c>
      <c r="ND35" s="18">
        <f>IF(AND(365&gt;=MS_Initial_Closing_Start,365&lt;=MS_Stabilization_Start),DevFee/(MS_Stabilization_Start-MS_Initial_Closing_Start+1),0)</f>
        <v/>
      </c>
      <c r="NE35" s="18">
        <f>IF(AND(366&gt;=MS_Initial_Closing_Start,366&lt;=MS_Stabilization_Start),DevFee/(MS_Stabilization_Start-MS_Initial_Closing_Start+1),0)</f>
        <v/>
      </c>
      <c r="NF35" s="18">
        <f>IF(AND(367&gt;=MS_Initial_Closing_Start,367&lt;=MS_Stabilization_Start),DevFee/(MS_Stabilization_Start-MS_Initial_Closing_Start+1),0)</f>
        <v/>
      </c>
      <c r="NG35" s="18">
        <f>IF(AND(368&gt;=MS_Initial_Closing_Start,368&lt;=MS_Stabilization_Start),DevFee/(MS_Stabilization_Start-MS_Initial_Closing_Start+1),0)</f>
        <v/>
      </c>
      <c r="NH35" s="18">
        <f>IF(AND(369&gt;=MS_Initial_Closing_Start,369&lt;=MS_Stabilization_Start),DevFee/(MS_Stabilization_Start-MS_Initial_Closing_Start+1),0)</f>
        <v/>
      </c>
      <c r="NI35" s="18">
        <f>IF(AND(370&gt;=MS_Initial_Closing_Start,370&lt;=MS_Stabilization_Start),DevFee/(MS_Stabilization_Start-MS_Initial_Closing_Start+1),0)</f>
        <v/>
      </c>
      <c r="NJ35" s="18">
        <f>IF(AND(371&gt;=MS_Initial_Closing_Start,371&lt;=MS_Stabilization_Start),DevFee/(MS_Stabilization_Start-MS_Initial_Closing_Start+1),0)</f>
        <v/>
      </c>
      <c r="NK35" s="18">
        <f>IF(AND(372&gt;=MS_Initial_Closing_Start,372&lt;=MS_Stabilization_Start),DevFee/(MS_Stabilization_Start-MS_Initial_Closing_Start+1),0)</f>
        <v/>
      </c>
    </row>
    <row r="36">
      <c r="A36" s="5" t="inlineStr">
        <is>
          <t>Hard Cost Spend</t>
        </is>
      </c>
      <c r="C36" s="41">
        <f>SUM(D36:NK36)</f>
        <v/>
      </c>
      <c r="D36" s="18">
        <f>D$15+D$16+D$17+D$18+D$19+D$20+D$27+D$28+D$29+D$30+D$31+D$32</f>
        <v/>
      </c>
      <c r="E36" s="18">
        <f>E$15+E$16+E$17+E$18+E$19+E$20+E$27+E$28+E$29+E$30+E$31+E$32</f>
        <v/>
      </c>
      <c r="F36" s="18">
        <f>F$15+F$16+F$17+F$18+F$19+F$20+F$27+F$28+F$29+F$30+F$31+F$32</f>
        <v/>
      </c>
      <c r="G36" s="18">
        <f>G$15+G$16+G$17+G$18+G$19+G$20+G$27+G$28+G$29+G$30+G$31+G$32</f>
        <v/>
      </c>
      <c r="H36" s="18">
        <f>H$15+H$16+H$17+H$18+H$19+H$20+H$27+H$28+H$29+H$30+H$31+H$32</f>
        <v/>
      </c>
      <c r="I36" s="18">
        <f>I$15+I$16+I$17+I$18+I$19+I$20+I$27+I$28+I$29+I$30+I$31+I$32</f>
        <v/>
      </c>
      <c r="J36" s="18">
        <f>J$15+J$16+J$17+J$18+J$19+J$20+J$27+J$28+J$29+J$30+J$31+J$32</f>
        <v/>
      </c>
      <c r="K36" s="18">
        <f>K$15+K$16+K$17+K$18+K$19+K$20+K$27+K$28+K$29+K$30+K$31+K$32</f>
        <v/>
      </c>
      <c r="L36" s="18">
        <f>L$15+L$16+L$17+L$18+L$19+L$20+L$27+L$28+L$29+L$30+L$31+L$32</f>
        <v/>
      </c>
      <c r="M36" s="18">
        <f>M$15+M$16+M$17+M$18+M$19+M$20+M$27+M$28+M$29+M$30+M$31+M$32</f>
        <v/>
      </c>
      <c r="N36" s="18">
        <f>N$15+N$16+N$17+N$18+N$19+N$20+N$27+N$28+N$29+N$30+N$31+N$32</f>
        <v/>
      </c>
      <c r="O36" s="18">
        <f>O$15+O$16+O$17+O$18+O$19+O$20+O$27+O$28+O$29+O$30+O$31+O$32</f>
        <v/>
      </c>
      <c r="P36" s="18">
        <f>P$15+P$16+P$17+P$18+P$19+P$20+P$27+P$28+P$29+P$30+P$31+P$32</f>
        <v/>
      </c>
      <c r="Q36" s="18">
        <f>Q$15+Q$16+Q$17+Q$18+Q$19+Q$20+Q$27+Q$28+Q$29+Q$30+Q$31+Q$32</f>
        <v/>
      </c>
      <c r="R36" s="18">
        <f>R$15+R$16+R$17+R$18+R$19+R$20+R$27+R$28+R$29+R$30+R$31+R$32</f>
        <v/>
      </c>
      <c r="S36" s="18">
        <f>S$15+S$16+S$17+S$18+S$19+S$20+S$27+S$28+S$29+S$30+S$31+S$32</f>
        <v/>
      </c>
      <c r="T36" s="18">
        <f>T$15+T$16+T$17+T$18+T$19+T$20+T$27+T$28+T$29+T$30+T$31+T$32</f>
        <v/>
      </c>
      <c r="U36" s="18">
        <f>U$15+U$16+U$17+U$18+U$19+U$20+U$27+U$28+U$29+U$30+U$31+U$32</f>
        <v/>
      </c>
      <c r="V36" s="18">
        <f>V$15+V$16+V$17+V$18+V$19+V$20+V$27+V$28+V$29+V$30+V$31+V$32</f>
        <v/>
      </c>
      <c r="W36" s="18">
        <f>W$15+W$16+W$17+W$18+W$19+W$20+W$27+W$28+W$29+W$30+W$31+W$32</f>
        <v/>
      </c>
      <c r="X36" s="18">
        <f>X$15+X$16+X$17+X$18+X$19+X$20+X$27+X$28+X$29+X$30+X$31+X$32</f>
        <v/>
      </c>
      <c r="Y36" s="18">
        <f>Y$15+Y$16+Y$17+Y$18+Y$19+Y$20+Y$27+Y$28+Y$29+Y$30+Y$31+Y$32</f>
        <v/>
      </c>
      <c r="Z36" s="18">
        <f>Z$15+Z$16+Z$17+Z$18+Z$19+Z$20+Z$27+Z$28+Z$29+Z$30+Z$31+Z$32</f>
        <v/>
      </c>
      <c r="AA36" s="18">
        <f>AA$15+AA$16+AA$17+AA$18+AA$19+AA$20+AA$27+AA$28+AA$29+AA$30+AA$31+AA$32</f>
        <v/>
      </c>
      <c r="AB36" s="18">
        <f>AB$15+AB$16+AB$17+AB$18+AB$19+AB$20+AB$27+AB$28+AB$29+AB$30+AB$31+AB$32</f>
        <v/>
      </c>
      <c r="AC36" s="18">
        <f>AC$15+AC$16+AC$17+AC$18+AC$19+AC$20+AC$27+AC$28+AC$29+AC$30+AC$31+AC$32</f>
        <v/>
      </c>
      <c r="AD36" s="18">
        <f>AD$15+AD$16+AD$17+AD$18+AD$19+AD$20+AD$27+AD$28+AD$29+AD$30+AD$31+AD$32</f>
        <v/>
      </c>
      <c r="AE36" s="18">
        <f>AE$15+AE$16+AE$17+AE$18+AE$19+AE$20+AE$27+AE$28+AE$29+AE$30+AE$31+AE$32</f>
        <v/>
      </c>
      <c r="AF36" s="18">
        <f>AF$15+AF$16+AF$17+AF$18+AF$19+AF$20+AF$27+AF$28+AF$29+AF$30+AF$31+AF$32</f>
        <v/>
      </c>
      <c r="AG36" s="18">
        <f>AG$15+AG$16+AG$17+AG$18+AG$19+AG$20+AG$27+AG$28+AG$29+AG$30+AG$31+AG$32</f>
        <v/>
      </c>
      <c r="AH36" s="18">
        <f>AH$15+AH$16+AH$17+AH$18+AH$19+AH$20+AH$27+AH$28+AH$29+AH$30+AH$31+AH$32</f>
        <v/>
      </c>
      <c r="AI36" s="18">
        <f>AI$15+AI$16+AI$17+AI$18+AI$19+AI$20+AI$27+AI$28+AI$29+AI$30+AI$31+AI$32</f>
        <v/>
      </c>
      <c r="AJ36" s="18">
        <f>AJ$15+AJ$16+AJ$17+AJ$18+AJ$19+AJ$20+AJ$27+AJ$28+AJ$29+AJ$30+AJ$31+AJ$32</f>
        <v/>
      </c>
      <c r="AK36" s="18">
        <f>AK$15+AK$16+AK$17+AK$18+AK$19+AK$20+AK$27+AK$28+AK$29+AK$30+AK$31+AK$32</f>
        <v/>
      </c>
      <c r="AL36" s="18">
        <f>AL$15+AL$16+AL$17+AL$18+AL$19+AL$20+AL$27+AL$28+AL$29+AL$30+AL$31+AL$32</f>
        <v/>
      </c>
      <c r="AM36" s="18">
        <f>AM$15+AM$16+AM$17+AM$18+AM$19+AM$20+AM$27+AM$28+AM$29+AM$30+AM$31+AM$32</f>
        <v/>
      </c>
      <c r="AN36" s="18">
        <f>AN$15+AN$16+AN$17+AN$18+AN$19+AN$20+AN$27+AN$28+AN$29+AN$30+AN$31+AN$32</f>
        <v/>
      </c>
      <c r="AO36" s="18">
        <f>AO$15+AO$16+AO$17+AO$18+AO$19+AO$20+AO$27+AO$28+AO$29+AO$30+AO$31+AO$32</f>
        <v/>
      </c>
      <c r="AP36" s="18">
        <f>AP$15+AP$16+AP$17+AP$18+AP$19+AP$20+AP$27+AP$28+AP$29+AP$30+AP$31+AP$32</f>
        <v/>
      </c>
      <c r="AQ36" s="18">
        <f>AQ$15+AQ$16+AQ$17+AQ$18+AQ$19+AQ$20+AQ$27+AQ$28+AQ$29+AQ$30+AQ$31+AQ$32</f>
        <v/>
      </c>
      <c r="AR36" s="18">
        <f>AR$15+AR$16+AR$17+AR$18+AR$19+AR$20+AR$27+AR$28+AR$29+AR$30+AR$31+AR$32</f>
        <v/>
      </c>
      <c r="AS36" s="18">
        <f>AS$15+AS$16+AS$17+AS$18+AS$19+AS$20+AS$27+AS$28+AS$29+AS$30+AS$31+AS$32</f>
        <v/>
      </c>
      <c r="AT36" s="18">
        <f>AT$15+AT$16+AT$17+AT$18+AT$19+AT$20+AT$27+AT$28+AT$29+AT$30+AT$31+AT$32</f>
        <v/>
      </c>
      <c r="AU36" s="18">
        <f>AU$15+AU$16+AU$17+AU$18+AU$19+AU$20+AU$27+AU$28+AU$29+AU$30+AU$31+AU$32</f>
        <v/>
      </c>
      <c r="AV36" s="18">
        <f>AV$15+AV$16+AV$17+AV$18+AV$19+AV$20+AV$27+AV$28+AV$29+AV$30+AV$31+AV$32</f>
        <v/>
      </c>
      <c r="AW36" s="18">
        <f>AW$15+AW$16+AW$17+AW$18+AW$19+AW$20+AW$27+AW$28+AW$29+AW$30+AW$31+AW$32</f>
        <v/>
      </c>
      <c r="AX36" s="18">
        <f>AX$15+AX$16+AX$17+AX$18+AX$19+AX$20+AX$27+AX$28+AX$29+AX$30+AX$31+AX$32</f>
        <v/>
      </c>
      <c r="AY36" s="18">
        <f>AY$15+AY$16+AY$17+AY$18+AY$19+AY$20+AY$27+AY$28+AY$29+AY$30+AY$31+AY$32</f>
        <v/>
      </c>
      <c r="AZ36" s="18">
        <f>AZ$15+AZ$16+AZ$17+AZ$18+AZ$19+AZ$20+AZ$27+AZ$28+AZ$29+AZ$30+AZ$31+AZ$32</f>
        <v/>
      </c>
      <c r="BA36" s="18">
        <f>BA$15+BA$16+BA$17+BA$18+BA$19+BA$20+BA$27+BA$28+BA$29+BA$30+BA$31+BA$32</f>
        <v/>
      </c>
      <c r="BB36" s="18">
        <f>BB$15+BB$16+BB$17+BB$18+BB$19+BB$20+BB$27+BB$28+BB$29+BB$30+BB$31+BB$32</f>
        <v/>
      </c>
      <c r="BC36" s="18">
        <f>BC$15+BC$16+BC$17+BC$18+BC$19+BC$20+BC$27+BC$28+BC$29+BC$30+BC$31+BC$32</f>
        <v/>
      </c>
      <c r="BD36" s="18">
        <f>BD$15+BD$16+BD$17+BD$18+BD$19+BD$20+BD$27+BD$28+BD$29+BD$30+BD$31+BD$32</f>
        <v/>
      </c>
      <c r="BE36" s="18">
        <f>BE$15+BE$16+BE$17+BE$18+BE$19+BE$20+BE$27+BE$28+BE$29+BE$30+BE$31+BE$32</f>
        <v/>
      </c>
      <c r="BF36" s="18">
        <f>BF$15+BF$16+BF$17+BF$18+BF$19+BF$20+BF$27+BF$28+BF$29+BF$30+BF$31+BF$32</f>
        <v/>
      </c>
      <c r="BG36" s="18">
        <f>BG$15+BG$16+BG$17+BG$18+BG$19+BG$20+BG$27+BG$28+BG$29+BG$30+BG$31+BG$32</f>
        <v/>
      </c>
      <c r="BH36" s="18">
        <f>BH$15+BH$16+BH$17+BH$18+BH$19+BH$20+BH$27+BH$28+BH$29+BH$30+BH$31+BH$32</f>
        <v/>
      </c>
      <c r="BI36" s="18">
        <f>BI$15+BI$16+BI$17+BI$18+BI$19+BI$20+BI$27+BI$28+BI$29+BI$30+BI$31+BI$32</f>
        <v/>
      </c>
      <c r="BJ36" s="18">
        <f>BJ$15+BJ$16+BJ$17+BJ$18+BJ$19+BJ$20+BJ$27+BJ$28+BJ$29+BJ$30+BJ$31+BJ$32</f>
        <v/>
      </c>
      <c r="BK36" s="18">
        <f>BK$15+BK$16+BK$17+BK$18+BK$19+BK$20+BK$27+BK$28+BK$29+BK$30+BK$31+BK$32</f>
        <v/>
      </c>
      <c r="BL36" s="18">
        <f>BL$15+BL$16+BL$17+BL$18+BL$19+BL$20+BL$27+BL$28+BL$29+BL$30+BL$31+BL$32</f>
        <v/>
      </c>
      <c r="BM36" s="18">
        <f>BM$15+BM$16+BM$17+BM$18+BM$19+BM$20+BM$27+BM$28+BM$29+BM$30+BM$31+BM$32</f>
        <v/>
      </c>
      <c r="BN36" s="18">
        <f>BN$15+BN$16+BN$17+BN$18+BN$19+BN$20+BN$27+BN$28+BN$29+BN$30+BN$31+BN$32</f>
        <v/>
      </c>
      <c r="BO36" s="18">
        <f>BO$15+BO$16+BO$17+BO$18+BO$19+BO$20+BO$27+BO$28+BO$29+BO$30+BO$31+BO$32</f>
        <v/>
      </c>
      <c r="BP36" s="18">
        <f>BP$15+BP$16+BP$17+BP$18+BP$19+BP$20+BP$27+BP$28+BP$29+BP$30+BP$31+BP$32</f>
        <v/>
      </c>
      <c r="BQ36" s="18">
        <f>BQ$15+BQ$16+BQ$17+BQ$18+BQ$19+BQ$20+BQ$27+BQ$28+BQ$29+BQ$30+BQ$31+BQ$32</f>
        <v/>
      </c>
      <c r="BR36" s="18">
        <f>BR$15+BR$16+BR$17+BR$18+BR$19+BR$20+BR$27+BR$28+BR$29+BR$30+BR$31+BR$32</f>
        <v/>
      </c>
      <c r="BS36" s="18">
        <f>BS$15+BS$16+BS$17+BS$18+BS$19+BS$20+BS$27+BS$28+BS$29+BS$30+BS$31+BS$32</f>
        <v/>
      </c>
      <c r="BT36" s="18">
        <f>BT$15+BT$16+BT$17+BT$18+BT$19+BT$20+BT$27+BT$28+BT$29+BT$30+BT$31+BT$32</f>
        <v/>
      </c>
      <c r="BU36" s="18">
        <f>BU$15+BU$16+BU$17+BU$18+BU$19+BU$20+BU$27+BU$28+BU$29+BU$30+BU$31+BU$32</f>
        <v/>
      </c>
      <c r="BV36" s="18">
        <f>BV$15+BV$16+BV$17+BV$18+BV$19+BV$20+BV$27+BV$28+BV$29+BV$30+BV$31+BV$32</f>
        <v/>
      </c>
      <c r="BW36" s="18">
        <f>BW$15+BW$16+BW$17+BW$18+BW$19+BW$20+BW$27+BW$28+BW$29+BW$30+BW$31+BW$32</f>
        <v/>
      </c>
      <c r="BX36" s="18">
        <f>BX$15+BX$16+BX$17+BX$18+BX$19+BX$20+BX$27+BX$28+BX$29+BX$30+BX$31+BX$32</f>
        <v/>
      </c>
      <c r="BY36" s="18">
        <f>BY$15+BY$16+BY$17+BY$18+BY$19+BY$20+BY$27+BY$28+BY$29+BY$30+BY$31+BY$32</f>
        <v/>
      </c>
      <c r="BZ36" s="18">
        <f>BZ$15+BZ$16+BZ$17+BZ$18+BZ$19+BZ$20+BZ$27+BZ$28+BZ$29+BZ$30+BZ$31+BZ$32</f>
        <v/>
      </c>
      <c r="CA36" s="18">
        <f>CA$15+CA$16+CA$17+CA$18+CA$19+CA$20+CA$27+CA$28+CA$29+CA$30+CA$31+CA$32</f>
        <v/>
      </c>
      <c r="CB36" s="18">
        <f>CB$15+CB$16+CB$17+CB$18+CB$19+CB$20+CB$27+CB$28+CB$29+CB$30+CB$31+CB$32</f>
        <v/>
      </c>
      <c r="CC36" s="18">
        <f>CC$15+CC$16+CC$17+CC$18+CC$19+CC$20+CC$27+CC$28+CC$29+CC$30+CC$31+CC$32</f>
        <v/>
      </c>
      <c r="CD36" s="18">
        <f>CD$15+CD$16+CD$17+CD$18+CD$19+CD$20+CD$27+CD$28+CD$29+CD$30+CD$31+CD$32</f>
        <v/>
      </c>
      <c r="CE36" s="18">
        <f>CE$15+CE$16+CE$17+CE$18+CE$19+CE$20+CE$27+CE$28+CE$29+CE$30+CE$31+CE$32</f>
        <v/>
      </c>
      <c r="CF36" s="18">
        <f>CF$15+CF$16+CF$17+CF$18+CF$19+CF$20+CF$27+CF$28+CF$29+CF$30+CF$31+CF$32</f>
        <v/>
      </c>
      <c r="CG36" s="18">
        <f>CG$15+CG$16+CG$17+CG$18+CG$19+CG$20+CG$27+CG$28+CG$29+CG$30+CG$31+CG$32</f>
        <v/>
      </c>
      <c r="CH36" s="18">
        <f>CH$15+CH$16+CH$17+CH$18+CH$19+CH$20+CH$27+CH$28+CH$29+CH$30+CH$31+CH$32</f>
        <v/>
      </c>
      <c r="CI36" s="18">
        <f>CI$15+CI$16+CI$17+CI$18+CI$19+CI$20+CI$27+CI$28+CI$29+CI$30+CI$31+CI$32</f>
        <v/>
      </c>
      <c r="CJ36" s="18">
        <f>CJ$15+CJ$16+CJ$17+CJ$18+CJ$19+CJ$20+CJ$27+CJ$28+CJ$29+CJ$30+CJ$31+CJ$32</f>
        <v/>
      </c>
      <c r="CK36" s="18">
        <f>CK$15+CK$16+CK$17+CK$18+CK$19+CK$20+CK$27+CK$28+CK$29+CK$30+CK$31+CK$32</f>
        <v/>
      </c>
      <c r="CL36" s="18">
        <f>CL$15+CL$16+CL$17+CL$18+CL$19+CL$20+CL$27+CL$28+CL$29+CL$30+CL$31+CL$32</f>
        <v/>
      </c>
      <c r="CM36" s="18">
        <f>CM$15+CM$16+CM$17+CM$18+CM$19+CM$20+CM$27+CM$28+CM$29+CM$30+CM$31+CM$32</f>
        <v/>
      </c>
      <c r="CN36" s="18">
        <f>CN$15+CN$16+CN$17+CN$18+CN$19+CN$20+CN$27+CN$28+CN$29+CN$30+CN$31+CN$32</f>
        <v/>
      </c>
      <c r="CO36" s="18">
        <f>CO$15+CO$16+CO$17+CO$18+CO$19+CO$20+CO$27+CO$28+CO$29+CO$30+CO$31+CO$32</f>
        <v/>
      </c>
      <c r="CP36" s="18">
        <f>CP$15+CP$16+CP$17+CP$18+CP$19+CP$20+CP$27+CP$28+CP$29+CP$30+CP$31+CP$32</f>
        <v/>
      </c>
      <c r="CQ36" s="18">
        <f>CQ$15+CQ$16+CQ$17+CQ$18+CQ$19+CQ$20+CQ$27+CQ$28+CQ$29+CQ$30+CQ$31+CQ$32</f>
        <v/>
      </c>
      <c r="CR36" s="18">
        <f>CR$15+CR$16+CR$17+CR$18+CR$19+CR$20+CR$27+CR$28+CR$29+CR$30+CR$31+CR$32</f>
        <v/>
      </c>
      <c r="CS36" s="18">
        <f>CS$15+CS$16+CS$17+CS$18+CS$19+CS$20+CS$27+CS$28+CS$29+CS$30+CS$31+CS$32</f>
        <v/>
      </c>
      <c r="CT36" s="18">
        <f>CT$15+CT$16+CT$17+CT$18+CT$19+CT$20+CT$27+CT$28+CT$29+CT$30+CT$31+CT$32</f>
        <v/>
      </c>
      <c r="CU36" s="18">
        <f>CU$15+CU$16+CU$17+CU$18+CU$19+CU$20+CU$27+CU$28+CU$29+CU$30+CU$31+CU$32</f>
        <v/>
      </c>
      <c r="CV36" s="18">
        <f>CV$15+CV$16+CV$17+CV$18+CV$19+CV$20+CV$27+CV$28+CV$29+CV$30+CV$31+CV$32</f>
        <v/>
      </c>
      <c r="CW36" s="18">
        <f>CW$15+CW$16+CW$17+CW$18+CW$19+CW$20+CW$27+CW$28+CW$29+CW$30+CW$31+CW$32</f>
        <v/>
      </c>
      <c r="CX36" s="18">
        <f>CX$15+CX$16+CX$17+CX$18+CX$19+CX$20+CX$27+CX$28+CX$29+CX$30+CX$31+CX$32</f>
        <v/>
      </c>
      <c r="CY36" s="18">
        <f>CY$15+CY$16+CY$17+CY$18+CY$19+CY$20+CY$27+CY$28+CY$29+CY$30+CY$31+CY$32</f>
        <v/>
      </c>
      <c r="CZ36" s="18">
        <f>CZ$15+CZ$16+CZ$17+CZ$18+CZ$19+CZ$20+CZ$27+CZ$28+CZ$29+CZ$30+CZ$31+CZ$32</f>
        <v/>
      </c>
      <c r="DA36" s="18">
        <f>DA$15+DA$16+DA$17+DA$18+DA$19+DA$20+DA$27+DA$28+DA$29+DA$30+DA$31+DA$32</f>
        <v/>
      </c>
      <c r="DB36" s="18">
        <f>DB$15+DB$16+DB$17+DB$18+DB$19+DB$20+DB$27+DB$28+DB$29+DB$30+DB$31+DB$32</f>
        <v/>
      </c>
      <c r="DC36" s="18">
        <f>DC$15+DC$16+DC$17+DC$18+DC$19+DC$20+DC$27+DC$28+DC$29+DC$30+DC$31+DC$32</f>
        <v/>
      </c>
      <c r="DD36" s="18">
        <f>DD$15+DD$16+DD$17+DD$18+DD$19+DD$20+DD$27+DD$28+DD$29+DD$30+DD$31+DD$32</f>
        <v/>
      </c>
      <c r="DE36" s="18">
        <f>DE$15+DE$16+DE$17+DE$18+DE$19+DE$20+DE$27+DE$28+DE$29+DE$30+DE$31+DE$32</f>
        <v/>
      </c>
      <c r="DF36" s="18">
        <f>DF$15+DF$16+DF$17+DF$18+DF$19+DF$20+DF$27+DF$28+DF$29+DF$30+DF$31+DF$32</f>
        <v/>
      </c>
      <c r="DG36" s="18">
        <f>DG$15+DG$16+DG$17+DG$18+DG$19+DG$20+DG$27+DG$28+DG$29+DG$30+DG$31+DG$32</f>
        <v/>
      </c>
      <c r="DH36" s="18">
        <f>DH$15+DH$16+DH$17+DH$18+DH$19+DH$20+DH$27+DH$28+DH$29+DH$30+DH$31+DH$32</f>
        <v/>
      </c>
      <c r="DI36" s="18">
        <f>DI$15+DI$16+DI$17+DI$18+DI$19+DI$20+DI$27+DI$28+DI$29+DI$30+DI$31+DI$32</f>
        <v/>
      </c>
      <c r="DJ36" s="18">
        <f>DJ$15+DJ$16+DJ$17+DJ$18+DJ$19+DJ$20+DJ$27+DJ$28+DJ$29+DJ$30+DJ$31+DJ$32</f>
        <v/>
      </c>
      <c r="DK36" s="18">
        <f>DK$15+DK$16+DK$17+DK$18+DK$19+DK$20+DK$27+DK$28+DK$29+DK$30+DK$31+DK$32</f>
        <v/>
      </c>
      <c r="DL36" s="18">
        <f>DL$15+DL$16+DL$17+DL$18+DL$19+DL$20+DL$27+DL$28+DL$29+DL$30+DL$31+DL$32</f>
        <v/>
      </c>
      <c r="DM36" s="18">
        <f>DM$15+DM$16+DM$17+DM$18+DM$19+DM$20+DM$27+DM$28+DM$29+DM$30+DM$31+DM$32</f>
        <v/>
      </c>
      <c r="DN36" s="18">
        <f>DN$15+DN$16+DN$17+DN$18+DN$19+DN$20+DN$27+DN$28+DN$29+DN$30+DN$31+DN$32</f>
        <v/>
      </c>
      <c r="DO36" s="18">
        <f>DO$15+DO$16+DO$17+DO$18+DO$19+DO$20+DO$27+DO$28+DO$29+DO$30+DO$31+DO$32</f>
        <v/>
      </c>
      <c r="DP36" s="18">
        <f>DP$15+DP$16+DP$17+DP$18+DP$19+DP$20+DP$27+DP$28+DP$29+DP$30+DP$31+DP$32</f>
        <v/>
      </c>
      <c r="DQ36" s="18">
        <f>DQ$15+DQ$16+DQ$17+DQ$18+DQ$19+DQ$20+DQ$27+DQ$28+DQ$29+DQ$30+DQ$31+DQ$32</f>
        <v/>
      </c>
      <c r="DR36" s="18">
        <f>DR$15+DR$16+DR$17+DR$18+DR$19+DR$20+DR$27+DR$28+DR$29+DR$30+DR$31+DR$32</f>
        <v/>
      </c>
      <c r="DS36" s="18">
        <f>DS$15+DS$16+DS$17+DS$18+DS$19+DS$20+DS$27+DS$28+DS$29+DS$30+DS$31+DS$32</f>
        <v/>
      </c>
      <c r="DT36" s="18">
        <f>DT$15+DT$16+DT$17+DT$18+DT$19+DT$20+DT$27+DT$28+DT$29+DT$30+DT$31+DT$32</f>
        <v/>
      </c>
      <c r="DU36" s="18">
        <f>DU$15+DU$16+DU$17+DU$18+DU$19+DU$20+DU$27+DU$28+DU$29+DU$30+DU$31+DU$32</f>
        <v/>
      </c>
      <c r="DV36" s="18">
        <f>DV$15+DV$16+DV$17+DV$18+DV$19+DV$20+DV$27+DV$28+DV$29+DV$30+DV$31+DV$32</f>
        <v/>
      </c>
      <c r="DW36" s="18">
        <f>DW$15+DW$16+DW$17+DW$18+DW$19+DW$20+DW$27+DW$28+DW$29+DW$30+DW$31+DW$32</f>
        <v/>
      </c>
      <c r="DX36" s="18">
        <f>DX$15+DX$16+DX$17+DX$18+DX$19+DX$20+DX$27+DX$28+DX$29+DX$30+DX$31+DX$32</f>
        <v/>
      </c>
      <c r="DY36" s="18">
        <f>DY$15+DY$16+DY$17+DY$18+DY$19+DY$20+DY$27+DY$28+DY$29+DY$30+DY$31+DY$32</f>
        <v/>
      </c>
      <c r="DZ36" s="18">
        <f>DZ$15+DZ$16+DZ$17+DZ$18+DZ$19+DZ$20+DZ$27+DZ$28+DZ$29+DZ$30+DZ$31+DZ$32</f>
        <v/>
      </c>
      <c r="EA36" s="18">
        <f>EA$15+EA$16+EA$17+EA$18+EA$19+EA$20+EA$27+EA$28+EA$29+EA$30+EA$31+EA$32</f>
        <v/>
      </c>
      <c r="EB36" s="18">
        <f>EB$15+EB$16+EB$17+EB$18+EB$19+EB$20+EB$27+EB$28+EB$29+EB$30+EB$31+EB$32</f>
        <v/>
      </c>
      <c r="EC36" s="18">
        <f>EC$15+EC$16+EC$17+EC$18+EC$19+EC$20+EC$27+EC$28+EC$29+EC$30+EC$31+EC$32</f>
        <v/>
      </c>
      <c r="ED36" s="18">
        <f>ED$15+ED$16+ED$17+ED$18+ED$19+ED$20+ED$27+ED$28+ED$29+ED$30+ED$31+ED$32</f>
        <v/>
      </c>
      <c r="EE36" s="18">
        <f>EE$15+EE$16+EE$17+EE$18+EE$19+EE$20+EE$27+EE$28+EE$29+EE$30+EE$31+EE$32</f>
        <v/>
      </c>
      <c r="EF36" s="18">
        <f>EF$15+EF$16+EF$17+EF$18+EF$19+EF$20+EF$27+EF$28+EF$29+EF$30+EF$31+EF$32</f>
        <v/>
      </c>
      <c r="EG36" s="18">
        <f>EG$15+EG$16+EG$17+EG$18+EG$19+EG$20+EG$27+EG$28+EG$29+EG$30+EG$31+EG$32</f>
        <v/>
      </c>
      <c r="EH36" s="18">
        <f>EH$15+EH$16+EH$17+EH$18+EH$19+EH$20+EH$27+EH$28+EH$29+EH$30+EH$31+EH$32</f>
        <v/>
      </c>
      <c r="EI36" s="18">
        <f>EI$15+EI$16+EI$17+EI$18+EI$19+EI$20+EI$27+EI$28+EI$29+EI$30+EI$31+EI$32</f>
        <v/>
      </c>
      <c r="EJ36" s="18">
        <f>EJ$15+EJ$16+EJ$17+EJ$18+EJ$19+EJ$20+EJ$27+EJ$28+EJ$29+EJ$30+EJ$31+EJ$32</f>
        <v/>
      </c>
      <c r="EK36" s="18">
        <f>EK$15+EK$16+EK$17+EK$18+EK$19+EK$20+EK$27+EK$28+EK$29+EK$30+EK$31+EK$32</f>
        <v/>
      </c>
      <c r="EL36" s="18">
        <f>EL$15+EL$16+EL$17+EL$18+EL$19+EL$20+EL$27+EL$28+EL$29+EL$30+EL$31+EL$32</f>
        <v/>
      </c>
      <c r="EM36" s="18">
        <f>EM$15+EM$16+EM$17+EM$18+EM$19+EM$20+EM$27+EM$28+EM$29+EM$30+EM$31+EM$32</f>
        <v/>
      </c>
      <c r="EN36" s="18">
        <f>EN$15+EN$16+EN$17+EN$18+EN$19+EN$20+EN$27+EN$28+EN$29+EN$30+EN$31+EN$32</f>
        <v/>
      </c>
      <c r="EO36" s="18">
        <f>EO$15+EO$16+EO$17+EO$18+EO$19+EO$20+EO$27+EO$28+EO$29+EO$30+EO$31+EO$32</f>
        <v/>
      </c>
      <c r="EP36" s="18">
        <f>EP$15+EP$16+EP$17+EP$18+EP$19+EP$20+EP$27+EP$28+EP$29+EP$30+EP$31+EP$32</f>
        <v/>
      </c>
      <c r="EQ36" s="18">
        <f>EQ$15+EQ$16+EQ$17+EQ$18+EQ$19+EQ$20+EQ$27+EQ$28+EQ$29+EQ$30+EQ$31+EQ$32</f>
        <v/>
      </c>
      <c r="ER36" s="18">
        <f>ER$15+ER$16+ER$17+ER$18+ER$19+ER$20+ER$27+ER$28+ER$29+ER$30+ER$31+ER$32</f>
        <v/>
      </c>
      <c r="ES36" s="18">
        <f>ES$15+ES$16+ES$17+ES$18+ES$19+ES$20+ES$27+ES$28+ES$29+ES$30+ES$31+ES$32</f>
        <v/>
      </c>
      <c r="ET36" s="18">
        <f>ET$15+ET$16+ET$17+ET$18+ET$19+ET$20+ET$27+ET$28+ET$29+ET$30+ET$31+ET$32</f>
        <v/>
      </c>
      <c r="EU36" s="18">
        <f>EU$15+EU$16+EU$17+EU$18+EU$19+EU$20+EU$27+EU$28+EU$29+EU$30+EU$31+EU$32</f>
        <v/>
      </c>
      <c r="EV36" s="18">
        <f>EV$15+EV$16+EV$17+EV$18+EV$19+EV$20+EV$27+EV$28+EV$29+EV$30+EV$31+EV$32</f>
        <v/>
      </c>
      <c r="EW36" s="18">
        <f>EW$15+EW$16+EW$17+EW$18+EW$19+EW$20+EW$27+EW$28+EW$29+EW$30+EW$31+EW$32</f>
        <v/>
      </c>
      <c r="EX36" s="18">
        <f>EX$15+EX$16+EX$17+EX$18+EX$19+EX$20+EX$27+EX$28+EX$29+EX$30+EX$31+EX$32</f>
        <v/>
      </c>
      <c r="EY36" s="18">
        <f>EY$15+EY$16+EY$17+EY$18+EY$19+EY$20+EY$27+EY$28+EY$29+EY$30+EY$31+EY$32</f>
        <v/>
      </c>
      <c r="EZ36" s="18">
        <f>EZ$15+EZ$16+EZ$17+EZ$18+EZ$19+EZ$20+EZ$27+EZ$28+EZ$29+EZ$30+EZ$31+EZ$32</f>
        <v/>
      </c>
      <c r="FA36" s="18">
        <f>FA$15+FA$16+FA$17+FA$18+FA$19+FA$20+FA$27+FA$28+FA$29+FA$30+FA$31+FA$32</f>
        <v/>
      </c>
      <c r="FB36" s="18">
        <f>FB$15+FB$16+FB$17+FB$18+FB$19+FB$20+FB$27+FB$28+FB$29+FB$30+FB$31+FB$32</f>
        <v/>
      </c>
      <c r="FC36" s="18">
        <f>FC$15+FC$16+FC$17+FC$18+FC$19+FC$20+FC$27+FC$28+FC$29+FC$30+FC$31+FC$32</f>
        <v/>
      </c>
      <c r="FD36" s="18">
        <f>FD$15+FD$16+FD$17+FD$18+FD$19+FD$20+FD$27+FD$28+FD$29+FD$30+FD$31+FD$32</f>
        <v/>
      </c>
      <c r="FE36" s="18">
        <f>FE$15+FE$16+FE$17+FE$18+FE$19+FE$20+FE$27+FE$28+FE$29+FE$30+FE$31+FE$32</f>
        <v/>
      </c>
      <c r="FF36" s="18">
        <f>FF$15+FF$16+FF$17+FF$18+FF$19+FF$20+FF$27+FF$28+FF$29+FF$30+FF$31+FF$32</f>
        <v/>
      </c>
      <c r="FG36" s="18">
        <f>FG$15+FG$16+FG$17+FG$18+FG$19+FG$20+FG$27+FG$28+FG$29+FG$30+FG$31+FG$32</f>
        <v/>
      </c>
      <c r="FH36" s="18">
        <f>FH$15+FH$16+FH$17+FH$18+FH$19+FH$20+FH$27+FH$28+FH$29+FH$30+FH$31+FH$32</f>
        <v/>
      </c>
      <c r="FI36" s="18">
        <f>FI$15+FI$16+FI$17+FI$18+FI$19+FI$20+FI$27+FI$28+FI$29+FI$30+FI$31+FI$32</f>
        <v/>
      </c>
      <c r="FJ36" s="18">
        <f>FJ$15+FJ$16+FJ$17+FJ$18+FJ$19+FJ$20+FJ$27+FJ$28+FJ$29+FJ$30+FJ$31+FJ$32</f>
        <v/>
      </c>
      <c r="FK36" s="18">
        <f>FK$15+FK$16+FK$17+FK$18+FK$19+FK$20+FK$27+FK$28+FK$29+FK$30+FK$31+FK$32</f>
        <v/>
      </c>
      <c r="FL36" s="18">
        <f>FL$15+FL$16+FL$17+FL$18+FL$19+FL$20+FL$27+FL$28+FL$29+FL$30+FL$31+FL$32</f>
        <v/>
      </c>
      <c r="FM36" s="18">
        <f>FM$15+FM$16+FM$17+FM$18+FM$19+FM$20+FM$27+FM$28+FM$29+FM$30+FM$31+FM$32</f>
        <v/>
      </c>
      <c r="FN36" s="18">
        <f>FN$15+FN$16+FN$17+FN$18+FN$19+FN$20+FN$27+FN$28+FN$29+FN$30+FN$31+FN$32</f>
        <v/>
      </c>
      <c r="FO36" s="18">
        <f>FO$15+FO$16+FO$17+FO$18+FO$19+FO$20+FO$27+FO$28+FO$29+FO$30+FO$31+FO$32</f>
        <v/>
      </c>
      <c r="FP36" s="18">
        <f>FP$15+FP$16+FP$17+FP$18+FP$19+FP$20+FP$27+FP$28+FP$29+FP$30+FP$31+FP$32</f>
        <v/>
      </c>
      <c r="FQ36" s="18">
        <f>FQ$15+FQ$16+FQ$17+FQ$18+FQ$19+FQ$20+FQ$27+FQ$28+FQ$29+FQ$30+FQ$31+FQ$32</f>
        <v/>
      </c>
      <c r="FR36" s="18">
        <f>FR$15+FR$16+FR$17+FR$18+FR$19+FR$20+FR$27+FR$28+FR$29+FR$30+FR$31+FR$32</f>
        <v/>
      </c>
      <c r="FS36" s="18">
        <f>FS$15+FS$16+FS$17+FS$18+FS$19+FS$20+FS$27+FS$28+FS$29+FS$30+FS$31+FS$32</f>
        <v/>
      </c>
      <c r="FT36" s="18">
        <f>FT$15+FT$16+FT$17+FT$18+FT$19+FT$20+FT$27+FT$28+FT$29+FT$30+FT$31+FT$32</f>
        <v/>
      </c>
      <c r="FU36" s="18">
        <f>FU$15+FU$16+FU$17+FU$18+FU$19+FU$20+FU$27+FU$28+FU$29+FU$30+FU$31+FU$32</f>
        <v/>
      </c>
      <c r="FV36" s="18">
        <f>FV$15+FV$16+FV$17+FV$18+FV$19+FV$20+FV$27+FV$28+FV$29+FV$30+FV$31+FV$32</f>
        <v/>
      </c>
      <c r="FW36" s="18">
        <f>FW$15+FW$16+FW$17+FW$18+FW$19+FW$20+FW$27+FW$28+FW$29+FW$30+FW$31+FW$32</f>
        <v/>
      </c>
      <c r="FX36" s="18">
        <f>FX$15+FX$16+FX$17+FX$18+FX$19+FX$20+FX$27+FX$28+FX$29+FX$30+FX$31+FX$32</f>
        <v/>
      </c>
      <c r="FY36" s="18">
        <f>FY$15+FY$16+FY$17+FY$18+FY$19+FY$20+FY$27+FY$28+FY$29+FY$30+FY$31+FY$32</f>
        <v/>
      </c>
      <c r="FZ36" s="18">
        <f>FZ$15+FZ$16+FZ$17+FZ$18+FZ$19+FZ$20+FZ$27+FZ$28+FZ$29+FZ$30+FZ$31+FZ$32</f>
        <v/>
      </c>
      <c r="GA36" s="18">
        <f>GA$15+GA$16+GA$17+GA$18+GA$19+GA$20+GA$27+GA$28+GA$29+GA$30+GA$31+GA$32</f>
        <v/>
      </c>
      <c r="GB36" s="18">
        <f>GB$15+GB$16+GB$17+GB$18+GB$19+GB$20+GB$27+GB$28+GB$29+GB$30+GB$31+GB$32</f>
        <v/>
      </c>
      <c r="GC36" s="18">
        <f>GC$15+GC$16+GC$17+GC$18+GC$19+GC$20+GC$27+GC$28+GC$29+GC$30+GC$31+GC$32</f>
        <v/>
      </c>
      <c r="GD36" s="18">
        <f>GD$15+GD$16+GD$17+GD$18+GD$19+GD$20+GD$27+GD$28+GD$29+GD$30+GD$31+GD$32</f>
        <v/>
      </c>
      <c r="GE36" s="18">
        <f>GE$15+GE$16+GE$17+GE$18+GE$19+GE$20+GE$27+GE$28+GE$29+GE$30+GE$31+GE$32</f>
        <v/>
      </c>
      <c r="GF36" s="18">
        <f>GF$15+GF$16+GF$17+GF$18+GF$19+GF$20+GF$27+GF$28+GF$29+GF$30+GF$31+GF$32</f>
        <v/>
      </c>
      <c r="GG36" s="18">
        <f>GG$15+GG$16+GG$17+GG$18+GG$19+GG$20+GG$27+GG$28+GG$29+GG$30+GG$31+GG$32</f>
        <v/>
      </c>
      <c r="GH36" s="18">
        <f>GH$15+GH$16+GH$17+GH$18+GH$19+GH$20+GH$27+GH$28+GH$29+GH$30+GH$31+GH$32</f>
        <v/>
      </c>
      <c r="GI36" s="18">
        <f>GI$15+GI$16+GI$17+GI$18+GI$19+GI$20+GI$27+GI$28+GI$29+GI$30+GI$31+GI$32</f>
        <v/>
      </c>
      <c r="GJ36" s="18">
        <f>GJ$15+GJ$16+GJ$17+GJ$18+GJ$19+GJ$20+GJ$27+GJ$28+GJ$29+GJ$30+GJ$31+GJ$32</f>
        <v/>
      </c>
      <c r="GK36" s="18">
        <f>GK$15+GK$16+GK$17+GK$18+GK$19+GK$20+GK$27+GK$28+GK$29+GK$30+GK$31+GK$32</f>
        <v/>
      </c>
      <c r="GL36" s="18">
        <f>GL$15+GL$16+GL$17+GL$18+GL$19+GL$20+GL$27+GL$28+GL$29+GL$30+GL$31+GL$32</f>
        <v/>
      </c>
      <c r="GM36" s="18">
        <f>GM$15+GM$16+GM$17+GM$18+GM$19+GM$20+GM$27+GM$28+GM$29+GM$30+GM$31+GM$32</f>
        <v/>
      </c>
      <c r="GN36" s="18">
        <f>GN$15+GN$16+GN$17+GN$18+GN$19+GN$20+GN$27+GN$28+GN$29+GN$30+GN$31+GN$32</f>
        <v/>
      </c>
      <c r="GO36" s="18">
        <f>GO$15+GO$16+GO$17+GO$18+GO$19+GO$20+GO$27+GO$28+GO$29+GO$30+GO$31+GO$32</f>
        <v/>
      </c>
      <c r="GP36" s="18">
        <f>GP$15+GP$16+GP$17+GP$18+GP$19+GP$20+GP$27+GP$28+GP$29+GP$30+GP$31+GP$32</f>
        <v/>
      </c>
      <c r="GQ36" s="18">
        <f>GQ$15+GQ$16+GQ$17+GQ$18+GQ$19+GQ$20+GQ$27+GQ$28+GQ$29+GQ$30+GQ$31+GQ$32</f>
        <v/>
      </c>
      <c r="GR36" s="18">
        <f>GR$15+GR$16+GR$17+GR$18+GR$19+GR$20+GR$27+GR$28+GR$29+GR$30+GR$31+GR$32</f>
        <v/>
      </c>
      <c r="GS36" s="18">
        <f>GS$15+GS$16+GS$17+GS$18+GS$19+GS$20+GS$27+GS$28+GS$29+GS$30+GS$31+GS$32</f>
        <v/>
      </c>
      <c r="GT36" s="18">
        <f>GT$15+GT$16+GT$17+GT$18+GT$19+GT$20+GT$27+GT$28+GT$29+GT$30+GT$31+GT$32</f>
        <v/>
      </c>
      <c r="GU36" s="18">
        <f>GU$15+GU$16+GU$17+GU$18+GU$19+GU$20+GU$27+GU$28+GU$29+GU$30+GU$31+GU$32</f>
        <v/>
      </c>
      <c r="GV36" s="18">
        <f>GV$15+GV$16+GV$17+GV$18+GV$19+GV$20+GV$27+GV$28+GV$29+GV$30+GV$31+GV$32</f>
        <v/>
      </c>
      <c r="GW36" s="18">
        <f>GW$15+GW$16+GW$17+GW$18+GW$19+GW$20+GW$27+GW$28+GW$29+GW$30+GW$31+GW$32</f>
        <v/>
      </c>
      <c r="GX36" s="18">
        <f>GX$15+GX$16+GX$17+GX$18+GX$19+GX$20+GX$27+GX$28+GX$29+GX$30+GX$31+GX$32</f>
        <v/>
      </c>
      <c r="GY36" s="18">
        <f>GY$15+GY$16+GY$17+GY$18+GY$19+GY$20+GY$27+GY$28+GY$29+GY$30+GY$31+GY$32</f>
        <v/>
      </c>
      <c r="GZ36" s="18">
        <f>GZ$15+GZ$16+GZ$17+GZ$18+GZ$19+GZ$20+GZ$27+GZ$28+GZ$29+GZ$30+GZ$31+GZ$32</f>
        <v/>
      </c>
      <c r="HA36" s="18">
        <f>HA$15+HA$16+HA$17+HA$18+HA$19+HA$20+HA$27+HA$28+HA$29+HA$30+HA$31+HA$32</f>
        <v/>
      </c>
      <c r="HB36" s="18">
        <f>HB$15+HB$16+HB$17+HB$18+HB$19+HB$20+HB$27+HB$28+HB$29+HB$30+HB$31+HB$32</f>
        <v/>
      </c>
      <c r="HC36" s="18">
        <f>HC$15+HC$16+HC$17+HC$18+HC$19+HC$20+HC$27+HC$28+HC$29+HC$30+HC$31+HC$32</f>
        <v/>
      </c>
      <c r="HD36" s="18">
        <f>HD$15+HD$16+HD$17+HD$18+HD$19+HD$20+HD$27+HD$28+HD$29+HD$30+HD$31+HD$32</f>
        <v/>
      </c>
      <c r="HE36" s="18">
        <f>HE$15+HE$16+HE$17+HE$18+HE$19+HE$20+HE$27+HE$28+HE$29+HE$30+HE$31+HE$32</f>
        <v/>
      </c>
      <c r="HF36" s="18">
        <f>HF$15+HF$16+HF$17+HF$18+HF$19+HF$20+HF$27+HF$28+HF$29+HF$30+HF$31+HF$32</f>
        <v/>
      </c>
      <c r="HG36" s="18">
        <f>HG$15+HG$16+HG$17+HG$18+HG$19+HG$20+HG$27+HG$28+HG$29+HG$30+HG$31+HG$32</f>
        <v/>
      </c>
      <c r="HH36" s="18">
        <f>HH$15+HH$16+HH$17+HH$18+HH$19+HH$20+HH$27+HH$28+HH$29+HH$30+HH$31+HH$32</f>
        <v/>
      </c>
      <c r="HI36" s="18">
        <f>HI$15+HI$16+HI$17+HI$18+HI$19+HI$20+HI$27+HI$28+HI$29+HI$30+HI$31+HI$32</f>
        <v/>
      </c>
      <c r="HJ36" s="18">
        <f>HJ$15+HJ$16+HJ$17+HJ$18+HJ$19+HJ$20+HJ$27+HJ$28+HJ$29+HJ$30+HJ$31+HJ$32</f>
        <v/>
      </c>
      <c r="HK36" s="18">
        <f>HK$15+HK$16+HK$17+HK$18+HK$19+HK$20+HK$27+HK$28+HK$29+HK$30+HK$31+HK$32</f>
        <v/>
      </c>
      <c r="HL36" s="18">
        <f>HL$15+HL$16+HL$17+HL$18+HL$19+HL$20+HL$27+HL$28+HL$29+HL$30+HL$31+HL$32</f>
        <v/>
      </c>
      <c r="HM36" s="18">
        <f>HM$15+HM$16+HM$17+HM$18+HM$19+HM$20+HM$27+HM$28+HM$29+HM$30+HM$31+HM$32</f>
        <v/>
      </c>
      <c r="HN36" s="18">
        <f>HN$15+HN$16+HN$17+HN$18+HN$19+HN$20+HN$27+HN$28+HN$29+HN$30+HN$31+HN$32</f>
        <v/>
      </c>
      <c r="HO36" s="18">
        <f>HO$15+HO$16+HO$17+HO$18+HO$19+HO$20+HO$27+HO$28+HO$29+HO$30+HO$31+HO$32</f>
        <v/>
      </c>
      <c r="HP36" s="18">
        <f>HP$15+HP$16+HP$17+HP$18+HP$19+HP$20+HP$27+HP$28+HP$29+HP$30+HP$31+HP$32</f>
        <v/>
      </c>
      <c r="HQ36" s="18">
        <f>HQ$15+HQ$16+HQ$17+HQ$18+HQ$19+HQ$20+HQ$27+HQ$28+HQ$29+HQ$30+HQ$31+HQ$32</f>
        <v/>
      </c>
      <c r="HR36" s="18">
        <f>HR$15+HR$16+HR$17+HR$18+HR$19+HR$20+HR$27+HR$28+HR$29+HR$30+HR$31+HR$32</f>
        <v/>
      </c>
      <c r="HS36" s="18">
        <f>HS$15+HS$16+HS$17+HS$18+HS$19+HS$20+HS$27+HS$28+HS$29+HS$30+HS$31+HS$32</f>
        <v/>
      </c>
      <c r="HT36" s="18">
        <f>HT$15+HT$16+HT$17+HT$18+HT$19+HT$20+HT$27+HT$28+HT$29+HT$30+HT$31+HT$32</f>
        <v/>
      </c>
      <c r="HU36" s="18">
        <f>HU$15+HU$16+HU$17+HU$18+HU$19+HU$20+HU$27+HU$28+HU$29+HU$30+HU$31+HU$32</f>
        <v/>
      </c>
      <c r="HV36" s="18">
        <f>HV$15+HV$16+HV$17+HV$18+HV$19+HV$20+HV$27+HV$28+HV$29+HV$30+HV$31+HV$32</f>
        <v/>
      </c>
      <c r="HW36" s="18">
        <f>HW$15+HW$16+HW$17+HW$18+HW$19+HW$20+HW$27+HW$28+HW$29+HW$30+HW$31+HW$32</f>
        <v/>
      </c>
      <c r="HX36" s="18">
        <f>HX$15+HX$16+HX$17+HX$18+HX$19+HX$20+HX$27+HX$28+HX$29+HX$30+HX$31+HX$32</f>
        <v/>
      </c>
      <c r="HY36" s="18">
        <f>HY$15+HY$16+HY$17+HY$18+HY$19+HY$20+HY$27+HY$28+HY$29+HY$30+HY$31+HY$32</f>
        <v/>
      </c>
      <c r="HZ36" s="18">
        <f>HZ$15+HZ$16+HZ$17+HZ$18+HZ$19+HZ$20+HZ$27+HZ$28+HZ$29+HZ$30+HZ$31+HZ$32</f>
        <v/>
      </c>
      <c r="IA36" s="18">
        <f>IA$15+IA$16+IA$17+IA$18+IA$19+IA$20+IA$27+IA$28+IA$29+IA$30+IA$31+IA$32</f>
        <v/>
      </c>
      <c r="IB36" s="18">
        <f>IB$15+IB$16+IB$17+IB$18+IB$19+IB$20+IB$27+IB$28+IB$29+IB$30+IB$31+IB$32</f>
        <v/>
      </c>
      <c r="IC36" s="18">
        <f>IC$15+IC$16+IC$17+IC$18+IC$19+IC$20+IC$27+IC$28+IC$29+IC$30+IC$31+IC$32</f>
        <v/>
      </c>
      <c r="ID36" s="18">
        <f>ID$15+ID$16+ID$17+ID$18+ID$19+ID$20+ID$27+ID$28+ID$29+ID$30+ID$31+ID$32</f>
        <v/>
      </c>
      <c r="IE36" s="18">
        <f>IE$15+IE$16+IE$17+IE$18+IE$19+IE$20+IE$27+IE$28+IE$29+IE$30+IE$31+IE$32</f>
        <v/>
      </c>
      <c r="IF36" s="18">
        <f>IF$15+IF$16+IF$17+IF$18+IF$19+IF$20+IF$27+IF$28+IF$29+IF$30+IF$31+IF$32</f>
        <v/>
      </c>
      <c r="IG36" s="18">
        <f>IG$15+IG$16+IG$17+IG$18+IG$19+IG$20+IG$27+IG$28+IG$29+IG$30+IG$31+IG$32</f>
        <v/>
      </c>
      <c r="IH36" s="18">
        <f>IH$15+IH$16+IH$17+IH$18+IH$19+IH$20+IH$27+IH$28+IH$29+IH$30+IH$31+IH$32</f>
        <v/>
      </c>
      <c r="II36" s="18">
        <f>II$15+II$16+II$17+II$18+II$19+II$20+II$27+II$28+II$29+II$30+II$31+II$32</f>
        <v/>
      </c>
      <c r="IJ36" s="18">
        <f>IJ$15+IJ$16+IJ$17+IJ$18+IJ$19+IJ$20+IJ$27+IJ$28+IJ$29+IJ$30+IJ$31+IJ$32</f>
        <v/>
      </c>
      <c r="IK36" s="18">
        <f>IK$15+IK$16+IK$17+IK$18+IK$19+IK$20+IK$27+IK$28+IK$29+IK$30+IK$31+IK$32</f>
        <v/>
      </c>
      <c r="IL36" s="18">
        <f>IL$15+IL$16+IL$17+IL$18+IL$19+IL$20+IL$27+IL$28+IL$29+IL$30+IL$31+IL$32</f>
        <v/>
      </c>
      <c r="IM36" s="18">
        <f>IM$15+IM$16+IM$17+IM$18+IM$19+IM$20+IM$27+IM$28+IM$29+IM$30+IM$31+IM$32</f>
        <v/>
      </c>
      <c r="IN36" s="18">
        <f>IN$15+IN$16+IN$17+IN$18+IN$19+IN$20+IN$27+IN$28+IN$29+IN$30+IN$31+IN$32</f>
        <v/>
      </c>
      <c r="IO36" s="18">
        <f>IO$15+IO$16+IO$17+IO$18+IO$19+IO$20+IO$27+IO$28+IO$29+IO$30+IO$31+IO$32</f>
        <v/>
      </c>
      <c r="IP36" s="18">
        <f>IP$15+IP$16+IP$17+IP$18+IP$19+IP$20+IP$27+IP$28+IP$29+IP$30+IP$31+IP$32</f>
        <v/>
      </c>
      <c r="IQ36" s="18">
        <f>IQ$15+IQ$16+IQ$17+IQ$18+IQ$19+IQ$20+IQ$27+IQ$28+IQ$29+IQ$30+IQ$31+IQ$32</f>
        <v/>
      </c>
      <c r="IR36" s="18">
        <f>IR$15+IR$16+IR$17+IR$18+IR$19+IR$20+IR$27+IR$28+IR$29+IR$30+IR$31+IR$32</f>
        <v/>
      </c>
      <c r="IS36" s="18">
        <f>IS$15+IS$16+IS$17+IS$18+IS$19+IS$20+IS$27+IS$28+IS$29+IS$30+IS$31+IS$32</f>
        <v/>
      </c>
      <c r="IT36" s="18">
        <f>IT$15+IT$16+IT$17+IT$18+IT$19+IT$20+IT$27+IT$28+IT$29+IT$30+IT$31+IT$32</f>
        <v/>
      </c>
      <c r="IU36" s="18">
        <f>IU$15+IU$16+IU$17+IU$18+IU$19+IU$20+IU$27+IU$28+IU$29+IU$30+IU$31+IU$32</f>
        <v/>
      </c>
      <c r="IV36" s="18">
        <f>IV$15+IV$16+IV$17+IV$18+IV$19+IV$20+IV$27+IV$28+IV$29+IV$30+IV$31+IV$32</f>
        <v/>
      </c>
      <c r="IW36" s="18">
        <f>IW$15+IW$16+IW$17+IW$18+IW$19+IW$20+IW$27+IW$28+IW$29+IW$30+IW$31+IW$32</f>
        <v/>
      </c>
      <c r="IX36" s="18">
        <f>IX$15+IX$16+IX$17+IX$18+IX$19+IX$20+IX$27+IX$28+IX$29+IX$30+IX$31+IX$32</f>
        <v/>
      </c>
      <c r="IY36" s="18">
        <f>IY$15+IY$16+IY$17+IY$18+IY$19+IY$20+IY$27+IY$28+IY$29+IY$30+IY$31+IY$32</f>
        <v/>
      </c>
      <c r="IZ36" s="18">
        <f>IZ$15+IZ$16+IZ$17+IZ$18+IZ$19+IZ$20+IZ$27+IZ$28+IZ$29+IZ$30+IZ$31+IZ$32</f>
        <v/>
      </c>
      <c r="JA36" s="18">
        <f>JA$15+JA$16+JA$17+JA$18+JA$19+JA$20+JA$27+JA$28+JA$29+JA$30+JA$31+JA$32</f>
        <v/>
      </c>
      <c r="JB36" s="18">
        <f>JB$15+JB$16+JB$17+JB$18+JB$19+JB$20+JB$27+JB$28+JB$29+JB$30+JB$31+JB$32</f>
        <v/>
      </c>
      <c r="JC36" s="18">
        <f>JC$15+JC$16+JC$17+JC$18+JC$19+JC$20+JC$27+JC$28+JC$29+JC$30+JC$31+JC$32</f>
        <v/>
      </c>
      <c r="JD36" s="18">
        <f>JD$15+JD$16+JD$17+JD$18+JD$19+JD$20+JD$27+JD$28+JD$29+JD$30+JD$31+JD$32</f>
        <v/>
      </c>
      <c r="JE36" s="18">
        <f>JE$15+JE$16+JE$17+JE$18+JE$19+JE$20+JE$27+JE$28+JE$29+JE$30+JE$31+JE$32</f>
        <v/>
      </c>
      <c r="JF36" s="18">
        <f>JF$15+JF$16+JF$17+JF$18+JF$19+JF$20+JF$27+JF$28+JF$29+JF$30+JF$31+JF$32</f>
        <v/>
      </c>
      <c r="JG36" s="18">
        <f>JG$15+JG$16+JG$17+JG$18+JG$19+JG$20+JG$27+JG$28+JG$29+JG$30+JG$31+JG$32</f>
        <v/>
      </c>
      <c r="JH36" s="18">
        <f>JH$15+JH$16+JH$17+JH$18+JH$19+JH$20+JH$27+JH$28+JH$29+JH$30+JH$31+JH$32</f>
        <v/>
      </c>
      <c r="JI36" s="18">
        <f>JI$15+JI$16+JI$17+JI$18+JI$19+JI$20+JI$27+JI$28+JI$29+JI$30+JI$31+JI$32</f>
        <v/>
      </c>
      <c r="JJ36" s="18">
        <f>JJ$15+JJ$16+JJ$17+JJ$18+JJ$19+JJ$20+JJ$27+JJ$28+JJ$29+JJ$30+JJ$31+JJ$32</f>
        <v/>
      </c>
      <c r="JK36" s="18">
        <f>JK$15+JK$16+JK$17+JK$18+JK$19+JK$20+JK$27+JK$28+JK$29+JK$30+JK$31+JK$32</f>
        <v/>
      </c>
      <c r="JL36" s="18">
        <f>JL$15+JL$16+JL$17+JL$18+JL$19+JL$20+JL$27+JL$28+JL$29+JL$30+JL$31+JL$32</f>
        <v/>
      </c>
      <c r="JM36" s="18">
        <f>JM$15+JM$16+JM$17+JM$18+JM$19+JM$20+JM$27+JM$28+JM$29+JM$30+JM$31+JM$32</f>
        <v/>
      </c>
      <c r="JN36" s="18">
        <f>JN$15+JN$16+JN$17+JN$18+JN$19+JN$20+JN$27+JN$28+JN$29+JN$30+JN$31+JN$32</f>
        <v/>
      </c>
      <c r="JO36" s="18">
        <f>JO$15+JO$16+JO$17+JO$18+JO$19+JO$20+JO$27+JO$28+JO$29+JO$30+JO$31+JO$32</f>
        <v/>
      </c>
      <c r="JP36" s="18">
        <f>JP$15+JP$16+JP$17+JP$18+JP$19+JP$20+JP$27+JP$28+JP$29+JP$30+JP$31+JP$32</f>
        <v/>
      </c>
      <c r="JQ36" s="18">
        <f>JQ$15+JQ$16+JQ$17+JQ$18+JQ$19+JQ$20+JQ$27+JQ$28+JQ$29+JQ$30+JQ$31+JQ$32</f>
        <v/>
      </c>
      <c r="JR36" s="18">
        <f>JR$15+JR$16+JR$17+JR$18+JR$19+JR$20+JR$27+JR$28+JR$29+JR$30+JR$31+JR$32</f>
        <v/>
      </c>
      <c r="JS36" s="18">
        <f>JS$15+JS$16+JS$17+JS$18+JS$19+JS$20+JS$27+JS$28+JS$29+JS$30+JS$31+JS$32</f>
        <v/>
      </c>
      <c r="JT36" s="18">
        <f>JT$15+JT$16+JT$17+JT$18+JT$19+JT$20+JT$27+JT$28+JT$29+JT$30+JT$31+JT$32</f>
        <v/>
      </c>
      <c r="JU36" s="18">
        <f>JU$15+JU$16+JU$17+JU$18+JU$19+JU$20+JU$27+JU$28+JU$29+JU$30+JU$31+JU$32</f>
        <v/>
      </c>
      <c r="JV36" s="18">
        <f>JV$15+JV$16+JV$17+JV$18+JV$19+JV$20+JV$27+JV$28+JV$29+JV$30+JV$31+JV$32</f>
        <v/>
      </c>
      <c r="JW36" s="18">
        <f>JW$15+JW$16+JW$17+JW$18+JW$19+JW$20+JW$27+JW$28+JW$29+JW$30+JW$31+JW$32</f>
        <v/>
      </c>
      <c r="JX36" s="18">
        <f>JX$15+JX$16+JX$17+JX$18+JX$19+JX$20+JX$27+JX$28+JX$29+JX$30+JX$31+JX$32</f>
        <v/>
      </c>
      <c r="JY36" s="18">
        <f>JY$15+JY$16+JY$17+JY$18+JY$19+JY$20+JY$27+JY$28+JY$29+JY$30+JY$31+JY$32</f>
        <v/>
      </c>
      <c r="JZ36" s="18">
        <f>JZ$15+JZ$16+JZ$17+JZ$18+JZ$19+JZ$20+JZ$27+JZ$28+JZ$29+JZ$30+JZ$31+JZ$32</f>
        <v/>
      </c>
      <c r="KA36" s="18">
        <f>KA$15+KA$16+KA$17+KA$18+KA$19+KA$20+KA$27+KA$28+KA$29+KA$30+KA$31+KA$32</f>
        <v/>
      </c>
      <c r="KB36" s="18">
        <f>KB$15+KB$16+KB$17+KB$18+KB$19+KB$20+KB$27+KB$28+KB$29+KB$30+KB$31+KB$32</f>
        <v/>
      </c>
      <c r="KC36" s="18">
        <f>KC$15+KC$16+KC$17+KC$18+KC$19+KC$20+KC$27+KC$28+KC$29+KC$30+KC$31+KC$32</f>
        <v/>
      </c>
      <c r="KD36" s="18">
        <f>KD$15+KD$16+KD$17+KD$18+KD$19+KD$20+KD$27+KD$28+KD$29+KD$30+KD$31+KD$32</f>
        <v/>
      </c>
      <c r="KE36" s="18">
        <f>KE$15+KE$16+KE$17+KE$18+KE$19+KE$20+KE$27+KE$28+KE$29+KE$30+KE$31+KE$32</f>
        <v/>
      </c>
      <c r="KF36" s="18">
        <f>KF$15+KF$16+KF$17+KF$18+KF$19+KF$20+KF$27+KF$28+KF$29+KF$30+KF$31+KF$32</f>
        <v/>
      </c>
      <c r="KG36" s="18">
        <f>KG$15+KG$16+KG$17+KG$18+KG$19+KG$20+KG$27+KG$28+KG$29+KG$30+KG$31+KG$32</f>
        <v/>
      </c>
      <c r="KH36" s="18">
        <f>KH$15+KH$16+KH$17+KH$18+KH$19+KH$20+KH$27+KH$28+KH$29+KH$30+KH$31+KH$32</f>
        <v/>
      </c>
      <c r="KI36" s="18">
        <f>KI$15+KI$16+KI$17+KI$18+KI$19+KI$20+KI$27+KI$28+KI$29+KI$30+KI$31+KI$32</f>
        <v/>
      </c>
      <c r="KJ36" s="18">
        <f>KJ$15+KJ$16+KJ$17+KJ$18+KJ$19+KJ$20+KJ$27+KJ$28+KJ$29+KJ$30+KJ$31+KJ$32</f>
        <v/>
      </c>
      <c r="KK36" s="18">
        <f>KK$15+KK$16+KK$17+KK$18+KK$19+KK$20+KK$27+KK$28+KK$29+KK$30+KK$31+KK$32</f>
        <v/>
      </c>
      <c r="KL36" s="18">
        <f>KL$15+KL$16+KL$17+KL$18+KL$19+KL$20+KL$27+KL$28+KL$29+KL$30+KL$31+KL$32</f>
        <v/>
      </c>
      <c r="KM36" s="18">
        <f>KM$15+KM$16+KM$17+KM$18+KM$19+KM$20+KM$27+KM$28+KM$29+KM$30+KM$31+KM$32</f>
        <v/>
      </c>
      <c r="KN36" s="18">
        <f>KN$15+KN$16+KN$17+KN$18+KN$19+KN$20+KN$27+KN$28+KN$29+KN$30+KN$31+KN$32</f>
        <v/>
      </c>
      <c r="KO36" s="18">
        <f>KO$15+KO$16+KO$17+KO$18+KO$19+KO$20+KO$27+KO$28+KO$29+KO$30+KO$31+KO$32</f>
        <v/>
      </c>
      <c r="KP36" s="18">
        <f>KP$15+KP$16+KP$17+KP$18+KP$19+KP$20+KP$27+KP$28+KP$29+KP$30+KP$31+KP$32</f>
        <v/>
      </c>
      <c r="KQ36" s="18">
        <f>KQ$15+KQ$16+KQ$17+KQ$18+KQ$19+KQ$20+KQ$27+KQ$28+KQ$29+KQ$30+KQ$31+KQ$32</f>
        <v/>
      </c>
      <c r="KR36" s="18">
        <f>KR$15+KR$16+KR$17+KR$18+KR$19+KR$20+KR$27+KR$28+KR$29+KR$30+KR$31+KR$32</f>
        <v/>
      </c>
      <c r="KS36" s="18">
        <f>KS$15+KS$16+KS$17+KS$18+KS$19+KS$20+KS$27+KS$28+KS$29+KS$30+KS$31+KS$32</f>
        <v/>
      </c>
      <c r="KT36" s="18">
        <f>KT$15+KT$16+KT$17+KT$18+KT$19+KT$20+KT$27+KT$28+KT$29+KT$30+KT$31+KT$32</f>
        <v/>
      </c>
      <c r="KU36" s="18">
        <f>KU$15+KU$16+KU$17+KU$18+KU$19+KU$20+KU$27+KU$28+KU$29+KU$30+KU$31+KU$32</f>
        <v/>
      </c>
      <c r="KV36" s="18">
        <f>KV$15+KV$16+KV$17+KV$18+KV$19+KV$20+KV$27+KV$28+KV$29+KV$30+KV$31+KV$32</f>
        <v/>
      </c>
      <c r="KW36" s="18">
        <f>KW$15+KW$16+KW$17+KW$18+KW$19+KW$20+KW$27+KW$28+KW$29+KW$30+KW$31+KW$32</f>
        <v/>
      </c>
      <c r="KX36" s="18">
        <f>KX$15+KX$16+KX$17+KX$18+KX$19+KX$20+KX$27+KX$28+KX$29+KX$30+KX$31+KX$32</f>
        <v/>
      </c>
      <c r="KY36" s="18">
        <f>KY$15+KY$16+KY$17+KY$18+KY$19+KY$20+KY$27+KY$28+KY$29+KY$30+KY$31+KY$32</f>
        <v/>
      </c>
      <c r="KZ36" s="18">
        <f>KZ$15+KZ$16+KZ$17+KZ$18+KZ$19+KZ$20+KZ$27+KZ$28+KZ$29+KZ$30+KZ$31+KZ$32</f>
        <v/>
      </c>
      <c r="LA36" s="18">
        <f>LA$15+LA$16+LA$17+LA$18+LA$19+LA$20+LA$27+LA$28+LA$29+LA$30+LA$31+LA$32</f>
        <v/>
      </c>
      <c r="LB36" s="18">
        <f>LB$15+LB$16+LB$17+LB$18+LB$19+LB$20+LB$27+LB$28+LB$29+LB$30+LB$31+LB$32</f>
        <v/>
      </c>
      <c r="LC36" s="18">
        <f>LC$15+LC$16+LC$17+LC$18+LC$19+LC$20+LC$27+LC$28+LC$29+LC$30+LC$31+LC$32</f>
        <v/>
      </c>
      <c r="LD36" s="18">
        <f>LD$15+LD$16+LD$17+LD$18+LD$19+LD$20+LD$27+LD$28+LD$29+LD$30+LD$31+LD$32</f>
        <v/>
      </c>
      <c r="LE36" s="18">
        <f>LE$15+LE$16+LE$17+LE$18+LE$19+LE$20+LE$27+LE$28+LE$29+LE$30+LE$31+LE$32</f>
        <v/>
      </c>
      <c r="LF36" s="18">
        <f>LF$15+LF$16+LF$17+LF$18+LF$19+LF$20+LF$27+LF$28+LF$29+LF$30+LF$31+LF$32</f>
        <v/>
      </c>
      <c r="LG36" s="18">
        <f>LG$15+LG$16+LG$17+LG$18+LG$19+LG$20+LG$27+LG$28+LG$29+LG$30+LG$31+LG$32</f>
        <v/>
      </c>
      <c r="LH36" s="18">
        <f>LH$15+LH$16+LH$17+LH$18+LH$19+LH$20+LH$27+LH$28+LH$29+LH$30+LH$31+LH$32</f>
        <v/>
      </c>
      <c r="LI36" s="18">
        <f>LI$15+LI$16+LI$17+LI$18+LI$19+LI$20+LI$27+LI$28+LI$29+LI$30+LI$31+LI$32</f>
        <v/>
      </c>
      <c r="LJ36" s="18">
        <f>LJ$15+LJ$16+LJ$17+LJ$18+LJ$19+LJ$20+LJ$27+LJ$28+LJ$29+LJ$30+LJ$31+LJ$32</f>
        <v/>
      </c>
      <c r="LK36" s="18">
        <f>LK$15+LK$16+LK$17+LK$18+LK$19+LK$20+LK$27+LK$28+LK$29+LK$30+LK$31+LK$32</f>
        <v/>
      </c>
      <c r="LL36" s="18">
        <f>LL$15+LL$16+LL$17+LL$18+LL$19+LL$20+LL$27+LL$28+LL$29+LL$30+LL$31+LL$32</f>
        <v/>
      </c>
      <c r="LM36" s="18">
        <f>LM$15+LM$16+LM$17+LM$18+LM$19+LM$20+LM$27+LM$28+LM$29+LM$30+LM$31+LM$32</f>
        <v/>
      </c>
      <c r="LN36" s="18">
        <f>LN$15+LN$16+LN$17+LN$18+LN$19+LN$20+LN$27+LN$28+LN$29+LN$30+LN$31+LN$32</f>
        <v/>
      </c>
      <c r="LO36" s="18">
        <f>LO$15+LO$16+LO$17+LO$18+LO$19+LO$20+LO$27+LO$28+LO$29+LO$30+LO$31+LO$32</f>
        <v/>
      </c>
      <c r="LP36" s="18">
        <f>LP$15+LP$16+LP$17+LP$18+LP$19+LP$20+LP$27+LP$28+LP$29+LP$30+LP$31+LP$32</f>
        <v/>
      </c>
      <c r="LQ36" s="18">
        <f>LQ$15+LQ$16+LQ$17+LQ$18+LQ$19+LQ$20+LQ$27+LQ$28+LQ$29+LQ$30+LQ$31+LQ$32</f>
        <v/>
      </c>
      <c r="LR36" s="18">
        <f>LR$15+LR$16+LR$17+LR$18+LR$19+LR$20+LR$27+LR$28+LR$29+LR$30+LR$31+LR$32</f>
        <v/>
      </c>
      <c r="LS36" s="18">
        <f>LS$15+LS$16+LS$17+LS$18+LS$19+LS$20+LS$27+LS$28+LS$29+LS$30+LS$31+LS$32</f>
        <v/>
      </c>
      <c r="LT36" s="18">
        <f>LT$15+LT$16+LT$17+LT$18+LT$19+LT$20+LT$27+LT$28+LT$29+LT$30+LT$31+LT$32</f>
        <v/>
      </c>
      <c r="LU36" s="18">
        <f>LU$15+LU$16+LU$17+LU$18+LU$19+LU$20+LU$27+LU$28+LU$29+LU$30+LU$31+LU$32</f>
        <v/>
      </c>
      <c r="LV36" s="18">
        <f>LV$15+LV$16+LV$17+LV$18+LV$19+LV$20+LV$27+LV$28+LV$29+LV$30+LV$31+LV$32</f>
        <v/>
      </c>
      <c r="LW36" s="18">
        <f>LW$15+LW$16+LW$17+LW$18+LW$19+LW$20+LW$27+LW$28+LW$29+LW$30+LW$31+LW$32</f>
        <v/>
      </c>
      <c r="LX36" s="18">
        <f>LX$15+LX$16+LX$17+LX$18+LX$19+LX$20+LX$27+LX$28+LX$29+LX$30+LX$31+LX$32</f>
        <v/>
      </c>
      <c r="LY36" s="18">
        <f>LY$15+LY$16+LY$17+LY$18+LY$19+LY$20+LY$27+LY$28+LY$29+LY$30+LY$31+LY$32</f>
        <v/>
      </c>
      <c r="LZ36" s="18">
        <f>LZ$15+LZ$16+LZ$17+LZ$18+LZ$19+LZ$20+LZ$27+LZ$28+LZ$29+LZ$30+LZ$31+LZ$32</f>
        <v/>
      </c>
      <c r="MA36" s="18">
        <f>MA$15+MA$16+MA$17+MA$18+MA$19+MA$20+MA$27+MA$28+MA$29+MA$30+MA$31+MA$32</f>
        <v/>
      </c>
      <c r="MB36" s="18">
        <f>MB$15+MB$16+MB$17+MB$18+MB$19+MB$20+MB$27+MB$28+MB$29+MB$30+MB$31+MB$32</f>
        <v/>
      </c>
      <c r="MC36" s="18">
        <f>MC$15+MC$16+MC$17+MC$18+MC$19+MC$20+MC$27+MC$28+MC$29+MC$30+MC$31+MC$32</f>
        <v/>
      </c>
      <c r="MD36" s="18">
        <f>MD$15+MD$16+MD$17+MD$18+MD$19+MD$20+MD$27+MD$28+MD$29+MD$30+MD$31+MD$32</f>
        <v/>
      </c>
      <c r="ME36" s="18">
        <f>ME$15+ME$16+ME$17+ME$18+ME$19+ME$20+ME$27+ME$28+ME$29+ME$30+ME$31+ME$32</f>
        <v/>
      </c>
      <c r="MF36" s="18">
        <f>MF$15+MF$16+MF$17+MF$18+MF$19+MF$20+MF$27+MF$28+MF$29+MF$30+MF$31+MF$32</f>
        <v/>
      </c>
      <c r="MG36" s="18">
        <f>MG$15+MG$16+MG$17+MG$18+MG$19+MG$20+MG$27+MG$28+MG$29+MG$30+MG$31+MG$32</f>
        <v/>
      </c>
      <c r="MH36" s="18">
        <f>MH$15+MH$16+MH$17+MH$18+MH$19+MH$20+MH$27+MH$28+MH$29+MH$30+MH$31+MH$32</f>
        <v/>
      </c>
      <c r="MI36" s="18">
        <f>MI$15+MI$16+MI$17+MI$18+MI$19+MI$20+MI$27+MI$28+MI$29+MI$30+MI$31+MI$32</f>
        <v/>
      </c>
      <c r="MJ36" s="18">
        <f>MJ$15+MJ$16+MJ$17+MJ$18+MJ$19+MJ$20+MJ$27+MJ$28+MJ$29+MJ$30+MJ$31+MJ$32</f>
        <v/>
      </c>
      <c r="MK36" s="18">
        <f>MK$15+MK$16+MK$17+MK$18+MK$19+MK$20+MK$27+MK$28+MK$29+MK$30+MK$31+MK$32</f>
        <v/>
      </c>
      <c r="ML36" s="18">
        <f>ML$15+ML$16+ML$17+ML$18+ML$19+ML$20+ML$27+ML$28+ML$29+ML$30+ML$31+ML$32</f>
        <v/>
      </c>
      <c r="MM36" s="18">
        <f>MM$15+MM$16+MM$17+MM$18+MM$19+MM$20+MM$27+MM$28+MM$29+MM$30+MM$31+MM$32</f>
        <v/>
      </c>
      <c r="MN36" s="18">
        <f>MN$15+MN$16+MN$17+MN$18+MN$19+MN$20+MN$27+MN$28+MN$29+MN$30+MN$31+MN$32</f>
        <v/>
      </c>
      <c r="MO36" s="18">
        <f>MO$15+MO$16+MO$17+MO$18+MO$19+MO$20+MO$27+MO$28+MO$29+MO$30+MO$31+MO$32</f>
        <v/>
      </c>
      <c r="MP36" s="18">
        <f>MP$15+MP$16+MP$17+MP$18+MP$19+MP$20+MP$27+MP$28+MP$29+MP$30+MP$31+MP$32</f>
        <v/>
      </c>
      <c r="MQ36" s="18">
        <f>MQ$15+MQ$16+MQ$17+MQ$18+MQ$19+MQ$20+MQ$27+MQ$28+MQ$29+MQ$30+MQ$31+MQ$32</f>
        <v/>
      </c>
      <c r="MR36" s="18">
        <f>MR$15+MR$16+MR$17+MR$18+MR$19+MR$20+MR$27+MR$28+MR$29+MR$30+MR$31+MR$32</f>
        <v/>
      </c>
      <c r="MS36" s="18">
        <f>MS$15+MS$16+MS$17+MS$18+MS$19+MS$20+MS$27+MS$28+MS$29+MS$30+MS$31+MS$32</f>
        <v/>
      </c>
      <c r="MT36" s="18">
        <f>MT$15+MT$16+MT$17+MT$18+MT$19+MT$20+MT$27+MT$28+MT$29+MT$30+MT$31+MT$32</f>
        <v/>
      </c>
      <c r="MU36" s="18">
        <f>MU$15+MU$16+MU$17+MU$18+MU$19+MU$20+MU$27+MU$28+MU$29+MU$30+MU$31+MU$32</f>
        <v/>
      </c>
      <c r="MV36" s="18">
        <f>MV$15+MV$16+MV$17+MV$18+MV$19+MV$20+MV$27+MV$28+MV$29+MV$30+MV$31+MV$32</f>
        <v/>
      </c>
      <c r="MW36" s="18">
        <f>MW$15+MW$16+MW$17+MW$18+MW$19+MW$20+MW$27+MW$28+MW$29+MW$30+MW$31+MW$32</f>
        <v/>
      </c>
      <c r="MX36" s="18">
        <f>MX$15+MX$16+MX$17+MX$18+MX$19+MX$20+MX$27+MX$28+MX$29+MX$30+MX$31+MX$32</f>
        <v/>
      </c>
      <c r="MY36" s="18">
        <f>MY$15+MY$16+MY$17+MY$18+MY$19+MY$20+MY$27+MY$28+MY$29+MY$30+MY$31+MY$32</f>
        <v/>
      </c>
      <c r="MZ36" s="18">
        <f>MZ$15+MZ$16+MZ$17+MZ$18+MZ$19+MZ$20+MZ$27+MZ$28+MZ$29+MZ$30+MZ$31+MZ$32</f>
        <v/>
      </c>
      <c r="NA36" s="18">
        <f>NA$15+NA$16+NA$17+NA$18+NA$19+NA$20+NA$27+NA$28+NA$29+NA$30+NA$31+NA$32</f>
        <v/>
      </c>
      <c r="NB36" s="18">
        <f>NB$15+NB$16+NB$17+NB$18+NB$19+NB$20+NB$27+NB$28+NB$29+NB$30+NB$31+NB$32</f>
        <v/>
      </c>
      <c r="NC36" s="18">
        <f>NC$15+NC$16+NC$17+NC$18+NC$19+NC$20+NC$27+NC$28+NC$29+NC$30+NC$31+NC$32</f>
        <v/>
      </c>
      <c r="ND36" s="18">
        <f>ND$15+ND$16+ND$17+ND$18+ND$19+ND$20+ND$27+ND$28+ND$29+ND$30+ND$31+ND$32</f>
        <v/>
      </c>
      <c r="NE36" s="18">
        <f>NE$15+NE$16+NE$17+NE$18+NE$19+NE$20+NE$27+NE$28+NE$29+NE$30+NE$31+NE$32</f>
        <v/>
      </c>
      <c r="NF36" s="18">
        <f>NF$15+NF$16+NF$17+NF$18+NF$19+NF$20+NF$27+NF$28+NF$29+NF$30+NF$31+NF$32</f>
        <v/>
      </c>
      <c r="NG36" s="18">
        <f>NG$15+NG$16+NG$17+NG$18+NG$19+NG$20+NG$27+NG$28+NG$29+NG$30+NG$31+NG$32</f>
        <v/>
      </c>
      <c r="NH36" s="18">
        <f>NH$15+NH$16+NH$17+NH$18+NH$19+NH$20+NH$27+NH$28+NH$29+NH$30+NH$31+NH$32</f>
        <v/>
      </c>
      <c r="NI36" s="18">
        <f>NI$15+NI$16+NI$17+NI$18+NI$19+NI$20+NI$27+NI$28+NI$29+NI$30+NI$31+NI$32</f>
        <v/>
      </c>
      <c r="NJ36" s="18">
        <f>NJ$15+NJ$16+NJ$17+NJ$18+NJ$19+NJ$20+NJ$27+NJ$28+NJ$29+NJ$30+NJ$31+NJ$32</f>
        <v/>
      </c>
      <c r="NK36" s="18">
        <f>NK$15+NK$16+NK$17+NK$18+NK$19+NK$20+NK$27+NK$28+NK$29+NK$30+NK$31+NK$32</f>
        <v/>
      </c>
    </row>
    <row r="37">
      <c r="A37" s="5" t="inlineStr">
        <is>
          <t>Cumulative Hard Cost in Place</t>
        </is>
      </c>
      <c r="C37" s="43" t="n"/>
      <c r="D37" s="18">
        <f>D$36</f>
        <v/>
      </c>
      <c r="E37" s="18">
        <f>D$37+E$36</f>
        <v/>
      </c>
      <c r="F37" s="18">
        <f>E$37+F$36</f>
        <v/>
      </c>
      <c r="G37" s="18">
        <f>F$37+G$36</f>
        <v/>
      </c>
      <c r="H37" s="18">
        <f>G$37+H$36</f>
        <v/>
      </c>
      <c r="I37" s="18">
        <f>H$37+I$36</f>
        <v/>
      </c>
      <c r="J37" s="18">
        <f>I$37+J$36</f>
        <v/>
      </c>
      <c r="K37" s="18">
        <f>J$37+K$36</f>
        <v/>
      </c>
      <c r="L37" s="18">
        <f>K$37+L$36</f>
        <v/>
      </c>
      <c r="M37" s="18">
        <f>L$37+M$36</f>
        <v/>
      </c>
      <c r="N37" s="18">
        <f>M$37+N$36</f>
        <v/>
      </c>
      <c r="O37" s="18">
        <f>N$37+O$36</f>
        <v/>
      </c>
      <c r="P37" s="18">
        <f>O$37+P$36</f>
        <v/>
      </c>
      <c r="Q37" s="18">
        <f>P$37+Q$36</f>
        <v/>
      </c>
      <c r="R37" s="18">
        <f>Q$37+R$36</f>
        <v/>
      </c>
      <c r="S37" s="18">
        <f>R$37+S$36</f>
        <v/>
      </c>
      <c r="T37" s="18">
        <f>S$37+T$36</f>
        <v/>
      </c>
      <c r="U37" s="18">
        <f>T$37+U$36</f>
        <v/>
      </c>
      <c r="V37" s="18">
        <f>U$37+V$36</f>
        <v/>
      </c>
      <c r="W37" s="18">
        <f>V$37+W$36</f>
        <v/>
      </c>
      <c r="X37" s="18">
        <f>W$37+X$36</f>
        <v/>
      </c>
      <c r="Y37" s="18">
        <f>X$37+Y$36</f>
        <v/>
      </c>
      <c r="Z37" s="18">
        <f>Y$37+Z$36</f>
        <v/>
      </c>
      <c r="AA37" s="18">
        <f>Z$37+AA$36</f>
        <v/>
      </c>
      <c r="AB37" s="18">
        <f>AA$37+AB$36</f>
        <v/>
      </c>
      <c r="AC37" s="18">
        <f>AB$37+AC$36</f>
        <v/>
      </c>
      <c r="AD37" s="18">
        <f>AC$37+AD$36</f>
        <v/>
      </c>
      <c r="AE37" s="18">
        <f>AD$37+AE$36</f>
        <v/>
      </c>
      <c r="AF37" s="18">
        <f>AE$37+AF$36</f>
        <v/>
      </c>
      <c r="AG37" s="18">
        <f>AF$37+AG$36</f>
        <v/>
      </c>
      <c r="AH37" s="18">
        <f>AG$37+AH$36</f>
        <v/>
      </c>
      <c r="AI37" s="18">
        <f>AH$37+AI$36</f>
        <v/>
      </c>
      <c r="AJ37" s="18">
        <f>AI$37+AJ$36</f>
        <v/>
      </c>
      <c r="AK37" s="18">
        <f>AJ$37+AK$36</f>
        <v/>
      </c>
      <c r="AL37" s="18">
        <f>AK$37+AL$36</f>
        <v/>
      </c>
      <c r="AM37" s="18">
        <f>AL$37+AM$36</f>
        <v/>
      </c>
      <c r="AN37" s="18">
        <f>AM$37+AN$36</f>
        <v/>
      </c>
      <c r="AO37" s="18">
        <f>AN$37+AO$36</f>
        <v/>
      </c>
      <c r="AP37" s="18">
        <f>AO$37+AP$36</f>
        <v/>
      </c>
      <c r="AQ37" s="18">
        <f>AP$37+AQ$36</f>
        <v/>
      </c>
      <c r="AR37" s="18">
        <f>AQ$37+AR$36</f>
        <v/>
      </c>
      <c r="AS37" s="18">
        <f>AR$37+AS$36</f>
        <v/>
      </c>
      <c r="AT37" s="18">
        <f>AS$37+AT$36</f>
        <v/>
      </c>
      <c r="AU37" s="18">
        <f>AT$37+AU$36</f>
        <v/>
      </c>
      <c r="AV37" s="18">
        <f>AU$37+AV$36</f>
        <v/>
      </c>
      <c r="AW37" s="18">
        <f>AV$37+AW$36</f>
        <v/>
      </c>
      <c r="AX37" s="18">
        <f>AW$37+AX$36</f>
        <v/>
      </c>
      <c r="AY37" s="18">
        <f>AX$37+AY$36</f>
        <v/>
      </c>
      <c r="AZ37" s="18">
        <f>AY$37+AZ$36</f>
        <v/>
      </c>
      <c r="BA37" s="18">
        <f>AZ$37+BA$36</f>
        <v/>
      </c>
      <c r="BB37" s="18">
        <f>BA$37+BB$36</f>
        <v/>
      </c>
      <c r="BC37" s="18">
        <f>BB$37+BC$36</f>
        <v/>
      </c>
      <c r="BD37" s="18">
        <f>BC$37+BD$36</f>
        <v/>
      </c>
      <c r="BE37" s="18">
        <f>BD$37+BE$36</f>
        <v/>
      </c>
      <c r="BF37" s="18">
        <f>BE$37+BF$36</f>
        <v/>
      </c>
      <c r="BG37" s="18">
        <f>BF$37+BG$36</f>
        <v/>
      </c>
      <c r="BH37" s="18">
        <f>BG$37+BH$36</f>
        <v/>
      </c>
      <c r="BI37" s="18">
        <f>BH$37+BI$36</f>
        <v/>
      </c>
      <c r="BJ37" s="18">
        <f>BI$37+BJ$36</f>
        <v/>
      </c>
      <c r="BK37" s="18">
        <f>BJ$37+BK$36</f>
        <v/>
      </c>
      <c r="BL37" s="18">
        <f>BK$37+BL$36</f>
        <v/>
      </c>
      <c r="BM37" s="18">
        <f>BL$37+BM$36</f>
        <v/>
      </c>
      <c r="BN37" s="18">
        <f>BM$37+BN$36</f>
        <v/>
      </c>
      <c r="BO37" s="18">
        <f>BN$37+BO$36</f>
        <v/>
      </c>
      <c r="BP37" s="18">
        <f>BO$37+BP$36</f>
        <v/>
      </c>
      <c r="BQ37" s="18">
        <f>BP$37+BQ$36</f>
        <v/>
      </c>
      <c r="BR37" s="18">
        <f>BQ$37+BR$36</f>
        <v/>
      </c>
      <c r="BS37" s="18">
        <f>BR$37+BS$36</f>
        <v/>
      </c>
      <c r="BT37" s="18">
        <f>BS$37+BT$36</f>
        <v/>
      </c>
      <c r="BU37" s="18">
        <f>BT$37+BU$36</f>
        <v/>
      </c>
      <c r="BV37" s="18">
        <f>BU$37+BV$36</f>
        <v/>
      </c>
      <c r="BW37" s="18">
        <f>BV$37+BW$36</f>
        <v/>
      </c>
      <c r="BX37" s="18">
        <f>BW$37+BX$36</f>
        <v/>
      </c>
      <c r="BY37" s="18">
        <f>BX$37+BY$36</f>
        <v/>
      </c>
      <c r="BZ37" s="18">
        <f>BY$37+BZ$36</f>
        <v/>
      </c>
      <c r="CA37" s="18">
        <f>BZ$37+CA$36</f>
        <v/>
      </c>
      <c r="CB37" s="18">
        <f>CA$37+CB$36</f>
        <v/>
      </c>
      <c r="CC37" s="18">
        <f>CB$37+CC$36</f>
        <v/>
      </c>
      <c r="CD37" s="18">
        <f>CC$37+CD$36</f>
        <v/>
      </c>
      <c r="CE37" s="18">
        <f>CD$37+CE$36</f>
        <v/>
      </c>
      <c r="CF37" s="18">
        <f>CE$37+CF$36</f>
        <v/>
      </c>
      <c r="CG37" s="18">
        <f>CF$37+CG$36</f>
        <v/>
      </c>
      <c r="CH37" s="18">
        <f>CG$37+CH$36</f>
        <v/>
      </c>
      <c r="CI37" s="18">
        <f>CH$37+CI$36</f>
        <v/>
      </c>
      <c r="CJ37" s="18">
        <f>CI$37+CJ$36</f>
        <v/>
      </c>
      <c r="CK37" s="18">
        <f>CJ$37+CK$36</f>
        <v/>
      </c>
      <c r="CL37" s="18">
        <f>CK$37+CL$36</f>
        <v/>
      </c>
      <c r="CM37" s="18">
        <f>CL$37+CM$36</f>
        <v/>
      </c>
      <c r="CN37" s="18">
        <f>CM$37+CN$36</f>
        <v/>
      </c>
      <c r="CO37" s="18">
        <f>CN$37+CO$36</f>
        <v/>
      </c>
      <c r="CP37" s="18">
        <f>CO$37+CP$36</f>
        <v/>
      </c>
      <c r="CQ37" s="18">
        <f>CP$37+CQ$36</f>
        <v/>
      </c>
      <c r="CR37" s="18">
        <f>CQ$37+CR$36</f>
        <v/>
      </c>
      <c r="CS37" s="18">
        <f>CR$37+CS$36</f>
        <v/>
      </c>
      <c r="CT37" s="18">
        <f>CS$37+CT$36</f>
        <v/>
      </c>
      <c r="CU37" s="18">
        <f>CT$37+CU$36</f>
        <v/>
      </c>
      <c r="CV37" s="18">
        <f>CU$37+CV$36</f>
        <v/>
      </c>
      <c r="CW37" s="18">
        <f>CV$37+CW$36</f>
        <v/>
      </c>
      <c r="CX37" s="18">
        <f>CW$37+CX$36</f>
        <v/>
      </c>
      <c r="CY37" s="18">
        <f>CX$37+CY$36</f>
        <v/>
      </c>
      <c r="CZ37" s="18">
        <f>CY$37+CZ$36</f>
        <v/>
      </c>
      <c r="DA37" s="18">
        <f>CZ$37+DA$36</f>
        <v/>
      </c>
      <c r="DB37" s="18">
        <f>DA$37+DB$36</f>
        <v/>
      </c>
      <c r="DC37" s="18">
        <f>DB$37+DC$36</f>
        <v/>
      </c>
      <c r="DD37" s="18">
        <f>DC$37+DD$36</f>
        <v/>
      </c>
      <c r="DE37" s="18">
        <f>DD$37+DE$36</f>
        <v/>
      </c>
      <c r="DF37" s="18">
        <f>DE$37+DF$36</f>
        <v/>
      </c>
      <c r="DG37" s="18">
        <f>DF$37+DG$36</f>
        <v/>
      </c>
      <c r="DH37" s="18">
        <f>DG$37+DH$36</f>
        <v/>
      </c>
      <c r="DI37" s="18">
        <f>DH$37+DI$36</f>
        <v/>
      </c>
      <c r="DJ37" s="18">
        <f>DI$37+DJ$36</f>
        <v/>
      </c>
      <c r="DK37" s="18">
        <f>DJ$37+DK$36</f>
        <v/>
      </c>
      <c r="DL37" s="18">
        <f>DK$37+DL$36</f>
        <v/>
      </c>
      <c r="DM37" s="18">
        <f>DL$37+DM$36</f>
        <v/>
      </c>
      <c r="DN37" s="18">
        <f>DM$37+DN$36</f>
        <v/>
      </c>
      <c r="DO37" s="18">
        <f>DN$37+DO$36</f>
        <v/>
      </c>
      <c r="DP37" s="18">
        <f>DO$37+DP$36</f>
        <v/>
      </c>
      <c r="DQ37" s="18">
        <f>DP$37+DQ$36</f>
        <v/>
      </c>
      <c r="DR37" s="18">
        <f>DQ$37+DR$36</f>
        <v/>
      </c>
      <c r="DS37" s="18">
        <f>DR$37+DS$36</f>
        <v/>
      </c>
      <c r="DT37" s="18">
        <f>DS$37+DT$36</f>
        <v/>
      </c>
      <c r="DU37" s="18">
        <f>DT$37+DU$36</f>
        <v/>
      </c>
      <c r="DV37" s="18">
        <f>DU$37+DV$36</f>
        <v/>
      </c>
      <c r="DW37" s="18">
        <f>DV$37+DW$36</f>
        <v/>
      </c>
      <c r="DX37" s="18">
        <f>DW$37+DX$36</f>
        <v/>
      </c>
      <c r="DY37" s="18">
        <f>DX$37+DY$36</f>
        <v/>
      </c>
      <c r="DZ37" s="18">
        <f>DY$37+DZ$36</f>
        <v/>
      </c>
      <c r="EA37" s="18">
        <f>DZ$37+EA$36</f>
        <v/>
      </c>
      <c r="EB37" s="18">
        <f>EA$37+EB$36</f>
        <v/>
      </c>
      <c r="EC37" s="18">
        <f>EB$37+EC$36</f>
        <v/>
      </c>
      <c r="ED37" s="18">
        <f>EC$37+ED$36</f>
        <v/>
      </c>
      <c r="EE37" s="18">
        <f>ED$37+EE$36</f>
        <v/>
      </c>
      <c r="EF37" s="18">
        <f>EE$37+EF$36</f>
        <v/>
      </c>
      <c r="EG37" s="18">
        <f>EF$37+EG$36</f>
        <v/>
      </c>
      <c r="EH37" s="18">
        <f>EG$37+EH$36</f>
        <v/>
      </c>
      <c r="EI37" s="18">
        <f>EH$37+EI$36</f>
        <v/>
      </c>
      <c r="EJ37" s="18">
        <f>EI$37+EJ$36</f>
        <v/>
      </c>
      <c r="EK37" s="18">
        <f>EJ$37+EK$36</f>
        <v/>
      </c>
      <c r="EL37" s="18">
        <f>EK$37+EL$36</f>
        <v/>
      </c>
      <c r="EM37" s="18">
        <f>EL$37+EM$36</f>
        <v/>
      </c>
      <c r="EN37" s="18">
        <f>EM$37+EN$36</f>
        <v/>
      </c>
      <c r="EO37" s="18">
        <f>EN$37+EO$36</f>
        <v/>
      </c>
      <c r="EP37" s="18">
        <f>EO$37+EP$36</f>
        <v/>
      </c>
      <c r="EQ37" s="18">
        <f>EP$37+EQ$36</f>
        <v/>
      </c>
      <c r="ER37" s="18">
        <f>EQ$37+ER$36</f>
        <v/>
      </c>
      <c r="ES37" s="18">
        <f>ER$37+ES$36</f>
        <v/>
      </c>
      <c r="ET37" s="18">
        <f>ES$37+ET$36</f>
        <v/>
      </c>
      <c r="EU37" s="18">
        <f>ET$37+EU$36</f>
        <v/>
      </c>
      <c r="EV37" s="18">
        <f>EU$37+EV$36</f>
        <v/>
      </c>
      <c r="EW37" s="18">
        <f>EV$37+EW$36</f>
        <v/>
      </c>
      <c r="EX37" s="18">
        <f>EW$37+EX$36</f>
        <v/>
      </c>
      <c r="EY37" s="18">
        <f>EX$37+EY$36</f>
        <v/>
      </c>
      <c r="EZ37" s="18">
        <f>EY$37+EZ$36</f>
        <v/>
      </c>
      <c r="FA37" s="18">
        <f>EZ$37+FA$36</f>
        <v/>
      </c>
      <c r="FB37" s="18">
        <f>FA$37+FB$36</f>
        <v/>
      </c>
      <c r="FC37" s="18">
        <f>FB$37+FC$36</f>
        <v/>
      </c>
      <c r="FD37" s="18">
        <f>FC$37+FD$36</f>
        <v/>
      </c>
      <c r="FE37" s="18">
        <f>FD$37+FE$36</f>
        <v/>
      </c>
      <c r="FF37" s="18">
        <f>FE$37+FF$36</f>
        <v/>
      </c>
      <c r="FG37" s="18">
        <f>FF$37+FG$36</f>
        <v/>
      </c>
      <c r="FH37" s="18">
        <f>FG$37+FH$36</f>
        <v/>
      </c>
      <c r="FI37" s="18">
        <f>FH$37+FI$36</f>
        <v/>
      </c>
      <c r="FJ37" s="18">
        <f>FI$37+FJ$36</f>
        <v/>
      </c>
      <c r="FK37" s="18">
        <f>FJ$37+FK$36</f>
        <v/>
      </c>
      <c r="FL37" s="18">
        <f>FK$37+FL$36</f>
        <v/>
      </c>
      <c r="FM37" s="18">
        <f>FL$37+FM$36</f>
        <v/>
      </c>
      <c r="FN37" s="18">
        <f>FM$37+FN$36</f>
        <v/>
      </c>
      <c r="FO37" s="18">
        <f>FN$37+FO$36</f>
        <v/>
      </c>
      <c r="FP37" s="18">
        <f>FO$37+FP$36</f>
        <v/>
      </c>
      <c r="FQ37" s="18">
        <f>FP$37+FQ$36</f>
        <v/>
      </c>
      <c r="FR37" s="18">
        <f>FQ$37+FR$36</f>
        <v/>
      </c>
      <c r="FS37" s="18">
        <f>FR$37+FS$36</f>
        <v/>
      </c>
      <c r="FT37" s="18">
        <f>FS$37+FT$36</f>
        <v/>
      </c>
      <c r="FU37" s="18">
        <f>FT$37+FU$36</f>
        <v/>
      </c>
      <c r="FV37" s="18">
        <f>FU$37+FV$36</f>
        <v/>
      </c>
      <c r="FW37" s="18">
        <f>FV$37+FW$36</f>
        <v/>
      </c>
      <c r="FX37" s="18">
        <f>FW$37+FX$36</f>
        <v/>
      </c>
      <c r="FY37" s="18">
        <f>FX$37+FY$36</f>
        <v/>
      </c>
      <c r="FZ37" s="18">
        <f>FY$37+FZ$36</f>
        <v/>
      </c>
      <c r="GA37" s="18">
        <f>FZ$37+GA$36</f>
        <v/>
      </c>
      <c r="GB37" s="18">
        <f>GA$37+GB$36</f>
        <v/>
      </c>
      <c r="GC37" s="18">
        <f>GB$37+GC$36</f>
        <v/>
      </c>
      <c r="GD37" s="18">
        <f>GC$37+GD$36</f>
        <v/>
      </c>
      <c r="GE37" s="18">
        <f>GD$37+GE$36</f>
        <v/>
      </c>
      <c r="GF37" s="18">
        <f>GE$37+GF$36</f>
        <v/>
      </c>
      <c r="GG37" s="18">
        <f>GF$37+GG$36</f>
        <v/>
      </c>
      <c r="GH37" s="18">
        <f>GG$37+GH$36</f>
        <v/>
      </c>
      <c r="GI37" s="18">
        <f>GH$37+GI$36</f>
        <v/>
      </c>
      <c r="GJ37" s="18">
        <f>GI$37+GJ$36</f>
        <v/>
      </c>
      <c r="GK37" s="18">
        <f>GJ$37+GK$36</f>
        <v/>
      </c>
      <c r="GL37" s="18">
        <f>GK$37+GL$36</f>
        <v/>
      </c>
      <c r="GM37" s="18">
        <f>GL$37+GM$36</f>
        <v/>
      </c>
      <c r="GN37" s="18">
        <f>GM$37+GN$36</f>
        <v/>
      </c>
      <c r="GO37" s="18">
        <f>GN$37+GO$36</f>
        <v/>
      </c>
      <c r="GP37" s="18">
        <f>GO$37+GP$36</f>
        <v/>
      </c>
      <c r="GQ37" s="18">
        <f>GP$37+GQ$36</f>
        <v/>
      </c>
      <c r="GR37" s="18">
        <f>GQ$37+GR$36</f>
        <v/>
      </c>
      <c r="GS37" s="18">
        <f>GR$37+GS$36</f>
        <v/>
      </c>
      <c r="GT37" s="18">
        <f>GS$37+GT$36</f>
        <v/>
      </c>
      <c r="GU37" s="18">
        <f>GT$37+GU$36</f>
        <v/>
      </c>
      <c r="GV37" s="18">
        <f>GU$37+GV$36</f>
        <v/>
      </c>
      <c r="GW37" s="18">
        <f>GV$37+GW$36</f>
        <v/>
      </c>
      <c r="GX37" s="18">
        <f>GW$37+GX$36</f>
        <v/>
      </c>
      <c r="GY37" s="18">
        <f>GX$37+GY$36</f>
        <v/>
      </c>
      <c r="GZ37" s="18">
        <f>GY$37+GZ$36</f>
        <v/>
      </c>
      <c r="HA37" s="18">
        <f>GZ$37+HA$36</f>
        <v/>
      </c>
      <c r="HB37" s="18">
        <f>HA$37+HB$36</f>
        <v/>
      </c>
      <c r="HC37" s="18">
        <f>HB$37+HC$36</f>
        <v/>
      </c>
      <c r="HD37" s="18">
        <f>HC$37+HD$36</f>
        <v/>
      </c>
      <c r="HE37" s="18">
        <f>HD$37+HE$36</f>
        <v/>
      </c>
      <c r="HF37" s="18">
        <f>HE$37+HF$36</f>
        <v/>
      </c>
      <c r="HG37" s="18">
        <f>HF$37+HG$36</f>
        <v/>
      </c>
      <c r="HH37" s="18">
        <f>HG$37+HH$36</f>
        <v/>
      </c>
      <c r="HI37" s="18">
        <f>HH$37+HI$36</f>
        <v/>
      </c>
      <c r="HJ37" s="18">
        <f>HI$37+HJ$36</f>
        <v/>
      </c>
      <c r="HK37" s="18">
        <f>HJ$37+HK$36</f>
        <v/>
      </c>
      <c r="HL37" s="18">
        <f>HK$37+HL$36</f>
        <v/>
      </c>
      <c r="HM37" s="18">
        <f>HL$37+HM$36</f>
        <v/>
      </c>
      <c r="HN37" s="18">
        <f>HM$37+HN$36</f>
        <v/>
      </c>
      <c r="HO37" s="18">
        <f>HN$37+HO$36</f>
        <v/>
      </c>
      <c r="HP37" s="18">
        <f>HO$37+HP$36</f>
        <v/>
      </c>
      <c r="HQ37" s="18">
        <f>HP$37+HQ$36</f>
        <v/>
      </c>
      <c r="HR37" s="18">
        <f>HQ$37+HR$36</f>
        <v/>
      </c>
      <c r="HS37" s="18">
        <f>HR$37+HS$36</f>
        <v/>
      </c>
      <c r="HT37" s="18">
        <f>HS$37+HT$36</f>
        <v/>
      </c>
      <c r="HU37" s="18">
        <f>HT$37+HU$36</f>
        <v/>
      </c>
      <c r="HV37" s="18">
        <f>HU$37+HV$36</f>
        <v/>
      </c>
      <c r="HW37" s="18">
        <f>HV$37+HW$36</f>
        <v/>
      </c>
      <c r="HX37" s="18">
        <f>HW$37+HX$36</f>
        <v/>
      </c>
      <c r="HY37" s="18">
        <f>HX$37+HY$36</f>
        <v/>
      </c>
      <c r="HZ37" s="18">
        <f>HY$37+HZ$36</f>
        <v/>
      </c>
      <c r="IA37" s="18">
        <f>HZ$37+IA$36</f>
        <v/>
      </c>
      <c r="IB37" s="18">
        <f>IA$37+IB$36</f>
        <v/>
      </c>
      <c r="IC37" s="18">
        <f>IB$37+IC$36</f>
        <v/>
      </c>
      <c r="ID37" s="18">
        <f>IC$37+ID$36</f>
        <v/>
      </c>
      <c r="IE37" s="18">
        <f>ID$37+IE$36</f>
        <v/>
      </c>
      <c r="IF37" s="18">
        <f>IE$37+IF$36</f>
        <v/>
      </c>
      <c r="IG37" s="18">
        <f>IF$37+IG$36</f>
        <v/>
      </c>
      <c r="IH37" s="18">
        <f>IG$37+IH$36</f>
        <v/>
      </c>
      <c r="II37" s="18">
        <f>IH$37+II$36</f>
        <v/>
      </c>
      <c r="IJ37" s="18">
        <f>II$37+IJ$36</f>
        <v/>
      </c>
      <c r="IK37" s="18">
        <f>IJ$37+IK$36</f>
        <v/>
      </c>
      <c r="IL37" s="18">
        <f>IK$37+IL$36</f>
        <v/>
      </c>
      <c r="IM37" s="18">
        <f>IL$37+IM$36</f>
        <v/>
      </c>
      <c r="IN37" s="18">
        <f>IM$37+IN$36</f>
        <v/>
      </c>
      <c r="IO37" s="18">
        <f>IN$37+IO$36</f>
        <v/>
      </c>
      <c r="IP37" s="18">
        <f>IO$37+IP$36</f>
        <v/>
      </c>
      <c r="IQ37" s="18">
        <f>IP$37+IQ$36</f>
        <v/>
      </c>
      <c r="IR37" s="18">
        <f>IQ$37+IR$36</f>
        <v/>
      </c>
      <c r="IS37" s="18">
        <f>IR$37+IS$36</f>
        <v/>
      </c>
      <c r="IT37" s="18">
        <f>IS$37+IT$36</f>
        <v/>
      </c>
      <c r="IU37" s="18">
        <f>IT$37+IU$36</f>
        <v/>
      </c>
      <c r="IV37" s="18">
        <f>IU$37+IV$36</f>
        <v/>
      </c>
      <c r="IW37" s="18">
        <f>IV$37+IW$36</f>
        <v/>
      </c>
      <c r="IX37" s="18">
        <f>IW$37+IX$36</f>
        <v/>
      </c>
      <c r="IY37" s="18">
        <f>IX$37+IY$36</f>
        <v/>
      </c>
      <c r="IZ37" s="18">
        <f>IY$37+IZ$36</f>
        <v/>
      </c>
      <c r="JA37" s="18">
        <f>IZ$37+JA$36</f>
        <v/>
      </c>
      <c r="JB37" s="18">
        <f>JA$37+JB$36</f>
        <v/>
      </c>
      <c r="JC37" s="18">
        <f>JB$37+JC$36</f>
        <v/>
      </c>
      <c r="JD37" s="18">
        <f>JC$37+JD$36</f>
        <v/>
      </c>
      <c r="JE37" s="18">
        <f>JD$37+JE$36</f>
        <v/>
      </c>
      <c r="JF37" s="18">
        <f>JE$37+JF$36</f>
        <v/>
      </c>
      <c r="JG37" s="18">
        <f>JF$37+JG$36</f>
        <v/>
      </c>
      <c r="JH37" s="18">
        <f>JG$37+JH$36</f>
        <v/>
      </c>
      <c r="JI37" s="18">
        <f>JH$37+JI$36</f>
        <v/>
      </c>
      <c r="JJ37" s="18">
        <f>JI$37+JJ$36</f>
        <v/>
      </c>
      <c r="JK37" s="18">
        <f>JJ$37+JK$36</f>
        <v/>
      </c>
      <c r="JL37" s="18">
        <f>JK$37+JL$36</f>
        <v/>
      </c>
      <c r="JM37" s="18">
        <f>JL$37+JM$36</f>
        <v/>
      </c>
      <c r="JN37" s="18">
        <f>JM$37+JN$36</f>
        <v/>
      </c>
      <c r="JO37" s="18">
        <f>JN$37+JO$36</f>
        <v/>
      </c>
      <c r="JP37" s="18">
        <f>JO$37+JP$36</f>
        <v/>
      </c>
      <c r="JQ37" s="18">
        <f>JP$37+JQ$36</f>
        <v/>
      </c>
      <c r="JR37" s="18">
        <f>JQ$37+JR$36</f>
        <v/>
      </c>
      <c r="JS37" s="18">
        <f>JR$37+JS$36</f>
        <v/>
      </c>
      <c r="JT37" s="18">
        <f>JS$37+JT$36</f>
        <v/>
      </c>
      <c r="JU37" s="18">
        <f>JT$37+JU$36</f>
        <v/>
      </c>
      <c r="JV37" s="18">
        <f>JU$37+JV$36</f>
        <v/>
      </c>
      <c r="JW37" s="18">
        <f>JV$37+JW$36</f>
        <v/>
      </c>
      <c r="JX37" s="18">
        <f>JW$37+JX$36</f>
        <v/>
      </c>
      <c r="JY37" s="18">
        <f>JX$37+JY$36</f>
        <v/>
      </c>
      <c r="JZ37" s="18">
        <f>JY$37+JZ$36</f>
        <v/>
      </c>
      <c r="KA37" s="18">
        <f>JZ$37+KA$36</f>
        <v/>
      </c>
      <c r="KB37" s="18">
        <f>KA$37+KB$36</f>
        <v/>
      </c>
      <c r="KC37" s="18">
        <f>KB$37+KC$36</f>
        <v/>
      </c>
      <c r="KD37" s="18">
        <f>KC$37+KD$36</f>
        <v/>
      </c>
      <c r="KE37" s="18">
        <f>KD$37+KE$36</f>
        <v/>
      </c>
      <c r="KF37" s="18">
        <f>KE$37+KF$36</f>
        <v/>
      </c>
      <c r="KG37" s="18">
        <f>KF$37+KG$36</f>
        <v/>
      </c>
      <c r="KH37" s="18">
        <f>KG$37+KH$36</f>
        <v/>
      </c>
      <c r="KI37" s="18">
        <f>KH$37+KI$36</f>
        <v/>
      </c>
      <c r="KJ37" s="18">
        <f>KI$37+KJ$36</f>
        <v/>
      </c>
      <c r="KK37" s="18">
        <f>KJ$37+KK$36</f>
        <v/>
      </c>
      <c r="KL37" s="18">
        <f>KK$37+KL$36</f>
        <v/>
      </c>
      <c r="KM37" s="18">
        <f>KL$37+KM$36</f>
        <v/>
      </c>
      <c r="KN37" s="18">
        <f>KM$37+KN$36</f>
        <v/>
      </c>
      <c r="KO37" s="18">
        <f>KN$37+KO$36</f>
        <v/>
      </c>
      <c r="KP37" s="18">
        <f>KO$37+KP$36</f>
        <v/>
      </c>
      <c r="KQ37" s="18">
        <f>KP$37+KQ$36</f>
        <v/>
      </c>
      <c r="KR37" s="18">
        <f>KQ$37+KR$36</f>
        <v/>
      </c>
      <c r="KS37" s="18">
        <f>KR$37+KS$36</f>
        <v/>
      </c>
      <c r="KT37" s="18">
        <f>KS$37+KT$36</f>
        <v/>
      </c>
      <c r="KU37" s="18">
        <f>KT$37+KU$36</f>
        <v/>
      </c>
      <c r="KV37" s="18">
        <f>KU$37+KV$36</f>
        <v/>
      </c>
      <c r="KW37" s="18">
        <f>KV$37+KW$36</f>
        <v/>
      </c>
      <c r="KX37" s="18">
        <f>KW$37+KX$36</f>
        <v/>
      </c>
      <c r="KY37" s="18">
        <f>KX$37+KY$36</f>
        <v/>
      </c>
      <c r="KZ37" s="18">
        <f>KY$37+KZ$36</f>
        <v/>
      </c>
      <c r="LA37" s="18">
        <f>KZ$37+LA$36</f>
        <v/>
      </c>
      <c r="LB37" s="18">
        <f>LA$37+LB$36</f>
        <v/>
      </c>
      <c r="LC37" s="18">
        <f>LB$37+LC$36</f>
        <v/>
      </c>
      <c r="LD37" s="18">
        <f>LC$37+LD$36</f>
        <v/>
      </c>
      <c r="LE37" s="18">
        <f>LD$37+LE$36</f>
        <v/>
      </c>
      <c r="LF37" s="18">
        <f>LE$37+LF$36</f>
        <v/>
      </c>
      <c r="LG37" s="18">
        <f>LF$37+LG$36</f>
        <v/>
      </c>
      <c r="LH37" s="18">
        <f>LG$37+LH$36</f>
        <v/>
      </c>
      <c r="LI37" s="18">
        <f>LH$37+LI$36</f>
        <v/>
      </c>
      <c r="LJ37" s="18">
        <f>LI$37+LJ$36</f>
        <v/>
      </c>
      <c r="LK37" s="18">
        <f>LJ$37+LK$36</f>
        <v/>
      </c>
      <c r="LL37" s="18">
        <f>LK$37+LL$36</f>
        <v/>
      </c>
      <c r="LM37" s="18">
        <f>LL$37+LM$36</f>
        <v/>
      </c>
      <c r="LN37" s="18">
        <f>LM$37+LN$36</f>
        <v/>
      </c>
      <c r="LO37" s="18">
        <f>LN$37+LO$36</f>
        <v/>
      </c>
      <c r="LP37" s="18">
        <f>LO$37+LP$36</f>
        <v/>
      </c>
      <c r="LQ37" s="18">
        <f>LP$37+LQ$36</f>
        <v/>
      </c>
      <c r="LR37" s="18">
        <f>LQ$37+LR$36</f>
        <v/>
      </c>
      <c r="LS37" s="18">
        <f>LR$37+LS$36</f>
        <v/>
      </c>
      <c r="LT37" s="18">
        <f>LS$37+LT$36</f>
        <v/>
      </c>
      <c r="LU37" s="18">
        <f>LT$37+LU$36</f>
        <v/>
      </c>
      <c r="LV37" s="18">
        <f>LU$37+LV$36</f>
        <v/>
      </c>
      <c r="LW37" s="18">
        <f>LV$37+LW$36</f>
        <v/>
      </c>
      <c r="LX37" s="18">
        <f>LW$37+LX$36</f>
        <v/>
      </c>
      <c r="LY37" s="18">
        <f>LX$37+LY$36</f>
        <v/>
      </c>
      <c r="LZ37" s="18">
        <f>LY$37+LZ$36</f>
        <v/>
      </c>
      <c r="MA37" s="18">
        <f>LZ$37+MA$36</f>
        <v/>
      </c>
      <c r="MB37" s="18">
        <f>MA$37+MB$36</f>
        <v/>
      </c>
      <c r="MC37" s="18">
        <f>MB$37+MC$36</f>
        <v/>
      </c>
      <c r="MD37" s="18">
        <f>MC$37+MD$36</f>
        <v/>
      </c>
      <c r="ME37" s="18">
        <f>MD$37+ME$36</f>
        <v/>
      </c>
      <c r="MF37" s="18">
        <f>ME$37+MF$36</f>
        <v/>
      </c>
      <c r="MG37" s="18">
        <f>MF$37+MG$36</f>
        <v/>
      </c>
      <c r="MH37" s="18">
        <f>MG$37+MH$36</f>
        <v/>
      </c>
      <c r="MI37" s="18">
        <f>MH$37+MI$36</f>
        <v/>
      </c>
      <c r="MJ37" s="18">
        <f>MI$37+MJ$36</f>
        <v/>
      </c>
      <c r="MK37" s="18">
        <f>MJ$37+MK$36</f>
        <v/>
      </c>
      <c r="ML37" s="18">
        <f>MK$37+ML$36</f>
        <v/>
      </c>
      <c r="MM37" s="18">
        <f>ML$37+MM$36</f>
        <v/>
      </c>
      <c r="MN37" s="18">
        <f>MM$37+MN$36</f>
        <v/>
      </c>
      <c r="MO37" s="18">
        <f>MN$37+MO$36</f>
        <v/>
      </c>
      <c r="MP37" s="18">
        <f>MO$37+MP$36</f>
        <v/>
      </c>
      <c r="MQ37" s="18">
        <f>MP$37+MQ$36</f>
        <v/>
      </c>
      <c r="MR37" s="18">
        <f>MQ$37+MR$36</f>
        <v/>
      </c>
      <c r="MS37" s="18">
        <f>MR$37+MS$36</f>
        <v/>
      </c>
      <c r="MT37" s="18">
        <f>MS$37+MT$36</f>
        <v/>
      </c>
      <c r="MU37" s="18">
        <f>MT$37+MU$36</f>
        <v/>
      </c>
      <c r="MV37" s="18">
        <f>MU$37+MV$36</f>
        <v/>
      </c>
      <c r="MW37" s="18">
        <f>MV$37+MW$36</f>
        <v/>
      </c>
      <c r="MX37" s="18">
        <f>MW$37+MX$36</f>
        <v/>
      </c>
      <c r="MY37" s="18">
        <f>MX$37+MY$36</f>
        <v/>
      </c>
      <c r="MZ37" s="18">
        <f>MY$37+MZ$36</f>
        <v/>
      </c>
      <c r="NA37" s="18">
        <f>MZ$37+NA$36</f>
        <v/>
      </c>
      <c r="NB37" s="18">
        <f>NA$37+NB$36</f>
        <v/>
      </c>
      <c r="NC37" s="18">
        <f>NB$37+NC$36</f>
        <v/>
      </c>
      <c r="ND37" s="18">
        <f>NC$37+ND$36</f>
        <v/>
      </c>
      <c r="NE37" s="18">
        <f>ND$37+NE$36</f>
        <v/>
      </c>
      <c r="NF37" s="18">
        <f>NE$37+NF$36</f>
        <v/>
      </c>
      <c r="NG37" s="18">
        <f>NF$37+NG$36</f>
        <v/>
      </c>
      <c r="NH37" s="18">
        <f>NG$37+NH$36</f>
        <v/>
      </c>
      <c r="NI37" s="18">
        <f>NH$37+NI$36</f>
        <v/>
      </c>
      <c r="NJ37" s="18">
        <f>NI$37+NJ$36</f>
        <v/>
      </c>
      <c r="NK37" s="18">
        <f>NJ$37+NK$36</f>
        <v/>
      </c>
    </row>
    <row r="38">
      <c r="A38" s="5" t="inlineStr">
        <is>
          <t>Construction-Period Property Tax</t>
        </is>
      </c>
      <c r="C38" s="41">
        <f>SUM(D38:NK38)</f>
        <v/>
      </c>
      <c r="D38" s="18">
        <f>IF(AND(1&gt;=MS_Initial_Closing_Start,1&lt;StabMonth),(LandCost+D$37)*EffTaxRateOnValue/12,0)</f>
        <v/>
      </c>
      <c r="E38" s="18">
        <f>IF(AND(2&gt;=MS_Initial_Closing_Start,2&lt;StabMonth),(LandCost+E$37)*EffTaxRateOnValue/12,0)</f>
        <v/>
      </c>
      <c r="F38" s="18">
        <f>IF(AND(3&gt;=MS_Initial_Closing_Start,3&lt;StabMonth),(LandCost+F$37)*EffTaxRateOnValue/12,0)</f>
        <v/>
      </c>
      <c r="G38" s="18">
        <f>IF(AND(4&gt;=MS_Initial_Closing_Start,4&lt;StabMonth),(LandCost+G$37)*EffTaxRateOnValue/12,0)</f>
        <v/>
      </c>
      <c r="H38" s="18">
        <f>IF(AND(5&gt;=MS_Initial_Closing_Start,5&lt;StabMonth),(LandCost+H$37)*EffTaxRateOnValue/12,0)</f>
        <v/>
      </c>
      <c r="I38" s="18">
        <f>IF(AND(6&gt;=MS_Initial_Closing_Start,6&lt;StabMonth),(LandCost+I$37)*EffTaxRateOnValue/12,0)</f>
        <v/>
      </c>
      <c r="J38" s="18">
        <f>IF(AND(7&gt;=MS_Initial_Closing_Start,7&lt;StabMonth),(LandCost+J$37)*EffTaxRateOnValue/12,0)</f>
        <v/>
      </c>
      <c r="K38" s="18">
        <f>IF(AND(8&gt;=MS_Initial_Closing_Start,8&lt;StabMonth),(LandCost+K$37)*EffTaxRateOnValue/12,0)</f>
        <v/>
      </c>
      <c r="L38" s="18">
        <f>IF(AND(9&gt;=MS_Initial_Closing_Start,9&lt;StabMonth),(LandCost+L$37)*EffTaxRateOnValue/12,0)</f>
        <v/>
      </c>
      <c r="M38" s="18">
        <f>IF(AND(10&gt;=MS_Initial_Closing_Start,10&lt;StabMonth),(LandCost+M$37)*EffTaxRateOnValue/12,0)</f>
        <v/>
      </c>
      <c r="N38" s="18">
        <f>IF(AND(11&gt;=MS_Initial_Closing_Start,11&lt;StabMonth),(LandCost+N$37)*EffTaxRateOnValue/12,0)</f>
        <v/>
      </c>
      <c r="O38" s="18">
        <f>IF(AND(12&gt;=MS_Initial_Closing_Start,12&lt;StabMonth),(LandCost+O$37)*EffTaxRateOnValue/12,0)</f>
        <v/>
      </c>
      <c r="P38" s="18">
        <f>IF(AND(13&gt;=MS_Initial_Closing_Start,13&lt;StabMonth),(LandCost+P$37)*EffTaxRateOnValue/12,0)</f>
        <v/>
      </c>
      <c r="Q38" s="18">
        <f>IF(AND(14&gt;=MS_Initial_Closing_Start,14&lt;StabMonth),(LandCost+Q$37)*EffTaxRateOnValue/12,0)</f>
        <v/>
      </c>
      <c r="R38" s="18">
        <f>IF(AND(15&gt;=MS_Initial_Closing_Start,15&lt;StabMonth),(LandCost+R$37)*EffTaxRateOnValue/12,0)</f>
        <v/>
      </c>
      <c r="S38" s="18">
        <f>IF(AND(16&gt;=MS_Initial_Closing_Start,16&lt;StabMonth),(LandCost+S$37)*EffTaxRateOnValue/12,0)</f>
        <v/>
      </c>
      <c r="T38" s="18">
        <f>IF(AND(17&gt;=MS_Initial_Closing_Start,17&lt;StabMonth),(LandCost+T$37)*EffTaxRateOnValue/12,0)</f>
        <v/>
      </c>
      <c r="U38" s="18">
        <f>IF(AND(18&gt;=MS_Initial_Closing_Start,18&lt;StabMonth),(LandCost+U$37)*EffTaxRateOnValue/12,0)</f>
        <v/>
      </c>
      <c r="V38" s="18">
        <f>IF(AND(19&gt;=MS_Initial_Closing_Start,19&lt;StabMonth),(LandCost+V$37)*EffTaxRateOnValue/12,0)</f>
        <v/>
      </c>
      <c r="W38" s="18">
        <f>IF(AND(20&gt;=MS_Initial_Closing_Start,20&lt;StabMonth),(LandCost+W$37)*EffTaxRateOnValue/12,0)</f>
        <v/>
      </c>
      <c r="X38" s="18">
        <f>IF(AND(21&gt;=MS_Initial_Closing_Start,21&lt;StabMonth),(LandCost+X$37)*EffTaxRateOnValue/12,0)</f>
        <v/>
      </c>
      <c r="Y38" s="18">
        <f>IF(AND(22&gt;=MS_Initial_Closing_Start,22&lt;StabMonth),(LandCost+Y$37)*EffTaxRateOnValue/12,0)</f>
        <v/>
      </c>
      <c r="Z38" s="18">
        <f>IF(AND(23&gt;=MS_Initial_Closing_Start,23&lt;StabMonth),(LandCost+Z$37)*EffTaxRateOnValue/12,0)</f>
        <v/>
      </c>
      <c r="AA38" s="18">
        <f>IF(AND(24&gt;=MS_Initial_Closing_Start,24&lt;StabMonth),(LandCost+AA$37)*EffTaxRateOnValue/12,0)</f>
        <v/>
      </c>
      <c r="AB38" s="18">
        <f>IF(AND(25&gt;=MS_Initial_Closing_Start,25&lt;StabMonth),(LandCost+AB$37)*EffTaxRateOnValue/12,0)</f>
        <v/>
      </c>
      <c r="AC38" s="18">
        <f>IF(AND(26&gt;=MS_Initial_Closing_Start,26&lt;StabMonth),(LandCost+AC$37)*EffTaxRateOnValue/12,0)</f>
        <v/>
      </c>
      <c r="AD38" s="18">
        <f>IF(AND(27&gt;=MS_Initial_Closing_Start,27&lt;StabMonth),(LandCost+AD$37)*EffTaxRateOnValue/12,0)</f>
        <v/>
      </c>
      <c r="AE38" s="18">
        <f>IF(AND(28&gt;=MS_Initial_Closing_Start,28&lt;StabMonth),(LandCost+AE$37)*EffTaxRateOnValue/12,0)</f>
        <v/>
      </c>
      <c r="AF38" s="18">
        <f>IF(AND(29&gt;=MS_Initial_Closing_Start,29&lt;StabMonth),(LandCost+AF$37)*EffTaxRateOnValue/12,0)</f>
        <v/>
      </c>
      <c r="AG38" s="18">
        <f>IF(AND(30&gt;=MS_Initial_Closing_Start,30&lt;StabMonth),(LandCost+AG$37)*EffTaxRateOnValue/12,0)</f>
        <v/>
      </c>
      <c r="AH38" s="18">
        <f>IF(AND(31&gt;=MS_Initial_Closing_Start,31&lt;StabMonth),(LandCost+AH$37)*EffTaxRateOnValue/12,0)</f>
        <v/>
      </c>
      <c r="AI38" s="18">
        <f>IF(AND(32&gt;=MS_Initial_Closing_Start,32&lt;StabMonth),(LandCost+AI$37)*EffTaxRateOnValue/12,0)</f>
        <v/>
      </c>
      <c r="AJ38" s="18">
        <f>IF(AND(33&gt;=MS_Initial_Closing_Start,33&lt;StabMonth),(LandCost+AJ$37)*EffTaxRateOnValue/12,0)</f>
        <v/>
      </c>
      <c r="AK38" s="18">
        <f>IF(AND(34&gt;=MS_Initial_Closing_Start,34&lt;StabMonth),(LandCost+AK$37)*EffTaxRateOnValue/12,0)</f>
        <v/>
      </c>
      <c r="AL38" s="18">
        <f>IF(AND(35&gt;=MS_Initial_Closing_Start,35&lt;StabMonth),(LandCost+AL$37)*EffTaxRateOnValue/12,0)</f>
        <v/>
      </c>
      <c r="AM38" s="18">
        <f>IF(AND(36&gt;=MS_Initial_Closing_Start,36&lt;StabMonth),(LandCost+AM$37)*EffTaxRateOnValue/12,0)</f>
        <v/>
      </c>
      <c r="AN38" s="18">
        <f>IF(AND(37&gt;=MS_Initial_Closing_Start,37&lt;StabMonth),(LandCost+AN$37)*EffTaxRateOnValue/12,0)</f>
        <v/>
      </c>
      <c r="AO38" s="18">
        <f>IF(AND(38&gt;=MS_Initial_Closing_Start,38&lt;StabMonth),(LandCost+AO$37)*EffTaxRateOnValue/12,0)</f>
        <v/>
      </c>
      <c r="AP38" s="18">
        <f>IF(AND(39&gt;=MS_Initial_Closing_Start,39&lt;StabMonth),(LandCost+AP$37)*EffTaxRateOnValue/12,0)</f>
        <v/>
      </c>
      <c r="AQ38" s="18">
        <f>IF(AND(40&gt;=MS_Initial_Closing_Start,40&lt;StabMonth),(LandCost+AQ$37)*EffTaxRateOnValue/12,0)</f>
        <v/>
      </c>
      <c r="AR38" s="18">
        <f>IF(AND(41&gt;=MS_Initial_Closing_Start,41&lt;StabMonth),(LandCost+AR$37)*EffTaxRateOnValue/12,0)</f>
        <v/>
      </c>
      <c r="AS38" s="18">
        <f>IF(AND(42&gt;=MS_Initial_Closing_Start,42&lt;StabMonth),(LandCost+AS$37)*EffTaxRateOnValue/12,0)</f>
        <v/>
      </c>
      <c r="AT38" s="18">
        <f>IF(AND(43&gt;=MS_Initial_Closing_Start,43&lt;StabMonth),(LandCost+AT$37)*EffTaxRateOnValue/12,0)</f>
        <v/>
      </c>
      <c r="AU38" s="18">
        <f>IF(AND(44&gt;=MS_Initial_Closing_Start,44&lt;StabMonth),(LandCost+AU$37)*EffTaxRateOnValue/12,0)</f>
        <v/>
      </c>
      <c r="AV38" s="18">
        <f>IF(AND(45&gt;=MS_Initial_Closing_Start,45&lt;StabMonth),(LandCost+AV$37)*EffTaxRateOnValue/12,0)</f>
        <v/>
      </c>
      <c r="AW38" s="18">
        <f>IF(AND(46&gt;=MS_Initial_Closing_Start,46&lt;StabMonth),(LandCost+AW$37)*EffTaxRateOnValue/12,0)</f>
        <v/>
      </c>
      <c r="AX38" s="18">
        <f>IF(AND(47&gt;=MS_Initial_Closing_Start,47&lt;StabMonth),(LandCost+AX$37)*EffTaxRateOnValue/12,0)</f>
        <v/>
      </c>
      <c r="AY38" s="18">
        <f>IF(AND(48&gt;=MS_Initial_Closing_Start,48&lt;StabMonth),(LandCost+AY$37)*EffTaxRateOnValue/12,0)</f>
        <v/>
      </c>
      <c r="AZ38" s="18">
        <f>IF(AND(49&gt;=MS_Initial_Closing_Start,49&lt;StabMonth),(LandCost+AZ$37)*EffTaxRateOnValue/12,0)</f>
        <v/>
      </c>
      <c r="BA38" s="18">
        <f>IF(AND(50&gt;=MS_Initial_Closing_Start,50&lt;StabMonth),(LandCost+BA$37)*EffTaxRateOnValue/12,0)</f>
        <v/>
      </c>
      <c r="BB38" s="18">
        <f>IF(AND(51&gt;=MS_Initial_Closing_Start,51&lt;StabMonth),(LandCost+BB$37)*EffTaxRateOnValue/12,0)</f>
        <v/>
      </c>
      <c r="BC38" s="18">
        <f>IF(AND(52&gt;=MS_Initial_Closing_Start,52&lt;StabMonth),(LandCost+BC$37)*EffTaxRateOnValue/12,0)</f>
        <v/>
      </c>
      <c r="BD38" s="18">
        <f>IF(AND(53&gt;=MS_Initial_Closing_Start,53&lt;StabMonth),(LandCost+BD$37)*EffTaxRateOnValue/12,0)</f>
        <v/>
      </c>
      <c r="BE38" s="18">
        <f>IF(AND(54&gt;=MS_Initial_Closing_Start,54&lt;StabMonth),(LandCost+BE$37)*EffTaxRateOnValue/12,0)</f>
        <v/>
      </c>
      <c r="BF38" s="18">
        <f>IF(AND(55&gt;=MS_Initial_Closing_Start,55&lt;StabMonth),(LandCost+BF$37)*EffTaxRateOnValue/12,0)</f>
        <v/>
      </c>
      <c r="BG38" s="18">
        <f>IF(AND(56&gt;=MS_Initial_Closing_Start,56&lt;StabMonth),(LandCost+BG$37)*EffTaxRateOnValue/12,0)</f>
        <v/>
      </c>
      <c r="BH38" s="18">
        <f>IF(AND(57&gt;=MS_Initial_Closing_Start,57&lt;StabMonth),(LandCost+BH$37)*EffTaxRateOnValue/12,0)</f>
        <v/>
      </c>
      <c r="BI38" s="18">
        <f>IF(AND(58&gt;=MS_Initial_Closing_Start,58&lt;StabMonth),(LandCost+BI$37)*EffTaxRateOnValue/12,0)</f>
        <v/>
      </c>
      <c r="BJ38" s="18">
        <f>IF(AND(59&gt;=MS_Initial_Closing_Start,59&lt;StabMonth),(LandCost+BJ$37)*EffTaxRateOnValue/12,0)</f>
        <v/>
      </c>
      <c r="BK38" s="18">
        <f>IF(AND(60&gt;=MS_Initial_Closing_Start,60&lt;StabMonth),(LandCost+BK$37)*EffTaxRateOnValue/12,0)</f>
        <v/>
      </c>
      <c r="BL38" s="18">
        <f>IF(AND(61&gt;=MS_Initial_Closing_Start,61&lt;StabMonth),(LandCost+BL$37)*EffTaxRateOnValue/12,0)</f>
        <v/>
      </c>
      <c r="BM38" s="18">
        <f>IF(AND(62&gt;=MS_Initial_Closing_Start,62&lt;StabMonth),(LandCost+BM$37)*EffTaxRateOnValue/12,0)</f>
        <v/>
      </c>
      <c r="BN38" s="18">
        <f>IF(AND(63&gt;=MS_Initial_Closing_Start,63&lt;StabMonth),(LandCost+BN$37)*EffTaxRateOnValue/12,0)</f>
        <v/>
      </c>
      <c r="BO38" s="18">
        <f>IF(AND(64&gt;=MS_Initial_Closing_Start,64&lt;StabMonth),(LandCost+BO$37)*EffTaxRateOnValue/12,0)</f>
        <v/>
      </c>
      <c r="BP38" s="18">
        <f>IF(AND(65&gt;=MS_Initial_Closing_Start,65&lt;StabMonth),(LandCost+BP$37)*EffTaxRateOnValue/12,0)</f>
        <v/>
      </c>
      <c r="BQ38" s="18">
        <f>IF(AND(66&gt;=MS_Initial_Closing_Start,66&lt;StabMonth),(LandCost+BQ$37)*EffTaxRateOnValue/12,0)</f>
        <v/>
      </c>
      <c r="BR38" s="18">
        <f>IF(AND(67&gt;=MS_Initial_Closing_Start,67&lt;StabMonth),(LandCost+BR$37)*EffTaxRateOnValue/12,0)</f>
        <v/>
      </c>
      <c r="BS38" s="18">
        <f>IF(AND(68&gt;=MS_Initial_Closing_Start,68&lt;StabMonth),(LandCost+BS$37)*EffTaxRateOnValue/12,0)</f>
        <v/>
      </c>
      <c r="BT38" s="18">
        <f>IF(AND(69&gt;=MS_Initial_Closing_Start,69&lt;StabMonth),(LandCost+BT$37)*EffTaxRateOnValue/12,0)</f>
        <v/>
      </c>
      <c r="BU38" s="18">
        <f>IF(AND(70&gt;=MS_Initial_Closing_Start,70&lt;StabMonth),(LandCost+BU$37)*EffTaxRateOnValue/12,0)</f>
        <v/>
      </c>
      <c r="BV38" s="18">
        <f>IF(AND(71&gt;=MS_Initial_Closing_Start,71&lt;StabMonth),(LandCost+BV$37)*EffTaxRateOnValue/12,0)</f>
        <v/>
      </c>
      <c r="BW38" s="18">
        <f>IF(AND(72&gt;=MS_Initial_Closing_Start,72&lt;StabMonth),(LandCost+BW$37)*EffTaxRateOnValue/12,0)</f>
        <v/>
      </c>
      <c r="BX38" s="18">
        <f>IF(AND(73&gt;=MS_Initial_Closing_Start,73&lt;StabMonth),(LandCost+BX$37)*EffTaxRateOnValue/12,0)</f>
        <v/>
      </c>
      <c r="BY38" s="18">
        <f>IF(AND(74&gt;=MS_Initial_Closing_Start,74&lt;StabMonth),(LandCost+BY$37)*EffTaxRateOnValue/12,0)</f>
        <v/>
      </c>
      <c r="BZ38" s="18">
        <f>IF(AND(75&gt;=MS_Initial_Closing_Start,75&lt;StabMonth),(LandCost+BZ$37)*EffTaxRateOnValue/12,0)</f>
        <v/>
      </c>
      <c r="CA38" s="18">
        <f>IF(AND(76&gt;=MS_Initial_Closing_Start,76&lt;StabMonth),(LandCost+CA$37)*EffTaxRateOnValue/12,0)</f>
        <v/>
      </c>
      <c r="CB38" s="18">
        <f>IF(AND(77&gt;=MS_Initial_Closing_Start,77&lt;StabMonth),(LandCost+CB$37)*EffTaxRateOnValue/12,0)</f>
        <v/>
      </c>
      <c r="CC38" s="18">
        <f>IF(AND(78&gt;=MS_Initial_Closing_Start,78&lt;StabMonth),(LandCost+CC$37)*EffTaxRateOnValue/12,0)</f>
        <v/>
      </c>
      <c r="CD38" s="18">
        <f>IF(AND(79&gt;=MS_Initial_Closing_Start,79&lt;StabMonth),(LandCost+CD$37)*EffTaxRateOnValue/12,0)</f>
        <v/>
      </c>
      <c r="CE38" s="18">
        <f>IF(AND(80&gt;=MS_Initial_Closing_Start,80&lt;StabMonth),(LandCost+CE$37)*EffTaxRateOnValue/12,0)</f>
        <v/>
      </c>
      <c r="CF38" s="18">
        <f>IF(AND(81&gt;=MS_Initial_Closing_Start,81&lt;StabMonth),(LandCost+CF$37)*EffTaxRateOnValue/12,0)</f>
        <v/>
      </c>
      <c r="CG38" s="18">
        <f>IF(AND(82&gt;=MS_Initial_Closing_Start,82&lt;StabMonth),(LandCost+CG$37)*EffTaxRateOnValue/12,0)</f>
        <v/>
      </c>
      <c r="CH38" s="18">
        <f>IF(AND(83&gt;=MS_Initial_Closing_Start,83&lt;StabMonth),(LandCost+CH$37)*EffTaxRateOnValue/12,0)</f>
        <v/>
      </c>
      <c r="CI38" s="18">
        <f>IF(AND(84&gt;=MS_Initial_Closing_Start,84&lt;StabMonth),(LandCost+CI$37)*EffTaxRateOnValue/12,0)</f>
        <v/>
      </c>
      <c r="CJ38" s="18">
        <f>IF(AND(85&gt;=MS_Initial_Closing_Start,85&lt;StabMonth),(LandCost+CJ$37)*EffTaxRateOnValue/12,0)</f>
        <v/>
      </c>
      <c r="CK38" s="18">
        <f>IF(AND(86&gt;=MS_Initial_Closing_Start,86&lt;StabMonth),(LandCost+CK$37)*EffTaxRateOnValue/12,0)</f>
        <v/>
      </c>
      <c r="CL38" s="18">
        <f>IF(AND(87&gt;=MS_Initial_Closing_Start,87&lt;StabMonth),(LandCost+CL$37)*EffTaxRateOnValue/12,0)</f>
        <v/>
      </c>
      <c r="CM38" s="18">
        <f>IF(AND(88&gt;=MS_Initial_Closing_Start,88&lt;StabMonth),(LandCost+CM$37)*EffTaxRateOnValue/12,0)</f>
        <v/>
      </c>
      <c r="CN38" s="18">
        <f>IF(AND(89&gt;=MS_Initial_Closing_Start,89&lt;StabMonth),(LandCost+CN$37)*EffTaxRateOnValue/12,0)</f>
        <v/>
      </c>
      <c r="CO38" s="18">
        <f>IF(AND(90&gt;=MS_Initial_Closing_Start,90&lt;StabMonth),(LandCost+CO$37)*EffTaxRateOnValue/12,0)</f>
        <v/>
      </c>
      <c r="CP38" s="18">
        <f>IF(AND(91&gt;=MS_Initial_Closing_Start,91&lt;StabMonth),(LandCost+CP$37)*EffTaxRateOnValue/12,0)</f>
        <v/>
      </c>
      <c r="CQ38" s="18">
        <f>IF(AND(92&gt;=MS_Initial_Closing_Start,92&lt;StabMonth),(LandCost+CQ$37)*EffTaxRateOnValue/12,0)</f>
        <v/>
      </c>
      <c r="CR38" s="18">
        <f>IF(AND(93&gt;=MS_Initial_Closing_Start,93&lt;StabMonth),(LandCost+CR$37)*EffTaxRateOnValue/12,0)</f>
        <v/>
      </c>
      <c r="CS38" s="18">
        <f>IF(AND(94&gt;=MS_Initial_Closing_Start,94&lt;StabMonth),(LandCost+CS$37)*EffTaxRateOnValue/12,0)</f>
        <v/>
      </c>
      <c r="CT38" s="18">
        <f>IF(AND(95&gt;=MS_Initial_Closing_Start,95&lt;StabMonth),(LandCost+CT$37)*EffTaxRateOnValue/12,0)</f>
        <v/>
      </c>
      <c r="CU38" s="18">
        <f>IF(AND(96&gt;=MS_Initial_Closing_Start,96&lt;StabMonth),(LandCost+CU$37)*EffTaxRateOnValue/12,0)</f>
        <v/>
      </c>
      <c r="CV38" s="18">
        <f>IF(AND(97&gt;=MS_Initial_Closing_Start,97&lt;StabMonth),(LandCost+CV$37)*EffTaxRateOnValue/12,0)</f>
        <v/>
      </c>
      <c r="CW38" s="18">
        <f>IF(AND(98&gt;=MS_Initial_Closing_Start,98&lt;StabMonth),(LandCost+CW$37)*EffTaxRateOnValue/12,0)</f>
        <v/>
      </c>
      <c r="CX38" s="18">
        <f>IF(AND(99&gt;=MS_Initial_Closing_Start,99&lt;StabMonth),(LandCost+CX$37)*EffTaxRateOnValue/12,0)</f>
        <v/>
      </c>
      <c r="CY38" s="18">
        <f>IF(AND(100&gt;=MS_Initial_Closing_Start,100&lt;StabMonth),(LandCost+CY$37)*EffTaxRateOnValue/12,0)</f>
        <v/>
      </c>
      <c r="CZ38" s="18">
        <f>IF(AND(101&gt;=MS_Initial_Closing_Start,101&lt;StabMonth),(LandCost+CZ$37)*EffTaxRateOnValue/12,0)</f>
        <v/>
      </c>
      <c r="DA38" s="18">
        <f>IF(AND(102&gt;=MS_Initial_Closing_Start,102&lt;StabMonth),(LandCost+DA$37)*EffTaxRateOnValue/12,0)</f>
        <v/>
      </c>
      <c r="DB38" s="18">
        <f>IF(AND(103&gt;=MS_Initial_Closing_Start,103&lt;StabMonth),(LandCost+DB$37)*EffTaxRateOnValue/12,0)</f>
        <v/>
      </c>
      <c r="DC38" s="18">
        <f>IF(AND(104&gt;=MS_Initial_Closing_Start,104&lt;StabMonth),(LandCost+DC$37)*EffTaxRateOnValue/12,0)</f>
        <v/>
      </c>
      <c r="DD38" s="18">
        <f>IF(AND(105&gt;=MS_Initial_Closing_Start,105&lt;StabMonth),(LandCost+DD$37)*EffTaxRateOnValue/12,0)</f>
        <v/>
      </c>
      <c r="DE38" s="18">
        <f>IF(AND(106&gt;=MS_Initial_Closing_Start,106&lt;StabMonth),(LandCost+DE$37)*EffTaxRateOnValue/12,0)</f>
        <v/>
      </c>
      <c r="DF38" s="18">
        <f>IF(AND(107&gt;=MS_Initial_Closing_Start,107&lt;StabMonth),(LandCost+DF$37)*EffTaxRateOnValue/12,0)</f>
        <v/>
      </c>
      <c r="DG38" s="18">
        <f>IF(AND(108&gt;=MS_Initial_Closing_Start,108&lt;StabMonth),(LandCost+DG$37)*EffTaxRateOnValue/12,0)</f>
        <v/>
      </c>
      <c r="DH38" s="18">
        <f>IF(AND(109&gt;=MS_Initial_Closing_Start,109&lt;StabMonth),(LandCost+DH$37)*EffTaxRateOnValue/12,0)</f>
        <v/>
      </c>
      <c r="DI38" s="18">
        <f>IF(AND(110&gt;=MS_Initial_Closing_Start,110&lt;StabMonth),(LandCost+DI$37)*EffTaxRateOnValue/12,0)</f>
        <v/>
      </c>
      <c r="DJ38" s="18">
        <f>IF(AND(111&gt;=MS_Initial_Closing_Start,111&lt;StabMonth),(LandCost+DJ$37)*EffTaxRateOnValue/12,0)</f>
        <v/>
      </c>
      <c r="DK38" s="18">
        <f>IF(AND(112&gt;=MS_Initial_Closing_Start,112&lt;StabMonth),(LandCost+DK$37)*EffTaxRateOnValue/12,0)</f>
        <v/>
      </c>
      <c r="DL38" s="18">
        <f>IF(AND(113&gt;=MS_Initial_Closing_Start,113&lt;StabMonth),(LandCost+DL$37)*EffTaxRateOnValue/12,0)</f>
        <v/>
      </c>
      <c r="DM38" s="18">
        <f>IF(AND(114&gt;=MS_Initial_Closing_Start,114&lt;StabMonth),(LandCost+DM$37)*EffTaxRateOnValue/12,0)</f>
        <v/>
      </c>
      <c r="DN38" s="18">
        <f>IF(AND(115&gt;=MS_Initial_Closing_Start,115&lt;StabMonth),(LandCost+DN$37)*EffTaxRateOnValue/12,0)</f>
        <v/>
      </c>
      <c r="DO38" s="18">
        <f>IF(AND(116&gt;=MS_Initial_Closing_Start,116&lt;StabMonth),(LandCost+DO$37)*EffTaxRateOnValue/12,0)</f>
        <v/>
      </c>
      <c r="DP38" s="18">
        <f>IF(AND(117&gt;=MS_Initial_Closing_Start,117&lt;StabMonth),(LandCost+DP$37)*EffTaxRateOnValue/12,0)</f>
        <v/>
      </c>
      <c r="DQ38" s="18">
        <f>IF(AND(118&gt;=MS_Initial_Closing_Start,118&lt;StabMonth),(LandCost+DQ$37)*EffTaxRateOnValue/12,0)</f>
        <v/>
      </c>
      <c r="DR38" s="18">
        <f>IF(AND(119&gt;=MS_Initial_Closing_Start,119&lt;StabMonth),(LandCost+DR$37)*EffTaxRateOnValue/12,0)</f>
        <v/>
      </c>
      <c r="DS38" s="18">
        <f>IF(AND(120&gt;=MS_Initial_Closing_Start,120&lt;StabMonth),(LandCost+DS$37)*EffTaxRateOnValue/12,0)</f>
        <v/>
      </c>
      <c r="DT38" s="18">
        <f>IF(AND(121&gt;=MS_Initial_Closing_Start,121&lt;StabMonth),(LandCost+DT$37)*EffTaxRateOnValue/12,0)</f>
        <v/>
      </c>
      <c r="DU38" s="18">
        <f>IF(AND(122&gt;=MS_Initial_Closing_Start,122&lt;StabMonth),(LandCost+DU$37)*EffTaxRateOnValue/12,0)</f>
        <v/>
      </c>
      <c r="DV38" s="18">
        <f>IF(AND(123&gt;=MS_Initial_Closing_Start,123&lt;StabMonth),(LandCost+DV$37)*EffTaxRateOnValue/12,0)</f>
        <v/>
      </c>
      <c r="DW38" s="18">
        <f>IF(AND(124&gt;=MS_Initial_Closing_Start,124&lt;StabMonth),(LandCost+DW$37)*EffTaxRateOnValue/12,0)</f>
        <v/>
      </c>
      <c r="DX38" s="18">
        <f>IF(AND(125&gt;=MS_Initial_Closing_Start,125&lt;StabMonth),(LandCost+DX$37)*EffTaxRateOnValue/12,0)</f>
        <v/>
      </c>
      <c r="DY38" s="18">
        <f>IF(AND(126&gt;=MS_Initial_Closing_Start,126&lt;StabMonth),(LandCost+DY$37)*EffTaxRateOnValue/12,0)</f>
        <v/>
      </c>
      <c r="DZ38" s="18">
        <f>IF(AND(127&gt;=MS_Initial_Closing_Start,127&lt;StabMonth),(LandCost+DZ$37)*EffTaxRateOnValue/12,0)</f>
        <v/>
      </c>
      <c r="EA38" s="18">
        <f>IF(AND(128&gt;=MS_Initial_Closing_Start,128&lt;StabMonth),(LandCost+EA$37)*EffTaxRateOnValue/12,0)</f>
        <v/>
      </c>
      <c r="EB38" s="18">
        <f>IF(AND(129&gt;=MS_Initial_Closing_Start,129&lt;StabMonth),(LandCost+EB$37)*EffTaxRateOnValue/12,0)</f>
        <v/>
      </c>
      <c r="EC38" s="18">
        <f>IF(AND(130&gt;=MS_Initial_Closing_Start,130&lt;StabMonth),(LandCost+EC$37)*EffTaxRateOnValue/12,0)</f>
        <v/>
      </c>
      <c r="ED38" s="18">
        <f>IF(AND(131&gt;=MS_Initial_Closing_Start,131&lt;StabMonth),(LandCost+ED$37)*EffTaxRateOnValue/12,0)</f>
        <v/>
      </c>
      <c r="EE38" s="18">
        <f>IF(AND(132&gt;=MS_Initial_Closing_Start,132&lt;StabMonth),(LandCost+EE$37)*EffTaxRateOnValue/12,0)</f>
        <v/>
      </c>
      <c r="EF38" s="18">
        <f>IF(AND(133&gt;=MS_Initial_Closing_Start,133&lt;StabMonth),(LandCost+EF$37)*EffTaxRateOnValue/12,0)</f>
        <v/>
      </c>
      <c r="EG38" s="18">
        <f>IF(AND(134&gt;=MS_Initial_Closing_Start,134&lt;StabMonth),(LandCost+EG$37)*EffTaxRateOnValue/12,0)</f>
        <v/>
      </c>
      <c r="EH38" s="18">
        <f>IF(AND(135&gt;=MS_Initial_Closing_Start,135&lt;StabMonth),(LandCost+EH$37)*EffTaxRateOnValue/12,0)</f>
        <v/>
      </c>
      <c r="EI38" s="18">
        <f>IF(AND(136&gt;=MS_Initial_Closing_Start,136&lt;StabMonth),(LandCost+EI$37)*EffTaxRateOnValue/12,0)</f>
        <v/>
      </c>
      <c r="EJ38" s="18">
        <f>IF(AND(137&gt;=MS_Initial_Closing_Start,137&lt;StabMonth),(LandCost+EJ$37)*EffTaxRateOnValue/12,0)</f>
        <v/>
      </c>
      <c r="EK38" s="18">
        <f>IF(AND(138&gt;=MS_Initial_Closing_Start,138&lt;StabMonth),(LandCost+EK$37)*EffTaxRateOnValue/12,0)</f>
        <v/>
      </c>
      <c r="EL38" s="18">
        <f>IF(AND(139&gt;=MS_Initial_Closing_Start,139&lt;StabMonth),(LandCost+EL$37)*EffTaxRateOnValue/12,0)</f>
        <v/>
      </c>
      <c r="EM38" s="18">
        <f>IF(AND(140&gt;=MS_Initial_Closing_Start,140&lt;StabMonth),(LandCost+EM$37)*EffTaxRateOnValue/12,0)</f>
        <v/>
      </c>
      <c r="EN38" s="18">
        <f>IF(AND(141&gt;=MS_Initial_Closing_Start,141&lt;StabMonth),(LandCost+EN$37)*EffTaxRateOnValue/12,0)</f>
        <v/>
      </c>
      <c r="EO38" s="18">
        <f>IF(AND(142&gt;=MS_Initial_Closing_Start,142&lt;StabMonth),(LandCost+EO$37)*EffTaxRateOnValue/12,0)</f>
        <v/>
      </c>
      <c r="EP38" s="18">
        <f>IF(AND(143&gt;=MS_Initial_Closing_Start,143&lt;StabMonth),(LandCost+EP$37)*EffTaxRateOnValue/12,0)</f>
        <v/>
      </c>
      <c r="EQ38" s="18">
        <f>IF(AND(144&gt;=MS_Initial_Closing_Start,144&lt;StabMonth),(LandCost+EQ$37)*EffTaxRateOnValue/12,0)</f>
        <v/>
      </c>
      <c r="ER38" s="18">
        <f>IF(AND(145&gt;=MS_Initial_Closing_Start,145&lt;StabMonth),(LandCost+ER$37)*EffTaxRateOnValue/12,0)</f>
        <v/>
      </c>
      <c r="ES38" s="18">
        <f>IF(AND(146&gt;=MS_Initial_Closing_Start,146&lt;StabMonth),(LandCost+ES$37)*EffTaxRateOnValue/12,0)</f>
        <v/>
      </c>
      <c r="ET38" s="18">
        <f>IF(AND(147&gt;=MS_Initial_Closing_Start,147&lt;StabMonth),(LandCost+ET$37)*EffTaxRateOnValue/12,0)</f>
        <v/>
      </c>
      <c r="EU38" s="18">
        <f>IF(AND(148&gt;=MS_Initial_Closing_Start,148&lt;StabMonth),(LandCost+EU$37)*EffTaxRateOnValue/12,0)</f>
        <v/>
      </c>
      <c r="EV38" s="18">
        <f>IF(AND(149&gt;=MS_Initial_Closing_Start,149&lt;StabMonth),(LandCost+EV$37)*EffTaxRateOnValue/12,0)</f>
        <v/>
      </c>
      <c r="EW38" s="18">
        <f>IF(AND(150&gt;=MS_Initial_Closing_Start,150&lt;StabMonth),(LandCost+EW$37)*EffTaxRateOnValue/12,0)</f>
        <v/>
      </c>
      <c r="EX38" s="18">
        <f>IF(AND(151&gt;=MS_Initial_Closing_Start,151&lt;StabMonth),(LandCost+EX$37)*EffTaxRateOnValue/12,0)</f>
        <v/>
      </c>
      <c r="EY38" s="18">
        <f>IF(AND(152&gt;=MS_Initial_Closing_Start,152&lt;StabMonth),(LandCost+EY$37)*EffTaxRateOnValue/12,0)</f>
        <v/>
      </c>
      <c r="EZ38" s="18">
        <f>IF(AND(153&gt;=MS_Initial_Closing_Start,153&lt;StabMonth),(LandCost+EZ$37)*EffTaxRateOnValue/12,0)</f>
        <v/>
      </c>
      <c r="FA38" s="18">
        <f>IF(AND(154&gt;=MS_Initial_Closing_Start,154&lt;StabMonth),(LandCost+FA$37)*EffTaxRateOnValue/12,0)</f>
        <v/>
      </c>
      <c r="FB38" s="18">
        <f>IF(AND(155&gt;=MS_Initial_Closing_Start,155&lt;StabMonth),(LandCost+FB$37)*EffTaxRateOnValue/12,0)</f>
        <v/>
      </c>
      <c r="FC38" s="18">
        <f>IF(AND(156&gt;=MS_Initial_Closing_Start,156&lt;StabMonth),(LandCost+FC$37)*EffTaxRateOnValue/12,0)</f>
        <v/>
      </c>
      <c r="FD38" s="18">
        <f>IF(AND(157&gt;=MS_Initial_Closing_Start,157&lt;StabMonth),(LandCost+FD$37)*EffTaxRateOnValue/12,0)</f>
        <v/>
      </c>
      <c r="FE38" s="18">
        <f>IF(AND(158&gt;=MS_Initial_Closing_Start,158&lt;StabMonth),(LandCost+FE$37)*EffTaxRateOnValue/12,0)</f>
        <v/>
      </c>
      <c r="FF38" s="18">
        <f>IF(AND(159&gt;=MS_Initial_Closing_Start,159&lt;StabMonth),(LandCost+FF$37)*EffTaxRateOnValue/12,0)</f>
        <v/>
      </c>
      <c r="FG38" s="18">
        <f>IF(AND(160&gt;=MS_Initial_Closing_Start,160&lt;StabMonth),(LandCost+FG$37)*EffTaxRateOnValue/12,0)</f>
        <v/>
      </c>
      <c r="FH38" s="18">
        <f>IF(AND(161&gt;=MS_Initial_Closing_Start,161&lt;StabMonth),(LandCost+FH$37)*EffTaxRateOnValue/12,0)</f>
        <v/>
      </c>
      <c r="FI38" s="18">
        <f>IF(AND(162&gt;=MS_Initial_Closing_Start,162&lt;StabMonth),(LandCost+FI$37)*EffTaxRateOnValue/12,0)</f>
        <v/>
      </c>
      <c r="FJ38" s="18">
        <f>IF(AND(163&gt;=MS_Initial_Closing_Start,163&lt;StabMonth),(LandCost+FJ$37)*EffTaxRateOnValue/12,0)</f>
        <v/>
      </c>
      <c r="FK38" s="18">
        <f>IF(AND(164&gt;=MS_Initial_Closing_Start,164&lt;StabMonth),(LandCost+FK$37)*EffTaxRateOnValue/12,0)</f>
        <v/>
      </c>
      <c r="FL38" s="18">
        <f>IF(AND(165&gt;=MS_Initial_Closing_Start,165&lt;StabMonth),(LandCost+FL$37)*EffTaxRateOnValue/12,0)</f>
        <v/>
      </c>
      <c r="FM38" s="18">
        <f>IF(AND(166&gt;=MS_Initial_Closing_Start,166&lt;StabMonth),(LandCost+FM$37)*EffTaxRateOnValue/12,0)</f>
        <v/>
      </c>
      <c r="FN38" s="18">
        <f>IF(AND(167&gt;=MS_Initial_Closing_Start,167&lt;StabMonth),(LandCost+FN$37)*EffTaxRateOnValue/12,0)</f>
        <v/>
      </c>
      <c r="FO38" s="18">
        <f>IF(AND(168&gt;=MS_Initial_Closing_Start,168&lt;StabMonth),(LandCost+FO$37)*EffTaxRateOnValue/12,0)</f>
        <v/>
      </c>
      <c r="FP38" s="18">
        <f>IF(AND(169&gt;=MS_Initial_Closing_Start,169&lt;StabMonth),(LandCost+FP$37)*EffTaxRateOnValue/12,0)</f>
        <v/>
      </c>
      <c r="FQ38" s="18">
        <f>IF(AND(170&gt;=MS_Initial_Closing_Start,170&lt;StabMonth),(LandCost+FQ$37)*EffTaxRateOnValue/12,0)</f>
        <v/>
      </c>
      <c r="FR38" s="18">
        <f>IF(AND(171&gt;=MS_Initial_Closing_Start,171&lt;StabMonth),(LandCost+FR$37)*EffTaxRateOnValue/12,0)</f>
        <v/>
      </c>
      <c r="FS38" s="18">
        <f>IF(AND(172&gt;=MS_Initial_Closing_Start,172&lt;StabMonth),(LandCost+FS$37)*EffTaxRateOnValue/12,0)</f>
        <v/>
      </c>
      <c r="FT38" s="18">
        <f>IF(AND(173&gt;=MS_Initial_Closing_Start,173&lt;StabMonth),(LandCost+FT$37)*EffTaxRateOnValue/12,0)</f>
        <v/>
      </c>
      <c r="FU38" s="18">
        <f>IF(AND(174&gt;=MS_Initial_Closing_Start,174&lt;StabMonth),(LandCost+FU$37)*EffTaxRateOnValue/12,0)</f>
        <v/>
      </c>
      <c r="FV38" s="18">
        <f>IF(AND(175&gt;=MS_Initial_Closing_Start,175&lt;StabMonth),(LandCost+FV$37)*EffTaxRateOnValue/12,0)</f>
        <v/>
      </c>
      <c r="FW38" s="18">
        <f>IF(AND(176&gt;=MS_Initial_Closing_Start,176&lt;StabMonth),(LandCost+FW$37)*EffTaxRateOnValue/12,0)</f>
        <v/>
      </c>
      <c r="FX38" s="18">
        <f>IF(AND(177&gt;=MS_Initial_Closing_Start,177&lt;StabMonth),(LandCost+FX$37)*EffTaxRateOnValue/12,0)</f>
        <v/>
      </c>
      <c r="FY38" s="18">
        <f>IF(AND(178&gt;=MS_Initial_Closing_Start,178&lt;StabMonth),(LandCost+FY$37)*EffTaxRateOnValue/12,0)</f>
        <v/>
      </c>
      <c r="FZ38" s="18">
        <f>IF(AND(179&gt;=MS_Initial_Closing_Start,179&lt;StabMonth),(LandCost+FZ$37)*EffTaxRateOnValue/12,0)</f>
        <v/>
      </c>
      <c r="GA38" s="18">
        <f>IF(AND(180&gt;=MS_Initial_Closing_Start,180&lt;StabMonth),(LandCost+GA$37)*EffTaxRateOnValue/12,0)</f>
        <v/>
      </c>
      <c r="GB38" s="18">
        <f>IF(AND(181&gt;=MS_Initial_Closing_Start,181&lt;StabMonth),(LandCost+GB$37)*EffTaxRateOnValue/12,0)</f>
        <v/>
      </c>
      <c r="GC38" s="18">
        <f>IF(AND(182&gt;=MS_Initial_Closing_Start,182&lt;StabMonth),(LandCost+GC$37)*EffTaxRateOnValue/12,0)</f>
        <v/>
      </c>
      <c r="GD38" s="18">
        <f>IF(AND(183&gt;=MS_Initial_Closing_Start,183&lt;StabMonth),(LandCost+GD$37)*EffTaxRateOnValue/12,0)</f>
        <v/>
      </c>
      <c r="GE38" s="18">
        <f>IF(AND(184&gt;=MS_Initial_Closing_Start,184&lt;StabMonth),(LandCost+GE$37)*EffTaxRateOnValue/12,0)</f>
        <v/>
      </c>
      <c r="GF38" s="18">
        <f>IF(AND(185&gt;=MS_Initial_Closing_Start,185&lt;StabMonth),(LandCost+GF$37)*EffTaxRateOnValue/12,0)</f>
        <v/>
      </c>
      <c r="GG38" s="18">
        <f>IF(AND(186&gt;=MS_Initial_Closing_Start,186&lt;StabMonth),(LandCost+GG$37)*EffTaxRateOnValue/12,0)</f>
        <v/>
      </c>
      <c r="GH38" s="18">
        <f>IF(AND(187&gt;=MS_Initial_Closing_Start,187&lt;StabMonth),(LandCost+GH$37)*EffTaxRateOnValue/12,0)</f>
        <v/>
      </c>
      <c r="GI38" s="18">
        <f>IF(AND(188&gt;=MS_Initial_Closing_Start,188&lt;StabMonth),(LandCost+GI$37)*EffTaxRateOnValue/12,0)</f>
        <v/>
      </c>
      <c r="GJ38" s="18">
        <f>IF(AND(189&gt;=MS_Initial_Closing_Start,189&lt;StabMonth),(LandCost+GJ$37)*EffTaxRateOnValue/12,0)</f>
        <v/>
      </c>
      <c r="GK38" s="18">
        <f>IF(AND(190&gt;=MS_Initial_Closing_Start,190&lt;StabMonth),(LandCost+GK$37)*EffTaxRateOnValue/12,0)</f>
        <v/>
      </c>
      <c r="GL38" s="18">
        <f>IF(AND(191&gt;=MS_Initial_Closing_Start,191&lt;StabMonth),(LandCost+GL$37)*EffTaxRateOnValue/12,0)</f>
        <v/>
      </c>
      <c r="GM38" s="18">
        <f>IF(AND(192&gt;=MS_Initial_Closing_Start,192&lt;StabMonth),(LandCost+GM$37)*EffTaxRateOnValue/12,0)</f>
        <v/>
      </c>
      <c r="GN38" s="18">
        <f>IF(AND(193&gt;=MS_Initial_Closing_Start,193&lt;StabMonth),(LandCost+GN$37)*EffTaxRateOnValue/12,0)</f>
        <v/>
      </c>
      <c r="GO38" s="18">
        <f>IF(AND(194&gt;=MS_Initial_Closing_Start,194&lt;StabMonth),(LandCost+GO$37)*EffTaxRateOnValue/12,0)</f>
        <v/>
      </c>
      <c r="GP38" s="18">
        <f>IF(AND(195&gt;=MS_Initial_Closing_Start,195&lt;StabMonth),(LandCost+GP$37)*EffTaxRateOnValue/12,0)</f>
        <v/>
      </c>
      <c r="GQ38" s="18">
        <f>IF(AND(196&gt;=MS_Initial_Closing_Start,196&lt;StabMonth),(LandCost+GQ$37)*EffTaxRateOnValue/12,0)</f>
        <v/>
      </c>
      <c r="GR38" s="18">
        <f>IF(AND(197&gt;=MS_Initial_Closing_Start,197&lt;StabMonth),(LandCost+GR$37)*EffTaxRateOnValue/12,0)</f>
        <v/>
      </c>
      <c r="GS38" s="18">
        <f>IF(AND(198&gt;=MS_Initial_Closing_Start,198&lt;StabMonth),(LandCost+GS$37)*EffTaxRateOnValue/12,0)</f>
        <v/>
      </c>
      <c r="GT38" s="18">
        <f>IF(AND(199&gt;=MS_Initial_Closing_Start,199&lt;StabMonth),(LandCost+GT$37)*EffTaxRateOnValue/12,0)</f>
        <v/>
      </c>
      <c r="GU38" s="18">
        <f>IF(AND(200&gt;=MS_Initial_Closing_Start,200&lt;StabMonth),(LandCost+GU$37)*EffTaxRateOnValue/12,0)</f>
        <v/>
      </c>
      <c r="GV38" s="18">
        <f>IF(AND(201&gt;=MS_Initial_Closing_Start,201&lt;StabMonth),(LandCost+GV$37)*EffTaxRateOnValue/12,0)</f>
        <v/>
      </c>
      <c r="GW38" s="18">
        <f>IF(AND(202&gt;=MS_Initial_Closing_Start,202&lt;StabMonth),(LandCost+GW$37)*EffTaxRateOnValue/12,0)</f>
        <v/>
      </c>
      <c r="GX38" s="18">
        <f>IF(AND(203&gt;=MS_Initial_Closing_Start,203&lt;StabMonth),(LandCost+GX$37)*EffTaxRateOnValue/12,0)</f>
        <v/>
      </c>
      <c r="GY38" s="18">
        <f>IF(AND(204&gt;=MS_Initial_Closing_Start,204&lt;StabMonth),(LandCost+GY$37)*EffTaxRateOnValue/12,0)</f>
        <v/>
      </c>
      <c r="GZ38" s="18">
        <f>IF(AND(205&gt;=MS_Initial_Closing_Start,205&lt;StabMonth),(LandCost+GZ$37)*EffTaxRateOnValue/12,0)</f>
        <v/>
      </c>
      <c r="HA38" s="18">
        <f>IF(AND(206&gt;=MS_Initial_Closing_Start,206&lt;StabMonth),(LandCost+HA$37)*EffTaxRateOnValue/12,0)</f>
        <v/>
      </c>
      <c r="HB38" s="18">
        <f>IF(AND(207&gt;=MS_Initial_Closing_Start,207&lt;StabMonth),(LandCost+HB$37)*EffTaxRateOnValue/12,0)</f>
        <v/>
      </c>
      <c r="HC38" s="18">
        <f>IF(AND(208&gt;=MS_Initial_Closing_Start,208&lt;StabMonth),(LandCost+HC$37)*EffTaxRateOnValue/12,0)</f>
        <v/>
      </c>
      <c r="HD38" s="18">
        <f>IF(AND(209&gt;=MS_Initial_Closing_Start,209&lt;StabMonth),(LandCost+HD$37)*EffTaxRateOnValue/12,0)</f>
        <v/>
      </c>
      <c r="HE38" s="18">
        <f>IF(AND(210&gt;=MS_Initial_Closing_Start,210&lt;StabMonth),(LandCost+HE$37)*EffTaxRateOnValue/12,0)</f>
        <v/>
      </c>
      <c r="HF38" s="18">
        <f>IF(AND(211&gt;=MS_Initial_Closing_Start,211&lt;StabMonth),(LandCost+HF$37)*EffTaxRateOnValue/12,0)</f>
        <v/>
      </c>
      <c r="HG38" s="18">
        <f>IF(AND(212&gt;=MS_Initial_Closing_Start,212&lt;StabMonth),(LandCost+HG$37)*EffTaxRateOnValue/12,0)</f>
        <v/>
      </c>
      <c r="HH38" s="18">
        <f>IF(AND(213&gt;=MS_Initial_Closing_Start,213&lt;StabMonth),(LandCost+HH$37)*EffTaxRateOnValue/12,0)</f>
        <v/>
      </c>
      <c r="HI38" s="18">
        <f>IF(AND(214&gt;=MS_Initial_Closing_Start,214&lt;StabMonth),(LandCost+HI$37)*EffTaxRateOnValue/12,0)</f>
        <v/>
      </c>
      <c r="HJ38" s="18">
        <f>IF(AND(215&gt;=MS_Initial_Closing_Start,215&lt;StabMonth),(LandCost+HJ$37)*EffTaxRateOnValue/12,0)</f>
        <v/>
      </c>
      <c r="HK38" s="18">
        <f>IF(AND(216&gt;=MS_Initial_Closing_Start,216&lt;StabMonth),(LandCost+HK$37)*EffTaxRateOnValue/12,0)</f>
        <v/>
      </c>
      <c r="HL38" s="18">
        <f>IF(AND(217&gt;=MS_Initial_Closing_Start,217&lt;StabMonth),(LandCost+HL$37)*EffTaxRateOnValue/12,0)</f>
        <v/>
      </c>
      <c r="HM38" s="18">
        <f>IF(AND(218&gt;=MS_Initial_Closing_Start,218&lt;StabMonth),(LandCost+HM$37)*EffTaxRateOnValue/12,0)</f>
        <v/>
      </c>
      <c r="HN38" s="18">
        <f>IF(AND(219&gt;=MS_Initial_Closing_Start,219&lt;StabMonth),(LandCost+HN$37)*EffTaxRateOnValue/12,0)</f>
        <v/>
      </c>
      <c r="HO38" s="18">
        <f>IF(AND(220&gt;=MS_Initial_Closing_Start,220&lt;StabMonth),(LandCost+HO$37)*EffTaxRateOnValue/12,0)</f>
        <v/>
      </c>
      <c r="HP38" s="18">
        <f>IF(AND(221&gt;=MS_Initial_Closing_Start,221&lt;StabMonth),(LandCost+HP$37)*EffTaxRateOnValue/12,0)</f>
        <v/>
      </c>
      <c r="HQ38" s="18">
        <f>IF(AND(222&gt;=MS_Initial_Closing_Start,222&lt;StabMonth),(LandCost+HQ$37)*EffTaxRateOnValue/12,0)</f>
        <v/>
      </c>
      <c r="HR38" s="18">
        <f>IF(AND(223&gt;=MS_Initial_Closing_Start,223&lt;StabMonth),(LandCost+HR$37)*EffTaxRateOnValue/12,0)</f>
        <v/>
      </c>
      <c r="HS38" s="18">
        <f>IF(AND(224&gt;=MS_Initial_Closing_Start,224&lt;StabMonth),(LandCost+HS$37)*EffTaxRateOnValue/12,0)</f>
        <v/>
      </c>
      <c r="HT38" s="18">
        <f>IF(AND(225&gt;=MS_Initial_Closing_Start,225&lt;StabMonth),(LandCost+HT$37)*EffTaxRateOnValue/12,0)</f>
        <v/>
      </c>
      <c r="HU38" s="18">
        <f>IF(AND(226&gt;=MS_Initial_Closing_Start,226&lt;StabMonth),(LandCost+HU$37)*EffTaxRateOnValue/12,0)</f>
        <v/>
      </c>
      <c r="HV38" s="18">
        <f>IF(AND(227&gt;=MS_Initial_Closing_Start,227&lt;StabMonth),(LandCost+HV$37)*EffTaxRateOnValue/12,0)</f>
        <v/>
      </c>
      <c r="HW38" s="18">
        <f>IF(AND(228&gt;=MS_Initial_Closing_Start,228&lt;StabMonth),(LandCost+HW$37)*EffTaxRateOnValue/12,0)</f>
        <v/>
      </c>
      <c r="HX38" s="18">
        <f>IF(AND(229&gt;=MS_Initial_Closing_Start,229&lt;StabMonth),(LandCost+HX$37)*EffTaxRateOnValue/12,0)</f>
        <v/>
      </c>
      <c r="HY38" s="18">
        <f>IF(AND(230&gt;=MS_Initial_Closing_Start,230&lt;StabMonth),(LandCost+HY$37)*EffTaxRateOnValue/12,0)</f>
        <v/>
      </c>
      <c r="HZ38" s="18">
        <f>IF(AND(231&gt;=MS_Initial_Closing_Start,231&lt;StabMonth),(LandCost+HZ$37)*EffTaxRateOnValue/12,0)</f>
        <v/>
      </c>
      <c r="IA38" s="18">
        <f>IF(AND(232&gt;=MS_Initial_Closing_Start,232&lt;StabMonth),(LandCost+IA$37)*EffTaxRateOnValue/12,0)</f>
        <v/>
      </c>
      <c r="IB38" s="18">
        <f>IF(AND(233&gt;=MS_Initial_Closing_Start,233&lt;StabMonth),(LandCost+IB$37)*EffTaxRateOnValue/12,0)</f>
        <v/>
      </c>
      <c r="IC38" s="18">
        <f>IF(AND(234&gt;=MS_Initial_Closing_Start,234&lt;StabMonth),(LandCost+IC$37)*EffTaxRateOnValue/12,0)</f>
        <v/>
      </c>
      <c r="ID38" s="18">
        <f>IF(AND(235&gt;=MS_Initial_Closing_Start,235&lt;StabMonth),(LandCost+ID$37)*EffTaxRateOnValue/12,0)</f>
        <v/>
      </c>
      <c r="IE38" s="18">
        <f>IF(AND(236&gt;=MS_Initial_Closing_Start,236&lt;StabMonth),(LandCost+IE$37)*EffTaxRateOnValue/12,0)</f>
        <v/>
      </c>
      <c r="IF38" s="18">
        <f>IF(AND(237&gt;=MS_Initial_Closing_Start,237&lt;StabMonth),(LandCost+IF$37)*EffTaxRateOnValue/12,0)</f>
        <v/>
      </c>
      <c r="IG38" s="18">
        <f>IF(AND(238&gt;=MS_Initial_Closing_Start,238&lt;StabMonth),(LandCost+IG$37)*EffTaxRateOnValue/12,0)</f>
        <v/>
      </c>
      <c r="IH38" s="18">
        <f>IF(AND(239&gt;=MS_Initial_Closing_Start,239&lt;StabMonth),(LandCost+IH$37)*EffTaxRateOnValue/12,0)</f>
        <v/>
      </c>
      <c r="II38" s="18">
        <f>IF(AND(240&gt;=MS_Initial_Closing_Start,240&lt;StabMonth),(LandCost+II$37)*EffTaxRateOnValue/12,0)</f>
        <v/>
      </c>
      <c r="IJ38" s="18">
        <f>IF(AND(241&gt;=MS_Initial_Closing_Start,241&lt;StabMonth),(LandCost+IJ$37)*EffTaxRateOnValue/12,0)</f>
        <v/>
      </c>
      <c r="IK38" s="18">
        <f>IF(AND(242&gt;=MS_Initial_Closing_Start,242&lt;StabMonth),(LandCost+IK$37)*EffTaxRateOnValue/12,0)</f>
        <v/>
      </c>
      <c r="IL38" s="18">
        <f>IF(AND(243&gt;=MS_Initial_Closing_Start,243&lt;StabMonth),(LandCost+IL$37)*EffTaxRateOnValue/12,0)</f>
        <v/>
      </c>
      <c r="IM38" s="18">
        <f>IF(AND(244&gt;=MS_Initial_Closing_Start,244&lt;StabMonth),(LandCost+IM$37)*EffTaxRateOnValue/12,0)</f>
        <v/>
      </c>
      <c r="IN38" s="18">
        <f>IF(AND(245&gt;=MS_Initial_Closing_Start,245&lt;StabMonth),(LandCost+IN$37)*EffTaxRateOnValue/12,0)</f>
        <v/>
      </c>
      <c r="IO38" s="18">
        <f>IF(AND(246&gt;=MS_Initial_Closing_Start,246&lt;StabMonth),(LandCost+IO$37)*EffTaxRateOnValue/12,0)</f>
        <v/>
      </c>
      <c r="IP38" s="18">
        <f>IF(AND(247&gt;=MS_Initial_Closing_Start,247&lt;StabMonth),(LandCost+IP$37)*EffTaxRateOnValue/12,0)</f>
        <v/>
      </c>
      <c r="IQ38" s="18">
        <f>IF(AND(248&gt;=MS_Initial_Closing_Start,248&lt;StabMonth),(LandCost+IQ$37)*EffTaxRateOnValue/12,0)</f>
        <v/>
      </c>
      <c r="IR38" s="18">
        <f>IF(AND(249&gt;=MS_Initial_Closing_Start,249&lt;StabMonth),(LandCost+IR$37)*EffTaxRateOnValue/12,0)</f>
        <v/>
      </c>
      <c r="IS38" s="18">
        <f>IF(AND(250&gt;=MS_Initial_Closing_Start,250&lt;StabMonth),(LandCost+IS$37)*EffTaxRateOnValue/12,0)</f>
        <v/>
      </c>
      <c r="IT38" s="18">
        <f>IF(AND(251&gt;=MS_Initial_Closing_Start,251&lt;StabMonth),(LandCost+IT$37)*EffTaxRateOnValue/12,0)</f>
        <v/>
      </c>
      <c r="IU38" s="18">
        <f>IF(AND(252&gt;=MS_Initial_Closing_Start,252&lt;StabMonth),(LandCost+IU$37)*EffTaxRateOnValue/12,0)</f>
        <v/>
      </c>
      <c r="IV38" s="18">
        <f>IF(AND(253&gt;=MS_Initial_Closing_Start,253&lt;StabMonth),(LandCost+IV$37)*EffTaxRateOnValue/12,0)</f>
        <v/>
      </c>
      <c r="IW38" s="18">
        <f>IF(AND(254&gt;=MS_Initial_Closing_Start,254&lt;StabMonth),(LandCost+IW$37)*EffTaxRateOnValue/12,0)</f>
        <v/>
      </c>
      <c r="IX38" s="18">
        <f>IF(AND(255&gt;=MS_Initial_Closing_Start,255&lt;StabMonth),(LandCost+IX$37)*EffTaxRateOnValue/12,0)</f>
        <v/>
      </c>
      <c r="IY38" s="18">
        <f>IF(AND(256&gt;=MS_Initial_Closing_Start,256&lt;StabMonth),(LandCost+IY$37)*EffTaxRateOnValue/12,0)</f>
        <v/>
      </c>
      <c r="IZ38" s="18">
        <f>IF(AND(257&gt;=MS_Initial_Closing_Start,257&lt;StabMonth),(LandCost+IZ$37)*EffTaxRateOnValue/12,0)</f>
        <v/>
      </c>
      <c r="JA38" s="18">
        <f>IF(AND(258&gt;=MS_Initial_Closing_Start,258&lt;StabMonth),(LandCost+JA$37)*EffTaxRateOnValue/12,0)</f>
        <v/>
      </c>
      <c r="JB38" s="18">
        <f>IF(AND(259&gt;=MS_Initial_Closing_Start,259&lt;StabMonth),(LandCost+JB$37)*EffTaxRateOnValue/12,0)</f>
        <v/>
      </c>
      <c r="JC38" s="18">
        <f>IF(AND(260&gt;=MS_Initial_Closing_Start,260&lt;StabMonth),(LandCost+JC$37)*EffTaxRateOnValue/12,0)</f>
        <v/>
      </c>
      <c r="JD38" s="18">
        <f>IF(AND(261&gt;=MS_Initial_Closing_Start,261&lt;StabMonth),(LandCost+JD$37)*EffTaxRateOnValue/12,0)</f>
        <v/>
      </c>
      <c r="JE38" s="18">
        <f>IF(AND(262&gt;=MS_Initial_Closing_Start,262&lt;StabMonth),(LandCost+JE$37)*EffTaxRateOnValue/12,0)</f>
        <v/>
      </c>
      <c r="JF38" s="18">
        <f>IF(AND(263&gt;=MS_Initial_Closing_Start,263&lt;StabMonth),(LandCost+JF$37)*EffTaxRateOnValue/12,0)</f>
        <v/>
      </c>
      <c r="JG38" s="18">
        <f>IF(AND(264&gt;=MS_Initial_Closing_Start,264&lt;StabMonth),(LandCost+JG$37)*EffTaxRateOnValue/12,0)</f>
        <v/>
      </c>
      <c r="JH38" s="18">
        <f>IF(AND(265&gt;=MS_Initial_Closing_Start,265&lt;StabMonth),(LandCost+JH$37)*EffTaxRateOnValue/12,0)</f>
        <v/>
      </c>
      <c r="JI38" s="18">
        <f>IF(AND(266&gt;=MS_Initial_Closing_Start,266&lt;StabMonth),(LandCost+JI$37)*EffTaxRateOnValue/12,0)</f>
        <v/>
      </c>
      <c r="JJ38" s="18">
        <f>IF(AND(267&gt;=MS_Initial_Closing_Start,267&lt;StabMonth),(LandCost+JJ$37)*EffTaxRateOnValue/12,0)</f>
        <v/>
      </c>
      <c r="JK38" s="18">
        <f>IF(AND(268&gt;=MS_Initial_Closing_Start,268&lt;StabMonth),(LandCost+JK$37)*EffTaxRateOnValue/12,0)</f>
        <v/>
      </c>
      <c r="JL38" s="18">
        <f>IF(AND(269&gt;=MS_Initial_Closing_Start,269&lt;StabMonth),(LandCost+JL$37)*EffTaxRateOnValue/12,0)</f>
        <v/>
      </c>
      <c r="JM38" s="18">
        <f>IF(AND(270&gt;=MS_Initial_Closing_Start,270&lt;StabMonth),(LandCost+JM$37)*EffTaxRateOnValue/12,0)</f>
        <v/>
      </c>
      <c r="JN38" s="18">
        <f>IF(AND(271&gt;=MS_Initial_Closing_Start,271&lt;StabMonth),(LandCost+JN$37)*EffTaxRateOnValue/12,0)</f>
        <v/>
      </c>
      <c r="JO38" s="18">
        <f>IF(AND(272&gt;=MS_Initial_Closing_Start,272&lt;StabMonth),(LandCost+JO$37)*EffTaxRateOnValue/12,0)</f>
        <v/>
      </c>
      <c r="JP38" s="18">
        <f>IF(AND(273&gt;=MS_Initial_Closing_Start,273&lt;StabMonth),(LandCost+JP$37)*EffTaxRateOnValue/12,0)</f>
        <v/>
      </c>
      <c r="JQ38" s="18">
        <f>IF(AND(274&gt;=MS_Initial_Closing_Start,274&lt;StabMonth),(LandCost+JQ$37)*EffTaxRateOnValue/12,0)</f>
        <v/>
      </c>
      <c r="JR38" s="18">
        <f>IF(AND(275&gt;=MS_Initial_Closing_Start,275&lt;StabMonth),(LandCost+JR$37)*EffTaxRateOnValue/12,0)</f>
        <v/>
      </c>
      <c r="JS38" s="18">
        <f>IF(AND(276&gt;=MS_Initial_Closing_Start,276&lt;StabMonth),(LandCost+JS$37)*EffTaxRateOnValue/12,0)</f>
        <v/>
      </c>
      <c r="JT38" s="18">
        <f>IF(AND(277&gt;=MS_Initial_Closing_Start,277&lt;StabMonth),(LandCost+JT$37)*EffTaxRateOnValue/12,0)</f>
        <v/>
      </c>
      <c r="JU38" s="18">
        <f>IF(AND(278&gt;=MS_Initial_Closing_Start,278&lt;StabMonth),(LandCost+JU$37)*EffTaxRateOnValue/12,0)</f>
        <v/>
      </c>
      <c r="JV38" s="18">
        <f>IF(AND(279&gt;=MS_Initial_Closing_Start,279&lt;StabMonth),(LandCost+JV$37)*EffTaxRateOnValue/12,0)</f>
        <v/>
      </c>
      <c r="JW38" s="18">
        <f>IF(AND(280&gt;=MS_Initial_Closing_Start,280&lt;StabMonth),(LandCost+JW$37)*EffTaxRateOnValue/12,0)</f>
        <v/>
      </c>
      <c r="JX38" s="18">
        <f>IF(AND(281&gt;=MS_Initial_Closing_Start,281&lt;StabMonth),(LandCost+JX$37)*EffTaxRateOnValue/12,0)</f>
        <v/>
      </c>
      <c r="JY38" s="18">
        <f>IF(AND(282&gt;=MS_Initial_Closing_Start,282&lt;StabMonth),(LandCost+JY$37)*EffTaxRateOnValue/12,0)</f>
        <v/>
      </c>
      <c r="JZ38" s="18">
        <f>IF(AND(283&gt;=MS_Initial_Closing_Start,283&lt;StabMonth),(LandCost+JZ$37)*EffTaxRateOnValue/12,0)</f>
        <v/>
      </c>
      <c r="KA38" s="18">
        <f>IF(AND(284&gt;=MS_Initial_Closing_Start,284&lt;StabMonth),(LandCost+KA$37)*EffTaxRateOnValue/12,0)</f>
        <v/>
      </c>
      <c r="KB38" s="18">
        <f>IF(AND(285&gt;=MS_Initial_Closing_Start,285&lt;StabMonth),(LandCost+KB$37)*EffTaxRateOnValue/12,0)</f>
        <v/>
      </c>
      <c r="KC38" s="18">
        <f>IF(AND(286&gt;=MS_Initial_Closing_Start,286&lt;StabMonth),(LandCost+KC$37)*EffTaxRateOnValue/12,0)</f>
        <v/>
      </c>
      <c r="KD38" s="18">
        <f>IF(AND(287&gt;=MS_Initial_Closing_Start,287&lt;StabMonth),(LandCost+KD$37)*EffTaxRateOnValue/12,0)</f>
        <v/>
      </c>
      <c r="KE38" s="18">
        <f>IF(AND(288&gt;=MS_Initial_Closing_Start,288&lt;StabMonth),(LandCost+KE$37)*EffTaxRateOnValue/12,0)</f>
        <v/>
      </c>
      <c r="KF38" s="18">
        <f>IF(AND(289&gt;=MS_Initial_Closing_Start,289&lt;StabMonth),(LandCost+KF$37)*EffTaxRateOnValue/12,0)</f>
        <v/>
      </c>
      <c r="KG38" s="18">
        <f>IF(AND(290&gt;=MS_Initial_Closing_Start,290&lt;StabMonth),(LandCost+KG$37)*EffTaxRateOnValue/12,0)</f>
        <v/>
      </c>
      <c r="KH38" s="18">
        <f>IF(AND(291&gt;=MS_Initial_Closing_Start,291&lt;StabMonth),(LandCost+KH$37)*EffTaxRateOnValue/12,0)</f>
        <v/>
      </c>
      <c r="KI38" s="18">
        <f>IF(AND(292&gt;=MS_Initial_Closing_Start,292&lt;StabMonth),(LandCost+KI$37)*EffTaxRateOnValue/12,0)</f>
        <v/>
      </c>
      <c r="KJ38" s="18">
        <f>IF(AND(293&gt;=MS_Initial_Closing_Start,293&lt;StabMonth),(LandCost+KJ$37)*EffTaxRateOnValue/12,0)</f>
        <v/>
      </c>
      <c r="KK38" s="18">
        <f>IF(AND(294&gt;=MS_Initial_Closing_Start,294&lt;StabMonth),(LandCost+KK$37)*EffTaxRateOnValue/12,0)</f>
        <v/>
      </c>
      <c r="KL38" s="18">
        <f>IF(AND(295&gt;=MS_Initial_Closing_Start,295&lt;StabMonth),(LandCost+KL$37)*EffTaxRateOnValue/12,0)</f>
        <v/>
      </c>
      <c r="KM38" s="18">
        <f>IF(AND(296&gt;=MS_Initial_Closing_Start,296&lt;StabMonth),(LandCost+KM$37)*EffTaxRateOnValue/12,0)</f>
        <v/>
      </c>
      <c r="KN38" s="18">
        <f>IF(AND(297&gt;=MS_Initial_Closing_Start,297&lt;StabMonth),(LandCost+KN$37)*EffTaxRateOnValue/12,0)</f>
        <v/>
      </c>
      <c r="KO38" s="18">
        <f>IF(AND(298&gt;=MS_Initial_Closing_Start,298&lt;StabMonth),(LandCost+KO$37)*EffTaxRateOnValue/12,0)</f>
        <v/>
      </c>
      <c r="KP38" s="18">
        <f>IF(AND(299&gt;=MS_Initial_Closing_Start,299&lt;StabMonth),(LandCost+KP$37)*EffTaxRateOnValue/12,0)</f>
        <v/>
      </c>
      <c r="KQ38" s="18">
        <f>IF(AND(300&gt;=MS_Initial_Closing_Start,300&lt;StabMonth),(LandCost+KQ$37)*EffTaxRateOnValue/12,0)</f>
        <v/>
      </c>
      <c r="KR38" s="18">
        <f>IF(AND(301&gt;=MS_Initial_Closing_Start,301&lt;StabMonth),(LandCost+KR$37)*EffTaxRateOnValue/12,0)</f>
        <v/>
      </c>
      <c r="KS38" s="18">
        <f>IF(AND(302&gt;=MS_Initial_Closing_Start,302&lt;StabMonth),(LandCost+KS$37)*EffTaxRateOnValue/12,0)</f>
        <v/>
      </c>
      <c r="KT38" s="18">
        <f>IF(AND(303&gt;=MS_Initial_Closing_Start,303&lt;StabMonth),(LandCost+KT$37)*EffTaxRateOnValue/12,0)</f>
        <v/>
      </c>
      <c r="KU38" s="18">
        <f>IF(AND(304&gt;=MS_Initial_Closing_Start,304&lt;StabMonth),(LandCost+KU$37)*EffTaxRateOnValue/12,0)</f>
        <v/>
      </c>
      <c r="KV38" s="18">
        <f>IF(AND(305&gt;=MS_Initial_Closing_Start,305&lt;StabMonth),(LandCost+KV$37)*EffTaxRateOnValue/12,0)</f>
        <v/>
      </c>
      <c r="KW38" s="18">
        <f>IF(AND(306&gt;=MS_Initial_Closing_Start,306&lt;StabMonth),(LandCost+KW$37)*EffTaxRateOnValue/12,0)</f>
        <v/>
      </c>
      <c r="KX38" s="18">
        <f>IF(AND(307&gt;=MS_Initial_Closing_Start,307&lt;StabMonth),(LandCost+KX$37)*EffTaxRateOnValue/12,0)</f>
        <v/>
      </c>
      <c r="KY38" s="18">
        <f>IF(AND(308&gt;=MS_Initial_Closing_Start,308&lt;StabMonth),(LandCost+KY$37)*EffTaxRateOnValue/12,0)</f>
        <v/>
      </c>
      <c r="KZ38" s="18">
        <f>IF(AND(309&gt;=MS_Initial_Closing_Start,309&lt;StabMonth),(LandCost+KZ$37)*EffTaxRateOnValue/12,0)</f>
        <v/>
      </c>
      <c r="LA38" s="18">
        <f>IF(AND(310&gt;=MS_Initial_Closing_Start,310&lt;StabMonth),(LandCost+LA$37)*EffTaxRateOnValue/12,0)</f>
        <v/>
      </c>
      <c r="LB38" s="18">
        <f>IF(AND(311&gt;=MS_Initial_Closing_Start,311&lt;StabMonth),(LandCost+LB$37)*EffTaxRateOnValue/12,0)</f>
        <v/>
      </c>
      <c r="LC38" s="18">
        <f>IF(AND(312&gt;=MS_Initial_Closing_Start,312&lt;StabMonth),(LandCost+LC$37)*EffTaxRateOnValue/12,0)</f>
        <v/>
      </c>
      <c r="LD38" s="18">
        <f>IF(AND(313&gt;=MS_Initial_Closing_Start,313&lt;StabMonth),(LandCost+LD$37)*EffTaxRateOnValue/12,0)</f>
        <v/>
      </c>
      <c r="LE38" s="18">
        <f>IF(AND(314&gt;=MS_Initial_Closing_Start,314&lt;StabMonth),(LandCost+LE$37)*EffTaxRateOnValue/12,0)</f>
        <v/>
      </c>
      <c r="LF38" s="18">
        <f>IF(AND(315&gt;=MS_Initial_Closing_Start,315&lt;StabMonth),(LandCost+LF$37)*EffTaxRateOnValue/12,0)</f>
        <v/>
      </c>
      <c r="LG38" s="18">
        <f>IF(AND(316&gt;=MS_Initial_Closing_Start,316&lt;StabMonth),(LandCost+LG$37)*EffTaxRateOnValue/12,0)</f>
        <v/>
      </c>
      <c r="LH38" s="18">
        <f>IF(AND(317&gt;=MS_Initial_Closing_Start,317&lt;StabMonth),(LandCost+LH$37)*EffTaxRateOnValue/12,0)</f>
        <v/>
      </c>
      <c r="LI38" s="18">
        <f>IF(AND(318&gt;=MS_Initial_Closing_Start,318&lt;StabMonth),(LandCost+LI$37)*EffTaxRateOnValue/12,0)</f>
        <v/>
      </c>
      <c r="LJ38" s="18">
        <f>IF(AND(319&gt;=MS_Initial_Closing_Start,319&lt;StabMonth),(LandCost+LJ$37)*EffTaxRateOnValue/12,0)</f>
        <v/>
      </c>
      <c r="LK38" s="18">
        <f>IF(AND(320&gt;=MS_Initial_Closing_Start,320&lt;StabMonth),(LandCost+LK$37)*EffTaxRateOnValue/12,0)</f>
        <v/>
      </c>
      <c r="LL38" s="18">
        <f>IF(AND(321&gt;=MS_Initial_Closing_Start,321&lt;StabMonth),(LandCost+LL$37)*EffTaxRateOnValue/12,0)</f>
        <v/>
      </c>
      <c r="LM38" s="18">
        <f>IF(AND(322&gt;=MS_Initial_Closing_Start,322&lt;StabMonth),(LandCost+LM$37)*EffTaxRateOnValue/12,0)</f>
        <v/>
      </c>
      <c r="LN38" s="18">
        <f>IF(AND(323&gt;=MS_Initial_Closing_Start,323&lt;StabMonth),(LandCost+LN$37)*EffTaxRateOnValue/12,0)</f>
        <v/>
      </c>
      <c r="LO38" s="18">
        <f>IF(AND(324&gt;=MS_Initial_Closing_Start,324&lt;StabMonth),(LandCost+LO$37)*EffTaxRateOnValue/12,0)</f>
        <v/>
      </c>
      <c r="LP38" s="18">
        <f>IF(AND(325&gt;=MS_Initial_Closing_Start,325&lt;StabMonth),(LandCost+LP$37)*EffTaxRateOnValue/12,0)</f>
        <v/>
      </c>
      <c r="LQ38" s="18">
        <f>IF(AND(326&gt;=MS_Initial_Closing_Start,326&lt;StabMonth),(LandCost+LQ$37)*EffTaxRateOnValue/12,0)</f>
        <v/>
      </c>
      <c r="LR38" s="18">
        <f>IF(AND(327&gt;=MS_Initial_Closing_Start,327&lt;StabMonth),(LandCost+LR$37)*EffTaxRateOnValue/12,0)</f>
        <v/>
      </c>
      <c r="LS38" s="18">
        <f>IF(AND(328&gt;=MS_Initial_Closing_Start,328&lt;StabMonth),(LandCost+LS$37)*EffTaxRateOnValue/12,0)</f>
        <v/>
      </c>
      <c r="LT38" s="18">
        <f>IF(AND(329&gt;=MS_Initial_Closing_Start,329&lt;StabMonth),(LandCost+LT$37)*EffTaxRateOnValue/12,0)</f>
        <v/>
      </c>
      <c r="LU38" s="18">
        <f>IF(AND(330&gt;=MS_Initial_Closing_Start,330&lt;StabMonth),(LandCost+LU$37)*EffTaxRateOnValue/12,0)</f>
        <v/>
      </c>
      <c r="LV38" s="18">
        <f>IF(AND(331&gt;=MS_Initial_Closing_Start,331&lt;StabMonth),(LandCost+LV$37)*EffTaxRateOnValue/12,0)</f>
        <v/>
      </c>
      <c r="LW38" s="18">
        <f>IF(AND(332&gt;=MS_Initial_Closing_Start,332&lt;StabMonth),(LandCost+LW$37)*EffTaxRateOnValue/12,0)</f>
        <v/>
      </c>
      <c r="LX38" s="18">
        <f>IF(AND(333&gt;=MS_Initial_Closing_Start,333&lt;StabMonth),(LandCost+LX$37)*EffTaxRateOnValue/12,0)</f>
        <v/>
      </c>
      <c r="LY38" s="18">
        <f>IF(AND(334&gt;=MS_Initial_Closing_Start,334&lt;StabMonth),(LandCost+LY$37)*EffTaxRateOnValue/12,0)</f>
        <v/>
      </c>
      <c r="LZ38" s="18">
        <f>IF(AND(335&gt;=MS_Initial_Closing_Start,335&lt;StabMonth),(LandCost+LZ$37)*EffTaxRateOnValue/12,0)</f>
        <v/>
      </c>
      <c r="MA38" s="18">
        <f>IF(AND(336&gt;=MS_Initial_Closing_Start,336&lt;StabMonth),(LandCost+MA$37)*EffTaxRateOnValue/12,0)</f>
        <v/>
      </c>
      <c r="MB38" s="18">
        <f>IF(AND(337&gt;=MS_Initial_Closing_Start,337&lt;StabMonth),(LandCost+MB$37)*EffTaxRateOnValue/12,0)</f>
        <v/>
      </c>
      <c r="MC38" s="18">
        <f>IF(AND(338&gt;=MS_Initial_Closing_Start,338&lt;StabMonth),(LandCost+MC$37)*EffTaxRateOnValue/12,0)</f>
        <v/>
      </c>
      <c r="MD38" s="18">
        <f>IF(AND(339&gt;=MS_Initial_Closing_Start,339&lt;StabMonth),(LandCost+MD$37)*EffTaxRateOnValue/12,0)</f>
        <v/>
      </c>
      <c r="ME38" s="18">
        <f>IF(AND(340&gt;=MS_Initial_Closing_Start,340&lt;StabMonth),(LandCost+ME$37)*EffTaxRateOnValue/12,0)</f>
        <v/>
      </c>
      <c r="MF38" s="18">
        <f>IF(AND(341&gt;=MS_Initial_Closing_Start,341&lt;StabMonth),(LandCost+MF$37)*EffTaxRateOnValue/12,0)</f>
        <v/>
      </c>
      <c r="MG38" s="18">
        <f>IF(AND(342&gt;=MS_Initial_Closing_Start,342&lt;StabMonth),(LandCost+MG$37)*EffTaxRateOnValue/12,0)</f>
        <v/>
      </c>
      <c r="MH38" s="18">
        <f>IF(AND(343&gt;=MS_Initial_Closing_Start,343&lt;StabMonth),(LandCost+MH$37)*EffTaxRateOnValue/12,0)</f>
        <v/>
      </c>
      <c r="MI38" s="18">
        <f>IF(AND(344&gt;=MS_Initial_Closing_Start,344&lt;StabMonth),(LandCost+MI$37)*EffTaxRateOnValue/12,0)</f>
        <v/>
      </c>
      <c r="MJ38" s="18">
        <f>IF(AND(345&gt;=MS_Initial_Closing_Start,345&lt;StabMonth),(LandCost+MJ$37)*EffTaxRateOnValue/12,0)</f>
        <v/>
      </c>
      <c r="MK38" s="18">
        <f>IF(AND(346&gt;=MS_Initial_Closing_Start,346&lt;StabMonth),(LandCost+MK$37)*EffTaxRateOnValue/12,0)</f>
        <v/>
      </c>
      <c r="ML38" s="18">
        <f>IF(AND(347&gt;=MS_Initial_Closing_Start,347&lt;StabMonth),(LandCost+ML$37)*EffTaxRateOnValue/12,0)</f>
        <v/>
      </c>
      <c r="MM38" s="18">
        <f>IF(AND(348&gt;=MS_Initial_Closing_Start,348&lt;StabMonth),(LandCost+MM$37)*EffTaxRateOnValue/12,0)</f>
        <v/>
      </c>
      <c r="MN38" s="18">
        <f>IF(AND(349&gt;=MS_Initial_Closing_Start,349&lt;StabMonth),(LandCost+MN$37)*EffTaxRateOnValue/12,0)</f>
        <v/>
      </c>
      <c r="MO38" s="18">
        <f>IF(AND(350&gt;=MS_Initial_Closing_Start,350&lt;StabMonth),(LandCost+MO$37)*EffTaxRateOnValue/12,0)</f>
        <v/>
      </c>
      <c r="MP38" s="18">
        <f>IF(AND(351&gt;=MS_Initial_Closing_Start,351&lt;StabMonth),(LandCost+MP$37)*EffTaxRateOnValue/12,0)</f>
        <v/>
      </c>
      <c r="MQ38" s="18">
        <f>IF(AND(352&gt;=MS_Initial_Closing_Start,352&lt;StabMonth),(LandCost+MQ$37)*EffTaxRateOnValue/12,0)</f>
        <v/>
      </c>
      <c r="MR38" s="18">
        <f>IF(AND(353&gt;=MS_Initial_Closing_Start,353&lt;StabMonth),(LandCost+MR$37)*EffTaxRateOnValue/12,0)</f>
        <v/>
      </c>
      <c r="MS38" s="18">
        <f>IF(AND(354&gt;=MS_Initial_Closing_Start,354&lt;StabMonth),(LandCost+MS$37)*EffTaxRateOnValue/12,0)</f>
        <v/>
      </c>
      <c r="MT38" s="18">
        <f>IF(AND(355&gt;=MS_Initial_Closing_Start,355&lt;StabMonth),(LandCost+MT$37)*EffTaxRateOnValue/12,0)</f>
        <v/>
      </c>
      <c r="MU38" s="18">
        <f>IF(AND(356&gt;=MS_Initial_Closing_Start,356&lt;StabMonth),(LandCost+MU$37)*EffTaxRateOnValue/12,0)</f>
        <v/>
      </c>
      <c r="MV38" s="18">
        <f>IF(AND(357&gt;=MS_Initial_Closing_Start,357&lt;StabMonth),(LandCost+MV$37)*EffTaxRateOnValue/12,0)</f>
        <v/>
      </c>
      <c r="MW38" s="18">
        <f>IF(AND(358&gt;=MS_Initial_Closing_Start,358&lt;StabMonth),(LandCost+MW$37)*EffTaxRateOnValue/12,0)</f>
        <v/>
      </c>
      <c r="MX38" s="18">
        <f>IF(AND(359&gt;=MS_Initial_Closing_Start,359&lt;StabMonth),(LandCost+MX$37)*EffTaxRateOnValue/12,0)</f>
        <v/>
      </c>
      <c r="MY38" s="18">
        <f>IF(AND(360&gt;=MS_Initial_Closing_Start,360&lt;StabMonth),(LandCost+MY$37)*EffTaxRateOnValue/12,0)</f>
        <v/>
      </c>
      <c r="MZ38" s="18">
        <f>IF(AND(361&gt;=MS_Initial_Closing_Start,361&lt;StabMonth),(LandCost+MZ$37)*EffTaxRateOnValue/12,0)</f>
        <v/>
      </c>
      <c r="NA38" s="18">
        <f>IF(AND(362&gt;=MS_Initial_Closing_Start,362&lt;StabMonth),(LandCost+NA$37)*EffTaxRateOnValue/12,0)</f>
        <v/>
      </c>
      <c r="NB38" s="18">
        <f>IF(AND(363&gt;=MS_Initial_Closing_Start,363&lt;StabMonth),(LandCost+NB$37)*EffTaxRateOnValue/12,0)</f>
        <v/>
      </c>
      <c r="NC38" s="18">
        <f>IF(AND(364&gt;=MS_Initial_Closing_Start,364&lt;StabMonth),(LandCost+NC$37)*EffTaxRateOnValue/12,0)</f>
        <v/>
      </c>
      <c r="ND38" s="18">
        <f>IF(AND(365&gt;=MS_Initial_Closing_Start,365&lt;StabMonth),(LandCost+ND$37)*EffTaxRateOnValue/12,0)</f>
        <v/>
      </c>
      <c r="NE38" s="18">
        <f>IF(AND(366&gt;=MS_Initial_Closing_Start,366&lt;StabMonth),(LandCost+NE$37)*EffTaxRateOnValue/12,0)</f>
        <v/>
      </c>
      <c r="NF38" s="18">
        <f>IF(AND(367&gt;=MS_Initial_Closing_Start,367&lt;StabMonth),(LandCost+NF$37)*EffTaxRateOnValue/12,0)</f>
        <v/>
      </c>
      <c r="NG38" s="18">
        <f>IF(AND(368&gt;=MS_Initial_Closing_Start,368&lt;StabMonth),(LandCost+NG$37)*EffTaxRateOnValue/12,0)</f>
        <v/>
      </c>
      <c r="NH38" s="18">
        <f>IF(AND(369&gt;=MS_Initial_Closing_Start,369&lt;StabMonth),(LandCost+NH$37)*EffTaxRateOnValue/12,0)</f>
        <v/>
      </c>
      <c r="NI38" s="18">
        <f>IF(AND(370&gt;=MS_Initial_Closing_Start,370&lt;StabMonth),(LandCost+NI$37)*EffTaxRateOnValue/12,0)</f>
        <v/>
      </c>
      <c r="NJ38" s="18">
        <f>IF(AND(371&gt;=MS_Initial_Closing_Start,371&lt;StabMonth),(LandCost+NJ$37)*EffTaxRateOnValue/12,0)</f>
        <v/>
      </c>
      <c r="NK38" s="18">
        <f>IF(AND(372&gt;=MS_Initial_Closing_Start,372&lt;StabMonth),(LandCost+NK$37)*EffTaxRateOnValue/12,0)</f>
        <v/>
      </c>
    </row>
    <row r="39">
      <c r="A39" s="21" t="inlineStr">
        <is>
          <t>Construction-Period Tax — Total</t>
        </is>
      </c>
      <c r="C39" s="44">
        <f>'DevSpend'!$C$38</f>
        <v/>
      </c>
    </row>
    <row r="41">
      <c r="A41" s="3" t="inlineStr">
        <is>
          <t>Cost-Curve Reconciliation</t>
        </is>
      </c>
      <c r="B41" s="4" t="n"/>
      <c r="C41" s="4" t="n"/>
    </row>
    <row r="42">
      <c r="A42" s="5" t="inlineStr">
        <is>
          <t>Max |line curve sum − Budget total|</t>
        </is>
      </c>
      <c r="C42" s="43">
        <f>MAX(ABS('DevSpend'!$C$6-Budget!I5),ABS('DevSpend'!$C$7-Budget!I6),ABS('DevSpend'!$C$8-Budget!I7),ABS('DevSpend'!$C$9-Budget!I8),ABS('DevSpend'!$C$10-Budget!I9),ABS('DevSpend'!$C$11-Budget!I10),ABS('DevSpend'!$C$12-Budget!I11),ABS('DevSpend'!$C$13-Budget!I12),ABS('DevSpend'!$C$14-Budget!I13),ABS('DevSpend'!$C$15-Budget!I14),ABS('DevSpend'!$C$16-Budget!I15),ABS('DevSpend'!$C$17-Budget!I16),ABS('DevSpend'!$C$18-Budget!I17),ABS('DevSpend'!$C$19-Budget!I18),ABS('DevSpend'!$C$20-Budget!I19),ABS('DevSpend'!$C$21-Budget!I20),ABS('DevSpend'!$C$22-Budget!I21),ABS('DevSpend'!$C$23-Budget!I22),ABS('DevSpend'!$C$24-Budget!I23),ABS('DevSpend'!$C$25-Budget!I24),ABS('DevSpend'!$C$26-Budget!I25),ABS('DevSpend'!$C$27-Budget!I26),ABS('DevSpend'!$C$28-Budget!I27),ABS('DevSpend'!$C$29-Budget!I28),ABS('DevSpend'!$C$30-Budget!I29),ABS('DevSpend'!$C$31-Budget!I30),ABS('DevSpend'!$C$32-Budget!I31))</f>
        <v/>
      </c>
    </row>
    <row r="43">
      <c r="A43" s="5" t="inlineStr">
        <is>
          <t>Dev fee curve sum − DevFee</t>
        </is>
      </c>
      <c r="C43" s="18">
        <f>'DevSpend'!$C$35-DevFee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K48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18" customWidth="1" min="2" max="2"/>
    <col width="16" customWidth="1" min="3" max="3"/>
  </cols>
  <sheetData>
    <row r="1">
      <c r="A1" s="1" t="inlineStr">
        <is>
          <t>Construction Loan — Sizing &amp; Monthly Draw Schedule</t>
        </is>
      </c>
    </row>
    <row r="3">
      <c r="A3" s="15" t="inlineStr">
        <is>
          <t>Loan Sizing (min of LTC / Debt Yield / DSCR)</t>
        </is>
      </c>
      <c r="B3" s="23" t="n"/>
      <c r="C3" s="23" t="n"/>
    </row>
    <row r="4">
      <c r="A4" s="5" t="inlineStr">
        <is>
          <t>Cost Basis for LTC (excl. cap. int.)</t>
        </is>
      </c>
      <c r="B4" s="44">
        <f>DirectCosts+DevFee+ConOtherCosts+ConTaxTotal+OpReserve</f>
        <v/>
      </c>
    </row>
    <row r="5">
      <c r="A5" s="5" t="inlineStr">
        <is>
          <t>Max Loan by Target LTC</t>
        </is>
      </c>
      <c r="B5" s="44">
        <f>TargetLTC*ConCostBasis</f>
        <v/>
      </c>
    </row>
    <row r="6">
      <c r="A6" s="5" t="inlineStr">
        <is>
          <t>Max Loan by Min Debt Yield</t>
        </is>
      </c>
      <c r="B6" s="44">
        <f>StabNOI/ConMinDebtYield</f>
        <v/>
      </c>
    </row>
    <row r="7">
      <c r="A7" s="5" t="inlineStr">
        <is>
          <t>Max Loan by Min DSCR (I/O)</t>
        </is>
      </c>
      <c r="B7" s="44">
        <f>StabNOI/(ConMinDSCR*ConRate)</f>
        <v/>
      </c>
    </row>
    <row r="8">
      <c r="A8" s="5" t="inlineStr">
        <is>
          <t>Construction Loan Commitment</t>
        </is>
      </c>
      <c r="B8" s="44">
        <f>MIN(MaxByLTC,MaxByDebtYield,MaxByDSCR)</f>
        <v/>
      </c>
    </row>
    <row r="9">
      <c r="A9" s="5" t="inlineStr">
        <is>
          <t>Origination Points</t>
        </is>
      </c>
      <c r="B9" s="44">
        <f>ConPointsPct*ConCostCommit</f>
        <v/>
      </c>
    </row>
    <row r="10">
      <c r="A10" s="5" t="inlineStr">
        <is>
          <t>Loan Recourse / Indemnity Fee</t>
        </is>
      </c>
      <c r="B10" s="44">
        <f>RecourseFeePct*ConCostCommit</f>
        <v/>
      </c>
    </row>
    <row r="11">
      <c r="A11" s="5" t="inlineStr">
        <is>
          <t>Total Uses ex-Interest (final)</t>
        </is>
      </c>
      <c r="B11" s="44">
        <f>DirectCosts+DevFee+ConOtherCosts+ConTaxTotal+ConPoints+RecourseFee+OpReserve</f>
        <v/>
      </c>
    </row>
    <row r="12">
      <c r="A12" s="5" t="inlineStr">
        <is>
          <t>Debt Share of Uses</t>
        </is>
      </c>
      <c r="B12" s="45">
        <f>ConCostCommit/ConCostExInt</f>
        <v/>
      </c>
    </row>
    <row r="13">
      <c r="A13" s="5" t="inlineStr">
        <is>
          <t>Equity Budget (ex-Interest)</t>
        </is>
      </c>
      <c r="B13" s="44">
        <f>ConCostExInt-ConCostCommit</f>
        <v/>
      </c>
    </row>
    <row r="15">
      <c r="A15" s="15" t="inlineStr">
        <is>
          <t>Construction Sizing Tests</t>
        </is>
      </c>
      <c r="B15" s="23" t="n"/>
      <c r="C15" s="23" t="n"/>
    </row>
    <row r="16">
      <c r="A16" s="5" t="inlineStr">
        <is>
          <t>Debt Yield at Commitment</t>
        </is>
      </c>
      <c r="B16" s="46">
        <f>StabNOI/ConCostCommit</f>
        <v/>
      </c>
    </row>
    <row r="17">
      <c r="A17" s="5" t="inlineStr">
        <is>
          <t>DSCR at Commitment (I/O)</t>
        </is>
      </c>
      <c r="B17" s="47">
        <f>StabNOI/(ConRate*ConCostCommit)</f>
        <v/>
      </c>
    </row>
    <row r="18">
      <c r="A18" s="5" t="inlineStr">
        <is>
          <t>Realized LTC (incl. int.)</t>
        </is>
      </c>
      <c r="B18" s="46">
        <f>ConLoanTotal/TDC_Total</f>
        <v/>
      </c>
    </row>
    <row r="19">
      <c r="A19" s="5" t="inlineStr">
        <is>
          <t>Debt Yield Test Pass</t>
        </is>
      </c>
      <c r="B19" s="42">
        <f>IF(ConDYtest&gt;=ConMinDebtYield,"PASS","FAIL")</f>
        <v/>
      </c>
    </row>
    <row r="20">
      <c r="A20" s="5" t="inlineStr">
        <is>
          <t>DSCR Test Pass</t>
        </is>
      </c>
      <c r="B20" s="42">
        <f>IF(ConDSCRtest&gt;=ConMinDSCR,"PASS","FAIL")</f>
        <v/>
      </c>
    </row>
    <row r="22">
      <c r="A22" s="3" t="inlineStr">
        <is>
          <t>Monthly Draw Schedule</t>
        </is>
      </c>
      <c r="B22" s="4" t="n"/>
      <c r="C22" s="4" t="n"/>
    </row>
    <row r="23">
      <c r="A23" s="36" t="inlineStr">
        <is>
          <t>Period →</t>
        </is>
      </c>
      <c r="C23" s="27" t="inlineStr">
        <is>
          <t>Total</t>
        </is>
      </c>
      <c r="D23" s="37" t="n">
        <v>1</v>
      </c>
      <c r="E23" s="37" t="n">
        <v>2</v>
      </c>
      <c r="F23" s="37" t="n">
        <v>3</v>
      </c>
      <c r="G23" s="37" t="n">
        <v>4</v>
      </c>
      <c r="H23" s="37" t="n">
        <v>5</v>
      </c>
      <c r="I23" s="37" t="n">
        <v>6</v>
      </c>
      <c r="J23" s="37" t="n">
        <v>7</v>
      </c>
      <c r="K23" s="37" t="n">
        <v>8</v>
      </c>
      <c r="L23" s="37" t="n">
        <v>9</v>
      </c>
      <c r="M23" s="37" t="n">
        <v>10</v>
      </c>
      <c r="N23" s="37" t="n">
        <v>11</v>
      </c>
      <c r="O23" s="37" t="n">
        <v>12</v>
      </c>
      <c r="P23" s="37" t="n">
        <v>13</v>
      </c>
      <c r="Q23" s="37" t="n">
        <v>14</v>
      </c>
      <c r="R23" s="37" t="n">
        <v>15</v>
      </c>
      <c r="S23" s="37" t="n">
        <v>16</v>
      </c>
      <c r="T23" s="37" t="n">
        <v>17</v>
      </c>
      <c r="U23" s="37" t="n">
        <v>18</v>
      </c>
      <c r="V23" s="37" t="n">
        <v>19</v>
      </c>
      <c r="W23" s="37" t="n">
        <v>20</v>
      </c>
      <c r="X23" s="37" t="n">
        <v>21</v>
      </c>
      <c r="Y23" s="37" t="n">
        <v>22</v>
      </c>
      <c r="Z23" s="37" t="n">
        <v>23</v>
      </c>
      <c r="AA23" s="37" t="n">
        <v>24</v>
      </c>
      <c r="AB23" s="37" t="n">
        <v>25</v>
      </c>
      <c r="AC23" s="37" t="n">
        <v>26</v>
      </c>
      <c r="AD23" s="37" t="n">
        <v>27</v>
      </c>
      <c r="AE23" s="37" t="n">
        <v>28</v>
      </c>
      <c r="AF23" s="37" t="n">
        <v>29</v>
      </c>
      <c r="AG23" s="37" t="n">
        <v>30</v>
      </c>
      <c r="AH23" s="37" t="n">
        <v>31</v>
      </c>
      <c r="AI23" s="37" t="n">
        <v>32</v>
      </c>
      <c r="AJ23" s="37" t="n">
        <v>33</v>
      </c>
      <c r="AK23" s="37" t="n">
        <v>34</v>
      </c>
      <c r="AL23" s="37" t="n">
        <v>35</v>
      </c>
      <c r="AM23" s="37" t="n">
        <v>36</v>
      </c>
      <c r="AN23" s="37" t="n">
        <v>37</v>
      </c>
      <c r="AO23" s="37" t="n">
        <v>38</v>
      </c>
      <c r="AP23" s="37" t="n">
        <v>39</v>
      </c>
      <c r="AQ23" s="37" t="n">
        <v>40</v>
      </c>
      <c r="AR23" s="37" t="n">
        <v>41</v>
      </c>
      <c r="AS23" s="37" t="n">
        <v>42</v>
      </c>
      <c r="AT23" s="37" t="n">
        <v>43</v>
      </c>
      <c r="AU23" s="37" t="n">
        <v>44</v>
      </c>
      <c r="AV23" s="37" t="n">
        <v>45</v>
      </c>
      <c r="AW23" s="37" t="n">
        <v>46</v>
      </c>
      <c r="AX23" s="37" t="n">
        <v>47</v>
      </c>
      <c r="AY23" s="37" t="n">
        <v>48</v>
      </c>
      <c r="AZ23" s="37" t="n">
        <v>49</v>
      </c>
      <c r="BA23" s="37" t="n">
        <v>50</v>
      </c>
      <c r="BB23" s="37" t="n">
        <v>51</v>
      </c>
      <c r="BC23" s="37" t="n">
        <v>52</v>
      </c>
      <c r="BD23" s="37" t="n">
        <v>53</v>
      </c>
      <c r="BE23" s="37" t="n">
        <v>54</v>
      </c>
      <c r="BF23" s="37" t="n">
        <v>55</v>
      </c>
      <c r="BG23" s="37" t="n">
        <v>56</v>
      </c>
      <c r="BH23" s="37" t="n">
        <v>57</v>
      </c>
      <c r="BI23" s="37" t="n">
        <v>58</v>
      </c>
      <c r="BJ23" s="37" t="n">
        <v>59</v>
      </c>
      <c r="BK23" s="37" t="n">
        <v>60</v>
      </c>
      <c r="BL23" s="37" t="n">
        <v>61</v>
      </c>
      <c r="BM23" s="37" t="n">
        <v>62</v>
      </c>
      <c r="BN23" s="37" t="n">
        <v>63</v>
      </c>
      <c r="BO23" s="37" t="n">
        <v>64</v>
      </c>
      <c r="BP23" s="37" t="n">
        <v>65</v>
      </c>
      <c r="BQ23" s="37" t="n">
        <v>66</v>
      </c>
      <c r="BR23" s="37" t="n">
        <v>67</v>
      </c>
      <c r="BS23" s="37" t="n">
        <v>68</v>
      </c>
      <c r="BT23" s="37" t="n">
        <v>69</v>
      </c>
      <c r="BU23" s="37" t="n">
        <v>70</v>
      </c>
      <c r="BV23" s="37" t="n">
        <v>71</v>
      </c>
      <c r="BW23" s="37" t="n">
        <v>72</v>
      </c>
      <c r="BX23" s="37" t="n">
        <v>73</v>
      </c>
      <c r="BY23" s="37" t="n">
        <v>74</v>
      </c>
      <c r="BZ23" s="37" t="n">
        <v>75</v>
      </c>
      <c r="CA23" s="37" t="n">
        <v>76</v>
      </c>
      <c r="CB23" s="37" t="n">
        <v>77</v>
      </c>
      <c r="CC23" s="37" t="n">
        <v>78</v>
      </c>
      <c r="CD23" s="37" t="n">
        <v>79</v>
      </c>
      <c r="CE23" s="37" t="n">
        <v>80</v>
      </c>
      <c r="CF23" s="37" t="n">
        <v>81</v>
      </c>
      <c r="CG23" s="37" t="n">
        <v>82</v>
      </c>
      <c r="CH23" s="37" t="n">
        <v>83</v>
      </c>
      <c r="CI23" s="37" t="n">
        <v>84</v>
      </c>
      <c r="CJ23" s="37" t="n">
        <v>85</v>
      </c>
      <c r="CK23" s="37" t="n">
        <v>86</v>
      </c>
      <c r="CL23" s="37" t="n">
        <v>87</v>
      </c>
      <c r="CM23" s="37" t="n">
        <v>88</v>
      </c>
      <c r="CN23" s="37" t="n">
        <v>89</v>
      </c>
      <c r="CO23" s="37" t="n">
        <v>90</v>
      </c>
      <c r="CP23" s="37" t="n">
        <v>91</v>
      </c>
      <c r="CQ23" s="37" t="n">
        <v>92</v>
      </c>
      <c r="CR23" s="37" t="n">
        <v>93</v>
      </c>
      <c r="CS23" s="37" t="n">
        <v>94</v>
      </c>
      <c r="CT23" s="37" t="n">
        <v>95</v>
      </c>
      <c r="CU23" s="37" t="n">
        <v>96</v>
      </c>
      <c r="CV23" s="37" t="n">
        <v>97</v>
      </c>
      <c r="CW23" s="37" t="n">
        <v>98</v>
      </c>
      <c r="CX23" s="37" t="n">
        <v>99</v>
      </c>
      <c r="CY23" s="37" t="n">
        <v>100</v>
      </c>
      <c r="CZ23" s="37" t="n">
        <v>101</v>
      </c>
      <c r="DA23" s="37" t="n">
        <v>102</v>
      </c>
      <c r="DB23" s="37" t="n">
        <v>103</v>
      </c>
      <c r="DC23" s="37" t="n">
        <v>104</v>
      </c>
      <c r="DD23" s="37" t="n">
        <v>105</v>
      </c>
      <c r="DE23" s="37" t="n">
        <v>106</v>
      </c>
      <c r="DF23" s="37" t="n">
        <v>107</v>
      </c>
      <c r="DG23" s="37" t="n">
        <v>108</v>
      </c>
      <c r="DH23" s="37" t="n">
        <v>109</v>
      </c>
      <c r="DI23" s="37" t="n">
        <v>110</v>
      </c>
      <c r="DJ23" s="37" t="n">
        <v>111</v>
      </c>
      <c r="DK23" s="37" t="n">
        <v>112</v>
      </c>
      <c r="DL23" s="37" t="n">
        <v>113</v>
      </c>
      <c r="DM23" s="37" t="n">
        <v>114</v>
      </c>
      <c r="DN23" s="37" t="n">
        <v>115</v>
      </c>
      <c r="DO23" s="37" t="n">
        <v>116</v>
      </c>
      <c r="DP23" s="37" t="n">
        <v>117</v>
      </c>
      <c r="DQ23" s="37" t="n">
        <v>118</v>
      </c>
      <c r="DR23" s="37" t="n">
        <v>119</v>
      </c>
      <c r="DS23" s="37" t="n">
        <v>120</v>
      </c>
      <c r="DT23" s="37" t="n">
        <v>121</v>
      </c>
      <c r="DU23" s="37" t="n">
        <v>122</v>
      </c>
      <c r="DV23" s="37" t="n">
        <v>123</v>
      </c>
      <c r="DW23" s="37" t="n">
        <v>124</v>
      </c>
      <c r="DX23" s="37" t="n">
        <v>125</v>
      </c>
      <c r="DY23" s="37" t="n">
        <v>126</v>
      </c>
      <c r="DZ23" s="37" t="n">
        <v>127</v>
      </c>
      <c r="EA23" s="37" t="n">
        <v>128</v>
      </c>
      <c r="EB23" s="37" t="n">
        <v>129</v>
      </c>
      <c r="EC23" s="37" t="n">
        <v>130</v>
      </c>
      <c r="ED23" s="37" t="n">
        <v>131</v>
      </c>
      <c r="EE23" s="37" t="n">
        <v>132</v>
      </c>
      <c r="EF23" s="37" t="n">
        <v>133</v>
      </c>
      <c r="EG23" s="37" t="n">
        <v>134</v>
      </c>
      <c r="EH23" s="37" t="n">
        <v>135</v>
      </c>
      <c r="EI23" s="37" t="n">
        <v>136</v>
      </c>
      <c r="EJ23" s="37" t="n">
        <v>137</v>
      </c>
      <c r="EK23" s="37" t="n">
        <v>138</v>
      </c>
      <c r="EL23" s="37" t="n">
        <v>139</v>
      </c>
      <c r="EM23" s="37" t="n">
        <v>140</v>
      </c>
      <c r="EN23" s="37" t="n">
        <v>141</v>
      </c>
      <c r="EO23" s="37" t="n">
        <v>142</v>
      </c>
      <c r="EP23" s="37" t="n">
        <v>143</v>
      </c>
      <c r="EQ23" s="37" t="n">
        <v>144</v>
      </c>
      <c r="ER23" s="37" t="n">
        <v>145</v>
      </c>
      <c r="ES23" s="37" t="n">
        <v>146</v>
      </c>
      <c r="ET23" s="37" t="n">
        <v>147</v>
      </c>
      <c r="EU23" s="37" t="n">
        <v>148</v>
      </c>
      <c r="EV23" s="37" t="n">
        <v>149</v>
      </c>
      <c r="EW23" s="37" t="n">
        <v>150</v>
      </c>
      <c r="EX23" s="37" t="n">
        <v>151</v>
      </c>
      <c r="EY23" s="37" t="n">
        <v>152</v>
      </c>
      <c r="EZ23" s="37" t="n">
        <v>153</v>
      </c>
      <c r="FA23" s="37" t="n">
        <v>154</v>
      </c>
      <c r="FB23" s="37" t="n">
        <v>155</v>
      </c>
      <c r="FC23" s="37" t="n">
        <v>156</v>
      </c>
      <c r="FD23" s="37" t="n">
        <v>157</v>
      </c>
      <c r="FE23" s="37" t="n">
        <v>158</v>
      </c>
      <c r="FF23" s="37" t="n">
        <v>159</v>
      </c>
      <c r="FG23" s="37" t="n">
        <v>160</v>
      </c>
      <c r="FH23" s="37" t="n">
        <v>161</v>
      </c>
      <c r="FI23" s="37" t="n">
        <v>162</v>
      </c>
      <c r="FJ23" s="37" t="n">
        <v>163</v>
      </c>
      <c r="FK23" s="37" t="n">
        <v>164</v>
      </c>
      <c r="FL23" s="37" t="n">
        <v>165</v>
      </c>
      <c r="FM23" s="37" t="n">
        <v>166</v>
      </c>
      <c r="FN23" s="37" t="n">
        <v>167</v>
      </c>
      <c r="FO23" s="37" t="n">
        <v>168</v>
      </c>
      <c r="FP23" s="37" t="n">
        <v>169</v>
      </c>
      <c r="FQ23" s="37" t="n">
        <v>170</v>
      </c>
      <c r="FR23" s="37" t="n">
        <v>171</v>
      </c>
      <c r="FS23" s="37" t="n">
        <v>172</v>
      </c>
      <c r="FT23" s="37" t="n">
        <v>173</v>
      </c>
      <c r="FU23" s="37" t="n">
        <v>174</v>
      </c>
      <c r="FV23" s="37" t="n">
        <v>175</v>
      </c>
      <c r="FW23" s="37" t="n">
        <v>176</v>
      </c>
      <c r="FX23" s="37" t="n">
        <v>177</v>
      </c>
      <c r="FY23" s="37" t="n">
        <v>178</v>
      </c>
      <c r="FZ23" s="37" t="n">
        <v>179</v>
      </c>
      <c r="GA23" s="37" t="n">
        <v>180</v>
      </c>
      <c r="GB23" s="37" t="n">
        <v>181</v>
      </c>
      <c r="GC23" s="37" t="n">
        <v>182</v>
      </c>
      <c r="GD23" s="37" t="n">
        <v>183</v>
      </c>
      <c r="GE23" s="37" t="n">
        <v>184</v>
      </c>
      <c r="GF23" s="37" t="n">
        <v>185</v>
      </c>
      <c r="GG23" s="37" t="n">
        <v>186</v>
      </c>
      <c r="GH23" s="37" t="n">
        <v>187</v>
      </c>
      <c r="GI23" s="37" t="n">
        <v>188</v>
      </c>
      <c r="GJ23" s="37" t="n">
        <v>189</v>
      </c>
      <c r="GK23" s="37" t="n">
        <v>190</v>
      </c>
      <c r="GL23" s="37" t="n">
        <v>191</v>
      </c>
      <c r="GM23" s="37" t="n">
        <v>192</v>
      </c>
      <c r="GN23" s="37" t="n">
        <v>193</v>
      </c>
      <c r="GO23" s="37" t="n">
        <v>194</v>
      </c>
      <c r="GP23" s="37" t="n">
        <v>195</v>
      </c>
      <c r="GQ23" s="37" t="n">
        <v>196</v>
      </c>
      <c r="GR23" s="37" t="n">
        <v>197</v>
      </c>
      <c r="GS23" s="37" t="n">
        <v>198</v>
      </c>
      <c r="GT23" s="37" t="n">
        <v>199</v>
      </c>
      <c r="GU23" s="37" t="n">
        <v>200</v>
      </c>
      <c r="GV23" s="37" t="n">
        <v>201</v>
      </c>
      <c r="GW23" s="37" t="n">
        <v>202</v>
      </c>
      <c r="GX23" s="37" t="n">
        <v>203</v>
      </c>
      <c r="GY23" s="37" t="n">
        <v>204</v>
      </c>
      <c r="GZ23" s="37" t="n">
        <v>205</v>
      </c>
      <c r="HA23" s="37" t="n">
        <v>206</v>
      </c>
      <c r="HB23" s="37" t="n">
        <v>207</v>
      </c>
      <c r="HC23" s="37" t="n">
        <v>208</v>
      </c>
      <c r="HD23" s="37" t="n">
        <v>209</v>
      </c>
      <c r="HE23" s="37" t="n">
        <v>210</v>
      </c>
      <c r="HF23" s="37" t="n">
        <v>211</v>
      </c>
      <c r="HG23" s="37" t="n">
        <v>212</v>
      </c>
      <c r="HH23" s="37" t="n">
        <v>213</v>
      </c>
      <c r="HI23" s="37" t="n">
        <v>214</v>
      </c>
      <c r="HJ23" s="37" t="n">
        <v>215</v>
      </c>
      <c r="HK23" s="37" t="n">
        <v>216</v>
      </c>
      <c r="HL23" s="37" t="n">
        <v>217</v>
      </c>
      <c r="HM23" s="37" t="n">
        <v>218</v>
      </c>
      <c r="HN23" s="37" t="n">
        <v>219</v>
      </c>
      <c r="HO23" s="37" t="n">
        <v>220</v>
      </c>
      <c r="HP23" s="37" t="n">
        <v>221</v>
      </c>
      <c r="HQ23" s="37" t="n">
        <v>222</v>
      </c>
      <c r="HR23" s="37" t="n">
        <v>223</v>
      </c>
      <c r="HS23" s="37" t="n">
        <v>224</v>
      </c>
      <c r="HT23" s="37" t="n">
        <v>225</v>
      </c>
      <c r="HU23" s="37" t="n">
        <v>226</v>
      </c>
      <c r="HV23" s="37" t="n">
        <v>227</v>
      </c>
      <c r="HW23" s="37" t="n">
        <v>228</v>
      </c>
      <c r="HX23" s="37" t="n">
        <v>229</v>
      </c>
      <c r="HY23" s="37" t="n">
        <v>230</v>
      </c>
      <c r="HZ23" s="37" t="n">
        <v>231</v>
      </c>
      <c r="IA23" s="37" t="n">
        <v>232</v>
      </c>
      <c r="IB23" s="37" t="n">
        <v>233</v>
      </c>
      <c r="IC23" s="37" t="n">
        <v>234</v>
      </c>
      <c r="ID23" s="37" t="n">
        <v>235</v>
      </c>
      <c r="IE23" s="37" t="n">
        <v>236</v>
      </c>
      <c r="IF23" s="37" t="n">
        <v>237</v>
      </c>
      <c r="IG23" s="37" t="n">
        <v>238</v>
      </c>
      <c r="IH23" s="37" t="n">
        <v>239</v>
      </c>
      <c r="II23" s="37" t="n">
        <v>240</v>
      </c>
      <c r="IJ23" s="37" t="n">
        <v>241</v>
      </c>
      <c r="IK23" s="37" t="n">
        <v>242</v>
      </c>
      <c r="IL23" s="37" t="n">
        <v>243</v>
      </c>
      <c r="IM23" s="37" t="n">
        <v>244</v>
      </c>
      <c r="IN23" s="37" t="n">
        <v>245</v>
      </c>
      <c r="IO23" s="37" t="n">
        <v>246</v>
      </c>
      <c r="IP23" s="37" t="n">
        <v>247</v>
      </c>
      <c r="IQ23" s="37" t="n">
        <v>248</v>
      </c>
      <c r="IR23" s="37" t="n">
        <v>249</v>
      </c>
      <c r="IS23" s="37" t="n">
        <v>250</v>
      </c>
      <c r="IT23" s="37" t="n">
        <v>251</v>
      </c>
      <c r="IU23" s="37" t="n">
        <v>252</v>
      </c>
      <c r="IV23" s="37" t="n">
        <v>253</v>
      </c>
      <c r="IW23" s="37" t="n">
        <v>254</v>
      </c>
      <c r="IX23" s="37" t="n">
        <v>255</v>
      </c>
      <c r="IY23" s="37" t="n">
        <v>256</v>
      </c>
      <c r="IZ23" s="37" t="n">
        <v>257</v>
      </c>
      <c r="JA23" s="37" t="n">
        <v>258</v>
      </c>
      <c r="JB23" s="37" t="n">
        <v>259</v>
      </c>
      <c r="JC23" s="37" t="n">
        <v>260</v>
      </c>
      <c r="JD23" s="37" t="n">
        <v>261</v>
      </c>
      <c r="JE23" s="37" t="n">
        <v>262</v>
      </c>
      <c r="JF23" s="37" t="n">
        <v>263</v>
      </c>
      <c r="JG23" s="37" t="n">
        <v>264</v>
      </c>
      <c r="JH23" s="37" t="n">
        <v>265</v>
      </c>
      <c r="JI23" s="37" t="n">
        <v>266</v>
      </c>
      <c r="JJ23" s="37" t="n">
        <v>267</v>
      </c>
      <c r="JK23" s="37" t="n">
        <v>268</v>
      </c>
      <c r="JL23" s="37" t="n">
        <v>269</v>
      </c>
      <c r="JM23" s="37" t="n">
        <v>270</v>
      </c>
      <c r="JN23" s="37" t="n">
        <v>271</v>
      </c>
      <c r="JO23" s="37" t="n">
        <v>272</v>
      </c>
      <c r="JP23" s="37" t="n">
        <v>273</v>
      </c>
      <c r="JQ23" s="37" t="n">
        <v>274</v>
      </c>
      <c r="JR23" s="37" t="n">
        <v>275</v>
      </c>
      <c r="JS23" s="37" t="n">
        <v>276</v>
      </c>
      <c r="JT23" s="37" t="n">
        <v>277</v>
      </c>
      <c r="JU23" s="37" t="n">
        <v>278</v>
      </c>
      <c r="JV23" s="37" t="n">
        <v>279</v>
      </c>
      <c r="JW23" s="37" t="n">
        <v>280</v>
      </c>
      <c r="JX23" s="37" t="n">
        <v>281</v>
      </c>
      <c r="JY23" s="37" t="n">
        <v>282</v>
      </c>
      <c r="JZ23" s="37" t="n">
        <v>283</v>
      </c>
      <c r="KA23" s="37" t="n">
        <v>284</v>
      </c>
      <c r="KB23" s="37" t="n">
        <v>285</v>
      </c>
      <c r="KC23" s="37" t="n">
        <v>286</v>
      </c>
      <c r="KD23" s="37" t="n">
        <v>287</v>
      </c>
      <c r="KE23" s="37" t="n">
        <v>288</v>
      </c>
      <c r="KF23" s="37" t="n">
        <v>289</v>
      </c>
      <c r="KG23" s="37" t="n">
        <v>290</v>
      </c>
      <c r="KH23" s="37" t="n">
        <v>291</v>
      </c>
      <c r="KI23" s="37" t="n">
        <v>292</v>
      </c>
      <c r="KJ23" s="37" t="n">
        <v>293</v>
      </c>
      <c r="KK23" s="37" t="n">
        <v>294</v>
      </c>
      <c r="KL23" s="37" t="n">
        <v>295</v>
      </c>
      <c r="KM23" s="37" t="n">
        <v>296</v>
      </c>
      <c r="KN23" s="37" t="n">
        <v>297</v>
      </c>
      <c r="KO23" s="37" t="n">
        <v>298</v>
      </c>
      <c r="KP23" s="37" t="n">
        <v>299</v>
      </c>
      <c r="KQ23" s="37" t="n">
        <v>300</v>
      </c>
      <c r="KR23" s="37" t="n">
        <v>301</v>
      </c>
      <c r="KS23" s="37" t="n">
        <v>302</v>
      </c>
      <c r="KT23" s="37" t="n">
        <v>303</v>
      </c>
      <c r="KU23" s="37" t="n">
        <v>304</v>
      </c>
      <c r="KV23" s="37" t="n">
        <v>305</v>
      </c>
      <c r="KW23" s="37" t="n">
        <v>306</v>
      </c>
      <c r="KX23" s="37" t="n">
        <v>307</v>
      </c>
      <c r="KY23" s="37" t="n">
        <v>308</v>
      </c>
      <c r="KZ23" s="37" t="n">
        <v>309</v>
      </c>
      <c r="LA23" s="37" t="n">
        <v>310</v>
      </c>
      <c r="LB23" s="37" t="n">
        <v>311</v>
      </c>
      <c r="LC23" s="37" t="n">
        <v>312</v>
      </c>
      <c r="LD23" s="37" t="n">
        <v>313</v>
      </c>
      <c r="LE23" s="37" t="n">
        <v>314</v>
      </c>
      <c r="LF23" s="37" t="n">
        <v>315</v>
      </c>
      <c r="LG23" s="37" t="n">
        <v>316</v>
      </c>
      <c r="LH23" s="37" t="n">
        <v>317</v>
      </c>
      <c r="LI23" s="37" t="n">
        <v>318</v>
      </c>
      <c r="LJ23" s="37" t="n">
        <v>319</v>
      </c>
      <c r="LK23" s="37" t="n">
        <v>320</v>
      </c>
      <c r="LL23" s="37" t="n">
        <v>321</v>
      </c>
      <c r="LM23" s="37" t="n">
        <v>322</v>
      </c>
      <c r="LN23" s="37" t="n">
        <v>323</v>
      </c>
      <c r="LO23" s="37" t="n">
        <v>324</v>
      </c>
      <c r="LP23" s="37" t="n">
        <v>325</v>
      </c>
      <c r="LQ23" s="37" t="n">
        <v>326</v>
      </c>
      <c r="LR23" s="37" t="n">
        <v>327</v>
      </c>
      <c r="LS23" s="37" t="n">
        <v>328</v>
      </c>
      <c r="LT23" s="37" t="n">
        <v>329</v>
      </c>
      <c r="LU23" s="37" t="n">
        <v>330</v>
      </c>
      <c r="LV23" s="37" t="n">
        <v>331</v>
      </c>
      <c r="LW23" s="37" t="n">
        <v>332</v>
      </c>
      <c r="LX23" s="37" t="n">
        <v>333</v>
      </c>
      <c r="LY23" s="37" t="n">
        <v>334</v>
      </c>
      <c r="LZ23" s="37" t="n">
        <v>335</v>
      </c>
      <c r="MA23" s="37" t="n">
        <v>336</v>
      </c>
      <c r="MB23" s="37" t="n">
        <v>337</v>
      </c>
      <c r="MC23" s="37" t="n">
        <v>338</v>
      </c>
      <c r="MD23" s="37" t="n">
        <v>339</v>
      </c>
      <c r="ME23" s="37" t="n">
        <v>340</v>
      </c>
      <c r="MF23" s="37" t="n">
        <v>341</v>
      </c>
      <c r="MG23" s="37" t="n">
        <v>342</v>
      </c>
      <c r="MH23" s="37" t="n">
        <v>343</v>
      </c>
      <c r="MI23" s="37" t="n">
        <v>344</v>
      </c>
      <c r="MJ23" s="37" t="n">
        <v>345</v>
      </c>
      <c r="MK23" s="37" t="n">
        <v>346</v>
      </c>
      <c r="ML23" s="37" t="n">
        <v>347</v>
      </c>
      <c r="MM23" s="37" t="n">
        <v>348</v>
      </c>
      <c r="MN23" s="37" t="n">
        <v>349</v>
      </c>
      <c r="MO23" s="37" t="n">
        <v>350</v>
      </c>
      <c r="MP23" s="37" t="n">
        <v>351</v>
      </c>
      <c r="MQ23" s="37" t="n">
        <v>352</v>
      </c>
      <c r="MR23" s="37" t="n">
        <v>353</v>
      </c>
      <c r="MS23" s="37" t="n">
        <v>354</v>
      </c>
      <c r="MT23" s="37" t="n">
        <v>355</v>
      </c>
      <c r="MU23" s="37" t="n">
        <v>356</v>
      </c>
      <c r="MV23" s="37" t="n">
        <v>357</v>
      </c>
      <c r="MW23" s="37" t="n">
        <v>358</v>
      </c>
      <c r="MX23" s="37" t="n">
        <v>359</v>
      </c>
      <c r="MY23" s="37" t="n">
        <v>360</v>
      </c>
      <c r="MZ23" s="37" t="n">
        <v>361</v>
      </c>
      <c r="NA23" s="37" t="n">
        <v>362</v>
      </c>
      <c r="NB23" s="37" t="n">
        <v>363</v>
      </c>
      <c r="NC23" s="37" t="n">
        <v>364</v>
      </c>
      <c r="ND23" s="37" t="n">
        <v>365</v>
      </c>
      <c r="NE23" s="37" t="n">
        <v>366</v>
      </c>
      <c r="NF23" s="37" t="n">
        <v>367</v>
      </c>
      <c r="NG23" s="37" t="n">
        <v>368</v>
      </c>
      <c r="NH23" s="37" t="n">
        <v>369</v>
      </c>
      <c r="NI23" s="37" t="n">
        <v>370</v>
      </c>
      <c r="NJ23" s="37" t="n">
        <v>371</v>
      </c>
      <c r="NK23" s="37" t="n">
        <v>372</v>
      </c>
    </row>
    <row r="24">
      <c r="A24" s="38" t="inlineStr">
        <is>
          <t>Month Start</t>
        </is>
      </c>
      <c r="D24" s="39">
        <f>EDATE(InceptionDate,0)</f>
        <v/>
      </c>
      <c r="E24" s="39">
        <f>EDATE(InceptionDate,1)</f>
        <v/>
      </c>
      <c r="F24" s="39">
        <f>EDATE(InceptionDate,2)</f>
        <v/>
      </c>
      <c r="G24" s="39">
        <f>EDATE(InceptionDate,3)</f>
        <v/>
      </c>
      <c r="H24" s="39">
        <f>EDATE(InceptionDate,4)</f>
        <v/>
      </c>
      <c r="I24" s="39">
        <f>EDATE(InceptionDate,5)</f>
        <v/>
      </c>
      <c r="J24" s="39">
        <f>EDATE(InceptionDate,6)</f>
        <v/>
      </c>
      <c r="K24" s="39">
        <f>EDATE(InceptionDate,7)</f>
        <v/>
      </c>
      <c r="L24" s="39">
        <f>EDATE(InceptionDate,8)</f>
        <v/>
      </c>
      <c r="M24" s="39">
        <f>EDATE(InceptionDate,9)</f>
        <v/>
      </c>
      <c r="N24" s="39">
        <f>EDATE(InceptionDate,10)</f>
        <v/>
      </c>
      <c r="O24" s="39">
        <f>EDATE(InceptionDate,11)</f>
        <v/>
      </c>
      <c r="P24" s="39">
        <f>EDATE(InceptionDate,12)</f>
        <v/>
      </c>
      <c r="Q24" s="39">
        <f>EDATE(InceptionDate,13)</f>
        <v/>
      </c>
      <c r="R24" s="39">
        <f>EDATE(InceptionDate,14)</f>
        <v/>
      </c>
      <c r="S24" s="39">
        <f>EDATE(InceptionDate,15)</f>
        <v/>
      </c>
      <c r="T24" s="39">
        <f>EDATE(InceptionDate,16)</f>
        <v/>
      </c>
      <c r="U24" s="39">
        <f>EDATE(InceptionDate,17)</f>
        <v/>
      </c>
      <c r="V24" s="39">
        <f>EDATE(InceptionDate,18)</f>
        <v/>
      </c>
      <c r="W24" s="39">
        <f>EDATE(InceptionDate,19)</f>
        <v/>
      </c>
      <c r="X24" s="39">
        <f>EDATE(InceptionDate,20)</f>
        <v/>
      </c>
      <c r="Y24" s="39">
        <f>EDATE(InceptionDate,21)</f>
        <v/>
      </c>
      <c r="Z24" s="39">
        <f>EDATE(InceptionDate,22)</f>
        <v/>
      </c>
      <c r="AA24" s="39">
        <f>EDATE(InceptionDate,23)</f>
        <v/>
      </c>
      <c r="AB24" s="39">
        <f>EDATE(InceptionDate,24)</f>
        <v/>
      </c>
      <c r="AC24" s="39">
        <f>EDATE(InceptionDate,25)</f>
        <v/>
      </c>
      <c r="AD24" s="39">
        <f>EDATE(InceptionDate,26)</f>
        <v/>
      </c>
      <c r="AE24" s="39">
        <f>EDATE(InceptionDate,27)</f>
        <v/>
      </c>
      <c r="AF24" s="39">
        <f>EDATE(InceptionDate,28)</f>
        <v/>
      </c>
      <c r="AG24" s="39">
        <f>EDATE(InceptionDate,29)</f>
        <v/>
      </c>
      <c r="AH24" s="39">
        <f>EDATE(InceptionDate,30)</f>
        <v/>
      </c>
      <c r="AI24" s="39">
        <f>EDATE(InceptionDate,31)</f>
        <v/>
      </c>
      <c r="AJ24" s="39">
        <f>EDATE(InceptionDate,32)</f>
        <v/>
      </c>
      <c r="AK24" s="39">
        <f>EDATE(InceptionDate,33)</f>
        <v/>
      </c>
      <c r="AL24" s="39">
        <f>EDATE(InceptionDate,34)</f>
        <v/>
      </c>
      <c r="AM24" s="39">
        <f>EDATE(InceptionDate,35)</f>
        <v/>
      </c>
      <c r="AN24" s="39">
        <f>EDATE(InceptionDate,36)</f>
        <v/>
      </c>
      <c r="AO24" s="39">
        <f>EDATE(InceptionDate,37)</f>
        <v/>
      </c>
      <c r="AP24" s="39">
        <f>EDATE(InceptionDate,38)</f>
        <v/>
      </c>
      <c r="AQ24" s="39">
        <f>EDATE(InceptionDate,39)</f>
        <v/>
      </c>
      <c r="AR24" s="39">
        <f>EDATE(InceptionDate,40)</f>
        <v/>
      </c>
      <c r="AS24" s="39">
        <f>EDATE(InceptionDate,41)</f>
        <v/>
      </c>
      <c r="AT24" s="39">
        <f>EDATE(InceptionDate,42)</f>
        <v/>
      </c>
      <c r="AU24" s="39">
        <f>EDATE(InceptionDate,43)</f>
        <v/>
      </c>
      <c r="AV24" s="39">
        <f>EDATE(InceptionDate,44)</f>
        <v/>
      </c>
      <c r="AW24" s="39">
        <f>EDATE(InceptionDate,45)</f>
        <v/>
      </c>
      <c r="AX24" s="39">
        <f>EDATE(InceptionDate,46)</f>
        <v/>
      </c>
      <c r="AY24" s="39">
        <f>EDATE(InceptionDate,47)</f>
        <v/>
      </c>
      <c r="AZ24" s="39">
        <f>EDATE(InceptionDate,48)</f>
        <v/>
      </c>
      <c r="BA24" s="39">
        <f>EDATE(InceptionDate,49)</f>
        <v/>
      </c>
      <c r="BB24" s="39">
        <f>EDATE(InceptionDate,50)</f>
        <v/>
      </c>
      <c r="BC24" s="39">
        <f>EDATE(InceptionDate,51)</f>
        <v/>
      </c>
      <c r="BD24" s="39">
        <f>EDATE(InceptionDate,52)</f>
        <v/>
      </c>
      <c r="BE24" s="39">
        <f>EDATE(InceptionDate,53)</f>
        <v/>
      </c>
      <c r="BF24" s="39">
        <f>EDATE(InceptionDate,54)</f>
        <v/>
      </c>
      <c r="BG24" s="39">
        <f>EDATE(InceptionDate,55)</f>
        <v/>
      </c>
      <c r="BH24" s="39">
        <f>EDATE(InceptionDate,56)</f>
        <v/>
      </c>
      <c r="BI24" s="39">
        <f>EDATE(InceptionDate,57)</f>
        <v/>
      </c>
      <c r="BJ24" s="39">
        <f>EDATE(InceptionDate,58)</f>
        <v/>
      </c>
      <c r="BK24" s="39">
        <f>EDATE(InceptionDate,59)</f>
        <v/>
      </c>
      <c r="BL24" s="39">
        <f>EDATE(InceptionDate,60)</f>
        <v/>
      </c>
      <c r="BM24" s="39">
        <f>EDATE(InceptionDate,61)</f>
        <v/>
      </c>
      <c r="BN24" s="39">
        <f>EDATE(InceptionDate,62)</f>
        <v/>
      </c>
      <c r="BO24" s="39">
        <f>EDATE(InceptionDate,63)</f>
        <v/>
      </c>
      <c r="BP24" s="39">
        <f>EDATE(InceptionDate,64)</f>
        <v/>
      </c>
      <c r="BQ24" s="39">
        <f>EDATE(InceptionDate,65)</f>
        <v/>
      </c>
      <c r="BR24" s="39">
        <f>EDATE(InceptionDate,66)</f>
        <v/>
      </c>
      <c r="BS24" s="39">
        <f>EDATE(InceptionDate,67)</f>
        <v/>
      </c>
      <c r="BT24" s="39">
        <f>EDATE(InceptionDate,68)</f>
        <v/>
      </c>
      <c r="BU24" s="39">
        <f>EDATE(InceptionDate,69)</f>
        <v/>
      </c>
      <c r="BV24" s="39">
        <f>EDATE(InceptionDate,70)</f>
        <v/>
      </c>
      <c r="BW24" s="39">
        <f>EDATE(InceptionDate,71)</f>
        <v/>
      </c>
      <c r="BX24" s="39">
        <f>EDATE(InceptionDate,72)</f>
        <v/>
      </c>
      <c r="BY24" s="39">
        <f>EDATE(InceptionDate,73)</f>
        <v/>
      </c>
      <c r="BZ24" s="39">
        <f>EDATE(InceptionDate,74)</f>
        <v/>
      </c>
      <c r="CA24" s="39">
        <f>EDATE(InceptionDate,75)</f>
        <v/>
      </c>
      <c r="CB24" s="39">
        <f>EDATE(InceptionDate,76)</f>
        <v/>
      </c>
      <c r="CC24" s="39">
        <f>EDATE(InceptionDate,77)</f>
        <v/>
      </c>
      <c r="CD24" s="39">
        <f>EDATE(InceptionDate,78)</f>
        <v/>
      </c>
      <c r="CE24" s="39">
        <f>EDATE(InceptionDate,79)</f>
        <v/>
      </c>
      <c r="CF24" s="39">
        <f>EDATE(InceptionDate,80)</f>
        <v/>
      </c>
      <c r="CG24" s="39">
        <f>EDATE(InceptionDate,81)</f>
        <v/>
      </c>
      <c r="CH24" s="39">
        <f>EDATE(InceptionDate,82)</f>
        <v/>
      </c>
      <c r="CI24" s="39">
        <f>EDATE(InceptionDate,83)</f>
        <v/>
      </c>
      <c r="CJ24" s="39">
        <f>EDATE(InceptionDate,84)</f>
        <v/>
      </c>
      <c r="CK24" s="39">
        <f>EDATE(InceptionDate,85)</f>
        <v/>
      </c>
      <c r="CL24" s="39">
        <f>EDATE(InceptionDate,86)</f>
        <v/>
      </c>
      <c r="CM24" s="39">
        <f>EDATE(InceptionDate,87)</f>
        <v/>
      </c>
      <c r="CN24" s="39">
        <f>EDATE(InceptionDate,88)</f>
        <v/>
      </c>
      <c r="CO24" s="39">
        <f>EDATE(InceptionDate,89)</f>
        <v/>
      </c>
      <c r="CP24" s="39">
        <f>EDATE(InceptionDate,90)</f>
        <v/>
      </c>
      <c r="CQ24" s="39">
        <f>EDATE(InceptionDate,91)</f>
        <v/>
      </c>
      <c r="CR24" s="39">
        <f>EDATE(InceptionDate,92)</f>
        <v/>
      </c>
      <c r="CS24" s="39">
        <f>EDATE(InceptionDate,93)</f>
        <v/>
      </c>
      <c r="CT24" s="39">
        <f>EDATE(InceptionDate,94)</f>
        <v/>
      </c>
      <c r="CU24" s="39">
        <f>EDATE(InceptionDate,95)</f>
        <v/>
      </c>
      <c r="CV24" s="39">
        <f>EDATE(InceptionDate,96)</f>
        <v/>
      </c>
      <c r="CW24" s="39">
        <f>EDATE(InceptionDate,97)</f>
        <v/>
      </c>
      <c r="CX24" s="39">
        <f>EDATE(InceptionDate,98)</f>
        <v/>
      </c>
      <c r="CY24" s="39">
        <f>EDATE(InceptionDate,99)</f>
        <v/>
      </c>
      <c r="CZ24" s="39">
        <f>EDATE(InceptionDate,100)</f>
        <v/>
      </c>
      <c r="DA24" s="39">
        <f>EDATE(InceptionDate,101)</f>
        <v/>
      </c>
      <c r="DB24" s="39">
        <f>EDATE(InceptionDate,102)</f>
        <v/>
      </c>
      <c r="DC24" s="39">
        <f>EDATE(InceptionDate,103)</f>
        <v/>
      </c>
      <c r="DD24" s="39">
        <f>EDATE(InceptionDate,104)</f>
        <v/>
      </c>
      <c r="DE24" s="39">
        <f>EDATE(InceptionDate,105)</f>
        <v/>
      </c>
      <c r="DF24" s="39">
        <f>EDATE(InceptionDate,106)</f>
        <v/>
      </c>
      <c r="DG24" s="39">
        <f>EDATE(InceptionDate,107)</f>
        <v/>
      </c>
      <c r="DH24" s="39">
        <f>EDATE(InceptionDate,108)</f>
        <v/>
      </c>
      <c r="DI24" s="39">
        <f>EDATE(InceptionDate,109)</f>
        <v/>
      </c>
      <c r="DJ24" s="39">
        <f>EDATE(InceptionDate,110)</f>
        <v/>
      </c>
      <c r="DK24" s="39">
        <f>EDATE(InceptionDate,111)</f>
        <v/>
      </c>
      <c r="DL24" s="39">
        <f>EDATE(InceptionDate,112)</f>
        <v/>
      </c>
      <c r="DM24" s="39">
        <f>EDATE(InceptionDate,113)</f>
        <v/>
      </c>
      <c r="DN24" s="39">
        <f>EDATE(InceptionDate,114)</f>
        <v/>
      </c>
      <c r="DO24" s="39">
        <f>EDATE(InceptionDate,115)</f>
        <v/>
      </c>
      <c r="DP24" s="39">
        <f>EDATE(InceptionDate,116)</f>
        <v/>
      </c>
      <c r="DQ24" s="39">
        <f>EDATE(InceptionDate,117)</f>
        <v/>
      </c>
      <c r="DR24" s="39">
        <f>EDATE(InceptionDate,118)</f>
        <v/>
      </c>
      <c r="DS24" s="39">
        <f>EDATE(InceptionDate,119)</f>
        <v/>
      </c>
      <c r="DT24" s="39">
        <f>EDATE(InceptionDate,120)</f>
        <v/>
      </c>
      <c r="DU24" s="39">
        <f>EDATE(InceptionDate,121)</f>
        <v/>
      </c>
      <c r="DV24" s="39">
        <f>EDATE(InceptionDate,122)</f>
        <v/>
      </c>
      <c r="DW24" s="39">
        <f>EDATE(InceptionDate,123)</f>
        <v/>
      </c>
      <c r="DX24" s="39">
        <f>EDATE(InceptionDate,124)</f>
        <v/>
      </c>
      <c r="DY24" s="39">
        <f>EDATE(InceptionDate,125)</f>
        <v/>
      </c>
      <c r="DZ24" s="39">
        <f>EDATE(InceptionDate,126)</f>
        <v/>
      </c>
      <c r="EA24" s="39">
        <f>EDATE(InceptionDate,127)</f>
        <v/>
      </c>
      <c r="EB24" s="39">
        <f>EDATE(InceptionDate,128)</f>
        <v/>
      </c>
      <c r="EC24" s="39">
        <f>EDATE(InceptionDate,129)</f>
        <v/>
      </c>
      <c r="ED24" s="39">
        <f>EDATE(InceptionDate,130)</f>
        <v/>
      </c>
      <c r="EE24" s="39">
        <f>EDATE(InceptionDate,131)</f>
        <v/>
      </c>
      <c r="EF24" s="39">
        <f>EDATE(InceptionDate,132)</f>
        <v/>
      </c>
      <c r="EG24" s="39">
        <f>EDATE(InceptionDate,133)</f>
        <v/>
      </c>
      <c r="EH24" s="39">
        <f>EDATE(InceptionDate,134)</f>
        <v/>
      </c>
      <c r="EI24" s="39">
        <f>EDATE(InceptionDate,135)</f>
        <v/>
      </c>
      <c r="EJ24" s="39">
        <f>EDATE(InceptionDate,136)</f>
        <v/>
      </c>
      <c r="EK24" s="39">
        <f>EDATE(InceptionDate,137)</f>
        <v/>
      </c>
      <c r="EL24" s="39">
        <f>EDATE(InceptionDate,138)</f>
        <v/>
      </c>
      <c r="EM24" s="39">
        <f>EDATE(InceptionDate,139)</f>
        <v/>
      </c>
      <c r="EN24" s="39">
        <f>EDATE(InceptionDate,140)</f>
        <v/>
      </c>
      <c r="EO24" s="39">
        <f>EDATE(InceptionDate,141)</f>
        <v/>
      </c>
      <c r="EP24" s="39">
        <f>EDATE(InceptionDate,142)</f>
        <v/>
      </c>
      <c r="EQ24" s="39">
        <f>EDATE(InceptionDate,143)</f>
        <v/>
      </c>
      <c r="ER24" s="39">
        <f>EDATE(InceptionDate,144)</f>
        <v/>
      </c>
      <c r="ES24" s="39">
        <f>EDATE(InceptionDate,145)</f>
        <v/>
      </c>
      <c r="ET24" s="39">
        <f>EDATE(InceptionDate,146)</f>
        <v/>
      </c>
      <c r="EU24" s="39">
        <f>EDATE(InceptionDate,147)</f>
        <v/>
      </c>
      <c r="EV24" s="39">
        <f>EDATE(InceptionDate,148)</f>
        <v/>
      </c>
      <c r="EW24" s="39">
        <f>EDATE(InceptionDate,149)</f>
        <v/>
      </c>
      <c r="EX24" s="39">
        <f>EDATE(InceptionDate,150)</f>
        <v/>
      </c>
      <c r="EY24" s="39">
        <f>EDATE(InceptionDate,151)</f>
        <v/>
      </c>
      <c r="EZ24" s="39">
        <f>EDATE(InceptionDate,152)</f>
        <v/>
      </c>
      <c r="FA24" s="39">
        <f>EDATE(InceptionDate,153)</f>
        <v/>
      </c>
      <c r="FB24" s="39">
        <f>EDATE(InceptionDate,154)</f>
        <v/>
      </c>
      <c r="FC24" s="39">
        <f>EDATE(InceptionDate,155)</f>
        <v/>
      </c>
      <c r="FD24" s="39">
        <f>EDATE(InceptionDate,156)</f>
        <v/>
      </c>
      <c r="FE24" s="39">
        <f>EDATE(InceptionDate,157)</f>
        <v/>
      </c>
      <c r="FF24" s="39">
        <f>EDATE(InceptionDate,158)</f>
        <v/>
      </c>
      <c r="FG24" s="39">
        <f>EDATE(InceptionDate,159)</f>
        <v/>
      </c>
      <c r="FH24" s="39">
        <f>EDATE(InceptionDate,160)</f>
        <v/>
      </c>
      <c r="FI24" s="39">
        <f>EDATE(InceptionDate,161)</f>
        <v/>
      </c>
      <c r="FJ24" s="39">
        <f>EDATE(InceptionDate,162)</f>
        <v/>
      </c>
      <c r="FK24" s="39">
        <f>EDATE(InceptionDate,163)</f>
        <v/>
      </c>
      <c r="FL24" s="39">
        <f>EDATE(InceptionDate,164)</f>
        <v/>
      </c>
      <c r="FM24" s="39">
        <f>EDATE(InceptionDate,165)</f>
        <v/>
      </c>
      <c r="FN24" s="39">
        <f>EDATE(InceptionDate,166)</f>
        <v/>
      </c>
      <c r="FO24" s="39">
        <f>EDATE(InceptionDate,167)</f>
        <v/>
      </c>
      <c r="FP24" s="39">
        <f>EDATE(InceptionDate,168)</f>
        <v/>
      </c>
      <c r="FQ24" s="39">
        <f>EDATE(InceptionDate,169)</f>
        <v/>
      </c>
      <c r="FR24" s="39">
        <f>EDATE(InceptionDate,170)</f>
        <v/>
      </c>
      <c r="FS24" s="39">
        <f>EDATE(InceptionDate,171)</f>
        <v/>
      </c>
      <c r="FT24" s="39">
        <f>EDATE(InceptionDate,172)</f>
        <v/>
      </c>
      <c r="FU24" s="39">
        <f>EDATE(InceptionDate,173)</f>
        <v/>
      </c>
      <c r="FV24" s="39">
        <f>EDATE(InceptionDate,174)</f>
        <v/>
      </c>
      <c r="FW24" s="39">
        <f>EDATE(InceptionDate,175)</f>
        <v/>
      </c>
      <c r="FX24" s="39">
        <f>EDATE(InceptionDate,176)</f>
        <v/>
      </c>
      <c r="FY24" s="39">
        <f>EDATE(InceptionDate,177)</f>
        <v/>
      </c>
      <c r="FZ24" s="39">
        <f>EDATE(InceptionDate,178)</f>
        <v/>
      </c>
      <c r="GA24" s="39">
        <f>EDATE(InceptionDate,179)</f>
        <v/>
      </c>
      <c r="GB24" s="39">
        <f>EDATE(InceptionDate,180)</f>
        <v/>
      </c>
      <c r="GC24" s="39">
        <f>EDATE(InceptionDate,181)</f>
        <v/>
      </c>
      <c r="GD24" s="39">
        <f>EDATE(InceptionDate,182)</f>
        <v/>
      </c>
      <c r="GE24" s="39">
        <f>EDATE(InceptionDate,183)</f>
        <v/>
      </c>
      <c r="GF24" s="39">
        <f>EDATE(InceptionDate,184)</f>
        <v/>
      </c>
      <c r="GG24" s="39">
        <f>EDATE(InceptionDate,185)</f>
        <v/>
      </c>
      <c r="GH24" s="39">
        <f>EDATE(InceptionDate,186)</f>
        <v/>
      </c>
      <c r="GI24" s="39">
        <f>EDATE(InceptionDate,187)</f>
        <v/>
      </c>
      <c r="GJ24" s="39">
        <f>EDATE(InceptionDate,188)</f>
        <v/>
      </c>
      <c r="GK24" s="39">
        <f>EDATE(InceptionDate,189)</f>
        <v/>
      </c>
      <c r="GL24" s="39">
        <f>EDATE(InceptionDate,190)</f>
        <v/>
      </c>
      <c r="GM24" s="39">
        <f>EDATE(InceptionDate,191)</f>
        <v/>
      </c>
      <c r="GN24" s="39">
        <f>EDATE(InceptionDate,192)</f>
        <v/>
      </c>
      <c r="GO24" s="39">
        <f>EDATE(InceptionDate,193)</f>
        <v/>
      </c>
      <c r="GP24" s="39">
        <f>EDATE(InceptionDate,194)</f>
        <v/>
      </c>
      <c r="GQ24" s="39">
        <f>EDATE(InceptionDate,195)</f>
        <v/>
      </c>
      <c r="GR24" s="39">
        <f>EDATE(InceptionDate,196)</f>
        <v/>
      </c>
      <c r="GS24" s="39">
        <f>EDATE(InceptionDate,197)</f>
        <v/>
      </c>
      <c r="GT24" s="39">
        <f>EDATE(InceptionDate,198)</f>
        <v/>
      </c>
      <c r="GU24" s="39">
        <f>EDATE(InceptionDate,199)</f>
        <v/>
      </c>
      <c r="GV24" s="39">
        <f>EDATE(InceptionDate,200)</f>
        <v/>
      </c>
      <c r="GW24" s="39">
        <f>EDATE(InceptionDate,201)</f>
        <v/>
      </c>
      <c r="GX24" s="39">
        <f>EDATE(InceptionDate,202)</f>
        <v/>
      </c>
      <c r="GY24" s="39">
        <f>EDATE(InceptionDate,203)</f>
        <v/>
      </c>
      <c r="GZ24" s="39">
        <f>EDATE(InceptionDate,204)</f>
        <v/>
      </c>
      <c r="HA24" s="39">
        <f>EDATE(InceptionDate,205)</f>
        <v/>
      </c>
      <c r="HB24" s="39">
        <f>EDATE(InceptionDate,206)</f>
        <v/>
      </c>
      <c r="HC24" s="39">
        <f>EDATE(InceptionDate,207)</f>
        <v/>
      </c>
      <c r="HD24" s="39">
        <f>EDATE(InceptionDate,208)</f>
        <v/>
      </c>
      <c r="HE24" s="39">
        <f>EDATE(InceptionDate,209)</f>
        <v/>
      </c>
      <c r="HF24" s="39">
        <f>EDATE(InceptionDate,210)</f>
        <v/>
      </c>
      <c r="HG24" s="39">
        <f>EDATE(InceptionDate,211)</f>
        <v/>
      </c>
      <c r="HH24" s="39">
        <f>EDATE(InceptionDate,212)</f>
        <v/>
      </c>
      <c r="HI24" s="39">
        <f>EDATE(InceptionDate,213)</f>
        <v/>
      </c>
      <c r="HJ24" s="39">
        <f>EDATE(InceptionDate,214)</f>
        <v/>
      </c>
      <c r="HK24" s="39">
        <f>EDATE(InceptionDate,215)</f>
        <v/>
      </c>
      <c r="HL24" s="39">
        <f>EDATE(InceptionDate,216)</f>
        <v/>
      </c>
      <c r="HM24" s="39">
        <f>EDATE(InceptionDate,217)</f>
        <v/>
      </c>
      <c r="HN24" s="39">
        <f>EDATE(InceptionDate,218)</f>
        <v/>
      </c>
      <c r="HO24" s="39">
        <f>EDATE(InceptionDate,219)</f>
        <v/>
      </c>
      <c r="HP24" s="39">
        <f>EDATE(InceptionDate,220)</f>
        <v/>
      </c>
      <c r="HQ24" s="39">
        <f>EDATE(InceptionDate,221)</f>
        <v/>
      </c>
      <c r="HR24" s="39">
        <f>EDATE(InceptionDate,222)</f>
        <v/>
      </c>
      <c r="HS24" s="39">
        <f>EDATE(InceptionDate,223)</f>
        <v/>
      </c>
      <c r="HT24" s="39">
        <f>EDATE(InceptionDate,224)</f>
        <v/>
      </c>
      <c r="HU24" s="39">
        <f>EDATE(InceptionDate,225)</f>
        <v/>
      </c>
      <c r="HV24" s="39">
        <f>EDATE(InceptionDate,226)</f>
        <v/>
      </c>
      <c r="HW24" s="39">
        <f>EDATE(InceptionDate,227)</f>
        <v/>
      </c>
      <c r="HX24" s="39">
        <f>EDATE(InceptionDate,228)</f>
        <v/>
      </c>
      <c r="HY24" s="39">
        <f>EDATE(InceptionDate,229)</f>
        <v/>
      </c>
      <c r="HZ24" s="39">
        <f>EDATE(InceptionDate,230)</f>
        <v/>
      </c>
      <c r="IA24" s="39">
        <f>EDATE(InceptionDate,231)</f>
        <v/>
      </c>
      <c r="IB24" s="39">
        <f>EDATE(InceptionDate,232)</f>
        <v/>
      </c>
      <c r="IC24" s="39">
        <f>EDATE(InceptionDate,233)</f>
        <v/>
      </c>
      <c r="ID24" s="39">
        <f>EDATE(InceptionDate,234)</f>
        <v/>
      </c>
      <c r="IE24" s="39">
        <f>EDATE(InceptionDate,235)</f>
        <v/>
      </c>
      <c r="IF24" s="39">
        <f>EDATE(InceptionDate,236)</f>
        <v/>
      </c>
      <c r="IG24" s="39">
        <f>EDATE(InceptionDate,237)</f>
        <v/>
      </c>
      <c r="IH24" s="39">
        <f>EDATE(InceptionDate,238)</f>
        <v/>
      </c>
      <c r="II24" s="39">
        <f>EDATE(InceptionDate,239)</f>
        <v/>
      </c>
      <c r="IJ24" s="39">
        <f>EDATE(InceptionDate,240)</f>
        <v/>
      </c>
      <c r="IK24" s="39">
        <f>EDATE(InceptionDate,241)</f>
        <v/>
      </c>
      <c r="IL24" s="39">
        <f>EDATE(InceptionDate,242)</f>
        <v/>
      </c>
      <c r="IM24" s="39">
        <f>EDATE(InceptionDate,243)</f>
        <v/>
      </c>
      <c r="IN24" s="39">
        <f>EDATE(InceptionDate,244)</f>
        <v/>
      </c>
      <c r="IO24" s="39">
        <f>EDATE(InceptionDate,245)</f>
        <v/>
      </c>
      <c r="IP24" s="39">
        <f>EDATE(InceptionDate,246)</f>
        <v/>
      </c>
      <c r="IQ24" s="39">
        <f>EDATE(InceptionDate,247)</f>
        <v/>
      </c>
      <c r="IR24" s="39">
        <f>EDATE(InceptionDate,248)</f>
        <v/>
      </c>
      <c r="IS24" s="39">
        <f>EDATE(InceptionDate,249)</f>
        <v/>
      </c>
      <c r="IT24" s="39">
        <f>EDATE(InceptionDate,250)</f>
        <v/>
      </c>
      <c r="IU24" s="39">
        <f>EDATE(InceptionDate,251)</f>
        <v/>
      </c>
      <c r="IV24" s="39">
        <f>EDATE(InceptionDate,252)</f>
        <v/>
      </c>
      <c r="IW24" s="39">
        <f>EDATE(InceptionDate,253)</f>
        <v/>
      </c>
      <c r="IX24" s="39">
        <f>EDATE(InceptionDate,254)</f>
        <v/>
      </c>
      <c r="IY24" s="39">
        <f>EDATE(InceptionDate,255)</f>
        <v/>
      </c>
      <c r="IZ24" s="39">
        <f>EDATE(InceptionDate,256)</f>
        <v/>
      </c>
      <c r="JA24" s="39">
        <f>EDATE(InceptionDate,257)</f>
        <v/>
      </c>
      <c r="JB24" s="39">
        <f>EDATE(InceptionDate,258)</f>
        <v/>
      </c>
      <c r="JC24" s="39">
        <f>EDATE(InceptionDate,259)</f>
        <v/>
      </c>
      <c r="JD24" s="39">
        <f>EDATE(InceptionDate,260)</f>
        <v/>
      </c>
      <c r="JE24" s="39">
        <f>EDATE(InceptionDate,261)</f>
        <v/>
      </c>
      <c r="JF24" s="39">
        <f>EDATE(InceptionDate,262)</f>
        <v/>
      </c>
      <c r="JG24" s="39">
        <f>EDATE(InceptionDate,263)</f>
        <v/>
      </c>
      <c r="JH24" s="39">
        <f>EDATE(InceptionDate,264)</f>
        <v/>
      </c>
      <c r="JI24" s="39">
        <f>EDATE(InceptionDate,265)</f>
        <v/>
      </c>
      <c r="JJ24" s="39">
        <f>EDATE(InceptionDate,266)</f>
        <v/>
      </c>
      <c r="JK24" s="39">
        <f>EDATE(InceptionDate,267)</f>
        <v/>
      </c>
      <c r="JL24" s="39">
        <f>EDATE(InceptionDate,268)</f>
        <v/>
      </c>
      <c r="JM24" s="39">
        <f>EDATE(InceptionDate,269)</f>
        <v/>
      </c>
      <c r="JN24" s="39">
        <f>EDATE(InceptionDate,270)</f>
        <v/>
      </c>
      <c r="JO24" s="39">
        <f>EDATE(InceptionDate,271)</f>
        <v/>
      </c>
      <c r="JP24" s="39">
        <f>EDATE(InceptionDate,272)</f>
        <v/>
      </c>
      <c r="JQ24" s="39">
        <f>EDATE(InceptionDate,273)</f>
        <v/>
      </c>
      <c r="JR24" s="39">
        <f>EDATE(InceptionDate,274)</f>
        <v/>
      </c>
      <c r="JS24" s="39">
        <f>EDATE(InceptionDate,275)</f>
        <v/>
      </c>
      <c r="JT24" s="39">
        <f>EDATE(InceptionDate,276)</f>
        <v/>
      </c>
      <c r="JU24" s="39">
        <f>EDATE(InceptionDate,277)</f>
        <v/>
      </c>
      <c r="JV24" s="39">
        <f>EDATE(InceptionDate,278)</f>
        <v/>
      </c>
      <c r="JW24" s="39">
        <f>EDATE(InceptionDate,279)</f>
        <v/>
      </c>
      <c r="JX24" s="39">
        <f>EDATE(InceptionDate,280)</f>
        <v/>
      </c>
      <c r="JY24" s="39">
        <f>EDATE(InceptionDate,281)</f>
        <v/>
      </c>
      <c r="JZ24" s="39">
        <f>EDATE(InceptionDate,282)</f>
        <v/>
      </c>
      <c r="KA24" s="39">
        <f>EDATE(InceptionDate,283)</f>
        <v/>
      </c>
      <c r="KB24" s="39">
        <f>EDATE(InceptionDate,284)</f>
        <v/>
      </c>
      <c r="KC24" s="39">
        <f>EDATE(InceptionDate,285)</f>
        <v/>
      </c>
      <c r="KD24" s="39">
        <f>EDATE(InceptionDate,286)</f>
        <v/>
      </c>
      <c r="KE24" s="39">
        <f>EDATE(InceptionDate,287)</f>
        <v/>
      </c>
      <c r="KF24" s="39">
        <f>EDATE(InceptionDate,288)</f>
        <v/>
      </c>
      <c r="KG24" s="39">
        <f>EDATE(InceptionDate,289)</f>
        <v/>
      </c>
      <c r="KH24" s="39">
        <f>EDATE(InceptionDate,290)</f>
        <v/>
      </c>
      <c r="KI24" s="39">
        <f>EDATE(InceptionDate,291)</f>
        <v/>
      </c>
      <c r="KJ24" s="39">
        <f>EDATE(InceptionDate,292)</f>
        <v/>
      </c>
      <c r="KK24" s="39">
        <f>EDATE(InceptionDate,293)</f>
        <v/>
      </c>
      <c r="KL24" s="39">
        <f>EDATE(InceptionDate,294)</f>
        <v/>
      </c>
      <c r="KM24" s="39">
        <f>EDATE(InceptionDate,295)</f>
        <v/>
      </c>
      <c r="KN24" s="39">
        <f>EDATE(InceptionDate,296)</f>
        <v/>
      </c>
      <c r="KO24" s="39">
        <f>EDATE(InceptionDate,297)</f>
        <v/>
      </c>
      <c r="KP24" s="39">
        <f>EDATE(InceptionDate,298)</f>
        <v/>
      </c>
      <c r="KQ24" s="39">
        <f>EDATE(InceptionDate,299)</f>
        <v/>
      </c>
      <c r="KR24" s="39">
        <f>EDATE(InceptionDate,300)</f>
        <v/>
      </c>
      <c r="KS24" s="39">
        <f>EDATE(InceptionDate,301)</f>
        <v/>
      </c>
      <c r="KT24" s="39">
        <f>EDATE(InceptionDate,302)</f>
        <v/>
      </c>
      <c r="KU24" s="39">
        <f>EDATE(InceptionDate,303)</f>
        <v/>
      </c>
      <c r="KV24" s="39">
        <f>EDATE(InceptionDate,304)</f>
        <v/>
      </c>
      <c r="KW24" s="39">
        <f>EDATE(InceptionDate,305)</f>
        <v/>
      </c>
      <c r="KX24" s="39">
        <f>EDATE(InceptionDate,306)</f>
        <v/>
      </c>
      <c r="KY24" s="39">
        <f>EDATE(InceptionDate,307)</f>
        <v/>
      </c>
      <c r="KZ24" s="39">
        <f>EDATE(InceptionDate,308)</f>
        <v/>
      </c>
      <c r="LA24" s="39">
        <f>EDATE(InceptionDate,309)</f>
        <v/>
      </c>
      <c r="LB24" s="39">
        <f>EDATE(InceptionDate,310)</f>
        <v/>
      </c>
      <c r="LC24" s="39">
        <f>EDATE(InceptionDate,311)</f>
        <v/>
      </c>
      <c r="LD24" s="39">
        <f>EDATE(InceptionDate,312)</f>
        <v/>
      </c>
      <c r="LE24" s="39">
        <f>EDATE(InceptionDate,313)</f>
        <v/>
      </c>
      <c r="LF24" s="39">
        <f>EDATE(InceptionDate,314)</f>
        <v/>
      </c>
      <c r="LG24" s="39">
        <f>EDATE(InceptionDate,315)</f>
        <v/>
      </c>
      <c r="LH24" s="39">
        <f>EDATE(InceptionDate,316)</f>
        <v/>
      </c>
      <c r="LI24" s="39">
        <f>EDATE(InceptionDate,317)</f>
        <v/>
      </c>
      <c r="LJ24" s="39">
        <f>EDATE(InceptionDate,318)</f>
        <v/>
      </c>
      <c r="LK24" s="39">
        <f>EDATE(InceptionDate,319)</f>
        <v/>
      </c>
      <c r="LL24" s="39">
        <f>EDATE(InceptionDate,320)</f>
        <v/>
      </c>
      <c r="LM24" s="39">
        <f>EDATE(InceptionDate,321)</f>
        <v/>
      </c>
      <c r="LN24" s="39">
        <f>EDATE(InceptionDate,322)</f>
        <v/>
      </c>
      <c r="LO24" s="39">
        <f>EDATE(InceptionDate,323)</f>
        <v/>
      </c>
      <c r="LP24" s="39">
        <f>EDATE(InceptionDate,324)</f>
        <v/>
      </c>
      <c r="LQ24" s="39">
        <f>EDATE(InceptionDate,325)</f>
        <v/>
      </c>
      <c r="LR24" s="39">
        <f>EDATE(InceptionDate,326)</f>
        <v/>
      </c>
      <c r="LS24" s="39">
        <f>EDATE(InceptionDate,327)</f>
        <v/>
      </c>
      <c r="LT24" s="39">
        <f>EDATE(InceptionDate,328)</f>
        <v/>
      </c>
      <c r="LU24" s="39">
        <f>EDATE(InceptionDate,329)</f>
        <v/>
      </c>
      <c r="LV24" s="39">
        <f>EDATE(InceptionDate,330)</f>
        <v/>
      </c>
      <c r="LW24" s="39">
        <f>EDATE(InceptionDate,331)</f>
        <v/>
      </c>
      <c r="LX24" s="39">
        <f>EDATE(InceptionDate,332)</f>
        <v/>
      </c>
      <c r="LY24" s="39">
        <f>EDATE(InceptionDate,333)</f>
        <v/>
      </c>
      <c r="LZ24" s="39">
        <f>EDATE(InceptionDate,334)</f>
        <v/>
      </c>
      <c r="MA24" s="39">
        <f>EDATE(InceptionDate,335)</f>
        <v/>
      </c>
      <c r="MB24" s="39">
        <f>EDATE(InceptionDate,336)</f>
        <v/>
      </c>
      <c r="MC24" s="39">
        <f>EDATE(InceptionDate,337)</f>
        <v/>
      </c>
      <c r="MD24" s="39">
        <f>EDATE(InceptionDate,338)</f>
        <v/>
      </c>
      <c r="ME24" s="39">
        <f>EDATE(InceptionDate,339)</f>
        <v/>
      </c>
      <c r="MF24" s="39">
        <f>EDATE(InceptionDate,340)</f>
        <v/>
      </c>
      <c r="MG24" s="39">
        <f>EDATE(InceptionDate,341)</f>
        <v/>
      </c>
      <c r="MH24" s="39">
        <f>EDATE(InceptionDate,342)</f>
        <v/>
      </c>
      <c r="MI24" s="39">
        <f>EDATE(InceptionDate,343)</f>
        <v/>
      </c>
      <c r="MJ24" s="39">
        <f>EDATE(InceptionDate,344)</f>
        <v/>
      </c>
      <c r="MK24" s="39">
        <f>EDATE(InceptionDate,345)</f>
        <v/>
      </c>
      <c r="ML24" s="39">
        <f>EDATE(InceptionDate,346)</f>
        <v/>
      </c>
      <c r="MM24" s="39">
        <f>EDATE(InceptionDate,347)</f>
        <v/>
      </c>
      <c r="MN24" s="39">
        <f>EDATE(InceptionDate,348)</f>
        <v/>
      </c>
      <c r="MO24" s="39">
        <f>EDATE(InceptionDate,349)</f>
        <v/>
      </c>
      <c r="MP24" s="39">
        <f>EDATE(InceptionDate,350)</f>
        <v/>
      </c>
      <c r="MQ24" s="39">
        <f>EDATE(InceptionDate,351)</f>
        <v/>
      </c>
      <c r="MR24" s="39">
        <f>EDATE(InceptionDate,352)</f>
        <v/>
      </c>
      <c r="MS24" s="39">
        <f>EDATE(InceptionDate,353)</f>
        <v/>
      </c>
      <c r="MT24" s="39">
        <f>EDATE(InceptionDate,354)</f>
        <v/>
      </c>
      <c r="MU24" s="39">
        <f>EDATE(InceptionDate,355)</f>
        <v/>
      </c>
      <c r="MV24" s="39">
        <f>EDATE(InceptionDate,356)</f>
        <v/>
      </c>
      <c r="MW24" s="39">
        <f>EDATE(InceptionDate,357)</f>
        <v/>
      </c>
      <c r="MX24" s="39">
        <f>EDATE(InceptionDate,358)</f>
        <v/>
      </c>
      <c r="MY24" s="39">
        <f>EDATE(InceptionDate,359)</f>
        <v/>
      </c>
      <c r="MZ24" s="39">
        <f>EDATE(InceptionDate,360)</f>
        <v/>
      </c>
      <c r="NA24" s="39">
        <f>EDATE(InceptionDate,361)</f>
        <v/>
      </c>
      <c r="NB24" s="39">
        <f>EDATE(InceptionDate,362)</f>
        <v/>
      </c>
      <c r="NC24" s="39">
        <f>EDATE(InceptionDate,363)</f>
        <v/>
      </c>
      <c r="ND24" s="39">
        <f>EDATE(InceptionDate,364)</f>
        <v/>
      </c>
      <c r="NE24" s="39">
        <f>EDATE(InceptionDate,365)</f>
        <v/>
      </c>
      <c r="NF24" s="39">
        <f>EDATE(InceptionDate,366)</f>
        <v/>
      </c>
      <c r="NG24" s="39">
        <f>EDATE(InceptionDate,367)</f>
        <v/>
      </c>
      <c r="NH24" s="39">
        <f>EDATE(InceptionDate,368)</f>
        <v/>
      </c>
      <c r="NI24" s="39">
        <f>EDATE(InceptionDate,369)</f>
        <v/>
      </c>
      <c r="NJ24" s="39">
        <f>EDATE(InceptionDate,370)</f>
        <v/>
      </c>
      <c r="NK24" s="39">
        <f>EDATE(InceptionDate,371)</f>
        <v/>
      </c>
    </row>
    <row r="25">
      <c r="A25" s="5" t="inlineStr">
        <is>
          <t>Days in Month</t>
        </is>
      </c>
      <c r="C25" s="40" t="n"/>
      <c r="D25" s="17">
        <f>DAY(EOMONTH(EDATE(InceptionDate,1-1),0))</f>
        <v/>
      </c>
      <c r="E25" s="17">
        <f>DAY(EOMONTH(EDATE(InceptionDate,2-1),0))</f>
        <v/>
      </c>
      <c r="F25" s="17">
        <f>DAY(EOMONTH(EDATE(InceptionDate,3-1),0))</f>
        <v/>
      </c>
      <c r="G25" s="17">
        <f>DAY(EOMONTH(EDATE(InceptionDate,4-1),0))</f>
        <v/>
      </c>
      <c r="H25" s="17">
        <f>DAY(EOMONTH(EDATE(InceptionDate,5-1),0))</f>
        <v/>
      </c>
      <c r="I25" s="17">
        <f>DAY(EOMONTH(EDATE(InceptionDate,6-1),0))</f>
        <v/>
      </c>
      <c r="J25" s="17">
        <f>DAY(EOMONTH(EDATE(InceptionDate,7-1),0))</f>
        <v/>
      </c>
      <c r="K25" s="17">
        <f>DAY(EOMONTH(EDATE(InceptionDate,8-1),0))</f>
        <v/>
      </c>
      <c r="L25" s="17">
        <f>DAY(EOMONTH(EDATE(InceptionDate,9-1),0))</f>
        <v/>
      </c>
      <c r="M25" s="17">
        <f>DAY(EOMONTH(EDATE(InceptionDate,10-1),0))</f>
        <v/>
      </c>
      <c r="N25" s="17">
        <f>DAY(EOMONTH(EDATE(InceptionDate,11-1),0))</f>
        <v/>
      </c>
      <c r="O25" s="17">
        <f>DAY(EOMONTH(EDATE(InceptionDate,12-1),0))</f>
        <v/>
      </c>
      <c r="P25" s="17">
        <f>DAY(EOMONTH(EDATE(InceptionDate,13-1),0))</f>
        <v/>
      </c>
      <c r="Q25" s="17">
        <f>DAY(EOMONTH(EDATE(InceptionDate,14-1),0))</f>
        <v/>
      </c>
      <c r="R25" s="17">
        <f>DAY(EOMONTH(EDATE(InceptionDate,15-1),0))</f>
        <v/>
      </c>
      <c r="S25" s="17">
        <f>DAY(EOMONTH(EDATE(InceptionDate,16-1),0))</f>
        <v/>
      </c>
      <c r="T25" s="17">
        <f>DAY(EOMONTH(EDATE(InceptionDate,17-1),0))</f>
        <v/>
      </c>
      <c r="U25" s="17">
        <f>DAY(EOMONTH(EDATE(InceptionDate,18-1),0))</f>
        <v/>
      </c>
      <c r="V25" s="17">
        <f>DAY(EOMONTH(EDATE(InceptionDate,19-1),0))</f>
        <v/>
      </c>
      <c r="W25" s="17">
        <f>DAY(EOMONTH(EDATE(InceptionDate,20-1),0))</f>
        <v/>
      </c>
      <c r="X25" s="17">
        <f>DAY(EOMONTH(EDATE(InceptionDate,21-1),0))</f>
        <v/>
      </c>
      <c r="Y25" s="17">
        <f>DAY(EOMONTH(EDATE(InceptionDate,22-1),0))</f>
        <v/>
      </c>
      <c r="Z25" s="17">
        <f>DAY(EOMONTH(EDATE(InceptionDate,23-1),0))</f>
        <v/>
      </c>
      <c r="AA25" s="17">
        <f>DAY(EOMONTH(EDATE(InceptionDate,24-1),0))</f>
        <v/>
      </c>
      <c r="AB25" s="17">
        <f>DAY(EOMONTH(EDATE(InceptionDate,25-1),0))</f>
        <v/>
      </c>
      <c r="AC25" s="17">
        <f>DAY(EOMONTH(EDATE(InceptionDate,26-1),0))</f>
        <v/>
      </c>
      <c r="AD25" s="17">
        <f>DAY(EOMONTH(EDATE(InceptionDate,27-1),0))</f>
        <v/>
      </c>
      <c r="AE25" s="17">
        <f>DAY(EOMONTH(EDATE(InceptionDate,28-1),0))</f>
        <v/>
      </c>
      <c r="AF25" s="17">
        <f>DAY(EOMONTH(EDATE(InceptionDate,29-1),0))</f>
        <v/>
      </c>
      <c r="AG25" s="17">
        <f>DAY(EOMONTH(EDATE(InceptionDate,30-1),0))</f>
        <v/>
      </c>
      <c r="AH25" s="17">
        <f>DAY(EOMONTH(EDATE(InceptionDate,31-1),0))</f>
        <v/>
      </c>
      <c r="AI25" s="17">
        <f>DAY(EOMONTH(EDATE(InceptionDate,32-1),0))</f>
        <v/>
      </c>
      <c r="AJ25" s="17">
        <f>DAY(EOMONTH(EDATE(InceptionDate,33-1),0))</f>
        <v/>
      </c>
      <c r="AK25" s="17">
        <f>DAY(EOMONTH(EDATE(InceptionDate,34-1),0))</f>
        <v/>
      </c>
      <c r="AL25" s="17">
        <f>DAY(EOMONTH(EDATE(InceptionDate,35-1),0))</f>
        <v/>
      </c>
      <c r="AM25" s="17">
        <f>DAY(EOMONTH(EDATE(InceptionDate,36-1),0))</f>
        <v/>
      </c>
      <c r="AN25" s="17">
        <f>DAY(EOMONTH(EDATE(InceptionDate,37-1),0))</f>
        <v/>
      </c>
      <c r="AO25" s="17">
        <f>DAY(EOMONTH(EDATE(InceptionDate,38-1),0))</f>
        <v/>
      </c>
      <c r="AP25" s="17">
        <f>DAY(EOMONTH(EDATE(InceptionDate,39-1),0))</f>
        <v/>
      </c>
      <c r="AQ25" s="17">
        <f>DAY(EOMONTH(EDATE(InceptionDate,40-1),0))</f>
        <v/>
      </c>
      <c r="AR25" s="17">
        <f>DAY(EOMONTH(EDATE(InceptionDate,41-1),0))</f>
        <v/>
      </c>
      <c r="AS25" s="17">
        <f>DAY(EOMONTH(EDATE(InceptionDate,42-1),0))</f>
        <v/>
      </c>
      <c r="AT25" s="17">
        <f>DAY(EOMONTH(EDATE(InceptionDate,43-1),0))</f>
        <v/>
      </c>
      <c r="AU25" s="17">
        <f>DAY(EOMONTH(EDATE(InceptionDate,44-1),0))</f>
        <v/>
      </c>
      <c r="AV25" s="17">
        <f>DAY(EOMONTH(EDATE(InceptionDate,45-1),0))</f>
        <v/>
      </c>
      <c r="AW25" s="17">
        <f>DAY(EOMONTH(EDATE(InceptionDate,46-1),0))</f>
        <v/>
      </c>
      <c r="AX25" s="17">
        <f>DAY(EOMONTH(EDATE(InceptionDate,47-1),0))</f>
        <v/>
      </c>
      <c r="AY25" s="17">
        <f>DAY(EOMONTH(EDATE(InceptionDate,48-1),0))</f>
        <v/>
      </c>
      <c r="AZ25" s="17">
        <f>DAY(EOMONTH(EDATE(InceptionDate,49-1),0))</f>
        <v/>
      </c>
      <c r="BA25" s="17">
        <f>DAY(EOMONTH(EDATE(InceptionDate,50-1),0))</f>
        <v/>
      </c>
      <c r="BB25" s="17">
        <f>DAY(EOMONTH(EDATE(InceptionDate,51-1),0))</f>
        <v/>
      </c>
      <c r="BC25" s="17">
        <f>DAY(EOMONTH(EDATE(InceptionDate,52-1),0))</f>
        <v/>
      </c>
      <c r="BD25" s="17">
        <f>DAY(EOMONTH(EDATE(InceptionDate,53-1),0))</f>
        <v/>
      </c>
      <c r="BE25" s="17">
        <f>DAY(EOMONTH(EDATE(InceptionDate,54-1),0))</f>
        <v/>
      </c>
      <c r="BF25" s="17">
        <f>DAY(EOMONTH(EDATE(InceptionDate,55-1),0))</f>
        <v/>
      </c>
      <c r="BG25" s="17">
        <f>DAY(EOMONTH(EDATE(InceptionDate,56-1),0))</f>
        <v/>
      </c>
      <c r="BH25" s="17">
        <f>DAY(EOMONTH(EDATE(InceptionDate,57-1),0))</f>
        <v/>
      </c>
      <c r="BI25" s="17">
        <f>DAY(EOMONTH(EDATE(InceptionDate,58-1),0))</f>
        <v/>
      </c>
      <c r="BJ25" s="17">
        <f>DAY(EOMONTH(EDATE(InceptionDate,59-1),0))</f>
        <v/>
      </c>
      <c r="BK25" s="17">
        <f>DAY(EOMONTH(EDATE(InceptionDate,60-1),0))</f>
        <v/>
      </c>
      <c r="BL25" s="17">
        <f>DAY(EOMONTH(EDATE(InceptionDate,61-1),0))</f>
        <v/>
      </c>
      <c r="BM25" s="17">
        <f>DAY(EOMONTH(EDATE(InceptionDate,62-1),0))</f>
        <v/>
      </c>
      <c r="BN25" s="17">
        <f>DAY(EOMONTH(EDATE(InceptionDate,63-1),0))</f>
        <v/>
      </c>
      <c r="BO25" s="17">
        <f>DAY(EOMONTH(EDATE(InceptionDate,64-1),0))</f>
        <v/>
      </c>
      <c r="BP25" s="17">
        <f>DAY(EOMONTH(EDATE(InceptionDate,65-1),0))</f>
        <v/>
      </c>
      <c r="BQ25" s="17">
        <f>DAY(EOMONTH(EDATE(InceptionDate,66-1),0))</f>
        <v/>
      </c>
      <c r="BR25" s="17">
        <f>DAY(EOMONTH(EDATE(InceptionDate,67-1),0))</f>
        <v/>
      </c>
      <c r="BS25" s="17">
        <f>DAY(EOMONTH(EDATE(InceptionDate,68-1),0))</f>
        <v/>
      </c>
      <c r="BT25" s="17">
        <f>DAY(EOMONTH(EDATE(InceptionDate,69-1),0))</f>
        <v/>
      </c>
      <c r="BU25" s="17">
        <f>DAY(EOMONTH(EDATE(InceptionDate,70-1),0))</f>
        <v/>
      </c>
      <c r="BV25" s="17">
        <f>DAY(EOMONTH(EDATE(InceptionDate,71-1),0))</f>
        <v/>
      </c>
      <c r="BW25" s="17">
        <f>DAY(EOMONTH(EDATE(InceptionDate,72-1),0))</f>
        <v/>
      </c>
      <c r="BX25" s="17">
        <f>DAY(EOMONTH(EDATE(InceptionDate,73-1),0))</f>
        <v/>
      </c>
      <c r="BY25" s="17">
        <f>DAY(EOMONTH(EDATE(InceptionDate,74-1),0))</f>
        <v/>
      </c>
      <c r="BZ25" s="17">
        <f>DAY(EOMONTH(EDATE(InceptionDate,75-1),0))</f>
        <v/>
      </c>
      <c r="CA25" s="17">
        <f>DAY(EOMONTH(EDATE(InceptionDate,76-1),0))</f>
        <v/>
      </c>
      <c r="CB25" s="17">
        <f>DAY(EOMONTH(EDATE(InceptionDate,77-1),0))</f>
        <v/>
      </c>
      <c r="CC25" s="17">
        <f>DAY(EOMONTH(EDATE(InceptionDate,78-1),0))</f>
        <v/>
      </c>
      <c r="CD25" s="17">
        <f>DAY(EOMONTH(EDATE(InceptionDate,79-1),0))</f>
        <v/>
      </c>
      <c r="CE25" s="17">
        <f>DAY(EOMONTH(EDATE(InceptionDate,80-1),0))</f>
        <v/>
      </c>
      <c r="CF25" s="17">
        <f>DAY(EOMONTH(EDATE(InceptionDate,81-1),0))</f>
        <v/>
      </c>
      <c r="CG25" s="17">
        <f>DAY(EOMONTH(EDATE(InceptionDate,82-1),0))</f>
        <v/>
      </c>
      <c r="CH25" s="17">
        <f>DAY(EOMONTH(EDATE(InceptionDate,83-1),0))</f>
        <v/>
      </c>
      <c r="CI25" s="17">
        <f>DAY(EOMONTH(EDATE(InceptionDate,84-1),0))</f>
        <v/>
      </c>
      <c r="CJ25" s="17">
        <f>DAY(EOMONTH(EDATE(InceptionDate,85-1),0))</f>
        <v/>
      </c>
      <c r="CK25" s="17">
        <f>DAY(EOMONTH(EDATE(InceptionDate,86-1),0))</f>
        <v/>
      </c>
      <c r="CL25" s="17">
        <f>DAY(EOMONTH(EDATE(InceptionDate,87-1),0))</f>
        <v/>
      </c>
      <c r="CM25" s="17">
        <f>DAY(EOMONTH(EDATE(InceptionDate,88-1),0))</f>
        <v/>
      </c>
      <c r="CN25" s="17">
        <f>DAY(EOMONTH(EDATE(InceptionDate,89-1),0))</f>
        <v/>
      </c>
      <c r="CO25" s="17">
        <f>DAY(EOMONTH(EDATE(InceptionDate,90-1),0))</f>
        <v/>
      </c>
      <c r="CP25" s="17">
        <f>DAY(EOMONTH(EDATE(InceptionDate,91-1),0))</f>
        <v/>
      </c>
      <c r="CQ25" s="17">
        <f>DAY(EOMONTH(EDATE(InceptionDate,92-1),0))</f>
        <v/>
      </c>
      <c r="CR25" s="17">
        <f>DAY(EOMONTH(EDATE(InceptionDate,93-1),0))</f>
        <v/>
      </c>
      <c r="CS25" s="17">
        <f>DAY(EOMONTH(EDATE(InceptionDate,94-1),0))</f>
        <v/>
      </c>
      <c r="CT25" s="17">
        <f>DAY(EOMONTH(EDATE(InceptionDate,95-1),0))</f>
        <v/>
      </c>
      <c r="CU25" s="17">
        <f>DAY(EOMONTH(EDATE(InceptionDate,96-1),0))</f>
        <v/>
      </c>
      <c r="CV25" s="17">
        <f>DAY(EOMONTH(EDATE(InceptionDate,97-1),0))</f>
        <v/>
      </c>
      <c r="CW25" s="17">
        <f>DAY(EOMONTH(EDATE(InceptionDate,98-1),0))</f>
        <v/>
      </c>
      <c r="CX25" s="17">
        <f>DAY(EOMONTH(EDATE(InceptionDate,99-1),0))</f>
        <v/>
      </c>
      <c r="CY25" s="17">
        <f>DAY(EOMONTH(EDATE(InceptionDate,100-1),0))</f>
        <v/>
      </c>
      <c r="CZ25" s="17">
        <f>DAY(EOMONTH(EDATE(InceptionDate,101-1),0))</f>
        <v/>
      </c>
      <c r="DA25" s="17">
        <f>DAY(EOMONTH(EDATE(InceptionDate,102-1),0))</f>
        <v/>
      </c>
      <c r="DB25" s="17">
        <f>DAY(EOMONTH(EDATE(InceptionDate,103-1),0))</f>
        <v/>
      </c>
      <c r="DC25" s="17">
        <f>DAY(EOMONTH(EDATE(InceptionDate,104-1),0))</f>
        <v/>
      </c>
      <c r="DD25" s="17">
        <f>DAY(EOMONTH(EDATE(InceptionDate,105-1),0))</f>
        <v/>
      </c>
      <c r="DE25" s="17">
        <f>DAY(EOMONTH(EDATE(InceptionDate,106-1),0))</f>
        <v/>
      </c>
      <c r="DF25" s="17">
        <f>DAY(EOMONTH(EDATE(InceptionDate,107-1),0))</f>
        <v/>
      </c>
      <c r="DG25" s="17">
        <f>DAY(EOMONTH(EDATE(InceptionDate,108-1),0))</f>
        <v/>
      </c>
      <c r="DH25" s="17">
        <f>DAY(EOMONTH(EDATE(InceptionDate,109-1),0))</f>
        <v/>
      </c>
      <c r="DI25" s="17">
        <f>DAY(EOMONTH(EDATE(InceptionDate,110-1),0))</f>
        <v/>
      </c>
      <c r="DJ25" s="17">
        <f>DAY(EOMONTH(EDATE(InceptionDate,111-1),0))</f>
        <v/>
      </c>
      <c r="DK25" s="17">
        <f>DAY(EOMONTH(EDATE(InceptionDate,112-1),0))</f>
        <v/>
      </c>
      <c r="DL25" s="17">
        <f>DAY(EOMONTH(EDATE(InceptionDate,113-1),0))</f>
        <v/>
      </c>
      <c r="DM25" s="17">
        <f>DAY(EOMONTH(EDATE(InceptionDate,114-1),0))</f>
        <v/>
      </c>
      <c r="DN25" s="17">
        <f>DAY(EOMONTH(EDATE(InceptionDate,115-1),0))</f>
        <v/>
      </c>
      <c r="DO25" s="17">
        <f>DAY(EOMONTH(EDATE(InceptionDate,116-1),0))</f>
        <v/>
      </c>
      <c r="DP25" s="17">
        <f>DAY(EOMONTH(EDATE(InceptionDate,117-1),0))</f>
        <v/>
      </c>
      <c r="DQ25" s="17">
        <f>DAY(EOMONTH(EDATE(InceptionDate,118-1),0))</f>
        <v/>
      </c>
      <c r="DR25" s="17">
        <f>DAY(EOMONTH(EDATE(InceptionDate,119-1),0))</f>
        <v/>
      </c>
      <c r="DS25" s="17">
        <f>DAY(EOMONTH(EDATE(InceptionDate,120-1),0))</f>
        <v/>
      </c>
      <c r="DT25" s="17">
        <f>DAY(EOMONTH(EDATE(InceptionDate,121-1),0))</f>
        <v/>
      </c>
      <c r="DU25" s="17">
        <f>DAY(EOMONTH(EDATE(InceptionDate,122-1),0))</f>
        <v/>
      </c>
      <c r="DV25" s="17">
        <f>DAY(EOMONTH(EDATE(InceptionDate,123-1),0))</f>
        <v/>
      </c>
      <c r="DW25" s="17">
        <f>DAY(EOMONTH(EDATE(InceptionDate,124-1),0))</f>
        <v/>
      </c>
      <c r="DX25" s="17">
        <f>DAY(EOMONTH(EDATE(InceptionDate,125-1),0))</f>
        <v/>
      </c>
      <c r="DY25" s="17">
        <f>DAY(EOMONTH(EDATE(InceptionDate,126-1),0))</f>
        <v/>
      </c>
      <c r="DZ25" s="17">
        <f>DAY(EOMONTH(EDATE(InceptionDate,127-1),0))</f>
        <v/>
      </c>
      <c r="EA25" s="17">
        <f>DAY(EOMONTH(EDATE(InceptionDate,128-1),0))</f>
        <v/>
      </c>
      <c r="EB25" s="17">
        <f>DAY(EOMONTH(EDATE(InceptionDate,129-1),0))</f>
        <v/>
      </c>
      <c r="EC25" s="17">
        <f>DAY(EOMONTH(EDATE(InceptionDate,130-1),0))</f>
        <v/>
      </c>
      <c r="ED25" s="17">
        <f>DAY(EOMONTH(EDATE(InceptionDate,131-1),0))</f>
        <v/>
      </c>
      <c r="EE25" s="17">
        <f>DAY(EOMONTH(EDATE(InceptionDate,132-1),0))</f>
        <v/>
      </c>
      <c r="EF25" s="17">
        <f>DAY(EOMONTH(EDATE(InceptionDate,133-1),0))</f>
        <v/>
      </c>
      <c r="EG25" s="17">
        <f>DAY(EOMONTH(EDATE(InceptionDate,134-1),0))</f>
        <v/>
      </c>
      <c r="EH25" s="17">
        <f>DAY(EOMONTH(EDATE(InceptionDate,135-1),0))</f>
        <v/>
      </c>
      <c r="EI25" s="17">
        <f>DAY(EOMONTH(EDATE(InceptionDate,136-1),0))</f>
        <v/>
      </c>
      <c r="EJ25" s="17">
        <f>DAY(EOMONTH(EDATE(InceptionDate,137-1),0))</f>
        <v/>
      </c>
      <c r="EK25" s="17">
        <f>DAY(EOMONTH(EDATE(InceptionDate,138-1),0))</f>
        <v/>
      </c>
      <c r="EL25" s="17">
        <f>DAY(EOMONTH(EDATE(InceptionDate,139-1),0))</f>
        <v/>
      </c>
      <c r="EM25" s="17">
        <f>DAY(EOMONTH(EDATE(InceptionDate,140-1),0))</f>
        <v/>
      </c>
      <c r="EN25" s="17">
        <f>DAY(EOMONTH(EDATE(InceptionDate,141-1),0))</f>
        <v/>
      </c>
      <c r="EO25" s="17">
        <f>DAY(EOMONTH(EDATE(InceptionDate,142-1),0))</f>
        <v/>
      </c>
      <c r="EP25" s="17">
        <f>DAY(EOMONTH(EDATE(InceptionDate,143-1),0))</f>
        <v/>
      </c>
      <c r="EQ25" s="17">
        <f>DAY(EOMONTH(EDATE(InceptionDate,144-1),0))</f>
        <v/>
      </c>
      <c r="ER25" s="17">
        <f>DAY(EOMONTH(EDATE(InceptionDate,145-1),0))</f>
        <v/>
      </c>
      <c r="ES25" s="17">
        <f>DAY(EOMONTH(EDATE(InceptionDate,146-1),0))</f>
        <v/>
      </c>
      <c r="ET25" s="17">
        <f>DAY(EOMONTH(EDATE(InceptionDate,147-1),0))</f>
        <v/>
      </c>
      <c r="EU25" s="17">
        <f>DAY(EOMONTH(EDATE(InceptionDate,148-1),0))</f>
        <v/>
      </c>
      <c r="EV25" s="17">
        <f>DAY(EOMONTH(EDATE(InceptionDate,149-1),0))</f>
        <v/>
      </c>
      <c r="EW25" s="17">
        <f>DAY(EOMONTH(EDATE(InceptionDate,150-1),0))</f>
        <v/>
      </c>
      <c r="EX25" s="17">
        <f>DAY(EOMONTH(EDATE(InceptionDate,151-1),0))</f>
        <v/>
      </c>
      <c r="EY25" s="17">
        <f>DAY(EOMONTH(EDATE(InceptionDate,152-1),0))</f>
        <v/>
      </c>
      <c r="EZ25" s="17">
        <f>DAY(EOMONTH(EDATE(InceptionDate,153-1),0))</f>
        <v/>
      </c>
      <c r="FA25" s="17">
        <f>DAY(EOMONTH(EDATE(InceptionDate,154-1),0))</f>
        <v/>
      </c>
      <c r="FB25" s="17">
        <f>DAY(EOMONTH(EDATE(InceptionDate,155-1),0))</f>
        <v/>
      </c>
      <c r="FC25" s="17">
        <f>DAY(EOMONTH(EDATE(InceptionDate,156-1),0))</f>
        <v/>
      </c>
      <c r="FD25" s="17">
        <f>DAY(EOMONTH(EDATE(InceptionDate,157-1),0))</f>
        <v/>
      </c>
      <c r="FE25" s="17">
        <f>DAY(EOMONTH(EDATE(InceptionDate,158-1),0))</f>
        <v/>
      </c>
      <c r="FF25" s="17">
        <f>DAY(EOMONTH(EDATE(InceptionDate,159-1),0))</f>
        <v/>
      </c>
      <c r="FG25" s="17">
        <f>DAY(EOMONTH(EDATE(InceptionDate,160-1),0))</f>
        <v/>
      </c>
      <c r="FH25" s="17">
        <f>DAY(EOMONTH(EDATE(InceptionDate,161-1),0))</f>
        <v/>
      </c>
      <c r="FI25" s="17">
        <f>DAY(EOMONTH(EDATE(InceptionDate,162-1),0))</f>
        <v/>
      </c>
      <c r="FJ25" s="17">
        <f>DAY(EOMONTH(EDATE(InceptionDate,163-1),0))</f>
        <v/>
      </c>
      <c r="FK25" s="17">
        <f>DAY(EOMONTH(EDATE(InceptionDate,164-1),0))</f>
        <v/>
      </c>
      <c r="FL25" s="17">
        <f>DAY(EOMONTH(EDATE(InceptionDate,165-1),0))</f>
        <v/>
      </c>
      <c r="FM25" s="17">
        <f>DAY(EOMONTH(EDATE(InceptionDate,166-1),0))</f>
        <v/>
      </c>
      <c r="FN25" s="17">
        <f>DAY(EOMONTH(EDATE(InceptionDate,167-1),0))</f>
        <v/>
      </c>
      <c r="FO25" s="17">
        <f>DAY(EOMONTH(EDATE(InceptionDate,168-1),0))</f>
        <v/>
      </c>
      <c r="FP25" s="17">
        <f>DAY(EOMONTH(EDATE(InceptionDate,169-1),0))</f>
        <v/>
      </c>
      <c r="FQ25" s="17">
        <f>DAY(EOMONTH(EDATE(InceptionDate,170-1),0))</f>
        <v/>
      </c>
      <c r="FR25" s="17">
        <f>DAY(EOMONTH(EDATE(InceptionDate,171-1),0))</f>
        <v/>
      </c>
      <c r="FS25" s="17">
        <f>DAY(EOMONTH(EDATE(InceptionDate,172-1),0))</f>
        <v/>
      </c>
      <c r="FT25" s="17">
        <f>DAY(EOMONTH(EDATE(InceptionDate,173-1),0))</f>
        <v/>
      </c>
      <c r="FU25" s="17">
        <f>DAY(EOMONTH(EDATE(InceptionDate,174-1),0))</f>
        <v/>
      </c>
      <c r="FV25" s="17">
        <f>DAY(EOMONTH(EDATE(InceptionDate,175-1),0))</f>
        <v/>
      </c>
      <c r="FW25" s="17">
        <f>DAY(EOMONTH(EDATE(InceptionDate,176-1),0))</f>
        <v/>
      </c>
      <c r="FX25" s="17">
        <f>DAY(EOMONTH(EDATE(InceptionDate,177-1),0))</f>
        <v/>
      </c>
      <c r="FY25" s="17">
        <f>DAY(EOMONTH(EDATE(InceptionDate,178-1),0))</f>
        <v/>
      </c>
      <c r="FZ25" s="17">
        <f>DAY(EOMONTH(EDATE(InceptionDate,179-1),0))</f>
        <v/>
      </c>
      <c r="GA25" s="17">
        <f>DAY(EOMONTH(EDATE(InceptionDate,180-1),0))</f>
        <v/>
      </c>
      <c r="GB25" s="17">
        <f>DAY(EOMONTH(EDATE(InceptionDate,181-1),0))</f>
        <v/>
      </c>
      <c r="GC25" s="17">
        <f>DAY(EOMONTH(EDATE(InceptionDate,182-1),0))</f>
        <v/>
      </c>
      <c r="GD25" s="17">
        <f>DAY(EOMONTH(EDATE(InceptionDate,183-1),0))</f>
        <v/>
      </c>
      <c r="GE25" s="17">
        <f>DAY(EOMONTH(EDATE(InceptionDate,184-1),0))</f>
        <v/>
      </c>
      <c r="GF25" s="17">
        <f>DAY(EOMONTH(EDATE(InceptionDate,185-1),0))</f>
        <v/>
      </c>
      <c r="GG25" s="17">
        <f>DAY(EOMONTH(EDATE(InceptionDate,186-1),0))</f>
        <v/>
      </c>
      <c r="GH25" s="17">
        <f>DAY(EOMONTH(EDATE(InceptionDate,187-1),0))</f>
        <v/>
      </c>
      <c r="GI25" s="17">
        <f>DAY(EOMONTH(EDATE(InceptionDate,188-1),0))</f>
        <v/>
      </c>
      <c r="GJ25" s="17">
        <f>DAY(EOMONTH(EDATE(InceptionDate,189-1),0))</f>
        <v/>
      </c>
      <c r="GK25" s="17">
        <f>DAY(EOMONTH(EDATE(InceptionDate,190-1),0))</f>
        <v/>
      </c>
      <c r="GL25" s="17">
        <f>DAY(EOMONTH(EDATE(InceptionDate,191-1),0))</f>
        <v/>
      </c>
      <c r="GM25" s="17">
        <f>DAY(EOMONTH(EDATE(InceptionDate,192-1),0))</f>
        <v/>
      </c>
      <c r="GN25" s="17">
        <f>DAY(EOMONTH(EDATE(InceptionDate,193-1),0))</f>
        <v/>
      </c>
      <c r="GO25" s="17">
        <f>DAY(EOMONTH(EDATE(InceptionDate,194-1),0))</f>
        <v/>
      </c>
      <c r="GP25" s="17">
        <f>DAY(EOMONTH(EDATE(InceptionDate,195-1),0))</f>
        <v/>
      </c>
      <c r="GQ25" s="17">
        <f>DAY(EOMONTH(EDATE(InceptionDate,196-1),0))</f>
        <v/>
      </c>
      <c r="GR25" s="17">
        <f>DAY(EOMONTH(EDATE(InceptionDate,197-1),0))</f>
        <v/>
      </c>
      <c r="GS25" s="17">
        <f>DAY(EOMONTH(EDATE(InceptionDate,198-1),0))</f>
        <v/>
      </c>
      <c r="GT25" s="17">
        <f>DAY(EOMONTH(EDATE(InceptionDate,199-1),0))</f>
        <v/>
      </c>
      <c r="GU25" s="17">
        <f>DAY(EOMONTH(EDATE(InceptionDate,200-1),0))</f>
        <v/>
      </c>
      <c r="GV25" s="17">
        <f>DAY(EOMONTH(EDATE(InceptionDate,201-1),0))</f>
        <v/>
      </c>
      <c r="GW25" s="17">
        <f>DAY(EOMONTH(EDATE(InceptionDate,202-1),0))</f>
        <v/>
      </c>
      <c r="GX25" s="17">
        <f>DAY(EOMONTH(EDATE(InceptionDate,203-1),0))</f>
        <v/>
      </c>
      <c r="GY25" s="17">
        <f>DAY(EOMONTH(EDATE(InceptionDate,204-1),0))</f>
        <v/>
      </c>
      <c r="GZ25" s="17">
        <f>DAY(EOMONTH(EDATE(InceptionDate,205-1),0))</f>
        <v/>
      </c>
      <c r="HA25" s="17">
        <f>DAY(EOMONTH(EDATE(InceptionDate,206-1),0))</f>
        <v/>
      </c>
      <c r="HB25" s="17">
        <f>DAY(EOMONTH(EDATE(InceptionDate,207-1),0))</f>
        <v/>
      </c>
      <c r="HC25" s="17">
        <f>DAY(EOMONTH(EDATE(InceptionDate,208-1),0))</f>
        <v/>
      </c>
      <c r="HD25" s="17">
        <f>DAY(EOMONTH(EDATE(InceptionDate,209-1),0))</f>
        <v/>
      </c>
      <c r="HE25" s="17">
        <f>DAY(EOMONTH(EDATE(InceptionDate,210-1),0))</f>
        <v/>
      </c>
      <c r="HF25" s="17">
        <f>DAY(EOMONTH(EDATE(InceptionDate,211-1),0))</f>
        <v/>
      </c>
      <c r="HG25" s="17">
        <f>DAY(EOMONTH(EDATE(InceptionDate,212-1),0))</f>
        <v/>
      </c>
      <c r="HH25" s="17">
        <f>DAY(EOMONTH(EDATE(InceptionDate,213-1),0))</f>
        <v/>
      </c>
      <c r="HI25" s="17">
        <f>DAY(EOMONTH(EDATE(InceptionDate,214-1),0))</f>
        <v/>
      </c>
      <c r="HJ25" s="17">
        <f>DAY(EOMONTH(EDATE(InceptionDate,215-1),0))</f>
        <v/>
      </c>
      <c r="HK25" s="17">
        <f>DAY(EOMONTH(EDATE(InceptionDate,216-1),0))</f>
        <v/>
      </c>
      <c r="HL25" s="17">
        <f>DAY(EOMONTH(EDATE(InceptionDate,217-1),0))</f>
        <v/>
      </c>
      <c r="HM25" s="17">
        <f>DAY(EOMONTH(EDATE(InceptionDate,218-1),0))</f>
        <v/>
      </c>
      <c r="HN25" s="17">
        <f>DAY(EOMONTH(EDATE(InceptionDate,219-1),0))</f>
        <v/>
      </c>
      <c r="HO25" s="17">
        <f>DAY(EOMONTH(EDATE(InceptionDate,220-1),0))</f>
        <v/>
      </c>
      <c r="HP25" s="17">
        <f>DAY(EOMONTH(EDATE(InceptionDate,221-1),0))</f>
        <v/>
      </c>
      <c r="HQ25" s="17">
        <f>DAY(EOMONTH(EDATE(InceptionDate,222-1),0))</f>
        <v/>
      </c>
      <c r="HR25" s="17">
        <f>DAY(EOMONTH(EDATE(InceptionDate,223-1),0))</f>
        <v/>
      </c>
      <c r="HS25" s="17">
        <f>DAY(EOMONTH(EDATE(InceptionDate,224-1),0))</f>
        <v/>
      </c>
      <c r="HT25" s="17">
        <f>DAY(EOMONTH(EDATE(InceptionDate,225-1),0))</f>
        <v/>
      </c>
      <c r="HU25" s="17">
        <f>DAY(EOMONTH(EDATE(InceptionDate,226-1),0))</f>
        <v/>
      </c>
      <c r="HV25" s="17">
        <f>DAY(EOMONTH(EDATE(InceptionDate,227-1),0))</f>
        <v/>
      </c>
      <c r="HW25" s="17">
        <f>DAY(EOMONTH(EDATE(InceptionDate,228-1),0))</f>
        <v/>
      </c>
      <c r="HX25" s="17">
        <f>DAY(EOMONTH(EDATE(InceptionDate,229-1),0))</f>
        <v/>
      </c>
      <c r="HY25" s="17">
        <f>DAY(EOMONTH(EDATE(InceptionDate,230-1),0))</f>
        <v/>
      </c>
      <c r="HZ25" s="17">
        <f>DAY(EOMONTH(EDATE(InceptionDate,231-1),0))</f>
        <v/>
      </c>
      <c r="IA25" s="17">
        <f>DAY(EOMONTH(EDATE(InceptionDate,232-1),0))</f>
        <v/>
      </c>
      <c r="IB25" s="17">
        <f>DAY(EOMONTH(EDATE(InceptionDate,233-1),0))</f>
        <v/>
      </c>
      <c r="IC25" s="17">
        <f>DAY(EOMONTH(EDATE(InceptionDate,234-1),0))</f>
        <v/>
      </c>
      <c r="ID25" s="17">
        <f>DAY(EOMONTH(EDATE(InceptionDate,235-1),0))</f>
        <v/>
      </c>
      <c r="IE25" s="17">
        <f>DAY(EOMONTH(EDATE(InceptionDate,236-1),0))</f>
        <v/>
      </c>
      <c r="IF25" s="17">
        <f>DAY(EOMONTH(EDATE(InceptionDate,237-1),0))</f>
        <v/>
      </c>
      <c r="IG25" s="17">
        <f>DAY(EOMONTH(EDATE(InceptionDate,238-1),0))</f>
        <v/>
      </c>
      <c r="IH25" s="17">
        <f>DAY(EOMONTH(EDATE(InceptionDate,239-1),0))</f>
        <v/>
      </c>
      <c r="II25" s="17">
        <f>DAY(EOMONTH(EDATE(InceptionDate,240-1),0))</f>
        <v/>
      </c>
      <c r="IJ25" s="17">
        <f>DAY(EOMONTH(EDATE(InceptionDate,241-1),0))</f>
        <v/>
      </c>
      <c r="IK25" s="17">
        <f>DAY(EOMONTH(EDATE(InceptionDate,242-1),0))</f>
        <v/>
      </c>
      <c r="IL25" s="17">
        <f>DAY(EOMONTH(EDATE(InceptionDate,243-1),0))</f>
        <v/>
      </c>
      <c r="IM25" s="17">
        <f>DAY(EOMONTH(EDATE(InceptionDate,244-1),0))</f>
        <v/>
      </c>
      <c r="IN25" s="17">
        <f>DAY(EOMONTH(EDATE(InceptionDate,245-1),0))</f>
        <v/>
      </c>
      <c r="IO25" s="17">
        <f>DAY(EOMONTH(EDATE(InceptionDate,246-1),0))</f>
        <v/>
      </c>
      <c r="IP25" s="17">
        <f>DAY(EOMONTH(EDATE(InceptionDate,247-1),0))</f>
        <v/>
      </c>
      <c r="IQ25" s="17">
        <f>DAY(EOMONTH(EDATE(InceptionDate,248-1),0))</f>
        <v/>
      </c>
      <c r="IR25" s="17">
        <f>DAY(EOMONTH(EDATE(InceptionDate,249-1),0))</f>
        <v/>
      </c>
      <c r="IS25" s="17">
        <f>DAY(EOMONTH(EDATE(InceptionDate,250-1),0))</f>
        <v/>
      </c>
      <c r="IT25" s="17">
        <f>DAY(EOMONTH(EDATE(InceptionDate,251-1),0))</f>
        <v/>
      </c>
      <c r="IU25" s="17">
        <f>DAY(EOMONTH(EDATE(InceptionDate,252-1),0))</f>
        <v/>
      </c>
      <c r="IV25" s="17">
        <f>DAY(EOMONTH(EDATE(InceptionDate,253-1),0))</f>
        <v/>
      </c>
      <c r="IW25" s="17">
        <f>DAY(EOMONTH(EDATE(InceptionDate,254-1),0))</f>
        <v/>
      </c>
      <c r="IX25" s="17">
        <f>DAY(EOMONTH(EDATE(InceptionDate,255-1),0))</f>
        <v/>
      </c>
      <c r="IY25" s="17">
        <f>DAY(EOMONTH(EDATE(InceptionDate,256-1),0))</f>
        <v/>
      </c>
      <c r="IZ25" s="17">
        <f>DAY(EOMONTH(EDATE(InceptionDate,257-1),0))</f>
        <v/>
      </c>
      <c r="JA25" s="17">
        <f>DAY(EOMONTH(EDATE(InceptionDate,258-1),0))</f>
        <v/>
      </c>
      <c r="JB25" s="17">
        <f>DAY(EOMONTH(EDATE(InceptionDate,259-1),0))</f>
        <v/>
      </c>
      <c r="JC25" s="17">
        <f>DAY(EOMONTH(EDATE(InceptionDate,260-1),0))</f>
        <v/>
      </c>
      <c r="JD25" s="17">
        <f>DAY(EOMONTH(EDATE(InceptionDate,261-1),0))</f>
        <v/>
      </c>
      <c r="JE25" s="17">
        <f>DAY(EOMONTH(EDATE(InceptionDate,262-1),0))</f>
        <v/>
      </c>
      <c r="JF25" s="17">
        <f>DAY(EOMONTH(EDATE(InceptionDate,263-1),0))</f>
        <v/>
      </c>
      <c r="JG25" s="17">
        <f>DAY(EOMONTH(EDATE(InceptionDate,264-1),0))</f>
        <v/>
      </c>
      <c r="JH25" s="17">
        <f>DAY(EOMONTH(EDATE(InceptionDate,265-1),0))</f>
        <v/>
      </c>
      <c r="JI25" s="17">
        <f>DAY(EOMONTH(EDATE(InceptionDate,266-1),0))</f>
        <v/>
      </c>
      <c r="JJ25" s="17">
        <f>DAY(EOMONTH(EDATE(InceptionDate,267-1),0))</f>
        <v/>
      </c>
      <c r="JK25" s="17">
        <f>DAY(EOMONTH(EDATE(InceptionDate,268-1),0))</f>
        <v/>
      </c>
      <c r="JL25" s="17">
        <f>DAY(EOMONTH(EDATE(InceptionDate,269-1),0))</f>
        <v/>
      </c>
      <c r="JM25" s="17">
        <f>DAY(EOMONTH(EDATE(InceptionDate,270-1),0))</f>
        <v/>
      </c>
      <c r="JN25" s="17">
        <f>DAY(EOMONTH(EDATE(InceptionDate,271-1),0))</f>
        <v/>
      </c>
      <c r="JO25" s="17">
        <f>DAY(EOMONTH(EDATE(InceptionDate,272-1),0))</f>
        <v/>
      </c>
      <c r="JP25" s="17">
        <f>DAY(EOMONTH(EDATE(InceptionDate,273-1),0))</f>
        <v/>
      </c>
      <c r="JQ25" s="17">
        <f>DAY(EOMONTH(EDATE(InceptionDate,274-1),0))</f>
        <v/>
      </c>
      <c r="JR25" s="17">
        <f>DAY(EOMONTH(EDATE(InceptionDate,275-1),0))</f>
        <v/>
      </c>
      <c r="JS25" s="17">
        <f>DAY(EOMONTH(EDATE(InceptionDate,276-1),0))</f>
        <v/>
      </c>
      <c r="JT25" s="17">
        <f>DAY(EOMONTH(EDATE(InceptionDate,277-1),0))</f>
        <v/>
      </c>
      <c r="JU25" s="17">
        <f>DAY(EOMONTH(EDATE(InceptionDate,278-1),0))</f>
        <v/>
      </c>
      <c r="JV25" s="17">
        <f>DAY(EOMONTH(EDATE(InceptionDate,279-1),0))</f>
        <v/>
      </c>
      <c r="JW25" s="17">
        <f>DAY(EOMONTH(EDATE(InceptionDate,280-1),0))</f>
        <v/>
      </c>
      <c r="JX25" s="17">
        <f>DAY(EOMONTH(EDATE(InceptionDate,281-1),0))</f>
        <v/>
      </c>
      <c r="JY25" s="17">
        <f>DAY(EOMONTH(EDATE(InceptionDate,282-1),0))</f>
        <v/>
      </c>
      <c r="JZ25" s="17">
        <f>DAY(EOMONTH(EDATE(InceptionDate,283-1),0))</f>
        <v/>
      </c>
      <c r="KA25" s="17">
        <f>DAY(EOMONTH(EDATE(InceptionDate,284-1),0))</f>
        <v/>
      </c>
      <c r="KB25" s="17">
        <f>DAY(EOMONTH(EDATE(InceptionDate,285-1),0))</f>
        <v/>
      </c>
      <c r="KC25" s="17">
        <f>DAY(EOMONTH(EDATE(InceptionDate,286-1),0))</f>
        <v/>
      </c>
      <c r="KD25" s="17">
        <f>DAY(EOMONTH(EDATE(InceptionDate,287-1),0))</f>
        <v/>
      </c>
      <c r="KE25" s="17">
        <f>DAY(EOMONTH(EDATE(InceptionDate,288-1),0))</f>
        <v/>
      </c>
      <c r="KF25" s="17">
        <f>DAY(EOMONTH(EDATE(InceptionDate,289-1),0))</f>
        <v/>
      </c>
      <c r="KG25" s="17">
        <f>DAY(EOMONTH(EDATE(InceptionDate,290-1),0))</f>
        <v/>
      </c>
      <c r="KH25" s="17">
        <f>DAY(EOMONTH(EDATE(InceptionDate,291-1),0))</f>
        <v/>
      </c>
      <c r="KI25" s="17">
        <f>DAY(EOMONTH(EDATE(InceptionDate,292-1),0))</f>
        <v/>
      </c>
      <c r="KJ25" s="17">
        <f>DAY(EOMONTH(EDATE(InceptionDate,293-1),0))</f>
        <v/>
      </c>
      <c r="KK25" s="17">
        <f>DAY(EOMONTH(EDATE(InceptionDate,294-1),0))</f>
        <v/>
      </c>
      <c r="KL25" s="17">
        <f>DAY(EOMONTH(EDATE(InceptionDate,295-1),0))</f>
        <v/>
      </c>
      <c r="KM25" s="17">
        <f>DAY(EOMONTH(EDATE(InceptionDate,296-1),0))</f>
        <v/>
      </c>
      <c r="KN25" s="17">
        <f>DAY(EOMONTH(EDATE(InceptionDate,297-1),0))</f>
        <v/>
      </c>
      <c r="KO25" s="17">
        <f>DAY(EOMONTH(EDATE(InceptionDate,298-1),0))</f>
        <v/>
      </c>
      <c r="KP25" s="17">
        <f>DAY(EOMONTH(EDATE(InceptionDate,299-1),0))</f>
        <v/>
      </c>
      <c r="KQ25" s="17">
        <f>DAY(EOMONTH(EDATE(InceptionDate,300-1),0))</f>
        <v/>
      </c>
      <c r="KR25" s="17">
        <f>DAY(EOMONTH(EDATE(InceptionDate,301-1),0))</f>
        <v/>
      </c>
      <c r="KS25" s="17">
        <f>DAY(EOMONTH(EDATE(InceptionDate,302-1),0))</f>
        <v/>
      </c>
      <c r="KT25" s="17">
        <f>DAY(EOMONTH(EDATE(InceptionDate,303-1),0))</f>
        <v/>
      </c>
      <c r="KU25" s="17">
        <f>DAY(EOMONTH(EDATE(InceptionDate,304-1),0))</f>
        <v/>
      </c>
      <c r="KV25" s="17">
        <f>DAY(EOMONTH(EDATE(InceptionDate,305-1),0))</f>
        <v/>
      </c>
      <c r="KW25" s="17">
        <f>DAY(EOMONTH(EDATE(InceptionDate,306-1),0))</f>
        <v/>
      </c>
      <c r="KX25" s="17">
        <f>DAY(EOMONTH(EDATE(InceptionDate,307-1),0))</f>
        <v/>
      </c>
      <c r="KY25" s="17">
        <f>DAY(EOMONTH(EDATE(InceptionDate,308-1),0))</f>
        <v/>
      </c>
      <c r="KZ25" s="17">
        <f>DAY(EOMONTH(EDATE(InceptionDate,309-1),0))</f>
        <v/>
      </c>
      <c r="LA25" s="17">
        <f>DAY(EOMONTH(EDATE(InceptionDate,310-1),0))</f>
        <v/>
      </c>
      <c r="LB25" s="17">
        <f>DAY(EOMONTH(EDATE(InceptionDate,311-1),0))</f>
        <v/>
      </c>
      <c r="LC25" s="17">
        <f>DAY(EOMONTH(EDATE(InceptionDate,312-1),0))</f>
        <v/>
      </c>
      <c r="LD25" s="17">
        <f>DAY(EOMONTH(EDATE(InceptionDate,313-1),0))</f>
        <v/>
      </c>
      <c r="LE25" s="17">
        <f>DAY(EOMONTH(EDATE(InceptionDate,314-1),0))</f>
        <v/>
      </c>
      <c r="LF25" s="17">
        <f>DAY(EOMONTH(EDATE(InceptionDate,315-1),0))</f>
        <v/>
      </c>
      <c r="LG25" s="17">
        <f>DAY(EOMONTH(EDATE(InceptionDate,316-1),0))</f>
        <v/>
      </c>
      <c r="LH25" s="17">
        <f>DAY(EOMONTH(EDATE(InceptionDate,317-1),0))</f>
        <v/>
      </c>
      <c r="LI25" s="17">
        <f>DAY(EOMONTH(EDATE(InceptionDate,318-1),0))</f>
        <v/>
      </c>
      <c r="LJ25" s="17">
        <f>DAY(EOMONTH(EDATE(InceptionDate,319-1),0))</f>
        <v/>
      </c>
      <c r="LK25" s="17">
        <f>DAY(EOMONTH(EDATE(InceptionDate,320-1),0))</f>
        <v/>
      </c>
      <c r="LL25" s="17">
        <f>DAY(EOMONTH(EDATE(InceptionDate,321-1),0))</f>
        <v/>
      </c>
      <c r="LM25" s="17">
        <f>DAY(EOMONTH(EDATE(InceptionDate,322-1),0))</f>
        <v/>
      </c>
      <c r="LN25" s="17">
        <f>DAY(EOMONTH(EDATE(InceptionDate,323-1),0))</f>
        <v/>
      </c>
      <c r="LO25" s="17">
        <f>DAY(EOMONTH(EDATE(InceptionDate,324-1),0))</f>
        <v/>
      </c>
      <c r="LP25" s="17">
        <f>DAY(EOMONTH(EDATE(InceptionDate,325-1),0))</f>
        <v/>
      </c>
      <c r="LQ25" s="17">
        <f>DAY(EOMONTH(EDATE(InceptionDate,326-1),0))</f>
        <v/>
      </c>
      <c r="LR25" s="17">
        <f>DAY(EOMONTH(EDATE(InceptionDate,327-1),0))</f>
        <v/>
      </c>
      <c r="LS25" s="17">
        <f>DAY(EOMONTH(EDATE(InceptionDate,328-1),0))</f>
        <v/>
      </c>
      <c r="LT25" s="17">
        <f>DAY(EOMONTH(EDATE(InceptionDate,329-1),0))</f>
        <v/>
      </c>
      <c r="LU25" s="17">
        <f>DAY(EOMONTH(EDATE(InceptionDate,330-1),0))</f>
        <v/>
      </c>
      <c r="LV25" s="17">
        <f>DAY(EOMONTH(EDATE(InceptionDate,331-1),0))</f>
        <v/>
      </c>
      <c r="LW25" s="17">
        <f>DAY(EOMONTH(EDATE(InceptionDate,332-1),0))</f>
        <v/>
      </c>
      <c r="LX25" s="17">
        <f>DAY(EOMONTH(EDATE(InceptionDate,333-1),0))</f>
        <v/>
      </c>
      <c r="LY25" s="17">
        <f>DAY(EOMONTH(EDATE(InceptionDate,334-1),0))</f>
        <v/>
      </c>
      <c r="LZ25" s="17">
        <f>DAY(EOMONTH(EDATE(InceptionDate,335-1),0))</f>
        <v/>
      </c>
      <c r="MA25" s="17">
        <f>DAY(EOMONTH(EDATE(InceptionDate,336-1),0))</f>
        <v/>
      </c>
      <c r="MB25" s="17">
        <f>DAY(EOMONTH(EDATE(InceptionDate,337-1),0))</f>
        <v/>
      </c>
      <c r="MC25" s="17">
        <f>DAY(EOMONTH(EDATE(InceptionDate,338-1),0))</f>
        <v/>
      </c>
      <c r="MD25" s="17">
        <f>DAY(EOMONTH(EDATE(InceptionDate,339-1),0))</f>
        <v/>
      </c>
      <c r="ME25" s="17">
        <f>DAY(EOMONTH(EDATE(InceptionDate,340-1),0))</f>
        <v/>
      </c>
      <c r="MF25" s="17">
        <f>DAY(EOMONTH(EDATE(InceptionDate,341-1),0))</f>
        <v/>
      </c>
      <c r="MG25" s="17">
        <f>DAY(EOMONTH(EDATE(InceptionDate,342-1),0))</f>
        <v/>
      </c>
      <c r="MH25" s="17">
        <f>DAY(EOMONTH(EDATE(InceptionDate,343-1),0))</f>
        <v/>
      </c>
      <c r="MI25" s="17">
        <f>DAY(EOMONTH(EDATE(InceptionDate,344-1),0))</f>
        <v/>
      </c>
      <c r="MJ25" s="17">
        <f>DAY(EOMONTH(EDATE(InceptionDate,345-1),0))</f>
        <v/>
      </c>
      <c r="MK25" s="17">
        <f>DAY(EOMONTH(EDATE(InceptionDate,346-1),0))</f>
        <v/>
      </c>
      <c r="ML25" s="17">
        <f>DAY(EOMONTH(EDATE(InceptionDate,347-1),0))</f>
        <v/>
      </c>
      <c r="MM25" s="17">
        <f>DAY(EOMONTH(EDATE(InceptionDate,348-1),0))</f>
        <v/>
      </c>
      <c r="MN25" s="17">
        <f>DAY(EOMONTH(EDATE(InceptionDate,349-1),0))</f>
        <v/>
      </c>
      <c r="MO25" s="17">
        <f>DAY(EOMONTH(EDATE(InceptionDate,350-1),0))</f>
        <v/>
      </c>
      <c r="MP25" s="17">
        <f>DAY(EOMONTH(EDATE(InceptionDate,351-1),0))</f>
        <v/>
      </c>
      <c r="MQ25" s="17">
        <f>DAY(EOMONTH(EDATE(InceptionDate,352-1),0))</f>
        <v/>
      </c>
      <c r="MR25" s="17">
        <f>DAY(EOMONTH(EDATE(InceptionDate,353-1),0))</f>
        <v/>
      </c>
      <c r="MS25" s="17">
        <f>DAY(EOMONTH(EDATE(InceptionDate,354-1),0))</f>
        <v/>
      </c>
      <c r="MT25" s="17">
        <f>DAY(EOMONTH(EDATE(InceptionDate,355-1),0))</f>
        <v/>
      </c>
      <c r="MU25" s="17">
        <f>DAY(EOMONTH(EDATE(InceptionDate,356-1),0))</f>
        <v/>
      </c>
      <c r="MV25" s="17">
        <f>DAY(EOMONTH(EDATE(InceptionDate,357-1),0))</f>
        <v/>
      </c>
      <c r="MW25" s="17">
        <f>DAY(EOMONTH(EDATE(InceptionDate,358-1),0))</f>
        <v/>
      </c>
      <c r="MX25" s="17">
        <f>DAY(EOMONTH(EDATE(InceptionDate,359-1),0))</f>
        <v/>
      </c>
      <c r="MY25" s="17">
        <f>DAY(EOMONTH(EDATE(InceptionDate,360-1),0))</f>
        <v/>
      </c>
      <c r="MZ25" s="17">
        <f>DAY(EOMONTH(EDATE(InceptionDate,361-1),0))</f>
        <v/>
      </c>
      <c r="NA25" s="17">
        <f>DAY(EOMONTH(EDATE(InceptionDate,362-1),0))</f>
        <v/>
      </c>
      <c r="NB25" s="17">
        <f>DAY(EOMONTH(EDATE(InceptionDate,363-1),0))</f>
        <v/>
      </c>
      <c r="NC25" s="17">
        <f>DAY(EOMONTH(EDATE(InceptionDate,364-1),0))</f>
        <v/>
      </c>
      <c r="ND25" s="17">
        <f>DAY(EOMONTH(EDATE(InceptionDate,365-1),0))</f>
        <v/>
      </c>
      <c r="NE25" s="17">
        <f>DAY(EOMONTH(EDATE(InceptionDate,366-1),0))</f>
        <v/>
      </c>
      <c r="NF25" s="17">
        <f>DAY(EOMONTH(EDATE(InceptionDate,367-1),0))</f>
        <v/>
      </c>
      <c r="NG25" s="17">
        <f>DAY(EOMONTH(EDATE(InceptionDate,368-1),0))</f>
        <v/>
      </c>
      <c r="NH25" s="17">
        <f>DAY(EOMONTH(EDATE(InceptionDate,369-1),0))</f>
        <v/>
      </c>
      <c r="NI25" s="17">
        <f>DAY(EOMONTH(EDATE(InceptionDate,370-1),0))</f>
        <v/>
      </c>
      <c r="NJ25" s="17">
        <f>DAY(EOMONTH(EDATE(InceptionDate,371-1),0))</f>
        <v/>
      </c>
      <c r="NK25" s="17">
        <f>DAY(EOMONTH(EDATE(InceptionDate,372-1),0))</f>
        <v/>
      </c>
    </row>
    <row r="26">
      <c r="A26" s="5" t="inlineStr">
        <is>
          <t>Fundable Uses</t>
        </is>
      </c>
      <c r="C26" s="41">
        <f>SUM(D26:NK26)</f>
        <v/>
      </c>
      <c r="D26" s="18">
        <f>'DevSpend'!D$34+'DevSpend'!D$35+'DevSpend'!D$38+IF(1=MS_Initial_Closing_Start,ConOtherCosts+ConPoints+RecourseFee+OpReserve,0)</f>
        <v/>
      </c>
      <c r="E26" s="18">
        <f>'DevSpend'!E$34+'DevSpend'!E$35+'DevSpend'!E$38+IF(2=MS_Initial_Closing_Start,ConOtherCosts+ConPoints+RecourseFee+OpReserve,0)</f>
        <v/>
      </c>
      <c r="F26" s="18">
        <f>'DevSpend'!F$34+'DevSpend'!F$35+'DevSpend'!F$38+IF(3=MS_Initial_Closing_Start,ConOtherCosts+ConPoints+RecourseFee+OpReserve,0)</f>
        <v/>
      </c>
      <c r="G26" s="18">
        <f>'DevSpend'!G$34+'DevSpend'!G$35+'DevSpend'!G$38+IF(4=MS_Initial_Closing_Start,ConOtherCosts+ConPoints+RecourseFee+OpReserve,0)</f>
        <v/>
      </c>
      <c r="H26" s="18">
        <f>'DevSpend'!H$34+'DevSpend'!H$35+'DevSpend'!H$38+IF(5=MS_Initial_Closing_Start,ConOtherCosts+ConPoints+RecourseFee+OpReserve,0)</f>
        <v/>
      </c>
      <c r="I26" s="18">
        <f>'DevSpend'!I$34+'DevSpend'!I$35+'DevSpend'!I$38+IF(6=MS_Initial_Closing_Start,ConOtherCosts+ConPoints+RecourseFee+OpReserve,0)</f>
        <v/>
      </c>
      <c r="J26" s="18">
        <f>'DevSpend'!J$34+'DevSpend'!J$35+'DevSpend'!J$38+IF(7=MS_Initial_Closing_Start,ConOtherCosts+ConPoints+RecourseFee+OpReserve,0)</f>
        <v/>
      </c>
      <c r="K26" s="18">
        <f>'DevSpend'!K$34+'DevSpend'!K$35+'DevSpend'!K$38+IF(8=MS_Initial_Closing_Start,ConOtherCosts+ConPoints+RecourseFee+OpReserve,0)</f>
        <v/>
      </c>
      <c r="L26" s="18">
        <f>'DevSpend'!L$34+'DevSpend'!L$35+'DevSpend'!L$38+IF(9=MS_Initial_Closing_Start,ConOtherCosts+ConPoints+RecourseFee+OpReserve,0)</f>
        <v/>
      </c>
      <c r="M26" s="18">
        <f>'DevSpend'!M$34+'DevSpend'!M$35+'DevSpend'!M$38+IF(10=MS_Initial_Closing_Start,ConOtherCosts+ConPoints+RecourseFee+OpReserve,0)</f>
        <v/>
      </c>
      <c r="N26" s="18">
        <f>'DevSpend'!N$34+'DevSpend'!N$35+'DevSpend'!N$38+IF(11=MS_Initial_Closing_Start,ConOtherCosts+ConPoints+RecourseFee+OpReserve,0)</f>
        <v/>
      </c>
      <c r="O26" s="18">
        <f>'DevSpend'!O$34+'DevSpend'!O$35+'DevSpend'!O$38+IF(12=MS_Initial_Closing_Start,ConOtherCosts+ConPoints+RecourseFee+OpReserve,0)</f>
        <v/>
      </c>
      <c r="P26" s="18">
        <f>'DevSpend'!P$34+'DevSpend'!P$35+'DevSpend'!P$38+IF(13=MS_Initial_Closing_Start,ConOtherCosts+ConPoints+RecourseFee+OpReserve,0)</f>
        <v/>
      </c>
      <c r="Q26" s="18">
        <f>'DevSpend'!Q$34+'DevSpend'!Q$35+'DevSpend'!Q$38+IF(14=MS_Initial_Closing_Start,ConOtherCosts+ConPoints+RecourseFee+OpReserve,0)</f>
        <v/>
      </c>
      <c r="R26" s="18">
        <f>'DevSpend'!R$34+'DevSpend'!R$35+'DevSpend'!R$38+IF(15=MS_Initial_Closing_Start,ConOtherCosts+ConPoints+RecourseFee+OpReserve,0)</f>
        <v/>
      </c>
      <c r="S26" s="18">
        <f>'DevSpend'!S$34+'DevSpend'!S$35+'DevSpend'!S$38+IF(16=MS_Initial_Closing_Start,ConOtherCosts+ConPoints+RecourseFee+OpReserve,0)</f>
        <v/>
      </c>
      <c r="T26" s="18">
        <f>'DevSpend'!T$34+'DevSpend'!T$35+'DevSpend'!T$38+IF(17=MS_Initial_Closing_Start,ConOtherCosts+ConPoints+RecourseFee+OpReserve,0)</f>
        <v/>
      </c>
      <c r="U26" s="18">
        <f>'DevSpend'!U$34+'DevSpend'!U$35+'DevSpend'!U$38+IF(18=MS_Initial_Closing_Start,ConOtherCosts+ConPoints+RecourseFee+OpReserve,0)</f>
        <v/>
      </c>
      <c r="V26" s="18">
        <f>'DevSpend'!V$34+'DevSpend'!V$35+'DevSpend'!V$38+IF(19=MS_Initial_Closing_Start,ConOtherCosts+ConPoints+RecourseFee+OpReserve,0)</f>
        <v/>
      </c>
      <c r="W26" s="18">
        <f>'DevSpend'!W$34+'DevSpend'!W$35+'DevSpend'!W$38+IF(20=MS_Initial_Closing_Start,ConOtherCosts+ConPoints+RecourseFee+OpReserve,0)</f>
        <v/>
      </c>
      <c r="X26" s="18">
        <f>'DevSpend'!X$34+'DevSpend'!X$35+'DevSpend'!X$38+IF(21=MS_Initial_Closing_Start,ConOtherCosts+ConPoints+RecourseFee+OpReserve,0)</f>
        <v/>
      </c>
      <c r="Y26" s="18">
        <f>'DevSpend'!Y$34+'DevSpend'!Y$35+'DevSpend'!Y$38+IF(22=MS_Initial_Closing_Start,ConOtherCosts+ConPoints+RecourseFee+OpReserve,0)</f>
        <v/>
      </c>
      <c r="Z26" s="18">
        <f>'DevSpend'!Z$34+'DevSpend'!Z$35+'DevSpend'!Z$38+IF(23=MS_Initial_Closing_Start,ConOtherCosts+ConPoints+RecourseFee+OpReserve,0)</f>
        <v/>
      </c>
      <c r="AA26" s="18">
        <f>'DevSpend'!AA$34+'DevSpend'!AA$35+'DevSpend'!AA$38+IF(24=MS_Initial_Closing_Start,ConOtherCosts+ConPoints+RecourseFee+OpReserve,0)</f>
        <v/>
      </c>
      <c r="AB26" s="18">
        <f>'DevSpend'!AB$34+'DevSpend'!AB$35+'DevSpend'!AB$38+IF(25=MS_Initial_Closing_Start,ConOtherCosts+ConPoints+RecourseFee+OpReserve,0)</f>
        <v/>
      </c>
      <c r="AC26" s="18">
        <f>'DevSpend'!AC$34+'DevSpend'!AC$35+'DevSpend'!AC$38+IF(26=MS_Initial_Closing_Start,ConOtherCosts+ConPoints+RecourseFee+OpReserve,0)</f>
        <v/>
      </c>
      <c r="AD26" s="18">
        <f>'DevSpend'!AD$34+'DevSpend'!AD$35+'DevSpend'!AD$38+IF(27=MS_Initial_Closing_Start,ConOtherCosts+ConPoints+RecourseFee+OpReserve,0)</f>
        <v/>
      </c>
      <c r="AE26" s="18">
        <f>'DevSpend'!AE$34+'DevSpend'!AE$35+'DevSpend'!AE$38+IF(28=MS_Initial_Closing_Start,ConOtherCosts+ConPoints+RecourseFee+OpReserve,0)</f>
        <v/>
      </c>
      <c r="AF26" s="18">
        <f>'DevSpend'!AF$34+'DevSpend'!AF$35+'DevSpend'!AF$38+IF(29=MS_Initial_Closing_Start,ConOtherCosts+ConPoints+RecourseFee+OpReserve,0)</f>
        <v/>
      </c>
      <c r="AG26" s="18">
        <f>'DevSpend'!AG$34+'DevSpend'!AG$35+'DevSpend'!AG$38+IF(30=MS_Initial_Closing_Start,ConOtherCosts+ConPoints+RecourseFee+OpReserve,0)</f>
        <v/>
      </c>
      <c r="AH26" s="18">
        <f>'DevSpend'!AH$34+'DevSpend'!AH$35+'DevSpend'!AH$38+IF(31=MS_Initial_Closing_Start,ConOtherCosts+ConPoints+RecourseFee+OpReserve,0)</f>
        <v/>
      </c>
      <c r="AI26" s="18">
        <f>'DevSpend'!AI$34+'DevSpend'!AI$35+'DevSpend'!AI$38+IF(32=MS_Initial_Closing_Start,ConOtherCosts+ConPoints+RecourseFee+OpReserve,0)</f>
        <v/>
      </c>
      <c r="AJ26" s="18">
        <f>'DevSpend'!AJ$34+'DevSpend'!AJ$35+'DevSpend'!AJ$38+IF(33=MS_Initial_Closing_Start,ConOtherCosts+ConPoints+RecourseFee+OpReserve,0)</f>
        <v/>
      </c>
      <c r="AK26" s="18">
        <f>'DevSpend'!AK$34+'DevSpend'!AK$35+'DevSpend'!AK$38+IF(34=MS_Initial_Closing_Start,ConOtherCosts+ConPoints+RecourseFee+OpReserve,0)</f>
        <v/>
      </c>
      <c r="AL26" s="18">
        <f>'DevSpend'!AL$34+'DevSpend'!AL$35+'DevSpend'!AL$38+IF(35=MS_Initial_Closing_Start,ConOtherCosts+ConPoints+RecourseFee+OpReserve,0)</f>
        <v/>
      </c>
      <c r="AM26" s="18">
        <f>'DevSpend'!AM$34+'DevSpend'!AM$35+'DevSpend'!AM$38+IF(36=MS_Initial_Closing_Start,ConOtherCosts+ConPoints+RecourseFee+OpReserve,0)</f>
        <v/>
      </c>
      <c r="AN26" s="18">
        <f>'DevSpend'!AN$34+'DevSpend'!AN$35+'DevSpend'!AN$38+IF(37=MS_Initial_Closing_Start,ConOtherCosts+ConPoints+RecourseFee+OpReserve,0)</f>
        <v/>
      </c>
      <c r="AO26" s="18">
        <f>'DevSpend'!AO$34+'DevSpend'!AO$35+'DevSpend'!AO$38+IF(38=MS_Initial_Closing_Start,ConOtherCosts+ConPoints+RecourseFee+OpReserve,0)</f>
        <v/>
      </c>
      <c r="AP26" s="18">
        <f>'DevSpend'!AP$34+'DevSpend'!AP$35+'DevSpend'!AP$38+IF(39=MS_Initial_Closing_Start,ConOtherCosts+ConPoints+RecourseFee+OpReserve,0)</f>
        <v/>
      </c>
      <c r="AQ26" s="18">
        <f>'DevSpend'!AQ$34+'DevSpend'!AQ$35+'DevSpend'!AQ$38+IF(40=MS_Initial_Closing_Start,ConOtherCosts+ConPoints+RecourseFee+OpReserve,0)</f>
        <v/>
      </c>
      <c r="AR26" s="18">
        <f>'DevSpend'!AR$34+'DevSpend'!AR$35+'DevSpend'!AR$38+IF(41=MS_Initial_Closing_Start,ConOtherCosts+ConPoints+RecourseFee+OpReserve,0)</f>
        <v/>
      </c>
      <c r="AS26" s="18">
        <f>'DevSpend'!AS$34+'DevSpend'!AS$35+'DevSpend'!AS$38+IF(42=MS_Initial_Closing_Start,ConOtherCosts+ConPoints+RecourseFee+OpReserve,0)</f>
        <v/>
      </c>
      <c r="AT26" s="18">
        <f>'DevSpend'!AT$34+'DevSpend'!AT$35+'DevSpend'!AT$38+IF(43=MS_Initial_Closing_Start,ConOtherCosts+ConPoints+RecourseFee+OpReserve,0)</f>
        <v/>
      </c>
      <c r="AU26" s="18">
        <f>'DevSpend'!AU$34+'DevSpend'!AU$35+'DevSpend'!AU$38+IF(44=MS_Initial_Closing_Start,ConOtherCosts+ConPoints+RecourseFee+OpReserve,0)</f>
        <v/>
      </c>
      <c r="AV26" s="18">
        <f>'DevSpend'!AV$34+'DevSpend'!AV$35+'DevSpend'!AV$38+IF(45=MS_Initial_Closing_Start,ConOtherCosts+ConPoints+RecourseFee+OpReserve,0)</f>
        <v/>
      </c>
      <c r="AW26" s="18">
        <f>'DevSpend'!AW$34+'DevSpend'!AW$35+'DevSpend'!AW$38+IF(46=MS_Initial_Closing_Start,ConOtherCosts+ConPoints+RecourseFee+OpReserve,0)</f>
        <v/>
      </c>
      <c r="AX26" s="18">
        <f>'DevSpend'!AX$34+'DevSpend'!AX$35+'DevSpend'!AX$38+IF(47=MS_Initial_Closing_Start,ConOtherCosts+ConPoints+RecourseFee+OpReserve,0)</f>
        <v/>
      </c>
      <c r="AY26" s="18">
        <f>'DevSpend'!AY$34+'DevSpend'!AY$35+'DevSpend'!AY$38+IF(48=MS_Initial_Closing_Start,ConOtherCosts+ConPoints+RecourseFee+OpReserve,0)</f>
        <v/>
      </c>
      <c r="AZ26" s="18">
        <f>'DevSpend'!AZ$34+'DevSpend'!AZ$35+'DevSpend'!AZ$38+IF(49=MS_Initial_Closing_Start,ConOtherCosts+ConPoints+RecourseFee+OpReserve,0)</f>
        <v/>
      </c>
      <c r="BA26" s="18">
        <f>'DevSpend'!BA$34+'DevSpend'!BA$35+'DevSpend'!BA$38+IF(50=MS_Initial_Closing_Start,ConOtherCosts+ConPoints+RecourseFee+OpReserve,0)</f>
        <v/>
      </c>
      <c r="BB26" s="18">
        <f>'DevSpend'!BB$34+'DevSpend'!BB$35+'DevSpend'!BB$38+IF(51=MS_Initial_Closing_Start,ConOtherCosts+ConPoints+RecourseFee+OpReserve,0)</f>
        <v/>
      </c>
      <c r="BC26" s="18">
        <f>'DevSpend'!BC$34+'DevSpend'!BC$35+'DevSpend'!BC$38+IF(52=MS_Initial_Closing_Start,ConOtherCosts+ConPoints+RecourseFee+OpReserve,0)</f>
        <v/>
      </c>
      <c r="BD26" s="18">
        <f>'DevSpend'!BD$34+'DevSpend'!BD$35+'DevSpend'!BD$38+IF(53=MS_Initial_Closing_Start,ConOtherCosts+ConPoints+RecourseFee+OpReserve,0)</f>
        <v/>
      </c>
      <c r="BE26" s="18">
        <f>'DevSpend'!BE$34+'DevSpend'!BE$35+'DevSpend'!BE$38+IF(54=MS_Initial_Closing_Start,ConOtherCosts+ConPoints+RecourseFee+OpReserve,0)</f>
        <v/>
      </c>
      <c r="BF26" s="18">
        <f>'DevSpend'!BF$34+'DevSpend'!BF$35+'DevSpend'!BF$38+IF(55=MS_Initial_Closing_Start,ConOtherCosts+ConPoints+RecourseFee+OpReserve,0)</f>
        <v/>
      </c>
      <c r="BG26" s="18">
        <f>'DevSpend'!BG$34+'DevSpend'!BG$35+'DevSpend'!BG$38+IF(56=MS_Initial_Closing_Start,ConOtherCosts+ConPoints+RecourseFee+OpReserve,0)</f>
        <v/>
      </c>
      <c r="BH26" s="18">
        <f>'DevSpend'!BH$34+'DevSpend'!BH$35+'DevSpend'!BH$38+IF(57=MS_Initial_Closing_Start,ConOtherCosts+ConPoints+RecourseFee+OpReserve,0)</f>
        <v/>
      </c>
      <c r="BI26" s="18">
        <f>'DevSpend'!BI$34+'DevSpend'!BI$35+'DevSpend'!BI$38+IF(58=MS_Initial_Closing_Start,ConOtherCosts+ConPoints+RecourseFee+OpReserve,0)</f>
        <v/>
      </c>
      <c r="BJ26" s="18">
        <f>'DevSpend'!BJ$34+'DevSpend'!BJ$35+'DevSpend'!BJ$38+IF(59=MS_Initial_Closing_Start,ConOtherCosts+ConPoints+RecourseFee+OpReserve,0)</f>
        <v/>
      </c>
      <c r="BK26" s="18">
        <f>'DevSpend'!BK$34+'DevSpend'!BK$35+'DevSpend'!BK$38+IF(60=MS_Initial_Closing_Start,ConOtherCosts+ConPoints+RecourseFee+OpReserve,0)</f>
        <v/>
      </c>
      <c r="BL26" s="18">
        <f>'DevSpend'!BL$34+'DevSpend'!BL$35+'DevSpend'!BL$38+IF(61=MS_Initial_Closing_Start,ConOtherCosts+ConPoints+RecourseFee+OpReserve,0)</f>
        <v/>
      </c>
      <c r="BM26" s="18">
        <f>'DevSpend'!BM$34+'DevSpend'!BM$35+'DevSpend'!BM$38+IF(62=MS_Initial_Closing_Start,ConOtherCosts+ConPoints+RecourseFee+OpReserve,0)</f>
        <v/>
      </c>
      <c r="BN26" s="18">
        <f>'DevSpend'!BN$34+'DevSpend'!BN$35+'DevSpend'!BN$38+IF(63=MS_Initial_Closing_Start,ConOtherCosts+ConPoints+RecourseFee+OpReserve,0)</f>
        <v/>
      </c>
      <c r="BO26" s="18">
        <f>'DevSpend'!BO$34+'DevSpend'!BO$35+'DevSpend'!BO$38+IF(64=MS_Initial_Closing_Start,ConOtherCosts+ConPoints+RecourseFee+OpReserve,0)</f>
        <v/>
      </c>
      <c r="BP26" s="18">
        <f>'DevSpend'!BP$34+'DevSpend'!BP$35+'DevSpend'!BP$38+IF(65=MS_Initial_Closing_Start,ConOtherCosts+ConPoints+RecourseFee+OpReserve,0)</f>
        <v/>
      </c>
      <c r="BQ26" s="18">
        <f>'DevSpend'!BQ$34+'DevSpend'!BQ$35+'DevSpend'!BQ$38+IF(66=MS_Initial_Closing_Start,ConOtherCosts+ConPoints+RecourseFee+OpReserve,0)</f>
        <v/>
      </c>
      <c r="BR26" s="18">
        <f>'DevSpend'!BR$34+'DevSpend'!BR$35+'DevSpend'!BR$38+IF(67=MS_Initial_Closing_Start,ConOtherCosts+ConPoints+RecourseFee+OpReserve,0)</f>
        <v/>
      </c>
      <c r="BS26" s="18">
        <f>'DevSpend'!BS$34+'DevSpend'!BS$35+'DevSpend'!BS$38+IF(68=MS_Initial_Closing_Start,ConOtherCosts+ConPoints+RecourseFee+OpReserve,0)</f>
        <v/>
      </c>
      <c r="BT26" s="18">
        <f>'DevSpend'!BT$34+'DevSpend'!BT$35+'DevSpend'!BT$38+IF(69=MS_Initial_Closing_Start,ConOtherCosts+ConPoints+RecourseFee+OpReserve,0)</f>
        <v/>
      </c>
      <c r="BU26" s="18">
        <f>'DevSpend'!BU$34+'DevSpend'!BU$35+'DevSpend'!BU$38+IF(70=MS_Initial_Closing_Start,ConOtherCosts+ConPoints+RecourseFee+OpReserve,0)</f>
        <v/>
      </c>
      <c r="BV26" s="18">
        <f>'DevSpend'!BV$34+'DevSpend'!BV$35+'DevSpend'!BV$38+IF(71=MS_Initial_Closing_Start,ConOtherCosts+ConPoints+RecourseFee+OpReserve,0)</f>
        <v/>
      </c>
      <c r="BW26" s="18">
        <f>'DevSpend'!BW$34+'DevSpend'!BW$35+'DevSpend'!BW$38+IF(72=MS_Initial_Closing_Start,ConOtherCosts+ConPoints+RecourseFee+OpReserve,0)</f>
        <v/>
      </c>
      <c r="BX26" s="18">
        <f>'DevSpend'!BX$34+'DevSpend'!BX$35+'DevSpend'!BX$38+IF(73=MS_Initial_Closing_Start,ConOtherCosts+ConPoints+RecourseFee+OpReserve,0)</f>
        <v/>
      </c>
      <c r="BY26" s="18">
        <f>'DevSpend'!BY$34+'DevSpend'!BY$35+'DevSpend'!BY$38+IF(74=MS_Initial_Closing_Start,ConOtherCosts+ConPoints+RecourseFee+OpReserve,0)</f>
        <v/>
      </c>
      <c r="BZ26" s="18">
        <f>'DevSpend'!BZ$34+'DevSpend'!BZ$35+'DevSpend'!BZ$38+IF(75=MS_Initial_Closing_Start,ConOtherCosts+ConPoints+RecourseFee+OpReserve,0)</f>
        <v/>
      </c>
      <c r="CA26" s="18">
        <f>'DevSpend'!CA$34+'DevSpend'!CA$35+'DevSpend'!CA$38+IF(76=MS_Initial_Closing_Start,ConOtherCosts+ConPoints+RecourseFee+OpReserve,0)</f>
        <v/>
      </c>
      <c r="CB26" s="18">
        <f>'DevSpend'!CB$34+'DevSpend'!CB$35+'DevSpend'!CB$38+IF(77=MS_Initial_Closing_Start,ConOtherCosts+ConPoints+RecourseFee+OpReserve,0)</f>
        <v/>
      </c>
      <c r="CC26" s="18">
        <f>'DevSpend'!CC$34+'DevSpend'!CC$35+'DevSpend'!CC$38+IF(78=MS_Initial_Closing_Start,ConOtherCosts+ConPoints+RecourseFee+OpReserve,0)</f>
        <v/>
      </c>
      <c r="CD26" s="18">
        <f>'DevSpend'!CD$34+'DevSpend'!CD$35+'DevSpend'!CD$38+IF(79=MS_Initial_Closing_Start,ConOtherCosts+ConPoints+RecourseFee+OpReserve,0)</f>
        <v/>
      </c>
      <c r="CE26" s="18">
        <f>'DevSpend'!CE$34+'DevSpend'!CE$35+'DevSpend'!CE$38+IF(80=MS_Initial_Closing_Start,ConOtherCosts+ConPoints+RecourseFee+OpReserve,0)</f>
        <v/>
      </c>
      <c r="CF26" s="18">
        <f>'DevSpend'!CF$34+'DevSpend'!CF$35+'DevSpend'!CF$38+IF(81=MS_Initial_Closing_Start,ConOtherCosts+ConPoints+RecourseFee+OpReserve,0)</f>
        <v/>
      </c>
      <c r="CG26" s="18">
        <f>'DevSpend'!CG$34+'DevSpend'!CG$35+'DevSpend'!CG$38+IF(82=MS_Initial_Closing_Start,ConOtherCosts+ConPoints+RecourseFee+OpReserve,0)</f>
        <v/>
      </c>
      <c r="CH26" s="18">
        <f>'DevSpend'!CH$34+'DevSpend'!CH$35+'DevSpend'!CH$38+IF(83=MS_Initial_Closing_Start,ConOtherCosts+ConPoints+RecourseFee+OpReserve,0)</f>
        <v/>
      </c>
      <c r="CI26" s="18">
        <f>'DevSpend'!CI$34+'DevSpend'!CI$35+'DevSpend'!CI$38+IF(84=MS_Initial_Closing_Start,ConOtherCosts+ConPoints+RecourseFee+OpReserve,0)</f>
        <v/>
      </c>
      <c r="CJ26" s="18">
        <f>'DevSpend'!CJ$34+'DevSpend'!CJ$35+'DevSpend'!CJ$38+IF(85=MS_Initial_Closing_Start,ConOtherCosts+ConPoints+RecourseFee+OpReserve,0)</f>
        <v/>
      </c>
      <c r="CK26" s="18">
        <f>'DevSpend'!CK$34+'DevSpend'!CK$35+'DevSpend'!CK$38+IF(86=MS_Initial_Closing_Start,ConOtherCosts+ConPoints+RecourseFee+OpReserve,0)</f>
        <v/>
      </c>
      <c r="CL26" s="18">
        <f>'DevSpend'!CL$34+'DevSpend'!CL$35+'DevSpend'!CL$38+IF(87=MS_Initial_Closing_Start,ConOtherCosts+ConPoints+RecourseFee+OpReserve,0)</f>
        <v/>
      </c>
      <c r="CM26" s="18">
        <f>'DevSpend'!CM$34+'DevSpend'!CM$35+'DevSpend'!CM$38+IF(88=MS_Initial_Closing_Start,ConOtherCosts+ConPoints+RecourseFee+OpReserve,0)</f>
        <v/>
      </c>
      <c r="CN26" s="18">
        <f>'DevSpend'!CN$34+'DevSpend'!CN$35+'DevSpend'!CN$38+IF(89=MS_Initial_Closing_Start,ConOtherCosts+ConPoints+RecourseFee+OpReserve,0)</f>
        <v/>
      </c>
      <c r="CO26" s="18">
        <f>'DevSpend'!CO$34+'DevSpend'!CO$35+'DevSpend'!CO$38+IF(90=MS_Initial_Closing_Start,ConOtherCosts+ConPoints+RecourseFee+OpReserve,0)</f>
        <v/>
      </c>
      <c r="CP26" s="18">
        <f>'DevSpend'!CP$34+'DevSpend'!CP$35+'DevSpend'!CP$38+IF(91=MS_Initial_Closing_Start,ConOtherCosts+ConPoints+RecourseFee+OpReserve,0)</f>
        <v/>
      </c>
      <c r="CQ26" s="18">
        <f>'DevSpend'!CQ$34+'DevSpend'!CQ$35+'DevSpend'!CQ$38+IF(92=MS_Initial_Closing_Start,ConOtherCosts+ConPoints+RecourseFee+OpReserve,0)</f>
        <v/>
      </c>
      <c r="CR26" s="18">
        <f>'DevSpend'!CR$34+'DevSpend'!CR$35+'DevSpend'!CR$38+IF(93=MS_Initial_Closing_Start,ConOtherCosts+ConPoints+RecourseFee+OpReserve,0)</f>
        <v/>
      </c>
      <c r="CS26" s="18">
        <f>'DevSpend'!CS$34+'DevSpend'!CS$35+'DevSpend'!CS$38+IF(94=MS_Initial_Closing_Start,ConOtherCosts+ConPoints+RecourseFee+OpReserve,0)</f>
        <v/>
      </c>
      <c r="CT26" s="18">
        <f>'DevSpend'!CT$34+'DevSpend'!CT$35+'DevSpend'!CT$38+IF(95=MS_Initial_Closing_Start,ConOtherCosts+ConPoints+RecourseFee+OpReserve,0)</f>
        <v/>
      </c>
      <c r="CU26" s="18">
        <f>'DevSpend'!CU$34+'DevSpend'!CU$35+'DevSpend'!CU$38+IF(96=MS_Initial_Closing_Start,ConOtherCosts+ConPoints+RecourseFee+OpReserve,0)</f>
        <v/>
      </c>
      <c r="CV26" s="18">
        <f>'DevSpend'!CV$34+'DevSpend'!CV$35+'DevSpend'!CV$38+IF(97=MS_Initial_Closing_Start,ConOtherCosts+ConPoints+RecourseFee+OpReserve,0)</f>
        <v/>
      </c>
      <c r="CW26" s="18">
        <f>'DevSpend'!CW$34+'DevSpend'!CW$35+'DevSpend'!CW$38+IF(98=MS_Initial_Closing_Start,ConOtherCosts+ConPoints+RecourseFee+OpReserve,0)</f>
        <v/>
      </c>
      <c r="CX26" s="18">
        <f>'DevSpend'!CX$34+'DevSpend'!CX$35+'DevSpend'!CX$38+IF(99=MS_Initial_Closing_Start,ConOtherCosts+ConPoints+RecourseFee+OpReserve,0)</f>
        <v/>
      </c>
      <c r="CY26" s="18">
        <f>'DevSpend'!CY$34+'DevSpend'!CY$35+'DevSpend'!CY$38+IF(100=MS_Initial_Closing_Start,ConOtherCosts+ConPoints+RecourseFee+OpReserve,0)</f>
        <v/>
      </c>
      <c r="CZ26" s="18">
        <f>'DevSpend'!CZ$34+'DevSpend'!CZ$35+'DevSpend'!CZ$38+IF(101=MS_Initial_Closing_Start,ConOtherCosts+ConPoints+RecourseFee+OpReserve,0)</f>
        <v/>
      </c>
      <c r="DA26" s="18">
        <f>'DevSpend'!DA$34+'DevSpend'!DA$35+'DevSpend'!DA$38+IF(102=MS_Initial_Closing_Start,ConOtherCosts+ConPoints+RecourseFee+OpReserve,0)</f>
        <v/>
      </c>
      <c r="DB26" s="18">
        <f>'DevSpend'!DB$34+'DevSpend'!DB$35+'DevSpend'!DB$38+IF(103=MS_Initial_Closing_Start,ConOtherCosts+ConPoints+RecourseFee+OpReserve,0)</f>
        <v/>
      </c>
      <c r="DC26" s="18">
        <f>'DevSpend'!DC$34+'DevSpend'!DC$35+'DevSpend'!DC$38+IF(104=MS_Initial_Closing_Start,ConOtherCosts+ConPoints+RecourseFee+OpReserve,0)</f>
        <v/>
      </c>
      <c r="DD26" s="18">
        <f>'DevSpend'!DD$34+'DevSpend'!DD$35+'DevSpend'!DD$38+IF(105=MS_Initial_Closing_Start,ConOtherCosts+ConPoints+RecourseFee+OpReserve,0)</f>
        <v/>
      </c>
      <c r="DE26" s="18">
        <f>'DevSpend'!DE$34+'DevSpend'!DE$35+'DevSpend'!DE$38+IF(106=MS_Initial_Closing_Start,ConOtherCosts+ConPoints+RecourseFee+OpReserve,0)</f>
        <v/>
      </c>
      <c r="DF26" s="18">
        <f>'DevSpend'!DF$34+'DevSpend'!DF$35+'DevSpend'!DF$38+IF(107=MS_Initial_Closing_Start,ConOtherCosts+ConPoints+RecourseFee+OpReserve,0)</f>
        <v/>
      </c>
      <c r="DG26" s="18">
        <f>'DevSpend'!DG$34+'DevSpend'!DG$35+'DevSpend'!DG$38+IF(108=MS_Initial_Closing_Start,ConOtherCosts+ConPoints+RecourseFee+OpReserve,0)</f>
        <v/>
      </c>
      <c r="DH26" s="18">
        <f>'DevSpend'!DH$34+'DevSpend'!DH$35+'DevSpend'!DH$38+IF(109=MS_Initial_Closing_Start,ConOtherCosts+ConPoints+RecourseFee+OpReserve,0)</f>
        <v/>
      </c>
      <c r="DI26" s="18">
        <f>'DevSpend'!DI$34+'DevSpend'!DI$35+'DevSpend'!DI$38+IF(110=MS_Initial_Closing_Start,ConOtherCosts+ConPoints+RecourseFee+OpReserve,0)</f>
        <v/>
      </c>
      <c r="DJ26" s="18">
        <f>'DevSpend'!DJ$34+'DevSpend'!DJ$35+'DevSpend'!DJ$38+IF(111=MS_Initial_Closing_Start,ConOtherCosts+ConPoints+RecourseFee+OpReserve,0)</f>
        <v/>
      </c>
      <c r="DK26" s="18">
        <f>'DevSpend'!DK$34+'DevSpend'!DK$35+'DevSpend'!DK$38+IF(112=MS_Initial_Closing_Start,ConOtherCosts+ConPoints+RecourseFee+OpReserve,0)</f>
        <v/>
      </c>
      <c r="DL26" s="18">
        <f>'DevSpend'!DL$34+'DevSpend'!DL$35+'DevSpend'!DL$38+IF(113=MS_Initial_Closing_Start,ConOtherCosts+ConPoints+RecourseFee+OpReserve,0)</f>
        <v/>
      </c>
      <c r="DM26" s="18">
        <f>'DevSpend'!DM$34+'DevSpend'!DM$35+'DevSpend'!DM$38+IF(114=MS_Initial_Closing_Start,ConOtherCosts+ConPoints+RecourseFee+OpReserve,0)</f>
        <v/>
      </c>
      <c r="DN26" s="18">
        <f>'DevSpend'!DN$34+'DevSpend'!DN$35+'DevSpend'!DN$38+IF(115=MS_Initial_Closing_Start,ConOtherCosts+ConPoints+RecourseFee+OpReserve,0)</f>
        <v/>
      </c>
      <c r="DO26" s="18">
        <f>'DevSpend'!DO$34+'DevSpend'!DO$35+'DevSpend'!DO$38+IF(116=MS_Initial_Closing_Start,ConOtherCosts+ConPoints+RecourseFee+OpReserve,0)</f>
        <v/>
      </c>
      <c r="DP26" s="18">
        <f>'DevSpend'!DP$34+'DevSpend'!DP$35+'DevSpend'!DP$38+IF(117=MS_Initial_Closing_Start,ConOtherCosts+ConPoints+RecourseFee+OpReserve,0)</f>
        <v/>
      </c>
      <c r="DQ26" s="18">
        <f>'DevSpend'!DQ$34+'DevSpend'!DQ$35+'DevSpend'!DQ$38+IF(118=MS_Initial_Closing_Start,ConOtherCosts+ConPoints+RecourseFee+OpReserve,0)</f>
        <v/>
      </c>
      <c r="DR26" s="18">
        <f>'DevSpend'!DR$34+'DevSpend'!DR$35+'DevSpend'!DR$38+IF(119=MS_Initial_Closing_Start,ConOtherCosts+ConPoints+RecourseFee+OpReserve,0)</f>
        <v/>
      </c>
      <c r="DS26" s="18">
        <f>'DevSpend'!DS$34+'DevSpend'!DS$35+'DevSpend'!DS$38+IF(120=MS_Initial_Closing_Start,ConOtherCosts+ConPoints+RecourseFee+OpReserve,0)</f>
        <v/>
      </c>
      <c r="DT26" s="18">
        <f>'DevSpend'!DT$34+'DevSpend'!DT$35+'DevSpend'!DT$38+IF(121=MS_Initial_Closing_Start,ConOtherCosts+ConPoints+RecourseFee+OpReserve,0)</f>
        <v/>
      </c>
      <c r="DU26" s="18">
        <f>'DevSpend'!DU$34+'DevSpend'!DU$35+'DevSpend'!DU$38+IF(122=MS_Initial_Closing_Start,ConOtherCosts+ConPoints+RecourseFee+OpReserve,0)</f>
        <v/>
      </c>
      <c r="DV26" s="18">
        <f>'DevSpend'!DV$34+'DevSpend'!DV$35+'DevSpend'!DV$38+IF(123=MS_Initial_Closing_Start,ConOtherCosts+ConPoints+RecourseFee+OpReserve,0)</f>
        <v/>
      </c>
      <c r="DW26" s="18">
        <f>'DevSpend'!DW$34+'DevSpend'!DW$35+'DevSpend'!DW$38+IF(124=MS_Initial_Closing_Start,ConOtherCosts+ConPoints+RecourseFee+OpReserve,0)</f>
        <v/>
      </c>
      <c r="DX26" s="18">
        <f>'DevSpend'!DX$34+'DevSpend'!DX$35+'DevSpend'!DX$38+IF(125=MS_Initial_Closing_Start,ConOtherCosts+ConPoints+RecourseFee+OpReserve,0)</f>
        <v/>
      </c>
      <c r="DY26" s="18">
        <f>'DevSpend'!DY$34+'DevSpend'!DY$35+'DevSpend'!DY$38+IF(126=MS_Initial_Closing_Start,ConOtherCosts+ConPoints+RecourseFee+OpReserve,0)</f>
        <v/>
      </c>
      <c r="DZ26" s="18">
        <f>'DevSpend'!DZ$34+'DevSpend'!DZ$35+'DevSpend'!DZ$38+IF(127=MS_Initial_Closing_Start,ConOtherCosts+ConPoints+RecourseFee+OpReserve,0)</f>
        <v/>
      </c>
      <c r="EA26" s="18">
        <f>'DevSpend'!EA$34+'DevSpend'!EA$35+'DevSpend'!EA$38+IF(128=MS_Initial_Closing_Start,ConOtherCosts+ConPoints+RecourseFee+OpReserve,0)</f>
        <v/>
      </c>
      <c r="EB26" s="18">
        <f>'DevSpend'!EB$34+'DevSpend'!EB$35+'DevSpend'!EB$38+IF(129=MS_Initial_Closing_Start,ConOtherCosts+ConPoints+RecourseFee+OpReserve,0)</f>
        <v/>
      </c>
      <c r="EC26" s="18">
        <f>'DevSpend'!EC$34+'DevSpend'!EC$35+'DevSpend'!EC$38+IF(130=MS_Initial_Closing_Start,ConOtherCosts+ConPoints+RecourseFee+OpReserve,0)</f>
        <v/>
      </c>
      <c r="ED26" s="18">
        <f>'DevSpend'!ED$34+'DevSpend'!ED$35+'DevSpend'!ED$38+IF(131=MS_Initial_Closing_Start,ConOtherCosts+ConPoints+RecourseFee+OpReserve,0)</f>
        <v/>
      </c>
      <c r="EE26" s="18">
        <f>'DevSpend'!EE$34+'DevSpend'!EE$35+'DevSpend'!EE$38+IF(132=MS_Initial_Closing_Start,ConOtherCosts+ConPoints+RecourseFee+OpReserve,0)</f>
        <v/>
      </c>
      <c r="EF26" s="18">
        <f>'DevSpend'!EF$34+'DevSpend'!EF$35+'DevSpend'!EF$38+IF(133=MS_Initial_Closing_Start,ConOtherCosts+ConPoints+RecourseFee+OpReserve,0)</f>
        <v/>
      </c>
      <c r="EG26" s="18">
        <f>'DevSpend'!EG$34+'DevSpend'!EG$35+'DevSpend'!EG$38+IF(134=MS_Initial_Closing_Start,ConOtherCosts+ConPoints+RecourseFee+OpReserve,0)</f>
        <v/>
      </c>
      <c r="EH26" s="18">
        <f>'DevSpend'!EH$34+'DevSpend'!EH$35+'DevSpend'!EH$38+IF(135=MS_Initial_Closing_Start,ConOtherCosts+ConPoints+RecourseFee+OpReserve,0)</f>
        <v/>
      </c>
      <c r="EI26" s="18">
        <f>'DevSpend'!EI$34+'DevSpend'!EI$35+'DevSpend'!EI$38+IF(136=MS_Initial_Closing_Start,ConOtherCosts+ConPoints+RecourseFee+OpReserve,0)</f>
        <v/>
      </c>
      <c r="EJ26" s="18">
        <f>'DevSpend'!EJ$34+'DevSpend'!EJ$35+'DevSpend'!EJ$38+IF(137=MS_Initial_Closing_Start,ConOtherCosts+ConPoints+RecourseFee+OpReserve,0)</f>
        <v/>
      </c>
      <c r="EK26" s="18">
        <f>'DevSpend'!EK$34+'DevSpend'!EK$35+'DevSpend'!EK$38+IF(138=MS_Initial_Closing_Start,ConOtherCosts+ConPoints+RecourseFee+OpReserve,0)</f>
        <v/>
      </c>
      <c r="EL26" s="18">
        <f>'DevSpend'!EL$34+'DevSpend'!EL$35+'DevSpend'!EL$38+IF(139=MS_Initial_Closing_Start,ConOtherCosts+ConPoints+RecourseFee+OpReserve,0)</f>
        <v/>
      </c>
      <c r="EM26" s="18">
        <f>'DevSpend'!EM$34+'DevSpend'!EM$35+'DevSpend'!EM$38+IF(140=MS_Initial_Closing_Start,ConOtherCosts+ConPoints+RecourseFee+OpReserve,0)</f>
        <v/>
      </c>
      <c r="EN26" s="18">
        <f>'DevSpend'!EN$34+'DevSpend'!EN$35+'DevSpend'!EN$38+IF(141=MS_Initial_Closing_Start,ConOtherCosts+ConPoints+RecourseFee+OpReserve,0)</f>
        <v/>
      </c>
      <c r="EO26" s="18">
        <f>'DevSpend'!EO$34+'DevSpend'!EO$35+'DevSpend'!EO$38+IF(142=MS_Initial_Closing_Start,ConOtherCosts+ConPoints+RecourseFee+OpReserve,0)</f>
        <v/>
      </c>
      <c r="EP26" s="18">
        <f>'DevSpend'!EP$34+'DevSpend'!EP$35+'DevSpend'!EP$38+IF(143=MS_Initial_Closing_Start,ConOtherCosts+ConPoints+RecourseFee+OpReserve,0)</f>
        <v/>
      </c>
      <c r="EQ26" s="18">
        <f>'DevSpend'!EQ$34+'DevSpend'!EQ$35+'DevSpend'!EQ$38+IF(144=MS_Initial_Closing_Start,ConOtherCosts+ConPoints+RecourseFee+OpReserve,0)</f>
        <v/>
      </c>
      <c r="ER26" s="18">
        <f>'DevSpend'!ER$34+'DevSpend'!ER$35+'DevSpend'!ER$38+IF(145=MS_Initial_Closing_Start,ConOtherCosts+ConPoints+RecourseFee+OpReserve,0)</f>
        <v/>
      </c>
      <c r="ES26" s="18">
        <f>'DevSpend'!ES$34+'DevSpend'!ES$35+'DevSpend'!ES$38+IF(146=MS_Initial_Closing_Start,ConOtherCosts+ConPoints+RecourseFee+OpReserve,0)</f>
        <v/>
      </c>
      <c r="ET26" s="18">
        <f>'DevSpend'!ET$34+'DevSpend'!ET$35+'DevSpend'!ET$38+IF(147=MS_Initial_Closing_Start,ConOtherCosts+ConPoints+RecourseFee+OpReserve,0)</f>
        <v/>
      </c>
      <c r="EU26" s="18">
        <f>'DevSpend'!EU$34+'DevSpend'!EU$35+'DevSpend'!EU$38+IF(148=MS_Initial_Closing_Start,ConOtherCosts+ConPoints+RecourseFee+OpReserve,0)</f>
        <v/>
      </c>
      <c r="EV26" s="18">
        <f>'DevSpend'!EV$34+'DevSpend'!EV$35+'DevSpend'!EV$38+IF(149=MS_Initial_Closing_Start,ConOtherCosts+ConPoints+RecourseFee+OpReserve,0)</f>
        <v/>
      </c>
      <c r="EW26" s="18">
        <f>'DevSpend'!EW$34+'DevSpend'!EW$35+'DevSpend'!EW$38+IF(150=MS_Initial_Closing_Start,ConOtherCosts+ConPoints+RecourseFee+OpReserve,0)</f>
        <v/>
      </c>
      <c r="EX26" s="18">
        <f>'DevSpend'!EX$34+'DevSpend'!EX$35+'DevSpend'!EX$38+IF(151=MS_Initial_Closing_Start,ConOtherCosts+ConPoints+RecourseFee+OpReserve,0)</f>
        <v/>
      </c>
      <c r="EY26" s="18">
        <f>'DevSpend'!EY$34+'DevSpend'!EY$35+'DevSpend'!EY$38+IF(152=MS_Initial_Closing_Start,ConOtherCosts+ConPoints+RecourseFee+OpReserve,0)</f>
        <v/>
      </c>
      <c r="EZ26" s="18">
        <f>'DevSpend'!EZ$34+'DevSpend'!EZ$35+'DevSpend'!EZ$38+IF(153=MS_Initial_Closing_Start,ConOtherCosts+ConPoints+RecourseFee+OpReserve,0)</f>
        <v/>
      </c>
      <c r="FA26" s="18">
        <f>'DevSpend'!FA$34+'DevSpend'!FA$35+'DevSpend'!FA$38+IF(154=MS_Initial_Closing_Start,ConOtherCosts+ConPoints+RecourseFee+OpReserve,0)</f>
        <v/>
      </c>
      <c r="FB26" s="18">
        <f>'DevSpend'!FB$34+'DevSpend'!FB$35+'DevSpend'!FB$38+IF(155=MS_Initial_Closing_Start,ConOtherCosts+ConPoints+RecourseFee+OpReserve,0)</f>
        <v/>
      </c>
      <c r="FC26" s="18">
        <f>'DevSpend'!FC$34+'DevSpend'!FC$35+'DevSpend'!FC$38+IF(156=MS_Initial_Closing_Start,ConOtherCosts+ConPoints+RecourseFee+OpReserve,0)</f>
        <v/>
      </c>
      <c r="FD26" s="18">
        <f>'DevSpend'!FD$34+'DevSpend'!FD$35+'DevSpend'!FD$38+IF(157=MS_Initial_Closing_Start,ConOtherCosts+ConPoints+RecourseFee+OpReserve,0)</f>
        <v/>
      </c>
      <c r="FE26" s="18">
        <f>'DevSpend'!FE$34+'DevSpend'!FE$35+'DevSpend'!FE$38+IF(158=MS_Initial_Closing_Start,ConOtherCosts+ConPoints+RecourseFee+OpReserve,0)</f>
        <v/>
      </c>
      <c r="FF26" s="18">
        <f>'DevSpend'!FF$34+'DevSpend'!FF$35+'DevSpend'!FF$38+IF(159=MS_Initial_Closing_Start,ConOtherCosts+ConPoints+RecourseFee+OpReserve,0)</f>
        <v/>
      </c>
      <c r="FG26" s="18">
        <f>'DevSpend'!FG$34+'DevSpend'!FG$35+'DevSpend'!FG$38+IF(160=MS_Initial_Closing_Start,ConOtherCosts+ConPoints+RecourseFee+OpReserve,0)</f>
        <v/>
      </c>
      <c r="FH26" s="18">
        <f>'DevSpend'!FH$34+'DevSpend'!FH$35+'DevSpend'!FH$38+IF(161=MS_Initial_Closing_Start,ConOtherCosts+ConPoints+RecourseFee+OpReserve,0)</f>
        <v/>
      </c>
      <c r="FI26" s="18">
        <f>'DevSpend'!FI$34+'DevSpend'!FI$35+'DevSpend'!FI$38+IF(162=MS_Initial_Closing_Start,ConOtherCosts+ConPoints+RecourseFee+OpReserve,0)</f>
        <v/>
      </c>
      <c r="FJ26" s="18">
        <f>'DevSpend'!FJ$34+'DevSpend'!FJ$35+'DevSpend'!FJ$38+IF(163=MS_Initial_Closing_Start,ConOtherCosts+ConPoints+RecourseFee+OpReserve,0)</f>
        <v/>
      </c>
      <c r="FK26" s="18">
        <f>'DevSpend'!FK$34+'DevSpend'!FK$35+'DevSpend'!FK$38+IF(164=MS_Initial_Closing_Start,ConOtherCosts+ConPoints+RecourseFee+OpReserve,0)</f>
        <v/>
      </c>
      <c r="FL26" s="18">
        <f>'DevSpend'!FL$34+'DevSpend'!FL$35+'DevSpend'!FL$38+IF(165=MS_Initial_Closing_Start,ConOtherCosts+ConPoints+RecourseFee+OpReserve,0)</f>
        <v/>
      </c>
      <c r="FM26" s="18">
        <f>'DevSpend'!FM$34+'DevSpend'!FM$35+'DevSpend'!FM$38+IF(166=MS_Initial_Closing_Start,ConOtherCosts+ConPoints+RecourseFee+OpReserve,0)</f>
        <v/>
      </c>
      <c r="FN26" s="18">
        <f>'DevSpend'!FN$34+'DevSpend'!FN$35+'DevSpend'!FN$38+IF(167=MS_Initial_Closing_Start,ConOtherCosts+ConPoints+RecourseFee+OpReserve,0)</f>
        <v/>
      </c>
      <c r="FO26" s="18">
        <f>'DevSpend'!FO$34+'DevSpend'!FO$35+'DevSpend'!FO$38+IF(168=MS_Initial_Closing_Start,ConOtherCosts+ConPoints+RecourseFee+OpReserve,0)</f>
        <v/>
      </c>
      <c r="FP26" s="18">
        <f>'DevSpend'!FP$34+'DevSpend'!FP$35+'DevSpend'!FP$38+IF(169=MS_Initial_Closing_Start,ConOtherCosts+ConPoints+RecourseFee+OpReserve,0)</f>
        <v/>
      </c>
      <c r="FQ26" s="18">
        <f>'DevSpend'!FQ$34+'DevSpend'!FQ$35+'DevSpend'!FQ$38+IF(170=MS_Initial_Closing_Start,ConOtherCosts+ConPoints+RecourseFee+OpReserve,0)</f>
        <v/>
      </c>
      <c r="FR26" s="18">
        <f>'DevSpend'!FR$34+'DevSpend'!FR$35+'DevSpend'!FR$38+IF(171=MS_Initial_Closing_Start,ConOtherCosts+ConPoints+RecourseFee+OpReserve,0)</f>
        <v/>
      </c>
      <c r="FS26" s="18">
        <f>'DevSpend'!FS$34+'DevSpend'!FS$35+'DevSpend'!FS$38+IF(172=MS_Initial_Closing_Start,ConOtherCosts+ConPoints+RecourseFee+OpReserve,0)</f>
        <v/>
      </c>
      <c r="FT26" s="18">
        <f>'DevSpend'!FT$34+'DevSpend'!FT$35+'DevSpend'!FT$38+IF(173=MS_Initial_Closing_Start,ConOtherCosts+ConPoints+RecourseFee+OpReserve,0)</f>
        <v/>
      </c>
      <c r="FU26" s="18">
        <f>'DevSpend'!FU$34+'DevSpend'!FU$35+'DevSpend'!FU$38+IF(174=MS_Initial_Closing_Start,ConOtherCosts+ConPoints+RecourseFee+OpReserve,0)</f>
        <v/>
      </c>
      <c r="FV26" s="18">
        <f>'DevSpend'!FV$34+'DevSpend'!FV$35+'DevSpend'!FV$38+IF(175=MS_Initial_Closing_Start,ConOtherCosts+ConPoints+RecourseFee+OpReserve,0)</f>
        <v/>
      </c>
      <c r="FW26" s="18">
        <f>'DevSpend'!FW$34+'DevSpend'!FW$35+'DevSpend'!FW$38+IF(176=MS_Initial_Closing_Start,ConOtherCosts+ConPoints+RecourseFee+OpReserve,0)</f>
        <v/>
      </c>
      <c r="FX26" s="18">
        <f>'DevSpend'!FX$34+'DevSpend'!FX$35+'DevSpend'!FX$38+IF(177=MS_Initial_Closing_Start,ConOtherCosts+ConPoints+RecourseFee+OpReserve,0)</f>
        <v/>
      </c>
      <c r="FY26" s="18">
        <f>'DevSpend'!FY$34+'DevSpend'!FY$35+'DevSpend'!FY$38+IF(178=MS_Initial_Closing_Start,ConOtherCosts+ConPoints+RecourseFee+OpReserve,0)</f>
        <v/>
      </c>
      <c r="FZ26" s="18">
        <f>'DevSpend'!FZ$34+'DevSpend'!FZ$35+'DevSpend'!FZ$38+IF(179=MS_Initial_Closing_Start,ConOtherCosts+ConPoints+RecourseFee+OpReserve,0)</f>
        <v/>
      </c>
      <c r="GA26" s="18">
        <f>'DevSpend'!GA$34+'DevSpend'!GA$35+'DevSpend'!GA$38+IF(180=MS_Initial_Closing_Start,ConOtherCosts+ConPoints+RecourseFee+OpReserve,0)</f>
        <v/>
      </c>
      <c r="GB26" s="18">
        <f>'DevSpend'!GB$34+'DevSpend'!GB$35+'DevSpend'!GB$38+IF(181=MS_Initial_Closing_Start,ConOtherCosts+ConPoints+RecourseFee+OpReserve,0)</f>
        <v/>
      </c>
      <c r="GC26" s="18">
        <f>'DevSpend'!GC$34+'DevSpend'!GC$35+'DevSpend'!GC$38+IF(182=MS_Initial_Closing_Start,ConOtherCosts+ConPoints+RecourseFee+OpReserve,0)</f>
        <v/>
      </c>
      <c r="GD26" s="18">
        <f>'DevSpend'!GD$34+'DevSpend'!GD$35+'DevSpend'!GD$38+IF(183=MS_Initial_Closing_Start,ConOtherCosts+ConPoints+RecourseFee+OpReserve,0)</f>
        <v/>
      </c>
      <c r="GE26" s="18">
        <f>'DevSpend'!GE$34+'DevSpend'!GE$35+'DevSpend'!GE$38+IF(184=MS_Initial_Closing_Start,ConOtherCosts+ConPoints+RecourseFee+OpReserve,0)</f>
        <v/>
      </c>
      <c r="GF26" s="18">
        <f>'DevSpend'!GF$34+'DevSpend'!GF$35+'DevSpend'!GF$38+IF(185=MS_Initial_Closing_Start,ConOtherCosts+ConPoints+RecourseFee+OpReserve,0)</f>
        <v/>
      </c>
      <c r="GG26" s="18">
        <f>'DevSpend'!GG$34+'DevSpend'!GG$35+'DevSpend'!GG$38+IF(186=MS_Initial_Closing_Start,ConOtherCosts+ConPoints+RecourseFee+OpReserve,0)</f>
        <v/>
      </c>
      <c r="GH26" s="18">
        <f>'DevSpend'!GH$34+'DevSpend'!GH$35+'DevSpend'!GH$38+IF(187=MS_Initial_Closing_Start,ConOtherCosts+ConPoints+RecourseFee+OpReserve,0)</f>
        <v/>
      </c>
      <c r="GI26" s="18">
        <f>'DevSpend'!GI$34+'DevSpend'!GI$35+'DevSpend'!GI$38+IF(188=MS_Initial_Closing_Start,ConOtherCosts+ConPoints+RecourseFee+OpReserve,0)</f>
        <v/>
      </c>
      <c r="GJ26" s="18">
        <f>'DevSpend'!GJ$34+'DevSpend'!GJ$35+'DevSpend'!GJ$38+IF(189=MS_Initial_Closing_Start,ConOtherCosts+ConPoints+RecourseFee+OpReserve,0)</f>
        <v/>
      </c>
      <c r="GK26" s="18">
        <f>'DevSpend'!GK$34+'DevSpend'!GK$35+'DevSpend'!GK$38+IF(190=MS_Initial_Closing_Start,ConOtherCosts+ConPoints+RecourseFee+OpReserve,0)</f>
        <v/>
      </c>
      <c r="GL26" s="18">
        <f>'DevSpend'!GL$34+'DevSpend'!GL$35+'DevSpend'!GL$38+IF(191=MS_Initial_Closing_Start,ConOtherCosts+ConPoints+RecourseFee+OpReserve,0)</f>
        <v/>
      </c>
      <c r="GM26" s="18">
        <f>'DevSpend'!GM$34+'DevSpend'!GM$35+'DevSpend'!GM$38+IF(192=MS_Initial_Closing_Start,ConOtherCosts+ConPoints+RecourseFee+OpReserve,0)</f>
        <v/>
      </c>
      <c r="GN26" s="18">
        <f>'DevSpend'!GN$34+'DevSpend'!GN$35+'DevSpend'!GN$38+IF(193=MS_Initial_Closing_Start,ConOtherCosts+ConPoints+RecourseFee+OpReserve,0)</f>
        <v/>
      </c>
      <c r="GO26" s="18">
        <f>'DevSpend'!GO$34+'DevSpend'!GO$35+'DevSpend'!GO$38+IF(194=MS_Initial_Closing_Start,ConOtherCosts+ConPoints+RecourseFee+OpReserve,0)</f>
        <v/>
      </c>
      <c r="GP26" s="18">
        <f>'DevSpend'!GP$34+'DevSpend'!GP$35+'DevSpend'!GP$38+IF(195=MS_Initial_Closing_Start,ConOtherCosts+ConPoints+RecourseFee+OpReserve,0)</f>
        <v/>
      </c>
      <c r="GQ26" s="18">
        <f>'DevSpend'!GQ$34+'DevSpend'!GQ$35+'DevSpend'!GQ$38+IF(196=MS_Initial_Closing_Start,ConOtherCosts+ConPoints+RecourseFee+OpReserve,0)</f>
        <v/>
      </c>
      <c r="GR26" s="18">
        <f>'DevSpend'!GR$34+'DevSpend'!GR$35+'DevSpend'!GR$38+IF(197=MS_Initial_Closing_Start,ConOtherCosts+ConPoints+RecourseFee+OpReserve,0)</f>
        <v/>
      </c>
      <c r="GS26" s="18">
        <f>'DevSpend'!GS$34+'DevSpend'!GS$35+'DevSpend'!GS$38+IF(198=MS_Initial_Closing_Start,ConOtherCosts+ConPoints+RecourseFee+OpReserve,0)</f>
        <v/>
      </c>
      <c r="GT26" s="18">
        <f>'DevSpend'!GT$34+'DevSpend'!GT$35+'DevSpend'!GT$38+IF(199=MS_Initial_Closing_Start,ConOtherCosts+ConPoints+RecourseFee+OpReserve,0)</f>
        <v/>
      </c>
      <c r="GU26" s="18">
        <f>'DevSpend'!GU$34+'DevSpend'!GU$35+'DevSpend'!GU$38+IF(200=MS_Initial_Closing_Start,ConOtherCosts+ConPoints+RecourseFee+OpReserve,0)</f>
        <v/>
      </c>
      <c r="GV26" s="18">
        <f>'DevSpend'!GV$34+'DevSpend'!GV$35+'DevSpend'!GV$38+IF(201=MS_Initial_Closing_Start,ConOtherCosts+ConPoints+RecourseFee+OpReserve,0)</f>
        <v/>
      </c>
      <c r="GW26" s="18">
        <f>'DevSpend'!GW$34+'DevSpend'!GW$35+'DevSpend'!GW$38+IF(202=MS_Initial_Closing_Start,ConOtherCosts+ConPoints+RecourseFee+OpReserve,0)</f>
        <v/>
      </c>
      <c r="GX26" s="18">
        <f>'DevSpend'!GX$34+'DevSpend'!GX$35+'DevSpend'!GX$38+IF(203=MS_Initial_Closing_Start,ConOtherCosts+ConPoints+RecourseFee+OpReserve,0)</f>
        <v/>
      </c>
      <c r="GY26" s="18">
        <f>'DevSpend'!GY$34+'DevSpend'!GY$35+'DevSpend'!GY$38+IF(204=MS_Initial_Closing_Start,ConOtherCosts+ConPoints+RecourseFee+OpReserve,0)</f>
        <v/>
      </c>
      <c r="GZ26" s="18">
        <f>'DevSpend'!GZ$34+'DevSpend'!GZ$35+'DevSpend'!GZ$38+IF(205=MS_Initial_Closing_Start,ConOtherCosts+ConPoints+RecourseFee+OpReserve,0)</f>
        <v/>
      </c>
      <c r="HA26" s="18">
        <f>'DevSpend'!HA$34+'DevSpend'!HA$35+'DevSpend'!HA$38+IF(206=MS_Initial_Closing_Start,ConOtherCosts+ConPoints+RecourseFee+OpReserve,0)</f>
        <v/>
      </c>
      <c r="HB26" s="18">
        <f>'DevSpend'!HB$34+'DevSpend'!HB$35+'DevSpend'!HB$38+IF(207=MS_Initial_Closing_Start,ConOtherCosts+ConPoints+RecourseFee+OpReserve,0)</f>
        <v/>
      </c>
      <c r="HC26" s="18">
        <f>'DevSpend'!HC$34+'DevSpend'!HC$35+'DevSpend'!HC$38+IF(208=MS_Initial_Closing_Start,ConOtherCosts+ConPoints+RecourseFee+OpReserve,0)</f>
        <v/>
      </c>
      <c r="HD26" s="18">
        <f>'DevSpend'!HD$34+'DevSpend'!HD$35+'DevSpend'!HD$38+IF(209=MS_Initial_Closing_Start,ConOtherCosts+ConPoints+RecourseFee+OpReserve,0)</f>
        <v/>
      </c>
      <c r="HE26" s="18">
        <f>'DevSpend'!HE$34+'DevSpend'!HE$35+'DevSpend'!HE$38+IF(210=MS_Initial_Closing_Start,ConOtherCosts+ConPoints+RecourseFee+OpReserve,0)</f>
        <v/>
      </c>
      <c r="HF26" s="18">
        <f>'DevSpend'!HF$34+'DevSpend'!HF$35+'DevSpend'!HF$38+IF(211=MS_Initial_Closing_Start,ConOtherCosts+ConPoints+RecourseFee+OpReserve,0)</f>
        <v/>
      </c>
      <c r="HG26" s="18">
        <f>'DevSpend'!HG$34+'DevSpend'!HG$35+'DevSpend'!HG$38+IF(212=MS_Initial_Closing_Start,ConOtherCosts+ConPoints+RecourseFee+OpReserve,0)</f>
        <v/>
      </c>
      <c r="HH26" s="18">
        <f>'DevSpend'!HH$34+'DevSpend'!HH$35+'DevSpend'!HH$38+IF(213=MS_Initial_Closing_Start,ConOtherCosts+ConPoints+RecourseFee+OpReserve,0)</f>
        <v/>
      </c>
      <c r="HI26" s="18">
        <f>'DevSpend'!HI$34+'DevSpend'!HI$35+'DevSpend'!HI$38+IF(214=MS_Initial_Closing_Start,ConOtherCosts+ConPoints+RecourseFee+OpReserve,0)</f>
        <v/>
      </c>
      <c r="HJ26" s="18">
        <f>'DevSpend'!HJ$34+'DevSpend'!HJ$35+'DevSpend'!HJ$38+IF(215=MS_Initial_Closing_Start,ConOtherCosts+ConPoints+RecourseFee+OpReserve,0)</f>
        <v/>
      </c>
      <c r="HK26" s="18">
        <f>'DevSpend'!HK$34+'DevSpend'!HK$35+'DevSpend'!HK$38+IF(216=MS_Initial_Closing_Start,ConOtherCosts+ConPoints+RecourseFee+OpReserve,0)</f>
        <v/>
      </c>
      <c r="HL26" s="18">
        <f>'DevSpend'!HL$34+'DevSpend'!HL$35+'DevSpend'!HL$38+IF(217=MS_Initial_Closing_Start,ConOtherCosts+ConPoints+RecourseFee+OpReserve,0)</f>
        <v/>
      </c>
      <c r="HM26" s="18">
        <f>'DevSpend'!HM$34+'DevSpend'!HM$35+'DevSpend'!HM$38+IF(218=MS_Initial_Closing_Start,ConOtherCosts+ConPoints+RecourseFee+OpReserve,0)</f>
        <v/>
      </c>
      <c r="HN26" s="18">
        <f>'DevSpend'!HN$34+'DevSpend'!HN$35+'DevSpend'!HN$38+IF(219=MS_Initial_Closing_Start,ConOtherCosts+ConPoints+RecourseFee+OpReserve,0)</f>
        <v/>
      </c>
      <c r="HO26" s="18">
        <f>'DevSpend'!HO$34+'DevSpend'!HO$35+'DevSpend'!HO$38+IF(220=MS_Initial_Closing_Start,ConOtherCosts+ConPoints+RecourseFee+OpReserve,0)</f>
        <v/>
      </c>
      <c r="HP26" s="18">
        <f>'DevSpend'!HP$34+'DevSpend'!HP$35+'DevSpend'!HP$38+IF(221=MS_Initial_Closing_Start,ConOtherCosts+ConPoints+RecourseFee+OpReserve,0)</f>
        <v/>
      </c>
      <c r="HQ26" s="18">
        <f>'DevSpend'!HQ$34+'DevSpend'!HQ$35+'DevSpend'!HQ$38+IF(222=MS_Initial_Closing_Start,ConOtherCosts+ConPoints+RecourseFee+OpReserve,0)</f>
        <v/>
      </c>
      <c r="HR26" s="18">
        <f>'DevSpend'!HR$34+'DevSpend'!HR$35+'DevSpend'!HR$38+IF(223=MS_Initial_Closing_Start,ConOtherCosts+ConPoints+RecourseFee+OpReserve,0)</f>
        <v/>
      </c>
      <c r="HS26" s="18">
        <f>'DevSpend'!HS$34+'DevSpend'!HS$35+'DevSpend'!HS$38+IF(224=MS_Initial_Closing_Start,ConOtherCosts+ConPoints+RecourseFee+OpReserve,0)</f>
        <v/>
      </c>
      <c r="HT26" s="18">
        <f>'DevSpend'!HT$34+'DevSpend'!HT$35+'DevSpend'!HT$38+IF(225=MS_Initial_Closing_Start,ConOtherCosts+ConPoints+RecourseFee+OpReserve,0)</f>
        <v/>
      </c>
      <c r="HU26" s="18">
        <f>'DevSpend'!HU$34+'DevSpend'!HU$35+'DevSpend'!HU$38+IF(226=MS_Initial_Closing_Start,ConOtherCosts+ConPoints+RecourseFee+OpReserve,0)</f>
        <v/>
      </c>
      <c r="HV26" s="18">
        <f>'DevSpend'!HV$34+'DevSpend'!HV$35+'DevSpend'!HV$38+IF(227=MS_Initial_Closing_Start,ConOtherCosts+ConPoints+RecourseFee+OpReserve,0)</f>
        <v/>
      </c>
      <c r="HW26" s="18">
        <f>'DevSpend'!HW$34+'DevSpend'!HW$35+'DevSpend'!HW$38+IF(228=MS_Initial_Closing_Start,ConOtherCosts+ConPoints+RecourseFee+OpReserve,0)</f>
        <v/>
      </c>
      <c r="HX26" s="18">
        <f>'DevSpend'!HX$34+'DevSpend'!HX$35+'DevSpend'!HX$38+IF(229=MS_Initial_Closing_Start,ConOtherCosts+ConPoints+RecourseFee+OpReserve,0)</f>
        <v/>
      </c>
      <c r="HY26" s="18">
        <f>'DevSpend'!HY$34+'DevSpend'!HY$35+'DevSpend'!HY$38+IF(230=MS_Initial_Closing_Start,ConOtherCosts+ConPoints+RecourseFee+OpReserve,0)</f>
        <v/>
      </c>
      <c r="HZ26" s="18">
        <f>'DevSpend'!HZ$34+'DevSpend'!HZ$35+'DevSpend'!HZ$38+IF(231=MS_Initial_Closing_Start,ConOtherCosts+ConPoints+RecourseFee+OpReserve,0)</f>
        <v/>
      </c>
      <c r="IA26" s="18">
        <f>'DevSpend'!IA$34+'DevSpend'!IA$35+'DevSpend'!IA$38+IF(232=MS_Initial_Closing_Start,ConOtherCosts+ConPoints+RecourseFee+OpReserve,0)</f>
        <v/>
      </c>
      <c r="IB26" s="18">
        <f>'DevSpend'!IB$34+'DevSpend'!IB$35+'DevSpend'!IB$38+IF(233=MS_Initial_Closing_Start,ConOtherCosts+ConPoints+RecourseFee+OpReserve,0)</f>
        <v/>
      </c>
      <c r="IC26" s="18">
        <f>'DevSpend'!IC$34+'DevSpend'!IC$35+'DevSpend'!IC$38+IF(234=MS_Initial_Closing_Start,ConOtherCosts+ConPoints+RecourseFee+OpReserve,0)</f>
        <v/>
      </c>
      <c r="ID26" s="18">
        <f>'DevSpend'!ID$34+'DevSpend'!ID$35+'DevSpend'!ID$38+IF(235=MS_Initial_Closing_Start,ConOtherCosts+ConPoints+RecourseFee+OpReserve,0)</f>
        <v/>
      </c>
      <c r="IE26" s="18">
        <f>'DevSpend'!IE$34+'DevSpend'!IE$35+'DevSpend'!IE$38+IF(236=MS_Initial_Closing_Start,ConOtherCosts+ConPoints+RecourseFee+OpReserve,0)</f>
        <v/>
      </c>
      <c r="IF26" s="18">
        <f>'DevSpend'!IF$34+'DevSpend'!IF$35+'DevSpend'!IF$38+IF(237=MS_Initial_Closing_Start,ConOtherCosts+ConPoints+RecourseFee+OpReserve,0)</f>
        <v/>
      </c>
      <c r="IG26" s="18">
        <f>'DevSpend'!IG$34+'DevSpend'!IG$35+'DevSpend'!IG$38+IF(238=MS_Initial_Closing_Start,ConOtherCosts+ConPoints+RecourseFee+OpReserve,0)</f>
        <v/>
      </c>
      <c r="IH26" s="18">
        <f>'DevSpend'!IH$34+'DevSpend'!IH$35+'DevSpend'!IH$38+IF(239=MS_Initial_Closing_Start,ConOtherCosts+ConPoints+RecourseFee+OpReserve,0)</f>
        <v/>
      </c>
      <c r="II26" s="18">
        <f>'DevSpend'!II$34+'DevSpend'!II$35+'DevSpend'!II$38+IF(240=MS_Initial_Closing_Start,ConOtherCosts+ConPoints+RecourseFee+OpReserve,0)</f>
        <v/>
      </c>
      <c r="IJ26" s="18">
        <f>'DevSpend'!IJ$34+'DevSpend'!IJ$35+'DevSpend'!IJ$38+IF(241=MS_Initial_Closing_Start,ConOtherCosts+ConPoints+RecourseFee+OpReserve,0)</f>
        <v/>
      </c>
      <c r="IK26" s="18">
        <f>'DevSpend'!IK$34+'DevSpend'!IK$35+'DevSpend'!IK$38+IF(242=MS_Initial_Closing_Start,ConOtherCosts+ConPoints+RecourseFee+OpReserve,0)</f>
        <v/>
      </c>
      <c r="IL26" s="18">
        <f>'DevSpend'!IL$34+'DevSpend'!IL$35+'DevSpend'!IL$38+IF(243=MS_Initial_Closing_Start,ConOtherCosts+ConPoints+RecourseFee+OpReserve,0)</f>
        <v/>
      </c>
      <c r="IM26" s="18">
        <f>'DevSpend'!IM$34+'DevSpend'!IM$35+'DevSpend'!IM$38+IF(244=MS_Initial_Closing_Start,ConOtherCosts+ConPoints+RecourseFee+OpReserve,0)</f>
        <v/>
      </c>
      <c r="IN26" s="18">
        <f>'DevSpend'!IN$34+'DevSpend'!IN$35+'DevSpend'!IN$38+IF(245=MS_Initial_Closing_Start,ConOtherCosts+ConPoints+RecourseFee+OpReserve,0)</f>
        <v/>
      </c>
      <c r="IO26" s="18">
        <f>'DevSpend'!IO$34+'DevSpend'!IO$35+'DevSpend'!IO$38+IF(246=MS_Initial_Closing_Start,ConOtherCosts+ConPoints+RecourseFee+OpReserve,0)</f>
        <v/>
      </c>
      <c r="IP26" s="18">
        <f>'DevSpend'!IP$34+'DevSpend'!IP$35+'DevSpend'!IP$38+IF(247=MS_Initial_Closing_Start,ConOtherCosts+ConPoints+RecourseFee+OpReserve,0)</f>
        <v/>
      </c>
      <c r="IQ26" s="18">
        <f>'DevSpend'!IQ$34+'DevSpend'!IQ$35+'DevSpend'!IQ$38+IF(248=MS_Initial_Closing_Start,ConOtherCosts+ConPoints+RecourseFee+OpReserve,0)</f>
        <v/>
      </c>
      <c r="IR26" s="18">
        <f>'DevSpend'!IR$34+'DevSpend'!IR$35+'DevSpend'!IR$38+IF(249=MS_Initial_Closing_Start,ConOtherCosts+ConPoints+RecourseFee+OpReserve,0)</f>
        <v/>
      </c>
      <c r="IS26" s="18">
        <f>'DevSpend'!IS$34+'DevSpend'!IS$35+'DevSpend'!IS$38+IF(250=MS_Initial_Closing_Start,ConOtherCosts+ConPoints+RecourseFee+OpReserve,0)</f>
        <v/>
      </c>
      <c r="IT26" s="18">
        <f>'DevSpend'!IT$34+'DevSpend'!IT$35+'DevSpend'!IT$38+IF(251=MS_Initial_Closing_Start,ConOtherCosts+ConPoints+RecourseFee+OpReserve,0)</f>
        <v/>
      </c>
      <c r="IU26" s="18">
        <f>'DevSpend'!IU$34+'DevSpend'!IU$35+'DevSpend'!IU$38+IF(252=MS_Initial_Closing_Start,ConOtherCosts+ConPoints+RecourseFee+OpReserve,0)</f>
        <v/>
      </c>
      <c r="IV26" s="18">
        <f>'DevSpend'!IV$34+'DevSpend'!IV$35+'DevSpend'!IV$38+IF(253=MS_Initial_Closing_Start,ConOtherCosts+ConPoints+RecourseFee+OpReserve,0)</f>
        <v/>
      </c>
      <c r="IW26" s="18">
        <f>'DevSpend'!IW$34+'DevSpend'!IW$35+'DevSpend'!IW$38+IF(254=MS_Initial_Closing_Start,ConOtherCosts+ConPoints+RecourseFee+OpReserve,0)</f>
        <v/>
      </c>
      <c r="IX26" s="18">
        <f>'DevSpend'!IX$34+'DevSpend'!IX$35+'DevSpend'!IX$38+IF(255=MS_Initial_Closing_Start,ConOtherCosts+ConPoints+RecourseFee+OpReserve,0)</f>
        <v/>
      </c>
      <c r="IY26" s="18">
        <f>'DevSpend'!IY$34+'DevSpend'!IY$35+'DevSpend'!IY$38+IF(256=MS_Initial_Closing_Start,ConOtherCosts+ConPoints+RecourseFee+OpReserve,0)</f>
        <v/>
      </c>
      <c r="IZ26" s="18">
        <f>'DevSpend'!IZ$34+'DevSpend'!IZ$35+'DevSpend'!IZ$38+IF(257=MS_Initial_Closing_Start,ConOtherCosts+ConPoints+RecourseFee+OpReserve,0)</f>
        <v/>
      </c>
      <c r="JA26" s="18">
        <f>'DevSpend'!JA$34+'DevSpend'!JA$35+'DevSpend'!JA$38+IF(258=MS_Initial_Closing_Start,ConOtherCosts+ConPoints+RecourseFee+OpReserve,0)</f>
        <v/>
      </c>
      <c r="JB26" s="18">
        <f>'DevSpend'!JB$34+'DevSpend'!JB$35+'DevSpend'!JB$38+IF(259=MS_Initial_Closing_Start,ConOtherCosts+ConPoints+RecourseFee+OpReserve,0)</f>
        <v/>
      </c>
      <c r="JC26" s="18">
        <f>'DevSpend'!JC$34+'DevSpend'!JC$35+'DevSpend'!JC$38+IF(260=MS_Initial_Closing_Start,ConOtherCosts+ConPoints+RecourseFee+OpReserve,0)</f>
        <v/>
      </c>
      <c r="JD26" s="18">
        <f>'DevSpend'!JD$34+'DevSpend'!JD$35+'DevSpend'!JD$38+IF(261=MS_Initial_Closing_Start,ConOtherCosts+ConPoints+RecourseFee+OpReserve,0)</f>
        <v/>
      </c>
      <c r="JE26" s="18">
        <f>'DevSpend'!JE$34+'DevSpend'!JE$35+'DevSpend'!JE$38+IF(262=MS_Initial_Closing_Start,ConOtherCosts+ConPoints+RecourseFee+OpReserve,0)</f>
        <v/>
      </c>
      <c r="JF26" s="18">
        <f>'DevSpend'!JF$34+'DevSpend'!JF$35+'DevSpend'!JF$38+IF(263=MS_Initial_Closing_Start,ConOtherCosts+ConPoints+RecourseFee+OpReserve,0)</f>
        <v/>
      </c>
      <c r="JG26" s="18">
        <f>'DevSpend'!JG$34+'DevSpend'!JG$35+'DevSpend'!JG$38+IF(264=MS_Initial_Closing_Start,ConOtherCosts+ConPoints+RecourseFee+OpReserve,0)</f>
        <v/>
      </c>
      <c r="JH26" s="18">
        <f>'DevSpend'!JH$34+'DevSpend'!JH$35+'DevSpend'!JH$38+IF(265=MS_Initial_Closing_Start,ConOtherCosts+ConPoints+RecourseFee+OpReserve,0)</f>
        <v/>
      </c>
      <c r="JI26" s="18">
        <f>'DevSpend'!JI$34+'DevSpend'!JI$35+'DevSpend'!JI$38+IF(266=MS_Initial_Closing_Start,ConOtherCosts+ConPoints+RecourseFee+OpReserve,0)</f>
        <v/>
      </c>
      <c r="JJ26" s="18">
        <f>'DevSpend'!JJ$34+'DevSpend'!JJ$35+'DevSpend'!JJ$38+IF(267=MS_Initial_Closing_Start,ConOtherCosts+ConPoints+RecourseFee+OpReserve,0)</f>
        <v/>
      </c>
      <c r="JK26" s="18">
        <f>'DevSpend'!JK$34+'DevSpend'!JK$35+'DevSpend'!JK$38+IF(268=MS_Initial_Closing_Start,ConOtherCosts+ConPoints+RecourseFee+OpReserve,0)</f>
        <v/>
      </c>
      <c r="JL26" s="18">
        <f>'DevSpend'!JL$34+'DevSpend'!JL$35+'DevSpend'!JL$38+IF(269=MS_Initial_Closing_Start,ConOtherCosts+ConPoints+RecourseFee+OpReserve,0)</f>
        <v/>
      </c>
      <c r="JM26" s="18">
        <f>'DevSpend'!JM$34+'DevSpend'!JM$35+'DevSpend'!JM$38+IF(270=MS_Initial_Closing_Start,ConOtherCosts+ConPoints+RecourseFee+OpReserve,0)</f>
        <v/>
      </c>
      <c r="JN26" s="18">
        <f>'DevSpend'!JN$34+'DevSpend'!JN$35+'DevSpend'!JN$38+IF(271=MS_Initial_Closing_Start,ConOtherCosts+ConPoints+RecourseFee+OpReserve,0)</f>
        <v/>
      </c>
      <c r="JO26" s="18">
        <f>'DevSpend'!JO$34+'DevSpend'!JO$35+'DevSpend'!JO$38+IF(272=MS_Initial_Closing_Start,ConOtherCosts+ConPoints+RecourseFee+OpReserve,0)</f>
        <v/>
      </c>
      <c r="JP26" s="18">
        <f>'DevSpend'!JP$34+'DevSpend'!JP$35+'DevSpend'!JP$38+IF(273=MS_Initial_Closing_Start,ConOtherCosts+ConPoints+RecourseFee+OpReserve,0)</f>
        <v/>
      </c>
      <c r="JQ26" s="18">
        <f>'DevSpend'!JQ$34+'DevSpend'!JQ$35+'DevSpend'!JQ$38+IF(274=MS_Initial_Closing_Start,ConOtherCosts+ConPoints+RecourseFee+OpReserve,0)</f>
        <v/>
      </c>
      <c r="JR26" s="18">
        <f>'DevSpend'!JR$34+'DevSpend'!JR$35+'DevSpend'!JR$38+IF(275=MS_Initial_Closing_Start,ConOtherCosts+ConPoints+RecourseFee+OpReserve,0)</f>
        <v/>
      </c>
      <c r="JS26" s="18">
        <f>'DevSpend'!JS$34+'DevSpend'!JS$35+'DevSpend'!JS$38+IF(276=MS_Initial_Closing_Start,ConOtherCosts+ConPoints+RecourseFee+OpReserve,0)</f>
        <v/>
      </c>
      <c r="JT26" s="18">
        <f>'DevSpend'!JT$34+'DevSpend'!JT$35+'DevSpend'!JT$38+IF(277=MS_Initial_Closing_Start,ConOtherCosts+ConPoints+RecourseFee+OpReserve,0)</f>
        <v/>
      </c>
      <c r="JU26" s="18">
        <f>'DevSpend'!JU$34+'DevSpend'!JU$35+'DevSpend'!JU$38+IF(278=MS_Initial_Closing_Start,ConOtherCosts+ConPoints+RecourseFee+OpReserve,0)</f>
        <v/>
      </c>
      <c r="JV26" s="18">
        <f>'DevSpend'!JV$34+'DevSpend'!JV$35+'DevSpend'!JV$38+IF(279=MS_Initial_Closing_Start,ConOtherCosts+ConPoints+RecourseFee+OpReserve,0)</f>
        <v/>
      </c>
      <c r="JW26" s="18">
        <f>'DevSpend'!JW$34+'DevSpend'!JW$35+'DevSpend'!JW$38+IF(280=MS_Initial_Closing_Start,ConOtherCosts+ConPoints+RecourseFee+OpReserve,0)</f>
        <v/>
      </c>
      <c r="JX26" s="18">
        <f>'DevSpend'!JX$34+'DevSpend'!JX$35+'DevSpend'!JX$38+IF(281=MS_Initial_Closing_Start,ConOtherCosts+ConPoints+RecourseFee+OpReserve,0)</f>
        <v/>
      </c>
      <c r="JY26" s="18">
        <f>'DevSpend'!JY$34+'DevSpend'!JY$35+'DevSpend'!JY$38+IF(282=MS_Initial_Closing_Start,ConOtherCosts+ConPoints+RecourseFee+OpReserve,0)</f>
        <v/>
      </c>
      <c r="JZ26" s="18">
        <f>'DevSpend'!JZ$34+'DevSpend'!JZ$35+'DevSpend'!JZ$38+IF(283=MS_Initial_Closing_Start,ConOtherCosts+ConPoints+RecourseFee+OpReserve,0)</f>
        <v/>
      </c>
      <c r="KA26" s="18">
        <f>'DevSpend'!KA$34+'DevSpend'!KA$35+'DevSpend'!KA$38+IF(284=MS_Initial_Closing_Start,ConOtherCosts+ConPoints+RecourseFee+OpReserve,0)</f>
        <v/>
      </c>
      <c r="KB26" s="18">
        <f>'DevSpend'!KB$34+'DevSpend'!KB$35+'DevSpend'!KB$38+IF(285=MS_Initial_Closing_Start,ConOtherCosts+ConPoints+RecourseFee+OpReserve,0)</f>
        <v/>
      </c>
      <c r="KC26" s="18">
        <f>'DevSpend'!KC$34+'DevSpend'!KC$35+'DevSpend'!KC$38+IF(286=MS_Initial_Closing_Start,ConOtherCosts+ConPoints+RecourseFee+OpReserve,0)</f>
        <v/>
      </c>
      <c r="KD26" s="18">
        <f>'DevSpend'!KD$34+'DevSpend'!KD$35+'DevSpend'!KD$38+IF(287=MS_Initial_Closing_Start,ConOtherCosts+ConPoints+RecourseFee+OpReserve,0)</f>
        <v/>
      </c>
      <c r="KE26" s="18">
        <f>'DevSpend'!KE$34+'DevSpend'!KE$35+'DevSpend'!KE$38+IF(288=MS_Initial_Closing_Start,ConOtherCosts+ConPoints+RecourseFee+OpReserve,0)</f>
        <v/>
      </c>
      <c r="KF26" s="18">
        <f>'DevSpend'!KF$34+'DevSpend'!KF$35+'DevSpend'!KF$38+IF(289=MS_Initial_Closing_Start,ConOtherCosts+ConPoints+RecourseFee+OpReserve,0)</f>
        <v/>
      </c>
      <c r="KG26" s="18">
        <f>'DevSpend'!KG$34+'DevSpend'!KG$35+'DevSpend'!KG$38+IF(290=MS_Initial_Closing_Start,ConOtherCosts+ConPoints+RecourseFee+OpReserve,0)</f>
        <v/>
      </c>
      <c r="KH26" s="18">
        <f>'DevSpend'!KH$34+'DevSpend'!KH$35+'DevSpend'!KH$38+IF(291=MS_Initial_Closing_Start,ConOtherCosts+ConPoints+RecourseFee+OpReserve,0)</f>
        <v/>
      </c>
      <c r="KI26" s="18">
        <f>'DevSpend'!KI$34+'DevSpend'!KI$35+'DevSpend'!KI$38+IF(292=MS_Initial_Closing_Start,ConOtherCosts+ConPoints+RecourseFee+OpReserve,0)</f>
        <v/>
      </c>
      <c r="KJ26" s="18">
        <f>'DevSpend'!KJ$34+'DevSpend'!KJ$35+'DevSpend'!KJ$38+IF(293=MS_Initial_Closing_Start,ConOtherCosts+ConPoints+RecourseFee+OpReserve,0)</f>
        <v/>
      </c>
      <c r="KK26" s="18">
        <f>'DevSpend'!KK$34+'DevSpend'!KK$35+'DevSpend'!KK$38+IF(294=MS_Initial_Closing_Start,ConOtherCosts+ConPoints+RecourseFee+OpReserve,0)</f>
        <v/>
      </c>
      <c r="KL26" s="18">
        <f>'DevSpend'!KL$34+'DevSpend'!KL$35+'DevSpend'!KL$38+IF(295=MS_Initial_Closing_Start,ConOtherCosts+ConPoints+RecourseFee+OpReserve,0)</f>
        <v/>
      </c>
      <c r="KM26" s="18">
        <f>'DevSpend'!KM$34+'DevSpend'!KM$35+'DevSpend'!KM$38+IF(296=MS_Initial_Closing_Start,ConOtherCosts+ConPoints+RecourseFee+OpReserve,0)</f>
        <v/>
      </c>
      <c r="KN26" s="18">
        <f>'DevSpend'!KN$34+'DevSpend'!KN$35+'DevSpend'!KN$38+IF(297=MS_Initial_Closing_Start,ConOtherCosts+ConPoints+RecourseFee+OpReserve,0)</f>
        <v/>
      </c>
      <c r="KO26" s="18">
        <f>'DevSpend'!KO$34+'DevSpend'!KO$35+'DevSpend'!KO$38+IF(298=MS_Initial_Closing_Start,ConOtherCosts+ConPoints+RecourseFee+OpReserve,0)</f>
        <v/>
      </c>
      <c r="KP26" s="18">
        <f>'DevSpend'!KP$34+'DevSpend'!KP$35+'DevSpend'!KP$38+IF(299=MS_Initial_Closing_Start,ConOtherCosts+ConPoints+RecourseFee+OpReserve,0)</f>
        <v/>
      </c>
      <c r="KQ26" s="18">
        <f>'DevSpend'!KQ$34+'DevSpend'!KQ$35+'DevSpend'!KQ$38+IF(300=MS_Initial_Closing_Start,ConOtherCosts+ConPoints+RecourseFee+OpReserve,0)</f>
        <v/>
      </c>
      <c r="KR26" s="18">
        <f>'DevSpend'!KR$34+'DevSpend'!KR$35+'DevSpend'!KR$38+IF(301=MS_Initial_Closing_Start,ConOtherCosts+ConPoints+RecourseFee+OpReserve,0)</f>
        <v/>
      </c>
      <c r="KS26" s="18">
        <f>'DevSpend'!KS$34+'DevSpend'!KS$35+'DevSpend'!KS$38+IF(302=MS_Initial_Closing_Start,ConOtherCosts+ConPoints+RecourseFee+OpReserve,0)</f>
        <v/>
      </c>
      <c r="KT26" s="18">
        <f>'DevSpend'!KT$34+'DevSpend'!KT$35+'DevSpend'!KT$38+IF(303=MS_Initial_Closing_Start,ConOtherCosts+ConPoints+RecourseFee+OpReserve,0)</f>
        <v/>
      </c>
      <c r="KU26" s="18">
        <f>'DevSpend'!KU$34+'DevSpend'!KU$35+'DevSpend'!KU$38+IF(304=MS_Initial_Closing_Start,ConOtherCosts+ConPoints+RecourseFee+OpReserve,0)</f>
        <v/>
      </c>
      <c r="KV26" s="18">
        <f>'DevSpend'!KV$34+'DevSpend'!KV$35+'DevSpend'!KV$38+IF(305=MS_Initial_Closing_Start,ConOtherCosts+ConPoints+RecourseFee+OpReserve,0)</f>
        <v/>
      </c>
      <c r="KW26" s="18">
        <f>'DevSpend'!KW$34+'DevSpend'!KW$35+'DevSpend'!KW$38+IF(306=MS_Initial_Closing_Start,ConOtherCosts+ConPoints+RecourseFee+OpReserve,0)</f>
        <v/>
      </c>
      <c r="KX26" s="18">
        <f>'DevSpend'!KX$34+'DevSpend'!KX$35+'DevSpend'!KX$38+IF(307=MS_Initial_Closing_Start,ConOtherCosts+ConPoints+RecourseFee+OpReserve,0)</f>
        <v/>
      </c>
      <c r="KY26" s="18">
        <f>'DevSpend'!KY$34+'DevSpend'!KY$35+'DevSpend'!KY$38+IF(308=MS_Initial_Closing_Start,ConOtherCosts+ConPoints+RecourseFee+OpReserve,0)</f>
        <v/>
      </c>
      <c r="KZ26" s="18">
        <f>'DevSpend'!KZ$34+'DevSpend'!KZ$35+'DevSpend'!KZ$38+IF(309=MS_Initial_Closing_Start,ConOtherCosts+ConPoints+RecourseFee+OpReserve,0)</f>
        <v/>
      </c>
      <c r="LA26" s="18">
        <f>'DevSpend'!LA$34+'DevSpend'!LA$35+'DevSpend'!LA$38+IF(310=MS_Initial_Closing_Start,ConOtherCosts+ConPoints+RecourseFee+OpReserve,0)</f>
        <v/>
      </c>
      <c r="LB26" s="18">
        <f>'DevSpend'!LB$34+'DevSpend'!LB$35+'DevSpend'!LB$38+IF(311=MS_Initial_Closing_Start,ConOtherCosts+ConPoints+RecourseFee+OpReserve,0)</f>
        <v/>
      </c>
      <c r="LC26" s="18">
        <f>'DevSpend'!LC$34+'DevSpend'!LC$35+'DevSpend'!LC$38+IF(312=MS_Initial_Closing_Start,ConOtherCosts+ConPoints+RecourseFee+OpReserve,0)</f>
        <v/>
      </c>
      <c r="LD26" s="18">
        <f>'DevSpend'!LD$34+'DevSpend'!LD$35+'DevSpend'!LD$38+IF(313=MS_Initial_Closing_Start,ConOtherCosts+ConPoints+RecourseFee+OpReserve,0)</f>
        <v/>
      </c>
      <c r="LE26" s="18">
        <f>'DevSpend'!LE$34+'DevSpend'!LE$35+'DevSpend'!LE$38+IF(314=MS_Initial_Closing_Start,ConOtherCosts+ConPoints+RecourseFee+OpReserve,0)</f>
        <v/>
      </c>
      <c r="LF26" s="18">
        <f>'DevSpend'!LF$34+'DevSpend'!LF$35+'DevSpend'!LF$38+IF(315=MS_Initial_Closing_Start,ConOtherCosts+ConPoints+RecourseFee+OpReserve,0)</f>
        <v/>
      </c>
      <c r="LG26" s="18">
        <f>'DevSpend'!LG$34+'DevSpend'!LG$35+'DevSpend'!LG$38+IF(316=MS_Initial_Closing_Start,ConOtherCosts+ConPoints+RecourseFee+OpReserve,0)</f>
        <v/>
      </c>
      <c r="LH26" s="18">
        <f>'DevSpend'!LH$34+'DevSpend'!LH$35+'DevSpend'!LH$38+IF(317=MS_Initial_Closing_Start,ConOtherCosts+ConPoints+RecourseFee+OpReserve,0)</f>
        <v/>
      </c>
      <c r="LI26" s="18">
        <f>'DevSpend'!LI$34+'DevSpend'!LI$35+'DevSpend'!LI$38+IF(318=MS_Initial_Closing_Start,ConOtherCosts+ConPoints+RecourseFee+OpReserve,0)</f>
        <v/>
      </c>
      <c r="LJ26" s="18">
        <f>'DevSpend'!LJ$34+'DevSpend'!LJ$35+'DevSpend'!LJ$38+IF(319=MS_Initial_Closing_Start,ConOtherCosts+ConPoints+RecourseFee+OpReserve,0)</f>
        <v/>
      </c>
      <c r="LK26" s="18">
        <f>'DevSpend'!LK$34+'DevSpend'!LK$35+'DevSpend'!LK$38+IF(320=MS_Initial_Closing_Start,ConOtherCosts+ConPoints+RecourseFee+OpReserve,0)</f>
        <v/>
      </c>
      <c r="LL26" s="18">
        <f>'DevSpend'!LL$34+'DevSpend'!LL$35+'DevSpend'!LL$38+IF(321=MS_Initial_Closing_Start,ConOtherCosts+ConPoints+RecourseFee+OpReserve,0)</f>
        <v/>
      </c>
      <c r="LM26" s="18">
        <f>'DevSpend'!LM$34+'DevSpend'!LM$35+'DevSpend'!LM$38+IF(322=MS_Initial_Closing_Start,ConOtherCosts+ConPoints+RecourseFee+OpReserve,0)</f>
        <v/>
      </c>
      <c r="LN26" s="18">
        <f>'DevSpend'!LN$34+'DevSpend'!LN$35+'DevSpend'!LN$38+IF(323=MS_Initial_Closing_Start,ConOtherCosts+ConPoints+RecourseFee+OpReserve,0)</f>
        <v/>
      </c>
      <c r="LO26" s="18">
        <f>'DevSpend'!LO$34+'DevSpend'!LO$35+'DevSpend'!LO$38+IF(324=MS_Initial_Closing_Start,ConOtherCosts+ConPoints+RecourseFee+OpReserve,0)</f>
        <v/>
      </c>
      <c r="LP26" s="18">
        <f>'DevSpend'!LP$34+'DevSpend'!LP$35+'DevSpend'!LP$38+IF(325=MS_Initial_Closing_Start,ConOtherCosts+ConPoints+RecourseFee+OpReserve,0)</f>
        <v/>
      </c>
      <c r="LQ26" s="18">
        <f>'DevSpend'!LQ$34+'DevSpend'!LQ$35+'DevSpend'!LQ$38+IF(326=MS_Initial_Closing_Start,ConOtherCosts+ConPoints+RecourseFee+OpReserve,0)</f>
        <v/>
      </c>
      <c r="LR26" s="18">
        <f>'DevSpend'!LR$34+'DevSpend'!LR$35+'DevSpend'!LR$38+IF(327=MS_Initial_Closing_Start,ConOtherCosts+ConPoints+RecourseFee+OpReserve,0)</f>
        <v/>
      </c>
      <c r="LS26" s="18">
        <f>'DevSpend'!LS$34+'DevSpend'!LS$35+'DevSpend'!LS$38+IF(328=MS_Initial_Closing_Start,ConOtherCosts+ConPoints+RecourseFee+OpReserve,0)</f>
        <v/>
      </c>
      <c r="LT26" s="18">
        <f>'DevSpend'!LT$34+'DevSpend'!LT$35+'DevSpend'!LT$38+IF(329=MS_Initial_Closing_Start,ConOtherCosts+ConPoints+RecourseFee+OpReserve,0)</f>
        <v/>
      </c>
      <c r="LU26" s="18">
        <f>'DevSpend'!LU$34+'DevSpend'!LU$35+'DevSpend'!LU$38+IF(330=MS_Initial_Closing_Start,ConOtherCosts+ConPoints+RecourseFee+OpReserve,0)</f>
        <v/>
      </c>
      <c r="LV26" s="18">
        <f>'DevSpend'!LV$34+'DevSpend'!LV$35+'DevSpend'!LV$38+IF(331=MS_Initial_Closing_Start,ConOtherCosts+ConPoints+RecourseFee+OpReserve,0)</f>
        <v/>
      </c>
      <c r="LW26" s="18">
        <f>'DevSpend'!LW$34+'DevSpend'!LW$35+'DevSpend'!LW$38+IF(332=MS_Initial_Closing_Start,ConOtherCosts+ConPoints+RecourseFee+OpReserve,0)</f>
        <v/>
      </c>
      <c r="LX26" s="18">
        <f>'DevSpend'!LX$34+'DevSpend'!LX$35+'DevSpend'!LX$38+IF(333=MS_Initial_Closing_Start,ConOtherCosts+ConPoints+RecourseFee+OpReserve,0)</f>
        <v/>
      </c>
      <c r="LY26" s="18">
        <f>'DevSpend'!LY$34+'DevSpend'!LY$35+'DevSpend'!LY$38+IF(334=MS_Initial_Closing_Start,ConOtherCosts+ConPoints+RecourseFee+OpReserve,0)</f>
        <v/>
      </c>
      <c r="LZ26" s="18">
        <f>'DevSpend'!LZ$34+'DevSpend'!LZ$35+'DevSpend'!LZ$38+IF(335=MS_Initial_Closing_Start,ConOtherCosts+ConPoints+RecourseFee+OpReserve,0)</f>
        <v/>
      </c>
      <c r="MA26" s="18">
        <f>'DevSpend'!MA$34+'DevSpend'!MA$35+'DevSpend'!MA$38+IF(336=MS_Initial_Closing_Start,ConOtherCosts+ConPoints+RecourseFee+OpReserve,0)</f>
        <v/>
      </c>
      <c r="MB26" s="18">
        <f>'DevSpend'!MB$34+'DevSpend'!MB$35+'DevSpend'!MB$38+IF(337=MS_Initial_Closing_Start,ConOtherCosts+ConPoints+RecourseFee+OpReserve,0)</f>
        <v/>
      </c>
      <c r="MC26" s="18">
        <f>'DevSpend'!MC$34+'DevSpend'!MC$35+'DevSpend'!MC$38+IF(338=MS_Initial_Closing_Start,ConOtherCosts+ConPoints+RecourseFee+OpReserve,0)</f>
        <v/>
      </c>
      <c r="MD26" s="18">
        <f>'DevSpend'!MD$34+'DevSpend'!MD$35+'DevSpend'!MD$38+IF(339=MS_Initial_Closing_Start,ConOtherCosts+ConPoints+RecourseFee+OpReserve,0)</f>
        <v/>
      </c>
      <c r="ME26" s="18">
        <f>'DevSpend'!ME$34+'DevSpend'!ME$35+'DevSpend'!ME$38+IF(340=MS_Initial_Closing_Start,ConOtherCosts+ConPoints+RecourseFee+OpReserve,0)</f>
        <v/>
      </c>
      <c r="MF26" s="18">
        <f>'DevSpend'!MF$34+'DevSpend'!MF$35+'DevSpend'!MF$38+IF(341=MS_Initial_Closing_Start,ConOtherCosts+ConPoints+RecourseFee+OpReserve,0)</f>
        <v/>
      </c>
      <c r="MG26" s="18">
        <f>'DevSpend'!MG$34+'DevSpend'!MG$35+'DevSpend'!MG$38+IF(342=MS_Initial_Closing_Start,ConOtherCosts+ConPoints+RecourseFee+OpReserve,0)</f>
        <v/>
      </c>
      <c r="MH26" s="18">
        <f>'DevSpend'!MH$34+'DevSpend'!MH$35+'DevSpend'!MH$38+IF(343=MS_Initial_Closing_Start,ConOtherCosts+ConPoints+RecourseFee+OpReserve,0)</f>
        <v/>
      </c>
      <c r="MI26" s="18">
        <f>'DevSpend'!MI$34+'DevSpend'!MI$35+'DevSpend'!MI$38+IF(344=MS_Initial_Closing_Start,ConOtherCosts+ConPoints+RecourseFee+OpReserve,0)</f>
        <v/>
      </c>
      <c r="MJ26" s="18">
        <f>'DevSpend'!MJ$34+'DevSpend'!MJ$35+'DevSpend'!MJ$38+IF(345=MS_Initial_Closing_Start,ConOtherCosts+ConPoints+RecourseFee+OpReserve,0)</f>
        <v/>
      </c>
      <c r="MK26" s="18">
        <f>'DevSpend'!MK$34+'DevSpend'!MK$35+'DevSpend'!MK$38+IF(346=MS_Initial_Closing_Start,ConOtherCosts+ConPoints+RecourseFee+OpReserve,0)</f>
        <v/>
      </c>
      <c r="ML26" s="18">
        <f>'DevSpend'!ML$34+'DevSpend'!ML$35+'DevSpend'!ML$38+IF(347=MS_Initial_Closing_Start,ConOtherCosts+ConPoints+RecourseFee+OpReserve,0)</f>
        <v/>
      </c>
      <c r="MM26" s="18">
        <f>'DevSpend'!MM$34+'DevSpend'!MM$35+'DevSpend'!MM$38+IF(348=MS_Initial_Closing_Start,ConOtherCosts+ConPoints+RecourseFee+OpReserve,0)</f>
        <v/>
      </c>
      <c r="MN26" s="18">
        <f>'DevSpend'!MN$34+'DevSpend'!MN$35+'DevSpend'!MN$38+IF(349=MS_Initial_Closing_Start,ConOtherCosts+ConPoints+RecourseFee+OpReserve,0)</f>
        <v/>
      </c>
      <c r="MO26" s="18">
        <f>'DevSpend'!MO$34+'DevSpend'!MO$35+'DevSpend'!MO$38+IF(350=MS_Initial_Closing_Start,ConOtherCosts+ConPoints+RecourseFee+OpReserve,0)</f>
        <v/>
      </c>
      <c r="MP26" s="18">
        <f>'DevSpend'!MP$34+'DevSpend'!MP$35+'DevSpend'!MP$38+IF(351=MS_Initial_Closing_Start,ConOtherCosts+ConPoints+RecourseFee+OpReserve,0)</f>
        <v/>
      </c>
      <c r="MQ26" s="18">
        <f>'DevSpend'!MQ$34+'DevSpend'!MQ$35+'DevSpend'!MQ$38+IF(352=MS_Initial_Closing_Start,ConOtherCosts+ConPoints+RecourseFee+OpReserve,0)</f>
        <v/>
      </c>
      <c r="MR26" s="18">
        <f>'DevSpend'!MR$34+'DevSpend'!MR$35+'DevSpend'!MR$38+IF(353=MS_Initial_Closing_Start,ConOtherCosts+ConPoints+RecourseFee+OpReserve,0)</f>
        <v/>
      </c>
      <c r="MS26" s="18">
        <f>'DevSpend'!MS$34+'DevSpend'!MS$35+'DevSpend'!MS$38+IF(354=MS_Initial_Closing_Start,ConOtherCosts+ConPoints+RecourseFee+OpReserve,0)</f>
        <v/>
      </c>
      <c r="MT26" s="18">
        <f>'DevSpend'!MT$34+'DevSpend'!MT$35+'DevSpend'!MT$38+IF(355=MS_Initial_Closing_Start,ConOtherCosts+ConPoints+RecourseFee+OpReserve,0)</f>
        <v/>
      </c>
      <c r="MU26" s="18">
        <f>'DevSpend'!MU$34+'DevSpend'!MU$35+'DevSpend'!MU$38+IF(356=MS_Initial_Closing_Start,ConOtherCosts+ConPoints+RecourseFee+OpReserve,0)</f>
        <v/>
      </c>
      <c r="MV26" s="18">
        <f>'DevSpend'!MV$34+'DevSpend'!MV$35+'DevSpend'!MV$38+IF(357=MS_Initial_Closing_Start,ConOtherCosts+ConPoints+RecourseFee+OpReserve,0)</f>
        <v/>
      </c>
      <c r="MW26" s="18">
        <f>'DevSpend'!MW$34+'DevSpend'!MW$35+'DevSpend'!MW$38+IF(358=MS_Initial_Closing_Start,ConOtherCosts+ConPoints+RecourseFee+OpReserve,0)</f>
        <v/>
      </c>
      <c r="MX26" s="18">
        <f>'DevSpend'!MX$34+'DevSpend'!MX$35+'DevSpend'!MX$38+IF(359=MS_Initial_Closing_Start,ConOtherCosts+ConPoints+RecourseFee+OpReserve,0)</f>
        <v/>
      </c>
      <c r="MY26" s="18">
        <f>'DevSpend'!MY$34+'DevSpend'!MY$35+'DevSpend'!MY$38+IF(360=MS_Initial_Closing_Start,ConOtherCosts+ConPoints+RecourseFee+OpReserve,0)</f>
        <v/>
      </c>
      <c r="MZ26" s="18">
        <f>'DevSpend'!MZ$34+'DevSpend'!MZ$35+'DevSpend'!MZ$38+IF(361=MS_Initial_Closing_Start,ConOtherCosts+ConPoints+RecourseFee+OpReserve,0)</f>
        <v/>
      </c>
      <c r="NA26" s="18">
        <f>'DevSpend'!NA$34+'DevSpend'!NA$35+'DevSpend'!NA$38+IF(362=MS_Initial_Closing_Start,ConOtherCosts+ConPoints+RecourseFee+OpReserve,0)</f>
        <v/>
      </c>
      <c r="NB26" s="18">
        <f>'DevSpend'!NB$34+'DevSpend'!NB$35+'DevSpend'!NB$38+IF(363=MS_Initial_Closing_Start,ConOtherCosts+ConPoints+RecourseFee+OpReserve,0)</f>
        <v/>
      </c>
      <c r="NC26" s="18">
        <f>'DevSpend'!NC$34+'DevSpend'!NC$35+'DevSpend'!NC$38+IF(364=MS_Initial_Closing_Start,ConOtherCosts+ConPoints+RecourseFee+OpReserve,0)</f>
        <v/>
      </c>
      <c r="ND26" s="18">
        <f>'DevSpend'!ND$34+'DevSpend'!ND$35+'DevSpend'!ND$38+IF(365=MS_Initial_Closing_Start,ConOtherCosts+ConPoints+RecourseFee+OpReserve,0)</f>
        <v/>
      </c>
      <c r="NE26" s="18">
        <f>'DevSpend'!NE$34+'DevSpend'!NE$35+'DevSpend'!NE$38+IF(366=MS_Initial_Closing_Start,ConOtherCosts+ConPoints+RecourseFee+OpReserve,0)</f>
        <v/>
      </c>
      <c r="NF26" s="18">
        <f>'DevSpend'!NF$34+'DevSpend'!NF$35+'DevSpend'!NF$38+IF(367=MS_Initial_Closing_Start,ConOtherCosts+ConPoints+RecourseFee+OpReserve,0)</f>
        <v/>
      </c>
      <c r="NG26" s="18">
        <f>'DevSpend'!NG$34+'DevSpend'!NG$35+'DevSpend'!NG$38+IF(368=MS_Initial_Closing_Start,ConOtherCosts+ConPoints+RecourseFee+OpReserve,0)</f>
        <v/>
      </c>
      <c r="NH26" s="18">
        <f>'DevSpend'!NH$34+'DevSpend'!NH$35+'DevSpend'!NH$38+IF(369=MS_Initial_Closing_Start,ConOtherCosts+ConPoints+RecourseFee+OpReserve,0)</f>
        <v/>
      </c>
      <c r="NI26" s="18">
        <f>'DevSpend'!NI$34+'DevSpend'!NI$35+'DevSpend'!NI$38+IF(370=MS_Initial_Closing_Start,ConOtherCosts+ConPoints+RecourseFee+OpReserve,0)</f>
        <v/>
      </c>
      <c r="NJ26" s="18">
        <f>'DevSpend'!NJ$34+'DevSpend'!NJ$35+'DevSpend'!NJ$38+IF(371=MS_Initial_Closing_Start,ConOtherCosts+ConPoints+RecourseFee+OpReserve,0)</f>
        <v/>
      </c>
      <c r="NK26" s="18">
        <f>'DevSpend'!NK$34+'DevSpend'!NK$35+'DevSpend'!NK$38+IF(372=MS_Initial_Closing_Start,ConOtherCosts+ConPoints+RecourseFee+OpReserve,0)</f>
        <v/>
      </c>
    </row>
    <row r="27">
      <c r="A27" s="5" t="inlineStr">
        <is>
          <t>Equity Draw</t>
        </is>
      </c>
      <c r="C27" s="41">
        <f>SUM(D27:NK27)</f>
        <v/>
      </c>
      <c r="D27" s="18">
        <f>IF(FundingOrderPari=1,(1-DebtShare)*D$26,MIN(D$26,MAX(0,EquityBudget-(0))))</f>
        <v/>
      </c>
      <c r="E27" s="18">
        <f>IF(FundingOrderPari=1,(1-DebtShare)*E$26,MIN(E$26,MAX(0,EquityBudget-(D$28))))</f>
        <v/>
      </c>
      <c r="F27" s="18">
        <f>IF(FundingOrderPari=1,(1-DebtShare)*F$26,MIN(F$26,MAX(0,EquityBudget-(E$28))))</f>
        <v/>
      </c>
      <c r="G27" s="18">
        <f>IF(FundingOrderPari=1,(1-DebtShare)*G$26,MIN(G$26,MAX(0,EquityBudget-(F$28))))</f>
        <v/>
      </c>
      <c r="H27" s="18">
        <f>IF(FundingOrderPari=1,(1-DebtShare)*H$26,MIN(H$26,MAX(0,EquityBudget-(G$28))))</f>
        <v/>
      </c>
      <c r="I27" s="18">
        <f>IF(FundingOrderPari=1,(1-DebtShare)*I$26,MIN(I$26,MAX(0,EquityBudget-(H$28))))</f>
        <v/>
      </c>
      <c r="J27" s="18">
        <f>IF(FundingOrderPari=1,(1-DebtShare)*J$26,MIN(J$26,MAX(0,EquityBudget-(I$28))))</f>
        <v/>
      </c>
      <c r="K27" s="18">
        <f>IF(FundingOrderPari=1,(1-DebtShare)*K$26,MIN(K$26,MAX(0,EquityBudget-(J$28))))</f>
        <v/>
      </c>
      <c r="L27" s="18">
        <f>IF(FundingOrderPari=1,(1-DebtShare)*L$26,MIN(L$26,MAX(0,EquityBudget-(K$28))))</f>
        <v/>
      </c>
      <c r="M27" s="18">
        <f>IF(FundingOrderPari=1,(1-DebtShare)*M$26,MIN(M$26,MAX(0,EquityBudget-(L$28))))</f>
        <v/>
      </c>
      <c r="N27" s="18">
        <f>IF(FundingOrderPari=1,(1-DebtShare)*N$26,MIN(N$26,MAX(0,EquityBudget-(M$28))))</f>
        <v/>
      </c>
      <c r="O27" s="18">
        <f>IF(FundingOrderPari=1,(1-DebtShare)*O$26,MIN(O$26,MAX(0,EquityBudget-(N$28))))</f>
        <v/>
      </c>
      <c r="P27" s="18">
        <f>IF(FundingOrderPari=1,(1-DebtShare)*P$26,MIN(P$26,MAX(0,EquityBudget-(O$28))))</f>
        <v/>
      </c>
      <c r="Q27" s="18">
        <f>IF(FundingOrderPari=1,(1-DebtShare)*Q$26,MIN(Q$26,MAX(0,EquityBudget-(P$28))))</f>
        <v/>
      </c>
      <c r="R27" s="18">
        <f>IF(FundingOrderPari=1,(1-DebtShare)*R$26,MIN(R$26,MAX(0,EquityBudget-(Q$28))))</f>
        <v/>
      </c>
      <c r="S27" s="18">
        <f>IF(FundingOrderPari=1,(1-DebtShare)*S$26,MIN(S$26,MAX(0,EquityBudget-(R$28))))</f>
        <v/>
      </c>
      <c r="T27" s="18">
        <f>IF(FundingOrderPari=1,(1-DebtShare)*T$26,MIN(T$26,MAX(0,EquityBudget-(S$28))))</f>
        <v/>
      </c>
      <c r="U27" s="18">
        <f>IF(FundingOrderPari=1,(1-DebtShare)*U$26,MIN(U$26,MAX(0,EquityBudget-(T$28))))</f>
        <v/>
      </c>
      <c r="V27" s="18">
        <f>IF(FundingOrderPari=1,(1-DebtShare)*V$26,MIN(V$26,MAX(0,EquityBudget-(U$28))))</f>
        <v/>
      </c>
      <c r="W27" s="18">
        <f>IF(FundingOrderPari=1,(1-DebtShare)*W$26,MIN(W$26,MAX(0,EquityBudget-(V$28))))</f>
        <v/>
      </c>
      <c r="X27" s="18">
        <f>IF(FundingOrderPari=1,(1-DebtShare)*X$26,MIN(X$26,MAX(0,EquityBudget-(W$28))))</f>
        <v/>
      </c>
      <c r="Y27" s="18">
        <f>IF(FundingOrderPari=1,(1-DebtShare)*Y$26,MIN(Y$26,MAX(0,EquityBudget-(X$28))))</f>
        <v/>
      </c>
      <c r="Z27" s="18">
        <f>IF(FundingOrderPari=1,(1-DebtShare)*Z$26,MIN(Z$26,MAX(0,EquityBudget-(Y$28))))</f>
        <v/>
      </c>
      <c r="AA27" s="18">
        <f>IF(FundingOrderPari=1,(1-DebtShare)*AA$26,MIN(AA$26,MAX(0,EquityBudget-(Z$28))))</f>
        <v/>
      </c>
      <c r="AB27" s="18">
        <f>IF(FundingOrderPari=1,(1-DebtShare)*AB$26,MIN(AB$26,MAX(0,EquityBudget-(AA$28))))</f>
        <v/>
      </c>
      <c r="AC27" s="18">
        <f>IF(FundingOrderPari=1,(1-DebtShare)*AC$26,MIN(AC$26,MAX(0,EquityBudget-(AB$28))))</f>
        <v/>
      </c>
      <c r="AD27" s="18">
        <f>IF(FundingOrderPari=1,(1-DebtShare)*AD$26,MIN(AD$26,MAX(0,EquityBudget-(AC$28))))</f>
        <v/>
      </c>
      <c r="AE27" s="18">
        <f>IF(FundingOrderPari=1,(1-DebtShare)*AE$26,MIN(AE$26,MAX(0,EquityBudget-(AD$28))))</f>
        <v/>
      </c>
      <c r="AF27" s="18">
        <f>IF(FundingOrderPari=1,(1-DebtShare)*AF$26,MIN(AF$26,MAX(0,EquityBudget-(AE$28))))</f>
        <v/>
      </c>
      <c r="AG27" s="18">
        <f>IF(FundingOrderPari=1,(1-DebtShare)*AG$26,MIN(AG$26,MAX(0,EquityBudget-(AF$28))))</f>
        <v/>
      </c>
      <c r="AH27" s="18">
        <f>IF(FundingOrderPari=1,(1-DebtShare)*AH$26,MIN(AH$26,MAX(0,EquityBudget-(AG$28))))</f>
        <v/>
      </c>
      <c r="AI27" s="18">
        <f>IF(FundingOrderPari=1,(1-DebtShare)*AI$26,MIN(AI$26,MAX(0,EquityBudget-(AH$28))))</f>
        <v/>
      </c>
      <c r="AJ27" s="18">
        <f>IF(FundingOrderPari=1,(1-DebtShare)*AJ$26,MIN(AJ$26,MAX(0,EquityBudget-(AI$28))))</f>
        <v/>
      </c>
      <c r="AK27" s="18">
        <f>IF(FundingOrderPari=1,(1-DebtShare)*AK$26,MIN(AK$26,MAX(0,EquityBudget-(AJ$28))))</f>
        <v/>
      </c>
      <c r="AL27" s="18">
        <f>IF(FundingOrderPari=1,(1-DebtShare)*AL$26,MIN(AL$26,MAX(0,EquityBudget-(AK$28))))</f>
        <v/>
      </c>
      <c r="AM27" s="18">
        <f>IF(FundingOrderPari=1,(1-DebtShare)*AM$26,MIN(AM$26,MAX(0,EquityBudget-(AL$28))))</f>
        <v/>
      </c>
      <c r="AN27" s="18">
        <f>IF(FundingOrderPari=1,(1-DebtShare)*AN$26,MIN(AN$26,MAX(0,EquityBudget-(AM$28))))</f>
        <v/>
      </c>
      <c r="AO27" s="18">
        <f>IF(FundingOrderPari=1,(1-DebtShare)*AO$26,MIN(AO$26,MAX(0,EquityBudget-(AN$28))))</f>
        <v/>
      </c>
      <c r="AP27" s="18">
        <f>IF(FundingOrderPari=1,(1-DebtShare)*AP$26,MIN(AP$26,MAX(0,EquityBudget-(AO$28))))</f>
        <v/>
      </c>
      <c r="AQ27" s="18">
        <f>IF(FundingOrderPari=1,(1-DebtShare)*AQ$26,MIN(AQ$26,MAX(0,EquityBudget-(AP$28))))</f>
        <v/>
      </c>
      <c r="AR27" s="18">
        <f>IF(FundingOrderPari=1,(1-DebtShare)*AR$26,MIN(AR$26,MAX(0,EquityBudget-(AQ$28))))</f>
        <v/>
      </c>
      <c r="AS27" s="18">
        <f>IF(FundingOrderPari=1,(1-DebtShare)*AS$26,MIN(AS$26,MAX(0,EquityBudget-(AR$28))))</f>
        <v/>
      </c>
      <c r="AT27" s="18">
        <f>IF(FundingOrderPari=1,(1-DebtShare)*AT$26,MIN(AT$26,MAX(0,EquityBudget-(AS$28))))</f>
        <v/>
      </c>
      <c r="AU27" s="18">
        <f>IF(FundingOrderPari=1,(1-DebtShare)*AU$26,MIN(AU$26,MAX(0,EquityBudget-(AT$28))))</f>
        <v/>
      </c>
      <c r="AV27" s="18">
        <f>IF(FundingOrderPari=1,(1-DebtShare)*AV$26,MIN(AV$26,MAX(0,EquityBudget-(AU$28))))</f>
        <v/>
      </c>
      <c r="AW27" s="18">
        <f>IF(FundingOrderPari=1,(1-DebtShare)*AW$26,MIN(AW$26,MAX(0,EquityBudget-(AV$28))))</f>
        <v/>
      </c>
      <c r="AX27" s="18">
        <f>IF(FundingOrderPari=1,(1-DebtShare)*AX$26,MIN(AX$26,MAX(0,EquityBudget-(AW$28))))</f>
        <v/>
      </c>
      <c r="AY27" s="18">
        <f>IF(FundingOrderPari=1,(1-DebtShare)*AY$26,MIN(AY$26,MAX(0,EquityBudget-(AX$28))))</f>
        <v/>
      </c>
      <c r="AZ27" s="18">
        <f>IF(FundingOrderPari=1,(1-DebtShare)*AZ$26,MIN(AZ$26,MAX(0,EquityBudget-(AY$28))))</f>
        <v/>
      </c>
      <c r="BA27" s="18">
        <f>IF(FundingOrderPari=1,(1-DebtShare)*BA$26,MIN(BA$26,MAX(0,EquityBudget-(AZ$28))))</f>
        <v/>
      </c>
      <c r="BB27" s="18">
        <f>IF(FundingOrderPari=1,(1-DebtShare)*BB$26,MIN(BB$26,MAX(0,EquityBudget-(BA$28))))</f>
        <v/>
      </c>
      <c r="BC27" s="18">
        <f>IF(FundingOrderPari=1,(1-DebtShare)*BC$26,MIN(BC$26,MAX(0,EquityBudget-(BB$28))))</f>
        <v/>
      </c>
      <c r="BD27" s="18">
        <f>IF(FundingOrderPari=1,(1-DebtShare)*BD$26,MIN(BD$26,MAX(0,EquityBudget-(BC$28))))</f>
        <v/>
      </c>
      <c r="BE27" s="18">
        <f>IF(FundingOrderPari=1,(1-DebtShare)*BE$26,MIN(BE$26,MAX(0,EquityBudget-(BD$28))))</f>
        <v/>
      </c>
      <c r="BF27" s="18">
        <f>IF(FundingOrderPari=1,(1-DebtShare)*BF$26,MIN(BF$26,MAX(0,EquityBudget-(BE$28))))</f>
        <v/>
      </c>
      <c r="BG27" s="18">
        <f>IF(FundingOrderPari=1,(1-DebtShare)*BG$26,MIN(BG$26,MAX(0,EquityBudget-(BF$28))))</f>
        <v/>
      </c>
      <c r="BH27" s="18">
        <f>IF(FundingOrderPari=1,(1-DebtShare)*BH$26,MIN(BH$26,MAX(0,EquityBudget-(BG$28))))</f>
        <v/>
      </c>
      <c r="BI27" s="18">
        <f>IF(FundingOrderPari=1,(1-DebtShare)*BI$26,MIN(BI$26,MAX(0,EquityBudget-(BH$28))))</f>
        <v/>
      </c>
      <c r="BJ27" s="18">
        <f>IF(FundingOrderPari=1,(1-DebtShare)*BJ$26,MIN(BJ$26,MAX(0,EquityBudget-(BI$28))))</f>
        <v/>
      </c>
      <c r="BK27" s="18">
        <f>IF(FundingOrderPari=1,(1-DebtShare)*BK$26,MIN(BK$26,MAX(0,EquityBudget-(BJ$28))))</f>
        <v/>
      </c>
      <c r="BL27" s="18">
        <f>IF(FundingOrderPari=1,(1-DebtShare)*BL$26,MIN(BL$26,MAX(0,EquityBudget-(BK$28))))</f>
        <v/>
      </c>
      <c r="BM27" s="18">
        <f>IF(FundingOrderPari=1,(1-DebtShare)*BM$26,MIN(BM$26,MAX(0,EquityBudget-(BL$28))))</f>
        <v/>
      </c>
      <c r="BN27" s="18">
        <f>IF(FundingOrderPari=1,(1-DebtShare)*BN$26,MIN(BN$26,MAX(0,EquityBudget-(BM$28))))</f>
        <v/>
      </c>
      <c r="BO27" s="18">
        <f>IF(FundingOrderPari=1,(1-DebtShare)*BO$26,MIN(BO$26,MAX(0,EquityBudget-(BN$28))))</f>
        <v/>
      </c>
      <c r="BP27" s="18">
        <f>IF(FundingOrderPari=1,(1-DebtShare)*BP$26,MIN(BP$26,MAX(0,EquityBudget-(BO$28))))</f>
        <v/>
      </c>
      <c r="BQ27" s="18">
        <f>IF(FundingOrderPari=1,(1-DebtShare)*BQ$26,MIN(BQ$26,MAX(0,EquityBudget-(BP$28))))</f>
        <v/>
      </c>
      <c r="BR27" s="18">
        <f>IF(FundingOrderPari=1,(1-DebtShare)*BR$26,MIN(BR$26,MAX(0,EquityBudget-(BQ$28))))</f>
        <v/>
      </c>
      <c r="BS27" s="18">
        <f>IF(FundingOrderPari=1,(1-DebtShare)*BS$26,MIN(BS$26,MAX(0,EquityBudget-(BR$28))))</f>
        <v/>
      </c>
      <c r="BT27" s="18">
        <f>IF(FundingOrderPari=1,(1-DebtShare)*BT$26,MIN(BT$26,MAX(0,EquityBudget-(BS$28))))</f>
        <v/>
      </c>
      <c r="BU27" s="18">
        <f>IF(FundingOrderPari=1,(1-DebtShare)*BU$26,MIN(BU$26,MAX(0,EquityBudget-(BT$28))))</f>
        <v/>
      </c>
      <c r="BV27" s="18">
        <f>IF(FundingOrderPari=1,(1-DebtShare)*BV$26,MIN(BV$26,MAX(0,EquityBudget-(BU$28))))</f>
        <v/>
      </c>
      <c r="BW27" s="18">
        <f>IF(FundingOrderPari=1,(1-DebtShare)*BW$26,MIN(BW$26,MAX(0,EquityBudget-(BV$28))))</f>
        <v/>
      </c>
      <c r="BX27" s="18">
        <f>IF(FundingOrderPari=1,(1-DebtShare)*BX$26,MIN(BX$26,MAX(0,EquityBudget-(BW$28))))</f>
        <v/>
      </c>
      <c r="BY27" s="18">
        <f>IF(FundingOrderPari=1,(1-DebtShare)*BY$26,MIN(BY$26,MAX(0,EquityBudget-(BX$28))))</f>
        <v/>
      </c>
      <c r="BZ27" s="18">
        <f>IF(FundingOrderPari=1,(1-DebtShare)*BZ$26,MIN(BZ$26,MAX(0,EquityBudget-(BY$28))))</f>
        <v/>
      </c>
      <c r="CA27" s="18">
        <f>IF(FundingOrderPari=1,(1-DebtShare)*CA$26,MIN(CA$26,MAX(0,EquityBudget-(BZ$28))))</f>
        <v/>
      </c>
      <c r="CB27" s="18">
        <f>IF(FundingOrderPari=1,(1-DebtShare)*CB$26,MIN(CB$26,MAX(0,EquityBudget-(CA$28))))</f>
        <v/>
      </c>
      <c r="CC27" s="18">
        <f>IF(FundingOrderPari=1,(1-DebtShare)*CC$26,MIN(CC$26,MAX(0,EquityBudget-(CB$28))))</f>
        <v/>
      </c>
      <c r="CD27" s="18">
        <f>IF(FundingOrderPari=1,(1-DebtShare)*CD$26,MIN(CD$26,MAX(0,EquityBudget-(CC$28))))</f>
        <v/>
      </c>
      <c r="CE27" s="18">
        <f>IF(FundingOrderPari=1,(1-DebtShare)*CE$26,MIN(CE$26,MAX(0,EquityBudget-(CD$28))))</f>
        <v/>
      </c>
      <c r="CF27" s="18">
        <f>IF(FundingOrderPari=1,(1-DebtShare)*CF$26,MIN(CF$26,MAX(0,EquityBudget-(CE$28))))</f>
        <v/>
      </c>
      <c r="CG27" s="18">
        <f>IF(FundingOrderPari=1,(1-DebtShare)*CG$26,MIN(CG$26,MAX(0,EquityBudget-(CF$28))))</f>
        <v/>
      </c>
      <c r="CH27" s="18">
        <f>IF(FundingOrderPari=1,(1-DebtShare)*CH$26,MIN(CH$26,MAX(0,EquityBudget-(CG$28))))</f>
        <v/>
      </c>
      <c r="CI27" s="18">
        <f>IF(FundingOrderPari=1,(1-DebtShare)*CI$26,MIN(CI$26,MAX(0,EquityBudget-(CH$28))))</f>
        <v/>
      </c>
      <c r="CJ27" s="18">
        <f>IF(FundingOrderPari=1,(1-DebtShare)*CJ$26,MIN(CJ$26,MAX(0,EquityBudget-(CI$28))))</f>
        <v/>
      </c>
      <c r="CK27" s="18">
        <f>IF(FundingOrderPari=1,(1-DebtShare)*CK$26,MIN(CK$26,MAX(0,EquityBudget-(CJ$28))))</f>
        <v/>
      </c>
      <c r="CL27" s="18">
        <f>IF(FundingOrderPari=1,(1-DebtShare)*CL$26,MIN(CL$26,MAX(0,EquityBudget-(CK$28))))</f>
        <v/>
      </c>
      <c r="CM27" s="18">
        <f>IF(FundingOrderPari=1,(1-DebtShare)*CM$26,MIN(CM$26,MAX(0,EquityBudget-(CL$28))))</f>
        <v/>
      </c>
      <c r="CN27" s="18">
        <f>IF(FundingOrderPari=1,(1-DebtShare)*CN$26,MIN(CN$26,MAX(0,EquityBudget-(CM$28))))</f>
        <v/>
      </c>
      <c r="CO27" s="18">
        <f>IF(FundingOrderPari=1,(1-DebtShare)*CO$26,MIN(CO$26,MAX(0,EquityBudget-(CN$28))))</f>
        <v/>
      </c>
      <c r="CP27" s="18">
        <f>IF(FundingOrderPari=1,(1-DebtShare)*CP$26,MIN(CP$26,MAX(0,EquityBudget-(CO$28))))</f>
        <v/>
      </c>
      <c r="CQ27" s="18">
        <f>IF(FundingOrderPari=1,(1-DebtShare)*CQ$26,MIN(CQ$26,MAX(0,EquityBudget-(CP$28))))</f>
        <v/>
      </c>
      <c r="CR27" s="18">
        <f>IF(FundingOrderPari=1,(1-DebtShare)*CR$26,MIN(CR$26,MAX(0,EquityBudget-(CQ$28))))</f>
        <v/>
      </c>
      <c r="CS27" s="18">
        <f>IF(FundingOrderPari=1,(1-DebtShare)*CS$26,MIN(CS$26,MAX(0,EquityBudget-(CR$28))))</f>
        <v/>
      </c>
      <c r="CT27" s="18">
        <f>IF(FundingOrderPari=1,(1-DebtShare)*CT$26,MIN(CT$26,MAX(0,EquityBudget-(CS$28))))</f>
        <v/>
      </c>
      <c r="CU27" s="18">
        <f>IF(FundingOrderPari=1,(1-DebtShare)*CU$26,MIN(CU$26,MAX(0,EquityBudget-(CT$28))))</f>
        <v/>
      </c>
      <c r="CV27" s="18">
        <f>IF(FundingOrderPari=1,(1-DebtShare)*CV$26,MIN(CV$26,MAX(0,EquityBudget-(CU$28))))</f>
        <v/>
      </c>
      <c r="CW27" s="18">
        <f>IF(FundingOrderPari=1,(1-DebtShare)*CW$26,MIN(CW$26,MAX(0,EquityBudget-(CV$28))))</f>
        <v/>
      </c>
      <c r="CX27" s="18">
        <f>IF(FundingOrderPari=1,(1-DebtShare)*CX$26,MIN(CX$26,MAX(0,EquityBudget-(CW$28))))</f>
        <v/>
      </c>
      <c r="CY27" s="18">
        <f>IF(FundingOrderPari=1,(1-DebtShare)*CY$26,MIN(CY$26,MAX(0,EquityBudget-(CX$28))))</f>
        <v/>
      </c>
      <c r="CZ27" s="18">
        <f>IF(FundingOrderPari=1,(1-DebtShare)*CZ$26,MIN(CZ$26,MAX(0,EquityBudget-(CY$28))))</f>
        <v/>
      </c>
      <c r="DA27" s="18">
        <f>IF(FundingOrderPari=1,(1-DebtShare)*DA$26,MIN(DA$26,MAX(0,EquityBudget-(CZ$28))))</f>
        <v/>
      </c>
      <c r="DB27" s="18">
        <f>IF(FundingOrderPari=1,(1-DebtShare)*DB$26,MIN(DB$26,MAX(0,EquityBudget-(DA$28))))</f>
        <v/>
      </c>
      <c r="DC27" s="18">
        <f>IF(FundingOrderPari=1,(1-DebtShare)*DC$26,MIN(DC$26,MAX(0,EquityBudget-(DB$28))))</f>
        <v/>
      </c>
      <c r="DD27" s="18">
        <f>IF(FundingOrderPari=1,(1-DebtShare)*DD$26,MIN(DD$26,MAX(0,EquityBudget-(DC$28))))</f>
        <v/>
      </c>
      <c r="DE27" s="18">
        <f>IF(FundingOrderPari=1,(1-DebtShare)*DE$26,MIN(DE$26,MAX(0,EquityBudget-(DD$28))))</f>
        <v/>
      </c>
      <c r="DF27" s="18">
        <f>IF(FundingOrderPari=1,(1-DebtShare)*DF$26,MIN(DF$26,MAX(0,EquityBudget-(DE$28))))</f>
        <v/>
      </c>
      <c r="DG27" s="18">
        <f>IF(FundingOrderPari=1,(1-DebtShare)*DG$26,MIN(DG$26,MAX(0,EquityBudget-(DF$28))))</f>
        <v/>
      </c>
      <c r="DH27" s="18">
        <f>IF(FundingOrderPari=1,(1-DebtShare)*DH$26,MIN(DH$26,MAX(0,EquityBudget-(DG$28))))</f>
        <v/>
      </c>
      <c r="DI27" s="18">
        <f>IF(FundingOrderPari=1,(1-DebtShare)*DI$26,MIN(DI$26,MAX(0,EquityBudget-(DH$28))))</f>
        <v/>
      </c>
      <c r="DJ27" s="18">
        <f>IF(FundingOrderPari=1,(1-DebtShare)*DJ$26,MIN(DJ$26,MAX(0,EquityBudget-(DI$28))))</f>
        <v/>
      </c>
      <c r="DK27" s="18">
        <f>IF(FundingOrderPari=1,(1-DebtShare)*DK$26,MIN(DK$26,MAX(0,EquityBudget-(DJ$28))))</f>
        <v/>
      </c>
      <c r="DL27" s="18">
        <f>IF(FundingOrderPari=1,(1-DebtShare)*DL$26,MIN(DL$26,MAX(0,EquityBudget-(DK$28))))</f>
        <v/>
      </c>
      <c r="DM27" s="18">
        <f>IF(FundingOrderPari=1,(1-DebtShare)*DM$26,MIN(DM$26,MAX(0,EquityBudget-(DL$28))))</f>
        <v/>
      </c>
      <c r="DN27" s="18">
        <f>IF(FundingOrderPari=1,(1-DebtShare)*DN$26,MIN(DN$26,MAX(0,EquityBudget-(DM$28))))</f>
        <v/>
      </c>
      <c r="DO27" s="18">
        <f>IF(FundingOrderPari=1,(1-DebtShare)*DO$26,MIN(DO$26,MAX(0,EquityBudget-(DN$28))))</f>
        <v/>
      </c>
      <c r="DP27" s="18">
        <f>IF(FundingOrderPari=1,(1-DebtShare)*DP$26,MIN(DP$26,MAX(0,EquityBudget-(DO$28))))</f>
        <v/>
      </c>
      <c r="DQ27" s="18">
        <f>IF(FundingOrderPari=1,(1-DebtShare)*DQ$26,MIN(DQ$26,MAX(0,EquityBudget-(DP$28))))</f>
        <v/>
      </c>
      <c r="DR27" s="18">
        <f>IF(FundingOrderPari=1,(1-DebtShare)*DR$26,MIN(DR$26,MAX(0,EquityBudget-(DQ$28))))</f>
        <v/>
      </c>
      <c r="DS27" s="18">
        <f>IF(FundingOrderPari=1,(1-DebtShare)*DS$26,MIN(DS$26,MAX(0,EquityBudget-(DR$28))))</f>
        <v/>
      </c>
      <c r="DT27" s="18">
        <f>IF(FundingOrderPari=1,(1-DebtShare)*DT$26,MIN(DT$26,MAX(0,EquityBudget-(DS$28))))</f>
        <v/>
      </c>
      <c r="DU27" s="18">
        <f>IF(FundingOrderPari=1,(1-DebtShare)*DU$26,MIN(DU$26,MAX(0,EquityBudget-(DT$28))))</f>
        <v/>
      </c>
      <c r="DV27" s="18">
        <f>IF(FundingOrderPari=1,(1-DebtShare)*DV$26,MIN(DV$26,MAX(0,EquityBudget-(DU$28))))</f>
        <v/>
      </c>
      <c r="DW27" s="18">
        <f>IF(FundingOrderPari=1,(1-DebtShare)*DW$26,MIN(DW$26,MAX(0,EquityBudget-(DV$28))))</f>
        <v/>
      </c>
      <c r="DX27" s="18">
        <f>IF(FundingOrderPari=1,(1-DebtShare)*DX$26,MIN(DX$26,MAX(0,EquityBudget-(DW$28))))</f>
        <v/>
      </c>
      <c r="DY27" s="18">
        <f>IF(FundingOrderPari=1,(1-DebtShare)*DY$26,MIN(DY$26,MAX(0,EquityBudget-(DX$28))))</f>
        <v/>
      </c>
      <c r="DZ27" s="18">
        <f>IF(FundingOrderPari=1,(1-DebtShare)*DZ$26,MIN(DZ$26,MAX(0,EquityBudget-(DY$28))))</f>
        <v/>
      </c>
      <c r="EA27" s="18">
        <f>IF(FundingOrderPari=1,(1-DebtShare)*EA$26,MIN(EA$26,MAX(0,EquityBudget-(DZ$28))))</f>
        <v/>
      </c>
      <c r="EB27" s="18">
        <f>IF(FundingOrderPari=1,(1-DebtShare)*EB$26,MIN(EB$26,MAX(0,EquityBudget-(EA$28))))</f>
        <v/>
      </c>
      <c r="EC27" s="18">
        <f>IF(FundingOrderPari=1,(1-DebtShare)*EC$26,MIN(EC$26,MAX(0,EquityBudget-(EB$28))))</f>
        <v/>
      </c>
      <c r="ED27" s="18">
        <f>IF(FundingOrderPari=1,(1-DebtShare)*ED$26,MIN(ED$26,MAX(0,EquityBudget-(EC$28))))</f>
        <v/>
      </c>
      <c r="EE27" s="18">
        <f>IF(FundingOrderPari=1,(1-DebtShare)*EE$26,MIN(EE$26,MAX(0,EquityBudget-(ED$28))))</f>
        <v/>
      </c>
      <c r="EF27" s="18">
        <f>IF(FundingOrderPari=1,(1-DebtShare)*EF$26,MIN(EF$26,MAX(0,EquityBudget-(EE$28))))</f>
        <v/>
      </c>
      <c r="EG27" s="18">
        <f>IF(FundingOrderPari=1,(1-DebtShare)*EG$26,MIN(EG$26,MAX(0,EquityBudget-(EF$28))))</f>
        <v/>
      </c>
      <c r="EH27" s="18">
        <f>IF(FundingOrderPari=1,(1-DebtShare)*EH$26,MIN(EH$26,MAX(0,EquityBudget-(EG$28))))</f>
        <v/>
      </c>
      <c r="EI27" s="18">
        <f>IF(FundingOrderPari=1,(1-DebtShare)*EI$26,MIN(EI$26,MAX(0,EquityBudget-(EH$28))))</f>
        <v/>
      </c>
      <c r="EJ27" s="18">
        <f>IF(FundingOrderPari=1,(1-DebtShare)*EJ$26,MIN(EJ$26,MAX(0,EquityBudget-(EI$28))))</f>
        <v/>
      </c>
      <c r="EK27" s="18">
        <f>IF(FundingOrderPari=1,(1-DebtShare)*EK$26,MIN(EK$26,MAX(0,EquityBudget-(EJ$28))))</f>
        <v/>
      </c>
      <c r="EL27" s="18">
        <f>IF(FundingOrderPari=1,(1-DebtShare)*EL$26,MIN(EL$26,MAX(0,EquityBudget-(EK$28))))</f>
        <v/>
      </c>
      <c r="EM27" s="18">
        <f>IF(FundingOrderPari=1,(1-DebtShare)*EM$26,MIN(EM$26,MAX(0,EquityBudget-(EL$28))))</f>
        <v/>
      </c>
      <c r="EN27" s="18">
        <f>IF(FundingOrderPari=1,(1-DebtShare)*EN$26,MIN(EN$26,MAX(0,EquityBudget-(EM$28))))</f>
        <v/>
      </c>
      <c r="EO27" s="18">
        <f>IF(FundingOrderPari=1,(1-DebtShare)*EO$26,MIN(EO$26,MAX(0,EquityBudget-(EN$28))))</f>
        <v/>
      </c>
      <c r="EP27" s="18">
        <f>IF(FundingOrderPari=1,(1-DebtShare)*EP$26,MIN(EP$26,MAX(0,EquityBudget-(EO$28))))</f>
        <v/>
      </c>
      <c r="EQ27" s="18">
        <f>IF(FundingOrderPari=1,(1-DebtShare)*EQ$26,MIN(EQ$26,MAX(0,EquityBudget-(EP$28))))</f>
        <v/>
      </c>
      <c r="ER27" s="18">
        <f>IF(FundingOrderPari=1,(1-DebtShare)*ER$26,MIN(ER$26,MAX(0,EquityBudget-(EQ$28))))</f>
        <v/>
      </c>
      <c r="ES27" s="18">
        <f>IF(FundingOrderPari=1,(1-DebtShare)*ES$26,MIN(ES$26,MAX(0,EquityBudget-(ER$28))))</f>
        <v/>
      </c>
      <c r="ET27" s="18">
        <f>IF(FundingOrderPari=1,(1-DebtShare)*ET$26,MIN(ET$26,MAX(0,EquityBudget-(ES$28))))</f>
        <v/>
      </c>
      <c r="EU27" s="18">
        <f>IF(FundingOrderPari=1,(1-DebtShare)*EU$26,MIN(EU$26,MAX(0,EquityBudget-(ET$28))))</f>
        <v/>
      </c>
      <c r="EV27" s="18">
        <f>IF(FundingOrderPari=1,(1-DebtShare)*EV$26,MIN(EV$26,MAX(0,EquityBudget-(EU$28))))</f>
        <v/>
      </c>
      <c r="EW27" s="18">
        <f>IF(FundingOrderPari=1,(1-DebtShare)*EW$26,MIN(EW$26,MAX(0,EquityBudget-(EV$28))))</f>
        <v/>
      </c>
      <c r="EX27" s="18">
        <f>IF(FundingOrderPari=1,(1-DebtShare)*EX$26,MIN(EX$26,MAX(0,EquityBudget-(EW$28))))</f>
        <v/>
      </c>
      <c r="EY27" s="18">
        <f>IF(FundingOrderPari=1,(1-DebtShare)*EY$26,MIN(EY$26,MAX(0,EquityBudget-(EX$28))))</f>
        <v/>
      </c>
      <c r="EZ27" s="18">
        <f>IF(FundingOrderPari=1,(1-DebtShare)*EZ$26,MIN(EZ$26,MAX(0,EquityBudget-(EY$28))))</f>
        <v/>
      </c>
      <c r="FA27" s="18">
        <f>IF(FundingOrderPari=1,(1-DebtShare)*FA$26,MIN(FA$26,MAX(0,EquityBudget-(EZ$28))))</f>
        <v/>
      </c>
      <c r="FB27" s="18">
        <f>IF(FundingOrderPari=1,(1-DebtShare)*FB$26,MIN(FB$26,MAX(0,EquityBudget-(FA$28))))</f>
        <v/>
      </c>
      <c r="FC27" s="18">
        <f>IF(FundingOrderPari=1,(1-DebtShare)*FC$26,MIN(FC$26,MAX(0,EquityBudget-(FB$28))))</f>
        <v/>
      </c>
      <c r="FD27" s="18">
        <f>IF(FundingOrderPari=1,(1-DebtShare)*FD$26,MIN(FD$26,MAX(0,EquityBudget-(FC$28))))</f>
        <v/>
      </c>
      <c r="FE27" s="18">
        <f>IF(FundingOrderPari=1,(1-DebtShare)*FE$26,MIN(FE$26,MAX(0,EquityBudget-(FD$28))))</f>
        <v/>
      </c>
      <c r="FF27" s="18">
        <f>IF(FundingOrderPari=1,(1-DebtShare)*FF$26,MIN(FF$26,MAX(0,EquityBudget-(FE$28))))</f>
        <v/>
      </c>
      <c r="FG27" s="18">
        <f>IF(FundingOrderPari=1,(1-DebtShare)*FG$26,MIN(FG$26,MAX(0,EquityBudget-(FF$28))))</f>
        <v/>
      </c>
      <c r="FH27" s="18">
        <f>IF(FundingOrderPari=1,(1-DebtShare)*FH$26,MIN(FH$26,MAX(0,EquityBudget-(FG$28))))</f>
        <v/>
      </c>
      <c r="FI27" s="18">
        <f>IF(FundingOrderPari=1,(1-DebtShare)*FI$26,MIN(FI$26,MAX(0,EquityBudget-(FH$28))))</f>
        <v/>
      </c>
      <c r="FJ27" s="18">
        <f>IF(FundingOrderPari=1,(1-DebtShare)*FJ$26,MIN(FJ$26,MAX(0,EquityBudget-(FI$28))))</f>
        <v/>
      </c>
      <c r="FK27" s="18">
        <f>IF(FundingOrderPari=1,(1-DebtShare)*FK$26,MIN(FK$26,MAX(0,EquityBudget-(FJ$28))))</f>
        <v/>
      </c>
      <c r="FL27" s="18">
        <f>IF(FundingOrderPari=1,(1-DebtShare)*FL$26,MIN(FL$26,MAX(0,EquityBudget-(FK$28))))</f>
        <v/>
      </c>
      <c r="FM27" s="18">
        <f>IF(FundingOrderPari=1,(1-DebtShare)*FM$26,MIN(FM$26,MAX(0,EquityBudget-(FL$28))))</f>
        <v/>
      </c>
      <c r="FN27" s="18">
        <f>IF(FundingOrderPari=1,(1-DebtShare)*FN$26,MIN(FN$26,MAX(0,EquityBudget-(FM$28))))</f>
        <v/>
      </c>
      <c r="FO27" s="18">
        <f>IF(FundingOrderPari=1,(1-DebtShare)*FO$26,MIN(FO$26,MAX(0,EquityBudget-(FN$28))))</f>
        <v/>
      </c>
      <c r="FP27" s="18">
        <f>IF(FundingOrderPari=1,(1-DebtShare)*FP$26,MIN(FP$26,MAX(0,EquityBudget-(FO$28))))</f>
        <v/>
      </c>
      <c r="FQ27" s="18">
        <f>IF(FundingOrderPari=1,(1-DebtShare)*FQ$26,MIN(FQ$26,MAX(0,EquityBudget-(FP$28))))</f>
        <v/>
      </c>
      <c r="FR27" s="18">
        <f>IF(FundingOrderPari=1,(1-DebtShare)*FR$26,MIN(FR$26,MAX(0,EquityBudget-(FQ$28))))</f>
        <v/>
      </c>
      <c r="FS27" s="18">
        <f>IF(FundingOrderPari=1,(1-DebtShare)*FS$26,MIN(FS$26,MAX(0,EquityBudget-(FR$28))))</f>
        <v/>
      </c>
      <c r="FT27" s="18">
        <f>IF(FundingOrderPari=1,(1-DebtShare)*FT$26,MIN(FT$26,MAX(0,EquityBudget-(FS$28))))</f>
        <v/>
      </c>
      <c r="FU27" s="18">
        <f>IF(FundingOrderPari=1,(1-DebtShare)*FU$26,MIN(FU$26,MAX(0,EquityBudget-(FT$28))))</f>
        <v/>
      </c>
      <c r="FV27" s="18">
        <f>IF(FundingOrderPari=1,(1-DebtShare)*FV$26,MIN(FV$26,MAX(0,EquityBudget-(FU$28))))</f>
        <v/>
      </c>
      <c r="FW27" s="18">
        <f>IF(FundingOrderPari=1,(1-DebtShare)*FW$26,MIN(FW$26,MAX(0,EquityBudget-(FV$28))))</f>
        <v/>
      </c>
      <c r="FX27" s="18">
        <f>IF(FundingOrderPari=1,(1-DebtShare)*FX$26,MIN(FX$26,MAX(0,EquityBudget-(FW$28))))</f>
        <v/>
      </c>
      <c r="FY27" s="18">
        <f>IF(FundingOrderPari=1,(1-DebtShare)*FY$26,MIN(FY$26,MAX(0,EquityBudget-(FX$28))))</f>
        <v/>
      </c>
      <c r="FZ27" s="18">
        <f>IF(FundingOrderPari=1,(1-DebtShare)*FZ$26,MIN(FZ$26,MAX(0,EquityBudget-(FY$28))))</f>
        <v/>
      </c>
      <c r="GA27" s="18">
        <f>IF(FundingOrderPari=1,(1-DebtShare)*GA$26,MIN(GA$26,MAX(0,EquityBudget-(FZ$28))))</f>
        <v/>
      </c>
      <c r="GB27" s="18">
        <f>IF(FundingOrderPari=1,(1-DebtShare)*GB$26,MIN(GB$26,MAX(0,EquityBudget-(GA$28))))</f>
        <v/>
      </c>
      <c r="GC27" s="18">
        <f>IF(FundingOrderPari=1,(1-DebtShare)*GC$26,MIN(GC$26,MAX(0,EquityBudget-(GB$28))))</f>
        <v/>
      </c>
      <c r="GD27" s="18">
        <f>IF(FundingOrderPari=1,(1-DebtShare)*GD$26,MIN(GD$26,MAX(0,EquityBudget-(GC$28))))</f>
        <v/>
      </c>
      <c r="GE27" s="18">
        <f>IF(FundingOrderPari=1,(1-DebtShare)*GE$26,MIN(GE$26,MAX(0,EquityBudget-(GD$28))))</f>
        <v/>
      </c>
      <c r="GF27" s="18">
        <f>IF(FundingOrderPari=1,(1-DebtShare)*GF$26,MIN(GF$26,MAX(0,EquityBudget-(GE$28))))</f>
        <v/>
      </c>
      <c r="GG27" s="18">
        <f>IF(FundingOrderPari=1,(1-DebtShare)*GG$26,MIN(GG$26,MAX(0,EquityBudget-(GF$28))))</f>
        <v/>
      </c>
      <c r="GH27" s="18">
        <f>IF(FundingOrderPari=1,(1-DebtShare)*GH$26,MIN(GH$26,MAX(0,EquityBudget-(GG$28))))</f>
        <v/>
      </c>
      <c r="GI27" s="18">
        <f>IF(FundingOrderPari=1,(1-DebtShare)*GI$26,MIN(GI$26,MAX(0,EquityBudget-(GH$28))))</f>
        <v/>
      </c>
      <c r="GJ27" s="18">
        <f>IF(FundingOrderPari=1,(1-DebtShare)*GJ$26,MIN(GJ$26,MAX(0,EquityBudget-(GI$28))))</f>
        <v/>
      </c>
      <c r="GK27" s="18">
        <f>IF(FundingOrderPari=1,(1-DebtShare)*GK$26,MIN(GK$26,MAX(0,EquityBudget-(GJ$28))))</f>
        <v/>
      </c>
      <c r="GL27" s="18">
        <f>IF(FundingOrderPari=1,(1-DebtShare)*GL$26,MIN(GL$26,MAX(0,EquityBudget-(GK$28))))</f>
        <v/>
      </c>
      <c r="GM27" s="18">
        <f>IF(FundingOrderPari=1,(1-DebtShare)*GM$26,MIN(GM$26,MAX(0,EquityBudget-(GL$28))))</f>
        <v/>
      </c>
      <c r="GN27" s="18">
        <f>IF(FundingOrderPari=1,(1-DebtShare)*GN$26,MIN(GN$26,MAX(0,EquityBudget-(GM$28))))</f>
        <v/>
      </c>
      <c r="GO27" s="18">
        <f>IF(FundingOrderPari=1,(1-DebtShare)*GO$26,MIN(GO$26,MAX(0,EquityBudget-(GN$28))))</f>
        <v/>
      </c>
      <c r="GP27" s="18">
        <f>IF(FundingOrderPari=1,(1-DebtShare)*GP$26,MIN(GP$26,MAX(0,EquityBudget-(GO$28))))</f>
        <v/>
      </c>
      <c r="GQ27" s="18">
        <f>IF(FundingOrderPari=1,(1-DebtShare)*GQ$26,MIN(GQ$26,MAX(0,EquityBudget-(GP$28))))</f>
        <v/>
      </c>
      <c r="GR27" s="18">
        <f>IF(FundingOrderPari=1,(1-DebtShare)*GR$26,MIN(GR$26,MAX(0,EquityBudget-(GQ$28))))</f>
        <v/>
      </c>
      <c r="GS27" s="18">
        <f>IF(FundingOrderPari=1,(1-DebtShare)*GS$26,MIN(GS$26,MAX(0,EquityBudget-(GR$28))))</f>
        <v/>
      </c>
      <c r="GT27" s="18">
        <f>IF(FundingOrderPari=1,(1-DebtShare)*GT$26,MIN(GT$26,MAX(0,EquityBudget-(GS$28))))</f>
        <v/>
      </c>
      <c r="GU27" s="18">
        <f>IF(FundingOrderPari=1,(1-DebtShare)*GU$26,MIN(GU$26,MAX(0,EquityBudget-(GT$28))))</f>
        <v/>
      </c>
      <c r="GV27" s="18">
        <f>IF(FundingOrderPari=1,(1-DebtShare)*GV$26,MIN(GV$26,MAX(0,EquityBudget-(GU$28))))</f>
        <v/>
      </c>
      <c r="GW27" s="18">
        <f>IF(FundingOrderPari=1,(1-DebtShare)*GW$26,MIN(GW$26,MAX(0,EquityBudget-(GV$28))))</f>
        <v/>
      </c>
      <c r="GX27" s="18">
        <f>IF(FundingOrderPari=1,(1-DebtShare)*GX$26,MIN(GX$26,MAX(0,EquityBudget-(GW$28))))</f>
        <v/>
      </c>
      <c r="GY27" s="18">
        <f>IF(FundingOrderPari=1,(1-DebtShare)*GY$26,MIN(GY$26,MAX(0,EquityBudget-(GX$28))))</f>
        <v/>
      </c>
      <c r="GZ27" s="18">
        <f>IF(FundingOrderPari=1,(1-DebtShare)*GZ$26,MIN(GZ$26,MAX(0,EquityBudget-(GY$28))))</f>
        <v/>
      </c>
      <c r="HA27" s="18">
        <f>IF(FundingOrderPari=1,(1-DebtShare)*HA$26,MIN(HA$26,MAX(0,EquityBudget-(GZ$28))))</f>
        <v/>
      </c>
      <c r="HB27" s="18">
        <f>IF(FundingOrderPari=1,(1-DebtShare)*HB$26,MIN(HB$26,MAX(0,EquityBudget-(HA$28))))</f>
        <v/>
      </c>
      <c r="HC27" s="18">
        <f>IF(FundingOrderPari=1,(1-DebtShare)*HC$26,MIN(HC$26,MAX(0,EquityBudget-(HB$28))))</f>
        <v/>
      </c>
      <c r="HD27" s="18">
        <f>IF(FundingOrderPari=1,(1-DebtShare)*HD$26,MIN(HD$26,MAX(0,EquityBudget-(HC$28))))</f>
        <v/>
      </c>
      <c r="HE27" s="18">
        <f>IF(FundingOrderPari=1,(1-DebtShare)*HE$26,MIN(HE$26,MAX(0,EquityBudget-(HD$28))))</f>
        <v/>
      </c>
      <c r="HF27" s="18">
        <f>IF(FundingOrderPari=1,(1-DebtShare)*HF$26,MIN(HF$26,MAX(0,EquityBudget-(HE$28))))</f>
        <v/>
      </c>
      <c r="HG27" s="18">
        <f>IF(FundingOrderPari=1,(1-DebtShare)*HG$26,MIN(HG$26,MAX(0,EquityBudget-(HF$28))))</f>
        <v/>
      </c>
      <c r="HH27" s="18">
        <f>IF(FundingOrderPari=1,(1-DebtShare)*HH$26,MIN(HH$26,MAX(0,EquityBudget-(HG$28))))</f>
        <v/>
      </c>
      <c r="HI27" s="18">
        <f>IF(FundingOrderPari=1,(1-DebtShare)*HI$26,MIN(HI$26,MAX(0,EquityBudget-(HH$28))))</f>
        <v/>
      </c>
      <c r="HJ27" s="18">
        <f>IF(FundingOrderPari=1,(1-DebtShare)*HJ$26,MIN(HJ$26,MAX(0,EquityBudget-(HI$28))))</f>
        <v/>
      </c>
      <c r="HK27" s="18">
        <f>IF(FundingOrderPari=1,(1-DebtShare)*HK$26,MIN(HK$26,MAX(0,EquityBudget-(HJ$28))))</f>
        <v/>
      </c>
      <c r="HL27" s="18">
        <f>IF(FundingOrderPari=1,(1-DebtShare)*HL$26,MIN(HL$26,MAX(0,EquityBudget-(HK$28))))</f>
        <v/>
      </c>
      <c r="HM27" s="18">
        <f>IF(FundingOrderPari=1,(1-DebtShare)*HM$26,MIN(HM$26,MAX(0,EquityBudget-(HL$28))))</f>
        <v/>
      </c>
      <c r="HN27" s="18">
        <f>IF(FundingOrderPari=1,(1-DebtShare)*HN$26,MIN(HN$26,MAX(0,EquityBudget-(HM$28))))</f>
        <v/>
      </c>
      <c r="HO27" s="18">
        <f>IF(FundingOrderPari=1,(1-DebtShare)*HO$26,MIN(HO$26,MAX(0,EquityBudget-(HN$28))))</f>
        <v/>
      </c>
      <c r="HP27" s="18">
        <f>IF(FundingOrderPari=1,(1-DebtShare)*HP$26,MIN(HP$26,MAX(0,EquityBudget-(HO$28))))</f>
        <v/>
      </c>
      <c r="HQ27" s="18">
        <f>IF(FundingOrderPari=1,(1-DebtShare)*HQ$26,MIN(HQ$26,MAX(0,EquityBudget-(HP$28))))</f>
        <v/>
      </c>
      <c r="HR27" s="18">
        <f>IF(FundingOrderPari=1,(1-DebtShare)*HR$26,MIN(HR$26,MAX(0,EquityBudget-(HQ$28))))</f>
        <v/>
      </c>
      <c r="HS27" s="18">
        <f>IF(FundingOrderPari=1,(1-DebtShare)*HS$26,MIN(HS$26,MAX(0,EquityBudget-(HR$28))))</f>
        <v/>
      </c>
      <c r="HT27" s="18">
        <f>IF(FundingOrderPari=1,(1-DebtShare)*HT$26,MIN(HT$26,MAX(0,EquityBudget-(HS$28))))</f>
        <v/>
      </c>
      <c r="HU27" s="18">
        <f>IF(FundingOrderPari=1,(1-DebtShare)*HU$26,MIN(HU$26,MAX(0,EquityBudget-(HT$28))))</f>
        <v/>
      </c>
      <c r="HV27" s="18">
        <f>IF(FundingOrderPari=1,(1-DebtShare)*HV$26,MIN(HV$26,MAX(0,EquityBudget-(HU$28))))</f>
        <v/>
      </c>
      <c r="HW27" s="18">
        <f>IF(FundingOrderPari=1,(1-DebtShare)*HW$26,MIN(HW$26,MAX(0,EquityBudget-(HV$28))))</f>
        <v/>
      </c>
      <c r="HX27" s="18">
        <f>IF(FundingOrderPari=1,(1-DebtShare)*HX$26,MIN(HX$26,MAX(0,EquityBudget-(HW$28))))</f>
        <v/>
      </c>
      <c r="HY27" s="18">
        <f>IF(FundingOrderPari=1,(1-DebtShare)*HY$26,MIN(HY$26,MAX(0,EquityBudget-(HX$28))))</f>
        <v/>
      </c>
      <c r="HZ27" s="18">
        <f>IF(FundingOrderPari=1,(1-DebtShare)*HZ$26,MIN(HZ$26,MAX(0,EquityBudget-(HY$28))))</f>
        <v/>
      </c>
      <c r="IA27" s="18">
        <f>IF(FundingOrderPari=1,(1-DebtShare)*IA$26,MIN(IA$26,MAX(0,EquityBudget-(HZ$28))))</f>
        <v/>
      </c>
      <c r="IB27" s="18">
        <f>IF(FundingOrderPari=1,(1-DebtShare)*IB$26,MIN(IB$26,MAX(0,EquityBudget-(IA$28))))</f>
        <v/>
      </c>
      <c r="IC27" s="18">
        <f>IF(FundingOrderPari=1,(1-DebtShare)*IC$26,MIN(IC$26,MAX(0,EquityBudget-(IB$28))))</f>
        <v/>
      </c>
      <c r="ID27" s="18">
        <f>IF(FundingOrderPari=1,(1-DebtShare)*ID$26,MIN(ID$26,MAX(0,EquityBudget-(IC$28))))</f>
        <v/>
      </c>
      <c r="IE27" s="18">
        <f>IF(FundingOrderPari=1,(1-DebtShare)*IE$26,MIN(IE$26,MAX(0,EquityBudget-(ID$28))))</f>
        <v/>
      </c>
      <c r="IF27" s="18">
        <f>IF(FundingOrderPari=1,(1-DebtShare)*IF$26,MIN(IF$26,MAX(0,EquityBudget-(IE$28))))</f>
        <v/>
      </c>
      <c r="IG27" s="18">
        <f>IF(FundingOrderPari=1,(1-DebtShare)*IG$26,MIN(IG$26,MAX(0,EquityBudget-(IF$28))))</f>
        <v/>
      </c>
      <c r="IH27" s="18">
        <f>IF(FundingOrderPari=1,(1-DebtShare)*IH$26,MIN(IH$26,MAX(0,EquityBudget-(IG$28))))</f>
        <v/>
      </c>
      <c r="II27" s="18">
        <f>IF(FundingOrderPari=1,(1-DebtShare)*II$26,MIN(II$26,MAX(0,EquityBudget-(IH$28))))</f>
        <v/>
      </c>
      <c r="IJ27" s="18">
        <f>IF(FundingOrderPari=1,(1-DebtShare)*IJ$26,MIN(IJ$26,MAX(0,EquityBudget-(II$28))))</f>
        <v/>
      </c>
      <c r="IK27" s="18">
        <f>IF(FundingOrderPari=1,(1-DebtShare)*IK$26,MIN(IK$26,MAX(0,EquityBudget-(IJ$28))))</f>
        <v/>
      </c>
      <c r="IL27" s="18">
        <f>IF(FundingOrderPari=1,(1-DebtShare)*IL$26,MIN(IL$26,MAX(0,EquityBudget-(IK$28))))</f>
        <v/>
      </c>
      <c r="IM27" s="18">
        <f>IF(FundingOrderPari=1,(1-DebtShare)*IM$26,MIN(IM$26,MAX(0,EquityBudget-(IL$28))))</f>
        <v/>
      </c>
      <c r="IN27" s="18">
        <f>IF(FundingOrderPari=1,(1-DebtShare)*IN$26,MIN(IN$26,MAX(0,EquityBudget-(IM$28))))</f>
        <v/>
      </c>
      <c r="IO27" s="18">
        <f>IF(FundingOrderPari=1,(1-DebtShare)*IO$26,MIN(IO$26,MAX(0,EquityBudget-(IN$28))))</f>
        <v/>
      </c>
      <c r="IP27" s="18">
        <f>IF(FundingOrderPari=1,(1-DebtShare)*IP$26,MIN(IP$26,MAX(0,EquityBudget-(IO$28))))</f>
        <v/>
      </c>
      <c r="IQ27" s="18">
        <f>IF(FundingOrderPari=1,(1-DebtShare)*IQ$26,MIN(IQ$26,MAX(0,EquityBudget-(IP$28))))</f>
        <v/>
      </c>
      <c r="IR27" s="18">
        <f>IF(FundingOrderPari=1,(1-DebtShare)*IR$26,MIN(IR$26,MAX(0,EquityBudget-(IQ$28))))</f>
        <v/>
      </c>
      <c r="IS27" s="18">
        <f>IF(FundingOrderPari=1,(1-DebtShare)*IS$26,MIN(IS$26,MAX(0,EquityBudget-(IR$28))))</f>
        <v/>
      </c>
      <c r="IT27" s="18">
        <f>IF(FundingOrderPari=1,(1-DebtShare)*IT$26,MIN(IT$26,MAX(0,EquityBudget-(IS$28))))</f>
        <v/>
      </c>
      <c r="IU27" s="18">
        <f>IF(FundingOrderPari=1,(1-DebtShare)*IU$26,MIN(IU$26,MAX(0,EquityBudget-(IT$28))))</f>
        <v/>
      </c>
      <c r="IV27" s="18">
        <f>IF(FundingOrderPari=1,(1-DebtShare)*IV$26,MIN(IV$26,MAX(0,EquityBudget-(IU$28))))</f>
        <v/>
      </c>
      <c r="IW27" s="18">
        <f>IF(FundingOrderPari=1,(1-DebtShare)*IW$26,MIN(IW$26,MAX(0,EquityBudget-(IV$28))))</f>
        <v/>
      </c>
      <c r="IX27" s="18">
        <f>IF(FundingOrderPari=1,(1-DebtShare)*IX$26,MIN(IX$26,MAX(0,EquityBudget-(IW$28))))</f>
        <v/>
      </c>
      <c r="IY27" s="18">
        <f>IF(FundingOrderPari=1,(1-DebtShare)*IY$26,MIN(IY$26,MAX(0,EquityBudget-(IX$28))))</f>
        <v/>
      </c>
      <c r="IZ27" s="18">
        <f>IF(FundingOrderPari=1,(1-DebtShare)*IZ$26,MIN(IZ$26,MAX(0,EquityBudget-(IY$28))))</f>
        <v/>
      </c>
      <c r="JA27" s="18">
        <f>IF(FundingOrderPari=1,(1-DebtShare)*JA$26,MIN(JA$26,MAX(0,EquityBudget-(IZ$28))))</f>
        <v/>
      </c>
      <c r="JB27" s="18">
        <f>IF(FundingOrderPari=1,(1-DebtShare)*JB$26,MIN(JB$26,MAX(0,EquityBudget-(JA$28))))</f>
        <v/>
      </c>
      <c r="JC27" s="18">
        <f>IF(FundingOrderPari=1,(1-DebtShare)*JC$26,MIN(JC$26,MAX(0,EquityBudget-(JB$28))))</f>
        <v/>
      </c>
      <c r="JD27" s="18">
        <f>IF(FundingOrderPari=1,(1-DebtShare)*JD$26,MIN(JD$26,MAX(0,EquityBudget-(JC$28))))</f>
        <v/>
      </c>
      <c r="JE27" s="18">
        <f>IF(FundingOrderPari=1,(1-DebtShare)*JE$26,MIN(JE$26,MAX(0,EquityBudget-(JD$28))))</f>
        <v/>
      </c>
      <c r="JF27" s="18">
        <f>IF(FundingOrderPari=1,(1-DebtShare)*JF$26,MIN(JF$26,MAX(0,EquityBudget-(JE$28))))</f>
        <v/>
      </c>
      <c r="JG27" s="18">
        <f>IF(FundingOrderPari=1,(1-DebtShare)*JG$26,MIN(JG$26,MAX(0,EquityBudget-(JF$28))))</f>
        <v/>
      </c>
      <c r="JH27" s="18">
        <f>IF(FundingOrderPari=1,(1-DebtShare)*JH$26,MIN(JH$26,MAX(0,EquityBudget-(JG$28))))</f>
        <v/>
      </c>
      <c r="JI27" s="18">
        <f>IF(FundingOrderPari=1,(1-DebtShare)*JI$26,MIN(JI$26,MAX(0,EquityBudget-(JH$28))))</f>
        <v/>
      </c>
      <c r="JJ27" s="18">
        <f>IF(FundingOrderPari=1,(1-DebtShare)*JJ$26,MIN(JJ$26,MAX(0,EquityBudget-(JI$28))))</f>
        <v/>
      </c>
      <c r="JK27" s="18">
        <f>IF(FundingOrderPari=1,(1-DebtShare)*JK$26,MIN(JK$26,MAX(0,EquityBudget-(JJ$28))))</f>
        <v/>
      </c>
      <c r="JL27" s="18">
        <f>IF(FundingOrderPari=1,(1-DebtShare)*JL$26,MIN(JL$26,MAX(0,EquityBudget-(JK$28))))</f>
        <v/>
      </c>
      <c r="JM27" s="18">
        <f>IF(FundingOrderPari=1,(1-DebtShare)*JM$26,MIN(JM$26,MAX(0,EquityBudget-(JL$28))))</f>
        <v/>
      </c>
      <c r="JN27" s="18">
        <f>IF(FundingOrderPari=1,(1-DebtShare)*JN$26,MIN(JN$26,MAX(0,EquityBudget-(JM$28))))</f>
        <v/>
      </c>
      <c r="JO27" s="18">
        <f>IF(FundingOrderPari=1,(1-DebtShare)*JO$26,MIN(JO$26,MAX(0,EquityBudget-(JN$28))))</f>
        <v/>
      </c>
      <c r="JP27" s="18">
        <f>IF(FundingOrderPari=1,(1-DebtShare)*JP$26,MIN(JP$26,MAX(0,EquityBudget-(JO$28))))</f>
        <v/>
      </c>
      <c r="JQ27" s="18">
        <f>IF(FundingOrderPari=1,(1-DebtShare)*JQ$26,MIN(JQ$26,MAX(0,EquityBudget-(JP$28))))</f>
        <v/>
      </c>
      <c r="JR27" s="18">
        <f>IF(FundingOrderPari=1,(1-DebtShare)*JR$26,MIN(JR$26,MAX(0,EquityBudget-(JQ$28))))</f>
        <v/>
      </c>
      <c r="JS27" s="18">
        <f>IF(FundingOrderPari=1,(1-DebtShare)*JS$26,MIN(JS$26,MAX(0,EquityBudget-(JR$28))))</f>
        <v/>
      </c>
      <c r="JT27" s="18">
        <f>IF(FundingOrderPari=1,(1-DebtShare)*JT$26,MIN(JT$26,MAX(0,EquityBudget-(JS$28))))</f>
        <v/>
      </c>
      <c r="JU27" s="18">
        <f>IF(FundingOrderPari=1,(1-DebtShare)*JU$26,MIN(JU$26,MAX(0,EquityBudget-(JT$28))))</f>
        <v/>
      </c>
      <c r="JV27" s="18">
        <f>IF(FundingOrderPari=1,(1-DebtShare)*JV$26,MIN(JV$26,MAX(0,EquityBudget-(JU$28))))</f>
        <v/>
      </c>
      <c r="JW27" s="18">
        <f>IF(FundingOrderPari=1,(1-DebtShare)*JW$26,MIN(JW$26,MAX(0,EquityBudget-(JV$28))))</f>
        <v/>
      </c>
      <c r="JX27" s="18">
        <f>IF(FundingOrderPari=1,(1-DebtShare)*JX$26,MIN(JX$26,MAX(0,EquityBudget-(JW$28))))</f>
        <v/>
      </c>
      <c r="JY27" s="18">
        <f>IF(FundingOrderPari=1,(1-DebtShare)*JY$26,MIN(JY$26,MAX(0,EquityBudget-(JX$28))))</f>
        <v/>
      </c>
      <c r="JZ27" s="18">
        <f>IF(FundingOrderPari=1,(1-DebtShare)*JZ$26,MIN(JZ$26,MAX(0,EquityBudget-(JY$28))))</f>
        <v/>
      </c>
      <c r="KA27" s="18">
        <f>IF(FundingOrderPari=1,(1-DebtShare)*KA$26,MIN(KA$26,MAX(0,EquityBudget-(JZ$28))))</f>
        <v/>
      </c>
      <c r="KB27" s="18">
        <f>IF(FundingOrderPari=1,(1-DebtShare)*KB$26,MIN(KB$26,MAX(0,EquityBudget-(KA$28))))</f>
        <v/>
      </c>
      <c r="KC27" s="18">
        <f>IF(FundingOrderPari=1,(1-DebtShare)*KC$26,MIN(KC$26,MAX(0,EquityBudget-(KB$28))))</f>
        <v/>
      </c>
      <c r="KD27" s="18">
        <f>IF(FundingOrderPari=1,(1-DebtShare)*KD$26,MIN(KD$26,MAX(0,EquityBudget-(KC$28))))</f>
        <v/>
      </c>
      <c r="KE27" s="18">
        <f>IF(FundingOrderPari=1,(1-DebtShare)*KE$26,MIN(KE$26,MAX(0,EquityBudget-(KD$28))))</f>
        <v/>
      </c>
      <c r="KF27" s="18">
        <f>IF(FundingOrderPari=1,(1-DebtShare)*KF$26,MIN(KF$26,MAX(0,EquityBudget-(KE$28))))</f>
        <v/>
      </c>
      <c r="KG27" s="18">
        <f>IF(FundingOrderPari=1,(1-DebtShare)*KG$26,MIN(KG$26,MAX(0,EquityBudget-(KF$28))))</f>
        <v/>
      </c>
      <c r="KH27" s="18">
        <f>IF(FundingOrderPari=1,(1-DebtShare)*KH$26,MIN(KH$26,MAX(0,EquityBudget-(KG$28))))</f>
        <v/>
      </c>
      <c r="KI27" s="18">
        <f>IF(FundingOrderPari=1,(1-DebtShare)*KI$26,MIN(KI$26,MAX(0,EquityBudget-(KH$28))))</f>
        <v/>
      </c>
      <c r="KJ27" s="18">
        <f>IF(FundingOrderPari=1,(1-DebtShare)*KJ$26,MIN(KJ$26,MAX(0,EquityBudget-(KI$28))))</f>
        <v/>
      </c>
      <c r="KK27" s="18">
        <f>IF(FundingOrderPari=1,(1-DebtShare)*KK$26,MIN(KK$26,MAX(0,EquityBudget-(KJ$28))))</f>
        <v/>
      </c>
      <c r="KL27" s="18">
        <f>IF(FundingOrderPari=1,(1-DebtShare)*KL$26,MIN(KL$26,MAX(0,EquityBudget-(KK$28))))</f>
        <v/>
      </c>
      <c r="KM27" s="18">
        <f>IF(FundingOrderPari=1,(1-DebtShare)*KM$26,MIN(KM$26,MAX(0,EquityBudget-(KL$28))))</f>
        <v/>
      </c>
      <c r="KN27" s="18">
        <f>IF(FundingOrderPari=1,(1-DebtShare)*KN$26,MIN(KN$26,MAX(0,EquityBudget-(KM$28))))</f>
        <v/>
      </c>
      <c r="KO27" s="18">
        <f>IF(FundingOrderPari=1,(1-DebtShare)*KO$26,MIN(KO$26,MAX(0,EquityBudget-(KN$28))))</f>
        <v/>
      </c>
      <c r="KP27" s="18">
        <f>IF(FundingOrderPari=1,(1-DebtShare)*KP$26,MIN(KP$26,MAX(0,EquityBudget-(KO$28))))</f>
        <v/>
      </c>
      <c r="KQ27" s="18">
        <f>IF(FundingOrderPari=1,(1-DebtShare)*KQ$26,MIN(KQ$26,MAX(0,EquityBudget-(KP$28))))</f>
        <v/>
      </c>
      <c r="KR27" s="18">
        <f>IF(FundingOrderPari=1,(1-DebtShare)*KR$26,MIN(KR$26,MAX(0,EquityBudget-(KQ$28))))</f>
        <v/>
      </c>
      <c r="KS27" s="18">
        <f>IF(FundingOrderPari=1,(1-DebtShare)*KS$26,MIN(KS$26,MAX(0,EquityBudget-(KR$28))))</f>
        <v/>
      </c>
      <c r="KT27" s="18">
        <f>IF(FundingOrderPari=1,(1-DebtShare)*KT$26,MIN(KT$26,MAX(0,EquityBudget-(KS$28))))</f>
        <v/>
      </c>
      <c r="KU27" s="18">
        <f>IF(FundingOrderPari=1,(1-DebtShare)*KU$26,MIN(KU$26,MAX(0,EquityBudget-(KT$28))))</f>
        <v/>
      </c>
      <c r="KV27" s="18">
        <f>IF(FundingOrderPari=1,(1-DebtShare)*KV$26,MIN(KV$26,MAX(0,EquityBudget-(KU$28))))</f>
        <v/>
      </c>
      <c r="KW27" s="18">
        <f>IF(FundingOrderPari=1,(1-DebtShare)*KW$26,MIN(KW$26,MAX(0,EquityBudget-(KV$28))))</f>
        <v/>
      </c>
      <c r="KX27" s="18">
        <f>IF(FundingOrderPari=1,(1-DebtShare)*KX$26,MIN(KX$26,MAX(0,EquityBudget-(KW$28))))</f>
        <v/>
      </c>
      <c r="KY27" s="18">
        <f>IF(FundingOrderPari=1,(1-DebtShare)*KY$26,MIN(KY$26,MAX(0,EquityBudget-(KX$28))))</f>
        <v/>
      </c>
      <c r="KZ27" s="18">
        <f>IF(FundingOrderPari=1,(1-DebtShare)*KZ$26,MIN(KZ$26,MAX(0,EquityBudget-(KY$28))))</f>
        <v/>
      </c>
      <c r="LA27" s="18">
        <f>IF(FundingOrderPari=1,(1-DebtShare)*LA$26,MIN(LA$26,MAX(0,EquityBudget-(KZ$28))))</f>
        <v/>
      </c>
      <c r="LB27" s="18">
        <f>IF(FundingOrderPari=1,(1-DebtShare)*LB$26,MIN(LB$26,MAX(0,EquityBudget-(LA$28))))</f>
        <v/>
      </c>
      <c r="LC27" s="18">
        <f>IF(FundingOrderPari=1,(1-DebtShare)*LC$26,MIN(LC$26,MAX(0,EquityBudget-(LB$28))))</f>
        <v/>
      </c>
      <c r="LD27" s="18">
        <f>IF(FundingOrderPari=1,(1-DebtShare)*LD$26,MIN(LD$26,MAX(0,EquityBudget-(LC$28))))</f>
        <v/>
      </c>
      <c r="LE27" s="18">
        <f>IF(FundingOrderPari=1,(1-DebtShare)*LE$26,MIN(LE$26,MAX(0,EquityBudget-(LD$28))))</f>
        <v/>
      </c>
      <c r="LF27" s="18">
        <f>IF(FundingOrderPari=1,(1-DebtShare)*LF$26,MIN(LF$26,MAX(0,EquityBudget-(LE$28))))</f>
        <v/>
      </c>
      <c r="LG27" s="18">
        <f>IF(FundingOrderPari=1,(1-DebtShare)*LG$26,MIN(LG$26,MAX(0,EquityBudget-(LF$28))))</f>
        <v/>
      </c>
      <c r="LH27" s="18">
        <f>IF(FundingOrderPari=1,(1-DebtShare)*LH$26,MIN(LH$26,MAX(0,EquityBudget-(LG$28))))</f>
        <v/>
      </c>
      <c r="LI27" s="18">
        <f>IF(FundingOrderPari=1,(1-DebtShare)*LI$26,MIN(LI$26,MAX(0,EquityBudget-(LH$28))))</f>
        <v/>
      </c>
      <c r="LJ27" s="18">
        <f>IF(FundingOrderPari=1,(1-DebtShare)*LJ$26,MIN(LJ$26,MAX(0,EquityBudget-(LI$28))))</f>
        <v/>
      </c>
      <c r="LK27" s="18">
        <f>IF(FundingOrderPari=1,(1-DebtShare)*LK$26,MIN(LK$26,MAX(0,EquityBudget-(LJ$28))))</f>
        <v/>
      </c>
      <c r="LL27" s="18">
        <f>IF(FundingOrderPari=1,(1-DebtShare)*LL$26,MIN(LL$26,MAX(0,EquityBudget-(LK$28))))</f>
        <v/>
      </c>
      <c r="LM27" s="18">
        <f>IF(FundingOrderPari=1,(1-DebtShare)*LM$26,MIN(LM$26,MAX(0,EquityBudget-(LL$28))))</f>
        <v/>
      </c>
      <c r="LN27" s="18">
        <f>IF(FundingOrderPari=1,(1-DebtShare)*LN$26,MIN(LN$26,MAX(0,EquityBudget-(LM$28))))</f>
        <v/>
      </c>
      <c r="LO27" s="18">
        <f>IF(FundingOrderPari=1,(1-DebtShare)*LO$26,MIN(LO$26,MAX(0,EquityBudget-(LN$28))))</f>
        <v/>
      </c>
      <c r="LP27" s="18">
        <f>IF(FundingOrderPari=1,(1-DebtShare)*LP$26,MIN(LP$26,MAX(0,EquityBudget-(LO$28))))</f>
        <v/>
      </c>
      <c r="LQ27" s="18">
        <f>IF(FundingOrderPari=1,(1-DebtShare)*LQ$26,MIN(LQ$26,MAX(0,EquityBudget-(LP$28))))</f>
        <v/>
      </c>
      <c r="LR27" s="18">
        <f>IF(FundingOrderPari=1,(1-DebtShare)*LR$26,MIN(LR$26,MAX(0,EquityBudget-(LQ$28))))</f>
        <v/>
      </c>
      <c r="LS27" s="18">
        <f>IF(FundingOrderPari=1,(1-DebtShare)*LS$26,MIN(LS$26,MAX(0,EquityBudget-(LR$28))))</f>
        <v/>
      </c>
      <c r="LT27" s="18">
        <f>IF(FundingOrderPari=1,(1-DebtShare)*LT$26,MIN(LT$26,MAX(0,EquityBudget-(LS$28))))</f>
        <v/>
      </c>
      <c r="LU27" s="18">
        <f>IF(FundingOrderPari=1,(1-DebtShare)*LU$26,MIN(LU$26,MAX(0,EquityBudget-(LT$28))))</f>
        <v/>
      </c>
      <c r="LV27" s="18">
        <f>IF(FundingOrderPari=1,(1-DebtShare)*LV$26,MIN(LV$26,MAX(0,EquityBudget-(LU$28))))</f>
        <v/>
      </c>
      <c r="LW27" s="18">
        <f>IF(FundingOrderPari=1,(1-DebtShare)*LW$26,MIN(LW$26,MAX(0,EquityBudget-(LV$28))))</f>
        <v/>
      </c>
      <c r="LX27" s="18">
        <f>IF(FundingOrderPari=1,(1-DebtShare)*LX$26,MIN(LX$26,MAX(0,EquityBudget-(LW$28))))</f>
        <v/>
      </c>
      <c r="LY27" s="18">
        <f>IF(FundingOrderPari=1,(1-DebtShare)*LY$26,MIN(LY$26,MAX(0,EquityBudget-(LX$28))))</f>
        <v/>
      </c>
      <c r="LZ27" s="18">
        <f>IF(FundingOrderPari=1,(1-DebtShare)*LZ$26,MIN(LZ$26,MAX(0,EquityBudget-(LY$28))))</f>
        <v/>
      </c>
      <c r="MA27" s="18">
        <f>IF(FundingOrderPari=1,(1-DebtShare)*MA$26,MIN(MA$26,MAX(0,EquityBudget-(LZ$28))))</f>
        <v/>
      </c>
      <c r="MB27" s="18">
        <f>IF(FundingOrderPari=1,(1-DebtShare)*MB$26,MIN(MB$26,MAX(0,EquityBudget-(MA$28))))</f>
        <v/>
      </c>
      <c r="MC27" s="18">
        <f>IF(FundingOrderPari=1,(1-DebtShare)*MC$26,MIN(MC$26,MAX(0,EquityBudget-(MB$28))))</f>
        <v/>
      </c>
      <c r="MD27" s="18">
        <f>IF(FundingOrderPari=1,(1-DebtShare)*MD$26,MIN(MD$26,MAX(0,EquityBudget-(MC$28))))</f>
        <v/>
      </c>
      <c r="ME27" s="18">
        <f>IF(FundingOrderPari=1,(1-DebtShare)*ME$26,MIN(ME$26,MAX(0,EquityBudget-(MD$28))))</f>
        <v/>
      </c>
      <c r="MF27" s="18">
        <f>IF(FundingOrderPari=1,(1-DebtShare)*MF$26,MIN(MF$26,MAX(0,EquityBudget-(ME$28))))</f>
        <v/>
      </c>
      <c r="MG27" s="18">
        <f>IF(FundingOrderPari=1,(1-DebtShare)*MG$26,MIN(MG$26,MAX(0,EquityBudget-(MF$28))))</f>
        <v/>
      </c>
      <c r="MH27" s="18">
        <f>IF(FundingOrderPari=1,(1-DebtShare)*MH$26,MIN(MH$26,MAX(0,EquityBudget-(MG$28))))</f>
        <v/>
      </c>
      <c r="MI27" s="18">
        <f>IF(FundingOrderPari=1,(1-DebtShare)*MI$26,MIN(MI$26,MAX(0,EquityBudget-(MH$28))))</f>
        <v/>
      </c>
      <c r="MJ27" s="18">
        <f>IF(FundingOrderPari=1,(1-DebtShare)*MJ$26,MIN(MJ$26,MAX(0,EquityBudget-(MI$28))))</f>
        <v/>
      </c>
      <c r="MK27" s="18">
        <f>IF(FundingOrderPari=1,(1-DebtShare)*MK$26,MIN(MK$26,MAX(0,EquityBudget-(MJ$28))))</f>
        <v/>
      </c>
      <c r="ML27" s="18">
        <f>IF(FundingOrderPari=1,(1-DebtShare)*ML$26,MIN(ML$26,MAX(0,EquityBudget-(MK$28))))</f>
        <v/>
      </c>
      <c r="MM27" s="18">
        <f>IF(FundingOrderPari=1,(1-DebtShare)*MM$26,MIN(MM$26,MAX(0,EquityBudget-(ML$28))))</f>
        <v/>
      </c>
      <c r="MN27" s="18">
        <f>IF(FundingOrderPari=1,(1-DebtShare)*MN$26,MIN(MN$26,MAX(0,EquityBudget-(MM$28))))</f>
        <v/>
      </c>
      <c r="MO27" s="18">
        <f>IF(FundingOrderPari=1,(1-DebtShare)*MO$26,MIN(MO$26,MAX(0,EquityBudget-(MN$28))))</f>
        <v/>
      </c>
      <c r="MP27" s="18">
        <f>IF(FundingOrderPari=1,(1-DebtShare)*MP$26,MIN(MP$26,MAX(0,EquityBudget-(MO$28))))</f>
        <v/>
      </c>
      <c r="MQ27" s="18">
        <f>IF(FundingOrderPari=1,(1-DebtShare)*MQ$26,MIN(MQ$26,MAX(0,EquityBudget-(MP$28))))</f>
        <v/>
      </c>
      <c r="MR27" s="18">
        <f>IF(FundingOrderPari=1,(1-DebtShare)*MR$26,MIN(MR$26,MAX(0,EquityBudget-(MQ$28))))</f>
        <v/>
      </c>
      <c r="MS27" s="18">
        <f>IF(FundingOrderPari=1,(1-DebtShare)*MS$26,MIN(MS$26,MAX(0,EquityBudget-(MR$28))))</f>
        <v/>
      </c>
      <c r="MT27" s="18">
        <f>IF(FundingOrderPari=1,(1-DebtShare)*MT$26,MIN(MT$26,MAX(0,EquityBudget-(MS$28))))</f>
        <v/>
      </c>
      <c r="MU27" s="18">
        <f>IF(FundingOrderPari=1,(1-DebtShare)*MU$26,MIN(MU$26,MAX(0,EquityBudget-(MT$28))))</f>
        <v/>
      </c>
      <c r="MV27" s="18">
        <f>IF(FundingOrderPari=1,(1-DebtShare)*MV$26,MIN(MV$26,MAX(0,EquityBudget-(MU$28))))</f>
        <v/>
      </c>
      <c r="MW27" s="18">
        <f>IF(FundingOrderPari=1,(1-DebtShare)*MW$26,MIN(MW$26,MAX(0,EquityBudget-(MV$28))))</f>
        <v/>
      </c>
      <c r="MX27" s="18">
        <f>IF(FundingOrderPari=1,(1-DebtShare)*MX$26,MIN(MX$26,MAX(0,EquityBudget-(MW$28))))</f>
        <v/>
      </c>
      <c r="MY27" s="18">
        <f>IF(FundingOrderPari=1,(1-DebtShare)*MY$26,MIN(MY$26,MAX(0,EquityBudget-(MX$28))))</f>
        <v/>
      </c>
      <c r="MZ27" s="18">
        <f>IF(FundingOrderPari=1,(1-DebtShare)*MZ$26,MIN(MZ$26,MAX(0,EquityBudget-(MY$28))))</f>
        <v/>
      </c>
      <c r="NA27" s="18">
        <f>IF(FundingOrderPari=1,(1-DebtShare)*NA$26,MIN(NA$26,MAX(0,EquityBudget-(MZ$28))))</f>
        <v/>
      </c>
      <c r="NB27" s="18">
        <f>IF(FundingOrderPari=1,(1-DebtShare)*NB$26,MIN(NB$26,MAX(0,EquityBudget-(NA$28))))</f>
        <v/>
      </c>
      <c r="NC27" s="18">
        <f>IF(FundingOrderPari=1,(1-DebtShare)*NC$26,MIN(NC$26,MAX(0,EquityBudget-(NB$28))))</f>
        <v/>
      </c>
      <c r="ND27" s="18">
        <f>IF(FundingOrderPari=1,(1-DebtShare)*ND$26,MIN(ND$26,MAX(0,EquityBudget-(NC$28))))</f>
        <v/>
      </c>
      <c r="NE27" s="18">
        <f>IF(FundingOrderPari=1,(1-DebtShare)*NE$26,MIN(NE$26,MAX(0,EquityBudget-(ND$28))))</f>
        <v/>
      </c>
      <c r="NF27" s="18">
        <f>IF(FundingOrderPari=1,(1-DebtShare)*NF$26,MIN(NF$26,MAX(0,EquityBudget-(NE$28))))</f>
        <v/>
      </c>
      <c r="NG27" s="18">
        <f>IF(FundingOrderPari=1,(1-DebtShare)*NG$26,MIN(NG$26,MAX(0,EquityBudget-(NF$28))))</f>
        <v/>
      </c>
      <c r="NH27" s="18">
        <f>IF(FundingOrderPari=1,(1-DebtShare)*NH$26,MIN(NH$26,MAX(0,EquityBudget-(NG$28))))</f>
        <v/>
      </c>
      <c r="NI27" s="18">
        <f>IF(FundingOrderPari=1,(1-DebtShare)*NI$26,MIN(NI$26,MAX(0,EquityBudget-(NH$28))))</f>
        <v/>
      </c>
      <c r="NJ27" s="18">
        <f>IF(FundingOrderPari=1,(1-DebtShare)*NJ$26,MIN(NJ$26,MAX(0,EquityBudget-(NI$28))))</f>
        <v/>
      </c>
      <c r="NK27" s="18">
        <f>IF(FundingOrderPari=1,(1-DebtShare)*NK$26,MIN(NK$26,MAX(0,EquityBudget-(NJ$28))))</f>
        <v/>
      </c>
    </row>
    <row r="28">
      <c r="A28" s="5" t="inlineStr">
        <is>
          <t>Cumulative Equity</t>
        </is>
      </c>
      <c r="C28" s="43" t="n"/>
      <c r="D28" s="18">
        <f>0+D$27</f>
        <v/>
      </c>
      <c r="E28" s="18">
        <f>D$28+E$27</f>
        <v/>
      </c>
      <c r="F28" s="18">
        <f>E$28+F$27</f>
        <v/>
      </c>
      <c r="G28" s="18">
        <f>F$28+G$27</f>
        <v/>
      </c>
      <c r="H28" s="18">
        <f>G$28+H$27</f>
        <v/>
      </c>
      <c r="I28" s="18">
        <f>H$28+I$27</f>
        <v/>
      </c>
      <c r="J28" s="18">
        <f>I$28+J$27</f>
        <v/>
      </c>
      <c r="K28" s="18">
        <f>J$28+K$27</f>
        <v/>
      </c>
      <c r="L28" s="18">
        <f>K$28+L$27</f>
        <v/>
      </c>
      <c r="M28" s="18">
        <f>L$28+M$27</f>
        <v/>
      </c>
      <c r="N28" s="18">
        <f>M$28+N$27</f>
        <v/>
      </c>
      <c r="O28" s="18">
        <f>N$28+O$27</f>
        <v/>
      </c>
      <c r="P28" s="18">
        <f>O$28+P$27</f>
        <v/>
      </c>
      <c r="Q28" s="18">
        <f>P$28+Q$27</f>
        <v/>
      </c>
      <c r="R28" s="18">
        <f>Q$28+R$27</f>
        <v/>
      </c>
      <c r="S28" s="18">
        <f>R$28+S$27</f>
        <v/>
      </c>
      <c r="T28" s="18">
        <f>S$28+T$27</f>
        <v/>
      </c>
      <c r="U28" s="18">
        <f>T$28+U$27</f>
        <v/>
      </c>
      <c r="V28" s="18">
        <f>U$28+V$27</f>
        <v/>
      </c>
      <c r="W28" s="18">
        <f>V$28+W$27</f>
        <v/>
      </c>
      <c r="X28" s="18">
        <f>W$28+X$27</f>
        <v/>
      </c>
      <c r="Y28" s="18">
        <f>X$28+Y$27</f>
        <v/>
      </c>
      <c r="Z28" s="18">
        <f>Y$28+Z$27</f>
        <v/>
      </c>
      <c r="AA28" s="18">
        <f>Z$28+AA$27</f>
        <v/>
      </c>
      <c r="AB28" s="18">
        <f>AA$28+AB$27</f>
        <v/>
      </c>
      <c r="AC28" s="18">
        <f>AB$28+AC$27</f>
        <v/>
      </c>
      <c r="AD28" s="18">
        <f>AC$28+AD$27</f>
        <v/>
      </c>
      <c r="AE28" s="18">
        <f>AD$28+AE$27</f>
        <v/>
      </c>
      <c r="AF28" s="18">
        <f>AE$28+AF$27</f>
        <v/>
      </c>
      <c r="AG28" s="18">
        <f>AF$28+AG$27</f>
        <v/>
      </c>
      <c r="AH28" s="18">
        <f>AG$28+AH$27</f>
        <v/>
      </c>
      <c r="AI28" s="18">
        <f>AH$28+AI$27</f>
        <v/>
      </c>
      <c r="AJ28" s="18">
        <f>AI$28+AJ$27</f>
        <v/>
      </c>
      <c r="AK28" s="18">
        <f>AJ$28+AK$27</f>
        <v/>
      </c>
      <c r="AL28" s="18">
        <f>AK$28+AL$27</f>
        <v/>
      </c>
      <c r="AM28" s="18">
        <f>AL$28+AM$27</f>
        <v/>
      </c>
      <c r="AN28" s="18">
        <f>AM$28+AN$27</f>
        <v/>
      </c>
      <c r="AO28" s="18">
        <f>AN$28+AO$27</f>
        <v/>
      </c>
      <c r="AP28" s="18">
        <f>AO$28+AP$27</f>
        <v/>
      </c>
      <c r="AQ28" s="18">
        <f>AP$28+AQ$27</f>
        <v/>
      </c>
      <c r="AR28" s="18">
        <f>AQ$28+AR$27</f>
        <v/>
      </c>
      <c r="AS28" s="18">
        <f>AR$28+AS$27</f>
        <v/>
      </c>
      <c r="AT28" s="18">
        <f>AS$28+AT$27</f>
        <v/>
      </c>
      <c r="AU28" s="18">
        <f>AT$28+AU$27</f>
        <v/>
      </c>
      <c r="AV28" s="18">
        <f>AU$28+AV$27</f>
        <v/>
      </c>
      <c r="AW28" s="18">
        <f>AV$28+AW$27</f>
        <v/>
      </c>
      <c r="AX28" s="18">
        <f>AW$28+AX$27</f>
        <v/>
      </c>
      <c r="AY28" s="18">
        <f>AX$28+AY$27</f>
        <v/>
      </c>
      <c r="AZ28" s="18">
        <f>AY$28+AZ$27</f>
        <v/>
      </c>
      <c r="BA28" s="18">
        <f>AZ$28+BA$27</f>
        <v/>
      </c>
      <c r="BB28" s="18">
        <f>BA$28+BB$27</f>
        <v/>
      </c>
      <c r="BC28" s="18">
        <f>BB$28+BC$27</f>
        <v/>
      </c>
      <c r="BD28" s="18">
        <f>BC$28+BD$27</f>
        <v/>
      </c>
      <c r="BE28" s="18">
        <f>BD$28+BE$27</f>
        <v/>
      </c>
      <c r="BF28" s="18">
        <f>BE$28+BF$27</f>
        <v/>
      </c>
      <c r="BG28" s="18">
        <f>BF$28+BG$27</f>
        <v/>
      </c>
      <c r="BH28" s="18">
        <f>BG$28+BH$27</f>
        <v/>
      </c>
      <c r="BI28" s="18">
        <f>BH$28+BI$27</f>
        <v/>
      </c>
      <c r="BJ28" s="18">
        <f>BI$28+BJ$27</f>
        <v/>
      </c>
      <c r="BK28" s="18">
        <f>BJ$28+BK$27</f>
        <v/>
      </c>
      <c r="BL28" s="18">
        <f>BK$28+BL$27</f>
        <v/>
      </c>
      <c r="BM28" s="18">
        <f>BL$28+BM$27</f>
        <v/>
      </c>
      <c r="BN28" s="18">
        <f>BM$28+BN$27</f>
        <v/>
      </c>
      <c r="BO28" s="18">
        <f>BN$28+BO$27</f>
        <v/>
      </c>
      <c r="BP28" s="18">
        <f>BO$28+BP$27</f>
        <v/>
      </c>
      <c r="BQ28" s="18">
        <f>BP$28+BQ$27</f>
        <v/>
      </c>
      <c r="BR28" s="18">
        <f>BQ$28+BR$27</f>
        <v/>
      </c>
      <c r="BS28" s="18">
        <f>BR$28+BS$27</f>
        <v/>
      </c>
      <c r="BT28" s="18">
        <f>BS$28+BT$27</f>
        <v/>
      </c>
      <c r="BU28" s="18">
        <f>BT$28+BU$27</f>
        <v/>
      </c>
      <c r="BV28" s="18">
        <f>BU$28+BV$27</f>
        <v/>
      </c>
      <c r="BW28" s="18">
        <f>BV$28+BW$27</f>
        <v/>
      </c>
      <c r="BX28" s="18">
        <f>BW$28+BX$27</f>
        <v/>
      </c>
      <c r="BY28" s="18">
        <f>BX$28+BY$27</f>
        <v/>
      </c>
      <c r="BZ28" s="18">
        <f>BY$28+BZ$27</f>
        <v/>
      </c>
      <c r="CA28" s="18">
        <f>BZ$28+CA$27</f>
        <v/>
      </c>
      <c r="CB28" s="18">
        <f>CA$28+CB$27</f>
        <v/>
      </c>
      <c r="CC28" s="18">
        <f>CB$28+CC$27</f>
        <v/>
      </c>
      <c r="CD28" s="18">
        <f>CC$28+CD$27</f>
        <v/>
      </c>
      <c r="CE28" s="18">
        <f>CD$28+CE$27</f>
        <v/>
      </c>
      <c r="CF28" s="18">
        <f>CE$28+CF$27</f>
        <v/>
      </c>
      <c r="CG28" s="18">
        <f>CF$28+CG$27</f>
        <v/>
      </c>
      <c r="CH28" s="18">
        <f>CG$28+CH$27</f>
        <v/>
      </c>
      <c r="CI28" s="18">
        <f>CH$28+CI$27</f>
        <v/>
      </c>
      <c r="CJ28" s="18">
        <f>CI$28+CJ$27</f>
        <v/>
      </c>
      <c r="CK28" s="18">
        <f>CJ$28+CK$27</f>
        <v/>
      </c>
      <c r="CL28" s="18">
        <f>CK$28+CL$27</f>
        <v/>
      </c>
      <c r="CM28" s="18">
        <f>CL$28+CM$27</f>
        <v/>
      </c>
      <c r="CN28" s="18">
        <f>CM$28+CN$27</f>
        <v/>
      </c>
      <c r="CO28" s="18">
        <f>CN$28+CO$27</f>
        <v/>
      </c>
      <c r="CP28" s="18">
        <f>CO$28+CP$27</f>
        <v/>
      </c>
      <c r="CQ28" s="18">
        <f>CP$28+CQ$27</f>
        <v/>
      </c>
      <c r="CR28" s="18">
        <f>CQ$28+CR$27</f>
        <v/>
      </c>
      <c r="CS28" s="18">
        <f>CR$28+CS$27</f>
        <v/>
      </c>
      <c r="CT28" s="18">
        <f>CS$28+CT$27</f>
        <v/>
      </c>
      <c r="CU28" s="18">
        <f>CT$28+CU$27</f>
        <v/>
      </c>
      <c r="CV28" s="18">
        <f>CU$28+CV$27</f>
        <v/>
      </c>
      <c r="CW28" s="18">
        <f>CV$28+CW$27</f>
        <v/>
      </c>
      <c r="CX28" s="18">
        <f>CW$28+CX$27</f>
        <v/>
      </c>
      <c r="CY28" s="18">
        <f>CX$28+CY$27</f>
        <v/>
      </c>
      <c r="CZ28" s="18">
        <f>CY$28+CZ$27</f>
        <v/>
      </c>
      <c r="DA28" s="18">
        <f>CZ$28+DA$27</f>
        <v/>
      </c>
      <c r="DB28" s="18">
        <f>DA$28+DB$27</f>
        <v/>
      </c>
      <c r="DC28" s="18">
        <f>DB$28+DC$27</f>
        <v/>
      </c>
      <c r="DD28" s="18">
        <f>DC$28+DD$27</f>
        <v/>
      </c>
      <c r="DE28" s="18">
        <f>DD$28+DE$27</f>
        <v/>
      </c>
      <c r="DF28" s="18">
        <f>DE$28+DF$27</f>
        <v/>
      </c>
      <c r="DG28" s="18">
        <f>DF$28+DG$27</f>
        <v/>
      </c>
      <c r="DH28" s="18">
        <f>DG$28+DH$27</f>
        <v/>
      </c>
      <c r="DI28" s="18">
        <f>DH$28+DI$27</f>
        <v/>
      </c>
      <c r="DJ28" s="18">
        <f>DI$28+DJ$27</f>
        <v/>
      </c>
      <c r="DK28" s="18">
        <f>DJ$28+DK$27</f>
        <v/>
      </c>
      <c r="DL28" s="18">
        <f>DK$28+DL$27</f>
        <v/>
      </c>
      <c r="DM28" s="18">
        <f>DL$28+DM$27</f>
        <v/>
      </c>
      <c r="DN28" s="18">
        <f>DM$28+DN$27</f>
        <v/>
      </c>
      <c r="DO28" s="18">
        <f>DN$28+DO$27</f>
        <v/>
      </c>
      <c r="DP28" s="18">
        <f>DO$28+DP$27</f>
        <v/>
      </c>
      <c r="DQ28" s="18">
        <f>DP$28+DQ$27</f>
        <v/>
      </c>
      <c r="DR28" s="18">
        <f>DQ$28+DR$27</f>
        <v/>
      </c>
      <c r="DS28" s="18">
        <f>DR$28+DS$27</f>
        <v/>
      </c>
      <c r="DT28" s="18">
        <f>DS$28+DT$27</f>
        <v/>
      </c>
      <c r="DU28" s="18">
        <f>DT$28+DU$27</f>
        <v/>
      </c>
      <c r="DV28" s="18">
        <f>DU$28+DV$27</f>
        <v/>
      </c>
      <c r="DW28" s="18">
        <f>DV$28+DW$27</f>
        <v/>
      </c>
      <c r="DX28" s="18">
        <f>DW$28+DX$27</f>
        <v/>
      </c>
      <c r="DY28" s="18">
        <f>DX$28+DY$27</f>
        <v/>
      </c>
      <c r="DZ28" s="18">
        <f>DY$28+DZ$27</f>
        <v/>
      </c>
      <c r="EA28" s="18">
        <f>DZ$28+EA$27</f>
        <v/>
      </c>
      <c r="EB28" s="18">
        <f>EA$28+EB$27</f>
        <v/>
      </c>
      <c r="EC28" s="18">
        <f>EB$28+EC$27</f>
        <v/>
      </c>
      <c r="ED28" s="18">
        <f>EC$28+ED$27</f>
        <v/>
      </c>
      <c r="EE28" s="18">
        <f>ED$28+EE$27</f>
        <v/>
      </c>
      <c r="EF28" s="18">
        <f>EE$28+EF$27</f>
        <v/>
      </c>
      <c r="EG28" s="18">
        <f>EF$28+EG$27</f>
        <v/>
      </c>
      <c r="EH28" s="18">
        <f>EG$28+EH$27</f>
        <v/>
      </c>
      <c r="EI28" s="18">
        <f>EH$28+EI$27</f>
        <v/>
      </c>
      <c r="EJ28" s="18">
        <f>EI$28+EJ$27</f>
        <v/>
      </c>
      <c r="EK28" s="18">
        <f>EJ$28+EK$27</f>
        <v/>
      </c>
      <c r="EL28" s="18">
        <f>EK$28+EL$27</f>
        <v/>
      </c>
      <c r="EM28" s="18">
        <f>EL$28+EM$27</f>
        <v/>
      </c>
      <c r="EN28" s="18">
        <f>EM$28+EN$27</f>
        <v/>
      </c>
      <c r="EO28" s="18">
        <f>EN$28+EO$27</f>
        <v/>
      </c>
      <c r="EP28" s="18">
        <f>EO$28+EP$27</f>
        <v/>
      </c>
      <c r="EQ28" s="18">
        <f>EP$28+EQ$27</f>
        <v/>
      </c>
      <c r="ER28" s="18">
        <f>EQ$28+ER$27</f>
        <v/>
      </c>
      <c r="ES28" s="18">
        <f>ER$28+ES$27</f>
        <v/>
      </c>
      <c r="ET28" s="18">
        <f>ES$28+ET$27</f>
        <v/>
      </c>
      <c r="EU28" s="18">
        <f>ET$28+EU$27</f>
        <v/>
      </c>
      <c r="EV28" s="18">
        <f>EU$28+EV$27</f>
        <v/>
      </c>
      <c r="EW28" s="18">
        <f>EV$28+EW$27</f>
        <v/>
      </c>
      <c r="EX28" s="18">
        <f>EW$28+EX$27</f>
        <v/>
      </c>
      <c r="EY28" s="18">
        <f>EX$28+EY$27</f>
        <v/>
      </c>
      <c r="EZ28" s="18">
        <f>EY$28+EZ$27</f>
        <v/>
      </c>
      <c r="FA28" s="18">
        <f>EZ$28+FA$27</f>
        <v/>
      </c>
      <c r="FB28" s="18">
        <f>FA$28+FB$27</f>
        <v/>
      </c>
      <c r="FC28" s="18">
        <f>FB$28+FC$27</f>
        <v/>
      </c>
      <c r="FD28" s="18">
        <f>FC$28+FD$27</f>
        <v/>
      </c>
      <c r="FE28" s="18">
        <f>FD$28+FE$27</f>
        <v/>
      </c>
      <c r="FF28" s="18">
        <f>FE$28+FF$27</f>
        <v/>
      </c>
      <c r="FG28" s="18">
        <f>FF$28+FG$27</f>
        <v/>
      </c>
      <c r="FH28" s="18">
        <f>FG$28+FH$27</f>
        <v/>
      </c>
      <c r="FI28" s="18">
        <f>FH$28+FI$27</f>
        <v/>
      </c>
      <c r="FJ28" s="18">
        <f>FI$28+FJ$27</f>
        <v/>
      </c>
      <c r="FK28" s="18">
        <f>FJ$28+FK$27</f>
        <v/>
      </c>
      <c r="FL28" s="18">
        <f>FK$28+FL$27</f>
        <v/>
      </c>
      <c r="FM28" s="18">
        <f>FL$28+FM$27</f>
        <v/>
      </c>
      <c r="FN28" s="18">
        <f>FM$28+FN$27</f>
        <v/>
      </c>
      <c r="FO28" s="18">
        <f>FN$28+FO$27</f>
        <v/>
      </c>
      <c r="FP28" s="18">
        <f>FO$28+FP$27</f>
        <v/>
      </c>
      <c r="FQ28" s="18">
        <f>FP$28+FQ$27</f>
        <v/>
      </c>
      <c r="FR28" s="18">
        <f>FQ$28+FR$27</f>
        <v/>
      </c>
      <c r="FS28" s="18">
        <f>FR$28+FS$27</f>
        <v/>
      </c>
      <c r="FT28" s="18">
        <f>FS$28+FT$27</f>
        <v/>
      </c>
      <c r="FU28" s="18">
        <f>FT$28+FU$27</f>
        <v/>
      </c>
      <c r="FV28" s="18">
        <f>FU$28+FV$27</f>
        <v/>
      </c>
      <c r="FW28" s="18">
        <f>FV$28+FW$27</f>
        <v/>
      </c>
      <c r="FX28" s="18">
        <f>FW$28+FX$27</f>
        <v/>
      </c>
      <c r="FY28" s="18">
        <f>FX$28+FY$27</f>
        <v/>
      </c>
      <c r="FZ28" s="18">
        <f>FY$28+FZ$27</f>
        <v/>
      </c>
      <c r="GA28" s="18">
        <f>FZ$28+GA$27</f>
        <v/>
      </c>
      <c r="GB28" s="18">
        <f>GA$28+GB$27</f>
        <v/>
      </c>
      <c r="GC28" s="18">
        <f>GB$28+GC$27</f>
        <v/>
      </c>
      <c r="GD28" s="18">
        <f>GC$28+GD$27</f>
        <v/>
      </c>
      <c r="GE28" s="18">
        <f>GD$28+GE$27</f>
        <v/>
      </c>
      <c r="GF28" s="18">
        <f>GE$28+GF$27</f>
        <v/>
      </c>
      <c r="GG28" s="18">
        <f>GF$28+GG$27</f>
        <v/>
      </c>
      <c r="GH28" s="18">
        <f>GG$28+GH$27</f>
        <v/>
      </c>
      <c r="GI28" s="18">
        <f>GH$28+GI$27</f>
        <v/>
      </c>
      <c r="GJ28" s="18">
        <f>GI$28+GJ$27</f>
        <v/>
      </c>
      <c r="GK28" s="18">
        <f>GJ$28+GK$27</f>
        <v/>
      </c>
      <c r="GL28" s="18">
        <f>GK$28+GL$27</f>
        <v/>
      </c>
      <c r="GM28" s="18">
        <f>GL$28+GM$27</f>
        <v/>
      </c>
      <c r="GN28" s="18">
        <f>GM$28+GN$27</f>
        <v/>
      </c>
      <c r="GO28" s="18">
        <f>GN$28+GO$27</f>
        <v/>
      </c>
      <c r="GP28" s="18">
        <f>GO$28+GP$27</f>
        <v/>
      </c>
      <c r="GQ28" s="18">
        <f>GP$28+GQ$27</f>
        <v/>
      </c>
      <c r="GR28" s="18">
        <f>GQ$28+GR$27</f>
        <v/>
      </c>
      <c r="GS28" s="18">
        <f>GR$28+GS$27</f>
        <v/>
      </c>
      <c r="GT28" s="18">
        <f>GS$28+GT$27</f>
        <v/>
      </c>
      <c r="GU28" s="18">
        <f>GT$28+GU$27</f>
        <v/>
      </c>
      <c r="GV28" s="18">
        <f>GU$28+GV$27</f>
        <v/>
      </c>
      <c r="GW28" s="18">
        <f>GV$28+GW$27</f>
        <v/>
      </c>
      <c r="GX28" s="18">
        <f>GW$28+GX$27</f>
        <v/>
      </c>
      <c r="GY28" s="18">
        <f>GX$28+GY$27</f>
        <v/>
      </c>
      <c r="GZ28" s="18">
        <f>GY$28+GZ$27</f>
        <v/>
      </c>
      <c r="HA28" s="18">
        <f>GZ$28+HA$27</f>
        <v/>
      </c>
      <c r="HB28" s="18">
        <f>HA$28+HB$27</f>
        <v/>
      </c>
      <c r="HC28" s="18">
        <f>HB$28+HC$27</f>
        <v/>
      </c>
      <c r="HD28" s="18">
        <f>HC$28+HD$27</f>
        <v/>
      </c>
      <c r="HE28" s="18">
        <f>HD$28+HE$27</f>
        <v/>
      </c>
      <c r="HF28" s="18">
        <f>HE$28+HF$27</f>
        <v/>
      </c>
      <c r="HG28" s="18">
        <f>HF$28+HG$27</f>
        <v/>
      </c>
      <c r="HH28" s="18">
        <f>HG$28+HH$27</f>
        <v/>
      </c>
      <c r="HI28" s="18">
        <f>HH$28+HI$27</f>
        <v/>
      </c>
      <c r="HJ28" s="18">
        <f>HI$28+HJ$27</f>
        <v/>
      </c>
      <c r="HK28" s="18">
        <f>HJ$28+HK$27</f>
        <v/>
      </c>
      <c r="HL28" s="18">
        <f>HK$28+HL$27</f>
        <v/>
      </c>
      <c r="HM28" s="18">
        <f>HL$28+HM$27</f>
        <v/>
      </c>
      <c r="HN28" s="18">
        <f>HM$28+HN$27</f>
        <v/>
      </c>
      <c r="HO28" s="18">
        <f>HN$28+HO$27</f>
        <v/>
      </c>
      <c r="HP28" s="18">
        <f>HO$28+HP$27</f>
        <v/>
      </c>
      <c r="HQ28" s="18">
        <f>HP$28+HQ$27</f>
        <v/>
      </c>
      <c r="HR28" s="18">
        <f>HQ$28+HR$27</f>
        <v/>
      </c>
      <c r="HS28" s="18">
        <f>HR$28+HS$27</f>
        <v/>
      </c>
      <c r="HT28" s="18">
        <f>HS$28+HT$27</f>
        <v/>
      </c>
      <c r="HU28" s="18">
        <f>HT$28+HU$27</f>
        <v/>
      </c>
      <c r="HV28" s="18">
        <f>HU$28+HV$27</f>
        <v/>
      </c>
      <c r="HW28" s="18">
        <f>HV$28+HW$27</f>
        <v/>
      </c>
      <c r="HX28" s="18">
        <f>HW$28+HX$27</f>
        <v/>
      </c>
      <c r="HY28" s="18">
        <f>HX$28+HY$27</f>
        <v/>
      </c>
      <c r="HZ28" s="18">
        <f>HY$28+HZ$27</f>
        <v/>
      </c>
      <c r="IA28" s="18">
        <f>HZ$28+IA$27</f>
        <v/>
      </c>
      <c r="IB28" s="18">
        <f>IA$28+IB$27</f>
        <v/>
      </c>
      <c r="IC28" s="18">
        <f>IB$28+IC$27</f>
        <v/>
      </c>
      <c r="ID28" s="18">
        <f>IC$28+ID$27</f>
        <v/>
      </c>
      <c r="IE28" s="18">
        <f>ID$28+IE$27</f>
        <v/>
      </c>
      <c r="IF28" s="18">
        <f>IE$28+IF$27</f>
        <v/>
      </c>
      <c r="IG28" s="18">
        <f>IF$28+IG$27</f>
        <v/>
      </c>
      <c r="IH28" s="18">
        <f>IG$28+IH$27</f>
        <v/>
      </c>
      <c r="II28" s="18">
        <f>IH$28+II$27</f>
        <v/>
      </c>
      <c r="IJ28" s="18">
        <f>II$28+IJ$27</f>
        <v/>
      </c>
      <c r="IK28" s="18">
        <f>IJ$28+IK$27</f>
        <v/>
      </c>
      <c r="IL28" s="18">
        <f>IK$28+IL$27</f>
        <v/>
      </c>
      <c r="IM28" s="18">
        <f>IL$28+IM$27</f>
        <v/>
      </c>
      <c r="IN28" s="18">
        <f>IM$28+IN$27</f>
        <v/>
      </c>
      <c r="IO28" s="18">
        <f>IN$28+IO$27</f>
        <v/>
      </c>
      <c r="IP28" s="18">
        <f>IO$28+IP$27</f>
        <v/>
      </c>
      <c r="IQ28" s="18">
        <f>IP$28+IQ$27</f>
        <v/>
      </c>
      <c r="IR28" s="18">
        <f>IQ$28+IR$27</f>
        <v/>
      </c>
      <c r="IS28" s="18">
        <f>IR$28+IS$27</f>
        <v/>
      </c>
      <c r="IT28" s="18">
        <f>IS$28+IT$27</f>
        <v/>
      </c>
      <c r="IU28" s="18">
        <f>IT$28+IU$27</f>
        <v/>
      </c>
      <c r="IV28" s="18">
        <f>IU$28+IV$27</f>
        <v/>
      </c>
      <c r="IW28" s="18">
        <f>IV$28+IW$27</f>
        <v/>
      </c>
      <c r="IX28" s="18">
        <f>IW$28+IX$27</f>
        <v/>
      </c>
      <c r="IY28" s="18">
        <f>IX$28+IY$27</f>
        <v/>
      </c>
      <c r="IZ28" s="18">
        <f>IY$28+IZ$27</f>
        <v/>
      </c>
      <c r="JA28" s="18">
        <f>IZ$28+JA$27</f>
        <v/>
      </c>
      <c r="JB28" s="18">
        <f>JA$28+JB$27</f>
        <v/>
      </c>
      <c r="JC28" s="18">
        <f>JB$28+JC$27</f>
        <v/>
      </c>
      <c r="JD28" s="18">
        <f>JC$28+JD$27</f>
        <v/>
      </c>
      <c r="JE28" s="18">
        <f>JD$28+JE$27</f>
        <v/>
      </c>
      <c r="JF28" s="18">
        <f>JE$28+JF$27</f>
        <v/>
      </c>
      <c r="JG28" s="18">
        <f>JF$28+JG$27</f>
        <v/>
      </c>
      <c r="JH28" s="18">
        <f>JG$28+JH$27</f>
        <v/>
      </c>
      <c r="JI28" s="18">
        <f>JH$28+JI$27</f>
        <v/>
      </c>
      <c r="JJ28" s="18">
        <f>JI$28+JJ$27</f>
        <v/>
      </c>
      <c r="JK28" s="18">
        <f>JJ$28+JK$27</f>
        <v/>
      </c>
      <c r="JL28" s="18">
        <f>JK$28+JL$27</f>
        <v/>
      </c>
      <c r="JM28" s="18">
        <f>JL$28+JM$27</f>
        <v/>
      </c>
      <c r="JN28" s="18">
        <f>JM$28+JN$27</f>
        <v/>
      </c>
      <c r="JO28" s="18">
        <f>JN$28+JO$27</f>
        <v/>
      </c>
      <c r="JP28" s="18">
        <f>JO$28+JP$27</f>
        <v/>
      </c>
      <c r="JQ28" s="18">
        <f>JP$28+JQ$27</f>
        <v/>
      </c>
      <c r="JR28" s="18">
        <f>JQ$28+JR$27</f>
        <v/>
      </c>
      <c r="JS28" s="18">
        <f>JR$28+JS$27</f>
        <v/>
      </c>
      <c r="JT28" s="18">
        <f>JS$28+JT$27</f>
        <v/>
      </c>
      <c r="JU28" s="18">
        <f>JT$28+JU$27</f>
        <v/>
      </c>
      <c r="JV28" s="18">
        <f>JU$28+JV$27</f>
        <v/>
      </c>
      <c r="JW28" s="18">
        <f>JV$28+JW$27</f>
        <v/>
      </c>
      <c r="JX28" s="18">
        <f>JW$28+JX$27</f>
        <v/>
      </c>
      <c r="JY28" s="18">
        <f>JX$28+JY$27</f>
        <v/>
      </c>
      <c r="JZ28" s="18">
        <f>JY$28+JZ$27</f>
        <v/>
      </c>
      <c r="KA28" s="18">
        <f>JZ$28+KA$27</f>
        <v/>
      </c>
      <c r="KB28" s="18">
        <f>KA$28+KB$27</f>
        <v/>
      </c>
      <c r="KC28" s="18">
        <f>KB$28+KC$27</f>
        <v/>
      </c>
      <c r="KD28" s="18">
        <f>KC$28+KD$27</f>
        <v/>
      </c>
      <c r="KE28" s="18">
        <f>KD$28+KE$27</f>
        <v/>
      </c>
      <c r="KF28" s="18">
        <f>KE$28+KF$27</f>
        <v/>
      </c>
      <c r="KG28" s="18">
        <f>KF$28+KG$27</f>
        <v/>
      </c>
      <c r="KH28" s="18">
        <f>KG$28+KH$27</f>
        <v/>
      </c>
      <c r="KI28" s="18">
        <f>KH$28+KI$27</f>
        <v/>
      </c>
      <c r="KJ28" s="18">
        <f>KI$28+KJ$27</f>
        <v/>
      </c>
      <c r="KK28" s="18">
        <f>KJ$28+KK$27</f>
        <v/>
      </c>
      <c r="KL28" s="18">
        <f>KK$28+KL$27</f>
        <v/>
      </c>
      <c r="KM28" s="18">
        <f>KL$28+KM$27</f>
        <v/>
      </c>
      <c r="KN28" s="18">
        <f>KM$28+KN$27</f>
        <v/>
      </c>
      <c r="KO28" s="18">
        <f>KN$28+KO$27</f>
        <v/>
      </c>
      <c r="KP28" s="18">
        <f>KO$28+KP$27</f>
        <v/>
      </c>
      <c r="KQ28" s="18">
        <f>KP$28+KQ$27</f>
        <v/>
      </c>
      <c r="KR28" s="18">
        <f>KQ$28+KR$27</f>
        <v/>
      </c>
      <c r="KS28" s="18">
        <f>KR$28+KS$27</f>
        <v/>
      </c>
      <c r="KT28" s="18">
        <f>KS$28+KT$27</f>
        <v/>
      </c>
      <c r="KU28" s="18">
        <f>KT$28+KU$27</f>
        <v/>
      </c>
      <c r="KV28" s="18">
        <f>KU$28+KV$27</f>
        <v/>
      </c>
      <c r="KW28" s="18">
        <f>KV$28+KW$27</f>
        <v/>
      </c>
      <c r="KX28" s="18">
        <f>KW$28+KX$27</f>
        <v/>
      </c>
      <c r="KY28" s="18">
        <f>KX$28+KY$27</f>
        <v/>
      </c>
      <c r="KZ28" s="18">
        <f>KY$28+KZ$27</f>
        <v/>
      </c>
      <c r="LA28" s="18">
        <f>KZ$28+LA$27</f>
        <v/>
      </c>
      <c r="LB28" s="18">
        <f>LA$28+LB$27</f>
        <v/>
      </c>
      <c r="LC28" s="18">
        <f>LB$28+LC$27</f>
        <v/>
      </c>
      <c r="LD28" s="18">
        <f>LC$28+LD$27</f>
        <v/>
      </c>
      <c r="LE28" s="18">
        <f>LD$28+LE$27</f>
        <v/>
      </c>
      <c r="LF28" s="18">
        <f>LE$28+LF$27</f>
        <v/>
      </c>
      <c r="LG28" s="18">
        <f>LF$28+LG$27</f>
        <v/>
      </c>
      <c r="LH28" s="18">
        <f>LG$28+LH$27</f>
        <v/>
      </c>
      <c r="LI28" s="18">
        <f>LH$28+LI$27</f>
        <v/>
      </c>
      <c r="LJ28" s="18">
        <f>LI$28+LJ$27</f>
        <v/>
      </c>
      <c r="LK28" s="18">
        <f>LJ$28+LK$27</f>
        <v/>
      </c>
      <c r="LL28" s="18">
        <f>LK$28+LL$27</f>
        <v/>
      </c>
      <c r="LM28" s="18">
        <f>LL$28+LM$27</f>
        <v/>
      </c>
      <c r="LN28" s="18">
        <f>LM$28+LN$27</f>
        <v/>
      </c>
      <c r="LO28" s="18">
        <f>LN$28+LO$27</f>
        <v/>
      </c>
      <c r="LP28" s="18">
        <f>LO$28+LP$27</f>
        <v/>
      </c>
      <c r="LQ28" s="18">
        <f>LP$28+LQ$27</f>
        <v/>
      </c>
      <c r="LR28" s="18">
        <f>LQ$28+LR$27</f>
        <v/>
      </c>
      <c r="LS28" s="18">
        <f>LR$28+LS$27</f>
        <v/>
      </c>
      <c r="LT28" s="18">
        <f>LS$28+LT$27</f>
        <v/>
      </c>
      <c r="LU28" s="18">
        <f>LT$28+LU$27</f>
        <v/>
      </c>
      <c r="LV28" s="18">
        <f>LU$28+LV$27</f>
        <v/>
      </c>
      <c r="LW28" s="18">
        <f>LV$28+LW$27</f>
        <v/>
      </c>
      <c r="LX28" s="18">
        <f>LW$28+LX$27</f>
        <v/>
      </c>
      <c r="LY28" s="18">
        <f>LX$28+LY$27</f>
        <v/>
      </c>
      <c r="LZ28" s="18">
        <f>LY$28+LZ$27</f>
        <v/>
      </c>
      <c r="MA28" s="18">
        <f>LZ$28+MA$27</f>
        <v/>
      </c>
      <c r="MB28" s="18">
        <f>MA$28+MB$27</f>
        <v/>
      </c>
      <c r="MC28" s="18">
        <f>MB$28+MC$27</f>
        <v/>
      </c>
      <c r="MD28" s="18">
        <f>MC$28+MD$27</f>
        <v/>
      </c>
      <c r="ME28" s="18">
        <f>MD$28+ME$27</f>
        <v/>
      </c>
      <c r="MF28" s="18">
        <f>ME$28+MF$27</f>
        <v/>
      </c>
      <c r="MG28" s="18">
        <f>MF$28+MG$27</f>
        <v/>
      </c>
      <c r="MH28" s="18">
        <f>MG$28+MH$27</f>
        <v/>
      </c>
      <c r="MI28" s="18">
        <f>MH$28+MI$27</f>
        <v/>
      </c>
      <c r="MJ28" s="18">
        <f>MI$28+MJ$27</f>
        <v/>
      </c>
      <c r="MK28" s="18">
        <f>MJ$28+MK$27</f>
        <v/>
      </c>
      <c r="ML28" s="18">
        <f>MK$28+ML$27</f>
        <v/>
      </c>
      <c r="MM28" s="18">
        <f>ML$28+MM$27</f>
        <v/>
      </c>
      <c r="MN28" s="18">
        <f>MM$28+MN$27</f>
        <v/>
      </c>
      <c r="MO28" s="18">
        <f>MN$28+MO$27</f>
        <v/>
      </c>
      <c r="MP28" s="18">
        <f>MO$28+MP$27</f>
        <v/>
      </c>
      <c r="MQ28" s="18">
        <f>MP$28+MQ$27</f>
        <v/>
      </c>
      <c r="MR28" s="18">
        <f>MQ$28+MR$27</f>
        <v/>
      </c>
      <c r="MS28" s="18">
        <f>MR$28+MS$27</f>
        <v/>
      </c>
      <c r="MT28" s="18">
        <f>MS$28+MT$27</f>
        <v/>
      </c>
      <c r="MU28" s="18">
        <f>MT$28+MU$27</f>
        <v/>
      </c>
      <c r="MV28" s="18">
        <f>MU$28+MV$27</f>
        <v/>
      </c>
      <c r="MW28" s="18">
        <f>MV$28+MW$27</f>
        <v/>
      </c>
      <c r="MX28" s="18">
        <f>MW$28+MX$27</f>
        <v/>
      </c>
      <c r="MY28" s="18">
        <f>MX$28+MY$27</f>
        <v/>
      </c>
      <c r="MZ28" s="18">
        <f>MY$28+MZ$27</f>
        <v/>
      </c>
      <c r="NA28" s="18">
        <f>MZ$28+NA$27</f>
        <v/>
      </c>
      <c r="NB28" s="18">
        <f>NA$28+NB$27</f>
        <v/>
      </c>
      <c r="NC28" s="18">
        <f>NB$28+NC$27</f>
        <v/>
      </c>
      <c r="ND28" s="18">
        <f>NC$28+ND$27</f>
        <v/>
      </c>
      <c r="NE28" s="18">
        <f>ND$28+NE$27</f>
        <v/>
      </c>
      <c r="NF28" s="18">
        <f>NE$28+NF$27</f>
        <v/>
      </c>
      <c r="NG28" s="18">
        <f>NF$28+NG$27</f>
        <v/>
      </c>
      <c r="NH28" s="18">
        <f>NG$28+NH$27</f>
        <v/>
      </c>
      <c r="NI28" s="18">
        <f>NH$28+NI$27</f>
        <v/>
      </c>
      <c r="NJ28" s="18">
        <f>NI$28+NJ$27</f>
        <v/>
      </c>
      <c r="NK28" s="18">
        <f>NJ$28+NK$27</f>
        <v/>
      </c>
    </row>
    <row r="29">
      <c r="A29" s="5" t="inlineStr">
        <is>
          <t>Debt Draw</t>
        </is>
      </c>
      <c r="C29" s="41">
        <f>SUM(D29:NK29)</f>
        <v/>
      </c>
      <c r="D29" s="18">
        <f>D$26-D$27</f>
        <v/>
      </c>
      <c r="E29" s="18">
        <f>E$26-E$27</f>
        <v/>
      </c>
      <c r="F29" s="18">
        <f>F$26-F$27</f>
        <v/>
      </c>
      <c r="G29" s="18">
        <f>G$26-G$27</f>
        <v/>
      </c>
      <c r="H29" s="18">
        <f>H$26-H$27</f>
        <v/>
      </c>
      <c r="I29" s="18">
        <f>I$26-I$27</f>
        <v/>
      </c>
      <c r="J29" s="18">
        <f>J$26-J$27</f>
        <v/>
      </c>
      <c r="K29" s="18">
        <f>K$26-K$27</f>
        <v/>
      </c>
      <c r="L29" s="18">
        <f>L$26-L$27</f>
        <v/>
      </c>
      <c r="M29" s="18">
        <f>M$26-M$27</f>
        <v/>
      </c>
      <c r="N29" s="18">
        <f>N$26-N$27</f>
        <v/>
      </c>
      <c r="O29" s="18">
        <f>O$26-O$27</f>
        <v/>
      </c>
      <c r="P29" s="18">
        <f>P$26-P$27</f>
        <v/>
      </c>
      <c r="Q29" s="18">
        <f>Q$26-Q$27</f>
        <v/>
      </c>
      <c r="R29" s="18">
        <f>R$26-R$27</f>
        <v/>
      </c>
      <c r="S29" s="18">
        <f>S$26-S$27</f>
        <v/>
      </c>
      <c r="T29" s="18">
        <f>T$26-T$27</f>
        <v/>
      </c>
      <c r="U29" s="18">
        <f>U$26-U$27</f>
        <v/>
      </c>
      <c r="V29" s="18">
        <f>V$26-V$27</f>
        <v/>
      </c>
      <c r="W29" s="18">
        <f>W$26-W$27</f>
        <v/>
      </c>
      <c r="X29" s="18">
        <f>X$26-X$27</f>
        <v/>
      </c>
      <c r="Y29" s="18">
        <f>Y$26-Y$27</f>
        <v/>
      </c>
      <c r="Z29" s="18">
        <f>Z$26-Z$27</f>
        <v/>
      </c>
      <c r="AA29" s="18">
        <f>AA$26-AA$27</f>
        <v/>
      </c>
      <c r="AB29" s="18">
        <f>AB$26-AB$27</f>
        <v/>
      </c>
      <c r="AC29" s="18">
        <f>AC$26-AC$27</f>
        <v/>
      </c>
      <c r="AD29" s="18">
        <f>AD$26-AD$27</f>
        <v/>
      </c>
      <c r="AE29" s="18">
        <f>AE$26-AE$27</f>
        <v/>
      </c>
      <c r="AF29" s="18">
        <f>AF$26-AF$27</f>
        <v/>
      </c>
      <c r="AG29" s="18">
        <f>AG$26-AG$27</f>
        <v/>
      </c>
      <c r="AH29" s="18">
        <f>AH$26-AH$27</f>
        <v/>
      </c>
      <c r="AI29" s="18">
        <f>AI$26-AI$27</f>
        <v/>
      </c>
      <c r="AJ29" s="18">
        <f>AJ$26-AJ$27</f>
        <v/>
      </c>
      <c r="AK29" s="18">
        <f>AK$26-AK$27</f>
        <v/>
      </c>
      <c r="AL29" s="18">
        <f>AL$26-AL$27</f>
        <v/>
      </c>
      <c r="AM29" s="18">
        <f>AM$26-AM$27</f>
        <v/>
      </c>
      <c r="AN29" s="18">
        <f>AN$26-AN$27</f>
        <v/>
      </c>
      <c r="AO29" s="18">
        <f>AO$26-AO$27</f>
        <v/>
      </c>
      <c r="AP29" s="18">
        <f>AP$26-AP$27</f>
        <v/>
      </c>
      <c r="AQ29" s="18">
        <f>AQ$26-AQ$27</f>
        <v/>
      </c>
      <c r="AR29" s="18">
        <f>AR$26-AR$27</f>
        <v/>
      </c>
      <c r="AS29" s="18">
        <f>AS$26-AS$27</f>
        <v/>
      </c>
      <c r="AT29" s="18">
        <f>AT$26-AT$27</f>
        <v/>
      </c>
      <c r="AU29" s="18">
        <f>AU$26-AU$27</f>
        <v/>
      </c>
      <c r="AV29" s="18">
        <f>AV$26-AV$27</f>
        <v/>
      </c>
      <c r="AW29" s="18">
        <f>AW$26-AW$27</f>
        <v/>
      </c>
      <c r="AX29" s="18">
        <f>AX$26-AX$27</f>
        <v/>
      </c>
      <c r="AY29" s="18">
        <f>AY$26-AY$27</f>
        <v/>
      </c>
      <c r="AZ29" s="18">
        <f>AZ$26-AZ$27</f>
        <v/>
      </c>
      <c r="BA29" s="18">
        <f>BA$26-BA$27</f>
        <v/>
      </c>
      <c r="BB29" s="18">
        <f>BB$26-BB$27</f>
        <v/>
      </c>
      <c r="BC29" s="18">
        <f>BC$26-BC$27</f>
        <v/>
      </c>
      <c r="BD29" s="18">
        <f>BD$26-BD$27</f>
        <v/>
      </c>
      <c r="BE29" s="18">
        <f>BE$26-BE$27</f>
        <v/>
      </c>
      <c r="BF29" s="18">
        <f>BF$26-BF$27</f>
        <v/>
      </c>
      <c r="BG29" s="18">
        <f>BG$26-BG$27</f>
        <v/>
      </c>
      <c r="BH29" s="18">
        <f>BH$26-BH$27</f>
        <v/>
      </c>
      <c r="BI29" s="18">
        <f>BI$26-BI$27</f>
        <v/>
      </c>
      <c r="BJ29" s="18">
        <f>BJ$26-BJ$27</f>
        <v/>
      </c>
      <c r="BK29" s="18">
        <f>BK$26-BK$27</f>
        <v/>
      </c>
      <c r="BL29" s="18">
        <f>BL$26-BL$27</f>
        <v/>
      </c>
      <c r="BM29" s="18">
        <f>BM$26-BM$27</f>
        <v/>
      </c>
      <c r="BN29" s="18">
        <f>BN$26-BN$27</f>
        <v/>
      </c>
      <c r="BO29" s="18">
        <f>BO$26-BO$27</f>
        <v/>
      </c>
      <c r="BP29" s="18">
        <f>BP$26-BP$27</f>
        <v/>
      </c>
      <c r="BQ29" s="18">
        <f>BQ$26-BQ$27</f>
        <v/>
      </c>
      <c r="BR29" s="18">
        <f>BR$26-BR$27</f>
        <v/>
      </c>
      <c r="BS29" s="18">
        <f>BS$26-BS$27</f>
        <v/>
      </c>
      <c r="BT29" s="18">
        <f>BT$26-BT$27</f>
        <v/>
      </c>
      <c r="BU29" s="18">
        <f>BU$26-BU$27</f>
        <v/>
      </c>
      <c r="BV29" s="18">
        <f>BV$26-BV$27</f>
        <v/>
      </c>
      <c r="BW29" s="18">
        <f>BW$26-BW$27</f>
        <v/>
      </c>
      <c r="BX29" s="18">
        <f>BX$26-BX$27</f>
        <v/>
      </c>
      <c r="BY29" s="18">
        <f>BY$26-BY$27</f>
        <v/>
      </c>
      <c r="BZ29" s="18">
        <f>BZ$26-BZ$27</f>
        <v/>
      </c>
      <c r="CA29" s="18">
        <f>CA$26-CA$27</f>
        <v/>
      </c>
      <c r="CB29" s="18">
        <f>CB$26-CB$27</f>
        <v/>
      </c>
      <c r="CC29" s="18">
        <f>CC$26-CC$27</f>
        <v/>
      </c>
      <c r="CD29" s="18">
        <f>CD$26-CD$27</f>
        <v/>
      </c>
      <c r="CE29" s="18">
        <f>CE$26-CE$27</f>
        <v/>
      </c>
      <c r="CF29" s="18">
        <f>CF$26-CF$27</f>
        <v/>
      </c>
      <c r="CG29" s="18">
        <f>CG$26-CG$27</f>
        <v/>
      </c>
      <c r="CH29" s="18">
        <f>CH$26-CH$27</f>
        <v/>
      </c>
      <c r="CI29" s="18">
        <f>CI$26-CI$27</f>
        <v/>
      </c>
      <c r="CJ29" s="18">
        <f>CJ$26-CJ$27</f>
        <v/>
      </c>
      <c r="CK29" s="18">
        <f>CK$26-CK$27</f>
        <v/>
      </c>
      <c r="CL29" s="18">
        <f>CL$26-CL$27</f>
        <v/>
      </c>
      <c r="CM29" s="18">
        <f>CM$26-CM$27</f>
        <v/>
      </c>
      <c r="CN29" s="18">
        <f>CN$26-CN$27</f>
        <v/>
      </c>
      <c r="CO29" s="18">
        <f>CO$26-CO$27</f>
        <v/>
      </c>
      <c r="CP29" s="18">
        <f>CP$26-CP$27</f>
        <v/>
      </c>
      <c r="CQ29" s="18">
        <f>CQ$26-CQ$27</f>
        <v/>
      </c>
      <c r="CR29" s="18">
        <f>CR$26-CR$27</f>
        <v/>
      </c>
      <c r="CS29" s="18">
        <f>CS$26-CS$27</f>
        <v/>
      </c>
      <c r="CT29" s="18">
        <f>CT$26-CT$27</f>
        <v/>
      </c>
      <c r="CU29" s="18">
        <f>CU$26-CU$27</f>
        <v/>
      </c>
      <c r="CV29" s="18">
        <f>CV$26-CV$27</f>
        <v/>
      </c>
      <c r="CW29" s="18">
        <f>CW$26-CW$27</f>
        <v/>
      </c>
      <c r="CX29" s="18">
        <f>CX$26-CX$27</f>
        <v/>
      </c>
      <c r="CY29" s="18">
        <f>CY$26-CY$27</f>
        <v/>
      </c>
      <c r="CZ29" s="18">
        <f>CZ$26-CZ$27</f>
        <v/>
      </c>
      <c r="DA29" s="18">
        <f>DA$26-DA$27</f>
        <v/>
      </c>
      <c r="DB29" s="18">
        <f>DB$26-DB$27</f>
        <v/>
      </c>
      <c r="DC29" s="18">
        <f>DC$26-DC$27</f>
        <v/>
      </c>
      <c r="DD29" s="18">
        <f>DD$26-DD$27</f>
        <v/>
      </c>
      <c r="DE29" s="18">
        <f>DE$26-DE$27</f>
        <v/>
      </c>
      <c r="DF29" s="18">
        <f>DF$26-DF$27</f>
        <v/>
      </c>
      <c r="DG29" s="18">
        <f>DG$26-DG$27</f>
        <v/>
      </c>
      <c r="DH29" s="18">
        <f>DH$26-DH$27</f>
        <v/>
      </c>
      <c r="DI29" s="18">
        <f>DI$26-DI$27</f>
        <v/>
      </c>
      <c r="DJ29" s="18">
        <f>DJ$26-DJ$27</f>
        <v/>
      </c>
      <c r="DK29" s="18">
        <f>DK$26-DK$27</f>
        <v/>
      </c>
      <c r="DL29" s="18">
        <f>DL$26-DL$27</f>
        <v/>
      </c>
      <c r="DM29" s="18">
        <f>DM$26-DM$27</f>
        <v/>
      </c>
      <c r="DN29" s="18">
        <f>DN$26-DN$27</f>
        <v/>
      </c>
      <c r="DO29" s="18">
        <f>DO$26-DO$27</f>
        <v/>
      </c>
      <c r="DP29" s="18">
        <f>DP$26-DP$27</f>
        <v/>
      </c>
      <c r="DQ29" s="18">
        <f>DQ$26-DQ$27</f>
        <v/>
      </c>
      <c r="DR29" s="18">
        <f>DR$26-DR$27</f>
        <v/>
      </c>
      <c r="DS29" s="18">
        <f>DS$26-DS$27</f>
        <v/>
      </c>
      <c r="DT29" s="18">
        <f>DT$26-DT$27</f>
        <v/>
      </c>
      <c r="DU29" s="18">
        <f>DU$26-DU$27</f>
        <v/>
      </c>
      <c r="DV29" s="18">
        <f>DV$26-DV$27</f>
        <v/>
      </c>
      <c r="DW29" s="18">
        <f>DW$26-DW$27</f>
        <v/>
      </c>
      <c r="DX29" s="18">
        <f>DX$26-DX$27</f>
        <v/>
      </c>
      <c r="DY29" s="18">
        <f>DY$26-DY$27</f>
        <v/>
      </c>
      <c r="DZ29" s="18">
        <f>DZ$26-DZ$27</f>
        <v/>
      </c>
      <c r="EA29" s="18">
        <f>EA$26-EA$27</f>
        <v/>
      </c>
      <c r="EB29" s="18">
        <f>EB$26-EB$27</f>
        <v/>
      </c>
      <c r="EC29" s="18">
        <f>EC$26-EC$27</f>
        <v/>
      </c>
      <c r="ED29" s="18">
        <f>ED$26-ED$27</f>
        <v/>
      </c>
      <c r="EE29" s="18">
        <f>EE$26-EE$27</f>
        <v/>
      </c>
      <c r="EF29" s="18">
        <f>EF$26-EF$27</f>
        <v/>
      </c>
      <c r="EG29" s="18">
        <f>EG$26-EG$27</f>
        <v/>
      </c>
      <c r="EH29" s="18">
        <f>EH$26-EH$27</f>
        <v/>
      </c>
      <c r="EI29" s="18">
        <f>EI$26-EI$27</f>
        <v/>
      </c>
      <c r="EJ29" s="18">
        <f>EJ$26-EJ$27</f>
        <v/>
      </c>
      <c r="EK29" s="18">
        <f>EK$26-EK$27</f>
        <v/>
      </c>
      <c r="EL29" s="18">
        <f>EL$26-EL$27</f>
        <v/>
      </c>
      <c r="EM29" s="18">
        <f>EM$26-EM$27</f>
        <v/>
      </c>
      <c r="EN29" s="18">
        <f>EN$26-EN$27</f>
        <v/>
      </c>
      <c r="EO29" s="18">
        <f>EO$26-EO$27</f>
        <v/>
      </c>
      <c r="EP29" s="18">
        <f>EP$26-EP$27</f>
        <v/>
      </c>
      <c r="EQ29" s="18">
        <f>EQ$26-EQ$27</f>
        <v/>
      </c>
      <c r="ER29" s="18">
        <f>ER$26-ER$27</f>
        <v/>
      </c>
      <c r="ES29" s="18">
        <f>ES$26-ES$27</f>
        <v/>
      </c>
      <c r="ET29" s="18">
        <f>ET$26-ET$27</f>
        <v/>
      </c>
      <c r="EU29" s="18">
        <f>EU$26-EU$27</f>
        <v/>
      </c>
      <c r="EV29" s="18">
        <f>EV$26-EV$27</f>
        <v/>
      </c>
      <c r="EW29" s="18">
        <f>EW$26-EW$27</f>
        <v/>
      </c>
      <c r="EX29" s="18">
        <f>EX$26-EX$27</f>
        <v/>
      </c>
      <c r="EY29" s="18">
        <f>EY$26-EY$27</f>
        <v/>
      </c>
      <c r="EZ29" s="18">
        <f>EZ$26-EZ$27</f>
        <v/>
      </c>
      <c r="FA29" s="18">
        <f>FA$26-FA$27</f>
        <v/>
      </c>
      <c r="FB29" s="18">
        <f>FB$26-FB$27</f>
        <v/>
      </c>
      <c r="FC29" s="18">
        <f>FC$26-FC$27</f>
        <v/>
      </c>
      <c r="FD29" s="18">
        <f>FD$26-FD$27</f>
        <v/>
      </c>
      <c r="FE29" s="18">
        <f>FE$26-FE$27</f>
        <v/>
      </c>
      <c r="FF29" s="18">
        <f>FF$26-FF$27</f>
        <v/>
      </c>
      <c r="FG29" s="18">
        <f>FG$26-FG$27</f>
        <v/>
      </c>
      <c r="FH29" s="18">
        <f>FH$26-FH$27</f>
        <v/>
      </c>
      <c r="FI29" s="18">
        <f>FI$26-FI$27</f>
        <v/>
      </c>
      <c r="FJ29" s="18">
        <f>FJ$26-FJ$27</f>
        <v/>
      </c>
      <c r="FK29" s="18">
        <f>FK$26-FK$27</f>
        <v/>
      </c>
      <c r="FL29" s="18">
        <f>FL$26-FL$27</f>
        <v/>
      </c>
      <c r="FM29" s="18">
        <f>FM$26-FM$27</f>
        <v/>
      </c>
      <c r="FN29" s="18">
        <f>FN$26-FN$27</f>
        <v/>
      </c>
      <c r="FO29" s="18">
        <f>FO$26-FO$27</f>
        <v/>
      </c>
      <c r="FP29" s="18">
        <f>FP$26-FP$27</f>
        <v/>
      </c>
      <c r="FQ29" s="18">
        <f>FQ$26-FQ$27</f>
        <v/>
      </c>
      <c r="FR29" s="18">
        <f>FR$26-FR$27</f>
        <v/>
      </c>
      <c r="FS29" s="18">
        <f>FS$26-FS$27</f>
        <v/>
      </c>
      <c r="FT29" s="18">
        <f>FT$26-FT$27</f>
        <v/>
      </c>
      <c r="FU29" s="18">
        <f>FU$26-FU$27</f>
        <v/>
      </c>
      <c r="FV29" s="18">
        <f>FV$26-FV$27</f>
        <v/>
      </c>
      <c r="FW29" s="18">
        <f>FW$26-FW$27</f>
        <v/>
      </c>
      <c r="FX29" s="18">
        <f>FX$26-FX$27</f>
        <v/>
      </c>
      <c r="FY29" s="18">
        <f>FY$26-FY$27</f>
        <v/>
      </c>
      <c r="FZ29" s="18">
        <f>FZ$26-FZ$27</f>
        <v/>
      </c>
      <c r="GA29" s="18">
        <f>GA$26-GA$27</f>
        <v/>
      </c>
      <c r="GB29" s="18">
        <f>GB$26-GB$27</f>
        <v/>
      </c>
      <c r="GC29" s="18">
        <f>GC$26-GC$27</f>
        <v/>
      </c>
      <c r="GD29" s="18">
        <f>GD$26-GD$27</f>
        <v/>
      </c>
      <c r="GE29" s="18">
        <f>GE$26-GE$27</f>
        <v/>
      </c>
      <c r="GF29" s="18">
        <f>GF$26-GF$27</f>
        <v/>
      </c>
      <c r="GG29" s="18">
        <f>GG$26-GG$27</f>
        <v/>
      </c>
      <c r="GH29" s="18">
        <f>GH$26-GH$27</f>
        <v/>
      </c>
      <c r="GI29" s="18">
        <f>GI$26-GI$27</f>
        <v/>
      </c>
      <c r="GJ29" s="18">
        <f>GJ$26-GJ$27</f>
        <v/>
      </c>
      <c r="GK29" s="18">
        <f>GK$26-GK$27</f>
        <v/>
      </c>
      <c r="GL29" s="18">
        <f>GL$26-GL$27</f>
        <v/>
      </c>
      <c r="GM29" s="18">
        <f>GM$26-GM$27</f>
        <v/>
      </c>
      <c r="GN29" s="18">
        <f>GN$26-GN$27</f>
        <v/>
      </c>
      <c r="GO29" s="18">
        <f>GO$26-GO$27</f>
        <v/>
      </c>
      <c r="GP29" s="18">
        <f>GP$26-GP$27</f>
        <v/>
      </c>
      <c r="GQ29" s="18">
        <f>GQ$26-GQ$27</f>
        <v/>
      </c>
      <c r="GR29" s="18">
        <f>GR$26-GR$27</f>
        <v/>
      </c>
      <c r="GS29" s="18">
        <f>GS$26-GS$27</f>
        <v/>
      </c>
      <c r="GT29" s="18">
        <f>GT$26-GT$27</f>
        <v/>
      </c>
      <c r="GU29" s="18">
        <f>GU$26-GU$27</f>
        <v/>
      </c>
      <c r="GV29" s="18">
        <f>GV$26-GV$27</f>
        <v/>
      </c>
      <c r="GW29" s="18">
        <f>GW$26-GW$27</f>
        <v/>
      </c>
      <c r="GX29" s="18">
        <f>GX$26-GX$27</f>
        <v/>
      </c>
      <c r="GY29" s="18">
        <f>GY$26-GY$27</f>
        <v/>
      </c>
      <c r="GZ29" s="18">
        <f>GZ$26-GZ$27</f>
        <v/>
      </c>
      <c r="HA29" s="18">
        <f>HA$26-HA$27</f>
        <v/>
      </c>
      <c r="HB29" s="18">
        <f>HB$26-HB$27</f>
        <v/>
      </c>
      <c r="HC29" s="18">
        <f>HC$26-HC$27</f>
        <v/>
      </c>
      <c r="HD29" s="18">
        <f>HD$26-HD$27</f>
        <v/>
      </c>
      <c r="HE29" s="18">
        <f>HE$26-HE$27</f>
        <v/>
      </c>
      <c r="HF29" s="18">
        <f>HF$26-HF$27</f>
        <v/>
      </c>
      <c r="HG29" s="18">
        <f>HG$26-HG$27</f>
        <v/>
      </c>
      <c r="HH29" s="18">
        <f>HH$26-HH$27</f>
        <v/>
      </c>
      <c r="HI29" s="18">
        <f>HI$26-HI$27</f>
        <v/>
      </c>
      <c r="HJ29" s="18">
        <f>HJ$26-HJ$27</f>
        <v/>
      </c>
      <c r="HK29" s="18">
        <f>HK$26-HK$27</f>
        <v/>
      </c>
      <c r="HL29" s="18">
        <f>HL$26-HL$27</f>
        <v/>
      </c>
      <c r="HM29" s="18">
        <f>HM$26-HM$27</f>
        <v/>
      </c>
      <c r="HN29" s="18">
        <f>HN$26-HN$27</f>
        <v/>
      </c>
      <c r="HO29" s="18">
        <f>HO$26-HO$27</f>
        <v/>
      </c>
      <c r="HP29" s="18">
        <f>HP$26-HP$27</f>
        <v/>
      </c>
      <c r="HQ29" s="18">
        <f>HQ$26-HQ$27</f>
        <v/>
      </c>
      <c r="HR29" s="18">
        <f>HR$26-HR$27</f>
        <v/>
      </c>
      <c r="HS29" s="18">
        <f>HS$26-HS$27</f>
        <v/>
      </c>
      <c r="HT29" s="18">
        <f>HT$26-HT$27</f>
        <v/>
      </c>
      <c r="HU29" s="18">
        <f>HU$26-HU$27</f>
        <v/>
      </c>
      <c r="HV29" s="18">
        <f>HV$26-HV$27</f>
        <v/>
      </c>
      <c r="HW29" s="18">
        <f>HW$26-HW$27</f>
        <v/>
      </c>
      <c r="HX29" s="18">
        <f>HX$26-HX$27</f>
        <v/>
      </c>
      <c r="HY29" s="18">
        <f>HY$26-HY$27</f>
        <v/>
      </c>
      <c r="HZ29" s="18">
        <f>HZ$26-HZ$27</f>
        <v/>
      </c>
      <c r="IA29" s="18">
        <f>IA$26-IA$27</f>
        <v/>
      </c>
      <c r="IB29" s="18">
        <f>IB$26-IB$27</f>
        <v/>
      </c>
      <c r="IC29" s="18">
        <f>IC$26-IC$27</f>
        <v/>
      </c>
      <c r="ID29" s="18">
        <f>ID$26-ID$27</f>
        <v/>
      </c>
      <c r="IE29" s="18">
        <f>IE$26-IE$27</f>
        <v/>
      </c>
      <c r="IF29" s="18">
        <f>IF$26-IF$27</f>
        <v/>
      </c>
      <c r="IG29" s="18">
        <f>IG$26-IG$27</f>
        <v/>
      </c>
      <c r="IH29" s="18">
        <f>IH$26-IH$27</f>
        <v/>
      </c>
      <c r="II29" s="18">
        <f>II$26-II$27</f>
        <v/>
      </c>
      <c r="IJ29" s="18">
        <f>IJ$26-IJ$27</f>
        <v/>
      </c>
      <c r="IK29" s="18">
        <f>IK$26-IK$27</f>
        <v/>
      </c>
      <c r="IL29" s="18">
        <f>IL$26-IL$27</f>
        <v/>
      </c>
      <c r="IM29" s="18">
        <f>IM$26-IM$27</f>
        <v/>
      </c>
      <c r="IN29" s="18">
        <f>IN$26-IN$27</f>
        <v/>
      </c>
      <c r="IO29" s="18">
        <f>IO$26-IO$27</f>
        <v/>
      </c>
      <c r="IP29" s="18">
        <f>IP$26-IP$27</f>
        <v/>
      </c>
      <c r="IQ29" s="18">
        <f>IQ$26-IQ$27</f>
        <v/>
      </c>
      <c r="IR29" s="18">
        <f>IR$26-IR$27</f>
        <v/>
      </c>
      <c r="IS29" s="18">
        <f>IS$26-IS$27</f>
        <v/>
      </c>
      <c r="IT29" s="18">
        <f>IT$26-IT$27</f>
        <v/>
      </c>
      <c r="IU29" s="18">
        <f>IU$26-IU$27</f>
        <v/>
      </c>
      <c r="IV29" s="18">
        <f>IV$26-IV$27</f>
        <v/>
      </c>
      <c r="IW29" s="18">
        <f>IW$26-IW$27</f>
        <v/>
      </c>
      <c r="IX29" s="18">
        <f>IX$26-IX$27</f>
        <v/>
      </c>
      <c r="IY29" s="18">
        <f>IY$26-IY$27</f>
        <v/>
      </c>
      <c r="IZ29" s="18">
        <f>IZ$26-IZ$27</f>
        <v/>
      </c>
      <c r="JA29" s="18">
        <f>JA$26-JA$27</f>
        <v/>
      </c>
      <c r="JB29" s="18">
        <f>JB$26-JB$27</f>
        <v/>
      </c>
      <c r="JC29" s="18">
        <f>JC$26-JC$27</f>
        <v/>
      </c>
      <c r="JD29" s="18">
        <f>JD$26-JD$27</f>
        <v/>
      </c>
      <c r="JE29" s="18">
        <f>JE$26-JE$27</f>
        <v/>
      </c>
      <c r="JF29" s="18">
        <f>JF$26-JF$27</f>
        <v/>
      </c>
      <c r="JG29" s="18">
        <f>JG$26-JG$27</f>
        <v/>
      </c>
      <c r="JH29" s="18">
        <f>JH$26-JH$27</f>
        <v/>
      </c>
      <c r="JI29" s="18">
        <f>JI$26-JI$27</f>
        <v/>
      </c>
      <c r="JJ29" s="18">
        <f>JJ$26-JJ$27</f>
        <v/>
      </c>
      <c r="JK29" s="18">
        <f>JK$26-JK$27</f>
        <v/>
      </c>
      <c r="JL29" s="18">
        <f>JL$26-JL$27</f>
        <v/>
      </c>
      <c r="JM29" s="18">
        <f>JM$26-JM$27</f>
        <v/>
      </c>
      <c r="JN29" s="18">
        <f>JN$26-JN$27</f>
        <v/>
      </c>
      <c r="JO29" s="18">
        <f>JO$26-JO$27</f>
        <v/>
      </c>
      <c r="JP29" s="18">
        <f>JP$26-JP$27</f>
        <v/>
      </c>
      <c r="JQ29" s="18">
        <f>JQ$26-JQ$27</f>
        <v/>
      </c>
      <c r="JR29" s="18">
        <f>JR$26-JR$27</f>
        <v/>
      </c>
      <c r="JS29" s="18">
        <f>JS$26-JS$27</f>
        <v/>
      </c>
      <c r="JT29" s="18">
        <f>JT$26-JT$27</f>
        <v/>
      </c>
      <c r="JU29" s="18">
        <f>JU$26-JU$27</f>
        <v/>
      </c>
      <c r="JV29" s="18">
        <f>JV$26-JV$27</f>
        <v/>
      </c>
      <c r="JW29" s="18">
        <f>JW$26-JW$27</f>
        <v/>
      </c>
      <c r="JX29" s="18">
        <f>JX$26-JX$27</f>
        <v/>
      </c>
      <c r="JY29" s="18">
        <f>JY$26-JY$27</f>
        <v/>
      </c>
      <c r="JZ29" s="18">
        <f>JZ$26-JZ$27</f>
        <v/>
      </c>
      <c r="KA29" s="18">
        <f>KA$26-KA$27</f>
        <v/>
      </c>
      <c r="KB29" s="18">
        <f>KB$26-KB$27</f>
        <v/>
      </c>
      <c r="KC29" s="18">
        <f>KC$26-KC$27</f>
        <v/>
      </c>
      <c r="KD29" s="18">
        <f>KD$26-KD$27</f>
        <v/>
      </c>
      <c r="KE29" s="18">
        <f>KE$26-KE$27</f>
        <v/>
      </c>
      <c r="KF29" s="18">
        <f>KF$26-KF$27</f>
        <v/>
      </c>
      <c r="KG29" s="18">
        <f>KG$26-KG$27</f>
        <v/>
      </c>
      <c r="KH29" s="18">
        <f>KH$26-KH$27</f>
        <v/>
      </c>
      <c r="KI29" s="18">
        <f>KI$26-KI$27</f>
        <v/>
      </c>
      <c r="KJ29" s="18">
        <f>KJ$26-KJ$27</f>
        <v/>
      </c>
      <c r="KK29" s="18">
        <f>KK$26-KK$27</f>
        <v/>
      </c>
      <c r="KL29" s="18">
        <f>KL$26-KL$27</f>
        <v/>
      </c>
      <c r="KM29" s="18">
        <f>KM$26-KM$27</f>
        <v/>
      </c>
      <c r="KN29" s="18">
        <f>KN$26-KN$27</f>
        <v/>
      </c>
      <c r="KO29" s="18">
        <f>KO$26-KO$27</f>
        <v/>
      </c>
      <c r="KP29" s="18">
        <f>KP$26-KP$27</f>
        <v/>
      </c>
      <c r="KQ29" s="18">
        <f>KQ$26-KQ$27</f>
        <v/>
      </c>
      <c r="KR29" s="18">
        <f>KR$26-KR$27</f>
        <v/>
      </c>
      <c r="KS29" s="18">
        <f>KS$26-KS$27</f>
        <v/>
      </c>
      <c r="KT29" s="18">
        <f>KT$26-KT$27</f>
        <v/>
      </c>
      <c r="KU29" s="18">
        <f>KU$26-KU$27</f>
        <v/>
      </c>
      <c r="KV29" s="18">
        <f>KV$26-KV$27</f>
        <v/>
      </c>
      <c r="KW29" s="18">
        <f>KW$26-KW$27</f>
        <v/>
      </c>
      <c r="KX29" s="18">
        <f>KX$26-KX$27</f>
        <v/>
      </c>
      <c r="KY29" s="18">
        <f>KY$26-KY$27</f>
        <v/>
      </c>
      <c r="KZ29" s="18">
        <f>KZ$26-KZ$27</f>
        <v/>
      </c>
      <c r="LA29" s="18">
        <f>LA$26-LA$27</f>
        <v/>
      </c>
      <c r="LB29" s="18">
        <f>LB$26-LB$27</f>
        <v/>
      </c>
      <c r="LC29" s="18">
        <f>LC$26-LC$27</f>
        <v/>
      </c>
      <c r="LD29" s="18">
        <f>LD$26-LD$27</f>
        <v/>
      </c>
      <c r="LE29" s="18">
        <f>LE$26-LE$27</f>
        <v/>
      </c>
      <c r="LF29" s="18">
        <f>LF$26-LF$27</f>
        <v/>
      </c>
      <c r="LG29" s="18">
        <f>LG$26-LG$27</f>
        <v/>
      </c>
      <c r="LH29" s="18">
        <f>LH$26-LH$27</f>
        <v/>
      </c>
      <c r="LI29" s="18">
        <f>LI$26-LI$27</f>
        <v/>
      </c>
      <c r="LJ29" s="18">
        <f>LJ$26-LJ$27</f>
        <v/>
      </c>
      <c r="LK29" s="18">
        <f>LK$26-LK$27</f>
        <v/>
      </c>
      <c r="LL29" s="18">
        <f>LL$26-LL$27</f>
        <v/>
      </c>
      <c r="LM29" s="18">
        <f>LM$26-LM$27</f>
        <v/>
      </c>
      <c r="LN29" s="18">
        <f>LN$26-LN$27</f>
        <v/>
      </c>
      <c r="LO29" s="18">
        <f>LO$26-LO$27</f>
        <v/>
      </c>
      <c r="LP29" s="18">
        <f>LP$26-LP$27</f>
        <v/>
      </c>
      <c r="LQ29" s="18">
        <f>LQ$26-LQ$27</f>
        <v/>
      </c>
      <c r="LR29" s="18">
        <f>LR$26-LR$27</f>
        <v/>
      </c>
      <c r="LS29" s="18">
        <f>LS$26-LS$27</f>
        <v/>
      </c>
      <c r="LT29" s="18">
        <f>LT$26-LT$27</f>
        <v/>
      </c>
      <c r="LU29" s="18">
        <f>LU$26-LU$27</f>
        <v/>
      </c>
      <c r="LV29" s="18">
        <f>LV$26-LV$27</f>
        <v/>
      </c>
      <c r="LW29" s="18">
        <f>LW$26-LW$27</f>
        <v/>
      </c>
      <c r="LX29" s="18">
        <f>LX$26-LX$27</f>
        <v/>
      </c>
      <c r="LY29" s="18">
        <f>LY$26-LY$27</f>
        <v/>
      </c>
      <c r="LZ29" s="18">
        <f>LZ$26-LZ$27</f>
        <v/>
      </c>
      <c r="MA29" s="18">
        <f>MA$26-MA$27</f>
        <v/>
      </c>
      <c r="MB29" s="18">
        <f>MB$26-MB$27</f>
        <v/>
      </c>
      <c r="MC29" s="18">
        <f>MC$26-MC$27</f>
        <v/>
      </c>
      <c r="MD29" s="18">
        <f>MD$26-MD$27</f>
        <v/>
      </c>
      <c r="ME29" s="18">
        <f>ME$26-ME$27</f>
        <v/>
      </c>
      <c r="MF29" s="18">
        <f>MF$26-MF$27</f>
        <v/>
      </c>
      <c r="MG29" s="18">
        <f>MG$26-MG$27</f>
        <v/>
      </c>
      <c r="MH29" s="18">
        <f>MH$26-MH$27</f>
        <v/>
      </c>
      <c r="MI29" s="18">
        <f>MI$26-MI$27</f>
        <v/>
      </c>
      <c r="MJ29" s="18">
        <f>MJ$26-MJ$27</f>
        <v/>
      </c>
      <c r="MK29" s="18">
        <f>MK$26-MK$27</f>
        <v/>
      </c>
      <c r="ML29" s="18">
        <f>ML$26-ML$27</f>
        <v/>
      </c>
      <c r="MM29" s="18">
        <f>MM$26-MM$27</f>
        <v/>
      </c>
      <c r="MN29" s="18">
        <f>MN$26-MN$27</f>
        <v/>
      </c>
      <c r="MO29" s="18">
        <f>MO$26-MO$27</f>
        <v/>
      </c>
      <c r="MP29" s="18">
        <f>MP$26-MP$27</f>
        <v/>
      </c>
      <c r="MQ29" s="18">
        <f>MQ$26-MQ$27</f>
        <v/>
      </c>
      <c r="MR29" s="18">
        <f>MR$26-MR$27</f>
        <v/>
      </c>
      <c r="MS29" s="18">
        <f>MS$26-MS$27</f>
        <v/>
      </c>
      <c r="MT29" s="18">
        <f>MT$26-MT$27</f>
        <v/>
      </c>
      <c r="MU29" s="18">
        <f>MU$26-MU$27</f>
        <v/>
      </c>
      <c r="MV29" s="18">
        <f>MV$26-MV$27</f>
        <v/>
      </c>
      <c r="MW29" s="18">
        <f>MW$26-MW$27</f>
        <v/>
      </c>
      <c r="MX29" s="18">
        <f>MX$26-MX$27</f>
        <v/>
      </c>
      <c r="MY29" s="18">
        <f>MY$26-MY$27</f>
        <v/>
      </c>
      <c r="MZ29" s="18">
        <f>MZ$26-MZ$27</f>
        <v/>
      </c>
      <c r="NA29" s="18">
        <f>NA$26-NA$27</f>
        <v/>
      </c>
      <c r="NB29" s="18">
        <f>NB$26-NB$27</f>
        <v/>
      </c>
      <c r="NC29" s="18">
        <f>NC$26-NC$27</f>
        <v/>
      </c>
      <c r="ND29" s="18">
        <f>ND$26-ND$27</f>
        <v/>
      </c>
      <c r="NE29" s="18">
        <f>NE$26-NE$27</f>
        <v/>
      </c>
      <c r="NF29" s="18">
        <f>NF$26-NF$27</f>
        <v/>
      </c>
      <c r="NG29" s="18">
        <f>NG$26-NG$27</f>
        <v/>
      </c>
      <c r="NH29" s="18">
        <f>NH$26-NH$27</f>
        <v/>
      </c>
      <c r="NI29" s="18">
        <f>NI$26-NI$27</f>
        <v/>
      </c>
      <c r="NJ29" s="18">
        <f>NJ$26-NJ$27</f>
        <v/>
      </c>
      <c r="NK29" s="18">
        <f>NK$26-NK$27</f>
        <v/>
      </c>
    </row>
    <row r="30">
      <c r="A30" s="5" t="inlineStr">
        <is>
          <t>Monthly Interest Rate</t>
        </is>
      </c>
      <c r="C30" s="48" t="n"/>
      <c r="D30" s="49">
        <f>IF('Timeline'!D$42=1,IF(ConActual360=1,ConRate*D$25/360,ConRate/12),0)</f>
        <v/>
      </c>
      <c r="E30" s="49">
        <f>IF('Timeline'!E$42=1,IF(ConActual360=1,ConRate*E$25/360,ConRate/12),0)</f>
        <v/>
      </c>
      <c r="F30" s="49">
        <f>IF('Timeline'!F$42=1,IF(ConActual360=1,ConRate*F$25/360,ConRate/12),0)</f>
        <v/>
      </c>
      <c r="G30" s="49">
        <f>IF('Timeline'!G$42=1,IF(ConActual360=1,ConRate*G$25/360,ConRate/12),0)</f>
        <v/>
      </c>
      <c r="H30" s="49">
        <f>IF('Timeline'!H$42=1,IF(ConActual360=1,ConRate*H$25/360,ConRate/12),0)</f>
        <v/>
      </c>
      <c r="I30" s="49">
        <f>IF('Timeline'!I$42=1,IF(ConActual360=1,ConRate*I$25/360,ConRate/12),0)</f>
        <v/>
      </c>
      <c r="J30" s="49">
        <f>IF('Timeline'!J$42=1,IF(ConActual360=1,ConRate*J$25/360,ConRate/12),0)</f>
        <v/>
      </c>
      <c r="K30" s="49">
        <f>IF('Timeline'!K$42=1,IF(ConActual360=1,ConRate*K$25/360,ConRate/12),0)</f>
        <v/>
      </c>
      <c r="L30" s="49">
        <f>IF('Timeline'!L$42=1,IF(ConActual360=1,ConRate*L$25/360,ConRate/12),0)</f>
        <v/>
      </c>
      <c r="M30" s="49">
        <f>IF('Timeline'!M$42=1,IF(ConActual360=1,ConRate*M$25/360,ConRate/12),0)</f>
        <v/>
      </c>
      <c r="N30" s="49">
        <f>IF('Timeline'!N$42=1,IF(ConActual360=1,ConRate*N$25/360,ConRate/12),0)</f>
        <v/>
      </c>
      <c r="O30" s="49">
        <f>IF('Timeline'!O$42=1,IF(ConActual360=1,ConRate*O$25/360,ConRate/12),0)</f>
        <v/>
      </c>
      <c r="P30" s="49">
        <f>IF('Timeline'!P$42=1,IF(ConActual360=1,ConRate*P$25/360,ConRate/12),0)</f>
        <v/>
      </c>
      <c r="Q30" s="49">
        <f>IF('Timeline'!Q$42=1,IF(ConActual360=1,ConRate*Q$25/360,ConRate/12),0)</f>
        <v/>
      </c>
      <c r="R30" s="49">
        <f>IF('Timeline'!R$42=1,IF(ConActual360=1,ConRate*R$25/360,ConRate/12),0)</f>
        <v/>
      </c>
      <c r="S30" s="49">
        <f>IF('Timeline'!S$42=1,IF(ConActual360=1,ConRate*S$25/360,ConRate/12),0)</f>
        <v/>
      </c>
      <c r="T30" s="49">
        <f>IF('Timeline'!T$42=1,IF(ConActual360=1,ConRate*T$25/360,ConRate/12),0)</f>
        <v/>
      </c>
      <c r="U30" s="49">
        <f>IF('Timeline'!U$42=1,IF(ConActual360=1,ConRate*U$25/360,ConRate/12),0)</f>
        <v/>
      </c>
      <c r="V30" s="49">
        <f>IF('Timeline'!V$42=1,IF(ConActual360=1,ConRate*V$25/360,ConRate/12),0)</f>
        <v/>
      </c>
      <c r="W30" s="49">
        <f>IF('Timeline'!W$42=1,IF(ConActual360=1,ConRate*W$25/360,ConRate/12),0)</f>
        <v/>
      </c>
      <c r="X30" s="49">
        <f>IF('Timeline'!X$42=1,IF(ConActual360=1,ConRate*X$25/360,ConRate/12),0)</f>
        <v/>
      </c>
      <c r="Y30" s="49">
        <f>IF('Timeline'!Y$42=1,IF(ConActual360=1,ConRate*Y$25/360,ConRate/12),0)</f>
        <v/>
      </c>
      <c r="Z30" s="49">
        <f>IF('Timeline'!Z$42=1,IF(ConActual360=1,ConRate*Z$25/360,ConRate/12),0)</f>
        <v/>
      </c>
      <c r="AA30" s="49">
        <f>IF('Timeline'!AA$42=1,IF(ConActual360=1,ConRate*AA$25/360,ConRate/12),0)</f>
        <v/>
      </c>
      <c r="AB30" s="49">
        <f>IF('Timeline'!AB$42=1,IF(ConActual360=1,ConRate*AB$25/360,ConRate/12),0)</f>
        <v/>
      </c>
      <c r="AC30" s="49">
        <f>IF('Timeline'!AC$42=1,IF(ConActual360=1,ConRate*AC$25/360,ConRate/12),0)</f>
        <v/>
      </c>
      <c r="AD30" s="49">
        <f>IF('Timeline'!AD$42=1,IF(ConActual360=1,ConRate*AD$25/360,ConRate/12),0)</f>
        <v/>
      </c>
      <c r="AE30" s="49">
        <f>IF('Timeline'!AE$42=1,IF(ConActual360=1,ConRate*AE$25/360,ConRate/12),0)</f>
        <v/>
      </c>
      <c r="AF30" s="49">
        <f>IF('Timeline'!AF$42=1,IF(ConActual360=1,ConRate*AF$25/360,ConRate/12),0)</f>
        <v/>
      </c>
      <c r="AG30" s="49">
        <f>IF('Timeline'!AG$42=1,IF(ConActual360=1,ConRate*AG$25/360,ConRate/12),0)</f>
        <v/>
      </c>
      <c r="AH30" s="49">
        <f>IF('Timeline'!AH$42=1,IF(ConActual360=1,ConRate*AH$25/360,ConRate/12),0)</f>
        <v/>
      </c>
      <c r="AI30" s="49">
        <f>IF('Timeline'!AI$42=1,IF(ConActual360=1,ConRate*AI$25/360,ConRate/12),0)</f>
        <v/>
      </c>
      <c r="AJ30" s="49">
        <f>IF('Timeline'!AJ$42=1,IF(ConActual360=1,ConRate*AJ$25/360,ConRate/12),0)</f>
        <v/>
      </c>
      <c r="AK30" s="49">
        <f>IF('Timeline'!AK$42=1,IF(ConActual360=1,ConRate*AK$25/360,ConRate/12),0)</f>
        <v/>
      </c>
      <c r="AL30" s="49">
        <f>IF('Timeline'!AL$42=1,IF(ConActual360=1,ConRate*AL$25/360,ConRate/12),0)</f>
        <v/>
      </c>
      <c r="AM30" s="49">
        <f>IF('Timeline'!AM$42=1,IF(ConActual360=1,ConRate*AM$25/360,ConRate/12),0)</f>
        <v/>
      </c>
      <c r="AN30" s="49">
        <f>IF('Timeline'!AN$42=1,IF(ConActual360=1,ConRate*AN$25/360,ConRate/12),0)</f>
        <v/>
      </c>
      <c r="AO30" s="49">
        <f>IF('Timeline'!AO$42=1,IF(ConActual360=1,ConRate*AO$25/360,ConRate/12),0)</f>
        <v/>
      </c>
      <c r="AP30" s="49">
        <f>IF('Timeline'!AP$42=1,IF(ConActual360=1,ConRate*AP$25/360,ConRate/12),0)</f>
        <v/>
      </c>
      <c r="AQ30" s="49">
        <f>IF('Timeline'!AQ$42=1,IF(ConActual360=1,ConRate*AQ$25/360,ConRate/12),0)</f>
        <v/>
      </c>
      <c r="AR30" s="49">
        <f>IF('Timeline'!AR$42=1,IF(ConActual360=1,ConRate*AR$25/360,ConRate/12),0)</f>
        <v/>
      </c>
      <c r="AS30" s="49">
        <f>IF('Timeline'!AS$42=1,IF(ConActual360=1,ConRate*AS$25/360,ConRate/12),0)</f>
        <v/>
      </c>
      <c r="AT30" s="49">
        <f>IF('Timeline'!AT$42=1,IF(ConActual360=1,ConRate*AT$25/360,ConRate/12),0)</f>
        <v/>
      </c>
      <c r="AU30" s="49">
        <f>IF('Timeline'!AU$42=1,IF(ConActual360=1,ConRate*AU$25/360,ConRate/12),0)</f>
        <v/>
      </c>
      <c r="AV30" s="49">
        <f>IF('Timeline'!AV$42=1,IF(ConActual360=1,ConRate*AV$25/360,ConRate/12),0)</f>
        <v/>
      </c>
      <c r="AW30" s="49">
        <f>IF('Timeline'!AW$42=1,IF(ConActual360=1,ConRate*AW$25/360,ConRate/12),0)</f>
        <v/>
      </c>
      <c r="AX30" s="49">
        <f>IF('Timeline'!AX$42=1,IF(ConActual360=1,ConRate*AX$25/360,ConRate/12),0)</f>
        <v/>
      </c>
      <c r="AY30" s="49">
        <f>IF('Timeline'!AY$42=1,IF(ConActual360=1,ConRate*AY$25/360,ConRate/12),0)</f>
        <v/>
      </c>
      <c r="AZ30" s="49">
        <f>IF('Timeline'!AZ$42=1,IF(ConActual360=1,ConRate*AZ$25/360,ConRate/12),0)</f>
        <v/>
      </c>
      <c r="BA30" s="49">
        <f>IF('Timeline'!BA$42=1,IF(ConActual360=1,ConRate*BA$25/360,ConRate/12),0)</f>
        <v/>
      </c>
      <c r="BB30" s="49">
        <f>IF('Timeline'!BB$42=1,IF(ConActual360=1,ConRate*BB$25/360,ConRate/12),0)</f>
        <v/>
      </c>
      <c r="BC30" s="49">
        <f>IF('Timeline'!BC$42=1,IF(ConActual360=1,ConRate*BC$25/360,ConRate/12),0)</f>
        <v/>
      </c>
      <c r="BD30" s="49">
        <f>IF('Timeline'!BD$42=1,IF(ConActual360=1,ConRate*BD$25/360,ConRate/12),0)</f>
        <v/>
      </c>
      <c r="BE30" s="49">
        <f>IF('Timeline'!BE$42=1,IF(ConActual360=1,ConRate*BE$25/360,ConRate/12),0)</f>
        <v/>
      </c>
      <c r="BF30" s="49">
        <f>IF('Timeline'!BF$42=1,IF(ConActual360=1,ConRate*BF$25/360,ConRate/12),0)</f>
        <v/>
      </c>
      <c r="BG30" s="49">
        <f>IF('Timeline'!BG$42=1,IF(ConActual360=1,ConRate*BG$25/360,ConRate/12),0)</f>
        <v/>
      </c>
      <c r="BH30" s="49">
        <f>IF('Timeline'!BH$42=1,IF(ConActual360=1,ConRate*BH$25/360,ConRate/12),0)</f>
        <v/>
      </c>
      <c r="BI30" s="49">
        <f>IF('Timeline'!BI$42=1,IF(ConActual360=1,ConRate*BI$25/360,ConRate/12),0)</f>
        <v/>
      </c>
      <c r="BJ30" s="49">
        <f>IF('Timeline'!BJ$42=1,IF(ConActual360=1,ConRate*BJ$25/360,ConRate/12),0)</f>
        <v/>
      </c>
      <c r="BK30" s="49">
        <f>IF('Timeline'!BK$42=1,IF(ConActual360=1,ConRate*BK$25/360,ConRate/12),0)</f>
        <v/>
      </c>
      <c r="BL30" s="49">
        <f>IF('Timeline'!BL$42=1,IF(ConActual360=1,ConRate*BL$25/360,ConRate/12),0)</f>
        <v/>
      </c>
      <c r="BM30" s="49">
        <f>IF('Timeline'!BM$42=1,IF(ConActual360=1,ConRate*BM$25/360,ConRate/12),0)</f>
        <v/>
      </c>
      <c r="BN30" s="49">
        <f>IF('Timeline'!BN$42=1,IF(ConActual360=1,ConRate*BN$25/360,ConRate/12),0)</f>
        <v/>
      </c>
      <c r="BO30" s="49">
        <f>IF('Timeline'!BO$42=1,IF(ConActual360=1,ConRate*BO$25/360,ConRate/12),0)</f>
        <v/>
      </c>
      <c r="BP30" s="49">
        <f>IF('Timeline'!BP$42=1,IF(ConActual360=1,ConRate*BP$25/360,ConRate/12),0)</f>
        <v/>
      </c>
      <c r="BQ30" s="49">
        <f>IF('Timeline'!BQ$42=1,IF(ConActual360=1,ConRate*BQ$25/360,ConRate/12),0)</f>
        <v/>
      </c>
      <c r="BR30" s="49">
        <f>IF('Timeline'!BR$42=1,IF(ConActual360=1,ConRate*BR$25/360,ConRate/12),0)</f>
        <v/>
      </c>
      <c r="BS30" s="49">
        <f>IF('Timeline'!BS$42=1,IF(ConActual360=1,ConRate*BS$25/360,ConRate/12),0)</f>
        <v/>
      </c>
      <c r="BT30" s="49">
        <f>IF('Timeline'!BT$42=1,IF(ConActual360=1,ConRate*BT$25/360,ConRate/12),0)</f>
        <v/>
      </c>
      <c r="BU30" s="49">
        <f>IF('Timeline'!BU$42=1,IF(ConActual360=1,ConRate*BU$25/360,ConRate/12),0)</f>
        <v/>
      </c>
      <c r="BV30" s="49">
        <f>IF('Timeline'!BV$42=1,IF(ConActual360=1,ConRate*BV$25/360,ConRate/12),0)</f>
        <v/>
      </c>
      <c r="BW30" s="49">
        <f>IF('Timeline'!BW$42=1,IF(ConActual360=1,ConRate*BW$25/360,ConRate/12),0)</f>
        <v/>
      </c>
      <c r="BX30" s="49">
        <f>IF('Timeline'!BX$42=1,IF(ConActual360=1,ConRate*BX$25/360,ConRate/12),0)</f>
        <v/>
      </c>
      <c r="BY30" s="49">
        <f>IF('Timeline'!BY$42=1,IF(ConActual360=1,ConRate*BY$25/360,ConRate/12),0)</f>
        <v/>
      </c>
      <c r="BZ30" s="49">
        <f>IF('Timeline'!BZ$42=1,IF(ConActual360=1,ConRate*BZ$25/360,ConRate/12),0)</f>
        <v/>
      </c>
      <c r="CA30" s="49">
        <f>IF('Timeline'!CA$42=1,IF(ConActual360=1,ConRate*CA$25/360,ConRate/12),0)</f>
        <v/>
      </c>
      <c r="CB30" s="49">
        <f>IF('Timeline'!CB$42=1,IF(ConActual360=1,ConRate*CB$25/360,ConRate/12),0)</f>
        <v/>
      </c>
      <c r="CC30" s="49">
        <f>IF('Timeline'!CC$42=1,IF(ConActual360=1,ConRate*CC$25/360,ConRate/12),0)</f>
        <v/>
      </c>
      <c r="CD30" s="49">
        <f>IF('Timeline'!CD$42=1,IF(ConActual360=1,ConRate*CD$25/360,ConRate/12),0)</f>
        <v/>
      </c>
      <c r="CE30" s="49">
        <f>IF('Timeline'!CE$42=1,IF(ConActual360=1,ConRate*CE$25/360,ConRate/12),0)</f>
        <v/>
      </c>
      <c r="CF30" s="49">
        <f>IF('Timeline'!CF$42=1,IF(ConActual360=1,ConRate*CF$25/360,ConRate/12),0)</f>
        <v/>
      </c>
      <c r="CG30" s="49">
        <f>IF('Timeline'!CG$42=1,IF(ConActual360=1,ConRate*CG$25/360,ConRate/12),0)</f>
        <v/>
      </c>
      <c r="CH30" s="49">
        <f>IF('Timeline'!CH$42=1,IF(ConActual360=1,ConRate*CH$25/360,ConRate/12),0)</f>
        <v/>
      </c>
      <c r="CI30" s="49">
        <f>IF('Timeline'!CI$42=1,IF(ConActual360=1,ConRate*CI$25/360,ConRate/12),0)</f>
        <v/>
      </c>
      <c r="CJ30" s="49">
        <f>IF('Timeline'!CJ$42=1,IF(ConActual360=1,ConRate*CJ$25/360,ConRate/12),0)</f>
        <v/>
      </c>
      <c r="CK30" s="49">
        <f>IF('Timeline'!CK$42=1,IF(ConActual360=1,ConRate*CK$25/360,ConRate/12),0)</f>
        <v/>
      </c>
      <c r="CL30" s="49">
        <f>IF('Timeline'!CL$42=1,IF(ConActual360=1,ConRate*CL$25/360,ConRate/12),0)</f>
        <v/>
      </c>
      <c r="CM30" s="49">
        <f>IF('Timeline'!CM$42=1,IF(ConActual360=1,ConRate*CM$25/360,ConRate/12),0)</f>
        <v/>
      </c>
      <c r="CN30" s="49">
        <f>IF('Timeline'!CN$42=1,IF(ConActual360=1,ConRate*CN$25/360,ConRate/12),0)</f>
        <v/>
      </c>
      <c r="CO30" s="49">
        <f>IF('Timeline'!CO$42=1,IF(ConActual360=1,ConRate*CO$25/360,ConRate/12),0)</f>
        <v/>
      </c>
      <c r="CP30" s="49">
        <f>IF('Timeline'!CP$42=1,IF(ConActual360=1,ConRate*CP$25/360,ConRate/12),0)</f>
        <v/>
      </c>
      <c r="CQ30" s="49">
        <f>IF('Timeline'!CQ$42=1,IF(ConActual360=1,ConRate*CQ$25/360,ConRate/12),0)</f>
        <v/>
      </c>
      <c r="CR30" s="49">
        <f>IF('Timeline'!CR$42=1,IF(ConActual360=1,ConRate*CR$25/360,ConRate/12),0)</f>
        <v/>
      </c>
      <c r="CS30" s="49">
        <f>IF('Timeline'!CS$42=1,IF(ConActual360=1,ConRate*CS$25/360,ConRate/12),0)</f>
        <v/>
      </c>
      <c r="CT30" s="49">
        <f>IF('Timeline'!CT$42=1,IF(ConActual360=1,ConRate*CT$25/360,ConRate/12),0)</f>
        <v/>
      </c>
      <c r="CU30" s="49">
        <f>IF('Timeline'!CU$42=1,IF(ConActual360=1,ConRate*CU$25/360,ConRate/12),0)</f>
        <v/>
      </c>
      <c r="CV30" s="49">
        <f>IF('Timeline'!CV$42=1,IF(ConActual360=1,ConRate*CV$25/360,ConRate/12),0)</f>
        <v/>
      </c>
      <c r="CW30" s="49">
        <f>IF('Timeline'!CW$42=1,IF(ConActual360=1,ConRate*CW$25/360,ConRate/12),0)</f>
        <v/>
      </c>
      <c r="CX30" s="49">
        <f>IF('Timeline'!CX$42=1,IF(ConActual360=1,ConRate*CX$25/360,ConRate/12),0)</f>
        <v/>
      </c>
      <c r="CY30" s="49">
        <f>IF('Timeline'!CY$42=1,IF(ConActual360=1,ConRate*CY$25/360,ConRate/12),0)</f>
        <v/>
      </c>
      <c r="CZ30" s="49">
        <f>IF('Timeline'!CZ$42=1,IF(ConActual360=1,ConRate*CZ$25/360,ConRate/12),0)</f>
        <v/>
      </c>
      <c r="DA30" s="49">
        <f>IF('Timeline'!DA$42=1,IF(ConActual360=1,ConRate*DA$25/360,ConRate/12),0)</f>
        <v/>
      </c>
      <c r="DB30" s="49">
        <f>IF('Timeline'!DB$42=1,IF(ConActual360=1,ConRate*DB$25/360,ConRate/12),0)</f>
        <v/>
      </c>
      <c r="DC30" s="49">
        <f>IF('Timeline'!DC$42=1,IF(ConActual360=1,ConRate*DC$25/360,ConRate/12),0)</f>
        <v/>
      </c>
      <c r="DD30" s="49">
        <f>IF('Timeline'!DD$42=1,IF(ConActual360=1,ConRate*DD$25/360,ConRate/12),0)</f>
        <v/>
      </c>
      <c r="DE30" s="49">
        <f>IF('Timeline'!DE$42=1,IF(ConActual360=1,ConRate*DE$25/360,ConRate/12),0)</f>
        <v/>
      </c>
      <c r="DF30" s="49">
        <f>IF('Timeline'!DF$42=1,IF(ConActual360=1,ConRate*DF$25/360,ConRate/12),0)</f>
        <v/>
      </c>
      <c r="DG30" s="49">
        <f>IF('Timeline'!DG$42=1,IF(ConActual360=1,ConRate*DG$25/360,ConRate/12),0)</f>
        <v/>
      </c>
      <c r="DH30" s="49">
        <f>IF('Timeline'!DH$42=1,IF(ConActual360=1,ConRate*DH$25/360,ConRate/12),0)</f>
        <v/>
      </c>
      <c r="DI30" s="49">
        <f>IF('Timeline'!DI$42=1,IF(ConActual360=1,ConRate*DI$25/360,ConRate/12),0)</f>
        <v/>
      </c>
      <c r="DJ30" s="49">
        <f>IF('Timeline'!DJ$42=1,IF(ConActual360=1,ConRate*DJ$25/360,ConRate/12),0)</f>
        <v/>
      </c>
      <c r="DK30" s="49">
        <f>IF('Timeline'!DK$42=1,IF(ConActual360=1,ConRate*DK$25/360,ConRate/12),0)</f>
        <v/>
      </c>
      <c r="DL30" s="49">
        <f>IF('Timeline'!DL$42=1,IF(ConActual360=1,ConRate*DL$25/360,ConRate/12),0)</f>
        <v/>
      </c>
      <c r="DM30" s="49">
        <f>IF('Timeline'!DM$42=1,IF(ConActual360=1,ConRate*DM$25/360,ConRate/12),0)</f>
        <v/>
      </c>
      <c r="DN30" s="49">
        <f>IF('Timeline'!DN$42=1,IF(ConActual360=1,ConRate*DN$25/360,ConRate/12),0)</f>
        <v/>
      </c>
      <c r="DO30" s="49">
        <f>IF('Timeline'!DO$42=1,IF(ConActual360=1,ConRate*DO$25/360,ConRate/12),0)</f>
        <v/>
      </c>
      <c r="DP30" s="49">
        <f>IF('Timeline'!DP$42=1,IF(ConActual360=1,ConRate*DP$25/360,ConRate/12),0)</f>
        <v/>
      </c>
      <c r="DQ30" s="49">
        <f>IF('Timeline'!DQ$42=1,IF(ConActual360=1,ConRate*DQ$25/360,ConRate/12),0)</f>
        <v/>
      </c>
      <c r="DR30" s="49">
        <f>IF('Timeline'!DR$42=1,IF(ConActual360=1,ConRate*DR$25/360,ConRate/12),0)</f>
        <v/>
      </c>
      <c r="DS30" s="49">
        <f>IF('Timeline'!DS$42=1,IF(ConActual360=1,ConRate*DS$25/360,ConRate/12),0)</f>
        <v/>
      </c>
      <c r="DT30" s="49">
        <f>IF('Timeline'!DT$42=1,IF(ConActual360=1,ConRate*DT$25/360,ConRate/12),0)</f>
        <v/>
      </c>
      <c r="DU30" s="49">
        <f>IF('Timeline'!DU$42=1,IF(ConActual360=1,ConRate*DU$25/360,ConRate/12),0)</f>
        <v/>
      </c>
      <c r="DV30" s="49">
        <f>IF('Timeline'!DV$42=1,IF(ConActual360=1,ConRate*DV$25/360,ConRate/12),0)</f>
        <v/>
      </c>
      <c r="DW30" s="49">
        <f>IF('Timeline'!DW$42=1,IF(ConActual360=1,ConRate*DW$25/360,ConRate/12),0)</f>
        <v/>
      </c>
      <c r="DX30" s="49">
        <f>IF('Timeline'!DX$42=1,IF(ConActual360=1,ConRate*DX$25/360,ConRate/12),0)</f>
        <v/>
      </c>
      <c r="DY30" s="49">
        <f>IF('Timeline'!DY$42=1,IF(ConActual360=1,ConRate*DY$25/360,ConRate/12),0)</f>
        <v/>
      </c>
      <c r="DZ30" s="49">
        <f>IF('Timeline'!DZ$42=1,IF(ConActual360=1,ConRate*DZ$25/360,ConRate/12),0)</f>
        <v/>
      </c>
      <c r="EA30" s="49">
        <f>IF('Timeline'!EA$42=1,IF(ConActual360=1,ConRate*EA$25/360,ConRate/12),0)</f>
        <v/>
      </c>
      <c r="EB30" s="49">
        <f>IF('Timeline'!EB$42=1,IF(ConActual360=1,ConRate*EB$25/360,ConRate/12),0)</f>
        <v/>
      </c>
      <c r="EC30" s="49">
        <f>IF('Timeline'!EC$42=1,IF(ConActual360=1,ConRate*EC$25/360,ConRate/12),0)</f>
        <v/>
      </c>
      <c r="ED30" s="49">
        <f>IF('Timeline'!ED$42=1,IF(ConActual360=1,ConRate*ED$25/360,ConRate/12),0)</f>
        <v/>
      </c>
      <c r="EE30" s="49">
        <f>IF('Timeline'!EE$42=1,IF(ConActual360=1,ConRate*EE$25/360,ConRate/12),0)</f>
        <v/>
      </c>
      <c r="EF30" s="49">
        <f>IF('Timeline'!EF$42=1,IF(ConActual360=1,ConRate*EF$25/360,ConRate/12),0)</f>
        <v/>
      </c>
      <c r="EG30" s="49">
        <f>IF('Timeline'!EG$42=1,IF(ConActual360=1,ConRate*EG$25/360,ConRate/12),0)</f>
        <v/>
      </c>
      <c r="EH30" s="49">
        <f>IF('Timeline'!EH$42=1,IF(ConActual360=1,ConRate*EH$25/360,ConRate/12),0)</f>
        <v/>
      </c>
      <c r="EI30" s="49">
        <f>IF('Timeline'!EI$42=1,IF(ConActual360=1,ConRate*EI$25/360,ConRate/12),0)</f>
        <v/>
      </c>
      <c r="EJ30" s="49">
        <f>IF('Timeline'!EJ$42=1,IF(ConActual360=1,ConRate*EJ$25/360,ConRate/12),0)</f>
        <v/>
      </c>
      <c r="EK30" s="49">
        <f>IF('Timeline'!EK$42=1,IF(ConActual360=1,ConRate*EK$25/360,ConRate/12),0)</f>
        <v/>
      </c>
      <c r="EL30" s="49">
        <f>IF('Timeline'!EL$42=1,IF(ConActual360=1,ConRate*EL$25/360,ConRate/12),0)</f>
        <v/>
      </c>
      <c r="EM30" s="49">
        <f>IF('Timeline'!EM$42=1,IF(ConActual360=1,ConRate*EM$25/360,ConRate/12),0)</f>
        <v/>
      </c>
      <c r="EN30" s="49">
        <f>IF('Timeline'!EN$42=1,IF(ConActual360=1,ConRate*EN$25/360,ConRate/12),0)</f>
        <v/>
      </c>
      <c r="EO30" s="49">
        <f>IF('Timeline'!EO$42=1,IF(ConActual360=1,ConRate*EO$25/360,ConRate/12),0)</f>
        <v/>
      </c>
      <c r="EP30" s="49">
        <f>IF('Timeline'!EP$42=1,IF(ConActual360=1,ConRate*EP$25/360,ConRate/12),0)</f>
        <v/>
      </c>
      <c r="EQ30" s="49">
        <f>IF('Timeline'!EQ$42=1,IF(ConActual360=1,ConRate*EQ$25/360,ConRate/12),0)</f>
        <v/>
      </c>
      <c r="ER30" s="49">
        <f>IF('Timeline'!ER$42=1,IF(ConActual360=1,ConRate*ER$25/360,ConRate/12),0)</f>
        <v/>
      </c>
      <c r="ES30" s="49">
        <f>IF('Timeline'!ES$42=1,IF(ConActual360=1,ConRate*ES$25/360,ConRate/12),0)</f>
        <v/>
      </c>
      <c r="ET30" s="49">
        <f>IF('Timeline'!ET$42=1,IF(ConActual360=1,ConRate*ET$25/360,ConRate/12),0)</f>
        <v/>
      </c>
      <c r="EU30" s="49">
        <f>IF('Timeline'!EU$42=1,IF(ConActual360=1,ConRate*EU$25/360,ConRate/12),0)</f>
        <v/>
      </c>
      <c r="EV30" s="49">
        <f>IF('Timeline'!EV$42=1,IF(ConActual360=1,ConRate*EV$25/360,ConRate/12),0)</f>
        <v/>
      </c>
      <c r="EW30" s="49">
        <f>IF('Timeline'!EW$42=1,IF(ConActual360=1,ConRate*EW$25/360,ConRate/12),0)</f>
        <v/>
      </c>
      <c r="EX30" s="49">
        <f>IF('Timeline'!EX$42=1,IF(ConActual360=1,ConRate*EX$25/360,ConRate/12),0)</f>
        <v/>
      </c>
      <c r="EY30" s="49">
        <f>IF('Timeline'!EY$42=1,IF(ConActual360=1,ConRate*EY$25/360,ConRate/12),0)</f>
        <v/>
      </c>
      <c r="EZ30" s="49">
        <f>IF('Timeline'!EZ$42=1,IF(ConActual360=1,ConRate*EZ$25/360,ConRate/12),0)</f>
        <v/>
      </c>
      <c r="FA30" s="49">
        <f>IF('Timeline'!FA$42=1,IF(ConActual360=1,ConRate*FA$25/360,ConRate/12),0)</f>
        <v/>
      </c>
      <c r="FB30" s="49">
        <f>IF('Timeline'!FB$42=1,IF(ConActual360=1,ConRate*FB$25/360,ConRate/12),0)</f>
        <v/>
      </c>
      <c r="FC30" s="49">
        <f>IF('Timeline'!FC$42=1,IF(ConActual360=1,ConRate*FC$25/360,ConRate/12),0)</f>
        <v/>
      </c>
      <c r="FD30" s="49">
        <f>IF('Timeline'!FD$42=1,IF(ConActual360=1,ConRate*FD$25/360,ConRate/12),0)</f>
        <v/>
      </c>
      <c r="FE30" s="49">
        <f>IF('Timeline'!FE$42=1,IF(ConActual360=1,ConRate*FE$25/360,ConRate/12),0)</f>
        <v/>
      </c>
      <c r="FF30" s="49">
        <f>IF('Timeline'!FF$42=1,IF(ConActual360=1,ConRate*FF$25/360,ConRate/12),0)</f>
        <v/>
      </c>
      <c r="FG30" s="49">
        <f>IF('Timeline'!FG$42=1,IF(ConActual360=1,ConRate*FG$25/360,ConRate/12),0)</f>
        <v/>
      </c>
      <c r="FH30" s="49">
        <f>IF('Timeline'!FH$42=1,IF(ConActual360=1,ConRate*FH$25/360,ConRate/12),0)</f>
        <v/>
      </c>
      <c r="FI30" s="49">
        <f>IF('Timeline'!FI$42=1,IF(ConActual360=1,ConRate*FI$25/360,ConRate/12),0)</f>
        <v/>
      </c>
      <c r="FJ30" s="49">
        <f>IF('Timeline'!FJ$42=1,IF(ConActual360=1,ConRate*FJ$25/360,ConRate/12),0)</f>
        <v/>
      </c>
      <c r="FK30" s="49">
        <f>IF('Timeline'!FK$42=1,IF(ConActual360=1,ConRate*FK$25/360,ConRate/12),0)</f>
        <v/>
      </c>
      <c r="FL30" s="49">
        <f>IF('Timeline'!FL$42=1,IF(ConActual360=1,ConRate*FL$25/360,ConRate/12),0)</f>
        <v/>
      </c>
      <c r="FM30" s="49">
        <f>IF('Timeline'!FM$42=1,IF(ConActual360=1,ConRate*FM$25/360,ConRate/12),0)</f>
        <v/>
      </c>
      <c r="FN30" s="49">
        <f>IF('Timeline'!FN$42=1,IF(ConActual360=1,ConRate*FN$25/360,ConRate/12),0)</f>
        <v/>
      </c>
      <c r="FO30" s="49">
        <f>IF('Timeline'!FO$42=1,IF(ConActual360=1,ConRate*FO$25/360,ConRate/12),0)</f>
        <v/>
      </c>
      <c r="FP30" s="49">
        <f>IF('Timeline'!FP$42=1,IF(ConActual360=1,ConRate*FP$25/360,ConRate/12),0)</f>
        <v/>
      </c>
      <c r="FQ30" s="49">
        <f>IF('Timeline'!FQ$42=1,IF(ConActual360=1,ConRate*FQ$25/360,ConRate/12),0)</f>
        <v/>
      </c>
      <c r="FR30" s="49">
        <f>IF('Timeline'!FR$42=1,IF(ConActual360=1,ConRate*FR$25/360,ConRate/12),0)</f>
        <v/>
      </c>
      <c r="FS30" s="49">
        <f>IF('Timeline'!FS$42=1,IF(ConActual360=1,ConRate*FS$25/360,ConRate/12),0)</f>
        <v/>
      </c>
      <c r="FT30" s="49">
        <f>IF('Timeline'!FT$42=1,IF(ConActual360=1,ConRate*FT$25/360,ConRate/12),0)</f>
        <v/>
      </c>
      <c r="FU30" s="49">
        <f>IF('Timeline'!FU$42=1,IF(ConActual360=1,ConRate*FU$25/360,ConRate/12),0)</f>
        <v/>
      </c>
      <c r="FV30" s="49">
        <f>IF('Timeline'!FV$42=1,IF(ConActual360=1,ConRate*FV$25/360,ConRate/12),0)</f>
        <v/>
      </c>
      <c r="FW30" s="49">
        <f>IF('Timeline'!FW$42=1,IF(ConActual360=1,ConRate*FW$25/360,ConRate/12),0)</f>
        <v/>
      </c>
      <c r="FX30" s="49">
        <f>IF('Timeline'!FX$42=1,IF(ConActual360=1,ConRate*FX$25/360,ConRate/12),0)</f>
        <v/>
      </c>
      <c r="FY30" s="49">
        <f>IF('Timeline'!FY$42=1,IF(ConActual360=1,ConRate*FY$25/360,ConRate/12),0)</f>
        <v/>
      </c>
      <c r="FZ30" s="49">
        <f>IF('Timeline'!FZ$42=1,IF(ConActual360=1,ConRate*FZ$25/360,ConRate/12),0)</f>
        <v/>
      </c>
      <c r="GA30" s="49">
        <f>IF('Timeline'!GA$42=1,IF(ConActual360=1,ConRate*GA$25/360,ConRate/12),0)</f>
        <v/>
      </c>
      <c r="GB30" s="49">
        <f>IF('Timeline'!GB$42=1,IF(ConActual360=1,ConRate*GB$25/360,ConRate/12),0)</f>
        <v/>
      </c>
      <c r="GC30" s="49">
        <f>IF('Timeline'!GC$42=1,IF(ConActual360=1,ConRate*GC$25/360,ConRate/12),0)</f>
        <v/>
      </c>
      <c r="GD30" s="49">
        <f>IF('Timeline'!GD$42=1,IF(ConActual360=1,ConRate*GD$25/360,ConRate/12),0)</f>
        <v/>
      </c>
      <c r="GE30" s="49">
        <f>IF('Timeline'!GE$42=1,IF(ConActual360=1,ConRate*GE$25/360,ConRate/12),0)</f>
        <v/>
      </c>
      <c r="GF30" s="49">
        <f>IF('Timeline'!GF$42=1,IF(ConActual360=1,ConRate*GF$25/360,ConRate/12),0)</f>
        <v/>
      </c>
      <c r="GG30" s="49">
        <f>IF('Timeline'!GG$42=1,IF(ConActual360=1,ConRate*GG$25/360,ConRate/12),0)</f>
        <v/>
      </c>
      <c r="GH30" s="49">
        <f>IF('Timeline'!GH$42=1,IF(ConActual360=1,ConRate*GH$25/360,ConRate/12),0)</f>
        <v/>
      </c>
      <c r="GI30" s="49">
        <f>IF('Timeline'!GI$42=1,IF(ConActual360=1,ConRate*GI$25/360,ConRate/12),0)</f>
        <v/>
      </c>
      <c r="GJ30" s="49">
        <f>IF('Timeline'!GJ$42=1,IF(ConActual360=1,ConRate*GJ$25/360,ConRate/12),0)</f>
        <v/>
      </c>
      <c r="GK30" s="49">
        <f>IF('Timeline'!GK$42=1,IF(ConActual360=1,ConRate*GK$25/360,ConRate/12),0)</f>
        <v/>
      </c>
      <c r="GL30" s="49">
        <f>IF('Timeline'!GL$42=1,IF(ConActual360=1,ConRate*GL$25/360,ConRate/12),0)</f>
        <v/>
      </c>
      <c r="GM30" s="49">
        <f>IF('Timeline'!GM$42=1,IF(ConActual360=1,ConRate*GM$25/360,ConRate/12),0)</f>
        <v/>
      </c>
      <c r="GN30" s="49">
        <f>IF('Timeline'!GN$42=1,IF(ConActual360=1,ConRate*GN$25/360,ConRate/12),0)</f>
        <v/>
      </c>
      <c r="GO30" s="49">
        <f>IF('Timeline'!GO$42=1,IF(ConActual360=1,ConRate*GO$25/360,ConRate/12),0)</f>
        <v/>
      </c>
      <c r="GP30" s="49">
        <f>IF('Timeline'!GP$42=1,IF(ConActual360=1,ConRate*GP$25/360,ConRate/12),0)</f>
        <v/>
      </c>
      <c r="GQ30" s="49">
        <f>IF('Timeline'!GQ$42=1,IF(ConActual360=1,ConRate*GQ$25/360,ConRate/12),0)</f>
        <v/>
      </c>
      <c r="GR30" s="49">
        <f>IF('Timeline'!GR$42=1,IF(ConActual360=1,ConRate*GR$25/360,ConRate/12),0)</f>
        <v/>
      </c>
      <c r="GS30" s="49">
        <f>IF('Timeline'!GS$42=1,IF(ConActual360=1,ConRate*GS$25/360,ConRate/12),0)</f>
        <v/>
      </c>
      <c r="GT30" s="49">
        <f>IF('Timeline'!GT$42=1,IF(ConActual360=1,ConRate*GT$25/360,ConRate/12),0)</f>
        <v/>
      </c>
      <c r="GU30" s="49">
        <f>IF('Timeline'!GU$42=1,IF(ConActual360=1,ConRate*GU$25/360,ConRate/12),0)</f>
        <v/>
      </c>
      <c r="GV30" s="49">
        <f>IF('Timeline'!GV$42=1,IF(ConActual360=1,ConRate*GV$25/360,ConRate/12),0)</f>
        <v/>
      </c>
      <c r="GW30" s="49">
        <f>IF('Timeline'!GW$42=1,IF(ConActual360=1,ConRate*GW$25/360,ConRate/12),0)</f>
        <v/>
      </c>
      <c r="GX30" s="49">
        <f>IF('Timeline'!GX$42=1,IF(ConActual360=1,ConRate*GX$25/360,ConRate/12),0)</f>
        <v/>
      </c>
      <c r="GY30" s="49">
        <f>IF('Timeline'!GY$42=1,IF(ConActual360=1,ConRate*GY$25/360,ConRate/12),0)</f>
        <v/>
      </c>
      <c r="GZ30" s="49">
        <f>IF('Timeline'!GZ$42=1,IF(ConActual360=1,ConRate*GZ$25/360,ConRate/12),0)</f>
        <v/>
      </c>
      <c r="HA30" s="49">
        <f>IF('Timeline'!HA$42=1,IF(ConActual360=1,ConRate*HA$25/360,ConRate/12),0)</f>
        <v/>
      </c>
      <c r="HB30" s="49">
        <f>IF('Timeline'!HB$42=1,IF(ConActual360=1,ConRate*HB$25/360,ConRate/12),0)</f>
        <v/>
      </c>
      <c r="HC30" s="49">
        <f>IF('Timeline'!HC$42=1,IF(ConActual360=1,ConRate*HC$25/360,ConRate/12),0)</f>
        <v/>
      </c>
      <c r="HD30" s="49">
        <f>IF('Timeline'!HD$42=1,IF(ConActual360=1,ConRate*HD$25/360,ConRate/12),0)</f>
        <v/>
      </c>
      <c r="HE30" s="49">
        <f>IF('Timeline'!HE$42=1,IF(ConActual360=1,ConRate*HE$25/360,ConRate/12),0)</f>
        <v/>
      </c>
      <c r="HF30" s="49">
        <f>IF('Timeline'!HF$42=1,IF(ConActual360=1,ConRate*HF$25/360,ConRate/12),0)</f>
        <v/>
      </c>
      <c r="HG30" s="49">
        <f>IF('Timeline'!HG$42=1,IF(ConActual360=1,ConRate*HG$25/360,ConRate/12),0)</f>
        <v/>
      </c>
      <c r="HH30" s="49">
        <f>IF('Timeline'!HH$42=1,IF(ConActual360=1,ConRate*HH$25/360,ConRate/12),0)</f>
        <v/>
      </c>
      <c r="HI30" s="49">
        <f>IF('Timeline'!HI$42=1,IF(ConActual360=1,ConRate*HI$25/360,ConRate/12),0)</f>
        <v/>
      </c>
      <c r="HJ30" s="49">
        <f>IF('Timeline'!HJ$42=1,IF(ConActual360=1,ConRate*HJ$25/360,ConRate/12),0)</f>
        <v/>
      </c>
      <c r="HK30" s="49">
        <f>IF('Timeline'!HK$42=1,IF(ConActual360=1,ConRate*HK$25/360,ConRate/12),0)</f>
        <v/>
      </c>
      <c r="HL30" s="49">
        <f>IF('Timeline'!HL$42=1,IF(ConActual360=1,ConRate*HL$25/360,ConRate/12),0)</f>
        <v/>
      </c>
      <c r="HM30" s="49">
        <f>IF('Timeline'!HM$42=1,IF(ConActual360=1,ConRate*HM$25/360,ConRate/12),0)</f>
        <v/>
      </c>
      <c r="HN30" s="49">
        <f>IF('Timeline'!HN$42=1,IF(ConActual360=1,ConRate*HN$25/360,ConRate/12),0)</f>
        <v/>
      </c>
      <c r="HO30" s="49">
        <f>IF('Timeline'!HO$42=1,IF(ConActual360=1,ConRate*HO$25/360,ConRate/12),0)</f>
        <v/>
      </c>
      <c r="HP30" s="49">
        <f>IF('Timeline'!HP$42=1,IF(ConActual360=1,ConRate*HP$25/360,ConRate/12),0)</f>
        <v/>
      </c>
      <c r="HQ30" s="49">
        <f>IF('Timeline'!HQ$42=1,IF(ConActual360=1,ConRate*HQ$25/360,ConRate/12),0)</f>
        <v/>
      </c>
      <c r="HR30" s="49">
        <f>IF('Timeline'!HR$42=1,IF(ConActual360=1,ConRate*HR$25/360,ConRate/12),0)</f>
        <v/>
      </c>
      <c r="HS30" s="49">
        <f>IF('Timeline'!HS$42=1,IF(ConActual360=1,ConRate*HS$25/360,ConRate/12),0)</f>
        <v/>
      </c>
      <c r="HT30" s="49">
        <f>IF('Timeline'!HT$42=1,IF(ConActual360=1,ConRate*HT$25/360,ConRate/12),0)</f>
        <v/>
      </c>
      <c r="HU30" s="49">
        <f>IF('Timeline'!HU$42=1,IF(ConActual360=1,ConRate*HU$25/360,ConRate/12),0)</f>
        <v/>
      </c>
      <c r="HV30" s="49">
        <f>IF('Timeline'!HV$42=1,IF(ConActual360=1,ConRate*HV$25/360,ConRate/12),0)</f>
        <v/>
      </c>
      <c r="HW30" s="49">
        <f>IF('Timeline'!HW$42=1,IF(ConActual360=1,ConRate*HW$25/360,ConRate/12),0)</f>
        <v/>
      </c>
      <c r="HX30" s="49">
        <f>IF('Timeline'!HX$42=1,IF(ConActual360=1,ConRate*HX$25/360,ConRate/12),0)</f>
        <v/>
      </c>
      <c r="HY30" s="49">
        <f>IF('Timeline'!HY$42=1,IF(ConActual360=1,ConRate*HY$25/360,ConRate/12),0)</f>
        <v/>
      </c>
      <c r="HZ30" s="49">
        <f>IF('Timeline'!HZ$42=1,IF(ConActual360=1,ConRate*HZ$25/360,ConRate/12),0)</f>
        <v/>
      </c>
      <c r="IA30" s="49">
        <f>IF('Timeline'!IA$42=1,IF(ConActual360=1,ConRate*IA$25/360,ConRate/12),0)</f>
        <v/>
      </c>
      <c r="IB30" s="49">
        <f>IF('Timeline'!IB$42=1,IF(ConActual360=1,ConRate*IB$25/360,ConRate/12),0)</f>
        <v/>
      </c>
      <c r="IC30" s="49">
        <f>IF('Timeline'!IC$42=1,IF(ConActual360=1,ConRate*IC$25/360,ConRate/12),0)</f>
        <v/>
      </c>
      <c r="ID30" s="49">
        <f>IF('Timeline'!ID$42=1,IF(ConActual360=1,ConRate*ID$25/360,ConRate/12),0)</f>
        <v/>
      </c>
      <c r="IE30" s="49">
        <f>IF('Timeline'!IE$42=1,IF(ConActual360=1,ConRate*IE$25/360,ConRate/12),0)</f>
        <v/>
      </c>
      <c r="IF30" s="49">
        <f>IF('Timeline'!IF$42=1,IF(ConActual360=1,ConRate*IF$25/360,ConRate/12),0)</f>
        <v/>
      </c>
      <c r="IG30" s="49">
        <f>IF('Timeline'!IG$42=1,IF(ConActual360=1,ConRate*IG$25/360,ConRate/12),0)</f>
        <v/>
      </c>
      <c r="IH30" s="49">
        <f>IF('Timeline'!IH$42=1,IF(ConActual360=1,ConRate*IH$25/360,ConRate/12),0)</f>
        <v/>
      </c>
      <c r="II30" s="49">
        <f>IF('Timeline'!II$42=1,IF(ConActual360=1,ConRate*II$25/360,ConRate/12),0)</f>
        <v/>
      </c>
      <c r="IJ30" s="49">
        <f>IF('Timeline'!IJ$42=1,IF(ConActual360=1,ConRate*IJ$25/360,ConRate/12),0)</f>
        <v/>
      </c>
      <c r="IK30" s="49">
        <f>IF('Timeline'!IK$42=1,IF(ConActual360=1,ConRate*IK$25/360,ConRate/12),0)</f>
        <v/>
      </c>
      <c r="IL30" s="49">
        <f>IF('Timeline'!IL$42=1,IF(ConActual360=1,ConRate*IL$25/360,ConRate/12),0)</f>
        <v/>
      </c>
      <c r="IM30" s="49">
        <f>IF('Timeline'!IM$42=1,IF(ConActual360=1,ConRate*IM$25/360,ConRate/12),0)</f>
        <v/>
      </c>
      <c r="IN30" s="49">
        <f>IF('Timeline'!IN$42=1,IF(ConActual360=1,ConRate*IN$25/360,ConRate/12),0)</f>
        <v/>
      </c>
      <c r="IO30" s="49">
        <f>IF('Timeline'!IO$42=1,IF(ConActual360=1,ConRate*IO$25/360,ConRate/12),0)</f>
        <v/>
      </c>
      <c r="IP30" s="49">
        <f>IF('Timeline'!IP$42=1,IF(ConActual360=1,ConRate*IP$25/360,ConRate/12),0)</f>
        <v/>
      </c>
      <c r="IQ30" s="49">
        <f>IF('Timeline'!IQ$42=1,IF(ConActual360=1,ConRate*IQ$25/360,ConRate/12),0)</f>
        <v/>
      </c>
      <c r="IR30" s="49">
        <f>IF('Timeline'!IR$42=1,IF(ConActual360=1,ConRate*IR$25/360,ConRate/12),0)</f>
        <v/>
      </c>
      <c r="IS30" s="49">
        <f>IF('Timeline'!IS$42=1,IF(ConActual360=1,ConRate*IS$25/360,ConRate/12),0)</f>
        <v/>
      </c>
      <c r="IT30" s="49">
        <f>IF('Timeline'!IT$42=1,IF(ConActual360=1,ConRate*IT$25/360,ConRate/12),0)</f>
        <v/>
      </c>
      <c r="IU30" s="49">
        <f>IF('Timeline'!IU$42=1,IF(ConActual360=1,ConRate*IU$25/360,ConRate/12),0)</f>
        <v/>
      </c>
      <c r="IV30" s="49">
        <f>IF('Timeline'!IV$42=1,IF(ConActual360=1,ConRate*IV$25/360,ConRate/12),0)</f>
        <v/>
      </c>
      <c r="IW30" s="49">
        <f>IF('Timeline'!IW$42=1,IF(ConActual360=1,ConRate*IW$25/360,ConRate/12),0)</f>
        <v/>
      </c>
      <c r="IX30" s="49">
        <f>IF('Timeline'!IX$42=1,IF(ConActual360=1,ConRate*IX$25/360,ConRate/12),0)</f>
        <v/>
      </c>
      <c r="IY30" s="49">
        <f>IF('Timeline'!IY$42=1,IF(ConActual360=1,ConRate*IY$25/360,ConRate/12),0)</f>
        <v/>
      </c>
      <c r="IZ30" s="49">
        <f>IF('Timeline'!IZ$42=1,IF(ConActual360=1,ConRate*IZ$25/360,ConRate/12),0)</f>
        <v/>
      </c>
      <c r="JA30" s="49">
        <f>IF('Timeline'!JA$42=1,IF(ConActual360=1,ConRate*JA$25/360,ConRate/12),0)</f>
        <v/>
      </c>
      <c r="JB30" s="49">
        <f>IF('Timeline'!JB$42=1,IF(ConActual360=1,ConRate*JB$25/360,ConRate/12),0)</f>
        <v/>
      </c>
      <c r="JC30" s="49">
        <f>IF('Timeline'!JC$42=1,IF(ConActual360=1,ConRate*JC$25/360,ConRate/12),0)</f>
        <v/>
      </c>
      <c r="JD30" s="49">
        <f>IF('Timeline'!JD$42=1,IF(ConActual360=1,ConRate*JD$25/360,ConRate/12),0)</f>
        <v/>
      </c>
      <c r="JE30" s="49">
        <f>IF('Timeline'!JE$42=1,IF(ConActual360=1,ConRate*JE$25/360,ConRate/12),0)</f>
        <v/>
      </c>
      <c r="JF30" s="49">
        <f>IF('Timeline'!JF$42=1,IF(ConActual360=1,ConRate*JF$25/360,ConRate/12),0)</f>
        <v/>
      </c>
      <c r="JG30" s="49">
        <f>IF('Timeline'!JG$42=1,IF(ConActual360=1,ConRate*JG$25/360,ConRate/12),0)</f>
        <v/>
      </c>
      <c r="JH30" s="49">
        <f>IF('Timeline'!JH$42=1,IF(ConActual360=1,ConRate*JH$25/360,ConRate/12),0)</f>
        <v/>
      </c>
      <c r="JI30" s="49">
        <f>IF('Timeline'!JI$42=1,IF(ConActual360=1,ConRate*JI$25/360,ConRate/12),0)</f>
        <v/>
      </c>
      <c r="JJ30" s="49">
        <f>IF('Timeline'!JJ$42=1,IF(ConActual360=1,ConRate*JJ$25/360,ConRate/12),0)</f>
        <v/>
      </c>
      <c r="JK30" s="49">
        <f>IF('Timeline'!JK$42=1,IF(ConActual360=1,ConRate*JK$25/360,ConRate/12),0)</f>
        <v/>
      </c>
      <c r="JL30" s="49">
        <f>IF('Timeline'!JL$42=1,IF(ConActual360=1,ConRate*JL$25/360,ConRate/12),0)</f>
        <v/>
      </c>
      <c r="JM30" s="49">
        <f>IF('Timeline'!JM$42=1,IF(ConActual360=1,ConRate*JM$25/360,ConRate/12),0)</f>
        <v/>
      </c>
      <c r="JN30" s="49">
        <f>IF('Timeline'!JN$42=1,IF(ConActual360=1,ConRate*JN$25/360,ConRate/12),0)</f>
        <v/>
      </c>
      <c r="JO30" s="49">
        <f>IF('Timeline'!JO$42=1,IF(ConActual360=1,ConRate*JO$25/360,ConRate/12),0)</f>
        <v/>
      </c>
      <c r="JP30" s="49">
        <f>IF('Timeline'!JP$42=1,IF(ConActual360=1,ConRate*JP$25/360,ConRate/12),0)</f>
        <v/>
      </c>
      <c r="JQ30" s="49">
        <f>IF('Timeline'!JQ$42=1,IF(ConActual360=1,ConRate*JQ$25/360,ConRate/12),0)</f>
        <v/>
      </c>
      <c r="JR30" s="49">
        <f>IF('Timeline'!JR$42=1,IF(ConActual360=1,ConRate*JR$25/360,ConRate/12),0)</f>
        <v/>
      </c>
      <c r="JS30" s="49">
        <f>IF('Timeline'!JS$42=1,IF(ConActual360=1,ConRate*JS$25/360,ConRate/12),0)</f>
        <v/>
      </c>
      <c r="JT30" s="49">
        <f>IF('Timeline'!JT$42=1,IF(ConActual360=1,ConRate*JT$25/360,ConRate/12),0)</f>
        <v/>
      </c>
      <c r="JU30" s="49">
        <f>IF('Timeline'!JU$42=1,IF(ConActual360=1,ConRate*JU$25/360,ConRate/12),0)</f>
        <v/>
      </c>
      <c r="JV30" s="49">
        <f>IF('Timeline'!JV$42=1,IF(ConActual360=1,ConRate*JV$25/360,ConRate/12),0)</f>
        <v/>
      </c>
      <c r="JW30" s="49">
        <f>IF('Timeline'!JW$42=1,IF(ConActual360=1,ConRate*JW$25/360,ConRate/12),0)</f>
        <v/>
      </c>
      <c r="JX30" s="49">
        <f>IF('Timeline'!JX$42=1,IF(ConActual360=1,ConRate*JX$25/360,ConRate/12),0)</f>
        <v/>
      </c>
      <c r="JY30" s="49">
        <f>IF('Timeline'!JY$42=1,IF(ConActual360=1,ConRate*JY$25/360,ConRate/12),0)</f>
        <v/>
      </c>
      <c r="JZ30" s="49">
        <f>IF('Timeline'!JZ$42=1,IF(ConActual360=1,ConRate*JZ$25/360,ConRate/12),0)</f>
        <v/>
      </c>
      <c r="KA30" s="49">
        <f>IF('Timeline'!KA$42=1,IF(ConActual360=1,ConRate*KA$25/360,ConRate/12),0)</f>
        <v/>
      </c>
      <c r="KB30" s="49">
        <f>IF('Timeline'!KB$42=1,IF(ConActual360=1,ConRate*KB$25/360,ConRate/12),0)</f>
        <v/>
      </c>
      <c r="KC30" s="49">
        <f>IF('Timeline'!KC$42=1,IF(ConActual360=1,ConRate*KC$25/360,ConRate/12),0)</f>
        <v/>
      </c>
      <c r="KD30" s="49">
        <f>IF('Timeline'!KD$42=1,IF(ConActual360=1,ConRate*KD$25/360,ConRate/12),0)</f>
        <v/>
      </c>
      <c r="KE30" s="49">
        <f>IF('Timeline'!KE$42=1,IF(ConActual360=1,ConRate*KE$25/360,ConRate/12),0)</f>
        <v/>
      </c>
      <c r="KF30" s="49">
        <f>IF('Timeline'!KF$42=1,IF(ConActual360=1,ConRate*KF$25/360,ConRate/12),0)</f>
        <v/>
      </c>
      <c r="KG30" s="49">
        <f>IF('Timeline'!KG$42=1,IF(ConActual360=1,ConRate*KG$25/360,ConRate/12),0)</f>
        <v/>
      </c>
      <c r="KH30" s="49">
        <f>IF('Timeline'!KH$42=1,IF(ConActual360=1,ConRate*KH$25/360,ConRate/12),0)</f>
        <v/>
      </c>
      <c r="KI30" s="49">
        <f>IF('Timeline'!KI$42=1,IF(ConActual360=1,ConRate*KI$25/360,ConRate/12),0)</f>
        <v/>
      </c>
      <c r="KJ30" s="49">
        <f>IF('Timeline'!KJ$42=1,IF(ConActual360=1,ConRate*KJ$25/360,ConRate/12),0)</f>
        <v/>
      </c>
      <c r="KK30" s="49">
        <f>IF('Timeline'!KK$42=1,IF(ConActual360=1,ConRate*KK$25/360,ConRate/12),0)</f>
        <v/>
      </c>
      <c r="KL30" s="49">
        <f>IF('Timeline'!KL$42=1,IF(ConActual360=1,ConRate*KL$25/360,ConRate/12),0)</f>
        <v/>
      </c>
      <c r="KM30" s="49">
        <f>IF('Timeline'!KM$42=1,IF(ConActual360=1,ConRate*KM$25/360,ConRate/12),0)</f>
        <v/>
      </c>
      <c r="KN30" s="49">
        <f>IF('Timeline'!KN$42=1,IF(ConActual360=1,ConRate*KN$25/360,ConRate/12),0)</f>
        <v/>
      </c>
      <c r="KO30" s="49">
        <f>IF('Timeline'!KO$42=1,IF(ConActual360=1,ConRate*KO$25/360,ConRate/12),0)</f>
        <v/>
      </c>
      <c r="KP30" s="49">
        <f>IF('Timeline'!KP$42=1,IF(ConActual360=1,ConRate*KP$25/360,ConRate/12),0)</f>
        <v/>
      </c>
      <c r="KQ30" s="49">
        <f>IF('Timeline'!KQ$42=1,IF(ConActual360=1,ConRate*KQ$25/360,ConRate/12),0)</f>
        <v/>
      </c>
      <c r="KR30" s="49">
        <f>IF('Timeline'!KR$42=1,IF(ConActual360=1,ConRate*KR$25/360,ConRate/12),0)</f>
        <v/>
      </c>
      <c r="KS30" s="49">
        <f>IF('Timeline'!KS$42=1,IF(ConActual360=1,ConRate*KS$25/360,ConRate/12),0)</f>
        <v/>
      </c>
      <c r="KT30" s="49">
        <f>IF('Timeline'!KT$42=1,IF(ConActual360=1,ConRate*KT$25/360,ConRate/12),0)</f>
        <v/>
      </c>
      <c r="KU30" s="49">
        <f>IF('Timeline'!KU$42=1,IF(ConActual360=1,ConRate*KU$25/360,ConRate/12),0)</f>
        <v/>
      </c>
      <c r="KV30" s="49">
        <f>IF('Timeline'!KV$42=1,IF(ConActual360=1,ConRate*KV$25/360,ConRate/12),0)</f>
        <v/>
      </c>
      <c r="KW30" s="49">
        <f>IF('Timeline'!KW$42=1,IF(ConActual360=1,ConRate*KW$25/360,ConRate/12),0)</f>
        <v/>
      </c>
      <c r="KX30" s="49">
        <f>IF('Timeline'!KX$42=1,IF(ConActual360=1,ConRate*KX$25/360,ConRate/12),0)</f>
        <v/>
      </c>
      <c r="KY30" s="49">
        <f>IF('Timeline'!KY$42=1,IF(ConActual360=1,ConRate*KY$25/360,ConRate/12),0)</f>
        <v/>
      </c>
      <c r="KZ30" s="49">
        <f>IF('Timeline'!KZ$42=1,IF(ConActual360=1,ConRate*KZ$25/360,ConRate/12),0)</f>
        <v/>
      </c>
      <c r="LA30" s="49">
        <f>IF('Timeline'!LA$42=1,IF(ConActual360=1,ConRate*LA$25/360,ConRate/12),0)</f>
        <v/>
      </c>
      <c r="LB30" s="49">
        <f>IF('Timeline'!LB$42=1,IF(ConActual360=1,ConRate*LB$25/360,ConRate/12),0)</f>
        <v/>
      </c>
      <c r="LC30" s="49">
        <f>IF('Timeline'!LC$42=1,IF(ConActual360=1,ConRate*LC$25/360,ConRate/12),0)</f>
        <v/>
      </c>
      <c r="LD30" s="49">
        <f>IF('Timeline'!LD$42=1,IF(ConActual360=1,ConRate*LD$25/360,ConRate/12),0)</f>
        <v/>
      </c>
      <c r="LE30" s="49">
        <f>IF('Timeline'!LE$42=1,IF(ConActual360=1,ConRate*LE$25/360,ConRate/12),0)</f>
        <v/>
      </c>
      <c r="LF30" s="49">
        <f>IF('Timeline'!LF$42=1,IF(ConActual360=1,ConRate*LF$25/360,ConRate/12),0)</f>
        <v/>
      </c>
      <c r="LG30" s="49">
        <f>IF('Timeline'!LG$42=1,IF(ConActual360=1,ConRate*LG$25/360,ConRate/12),0)</f>
        <v/>
      </c>
      <c r="LH30" s="49">
        <f>IF('Timeline'!LH$42=1,IF(ConActual360=1,ConRate*LH$25/360,ConRate/12),0)</f>
        <v/>
      </c>
      <c r="LI30" s="49">
        <f>IF('Timeline'!LI$42=1,IF(ConActual360=1,ConRate*LI$25/360,ConRate/12),0)</f>
        <v/>
      </c>
      <c r="LJ30" s="49">
        <f>IF('Timeline'!LJ$42=1,IF(ConActual360=1,ConRate*LJ$25/360,ConRate/12),0)</f>
        <v/>
      </c>
      <c r="LK30" s="49">
        <f>IF('Timeline'!LK$42=1,IF(ConActual360=1,ConRate*LK$25/360,ConRate/12),0)</f>
        <v/>
      </c>
      <c r="LL30" s="49">
        <f>IF('Timeline'!LL$42=1,IF(ConActual360=1,ConRate*LL$25/360,ConRate/12),0)</f>
        <v/>
      </c>
      <c r="LM30" s="49">
        <f>IF('Timeline'!LM$42=1,IF(ConActual360=1,ConRate*LM$25/360,ConRate/12),0)</f>
        <v/>
      </c>
      <c r="LN30" s="49">
        <f>IF('Timeline'!LN$42=1,IF(ConActual360=1,ConRate*LN$25/360,ConRate/12),0)</f>
        <v/>
      </c>
      <c r="LO30" s="49">
        <f>IF('Timeline'!LO$42=1,IF(ConActual360=1,ConRate*LO$25/360,ConRate/12),0)</f>
        <v/>
      </c>
      <c r="LP30" s="49">
        <f>IF('Timeline'!LP$42=1,IF(ConActual360=1,ConRate*LP$25/360,ConRate/12),0)</f>
        <v/>
      </c>
      <c r="LQ30" s="49">
        <f>IF('Timeline'!LQ$42=1,IF(ConActual360=1,ConRate*LQ$25/360,ConRate/12),0)</f>
        <v/>
      </c>
      <c r="LR30" s="49">
        <f>IF('Timeline'!LR$42=1,IF(ConActual360=1,ConRate*LR$25/360,ConRate/12),0)</f>
        <v/>
      </c>
      <c r="LS30" s="49">
        <f>IF('Timeline'!LS$42=1,IF(ConActual360=1,ConRate*LS$25/360,ConRate/12),0)</f>
        <v/>
      </c>
      <c r="LT30" s="49">
        <f>IF('Timeline'!LT$42=1,IF(ConActual360=1,ConRate*LT$25/360,ConRate/12),0)</f>
        <v/>
      </c>
      <c r="LU30" s="49">
        <f>IF('Timeline'!LU$42=1,IF(ConActual360=1,ConRate*LU$25/360,ConRate/12),0)</f>
        <v/>
      </c>
      <c r="LV30" s="49">
        <f>IF('Timeline'!LV$42=1,IF(ConActual360=1,ConRate*LV$25/360,ConRate/12),0)</f>
        <v/>
      </c>
      <c r="LW30" s="49">
        <f>IF('Timeline'!LW$42=1,IF(ConActual360=1,ConRate*LW$25/360,ConRate/12),0)</f>
        <v/>
      </c>
      <c r="LX30" s="49">
        <f>IF('Timeline'!LX$42=1,IF(ConActual360=1,ConRate*LX$25/360,ConRate/12),0)</f>
        <v/>
      </c>
      <c r="LY30" s="49">
        <f>IF('Timeline'!LY$42=1,IF(ConActual360=1,ConRate*LY$25/360,ConRate/12),0)</f>
        <v/>
      </c>
      <c r="LZ30" s="49">
        <f>IF('Timeline'!LZ$42=1,IF(ConActual360=1,ConRate*LZ$25/360,ConRate/12),0)</f>
        <v/>
      </c>
      <c r="MA30" s="49">
        <f>IF('Timeline'!MA$42=1,IF(ConActual360=1,ConRate*MA$25/360,ConRate/12),0)</f>
        <v/>
      </c>
      <c r="MB30" s="49">
        <f>IF('Timeline'!MB$42=1,IF(ConActual360=1,ConRate*MB$25/360,ConRate/12),0)</f>
        <v/>
      </c>
      <c r="MC30" s="49">
        <f>IF('Timeline'!MC$42=1,IF(ConActual360=1,ConRate*MC$25/360,ConRate/12),0)</f>
        <v/>
      </c>
      <c r="MD30" s="49">
        <f>IF('Timeline'!MD$42=1,IF(ConActual360=1,ConRate*MD$25/360,ConRate/12),0)</f>
        <v/>
      </c>
      <c r="ME30" s="49">
        <f>IF('Timeline'!ME$42=1,IF(ConActual360=1,ConRate*ME$25/360,ConRate/12),0)</f>
        <v/>
      </c>
      <c r="MF30" s="49">
        <f>IF('Timeline'!MF$42=1,IF(ConActual360=1,ConRate*MF$25/360,ConRate/12),0)</f>
        <v/>
      </c>
      <c r="MG30" s="49">
        <f>IF('Timeline'!MG$42=1,IF(ConActual360=1,ConRate*MG$25/360,ConRate/12),0)</f>
        <v/>
      </c>
      <c r="MH30" s="49">
        <f>IF('Timeline'!MH$42=1,IF(ConActual360=1,ConRate*MH$25/360,ConRate/12),0)</f>
        <v/>
      </c>
      <c r="MI30" s="49">
        <f>IF('Timeline'!MI$42=1,IF(ConActual360=1,ConRate*MI$25/360,ConRate/12),0)</f>
        <v/>
      </c>
      <c r="MJ30" s="49">
        <f>IF('Timeline'!MJ$42=1,IF(ConActual360=1,ConRate*MJ$25/360,ConRate/12),0)</f>
        <v/>
      </c>
      <c r="MK30" s="49">
        <f>IF('Timeline'!MK$42=1,IF(ConActual360=1,ConRate*MK$25/360,ConRate/12),0)</f>
        <v/>
      </c>
      <c r="ML30" s="49">
        <f>IF('Timeline'!ML$42=1,IF(ConActual360=1,ConRate*ML$25/360,ConRate/12),0)</f>
        <v/>
      </c>
      <c r="MM30" s="49">
        <f>IF('Timeline'!MM$42=1,IF(ConActual360=1,ConRate*MM$25/360,ConRate/12),0)</f>
        <v/>
      </c>
      <c r="MN30" s="49">
        <f>IF('Timeline'!MN$42=1,IF(ConActual360=1,ConRate*MN$25/360,ConRate/12),0)</f>
        <v/>
      </c>
      <c r="MO30" s="49">
        <f>IF('Timeline'!MO$42=1,IF(ConActual360=1,ConRate*MO$25/360,ConRate/12),0)</f>
        <v/>
      </c>
      <c r="MP30" s="49">
        <f>IF('Timeline'!MP$42=1,IF(ConActual360=1,ConRate*MP$25/360,ConRate/12),0)</f>
        <v/>
      </c>
      <c r="MQ30" s="49">
        <f>IF('Timeline'!MQ$42=1,IF(ConActual360=1,ConRate*MQ$25/360,ConRate/12),0)</f>
        <v/>
      </c>
      <c r="MR30" s="49">
        <f>IF('Timeline'!MR$42=1,IF(ConActual360=1,ConRate*MR$25/360,ConRate/12),0)</f>
        <v/>
      </c>
      <c r="MS30" s="49">
        <f>IF('Timeline'!MS$42=1,IF(ConActual360=1,ConRate*MS$25/360,ConRate/12),0)</f>
        <v/>
      </c>
      <c r="MT30" s="49">
        <f>IF('Timeline'!MT$42=1,IF(ConActual360=1,ConRate*MT$25/360,ConRate/12),0)</f>
        <v/>
      </c>
      <c r="MU30" s="49">
        <f>IF('Timeline'!MU$42=1,IF(ConActual360=1,ConRate*MU$25/360,ConRate/12),0)</f>
        <v/>
      </c>
      <c r="MV30" s="49">
        <f>IF('Timeline'!MV$42=1,IF(ConActual360=1,ConRate*MV$25/360,ConRate/12),0)</f>
        <v/>
      </c>
      <c r="MW30" s="49">
        <f>IF('Timeline'!MW$42=1,IF(ConActual360=1,ConRate*MW$25/360,ConRate/12),0)</f>
        <v/>
      </c>
      <c r="MX30" s="49">
        <f>IF('Timeline'!MX$42=1,IF(ConActual360=1,ConRate*MX$25/360,ConRate/12),0)</f>
        <v/>
      </c>
      <c r="MY30" s="49">
        <f>IF('Timeline'!MY$42=1,IF(ConActual360=1,ConRate*MY$25/360,ConRate/12),0)</f>
        <v/>
      </c>
      <c r="MZ30" s="49">
        <f>IF('Timeline'!MZ$42=1,IF(ConActual360=1,ConRate*MZ$25/360,ConRate/12),0)</f>
        <v/>
      </c>
      <c r="NA30" s="49">
        <f>IF('Timeline'!NA$42=1,IF(ConActual360=1,ConRate*NA$25/360,ConRate/12),0)</f>
        <v/>
      </c>
      <c r="NB30" s="49">
        <f>IF('Timeline'!NB$42=1,IF(ConActual360=1,ConRate*NB$25/360,ConRate/12),0)</f>
        <v/>
      </c>
      <c r="NC30" s="49">
        <f>IF('Timeline'!NC$42=1,IF(ConActual360=1,ConRate*NC$25/360,ConRate/12),0)</f>
        <v/>
      </c>
      <c r="ND30" s="49">
        <f>IF('Timeline'!ND$42=1,IF(ConActual360=1,ConRate*ND$25/360,ConRate/12),0)</f>
        <v/>
      </c>
      <c r="NE30" s="49">
        <f>IF('Timeline'!NE$42=1,IF(ConActual360=1,ConRate*NE$25/360,ConRate/12),0)</f>
        <v/>
      </c>
      <c r="NF30" s="49">
        <f>IF('Timeline'!NF$42=1,IF(ConActual360=1,ConRate*NF$25/360,ConRate/12),0)</f>
        <v/>
      </c>
      <c r="NG30" s="49">
        <f>IF('Timeline'!NG$42=1,IF(ConActual360=1,ConRate*NG$25/360,ConRate/12),0)</f>
        <v/>
      </c>
      <c r="NH30" s="49">
        <f>IF('Timeline'!NH$42=1,IF(ConActual360=1,ConRate*NH$25/360,ConRate/12),0)</f>
        <v/>
      </c>
      <c r="NI30" s="49">
        <f>IF('Timeline'!NI$42=1,IF(ConActual360=1,ConRate*NI$25/360,ConRate/12),0)</f>
        <v/>
      </c>
      <c r="NJ30" s="49">
        <f>IF('Timeline'!NJ$42=1,IF(ConActual360=1,ConRate*NJ$25/360,ConRate/12),0)</f>
        <v/>
      </c>
      <c r="NK30" s="49">
        <f>IF('Timeline'!NK$42=1,IF(ConActual360=1,ConRate*NK$25/360,ConRate/12),0)</f>
        <v/>
      </c>
    </row>
    <row r="31">
      <c r="A31" s="5" t="inlineStr">
        <is>
          <t>Interest Accrued (capitalized)</t>
        </is>
      </c>
      <c r="C31" s="41">
        <f>SUM(D31:NK31)</f>
        <v/>
      </c>
      <c r="D31" s="18">
        <f>D$30*(0)</f>
        <v/>
      </c>
      <c r="E31" s="18">
        <f>E$30*(D$32)</f>
        <v/>
      </c>
      <c r="F31" s="18">
        <f>F$30*(E$32)</f>
        <v/>
      </c>
      <c r="G31" s="18">
        <f>G$30*(F$32)</f>
        <v/>
      </c>
      <c r="H31" s="18">
        <f>H$30*(G$32)</f>
        <v/>
      </c>
      <c r="I31" s="18">
        <f>I$30*(H$32)</f>
        <v/>
      </c>
      <c r="J31" s="18">
        <f>J$30*(I$32)</f>
        <v/>
      </c>
      <c r="K31" s="18">
        <f>K$30*(J$32)</f>
        <v/>
      </c>
      <c r="L31" s="18">
        <f>L$30*(K$32)</f>
        <v/>
      </c>
      <c r="M31" s="18">
        <f>M$30*(L$32)</f>
        <v/>
      </c>
      <c r="N31" s="18">
        <f>N$30*(M$32)</f>
        <v/>
      </c>
      <c r="O31" s="18">
        <f>O$30*(N$32)</f>
        <v/>
      </c>
      <c r="P31" s="18">
        <f>P$30*(O$32)</f>
        <v/>
      </c>
      <c r="Q31" s="18">
        <f>Q$30*(P$32)</f>
        <v/>
      </c>
      <c r="R31" s="18">
        <f>R$30*(Q$32)</f>
        <v/>
      </c>
      <c r="S31" s="18">
        <f>S$30*(R$32)</f>
        <v/>
      </c>
      <c r="T31" s="18">
        <f>T$30*(S$32)</f>
        <v/>
      </c>
      <c r="U31" s="18">
        <f>U$30*(T$32)</f>
        <v/>
      </c>
      <c r="V31" s="18">
        <f>V$30*(U$32)</f>
        <v/>
      </c>
      <c r="W31" s="18">
        <f>W$30*(V$32)</f>
        <v/>
      </c>
      <c r="X31" s="18">
        <f>X$30*(W$32)</f>
        <v/>
      </c>
      <c r="Y31" s="18">
        <f>Y$30*(X$32)</f>
        <v/>
      </c>
      <c r="Z31" s="18">
        <f>Z$30*(Y$32)</f>
        <v/>
      </c>
      <c r="AA31" s="18">
        <f>AA$30*(Z$32)</f>
        <v/>
      </c>
      <c r="AB31" s="18">
        <f>AB$30*(AA$32)</f>
        <v/>
      </c>
      <c r="AC31" s="18">
        <f>AC$30*(AB$32)</f>
        <v/>
      </c>
      <c r="AD31" s="18">
        <f>AD$30*(AC$32)</f>
        <v/>
      </c>
      <c r="AE31" s="18">
        <f>AE$30*(AD$32)</f>
        <v/>
      </c>
      <c r="AF31" s="18">
        <f>AF$30*(AE$32)</f>
        <v/>
      </c>
      <c r="AG31" s="18">
        <f>AG$30*(AF$32)</f>
        <v/>
      </c>
      <c r="AH31" s="18">
        <f>AH$30*(AG$32)</f>
        <v/>
      </c>
      <c r="AI31" s="18">
        <f>AI$30*(AH$32)</f>
        <v/>
      </c>
      <c r="AJ31" s="18">
        <f>AJ$30*(AI$32)</f>
        <v/>
      </c>
      <c r="AK31" s="18">
        <f>AK$30*(AJ$32)</f>
        <v/>
      </c>
      <c r="AL31" s="18">
        <f>AL$30*(AK$32)</f>
        <v/>
      </c>
      <c r="AM31" s="18">
        <f>AM$30*(AL$32)</f>
        <v/>
      </c>
      <c r="AN31" s="18">
        <f>AN$30*(AM$32)</f>
        <v/>
      </c>
      <c r="AO31" s="18">
        <f>AO$30*(AN$32)</f>
        <v/>
      </c>
      <c r="AP31" s="18">
        <f>AP$30*(AO$32)</f>
        <v/>
      </c>
      <c r="AQ31" s="18">
        <f>AQ$30*(AP$32)</f>
        <v/>
      </c>
      <c r="AR31" s="18">
        <f>AR$30*(AQ$32)</f>
        <v/>
      </c>
      <c r="AS31" s="18">
        <f>AS$30*(AR$32)</f>
        <v/>
      </c>
      <c r="AT31" s="18">
        <f>AT$30*(AS$32)</f>
        <v/>
      </c>
      <c r="AU31" s="18">
        <f>AU$30*(AT$32)</f>
        <v/>
      </c>
      <c r="AV31" s="18">
        <f>AV$30*(AU$32)</f>
        <v/>
      </c>
      <c r="AW31" s="18">
        <f>AW$30*(AV$32)</f>
        <v/>
      </c>
      <c r="AX31" s="18">
        <f>AX$30*(AW$32)</f>
        <v/>
      </c>
      <c r="AY31" s="18">
        <f>AY$30*(AX$32)</f>
        <v/>
      </c>
      <c r="AZ31" s="18">
        <f>AZ$30*(AY$32)</f>
        <v/>
      </c>
      <c r="BA31" s="18">
        <f>BA$30*(AZ$32)</f>
        <v/>
      </c>
      <c r="BB31" s="18">
        <f>BB$30*(BA$32)</f>
        <v/>
      </c>
      <c r="BC31" s="18">
        <f>BC$30*(BB$32)</f>
        <v/>
      </c>
      <c r="BD31" s="18">
        <f>BD$30*(BC$32)</f>
        <v/>
      </c>
      <c r="BE31" s="18">
        <f>BE$30*(BD$32)</f>
        <v/>
      </c>
      <c r="BF31" s="18">
        <f>BF$30*(BE$32)</f>
        <v/>
      </c>
      <c r="BG31" s="18">
        <f>BG$30*(BF$32)</f>
        <v/>
      </c>
      <c r="BH31" s="18">
        <f>BH$30*(BG$32)</f>
        <v/>
      </c>
      <c r="BI31" s="18">
        <f>BI$30*(BH$32)</f>
        <v/>
      </c>
      <c r="BJ31" s="18">
        <f>BJ$30*(BI$32)</f>
        <v/>
      </c>
      <c r="BK31" s="18">
        <f>BK$30*(BJ$32)</f>
        <v/>
      </c>
      <c r="BL31" s="18">
        <f>BL$30*(BK$32)</f>
        <v/>
      </c>
      <c r="BM31" s="18">
        <f>BM$30*(BL$32)</f>
        <v/>
      </c>
      <c r="BN31" s="18">
        <f>BN$30*(BM$32)</f>
        <v/>
      </c>
      <c r="BO31" s="18">
        <f>BO$30*(BN$32)</f>
        <v/>
      </c>
      <c r="BP31" s="18">
        <f>BP$30*(BO$32)</f>
        <v/>
      </c>
      <c r="BQ31" s="18">
        <f>BQ$30*(BP$32)</f>
        <v/>
      </c>
      <c r="BR31" s="18">
        <f>BR$30*(BQ$32)</f>
        <v/>
      </c>
      <c r="BS31" s="18">
        <f>BS$30*(BR$32)</f>
        <v/>
      </c>
      <c r="BT31" s="18">
        <f>BT$30*(BS$32)</f>
        <v/>
      </c>
      <c r="BU31" s="18">
        <f>BU$30*(BT$32)</f>
        <v/>
      </c>
      <c r="BV31" s="18">
        <f>BV$30*(BU$32)</f>
        <v/>
      </c>
      <c r="BW31" s="18">
        <f>BW$30*(BV$32)</f>
        <v/>
      </c>
      <c r="BX31" s="18">
        <f>BX$30*(BW$32)</f>
        <v/>
      </c>
      <c r="BY31" s="18">
        <f>BY$30*(BX$32)</f>
        <v/>
      </c>
      <c r="BZ31" s="18">
        <f>BZ$30*(BY$32)</f>
        <v/>
      </c>
      <c r="CA31" s="18">
        <f>CA$30*(BZ$32)</f>
        <v/>
      </c>
      <c r="CB31" s="18">
        <f>CB$30*(CA$32)</f>
        <v/>
      </c>
      <c r="CC31" s="18">
        <f>CC$30*(CB$32)</f>
        <v/>
      </c>
      <c r="CD31" s="18">
        <f>CD$30*(CC$32)</f>
        <v/>
      </c>
      <c r="CE31" s="18">
        <f>CE$30*(CD$32)</f>
        <v/>
      </c>
      <c r="CF31" s="18">
        <f>CF$30*(CE$32)</f>
        <v/>
      </c>
      <c r="CG31" s="18">
        <f>CG$30*(CF$32)</f>
        <v/>
      </c>
      <c r="CH31" s="18">
        <f>CH$30*(CG$32)</f>
        <v/>
      </c>
      <c r="CI31" s="18">
        <f>CI$30*(CH$32)</f>
        <v/>
      </c>
      <c r="CJ31" s="18">
        <f>CJ$30*(CI$32)</f>
        <v/>
      </c>
      <c r="CK31" s="18">
        <f>CK$30*(CJ$32)</f>
        <v/>
      </c>
      <c r="CL31" s="18">
        <f>CL$30*(CK$32)</f>
        <v/>
      </c>
      <c r="CM31" s="18">
        <f>CM$30*(CL$32)</f>
        <v/>
      </c>
      <c r="CN31" s="18">
        <f>CN$30*(CM$32)</f>
        <v/>
      </c>
      <c r="CO31" s="18">
        <f>CO$30*(CN$32)</f>
        <v/>
      </c>
      <c r="CP31" s="18">
        <f>CP$30*(CO$32)</f>
        <v/>
      </c>
      <c r="CQ31" s="18">
        <f>CQ$30*(CP$32)</f>
        <v/>
      </c>
      <c r="CR31" s="18">
        <f>CR$30*(CQ$32)</f>
        <v/>
      </c>
      <c r="CS31" s="18">
        <f>CS$30*(CR$32)</f>
        <v/>
      </c>
      <c r="CT31" s="18">
        <f>CT$30*(CS$32)</f>
        <v/>
      </c>
      <c r="CU31" s="18">
        <f>CU$30*(CT$32)</f>
        <v/>
      </c>
      <c r="CV31" s="18">
        <f>CV$30*(CU$32)</f>
        <v/>
      </c>
      <c r="CW31" s="18">
        <f>CW$30*(CV$32)</f>
        <v/>
      </c>
      <c r="CX31" s="18">
        <f>CX$30*(CW$32)</f>
        <v/>
      </c>
      <c r="CY31" s="18">
        <f>CY$30*(CX$32)</f>
        <v/>
      </c>
      <c r="CZ31" s="18">
        <f>CZ$30*(CY$32)</f>
        <v/>
      </c>
      <c r="DA31" s="18">
        <f>DA$30*(CZ$32)</f>
        <v/>
      </c>
      <c r="DB31" s="18">
        <f>DB$30*(DA$32)</f>
        <v/>
      </c>
      <c r="DC31" s="18">
        <f>DC$30*(DB$32)</f>
        <v/>
      </c>
      <c r="DD31" s="18">
        <f>DD$30*(DC$32)</f>
        <v/>
      </c>
      <c r="DE31" s="18">
        <f>DE$30*(DD$32)</f>
        <v/>
      </c>
      <c r="DF31" s="18">
        <f>DF$30*(DE$32)</f>
        <v/>
      </c>
      <c r="DG31" s="18">
        <f>DG$30*(DF$32)</f>
        <v/>
      </c>
      <c r="DH31" s="18">
        <f>DH$30*(DG$32)</f>
        <v/>
      </c>
      <c r="DI31" s="18">
        <f>DI$30*(DH$32)</f>
        <v/>
      </c>
      <c r="DJ31" s="18">
        <f>DJ$30*(DI$32)</f>
        <v/>
      </c>
      <c r="DK31" s="18">
        <f>DK$30*(DJ$32)</f>
        <v/>
      </c>
      <c r="DL31" s="18">
        <f>DL$30*(DK$32)</f>
        <v/>
      </c>
      <c r="DM31" s="18">
        <f>DM$30*(DL$32)</f>
        <v/>
      </c>
      <c r="DN31" s="18">
        <f>DN$30*(DM$32)</f>
        <v/>
      </c>
      <c r="DO31" s="18">
        <f>DO$30*(DN$32)</f>
        <v/>
      </c>
      <c r="DP31" s="18">
        <f>DP$30*(DO$32)</f>
        <v/>
      </c>
      <c r="DQ31" s="18">
        <f>DQ$30*(DP$32)</f>
        <v/>
      </c>
      <c r="DR31" s="18">
        <f>DR$30*(DQ$32)</f>
        <v/>
      </c>
      <c r="DS31" s="18">
        <f>DS$30*(DR$32)</f>
        <v/>
      </c>
      <c r="DT31" s="18">
        <f>DT$30*(DS$32)</f>
        <v/>
      </c>
      <c r="DU31" s="18">
        <f>DU$30*(DT$32)</f>
        <v/>
      </c>
      <c r="DV31" s="18">
        <f>DV$30*(DU$32)</f>
        <v/>
      </c>
      <c r="DW31" s="18">
        <f>DW$30*(DV$32)</f>
        <v/>
      </c>
      <c r="DX31" s="18">
        <f>DX$30*(DW$32)</f>
        <v/>
      </c>
      <c r="DY31" s="18">
        <f>DY$30*(DX$32)</f>
        <v/>
      </c>
      <c r="DZ31" s="18">
        <f>DZ$30*(DY$32)</f>
        <v/>
      </c>
      <c r="EA31" s="18">
        <f>EA$30*(DZ$32)</f>
        <v/>
      </c>
      <c r="EB31" s="18">
        <f>EB$30*(EA$32)</f>
        <v/>
      </c>
      <c r="EC31" s="18">
        <f>EC$30*(EB$32)</f>
        <v/>
      </c>
      <c r="ED31" s="18">
        <f>ED$30*(EC$32)</f>
        <v/>
      </c>
      <c r="EE31" s="18">
        <f>EE$30*(ED$32)</f>
        <v/>
      </c>
      <c r="EF31" s="18">
        <f>EF$30*(EE$32)</f>
        <v/>
      </c>
      <c r="EG31" s="18">
        <f>EG$30*(EF$32)</f>
        <v/>
      </c>
      <c r="EH31" s="18">
        <f>EH$30*(EG$32)</f>
        <v/>
      </c>
      <c r="EI31" s="18">
        <f>EI$30*(EH$32)</f>
        <v/>
      </c>
      <c r="EJ31" s="18">
        <f>EJ$30*(EI$32)</f>
        <v/>
      </c>
      <c r="EK31" s="18">
        <f>EK$30*(EJ$32)</f>
        <v/>
      </c>
      <c r="EL31" s="18">
        <f>EL$30*(EK$32)</f>
        <v/>
      </c>
      <c r="EM31" s="18">
        <f>EM$30*(EL$32)</f>
        <v/>
      </c>
      <c r="EN31" s="18">
        <f>EN$30*(EM$32)</f>
        <v/>
      </c>
      <c r="EO31" s="18">
        <f>EO$30*(EN$32)</f>
        <v/>
      </c>
      <c r="EP31" s="18">
        <f>EP$30*(EO$32)</f>
        <v/>
      </c>
      <c r="EQ31" s="18">
        <f>EQ$30*(EP$32)</f>
        <v/>
      </c>
      <c r="ER31" s="18">
        <f>ER$30*(EQ$32)</f>
        <v/>
      </c>
      <c r="ES31" s="18">
        <f>ES$30*(ER$32)</f>
        <v/>
      </c>
      <c r="ET31" s="18">
        <f>ET$30*(ES$32)</f>
        <v/>
      </c>
      <c r="EU31" s="18">
        <f>EU$30*(ET$32)</f>
        <v/>
      </c>
      <c r="EV31" s="18">
        <f>EV$30*(EU$32)</f>
        <v/>
      </c>
      <c r="EW31" s="18">
        <f>EW$30*(EV$32)</f>
        <v/>
      </c>
      <c r="EX31" s="18">
        <f>EX$30*(EW$32)</f>
        <v/>
      </c>
      <c r="EY31" s="18">
        <f>EY$30*(EX$32)</f>
        <v/>
      </c>
      <c r="EZ31" s="18">
        <f>EZ$30*(EY$32)</f>
        <v/>
      </c>
      <c r="FA31" s="18">
        <f>FA$30*(EZ$32)</f>
        <v/>
      </c>
      <c r="FB31" s="18">
        <f>FB$30*(FA$32)</f>
        <v/>
      </c>
      <c r="FC31" s="18">
        <f>FC$30*(FB$32)</f>
        <v/>
      </c>
      <c r="FD31" s="18">
        <f>FD$30*(FC$32)</f>
        <v/>
      </c>
      <c r="FE31" s="18">
        <f>FE$30*(FD$32)</f>
        <v/>
      </c>
      <c r="FF31" s="18">
        <f>FF$30*(FE$32)</f>
        <v/>
      </c>
      <c r="FG31" s="18">
        <f>FG$30*(FF$32)</f>
        <v/>
      </c>
      <c r="FH31" s="18">
        <f>FH$30*(FG$32)</f>
        <v/>
      </c>
      <c r="FI31" s="18">
        <f>FI$30*(FH$32)</f>
        <v/>
      </c>
      <c r="FJ31" s="18">
        <f>FJ$30*(FI$32)</f>
        <v/>
      </c>
      <c r="FK31" s="18">
        <f>FK$30*(FJ$32)</f>
        <v/>
      </c>
      <c r="FL31" s="18">
        <f>FL$30*(FK$32)</f>
        <v/>
      </c>
      <c r="FM31" s="18">
        <f>FM$30*(FL$32)</f>
        <v/>
      </c>
      <c r="FN31" s="18">
        <f>FN$30*(FM$32)</f>
        <v/>
      </c>
      <c r="FO31" s="18">
        <f>FO$30*(FN$32)</f>
        <v/>
      </c>
      <c r="FP31" s="18">
        <f>FP$30*(FO$32)</f>
        <v/>
      </c>
      <c r="FQ31" s="18">
        <f>FQ$30*(FP$32)</f>
        <v/>
      </c>
      <c r="FR31" s="18">
        <f>FR$30*(FQ$32)</f>
        <v/>
      </c>
      <c r="FS31" s="18">
        <f>FS$30*(FR$32)</f>
        <v/>
      </c>
      <c r="FT31" s="18">
        <f>FT$30*(FS$32)</f>
        <v/>
      </c>
      <c r="FU31" s="18">
        <f>FU$30*(FT$32)</f>
        <v/>
      </c>
      <c r="FV31" s="18">
        <f>FV$30*(FU$32)</f>
        <v/>
      </c>
      <c r="FW31" s="18">
        <f>FW$30*(FV$32)</f>
        <v/>
      </c>
      <c r="FX31" s="18">
        <f>FX$30*(FW$32)</f>
        <v/>
      </c>
      <c r="FY31" s="18">
        <f>FY$30*(FX$32)</f>
        <v/>
      </c>
      <c r="FZ31" s="18">
        <f>FZ$30*(FY$32)</f>
        <v/>
      </c>
      <c r="GA31" s="18">
        <f>GA$30*(FZ$32)</f>
        <v/>
      </c>
      <c r="GB31" s="18">
        <f>GB$30*(GA$32)</f>
        <v/>
      </c>
      <c r="GC31" s="18">
        <f>GC$30*(GB$32)</f>
        <v/>
      </c>
      <c r="GD31" s="18">
        <f>GD$30*(GC$32)</f>
        <v/>
      </c>
      <c r="GE31" s="18">
        <f>GE$30*(GD$32)</f>
        <v/>
      </c>
      <c r="GF31" s="18">
        <f>GF$30*(GE$32)</f>
        <v/>
      </c>
      <c r="GG31" s="18">
        <f>GG$30*(GF$32)</f>
        <v/>
      </c>
      <c r="GH31" s="18">
        <f>GH$30*(GG$32)</f>
        <v/>
      </c>
      <c r="GI31" s="18">
        <f>GI$30*(GH$32)</f>
        <v/>
      </c>
      <c r="GJ31" s="18">
        <f>GJ$30*(GI$32)</f>
        <v/>
      </c>
      <c r="GK31" s="18">
        <f>GK$30*(GJ$32)</f>
        <v/>
      </c>
      <c r="GL31" s="18">
        <f>GL$30*(GK$32)</f>
        <v/>
      </c>
      <c r="GM31" s="18">
        <f>GM$30*(GL$32)</f>
        <v/>
      </c>
      <c r="GN31" s="18">
        <f>GN$30*(GM$32)</f>
        <v/>
      </c>
      <c r="GO31" s="18">
        <f>GO$30*(GN$32)</f>
        <v/>
      </c>
      <c r="GP31" s="18">
        <f>GP$30*(GO$32)</f>
        <v/>
      </c>
      <c r="GQ31" s="18">
        <f>GQ$30*(GP$32)</f>
        <v/>
      </c>
      <c r="GR31" s="18">
        <f>GR$30*(GQ$32)</f>
        <v/>
      </c>
      <c r="GS31" s="18">
        <f>GS$30*(GR$32)</f>
        <v/>
      </c>
      <c r="GT31" s="18">
        <f>GT$30*(GS$32)</f>
        <v/>
      </c>
      <c r="GU31" s="18">
        <f>GU$30*(GT$32)</f>
        <v/>
      </c>
      <c r="GV31" s="18">
        <f>GV$30*(GU$32)</f>
        <v/>
      </c>
      <c r="GW31" s="18">
        <f>GW$30*(GV$32)</f>
        <v/>
      </c>
      <c r="GX31" s="18">
        <f>GX$30*(GW$32)</f>
        <v/>
      </c>
      <c r="GY31" s="18">
        <f>GY$30*(GX$32)</f>
        <v/>
      </c>
      <c r="GZ31" s="18">
        <f>GZ$30*(GY$32)</f>
        <v/>
      </c>
      <c r="HA31" s="18">
        <f>HA$30*(GZ$32)</f>
        <v/>
      </c>
      <c r="HB31" s="18">
        <f>HB$30*(HA$32)</f>
        <v/>
      </c>
      <c r="HC31" s="18">
        <f>HC$30*(HB$32)</f>
        <v/>
      </c>
      <c r="HD31" s="18">
        <f>HD$30*(HC$32)</f>
        <v/>
      </c>
      <c r="HE31" s="18">
        <f>HE$30*(HD$32)</f>
        <v/>
      </c>
      <c r="HF31" s="18">
        <f>HF$30*(HE$32)</f>
        <v/>
      </c>
      <c r="HG31" s="18">
        <f>HG$30*(HF$32)</f>
        <v/>
      </c>
      <c r="HH31" s="18">
        <f>HH$30*(HG$32)</f>
        <v/>
      </c>
      <c r="HI31" s="18">
        <f>HI$30*(HH$32)</f>
        <v/>
      </c>
      <c r="HJ31" s="18">
        <f>HJ$30*(HI$32)</f>
        <v/>
      </c>
      <c r="HK31" s="18">
        <f>HK$30*(HJ$32)</f>
        <v/>
      </c>
      <c r="HL31" s="18">
        <f>HL$30*(HK$32)</f>
        <v/>
      </c>
      <c r="HM31" s="18">
        <f>HM$30*(HL$32)</f>
        <v/>
      </c>
      <c r="HN31" s="18">
        <f>HN$30*(HM$32)</f>
        <v/>
      </c>
      <c r="HO31" s="18">
        <f>HO$30*(HN$32)</f>
        <v/>
      </c>
      <c r="HP31" s="18">
        <f>HP$30*(HO$32)</f>
        <v/>
      </c>
      <c r="HQ31" s="18">
        <f>HQ$30*(HP$32)</f>
        <v/>
      </c>
      <c r="HR31" s="18">
        <f>HR$30*(HQ$32)</f>
        <v/>
      </c>
      <c r="HS31" s="18">
        <f>HS$30*(HR$32)</f>
        <v/>
      </c>
      <c r="HT31" s="18">
        <f>HT$30*(HS$32)</f>
        <v/>
      </c>
      <c r="HU31" s="18">
        <f>HU$30*(HT$32)</f>
        <v/>
      </c>
      <c r="HV31" s="18">
        <f>HV$30*(HU$32)</f>
        <v/>
      </c>
      <c r="HW31" s="18">
        <f>HW$30*(HV$32)</f>
        <v/>
      </c>
      <c r="HX31" s="18">
        <f>HX$30*(HW$32)</f>
        <v/>
      </c>
      <c r="HY31" s="18">
        <f>HY$30*(HX$32)</f>
        <v/>
      </c>
      <c r="HZ31" s="18">
        <f>HZ$30*(HY$32)</f>
        <v/>
      </c>
      <c r="IA31" s="18">
        <f>IA$30*(HZ$32)</f>
        <v/>
      </c>
      <c r="IB31" s="18">
        <f>IB$30*(IA$32)</f>
        <v/>
      </c>
      <c r="IC31" s="18">
        <f>IC$30*(IB$32)</f>
        <v/>
      </c>
      <c r="ID31" s="18">
        <f>ID$30*(IC$32)</f>
        <v/>
      </c>
      <c r="IE31" s="18">
        <f>IE$30*(ID$32)</f>
        <v/>
      </c>
      <c r="IF31" s="18">
        <f>IF$30*(IE$32)</f>
        <v/>
      </c>
      <c r="IG31" s="18">
        <f>IG$30*(IF$32)</f>
        <v/>
      </c>
      <c r="IH31" s="18">
        <f>IH$30*(IG$32)</f>
        <v/>
      </c>
      <c r="II31" s="18">
        <f>II$30*(IH$32)</f>
        <v/>
      </c>
      <c r="IJ31" s="18">
        <f>IJ$30*(II$32)</f>
        <v/>
      </c>
      <c r="IK31" s="18">
        <f>IK$30*(IJ$32)</f>
        <v/>
      </c>
      <c r="IL31" s="18">
        <f>IL$30*(IK$32)</f>
        <v/>
      </c>
      <c r="IM31" s="18">
        <f>IM$30*(IL$32)</f>
        <v/>
      </c>
      <c r="IN31" s="18">
        <f>IN$30*(IM$32)</f>
        <v/>
      </c>
      <c r="IO31" s="18">
        <f>IO$30*(IN$32)</f>
        <v/>
      </c>
      <c r="IP31" s="18">
        <f>IP$30*(IO$32)</f>
        <v/>
      </c>
      <c r="IQ31" s="18">
        <f>IQ$30*(IP$32)</f>
        <v/>
      </c>
      <c r="IR31" s="18">
        <f>IR$30*(IQ$32)</f>
        <v/>
      </c>
      <c r="IS31" s="18">
        <f>IS$30*(IR$32)</f>
        <v/>
      </c>
      <c r="IT31" s="18">
        <f>IT$30*(IS$32)</f>
        <v/>
      </c>
      <c r="IU31" s="18">
        <f>IU$30*(IT$32)</f>
        <v/>
      </c>
      <c r="IV31" s="18">
        <f>IV$30*(IU$32)</f>
        <v/>
      </c>
      <c r="IW31" s="18">
        <f>IW$30*(IV$32)</f>
        <v/>
      </c>
      <c r="IX31" s="18">
        <f>IX$30*(IW$32)</f>
        <v/>
      </c>
      <c r="IY31" s="18">
        <f>IY$30*(IX$32)</f>
        <v/>
      </c>
      <c r="IZ31" s="18">
        <f>IZ$30*(IY$32)</f>
        <v/>
      </c>
      <c r="JA31" s="18">
        <f>JA$30*(IZ$32)</f>
        <v/>
      </c>
      <c r="JB31" s="18">
        <f>JB$30*(JA$32)</f>
        <v/>
      </c>
      <c r="JC31" s="18">
        <f>JC$30*(JB$32)</f>
        <v/>
      </c>
      <c r="JD31" s="18">
        <f>JD$30*(JC$32)</f>
        <v/>
      </c>
      <c r="JE31" s="18">
        <f>JE$30*(JD$32)</f>
        <v/>
      </c>
      <c r="JF31" s="18">
        <f>JF$30*(JE$32)</f>
        <v/>
      </c>
      <c r="JG31" s="18">
        <f>JG$30*(JF$32)</f>
        <v/>
      </c>
      <c r="JH31" s="18">
        <f>JH$30*(JG$32)</f>
        <v/>
      </c>
      <c r="JI31" s="18">
        <f>JI$30*(JH$32)</f>
        <v/>
      </c>
      <c r="JJ31" s="18">
        <f>JJ$30*(JI$32)</f>
        <v/>
      </c>
      <c r="JK31" s="18">
        <f>JK$30*(JJ$32)</f>
        <v/>
      </c>
      <c r="JL31" s="18">
        <f>JL$30*(JK$32)</f>
        <v/>
      </c>
      <c r="JM31" s="18">
        <f>JM$30*(JL$32)</f>
        <v/>
      </c>
      <c r="JN31" s="18">
        <f>JN$30*(JM$32)</f>
        <v/>
      </c>
      <c r="JO31" s="18">
        <f>JO$30*(JN$32)</f>
        <v/>
      </c>
      <c r="JP31" s="18">
        <f>JP$30*(JO$32)</f>
        <v/>
      </c>
      <c r="JQ31" s="18">
        <f>JQ$30*(JP$32)</f>
        <v/>
      </c>
      <c r="JR31" s="18">
        <f>JR$30*(JQ$32)</f>
        <v/>
      </c>
      <c r="JS31" s="18">
        <f>JS$30*(JR$32)</f>
        <v/>
      </c>
      <c r="JT31" s="18">
        <f>JT$30*(JS$32)</f>
        <v/>
      </c>
      <c r="JU31" s="18">
        <f>JU$30*(JT$32)</f>
        <v/>
      </c>
      <c r="JV31" s="18">
        <f>JV$30*(JU$32)</f>
        <v/>
      </c>
      <c r="JW31" s="18">
        <f>JW$30*(JV$32)</f>
        <v/>
      </c>
      <c r="JX31" s="18">
        <f>JX$30*(JW$32)</f>
        <v/>
      </c>
      <c r="JY31" s="18">
        <f>JY$30*(JX$32)</f>
        <v/>
      </c>
      <c r="JZ31" s="18">
        <f>JZ$30*(JY$32)</f>
        <v/>
      </c>
      <c r="KA31" s="18">
        <f>KA$30*(JZ$32)</f>
        <v/>
      </c>
      <c r="KB31" s="18">
        <f>KB$30*(KA$32)</f>
        <v/>
      </c>
      <c r="KC31" s="18">
        <f>KC$30*(KB$32)</f>
        <v/>
      </c>
      <c r="KD31" s="18">
        <f>KD$30*(KC$32)</f>
        <v/>
      </c>
      <c r="KE31" s="18">
        <f>KE$30*(KD$32)</f>
        <v/>
      </c>
      <c r="KF31" s="18">
        <f>KF$30*(KE$32)</f>
        <v/>
      </c>
      <c r="KG31" s="18">
        <f>KG$30*(KF$32)</f>
        <v/>
      </c>
      <c r="KH31" s="18">
        <f>KH$30*(KG$32)</f>
        <v/>
      </c>
      <c r="KI31" s="18">
        <f>KI$30*(KH$32)</f>
        <v/>
      </c>
      <c r="KJ31" s="18">
        <f>KJ$30*(KI$32)</f>
        <v/>
      </c>
      <c r="KK31" s="18">
        <f>KK$30*(KJ$32)</f>
        <v/>
      </c>
      <c r="KL31" s="18">
        <f>KL$30*(KK$32)</f>
        <v/>
      </c>
      <c r="KM31" s="18">
        <f>KM$30*(KL$32)</f>
        <v/>
      </c>
      <c r="KN31" s="18">
        <f>KN$30*(KM$32)</f>
        <v/>
      </c>
      <c r="KO31" s="18">
        <f>KO$30*(KN$32)</f>
        <v/>
      </c>
      <c r="KP31" s="18">
        <f>KP$30*(KO$32)</f>
        <v/>
      </c>
      <c r="KQ31" s="18">
        <f>KQ$30*(KP$32)</f>
        <v/>
      </c>
      <c r="KR31" s="18">
        <f>KR$30*(KQ$32)</f>
        <v/>
      </c>
      <c r="KS31" s="18">
        <f>KS$30*(KR$32)</f>
        <v/>
      </c>
      <c r="KT31" s="18">
        <f>KT$30*(KS$32)</f>
        <v/>
      </c>
      <c r="KU31" s="18">
        <f>KU$30*(KT$32)</f>
        <v/>
      </c>
      <c r="KV31" s="18">
        <f>KV$30*(KU$32)</f>
        <v/>
      </c>
      <c r="KW31" s="18">
        <f>KW$30*(KV$32)</f>
        <v/>
      </c>
      <c r="KX31" s="18">
        <f>KX$30*(KW$32)</f>
        <v/>
      </c>
      <c r="KY31" s="18">
        <f>KY$30*(KX$32)</f>
        <v/>
      </c>
      <c r="KZ31" s="18">
        <f>KZ$30*(KY$32)</f>
        <v/>
      </c>
      <c r="LA31" s="18">
        <f>LA$30*(KZ$32)</f>
        <v/>
      </c>
      <c r="LB31" s="18">
        <f>LB$30*(LA$32)</f>
        <v/>
      </c>
      <c r="LC31" s="18">
        <f>LC$30*(LB$32)</f>
        <v/>
      </c>
      <c r="LD31" s="18">
        <f>LD$30*(LC$32)</f>
        <v/>
      </c>
      <c r="LE31" s="18">
        <f>LE$30*(LD$32)</f>
        <v/>
      </c>
      <c r="LF31" s="18">
        <f>LF$30*(LE$32)</f>
        <v/>
      </c>
      <c r="LG31" s="18">
        <f>LG$30*(LF$32)</f>
        <v/>
      </c>
      <c r="LH31" s="18">
        <f>LH$30*(LG$32)</f>
        <v/>
      </c>
      <c r="LI31" s="18">
        <f>LI$30*(LH$32)</f>
        <v/>
      </c>
      <c r="LJ31" s="18">
        <f>LJ$30*(LI$32)</f>
        <v/>
      </c>
      <c r="LK31" s="18">
        <f>LK$30*(LJ$32)</f>
        <v/>
      </c>
      <c r="LL31" s="18">
        <f>LL$30*(LK$32)</f>
        <v/>
      </c>
      <c r="LM31" s="18">
        <f>LM$30*(LL$32)</f>
        <v/>
      </c>
      <c r="LN31" s="18">
        <f>LN$30*(LM$32)</f>
        <v/>
      </c>
      <c r="LO31" s="18">
        <f>LO$30*(LN$32)</f>
        <v/>
      </c>
      <c r="LP31" s="18">
        <f>LP$30*(LO$32)</f>
        <v/>
      </c>
      <c r="LQ31" s="18">
        <f>LQ$30*(LP$32)</f>
        <v/>
      </c>
      <c r="LR31" s="18">
        <f>LR$30*(LQ$32)</f>
        <v/>
      </c>
      <c r="LS31" s="18">
        <f>LS$30*(LR$32)</f>
        <v/>
      </c>
      <c r="LT31" s="18">
        <f>LT$30*(LS$32)</f>
        <v/>
      </c>
      <c r="LU31" s="18">
        <f>LU$30*(LT$32)</f>
        <v/>
      </c>
      <c r="LV31" s="18">
        <f>LV$30*(LU$32)</f>
        <v/>
      </c>
      <c r="LW31" s="18">
        <f>LW$30*(LV$32)</f>
        <v/>
      </c>
      <c r="LX31" s="18">
        <f>LX$30*(LW$32)</f>
        <v/>
      </c>
      <c r="LY31" s="18">
        <f>LY$30*(LX$32)</f>
        <v/>
      </c>
      <c r="LZ31" s="18">
        <f>LZ$30*(LY$32)</f>
        <v/>
      </c>
      <c r="MA31" s="18">
        <f>MA$30*(LZ$32)</f>
        <v/>
      </c>
      <c r="MB31" s="18">
        <f>MB$30*(MA$32)</f>
        <v/>
      </c>
      <c r="MC31" s="18">
        <f>MC$30*(MB$32)</f>
        <v/>
      </c>
      <c r="MD31" s="18">
        <f>MD$30*(MC$32)</f>
        <v/>
      </c>
      <c r="ME31" s="18">
        <f>ME$30*(MD$32)</f>
        <v/>
      </c>
      <c r="MF31" s="18">
        <f>MF$30*(ME$32)</f>
        <v/>
      </c>
      <c r="MG31" s="18">
        <f>MG$30*(MF$32)</f>
        <v/>
      </c>
      <c r="MH31" s="18">
        <f>MH$30*(MG$32)</f>
        <v/>
      </c>
      <c r="MI31" s="18">
        <f>MI$30*(MH$32)</f>
        <v/>
      </c>
      <c r="MJ31" s="18">
        <f>MJ$30*(MI$32)</f>
        <v/>
      </c>
      <c r="MK31" s="18">
        <f>MK$30*(MJ$32)</f>
        <v/>
      </c>
      <c r="ML31" s="18">
        <f>ML$30*(MK$32)</f>
        <v/>
      </c>
      <c r="MM31" s="18">
        <f>MM$30*(ML$32)</f>
        <v/>
      </c>
      <c r="MN31" s="18">
        <f>MN$30*(MM$32)</f>
        <v/>
      </c>
      <c r="MO31" s="18">
        <f>MO$30*(MN$32)</f>
        <v/>
      </c>
      <c r="MP31" s="18">
        <f>MP$30*(MO$32)</f>
        <v/>
      </c>
      <c r="MQ31" s="18">
        <f>MQ$30*(MP$32)</f>
        <v/>
      </c>
      <c r="MR31" s="18">
        <f>MR$30*(MQ$32)</f>
        <v/>
      </c>
      <c r="MS31" s="18">
        <f>MS$30*(MR$32)</f>
        <v/>
      </c>
      <c r="MT31" s="18">
        <f>MT$30*(MS$32)</f>
        <v/>
      </c>
      <c r="MU31" s="18">
        <f>MU$30*(MT$32)</f>
        <v/>
      </c>
      <c r="MV31" s="18">
        <f>MV$30*(MU$32)</f>
        <v/>
      </c>
      <c r="MW31" s="18">
        <f>MW$30*(MV$32)</f>
        <v/>
      </c>
      <c r="MX31" s="18">
        <f>MX$30*(MW$32)</f>
        <v/>
      </c>
      <c r="MY31" s="18">
        <f>MY$30*(MX$32)</f>
        <v/>
      </c>
      <c r="MZ31" s="18">
        <f>MZ$30*(MY$32)</f>
        <v/>
      </c>
      <c r="NA31" s="18">
        <f>NA$30*(MZ$32)</f>
        <v/>
      </c>
      <c r="NB31" s="18">
        <f>NB$30*(NA$32)</f>
        <v/>
      </c>
      <c r="NC31" s="18">
        <f>NC$30*(NB$32)</f>
        <v/>
      </c>
      <c r="ND31" s="18">
        <f>ND$30*(NC$32)</f>
        <v/>
      </c>
      <c r="NE31" s="18">
        <f>NE$30*(ND$32)</f>
        <v/>
      </c>
      <c r="NF31" s="18">
        <f>NF$30*(NE$32)</f>
        <v/>
      </c>
      <c r="NG31" s="18">
        <f>NG$30*(NF$32)</f>
        <v/>
      </c>
      <c r="NH31" s="18">
        <f>NH$30*(NG$32)</f>
        <v/>
      </c>
      <c r="NI31" s="18">
        <f>NI$30*(NH$32)</f>
        <v/>
      </c>
      <c r="NJ31" s="18">
        <f>NJ$30*(NI$32)</f>
        <v/>
      </c>
      <c r="NK31" s="18">
        <f>NK$30*(NJ$32)</f>
        <v/>
      </c>
    </row>
    <row r="32">
      <c r="A32" s="5" t="inlineStr">
        <is>
          <t>Construction Loan Balance</t>
        </is>
      </c>
      <c r="C32" s="43" t="n"/>
      <c r="D32" s="18">
        <f>IF(1&gt;ConPayoffMonth,0,0+D$29+D$31)</f>
        <v/>
      </c>
      <c r="E32" s="18">
        <f>IF(2&gt;ConPayoffMonth,0,D$32+E$29+E$31)</f>
        <v/>
      </c>
      <c r="F32" s="18">
        <f>IF(3&gt;ConPayoffMonth,0,E$32+F$29+F$31)</f>
        <v/>
      </c>
      <c r="G32" s="18">
        <f>IF(4&gt;ConPayoffMonth,0,F$32+G$29+G$31)</f>
        <v/>
      </c>
      <c r="H32" s="18">
        <f>IF(5&gt;ConPayoffMonth,0,G$32+H$29+H$31)</f>
        <v/>
      </c>
      <c r="I32" s="18">
        <f>IF(6&gt;ConPayoffMonth,0,H$32+I$29+I$31)</f>
        <v/>
      </c>
      <c r="J32" s="18">
        <f>IF(7&gt;ConPayoffMonth,0,I$32+J$29+J$31)</f>
        <v/>
      </c>
      <c r="K32" s="18">
        <f>IF(8&gt;ConPayoffMonth,0,J$32+K$29+K$31)</f>
        <v/>
      </c>
      <c r="L32" s="18">
        <f>IF(9&gt;ConPayoffMonth,0,K$32+L$29+L$31)</f>
        <v/>
      </c>
      <c r="M32" s="18">
        <f>IF(10&gt;ConPayoffMonth,0,L$32+M$29+M$31)</f>
        <v/>
      </c>
      <c r="N32" s="18">
        <f>IF(11&gt;ConPayoffMonth,0,M$32+N$29+N$31)</f>
        <v/>
      </c>
      <c r="O32" s="18">
        <f>IF(12&gt;ConPayoffMonth,0,N$32+O$29+O$31)</f>
        <v/>
      </c>
      <c r="P32" s="18">
        <f>IF(13&gt;ConPayoffMonth,0,O$32+P$29+P$31)</f>
        <v/>
      </c>
      <c r="Q32" s="18">
        <f>IF(14&gt;ConPayoffMonth,0,P$32+Q$29+Q$31)</f>
        <v/>
      </c>
      <c r="R32" s="18">
        <f>IF(15&gt;ConPayoffMonth,0,Q$32+R$29+R$31)</f>
        <v/>
      </c>
      <c r="S32" s="18">
        <f>IF(16&gt;ConPayoffMonth,0,R$32+S$29+S$31)</f>
        <v/>
      </c>
      <c r="T32" s="18">
        <f>IF(17&gt;ConPayoffMonth,0,S$32+T$29+T$31)</f>
        <v/>
      </c>
      <c r="U32" s="18">
        <f>IF(18&gt;ConPayoffMonth,0,T$32+U$29+U$31)</f>
        <v/>
      </c>
      <c r="V32" s="18">
        <f>IF(19&gt;ConPayoffMonth,0,U$32+V$29+V$31)</f>
        <v/>
      </c>
      <c r="W32" s="18">
        <f>IF(20&gt;ConPayoffMonth,0,V$32+W$29+W$31)</f>
        <v/>
      </c>
      <c r="X32" s="18">
        <f>IF(21&gt;ConPayoffMonth,0,W$32+X$29+X$31)</f>
        <v/>
      </c>
      <c r="Y32" s="18">
        <f>IF(22&gt;ConPayoffMonth,0,X$32+Y$29+Y$31)</f>
        <v/>
      </c>
      <c r="Z32" s="18">
        <f>IF(23&gt;ConPayoffMonth,0,Y$32+Z$29+Z$31)</f>
        <v/>
      </c>
      <c r="AA32" s="18">
        <f>IF(24&gt;ConPayoffMonth,0,Z$32+AA$29+AA$31)</f>
        <v/>
      </c>
      <c r="AB32" s="18">
        <f>IF(25&gt;ConPayoffMonth,0,AA$32+AB$29+AB$31)</f>
        <v/>
      </c>
      <c r="AC32" s="18">
        <f>IF(26&gt;ConPayoffMonth,0,AB$32+AC$29+AC$31)</f>
        <v/>
      </c>
      <c r="AD32" s="18">
        <f>IF(27&gt;ConPayoffMonth,0,AC$32+AD$29+AD$31)</f>
        <v/>
      </c>
      <c r="AE32" s="18">
        <f>IF(28&gt;ConPayoffMonth,0,AD$32+AE$29+AE$31)</f>
        <v/>
      </c>
      <c r="AF32" s="18">
        <f>IF(29&gt;ConPayoffMonth,0,AE$32+AF$29+AF$31)</f>
        <v/>
      </c>
      <c r="AG32" s="18">
        <f>IF(30&gt;ConPayoffMonth,0,AF$32+AG$29+AG$31)</f>
        <v/>
      </c>
      <c r="AH32" s="18">
        <f>IF(31&gt;ConPayoffMonth,0,AG$32+AH$29+AH$31)</f>
        <v/>
      </c>
      <c r="AI32" s="18">
        <f>IF(32&gt;ConPayoffMonth,0,AH$32+AI$29+AI$31)</f>
        <v/>
      </c>
      <c r="AJ32" s="18">
        <f>IF(33&gt;ConPayoffMonth,0,AI$32+AJ$29+AJ$31)</f>
        <v/>
      </c>
      <c r="AK32" s="18">
        <f>IF(34&gt;ConPayoffMonth,0,AJ$32+AK$29+AK$31)</f>
        <v/>
      </c>
      <c r="AL32" s="18">
        <f>IF(35&gt;ConPayoffMonth,0,AK$32+AL$29+AL$31)</f>
        <v/>
      </c>
      <c r="AM32" s="18">
        <f>IF(36&gt;ConPayoffMonth,0,AL$32+AM$29+AM$31)</f>
        <v/>
      </c>
      <c r="AN32" s="18">
        <f>IF(37&gt;ConPayoffMonth,0,AM$32+AN$29+AN$31)</f>
        <v/>
      </c>
      <c r="AO32" s="18">
        <f>IF(38&gt;ConPayoffMonth,0,AN$32+AO$29+AO$31)</f>
        <v/>
      </c>
      <c r="AP32" s="18">
        <f>IF(39&gt;ConPayoffMonth,0,AO$32+AP$29+AP$31)</f>
        <v/>
      </c>
      <c r="AQ32" s="18">
        <f>IF(40&gt;ConPayoffMonth,0,AP$32+AQ$29+AQ$31)</f>
        <v/>
      </c>
      <c r="AR32" s="18">
        <f>IF(41&gt;ConPayoffMonth,0,AQ$32+AR$29+AR$31)</f>
        <v/>
      </c>
      <c r="AS32" s="18">
        <f>IF(42&gt;ConPayoffMonth,0,AR$32+AS$29+AS$31)</f>
        <v/>
      </c>
      <c r="AT32" s="18">
        <f>IF(43&gt;ConPayoffMonth,0,AS$32+AT$29+AT$31)</f>
        <v/>
      </c>
      <c r="AU32" s="18">
        <f>IF(44&gt;ConPayoffMonth,0,AT$32+AU$29+AU$31)</f>
        <v/>
      </c>
      <c r="AV32" s="18">
        <f>IF(45&gt;ConPayoffMonth,0,AU$32+AV$29+AV$31)</f>
        <v/>
      </c>
      <c r="AW32" s="18">
        <f>IF(46&gt;ConPayoffMonth,0,AV$32+AW$29+AW$31)</f>
        <v/>
      </c>
      <c r="AX32" s="18">
        <f>IF(47&gt;ConPayoffMonth,0,AW$32+AX$29+AX$31)</f>
        <v/>
      </c>
      <c r="AY32" s="18">
        <f>IF(48&gt;ConPayoffMonth,0,AX$32+AY$29+AY$31)</f>
        <v/>
      </c>
      <c r="AZ32" s="18">
        <f>IF(49&gt;ConPayoffMonth,0,AY$32+AZ$29+AZ$31)</f>
        <v/>
      </c>
      <c r="BA32" s="18">
        <f>IF(50&gt;ConPayoffMonth,0,AZ$32+BA$29+BA$31)</f>
        <v/>
      </c>
      <c r="BB32" s="18">
        <f>IF(51&gt;ConPayoffMonth,0,BA$32+BB$29+BB$31)</f>
        <v/>
      </c>
      <c r="BC32" s="18">
        <f>IF(52&gt;ConPayoffMonth,0,BB$32+BC$29+BC$31)</f>
        <v/>
      </c>
      <c r="BD32" s="18">
        <f>IF(53&gt;ConPayoffMonth,0,BC$32+BD$29+BD$31)</f>
        <v/>
      </c>
      <c r="BE32" s="18">
        <f>IF(54&gt;ConPayoffMonth,0,BD$32+BE$29+BE$31)</f>
        <v/>
      </c>
      <c r="BF32" s="18">
        <f>IF(55&gt;ConPayoffMonth,0,BE$32+BF$29+BF$31)</f>
        <v/>
      </c>
      <c r="BG32" s="18">
        <f>IF(56&gt;ConPayoffMonth,0,BF$32+BG$29+BG$31)</f>
        <v/>
      </c>
      <c r="BH32" s="18">
        <f>IF(57&gt;ConPayoffMonth,0,BG$32+BH$29+BH$31)</f>
        <v/>
      </c>
      <c r="BI32" s="18">
        <f>IF(58&gt;ConPayoffMonth,0,BH$32+BI$29+BI$31)</f>
        <v/>
      </c>
      <c r="BJ32" s="18">
        <f>IF(59&gt;ConPayoffMonth,0,BI$32+BJ$29+BJ$31)</f>
        <v/>
      </c>
      <c r="BK32" s="18">
        <f>IF(60&gt;ConPayoffMonth,0,BJ$32+BK$29+BK$31)</f>
        <v/>
      </c>
      <c r="BL32" s="18">
        <f>IF(61&gt;ConPayoffMonth,0,BK$32+BL$29+BL$31)</f>
        <v/>
      </c>
      <c r="BM32" s="18">
        <f>IF(62&gt;ConPayoffMonth,0,BL$32+BM$29+BM$31)</f>
        <v/>
      </c>
      <c r="BN32" s="18">
        <f>IF(63&gt;ConPayoffMonth,0,BM$32+BN$29+BN$31)</f>
        <v/>
      </c>
      <c r="BO32" s="18">
        <f>IF(64&gt;ConPayoffMonth,0,BN$32+BO$29+BO$31)</f>
        <v/>
      </c>
      <c r="BP32" s="18">
        <f>IF(65&gt;ConPayoffMonth,0,BO$32+BP$29+BP$31)</f>
        <v/>
      </c>
      <c r="BQ32" s="18">
        <f>IF(66&gt;ConPayoffMonth,0,BP$32+BQ$29+BQ$31)</f>
        <v/>
      </c>
      <c r="BR32" s="18">
        <f>IF(67&gt;ConPayoffMonth,0,BQ$32+BR$29+BR$31)</f>
        <v/>
      </c>
      <c r="BS32" s="18">
        <f>IF(68&gt;ConPayoffMonth,0,BR$32+BS$29+BS$31)</f>
        <v/>
      </c>
      <c r="BT32" s="18">
        <f>IF(69&gt;ConPayoffMonth,0,BS$32+BT$29+BT$31)</f>
        <v/>
      </c>
      <c r="BU32" s="18">
        <f>IF(70&gt;ConPayoffMonth,0,BT$32+BU$29+BU$31)</f>
        <v/>
      </c>
      <c r="BV32" s="18">
        <f>IF(71&gt;ConPayoffMonth,0,BU$32+BV$29+BV$31)</f>
        <v/>
      </c>
      <c r="BW32" s="18">
        <f>IF(72&gt;ConPayoffMonth,0,BV$32+BW$29+BW$31)</f>
        <v/>
      </c>
      <c r="BX32" s="18">
        <f>IF(73&gt;ConPayoffMonth,0,BW$32+BX$29+BX$31)</f>
        <v/>
      </c>
      <c r="BY32" s="18">
        <f>IF(74&gt;ConPayoffMonth,0,BX$32+BY$29+BY$31)</f>
        <v/>
      </c>
      <c r="BZ32" s="18">
        <f>IF(75&gt;ConPayoffMonth,0,BY$32+BZ$29+BZ$31)</f>
        <v/>
      </c>
      <c r="CA32" s="18">
        <f>IF(76&gt;ConPayoffMonth,0,BZ$32+CA$29+CA$31)</f>
        <v/>
      </c>
      <c r="CB32" s="18">
        <f>IF(77&gt;ConPayoffMonth,0,CA$32+CB$29+CB$31)</f>
        <v/>
      </c>
      <c r="CC32" s="18">
        <f>IF(78&gt;ConPayoffMonth,0,CB$32+CC$29+CC$31)</f>
        <v/>
      </c>
      <c r="CD32" s="18">
        <f>IF(79&gt;ConPayoffMonth,0,CC$32+CD$29+CD$31)</f>
        <v/>
      </c>
      <c r="CE32" s="18">
        <f>IF(80&gt;ConPayoffMonth,0,CD$32+CE$29+CE$31)</f>
        <v/>
      </c>
      <c r="CF32" s="18">
        <f>IF(81&gt;ConPayoffMonth,0,CE$32+CF$29+CF$31)</f>
        <v/>
      </c>
      <c r="CG32" s="18">
        <f>IF(82&gt;ConPayoffMonth,0,CF$32+CG$29+CG$31)</f>
        <v/>
      </c>
      <c r="CH32" s="18">
        <f>IF(83&gt;ConPayoffMonth,0,CG$32+CH$29+CH$31)</f>
        <v/>
      </c>
      <c r="CI32" s="18">
        <f>IF(84&gt;ConPayoffMonth,0,CH$32+CI$29+CI$31)</f>
        <v/>
      </c>
      <c r="CJ32" s="18">
        <f>IF(85&gt;ConPayoffMonth,0,CI$32+CJ$29+CJ$31)</f>
        <v/>
      </c>
      <c r="CK32" s="18">
        <f>IF(86&gt;ConPayoffMonth,0,CJ$32+CK$29+CK$31)</f>
        <v/>
      </c>
      <c r="CL32" s="18">
        <f>IF(87&gt;ConPayoffMonth,0,CK$32+CL$29+CL$31)</f>
        <v/>
      </c>
      <c r="CM32" s="18">
        <f>IF(88&gt;ConPayoffMonth,0,CL$32+CM$29+CM$31)</f>
        <v/>
      </c>
      <c r="CN32" s="18">
        <f>IF(89&gt;ConPayoffMonth,0,CM$32+CN$29+CN$31)</f>
        <v/>
      </c>
      <c r="CO32" s="18">
        <f>IF(90&gt;ConPayoffMonth,0,CN$32+CO$29+CO$31)</f>
        <v/>
      </c>
      <c r="CP32" s="18">
        <f>IF(91&gt;ConPayoffMonth,0,CO$32+CP$29+CP$31)</f>
        <v/>
      </c>
      <c r="CQ32" s="18">
        <f>IF(92&gt;ConPayoffMonth,0,CP$32+CQ$29+CQ$31)</f>
        <v/>
      </c>
      <c r="CR32" s="18">
        <f>IF(93&gt;ConPayoffMonth,0,CQ$32+CR$29+CR$31)</f>
        <v/>
      </c>
      <c r="CS32" s="18">
        <f>IF(94&gt;ConPayoffMonth,0,CR$32+CS$29+CS$31)</f>
        <v/>
      </c>
      <c r="CT32" s="18">
        <f>IF(95&gt;ConPayoffMonth,0,CS$32+CT$29+CT$31)</f>
        <v/>
      </c>
      <c r="CU32" s="18">
        <f>IF(96&gt;ConPayoffMonth,0,CT$32+CU$29+CU$31)</f>
        <v/>
      </c>
      <c r="CV32" s="18">
        <f>IF(97&gt;ConPayoffMonth,0,CU$32+CV$29+CV$31)</f>
        <v/>
      </c>
      <c r="CW32" s="18">
        <f>IF(98&gt;ConPayoffMonth,0,CV$32+CW$29+CW$31)</f>
        <v/>
      </c>
      <c r="CX32" s="18">
        <f>IF(99&gt;ConPayoffMonth,0,CW$32+CX$29+CX$31)</f>
        <v/>
      </c>
      <c r="CY32" s="18">
        <f>IF(100&gt;ConPayoffMonth,0,CX$32+CY$29+CY$31)</f>
        <v/>
      </c>
      <c r="CZ32" s="18">
        <f>IF(101&gt;ConPayoffMonth,0,CY$32+CZ$29+CZ$31)</f>
        <v/>
      </c>
      <c r="DA32" s="18">
        <f>IF(102&gt;ConPayoffMonth,0,CZ$32+DA$29+DA$31)</f>
        <v/>
      </c>
      <c r="DB32" s="18">
        <f>IF(103&gt;ConPayoffMonth,0,DA$32+DB$29+DB$31)</f>
        <v/>
      </c>
      <c r="DC32" s="18">
        <f>IF(104&gt;ConPayoffMonth,0,DB$32+DC$29+DC$31)</f>
        <v/>
      </c>
      <c r="DD32" s="18">
        <f>IF(105&gt;ConPayoffMonth,0,DC$32+DD$29+DD$31)</f>
        <v/>
      </c>
      <c r="DE32" s="18">
        <f>IF(106&gt;ConPayoffMonth,0,DD$32+DE$29+DE$31)</f>
        <v/>
      </c>
      <c r="DF32" s="18">
        <f>IF(107&gt;ConPayoffMonth,0,DE$32+DF$29+DF$31)</f>
        <v/>
      </c>
      <c r="DG32" s="18">
        <f>IF(108&gt;ConPayoffMonth,0,DF$32+DG$29+DG$31)</f>
        <v/>
      </c>
      <c r="DH32" s="18">
        <f>IF(109&gt;ConPayoffMonth,0,DG$32+DH$29+DH$31)</f>
        <v/>
      </c>
      <c r="DI32" s="18">
        <f>IF(110&gt;ConPayoffMonth,0,DH$32+DI$29+DI$31)</f>
        <v/>
      </c>
      <c r="DJ32" s="18">
        <f>IF(111&gt;ConPayoffMonth,0,DI$32+DJ$29+DJ$31)</f>
        <v/>
      </c>
      <c r="DK32" s="18">
        <f>IF(112&gt;ConPayoffMonth,0,DJ$32+DK$29+DK$31)</f>
        <v/>
      </c>
      <c r="DL32" s="18">
        <f>IF(113&gt;ConPayoffMonth,0,DK$32+DL$29+DL$31)</f>
        <v/>
      </c>
      <c r="DM32" s="18">
        <f>IF(114&gt;ConPayoffMonth,0,DL$32+DM$29+DM$31)</f>
        <v/>
      </c>
      <c r="DN32" s="18">
        <f>IF(115&gt;ConPayoffMonth,0,DM$32+DN$29+DN$31)</f>
        <v/>
      </c>
      <c r="DO32" s="18">
        <f>IF(116&gt;ConPayoffMonth,0,DN$32+DO$29+DO$31)</f>
        <v/>
      </c>
      <c r="DP32" s="18">
        <f>IF(117&gt;ConPayoffMonth,0,DO$32+DP$29+DP$31)</f>
        <v/>
      </c>
      <c r="DQ32" s="18">
        <f>IF(118&gt;ConPayoffMonth,0,DP$32+DQ$29+DQ$31)</f>
        <v/>
      </c>
      <c r="DR32" s="18">
        <f>IF(119&gt;ConPayoffMonth,0,DQ$32+DR$29+DR$31)</f>
        <v/>
      </c>
      <c r="DS32" s="18">
        <f>IF(120&gt;ConPayoffMonth,0,DR$32+DS$29+DS$31)</f>
        <v/>
      </c>
      <c r="DT32" s="18">
        <f>IF(121&gt;ConPayoffMonth,0,DS$32+DT$29+DT$31)</f>
        <v/>
      </c>
      <c r="DU32" s="18">
        <f>IF(122&gt;ConPayoffMonth,0,DT$32+DU$29+DU$31)</f>
        <v/>
      </c>
      <c r="DV32" s="18">
        <f>IF(123&gt;ConPayoffMonth,0,DU$32+DV$29+DV$31)</f>
        <v/>
      </c>
      <c r="DW32" s="18">
        <f>IF(124&gt;ConPayoffMonth,0,DV$32+DW$29+DW$31)</f>
        <v/>
      </c>
      <c r="DX32" s="18">
        <f>IF(125&gt;ConPayoffMonth,0,DW$32+DX$29+DX$31)</f>
        <v/>
      </c>
      <c r="DY32" s="18">
        <f>IF(126&gt;ConPayoffMonth,0,DX$32+DY$29+DY$31)</f>
        <v/>
      </c>
      <c r="DZ32" s="18">
        <f>IF(127&gt;ConPayoffMonth,0,DY$32+DZ$29+DZ$31)</f>
        <v/>
      </c>
      <c r="EA32" s="18">
        <f>IF(128&gt;ConPayoffMonth,0,DZ$32+EA$29+EA$31)</f>
        <v/>
      </c>
      <c r="EB32" s="18">
        <f>IF(129&gt;ConPayoffMonth,0,EA$32+EB$29+EB$31)</f>
        <v/>
      </c>
      <c r="EC32" s="18">
        <f>IF(130&gt;ConPayoffMonth,0,EB$32+EC$29+EC$31)</f>
        <v/>
      </c>
      <c r="ED32" s="18">
        <f>IF(131&gt;ConPayoffMonth,0,EC$32+ED$29+ED$31)</f>
        <v/>
      </c>
      <c r="EE32" s="18">
        <f>IF(132&gt;ConPayoffMonth,0,ED$32+EE$29+EE$31)</f>
        <v/>
      </c>
      <c r="EF32" s="18">
        <f>IF(133&gt;ConPayoffMonth,0,EE$32+EF$29+EF$31)</f>
        <v/>
      </c>
      <c r="EG32" s="18">
        <f>IF(134&gt;ConPayoffMonth,0,EF$32+EG$29+EG$31)</f>
        <v/>
      </c>
      <c r="EH32" s="18">
        <f>IF(135&gt;ConPayoffMonth,0,EG$32+EH$29+EH$31)</f>
        <v/>
      </c>
      <c r="EI32" s="18">
        <f>IF(136&gt;ConPayoffMonth,0,EH$32+EI$29+EI$31)</f>
        <v/>
      </c>
      <c r="EJ32" s="18">
        <f>IF(137&gt;ConPayoffMonth,0,EI$32+EJ$29+EJ$31)</f>
        <v/>
      </c>
      <c r="EK32" s="18">
        <f>IF(138&gt;ConPayoffMonth,0,EJ$32+EK$29+EK$31)</f>
        <v/>
      </c>
      <c r="EL32" s="18">
        <f>IF(139&gt;ConPayoffMonth,0,EK$32+EL$29+EL$31)</f>
        <v/>
      </c>
      <c r="EM32" s="18">
        <f>IF(140&gt;ConPayoffMonth,0,EL$32+EM$29+EM$31)</f>
        <v/>
      </c>
      <c r="EN32" s="18">
        <f>IF(141&gt;ConPayoffMonth,0,EM$32+EN$29+EN$31)</f>
        <v/>
      </c>
      <c r="EO32" s="18">
        <f>IF(142&gt;ConPayoffMonth,0,EN$32+EO$29+EO$31)</f>
        <v/>
      </c>
      <c r="EP32" s="18">
        <f>IF(143&gt;ConPayoffMonth,0,EO$32+EP$29+EP$31)</f>
        <v/>
      </c>
      <c r="EQ32" s="18">
        <f>IF(144&gt;ConPayoffMonth,0,EP$32+EQ$29+EQ$31)</f>
        <v/>
      </c>
      <c r="ER32" s="18">
        <f>IF(145&gt;ConPayoffMonth,0,EQ$32+ER$29+ER$31)</f>
        <v/>
      </c>
      <c r="ES32" s="18">
        <f>IF(146&gt;ConPayoffMonth,0,ER$32+ES$29+ES$31)</f>
        <v/>
      </c>
      <c r="ET32" s="18">
        <f>IF(147&gt;ConPayoffMonth,0,ES$32+ET$29+ET$31)</f>
        <v/>
      </c>
      <c r="EU32" s="18">
        <f>IF(148&gt;ConPayoffMonth,0,ET$32+EU$29+EU$31)</f>
        <v/>
      </c>
      <c r="EV32" s="18">
        <f>IF(149&gt;ConPayoffMonth,0,EU$32+EV$29+EV$31)</f>
        <v/>
      </c>
      <c r="EW32" s="18">
        <f>IF(150&gt;ConPayoffMonth,0,EV$32+EW$29+EW$31)</f>
        <v/>
      </c>
      <c r="EX32" s="18">
        <f>IF(151&gt;ConPayoffMonth,0,EW$32+EX$29+EX$31)</f>
        <v/>
      </c>
      <c r="EY32" s="18">
        <f>IF(152&gt;ConPayoffMonth,0,EX$32+EY$29+EY$31)</f>
        <v/>
      </c>
      <c r="EZ32" s="18">
        <f>IF(153&gt;ConPayoffMonth,0,EY$32+EZ$29+EZ$31)</f>
        <v/>
      </c>
      <c r="FA32" s="18">
        <f>IF(154&gt;ConPayoffMonth,0,EZ$32+FA$29+FA$31)</f>
        <v/>
      </c>
      <c r="FB32" s="18">
        <f>IF(155&gt;ConPayoffMonth,0,FA$32+FB$29+FB$31)</f>
        <v/>
      </c>
      <c r="FC32" s="18">
        <f>IF(156&gt;ConPayoffMonth,0,FB$32+FC$29+FC$31)</f>
        <v/>
      </c>
      <c r="FD32" s="18">
        <f>IF(157&gt;ConPayoffMonth,0,FC$32+FD$29+FD$31)</f>
        <v/>
      </c>
      <c r="FE32" s="18">
        <f>IF(158&gt;ConPayoffMonth,0,FD$32+FE$29+FE$31)</f>
        <v/>
      </c>
      <c r="FF32" s="18">
        <f>IF(159&gt;ConPayoffMonth,0,FE$32+FF$29+FF$31)</f>
        <v/>
      </c>
      <c r="FG32" s="18">
        <f>IF(160&gt;ConPayoffMonth,0,FF$32+FG$29+FG$31)</f>
        <v/>
      </c>
      <c r="FH32" s="18">
        <f>IF(161&gt;ConPayoffMonth,0,FG$32+FH$29+FH$31)</f>
        <v/>
      </c>
      <c r="FI32" s="18">
        <f>IF(162&gt;ConPayoffMonth,0,FH$32+FI$29+FI$31)</f>
        <v/>
      </c>
      <c r="FJ32" s="18">
        <f>IF(163&gt;ConPayoffMonth,0,FI$32+FJ$29+FJ$31)</f>
        <v/>
      </c>
      <c r="FK32" s="18">
        <f>IF(164&gt;ConPayoffMonth,0,FJ$32+FK$29+FK$31)</f>
        <v/>
      </c>
      <c r="FL32" s="18">
        <f>IF(165&gt;ConPayoffMonth,0,FK$32+FL$29+FL$31)</f>
        <v/>
      </c>
      <c r="FM32" s="18">
        <f>IF(166&gt;ConPayoffMonth,0,FL$32+FM$29+FM$31)</f>
        <v/>
      </c>
      <c r="FN32" s="18">
        <f>IF(167&gt;ConPayoffMonth,0,FM$32+FN$29+FN$31)</f>
        <v/>
      </c>
      <c r="FO32" s="18">
        <f>IF(168&gt;ConPayoffMonth,0,FN$32+FO$29+FO$31)</f>
        <v/>
      </c>
      <c r="FP32" s="18">
        <f>IF(169&gt;ConPayoffMonth,0,FO$32+FP$29+FP$31)</f>
        <v/>
      </c>
      <c r="FQ32" s="18">
        <f>IF(170&gt;ConPayoffMonth,0,FP$32+FQ$29+FQ$31)</f>
        <v/>
      </c>
      <c r="FR32" s="18">
        <f>IF(171&gt;ConPayoffMonth,0,FQ$32+FR$29+FR$31)</f>
        <v/>
      </c>
      <c r="FS32" s="18">
        <f>IF(172&gt;ConPayoffMonth,0,FR$32+FS$29+FS$31)</f>
        <v/>
      </c>
      <c r="FT32" s="18">
        <f>IF(173&gt;ConPayoffMonth,0,FS$32+FT$29+FT$31)</f>
        <v/>
      </c>
      <c r="FU32" s="18">
        <f>IF(174&gt;ConPayoffMonth,0,FT$32+FU$29+FU$31)</f>
        <v/>
      </c>
      <c r="FV32" s="18">
        <f>IF(175&gt;ConPayoffMonth,0,FU$32+FV$29+FV$31)</f>
        <v/>
      </c>
      <c r="FW32" s="18">
        <f>IF(176&gt;ConPayoffMonth,0,FV$32+FW$29+FW$31)</f>
        <v/>
      </c>
      <c r="FX32" s="18">
        <f>IF(177&gt;ConPayoffMonth,0,FW$32+FX$29+FX$31)</f>
        <v/>
      </c>
      <c r="FY32" s="18">
        <f>IF(178&gt;ConPayoffMonth,0,FX$32+FY$29+FY$31)</f>
        <v/>
      </c>
      <c r="FZ32" s="18">
        <f>IF(179&gt;ConPayoffMonth,0,FY$32+FZ$29+FZ$31)</f>
        <v/>
      </c>
      <c r="GA32" s="18">
        <f>IF(180&gt;ConPayoffMonth,0,FZ$32+GA$29+GA$31)</f>
        <v/>
      </c>
      <c r="GB32" s="18">
        <f>IF(181&gt;ConPayoffMonth,0,GA$32+GB$29+GB$31)</f>
        <v/>
      </c>
      <c r="GC32" s="18">
        <f>IF(182&gt;ConPayoffMonth,0,GB$32+GC$29+GC$31)</f>
        <v/>
      </c>
      <c r="GD32" s="18">
        <f>IF(183&gt;ConPayoffMonth,0,GC$32+GD$29+GD$31)</f>
        <v/>
      </c>
      <c r="GE32" s="18">
        <f>IF(184&gt;ConPayoffMonth,0,GD$32+GE$29+GE$31)</f>
        <v/>
      </c>
      <c r="GF32" s="18">
        <f>IF(185&gt;ConPayoffMonth,0,GE$32+GF$29+GF$31)</f>
        <v/>
      </c>
      <c r="GG32" s="18">
        <f>IF(186&gt;ConPayoffMonth,0,GF$32+GG$29+GG$31)</f>
        <v/>
      </c>
      <c r="GH32" s="18">
        <f>IF(187&gt;ConPayoffMonth,0,GG$32+GH$29+GH$31)</f>
        <v/>
      </c>
      <c r="GI32" s="18">
        <f>IF(188&gt;ConPayoffMonth,0,GH$32+GI$29+GI$31)</f>
        <v/>
      </c>
      <c r="GJ32" s="18">
        <f>IF(189&gt;ConPayoffMonth,0,GI$32+GJ$29+GJ$31)</f>
        <v/>
      </c>
      <c r="GK32" s="18">
        <f>IF(190&gt;ConPayoffMonth,0,GJ$32+GK$29+GK$31)</f>
        <v/>
      </c>
      <c r="GL32" s="18">
        <f>IF(191&gt;ConPayoffMonth,0,GK$32+GL$29+GL$31)</f>
        <v/>
      </c>
      <c r="GM32" s="18">
        <f>IF(192&gt;ConPayoffMonth,0,GL$32+GM$29+GM$31)</f>
        <v/>
      </c>
      <c r="GN32" s="18">
        <f>IF(193&gt;ConPayoffMonth,0,GM$32+GN$29+GN$31)</f>
        <v/>
      </c>
      <c r="GO32" s="18">
        <f>IF(194&gt;ConPayoffMonth,0,GN$32+GO$29+GO$31)</f>
        <v/>
      </c>
      <c r="GP32" s="18">
        <f>IF(195&gt;ConPayoffMonth,0,GO$32+GP$29+GP$31)</f>
        <v/>
      </c>
      <c r="GQ32" s="18">
        <f>IF(196&gt;ConPayoffMonth,0,GP$32+GQ$29+GQ$31)</f>
        <v/>
      </c>
      <c r="GR32" s="18">
        <f>IF(197&gt;ConPayoffMonth,0,GQ$32+GR$29+GR$31)</f>
        <v/>
      </c>
      <c r="GS32" s="18">
        <f>IF(198&gt;ConPayoffMonth,0,GR$32+GS$29+GS$31)</f>
        <v/>
      </c>
      <c r="GT32" s="18">
        <f>IF(199&gt;ConPayoffMonth,0,GS$32+GT$29+GT$31)</f>
        <v/>
      </c>
      <c r="GU32" s="18">
        <f>IF(200&gt;ConPayoffMonth,0,GT$32+GU$29+GU$31)</f>
        <v/>
      </c>
      <c r="GV32" s="18">
        <f>IF(201&gt;ConPayoffMonth,0,GU$32+GV$29+GV$31)</f>
        <v/>
      </c>
      <c r="GW32" s="18">
        <f>IF(202&gt;ConPayoffMonth,0,GV$32+GW$29+GW$31)</f>
        <v/>
      </c>
      <c r="GX32" s="18">
        <f>IF(203&gt;ConPayoffMonth,0,GW$32+GX$29+GX$31)</f>
        <v/>
      </c>
      <c r="GY32" s="18">
        <f>IF(204&gt;ConPayoffMonth,0,GX$32+GY$29+GY$31)</f>
        <v/>
      </c>
      <c r="GZ32" s="18">
        <f>IF(205&gt;ConPayoffMonth,0,GY$32+GZ$29+GZ$31)</f>
        <v/>
      </c>
      <c r="HA32" s="18">
        <f>IF(206&gt;ConPayoffMonth,0,GZ$32+HA$29+HA$31)</f>
        <v/>
      </c>
      <c r="HB32" s="18">
        <f>IF(207&gt;ConPayoffMonth,0,HA$32+HB$29+HB$31)</f>
        <v/>
      </c>
      <c r="HC32" s="18">
        <f>IF(208&gt;ConPayoffMonth,0,HB$32+HC$29+HC$31)</f>
        <v/>
      </c>
      <c r="HD32" s="18">
        <f>IF(209&gt;ConPayoffMonth,0,HC$32+HD$29+HD$31)</f>
        <v/>
      </c>
      <c r="HE32" s="18">
        <f>IF(210&gt;ConPayoffMonth,0,HD$32+HE$29+HE$31)</f>
        <v/>
      </c>
      <c r="HF32" s="18">
        <f>IF(211&gt;ConPayoffMonth,0,HE$32+HF$29+HF$31)</f>
        <v/>
      </c>
      <c r="HG32" s="18">
        <f>IF(212&gt;ConPayoffMonth,0,HF$32+HG$29+HG$31)</f>
        <v/>
      </c>
      <c r="HH32" s="18">
        <f>IF(213&gt;ConPayoffMonth,0,HG$32+HH$29+HH$31)</f>
        <v/>
      </c>
      <c r="HI32" s="18">
        <f>IF(214&gt;ConPayoffMonth,0,HH$32+HI$29+HI$31)</f>
        <v/>
      </c>
      <c r="HJ32" s="18">
        <f>IF(215&gt;ConPayoffMonth,0,HI$32+HJ$29+HJ$31)</f>
        <v/>
      </c>
      <c r="HK32" s="18">
        <f>IF(216&gt;ConPayoffMonth,0,HJ$32+HK$29+HK$31)</f>
        <v/>
      </c>
      <c r="HL32" s="18">
        <f>IF(217&gt;ConPayoffMonth,0,HK$32+HL$29+HL$31)</f>
        <v/>
      </c>
      <c r="HM32" s="18">
        <f>IF(218&gt;ConPayoffMonth,0,HL$32+HM$29+HM$31)</f>
        <v/>
      </c>
      <c r="HN32" s="18">
        <f>IF(219&gt;ConPayoffMonth,0,HM$32+HN$29+HN$31)</f>
        <v/>
      </c>
      <c r="HO32" s="18">
        <f>IF(220&gt;ConPayoffMonth,0,HN$32+HO$29+HO$31)</f>
        <v/>
      </c>
      <c r="HP32" s="18">
        <f>IF(221&gt;ConPayoffMonth,0,HO$32+HP$29+HP$31)</f>
        <v/>
      </c>
      <c r="HQ32" s="18">
        <f>IF(222&gt;ConPayoffMonth,0,HP$32+HQ$29+HQ$31)</f>
        <v/>
      </c>
      <c r="HR32" s="18">
        <f>IF(223&gt;ConPayoffMonth,0,HQ$32+HR$29+HR$31)</f>
        <v/>
      </c>
      <c r="HS32" s="18">
        <f>IF(224&gt;ConPayoffMonth,0,HR$32+HS$29+HS$31)</f>
        <v/>
      </c>
      <c r="HT32" s="18">
        <f>IF(225&gt;ConPayoffMonth,0,HS$32+HT$29+HT$31)</f>
        <v/>
      </c>
      <c r="HU32" s="18">
        <f>IF(226&gt;ConPayoffMonth,0,HT$32+HU$29+HU$31)</f>
        <v/>
      </c>
      <c r="HV32" s="18">
        <f>IF(227&gt;ConPayoffMonth,0,HU$32+HV$29+HV$31)</f>
        <v/>
      </c>
      <c r="HW32" s="18">
        <f>IF(228&gt;ConPayoffMonth,0,HV$32+HW$29+HW$31)</f>
        <v/>
      </c>
      <c r="HX32" s="18">
        <f>IF(229&gt;ConPayoffMonth,0,HW$32+HX$29+HX$31)</f>
        <v/>
      </c>
      <c r="HY32" s="18">
        <f>IF(230&gt;ConPayoffMonth,0,HX$32+HY$29+HY$31)</f>
        <v/>
      </c>
      <c r="HZ32" s="18">
        <f>IF(231&gt;ConPayoffMonth,0,HY$32+HZ$29+HZ$31)</f>
        <v/>
      </c>
      <c r="IA32" s="18">
        <f>IF(232&gt;ConPayoffMonth,0,HZ$32+IA$29+IA$31)</f>
        <v/>
      </c>
      <c r="IB32" s="18">
        <f>IF(233&gt;ConPayoffMonth,0,IA$32+IB$29+IB$31)</f>
        <v/>
      </c>
      <c r="IC32" s="18">
        <f>IF(234&gt;ConPayoffMonth,0,IB$32+IC$29+IC$31)</f>
        <v/>
      </c>
      <c r="ID32" s="18">
        <f>IF(235&gt;ConPayoffMonth,0,IC$32+ID$29+ID$31)</f>
        <v/>
      </c>
      <c r="IE32" s="18">
        <f>IF(236&gt;ConPayoffMonth,0,ID$32+IE$29+IE$31)</f>
        <v/>
      </c>
      <c r="IF32" s="18">
        <f>IF(237&gt;ConPayoffMonth,0,IE$32+IF$29+IF$31)</f>
        <v/>
      </c>
      <c r="IG32" s="18">
        <f>IF(238&gt;ConPayoffMonth,0,IF$32+IG$29+IG$31)</f>
        <v/>
      </c>
      <c r="IH32" s="18">
        <f>IF(239&gt;ConPayoffMonth,0,IG$32+IH$29+IH$31)</f>
        <v/>
      </c>
      <c r="II32" s="18">
        <f>IF(240&gt;ConPayoffMonth,0,IH$32+II$29+II$31)</f>
        <v/>
      </c>
      <c r="IJ32" s="18">
        <f>IF(241&gt;ConPayoffMonth,0,II$32+IJ$29+IJ$31)</f>
        <v/>
      </c>
      <c r="IK32" s="18">
        <f>IF(242&gt;ConPayoffMonth,0,IJ$32+IK$29+IK$31)</f>
        <v/>
      </c>
      <c r="IL32" s="18">
        <f>IF(243&gt;ConPayoffMonth,0,IK$32+IL$29+IL$31)</f>
        <v/>
      </c>
      <c r="IM32" s="18">
        <f>IF(244&gt;ConPayoffMonth,0,IL$32+IM$29+IM$31)</f>
        <v/>
      </c>
      <c r="IN32" s="18">
        <f>IF(245&gt;ConPayoffMonth,0,IM$32+IN$29+IN$31)</f>
        <v/>
      </c>
      <c r="IO32" s="18">
        <f>IF(246&gt;ConPayoffMonth,0,IN$32+IO$29+IO$31)</f>
        <v/>
      </c>
      <c r="IP32" s="18">
        <f>IF(247&gt;ConPayoffMonth,0,IO$32+IP$29+IP$31)</f>
        <v/>
      </c>
      <c r="IQ32" s="18">
        <f>IF(248&gt;ConPayoffMonth,0,IP$32+IQ$29+IQ$31)</f>
        <v/>
      </c>
      <c r="IR32" s="18">
        <f>IF(249&gt;ConPayoffMonth,0,IQ$32+IR$29+IR$31)</f>
        <v/>
      </c>
      <c r="IS32" s="18">
        <f>IF(250&gt;ConPayoffMonth,0,IR$32+IS$29+IS$31)</f>
        <v/>
      </c>
      <c r="IT32" s="18">
        <f>IF(251&gt;ConPayoffMonth,0,IS$32+IT$29+IT$31)</f>
        <v/>
      </c>
      <c r="IU32" s="18">
        <f>IF(252&gt;ConPayoffMonth,0,IT$32+IU$29+IU$31)</f>
        <v/>
      </c>
      <c r="IV32" s="18">
        <f>IF(253&gt;ConPayoffMonth,0,IU$32+IV$29+IV$31)</f>
        <v/>
      </c>
      <c r="IW32" s="18">
        <f>IF(254&gt;ConPayoffMonth,0,IV$32+IW$29+IW$31)</f>
        <v/>
      </c>
      <c r="IX32" s="18">
        <f>IF(255&gt;ConPayoffMonth,0,IW$32+IX$29+IX$31)</f>
        <v/>
      </c>
      <c r="IY32" s="18">
        <f>IF(256&gt;ConPayoffMonth,0,IX$32+IY$29+IY$31)</f>
        <v/>
      </c>
      <c r="IZ32" s="18">
        <f>IF(257&gt;ConPayoffMonth,0,IY$32+IZ$29+IZ$31)</f>
        <v/>
      </c>
      <c r="JA32" s="18">
        <f>IF(258&gt;ConPayoffMonth,0,IZ$32+JA$29+JA$31)</f>
        <v/>
      </c>
      <c r="JB32" s="18">
        <f>IF(259&gt;ConPayoffMonth,0,JA$32+JB$29+JB$31)</f>
        <v/>
      </c>
      <c r="JC32" s="18">
        <f>IF(260&gt;ConPayoffMonth,0,JB$32+JC$29+JC$31)</f>
        <v/>
      </c>
      <c r="JD32" s="18">
        <f>IF(261&gt;ConPayoffMonth,0,JC$32+JD$29+JD$31)</f>
        <v/>
      </c>
      <c r="JE32" s="18">
        <f>IF(262&gt;ConPayoffMonth,0,JD$32+JE$29+JE$31)</f>
        <v/>
      </c>
      <c r="JF32" s="18">
        <f>IF(263&gt;ConPayoffMonth,0,JE$32+JF$29+JF$31)</f>
        <v/>
      </c>
      <c r="JG32" s="18">
        <f>IF(264&gt;ConPayoffMonth,0,JF$32+JG$29+JG$31)</f>
        <v/>
      </c>
      <c r="JH32" s="18">
        <f>IF(265&gt;ConPayoffMonth,0,JG$32+JH$29+JH$31)</f>
        <v/>
      </c>
      <c r="JI32" s="18">
        <f>IF(266&gt;ConPayoffMonth,0,JH$32+JI$29+JI$31)</f>
        <v/>
      </c>
      <c r="JJ32" s="18">
        <f>IF(267&gt;ConPayoffMonth,0,JI$32+JJ$29+JJ$31)</f>
        <v/>
      </c>
      <c r="JK32" s="18">
        <f>IF(268&gt;ConPayoffMonth,0,JJ$32+JK$29+JK$31)</f>
        <v/>
      </c>
      <c r="JL32" s="18">
        <f>IF(269&gt;ConPayoffMonth,0,JK$32+JL$29+JL$31)</f>
        <v/>
      </c>
      <c r="JM32" s="18">
        <f>IF(270&gt;ConPayoffMonth,0,JL$32+JM$29+JM$31)</f>
        <v/>
      </c>
      <c r="JN32" s="18">
        <f>IF(271&gt;ConPayoffMonth,0,JM$32+JN$29+JN$31)</f>
        <v/>
      </c>
      <c r="JO32" s="18">
        <f>IF(272&gt;ConPayoffMonth,0,JN$32+JO$29+JO$31)</f>
        <v/>
      </c>
      <c r="JP32" s="18">
        <f>IF(273&gt;ConPayoffMonth,0,JO$32+JP$29+JP$31)</f>
        <v/>
      </c>
      <c r="JQ32" s="18">
        <f>IF(274&gt;ConPayoffMonth,0,JP$32+JQ$29+JQ$31)</f>
        <v/>
      </c>
      <c r="JR32" s="18">
        <f>IF(275&gt;ConPayoffMonth,0,JQ$32+JR$29+JR$31)</f>
        <v/>
      </c>
      <c r="JS32" s="18">
        <f>IF(276&gt;ConPayoffMonth,0,JR$32+JS$29+JS$31)</f>
        <v/>
      </c>
      <c r="JT32" s="18">
        <f>IF(277&gt;ConPayoffMonth,0,JS$32+JT$29+JT$31)</f>
        <v/>
      </c>
      <c r="JU32" s="18">
        <f>IF(278&gt;ConPayoffMonth,0,JT$32+JU$29+JU$31)</f>
        <v/>
      </c>
      <c r="JV32" s="18">
        <f>IF(279&gt;ConPayoffMonth,0,JU$32+JV$29+JV$31)</f>
        <v/>
      </c>
      <c r="JW32" s="18">
        <f>IF(280&gt;ConPayoffMonth,0,JV$32+JW$29+JW$31)</f>
        <v/>
      </c>
      <c r="JX32" s="18">
        <f>IF(281&gt;ConPayoffMonth,0,JW$32+JX$29+JX$31)</f>
        <v/>
      </c>
      <c r="JY32" s="18">
        <f>IF(282&gt;ConPayoffMonth,0,JX$32+JY$29+JY$31)</f>
        <v/>
      </c>
      <c r="JZ32" s="18">
        <f>IF(283&gt;ConPayoffMonth,0,JY$32+JZ$29+JZ$31)</f>
        <v/>
      </c>
      <c r="KA32" s="18">
        <f>IF(284&gt;ConPayoffMonth,0,JZ$32+KA$29+KA$31)</f>
        <v/>
      </c>
      <c r="KB32" s="18">
        <f>IF(285&gt;ConPayoffMonth,0,KA$32+KB$29+KB$31)</f>
        <v/>
      </c>
      <c r="KC32" s="18">
        <f>IF(286&gt;ConPayoffMonth,0,KB$32+KC$29+KC$31)</f>
        <v/>
      </c>
      <c r="KD32" s="18">
        <f>IF(287&gt;ConPayoffMonth,0,KC$32+KD$29+KD$31)</f>
        <v/>
      </c>
      <c r="KE32" s="18">
        <f>IF(288&gt;ConPayoffMonth,0,KD$32+KE$29+KE$31)</f>
        <v/>
      </c>
      <c r="KF32" s="18">
        <f>IF(289&gt;ConPayoffMonth,0,KE$32+KF$29+KF$31)</f>
        <v/>
      </c>
      <c r="KG32" s="18">
        <f>IF(290&gt;ConPayoffMonth,0,KF$32+KG$29+KG$31)</f>
        <v/>
      </c>
      <c r="KH32" s="18">
        <f>IF(291&gt;ConPayoffMonth,0,KG$32+KH$29+KH$31)</f>
        <v/>
      </c>
      <c r="KI32" s="18">
        <f>IF(292&gt;ConPayoffMonth,0,KH$32+KI$29+KI$31)</f>
        <v/>
      </c>
      <c r="KJ32" s="18">
        <f>IF(293&gt;ConPayoffMonth,0,KI$32+KJ$29+KJ$31)</f>
        <v/>
      </c>
      <c r="KK32" s="18">
        <f>IF(294&gt;ConPayoffMonth,0,KJ$32+KK$29+KK$31)</f>
        <v/>
      </c>
      <c r="KL32" s="18">
        <f>IF(295&gt;ConPayoffMonth,0,KK$32+KL$29+KL$31)</f>
        <v/>
      </c>
      <c r="KM32" s="18">
        <f>IF(296&gt;ConPayoffMonth,0,KL$32+KM$29+KM$31)</f>
        <v/>
      </c>
      <c r="KN32" s="18">
        <f>IF(297&gt;ConPayoffMonth,0,KM$32+KN$29+KN$31)</f>
        <v/>
      </c>
      <c r="KO32" s="18">
        <f>IF(298&gt;ConPayoffMonth,0,KN$32+KO$29+KO$31)</f>
        <v/>
      </c>
      <c r="KP32" s="18">
        <f>IF(299&gt;ConPayoffMonth,0,KO$32+KP$29+KP$31)</f>
        <v/>
      </c>
      <c r="KQ32" s="18">
        <f>IF(300&gt;ConPayoffMonth,0,KP$32+KQ$29+KQ$31)</f>
        <v/>
      </c>
      <c r="KR32" s="18">
        <f>IF(301&gt;ConPayoffMonth,0,KQ$32+KR$29+KR$31)</f>
        <v/>
      </c>
      <c r="KS32" s="18">
        <f>IF(302&gt;ConPayoffMonth,0,KR$32+KS$29+KS$31)</f>
        <v/>
      </c>
      <c r="KT32" s="18">
        <f>IF(303&gt;ConPayoffMonth,0,KS$32+KT$29+KT$31)</f>
        <v/>
      </c>
      <c r="KU32" s="18">
        <f>IF(304&gt;ConPayoffMonth,0,KT$32+KU$29+KU$31)</f>
        <v/>
      </c>
      <c r="KV32" s="18">
        <f>IF(305&gt;ConPayoffMonth,0,KU$32+KV$29+KV$31)</f>
        <v/>
      </c>
      <c r="KW32" s="18">
        <f>IF(306&gt;ConPayoffMonth,0,KV$32+KW$29+KW$31)</f>
        <v/>
      </c>
      <c r="KX32" s="18">
        <f>IF(307&gt;ConPayoffMonth,0,KW$32+KX$29+KX$31)</f>
        <v/>
      </c>
      <c r="KY32" s="18">
        <f>IF(308&gt;ConPayoffMonth,0,KX$32+KY$29+KY$31)</f>
        <v/>
      </c>
      <c r="KZ32" s="18">
        <f>IF(309&gt;ConPayoffMonth,0,KY$32+KZ$29+KZ$31)</f>
        <v/>
      </c>
      <c r="LA32" s="18">
        <f>IF(310&gt;ConPayoffMonth,0,KZ$32+LA$29+LA$31)</f>
        <v/>
      </c>
      <c r="LB32" s="18">
        <f>IF(311&gt;ConPayoffMonth,0,LA$32+LB$29+LB$31)</f>
        <v/>
      </c>
      <c r="LC32" s="18">
        <f>IF(312&gt;ConPayoffMonth,0,LB$32+LC$29+LC$31)</f>
        <v/>
      </c>
      <c r="LD32" s="18">
        <f>IF(313&gt;ConPayoffMonth,0,LC$32+LD$29+LD$31)</f>
        <v/>
      </c>
      <c r="LE32" s="18">
        <f>IF(314&gt;ConPayoffMonth,0,LD$32+LE$29+LE$31)</f>
        <v/>
      </c>
      <c r="LF32" s="18">
        <f>IF(315&gt;ConPayoffMonth,0,LE$32+LF$29+LF$31)</f>
        <v/>
      </c>
      <c r="LG32" s="18">
        <f>IF(316&gt;ConPayoffMonth,0,LF$32+LG$29+LG$31)</f>
        <v/>
      </c>
      <c r="LH32" s="18">
        <f>IF(317&gt;ConPayoffMonth,0,LG$32+LH$29+LH$31)</f>
        <v/>
      </c>
      <c r="LI32" s="18">
        <f>IF(318&gt;ConPayoffMonth,0,LH$32+LI$29+LI$31)</f>
        <v/>
      </c>
      <c r="LJ32" s="18">
        <f>IF(319&gt;ConPayoffMonth,0,LI$32+LJ$29+LJ$31)</f>
        <v/>
      </c>
      <c r="LK32" s="18">
        <f>IF(320&gt;ConPayoffMonth,0,LJ$32+LK$29+LK$31)</f>
        <v/>
      </c>
      <c r="LL32" s="18">
        <f>IF(321&gt;ConPayoffMonth,0,LK$32+LL$29+LL$31)</f>
        <v/>
      </c>
      <c r="LM32" s="18">
        <f>IF(322&gt;ConPayoffMonth,0,LL$32+LM$29+LM$31)</f>
        <v/>
      </c>
      <c r="LN32" s="18">
        <f>IF(323&gt;ConPayoffMonth,0,LM$32+LN$29+LN$31)</f>
        <v/>
      </c>
      <c r="LO32" s="18">
        <f>IF(324&gt;ConPayoffMonth,0,LN$32+LO$29+LO$31)</f>
        <v/>
      </c>
      <c r="LP32" s="18">
        <f>IF(325&gt;ConPayoffMonth,0,LO$32+LP$29+LP$31)</f>
        <v/>
      </c>
      <c r="LQ32" s="18">
        <f>IF(326&gt;ConPayoffMonth,0,LP$32+LQ$29+LQ$31)</f>
        <v/>
      </c>
      <c r="LR32" s="18">
        <f>IF(327&gt;ConPayoffMonth,0,LQ$32+LR$29+LR$31)</f>
        <v/>
      </c>
      <c r="LS32" s="18">
        <f>IF(328&gt;ConPayoffMonth,0,LR$32+LS$29+LS$31)</f>
        <v/>
      </c>
      <c r="LT32" s="18">
        <f>IF(329&gt;ConPayoffMonth,0,LS$32+LT$29+LT$31)</f>
        <v/>
      </c>
      <c r="LU32" s="18">
        <f>IF(330&gt;ConPayoffMonth,0,LT$32+LU$29+LU$31)</f>
        <v/>
      </c>
      <c r="LV32" s="18">
        <f>IF(331&gt;ConPayoffMonth,0,LU$32+LV$29+LV$31)</f>
        <v/>
      </c>
      <c r="LW32" s="18">
        <f>IF(332&gt;ConPayoffMonth,0,LV$32+LW$29+LW$31)</f>
        <v/>
      </c>
      <c r="LX32" s="18">
        <f>IF(333&gt;ConPayoffMonth,0,LW$32+LX$29+LX$31)</f>
        <v/>
      </c>
      <c r="LY32" s="18">
        <f>IF(334&gt;ConPayoffMonth,0,LX$32+LY$29+LY$31)</f>
        <v/>
      </c>
      <c r="LZ32" s="18">
        <f>IF(335&gt;ConPayoffMonth,0,LY$32+LZ$29+LZ$31)</f>
        <v/>
      </c>
      <c r="MA32" s="18">
        <f>IF(336&gt;ConPayoffMonth,0,LZ$32+MA$29+MA$31)</f>
        <v/>
      </c>
      <c r="MB32" s="18">
        <f>IF(337&gt;ConPayoffMonth,0,MA$32+MB$29+MB$31)</f>
        <v/>
      </c>
      <c r="MC32" s="18">
        <f>IF(338&gt;ConPayoffMonth,0,MB$32+MC$29+MC$31)</f>
        <v/>
      </c>
      <c r="MD32" s="18">
        <f>IF(339&gt;ConPayoffMonth,0,MC$32+MD$29+MD$31)</f>
        <v/>
      </c>
      <c r="ME32" s="18">
        <f>IF(340&gt;ConPayoffMonth,0,MD$32+ME$29+ME$31)</f>
        <v/>
      </c>
      <c r="MF32" s="18">
        <f>IF(341&gt;ConPayoffMonth,0,ME$32+MF$29+MF$31)</f>
        <v/>
      </c>
      <c r="MG32" s="18">
        <f>IF(342&gt;ConPayoffMonth,0,MF$32+MG$29+MG$31)</f>
        <v/>
      </c>
      <c r="MH32" s="18">
        <f>IF(343&gt;ConPayoffMonth,0,MG$32+MH$29+MH$31)</f>
        <v/>
      </c>
      <c r="MI32" s="18">
        <f>IF(344&gt;ConPayoffMonth,0,MH$32+MI$29+MI$31)</f>
        <v/>
      </c>
      <c r="MJ32" s="18">
        <f>IF(345&gt;ConPayoffMonth,0,MI$32+MJ$29+MJ$31)</f>
        <v/>
      </c>
      <c r="MK32" s="18">
        <f>IF(346&gt;ConPayoffMonth,0,MJ$32+MK$29+MK$31)</f>
        <v/>
      </c>
      <c r="ML32" s="18">
        <f>IF(347&gt;ConPayoffMonth,0,MK$32+ML$29+ML$31)</f>
        <v/>
      </c>
      <c r="MM32" s="18">
        <f>IF(348&gt;ConPayoffMonth,0,ML$32+MM$29+MM$31)</f>
        <v/>
      </c>
      <c r="MN32" s="18">
        <f>IF(349&gt;ConPayoffMonth,0,MM$32+MN$29+MN$31)</f>
        <v/>
      </c>
      <c r="MO32" s="18">
        <f>IF(350&gt;ConPayoffMonth,0,MN$32+MO$29+MO$31)</f>
        <v/>
      </c>
      <c r="MP32" s="18">
        <f>IF(351&gt;ConPayoffMonth,0,MO$32+MP$29+MP$31)</f>
        <v/>
      </c>
      <c r="MQ32" s="18">
        <f>IF(352&gt;ConPayoffMonth,0,MP$32+MQ$29+MQ$31)</f>
        <v/>
      </c>
      <c r="MR32" s="18">
        <f>IF(353&gt;ConPayoffMonth,0,MQ$32+MR$29+MR$31)</f>
        <v/>
      </c>
      <c r="MS32" s="18">
        <f>IF(354&gt;ConPayoffMonth,0,MR$32+MS$29+MS$31)</f>
        <v/>
      </c>
      <c r="MT32" s="18">
        <f>IF(355&gt;ConPayoffMonth,0,MS$32+MT$29+MT$31)</f>
        <v/>
      </c>
      <c r="MU32" s="18">
        <f>IF(356&gt;ConPayoffMonth,0,MT$32+MU$29+MU$31)</f>
        <v/>
      </c>
      <c r="MV32" s="18">
        <f>IF(357&gt;ConPayoffMonth,0,MU$32+MV$29+MV$31)</f>
        <v/>
      </c>
      <c r="MW32" s="18">
        <f>IF(358&gt;ConPayoffMonth,0,MV$32+MW$29+MW$31)</f>
        <v/>
      </c>
      <c r="MX32" s="18">
        <f>IF(359&gt;ConPayoffMonth,0,MW$32+MX$29+MX$31)</f>
        <v/>
      </c>
      <c r="MY32" s="18">
        <f>IF(360&gt;ConPayoffMonth,0,MX$32+MY$29+MY$31)</f>
        <v/>
      </c>
      <c r="MZ32" s="18">
        <f>IF(361&gt;ConPayoffMonth,0,MY$32+MZ$29+MZ$31)</f>
        <v/>
      </c>
      <c r="NA32" s="18">
        <f>IF(362&gt;ConPayoffMonth,0,MZ$32+NA$29+NA$31)</f>
        <v/>
      </c>
      <c r="NB32" s="18">
        <f>IF(363&gt;ConPayoffMonth,0,NA$32+NB$29+NB$31)</f>
        <v/>
      </c>
      <c r="NC32" s="18">
        <f>IF(364&gt;ConPayoffMonth,0,NB$32+NC$29+NC$31)</f>
        <v/>
      </c>
      <c r="ND32" s="18">
        <f>IF(365&gt;ConPayoffMonth,0,NC$32+ND$29+ND$31)</f>
        <v/>
      </c>
      <c r="NE32" s="18">
        <f>IF(366&gt;ConPayoffMonth,0,ND$32+NE$29+NE$31)</f>
        <v/>
      </c>
      <c r="NF32" s="18">
        <f>IF(367&gt;ConPayoffMonth,0,NE$32+NF$29+NF$31)</f>
        <v/>
      </c>
      <c r="NG32" s="18">
        <f>IF(368&gt;ConPayoffMonth,0,NF$32+NG$29+NG$31)</f>
        <v/>
      </c>
      <c r="NH32" s="18">
        <f>IF(369&gt;ConPayoffMonth,0,NG$32+NH$29+NH$31)</f>
        <v/>
      </c>
      <c r="NI32" s="18">
        <f>IF(370&gt;ConPayoffMonth,0,NH$32+NI$29+NI$31)</f>
        <v/>
      </c>
      <c r="NJ32" s="18">
        <f>IF(371&gt;ConPayoffMonth,0,NI$32+NJ$29+NJ$31)</f>
        <v/>
      </c>
      <c r="NK32" s="18">
        <f>IF(372&gt;ConPayoffMonth,0,NJ$32+NK$29+NK$31)</f>
        <v/>
      </c>
    </row>
    <row r="34">
      <c r="A34" s="3" t="inlineStr">
        <is>
          <t>Interest Reserve &amp; Loan Totals</t>
        </is>
      </c>
      <c r="B34" s="4" t="n"/>
      <c r="C34" s="4" t="n"/>
    </row>
    <row r="35">
      <c r="A35" s="5" t="inlineStr">
        <is>
          <t>Interest Reserve — Accrued</t>
        </is>
      </c>
      <c r="B35" s="30">
        <f>'ConLoan'!$C$31</f>
        <v/>
      </c>
    </row>
    <row r="36">
      <c r="A36" s="5" t="inlineStr">
        <is>
          <t>Interest Reserve — Funded (w/ override)</t>
        </is>
      </c>
      <c r="B36" s="30">
        <f>IF(LenderReqReserveOverride&gt;0,LenderReqReserveOverride,InterestReserveAccrued)</f>
        <v/>
      </c>
    </row>
    <row r="37">
      <c r="A37" s="5" t="inlineStr">
        <is>
          <t>Construction Loan Total</t>
        </is>
      </c>
      <c r="B37" s="30">
        <f>ConCostCommit+InterestReserveFunded</f>
        <v/>
      </c>
    </row>
    <row r="38">
      <c r="A38" s="5" t="inlineStr">
        <is>
          <t>Construction Loan Payoff Balance</t>
        </is>
      </c>
      <c r="B38" s="30">
        <f>INDEX(D32:NK32,ConPayoffMonth)</f>
        <v/>
      </c>
    </row>
    <row r="39">
      <c r="A39" s="5" t="inlineStr">
        <is>
          <t>Total Development Cost (TDC)</t>
        </is>
      </c>
      <c r="B39" s="30">
        <f>ConCostExInt+InterestReserveFunded</f>
        <v/>
      </c>
    </row>
    <row r="40">
      <c r="A40" s="5" t="inlineStr">
        <is>
          <t>Total Equity</t>
        </is>
      </c>
      <c r="B40" s="30">
        <f>TDC_Total-ConLoanTotal</f>
        <v/>
      </c>
    </row>
    <row r="41">
      <c r="A41" s="5" t="inlineStr">
        <is>
          <t>Loan-to-Cost (realized)</t>
        </is>
      </c>
      <c r="B41" s="50">
        <f>ConLoanTotal/TDC_Total</f>
        <v/>
      </c>
    </row>
    <row r="43">
      <c r="A43" s="15" t="inlineStr">
        <is>
          <t>Construction Reconciliation</t>
        </is>
      </c>
      <c r="B43" s="23" t="n"/>
      <c r="C43" s="23" t="n"/>
    </row>
    <row r="44">
      <c r="A44" s="5" t="inlineStr">
        <is>
          <t>Σ Debt Draws − Commitment</t>
        </is>
      </c>
      <c r="B44" s="18">
        <f>'ConLoan'!$C$29-ConCostCommit</f>
        <v/>
      </c>
    </row>
    <row r="45">
      <c r="A45" s="5" t="inlineStr">
        <is>
          <t>Σ Equity Draws − Equity Budget</t>
        </is>
      </c>
      <c r="B45" s="18">
        <f>'ConLoan'!$C$27-EquityBudget</f>
        <v/>
      </c>
    </row>
    <row r="46">
      <c r="A46" s="5" t="inlineStr">
        <is>
          <t>Σ Uses − Total Uses ex-Int</t>
        </is>
      </c>
      <c r="B46" s="18">
        <f>'ConLoan'!$C$26-ConCostExInt</f>
        <v/>
      </c>
    </row>
    <row r="47">
      <c r="A47" s="5" t="inlineStr">
        <is>
          <t>Ending Balance (must be 0)</t>
        </is>
      </c>
      <c r="B47" s="18">
        <f>INDEX(D32:NK32,372)</f>
        <v/>
      </c>
    </row>
    <row r="48">
      <c r="A48" s="5" t="inlineStr">
        <is>
          <t>Reserve Funded − Accrued (&gt;=0)</t>
        </is>
      </c>
      <c r="B48" s="18">
        <f>InterestReserveFunded-InterestReserveAccrued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K14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10" customWidth="1" min="2" max="2"/>
    <col width="14" customWidth="1" min="3" max="3"/>
  </cols>
  <sheetData>
    <row r="1">
      <c r="A1" s="1" t="inlineStr">
        <is>
          <t>Unit Delivery &amp; Lease-Up Engine</t>
        </is>
      </c>
    </row>
    <row r="3">
      <c r="A3" s="5" t="inlineStr">
        <is>
          <t>Stabilized Leased Target (units)</t>
        </is>
      </c>
      <c r="B3" s="24">
        <f>ROUND(StabilizedOccupancy*TotalUnits,0)</f>
        <v/>
      </c>
    </row>
    <row r="5">
      <c r="A5" s="3" t="inlineStr">
        <is>
          <t>Monthly Delivery &amp; Absorption</t>
        </is>
      </c>
      <c r="B5" s="4" t="n"/>
      <c r="C5" s="4" t="n"/>
    </row>
    <row r="6">
      <c r="A6" s="36" t="inlineStr">
        <is>
          <t>Period →</t>
        </is>
      </c>
      <c r="C6" s="27" t="inlineStr">
        <is>
          <t>Total</t>
        </is>
      </c>
      <c r="D6" s="37" t="n">
        <v>1</v>
      </c>
      <c r="E6" s="37" t="n">
        <v>2</v>
      </c>
      <c r="F6" s="37" t="n">
        <v>3</v>
      </c>
      <c r="G6" s="37" t="n">
        <v>4</v>
      </c>
      <c r="H6" s="37" t="n">
        <v>5</v>
      </c>
      <c r="I6" s="37" t="n">
        <v>6</v>
      </c>
      <c r="J6" s="37" t="n">
        <v>7</v>
      </c>
      <c r="K6" s="37" t="n">
        <v>8</v>
      </c>
      <c r="L6" s="37" t="n">
        <v>9</v>
      </c>
      <c r="M6" s="37" t="n">
        <v>10</v>
      </c>
      <c r="N6" s="37" t="n">
        <v>11</v>
      </c>
      <c r="O6" s="37" t="n">
        <v>12</v>
      </c>
      <c r="P6" s="37" t="n">
        <v>13</v>
      </c>
      <c r="Q6" s="37" t="n">
        <v>14</v>
      </c>
      <c r="R6" s="37" t="n">
        <v>15</v>
      </c>
      <c r="S6" s="37" t="n">
        <v>16</v>
      </c>
      <c r="T6" s="37" t="n">
        <v>17</v>
      </c>
      <c r="U6" s="37" t="n">
        <v>18</v>
      </c>
      <c r="V6" s="37" t="n">
        <v>19</v>
      </c>
      <c r="W6" s="37" t="n">
        <v>20</v>
      </c>
      <c r="X6" s="37" t="n">
        <v>21</v>
      </c>
      <c r="Y6" s="37" t="n">
        <v>22</v>
      </c>
      <c r="Z6" s="37" t="n">
        <v>23</v>
      </c>
      <c r="AA6" s="37" t="n">
        <v>24</v>
      </c>
      <c r="AB6" s="37" t="n">
        <v>25</v>
      </c>
      <c r="AC6" s="37" t="n">
        <v>26</v>
      </c>
      <c r="AD6" s="37" t="n">
        <v>27</v>
      </c>
      <c r="AE6" s="37" t="n">
        <v>28</v>
      </c>
      <c r="AF6" s="37" t="n">
        <v>29</v>
      </c>
      <c r="AG6" s="37" t="n">
        <v>30</v>
      </c>
      <c r="AH6" s="37" t="n">
        <v>31</v>
      </c>
      <c r="AI6" s="37" t="n">
        <v>32</v>
      </c>
      <c r="AJ6" s="37" t="n">
        <v>33</v>
      </c>
      <c r="AK6" s="37" t="n">
        <v>34</v>
      </c>
      <c r="AL6" s="37" t="n">
        <v>35</v>
      </c>
      <c r="AM6" s="37" t="n">
        <v>36</v>
      </c>
      <c r="AN6" s="37" t="n">
        <v>37</v>
      </c>
      <c r="AO6" s="37" t="n">
        <v>38</v>
      </c>
      <c r="AP6" s="37" t="n">
        <v>39</v>
      </c>
      <c r="AQ6" s="37" t="n">
        <v>40</v>
      </c>
      <c r="AR6" s="37" t="n">
        <v>41</v>
      </c>
      <c r="AS6" s="37" t="n">
        <v>42</v>
      </c>
      <c r="AT6" s="37" t="n">
        <v>43</v>
      </c>
      <c r="AU6" s="37" t="n">
        <v>44</v>
      </c>
      <c r="AV6" s="37" t="n">
        <v>45</v>
      </c>
      <c r="AW6" s="37" t="n">
        <v>46</v>
      </c>
      <c r="AX6" s="37" t="n">
        <v>47</v>
      </c>
      <c r="AY6" s="37" t="n">
        <v>48</v>
      </c>
      <c r="AZ6" s="37" t="n">
        <v>49</v>
      </c>
      <c r="BA6" s="37" t="n">
        <v>50</v>
      </c>
      <c r="BB6" s="37" t="n">
        <v>51</v>
      </c>
      <c r="BC6" s="37" t="n">
        <v>52</v>
      </c>
      <c r="BD6" s="37" t="n">
        <v>53</v>
      </c>
      <c r="BE6" s="37" t="n">
        <v>54</v>
      </c>
      <c r="BF6" s="37" t="n">
        <v>55</v>
      </c>
      <c r="BG6" s="37" t="n">
        <v>56</v>
      </c>
      <c r="BH6" s="37" t="n">
        <v>57</v>
      </c>
      <c r="BI6" s="37" t="n">
        <v>58</v>
      </c>
      <c r="BJ6" s="37" t="n">
        <v>59</v>
      </c>
      <c r="BK6" s="37" t="n">
        <v>60</v>
      </c>
      <c r="BL6" s="37" t="n">
        <v>61</v>
      </c>
      <c r="BM6" s="37" t="n">
        <v>62</v>
      </c>
      <c r="BN6" s="37" t="n">
        <v>63</v>
      </c>
      <c r="BO6" s="37" t="n">
        <v>64</v>
      </c>
      <c r="BP6" s="37" t="n">
        <v>65</v>
      </c>
      <c r="BQ6" s="37" t="n">
        <v>66</v>
      </c>
      <c r="BR6" s="37" t="n">
        <v>67</v>
      </c>
      <c r="BS6" s="37" t="n">
        <v>68</v>
      </c>
      <c r="BT6" s="37" t="n">
        <v>69</v>
      </c>
      <c r="BU6" s="37" t="n">
        <v>70</v>
      </c>
      <c r="BV6" s="37" t="n">
        <v>71</v>
      </c>
      <c r="BW6" s="37" t="n">
        <v>72</v>
      </c>
      <c r="BX6" s="37" t="n">
        <v>73</v>
      </c>
      <c r="BY6" s="37" t="n">
        <v>74</v>
      </c>
      <c r="BZ6" s="37" t="n">
        <v>75</v>
      </c>
      <c r="CA6" s="37" t="n">
        <v>76</v>
      </c>
      <c r="CB6" s="37" t="n">
        <v>77</v>
      </c>
      <c r="CC6" s="37" t="n">
        <v>78</v>
      </c>
      <c r="CD6" s="37" t="n">
        <v>79</v>
      </c>
      <c r="CE6" s="37" t="n">
        <v>80</v>
      </c>
      <c r="CF6" s="37" t="n">
        <v>81</v>
      </c>
      <c r="CG6" s="37" t="n">
        <v>82</v>
      </c>
      <c r="CH6" s="37" t="n">
        <v>83</v>
      </c>
      <c r="CI6" s="37" t="n">
        <v>84</v>
      </c>
      <c r="CJ6" s="37" t="n">
        <v>85</v>
      </c>
      <c r="CK6" s="37" t="n">
        <v>86</v>
      </c>
      <c r="CL6" s="37" t="n">
        <v>87</v>
      </c>
      <c r="CM6" s="37" t="n">
        <v>88</v>
      </c>
      <c r="CN6" s="37" t="n">
        <v>89</v>
      </c>
      <c r="CO6" s="37" t="n">
        <v>90</v>
      </c>
      <c r="CP6" s="37" t="n">
        <v>91</v>
      </c>
      <c r="CQ6" s="37" t="n">
        <v>92</v>
      </c>
      <c r="CR6" s="37" t="n">
        <v>93</v>
      </c>
      <c r="CS6" s="37" t="n">
        <v>94</v>
      </c>
      <c r="CT6" s="37" t="n">
        <v>95</v>
      </c>
      <c r="CU6" s="37" t="n">
        <v>96</v>
      </c>
      <c r="CV6" s="37" t="n">
        <v>97</v>
      </c>
      <c r="CW6" s="37" t="n">
        <v>98</v>
      </c>
      <c r="CX6" s="37" t="n">
        <v>99</v>
      </c>
      <c r="CY6" s="37" t="n">
        <v>100</v>
      </c>
      <c r="CZ6" s="37" t="n">
        <v>101</v>
      </c>
      <c r="DA6" s="37" t="n">
        <v>102</v>
      </c>
      <c r="DB6" s="37" t="n">
        <v>103</v>
      </c>
      <c r="DC6" s="37" t="n">
        <v>104</v>
      </c>
      <c r="DD6" s="37" t="n">
        <v>105</v>
      </c>
      <c r="DE6" s="37" t="n">
        <v>106</v>
      </c>
      <c r="DF6" s="37" t="n">
        <v>107</v>
      </c>
      <c r="DG6" s="37" t="n">
        <v>108</v>
      </c>
      <c r="DH6" s="37" t="n">
        <v>109</v>
      </c>
      <c r="DI6" s="37" t="n">
        <v>110</v>
      </c>
      <c r="DJ6" s="37" t="n">
        <v>111</v>
      </c>
      <c r="DK6" s="37" t="n">
        <v>112</v>
      </c>
      <c r="DL6" s="37" t="n">
        <v>113</v>
      </c>
      <c r="DM6" s="37" t="n">
        <v>114</v>
      </c>
      <c r="DN6" s="37" t="n">
        <v>115</v>
      </c>
      <c r="DO6" s="37" t="n">
        <v>116</v>
      </c>
      <c r="DP6" s="37" t="n">
        <v>117</v>
      </c>
      <c r="DQ6" s="37" t="n">
        <v>118</v>
      </c>
      <c r="DR6" s="37" t="n">
        <v>119</v>
      </c>
      <c r="DS6" s="37" t="n">
        <v>120</v>
      </c>
      <c r="DT6" s="37" t="n">
        <v>121</v>
      </c>
      <c r="DU6" s="37" t="n">
        <v>122</v>
      </c>
      <c r="DV6" s="37" t="n">
        <v>123</v>
      </c>
      <c r="DW6" s="37" t="n">
        <v>124</v>
      </c>
      <c r="DX6" s="37" t="n">
        <v>125</v>
      </c>
      <c r="DY6" s="37" t="n">
        <v>126</v>
      </c>
      <c r="DZ6" s="37" t="n">
        <v>127</v>
      </c>
      <c r="EA6" s="37" t="n">
        <v>128</v>
      </c>
      <c r="EB6" s="37" t="n">
        <v>129</v>
      </c>
      <c r="EC6" s="37" t="n">
        <v>130</v>
      </c>
      <c r="ED6" s="37" t="n">
        <v>131</v>
      </c>
      <c r="EE6" s="37" t="n">
        <v>132</v>
      </c>
      <c r="EF6" s="37" t="n">
        <v>133</v>
      </c>
      <c r="EG6" s="37" t="n">
        <v>134</v>
      </c>
      <c r="EH6" s="37" t="n">
        <v>135</v>
      </c>
      <c r="EI6" s="37" t="n">
        <v>136</v>
      </c>
      <c r="EJ6" s="37" t="n">
        <v>137</v>
      </c>
      <c r="EK6" s="37" t="n">
        <v>138</v>
      </c>
      <c r="EL6" s="37" t="n">
        <v>139</v>
      </c>
      <c r="EM6" s="37" t="n">
        <v>140</v>
      </c>
      <c r="EN6" s="37" t="n">
        <v>141</v>
      </c>
      <c r="EO6" s="37" t="n">
        <v>142</v>
      </c>
      <c r="EP6" s="37" t="n">
        <v>143</v>
      </c>
      <c r="EQ6" s="37" t="n">
        <v>144</v>
      </c>
      <c r="ER6" s="37" t="n">
        <v>145</v>
      </c>
      <c r="ES6" s="37" t="n">
        <v>146</v>
      </c>
      <c r="ET6" s="37" t="n">
        <v>147</v>
      </c>
      <c r="EU6" s="37" t="n">
        <v>148</v>
      </c>
      <c r="EV6" s="37" t="n">
        <v>149</v>
      </c>
      <c r="EW6" s="37" t="n">
        <v>150</v>
      </c>
      <c r="EX6" s="37" t="n">
        <v>151</v>
      </c>
      <c r="EY6" s="37" t="n">
        <v>152</v>
      </c>
      <c r="EZ6" s="37" t="n">
        <v>153</v>
      </c>
      <c r="FA6" s="37" t="n">
        <v>154</v>
      </c>
      <c r="FB6" s="37" t="n">
        <v>155</v>
      </c>
      <c r="FC6" s="37" t="n">
        <v>156</v>
      </c>
      <c r="FD6" s="37" t="n">
        <v>157</v>
      </c>
      <c r="FE6" s="37" t="n">
        <v>158</v>
      </c>
      <c r="FF6" s="37" t="n">
        <v>159</v>
      </c>
      <c r="FG6" s="37" t="n">
        <v>160</v>
      </c>
      <c r="FH6" s="37" t="n">
        <v>161</v>
      </c>
      <c r="FI6" s="37" t="n">
        <v>162</v>
      </c>
      <c r="FJ6" s="37" t="n">
        <v>163</v>
      </c>
      <c r="FK6" s="37" t="n">
        <v>164</v>
      </c>
      <c r="FL6" s="37" t="n">
        <v>165</v>
      </c>
      <c r="FM6" s="37" t="n">
        <v>166</v>
      </c>
      <c r="FN6" s="37" t="n">
        <v>167</v>
      </c>
      <c r="FO6" s="37" t="n">
        <v>168</v>
      </c>
      <c r="FP6" s="37" t="n">
        <v>169</v>
      </c>
      <c r="FQ6" s="37" t="n">
        <v>170</v>
      </c>
      <c r="FR6" s="37" t="n">
        <v>171</v>
      </c>
      <c r="FS6" s="37" t="n">
        <v>172</v>
      </c>
      <c r="FT6" s="37" t="n">
        <v>173</v>
      </c>
      <c r="FU6" s="37" t="n">
        <v>174</v>
      </c>
      <c r="FV6" s="37" t="n">
        <v>175</v>
      </c>
      <c r="FW6" s="37" t="n">
        <v>176</v>
      </c>
      <c r="FX6" s="37" t="n">
        <v>177</v>
      </c>
      <c r="FY6" s="37" t="n">
        <v>178</v>
      </c>
      <c r="FZ6" s="37" t="n">
        <v>179</v>
      </c>
      <c r="GA6" s="37" t="n">
        <v>180</v>
      </c>
      <c r="GB6" s="37" t="n">
        <v>181</v>
      </c>
      <c r="GC6" s="37" t="n">
        <v>182</v>
      </c>
      <c r="GD6" s="37" t="n">
        <v>183</v>
      </c>
      <c r="GE6" s="37" t="n">
        <v>184</v>
      </c>
      <c r="GF6" s="37" t="n">
        <v>185</v>
      </c>
      <c r="GG6" s="37" t="n">
        <v>186</v>
      </c>
      <c r="GH6" s="37" t="n">
        <v>187</v>
      </c>
      <c r="GI6" s="37" t="n">
        <v>188</v>
      </c>
      <c r="GJ6" s="37" t="n">
        <v>189</v>
      </c>
      <c r="GK6" s="37" t="n">
        <v>190</v>
      </c>
      <c r="GL6" s="37" t="n">
        <v>191</v>
      </c>
      <c r="GM6" s="37" t="n">
        <v>192</v>
      </c>
      <c r="GN6" s="37" t="n">
        <v>193</v>
      </c>
      <c r="GO6" s="37" t="n">
        <v>194</v>
      </c>
      <c r="GP6" s="37" t="n">
        <v>195</v>
      </c>
      <c r="GQ6" s="37" t="n">
        <v>196</v>
      </c>
      <c r="GR6" s="37" t="n">
        <v>197</v>
      </c>
      <c r="GS6" s="37" t="n">
        <v>198</v>
      </c>
      <c r="GT6" s="37" t="n">
        <v>199</v>
      </c>
      <c r="GU6" s="37" t="n">
        <v>200</v>
      </c>
      <c r="GV6" s="37" t="n">
        <v>201</v>
      </c>
      <c r="GW6" s="37" t="n">
        <v>202</v>
      </c>
      <c r="GX6" s="37" t="n">
        <v>203</v>
      </c>
      <c r="GY6" s="37" t="n">
        <v>204</v>
      </c>
      <c r="GZ6" s="37" t="n">
        <v>205</v>
      </c>
      <c r="HA6" s="37" t="n">
        <v>206</v>
      </c>
      <c r="HB6" s="37" t="n">
        <v>207</v>
      </c>
      <c r="HC6" s="37" t="n">
        <v>208</v>
      </c>
      <c r="HD6" s="37" t="n">
        <v>209</v>
      </c>
      <c r="HE6" s="37" t="n">
        <v>210</v>
      </c>
      <c r="HF6" s="37" t="n">
        <v>211</v>
      </c>
      <c r="HG6" s="37" t="n">
        <v>212</v>
      </c>
      <c r="HH6" s="37" t="n">
        <v>213</v>
      </c>
      <c r="HI6" s="37" t="n">
        <v>214</v>
      </c>
      <c r="HJ6" s="37" t="n">
        <v>215</v>
      </c>
      <c r="HK6" s="37" t="n">
        <v>216</v>
      </c>
      <c r="HL6" s="37" t="n">
        <v>217</v>
      </c>
      <c r="HM6" s="37" t="n">
        <v>218</v>
      </c>
      <c r="HN6" s="37" t="n">
        <v>219</v>
      </c>
      <c r="HO6" s="37" t="n">
        <v>220</v>
      </c>
      <c r="HP6" s="37" t="n">
        <v>221</v>
      </c>
      <c r="HQ6" s="37" t="n">
        <v>222</v>
      </c>
      <c r="HR6" s="37" t="n">
        <v>223</v>
      </c>
      <c r="HS6" s="37" t="n">
        <v>224</v>
      </c>
      <c r="HT6" s="37" t="n">
        <v>225</v>
      </c>
      <c r="HU6" s="37" t="n">
        <v>226</v>
      </c>
      <c r="HV6" s="37" t="n">
        <v>227</v>
      </c>
      <c r="HW6" s="37" t="n">
        <v>228</v>
      </c>
      <c r="HX6" s="37" t="n">
        <v>229</v>
      </c>
      <c r="HY6" s="37" t="n">
        <v>230</v>
      </c>
      <c r="HZ6" s="37" t="n">
        <v>231</v>
      </c>
      <c r="IA6" s="37" t="n">
        <v>232</v>
      </c>
      <c r="IB6" s="37" t="n">
        <v>233</v>
      </c>
      <c r="IC6" s="37" t="n">
        <v>234</v>
      </c>
      <c r="ID6" s="37" t="n">
        <v>235</v>
      </c>
      <c r="IE6" s="37" t="n">
        <v>236</v>
      </c>
      <c r="IF6" s="37" t="n">
        <v>237</v>
      </c>
      <c r="IG6" s="37" t="n">
        <v>238</v>
      </c>
      <c r="IH6" s="37" t="n">
        <v>239</v>
      </c>
      <c r="II6" s="37" t="n">
        <v>240</v>
      </c>
      <c r="IJ6" s="37" t="n">
        <v>241</v>
      </c>
      <c r="IK6" s="37" t="n">
        <v>242</v>
      </c>
      <c r="IL6" s="37" t="n">
        <v>243</v>
      </c>
      <c r="IM6" s="37" t="n">
        <v>244</v>
      </c>
      <c r="IN6" s="37" t="n">
        <v>245</v>
      </c>
      <c r="IO6" s="37" t="n">
        <v>246</v>
      </c>
      <c r="IP6" s="37" t="n">
        <v>247</v>
      </c>
      <c r="IQ6" s="37" t="n">
        <v>248</v>
      </c>
      <c r="IR6" s="37" t="n">
        <v>249</v>
      </c>
      <c r="IS6" s="37" t="n">
        <v>250</v>
      </c>
      <c r="IT6" s="37" t="n">
        <v>251</v>
      </c>
      <c r="IU6" s="37" t="n">
        <v>252</v>
      </c>
      <c r="IV6" s="37" t="n">
        <v>253</v>
      </c>
      <c r="IW6" s="37" t="n">
        <v>254</v>
      </c>
      <c r="IX6" s="37" t="n">
        <v>255</v>
      </c>
      <c r="IY6" s="37" t="n">
        <v>256</v>
      </c>
      <c r="IZ6" s="37" t="n">
        <v>257</v>
      </c>
      <c r="JA6" s="37" t="n">
        <v>258</v>
      </c>
      <c r="JB6" s="37" t="n">
        <v>259</v>
      </c>
      <c r="JC6" s="37" t="n">
        <v>260</v>
      </c>
      <c r="JD6" s="37" t="n">
        <v>261</v>
      </c>
      <c r="JE6" s="37" t="n">
        <v>262</v>
      </c>
      <c r="JF6" s="37" t="n">
        <v>263</v>
      </c>
      <c r="JG6" s="37" t="n">
        <v>264</v>
      </c>
      <c r="JH6" s="37" t="n">
        <v>265</v>
      </c>
      <c r="JI6" s="37" t="n">
        <v>266</v>
      </c>
      <c r="JJ6" s="37" t="n">
        <v>267</v>
      </c>
      <c r="JK6" s="37" t="n">
        <v>268</v>
      </c>
      <c r="JL6" s="37" t="n">
        <v>269</v>
      </c>
      <c r="JM6" s="37" t="n">
        <v>270</v>
      </c>
      <c r="JN6" s="37" t="n">
        <v>271</v>
      </c>
      <c r="JO6" s="37" t="n">
        <v>272</v>
      </c>
      <c r="JP6" s="37" t="n">
        <v>273</v>
      </c>
      <c r="JQ6" s="37" t="n">
        <v>274</v>
      </c>
      <c r="JR6" s="37" t="n">
        <v>275</v>
      </c>
      <c r="JS6" s="37" t="n">
        <v>276</v>
      </c>
      <c r="JT6" s="37" t="n">
        <v>277</v>
      </c>
      <c r="JU6" s="37" t="n">
        <v>278</v>
      </c>
      <c r="JV6" s="37" t="n">
        <v>279</v>
      </c>
      <c r="JW6" s="37" t="n">
        <v>280</v>
      </c>
      <c r="JX6" s="37" t="n">
        <v>281</v>
      </c>
      <c r="JY6" s="37" t="n">
        <v>282</v>
      </c>
      <c r="JZ6" s="37" t="n">
        <v>283</v>
      </c>
      <c r="KA6" s="37" t="n">
        <v>284</v>
      </c>
      <c r="KB6" s="37" t="n">
        <v>285</v>
      </c>
      <c r="KC6" s="37" t="n">
        <v>286</v>
      </c>
      <c r="KD6" s="37" t="n">
        <v>287</v>
      </c>
      <c r="KE6" s="37" t="n">
        <v>288</v>
      </c>
      <c r="KF6" s="37" t="n">
        <v>289</v>
      </c>
      <c r="KG6" s="37" t="n">
        <v>290</v>
      </c>
      <c r="KH6" s="37" t="n">
        <v>291</v>
      </c>
      <c r="KI6" s="37" t="n">
        <v>292</v>
      </c>
      <c r="KJ6" s="37" t="n">
        <v>293</v>
      </c>
      <c r="KK6" s="37" t="n">
        <v>294</v>
      </c>
      <c r="KL6" s="37" t="n">
        <v>295</v>
      </c>
      <c r="KM6" s="37" t="n">
        <v>296</v>
      </c>
      <c r="KN6" s="37" t="n">
        <v>297</v>
      </c>
      <c r="KO6" s="37" t="n">
        <v>298</v>
      </c>
      <c r="KP6" s="37" t="n">
        <v>299</v>
      </c>
      <c r="KQ6" s="37" t="n">
        <v>300</v>
      </c>
      <c r="KR6" s="37" t="n">
        <v>301</v>
      </c>
      <c r="KS6" s="37" t="n">
        <v>302</v>
      </c>
      <c r="KT6" s="37" t="n">
        <v>303</v>
      </c>
      <c r="KU6" s="37" t="n">
        <v>304</v>
      </c>
      <c r="KV6" s="37" t="n">
        <v>305</v>
      </c>
      <c r="KW6" s="37" t="n">
        <v>306</v>
      </c>
      <c r="KX6" s="37" t="n">
        <v>307</v>
      </c>
      <c r="KY6" s="37" t="n">
        <v>308</v>
      </c>
      <c r="KZ6" s="37" t="n">
        <v>309</v>
      </c>
      <c r="LA6" s="37" t="n">
        <v>310</v>
      </c>
      <c r="LB6" s="37" t="n">
        <v>311</v>
      </c>
      <c r="LC6" s="37" t="n">
        <v>312</v>
      </c>
      <c r="LD6" s="37" t="n">
        <v>313</v>
      </c>
      <c r="LE6" s="37" t="n">
        <v>314</v>
      </c>
      <c r="LF6" s="37" t="n">
        <v>315</v>
      </c>
      <c r="LG6" s="37" t="n">
        <v>316</v>
      </c>
      <c r="LH6" s="37" t="n">
        <v>317</v>
      </c>
      <c r="LI6" s="37" t="n">
        <v>318</v>
      </c>
      <c r="LJ6" s="37" t="n">
        <v>319</v>
      </c>
      <c r="LK6" s="37" t="n">
        <v>320</v>
      </c>
      <c r="LL6" s="37" t="n">
        <v>321</v>
      </c>
      <c r="LM6" s="37" t="n">
        <v>322</v>
      </c>
      <c r="LN6" s="37" t="n">
        <v>323</v>
      </c>
      <c r="LO6" s="37" t="n">
        <v>324</v>
      </c>
      <c r="LP6" s="37" t="n">
        <v>325</v>
      </c>
      <c r="LQ6" s="37" t="n">
        <v>326</v>
      </c>
      <c r="LR6" s="37" t="n">
        <v>327</v>
      </c>
      <c r="LS6" s="37" t="n">
        <v>328</v>
      </c>
      <c r="LT6" s="37" t="n">
        <v>329</v>
      </c>
      <c r="LU6" s="37" t="n">
        <v>330</v>
      </c>
      <c r="LV6" s="37" t="n">
        <v>331</v>
      </c>
      <c r="LW6" s="37" t="n">
        <v>332</v>
      </c>
      <c r="LX6" s="37" t="n">
        <v>333</v>
      </c>
      <c r="LY6" s="37" t="n">
        <v>334</v>
      </c>
      <c r="LZ6" s="37" t="n">
        <v>335</v>
      </c>
      <c r="MA6" s="37" t="n">
        <v>336</v>
      </c>
      <c r="MB6" s="37" t="n">
        <v>337</v>
      </c>
      <c r="MC6" s="37" t="n">
        <v>338</v>
      </c>
      <c r="MD6" s="37" t="n">
        <v>339</v>
      </c>
      <c r="ME6" s="37" t="n">
        <v>340</v>
      </c>
      <c r="MF6" s="37" t="n">
        <v>341</v>
      </c>
      <c r="MG6" s="37" t="n">
        <v>342</v>
      </c>
      <c r="MH6" s="37" t="n">
        <v>343</v>
      </c>
      <c r="MI6" s="37" t="n">
        <v>344</v>
      </c>
      <c r="MJ6" s="37" t="n">
        <v>345</v>
      </c>
      <c r="MK6" s="37" t="n">
        <v>346</v>
      </c>
      <c r="ML6" s="37" t="n">
        <v>347</v>
      </c>
      <c r="MM6" s="37" t="n">
        <v>348</v>
      </c>
      <c r="MN6" s="37" t="n">
        <v>349</v>
      </c>
      <c r="MO6" s="37" t="n">
        <v>350</v>
      </c>
      <c r="MP6" s="37" t="n">
        <v>351</v>
      </c>
      <c r="MQ6" s="37" t="n">
        <v>352</v>
      </c>
      <c r="MR6" s="37" t="n">
        <v>353</v>
      </c>
      <c r="MS6" s="37" t="n">
        <v>354</v>
      </c>
      <c r="MT6" s="37" t="n">
        <v>355</v>
      </c>
      <c r="MU6" s="37" t="n">
        <v>356</v>
      </c>
      <c r="MV6" s="37" t="n">
        <v>357</v>
      </c>
      <c r="MW6" s="37" t="n">
        <v>358</v>
      </c>
      <c r="MX6" s="37" t="n">
        <v>359</v>
      </c>
      <c r="MY6" s="37" t="n">
        <v>360</v>
      </c>
      <c r="MZ6" s="37" t="n">
        <v>361</v>
      </c>
      <c r="NA6" s="37" t="n">
        <v>362</v>
      </c>
      <c r="NB6" s="37" t="n">
        <v>363</v>
      </c>
      <c r="NC6" s="37" t="n">
        <v>364</v>
      </c>
      <c r="ND6" s="37" t="n">
        <v>365</v>
      </c>
      <c r="NE6" s="37" t="n">
        <v>366</v>
      </c>
      <c r="NF6" s="37" t="n">
        <v>367</v>
      </c>
      <c r="NG6" s="37" t="n">
        <v>368</v>
      </c>
      <c r="NH6" s="37" t="n">
        <v>369</v>
      </c>
      <c r="NI6" s="37" t="n">
        <v>370</v>
      </c>
      <c r="NJ6" s="37" t="n">
        <v>371</v>
      </c>
      <c r="NK6" s="37" t="n">
        <v>372</v>
      </c>
    </row>
    <row r="7">
      <c r="A7" s="38" t="inlineStr">
        <is>
          <t>Month Start</t>
        </is>
      </c>
      <c r="D7" s="39">
        <f>EDATE(InceptionDate,0)</f>
        <v/>
      </c>
      <c r="E7" s="39">
        <f>EDATE(InceptionDate,1)</f>
        <v/>
      </c>
      <c r="F7" s="39">
        <f>EDATE(InceptionDate,2)</f>
        <v/>
      </c>
      <c r="G7" s="39">
        <f>EDATE(InceptionDate,3)</f>
        <v/>
      </c>
      <c r="H7" s="39">
        <f>EDATE(InceptionDate,4)</f>
        <v/>
      </c>
      <c r="I7" s="39">
        <f>EDATE(InceptionDate,5)</f>
        <v/>
      </c>
      <c r="J7" s="39">
        <f>EDATE(InceptionDate,6)</f>
        <v/>
      </c>
      <c r="K7" s="39">
        <f>EDATE(InceptionDate,7)</f>
        <v/>
      </c>
      <c r="L7" s="39">
        <f>EDATE(InceptionDate,8)</f>
        <v/>
      </c>
      <c r="M7" s="39">
        <f>EDATE(InceptionDate,9)</f>
        <v/>
      </c>
      <c r="N7" s="39">
        <f>EDATE(InceptionDate,10)</f>
        <v/>
      </c>
      <c r="O7" s="39">
        <f>EDATE(InceptionDate,11)</f>
        <v/>
      </c>
      <c r="P7" s="39">
        <f>EDATE(InceptionDate,12)</f>
        <v/>
      </c>
      <c r="Q7" s="39">
        <f>EDATE(InceptionDate,13)</f>
        <v/>
      </c>
      <c r="R7" s="39">
        <f>EDATE(InceptionDate,14)</f>
        <v/>
      </c>
      <c r="S7" s="39">
        <f>EDATE(InceptionDate,15)</f>
        <v/>
      </c>
      <c r="T7" s="39">
        <f>EDATE(InceptionDate,16)</f>
        <v/>
      </c>
      <c r="U7" s="39">
        <f>EDATE(InceptionDate,17)</f>
        <v/>
      </c>
      <c r="V7" s="39">
        <f>EDATE(InceptionDate,18)</f>
        <v/>
      </c>
      <c r="W7" s="39">
        <f>EDATE(InceptionDate,19)</f>
        <v/>
      </c>
      <c r="X7" s="39">
        <f>EDATE(InceptionDate,20)</f>
        <v/>
      </c>
      <c r="Y7" s="39">
        <f>EDATE(InceptionDate,21)</f>
        <v/>
      </c>
      <c r="Z7" s="39">
        <f>EDATE(InceptionDate,22)</f>
        <v/>
      </c>
      <c r="AA7" s="39">
        <f>EDATE(InceptionDate,23)</f>
        <v/>
      </c>
      <c r="AB7" s="39">
        <f>EDATE(InceptionDate,24)</f>
        <v/>
      </c>
      <c r="AC7" s="39">
        <f>EDATE(InceptionDate,25)</f>
        <v/>
      </c>
      <c r="AD7" s="39">
        <f>EDATE(InceptionDate,26)</f>
        <v/>
      </c>
      <c r="AE7" s="39">
        <f>EDATE(InceptionDate,27)</f>
        <v/>
      </c>
      <c r="AF7" s="39">
        <f>EDATE(InceptionDate,28)</f>
        <v/>
      </c>
      <c r="AG7" s="39">
        <f>EDATE(InceptionDate,29)</f>
        <v/>
      </c>
      <c r="AH7" s="39">
        <f>EDATE(InceptionDate,30)</f>
        <v/>
      </c>
      <c r="AI7" s="39">
        <f>EDATE(InceptionDate,31)</f>
        <v/>
      </c>
      <c r="AJ7" s="39">
        <f>EDATE(InceptionDate,32)</f>
        <v/>
      </c>
      <c r="AK7" s="39">
        <f>EDATE(InceptionDate,33)</f>
        <v/>
      </c>
      <c r="AL7" s="39">
        <f>EDATE(InceptionDate,34)</f>
        <v/>
      </c>
      <c r="AM7" s="39">
        <f>EDATE(InceptionDate,35)</f>
        <v/>
      </c>
      <c r="AN7" s="39">
        <f>EDATE(InceptionDate,36)</f>
        <v/>
      </c>
      <c r="AO7" s="39">
        <f>EDATE(InceptionDate,37)</f>
        <v/>
      </c>
      <c r="AP7" s="39">
        <f>EDATE(InceptionDate,38)</f>
        <v/>
      </c>
      <c r="AQ7" s="39">
        <f>EDATE(InceptionDate,39)</f>
        <v/>
      </c>
      <c r="AR7" s="39">
        <f>EDATE(InceptionDate,40)</f>
        <v/>
      </c>
      <c r="AS7" s="39">
        <f>EDATE(InceptionDate,41)</f>
        <v/>
      </c>
      <c r="AT7" s="39">
        <f>EDATE(InceptionDate,42)</f>
        <v/>
      </c>
      <c r="AU7" s="39">
        <f>EDATE(InceptionDate,43)</f>
        <v/>
      </c>
      <c r="AV7" s="39">
        <f>EDATE(InceptionDate,44)</f>
        <v/>
      </c>
      <c r="AW7" s="39">
        <f>EDATE(InceptionDate,45)</f>
        <v/>
      </c>
      <c r="AX7" s="39">
        <f>EDATE(InceptionDate,46)</f>
        <v/>
      </c>
      <c r="AY7" s="39">
        <f>EDATE(InceptionDate,47)</f>
        <v/>
      </c>
      <c r="AZ7" s="39">
        <f>EDATE(InceptionDate,48)</f>
        <v/>
      </c>
      <c r="BA7" s="39">
        <f>EDATE(InceptionDate,49)</f>
        <v/>
      </c>
      <c r="BB7" s="39">
        <f>EDATE(InceptionDate,50)</f>
        <v/>
      </c>
      <c r="BC7" s="39">
        <f>EDATE(InceptionDate,51)</f>
        <v/>
      </c>
      <c r="BD7" s="39">
        <f>EDATE(InceptionDate,52)</f>
        <v/>
      </c>
      <c r="BE7" s="39">
        <f>EDATE(InceptionDate,53)</f>
        <v/>
      </c>
      <c r="BF7" s="39">
        <f>EDATE(InceptionDate,54)</f>
        <v/>
      </c>
      <c r="BG7" s="39">
        <f>EDATE(InceptionDate,55)</f>
        <v/>
      </c>
      <c r="BH7" s="39">
        <f>EDATE(InceptionDate,56)</f>
        <v/>
      </c>
      <c r="BI7" s="39">
        <f>EDATE(InceptionDate,57)</f>
        <v/>
      </c>
      <c r="BJ7" s="39">
        <f>EDATE(InceptionDate,58)</f>
        <v/>
      </c>
      <c r="BK7" s="39">
        <f>EDATE(InceptionDate,59)</f>
        <v/>
      </c>
      <c r="BL7" s="39">
        <f>EDATE(InceptionDate,60)</f>
        <v/>
      </c>
      <c r="BM7" s="39">
        <f>EDATE(InceptionDate,61)</f>
        <v/>
      </c>
      <c r="BN7" s="39">
        <f>EDATE(InceptionDate,62)</f>
        <v/>
      </c>
      <c r="BO7" s="39">
        <f>EDATE(InceptionDate,63)</f>
        <v/>
      </c>
      <c r="BP7" s="39">
        <f>EDATE(InceptionDate,64)</f>
        <v/>
      </c>
      <c r="BQ7" s="39">
        <f>EDATE(InceptionDate,65)</f>
        <v/>
      </c>
      <c r="BR7" s="39">
        <f>EDATE(InceptionDate,66)</f>
        <v/>
      </c>
      <c r="BS7" s="39">
        <f>EDATE(InceptionDate,67)</f>
        <v/>
      </c>
      <c r="BT7" s="39">
        <f>EDATE(InceptionDate,68)</f>
        <v/>
      </c>
      <c r="BU7" s="39">
        <f>EDATE(InceptionDate,69)</f>
        <v/>
      </c>
      <c r="BV7" s="39">
        <f>EDATE(InceptionDate,70)</f>
        <v/>
      </c>
      <c r="BW7" s="39">
        <f>EDATE(InceptionDate,71)</f>
        <v/>
      </c>
      <c r="BX7" s="39">
        <f>EDATE(InceptionDate,72)</f>
        <v/>
      </c>
      <c r="BY7" s="39">
        <f>EDATE(InceptionDate,73)</f>
        <v/>
      </c>
      <c r="BZ7" s="39">
        <f>EDATE(InceptionDate,74)</f>
        <v/>
      </c>
      <c r="CA7" s="39">
        <f>EDATE(InceptionDate,75)</f>
        <v/>
      </c>
      <c r="CB7" s="39">
        <f>EDATE(InceptionDate,76)</f>
        <v/>
      </c>
      <c r="CC7" s="39">
        <f>EDATE(InceptionDate,77)</f>
        <v/>
      </c>
      <c r="CD7" s="39">
        <f>EDATE(InceptionDate,78)</f>
        <v/>
      </c>
      <c r="CE7" s="39">
        <f>EDATE(InceptionDate,79)</f>
        <v/>
      </c>
      <c r="CF7" s="39">
        <f>EDATE(InceptionDate,80)</f>
        <v/>
      </c>
      <c r="CG7" s="39">
        <f>EDATE(InceptionDate,81)</f>
        <v/>
      </c>
      <c r="CH7" s="39">
        <f>EDATE(InceptionDate,82)</f>
        <v/>
      </c>
      <c r="CI7" s="39">
        <f>EDATE(InceptionDate,83)</f>
        <v/>
      </c>
      <c r="CJ7" s="39">
        <f>EDATE(InceptionDate,84)</f>
        <v/>
      </c>
      <c r="CK7" s="39">
        <f>EDATE(InceptionDate,85)</f>
        <v/>
      </c>
      <c r="CL7" s="39">
        <f>EDATE(InceptionDate,86)</f>
        <v/>
      </c>
      <c r="CM7" s="39">
        <f>EDATE(InceptionDate,87)</f>
        <v/>
      </c>
      <c r="CN7" s="39">
        <f>EDATE(InceptionDate,88)</f>
        <v/>
      </c>
      <c r="CO7" s="39">
        <f>EDATE(InceptionDate,89)</f>
        <v/>
      </c>
      <c r="CP7" s="39">
        <f>EDATE(InceptionDate,90)</f>
        <v/>
      </c>
      <c r="CQ7" s="39">
        <f>EDATE(InceptionDate,91)</f>
        <v/>
      </c>
      <c r="CR7" s="39">
        <f>EDATE(InceptionDate,92)</f>
        <v/>
      </c>
      <c r="CS7" s="39">
        <f>EDATE(InceptionDate,93)</f>
        <v/>
      </c>
      <c r="CT7" s="39">
        <f>EDATE(InceptionDate,94)</f>
        <v/>
      </c>
      <c r="CU7" s="39">
        <f>EDATE(InceptionDate,95)</f>
        <v/>
      </c>
      <c r="CV7" s="39">
        <f>EDATE(InceptionDate,96)</f>
        <v/>
      </c>
      <c r="CW7" s="39">
        <f>EDATE(InceptionDate,97)</f>
        <v/>
      </c>
      <c r="CX7" s="39">
        <f>EDATE(InceptionDate,98)</f>
        <v/>
      </c>
      <c r="CY7" s="39">
        <f>EDATE(InceptionDate,99)</f>
        <v/>
      </c>
      <c r="CZ7" s="39">
        <f>EDATE(InceptionDate,100)</f>
        <v/>
      </c>
      <c r="DA7" s="39">
        <f>EDATE(InceptionDate,101)</f>
        <v/>
      </c>
      <c r="DB7" s="39">
        <f>EDATE(InceptionDate,102)</f>
        <v/>
      </c>
      <c r="DC7" s="39">
        <f>EDATE(InceptionDate,103)</f>
        <v/>
      </c>
      <c r="DD7" s="39">
        <f>EDATE(InceptionDate,104)</f>
        <v/>
      </c>
      <c r="DE7" s="39">
        <f>EDATE(InceptionDate,105)</f>
        <v/>
      </c>
      <c r="DF7" s="39">
        <f>EDATE(InceptionDate,106)</f>
        <v/>
      </c>
      <c r="DG7" s="39">
        <f>EDATE(InceptionDate,107)</f>
        <v/>
      </c>
      <c r="DH7" s="39">
        <f>EDATE(InceptionDate,108)</f>
        <v/>
      </c>
      <c r="DI7" s="39">
        <f>EDATE(InceptionDate,109)</f>
        <v/>
      </c>
      <c r="DJ7" s="39">
        <f>EDATE(InceptionDate,110)</f>
        <v/>
      </c>
      <c r="DK7" s="39">
        <f>EDATE(InceptionDate,111)</f>
        <v/>
      </c>
      <c r="DL7" s="39">
        <f>EDATE(InceptionDate,112)</f>
        <v/>
      </c>
      <c r="DM7" s="39">
        <f>EDATE(InceptionDate,113)</f>
        <v/>
      </c>
      <c r="DN7" s="39">
        <f>EDATE(InceptionDate,114)</f>
        <v/>
      </c>
      <c r="DO7" s="39">
        <f>EDATE(InceptionDate,115)</f>
        <v/>
      </c>
      <c r="DP7" s="39">
        <f>EDATE(InceptionDate,116)</f>
        <v/>
      </c>
      <c r="DQ7" s="39">
        <f>EDATE(InceptionDate,117)</f>
        <v/>
      </c>
      <c r="DR7" s="39">
        <f>EDATE(InceptionDate,118)</f>
        <v/>
      </c>
      <c r="DS7" s="39">
        <f>EDATE(InceptionDate,119)</f>
        <v/>
      </c>
      <c r="DT7" s="39">
        <f>EDATE(InceptionDate,120)</f>
        <v/>
      </c>
      <c r="DU7" s="39">
        <f>EDATE(InceptionDate,121)</f>
        <v/>
      </c>
      <c r="DV7" s="39">
        <f>EDATE(InceptionDate,122)</f>
        <v/>
      </c>
      <c r="DW7" s="39">
        <f>EDATE(InceptionDate,123)</f>
        <v/>
      </c>
      <c r="DX7" s="39">
        <f>EDATE(InceptionDate,124)</f>
        <v/>
      </c>
      <c r="DY7" s="39">
        <f>EDATE(InceptionDate,125)</f>
        <v/>
      </c>
      <c r="DZ7" s="39">
        <f>EDATE(InceptionDate,126)</f>
        <v/>
      </c>
      <c r="EA7" s="39">
        <f>EDATE(InceptionDate,127)</f>
        <v/>
      </c>
      <c r="EB7" s="39">
        <f>EDATE(InceptionDate,128)</f>
        <v/>
      </c>
      <c r="EC7" s="39">
        <f>EDATE(InceptionDate,129)</f>
        <v/>
      </c>
      <c r="ED7" s="39">
        <f>EDATE(InceptionDate,130)</f>
        <v/>
      </c>
      <c r="EE7" s="39">
        <f>EDATE(InceptionDate,131)</f>
        <v/>
      </c>
      <c r="EF7" s="39">
        <f>EDATE(InceptionDate,132)</f>
        <v/>
      </c>
      <c r="EG7" s="39">
        <f>EDATE(InceptionDate,133)</f>
        <v/>
      </c>
      <c r="EH7" s="39">
        <f>EDATE(InceptionDate,134)</f>
        <v/>
      </c>
      <c r="EI7" s="39">
        <f>EDATE(InceptionDate,135)</f>
        <v/>
      </c>
      <c r="EJ7" s="39">
        <f>EDATE(InceptionDate,136)</f>
        <v/>
      </c>
      <c r="EK7" s="39">
        <f>EDATE(InceptionDate,137)</f>
        <v/>
      </c>
      <c r="EL7" s="39">
        <f>EDATE(InceptionDate,138)</f>
        <v/>
      </c>
      <c r="EM7" s="39">
        <f>EDATE(InceptionDate,139)</f>
        <v/>
      </c>
      <c r="EN7" s="39">
        <f>EDATE(InceptionDate,140)</f>
        <v/>
      </c>
      <c r="EO7" s="39">
        <f>EDATE(InceptionDate,141)</f>
        <v/>
      </c>
      <c r="EP7" s="39">
        <f>EDATE(InceptionDate,142)</f>
        <v/>
      </c>
      <c r="EQ7" s="39">
        <f>EDATE(InceptionDate,143)</f>
        <v/>
      </c>
      <c r="ER7" s="39">
        <f>EDATE(InceptionDate,144)</f>
        <v/>
      </c>
      <c r="ES7" s="39">
        <f>EDATE(InceptionDate,145)</f>
        <v/>
      </c>
      <c r="ET7" s="39">
        <f>EDATE(InceptionDate,146)</f>
        <v/>
      </c>
      <c r="EU7" s="39">
        <f>EDATE(InceptionDate,147)</f>
        <v/>
      </c>
      <c r="EV7" s="39">
        <f>EDATE(InceptionDate,148)</f>
        <v/>
      </c>
      <c r="EW7" s="39">
        <f>EDATE(InceptionDate,149)</f>
        <v/>
      </c>
      <c r="EX7" s="39">
        <f>EDATE(InceptionDate,150)</f>
        <v/>
      </c>
      <c r="EY7" s="39">
        <f>EDATE(InceptionDate,151)</f>
        <v/>
      </c>
      <c r="EZ7" s="39">
        <f>EDATE(InceptionDate,152)</f>
        <v/>
      </c>
      <c r="FA7" s="39">
        <f>EDATE(InceptionDate,153)</f>
        <v/>
      </c>
      <c r="FB7" s="39">
        <f>EDATE(InceptionDate,154)</f>
        <v/>
      </c>
      <c r="FC7" s="39">
        <f>EDATE(InceptionDate,155)</f>
        <v/>
      </c>
      <c r="FD7" s="39">
        <f>EDATE(InceptionDate,156)</f>
        <v/>
      </c>
      <c r="FE7" s="39">
        <f>EDATE(InceptionDate,157)</f>
        <v/>
      </c>
      <c r="FF7" s="39">
        <f>EDATE(InceptionDate,158)</f>
        <v/>
      </c>
      <c r="FG7" s="39">
        <f>EDATE(InceptionDate,159)</f>
        <v/>
      </c>
      <c r="FH7" s="39">
        <f>EDATE(InceptionDate,160)</f>
        <v/>
      </c>
      <c r="FI7" s="39">
        <f>EDATE(InceptionDate,161)</f>
        <v/>
      </c>
      <c r="FJ7" s="39">
        <f>EDATE(InceptionDate,162)</f>
        <v/>
      </c>
      <c r="FK7" s="39">
        <f>EDATE(InceptionDate,163)</f>
        <v/>
      </c>
      <c r="FL7" s="39">
        <f>EDATE(InceptionDate,164)</f>
        <v/>
      </c>
      <c r="FM7" s="39">
        <f>EDATE(InceptionDate,165)</f>
        <v/>
      </c>
      <c r="FN7" s="39">
        <f>EDATE(InceptionDate,166)</f>
        <v/>
      </c>
      <c r="FO7" s="39">
        <f>EDATE(InceptionDate,167)</f>
        <v/>
      </c>
      <c r="FP7" s="39">
        <f>EDATE(InceptionDate,168)</f>
        <v/>
      </c>
      <c r="FQ7" s="39">
        <f>EDATE(InceptionDate,169)</f>
        <v/>
      </c>
      <c r="FR7" s="39">
        <f>EDATE(InceptionDate,170)</f>
        <v/>
      </c>
      <c r="FS7" s="39">
        <f>EDATE(InceptionDate,171)</f>
        <v/>
      </c>
      <c r="FT7" s="39">
        <f>EDATE(InceptionDate,172)</f>
        <v/>
      </c>
      <c r="FU7" s="39">
        <f>EDATE(InceptionDate,173)</f>
        <v/>
      </c>
      <c r="FV7" s="39">
        <f>EDATE(InceptionDate,174)</f>
        <v/>
      </c>
      <c r="FW7" s="39">
        <f>EDATE(InceptionDate,175)</f>
        <v/>
      </c>
      <c r="FX7" s="39">
        <f>EDATE(InceptionDate,176)</f>
        <v/>
      </c>
      <c r="FY7" s="39">
        <f>EDATE(InceptionDate,177)</f>
        <v/>
      </c>
      <c r="FZ7" s="39">
        <f>EDATE(InceptionDate,178)</f>
        <v/>
      </c>
      <c r="GA7" s="39">
        <f>EDATE(InceptionDate,179)</f>
        <v/>
      </c>
      <c r="GB7" s="39">
        <f>EDATE(InceptionDate,180)</f>
        <v/>
      </c>
      <c r="GC7" s="39">
        <f>EDATE(InceptionDate,181)</f>
        <v/>
      </c>
      <c r="GD7" s="39">
        <f>EDATE(InceptionDate,182)</f>
        <v/>
      </c>
      <c r="GE7" s="39">
        <f>EDATE(InceptionDate,183)</f>
        <v/>
      </c>
      <c r="GF7" s="39">
        <f>EDATE(InceptionDate,184)</f>
        <v/>
      </c>
      <c r="GG7" s="39">
        <f>EDATE(InceptionDate,185)</f>
        <v/>
      </c>
      <c r="GH7" s="39">
        <f>EDATE(InceptionDate,186)</f>
        <v/>
      </c>
      <c r="GI7" s="39">
        <f>EDATE(InceptionDate,187)</f>
        <v/>
      </c>
      <c r="GJ7" s="39">
        <f>EDATE(InceptionDate,188)</f>
        <v/>
      </c>
      <c r="GK7" s="39">
        <f>EDATE(InceptionDate,189)</f>
        <v/>
      </c>
      <c r="GL7" s="39">
        <f>EDATE(InceptionDate,190)</f>
        <v/>
      </c>
      <c r="GM7" s="39">
        <f>EDATE(InceptionDate,191)</f>
        <v/>
      </c>
      <c r="GN7" s="39">
        <f>EDATE(InceptionDate,192)</f>
        <v/>
      </c>
      <c r="GO7" s="39">
        <f>EDATE(InceptionDate,193)</f>
        <v/>
      </c>
      <c r="GP7" s="39">
        <f>EDATE(InceptionDate,194)</f>
        <v/>
      </c>
      <c r="GQ7" s="39">
        <f>EDATE(InceptionDate,195)</f>
        <v/>
      </c>
      <c r="GR7" s="39">
        <f>EDATE(InceptionDate,196)</f>
        <v/>
      </c>
      <c r="GS7" s="39">
        <f>EDATE(InceptionDate,197)</f>
        <v/>
      </c>
      <c r="GT7" s="39">
        <f>EDATE(InceptionDate,198)</f>
        <v/>
      </c>
      <c r="GU7" s="39">
        <f>EDATE(InceptionDate,199)</f>
        <v/>
      </c>
      <c r="GV7" s="39">
        <f>EDATE(InceptionDate,200)</f>
        <v/>
      </c>
      <c r="GW7" s="39">
        <f>EDATE(InceptionDate,201)</f>
        <v/>
      </c>
      <c r="GX7" s="39">
        <f>EDATE(InceptionDate,202)</f>
        <v/>
      </c>
      <c r="GY7" s="39">
        <f>EDATE(InceptionDate,203)</f>
        <v/>
      </c>
      <c r="GZ7" s="39">
        <f>EDATE(InceptionDate,204)</f>
        <v/>
      </c>
      <c r="HA7" s="39">
        <f>EDATE(InceptionDate,205)</f>
        <v/>
      </c>
      <c r="HB7" s="39">
        <f>EDATE(InceptionDate,206)</f>
        <v/>
      </c>
      <c r="HC7" s="39">
        <f>EDATE(InceptionDate,207)</f>
        <v/>
      </c>
      <c r="HD7" s="39">
        <f>EDATE(InceptionDate,208)</f>
        <v/>
      </c>
      <c r="HE7" s="39">
        <f>EDATE(InceptionDate,209)</f>
        <v/>
      </c>
      <c r="HF7" s="39">
        <f>EDATE(InceptionDate,210)</f>
        <v/>
      </c>
      <c r="HG7" s="39">
        <f>EDATE(InceptionDate,211)</f>
        <v/>
      </c>
      <c r="HH7" s="39">
        <f>EDATE(InceptionDate,212)</f>
        <v/>
      </c>
      <c r="HI7" s="39">
        <f>EDATE(InceptionDate,213)</f>
        <v/>
      </c>
      <c r="HJ7" s="39">
        <f>EDATE(InceptionDate,214)</f>
        <v/>
      </c>
      <c r="HK7" s="39">
        <f>EDATE(InceptionDate,215)</f>
        <v/>
      </c>
      <c r="HL7" s="39">
        <f>EDATE(InceptionDate,216)</f>
        <v/>
      </c>
      <c r="HM7" s="39">
        <f>EDATE(InceptionDate,217)</f>
        <v/>
      </c>
      <c r="HN7" s="39">
        <f>EDATE(InceptionDate,218)</f>
        <v/>
      </c>
      <c r="HO7" s="39">
        <f>EDATE(InceptionDate,219)</f>
        <v/>
      </c>
      <c r="HP7" s="39">
        <f>EDATE(InceptionDate,220)</f>
        <v/>
      </c>
      <c r="HQ7" s="39">
        <f>EDATE(InceptionDate,221)</f>
        <v/>
      </c>
      <c r="HR7" s="39">
        <f>EDATE(InceptionDate,222)</f>
        <v/>
      </c>
      <c r="HS7" s="39">
        <f>EDATE(InceptionDate,223)</f>
        <v/>
      </c>
      <c r="HT7" s="39">
        <f>EDATE(InceptionDate,224)</f>
        <v/>
      </c>
      <c r="HU7" s="39">
        <f>EDATE(InceptionDate,225)</f>
        <v/>
      </c>
      <c r="HV7" s="39">
        <f>EDATE(InceptionDate,226)</f>
        <v/>
      </c>
      <c r="HW7" s="39">
        <f>EDATE(InceptionDate,227)</f>
        <v/>
      </c>
      <c r="HX7" s="39">
        <f>EDATE(InceptionDate,228)</f>
        <v/>
      </c>
      <c r="HY7" s="39">
        <f>EDATE(InceptionDate,229)</f>
        <v/>
      </c>
      <c r="HZ7" s="39">
        <f>EDATE(InceptionDate,230)</f>
        <v/>
      </c>
      <c r="IA7" s="39">
        <f>EDATE(InceptionDate,231)</f>
        <v/>
      </c>
      <c r="IB7" s="39">
        <f>EDATE(InceptionDate,232)</f>
        <v/>
      </c>
      <c r="IC7" s="39">
        <f>EDATE(InceptionDate,233)</f>
        <v/>
      </c>
      <c r="ID7" s="39">
        <f>EDATE(InceptionDate,234)</f>
        <v/>
      </c>
      <c r="IE7" s="39">
        <f>EDATE(InceptionDate,235)</f>
        <v/>
      </c>
      <c r="IF7" s="39">
        <f>EDATE(InceptionDate,236)</f>
        <v/>
      </c>
      <c r="IG7" s="39">
        <f>EDATE(InceptionDate,237)</f>
        <v/>
      </c>
      <c r="IH7" s="39">
        <f>EDATE(InceptionDate,238)</f>
        <v/>
      </c>
      <c r="II7" s="39">
        <f>EDATE(InceptionDate,239)</f>
        <v/>
      </c>
      <c r="IJ7" s="39">
        <f>EDATE(InceptionDate,240)</f>
        <v/>
      </c>
      <c r="IK7" s="39">
        <f>EDATE(InceptionDate,241)</f>
        <v/>
      </c>
      <c r="IL7" s="39">
        <f>EDATE(InceptionDate,242)</f>
        <v/>
      </c>
      <c r="IM7" s="39">
        <f>EDATE(InceptionDate,243)</f>
        <v/>
      </c>
      <c r="IN7" s="39">
        <f>EDATE(InceptionDate,244)</f>
        <v/>
      </c>
      <c r="IO7" s="39">
        <f>EDATE(InceptionDate,245)</f>
        <v/>
      </c>
      <c r="IP7" s="39">
        <f>EDATE(InceptionDate,246)</f>
        <v/>
      </c>
      <c r="IQ7" s="39">
        <f>EDATE(InceptionDate,247)</f>
        <v/>
      </c>
      <c r="IR7" s="39">
        <f>EDATE(InceptionDate,248)</f>
        <v/>
      </c>
      <c r="IS7" s="39">
        <f>EDATE(InceptionDate,249)</f>
        <v/>
      </c>
      <c r="IT7" s="39">
        <f>EDATE(InceptionDate,250)</f>
        <v/>
      </c>
      <c r="IU7" s="39">
        <f>EDATE(InceptionDate,251)</f>
        <v/>
      </c>
      <c r="IV7" s="39">
        <f>EDATE(InceptionDate,252)</f>
        <v/>
      </c>
      <c r="IW7" s="39">
        <f>EDATE(InceptionDate,253)</f>
        <v/>
      </c>
      <c r="IX7" s="39">
        <f>EDATE(InceptionDate,254)</f>
        <v/>
      </c>
      <c r="IY7" s="39">
        <f>EDATE(InceptionDate,255)</f>
        <v/>
      </c>
      <c r="IZ7" s="39">
        <f>EDATE(InceptionDate,256)</f>
        <v/>
      </c>
      <c r="JA7" s="39">
        <f>EDATE(InceptionDate,257)</f>
        <v/>
      </c>
      <c r="JB7" s="39">
        <f>EDATE(InceptionDate,258)</f>
        <v/>
      </c>
      <c r="JC7" s="39">
        <f>EDATE(InceptionDate,259)</f>
        <v/>
      </c>
      <c r="JD7" s="39">
        <f>EDATE(InceptionDate,260)</f>
        <v/>
      </c>
      <c r="JE7" s="39">
        <f>EDATE(InceptionDate,261)</f>
        <v/>
      </c>
      <c r="JF7" s="39">
        <f>EDATE(InceptionDate,262)</f>
        <v/>
      </c>
      <c r="JG7" s="39">
        <f>EDATE(InceptionDate,263)</f>
        <v/>
      </c>
      <c r="JH7" s="39">
        <f>EDATE(InceptionDate,264)</f>
        <v/>
      </c>
      <c r="JI7" s="39">
        <f>EDATE(InceptionDate,265)</f>
        <v/>
      </c>
      <c r="JJ7" s="39">
        <f>EDATE(InceptionDate,266)</f>
        <v/>
      </c>
      <c r="JK7" s="39">
        <f>EDATE(InceptionDate,267)</f>
        <v/>
      </c>
      <c r="JL7" s="39">
        <f>EDATE(InceptionDate,268)</f>
        <v/>
      </c>
      <c r="JM7" s="39">
        <f>EDATE(InceptionDate,269)</f>
        <v/>
      </c>
      <c r="JN7" s="39">
        <f>EDATE(InceptionDate,270)</f>
        <v/>
      </c>
      <c r="JO7" s="39">
        <f>EDATE(InceptionDate,271)</f>
        <v/>
      </c>
      <c r="JP7" s="39">
        <f>EDATE(InceptionDate,272)</f>
        <v/>
      </c>
      <c r="JQ7" s="39">
        <f>EDATE(InceptionDate,273)</f>
        <v/>
      </c>
      <c r="JR7" s="39">
        <f>EDATE(InceptionDate,274)</f>
        <v/>
      </c>
      <c r="JS7" s="39">
        <f>EDATE(InceptionDate,275)</f>
        <v/>
      </c>
      <c r="JT7" s="39">
        <f>EDATE(InceptionDate,276)</f>
        <v/>
      </c>
      <c r="JU7" s="39">
        <f>EDATE(InceptionDate,277)</f>
        <v/>
      </c>
      <c r="JV7" s="39">
        <f>EDATE(InceptionDate,278)</f>
        <v/>
      </c>
      <c r="JW7" s="39">
        <f>EDATE(InceptionDate,279)</f>
        <v/>
      </c>
      <c r="JX7" s="39">
        <f>EDATE(InceptionDate,280)</f>
        <v/>
      </c>
      <c r="JY7" s="39">
        <f>EDATE(InceptionDate,281)</f>
        <v/>
      </c>
      <c r="JZ7" s="39">
        <f>EDATE(InceptionDate,282)</f>
        <v/>
      </c>
      <c r="KA7" s="39">
        <f>EDATE(InceptionDate,283)</f>
        <v/>
      </c>
      <c r="KB7" s="39">
        <f>EDATE(InceptionDate,284)</f>
        <v/>
      </c>
      <c r="KC7" s="39">
        <f>EDATE(InceptionDate,285)</f>
        <v/>
      </c>
      <c r="KD7" s="39">
        <f>EDATE(InceptionDate,286)</f>
        <v/>
      </c>
      <c r="KE7" s="39">
        <f>EDATE(InceptionDate,287)</f>
        <v/>
      </c>
      <c r="KF7" s="39">
        <f>EDATE(InceptionDate,288)</f>
        <v/>
      </c>
      <c r="KG7" s="39">
        <f>EDATE(InceptionDate,289)</f>
        <v/>
      </c>
      <c r="KH7" s="39">
        <f>EDATE(InceptionDate,290)</f>
        <v/>
      </c>
      <c r="KI7" s="39">
        <f>EDATE(InceptionDate,291)</f>
        <v/>
      </c>
      <c r="KJ7" s="39">
        <f>EDATE(InceptionDate,292)</f>
        <v/>
      </c>
      <c r="KK7" s="39">
        <f>EDATE(InceptionDate,293)</f>
        <v/>
      </c>
      <c r="KL7" s="39">
        <f>EDATE(InceptionDate,294)</f>
        <v/>
      </c>
      <c r="KM7" s="39">
        <f>EDATE(InceptionDate,295)</f>
        <v/>
      </c>
      <c r="KN7" s="39">
        <f>EDATE(InceptionDate,296)</f>
        <v/>
      </c>
      <c r="KO7" s="39">
        <f>EDATE(InceptionDate,297)</f>
        <v/>
      </c>
      <c r="KP7" s="39">
        <f>EDATE(InceptionDate,298)</f>
        <v/>
      </c>
      <c r="KQ7" s="39">
        <f>EDATE(InceptionDate,299)</f>
        <v/>
      </c>
      <c r="KR7" s="39">
        <f>EDATE(InceptionDate,300)</f>
        <v/>
      </c>
      <c r="KS7" s="39">
        <f>EDATE(InceptionDate,301)</f>
        <v/>
      </c>
      <c r="KT7" s="39">
        <f>EDATE(InceptionDate,302)</f>
        <v/>
      </c>
      <c r="KU7" s="39">
        <f>EDATE(InceptionDate,303)</f>
        <v/>
      </c>
      <c r="KV7" s="39">
        <f>EDATE(InceptionDate,304)</f>
        <v/>
      </c>
      <c r="KW7" s="39">
        <f>EDATE(InceptionDate,305)</f>
        <v/>
      </c>
      <c r="KX7" s="39">
        <f>EDATE(InceptionDate,306)</f>
        <v/>
      </c>
      <c r="KY7" s="39">
        <f>EDATE(InceptionDate,307)</f>
        <v/>
      </c>
      <c r="KZ7" s="39">
        <f>EDATE(InceptionDate,308)</f>
        <v/>
      </c>
      <c r="LA7" s="39">
        <f>EDATE(InceptionDate,309)</f>
        <v/>
      </c>
      <c r="LB7" s="39">
        <f>EDATE(InceptionDate,310)</f>
        <v/>
      </c>
      <c r="LC7" s="39">
        <f>EDATE(InceptionDate,311)</f>
        <v/>
      </c>
      <c r="LD7" s="39">
        <f>EDATE(InceptionDate,312)</f>
        <v/>
      </c>
      <c r="LE7" s="39">
        <f>EDATE(InceptionDate,313)</f>
        <v/>
      </c>
      <c r="LF7" s="39">
        <f>EDATE(InceptionDate,314)</f>
        <v/>
      </c>
      <c r="LG7" s="39">
        <f>EDATE(InceptionDate,315)</f>
        <v/>
      </c>
      <c r="LH7" s="39">
        <f>EDATE(InceptionDate,316)</f>
        <v/>
      </c>
      <c r="LI7" s="39">
        <f>EDATE(InceptionDate,317)</f>
        <v/>
      </c>
      <c r="LJ7" s="39">
        <f>EDATE(InceptionDate,318)</f>
        <v/>
      </c>
      <c r="LK7" s="39">
        <f>EDATE(InceptionDate,319)</f>
        <v/>
      </c>
      <c r="LL7" s="39">
        <f>EDATE(InceptionDate,320)</f>
        <v/>
      </c>
      <c r="LM7" s="39">
        <f>EDATE(InceptionDate,321)</f>
        <v/>
      </c>
      <c r="LN7" s="39">
        <f>EDATE(InceptionDate,322)</f>
        <v/>
      </c>
      <c r="LO7" s="39">
        <f>EDATE(InceptionDate,323)</f>
        <v/>
      </c>
      <c r="LP7" s="39">
        <f>EDATE(InceptionDate,324)</f>
        <v/>
      </c>
      <c r="LQ7" s="39">
        <f>EDATE(InceptionDate,325)</f>
        <v/>
      </c>
      <c r="LR7" s="39">
        <f>EDATE(InceptionDate,326)</f>
        <v/>
      </c>
      <c r="LS7" s="39">
        <f>EDATE(InceptionDate,327)</f>
        <v/>
      </c>
      <c r="LT7" s="39">
        <f>EDATE(InceptionDate,328)</f>
        <v/>
      </c>
      <c r="LU7" s="39">
        <f>EDATE(InceptionDate,329)</f>
        <v/>
      </c>
      <c r="LV7" s="39">
        <f>EDATE(InceptionDate,330)</f>
        <v/>
      </c>
      <c r="LW7" s="39">
        <f>EDATE(InceptionDate,331)</f>
        <v/>
      </c>
      <c r="LX7" s="39">
        <f>EDATE(InceptionDate,332)</f>
        <v/>
      </c>
      <c r="LY7" s="39">
        <f>EDATE(InceptionDate,333)</f>
        <v/>
      </c>
      <c r="LZ7" s="39">
        <f>EDATE(InceptionDate,334)</f>
        <v/>
      </c>
      <c r="MA7" s="39">
        <f>EDATE(InceptionDate,335)</f>
        <v/>
      </c>
      <c r="MB7" s="39">
        <f>EDATE(InceptionDate,336)</f>
        <v/>
      </c>
      <c r="MC7" s="39">
        <f>EDATE(InceptionDate,337)</f>
        <v/>
      </c>
      <c r="MD7" s="39">
        <f>EDATE(InceptionDate,338)</f>
        <v/>
      </c>
      <c r="ME7" s="39">
        <f>EDATE(InceptionDate,339)</f>
        <v/>
      </c>
      <c r="MF7" s="39">
        <f>EDATE(InceptionDate,340)</f>
        <v/>
      </c>
      <c r="MG7" s="39">
        <f>EDATE(InceptionDate,341)</f>
        <v/>
      </c>
      <c r="MH7" s="39">
        <f>EDATE(InceptionDate,342)</f>
        <v/>
      </c>
      <c r="MI7" s="39">
        <f>EDATE(InceptionDate,343)</f>
        <v/>
      </c>
      <c r="MJ7" s="39">
        <f>EDATE(InceptionDate,344)</f>
        <v/>
      </c>
      <c r="MK7" s="39">
        <f>EDATE(InceptionDate,345)</f>
        <v/>
      </c>
      <c r="ML7" s="39">
        <f>EDATE(InceptionDate,346)</f>
        <v/>
      </c>
      <c r="MM7" s="39">
        <f>EDATE(InceptionDate,347)</f>
        <v/>
      </c>
      <c r="MN7" s="39">
        <f>EDATE(InceptionDate,348)</f>
        <v/>
      </c>
      <c r="MO7" s="39">
        <f>EDATE(InceptionDate,349)</f>
        <v/>
      </c>
      <c r="MP7" s="39">
        <f>EDATE(InceptionDate,350)</f>
        <v/>
      </c>
      <c r="MQ7" s="39">
        <f>EDATE(InceptionDate,351)</f>
        <v/>
      </c>
      <c r="MR7" s="39">
        <f>EDATE(InceptionDate,352)</f>
        <v/>
      </c>
      <c r="MS7" s="39">
        <f>EDATE(InceptionDate,353)</f>
        <v/>
      </c>
      <c r="MT7" s="39">
        <f>EDATE(InceptionDate,354)</f>
        <v/>
      </c>
      <c r="MU7" s="39">
        <f>EDATE(InceptionDate,355)</f>
        <v/>
      </c>
      <c r="MV7" s="39">
        <f>EDATE(InceptionDate,356)</f>
        <v/>
      </c>
      <c r="MW7" s="39">
        <f>EDATE(InceptionDate,357)</f>
        <v/>
      </c>
      <c r="MX7" s="39">
        <f>EDATE(InceptionDate,358)</f>
        <v/>
      </c>
      <c r="MY7" s="39">
        <f>EDATE(InceptionDate,359)</f>
        <v/>
      </c>
      <c r="MZ7" s="39">
        <f>EDATE(InceptionDate,360)</f>
        <v/>
      </c>
      <c r="NA7" s="39">
        <f>EDATE(InceptionDate,361)</f>
        <v/>
      </c>
      <c r="NB7" s="39">
        <f>EDATE(InceptionDate,362)</f>
        <v/>
      </c>
      <c r="NC7" s="39">
        <f>EDATE(InceptionDate,363)</f>
        <v/>
      </c>
      <c r="ND7" s="39">
        <f>EDATE(InceptionDate,364)</f>
        <v/>
      </c>
      <c r="NE7" s="39">
        <f>EDATE(InceptionDate,365)</f>
        <v/>
      </c>
      <c r="NF7" s="39">
        <f>EDATE(InceptionDate,366)</f>
        <v/>
      </c>
      <c r="NG7" s="39">
        <f>EDATE(InceptionDate,367)</f>
        <v/>
      </c>
      <c r="NH7" s="39">
        <f>EDATE(InceptionDate,368)</f>
        <v/>
      </c>
      <c r="NI7" s="39">
        <f>EDATE(InceptionDate,369)</f>
        <v/>
      </c>
      <c r="NJ7" s="39">
        <f>EDATE(InceptionDate,370)</f>
        <v/>
      </c>
      <c r="NK7" s="39">
        <f>EDATE(InceptionDate,371)</f>
        <v/>
      </c>
    </row>
    <row r="8">
      <c r="A8" s="5" t="inlineStr">
        <is>
          <t>Cumulative Units Delivered</t>
        </is>
      </c>
      <c r="C8" s="40" t="n"/>
      <c r="D8" s="17">
        <f>IF(1&lt;DeliverStart,0,MIN(TotalUnits,(1-DeliverStart+1)*UnitsDeliveredPerMo))</f>
        <v/>
      </c>
      <c r="E8" s="17">
        <f>IF(2&lt;DeliverStart,0,MIN(TotalUnits,(2-DeliverStart+1)*UnitsDeliveredPerMo))</f>
        <v/>
      </c>
      <c r="F8" s="17">
        <f>IF(3&lt;DeliverStart,0,MIN(TotalUnits,(3-DeliverStart+1)*UnitsDeliveredPerMo))</f>
        <v/>
      </c>
      <c r="G8" s="17">
        <f>IF(4&lt;DeliverStart,0,MIN(TotalUnits,(4-DeliverStart+1)*UnitsDeliveredPerMo))</f>
        <v/>
      </c>
      <c r="H8" s="17">
        <f>IF(5&lt;DeliverStart,0,MIN(TotalUnits,(5-DeliverStart+1)*UnitsDeliveredPerMo))</f>
        <v/>
      </c>
      <c r="I8" s="17">
        <f>IF(6&lt;DeliverStart,0,MIN(TotalUnits,(6-DeliverStart+1)*UnitsDeliveredPerMo))</f>
        <v/>
      </c>
      <c r="J8" s="17">
        <f>IF(7&lt;DeliverStart,0,MIN(TotalUnits,(7-DeliverStart+1)*UnitsDeliveredPerMo))</f>
        <v/>
      </c>
      <c r="K8" s="17">
        <f>IF(8&lt;DeliverStart,0,MIN(TotalUnits,(8-DeliverStart+1)*UnitsDeliveredPerMo))</f>
        <v/>
      </c>
      <c r="L8" s="17">
        <f>IF(9&lt;DeliverStart,0,MIN(TotalUnits,(9-DeliverStart+1)*UnitsDeliveredPerMo))</f>
        <v/>
      </c>
      <c r="M8" s="17">
        <f>IF(10&lt;DeliverStart,0,MIN(TotalUnits,(10-DeliverStart+1)*UnitsDeliveredPerMo))</f>
        <v/>
      </c>
      <c r="N8" s="17">
        <f>IF(11&lt;DeliverStart,0,MIN(TotalUnits,(11-DeliverStart+1)*UnitsDeliveredPerMo))</f>
        <v/>
      </c>
      <c r="O8" s="17">
        <f>IF(12&lt;DeliverStart,0,MIN(TotalUnits,(12-DeliverStart+1)*UnitsDeliveredPerMo))</f>
        <v/>
      </c>
      <c r="P8" s="17">
        <f>IF(13&lt;DeliverStart,0,MIN(TotalUnits,(13-DeliverStart+1)*UnitsDeliveredPerMo))</f>
        <v/>
      </c>
      <c r="Q8" s="17">
        <f>IF(14&lt;DeliverStart,0,MIN(TotalUnits,(14-DeliverStart+1)*UnitsDeliveredPerMo))</f>
        <v/>
      </c>
      <c r="R8" s="17">
        <f>IF(15&lt;DeliverStart,0,MIN(TotalUnits,(15-DeliverStart+1)*UnitsDeliveredPerMo))</f>
        <v/>
      </c>
      <c r="S8" s="17">
        <f>IF(16&lt;DeliverStart,0,MIN(TotalUnits,(16-DeliverStart+1)*UnitsDeliveredPerMo))</f>
        <v/>
      </c>
      <c r="T8" s="17">
        <f>IF(17&lt;DeliverStart,0,MIN(TotalUnits,(17-DeliverStart+1)*UnitsDeliveredPerMo))</f>
        <v/>
      </c>
      <c r="U8" s="17">
        <f>IF(18&lt;DeliverStart,0,MIN(TotalUnits,(18-DeliverStart+1)*UnitsDeliveredPerMo))</f>
        <v/>
      </c>
      <c r="V8" s="17">
        <f>IF(19&lt;DeliverStart,0,MIN(TotalUnits,(19-DeliverStart+1)*UnitsDeliveredPerMo))</f>
        <v/>
      </c>
      <c r="W8" s="17">
        <f>IF(20&lt;DeliverStart,0,MIN(TotalUnits,(20-DeliverStart+1)*UnitsDeliveredPerMo))</f>
        <v/>
      </c>
      <c r="X8" s="17">
        <f>IF(21&lt;DeliverStart,0,MIN(TotalUnits,(21-DeliverStart+1)*UnitsDeliveredPerMo))</f>
        <v/>
      </c>
      <c r="Y8" s="17">
        <f>IF(22&lt;DeliverStart,0,MIN(TotalUnits,(22-DeliverStart+1)*UnitsDeliveredPerMo))</f>
        <v/>
      </c>
      <c r="Z8" s="17">
        <f>IF(23&lt;DeliverStart,0,MIN(TotalUnits,(23-DeliverStart+1)*UnitsDeliveredPerMo))</f>
        <v/>
      </c>
      <c r="AA8" s="17">
        <f>IF(24&lt;DeliverStart,0,MIN(TotalUnits,(24-DeliverStart+1)*UnitsDeliveredPerMo))</f>
        <v/>
      </c>
      <c r="AB8" s="17">
        <f>IF(25&lt;DeliverStart,0,MIN(TotalUnits,(25-DeliverStart+1)*UnitsDeliveredPerMo))</f>
        <v/>
      </c>
      <c r="AC8" s="17">
        <f>IF(26&lt;DeliverStart,0,MIN(TotalUnits,(26-DeliverStart+1)*UnitsDeliveredPerMo))</f>
        <v/>
      </c>
      <c r="AD8" s="17">
        <f>IF(27&lt;DeliverStart,0,MIN(TotalUnits,(27-DeliverStart+1)*UnitsDeliveredPerMo))</f>
        <v/>
      </c>
      <c r="AE8" s="17">
        <f>IF(28&lt;DeliverStart,0,MIN(TotalUnits,(28-DeliverStart+1)*UnitsDeliveredPerMo))</f>
        <v/>
      </c>
      <c r="AF8" s="17">
        <f>IF(29&lt;DeliverStart,0,MIN(TotalUnits,(29-DeliverStart+1)*UnitsDeliveredPerMo))</f>
        <v/>
      </c>
      <c r="AG8" s="17">
        <f>IF(30&lt;DeliverStart,0,MIN(TotalUnits,(30-DeliverStart+1)*UnitsDeliveredPerMo))</f>
        <v/>
      </c>
      <c r="AH8" s="17">
        <f>IF(31&lt;DeliverStart,0,MIN(TotalUnits,(31-DeliverStart+1)*UnitsDeliveredPerMo))</f>
        <v/>
      </c>
      <c r="AI8" s="17">
        <f>IF(32&lt;DeliverStart,0,MIN(TotalUnits,(32-DeliverStart+1)*UnitsDeliveredPerMo))</f>
        <v/>
      </c>
      <c r="AJ8" s="17">
        <f>IF(33&lt;DeliverStart,0,MIN(TotalUnits,(33-DeliverStart+1)*UnitsDeliveredPerMo))</f>
        <v/>
      </c>
      <c r="AK8" s="17">
        <f>IF(34&lt;DeliverStart,0,MIN(TotalUnits,(34-DeliverStart+1)*UnitsDeliveredPerMo))</f>
        <v/>
      </c>
      <c r="AL8" s="17">
        <f>IF(35&lt;DeliverStart,0,MIN(TotalUnits,(35-DeliverStart+1)*UnitsDeliveredPerMo))</f>
        <v/>
      </c>
      <c r="AM8" s="17">
        <f>IF(36&lt;DeliverStart,0,MIN(TotalUnits,(36-DeliverStart+1)*UnitsDeliveredPerMo))</f>
        <v/>
      </c>
      <c r="AN8" s="17">
        <f>IF(37&lt;DeliverStart,0,MIN(TotalUnits,(37-DeliverStart+1)*UnitsDeliveredPerMo))</f>
        <v/>
      </c>
      <c r="AO8" s="17">
        <f>IF(38&lt;DeliverStart,0,MIN(TotalUnits,(38-DeliverStart+1)*UnitsDeliveredPerMo))</f>
        <v/>
      </c>
      <c r="AP8" s="17">
        <f>IF(39&lt;DeliverStart,0,MIN(TotalUnits,(39-DeliverStart+1)*UnitsDeliveredPerMo))</f>
        <v/>
      </c>
      <c r="AQ8" s="17">
        <f>IF(40&lt;DeliverStart,0,MIN(TotalUnits,(40-DeliverStart+1)*UnitsDeliveredPerMo))</f>
        <v/>
      </c>
      <c r="AR8" s="17">
        <f>IF(41&lt;DeliverStart,0,MIN(TotalUnits,(41-DeliverStart+1)*UnitsDeliveredPerMo))</f>
        <v/>
      </c>
      <c r="AS8" s="17">
        <f>IF(42&lt;DeliverStart,0,MIN(TotalUnits,(42-DeliverStart+1)*UnitsDeliveredPerMo))</f>
        <v/>
      </c>
      <c r="AT8" s="17">
        <f>IF(43&lt;DeliverStart,0,MIN(TotalUnits,(43-DeliverStart+1)*UnitsDeliveredPerMo))</f>
        <v/>
      </c>
      <c r="AU8" s="17">
        <f>IF(44&lt;DeliverStart,0,MIN(TotalUnits,(44-DeliverStart+1)*UnitsDeliveredPerMo))</f>
        <v/>
      </c>
      <c r="AV8" s="17">
        <f>IF(45&lt;DeliverStart,0,MIN(TotalUnits,(45-DeliverStart+1)*UnitsDeliveredPerMo))</f>
        <v/>
      </c>
      <c r="AW8" s="17">
        <f>IF(46&lt;DeliverStart,0,MIN(TotalUnits,(46-DeliverStart+1)*UnitsDeliveredPerMo))</f>
        <v/>
      </c>
      <c r="AX8" s="17">
        <f>IF(47&lt;DeliverStart,0,MIN(TotalUnits,(47-DeliverStart+1)*UnitsDeliveredPerMo))</f>
        <v/>
      </c>
      <c r="AY8" s="17">
        <f>IF(48&lt;DeliverStart,0,MIN(TotalUnits,(48-DeliverStart+1)*UnitsDeliveredPerMo))</f>
        <v/>
      </c>
      <c r="AZ8" s="17">
        <f>IF(49&lt;DeliverStart,0,MIN(TotalUnits,(49-DeliverStart+1)*UnitsDeliveredPerMo))</f>
        <v/>
      </c>
      <c r="BA8" s="17">
        <f>IF(50&lt;DeliverStart,0,MIN(TotalUnits,(50-DeliverStart+1)*UnitsDeliveredPerMo))</f>
        <v/>
      </c>
      <c r="BB8" s="17">
        <f>IF(51&lt;DeliverStart,0,MIN(TotalUnits,(51-DeliverStart+1)*UnitsDeliveredPerMo))</f>
        <v/>
      </c>
      <c r="BC8" s="17">
        <f>IF(52&lt;DeliverStart,0,MIN(TotalUnits,(52-DeliverStart+1)*UnitsDeliveredPerMo))</f>
        <v/>
      </c>
      <c r="BD8" s="17">
        <f>IF(53&lt;DeliverStart,0,MIN(TotalUnits,(53-DeliverStart+1)*UnitsDeliveredPerMo))</f>
        <v/>
      </c>
      <c r="BE8" s="17">
        <f>IF(54&lt;DeliverStart,0,MIN(TotalUnits,(54-DeliverStart+1)*UnitsDeliveredPerMo))</f>
        <v/>
      </c>
      <c r="BF8" s="17">
        <f>IF(55&lt;DeliverStart,0,MIN(TotalUnits,(55-DeliverStart+1)*UnitsDeliveredPerMo))</f>
        <v/>
      </c>
      <c r="BG8" s="17">
        <f>IF(56&lt;DeliverStart,0,MIN(TotalUnits,(56-DeliverStart+1)*UnitsDeliveredPerMo))</f>
        <v/>
      </c>
      <c r="BH8" s="17">
        <f>IF(57&lt;DeliverStart,0,MIN(TotalUnits,(57-DeliverStart+1)*UnitsDeliveredPerMo))</f>
        <v/>
      </c>
      <c r="BI8" s="17">
        <f>IF(58&lt;DeliverStart,0,MIN(TotalUnits,(58-DeliverStart+1)*UnitsDeliveredPerMo))</f>
        <v/>
      </c>
      <c r="BJ8" s="17">
        <f>IF(59&lt;DeliverStart,0,MIN(TotalUnits,(59-DeliverStart+1)*UnitsDeliveredPerMo))</f>
        <v/>
      </c>
      <c r="BK8" s="17">
        <f>IF(60&lt;DeliverStart,0,MIN(TotalUnits,(60-DeliverStart+1)*UnitsDeliveredPerMo))</f>
        <v/>
      </c>
      <c r="BL8" s="17">
        <f>IF(61&lt;DeliverStart,0,MIN(TotalUnits,(61-DeliverStart+1)*UnitsDeliveredPerMo))</f>
        <v/>
      </c>
      <c r="BM8" s="17">
        <f>IF(62&lt;DeliverStart,0,MIN(TotalUnits,(62-DeliverStart+1)*UnitsDeliveredPerMo))</f>
        <v/>
      </c>
      <c r="BN8" s="17">
        <f>IF(63&lt;DeliverStart,0,MIN(TotalUnits,(63-DeliverStart+1)*UnitsDeliveredPerMo))</f>
        <v/>
      </c>
      <c r="BO8" s="17">
        <f>IF(64&lt;DeliverStart,0,MIN(TotalUnits,(64-DeliverStart+1)*UnitsDeliveredPerMo))</f>
        <v/>
      </c>
      <c r="BP8" s="17">
        <f>IF(65&lt;DeliverStart,0,MIN(TotalUnits,(65-DeliverStart+1)*UnitsDeliveredPerMo))</f>
        <v/>
      </c>
      <c r="BQ8" s="17">
        <f>IF(66&lt;DeliverStart,0,MIN(TotalUnits,(66-DeliverStart+1)*UnitsDeliveredPerMo))</f>
        <v/>
      </c>
      <c r="BR8" s="17">
        <f>IF(67&lt;DeliverStart,0,MIN(TotalUnits,(67-DeliverStart+1)*UnitsDeliveredPerMo))</f>
        <v/>
      </c>
      <c r="BS8" s="17">
        <f>IF(68&lt;DeliverStart,0,MIN(TotalUnits,(68-DeliverStart+1)*UnitsDeliveredPerMo))</f>
        <v/>
      </c>
      <c r="BT8" s="17">
        <f>IF(69&lt;DeliverStart,0,MIN(TotalUnits,(69-DeliverStart+1)*UnitsDeliveredPerMo))</f>
        <v/>
      </c>
      <c r="BU8" s="17">
        <f>IF(70&lt;DeliverStart,0,MIN(TotalUnits,(70-DeliverStart+1)*UnitsDeliveredPerMo))</f>
        <v/>
      </c>
      <c r="BV8" s="17">
        <f>IF(71&lt;DeliverStart,0,MIN(TotalUnits,(71-DeliverStart+1)*UnitsDeliveredPerMo))</f>
        <v/>
      </c>
      <c r="BW8" s="17">
        <f>IF(72&lt;DeliverStart,0,MIN(TotalUnits,(72-DeliverStart+1)*UnitsDeliveredPerMo))</f>
        <v/>
      </c>
      <c r="BX8" s="17">
        <f>IF(73&lt;DeliverStart,0,MIN(TotalUnits,(73-DeliverStart+1)*UnitsDeliveredPerMo))</f>
        <v/>
      </c>
      <c r="BY8" s="17">
        <f>IF(74&lt;DeliverStart,0,MIN(TotalUnits,(74-DeliverStart+1)*UnitsDeliveredPerMo))</f>
        <v/>
      </c>
      <c r="BZ8" s="17">
        <f>IF(75&lt;DeliverStart,0,MIN(TotalUnits,(75-DeliverStart+1)*UnitsDeliveredPerMo))</f>
        <v/>
      </c>
      <c r="CA8" s="17">
        <f>IF(76&lt;DeliverStart,0,MIN(TotalUnits,(76-DeliverStart+1)*UnitsDeliveredPerMo))</f>
        <v/>
      </c>
      <c r="CB8" s="17">
        <f>IF(77&lt;DeliverStart,0,MIN(TotalUnits,(77-DeliverStart+1)*UnitsDeliveredPerMo))</f>
        <v/>
      </c>
      <c r="CC8" s="17">
        <f>IF(78&lt;DeliverStart,0,MIN(TotalUnits,(78-DeliverStart+1)*UnitsDeliveredPerMo))</f>
        <v/>
      </c>
      <c r="CD8" s="17">
        <f>IF(79&lt;DeliverStart,0,MIN(TotalUnits,(79-DeliverStart+1)*UnitsDeliveredPerMo))</f>
        <v/>
      </c>
      <c r="CE8" s="17">
        <f>IF(80&lt;DeliverStart,0,MIN(TotalUnits,(80-DeliverStart+1)*UnitsDeliveredPerMo))</f>
        <v/>
      </c>
      <c r="CF8" s="17">
        <f>IF(81&lt;DeliverStart,0,MIN(TotalUnits,(81-DeliverStart+1)*UnitsDeliveredPerMo))</f>
        <v/>
      </c>
      <c r="CG8" s="17">
        <f>IF(82&lt;DeliverStart,0,MIN(TotalUnits,(82-DeliverStart+1)*UnitsDeliveredPerMo))</f>
        <v/>
      </c>
      <c r="CH8" s="17">
        <f>IF(83&lt;DeliverStart,0,MIN(TotalUnits,(83-DeliverStart+1)*UnitsDeliveredPerMo))</f>
        <v/>
      </c>
      <c r="CI8" s="17">
        <f>IF(84&lt;DeliverStart,0,MIN(TotalUnits,(84-DeliverStart+1)*UnitsDeliveredPerMo))</f>
        <v/>
      </c>
      <c r="CJ8" s="17">
        <f>IF(85&lt;DeliverStart,0,MIN(TotalUnits,(85-DeliverStart+1)*UnitsDeliveredPerMo))</f>
        <v/>
      </c>
      <c r="CK8" s="17">
        <f>IF(86&lt;DeliverStart,0,MIN(TotalUnits,(86-DeliverStart+1)*UnitsDeliveredPerMo))</f>
        <v/>
      </c>
      <c r="CL8" s="17">
        <f>IF(87&lt;DeliverStart,0,MIN(TotalUnits,(87-DeliverStart+1)*UnitsDeliveredPerMo))</f>
        <v/>
      </c>
      <c r="CM8" s="17">
        <f>IF(88&lt;DeliverStart,0,MIN(TotalUnits,(88-DeliverStart+1)*UnitsDeliveredPerMo))</f>
        <v/>
      </c>
      <c r="CN8" s="17">
        <f>IF(89&lt;DeliverStart,0,MIN(TotalUnits,(89-DeliverStart+1)*UnitsDeliveredPerMo))</f>
        <v/>
      </c>
      <c r="CO8" s="17">
        <f>IF(90&lt;DeliverStart,0,MIN(TotalUnits,(90-DeliverStart+1)*UnitsDeliveredPerMo))</f>
        <v/>
      </c>
      <c r="CP8" s="17">
        <f>IF(91&lt;DeliverStart,0,MIN(TotalUnits,(91-DeliverStart+1)*UnitsDeliveredPerMo))</f>
        <v/>
      </c>
      <c r="CQ8" s="17">
        <f>IF(92&lt;DeliverStart,0,MIN(TotalUnits,(92-DeliverStart+1)*UnitsDeliveredPerMo))</f>
        <v/>
      </c>
      <c r="CR8" s="17">
        <f>IF(93&lt;DeliverStart,0,MIN(TotalUnits,(93-DeliverStart+1)*UnitsDeliveredPerMo))</f>
        <v/>
      </c>
      <c r="CS8" s="17">
        <f>IF(94&lt;DeliverStart,0,MIN(TotalUnits,(94-DeliverStart+1)*UnitsDeliveredPerMo))</f>
        <v/>
      </c>
      <c r="CT8" s="17">
        <f>IF(95&lt;DeliverStart,0,MIN(TotalUnits,(95-DeliverStart+1)*UnitsDeliveredPerMo))</f>
        <v/>
      </c>
      <c r="CU8" s="17">
        <f>IF(96&lt;DeliverStart,0,MIN(TotalUnits,(96-DeliverStart+1)*UnitsDeliveredPerMo))</f>
        <v/>
      </c>
      <c r="CV8" s="17">
        <f>IF(97&lt;DeliverStart,0,MIN(TotalUnits,(97-DeliverStart+1)*UnitsDeliveredPerMo))</f>
        <v/>
      </c>
      <c r="CW8" s="17">
        <f>IF(98&lt;DeliverStart,0,MIN(TotalUnits,(98-DeliverStart+1)*UnitsDeliveredPerMo))</f>
        <v/>
      </c>
      <c r="CX8" s="17">
        <f>IF(99&lt;DeliverStart,0,MIN(TotalUnits,(99-DeliverStart+1)*UnitsDeliveredPerMo))</f>
        <v/>
      </c>
      <c r="CY8" s="17">
        <f>IF(100&lt;DeliverStart,0,MIN(TotalUnits,(100-DeliverStart+1)*UnitsDeliveredPerMo))</f>
        <v/>
      </c>
      <c r="CZ8" s="17">
        <f>IF(101&lt;DeliverStart,0,MIN(TotalUnits,(101-DeliverStart+1)*UnitsDeliveredPerMo))</f>
        <v/>
      </c>
      <c r="DA8" s="17">
        <f>IF(102&lt;DeliverStart,0,MIN(TotalUnits,(102-DeliverStart+1)*UnitsDeliveredPerMo))</f>
        <v/>
      </c>
      <c r="DB8" s="17">
        <f>IF(103&lt;DeliverStart,0,MIN(TotalUnits,(103-DeliverStart+1)*UnitsDeliveredPerMo))</f>
        <v/>
      </c>
      <c r="DC8" s="17">
        <f>IF(104&lt;DeliverStart,0,MIN(TotalUnits,(104-DeliverStart+1)*UnitsDeliveredPerMo))</f>
        <v/>
      </c>
      <c r="DD8" s="17">
        <f>IF(105&lt;DeliverStart,0,MIN(TotalUnits,(105-DeliverStart+1)*UnitsDeliveredPerMo))</f>
        <v/>
      </c>
      <c r="DE8" s="17">
        <f>IF(106&lt;DeliverStart,0,MIN(TotalUnits,(106-DeliverStart+1)*UnitsDeliveredPerMo))</f>
        <v/>
      </c>
      <c r="DF8" s="17">
        <f>IF(107&lt;DeliverStart,0,MIN(TotalUnits,(107-DeliverStart+1)*UnitsDeliveredPerMo))</f>
        <v/>
      </c>
      <c r="DG8" s="17">
        <f>IF(108&lt;DeliverStart,0,MIN(TotalUnits,(108-DeliverStart+1)*UnitsDeliveredPerMo))</f>
        <v/>
      </c>
      <c r="DH8" s="17">
        <f>IF(109&lt;DeliverStart,0,MIN(TotalUnits,(109-DeliverStart+1)*UnitsDeliveredPerMo))</f>
        <v/>
      </c>
      <c r="DI8" s="17">
        <f>IF(110&lt;DeliverStart,0,MIN(TotalUnits,(110-DeliverStart+1)*UnitsDeliveredPerMo))</f>
        <v/>
      </c>
      <c r="DJ8" s="17">
        <f>IF(111&lt;DeliverStart,0,MIN(TotalUnits,(111-DeliverStart+1)*UnitsDeliveredPerMo))</f>
        <v/>
      </c>
      <c r="DK8" s="17">
        <f>IF(112&lt;DeliverStart,0,MIN(TotalUnits,(112-DeliverStart+1)*UnitsDeliveredPerMo))</f>
        <v/>
      </c>
      <c r="DL8" s="17">
        <f>IF(113&lt;DeliverStart,0,MIN(TotalUnits,(113-DeliverStart+1)*UnitsDeliveredPerMo))</f>
        <v/>
      </c>
      <c r="DM8" s="17">
        <f>IF(114&lt;DeliverStart,0,MIN(TotalUnits,(114-DeliverStart+1)*UnitsDeliveredPerMo))</f>
        <v/>
      </c>
      <c r="DN8" s="17">
        <f>IF(115&lt;DeliverStart,0,MIN(TotalUnits,(115-DeliverStart+1)*UnitsDeliveredPerMo))</f>
        <v/>
      </c>
      <c r="DO8" s="17">
        <f>IF(116&lt;DeliverStart,0,MIN(TotalUnits,(116-DeliverStart+1)*UnitsDeliveredPerMo))</f>
        <v/>
      </c>
      <c r="DP8" s="17">
        <f>IF(117&lt;DeliverStart,0,MIN(TotalUnits,(117-DeliverStart+1)*UnitsDeliveredPerMo))</f>
        <v/>
      </c>
      <c r="DQ8" s="17">
        <f>IF(118&lt;DeliverStart,0,MIN(TotalUnits,(118-DeliverStart+1)*UnitsDeliveredPerMo))</f>
        <v/>
      </c>
      <c r="DR8" s="17">
        <f>IF(119&lt;DeliverStart,0,MIN(TotalUnits,(119-DeliverStart+1)*UnitsDeliveredPerMo))</f>
        <v/>
      </c>
      <c r="DS8" s="17">
        <f>IF(120&lt;DeliverStart,0,MIN(TotalUnits,(120-DeliverStart+1)*UnitsDeliveredPerMo))</f>
        <v/>
      </c>
      <c r="DT8" s="17">
        <f>IF(121&lt;DeliverStart,0,MIN(TotalUnits,(121-DeliverStart+1)*UnitsDeliveredPerMo))</f>
        <v/>
      </c>
      <c r="DU8" s="17">
        <f>IF(122&lt;DeliverStart,0,MIN(TotalUnits,(122-DeliverStart+1)*UnitsDeliveredPerMo))</f>
        <v/>
      </c>
      <c r="DV8" s="17">
        <f>IF(123&lt;DeliverStart,0,MIN(TotalUnits,(123-DeliverStart+1)*UnitsDeliveredPerMo))</f>
        <v/>
      </c>
      <c r="DW8" s="17">
        <f>IF(124&lt;DeliverStart,0,MIN(TotalUnits,(124-DeliverStart+1)*UnitsDeliveredPerMo))</f>
        <v/>
      </c>
      <c r="DX8" s="17">
        <f>IF(125&lt;DeliverStart,0,MIN(TotalUnits,(125-DeliverStart+1)*UnitsDeliveredPerMo))</f>
        <v/>
      </c>
      <c r="DY8" s="17">
        <f>IF(126&lt;DeliverStart,0,MIN(TotalUnits,(126-DeliverStart+1)*UnitsDeliveredPerMo))</f>
        <v/>
      </c>
      <c r="DZ8" s="17">
        <f>IF(127&lt;DeliverStart,0,MIN(TotalUnits,(127-DeliverStart+1)*UnitsDeliveredPerMo))</f>
        <v/>
      </c>
      <c r="EA8" s="17">
        <f>IF(128&lt;DeliverStart,0,MIN(TotalUnits,(128-DeliverStart+1)*UnitsDeliveredPerMo))</f>
        <v/>
      </c>
      <c r="EB8" s="17">
        <f>IF(129&lt;DeliverStart,0,MIN(TotalUnits,(129-DeliverStart+1)*UnitsDeliveredPerMo))</f>
        <v/>
      </c>
      <c r="EC8" s="17">
        <f>IF(130&lt;DeliverStart,0,MIN(TotalUnits,(130-DeliverStart+1)*UnitsDeliveredPerMo))</f>
        <v/>
      </c>
      <c r="ED8" s="17">
        <f>IF(131&lt;DeliverStart,0,MIN(TotalUnits,(131-DeliverStart+1)*UnitsDeliveredPerMo))</f>
        <v/>
      </c>
      <c r="EE8" s="17">
        <f>IF(132&lt;DeliverStart,0,MIN(TotalUnits,(132-DeliverStart+1)*UnitsDeliveredPerMo))</f>
        <v/>
      </c>
      <c r="EF8" s="17">
        <f>IF(133&lt;DeliverStart,0,MIN(TotalUnits,(133-DeliverStart+1)*UnitsDeliveredPerMo))</f>
        <v/>
      </c>
      <c r="EG8" s="17">
        <f>IF(134&lt;DeliverStart,0,MIN(TotalUnits,(134-DeliverStart+1)*UnitsDeliveredPerMo))</f>
        <v/>
      </c>
      <c r="EH8" s="17">
        <f>IF(135&lt;DeliverStart,0,MIN(TotalUnits,(135-DeliverStart+1)*UnitsDeliveredPerMo))</f>
        <v/>
      </c>
      <c r="EI8" s="17">
        <f>IF(136&lt;DeliverStart,0,MIN(TotalUnits,(136-DeliverStart+1)*UnitsDeliveredPerMo))</f>
        <v/>
      </c>
      <c r="EJ8" s="17">
        <f>IF(137&lt;DeliverStart,0,MIN(TotalUnits,(137-DeliverStart+1)*UnitsDeliveredPerMo))</f>
        <v/>
      </c>
      <c r="EK8" s="17">
        <f>IF(138&lt;DeliverStart,0,MIN(TotalUnits,(138-DeliverStart+1)*UnitsDeliveredPerMo))</f>
        <v/>
      </c>
      <c r="EL8" s="17">
        <f>IF(139&lt;DeliverStart,0,MIN(TotalUnits,(139-DeliverStart+1)*UnitsDeliveredPerMo))</f>
        <v/>
      </c>
      <c r="EM8" s="17">
        <f>IF(140&lt;DeliverStart,0,MIN(TotalUnits,(140-DeliverStart+1)*UnitsDeliveredPerMo))</f>
        <v/>
      </c>
      <c r="EN8" s="17">
        <f>IF(141&lt;DeliverStart,0,MIN(TotalUnits,(141-DeliverStart+1)*UnitsDeliveredPerMo))</f>
        <v/>
      </c>
      <c r="EO8" s="17">
        <f>IF(142&lt;DeliverStart,0,MIN(TotalUnits,(142-DeliverStart+1)*UnitsDeliveredPerMo))</f>
        <v/>
      </c>
      <c r="EP8" s="17">
        <f>IF(143&lt;DeliverStart,0,MIN(TotalUnits,(143-DeliverStart+1)*UnitsDeliveredPerMo))</f>
        <v/>
      </c>
      <c r="EQ8" s="17">
        <f>IF(144&lt;DeliverStart,0,MIN(TotalUnits,(144-DeliverStart+1)*UnitsDeliveredPerMo))</f>
        <v/>
      </c>
      <c r="ER8" s="17">
        <f>IF(145&lt;DeliverStart,0,MIN(TotalUnits,(145-DeliverStart+1)*UnitsDeliveredPerMo))</f>
        <v/>
      </c>
      <c r="ES8" s="17">
        <f>IF(146&lt;DeliverStart,0,MIN(TotalUnits,(146-DeliverStart+1)*UnitsDeliveredPerMo))</f>
        <v/>
      </c>
      <c r="ET8" s="17">
        <f>IF(147&lt;DeliverStart,0,MIN(TotalUnits,(147-DeliverStart+1)*UnitsDeliveredPerMo))</f>
        <v/>
      </c>
      <c r="EU8" s="17">
        <f>IF(148&lt;DeliverStart,0,MIN(TotalUnits,(148-DeliverStart+1)*UnitsDeliveredPerMo))</f>
        <v/>
      </c>
      <c r="EV8" s="17">
        <f>IF(149&lt;DeliverStart,0,MIN(TotalUnits,(149-DeliverStart+1)*UnitsDeliveredPerMo))</f>
        <v/>
      </c>
      <c r="EW8" s="17">
        <f>IF(150&lt;DeliverStart,0,MIN(TotalUnits,(150-DeliverStart+1)*UnitsDeliveredPerMo))</f>
        <v/>
      </c>
      <c r="EX8" s="17">
        <f>IF(151&lt;DeliverStart,0,MIN(TotalUnits,(151-DeliverStart+1)*UnitsDeliveredPerMo))</f>
        <v/>
      </c>
      <c r="EY8" s="17">
        <f>IF(152&lt;DeliverStart,0,MIN(TotalUnits,(152-DeliverStart+1)*UnitsDeliveredPerMo))</f>
        <v/>
      </c>
      <c r="EZ8" s="17">
        <f>IF(153&lt;DeliverStart,0,MIN(TotalUnits,(153-DeliverStart+1)*UnitsDeliveredPerMo))</f>
        <v/>
      </c>
      <c r="FA8" s="17">
        <f>IF(154&lt;DeliverStart,0,MIN(TotalUnits,(154-DeliverStart+1)*UnitsDeliveredPerMo))</f>
        <v/>
      </c>
      <c r="FB8" s="17">
        <f>IF(155&lt;DeliverStart,0,MIN(TotalUnits,(155-DeliverStart+1)*UnitsDeliveredPerMo))</f>
        <v/>
      </c>
      <c r="FC8" s="17">
        <f>IF(156&lt;DeliverStart,0,MIN(TotalUnits,(156-DeliverStart+1)*UnitsDeliveredPerMo))</f>
        <v/>
      </c>
      <c r="FD8" s="17">
        <f>IF(157&lt;DeliverStart,0,MIN(TotalUnits,(157-DeliverStart+1)*UnitsDeliveredPerMo))</f>
        <v/>
      </c>
      <c r="FE8" s="17">
        <f>IF(158&lt;DeliverStart,0,MIN(TotalUnits,(158-DeliverStart+1)*UnitsDeliveredPerMo))</f>
        <v/>
      </c>
      <c r="FF8" s="17">
        <f>IF(159&lt;DeliverStart,0,MIN(TotalUnits,(159-DeliverStart+1)*UnitsDeliveredPerMo))</f>
        <v/>
      </c>
      <c r="FG8" s="17">
        <f>IF(160&lt;DeliverStart,0,MIN(TotalUnits,(160-DeliverStart+1)*UnitsDeliveredPerMo))</f>
        <v/>
      </c>
      <c r="FH8" s="17">
        <f>IF(161&lt;DeliverStart,0,MIN(TotalUnits,(161-DeliverStart+1)*UnitsDeliveredPerMo))</f>
        <v/>
      </c>
      <c r="FI8" s="17">
        <f>IF(162&lt;DeliverStart,0,MIN(TotalUnits,(162-DeliverStart+1)*UnitsDeliveredPerMo))</f>
        <v/>
      </c>
      <c r="FJ8" s="17">
        <f>IF(163&lt;DeliverStart,0,MIN(TotalUnits,(163-DeliverStart+1)*UnitsDeliveredPerMo))</f>
        <v/>
      </c>
      <c r="FK8" s="17">
        <f>IF(164&lt;DeliverStart,0,MIN(TotalUnits,(164-DeliverStart+1)*UnitsDeliveredPerMo))</f>
        <v/>
      </c>
      <c r="FL8" s="17">
        <f>IF(165&lt;DeliverStart,0,MIN(TotalUnits,(165-DeliverStart+1)*UnitsDeliveredPerMo))</f>
        <v/>
      </c>
      <c r="FM8" s="17">
        <f>IF(166&lt;DeliverStart,0,MIN(TotalUnits,(166-DeliverStart+1)*UnitsDeliveredPerMo))</f>
        <v/>
      </c>
      <c r="FN8" s="17">
        <f>IF(167&lt;DeliverStart,0,MIN(TotalUnits,(167-DeliverStart+1)*UnitsDeliveredPerMo))</f>
        <v/>
      </c>
      <c r="FO8" s="17">
        <f>IF(168&lt;DeliverStart,0,MIN(TotalUnits,(168-DeliverStart+1)*UnitsDeliveredPerMo))</f>
        <v/>
      </c>
      <c r="FP8" s="17">
        <f>IF(169&lt;DeliverStart,0,MIN(TotalUnits,(169-DeliverStart+1)*UnitsDeliveredPerMo))</f>
        <v/>
      </c>
      <c r="FQ8" s="17">
        <f>IF(170&lt;DeliverStart,0,MIN(TotalUnits,(170-DeliverStart+1)*UnitsDeliveredPerMo))</f>
        <v/>
      </c>
      <c r="FR8" s="17">
        <f>IF(171&lt;DeliverStart,0,MIN(TotalUnits,(171-DeliverStart+1)*UnitsDeliveredPerMo))</f>
        <v/>
      </c>
      <c r="FS8" s="17">
        <f>IF(172&lt;DeliverStart,0,MIN(TotalUnits,(172-DeliverStart+1)*UnitsDeliveredPerMo))</f>
        <v/>
      </c>
      <c r="FT8" s="17">
        <f>IF(173&lt;DeliverStart,0,MIN(TotalUnits,(173-DeliverStart+1)*UnitsDeliveredPerMo))</f>
        <v/>
      </c>
      <c r="FU8" s="17">
        <f>IF(174&lt;DeliverStart,0,MIN(TotalUnits,(174-DeliverStart+1)*UnitsDeliveredPerMo))</f>
        <v/>
      </c>
      <c r="FV8" s="17">
        <f>IF(175&lt;DeliverStart,0,MIN(TotalUnits,(175-DeliverStart+1)*UnitsDeliveredPerMo))</f>
        <v/>
      </c>
      <c r="FW8" s="17">
        <f>IF(176&lt;DeliverStart,0,MIN(TotalUnits,(176-DeliverStart+1)*UnitsDeliveredPerMo))</f>
        <v/>
      </c>
      <c r="FX8" s="17">
        <f>IF(177&lt;DeliverStart,0,MIN(TotalUnits,(177-DeliverStart+1)*UnitsDeliveredPerMo))</f>
        <v/>
      </c>
      <c r="FY8" s="17">
        <f>IF(178&lt;DeliverStart,0,MIN(TotalUnits,(178-DeliverStart+1)*UnitsDeliveredPerMo))</f>
        <v/>
      </c>
      <c r="FZ8" s="17">
        <f>IF(179&lt;DeliverStart,0,MIN(TotalUnits,(179-DeliverStart+1)*UnitsDeliveredPerMo))</f>
        <v/>
      </c>
      <c r="GA8" s="17">
        <f>IF(180&lt;DeliverStart,0,MIN(TotalUnits,(180-DeliverStart+1)*UnitsDeliveredPerMo))</f>
        <v/>
      </c>
      <c r="GB8" s="17">
        <f>IF(181&lt;DeliverStart,0,MIN(TotalUnits,(181-DeliverStart+1)*UnitsDeliveredPerMo))</f>
        <v/>
      </c>
      <c r="GC8" s="17">
        <f>IF(182&lt;DeliverStart,0,MIN(TotalUnits,(182-DeliverStart+1)*UnitsDeliveredPerMo))</f>
        <v/>
      </c>
      <c r="GD8" s="17">
        <f>IF(183&lt;DeliverStart,0,MIN(TotalUnits,(183-DeliverStart+1)*UnitsDeliveredPerMo))</f>
        <v/>
      </c>
      <c r="GE8" s="17">
        <f>IF(184&lt;DeliverStart,0,MIN(TotalUnits,(184-DeliverStart+1)*UnitsDeliveredPerMo))</f>
        <v/>
      </c>
      <c r="GF8" s="17">
        <f>IF(185&lt;DeliverStart,0,MIN(TotalUnits,(185-DeliverStart+1)*UnitsDeliveredPerMo))</f>
        <v/>
      </c>
      <c r="GG8" s="17">
        <f>IF(186&lt;DeliverStart,0,MIN(TotalUnits,(186-DeliverStart+1)*UnitsDeliveredPerMo))</f>
        <v/>
      </c>
      <c r="GH8" s="17">
        <f>IF(187&lt;DeliverStart,0,MIN(TotalUnits,(187-DeliverStart+1)*UnitsDeliveredPerMo))</f>
        <v/>
      </c>
      <c r="GI8" s="17">
        <f>IF(188&lt;DeliverStart,0,MIN(TotalUnits,(188-DeliverStart+1)*UnitsDeliveredPerMo))</f>
        <v/>
      </c>
      <c r="GJ8" s="17">
        <f>IF(189&lt;DeliverStart,0,MIN(TotalUnits,(189-DeliverStart+1)*UnitsDeliveredPerMo))</f>
        <v/>
      </c>
      <c r="GK8" s="17">
        <f>IF(190&lt;DeliverStart,0,MIN(TotalUnits,(190-DeliverStart+1)*UnitsDeliveredPerMo))</f>
        <v/>
      </c>
      <c r="GL8" s="17">
        <f>IF(191&lt;DeliverStart,0,MIN(TotalUnits,(191-DeliverStart+1)*UnitsDeliveredPerMo))</f>
        <v/>
      </c>
      <c r="GM8" s="17">
        <f>IF(192&lt;DeliverStart,0,MIN(TotalUnits,(192-DeliverStart+1)*UnitsDeliveredPerMo))</f>
        <v/>
      </c>
      <c r="GN8" s="17">
        <f>IF(193&lt;DeliverStart,0,MIN(TotalUnits,(193-DeliverStart+1)*UnitsDeliveredPerMo))</f>
        <v/>
      </c>
      <c r="GO8" s="17">
        <f>IF(194&lt;DeliverStart,0,MIN(TotalUnits,(194-DeliverStart+1)*UnitsDeliveredPerMo))</f>
        <v/>
      </c>
      <c r="GP8" s="17">
        <f>IF(195&lt;DeliverStart,0,MIN(TotalUnits,(195-DeliverStart+1)*UnitsDeliveredPerMo))</f>
        <v/>
      </c>
      <c r="GQ8" s="17">
        <f>IF(196&lt;DeliverStart,0,MIN(TotalUnits,(196-DeliverStart+1)*UnitsDeliveredPerMo))</f>
        <v/>
      </c>
      <c r="GR8" s="17">
        <f>IF(197&lt;DeliverStart,0,MIN(TotalUnits,(197-DeliverStart+1)*UnitsDeliveredPerMo))</f>
        <v/>
      </c>
      <c r="GS8" s="17">
        <f>IF(198&lt;DeliverStart,0,MIN(TotalUnits,(198-DeliverStart+1)*UnitsDeliveredPerMo))</f>
        <v/>
      </c>
      <c r="GT8" s="17">
        <f>IF(199&lt;DeliverStart,0,MIN(TotalUnits,(199-DeliverStart+1)*UnitsDeliveredPerMo))</f>
        <v/>
      </c>
      <c r="GU8" s="17">
        <f>IF(200&lt;DeliverStart,0,MIN(TotalUnits,(200-DeliverStart+1)*UnitsDeliveredPerMo))</f>
        <v/>
      </c>
      <c r="GV8" s="17">
        <f>IF(201&lt;DeliverStart,0,MIN(TotalUnits,(201-DeliverStart+1)*UnitsDeliveredPerMo))</f>
        <v/>
      </c>
      <c r="GW8" s="17">
        <f>IF(202&lt;DeliverStart,0,MIN(TotalUnits,(202-DeliverStart+1)*UnitsDeliveredPerMo))</f>
        <v/>
      </c>
      <c r="GX8" s="17">
        <f>IF(203&lt;DeliverStart,0,MIN(TotalUnits,(203-DeliverStart+1)*UnitsDeliveredPerMo))</f>
        <v/>
      </c>
      <c r="GY8" s="17">
        <f>IF(204&lt;DeliverStart,0,MIN(TotalUnits,(204-DeliverStart+1)*UnitsDeliveredPerMo))</f>
        <v/>
      </c>
      <c r="GZ8" s="17">
        <f>IF(205&lt;DeliverStart,0,MIN(TotalUnits,(205-DeliverStart+1)*UnitsDeliveredPerMo))</f>
        <v/>
      </c>
      <c r="HA8" s="17">
        <f>IF(206&lt;DeliverStart,0,MIN(TotalUnits,(206-DeliverStart+1)*UnitsDeliveredPerMo))</f>
        <v/>
      </c>
      <c r="HB8" s="17">
        <f>IF(207&lt;DeliverStart,0,MIN(TotalUnits,(207-DeliverStart+1)*UnitsDeliveredPerMo))</f>
        <v/>
      </c>
      <c r="HC8" s="17">
        <f>IF(208&lt;DeliverStart,0,MIN(TotalUnits,(208-DeliverStart+1)*UnitsDeliveredPerMo))</f>
        <v/>
      </c>
      <c r="HD8" s="17">
        <f>IF(209&lt;DeliverStart,0,MIN(TotalUnits,(209-DeliverStart+1)*UnitsDeliveredPerMo))</f>
        <v/>
      </c>
      <c r="HE8" s="17">
        <f>IF(210&lt;DeliverStart,0,MIN(TotalUnits,(210-DeliverStart+1)*UnitsDeliveredPerMo))</f>
        <v/>
      </c>
      <c r="HF8" s="17">
        <f>IF(211&lt;DeliverStart,0,MIN(TotalUnits,(211-DeliverStart+1)*UnitsDeliveredPerMo))</f>
        <v/>
      </c>
      <c r="HG8" s="17">
        <f>IF(212&lt;DeliverStart,0,MIN(TotalUnits,(212-DeliverStart+1)*UnitsDeliveredPerMo))</f>
        <v/>
      </c>
      <c r="HH8" s="17">
        <f>IF(213&lt;DeliverStart,0,MIN(TotalUnits,(213-DeliverStart+1)*UnitsDeliveredPerMo))</f>
        <v/>
      </c>
      <c r="HI8" s="17">
        <f>IF(214&lt;DeliverStart,0,MIN(TotalUnits,(214-DeliverStart+1)*UnitsDeliveredPerMo))</f>
        <v/>
      </c>
      <c r="HJ8" s="17">
        <f>IF(215&lt;DeliverStart,0,MIN(TotalUnits,(215-DeliverStart+1)*UnitsDeliveredPerMo))</f>
        <v/>
      </c>
      <c r="HK8" s="17">
        <f>IF(216&lt;DeliverStart,0,MIN(TotalUnits,(216-DeliverStart+1)*UnitsDeliveredPerMo))</f>
        <v/>
      </c>
      <c r="HL8" s="17">
        <f>IF(217&lt;DeliverStart,0,MIN(TotalUnits,(217-DeliverStart+1)*UnitsDeliveredPerMo))</f>
        <v/>
      </c>
      <c r="HM8" s="17">
        <f>IF(218&lt;DeliverStart,0,MIN(TotalUnits,(218-DeliverStart+1)*UnitsDeliveredPerMo))</f>
        <v/>
      </c>
      <c r="HN8" s="17">
        <f>IF(219&lt;DeliverStart,0,MIN(TotalUnits,(219-DeliverStart+1)*UnitsDeliveredPerMo))</f>
        <v/>
      </c>
      <c r="HO8" s="17">
        <f>IF(220&lt;DeliverStart,0,MIN(TotalUnits,(220-DeliverStart+1)*UnitsDeliveredPerMo))</f>
        <v/>
      </c>
      <c r="HP8" s="17">
        <f>IF(221&lt;DeliverStart,0,MIN(TotalUnits,(221-DeliverStart+1)*UnitsDeliveredPerMo))</f>
        <v/>
      </c>
      <c r="HQ8" s="17">
        <f>IF(222&lt;DeliverStart,0,MIN(TotalUnits,(222-DeliverStart+1)*UnitsDeliveredPerMo))</f>
        <v/>
      </c>
      <c r="HR8" s="17">
        <f>IF(223&lt;DeliverStart,0,MIN(TotalUnits,(223-DeliverStart+1)*UnitsDeliveredPerMo))</f>
        <v/>
      </c>
      <c r="HS8" s="17">
        <f>IF(224&lt;DeliverStart,0,MIN(TotalUnits,(224-DeliverStart+1)*UnitsDeliveredPerMo))</f>
        <v/>
      </c>
      <c r="HT8" s="17">
        <f>IF(225&lt;DeliverStart,0,MIN(TotalUnits,(225-DeliverStart+1)*UnitsDeliveredPerMo))</f>
        <v/>
      </c>
      <c r="HU8" s="17">
        <f>IF(226&lt;DeliverStart,0,MIN(TotalUnits,(226-DeliverStart+1)*UnitsDeliveredPerMo))</f>
        <v/>
      </c>
      <c r="HV8" s="17">
        <f>IF(227&lt;DeliverStart,0,MIN(TotalUnits,(227-DeliverStart+1)*UnitsDeliveredPerMo))</f>
        <v/>
      </c>
      <c r="HW8" s="17">
        <f>IF(228&lt;DeliverStart,0,MIN(TotalUnits,(228-DeliverStart+1)*UnitsDeliveredPerMo))</f>
        <v/>
      </c>
      <c r="HX8" s="17">
        <f>IF(229&lt;DeliverStart,0,MIN(TotalUnits,(229-DeliverStart+1)*UnitsDeliveredPerMo))</f>
        <v/>
      </c>
      <c r="HY8" s="17">
        <f>IF(230&lt;DeliverStart,0,MIN(TotalUnits,(230-DeliverStart+1)*UnitsDeliveredPerMo))</f>
        <v/>
      </c>
      <c r="HZ8" s="17">
        <f>IF(231&lt;DeliverStart,0,MIN(TotalUnits,(231-DeliverStart+1)*UnitsDeliveredPerMo))</f>
        <v/>
      </c>
      <c r="IA8" s="17">
        <f>IF(232&lt;DeliverStart,0,MIN(TotalUnits,(232-DeliverStart+1)*UnitsDeliveredPerMo))</f>
        <v/>
      </c>
      <c r="IB8" s="17">
        <f>IF(233&lt;DeliverStart,0,MIN(TotalUnits,(233-DeliverStart+1)*UnitsDeliveredPerMo))</f>
        <v/>
      </c>
      <c r="IC8" s="17">
        <f>IF(234&lt;DeliverStart,0,MIN(TotalUnits,(234-DeliverStart+1)*UnitsDeliveredPerMo))</f>
        <v/>
      </c>
      <c r="ID8" s="17">
        <f>IF(235&lt;DeliverStart,0,MIN(TotalUnits,(235-DeliverStart+1)*UnitsDeliveredPerMo))</f>
        <v/>
      </c>
      <c r="IE8" s="17">
        <f>IF(236&lt;DeliverStart,0,MIN(TotalUnits,(236-DeliverStart+1)*UnitsDeliveredPerMo))</f>
        <v/>
      </c>
      <c r="IF8" s="17">
        <f>IF(237&lt;DeliverStart,0,MIN(TotalUnits,(237-DeliverStart+1)*UnitsDeliveredPerMo))</f>
        <v/>
      </c>
      <c r="IG8" s="17">
        <f>IF(238&lt;DeliverStart,0,MIN(TotalUnits,(238-DeliverStart+1)*UnitsDeliveredPerMo))</f>
        <v/>
      </c>
      <c r="IH8" s="17">
        <f>IF(239&lt;DeliverStart,0,MIN(TotalUnits,(239-DeliverStart+1)*UnitsDeliveredPerMo))</f>
        <v/>
      </c>
      <c r="II8" s="17">
        <f>IF(240&lt;DeliverStart,0,MIN(TotalUnits,(240-DeliverStart+1)*UnitsDeliveredPerMo))</f>
        <v/>
      </c>
      <c r="IJ8" s="17">
        <f>IF(241&lt;DeliverStart,0,MIN(TotalUnits,(241-DeliverStart+1)*UnitsDeliveredPerMo))</f>
        <v/>
      </c>
      <c r="IK8" s="17">
        <f>IF(242&lt;DeliverStart,0,MIN(TotalUnits,(242-DeliverStart+1)*UnitsDeliveredPerMo))</f>
        <v/>
      </c>
      <c r="IL8" s="17">
        <f>IF(243&lt;DeliverStart,0,MIN(TotalUnits,(243-DeliverStart+1)*UnitsDeliveredPerMo))</f>
        <v/>
      </c>
      <c r="IM8" s="17">
        <f>IF(244&lt;DeliverStart,0,MIN(TotalUnits,(244-DeliverStart+1)*UnitsDeliveredPerMo))</f>
        <v/>
      </c>
      <c r="IN8" s="17">
        <f>IF(245&lt;DeliverStart,0,MIN(TotalUnits,(245-DeliverStart+1)*UnitsDeliveredPerMo))</f>
        <v/>
      </c>
      <c r="IO8" s="17">
        <f>IF(246&lt;DeliverStart,0,MIN(TotalUnits,(246-DeliverStart+1)*UnitsDeliveredPerMo))</f>
        <v/>
      </c>
      <c r="IP8" s="17">
        <f>IF(247&lt;DeliverStart,0,MIN(TotalUnits,(247-DeliverStart+1)*UnitsDeliveredPerMo))</f>
        <v/>
      </c>
      <c r="IQ8" s="17">
        <f>IF(248&lt;DeliverStart,0,MIN(TotalUnits,(248-DeliverStart+1)*UnitsDeliveredPerMo))</f>
        <v/>
      </c>
      <c r="IR8" s="17">
        <f>IF(249&lt;DeliverStart,0,MIN(TotalUnits,(249-DeliverStart+1)*UnitsDeliveredPerMo))</f>
        <v/>
      </c>
      <c r="IS8" s="17">
        <f>IF(250&lt;DeliverStart,0,MIN(TotalUnits,(250-DeliverStart+1)*UnitsDeliveredPerMo))</f>
        <v/>
      </c>
      <c r="IT8" s="17">
        <f>IF(251&lt;DeliverStart,0,MIN(TotalUnits,(251-DeliverStart+1)*UnitsDeliveredPerMo))</f>
        <v/>
      </c>
      <c r="IU8" s="17">
        <f>IF(252&lt;DeliverStart,0,MIN(TotalUnits,(252-DeliverStart+1)*UnitsDeliveredPerMo))</f>
        <v/>
      </c>
      <c r="IV8" s="17">
        <f>IF(253&lt;DeliverStart,0,MIN(TotalUnits,(253-DeliverStart+1)*UnitsDeliveredPerMo))</f>
        <v/>
      </c>
      <c r="IW8" s="17">
        <f>IF(254&lt;DeliverStart,0,MIN(TotalUnits,(254-DeliverStart+1)*UnitsDeliveredPerMo))</f>
        <v/>
      </c>
      <c r="IX8" s="17">
        <f>IF(255&lt;DeliverStart,0,MIN(TotalUnits,(255-DeliverStart+1)*UnitsDeliveredPerMo))</f>
        <v/>
      </c>
      <c r="IY8" s="17">
        <f>IF(256&lt;DeliverStart,0,MIN(TotalUnits,(256-DeliverStart+1)*UnitsDeliveredPerMo))</f>
        <v/>
      </c>
      <c r="IZ8" s="17">
        <f>IF(257&lt;DeliverStart,0,MIN(TotalUnits,(257-DeliverStart+1)*UnitsDeliveredPerMo))</f>
        <v/>
      </c>
      <c r="JA8" s="17">
        <f>IF(258&lt;DeliverStart,0,MIN(TotalUnits,(258-DeliverStart+1)*UnitsDeliveredPerMo))</f>
        <v/>
      </c>
      <c r="JB8" s="17">
        <f>IF(259&lt;DeliverStart,0,MIN(TotalUnits,(259-DeliverStart+1)*UnitsDeliveredPerMo))</f>
        <v/>
      </c>
      <c r="JC8" s="17">
        <f>IF(260&lt;DeliverStart,0,MIN(TotalUnits,(260-DeliverStart+1)*UnitsDeliveredPerMo))</f>
        <v/>
      </c>
      <c r="JD8" s="17">
        <f>IF(261&lt;DeliverStart,0,MIN(TotalUnits,(261-DeliverStart+1)*UnitsDeliveredPerMo))</f>
        <v/>
      </c>
      <c r="JE8" s="17">
        <f>IF(262&lt;DeliverStart,0,MIN(TotalUnits,(262-DeliverStart+1)*UnitsDeliveredPerMo))</f>
        <v/>
      </c>
      <c r="JF8" s="17">
        <f>IF(263&lt;DeliverStart,0,MIN(TotalUnits,(263-DeliverStart+1)*UnitsDeliveredPerMo))</f>
        <v/>
      </c>
      <c r="JG8" s="17">
        <f>IF(264&lt;DeliverStart,0,MIN(TotalUnits,(264-DeliverStart+1)*UnitsDeliveredPerMo))</f>
        <v/>
      </c>
      <c r="JH8" s="17">
        <f>IF(265&lt;DeliverStart,0,MIN(TotalUnits,(265-DeliverStart+1)*UnitsDeliveredPerMo))</f>
        <v/>
      </c>
      <c r="JI8" s="17">
        <f>IF(266&lt;DeliverStart,0,MIN(TotalUnits,(266-DeliverStart+1)*UnitsDeliveredPerMo))</f>
        <v/>
      </c>
      <c r="JJ8" s="17">
        <f>IF(267&lt;DeliverStart,0,MIN(TotalUnits,(267-DeliverStart+1)*UnitsDeliveredPerMo))</f>
        <v/>
      </c>
      <c r="JK8" s="17">
        <f>IF(268&lt;DeliverStart,0,MIN(TotalUnits,(268-DeliverStart+1)*UnitsDeliveredPerMo))</f>
        <v/>
      </c>
      <c r="JL8" s="17">
        <f>IF(269&lt;DeliverStart,0,MIN(TotalUnits,(269-DeliverStart+1)*UnitsDeliveredPerMo))</f>
        <v/>
      </c>
      <c r="JM8" s="17">
        <f>IF(270&lt;DeliverStart,0,MIN(TotalUnits,(270-DeliverStart+1)*UnitsDeliveredPerMo))</f>
        <v/>
      </c>
      <c r="JN8" s="17">
        <f>IF(271&lt;DeliverStart,0,MIN(TotalUnits,(271-DeliverStart+1)*UnitsDeliveredPerMo))</f>
        <v/>
      </c>
      <c r="JO8" s="17">
        <f>IF(272&lt;DeliverStart,0,MIN(TotalUnits,(272-DeliverStart+1)*UnitsDeliveredPerMo))</f>
        <v/>
      </c>
      <c r="JP8" s="17">
        <f>IF(273&lt;DeliverStart,0,MIN(TotalUnits,(273-DeliverStart+1)*UnitsDeliveredPerMo))</f>
        <v/>
      </c>
      <c r="JQ8" s="17">
        <f>IF(274&lt;DeliverStart,0,MIN(TotalUnits,(274-DeliverStart+1)*UnitsDeliveredPerMo))</f>
        <v/>
      </c>
      <c r="JR8" s="17">
        <f>IF(275&lt;DeliverStart,0,MIN(TotalUnits,(275-DeliverStart+1)*UnitsDeliveredPerMo))</f>
        <v/>
      </c>
      <c r="JS8" s="17">
        <f>IF(276&lt;DeliverStart,0,MIN(TotalUnits,(276-DeliverStart+1)*UnitsDeliveredPerMo))</f>
        <v/>
      </c>
      <c r="JT8" s="17">
        <f>IF(277&lt;DeliverStart,0,MIN(TotalUnits,(277-DeliverStart+1)*UnitsDeliveredPerMo))</f>
        <v/>
      </c>
      <c r="JU8" s="17">
        <f>IF(278&lt;DeliverStart,0,MIN(TotalUnits,(278-DeliverStart+1)*UnitsDeliveredPerMo))</f>
        <v/>
      </c>
      <c r="JV8" s="17">
        <f>IF(279&lt;DeliverStart,0,MIN(TotalUnits,(279-DeliverStart+1)*UnitsDeliveredPerMo))</f>
        <v/>
      </c>
      <c r="JW8" s="17">
        <f>IF(280&lt;DeliverStart,0,MIN(TotalUnits,(280-DeliverStart+1)*UnitsDeliveredPerMo))</f>
        <v/>
      </c>
      <c r="JX8" s="17">
        <f>IF(281&lt;DeliverStart,0,MIN(TotalUnits,(281-DeliverStart+1)*UnitsDeliveredPerMo))</f>
        <v/>
      </c>
      <c r="JY8" s="17">
        <f>IF(282&lt;DeliverStart,0,MIN(TotalUnits,(282-DeliverStart+1)*UnitsDeliveredPerMo))</f>
        <v/>
      </c>
      <c r="JZ8" s="17">
        <f>IF(283&lt;DeliverStart,0,MIN(TotalUnits,(283-DeliverStart+1)*UnitsDeliveredPerMo))</f>
        <v/>
      </c>
      <c r="KA8" s="17">
        <f>IF(284&lt;DeliverStart,0,MIN(TotalUnits,(284-DeliverStart+1)*UnitsDeliveredPerMo))</f>
        <v/>
      </c>
      <c r="KB8" s="17">
        <f>IF(285&lt;DeliverStart,0,MIN(TotalUnits,(285-DeliverStart+1)*UnitsDeliveredPerMo))</f>
        <v/>
      </c>
      <c r="KC8" s="17">
        <f>IF(286&lt;DeliverStart,0,MIN(TotalUnits,(286-DeliverStart+1)*UnitsDeliveredPerMo))</f>
        <v/>
      </c>
      <c r="KD8" s="17">
        <f>IF(287&lt;DeliverStart,0,MIN(TotalUnits,(287-DeliverStart+1)*UnitsDeliveredPerMo))</f>
        <v/>
      </c>
      <c r="KE8" s="17">
        <f>IF(288&lt;DeliverStart,0,MIN(TotalUnits,(288-DeliverStart+1)*UnitsDeliveredPerMo))</f>
        <v/>
      </c>
      <c r="KF8" s="17">
        <f>IF(289&lt;DeliverStart,0,MIN(TotalUnits,(289-DeliverStart+1)*UnitsDeliveredPerMo))</f>
        <v/>
      </c>
      <c r="KG8" s="17">
        <f>IF(290&lt;DeliverStart,0,MIN(TotalUnits,(290-DeliverStart+1)*UnitsDeliveredPerMo))</f>
        <v/>
      </c>
      <c r="KH8" s="17">
        <f>IF(291&lt;DeliverStart,0,MIN(TotalUnits,(291-DeliverStart+1)*UnitsDeliveredPerMo))</f>
        <v/>
      </c>
      <c r="KI8" s="17">
        <f>IF(292&lt;DeliverStart,0,MIN(TotalUnits,(292-DeliverStart+1)*UnitsDeliveredPerMo))</f>
        <v/>
      </c>
      <c r="KJ8" s="17">
        <f>IF(293&lt;DeliverStart,0,MIN(TotalUnits,(293-DeliverStart+1)*UnitsDeliveredPerMo))</f>
        <v/>
      </c>
      <c r="KK8" s="17">
        <f>IF(294&lt;DeliverStart,0,MIN(TotalUnits,(294-DeliverStart+1)*UnitsDeliveredPerMo))</f>
        <v/>
      </c>
      <c r="KL8" s="17">
        <f>IF(295&lt;DeliverStart,0,MIN(TotalUnits,(295-DeliverStart+1)*UnitsDeliveredPerMo))</f>
        <v/>
      </c>
      <c r="KM8" s="17">
        <f>IF(296&lt;DeliverStart,0,MIN(TotalUnits,(296-DeliverStart+1)*UnitsDeliveredPerMo))</f>
        <v/>
      </c>
      <c r="KN8" s="17">
        <f>IF(297&lt;DeliverStart,0,MIN(TotalUnits,(297-DeliverStart+1)*UnitsDeliveredPerMo))</f>
        <v/>
      </c>
      <c r="KO8" s="17">
        <f>IF(298&lt;DeliverStart,0,MIN(TotalUnits,(298-DeliverStart+1)*UnitsDeliveredPerMo))</f>
        <v/>
      </c>
      <c r="KP8" s="17">
        <f>IF(299&lt;DeliverStart,0,MIN(TotalUnits,(299-DeliverStart+1)*UnitsDeliveredPerMo))</f>
        <v/>
      </c>
      <c r="KQ8" s="17">
        <f>IF(300&lt;DeliverStart,0,MIN(TotalUnits,(300-DeliverStart+1)*UnitsDeliveredPerMo))</f>
        <v/>
      </c>
      <c r="KR8" s="17">
        <f>IF(301&lt;DeliverStart,0,MIN(TotalUnits,(301-DeliverStart+1)*UnitsDeliveredPerMo))</f>
        <v/>
      </c>
      <c r="KS8" s="17">
        <f>IF(302&lt;DeliverStart,0,MIN(TotalUnits,(302-DeliverStart+1)*UnitsDeliveredPerMo))</f>
        <v/>
      </c>
      <c r="KT8" s="17">
        <f>IF(303&lt;DeliverStart,0,MIN(TotalUnits,(303-DeliverStart+1)*UnitsDeliveredPerMo))</f>
        <v/>
      </c>
      <c r="KU8" s="17">
        <f>IF(304&lt;DeliverStart,0,MIN(TotalUnits,(304-DeliverStart+1)*UnitsDeliveredPerMo))</f>
        <v/>
      </c>
      <c r="KV8" s="17">
        <f>IF(305&lt;DeliverStart,0,MIN(TotalUnits,(305-DeliverStart+1)*UnitsDeliveredPerMo))</f>
        <v/>
      </c>
      <c r="KW8" s="17">
        <f>IF(306&lt;DeliverStart,0,MIN(TotalUnits,(306-DeliverStart+1)*UnitsDeliveredPerMo))</f>
        <v/>
      </c>
      <c r="KX8" s="17">
        <f>IF(307&lt;DeliverStart,0,MIN(TotalUnits,(307-DeliverStart+1)*UnitsDeliveredPerMo))</f>
        <v/>
      </c>
      <c r="KY8" s="17">
        <f>IF(308&lt;DeliverStart,0,MIN(TotalUnits,(308-DeliverStart+1)*UnitsDeliveredPerMo))</f>
        <v/>
      </c>
      <c r="KZ8" s="17">
        <f>IF(309&lt;DeliverStart,0,MIN(TotalUnits,(309-DeliverStart+1)*UnitsDeliveredPerMo))</f>
        <v/>
      </c>
      <c r="LA8" s="17">
        <f>IF(310&lt;DeliverStart,0,MIN(TotalUnits,(310-DeliverStart+1)*UnitsDeliveredPerMo))</f>
        <v/>
      </c>
      <c r="LB8" s="17">
        <f>IF(311&lt;DeliverStart,0,MIN(TotalUnits,(311-DeliverStart+1)*UnitsDeliveredPerMo))</f>
        <v/>
      </c>
      <c r="LC8" s="17">
        <f>IF(312&lt;DeliverStart,0,MIN(TotalUnits,(312-DeliverStart+1)*UnitsDeliveredPerMo))</f>
        <v/>
      </c>
      <c r="LD8" s="17">
        <f>IF(313&lt;DeliverStart,0,MIN(TotalUnits,(313-DeliverStart+1)*UnitsDeliveredPerMo))</f>
        <v/>
      </c>
      <c r="LE8" s="17">
        <f>IF(314&lt;DeliverStart,0,MIN(TotalUnits,(314-DeliverStart+1)*UnitsDeliveredPerMo))</f>
        <v/>
      </c>
      <c r="LF8" s="17">
        <f>IF(315&lt;DeliverStart,0,MIN(TotalUnits,(315-DeliverStart+1)*UnitsDeliveredPerMo))</f>
        <v/>
      </c>
      <c r="LG8" s="17">
        <f>IF(316&lt;DeliverStart,0,MIN(TotalUnits,(316-DeliverStart+1)*UnitsDeliveredPerMo))</f>
        <v/>
      </c>
      <c r="LH8" s="17">
        <f>IF(317&lt;DeliverStart,0,MIN(TotalUnits,(317-DeliverStart+1)*UnitsDeliveredPerMo))</f>
        <v/>
      </c>
      <c r="LI8" s="17">
        <f>IF(318&lt;DeliverStart,0,MIN(TotalUnits,(318-DeliverStart+1)*UnitsDeliveredPerMo))</f>
        <v/>
      </c>
      <c r="LJ8" s="17">
        <f>IF(319&lt;DeliverStart,0,MIN(TotalUnits,(319-DeliverStart+1)*UnitsDeliveredPerMo))</f>
        <v/>
      </c>
      <c r="LK8" s="17">
        <f>IF(320&lt;DeliverStart,0,MIN(TotalUnits,(320-DeliverStart+1)*UnitsDeliveredPerMo))</f>
        <v/>
      </c>
      <c r="LL8" s="17">
        <f>IF(321&lt;DeliverStart,0,MIN(TotalUnits,(321-DeliverStart+1)*UnitsDeliveredPerMo))</f>
        <v/>
      </c>
      <c r="LM8" s="17">
        <f>IF(322&lt;DeliverStart,0,MIN(TotalUnits,(322-DeliverStart+1)*UnitsDeliveredPerMo))</f>
        <v/>
      </c>
      <c r="LN8" s="17">
        <f>IF(323&lt;DeliverStart,0,MIN(TotalUnits,(323-DeliverStart+1)*UnitsDeliveredPerMo))</f>
        <v/>
      </c>
      <c r="LO8" s="17">
        <f>IF(324&lt;DeliverStart,0,MIN(TotalUnits,(324-DeliverStart+1)*UnitsDeliveredPerMo))</f>
        <v/>
      </c>
      <c r="LP8" s="17">
        <f>IF(325&lt;DeliverStart,0,MIN(TotalUnits,(325-DeliverStart+1)*UnitsDeliveredPerMo))</f>
        <v/>
      </c>
      <c r="LQ8" s="17">
        <f>IF(326&lt;DeliverStart,0,MIN(TotalUnits,(326-DeliverStart+1)*UnitsDeliveredPerMo))</f>
        <v/>
      </c>
      <c r="LR8" s="17">
        <f>IF(327&lt;DeliverStart,0,MIN(TotalUnits,(327-DeliverStart+1)*UnitsDeliveredPerMo))</f>
        <v/>
      </c>
      <c r="LS8" s="17">
        <f>IF(328&lt;DeliverStart,0,MIN(TotalUnits,(328-DeliverStart+1)*UnitsDeliveredPerMo))</f>
        <v/>
      </c>
      <c r="LT8" s="17">
        <f>IF(329&lt;DeliverStart,0,MIN(TotalUnits,(329-DeliverStart+1)*UnitsDeliveredPerMo))</f>
        <v/>
      </c>
      <c r="LU8" s="17">
        <f>IF(330&lt;DeliverStart,0,MIN(TotalUnits,(330-DeliverStart+1)*UnitsDeliveredPerMo))</f>
        <v/>
      </c>
      <c r="LV8" s="17">
        <f>IF(331&lt;DeliverStart,0,MIN(TotalUnits,(331-DeliverStart+1)*UnitsDeliveredPerMo))</f>
        <v/>
      </c>
      <c r="LW8" s="17">
        <f>IF(332&lt;DeliverStart,0,MIN(TotalUnits,(332-DeliverStart+1)*UnitsDeliveredPerMo))</f>
        <v/>
      </c>
      <c r="LX8" s="17">
        <f>IF(333&lt;DeliverStart,0,MIN(TotalUnits,(333-DeliverStart+1)*UnitsDeliveredPerMo))</f>
        <v/>
      </c>
      <c r="LY8" s="17">
        <f>IF(334&lt;DeliverStart,0,MIN(TotalUnits,(334-DeliverStart+1)*UnitsDeliveredPerMo))</f>
        <v/>
      </c>
      <c r="LZ8" s="17">
        <f>IF(335&lt;DeliverStart,0,MIN(TotalUnits,(335-DeliverStart+1)*UnitsDeliveredPerMo))</f>
        <v/>
      </c>
      <c r="MA8" s="17">
        <f>IF(336&lt;DeliverStart,0,MIN(TotalUnits,(336-DeliverStart+1)*UnitsDeliveredPerMo))</f>
        <v/>
      </c>
      <c r="MB8" s="17">
        <f>IF(337&lt;DeliverStart,0,MIN(TotalUnits,(337-DeliverStart+1)*UnitsDeliveredPerMo))</f>
        <v/>
      </c>
      <c r="MC8" s="17">
        <f>IF(338&lt;DeliverStart,0,MIN(TotalUnits,(338-DeliverStart+1)*UnitsDeliveredPerMo))</f>
        <v/>
      </c>
      <c r="MD8" s="17">
        <f>IF(339&lt;DeliverStart,0,MIN(TotalUnits,(339-DeliverStart+1)*UnitsDeliveredPerMo))</f>
        <v/>
      </c>
      <c r="ME8" s="17">
        <f>IF(340&lt;DeliverStart,0,MIN(TotalUnits,(340-DeliverStart+1)*UnitsDeliveredPerMo))</f>
        <v/>
      </c>
      <c r="MF8" s="17">
        <f>IF(341&lt;DeliverStart,0,MIN(TotalUnits,(341-DeliverStart+1)*UnitsDeliveredPerMo))</f>
        <v/>
      </c>
      <c r="MG8" s="17">
        <f>IF(342&lt;DeliverStart,0,MIN(TotalUnits,(342-DeliverStart+1)*UnitsDeliveredPerMo))</f>
        <v/>
      </c>
      <c r="MH8" s="17">
        <f>IF(343&lt;DeliverStart,0,MIN(TotalUnits,(343-DeliverStart+1)*UnitsDeliveredPerMo))</f>
        <v/>
      </c>
      <c r="MI8" s="17">
        <f>IF(344&lt;DeliverStart,0,MIN(TotalUnits,(344-DeliverStart+1)*UnitsDeliveredPerMo))</f>
        <v/>
      </c>
      <c r="MJ8" s="17">
        <f>IF(345&lt;DeliverStart,0,MIN(TotalUnits,(345-DeliverStart+1)*UnitsDeliveredPerMo))</f>
        <v/>
      </c>
      <c r="MK8" s="17">
        <f>IF(346&lt;DeliverStart,0,MIN(TotalUnits,(346-DeliverStart+1)*UnitsDeliveredPerMo))</f>
        <v/>
      </c>
      <c r="ML8" s="17">
        <f>IF(347&lt;DeliverStart,0,MIN(TotalUnits,(347-DeliverStart+1)*UnitsDeliveredPerMo))</f>
        <v/>
      </c>
      <c r="MM8" s="17">
        <f>IF(348&lt;DeliverStart,0,MIN(TotalUnits,(348-DeliverStart+1)*UnitsDeliveredPerMo))</f>
        <v/>
      </c>
      <c r="MN8" s="17">
        <f>IF(349&lt;DeliverStart,0,MIN(TotalUnits,(349-DeliverStart+1)*UnitsDeliveredPerMo))</f>
        <v/>
      </c>
      <c r="MO8" s="17">
        <f>IF(350&lt;DeliverStart,0,MIN(TotalUnits,(350-DeliverStart+1)*UnitsDeliveredPerMo))</f>
        <v/>
      </c>
      <c r="MP8" s="17">
        <f>IF(351&lt;DeliverStart,0,MIN(TotalUnits,(351-DeliverStart+1)*UnitsDeliveredPerMo))</f>
        <v/>
      </c>
      <c r="MQ8" s="17">
        <f>IF(352&lt;DeliverStart,0,MIN(TotalUnits,(352-DeliverStart+1)*UnitsDeliveredPerMo))</f>
        <v/>
      </c>
      <c r="MR8" s="17">
        <f>IF(353&lt;DeliverStart,0,MIN(TotalUnits,(353-DeliverStart+1)*UnitsDeliveredPerMo))</f>
        <v/>
      </c>
      <c r="MS8" s="17">
        <f>IF(354&lt;DeliverStart,0,MIN(TotalUnits,(354-DeliverStart+1)*UnitsDeliveredPerMo))</f>
        <v/>
      </c>
      <c r="MT8" s="17">
        <f>IF(355&lt;DeliverStart,0,MIN(TotalUnits,(355-DeliverStart+1)*UnitsDeliveredPerMo))</f>
        <v/>
      </c>
      <c r="MU8" s="17">
        <f>IF(356&lt;DeliverStart,0,MIN(TotalUnits,(356-DeliverStart+1)*UnitsDeliveredPerMo))</f>
        <v/>
      </c>
      <c r="MV8" s="17">
        <f>IF(357&lt;DeliverStart,0,MIN(TotalUnits,(357-DeliverStart+1)*UnitsDeliveredPerMo))</f>
        <v/>
      </c>
      <c r="MW8" s="17">
        <f>IF(358&lt;DeliverStart,0,MIN(TotalUnits,(358-DeliverStart+1)*UnitsDeliveredPerMo))</f>
        <v/>
      </c>
      <c r="MX8" s="17">
        <f>IF(359&lt;DeliverStart,0,MIN(TotalUnits,(359-DeliverStart+1)*UnitsDeliveredPerMo))</f>
        <v/>
      </c>
      <c r="MY8" s="17">
        <f>IF(360&lt;DeliverStart,0,MIN(TotalUnits,(360-DeliverStart+1)*UnitsDeliveredPerMo))</f>
        <v/>
      </c>
      <c r="MZ8" s="17">
        <f>IF(361&lt;DeliverStart,0,MIN(TotalUnits,(361-DeliverStart+1)*UnitsDeliveredPerMo))</f>
        <v/>
      </c>
      <c r="NA8" s="17">
        <f>IF(362&lt;DeliverStart,0,MIN(TotalUnits,(362-DeliverStart+1)*UnitsDeliveredPerMo))</f>
        <v/>
      </c>
      <c r="NB8" s="17">
        <f>IF(363&lt;DeliverStart,0,MIN(TotalUnits,(363-DeliverStart+1)*UnitsDeliveredPerMo))</f>
        <v/>
      </c>
      <c r="NC8" s="17">
        <f>IF(364&lt;DeliverStart,0,MIN(TotalUnits,(364-DeliverStart+1)*UnitsDeliveredPerMo))</f>
        <v/>
      </c>
      <c r="ND8" s="17">
        <f>IF(365&lt;DeliverStart,0,MIN(TotalUnits,(365-DeliverStart+1)*UnitsDeliveredPerMo))</f>
        <v/>
      </c>
      <c r="NE8" s="17">
        <f>IF(366&lt;DeliverStart,0,MIN(TotalUnits,(366-DeliverStart+1)*UnitsDeliveredPerMo))</f>
        <v/>
      </c>
      <c r="NF8" s="17">
        <f>IF(367&lt;DeliverStart,0,MIN(TotalUnits,(367-DeliverStart+1)*UnitsDeliveredPerMo))</f>
        <v/>
      </c>
      <c r="NG8" s="17">
        <f>IF(368&lt;DeliverStart,0,MIN(TotalUnits,(368-DeliverStart+1)*UnitsDeliveredPerMo))</f>
        <v/>
      </c>
      <c r="NH8" s="17">
        <f>IF(369&lt;DeliverStart,0,MIN(TotalUnits,(369-DeliverStart+1)*UnitsDeliveredPerMo))</f>
        <v/>
      </c>
      <c r="NI8" s="17">
        <f>IF(370&lt;DeliverStart,0,MIN(TotalUnits,(370-DeliverStart+1)*UnitsDeliveredPerMo))</f>
        <v/>
      </c>
      <c r="NJ8" s="17">
        <f>IF(371&lt;DeliverStart,0,MIN(TotalUnits,(371-DeliverStart+1)*UnitsDeliveredPerMo))</f>
        <v/>
      </c>
      <c r="NK8" s="17">
        <f>IF(372&lt;DeliverStart,0,MIN(TotalUnits,(372-DeliverStart+1)*UnitsDeliveredPerMo))</f>
        <v/>
      </c>
    </row>
    <row r="9">
      <c r="A9" s="5" t="inlineStr">
        <is>
          <t>Cumulative Units Leased</t>
        </is>
      </c>
      <c r="C9" s="40" t="n"/>
      <c r="D9" s="17">
        <f>IF(1&lt;DeliverStart,0,MIN(StabLeasedTarget,D$8,(1-DeliverStart+1)*UnitsLeasedPerMo))</f>
        <v/>
      </c>
      <c r="E9" s="17">
        <f>IF(2&lt;DeliverStart,0,MIN(StabLeasedTarget,E$8,(2-DeliverStart+1)*UnitsLeasedPerMo))</f>
        <v/>
      </c>
      <c r="F9" s="17">
        <f>IF(3&lt;DeliverStart,0,MIN(StabLeasedTarget,F$8,(3-DeliverStart+1)*UnitsLeasedPerMo))</f>
        <v/>
      </c>
      <c r="G9" s="17">
        <f>IF(4&lt;DeliverStart,0,MIN(StabLeasedTarget,G$8,(4-DeliverStart+1)*UnitsLeasedPerMo))</f>
        <v/>
      </c>
      <c r="H9" s="17">
        <f>IF(5&lt;DeliverStart,0,MIN(StabLeasedTarget,H$8,(5-DeliverStart+1)*UnitsLeasedPerMo))</f>
        <v/>
      </c>
      <c r="I9" s="17">
        <f>IF(6&lt;DeliverStart,0,MIN(StabLeasedTarget,I$8,(6-DeliverStart+1)*UnitsLeasedPerMo))</f>
        <v/>
      </c>
      <c r="J9" s="17">
        <f>IF(7&lt;DeliverStart,0,MIN(StabLeasedTarget,J$8,(7-DeliverStart+1)*UnitsLeasedPerMo))</f>
        <v/>
      </c>
      <c r="K9" s="17">
        <f>IF(8&lt;DeliverStart,0,MIN(StabLeasedTarget,K$8,(8-DeliverStart+1)*UnitsLeasedPerMo))</f>
        <v/>
      </c>
      <c r="L9" s="17">
        <f>IF(9&lt;DeliverStart,0,MIN(StabLeasedTarget,L$8,(9-DeliverStart+1)*UnitsLeasedPerMo))</f>
        <v/>
      </c>
      <c r="M9" s="17">
        <f>IF(10&lt;DeliverStart,0,MIN(StabLeasedTarget,M$8,(10-DeliverStart+1)*UnitsLeasedPerMo))</f>
        <v/>
      </c>
      <c r="N9" s="17">
        <f>IF(11&lt;DeliverStart,0,MIN(StabLeasedTarget,N$8,(11-DeliverStart+1)*UnitsLeasedPerMo))</f>
        <v/>
      </c>
      <c r="O9" s="17">
        <f>IF(12&lt;DeliverStart,0,MIN(StabLeasedTarget,O$8,(12-DeliverStart+1)*UnitsLeasedPerMo))</f>
        <v/>
      </c>
      <c r="P9" s="17">
        <f>IF(13&lt;DeliverStart,0,MIN(StabLeasedTarget,P$8,(13-DeliverStart+1)*UnitsLeasedPerMo))</f>
        <v/>
      </c>
      <c r="Q9" s="17">
        <f>IF(14&lt;DeliverStart,0,MIN(StabLeasedTarget,Q$8,(14-DeliverStart+1)*UnitsLeasedPerMo))</f>
        <v/>
      </c>
      <c r="R9" s="17">
        <f>IF(15&lt;DeliverStart,0,MIN(StabLeasedTarget,R$8,(15-DeliverStart+1)*UnitsLeasedPerMo))</f>
        <v/>
      </c>
      <c r="S9" s="17">
        <f>IF(16&lt;DeliverStart,0,MIN(StabLeasedTarget,S$8,(16-DeliverStart+1)*UnitsLeasedPerMo))</f>
        <v/>
      </c>
      <c r="T9" s="17">
        <f>IF(17&lt;DeliverStart,0,MIN(StabLeasedTarget,T$8,(17-DeliverStart+1)*UnitsLeasedPerMo))</f>
        <v/>
      </c>
      <c r="U9" s="17">
        <f>IF(18&lt;DeliverStart,0,MIN(StabLeasedTarget,U$8,(18-DeliverStart+1)*UnitsLeasedPerMo))</f>
        <v/>
      </c>
      <c r="V9" s="17">
        <f>IF(19&lt;DeliverStart,0,MIN(StabLeasedTarget,V$8,(19-DeliverStart+1)*UnitsLeasedPerMo))</f>
        <v/>
      </c>
      <c r="W9" s="17">
        <f>IF(20&lt;DeliverStart,0,MIN(StabLeasedTarget,W$8,(20-DeliverStart+1)*UnitsLeasedPerMo))</f>
        <v/>
      </c>
      <c r="X9" s="17">
        <f>IF(21&lt;DeliverStart,0,MIN(StabLeasedTarget,X$8,(21-DeliverStart+1)*UnitsLeasedPerMo))</f>
        <v/>
      </c>
      <c r="Y9" s="17">
        <f>IF(22&lt;DeliverStart,0,MIN(StabLeasedTarget,Y$8,(22-DeliverStart+1)*UnitsLeasedPerMo))</f>
        <v/>
      </c>
      <c r="Z9" s="17">
        <f>IF(23&lt;DeliverStart,0,MIN(StabLeasedTarget,Z$8,(23-DeliverStart+1)*UnitsLeasedPerMo))</f>
        <v/>
      </c>
      <c r="AA9" s="17">
        <f>IF(24&lt;DeliverStart,0,MIN(StabLeasedTarget,AA$8,(24-DeliverStart+1)*UnitsLeasedPerMo))</f>
        <v/>
      </c>
      <c r="AB9" s="17">
        <f>IF(25&lt;DeliverStart,0,MIN(StabLeasedTarget,AB$8,(25-DeliverStart+1)*UnitsLeasedPerMo))</f>
        <v/>
      </c>
      <c r="AC9" s="17">
        <f>IF(26&lt;DeliverStart,0,MIN(StabLeasedTarget,AC$8,(26-DeliverStart+1)*UnitsLeasedPerMo))</f>
        <v/>
      </c>
      <c r="AD9" s="17">
        <f>IF(27&lt;DeliverStart,0,MIN(StabLeasedTarget,AD$8,(27-DeliverStart+1)*UnitsLeasedPerMo))</f>
        <v/>
      </c>
      <c r="AE9" s="17">
        <f>IF(28&lt;DeliverStart,0,MIN(StabLeasedTarget,AE$8,(28-DeliverStart+1)*UnitsLeasedPerMo))</f>
        <v/>
      </c>
      <c r="AF9" s="17">
        <f>IF(29&lt;DeliverStart,0,MIN(StabLeasedTarget,AF$8,(29-DeliverStart+1)*UnitsLeasedPerMo))</f>
        <v/>
      </c>
      <c r="AG9" s="17">
        <f>IF(30&lt;DeliverStart,0,MIN(StabLeasedTarget,AG$8,(30-DeliverStart+1)*UnitsLeasedPerMo))</f>
        <v/>
      </c>
      <c r="AH9" s="17">
        <f>IF(31&lt;DeliverStart,0,MIN(StabLeasedTarget,AH$8,(31-DeliverStart+1)*UnitsLeasedPerMo))</f>
        <v/>
      </c>
      <c r="AI9" s="17">
        <f>IF(32&lt;DeliverStart,0,MIN(StabLeasedTarget,AI$8,(32-DeliverStart+1)*UnitsLeasedPerMo))</f>
        <v/>
      </c>
      <c r="AJ9" s="17">
        <f>IF(33&lt;DeliverStart,0,MIN(StabLeasedTarget,AJ$8,(33-DeliverStart+1)*UnitsLeasedPerMo))</f>
        <v/>
      </c>
      <c r="AK9" s="17">
        <f>IF(34&lt;DeliverStart,0,MIN(StabLeasedTarget,AK$8,(34-DeliverStart+1)*UnitsLeasedPerMo))</f>
        <v/>
      </c>
      <c r="AL9" s="17">
        <f>IF(35&lt;DeliverStart,0,MIN(StabLeasedTarget,AL$8,(35-DeliverStart+1)*UnitsLeasedPerMo))</f>
        <v/>
      </c>
      <c r="AM9" s="17">
        <f>IF(36&lt;DeliverStart,0,MIN(StabLeasedTarget,AM$8,(36-DeliverStart+1)*UnitsLeasedPerMo))</f>
        <v/>
      </c>
      <c r="AN9" s="17">
        <f>IF(37&lt;DeliverStart,0,MIN(StabLeasedTarget,AN$8,(37-DeliverStart+1)*UnitsLeasedPerMo))</f>
        <v/>
      </c>
      <c r="AO9" s="17">
        <f>IF(38&lt;DeliverStart,0,MIN(StabLeasedTarget,AO$8,(38-DeliverStart+1)*UnitsLeasedPerMo))</f>
        <v/>
      </c>
      <c r="AP9" s="17">
        <f>IF(39&lt;DeliverStart,0,MIN(StabLeasedTarget,AP$8,(39-DeliverStart+1)*UnitsLeasedPerMo))</f>
        <v/>
      </c>
      <c r="AQ9" s="17">
        <f>IF(40&lt;DeliverStart,0,MIN(StabLeasedTarget,AQ$8,(40-DeliverStart+1)*UnitsLeasedPerMo))</f>
        <v/>
      </c>
      <c r="AR9" s="17">
        <f>IF(41&lt;DeliverStart,0,MIN(StabLeasedTarget,AR$8,(41-DeliverStart+1)*UnitsLeasedPerMo))</f>
        <v/>
      </c>
      <c r="AS9" s="17">
        <f>IF(42&lt;DeliverStart,0,MIN(StabLeasedTarget,AS$8,(42-DeliverStart+1)*UnitsLeasedPerMo))</f>
        <v/>
      </c>
      <c r="AT9" s="17">
        <f>IF(43&lt;DeliverStart,0,MIN(StabLeasedTarget,AT$8,(43-DeliverStart+1)*UnitsLeasedPerMo))</f>
        <v/>
      </c>
      <c r="AU9" s="17">
        <f>IF(44&lt;DeliverStart,0,MIN(StabLeasedTarget,AU$8,(44-DeliverStart+1)*UnitsLeasedPerMo))</f>
        <v/>
      </c>
      <c r="AV9" s="17">
        <f>IF(45&lt;DeliverStart,0,MIN(StabLeasedTarget,AV$8,(45-DeliverStart+1)*UnitsLeasedPerMo))</f>
        <v/>
      </c>
      <c r="AW9" s="17">
        <f>IF(46&lt;DeliverStart,0,MIN(StabLeasedTarget,AW$8,(46-DeliverStart+1)*UnitsLeasedPerMo))</f>
        <v/>
      </c>
      <c r="AX9" s="17">
        <f>IF(47&lt;DeliverStart,0,MIN(StabLeasedTarget,AX$8,(47-DeliverStart+1)*UnitsLeasedPerMo))</f>
        <v/>
      </c>
      <c r="AY9" s="17">
        <f>IF(48&lt;DeliverStart,0,MIN(StabLeasedTarget,AY$8,(48-DeliverStart+1)*UnitsLeasedPerMo))</f>
        <v/>
      </c>
      <c r="AZ9" s="17">
        <f>IF(49&lt;DeliverStart,0,MIN(StabLeasedTarget,AZ$8,(49-DeliverStart+1)*UnitsLeasedPerMo))</f>
        <v/>
      </c>
      <c r="BA9" s="17">
        <f>IF(50&lt;DeliverStart,0,MIN(StabLeasedTarget,BA$8,(50-DeliverStart+1)*UnitsLeasedPerMo))</f>
        <v/>
      </c>
      <c r="BB9" s="17">
        <f>IF(51&lt;DeliverStart,0,MIN(StabLeasedTarget,BB$8,(51-DeliverStart+1)*UnitsLeasedPerMo))</f>
        <v/>
      </c>
      <c r="BC9" s="17">
        <f>IF(52&lt;DeliverStart,0,MIN(StabLeasedTarget,BC$8,(52-DeliverStart+1)*UnitsLeasedPerMo))</f>
        <v/>
      </c>
      <c r="BD9" s="17">
        <f>IF(53&lt;DeliverStart,0,MIN(StabLeasedTarget,BD$8,(53-DeliverStart+1)*UnitsLeasedPerMo))</f>
        <v/>
      </c>
      <c r="BE9" s="17">
        <f>IF(54&lt;DeliverStart,0,MIN(StabLeasedTarget,BE$8,(54-DeliverStart+1)*UnitsLeasedPerMo))</f>
        <v/>
      </c>
      <c r="BF9" s="17">
        <f>IF(55&lt;DeliverStart,0,MIN(StabLeasedTarget,BF$8,(55-DeliverStart+1)*UnitsLeasedPerMo))</f>
        <v/>
      </c>
      <c r="BG9" s="17">
        <f>IF(56&lt;DeliverStart,0,MIN(StabLeasedTarget,BG$8,(56-DeliverStart+1)*UnitsLeasedPerMo))</f>
        <v/>
      </c>
      <c r="BH9" s="17">
        <f>IF(57&lt;DeliverStart,0,MIN(StabLeasedTarget,BH$8,(57-DeliverStart+1)*UnitsLeasedPerMo))</f>
        <v/>
      </c>
      <c r="BI9" s="17">
        <f>IF(58&lt;DeliverStart,0,MIN(StabLeasedTarget,BI$8,(58-DeliverStart+1)*UnitsLeasedPerMo))</f>
        <v/>
      </c>
      <c r="BJ9" s="17">
        <f>IF(59&lt;DeliverStart,0,MIN(StabLeasedTarget,BJ$8,(59-DeliverStart+1)*UnitsLeasedPerMo))</f>
        <v/>
      </c>
      <c r="BK9" s="17">
        <f>IF(60&lt;DeliverStart,0,MIN(StabLeasedTarget,BK$8,(60-DeliverStart+1)*UnitsLeasedPerMo))</f>
        <v/>
      </c>
      <c r="BL9" s="17">
        <f>IF(61&lt;DeliverStart,0,MIN(StabLeasedTarget,BL$8,(61-DeliverStart+1)*UnitsLeasedPerMo))</f>
        <v/>
      </c>
      <c r="BM9" s="17">
        <f>IF(62&lt;DeliverStart,0,MIN(StabLeasedTarget,BM$8,(62-DeliverStart+1)*UnitsLeasedPerMo))</f>
        <v/>
      </c>
      <c r="BN9" s="17">
        <f>IF(63&lt;DeliverStart,0,MIN(StabLeasedTarget,BN$8,(63-DeliverStart+1)*UnitsLeasedPerMo))</f>
        <v/>
      </c>
      <c r="BO9" s="17">
        <f>IF(64&lt;DeliverStart,0,MIN(StabLeasedTarget,BO$8,(64-DeliverStart+1)*UnitsLeasedPerMo))</f>
        <v/>
      </c>
      <c r="BP9" s="17">
        <f>IF(65&lt;DeliverStart,0,MIN(StabLeasedTarget,BP$8,(65-DeliverStart+1)*UnitsLeasedPerMo))</f>
        <v/>
      </c>
      <c r="BQ9" s="17">
        <f>IF(66&lt;DeliverStart,0,MIN(StabLeasedTarget,BQ$8,(66-DeliverStart+1)*UnitsLeasedPerMo))</f>
        <v/>
      </c>
      <c r="BR9" s="17">
        <f>IF(67&lt;DeliverStart,0,MIN(StabLeasedTarget,BR$8,(67-DeliverStart+1)*UnitsLeasedPerMo))</f>
        <v/>
      </c>
      <c r="BS9" s="17">
        <f>IF(68&lt;DeliverStart,0,MIN(StabLeasedTarget,BS$8,(68-DeliverStart+1)*UnitsLeasedPerMo))</f>
        <v/>
      </c>
      <c r="BT9" s="17">
        <f>IF(69&lt;DeliverStart,0,MIN(StabLeasedTarget,BT$8,(69-DeliverStart+1)*UnitsLeasedPerMo))</f>
        <v/>
      </c>
      <c r="BU9" s="17">
        <f>IF(70&lt;DeliverStart,0,MIN(StabLeasedTarget,BU$8,(70-DeliverStart+1)*UnitsLeasedPerMo))</f>
        <v/>
      </c>
      <c r="BV9" s="17">
        <f>IF(71&lt;DeliverStart,0,MIN(StabLeasedTarget,BV$8,(71-DeliverStart+1)*UnitsLeasedPerMo))</f>
        <v/>
      </c>
      <c r="BW9" s="17">
        <f>IF(72&lt;DeliverStart,0,MIN(StabLeasedTarget,BW$8,(72-DeliverStart+1)*UnitsLeasedPerMo))</f>
        <v/>
      </c>
      <c r="BX9" s="17">
        <f>IF(73&lt;DeliverStart,0,MIN(StabLeasedTarget,BX$8,(73-DeliverStart+1)*UnitsLeasedPerMo))</f>
        <v/>
      </c>
      <c r="BY9" s="17">
        <f>IF(74&lt;DeliverStart,0,MIN(StabLeasedTarget,BY$8,(74-DeliverStart+1)*UnitsLeasedPerMo))</f>
        <v/>
      </c>
      <c r="BZ9" s="17">
        <f>IF(75&lt;DeliverStart,0,MIN(StabLeasedTarget,BZ$8,(75-DeliverStart+1)*UnitsLeasedPerMo))</f>
        <v/>
      </c>
      <c r="CA9" s="17">
        <f>IF(76&lt;DeliverStart,0,MIN(StabLeasedTarget,CA$8,(76-DeliverStart+1)*UnitsLeasedPerMo))</f>
        <v/>
      </c>
      <c r="CB9" s="17">
        <f>IF(77&lt;DeliverStart,0,MIN(StabLeasedTarget,CB$8,(77-DeliverStart+1)*UnitsLeasedPerMo))</f>
        <v/>
      </c>
      <c r="CC9" s="17">
        <f>IF(78&lt;DeliverStart,0,MIN(StabLeasedTarget,CC$8,(78-DeliverStart+1)*UnitsLeasedPerMo))</f>
        <v/>
      </c>
      <c r="CD9" s="17">
        <f>IF(79&lt;DeliverStart,0,MIN(StabLeasedTarget,CD$8,(79-DeliverStart+1)*UnitsLeasedPerMo))</f>
        <v/>
      </c>
      <c r="CE9" s="17">
        <f>IF(80&lt;DeliverStart,0,MIN(StabLeasedTarget,CE$8,(80-DeliverStart+1)*UnitsLeasedPerMo))</f>
        <v/>
      </c>
      <c r="CF9" s="17">
        <f>IF(81&lt;DeliverStart,0,MIN(StabLeasedTarget,CF$8,(81-DeliverStart+1)*UnitsLeasedPerMo))</f>
        <v/>
      </c>
      <c r="CG9" s="17">
        <f>IF(82&lt;DeliverStart,0,MIN(StabLeasedTarget,CG$8,(82-DeliverStart+1)*UnitsLeasedPerMo))</f>
        <v/>
      </c>
      <c r="CH9" s="17">
        <f>IF(83&lt;DeliverStart,0,MIN(StabLeasedTarget,CH$8,(83-DeliverStart+1)*UnitsLeasedPerMo))</f>
        <v/>
      </c>
      <c r="CI9" s="17">
        <f>IF(84&lt;DeliverStart,0,MIN(StabLeasedTarget,CI$8,(84-DeliverStart+1)*UnitsLeasedPerMo))</f>
        <v/>
      </c>
      <c r="CJ9" s="17">
        <f>IF(85&lt;DeliverStart,0,MIN(StabLeasedTarget,CJ$8,(85-DeliverStart+1)*UnitsLeasedPerMo))</f>
        <v/>
      </c>
      <c r="CK9" s="17">
        <f>IF(86&lt;DeliverStart,0,MIN(StabLeasedTarget,CK$8,(86-DeliverStart+1)*UnitsLeasedPerMo))</f>
        <v/>
      </c>
      <c r="CL9" s="17">
        <f>IF(87&lt;DeliverStart,0,MIN(StabLeasedTarget,CL$8,(87-DeliverStart+1)*UnitsLeasedPerMo))</f>
        <v/>
      </c>
      <c r="CM9" s="17">
        <f>IF(88&lt;DeliverStart,0,MIN(StabLeasedTarget,CM$8,(88-DeliverStart+1)*UnitsLeasedPerMo))</f>
        <v/>
      </c>
      <c r="CN9" s="17">
        <f>IF(89&lt;DeliverStart,0,MIN(StabLeasedTarget,CN$8,(89-DeliverStart+1)*UnitsLeasedPerMo))</f>
        <v/>
      </c>
      <c r="CO9" s="17">
        <f>IF(90&lt;DeliverStart,0,MIN(StabLeasedTarget,CO$8,(90-DeliverStart+1)*UnitsLeasedPerMo))</f>
        <v/>
      </c>
      <c r="CP9" s="17">
        <f>IF(91&lt;DeliverStart,0,MIN(StabLeasedTarget,CP$8,(91-DeliverStart+1)*UnitsLeasedPerMo))</f>
        <v/>
      </c>
      <c r="CQ9" s="17">
        <f>IF(92&lt;DeliverStart,0,MIN(StabLeasedTarget,CQ$8,(92-DeliverStart+1)*UnitsLeasedPerMo))</f>
        <v/>
      </c>
      <c r="CR9" s="17">
        <f>IF(93&lt;DeliverStart,0,MIN(StabLeasedTarget,CR$8,(93-DeliverStart+1)*UnitsLeasedPerMo))</f>
        <v/>
      </c>
      <c r="CS9" s="17">
        <f>IF(94&lt;DeliverStart,0,MIN(StabLeasedTarget,CS$8,(94-DeliverStart+1)*UnitsLeasedPerMo))</f>
        <v/>
      </c>
      <c r="CT9" s="17">
        <f>IF(95&lt;DeliverStart,0,MIN(StabLeasedTarget,CT$8,(95-DeliverStart+1)*UnitsLeasedPerMo))</f>
        <v/>
      </c>
      <c r="CU9" s="17">
        <f>IF(96&lt;DeliverStart,0,MIN(StabLeasedTarget,CU$8,(96-DeliverStart+1)*UnitsLeasedPerMo))</f>
        <v/>
      </c>
      <c r="CV9" s="17">
        <f>IF(97&lt;DeliverStart,0,MIN(StabLeasedTarget,CV$8,(97-DeliverStart+1)*UnitsLeasedPerMo))</f>
        <v/>
      </c>
      <c r="CW9" s="17">
        <f>IF(98&lt;DeliverStart,0,MIN(StabLeasedTarget,CW$8,(98-DeliverStart+1)*UnitsLeasedPerMo))</f>
        <v/>
      </c>
      <c r="CX9" s="17">
        <f>IF(99&lt;DeliverStart,0,MIN(StabLeasedTarget,CX$8,(99-DeliverStart+1)*UnitsLeasedPerMo))</f>
        <v/>
      </c>
      <c r="CY9" s="17">
        <f>IF(100&lt;DeliverStart,0,MIN(StabLeasedTarget,CY$8,(100-DeliverStart+1)*UnitsLeasedPerMo))</f>
        <v/>
      </c>
      <c r="CZ9" s="17">
        <f>IF(101&lt;DeliverStart,0,MIN(StabLeasedTarget,CZ$8,(101-DeliverStart+1)*UnitsLeasedPerMo))</f>
        <v/>
      </c>
      <c r="DA9" s="17">
        <f>IF(102&lt;DeliverStart,0,MIN(StabLeasedTarget,DA$8,(102-DeliverStart+1)*UnitsLeasedPerMo))</f>
        <v/>
      </c>
      <c r="DB9" s="17">
        <f>IF(103&lt;DeliverStart,0,MIN(StabLeasedTarget,DB$8,(103-DeliverStart+1)*UnitsLeasedPerMo))</f>
        <v/>
      </c>
      <c r="DC9" s="17">
        <f>IF(104&lt;DeliverStart,0,MIN(StabLeasedTarget,DC$8,(104-DeliverStart+1)*UnitsLeasedPerMo))</f>
        <v/>
      </c>
      <c r="DD9" s="17">
        <f>IF(105&lt;DeliverStart,0,MIN(StabLeasedTarget,DD$8,(105-DeliverStart+1)*UnitsLeasedPerMo))</f>
        <v/>
      </c>
      <c r="DE9" s="17">
        <f>IF(106&lt;DeliverStart,0,MIN(StabLeasedTarget,DE$8,(106-DeliverStart+1)*UnitsLeasedPerMo))</f>
        <v/>
      </c>
      <c r="DF9" s="17">
        <f>IF(107&lt;DeliverStart,0,MIN(StabLeasedTarget,DF$8,(107-DeliverStart+1)*UnitsLeasedPerMo))</f>
        <v/>
      </c>
      <c r="DG9" s="17">
        <f>IF(108&lt;DeliverStart,0,MIN(StabLeasedTarget,DG$8,(108-DeliverStart+1)*UnitsLeasedPerMo))</f>
        <v/>
      </c>
      <c r="DH9" s="17">
        <f>IF(109&lt;DeliverStart,0,MIN(StabLeasedTarget,DH$8,(109-DeliverStart+1)*UnitsLeasedPerMo))</f>
        <v/>
      </c>
      <c r="DI9" s="17">
        <f>IF(110&lt;DeliverStart,0,MIN(StabLeasedTarget,DI$8,(110-DeliverStart+1)*UnitsLeasedPerMo))</f>
        <v/>
      </c>
      <c r="DJ9" s="17">
        <f>IF(111&lt;DeliverStart,0,MIN(StabLeasedTarget,DJ$8,(111-DeliverStart+1)*UnitsLeasedPerMo))</f>
        <v/>
      </c>
      <c r="DK9" s="17">
        <f>IF(112&lt;DeliverStart,0,MIN(StabLeasedTarget,DK$8,(112-DeliverStart+1)*UnitsLeasedPerMo))</f>
        <v/>
      </c>
      <c r="DL9" s="17">
        <f>IF(113&lt;DeliverStart,0,MIN(StabLeasedTarget,DL$8,(113-DeliverStart+1)*UnitsLeasedPerMo))</f>
        <v/>
      </c>
      <c r="DM9" s="17">
        <f>IF(114&lt;DeliverStart,0,MIN(StabLeasedTarget,DM$8,(114-DeliverStart+1)*UnitsLeasedPerMo))</f>
        <v/>
      </c>
      <c r="DN9" s="17">
        <f>IF(115&lt;DeliverStart,0,MIN(StabLeasedTarget,DN$8,(115-DeliverStart+1)*UnitsLeasedPerMo))</f>
        <v/>
      </c>
      <c r="DO9" s="17">
        <f>IF(116&lt;DeliverStart,0,MIN(StabLeasedTarget,DO$8,(116-DeliverStart+1)*UnitsLeasedPerMo))</f>
        <v/>
      </c>
      <c r="DP9" s="17">
        <f>IF(117&lt;DeliverStart,0,MIN(StabLeasedTarget,DP$8,(117-DeliverStart+1)*UnitsLeasedPerMo))</f>
        <v/>
      </c>
      <c r="DQ9" s="17">
        <f>IF(118&lt;DeliverStart,0,MIN(StabLeasedTarget,DQ$8,(118-DeliverStart+1)*UnitsLeasedPerMo))</f>
        <v/>
      </c>
      <c r="DR9" s="17">
        <f>IF(119&lt;DeliverStart,0,MIN(StabLeasedTarget,DR$8,(119-DeliverStart+1)*UnitsLeasedPerMo))</f>
        <v/>
      </c>
      <c r="DS9" s="17">
        <f>IF(120&lt;DeliverStart,0,MIN(StabLeasedTarget,DS$8,(120-DeliverStart+1)*UnitsLeasedPerMo))</f>
        <v/>
      </c>
      <c r="DT9" s="17">
        <f>IF(121&lt;DeliverStart,0,MIN(StabLeasedTarget,DT$8,(121-DeliverStart+1)*UnitsLeasedPerMo))</f>
        <v/>
      </c>
      <c r="DU9" s="17">
        <f>IF(122&lt;DeliverStart,0,MIN(StabLeasedTarget,DU$8,(122-DeliverStart+1)*UnitsLeasedPerMo))</f>
        <v/>
      </c>
      <c r="DV9" s="17">
        <f>IF(123&lt;DeliverStart,0,MIN(StabLeasedTarget,DV$8,(123-DeliverStart+1)*UnitsLeasedPerMo))</f>
        <v/>
      </c>
      <c r="DW9" s="17">
        <f>IF(124&lt;DeliverStart,0,MIN(StabLeasedTarget,DW$8,(124-DeliverStart+1)*UnitsLeasedPerMo))</f>
        <v/>
      </c>
      <c r="DX9" s="17">
        <f>IF(125&lt;DeliverStart,0,MIN(StabLeasedTarget,DX$8,(125-DeliverStart+1)*UnitsLeasedPerMo))</f>
        <v/>
      </c>
      <c r="DY9" s="17">
        <f>IF(126&lt;DeliverStart,0,MIN(StabLeasedTarget,DY$8,(126-DeliverStart+1)*UnitsLeasedPerMo))</f>
        <v/>
      </c>
      <c r="DZ9" s="17">
        <f>IF(127&lt;DeliverStart,0,MIN(StabLeasedTarget,DZ$8,(127-DeliverStart+1)*UnitsLeasedPerMo))</f>
        <v/>
      </c>
      <c r="EA9" s="17">
        <f>IF(128&lt;DeliverStart,0,MIN(StabLeasedTarget,EA$8,(128-DeliverStart+1)*UnitsLeasedPerMo))</f>
        <v/>
      </c>
      <c r="EB9" s="17">
        <f>IF(129&lt;DeliverStart,0,MIN(StabLeasedTarget,EB$8,(129-DeliverStart+1)*UnitsLeasedPerMo))</f>
        <v/>
      </c>
      <c r="EC9" s="17">
        <f>IF(130&lt;DeliverStart,0,MIN(StabLeasedTarget,EC$8,(130-DeliverStart+1)*UnitsLeasedPerMo))</f>
        <v/>
      </c>
      <c r="ED9" s="17">
        <f>IF(131&lt;DeliverStart,0,MIN(StabLeasedTarget,ED$8,(131-DeliverStart+1)*UnitsLeasedPerMo))</f>
        <v/>
      </c>
      <c r="EE9" s="17">
        <f>IF(132&lt;DeliverStart,0,MIN(StabLeasedTarget,EE$8,(132-DeliverStart+1)*UnitsLeasedPerMo))</f>
        <v/>
      </c>
      <c r="EF9" s="17">
        <f>IF(133&lt;DeliverStart,0,MIN(StabLeasedTarget,EF$8,(133-DeliverStart+1)*UnitsLeasedPerMo))</f>
        <v/>
      </c>
      <c r="EG9" s="17">
        <f>IF(134&lt;DeliverStart,0,MIN(StabLeasedTarget,EG$8,(134-DeliverStart+1)*UnitsLeasedPerMo))</f>
        <v/>
      </c>
      <c r="EH9" s="17">
        <f>IF(135&lt;DeliverStart,0,MIN(StabLeasedTarget,EH$8,(135-DeliverStart+1)*UnitsLeasedPerMo))</f>
        <v/>
      </c>
      <c r="EI9" s="17">
        <f>IF(136&lt;DeliverStart,0,MIN(StabLeasedTarget,EI$8,(136-DeliverStart+1)*UnitsLeasedPerMo))</f>
        <v/>
      </c>
      <c r="EJ9" s="17">
        <f>IF(137&lt;DeliverStart,0,MIN(StabLeasedTarget,EJ$8,(137-DeliverStart+1)*UnitsLeasedPerMo))</f>
        <v/>
      </c>
      <c r="EK9" s="17">
        <f>IF(138&lt;DeliverStart,0,MIN(StabLeasedTarget,EK$8,(138-DeliverStart+1)*UnitsLeasedPerMo))</f>
        <v/>
      </c>
      <c r="EL9" s="17">
        <f>IF(139&lt;DeliverStart,0,MIN(StabLeasedTarget,EL$8,(139-DeliverStart+1)*UnitsLeasedPerMo))</f>
        <v/>
      </c>
      <c r="EM9" s="17">
        <f>IF(140&lt;DeliverStart,0,MIN(StabLeasedTarget,EM$8,(140-DeliverStart+1)*UnitsLeasedPerMo))</f>
        <v/>
      </c>
      <c r="EN9" s="17">
        <f>IF(141&lt;DeliverStart,0,MIN(StabLeasedTarget,EN$8,(141-DeliverStart+1)*UnitsLeasedPerMo))</f>
        <v/>
      </c>
      <c r="EO9" s="17">
        <f>IF(142&lt;DeliverStart,0,MIN(StabLeasedTarget,EO$8,(142-DeliverStart+1)*UnitsLeasedPerMo))</f>
        <v/>
      </c>
      <c r="EP9" s="17">
        <f>IF(143&lt;DeliverStart,0,MIN(StabLeasedTarget,EP$8,(143-DeliverStart+1)*UnitsLeasedPerMo))</f>
        <v/>
      </c>
      <c r="EQ9" s="17">
        <f>IF(144&lt;DeliverStart,0,MIN(StabLeasedTarget,EQ$8,(144-DeliverStart+1)*UnitsLeasedPerMo))</f>
        <v/>
      </c>
      <c r="ER9" s="17">
        <f>IF(145&lt;DeliverStart,0,MIN(StabLeasedTarget,ER$8,(145-DeliverStart+1)*UnitsLeasedPerMo))</f>
        <v/>
      </c>
      <c r="ES9" s="17">
        <f>IF(146&lt;DeliverStart,0,MIN(StabLeasedTarget,ES$8,(146-DeliverStart+1)*UnitsLeasedPerMo))</f>
        <v/>
      </c>
      <c r="ET9" s="17">
        <f>IF(147&lt;DeliverStart,0,MIN(StabLeasedTarget,ET$8,(147-DeliverStart+1)*UnitsLeasedPerMo))</f>
        <v/>
      </c>
      <c r="EU9" s="17">
        <f>IF(148&lt;DeliverStart,0,MIN(StabLeasedTarget,EU$8,(148-DeliverStart+1)*UnitsLeasedPerMo))</f>
        <v/>
      </c>
      <c r="EV9" s="17">
        <f>IF(149&lt;DeliverStart,0,MIN(StabLeasedTarget,EV$8,(149-DeliverStart+1)*UnitsLeasedPerMo))</f>
        <v/>
      </c>
      <c r="EW9" s="17">
        <f>IF(150&lt;DeliverStart,0,MIN(StabLeasedTarget,EW$8,(150-DeliverStart+1)*UnitsLeasedPerMo))</f>
        <v/>
      </c>
      <c r="EX9" s="17">
        <f>IF(151&lt;DeliverStart,0,MIN(StabLeasedTarget,EX$8,(151-DeliverStart+1)*UnitsLeasedPerMo))</f>
        <v/>
      </c>
      <c r="EY9" s="17">
        <f>IF(152&lt;DeliverStart,0,MIN(StabLeasedTarget,EY$8,(152-DeliverStart+1)*UnitsLeasedPerMo))</f>
        <v/>
      </c>
      <c r="EZ9" s="17">
        <f>IF(153&lt;DeliverStart,0,MIN(StabLeasedTarget,EZ$8,(153-DeliverStart+1)*UnitsLeasedPerMo))</f>
        <v/>
      </c>
      <c r="FA9" s="17">
        <f>IF(154&lt;DeliverStart,0,MIN(StabLeasedTarget,FA$8,(154-DeliverStart+1)*UnitsLeasedPerMo))</f>
        <v/>
      </c>
      <c r="FB9" s="17">
        <f>IF(155&lt;DeliverStart,0,MIN(StabLeasedTarget,FB$8,(155-DeliverStart+1)*UnitsLeasedPerMo))</f>
        <v/>
      </c>
      <c r="FC9" s="17">
        <f>IF(156&lt;DeliverStart,0,MIN(StabLeasedTarget,FC$8,(156-DeliverStart+1)*UnitsLeasedPerMo))</f>
        <v/>
      </c>
      <c r="FD9" s="17">
        <f>IF(157&lt;DeliverStart,0,MIN(StabLeasedTarget,FD$8,(157-DeliverStart+1)*UnitsLeasedPerMo))</f>
        <v/>
      </c>
      <c r="FE9" s="17">
        <f>IF(158&lt;DeliverStart,0,MIN(StabLeasedTarget,FE$8,(158-DeliverStart+1)*UnitsLeasedPerMo))</f>
        <v/>
      </c>
      <c r="FF9" s="17">
        <f>IF(159&lt;DeliverStart,0,MIN(StabLeasedTarget,FF$8,(159-DeliverStart+1)*UnitsLeasedPerMo))</f>
        <v/>
      </c>
      <c r="FG9" s="17">
        <f>IF(160&lt;DeliverStart,0,MIN(StabLeasedTarget,FG$8,(160-DeliverStart+1)*UnitsLeasedPerMo))</f>
        <v/>
      </c>
      <c r="FH9" s="17">
        <f>IF(161&lt;DeliverStart,0,MIN(StabLeasedTarget,FH$8,(161-DeliverStart+1)*UnitsLeasedPerMo))</f>
        <v/>
      </c>
      <c r="FI9" s="17">
        <f>IF(162&lt;DeliverStart,0,MIN(StabLeasedTarget,FI$8,(162-DeliverStart+1)*UnitsLeasedPerMo))</f>
        <v/>
      </c>
      <c r="FJ9" s="17">
        <f>IF(163&lt;DeliverStart,0,MIN(StabLeasedTarget,FJ$8,(163-DeliverStart+1)*UnitsLeasedPerMo))</f>
        <v/>
      </c>
      <c r="FK9" s="17">
        <f>IF(164&lt;DeliverStart,0,MIN(StabLeasedTarget,FK$8,(164-DeliverStart+1)*UnitsLeasedPerMo))</f>
        <v/>
      </c>
      <c r="FL9" s="17">
        <f>IF(165&lt;DeliverStart,0,MIN(StabLeasedTarget,FL$8,(165-DeliverStart+1)*UnitsLeasedPerMo))</f>
        <v/>
      </c>
      <c r="FM9" s="17">
        <f>IF(166&lt;DeliverStart,0,MIN(StabLeasedTarget,FM$8,(166-DeliverStart+1)*UnitsLeasedPerMo))</f>
        <v/>
      </c>
      <c r="FN9" s="17">
        <f>IF(167&lt;DeliverStart,0,MIN(StabLeasedTarget,FN$8,(167-DeliverStart+1)*UnitsLeasedPerMo))</f>
        <v/>
      </c>
      <c r="FO9" s="17">
        <f>IF(168&lt;DeliverStart,0,MIN(StabLeasedTarget,FO$8,(168-DeliverStart+1)*UnitsLeasedPerMo))</f>
        <v/>
      </c>
      <c r="FP9" s="17">
        <f>IF(169&lt;DeliverStart,0,MIN(StabLeasedTarget,FP$8,(169-DeliverStart+1)*UnitsLeasedPerMo))</f>
        <v/>
      </c>
      <c r="FQ9" s="17">
        <f>IF(170&lt;DeliverStart,0,MIN(StabLeasedTarget,FQ$8,(170-DeliverStart+1)*UnitsLeasedPerMo))</f>
        <v/>
      </c>
      <c r="FR9" s="17">
        <f>IF(171&lt;DeliverStart,0,MIN(StabLeasedTarget,FR$8,(171-DeliverStart+1)*UnitsLeasedPerMo))</f>
        <v/>
      </c>
      <c r="FS9" s="17">
        <f>IF(172&lt;DeliverStart,0,MIN(StabLeasedTarget,FS$8,(172-DeliverStart+1)*UnitsLeasedPerMo))</f>
        <v/>
      </c>
      <c r="FT9" s="17">
        <f>IF(173&lt;DeliverStart,0,MIN(StabLeasedTarget,FT$8,(173-DeliverStart+1)*UnitsLeasedPerMo))</f>
        <v/>
      </c>
      <c r="FU9" s="17">
        <f>IF(174&lt;DeliverStart,0,MIN(StabLeasedTarget,FU$8,(174-DeliverStart+1)*UnitsLeasedPerMo))</f>
        <v/>
      </c>
      <c r="FV9" s="17">
        <f>IF(175&lt;DeliverStart,0,MIN(StabLeasedTarget,FV$8,(175-DeliverStart+1)*UnitsLeasedPerMo))</f>
        <v/>
      </c>
      <c r="FW9" s="17">
        <f>IF(176&lt;DeliverStart,0,MIN(StabLeasedTarget,FW$8,(176-DeliverStart+1)*UnitsLeasedPerMo))</f>
        <v/>
      </c>
      <c r="FX9" s="17">
        <f>IF(177&lt;DeliverStart,0,MIN(StabLeasedTarget,FX$8,(177-DeliverStart+1)*UnitsLeasedPerMo))</f>
        <v/>
      </c>
      <c r="FY9" s="17">
        <f>IF(178&lt;DeliverStart,0,MIN(StabLeasedTarget,FY$8,(178-DeliverStart+1)*UnitsLeasedPerMo))</f>
        <v/>
      </c>
      <c r="FZ9" s="17">
        <f>IF(179&lt;DeliverStart,0,MIN(StabLeasedTarget,FZ$8,(179-DeliverStart+1)*UnitsLeasedPerMo))</f>
        <v/>
      </c>
      <c r="GA9" s="17">
        <f>IF(180&lt;DeliverStart,0,MIN(StabLeasedTarget,GA$8,(180-DeliverStart+1)*UnitsLeasedPerMo))</f>
        <v/>
      </c>
      <c r="GB9" s="17">
        <f>IF(181&lt;DeliverStart,0,MIN(StabLeasedTarget,GB$8,(181-DeliverStart+1)*UnitsLeasedPerMo))</f>
        <v/>
      </c>
      <c r="GC9" s="17">
        <f>IF(182&lt;DeliverStart,0,MIN(StabLeasedTarget,GC$8,(182-DeliverStart+1)*UnitsLeasedPerMo))</f>
        <v/>
      </c>
      <c r="GD9" s="17">
        <f>IF(183&lt;DeliverStart,0,MIN(StabLeasedTarget,GD$8,(183-DeliverStart+1)*UnitsLeasedPerMo))</f>
        <v/>
      </c>
      <c r="GE9" s="17">
        <f>IF(184&lt;DeliverStart,0,MIN(StabLeasedTarget,GE$8,(184-DeliverStart+1)*UnitsLeasedPerMo))</f>
        <v/>
      </c>
      <c r="GF9" s="17">
        <f>IF(185&lt;DeliverStart,0,MIN(StabLeasedTarget,GF$8,(185-DeliverStart+1)*UnitsLeasedPerMo))</f>
        <v/>
      </c>
      <c r="GG9" s="17">
        <f>IF(186&lt;DeliverStart,0,MIN(StabLeasedTarget,GG$8,(186-DeliverStart+1)*UnitsLeasedPerMo))</f>
        <v/>
      </c>
      <c r="GH9" s="17">
        <f>IF(187&lt;DeliverStart,0,MIN(StabLeasedTarget,GH$8,(187-DeliverStart+1)*UnitsLeasedPerMo))</f>
        <v/>
      </c>
      <c r="GI9" s="17">
        <f>IF(188&lt;DeliverStart,0,MIN(StabLeasedTarget,GI$8,(188-DeliverStart+1)*UnitsLeasedPerMo))</f>
        <v/>
      </c>
      <c r="GJ9" s="17">
        <f>IF(189&lt;DeliverStart,0,MIN(StabLeasedTarget,GJ$8,(189-DeliverStart+1)*UnitsLeasedPerMo))</f>
        <v/>
      </c>
      <c r="GK9" s="17">
        <f>IF(190&lt;DeliverStart,0,MIN(StabLeasedTarget,GK$8,(190-DeliverStart+1)*UnitsLeasedPerMo))</f>
        <v/>
      </c>
      <c r="GL9" s="17">
        <f>IF(191&lt;DeliverStart,0,MIN(StabLeasedTarget,GL$8,(191-DeliverStart+1)*UnitsLeasedPerMo))</f>
        <v/>
      </c>
      <c r="GM9" s="17">
        <f>IF(192&lt;DeliverStart,0,MIN(StabLeasedTarget,GM$8,(192-DeliverStart+1)*UnitsLeasedPerMo))</f>
        <v/>
      </c>
      <c r="GN9" s="17">
        <f>IF(193&lt;DeliverStart,0,MIN(StabLeasedTarget,GN$8,(193-DeliverStart+1)*UnitsLeasedPerMo))</f>
        <v/>
      </c>
      <c r="GO9" s="17">
        <f>IF(194&lt;DeliverStart,0,MIN(StabLeasedTarget,GO$8,(194-DeliverStart+1)*UnitsLeasedPerMo))</f>
        <v/>
      </c>
      <c r="GP9" s="17">
        <f>IF(195&lt;DeliverStart,0,MIN(StabLeasedTarget,GP$8,(195-DeliverStart+1)*UnitsLeasedPerMo))</f>
        <v/>
      </c>
      <c r="GQ9" s="17">
        <f>IF(196&lt;DeliverStart,0,MIN(StabLeasedTarget,GQ$8,(196-DeliverStart+1)*UnitsLeasedPerMo))</f>
        <v/>
      </c>
      <c r="GR9" s="17">
        <f>IF(197&lt;DeliverStart,0,MIN(StabLeasedTarget,GR$8,(197-DeliverStart+1)*UnitsLeasedPerMo))</f>
        <v/>
      </c>
      <c r="GS9" s="17">
        <f>IF(198&lt;DeliverStart,0,MIN(StabLeasedTarget,GS$8,(198-DeliverStart+1)*UnitsLeasedPerMo))</f>
        <v/>
      </c>
      <c r="GT9" s="17">
        <f>IF(199&lt;DeliverStart,0,MIN(StabLeasedTarget,GT$8,(199-DeliverStart+1)*UnitsLeasedPerMo))</f>
        <v/>
      </c>
      <c r="GU9" s="17">
        <f>IF(200&lt;DeliverStart,0,MIN(StabLeasedTarget,GU$8,(200-DeliverStart+1)*UnitsLeasedPerMo))</f>
        <v/>
      </c>
      <c r="GV9" s="17">
        <f>IF(201&lt;DeliverStart,0,MIN(StabLeasedTarget,GV$8,(201-DeliverStart+1)*UnitsLeasedPerMo))</f>
        <v/>
      </c>
      <c r="GW9" s="17">
        <f>IF(202&lt;DeliverStart,0,MIN(StabLeasedTarget,GW$8,(202-DeliverStart+1)*UnitsLeasedPerMo))</f>
        <v/>
      </c>
      <c r="GX9" s="17">
        <f>IF(203&lt;DeliverStart,0,MIN(StabLeasedTarget,GX$8,(203-DeliverStart+1)*UnitsLeasedPerMo))</f>
        <v/>
      </c>
      <c r="GY9" s="17">
        <f>IF(204&lt;DeliverStart,0,MIN(StabLeasedTarget,GY$8,(204-DeliverStart+1)*UnitsLeasedPerMo))</f>
        <v/>
      </c>
      <c r="GZ9" s="17">
        <f>IF(205&lt;DeliverStart,0,MIN(StabLeasedTarget,GZ$8,(205-DeliverStart+1)*UnitsLeasedPerMo))</f>
        <v/>
      </c>
      <c r="HA9" s="17">
        <f>IF(206&lt;DeliverStart,0,MIN(StabLeasedTarget,HA$8,(206-DeliverStart+1)*UnitsLeasedPerMo))</f>
        <v/>
      </c>
      <c r="HB9" s="17">
        <f>IF(207&lt;DeliverStart,0,MIN(StabLeasedTarget,HB$8,(207-DeliverStart+1)*UnitsLeasedPerMo))</f>
        <v/>
      </c>
      <c r="HC9" s="17">
        <f>IF(208&lt;DeliverStart,0,MIN(StabLeasedTarget,HC$8,(208-DeliverStart+1)*UnitsLeasedPerMo))</f>
        <v/>
      </c>
      <c r="HD9" s="17">
        <f>IF(209&lt;DeliverStart,0,MIN(StabLeasedTarget,HD$8,(209-DeliverStart+1)*UnitsLeasedPerMo))</f>
        <v/>
      </c>
      <c r="HE9" s="17">
        <f>IF(210&lt;DeliverStart,0,MIN(StabLeasedTarget,HE$8,(210-DeliverStart+1)*UnitsLeasedPerMo))</f>
        <v/>
      </c>
      <c r="HF9" s="17">
        <f>IF(211&lt;DeliverStart,0,MIN(StabLeasedTarget,HF$8,(211-DeliverStart+1)*UnitsLeasedPerMo))</f>
        <v/>
      </c>
      <c r="HG9" s="17">
        <f>IF(212&lt;DeliverStart,0,MIN(StabLeasedTarget,HG$8,(212-DeliverStart+1)*UnitsLeasedPerMo))</f>
        <v/>
      </c>
      <c r="HH9" s="17">
        <f>IF(213&lt;DeliverStart,0,MIN(StabLeasedTarget,HH$8,(213-DeliverStart+1)*UnitsLeasedPerMo))</f>
        <v/>
      </c>
      <c r="HI9" s="17">
        <f>IF(214&lt;DeliverStart,0,MIN(StabLeasedTarget,HI$8,(214-DeliverStart+1)*UnitsLeasedPerMo))</f>
        <v/>
      </c>
      <c r="HJ9" s="17">
        <f>IF(215&lt;DeliverStart,0,MIN(StabLeasedTarget,HJ$8,(215-DeliverStart+1)*UnitsLeasedPerMo))</f>
        <v/>
      </c>
      <c r="HK9" s="17">
        <f>IF(216&lt;DeliverStart,0,MIN(StabLeasedTarget,HK$8,(216-DeliverStart+1)*UnitsLeasedPerMo))</f>
        <v/>
      </c>
      <c r="HL9" s="17">
        <f>IF(217&lt;DeliverStart,0,MIN(StabLeasedTarget,HL$8,(217-DeliverStart+1)*UnitsLeasedPerMo))</f>
        <v/>
      </c>
      <c r="HM9" s="17">
        <f>IF(218&lt;DeliverStart,0,MIN(StabLeasedTarget,HM$8,(218-DeliverStart+1)*UnitsLeasedPerMo))</f>
        <v/>
      </c>
      <c r="HN9" s="17">
        <f>IF(219&lt;DeliverStart,0,MIN(StabLeasedTarget,HN$8,(219-DeliverStart+1)*UnitsLeasedPerMo))</f>
        <v/>
      </c>
      <c r="HO9" s="17">
        <f>IF(220&lt;DeliverStart,0,MIN(StabLeasedTarget,HO$8,(220-DeliverStart+1)*UnitsLeasedPerMo))</f>
        <v/>
      </c>
      <c r="HP9" s="17">
        <f>IF(221&lt;DeliverStart,0,MIN(StabLeasedTarget,HP$8,(221-DeliverStart+1)*UnitsLeasedPerMo))</f>
        <v/>
      </c>
      <c r="HQ9" s="17">
        <f>IF(222&lt;DeliverStart,0,MIN(StabLeasedTarget,HQ$8,(222-DeliverStart+1)*UnitsLeasedPerMo))</f>
        <v/>
      </c>
      <c r="HR9" s="17">
        <f>IF(223&lt;DeliverStart,0,MIN(StabLeasedTarget,HR$8,(223-DeliverStart+1)*UnitsLeasedPerMo))</f>
        <v/>
      </c>
      <c r="HS9" s="17">
        <f>IF(224&lt;DeliverStart,0,MIN(StabLeasedTarget,HS$8,(224-DeliverStart+1)*UnitsLeasedPerMo))</f>
        <v/>
      </c>
      <c r="HT9" s="17">
        <f>IF(225&lt;DeliverStart,0,MIN(StabLeasedTarget,HT$8,(225-DeliverStart+1)*UnitsLeasedPerMo))</f>
        <v/>
      </c>
      <c r="HU9" s="17">
        <f>IF(226&lt;DeliverStart,0,MIN(StabLeasedTarget,HU$8,(226-DeliverStart+1)*UnitsLeasedPerMo))</f>
        <v/>
      </c>
      <c r="HV9" s="17">
        <f>IF(227&lt;DeliverStart,0,MIN(StabLeasedTarget,HV$8,(227-DeliverStart+1)*UnitsLeasedPerMo))</f>
        <v/>
      </c>
      <c r="HW9" s="17">
        <f>IF(228&lt;DeliverStart,0,MIN(StabLeasedTarget,HW$8,(228-DeliverStart+1)*UnitsLeasedPerMo))</f>
        <v/>
      </c>
      <c r="HX9" s="17">
        <f>IF(229&lt;DeliverStart,0,MIN(StabLeasedTarget,HX$8,(229-DeliverStart+1)*UnitsLeasedPerMo))</f>
        <v/>
      </c>
      <c r="HY9" s="17">
        <f>IF(230&lt;DeliverStart,0,MIN(StabLeasedTarget,HY$8,(230-DeliverStart+1)*UnitsLeasedPerMo))</f>
        <v/>
      </c>
      <c r="HZ9" s="17">
        <f>IF(231&lt;DeliverStart,0,MIN(StabLeasedTarget,HZ$8,(231-DeliverStart+1)*UnitsLeasedPerMo))</f>
        <v/>
      </c>
      <c r="IA9" s="17">
        <f>IF(232&lt;DeliverStart,0,MIN(StabLeasedTarget,IA$8,(232-DeliverStart+1)*UnitsLeasedPerMo))</f>
        <v/>
      </c>
      <c r="IB9" s="17">
        <f>IF(233&lt;DeliverStart,0,MIN(StabLeasedTarget,IB$8,(233-DeliverStart+1)*UnitsLeasedPerMo))</f>
        <v/>
      </c>
      <c r="IC9" s="17">
        <f>IF(234&lt;DeliverStart,0,MIN(StabLeasedTarget,IC$8,(234-DeliverStart+1)*UnitsLeasedPerMo))</f>
        <v/>
      </c>
      <c r="ID9" s="17">
        <f>IF(235&lt;DeliverStart,0,MIN(StabLeasedTarget,ID$8,(235-DeliverStart+1)*UnitsLeasedPerMo))</f>
        <v/>
      </c>
      <c r="IE9" s="17">
        <f>IF(236&lt;DeliverStart,0,MIN(StabLeasedTarget,IE$8,(236-DeliverStart+1)*UnitsLeasedPerMo))</f>
        <v/>
      </c>
      <c r="IF9" s="17">
        <f>IF(237&lt;DeliverStart,0,MIN(StabLeasedTarget,IF$8,(237-DeliverStart+1)*UnitsLeasedPerMo))</f>
        <v/>
      </c>
      <c r="IG9" s="17">
        <f>IF(238&lt;DeliverStart,0,MIN(StabLeasedTarget,IG$8,(238-DeliverStart+1)*UnitsLeasedPerMo))</f>
        <v/>
      </c>
      <c r="IH9" s="17">
        <f>IF(239&lt;DeliverStart,0,MIN(StabLeasedTarget,IH$8,(239-DeliverStart+1)*UnitsLeasedPerMo))</f>
        <v/>
      </c>
      <c r="II9" s="17">
        <f>IF(240&lt;DeliverStart,0,MIN(StabLeasedTarget,II$8,(240-DeliverStart+1)*UnitsLeasedPerMo))</f>
        <v/>
      </c>
      <c r="IJ9" s="17">
        <f>IF(241&lt;DeliverStart,0,MIN(StabLeasedTarget,IJ$8,(241-DeliverStart+1)*UnitsLeasedPerMo))</f>
        <v/>
      </c>
      <c r="IK9" s="17">
        <f>IF(242&lt;DeliverStart,0,MIN(StabLeasedTarget,IK$8,(242-DeliverStart+1)*UnitsLeasedPerMo))</f>
        <v/>
      </c>
      <c r="IL9" s="17">
        <f>IF(243&lt;DeliverStart,0,MIN(StabLeasedTarget,IL$8,(243-DeliverStart+1)*UnitsLeasedPerMo))</f>
        <v/>
      </c>
      <c r="IM9" s="17">
        <f>IF(244&lt;DeliverStart,0,MIN(StabLeasedTarget,IM$8,(244-DeliverStart+1)*UnitsLeasedPerMo))</f>
        <v/>
      </c>
      <c r="IN9" s="17">
        <f>IF(245&lt;DeliverStart,0,MIN(StabLeasedTarget,IN$8,(245-DeliverStart+1)*UnitsLeasedPerMo))</f>
        <v/>
      </c>
      <c r="IO9" s="17">
        <f>IF(246&lt;DeliverStart,0,MIN(StabLeasedTarget,IO$8,(246-DeliverStart+1)*UnitsLeasedPerMo))</f>
        <v/>
      </c>
      <c r="IP9" s="17">
        <f>IF(247&lt;DeliverStart,0,MIN(StabLeasedTarget,IP$8,(247-DeliverStart+1)*UnitsLeasedPerMo))</f>
        <v/>
      </c>
      <c r="IQ9" s="17">
        <f>IF(248&lt;DeliverStart,0,MIN(StabLeasedTarget,IQ$8,(248-DeliverStart+1)*UnitsLeasedPerMo))</f>
        <v/>
      </c>
      <c r="IR9" s="17">
        <f>IF(249&lt;DeliverStart,0,MIN(StabLeasedTarget,IR$8,(249-DeliverStart+1)*UnitsLeasedPerMo))</f>
        <v/>
      </c>
      <c r="IS9" s="17">
        <f>IF(250&lt;DeliverStart,0,MIN(StabLeasedTarget,IS$8,(250-DeliverStart+1)*UnitsLeasedPerMo))</f>
        <v/>
      </c>
      <c r="IT9" s="17">
        <f>IF(251&lt;DeliverStart,0,MIN(StabLeasedTarget,IT$8,(251-DeliverStart+1)*UnitsLeasedPerMo))</f>
        <v/>
      </c>
      <c r="IU9" s="17">
        <f>IF(252&lt;DeliverStart,0,MIN(StabLeasedTarget,IU$8,(252-DeliverStart+1)*UnitsLeasedPerMo))</f>
        <v/>
      </c>
      <c r="IV9" s="17">
        <f>IF(253&lt;DeliverStart,0,MIN(StabLeasedTarget,IV$8,(253-DeliverStart+1)*UnitsLeasedPerMo))</f>
        <v/>
      </c>
      <c r="IW9" s="17">
        <f>IF(254&lt;DeliverStart,0,MIN(StabLeasedTarget,IW$8,(254-DeliverStart+1)*UnitsLeasedPerMo))</f>
        <v/>
      </c>
      <c r="IX9" s="17">
        <f>IF(255&lt;DeliverStart,0,MIN(StabLeasedTarget,IX$8,(255-DeliverStart+1)*UnitsLeasedPerMo))</f>
        <v/>
      </c>
      <c r="IY9" s="17">
        <f>IF(256&lt;DeliverStart,0,MIN(StabLeasedTarget,IY$8,(256-DeliverStart+1)*UnitsLeasedPerMo))</f>
        <v/>
      </c>
      <c r="IZ9" s="17">
        <f>IF(257&lt;DeliverStart,0,MIN(StabLeasedTarget,IZ$8,(257-DeliverStart+1)*UnitsLeasedPerMo))</f>
        <v/>
      </c>
      <c r="JA9" s="17">
        <f>IF(258&lt;DeliverStart,0,MIN(StabLeasedTarget,JA$8,(258-DeliverStart+1)*UnitsLeasedPerMo))</f>
        <v/>
      </c>
      <c r="JB9" s="17">
        <f>IF(259&lt;DeliverStart,0,MIN(StabLeasedTarget,JB$8,(259-DeliverStart+1)*UnitsLeasedPerMo))</f>
        <v/>
      </c>
      <c r="JC9" s="17">
        <f>IF(260&lt;DeliverStart,0,MIN(StabLeasedTarget,JC$8,(260-DeliverStart+1)*UnitsLeasedPerMo))</f>
        <v/>
      </c>
      <c r="JD9" s="17">
        <f>IF(261&lt;DeliverStart,0,MIN(StabLeasedTarget,JD$8,(261-DeliverStart+1)*UnitsLeasedPerMo))</f>
        <v/>
      </c>
      <c r="JE9" s="17">
        <f>IF(262&lt;DeliverStart,0,MIN(StabLeasedTarget,JE$8,(262-DeliverStart+1)*UnitsLeasedPerMo))</f>
        <v/>
      </c>
      <c r="JF9" s="17">
        <f>IF(263&lt;DeliverStart,0,MIN(StabLeasedTarget,JF$8,(263-DeliverStart+1)*UnitsLeasedPerMo))</f>
        <v/>
      </c>
      <c r="JG9" s="17">
        <f>IF(264&lt;DeliverStart,0,MIN(StabLeasedTarget,JG$8,(264-DeliverStart+1)*UnitsLeasedPerMo))</f>
        <v/>
      </c>
      <c r="JH9" s="17">
        <f>IF(265&lt;DeliverStart,0,MIN(StabLeasedTarget,JH$8,(265-DeliverStart+1)*UnitsLeasedPerMo))</f>
        <v/>
      </c>
      <c r="JI9" s="17">
        <f>IF(266&lt;DeliverStart,0,MIN(StabLeasedTarget,JI$8,(266-DeliverStart+1)*UnitsLeasedPerMo))</f>
        <v/>
      </c>
      <c r="JJ9" s="17">
        <f>IF(267&lt;DeliverStart,0,MIN(StabLeasedTarget,JJ$8,(267-DeliverStart+1)*UnitsLeasedPerMo))</f>
        <v/>
      </c>
      <c r="JK9" s="17">
        <f>IF(268&lt;DeliverStart,0,MIN(StabLeasedTarget,JK$8,(268-DeliverStart+1)*UnitsLeasedPerMo))</f>
        <v/>
      </c>
      <c r="JL9" s="17">
        <f>IF(269&lt;DeliverStart,0,MIN(StabLeasedTarget,JL$8,(269-DeliverStart+1)*UnitsLeasedPerMo))</f>
        <v/>
      </c>
      <c r="JM9" s="17">
        <f>IF(270&lt;DeliverStart,0,MIN(StabLeasedTarget,JM$8,(270-DeliverStart+1)*UnitsLeasedPerMo))</f>
        <v/>
      </c>
      <c r="JN9" s="17">
        <f>IF(271&lt;DeliverStart,0,MIN(StabLeasedTarget,JN$8,(271-DeliverStart+1)*UnitsLeasedPerMo))</f>
        <v/>
      </c>
      <c r="JO9" s="17">
        <f>IF(272&lt;DeliverStart,0,MIN(StabLeasedTarget,JO$8,(272-DeliverStart+1)*UnitsLeasedPerMo))</f>
        <v/>
      </c>
      <c r="JP9" s="17">
        <f>IF(273&lt;DeliverStart,0,MIN(StabLeasedTarget,JP$8,(273-DeliverStart+1)*UnitsLeasedPerMo))</f>
        <v/>
      </c>
      <c r="JQ9" s="17">
        <f>IF(274&lt;DeliverStart,0,MIN(StabLeasedTarget,JQ$8,(274-DeliverStart+1)*UnitsLeasedPerMo))</f>
        <v/>
      </c>
      <c r="JR9" s="17">
        <f>IF(275&lt;DeliverStart,0,MIN(StabLeasedTarget,JR$8,(275-DeliverStart+1)*UnitsLeasedPerMo))</f>
        <v/>
      </c>
      <c r="JS9" s="17">
        <f>IF(276&lt;DeliverStart,0,MIN(StabLeasedTarget,JS$8,(276-DeliverStart+1)*UnitsLeasedPerMo))</f>
        <v/>
      </c>
      <c r="JT9" s="17">
        <f>IF(277&lt;DeliverStart,0,MIN(StabLeasedTarget,JT$8,(277-DeliverStart+1)*UnitsLeasedPerMo))</f>
        <v/>
      </c>
      <c r="JU9" s="17">
        <f>IF(278&lt;DeliverStart,0,MIN(StabLeasedTarget,JU$8,(278-DeliverStart+1)*UnitsLeasedPerMo))</f>
        <v/>
      </c>
      <c r="JV9" s="17">
        <f>IF(279&lt;DeliverStart,0,MIN(StabLeasedTarget,JV$8,(279-DeliverStart+1)*UnitsLeasedPerMo))</f>
        <v/>
      </c>
      <c r="JW9" s="17">
        <f>IF(280&lt;DeliverStart,0,MIN(StabLeasedTarget,JW$8,(280-DeliverStart+1)*UnitsLeasedPerMo))</f>
        <v/>
      </c>
      <c r="JX9" s="17">
        <f>IF(281&lt;DeliverStart,0,MIN(StabLeasedTarget,JX$8,(281-DeliverStart+1)*UnitsLeasedPerMo))</f>
        <v/>
      </c>
      <c r="JY9" s="17">
        <f>IF(282&lt;DeliverStart,0,MIN(StabLeasedTarget,JY$8,(282-DeliverStart+1)*UnitsLeasedPerMo))</f>
        <v/>
      </c>
      <c r="JZ9" s="17">
        <f>IF(283&lt;DeliverStart,0,MIN(StabLeasedTarget,JZ$8,(283-DeliverStart+1)*UnitsLeasedPerMo))</f>
        <v/>
      </c>
      <c r="KA9" s="17">
        <f>IF(284&lt;DeliverStart,0,MIN(StabLeasedTarget,KA$8,(284-DeliverStart+1)*UnitsLeasedPerMo))</f>
        <v/>
      </c>
      <c r="KB9" s="17">
        <f>IF(285&lt;DeliverStart,0,MIN(StabLeasedTarget,KB$8,(285-DeliverStart+1)*UnitsLeasedPerMo))</f>
        <v/>
      </c>
      <c r="KC9" s="17">
        <f>IF(286&lt;DeliverStart,0,MIN(StabLeasedTarget,KC$8,(286-DeliverStart+1)*UnitsLeasedPerMo))</f>
        <v/>
      </c>
      <c r="KD9" s="17">
        <f>IF(287&lt;DeliverStart,0,MIN(StabLeasedTarget,KD$8,(287-DeliverStart+1)*UnitsLeasedPerMo))</f>
        <v/>
      </c>
      <c r="KE9" s="17">
        <f>IF(288&lt;DeliverStart,0,MIN(StabLeasedTarget,KE$8,(288-DeliverStart+1)*UnitsLeasedPerMo))</f>
        <v/>
      </c>
      <c r="KF9" s="17">
        <f>IF(289&lt;DeliverStart,0,MIN(StabLeasedTarget,KF$8,(289-DeliverStart+1)*UnitsLeasedPerMo))</f>
        <v/>
      </c>
      <c r="KG9" s="17">
        <f>IF(290&lt;DeliverStart,0,MIN(StabLeasedTarget,KG$8,(290-DeliverStart+1)*UnitsLeasedPerMo))</f>
        <v/>
      </c>
      <c r="KH9" s="17">
        <f>IF(291&lt;DeliverStart,0,MIN(StabLeasedTarget,KH$8,(291-DeliverStart+1)*UnitsLeasedPerMo))</f>
        <v/>
      </c>
      <c r="KI9" s="17">
        <f>IF(292&lt;DeliverStart,0,MIN(StabLeasedTarget,KI$8,(292-DeliverStart+1)*UnitsLeasedPerMo))</f>
        <v/>
      </c>
      <c r="KJ9" s="17">
        <f>IF(293&lt;DeliverStart,0,MIN(StabLeasedTarget,KJ$8,(293-DeliverStart+1)*UnitsLeasedPerMo))</f>
        <v/>
      </c>
      <c r="KK9" s="17">
        <f>IF(294&lt;DeliverStart,0,MIN(StabLeasedTarget,KK$8,(294-DeliverStart+1)*UnitsLeasedPerMo))</f>
        <v/>
      </c>
      <c r="KL9" s="17">
        <f>IF(295&lt;DeliverStart,0,MIN(StabLeasedTarget,KL$8,(295-DeliverStart+1)*UnitsLeasedPerMo))</f>
        <v/>
      </c>
      <c r="KM9" s="17">
        <f>IF(296&lt;DeliverStart,0,MIN(StabLeasedTarget,KM$8,(296-DeliverStart+1)*UnitsLeasedPerMo))</f>
        <v/>
      </c>
      <c r="KN9" s="17">
        <f>IF(297&lt;DeliverStart,0,MIN(StabLeasedTarget,KN$8,(297-DeliverStart+1)*UnitsLeasedPerMo))</f>
        <v/>
      </c>
      <c r="KO9" s="17">
        <f>IF(298&lt;DeliverStart,0,MIN(StabLeasedTarget,KO$8,(298-DeliverStart+1)*UnitsLeasedPerMo))</f>
        <v/>
      </c>
      <c r="KP9" s="17">
        <f>IF(299&lt;DeliverStart,0,MIN(StabLeasedTarget,KP$8,(299-DeliverStart+1)*UnitsLeasedPerMo))</f>
        <v/>
      </c>
      <c r="KQ9" s="17">
        <f>IF(300&lt;DeliverStart,0,MIN(StabLeasedTarget,KQ$8,(300-DeliverStart+1)*UnitsLeasedPerMo))</f>
        <v/>
      </c>
      <c r="KR9" s="17">
        <f>IF(301&lt;DeliverStart,0,MIN(StabLeasedTarget,KR$8,(301-DeliverStart+1)*UnitsLeasedPerMo))</f>
        <v/>
      </c>
      <c r="KS9" s="17">
        <f>IF(302&lt;DeliverStart,0,MIN(StabLeasedTarget,KS$8,(302-DeliverStart+1)*UnitsLeasedPerMo))</f>
        <v/>
      </c>
      <c r="KT9" s="17">
        <f>IF(303&lt;DeliverStart,0,MIN(StabLeasedTarget,KT$8,(303-DeliverStart+1)*UnitsLeasedPerMo))</f>
        <v/>
      </c>
      <c r="KU9" s="17">
        <f>IF(304&lt;DeliverStart,0,MIN(StabLeasedTarget,KU$8,(304-DeliverStart+1)*UnitsLeasedPerMo))</f>
        <v/>
      </c>
      <c r="KV9" s="17">
        <f>IF(305&lt;DeliverStart,0,MIN(StabLeasedTarget,KV$8,(305-DeliverStart+1)*UnitsLeasedPerMo))</f>
        <v/>
      </c>
      <c r="KW9" s="17">
        <f>IF(306&lt;DeliverStart,0,MIN(StabLeasedTarget,KW$8,(306-DeliverStart+1)*UnitsLeasedPerMo))</f>
        <v/>
      </c>
      <c r="KX9" s="17">
        <f>IF(307&lt;DeliverStart,0,MIN(StabLeasedTarget,KX$8,(307-DeliverStart+1)*UnitsLeasedPerMo))</f>
        <v/>
      </c>
      <c r="KY9" s="17">
        <f>IF(308&lt;DeliverStart,0,MIN(StabLeasedTarget,KY$8,(308-DeliverStart+1)*UnitsLeasedPerMo))</f>
        <v/>
      </c>
      <c r="KZ9" s="17">
        <f>IF(309&lt;DeliverStart,0,MIN(StabLeasedTarget,KZ$8,(309-DeliverStart+1)*UnitsLeasedPerMo))</f>
        <v/>
      </c>
      <c r="LA9" s="17">
        <f>IF(310&lt;DeliverStart,0,MIN(StabLeasedTarget,LA$8,(310-DeliverStart+1)*UnitsLeasedPerMo))</f>
        <v/>
      </c>
      <c r="LB9" s="17">
        <f>IF(311&lt;DeliverStart,0,MIN(StabLeasedTarget,LB$8,(311-DeliverStart+1)*UnitsLeasedPerMo))</f>
        <v/>
      </c>
      <c r="LC9" s="17">
        <f>IF(312&lt;DeliverStart,0,MIN(StabLeasedTarget,LC$8,(312-DeliverStart+1)*UnitsLeasedPerMo))</f>
        <v/>
      </c>
      <c r="LD9" s="17">
        <f>IF(313&lt;DeliverStart,0,MIN(StabLeasedTarget,LD$8,(313-DeliverStart+1)*UnitsLeasedPerMo))</f>
        <v/>
      </c>
      <c r="LE9" s="17">
        <f>IF(314&lt;DeliverStart,0,MIN(StabLeasedTarget,LE$8,(314-DeliverStart+1)*UnitsLeasedPerMo))</f>
        <v/>
      </c>
      <c r="LF9" s="17">
        <f>IF(315&lt;DeliverStart,0,MIN(StabLeasedTarget,LF$8,(315-DeliverStart+1)*UnitsLeasedPerMo))</f>
        <v/>
      </c>
      <c r="LG9" s="17">
        <f>IF(316&lt;DeliverStart,0,MIN(StabLeasedTarget,LG$8,(316-DeliverStart+1)*UnitsLeasedPerMo))</f>
        <v/>
      </c>
      <c r="LH9" s="17">
        <f>IF(317&lt;DeliverStart,0,MIN(StabLeasedTarget,LH$8,(317-DeliverStart+1)*UnitsLeasedPerMo))</f>
        <v/>
      </c>
      <c r="LI9" s="17">
        <f>IF(318&lt;DeliverStart,0,MIN(StabLeasedTarget,LI$8,(318-DeliverStart+1)*UnitsLeasedPerMo))</f>
        <v/>
      </c>
      <c r="LJ9" s="17">
        <f>IF(319&lt;DeliverStart,0,MIN(StabLeasedTarget,LJ$8,(319-DeliverStart+1)*UnitsLeasedPerMo))</f>
        <v/>
      </c>
      <c r="LK9" s="17">
        <f>IF(320&lt;DeliverStart,0,MIN(StabLeasedTarget,LK$8,(320-DeliverStart+1)*UnitsLeasedPerMo))</f>
        <v/>
      </c>
      <c r="LL9" s="17">
        <f>IF(321&lt;DeliverStart,0,MIN(StabLeasedTarget,LL$8,(321-DeliverStart+1)*UnitsLeasedPerMo))</f>
        <v/>
      </c>
      <c r="LM9" s="17">
        <f>IF(322&lt;DeliverStart,0,MIN(StabLeasedTarget,LM$8,(322-DeliverStart+1)*UnitsLeasedPerMo))</f>
        <v/>
      </c>
      <c r="LN9" s="17">
        <f>IF(323&lt;DeliverStart,0,MIN(StabLeasedTarget,LN$8,(323-DeliverStart+1)*UnitsLeasedPerMo))</f>
        <v/>
      </c>
      <c r="LO9" s="17">
        <f>IF(324&lt;DeliverStart,0,MIN(StabLeasedTarget,LO$8,(324-DeliverStart+1)*UnitsLeasedPerMo))</f>
        <v/>
      </c>
      <c r="LP9" s="17">
        <f>IF(325&lt;DeliverStart,0,MIN(StabLeasedTarget,LP$8,(325-DeliverStart+1)*UnitsLeasedPerMo))</f>
        <v/>
      </c>
      <c r="LQ9" s="17">
        <f>IF(326&lt;DeliverStart,0,MIN(StabLeasedTarget,LQ$8,(326-DeliverStart+1)*UnitsLeasedPerMo))</f>
        <v/>
      </c>
      <c r="LR9" s="17">
        <f>IF(327&lt;DeliverStart,0,MIN(StabLeasedTarget,LR$8,(327-DeliverStart+1)*UnitsLeasedPerMo))</f>
        <v/>
      </c>
      <c r="LS9" s="17">
        <f>IF(328&lt;DeliverStart,0,MIN(StabLeasedTarget,LS$8,(328-DeliverStart+1)*UnitsLeasedPerMo))</f>
        <v/>
      </c>
      <c r="LT9" s="17">
        <f>IF(329&lt;DeliverStart,0,MIN(StabLeasedTarget,LT$8,(329-DeliverStart+1)*UnitsLeasedPerMo))</f>
        <v/>
      </c>
      <c r="LU9" s="17">
        <f>IF(330&lt;DeliverStart,0,MIN(StabLeasedTarget,LU$8,(330-DeliverStart+1)*UnitsLeasedPerMo))</f>
        <v/>
      </c>
      <c r="LV9" s="17">
        <f>IF(331&lt;DeliverStart,0,MIN(StabLeasedTarget,LV$8,(331-DeliverStart+1)*UnitsLeasedPerMo))</f>
        <v/>
      </c>
      <c r="LW9" s="17">
        <f>IF(332&lt;DeliverStart,0,MIN(StabLeasedTarget,LW$8,(332-DeliverStart+1)*UnitsLeasedPerMo))</f>
        <v/>
      </c>
      <c r="LX9" s="17">
        <f>IF(333&lt;DeliverStart,0,MIN(StabLeasedTarget,LX$8,(333-DeliverStart+1)*UnitsLeasedPerMo))</f>
        <v/>
      </c>
      <c r="LY9" s="17">
        <f>IF(334&lt;DeliverStart,0,MIN(StabLeasedTarget,LY$8,(334-DeliverStart+1)*UnitsLeasedPerMo))</f>
        <v/>
      </c>
      <c r="LZ9" s="17">
        <f>IF(335&lt;DeliverStart,0,MIN(StabLeasedTarget,LZ$8,(335-DeliverStart+1)*UnitsLeasedPerMo))</f>
        <v/>
      </c>
      <c r="MA9" s="17">
        <f>IF(336&lt;DeliverStart,0,MIN(StabLeasedTarget,MA$8,(336-DeliverStart+1)*UnitsLeasedPerMo))</f>
        <v/>
      </c>
      <c r="MB9" s="17">
        <f>IF(337&lt;DeliverStart,0,MIN(StabLeasedTarget,MB$8,(337-DeliverStart+1)*UnitsLeasedPerMo))</f>
        <v/>
      </c>
      <c r="MC9" s="17">
        <f>IF(338&lt;DeliverStart,0,MIN(StabLeasedTarget,MC$8,(338-DeliverStart+1)*UnitsLeasedPerMo))</f>
        <v/>
      </c>
      <c r="MD9" s="17">
        <f>IF(339&lt;DeliverStart,0,MIN(StabLeasedTarget,MD$8,(339-DeliverStart+1)*UnitsLeasedPerMo))</f>
        <v/>
      </c>
      <c r="ME9" s="17">
        <f>IF(340&lt;DeliverStart,0,MIN(StabLeasedTarget,ME$8,(340-DeliverStart+1)*UnitsLeasedPerMo))</f>
        <v/>
      </c>
      <c r="MF9" s="17">
        <f>IF(341&lt;DeliverStart,0,MIN(StabLeasedTarget,MF$8,(341-DeliverStart+1)*UnitsLeasedPerMo))</f>
        <v/>
      </c>
      <c r="MG9" s="17">
        <f>IF(342&lt;DeliverStart,0,MIN(StabLeasedTarget,MG$8,(342-DeliverStart+1)*UnitsLeasedPerMo))</f>
        <v/>
      </c>
      <c r="MH9" s="17">
        <f>IF(343&lt;DeliverStart,0,MIN(StabLeasedTarget,MH$8,(343-DeliverStart+1)*UnitsLeasedPerMo))</f>
        <v/>
      </c>
      <c r="MI9" s="17">
        <f>IF(344&lt;DeliverStart,0,MIN(StabLeasedTarget,MI$8,(344-DeliverStart+1)*UnitsLeasedPerMo))</f>
        <v/>
      </c>
      <c r="MJ9" s="17">
        <f>IF(345&lt;DeliverStart,0,MIN(StabLeasedTarget,MJ$8,(345-DeliverStart+1)*UnitsLeasedPerMo))</f>
        <v/>
      </c>
      <c r="MK9" s="17">
        <f>IF(346&lt;DeliverStart,0,MIN(StabLeasedTarget,MK$8,(346-DeliverStart+1)*UnitsLeasedPerMo))</f>
        <v/>
      </c>
      <c r="ML9" s="17">
        <f>IF(347&lt;DeliverStart,0,MIN(StabLeasedTarget,ML$8,(347-DeliverStart+1)*UnitsLeasedPerMo))</f>
        <v/>
      </c>
      <c r="MM9" s="17">
        <f>IF(348&lt;DeliverStart,0,MIN(StabLeasedTarget,MM$8,(348-DeliverStart+1)*UnitsLeasedPerMo))</f>
        <v/>
      </c>
      <c r="MN9" s="17">
        <f>IF(349&lt;DeliverStart,0,MIN(StabLeasedTarget,MN$8,(349-DeliverStart+1)*UnitsLeasedPerMo))</f>
        <v/>
      </c>
      <c r="MO9" s="17">
        <f>IF(350&lt;DeliverStart,0,MIN(StabLeasedTarget,MO$8,(350-DeliverStart+1)*UnitsLeasedPerMo))</f>
        <v/>
      </c>
      <c r="MP9" s="17">
        <f>IF(351&lt;DeliverStart,0,MIN(StabLeasedTarget,MP$8,(351-DeliverStart+1)*UnitsLeasedPerMo))</f>
        <v/>
      </c>
      <c r="MQ9" s="17">
        <f>IF(352&lt;DeliverStart,0,MIN(StabLeasedTarget,MQ$8,(352-DeliverStart+1)*UnitsLeasedPerMo))</f>
        <v/>
      </c>
      <c r="MR9" s="17">
        <f>IF(353&lt;DeliverStart,0,MIN(StabLeasedTarget,MR$8,(353-DeliverStart+1)*UnitsLeasedPerMo))</f>
        <v/>
      </c>
      <c r="MS9" s="17">
        <f>IF(354&lt;DeliverStart,0,MIN(StabLeasedTarget,MS$8,(354-DeliverStart+1)*UnitsLeasedPerMo))</f>
        <v/>
      </c>
      <c r="MT9" s="17">
        <f>IF(355&lt;DeliverStart,0,MIN(StabLeasedTarget,MT$8,(355-DeliverStart+1)*UnitsLeasedPerMo))</f>
        <v/>
      </c>
      <c r="MU9" s="17">
        <f>IF(356&lt;DeliverStart,0,MIN(StabLeasedTarget,MU$8,(356-DeliverStart+1)*UnitsLeasedPerMo))</f>
        <v/>
      </c>
      <c r="MV9" s="17">
        <f>IF(357&lt;DeliverStart,0,MIN(StabLeasedTarget,MV$8,(357-DeliverStart+1)*UnitsLeasedPerMo))</f>
        <v/>
      </c>
      <c r="MW9" s="17">
        <f>IF(358&lt;DeliverStart,0,MIN(StabLeasedTarget,MW$8,(358-DeliverStart+1)*UnitsLeasedPerMo))</f>
        <v/>
      </c>
      <c r="MX9" s="17">
        <f>IF(359&lt;DeliverStart,0,MIN(StabLeasedTarget,MX$8,(359-DeliverStart+1)*UnitsLeasedPerMo))</f>
        <v/>
      </c>
      <c r="MY9" s="17">
        <f>IF(360&lt;DeliverStart,0,MIN(StabLeasedTarget,MY$8,(360-DeliverStart+1)*UnitsLeasedPerMo))</f>
        <v/>
      </c>
      <c r="MZ9" s="17">
        <f>IF(361&lt;DeliverStart,0,MIN(StabLeasedTarget,MZ$8,(361-DeliverStart+1)*UnitsLeasedPerMo))</f>
        <v/>
      </c>
      <c r="NA9" s="17">
        <f>IF(362&lt;DeliverStart,0,MIN(StabLeasedTarget,NA$8,(362-DeliverStart+1)*UnitsLeasedPerMo))</f>
        <v/>
      </c>
      <c r="NB9" s="17">
        <f>IF(363&lt;DeliverStart,0,MIN(StabLeasedTarget,NB$8,(363-DeliverStart+1)*UnitsLeasedPerMo))</f>
        <v/>
      </c>
      <c r="NC9" s="17">
        <f>IF(364&lt;DeliverStart,0,MIN(StabLeasedTarget,NC$8,(364-DeliverStart+1)*UnitsLeasedPerMo))</f>
        <v/>
      </c>
      <c r="ND9" s="17">
        <f>IF(365&lt;DeliverStart,0,MIN(StabLeasedTarget,ND$8,(365-DeliverStart+1)*UnitsLeasedPerMo))</f>
        <v/>
      </c>
      <c r="NE9" s="17">
        <f>IF(366&lt;DeliverStart,0,MIN(StabLeasedTarget,NE$8,(366-DeliverStart+1)*UnitsLeasedPerMo))</f>
        <v/>
      </c>
      <c r="NF9" s="17">
        <f>IF(367&lt;DeliverStart,0,MIN(StabLeasedTarget,NF$8,(367-DeliverStart+1)*UnitsLeasedPerMo))</f>
        <v/>
      </c>
      <c r="NG9" s="17">
        <f>IF(368&lt;DeliverStart,0,MIN(StabLeasedTarget,NG$8,(368-DeliverStart+1)*UnitsLeasedPerMo))</f>
        <v/>
      </c>
      <c r="NH9" s="17">
        <f>IF(369&lt;DeliverStart,0,MIN(StabLeasedTarget,NH$8,(369-DeliverStart+1)*UnitsLeasedPerMo))</f>
        <v/>
      </c>
      <c r="NI9" s="17">
        <f>IF(370&lt;DeliverStart,0,MIN(StabLeasedTarget,NI$8,(370-DeliverStart+1)*UnitsLeasedPerMo))</f>
        <v/>
      </c>
      <c r="NJ9" s="17">
        <f>IF(371&lt;DeliverStart,0,MIN(StabLeasedTarget,NJ$8,(371-DeliverStart+1)*UnitsLeasedPerMo))</f>
        <v/>
      </c>
      <c r="NK9" s="17">
        <f>IF(372&lt;DeliverStart,0,MIN(StabLeasedTarget,NK$8,(372-DeliverStart+1)*UnitsLeasedPerMo))</f>
        <v/>
      </c>
    </row>
    <row r="10">
      <c r="A10" s="5" t="inlineStr">
        <is>
          <t>Physical Occupancy</t>
        </is>
      </c>
      <c r="C10" s="51" t="n"/>
      <c r="D10" s="20">
        <f>IF(TotalUnits=0,0,D$9/TotalUnits)</f>
        <v/>
      </c>
      <c r="E10" s="20">
        <f>IF(TotalUnits=0,0,E$9/TotalUnits)</f>
        <v/>
      </c>
      <c r="F10" s="20">
        <f>IF(TotalUnits=0,0,F$9/TotalUnits)</f>
        <v/>
      </c>
      <c r="G10" s="20">
        <f>IF(TotalUnits=0,0,G$9/TotalUnits)</f>
        <v/>
      </c>
      <c r="H10" s="20">
        <f>IF(TotalUnits=0,0,H$9/TotalUnits)</f>
        <v/>
      </c>
      <c r="I10" s="20">
        <f>IF(TotalUnits=0,0,I$9/TotalUnits)</f>
        <v/>
      </c>
      <c r="J10" s="20">
        <f>IF(TotalUnits=0,0,J$9/TotalUnits)</f>
        <v/>
      </c>
      <c r="K10" s="20">
        <f>IF(TotalUnits=0,0,K$9/TotalUnits)</f>
        <v/>
      </c>
      <c r="L10" s="20">
        <f>IF(TotalUnits=0,0,L$9/TotalUnits)</f>
        <v/>
      </c>
      <c r="M10" s="20">
        <f>IF(TotalUnits=0,0,M$9/TotalUnits)</f>
        <v/>
      </c>
      <c r="N10" s="20">
        <f>IF(TotalUnits=0,0,N$9/TotalUnits)</f>
        <v/>
      </c>
      <c r="O10" s="20">
        <f>IF(TotalUnits=0,0,O$9/TotalUnits)</f>
        <v/>
      </c>
      <c r="P10" s="20">
        <f>IF(TotalUnits=0,0,P$9/TotalUnits)</f>
        <v/>
      </c>
      <c r="Q10" s="20">
        <f>IF(TotalUnits=0,0,Q$9/TotalUnits)</f>
        <v/>
      </c>
      <c r="R10" s="20">
        <f>IF(TotalUnits=0,0,R$9/TotalUnits)</f>
        <v/>
      </c>
      <c r="S10" s="20">
        <f>IF(TotalUnits=0,0,S$9/TotalUnits)</f>
        <v/>
      </c>
      <c r="T10" s="20">
        <f>IF(TotalUnits=0,0,T$9/TotalUnits)</f>
        <v/>
      </c>
      <c r="U10" s="20">
        <f>IF(TotalUnits=0,0,U$9/TotalUnits)</f>
        <v/>
      </c>
      <c r="V10" s="20">
        <f>IF(TotalUnits=0,0,V$9/TotalUnits)</f>
        <v/>
      </c>
      <c r="W10" s="20">
        <f>IF(TotalUnits=0,0,W$9/TotalUnits)</f>
        <v/>
      </c>
      <c r="X10" s="20">
        <f>IF(TotalUnits=0,0,X$9/TotalUnits)</f>
        <v/>
      </c>
      <c r="Y10" s="20">
        <f>IF(TotalUnits=0,0,Y$9/TotalUnits)</f>
        <v/>
      </c>
      <c r="Z10" s="20">
        <f>IF(TotalUnits=0,0,Z$9/TotalUnits)</f>
        <v/>
      </c>
      <c r="AA10" s="20">
        <f>IF(TotalUnits=0,0,AA$9/TotalUnits)</f>
        <v/>
      </c>
      <c r="AB10" s="20">
        <f>IF(TotalUnits=0,0,AB$9/TotalUnits)</f>
        <v/>
      </c>
      <c r="AC10" s="20">
        <f>IF(TotalUnits=0,0,AC$9/TotalUnits)</f>
        <v/>
      </c>
      <c r="AD10" s="20">
        <f>IF(TotalUnits=0,0,AD$9/TotalUnits)</f>
        <v/>
      </c>
      <c r="AE10" s="20">
        <f>IF(TotalUnits=0,0,AE$9/TotalUnits)</f>
        <v/>
      </c>
      <c r="AF10" s="20">
        <f>IF(TotalUnits=0,0,AF$9/TotalUnits)</f>
        <v/>
      </c>
      <c r="AG10" s="20">
        <f>IF(TotalUnits=0,0,AG$9/TotalUnits)</f>
        <v/>
      </c>
      <c r="AH10" s="20">
        <f>IF(TotalUnits=0,0,AH$9/TotalUnits)</f>
        <v/>
      </c>
      <c r="AI10" s="20">
        <f>IF(TotalUnits=0,0,AI$9/TotalUnits)</f>
        <v/>
      </c>
      <c r="AJ10" s="20">
        <f>IF(TotalUnits=0,0,AJ$9/TotalUnits)</f>
        <v/>
      </c>
      <c r="AK10" s="20">
        <f>IF(TotalUnits=0,0,AK$9/TotalUnits)</f>
        <v/>
      </c>
      <c r="AL10" s="20">
        <f>IF(TotalUnits=0,0,AL$9/TotalUnits)</f>
        <v/>
      </c>
      <c r="AM10" s="20">
        <f>IF(TotalUnits=0,0,AM$9/TotalUnits)</f>
        <v/>
      </c>
      <c r="AN10" s="20">
        <f>IF(TotalUnits=0,0,AN$9/TotalUnits)</f>
        <v/>
      </c>
      <c r="AO10" s="20">
        <f>IF(TotalUnits=0,0,AO$9/TotalUnits)</f>
        <v/>
      </c>
      <c r="AP10" s="20">
        <f>IF(TotalUnits=0,0,AP$9/TotalUnits)</f>
        <v/>
      </c>
      <c r="AQ10" s="20">
        <f>IF(TotalUnits=0,0,AQ$9/TotalUnits)</f>
        <v/>
      </c>
      <c r="AR10" s="20">
        <f>IF(TotalUnits=0,0,AR$9/TotalUnits)</f>
        <v/>
      </c>
      <c r="AS10" s="20">
        <f>IF(TotalUnits=0,0,AS$9/TotalUnits)</f>
        <v/>
      </c>
      <c r="AT10" s="20">
        <f>IF(TotalUnits=0,0,AT$9/TotalUnits)</f>
        <v/>
      </c>
      <c r="AU10" s="20">
        <f>IF(TotalUnits=0,0,AU$9/TotalUnits)</f>
        <v/>
      </c>
      <c r="AV10" s="20">
        <f>IF(TotalUnits=0,0,AV$9/TotalUnits)</f>
        <v/>
      </c>
      <c r="AW10" s="20">
        <f>IF(TotalUnits=0,0,AW$9/TotalUnits)</f>
        <v/>
      </c>
      <c r="AX10" s="20">
        <f>IF(TotalUnits=0,0,AX$9/TotalUnits)</f>
        <v/>
      </c>
      <c r="AY10" s="20">
        <f>IF(TotalUnits=0,0,AY$9/TotalUnits)</f>
        <v/>
      </c>
      <c r="AZ10" s="20">
        <f>IF(TotalUnits=0,0,AZ$9/TotalUnits)</f>
        <v/>
      </c>
      <c r="BA10" s="20">
        <f>IF(TotalUnits=0,0,BA$9/TotalUnits)</f>
        <v/>
      </c>
      <c r="BB10" s="20">
        <f>IF(TotalUnits=0,0,BB$9/TotalUnits)</f>
        <v/>
      </c>
      <c r="BC10" s="20">
        <f>IF(TotalUnits=0,0,BC$9/TotalUnits)</f>
        <v/>
      </c>
      <c r="BD10" s="20">
        <f>IF(TotalUnits=0,0,BD$9/TotalUnits)</f>
        <v/>
      </c>
      <c r="BE10" s="20">
        <f>IF(TotalUnits=0,0,BE$9/TotalUnits)</f>
        <v/>
      </c>
      <c r="BF10" s="20">
        <f>IF(TotalUnits=0,0,BF$9/TotalUnits)</f>
        <v/>
      </c>
      <c r="BG10" s="20">
        <f>IF(TotalUnits=0,0,BG$9/TotalUnits)</f>
        <v/>
      </c>
      <c r="BH10" s="20">
        <f>IF(TotalUnits=0,0,BH$9/TotalUnits)</f>
        <v/>
      </c>
      <c r="BI10" s="20">
        <f>IF(TotalUnits=0,0,BI$9/TotalUnits)</f>
        <v/>
      </c>
      <c r="BJ10" s="20">
        <f>IF(TotalUnits=0,0,BJ$9/TotalUnits)</f>
        <v/>
      </c>
      <c r="BK10" s="20">
        <f>IF(TotalUnits=0,0,BK$9/TotalUnits)</f>
        <v/>
      </c>
      <c r="BL10" s="20">
        <f>IF(TotalUnits=0,0,BL$9/TotalUnits)</f>
        <v/>
      </c>
      <c r="BM10" s="20">
        <f>IF(TotalUnits=0,0,BM$9/TotalUnits)</f>
        <v/>
      </c>
      <c r="BN10" s="20">
        <f>IF(TotalUnits=0,0,BN$9/TotalUnits)</f>
        <v/>
      </c>
      <c r="BO10" s="20">
        <f>IF(TotalUnits=0,0,BO$9/TotalUnits)</f>
        <v/>
      </c>
      <c r="BP10" s="20">
        <f>IF(TotalUnits=0,0,BP$9/TotalUnits)</f>
        <v/>
      </c>
      <c r="BQ10" s="20">
        <f>IF(TotalUnits=0,0,BQ$9/TotalUnits)</f>
        <v/>
      </c>
      <c r="BR10" s="20">
        <f>IF(TotalUnits=0,0,BR$9/TotalUnits)</f>
        <v/>
      </c>
      <c r="BS10" s="20">
        <f>IF(TotalUnits=0,0,BS$9/TotalUnits)</f>
        <v/>
      </c>
      <c r="BT10" s="20">
        <f>IF(TotalUnits=0,0,BT$9/TotalUnits)</f>
        <v/>
      </c>
      <c r="BU10" s="20">
        <f>IF(TotalUnits=0,0,BU$9/TotalUnits)</f>
        <v/>
      </c>
      <c r="BV10" s="20">
        <f>IF(TotalUnits=0,0,BV$9/TotalUnits)</f>
        <v/>
      </c>
      <c r="BW10" s="20">
        <f>IF(TotalUnits=0,0,BW$9/TotalUnits)</f>
        <v/>
      </c>
      <c r="BX10" s="20">
        <f>IF(TotalUnits=0,0,BX$9/TotalUnits)</f>
        <v/>
      </c>
      <c r="BY10" s="20">
        <f>IF(TotalUnits=0,0,BY$9/TotalUnits)</f>
        <v/>
      </c>
      <c r="BZ10" s="20">
        <f>IF(TotalUnits=0,0,BZ$9/TotalUnits)</f>
        <v/>
      </c>
      <c r="CA10" s="20">
        <f>IF(TotalUnits=0,0,CA$9/TotalUnits)</f>
        <v/>
      </c>
      <c r="CB10" s="20">
        <f>IF(TotalUnits=0,0,CB$9/TotalUnits)</f>
        <v/>
      </c>
      <c r="CC10" s="20">
        <f>IF(TotalUnits=0,0,CC$9/TotalUnits)</f>
        <v/>
      </c>
      <c r="CD10" s="20">
        <f>IF(TotalUnits=0,0,CD$9/TotalUnits)</f>
        <v/>
      </c>
      <c r="CE10" s="20">
        <f>IF(TotalUnits=0,0,CE$9/TotalUnits)</f>
        <v/>
      </c>
      <c r="CF10" s="20">
        <f>IF(TotalUnits=0,0,CF$9/TotalUnits)</f>
        <v/>
      </c>
      <c r="CG10" s="20">
        <f>IF(TotalUnits=0,0,CG$9/TotalUnits)</f>
        <v/>
      </c>
      <c r="CH10" s="20">
        <f>IF(TotalUnits=0,0,CH$9/TotalUnits)</f>
        <v/>
      </c>
      <c r="CI10" s="20">
        <f>IF(TotalUnits=0,0,CI$9/TotalUnits)</f>
        <v/>
      </c>
      <c r="CJ10" s="20">
        <f>IF(TotalUnits=0,0,CJ$9/TotalUnits)</f>
        <v/>
      </c>
      <c r="CK10" s="20">
        <f>IF(TotalUnits=0,0,CK$9/TotalUnits)</f>
        <v/>
      </c>
      <c r="CL10" s="20">
        <f>IF(TotalUnits=0,0,CL$9/TotalUnits)</f>
        <v/>
      </c>
      <c r="CM10" s="20">
        <f>IF(TotalUnits=0,0,CM$9/TotalUnits)</f>
        <v/>
      </c>
      <c r="CN10" s="20">
        <f>IF(TotalUnits=0,0,CN$9/TotalUnits)</f>
        <v/>
      </c>
      <c r="CO10" s="20">
        <f>IF(TotalUnits=0,0,CO$9/TotalUnits)</f>
        <v/>
      </c>
      <c r="CP10" s="20">
        <f>IF(TotalUnits=0,0,CP$9/TotalUnits)</f>
        <v/>
      </c>
      <c r="CQ10" s="20">
        <f>IF(TotalUnits=0,0,CQ$9/TotalUnits)</f>
        <v/>
      </c>
      <c r="CR10" s="20">
        <f>IF(TotalUnits=0,0,CR$9/TotalUnits)</f>
        <v/>
      </c>
      <c r="CS10" s="20">
        <f>IF(TotalUnits=0,0,CS$9/TotalUnits)</f>
        <v/>
      </c>
      <c r="CT10" s="20">
        <f>IF(TotalUnits=0,0,CT$9/TotalUnits)</f>
        <v/>
      </c>
      <c r="CU10" s="20">
        <f>IF(TotalUnits=0,0,CU$9/TotalUnits)</f>
        <v/>
      </c>
      <c r="CV10" s="20">
        <f>IF(TotalUnits=0,0,CV$9/TotalUnits)</f>
        <v/>
      </c>
      <c r="CW10" s="20">
        <f>IF(TotalUnits=0,0,CW$9/TotalUnits)</f>
        <v/>
      </c>
      <c r="CX10" s="20">
        <f>IF(TotalUnits=0,0,CX$9/TotalUnits)</f>
        <v/>
      </c>
      <c r="CY10" s="20">
        <f>IF(TotalUnits=0,0,CY$9/TotalUnits)</f>
        <v/>
      </c>
      <c r="CZ10" s="20">
        <f>IF(TotalUnits=0,0,CZ$9/TotalUnits)</f>
        <v/>
      </c>
      <c r="DA10" s="20">
        <f>IF(TotalUnits=0,0,DA$9/TotalUnits)</f>
        <v/>
      </c>
      <c r="DB10" s="20">
        <f>IF(TotalUnits=0,0,DB$9/TotalUnits)</f>
        <v/>
      </c>
      <c r="DC10" s="20">
        <f>IF(TotalUnits=0,0,DC$9/TotalUnits)</f>
        <v/>
      </c>
      <c r="DD10" s="20">
        <f>IF(TotalUnits=0,0,DD$9/TotalUnits)</f>
        <v/>
      </c>
      <c r="DE10" s="20">
        <f>IF(TotalUnits=0,0,DE$9/TotalUnits)</f>
        <v/>
      </c>
      <c r="DF10" s="20">
        <f>IF(TotalUnits=0,0,DF$9/TotalUnits)</f>
        <v/>
      </c>
      <c r="DG10" s="20">
        <f>IF(TotalUnits=0,0,DG$9/TotalUnits)</f>
        <v/>
      </c>
      <c r="DH10" s="20">
        <f>IF(TotalUnits=0,0,DH$9/TotalUnits)</f>
        <v/>
      </c>
      <c r="DI10" s="20">
        <f>IF(TotalUnits=0,0,DI$9/TotalUnits)</f>
        <v/>
      </c>
      <c r="DJ10" s="20">
        <f>IF(TotalUnits=0,0,DJ$9/TotalUnits)</f>
        <v/>
      </c>
      <c r="DK10" s="20">
        <f>IF(TotalUnits=0,0,DK$9/TotalUnits)</f>
        <v/>
      </c>
      <c r="DL10" s="20">
        <f>IF(TotalUnits=0,0,DL$9/TotalUnits)</f>
        <v/>
      </c>
      <c r="DM10" s="20">
        <f>IF(TotalUnits=0,0,DM$9/TotalUnits)</f>
        <v/>
      </c>
      <c r="DN10" s="20">
        <f>IF(TotalUnits=0,0,DN$9/TotalUnits)</f>
        <v/>
      </c>
      <c r="DO10" s="20">
        <f>IF(TotalUnits=0,0,DO$9/TotalUnits)</f>
        <v/>
      </c>
      <c r="DP10" s="20">
        <f>IF(TotalUnits=0,0,DP$9/TotalUnits)</f>
        <v/>
      </c>
      <c r="DQ10" s="20">
        <f>IF(TotalUnits=0,0,DQ$9/TotalUnits)</f>
        <v/>
      </c>
      <c r="DR10" s="20">
        <f>IF(TotalUnits=0,0,DR$9/TotalUnits)</f>
        <v/>
      </c>
      <c r="DS10" s="20">
        <f>IF(TotalUnits=0,0,DS$9/TotalUnits)</f>
        <v/>
      </c>
      <c r="DT10" s="20">
        <f>IF(TotalUnits=0,0,DT$9/TotalUnits)</f>
        <v/>
      </c>
      <c r="DU10" s="20">
        <f>IF(TotalUnits=0,0,DU$9/TotalUnits)</f>
        <v/>
      </c>
      <c r="DV10" s="20">
        <f>IF(TotalUnits=0,0,DV$9/TotalUnits)</f>
        <v/>
      </c>
      <c r="DW10" s="20">
        <f>IF(TotalUnits=0,0,DW$9/TotalUnits)</f>
        <v/>
      </c>
      <c r="DX10" s="20">
        <f>IF(TotalUnits=0,0,DX$9/TotalUnits)</f>
        <v/>
      </c>
      <c r="DY10" s="20">
        <f>IF(TotalUnits=0,0,DY$9/TotalUnits)</f>
        <v/>
      </c>
      <c r="DZ10" s="20">
        <f>IF(TotalUnits=0,0,DZ$9/TotalUnits)</f>
        <v/>
      </c>
      <c r="EA10" s="20">
        <f>IF(TotalUnits=0,0,EA$9/TotalUnits)</f>
        <v/>
      </c>
      <c r="EB10" s="20">
        <f>IF(TotalUnits=0,0,EB$9/TotalUnits)</f>
        <v/>
      </c>
      <c r="EC10" s="20">
        <f>IF(TotalUnits=0,0,EC$9/TotalUnits)</f>
        <v/>
      </c>
      <c r="ED10" s="20">
        <f>IF(TotalUnits=0,0,ED$9/TotalUnits)</f>
        <v/>
      </c>
      <c r="EE10" s="20">
        <f>IF(TotalUnits=0,0,EE$9/TotalUnits)</f>
        <v/>
      </c>
      <c r="EF10" s="20">
        <f>IF(TotalUnits=0,0,EF$9/TotalUnits)</f>
        <v/>
      </c>
      <c r="EG10" s="20">
        <f>IF(TotalUnits=0,0,EG$9/TotalUnits)</f>
        <v/>
      </c>
      <c r="EH10" s="20">
        <f>IF(TotalUnits=0,0,EH$9/TotalUnits)</f>
        <v/>
      </c>
      <c r="EI10" s="20">
        <f>IF(TotalUnits=0,0,EI$9/TotalUnits)</f>
        <v/>
      </c>
      <c r="EJ10" s="20">
        <f>IF(TotalUnits=0,0,EJ$9/TotalUnits)</f>
        <v/>
      </c>
      <c r="EK10" s="20">
        <f>IF(TotalUnits=0,0,EK$9/TotalUnits)</f>
        <v/>
      </c>
      <c r="EL10" s="20">
        <f>IF(TotalUnits=0,0,EL$9/TotalUnits)</f>
        <v/>
      </c>
      <c r="EM10" s="20">
        <f>IF(TotalUnits=0,0,EM$9/TotalUnits)</f>
        <v/>
      </c>
      <c r="EN10" s="20">
        <f>IF(TotalUnits=0,0,EN$9/TotalUnits)</f>
        <v/>
      </c>
      <c r="EO10" s="20">
        <f>IF(TotalUnits=0,0,EO$9/TotalUnits)</f>
        <v/>
      </c>
      <c r="EP10" s="20">
        <f>IF(TotalUnits=0,0,EP$9/TotalUnits)</f>
        <v/>
      </c>
      <c r="EQ10" s="20">
        <f>IF(TotalUnits=0,0,EQ$9/TotalUnits)</f>
        <v/>
      </c>
      <c r="ER10" s="20">
        <f>IF(TotalUnits=0,0,ER$9/TotalUnits)</f>
        <v/>
      </c>
      <c r="ES10" s="20">
        <f>IF(TotalUnits=0,0,ES$9/TotalUnits)</f>
        <v/>
      </c>
      <c r="ET10" s="20">
        <f>IF(TotalUnits=0,0,ET$9/TotalUnits)</f>
        <v/>
      </c>
      <c r="EU10" s="20">
        <f>IF(TotalUnits=0,0,EU$9/TotalUnits)</f>
        <v/>
      </c>
      <c r="EV10" s="20">
        <f>IF(TotalUnits=0,0,EV$9/TotalUnits)</f>
        <v/>
      </c>
      <c r="EW10" s="20">
        <f>IF(TotalUnits=0,0,EW$9/TotalUnits)</f>
        <v/>
      </c>
      <c r="EX10" s="20">
        <f>IF(TotalUnits=0,0,EX$9/TotalUnits)</f>
        <v/>
      </c>
      <c r="EY10" s="20">
        <f>IF(TotalUnits=0,0,EY$9/TotalUnits)</f>
        <v/>
      </c>
      <c r="EZ10" s="20">
        <f>IF(TotalUnits=0,0,EZ$9/TotalUnits)</f>
        <v/>
      </c>
      <c r="FA10" s="20">
        <f>IF(TotalUnits=0,0,FA$9/TotalUnits)</f>
        <v/>
      </c>
      <c r="FB10" s="20">
        <f>IF(TotalUnits=0,0,FB$9/TotalUnits)</f>
        <v/>
      </c>
      <c r="FC10" s="20">
        <f>IF(TotalUnits=0,0,FC$9/TotalUnits)</f>
        <v/>
      </c>
      <c r="FD10" s="20">
        <f>IF(TotalUnits=0,0,FD$9/TotalUnits)</f>
        <v/>
      </c>
      <c r="FE10" s="20">
        <f>IF(TotalUnits=0,0,FE$9/TotalUnits)</f>
        <v/>
      </c>
      <c r="FF10" s="20">
        <f>IF(TotalUnits=0,0,FF$9/TotalUnits)</f>
        <v/>
      </c>
      <c r="FG10" s="20">
        <f>IF(TotalUnits=0,0,FG$9/TotalUnits)</f>
        <v/>
      </c>
      <c r="FH10" s="20">
        <f>IF(TotalUnits=0,0,FH$9/TotalUnits)</f>
        <v/>
      </c>
      <c r="FI10" s="20">
        <f>IF(TotalUnits=0,0,FI$9/TotalUnits)</f>
        <v/>
      </c>
      <c r="FJ10" s="20">
        <f>IF(TotalUnits=0,0,FJ$9/TotalUnits)</f>
        <v/>
      </c>
      <c r="FK10" s="20">
        <f>IF(TotalUnits=0,0,FK$9/TotalUnits)</f>
        <v/>
      </c>
      <c r="FL10" s="20">
        <f>IF(TotalUnits=0,0,FL$9/TotalUnits)</f>
        <v/>
      </c>
      <c r="FM10" s="20">
        <f>IF(TotalUnits=0,0,FM$9/TotalUnits)</f>
        <v/>
      </c>
      <c r="FN10" s="20">
        <f>IF(TotalUnits=0,0,FN$9/TotalUnits)</f>
        <v/>
      </c>
      <c r="FO10" s="20">
        <f>IF(TotalUnits=0,0,FO$9/TotalUnits)</f>
        <v/>
      </c>
      <c r="FP10" s="20">
        <f>IF(TotalUnits=0,0,FP$9/TotalUnits)</f>
        <v/>
      </c>
      <c r="FQ10" s="20">
        <f>IF(TotalUnits=0,0,FQ$9/TotalUnits)</f>
        <v/>
      </c>
      <c r="FR10" s="20">
        <f>IF(TotalUnits=0,0,FR$9/TotalUnits)</f>
        <v/>
      </c>
      <c r="FS10" s="20">
        <f>IF(TotalUnits=0,0,FS$9/TotalUnits)</f>
        <v/>
      </c>
      <c r="FT10" s="20">
        <f>IF(TotalUnits=0,0,FT$9/TotalUnits)</f>
        <v/>
      </c>
      <c r="FU10" s="20">
        <f>IF(TotalUnits=0,0,FU$9/TotalUnits)</f>
        <v/>
      </c>
      <c r="FV10" s="20">
        <f>IF(TotalUnits=0,0,FV$9/TotalUnits)</f>
        <v/>
      </c>
      <c r="FW10" s="20">
        <f>IF(TotalUnits=0,0,FW$9/TotalUnits)</f>
        <v/>
      </c>
      <c r="FX10" s="20">
        <f>IF(TotalUnits=0,0,FX$9/TotalUnits)</f>
        <v/>
      </c>
      <c r="FY10" s="20">
        <f>IF(TotalUnits=0,0,FY$9/TotalUnits)</f>
        <v/>
      </c>
      <c r="FZ10" s="20">
        <f>IF(TotalUnits=0,0,FZ$9/TotalUnits)</f>
        <v/>
      </c>
      <c r="GA10" s="20">
        <f>IF(TotalUnits=0,0,GA$9/TotalUnits)</f>
        <v/>
      </c>
      <c r="GB10" s="20">
        <f>IF(TotalUnits=0,0,GB$9/TotalUnits)</f>
        <v/>
      </c>
      <c r="GC10" s="20">
        <f>IF(TotalUnits=0,0,GC$9/TotalUnits)</f>
        <v/>
      </c>
      <c r="GD10" s="20">
        <f>IF(TotalUnits=0,0,GD$9/TotalUnits)</f>
        <v/>
      </c>
      <c r="GE10" s="20">
        <f>IF(TotalUnits=0,0,GE$9/TotalUnits)</f>
        <v/>
      </c>
      <c r="GF10" s="20">
        <f>IF(TotalUnits=0,0,GF$9/TotalUnits)</f>
        <v/>
      </c>
      <c r="GG10" s="20">
        <f>IF(TotalUnits=0,0,GG$9/TotalUnits)</f>
        <v/>
      </c>
      <c r="GH10" s="20">
        <f>IF(TotalUnits=0,0,GH$9/TotalUnits)</f>
        <v/>
      </c>
      <c r="GI10" s="20">
        <f>IF(TotalUnits=0,0,GI$9/TotalUnits)</f>
        <v/>
      </c>
      <c r="GJ10" s="20">
        <f>IF(TotalUnits=0,0,GJ$9/TotalUnits)</f>
        <v/>
      </c>
      <c r="GK10" s="20">
        <f>IF(TotalUnits=0,0,GK$9/TotalUnits)</f>
        <v/>
      </c>
      <c r="GL10" s="20">
        <f>IF(TotalUnits=0,0,GL$9/TotalUnits)</f>
        <v/>
      </c>
      <c r="GM10" s="20">
        <f>IF(TotalUnits=0,0,GM$9/TotalUnits)</f>
        <v/>
      </c>
      <c r="GN10" s="20">
        <f>IF(TotalUnits=0,0,GN$9/TotalUnits)</f>
        <v/>
      </c>
      <c r="GO10" s="20">
        <f>IF(TotalUnits=0,0,GO$9/TotalUnits)</f>
        <v/>
      </c>
      <c r="GP10" s="20">
        <f>IF(TotalUnits=0,0,GP$9/TotalUnits)</f>
        <v/>
      </c>
      <c r="GQ10" s="20">
        <f>IF(TotalUnits=0,0,GQ$9/TotalUnits)</f>
        <v/>
      </c>
      <c r="GR10" s="20">
        <f>IF(TotalUnits=0,0,GR$9/TotalUnits)</f>
        <v/>
      </c>
      <c r="GS10" s="20">
        <f>IF(TotalUnits=0,0,GS$9/TotalUnits)</f>
        <v/>
      </c>
      <c r="GT10" s="20">
        <f>IF(TotalUnits=0,0,GT$9/TotalUnits)</f>
        <v/>
      </c>
      <c r="GU10" s="20">
        <f>IF(TotalUnits=0,0,GU$9/TotalUnits)</f>
        <v/>
      </c>
      <c r="GV10" s="20">
        <f>IF(TotalUnits=0,0,GV$9/TotalUnits)</f>
        <v/>
      </c>
      <c r="GW10" s="20">
        <f>IF(TotalUnits=0,0,GW$9/TotalUnits)</f>
        <v/>
      </c>
      <c r="GX10" s="20">
        <f>IF(TotalUnits=0,0,GX$9/TotalUnits)</f>
        <v/>
      </c>
      <c r="GY10" s="20">
        <f>IF(TotalUnits=0,0,GY$9/TotalUnits)</f>
        <v/>
      </c>
      <c r="GZ10" s="20">
        <f>IF(TotalUnits=0,0,GZ$9/TotalUnits)</f>
        <v/>
      </c>
      <c r="HA10" s="20">
        <f>IF(TotalUnits=0,0,HA$9/TotalUnits)</f>
        <v/>
      </c>
      <c r="HB10" s="20">
        <f>IF(TotalUnits=0,0,HB$9/TotalUnits)</f>
        <v/>
      </c>
      <c r="HC10" s="20">
        <f>IF(TotalUnits=0,0,HC$9/TotalUnits)</f>
        <v/>
      </c>
      <c r="HD10" s="20">
        <f>IF(TotalUnits=0,0,HD$9/TotalUnits)</f>
        <v/>
      </c>
      <c r="HE10" s="20">
        <f>IF(TotalUnits=0,0,HE$9/TotalUnits)</f>
        <v/>
      </c>
      <c r="HF10" s="20">
        <f>IF(TotalUnits=0,0,HF$9/TotalUnits)</f>
        <v/>
      </c>
      <c r="HG10" s="20">
        <f>IF(TotalUnits=0,0,HG$9/TotalUnits)</f>
        <v/>
      </c>
      <c r="HH10" s="20">
        <f>IF(TotalUnits=0,0,HH$9/TotalUnits)</f>
        <v/>
      </c>
      <c r="HI10" s="20">
        <f>IF(TotalUnits=0,0,HI$9/TotalUnits)</f>
        <v/>
      </c>
      <c r="HJ10" s="20">
        <f>IF(TotalUnits=0,0,HJ$9/TotalUnits)</f>
        <v/>
      </c>
      <c r="HK10" s="20">
        <f>IF(TotalUnits=0,0,HK$9/TotalUnits)</f>
        <v/>
      </c>
      <c r="HL10" s="20">
        <f>IF(TotalUnits=0,0,HL$9/TotalUnits)</f>
        <v/>
      </c>
      <c r="HM10" s="20">
        <f>IF(TotalUnits=0,0,HM$9/TotalUnits)</f>
        <v/>
      </c>
      <c r="HN10" s="20">
        <f>IF(TotalUnits=0,0,HN$9/TotalUnits)</f>
        <v/>
      </c>
      <c r="HO10" s="20">
        <f>IF(TotalUnits=0,0,HO$9/TotalUnits)</f>
        <v/>
      </c>
      <c r="HP10" s="20">
        <f>IF(TotalUnits=0,0,HP$9/TotalUnits)</f>
        <v/>
      </c>
      <c r="HQ10" s="20">
        <f>IF(TotalUnits=0,0,HQ$9/TotalUnits)</f>
        <v/>
      </c>
      <c r="HR10" s="20">
        <f>IF(TotalUnits=0,0,HR$9/TotalUnits)</f>
        <v/>
      </c>
      <c r="HS10" s="20">
        <f>IF(TotalUnits=0,0,HS$9/TotalUnits)</f>
        <v/>
      </c>
      <c r="HT10" s="20">
        <f>IF(TotalUnits=0,0,HT$9/TotalUnits)</f>
        <v/>
      </c>
      <c r="HU10" s="20">
        <f>IF(TotalUnits=0,0,HU$9/TotalUnits)</f>
        <v/>
      </c>
      <c r="HV10" s="20">
        <f>IF(TotalUnits=0,0,HV$9/TotalUnits)</f>
        <v/>
      </c>
      <c r="HW10" s="20">
        <f>IF(TotalUnits=0,0,HW$9/TotalUnits)</f>
        <v/>
      </c>
      <c r="HX10" s="20">
        <f>IF(TotalUnits=0,0,HX$9/TotalUnits)</f>
        <v/>
      </c>
      <c r="HY10" s="20">
        <f>IF(TotalUnits=0,0,HY$9/TotalUnits)</f>
        <v/>
      </c>
      <c r="HZ10" s="20">
        <f>IF(TotalUnits=0,0,HZ$9/TotalUnits)</f>
        <v/>
      </c>
      <c r="IA10" s="20">
        <f>IF(TotalUnits=0,0,IA$9/TotalUnits)</f>
        <v/>
      </c>
      <c r="IB10" s="20">
        <f>IF(TotalUnits=0,0,IB$9/TotalUnits)</f>
        <v/>
      </c>
      <c r="IC10" s="20">
        <f>IF(TotalUnits=0,0,IC$9/TotalUnits)</f>
        <v/>
      </c>
      <c r="ID10" s="20">
        <f>IF(TotalUnits=0,0,ID$9/TotalUnits)</f>
        <v/>
      </c>
      <c r="IE10" s="20">
        <f>IF(TotalUnits=0,0,IE$9/TotalUnits)</f>
        <v/>
      </c>
      <c r="IF10" s="20">
        <f>IF(TotalUnits=0,0,IF$9/TotalUnits)</f>
        <v/>
      </c>
      <c r="IG10" s="20">
        <f>IF(TotalUnits=0,0,IG$9/TotalUnits)</f>
        <v/>
      </c>
      <c r="IH10" s="20">
        <f>IF(TotalUnits=0,0,IH$9/TotalUnits)</f>
        <v/>
      </c>
      <c r="II10" s="20">
        <f>IF(TotalUnits=0,0,II$9/TotalUnits)</f>
        <v/>
      </c>
      <c r="IJ10" s="20">
        <f>IF(TotalUnits=0,0,IJ$9/TotalUnits)</f>
        <v/>
      </c>
      <c r="IK10" s="20">
        <f>IF(TotalUnits=0,0,IK$9/TotalUnits)</f>
        <v/>
      </c>
      <c r="IL10" s="20">
        <f>IF(TotalUnits=0,0,IL$9/TotalUnits)</f>
        <v/>
      </c>
      <c r="IM10" s="20">
        <f>IF(TotalUnits=0,0,IM$9/TotalUnits)</f>
        <v/>
      </c>
      <c r="IN10" s="20">
        <f>IF(TotalUnits=0,0,IN$9/TotalUnits)</f>
        <v/>
      </c>
      <c r="IO10" s="20">
        <f>IF(TotalUnits=0,0,IO$9/TotalUnits)</f>
        <v/>
      </c>
      <c r="IP10" s="20">
        <f>IF(TotalUnits=0,0,IP$9/TotalUnits)</f>
        <v/>
      </c>
      <c r="IQ10" s="20">
        <f>IF(TotalUnits=0,0,IQ$9/TotalUnits)</f>
        <v/>
      </c>
      <c r="IR10" s="20">
        <f>IF(TotalUnits=0,0,IR$9/TotalUnits)</f>
        <v/>
      </c>
      <c r="IS10" s="20">
        <f>IF(TotalUnits=0,0,IS$9/TotalUnits)</f>
        <v/>
      </c>
      <c r="IT10" s="20">
        <f>IF(TotalUnits=0,0,IT$9/TotalUnits)</f>
        <v/>
      </c>
      <c r="IU10" s="20">
        <f>IF(TotalUnits=0,0,IU$9/TotalUnits)</f>
        <v/>
      </c>
      <c r="IV10" s="20">
        <f>IF(TotalUnits=0,0,IV$9/TotalUnits)</f>
        <v/>
      </c>
      <c r="IW10" s="20">
        <f>IF(TotalUnits=0,0,IW$9/TotalUnits)</f>
        <v/>
      </c>
      <c r="IX10" s="20">
        <f>IF(TotalUnits=0,0,IX$9/TotalUnits)</f>
        <v/>
      </c>
      <c r="IY10" s="20">
        <f>IF(TotalUnits=0,0,IY$9/TotalUnits)</f>
        <v/>
      </c>
      <c r="IZ10" s="20">
        <f>IF(TotalUnits=0,0,IZ$9/TotalUnits)</f>
        <v/>
      </c>
      <c r="JA10" s="20">
        <f>IF(TotalUnits=0,0,JA$9/TotalUnits)</f>
        <v/>
      </c>
      <c r="JB10" s="20">
        <f>IF(TotalUnits=0,0,JB$9/TotalUnits)</f>
        <v/>
      </c>
      <c r="JC10" s="20">
        <f>IF(TotalUnits=0,0,JC$9/TotalUnits)</f>
        <v/>
      </c>
      <c r="JD10" s="20">
        <f>IF(TotalUnits=0,0,JD$9/TotalUnits)</f>
        <v/>
      </c>
      <c r="JE10" s="20">
        <f>IF(TotalUnits=0,0,JE$9/TotalUnits)</f>
        <v/>
      </c>
      <c r="JF10" s="20">
        <f>IF(TotalUnits=0,0,JF$9/TotalUnits)</f>
        <v/>
      </c>
      <c r="JG10" s="20">
        <f>IF(TotalUnits=0,0,JG$9/TotalUnits)</f>
        <v/>
      </c>
      <c r="JH10" s="20">
        <f>IF(TotalUnits=0,0,JH$9/TotalUnits)</f>
        <v/>
      </c>
      <c r="JI10" s="20">
        <f>IF(TotalUnits=0,0,JI$9/TotalUnits)</f>
        <v/>
      </c>
      <c r="JJ10" s="20">
        <f>IF(TotalUnits=0,0,JJ$9/TotalUnits)</f>
        <v/>
      </c>
      <c r="JK10" s="20">
        <f>IF(TotalUnits=0,0,JK$9/TotalUnits)</f>
        <v/>
      </c>
      <c r="JL10" s="20">
        <f>IF(TotalUnits=0,0,JL$9/TotalUnits)</f>
        <v/>
      </c>
      <c r="JM10" s="20">
        <f>IF(TotalUnits=0,0,JM$9/TotalUnits)</f>
        <v/>
      </c>
      <c r="JN10" s="20">
        <f>IF(TotalUnits=0,0,JN$9/TotalUnits)</f>
        <v/>
      </c>
      <c r="JO10" s="20">
        <f>IF(TotalUnits=0,0,JO$9/TotalUnits)</f>
        <v/>
      </c>
      <c r="JP10" s="20">
        <f>IF(TotalUnits=0,0,JP$9/TotalUnits)</f>
        <v/>
      </c>
      <c r="JQ10" s="20">
        <f>IF(TotalUnits=0,0,JQ$9/TotalUnits)</f>
        <v/>
      </c>
      <c r="JR10" s="20">
        <f>IF(TotalUnits=0,0,JR$9/TotalUnits)</f>
        <v/>
      </c>
      <c r="JS10" s="20">
        <f>IF(TotalUnits=0,0,JS$9/TotalUnits)</f>
        <v/>
      </c>
      <c r="JT10" s="20">
        <f>IF(TotalUnits=0,0,JT$9/TotalUnits)</f>
        <v/>
      </c>
      <c r="JU10" s="20">
        <f>IF(TotalUnits=0,0,JU$9/TotalUnits)</f>
        <v/>
      </c>
      <c r="JV10" s="20">
        <f>IF(TotalUnits=0,0,JV$9/TotalUnits)</f>
        <v/>
      </c>
      <c r="JW10" s="20">
        <f>IF(TotalUnits=0,0,JW$9/TotalUnits)</f>
        <v/>
      </c>
      <c r="JX10" s="20">
        <f>IF(TotalUnits=0,0,JX$9/TotalUnits)</f>
        <v/>
      </c>
      <c r="JY10" s="20">
        <f>IF(TotalUnits=0,0,JY$9/TotalUnits)</f>
        <v/>
      </c>
      <c r="JZ10" s="20">
        <f>IF(TotalUnits=0,0,JZ$9/TotalUnits)</f>
        <v/>
      </c>
      <c r="KA10" s="20">
        <f>IF(TotalUnits=0,0,KA$9/TotalUnits)</f>
        <v/>
      </c>
      <c r="KB10" s="20">
        <f>IF(TotalUnits=0,0,KB$9/TotalUnits)</f>
        <v/>
      </c>
      <c r="KC10" s="20">
        <f>IF(TotalUnits=0,0,KC$9/TotalUnits)</f>
        <v/>
      </c>
      <c r="KD10" s="20">
        <f>IF(TotalUnits=0,0,KD$9/TotalUnits)</f>
        <v/>
      </c>
      <c r="KE10" s="20">
        <f>IF(TotalUnits=0,0,KE$9/TotalUnits)</f>
        <v/>
      </c>
      <c r="KF10" s="20">
        <f>IF(TotalUnits=0,0,KF$9/TotalUnits)</f>
        <v/>
      </c>
      <c r="KG10" s="20">
        <f>IF(TotalUnits=0,0,KG$9/TotalUnits)</f>
        <v/>
      </c>
      <c r="KH10" s="20">
        <f>IF(TotalUnits=0,0,KH$9/TotalUnits)</f>
        <v/>
      </c>
      <c r="KI10" s="20">
        <f>IF(TotalUnits=0,0,KI$9/TotalUnits)</f>
        <v/>
      </c>
      <c r="KJ10" s="20">
        <f>IF(TotalUnits=0,0,KJ$9/TotalUnits)</f>
        <v/>
      </c>
      <c r="KK10" s="20">
        <f>IF(TotalUnits=0,0,KK$9/TotalUnits)</f>
        <v/>
      </c>
      <c r="KL10" s="20">
        <f>IF(TotalUnits=0,0,KL$9/TotalUnits)</f>
        <v/>
      </c>
      <c r="KM10" s="20">
        <f>IF(TotalUnits=0,0,KM$9/TotalUnits)</f>
        <v/>
      </c>
      <c r="KN10" s="20">
        <f>IF(TotalUnits=0,0,KN$9/TotalUnits)</f>
        <v/>
      </c>
      <c r="KO10" s="20">
        <f>IF(TotalUnits=0,0,KO$9/TotalUnits)</f>
        <v/>
      </c>
      <c r="KP10" s="20">
        <f>IF(TotalUnits=0,0,KP$9/TotalUnits)</f>
        <v/>
      </c>
      <c r="KQ10" s="20">
        <f>IF(TotalUnits=0,0,KQ$9/TotalUnits)</f>
        <v/>
      </c>
      <c r="KR10" s="20">
        <f>IF(TotalUnits=0,0,KR$9/TotalUnits)</f>
        <v/>
      </c>
      <c r="KS10" s="20">
        <f>IF(TotalUnits=0,0,KS$9/TotalUnits)</f>
        <v/>
      </c>
      <c r="KT10" s="20">
        <f>IF(TotalUnits=0,0,KT$9/TotalUnits)</f>
        <v/>
      </c>
      <c r="KU10" s="20">
        <f>IF(TotalUnits=0,0,KU$9/TotalUnits)</f>
        <v/>
      </c>
      <c r="KV10" s="20">
        <f>IF(TotalUnits=0,0,KV$9/TotalUnits)</f>
        <v/>
      </c>
      <c r="KW10" s="20">
        <f>IF(TotalUnits=0,0,KW$9/TotalUnits)</f>
        <v/>
      </c>
      <c r="KX10" s="20">
        <f>IF(TotalUnits=0,0,KX$9/TotalUnits)</f>
        <v/>
      </c>
      <c r="KY10" s="20">
        <f>IF(TotalUnits=0,0,KY$9/TotalUnits)</f>
        <v/>
      </c>
      <c r="KZ10" s="20">
        <f>IF(TotalUnits=0,0,KZ$9/TotalUnits)</f>
        <v/>
      </c>
      <c r="LA10" s="20">
        <f>IF(TotalUnits=0,0,LA$9/TotalUnits)</f>
        <v/>
      </c>
      <c r="LB10" s="20">
        <f>IF(TotalUnits=0,0,LB$9/TotalUnits)</f>
        <v/>
      </c>
      <c r="LC10" s="20">
        <f>IF(TotalUnits=0,0,LC$9/TotalUnits)</f>
        <v/>
      </c>
      <c r="LD10" s="20">
        <f>IF(TotalUnits=0,0,LD$9/TotalUnits)</f>
        <v/>
      </c>
      <c r="LE10" s="20">
        <f>IF(TotalUnits=0,0,LE$9/TotalUnits)</f>
        <v/>
      </c>
      <c r="LF10" s="20">
        <f>IF(TotalUnits=0,0,LF$9/TotalUnits)</f>
        <v/>
      </c>
      <c r="LG10" s="20">
        <f>IF(TotalUnits=0,0,LG$9/TotalUnits)</f>
        <v/>
      </c>
      <c r="LH10" s="20">
        <f>IF(TotalUnits=0,0,LH$9/TotalUnits)</f>
        <v/>
      </c>
      <c r="LI10" s="20">
        <f>IF(TotalUnits=0,0,LI$9/TotalUnits)</f>
        <v/>
      </c>
      <c r="LJ10" s="20">
        <f>IF(TotalUnits=0,0,LJ$9/TotalUnits)</f>
        <v/>
      </c>
      <c r="LK10" s="20">
        <f>IF(TotalUnits=0,0,LK$9/TotalUnits)</f>
        <v/>
      </c>
      <c r="LL10" s="20">
        <f>IF(TotalUnits=0,0,LL$9/TotalUnits)</f>
        <v/>
      </c>
      <c r="LM10" s="20">
        <f>IF(TotalUnits=0,0,LM$9/TotalUnits)</f>
        <v/>
      </c>
      <c r="LN10" s="20">
        <f>IF(TotalUnits=0,0,LN$9/TotalUnits)</f>
        <v/>
      </c>
      <c r="LO10" s="20">
        <f>IF(TotalUnits=0,0,LO$9/TotalUnits)</f>
        <v/>
      </c>
      <c r="LP10" s="20">
        <f>IF(TotalUnits=0,0,LP$9/TotalUnits)</f>
        <v/>
      </c>
      <c r="LQ10" s="20">
        <f>IF(TotalUnits=0,0,LQ$9/TotalUnits)</f>
        <v/>
      </c>
      <c r="LR10" s="20">
        <f>IF(TotalUnits=0,0,LR$9/TotalUnits)</f>
        <v/>
      </c>
      <c r="LS10" s="20">
        <f>IF(TotalUnits=0,0,LS$9/TotalUnits)</f>
        <v/>
      </c>
      <c r="LT10" s="20">
        <f>IF(TotalUnits=0,0,LT$9/TotalUnits)</f>
        <v/>
      </c>
      <c r="LU10" s="20">
        <f>IF(TotalUnits=0,0,LU$9/TotalUnits)</f>
        <v/>
      </c>
      <c r="LV10" s="20">
        <f>IF(TotalUnits=0,0,LV$9/TotalUnits)</f>
        <v/>
      </c>
      <c r="LW10" s="20">
        <f>IF(TotalUnits=0,0,LW$9/TotalUnits)</f>
        <v/>
      </c>
      <c r="LX10" s="20">
        <f>IF(TotalUnits=0,0,LX$9/TotalUnits)</f>
        <v/>
      </c>
      <c r="LY10" s="20">
        <f>IF(TotalUnits=0,0,LY$9/TotalUnits)</f>
        <v/>
      </c>
      <c r="LZ10" s="20">
        <f>IF(TotalUnits=0,0,LZ$9/TotalUnits)</f>
        <v/>
      </c>
      <c r="MA10" s="20">
        <f>IF(TotalUnits=0,0,MA$9/TotalUnits)</f>
        <v/>
      </c>
      <c r="MB10" s="20">
        <f>IF(TotalUnits=0,0,MB$9/TotalUnits)</f>
        <v/>
      </c>
      <c r="MC10" s="20">
        <f>IF(TotalUnits=0,0,MC$9/TotalUnits)</f>
        <v/>
      </c>
      <c r="MD10" s="20">
        <f>IF(TotalUnits=0,0,MD$9/TotalUnits)</f>
        <v/>
      </c>
      <c r="ME10" s="20">
        <f>IF(TotalUnits=0,0,ME$9/TotalUnits)</f>
        <v/>
      </c>
      <c r="MF10" s="20">
        <f>IF(TotalUnits=0,0,MF$9/TotalUnits)</f>
        <v/>
      </c>
      <c r="MG10" s="20">
        <f>IF(TotalUnits=0,0,MG$9/TotalUnits)</f>
        <v/>
      </c>
      <c r="MH10" s="20">
        <f>IF(TotalUnits=0,0,MH$9/TotalUnits)</f>
        <v/>
      </c>
      <c r="MI10" s="20">
        <f>IF(TotalUnits=0,0,MI$9/TotalUnits)</f>
        <v/>
      </c>
      <c r="MJ10" s="20">
        <f>IF(TotalUnits=0,0,MJ$9/TotalUnits)</f>
        <v/>
      </c>
      <c r="MK10" s="20">
        <f>IF(TotalUnits=0,0,MK$9/TotalUnits)</f>
        <v/>
      </c>
      <c r="ML10" s="20">
        <f>IF(TotalUnits=0,0,ML$9/TotalUnits)</f>
        <v/>
      </c>
      <c r="MM10" s="20">
        <f>IF(TotalUnits=0,0,MM$9/TotalUnits)</f>
        <v/>
      </c>
      <c r="MN10" s="20">
        <f>IF(TotalUnits=0,0,MN$9/TotalUnits)</f>
        <v/>
      </c>
      <c r="MO10" s="20">
        <f>IF(TotalUnits=0,0,MO$9/TotalUnits)</f>
        <v/>
      </c>
      <c r="MP10" s="20">
        <f>IF(TotalUnits=0,0,MP$9/TotalUnits)</f>
        <v/>
      </c>
      <c r="MQ10" s="20">
        <f>IF(TotalUnits=0,0,MQ$9/TotalUnits)</f>
        <v/>
      </c>
      <c r="MR10" s="20">
        <f>IF(TotalUnits=0,0,MR$9/TotalUnits)</f>
        <v/>
      </c>
      <c r="MS10" s="20">
        <f>IF(TotalUnits=0,0,MS$9/TotalUnits)</f>
        <v/>
      </c>
      <c r="MT10" s="20">
        <f>IF(TotalUnits=0,0,MT$9/TotalUnits)</f>
        <v/>
      </c>
      <c r="MU10" s="20">
        <f>IF(TotalUnits=0,0,MU$9/TotalUnits)</f>
        <v/>
      </c>
      <c r="MV10" s="20">
        <f>IF(TotalUnits=0,0,MV$9/TotalUnits)</f>
        <v/>
      </c>
      <c r="MW10" s="20">
        <f>IF(TotalUnits=0,0,MW$9/TotalUnits)</f>
        <v/>
      </c>
      <c r="MX10" s="20">
        <f>IF(TotalUnits=0,0,MX$9/TotalUnits)</f>
        <v/>
      </c>
      <c r="MY10" s="20">
        <f>IF(TotalUnits=0,0,MY$9/TotalUnits)</f>
        <v/>
      </c>
      <c r="MZ10" s="20">
        <f>IF(TotalUnits=0,0,MZ$9/TotalUnits)</f>
        <v/>
      </c>
      <c r="NA10" s="20">
        <f>IF(TotalUnits=0,0,NA$9/TotalUnits)</f>
        <v/>
      </c>
      <c r="NB10" s="20">
        <f>IF(TotalUnits=0,0,NB$9/TotalUnits)</f>
        <v/>
      </c>
      <c r="NC10" s="20">
        <f>IF(TotalUnits=0,0,NC$9/TotalUnits)</f>
        <v/>
      </c>
      <c r="ND10" s="20">
        <f>IF(TotalUnits=0,0,ND$9/TotalUnits)</f>
        <v/>
      </c>
      <c r="NE10" s="20">
        <f>IF(TotalUnits=0,0,NE$9/TotalUnits)</f>
        <v/>
      </c>
      <c r="NF10" s="20">
        <f>IF(TotalUnits=0,0,NF$9/TotalUnits)</f>
        <v/>
      </c>
      <c r="NG10" s="20">
        <f>IF(TotalUnits=0,0,NG$9/TotalUnits)</f>
        <v/>
      </c>
      <c r="NH10" s="20">
        <f>IF(TotalUnits=0,0,NH$9/TotalUnits)</f>
        <v/>
      </c>
      <c r="NI10" s="20">
        <f>IF(TotalUnits=0,0,NI$9/TotalUnits)</f>
        <v/>
      </c>
      <c r="NJ10" s="20">
        <f>IF(TotalUnits=0,0,NJ$9/TotalUnits)</f>
        <v/>
      </c>
      <c r="NK10" s="20">
        <f>IF(TotalUnits=0,0,NK$9/TotalUnits)</f>
        <v/>
      </c>
    </row>
    <row r="12">
      <c r="A12" s="15" t="inlineStr">
        <is>
          <t>Lease-Up Reconciliation</t>
        </is>
      </c>
      <c r="B12" s="23" t="n"/>
      <c r="C12" s="23" t="n"/>
    </row>
    <row r="13">
      <c r="A13" s="5" t="inlineStr">
        <is>
          <t>Occupancy at Stabilization − target</t>
        </is>
      </c>
      <c r="B13" s="17">
        <f>INDEX(D9:NK9,StabMonth)-StabLeasedTarget</f>
        <v/>
      </c>
    </row>
    <row r="14">
      <c r="A14" s="5" t="inlineStr">
        <is>
          <t>Units delivered at Stabilization</t>
        </is>
      </c>
      <c r="B14" s="17">
        <f>INDEX(D8:NK8,StabMonth)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K59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2" customWidth="1" min="1" max="1"/>
    <col width="12" customWidth="1" min="2" max="2"/>
    <col width="16" customWidth="1" min="3" max="3"/>
  </cols>
  <sheetData>
    <row r="1">
      <c r="A1" s="1" t="inlineStr">
        <is>
          <t>Stabilized Operating Model — Monthly Proforma</t>
        </is>
      </c>
    </row>
    <row r="3">
      <c r="A3" s="36" t="inlineStr">
        <is>
          <t>Period →</t>
        </is>
      </c>
      <c r="C3" s="27" t="inlineStr">
        <is>
          <t>Total</t>
        </is>
      </c>
      <c r="D3" s="37" t="n">
        <v>1</v>
      </c>
      <c r="E3" s="37" t="n">
        <v>2</v>
      </c>
      <c r="F3" s="37" t="n">
        <v>3</v>
      </c>
      <c r="G3" s="37" t="n">
        <v>4</v>
      </c>
      <c r="H3" s="37" t="n">
        <v>5</v>
      </c>
      <c r="I3" s="37" t="n">
        <v>6</v>
      </c>
      <c r="J3" s="37" t="n">
        <v>7</v>
      </c>
      <c r="K3" s="37" t="n">
        <v>8</v>
      </c>
      <c r="L3" s="37" t="n">
        <v>9</v>
      </c>
      <c r="M3" s="37" t="n">
        <v>10</v>
      </c>
      <c r="N3" s="37" t="n">
        <v>11</v>
      </c>
      <c r="O3" s="37" t="n">
        <v>12</v>
      </c>
      <c r="P3" s="37" t="n">
        <v>13</v>
      </c>
      <c r="Q3" s="37" t="n">
        <v>14</v>
      </c>
      <c r="R3" s="37" t="n">
        <v>15</v>
      </c>
      <c r="S3" s="37" t="n">
        <v>16</v>
      </c>
      <c r="T3" s="37" t="n">
        <v>17</v>
      </c>
      <c r="U3" s="37" t="n">
        <v>18</v>
      </c>
      <c r="V3" s="37" t="n">
        <v>19</v>
      </c>
      <c r="W3" s="37" t="n">
        <v>20</v>
      </c>
      <c r="X3" s="37" t="n">
        <v>21</v>
      </c>
      <c r="Y3" s="37" t="n">
        <v>22</v>
      </c>
      <c r="Z3" s="37" t="n">
        <v>23</v>
      </c>
      <c r="AA3" s="37" t="n">
        <v>24</v>
      </c>
      <c r="AB3" s="37" t="n">
        <v>25</v>
      </c>
      <c r="AC3" s="37" t="n">
        <v>26</v>
      </c>
      <c r="AD3" s="37" t="n">
        <v>27</v>
      </c>
      <c r="AE3" s="37" t="n">
        <v>28</v>
      </c>
      <c r="AF3" s="37" t="n">
        <v>29</v>
      </c>
      <c r="AG3" s="37" t="n">
        <v>30</v>
      </c>
      <c r="AH3" s="37" t="n">
        <v>31</v>
      </c>
      <c r="AI3" s="37" t="n">
        <v>32</v>
      </c>
      <c r="AJ3" s="37" t="n">
        <v>33</v>
      </c>
      <c r="AK3" s="37" t="n">
        <v>34</v>
      </c>
      <c r="AL3" s="37" t="n">
        <v>35</v>
      </c>
      <c r="AM3" s="37" t="n">
        <v>36</v>
      </c>
      <c r="AN3" s="37" t="n">
        <v>37</v>
      </c>
      <c r="AO3" s="37" t="n">
        <v>38</v>
      </c>
      <c r="AP3" s="37" t="n">
        <v>39</v>
      </c>
      <c r="AQ3" s="37" t="n">
        <v>40</v>
      </c>
      <c r="AR3" s="37" t="n">
        <v>41</v>
      </c>
      <c r="AS3" s="37" t="n">
        <v>42</v>
      </c>
      <c r="AT3" s="37" t="n">
        <v>43</v>
      </c>
      <c r="AU3" s="37" t="n">
        <v>44</v>
      </c>
      <c r="AV3" s="37" t="n">
        <v>45</v>
      </c>
      <c r="AW3" s="37" t="n">
        <v>46</v>
      </c>
      <c r="AX3" s="37" t="n">
        <v>47</v>
      </c>
      <c r="AY3" s="37" t="n">
        <v>48</v>
      </c>
      <c r="AZ3" s="37" t="n">
        <v>49</v>
      </c>
      <c r="BA3" s="37" t="n">
        <v>50</v>
      </c>
      <c r="BB3" s="37" t="n">
        <v>51</v>
      </c>
      <c r="BC3" s="37" t="n">
        <v>52</v>
      </c>
      <c r="BD3" s="37" t="n">
        <v>53</v>
      </c>
      <c r="BE3" s="37" t="n">
        <v>54</v>
      </c>
      <c r="BF3" s="37" t="n">
        <v>55</v>
      </c>
      <c r="BG3" s="37" t="n">
        <v>56</v>
      </c>
      <c r="BH3" s="37" t="n">
        <v>57</v>
      </c>
      <c r="BI3" s="37" t="n">
        <v>58</v>
      </c>
      <c r="BJ3" s="37" t="n">
        <v>59</v>
      </c>
      <c r="BK3" s="37" t="n">
        <v>60</v>
      </c>
      <c r="BL3" s="37" t="n">
        <v>61</v>
      </c>
      <c r="BM3" s="37" t="n">
        <v>62</v>
      </c>
      <c r="BN3" s="37" t="n">
        <v>63</v>
      </c>
      <c r="BO3" s="37" t="n">
        <v>64</v>
      </c>
      <c r="BP3" s="37" t="n">
        <v>65</v>
      </c>
      <c r="BQ3" s="37" t="n">
        <v>66</v>
      </c>
      <c r="BR3" s="37" t="n">
        <v>67</v>
      </c>
      <c r="BS3" s="37" t="n">
        <v>68</v>
      </c>
      <c r="BT3" s="37" t="n">
        <v>69</v>
      </c>
      <c r="BU3" s="37" t="n">
        <v>70</v>
      </c>
      <c r="BV3" s="37" t="n">
        <v>71</v>
      </c>
      <c r="BW3" s="37" t="n">
        <v>72</v>
      </c>
      <c r="BX3" s="37" t="n">
        <v>73</v>
      </c>
      <c r="BY3" s="37" t="n">
        <v>74</v>
      </c>
      <c r="BZ3" s="37" t="n">
        <v>75</v>
      </c>
      <c r="CA3" s="37" t="n">
        <v>76</v>
      </c>
      <c r="CB3" s="37" t="n">
        <v>77</v>
      </c>
      <c r="CC3" s="37" t="n">
        <v>78</v>
      </c>
      <c r="CD3" s="37" t="n">
        <v>79</v>
      </c>
      <c r="CE3" s="37" t="n">
        <v>80</v>
      </c>
      <c r="CF3" s="37" t="n">
        <v>81</v>
      </c>
      <c r="CG3" s="37" t="n">
        <v>82</v>
      </c>
      <c r="CH3" s="37" t="n">
        <v>83</v>
      </c>
      <c r="CI3" s="37" t="n">
        <v>84</v>
      </c>
      <c r="CJ3" s="37" t="n">
        <v>85</v>
      </c>
      <c r="CK3" s="37" t="n">
        <v>86</v>
      </c>
      <c r="CL3" s="37" t="n">
        <v>87</v>
      </c>
      <c r="CM3" s="37" t="n">
        <v>88</v>
      </c>
      <c r="CN3" s="37" t="n">
        <v>89</v>
      </c>
      <c r="CO3" s="37" t="n">
        <v>90</v>
      </c>
      <c r="CP3" s="37" t="n">
        <v>91</v>
      </c>
      <c r="CQ3" s="37" t="n">
        <v>92</v>
      </c>
      <c r="CR3" s="37" t="n">
        <v>93</v>
      </c>
      <c r="CS3" s="37" t="n">
        <v>94</v>
      </c>
      <c r="CT3" s="37" t="n">
        <v>95</v>
      </c>
      <c r="CU3" s="37" t="n">
        <v>96</v>
      </c>
      <c r="CV3" s="37" t="n">
        <v>97</v>
      </c>
      <c r="CW3" s="37" t="n">
        <v>98</v>
      </c>
      <c r="CX3" s="37" t="n">
        <v>99</v>
      </c>
      <c r="CY3" s="37" t="n">
        <v>100</v>
      </c>
      <c r="CZ3" s="37" t="n">
        <v>101</v>
      </c>
      <c r="DA3" s="37" t="n">
        <v>102</v>
      </c>
      <c r="DB3" s="37" t="n">
        <v>103</v>
      </c>
      <c r="DC3" s="37" t="n">
        <v>104</v>
      </c>
      <c r="DD3" s="37" t="n">
        <v>105</v>
      </c>
      <c r="DE3" s="37" t="n">
        <v>106</v>
      </c>
      <c r="DF3" s="37" t="n">
        <v>107</v>
      </c>
      <c r="DG3" s="37" t="n">
        <v>108</v>
      </c>
      <c r="DH3" s="37" t="n">
        <v>109</v>
      </c>
      <c r="DI3" s="37" t="n">
        <v>110</v>
      </c>
      <c r="DJ3" s="37" t="n">
        <v>111</v>
      </c>
      <c r="DK3" s="37" t="n">
        <v>112</v>
      </c>
      <c r="DL3" s="37" t="n">
        <v>113</v>
      </c>
      <c r="DM3" s="37" t="n">
        <v>114</v>
      </c>
      <c r="DN3" s="37" t="n">
        <v>115</v>
      </c>
      <c r="DO3" s="37" t="n">
        <v>116</v>
      </c>
      <c r="DP3" s="37" t="n">
        <v>117</v>
      </c>
      <c r="DQ3" s="37" t="n">
        <v>118</v>
      </c>
      <c r="DR3" s="37" t="n">
        <v>119</v>
      </c>
      <c r="DS3" s="37" t="n">
        <v>120</v>
      </c>
      <c r="DT3" s="37" t="n">
        <v>121</v>
      </c>
      <c r="DU3" s="37" t="n">
        <v>122</v>
      </c>
      <c r="DV3" s="37" t="n">
        <v>123</v>
      </c>
      <c r="DW3" s="37" t="n">
        <v>124</v>
      </c>
      <c r="DX3" s="37" t="n">
        <v>125</v>
      </c>
      <c r="DY3" s="37" t="n">
        <v>126</v>
      </c>
      <c r="DZ3" s="37" t="n">
        <v>127</v>
      </c>
      <c r="EA3" s="37" t="n">
        <v>128</v>
      </c>
      <c r="EB3" s="37" t="n">
        <v>129</v>
      </c>
      <c r="EC3" s="37" t="n">
        <v>130</v>
      </c>
      <c r="ED3" s="37" t="n">
        <v>131</v>
      </c>
      <c r="EE3" s="37" t="n">
        <v>132</v>
      </c>
      <c r="EF3" s="37" t="n">
        <v>133</v>
      </c>
      <c r="EG3" s="37" t="n">
        <v>134</v>
      </c>
      <c r="EH3" s="37" t="n">
        <v>135</v>
      </c>
      <c r="EI3" s="37" t="n">
        <v>136</v>
      </c>
      <c r="EJ3" s="37" t="n">
        <v>137</v>
      </c>
      <c r="EK3" s="37" t="n">
        <v>138</v>
      </c>
      <c r="EL3" s="37" t="n">
        <v>139</v>
      </c>
      <c r="EM3" s="37" t="n">
        <v>140</v>
      </c>
      <c r="EN3" s="37" t="n">
        <v>141</v>
      </c>
      <c r="EO3" s="37" t="n">
        <v>142</v>
      </c>
      <c r="EP3" s="37" t="n">
        <v>143</v>
      </c>
      <c r="EQ3" s="37" t="n">
        <v>144</v>
      </c>
      <c r="ER3" s="37" t="n">
        <v>145</v>
      </c>
      <c r="ES3" s="37" t="n">
        <v>146</v>
      </c>
      <c r="ET3" s="37" t="n">
        <v>147</v>
      </c>
      <c r="EU3" s="37" t="n">
        <v>148</v>
      </c>
      <c r="EV3" s="37" t="n">
        <v>149</v>
      </c>
      <c r="EW3" s="37" t="n">
        <v>150</v>
      </c>
      <c r="EX3" s="37" t="n">
        <v>151</v>
      </c>
      <c r="EY3" s="37" t="n">
        <v>152</v>
      </c>
      <c r="EZ3" s="37" t="n">
        <v>153</v>
      </c>
      <c r="FA3" s="37" t="n">
        <v>154</v>
      </c>
      <c r="FB3" s="37" t="n">
        <v>155</v>
      </c>
      <c r="FC3" s="37" t="n">
        <v>156</v>
      </c>
      <c r="FD3" s="37" t="n">
        <v>157</v>
      </c>
      <c r="FE3" s="37" t="n">
        <v>158</v>
      </c>
      <c r="FF3" s="37" t="n">
        <v>159</v>
      </c>
      <c r="FG3" s="37" t="n">
        <v>160</v>
      </c>
      <c r="FH3" s="37" t="n">
        <v>161</v>
      </c>
      <c r="FI3" s="37" t="n">
        <v>162</v>
      </c>
      <c r="FJ3" s="37" t="n">
        <v>163</v>
      </c>
      <c r="FK3" s="37" t="n">
        <v>164</v>
      </c>
      <c r="FL3" s="37" t="n">
        <v>165</v>
      </c>
      <c r="FM3" s="37" t="n">
        <v>166</v>
      </c>
      <c r="FN3" s="37" t="n">
        <v>167</v>
      </c>
      <c r="FO3" s="37" t="n">
        <v>168</v>
      </c>
      <c r="FP3" s="37" t="n">
        <v>169</v>
      </c>
      <c r="FQ3" s="37" t="n">
        <v>170</v>
      </c>
      <c r="FR3" s="37" t="n">
        <v>171</v>
      </c>
      <c r="FS3" s="37" t="n">
        <v>172</v>
      </c>
      <c r="FT3" s="37" t="n">
        <v>173</v>
      </c>
      <c r="FU3" s="37" t="n">
        <v>174</v>
      </c>
      <c r="FV3" s="37" t="n">
        <v>175</v>
      </c>
      <c r="FW3" s="37" t="n">
        <v>176</v>
      </c>
      <c r="FX3" s="37" t="n">
        <v>177</v>
      </c>
      <c r="FY3" s="37" t="n">
        <v>178</v>
      </c>
      <c r="FZ3" s="37" t="n">
        <v>179</v>
      </c>
      <c r="GA3" s="37" t="n">
        <v>180</v>
      </c>
      <c r="GB3" s="37" t="n">
        <v>181</v>
      </c>
      <c r="GC3" s="37" t="n">
        <v>182</v>
      </c>
      <c r="GD3" s="37" t="n">
        <v>183</v>
      </c>
      <c r="GE3" s="37" t="n">
        <v>184</v>
      </c>
      <c r="GF3" s="37" t="n">
        <v>185</v>
      </c>
      <c r="GG3" s="37" t="n">
        <v>186</v>
      </c>
      <c r="GH3" s="37" t="n">
        <v>187</v>
      </c>
      <c r="GI3" s="37" t="n">
        <v>188</v>
      </c>
      <c r="GJ3" s="37" t="n">
        <v>189</v>
      </c>
      <c r="GK3" s="37" t="n">
        <v>190</v>
      </c>
      <c r="GL3" s="37" t="n">
        <v>191</v>
      </c>
      <c r="GM3" s="37" t="n">
        <v>192</v>
      </c>
      <c r="GN3" s="37" t="n">
        <v>193</v>
      </c>
      <c r="GO3" s="37" t="n">
        <v>194</v>
      </c>
      <c r="GP3" s="37" t="n">
        <v>195</v>
      </c>
      <c r="GQ3" s="37" t="n">
        <v>196</v>
      </c>
      <c r="GR3" s="37" t="n">
        <v>197</v>
      </c>
      <c r="GS3" s="37" t="n">
        <v>198</v>
      </c>
      <c r="GT3" s="37" t="n">
        <v>199</v>
      </c>
      <c r="GU3" s="37" t="n">
        <v>200</v>
      </c>
      <c r="GV3" s="37" t="n">
        <v>201</v>
      </c>
      <c r="GW3" s="37" t="n">
        <v>202</v>
      </c>
      <c r="GX3" s="37" t="n">
        <v>203</v>
      </c>
      <c r="GY3" s="37" t="n">
        <v>204</v>
      </c>
      <c r="GZ3" s="37" t="n">
        <v>205</v>
      </c>
      <c r="HA3" s="37" t="n">
        <v>206</v>
      </c>
      <c r="HB3" s="37" t="n">
        <v>207</v>
      </c>
      <c r="HC3" s="37" t="n">
        <v>208</v>
      </c>
      <c r="HD3" s="37" t="n">
        <v>209</v>
      </c>
      <c r="HE3" s="37" t="n">
        <v>210</v>
      </c>
      <c r="HF3" s="37" t="n">
        <v>211</v>
      </c>
      <c r="HG3" s="37" t="n">
        <v>212</v>
      </c>
      <c r="HH3" s="37" t="n">
        <v>213</v>
      </c>
      <c r="HI3" s="37" t="n">
        <v>214</v>
      </c>
      <c r="HJ3" s="37" t="n">
        <v>215</v>
      </c>
      <c r="HK3" s="37" t="n">
        <v>216</v>
      </c>
      <c r="HL3" s="37" t="n">
        <v>217</v>
      </c>
      <c r="HM3" s="37" t="n">
        <v>218</v>
      </c>
      <c r="HN3" s="37" t="n">
        <v>219</v>
      </c>
      <c r="HO3" s="37" t="n">
        <v>220</v>
      </c>
      <c r="HP3" s="37" t="n">
        <v>221</v>
      </c>
      <c r="HQ3" s="37" t="n">
        <v>222</v>
      </c>
      <c r="HR3" s="37" t="n">
        <v>223</v>
      </c>
      <c r="HS3" s="37" t="n">
        <v>224</v>
      </c>
      <c r="HT3" s="37" t="n">
        <v>225</v>
      </c>
      <c r="HU3" s="37" t="n">
        <v>226</v>
      </c>
      <c r="HV3" s="37" t="n">
        <v>227</v>
      </c>
      <c r="HW3" s="37" t="n">
        <v>228</v>
      </c>
      <c r="HX3" s="37" t="n">
        <v>229</v>
      </c>
      <c r="HY3" s="37" t="n">
        <v>230</v>
      </c>
      <c r="HZ3" s="37" t="n">
        <v>231</v>
      </c>
      <c r="IA3" s="37" t="n">
        <v>232</v>
      </c>
      <c r="IB3" s="37" t="n">
        <v>233</v>
      </c>
      <c r="IC3" s="37" t="n">
        <v>234</v>
      </c>
      <c r="ID3" s="37" t="n">
        <v>235</v>
      </c>
      <c r="IE3" s="37" t="n">
        <v>236</v>
      </c>
      <c r="IF3" s="37" t="n">
        <v>237</v>
      </c>
      <c r="IG3" s="37" t="n">
        <v>238</v>
      </c>
      <c r="IH3" s="37" t="n">
        <v>239</v>
      </c>
      <c r="II3" s="37" t="n">
        <v>240</v>
      </c>
      <c r="IJ3" s="37" t="n">
        <v>241</v>
      </c>
      <c r="IK3" s="37" t="n">
        <v>242</v>
      </c>
      <c r="IL3" s="37" t="n">
        <v>243</v>
      </c>
      <c r="IM3" s="37" t="n">
        <v>244</v>
      </c>
      <c r="IN3" s="37" t="n">
        <v>245</v>
      </c>
      <c r="IO3" s="37" t="n">
        <v>246</v>
      </c>
      <c r="IP3" s="37" t="n">
        <v>247</v>
      </c>
      <c r="IQ3" s="37" t="n">
        <v>248</v>
      </c>
      <c r="IR3" s="37" t="n">
        <v>249</v>
      </c>
      <c r="IS3" s="37" t="n">
        <v>250</v>
      </c>
      <c r="IT3" s="37" t="n">
        <v>251</v>
      </c>
      <c r="IU3" s="37" t="n">
        <v>252</v>
      </c>
      <c r="IV3" s="37" t="n">
        <v>253</v>
      </c>
      <c r="IW3" s="37" t="n">
        <v>254</v>
      </c>
      <c r="IX3" s="37" t="n">
        <v>255</v>
      </c>
      <c r="IY3" s="37" t="n">
        <v>256</v>
      </c>
      <c r="IZ3" s="37" t="n">
        <v>257</v>
      </c>
      <c r="JA3" s="37" t="n">
        <v>258</v>
      </c>
      <c r="JB3" s="37" t="n">
        <v>259</v>
      </c>
      <c r="JC3" s="37" t="n">
        <v>260</v>
      </c>
      <c r="JD3" s="37" t="n">
        <v>261</v>
      </c>
      <c r="JE3" s="37" t="n">
        <v>262</v>
      </c>
      <c r="JF3" s="37" t="n">
        <v>263</v>
      </c>
      <c r="JG3" s="37" t="n">
        <v>264</v>
      </c>
      <c r="JH3" s="37" t="n">
        <v>265</v>
      </c>
      <c r="JI3" s="37" t="n">
        <v>266</v>
      </c>
      <c r="JJ3" s="37" t="n">
        <v>267</v>
      </c>
      <c r="JK3" s="37" t="n">
        <v>268</v>
      </c>
      <c r="JL3" s="37" t="n">
        <v>269</v>
      </c>
      <c r="JM3" s="37" t="n">
        <v>270</v>
      </c>
      <c r="JN3" s="37" t="n">
        <v>271</v>
      </c>
      <c r="JO3" s="37" t="n">
        <v>272</v>
      </c>
      <c r="JP3" s="37" t="n">
        <v>273</v>
      </c>
      <c r="JQ3" s="37" t="n">
        <v>274</v>
      </c>
      <c r="JR3" s="37" t="n">
        <v>275</v>
      </c>
      <c r="JS3" s="37" t="n">
        <v>276</v>
      </c>
      <c r="JT3" s="37" t="n">
        <v>277</v>
      </c>
      <c r="JU3" s="37" t="n">
        <v>278</v>
      </c>
      <c r="JV3" s="37" t="n">
        <v>279</v>
      </c>
      <c r="JW3" s="37" t="n">
        <v>280</v>
      </c>
      <c r="JX3" s="37" t="n">
        <v>281</v>
      </c>
      <c r="JY3" s="37" t="n">
        <v>282</v>
      </c>
      <c r="JZ3" s="37" t="n">
        <v>283</v>
      </c>
      <c r="KA3" s="37" t="n">
        <v>284</v>
      </c>
      <c r="KB3" s="37" t="n">
        <v>285</v>
      </c>
      <c r="KC3" s="37" t="n">
        <v>286</v>
      </c>
      <c r="KD3" s="37" t="n">
        <v>287</v>
      </c>
      <c r="KE3" s="37" t="n">
        <v>288</v>
      </c>
      <c r="KF3" s="37" t="n">
        <v>289</v>
      </c>
      <c r="KG3" s="37" t="n">
        <v>290</v>
      </c>
      <c r="KH3" s="37" t="n">
        <v>291</v>
      </c>
      <c r="KI3" s="37" t="n">
        <v>292</v>
      </c>
      <c r="KJ3" s="37" t="n">
        <v>293</v>
      </c>
      <c r="KK3" s="37" t="n">
        <v>294</v>
      </c>
      <c r="KL3" s="37" t="n">
        <v>295</v>
      </c>
      <c r="KM3" s="37" t="n">
        <v>296</v>
      </c>
      <c r="KN3" s="37" t="n">
        <v>297</v>
      </c>
      <c r="KO3" s="37" t="n">
        <v>298</v>
      </c>
      <c r="KP3" s="37" t="n">
        <v>299</v>
      </c>
      <c r="KQ3" s="37" t="n">
        <v>300</v>
      </c>
      <c r="KR3" s="37" t="n">
        <v>301</v>
      </c>
      <c r="KS3" s="37" t="n">
        <v>302</v>
      </c>
      <c r="KT3" s="37" t="n">
        <v>303</v>
      </c>
      <c r="KU3" s="37" t="n">
        <v>304</v>
      </c>
      <c r="KV3" s="37" t="n">
        <v>305</v>
      </c>
      <c r="KW3" s="37" t="n">
        <v>306</v>
      </c>
      <c r="KX3" s="37" t="n">
        <v>307</v>
      </c>
      <c r="KY3" s="37" t="n">
        <v>308</v>
      </c>
      <c r="KZ3" s="37" t="n">
        <v>309</v>
      </c>
      <c r="LA3" s="37" t="n">
        <v>310</v>
      </c>
      <c r="LB3" s="37" t="n">
        <v>311</v>
      </c>
      <c r="LC3" s="37" t="n">
        <v>312</v>
      </c>
      <c r="LD3" s="37" t="n">
        <v>313</v>
      </c>
      <c r="LE3" s="37" t="n">
        <v>314</v>
      </c>
      <c r="LF3" s="37" t="n">
        <v>315</v>
      </c>
      <c r="LG3" s="37" t="n">
        <v>316</v>
      </c>
      <c r="LH3" s="37" t="n">
        <v>317</v>
      </c>
      <c r="LI3" s="37" t="n">
        <v>318</v>
      </c>
      <c r="LJ3" s="37" t="n">
        <v>319</v>
      </c>
      <c r="LK3" s="37" t="n">
        <v>320</v>
      </c>
      <c r="LL3" s="37" t="n">
        <v>321</v>
      </c>
      <c r="LM3" s="37" t="n">
        <v>322</v>
      </c>
      <c r="LN3" s="37" t="n">
        <v>323</v>
      </c>
      <c r="LO3" s="37" t="n">
        <v>324</v>
      </c>
      <c r="LP3" s="37" t="n">
        <v>325</v>
      </c>
      <c r="LQ3" s="37" t="n">
        <v>326</v>
      </c>
      <c r="LR3" s="37" t="n">
        <v>327</v>
      </c>
      <c r="LS3" s="37" t="n">
        <v>328</v>
      </c>
      <c r="LT3" s="37" t="n">
        <v>329</v>
      </c>
      <c r="LU3" s="37" t="n">
        <v>330</v>
      </c>
      <c r="LV3" s="37" t="n">
        <v>331</v>
      </c>
      <c r="LW3" s="37" t="n">
        <v>332</v>
      </c>
      <c r="LX3" s="37" t="n">
        <v>333</v>
      </c>
      <c r="LY3" s="37" t="n">
        <v>334</v>
      </c>
      <c r="LZ3" s="37" t="n">
        <v>335</v>
      </c>
      <c r="MA3" s="37" t="n">
        <v>336</v>
      </c>
      <c r="MB3" s="37" t="n">
        <v>337</v>
      </c>
      <c r="MC3" s="37" t="n">
        <v>338</v>
      </c>
      <c r="MD3" s="37" t="n">
        <v>339</v>
      </c>
      <c r="ME3" s="37" t="n">
        <v>340</v>
      </c>
      <c r="MF3" s="37" t="n">
        <v>341</v>
      </c>
      <c r="MG3" s="37" t="n">
        <v>342</v>
      </c>
      <c r="MH3" s="37" t="n">
        <v>343</v>
      </c>
      <c r="MI3" s="37" t="n">
        <v>344</v>
      </c>
      <c r="MJ3" s="37" t="n">
        <v>345</v>
      </c>
      <c r="MK3" s="37" t="n">
        <v>346</v>
      </c>
      <c r="ML3" s="37" t="n">
        <v>347</v>
      </c>
      <c r="MM3" s="37" t="n">
        <v>348</v>
      </c>
      <c r="MN3" s="37" t="n">
        <v>349</v>
      </c>
      <c r="MO3" s="37" t="n">
        <v>350</v>
      </c>
      <c r="MP3" s="37" t="n">
        <v>351</v>
      </c>
      <c r="MQ3" s="37" t="n">
        <v>352</v>
      </c>
      <c r="MR3" s="37" t="n">
        <v>353</v>
      </c>
      <c r="MS3" s="37" t="n">
        <v>354</v>
      </c>
      <c r="MT3" s="37" t="n">
        <v>355</v>
      </c>
      <c r="MU3" s="37" t="n">
        <v>356</v>
      </c>
      <c r="MV3" s="37" t="n">
        <v>357</v>
      </c>
      <c r="MW3" s="37" t="n">
        <v>358</v>
      </c>
      <c r="MX3" s="37" t="n">
        <v>359</v>
      </c>
      <c r="MY3" s="37" t="n">
        <v>360</v>
      </c>
      <c r="MZ3" s="37" t="n">
        <v>361</v>
      </c>
      <c r="NA3" s="37" t="n">
        <v>362</v>
      </c>
      <c r="NB3" s="37" t="n">
        <v>363</v>
      </c>
      <c r="NC3" s="37" t="n">
        <v>364</v>
      </c>
      <c r="ND3" s="37" t="n">
        <v>365</v>
      </c>
      <c r="NE3" s="37" t="n">
        <v>366</v>
      </c>
      <c r="NF3" s="37" t="n">
        <v>367</v>
      </c>
      <c r="NG3" s="37" t="n">
        <v>368</v>
      </c>
      <c r="NH3" s="37" t="n">
        <v>369</v>
      </c>
      <c r="NI3" s="37" t="n">
        <v>370</v>
      </c>
      <c r="NJ3" s="37" t="n">
        <v>371</v>
      </c>
      <c r="NK3" s="37" t="n">
        <v>372</v>
      </c>
    </row>
    <row r="4">
      <c r="A4" s="38" t="inlineStr">
        <is>
          <t>Month Start</t>
        </is>
      </c>
      <c r="D4" s="39">
        <f>EDATE(InceptionDate,0)</f>
        <v/>
      </c>
      <c r="E4" s="39">
        <f>EDATE(InceptionDate,1)</f>
        <v/>
      </c>
      <c r="F4" s="39">
        <f>EDATE(InceptionDate,2)</f>
        <v/>
      </c>
      <c r="G4" s="39">
        <f>EDATE(InceptionDate,3)</f>
        <v/>
      </c>
      <c r="H4" s="39">
        <f>EDATE(InceptionDate,4)</f>
        <v/>
      </c>
      <c r="I4" s="39">
        <f>EDATE(InceptionDate,5)</f>
        <v/>
      </c>
      <c r="J4" s="39">
        <f>EDATE(InceptionDate,6)</f>
        <v/>
      </c>
      <c r="K4" s="39">
        <f>EDATE(InceptionDate,7)</f>
        <v/>
      </c>
      <c r="L4" s="39">
        <f>EDATE(InceptionDate,8)</f>
        <v/>
      </c>
      <c r="M4" s="39">
        <f>EDATE(InceptionDate,9)</f>
        <v/>
      </c>
      <c r="N4" s="39">
        <f>EDATE(InceptionDate,10)</f>
        <v/>
      </c>
      <c r="O4" s="39">
        <f>EDATE(InceptionDate,11)</f>
        <v/>
      </c>
      <c r="P4" s="39">
        <f>EDATE(InceptionDate,12)</f>
        <v/>
      </c>
      <c r="Q4" s="39">
        <f>EDATE(InceptionDate,13)</f>
        <v/>
      </c>
      <c r="R4" s="39">
        <f>EDATE(InceptionDate,14)</f>
        <v/>
      </c>
      <c r="S4" s="39">
        <f>EDATE(InceptionDate,15)</f>
        <v/>
      </c>
      <c r="T4" s="39">
        <f>EDATE(InceptionDate,16)</f>
        <v/>
      </c>
      <c r="U4" s="39">
        <f>EDATE(InceptionDate,17)</f>
        <v/>
      </c>
      <c r="V4" s="39">
        <f>EDATE(InceptionDate,18)</f>
        <v/>
      </c>
      <c r="W4" s="39">
        <f>EDATE(InceptionDate,19)</f>
        <v/>
      </c>
      <c r="X4" s="39">
        <f>EDATE(InceptionDate,20)</f>
        <v/>
      </c>
      <c r="Y4" s="39">
        <f>EDATE(InceptionDate,21)</f>
        <v/>
      </c>
      <c r="Z4" s="39">
        <f>EDATE(InceptionDate,22)</f>
        <v/>
      </c>
      <c r="AA4" s="39">
        <f>EDATE(InceptionDate,23)</f>
        <v/>
      </c>
      <c r="AB4" s="39">
        <f>EDATE(InceptionDate,24)</f>
        <v/>
      </c>
      <c r="AC4" s="39">
        <f>EDATE(InceptionDate,25)</f>
        <v/>
      </c>
      <c r="AD4" s="39">
        <f>EDATE(InceptionDate,26)</f>
        <v/>
      </c>
      <c r="AE4" s="39">
        <f>EDATE(InceptionDate,27)</f>
        <v/>
      </c>
      <c r="AF4" s="39">
        <f>EDATE(InceptionDate,28)</f>
        <v/>
      </c>
      <c r="AG4" s="39">
        <f>EDATE(InceptionDate,29)</f>
        <v/>
      </c>
      <c r="AH4" s="39">
        <f>EDATE(InceptionDate,30)</f>
        <v/>
      </c>
      <c r="AI4" s="39">
        <f>EDATE(InceptionDate,31)</f>
        <v/>
      </c>
      <c r="AJ4" s="39">
        <f>EDATE(InceptionDate,32)</f>
        <v/>
      </c>
      <c r="AK4" s="39">
        <f>EDATE(InceptionDate,33)</f>
        <v/>
      </c>
      <c r="AL4" s="39">
        <f>EDATE(InceptionDate,34)</f>
        <v/>
      </c>
      <c r="AM4" s="39">
        <f>EDATE(InceptionDate,35)</f>
        <v/>
      </c>
      <c r="AN4" s="39">
        <f>EDATE(InceptionDate,36)</f>
        <v/>
      </c>
      <c r="AO4" s="39">
        <f>EDATE(InceptionDate,37)</f>
        <v/>
      </c>
      <c r="AP4" s="39">
        <f>EDATE(InceptionDate,38)</f>
        <v/>
      </c>
      <c r="AQ4" s="39">
        <f>EDATE(InceptionDate,39)</f>
        <v/>
      </c>
      <c r="AR4" s="39">
        <f>EDATE(InceptionDate,40)</f>
        <v/>
      </c>
      <c r="AS4" s="39">
        <f>EDATE(InceptionDate,41)</f>
        <v/>
      </c>
      <c r="AT4" s="39">
        <f>EDATE(InceptionDate,42)</f>
        <v/>
      </c>
      <c r="AU4" s="39">
        <f>EDATE(InceptionDate,43)</f>
        <v/>
      </c>
      <c r="AV4" s="39">
        <f>EDATE(InceptionDate,44)</f>
        <v/>
      </c>
      <c r="AW4" s="39">
        <f>EDATE(InceptionDate,45)</f>
        <v/>
      </c>
      <c r="AX4" s="39">
        <f>EDATE(InceptionDate,46)</f>
        <v/>
      </c>
      <c r="AY4" s="39">
        <f>EDATE(InceptionDate,47)</f>
        <v/>
      </c>
      <c r="AZ4" s="39">
        <f>EDATE(InceptionDate,48)</f>
        <v/>
      </c>
      <c r="BA4" s="39">
        <f>EDATE(InceptionDate,49)</f>
        <v/>
      </c>
      <c r="BB4" s="39">
        <f>EDATE(InceptionDate,50)</f>
        <v/>
      </c>
      <c r="BC4" s="39">
        <f>EDATE(InceptionDate,51)</f>
        <v/>
      </c>
      <c r="BD4" s="39">
        <f>EDATE(InceptionDate,52)</f>
        <v/>
      </c>
      <c r="BE4" s="39">
        <f>EDATE(InceptionDate,53)</f>
        <v/>
      </c>
      <c r="BF4" s="39">
        <f>EDATE(InceptionDate,54)</f>
        <v/>
      </c>
      <c r="BG4" s="39">
        <f>EDATE(InceptionDate,55)</f>
        <v/>
      </c>
      <c r="BH4" s="39">
        <f>EDATE(InceptionDate,56)</f>
        <v/>
      </c>
      <c r="BI4" s="39">
        <f>EDATE(InceptionDate,57)</f>
        <v/>
      </c>
      <c r="BJ4" s="39">
        <f>EDATE(InceptionDate,58)</f>
        <v/>
      </c>
      <c r="BK4" s="39">
        <f>EDATE(InceptionDate,59)</f>
        <v/>
      </c>
      <c r="BL4" s="39">
        <f>EDATE(InceptionDate,60)</f>
        <v/>
      </c>
      <c r="BM4" s="39">
        <f>EDATE(InceptionDate,61)</f>
        <v/>
      </c>
      <c r="BN4" s="39">
        <f>EDATE(InceptionDate,62)</f>
        <v/>
      </c>
      <c r="BO4" s="39">
        <f>EDATE(InceptionDate,63)</f>
        <v/>
      </c>
      <c r="BP4" s="39">
        <f>EDATE(InceptionDate,64)</f>
        <v/>
      </c>
      <c r="BQ4" s="39">
        <f>EDATE(InceptionDate,65)</f>
        <v/>
      </c>
      <c r="BR4" s="39">
        <f>EDATE(InceptionDate,66)</f>
        <v/>
      </c>
      <c r="BS4" s="39">
        <f>EDATE(InceptionDate,67)</f>
        <v/>
      </c>
      <c r="BT4" s="39">
        <f>EDATE(InceptionDate,68)</f>
        <v/>
      </c>
      <c r="BU4" s="39">
        <f>EDATE(InceptionDate,69)</f>
        <v/>
      </c>
      <c r="BV4" s="39">
        <f>EDATE(InceptionDate,70)</f>
        <v/>
      </c>
      <c r="BW4" s="39">
        <f>EDATE(InceptionDate,71)</f>
        <v/>
      </c>
      <c r="BX4" s="39">
        <f>EDATE(InceptionDate,72)</f>
        <v/>
      </c>
      <c r="BY4" s="39">
        <f>EDATE(InceptionDate,73)</f>
        <v/>
      </c>
      <c r="BZ4" s="39">
        <f>EDATE(InceptionDate,74)</f>
        <v/>
      </c>
      <c r="CA4" s="39">
        <f>EDATE(InceptionDate,75)</f>
        <v/>
      </c>
      <c r="CB4" s="39">
        <f>EDATE(InceptionDate,76)</f>
        <v/>
      </c>
      <c r="CC4" s="39">
        <f>EDATE(InceptionDate,77)</f>
        <v/>
      </c>
      <c r="CD4" s="39">
        <f>EDATE(InceptionDate,78)</f>
        <v/>
      </c>
      <c r="CE4" s="39">
        <f>EDATE(InceptionDate,79)</f>
        <v/>
      </c>
      <c r="CF4" s="39">
        <f>EDATE(InceptionDate,80)</f>
        <v/>
      </c>
      <c r="CG4" s="39">
        <f>EDATE(InceptionDate,81)</f>
        <v/>
      </c>
      <c r="CH4" s="39">
        <f>EDATE(InceptionDate,82)</f>
        <v/>
      </c>
      <c r="CI4" s="39">
        <f>EDATE(InceptionDate,83)</f>
        <v/>
      </c>
      <c r="CJ4" s="39">
        <f>EDATE(InceptionDate,84)</f>
        <v/>
      </c>
      <c r="CK4" s="39">
        <f>EDATE(InceptionDate,85)</f>
        <v/>
      </c>
      <c r="CL4" s="39">
        <f>EDATE(InceptionDate,86)</f>
        <v/>
      </c>
      <c r="CM4" s="39">
        <f>EDATE(InceptionDate,87)</f>
        <v/>
      </c>
      <c r="CN4" s="39">
        <f>EDATE(InceptionDate,88)</f>
        <v/>
      </c>
      <c r="CO4" s="39">
        <f>EDATE(InceptionDate,89)</f>
        <v/>
      </c>
      <c r="CP4" s="39">
        <f>EDATE(InceptionDate,90)</f>
        <v/>
      </c>
      <c r="CQ4" s="39">
        <f>EDATE(InceptionDate,91)</f>
        <v/>
      </c>
      <c r="CR4" s="39">
        <f>EDATE(InceptionDate,92)</f>
        <v/>
      </c>
      <c r="CS4" s="39">
        <f>EDATE(InceptionDate,93)</f>
        <v/>
      </c>
      <c r="CT4" s="39">
        <f>EDATE(InceptionDate,94)</f>
        <v/>
      </c>
      <c r="CU4" s="39">
        <f>EDATE(InceptionDate,95)</f>
        <v/>
      </c>
      <c r="CV4" s="39">
        <f>EDATE(InceptionDate,96)</f>
        <v/>
      </c>
      <c r="CW4" s="39">
        <f>EDATE(InceptionDate,97)</f>
        <v/>
      </c>
      <c r="CX4" s="39">
        <f>EDATE(InceptionDate,98)</f>
        <v/>
      </c>
      <c r="CY4" s="39">
        <f>EDATE(InceptionDate,99)</f>
        <v/>
      </c>
      <c r="CZ4" s="39">
        <f>EDATE(InceptionDate,100)</f>
        <v/>
      </c>
      <c r="DA4" s="39">
        <f>EDATE(InceptionDate,101)</f>
        <v/>
      </c>
      <c r="DB4" s="39">
        <f>EDATE(InceptionDate,102)</f>
        <v/>
      </c>
      <c r="DC4" s="39">
        <f>EDATE(InceptionDate,103)</f>
        <v/>
      </c>
      <c r="DD4" s="39">
        <f>EDATE(InceptionDate,104)</f>
        <v/>
      </c>
      <c r="DE4" s="39">
        <f>EDATE(InceptionDate,105)</f>
        <v/>
      </c>
      <c r="DF4" s="39">
        <f>EDATE(InceptionDate,106)</f>
        <v/>
      </c>
      <c r="DG4" s="39">
        <f>EDATE(InceptionDate,107)</f>
        <v/>
      </c>
      <c r="DH4" s="39">
        <f>EDATE(InceptionDate,108)</f>
        <v/>
      </c>
      <c r="DI4" s="39">
        <f>EDATE(InceptionDate,109)</f>
        <v/>
      </c>
      <c r="DJ4" s="39">
        <f>EDATE(InceptionDate,110)</f>
        <v/>
      </c>
      <c r="DK4" s="39">
        <f>EDATE(InceptionDate,111)</f>
        <v/>
      </c>
      <c r="DL4" s="39">
        <f>EDATE(InceptionDate,112)</f>
        <v/>
      </c>
      <c r="DM4" s="39">
        <f>EDATE(InceptionDate,113)</f>
        <v/>
      </c>
      <c r="DN4" s="39">
        <f>EDATE(InceptionDate,114)</f>
        <v/>
      </c>
      <c r="DO4" s="39">
        <f>EDATE(InceptionDate,115)</f>
        <v/>
      </c>
      <c r="DP4" s="39">
        <f>EDATE(InceptionDate,116)</f>
        <v/>
      </c>
      <c r="DQ4" s="39">
        <f>EDATE(InceptionDate,117)</f>
        <v/>
      </c>
      <c r="DR4" s="39">
        <f>EDATE(InceptionDate,118)</f>
        <v/>
      </c>
      <c r="DS4" s="39">
        <f>EDATE(InceptionDate,119)</f>
        <v/>
      </c>
      <c r="DT4" s="39">
        <f>EDATE(InceptionDate,120)</f>
        <v/>
      </c>
      <c r="DU4" s="39">
        <f>EDATE(InceptionDate,121)</f>
        <v/>
      </c>
      <c r="DV4" s="39">
        <f>EDATE(InceptionDate,122)</f>
        <v/>
      </c>
      <c r="DW4" s="39">
        <f>EDATE(InceptionDate,123)</f>
        <v/>
      </c>
      <c r="DX4" s="39">
        <f>EDATE(InceptionDate,124)</f>
        <v/>
      </c>
      <c r="DY4" s="39">
        <f>EDATE(InceptionDate,125)</f>
        <v/>
      </c>
      <c r="DZ4" s="39">
        <f>EDATE(InceptionDate,126)</f>
        <v/>
      </c>
      <c r="EA4" s="39">
        <f>EDATE(InceptionDate,127)</f>
        <v/>
      </c>
      <c r="EB4" s="39">
        <f>EDATE(InceptionDate,128)</f>
        <v/>
      </c>
      <c r="EC4" s="39">
        <f>EDATE(InceptionDate,129)</f>
        <v/>
      </c>
      <c r="ED4" s="39">
        <f>EDATE(InceptionDate,130)</f>
        <v/>
      </c>
      <c r="EE4" s="39">
        <f>EDATE(InceptionDate,131)</f>
        <v/>
      </c>
      <c r="EF4" s="39">
        <f>EDATE(InceptionDate,132)</f>
        <v/>
      </c>
      <c r="EG4" s="39">
        <f>EDATE(InceptionDate,133)</f>
        <v/>
      </c>
      <c r="EH4" s="39">
        <f>EDATE(InceptionDate,134)</f>
        <v/>
      </c>
      <c r="EI4" s="39">
        <f>EDATE(InceptionDate,135)</f>
        <v/>
      </c>
      <c r="EJ4" s="39">
        <f>EDATE(InceptionDate,136)</f>
        <v/>
      </c>
      <c r="EK4" s="39">
        <f>EDATE(InceptionDate,137)</f>
        <v/>
      </c>
      <c r="EL4" s="39">
        <f>EDATE(InceptionDate,138)</f>
        <v/>
      </c>
      <c r="EM4" s="39">
        <f>EDATE(InceptionDate,139)</f>
        <v/>
      </c>
      <c r="EN4" s="39">
        <f>EDATE(InceptionDate,140)</f>
        <v/>
      </c>
      <c r="EO4" s="39">
        <f>EDATE(InceptionDate,141)</f>
        <v/>
      </c>
      <c r="EP4" s="39">
        <f>EDATE(InceptionDate,142)</f>
        <v/>
      </c>
      <c r="EQ4" s="39">
        <f>EDATE(InceptionDate,143)</f>
        <v/>
      </c>
      <c r="ER4" s="39">
        <f>EDATE(InceptionDate,144)</f>
        <v/>
      </c>
      <c r="ES4" s="39">
        <f>EDATE(InceptionDate,145)</f>
        <v/>
      </c>
      <c r="ET4" s="39">
        <f>EDATE(InceptionDate,146)</f>
        <v/>
      </c>
      <c r="EU4" s="39">
        <f>EDATE(InceptionDate,147)</f>
        <v/>
      </c>
      <c r="EV4" s="39">
        <f>EDATE(InceptionDate,148)</f>
        <v/>
      </c>
      <c r="EW4" s="39">
        <f>EDATE(InceptionDate,149)</f>
        <v/>
      </c>
      <c r="EX4" s="39">
        <f>EDATE(InceptionDate,150)</f>
        <v/>
      </c>
      <c r="EY4" s="39">
        <f>EDATE(InceptionDate,151)</f>
        <v/>
      </c>
      <c r="EZ4" s="39">
        <f>EDATE(InceptionDate,152)</f>
        <v/>
      </c>
      <c r="FA4" s="39">
        <f>EDATE(InceptionDate,153)</f>
        <v/>
      </c>
      <c r="FB4" s="39">
        <f>EDATE(InceptionDate,154)</f>
        <v/>
      </c>
      <c r="FC4" s="39">
        <f>EDATE(InceptionDate,155)</f>
        <v/>
      </c>
      <c r="FD4" s="39">
        <f>EDATE(InceptionDate,156)</f>
        <v/>
      </c>
      <c r="FE4" s="39">
        <f>EDATE(InceptionDate,157)</f>
        <v/>
      </c>
      <c r="FF4" s="39">
        <f>EDATE(InceptionDate,158)</f>
        <v/>
      </c>
      <c r="FG4" s="39">
        <f>EDATE(InceptionDate,159)</f>
        <v/>
      </c>
      <c r="FH4" s="39">
        <f>EDATE(InceptionDate,160)</f>
        <v/>
      </c>
      <c r="FI4" s="39">
        <f>EDATE(InceptionDate,161)</f>
        <v/>
      </c>
      <c r="FJ4" s="39">
        <f>EDATE(InceptionDate,162)</f>
        <v/>
      </c>
      <c r="FK4" s="39">
        <f>EDATE(InceptionDate,163)</f>
        <v/>
      </c>
      <c r="FL4" s="39">
        <f>EDATE(InceptionDate,164)</f>
        <v/>
      </c>
      <c r="FM4" s="39">
        <f>EDATE(InceptionDate,165)</f>
        <v/>
      </c>
      <c r="FN4" s="39">
        <f>EDATE(InceptionDate,166)</f>
        <v/>
      </c>
      <c r="FO4" s="39">
        <f>EDATE(InceptionDate,167)</f>
        <v/>
      </c>
      <c r="FP4" s="39">
        <f>EDATE(InceptionDate,168)</f>
        <v/>
      </c>
      <c r="FQ4" s="39">
        <f>EDATE(InceptionDate,169)</f>
        <v/>
      </c>
      <c r="FR4" s="39">
        <f>EDATE(InceptionDate,170)</f>
        <v/>
      </c>
      <c r="FS4" s="39">
        <f>EDATE(InceptionDate,171)</f>
        <v/>
      </c>
      <c r="FT4" s="39">
        <f>EDATE(InceptionDate,172)</f>
        <v/>
      </c>
      <c r="FU4" s="39">
        <f>EDATE(InceptionDate,173)</f>
        <v/>
      </c>
      <c r="FV4" s="39">
        <f>EDATE(InceptionDate,174)</f>
        <v/>
      </c>
      <c r="FW4" s="39">
        <f>EDATE(InceptionDate,175)</f>
        <v/>
      </c>
      <c r="FX4" s="39">
        <f>EDATE(InceptionDate,176)</f>
        <v/>
      </c>
      <c r="FY4" s="39">
        <f>EDATE(InceptionDate,177)</f>
        <v/>
      </c>
      <c r="FZ4" s="39">
        <f>EDATE(InceptionDate,178)</f>
        <v/>
      </c>
      <c r="GA4" s="39">
        <f>EDATE(InceptionDate,179)</f>
        <v/>
      </c>
      <c r="GB4" s="39">
        <f>EDATE(InceptionDate,180)</f>
        <v/>
      </c>
      <c r="GC4" s="39">
        <f>EDATE(InceptionDate,181)</f>
        <v/>
      </c>
      <c r="GD4" s="39">
        <f>EDATE(InceptionDate,182)</f>
        <v/>
      </c>
      <c r="GE4" s="39">
        <f>EDATE(InceptionDate,183)</f>
        <v/>
      </c>
      <c r="GF4" s="39">
        <f>EDATE(InceptionDate,184)</f>
        <v/>
      </c>
      <c r="GG4" s="39">
        <f>EDATE(InceptionDate,185)</f>
        <v/>
      </c>
      <c r="GH4" s="39">
        <f>EDATE(InceptionDate,186)</f>
        <v/>
      </c>
      <c r="GI4" s="39">
        <f>EDATE(InceptionDate,187)</f>
        <v/>
      </c>
      <c r="GJ4" s="39">
        <f>EDATE(InceptionDate,188)</f>
        <v/>
      </c>
      <c r="GK4" s="39">
        <f>EDATE(InceptionDate,189)</f>
        <v/>
      </c>
      <c r="GL4" s="39">
        <f>EDATE(InceptionDate,190)</f>
        <v/>
      </c>
      <c r="GM4" s="39">
        <f>EDATE(InceptionDate,191)</f>
        <v/>
      </c>
      <c r="GN4" s="39">
        <f>EDATE(InceptionDate,192)</f>
        <v/>
      </c>
      <c r="GO4" s="39">
        <f>EDATE(InceptionDate,193)</f>
        <v/>
      </c>
      <c r="GP4" s="39">
        <f>EDATE(InceptionDate,194)</f>
        <v/>
      </c>
      <c r="GQ4" s="39">
        <f>EDATE(InceptionDate,195)</f>
        <v/>
      </c>
      <c r="GR4" s="39">
        <f>EDATE(InceptionDate,196)</f>
        <v/>
      </c>
      <c r="GS4" s="39">
        <f>EDATE(InceptionDate,197)</f>
        <v/>
      </c>
      <c r="GT4" s="39">
        <f>EDATE(InceptionDate,198)</f>
        <v/>
      </c>
      <c r="GU4" s="39">
        <f>EDATE(InceptionDate,199)</f>
        <v/>
      </c>
      <c r="GV4" s="39">
        <f>EDATE(InceptionDate,200)</f>
        <v/>
      </c>
      <c r="GW4" s="39">
        <f>EDATE(InceptionDate,201)</f>
        <v/>
      </c>
      <c r="GX4" s="39">
        <f>EDATE(InceptionDate,202)</f>
        <v/>
      </c>
      <c r="GY4" s="39">
        <f>EDATE(InceptionDate,203)</f>
        <v/>
      </c>
      <c r="GZ4" s="39">
        <f>EDATE(InceptionDate,204)</f>
        <v/>
      </c>
      <c r="HA4" s="39">
        <f>EDATE(InceptionDate,205)</f>
        <v/>
      </c>
      <c r="HB4" s="39">
        <f>EDATE(InceptionDate,206)</f>
        <v/>
      </c>
      <c r="HC4" s="39">
        <f>EDATE(InceptionDate,207)</f>
        <v/>
      </c>
      <c r="HD4" s="39">
        <f>EDATE(InceptionDate,208)</f>
        <v/>
      </c>
      <c r="HE4" s="39">
        <f>EDATE(InceptionDate,209)</f>
        <v/>
      </c>
      <c r="HF4" s="39">
        <f>EDATE(InceptionDate,210)</f>
        <v/>
      </c>
      <c r="HG4" s="39">
        <f>EDATE(InceptionDate,211)</f>
        <v/>
      </c>
      <c r="HH4" s="39">
        <f>EDATE(InceptionDate,212)</f>
        <v/>
      </c>
      <c r="HI4" s="39">
        <f>EDATE(InceptionDate,213)</f>
        <v/>
      </c>
      <c r="HJ4" s="39">
        <f>EDATE(InceptionDate,214)</f>
        <v/>
      </c>
      <c r="HK4" s="39">
        <f>EDATE(InceptionDate,215)</f>
        <v/>
      </c>
      <c r="HL4" s="39">
        <f>EDATE(InceptionDate,216)</f>
        <v/>
      </c>
      <c r="HM4" s="39">
        <f>EDATE(InceptionDate,217)</f>
        <v/>
      </c>
      <c r="HN4" s="39">
        <f>EDATE(InceptionDate,218)</f>
        <v/>
      </c>
      <c r="HO4" s="39">
        <f>EDATE(InceptionDate,219)</f>
        <v/>
      </c>
      <c r="HP4" s="39">
        <f>EDATE(InceptionDate,220)</f>
        <v/>
      </c>
      <c r="HQ4" s="39">
        <f>EDATE(InceptionDate,221)</f>
        <v/>
      </c>
      <c r="HR4" s="39">
        <f>EDATE(InceptionDate,222)</f>
        <v/>
      </c>
      <c r="HS4" s="39">
        <f>EDATE(InceptionDate,223)</f>
        <v/>
      </c>
      <c r="HT4" s="39">
        <f>EDATE(InceptionDate,224)</f>
        <v/>
      </c>
      <c r="HU4" s="39">
        <f>EDATE(InceptionDate,225)</f>
        <v/>
      </c>
      <c r="HV4" s="39">
        <f>EDATE(InceptionDate,226)</f>
        <v/>
      </c>
      <c r="HW4" s="39">
        <f>EDATE(InceptionDate,227)</f>
        <v/>
      </c>
      <c r="HX4" s="39">
        <f>EDATE(InceptionDate,228)</f>
        <v/>
      </c>
      <c r="HY4" s="39">
        <f>EDATE(InceptionDate,229)</f>
        <v/>
      </c>
      <c r="HZ4" s="39">
        <f>EDATE(InceptionDate,230)</f>
        <v/>
      </c>
      <c r="IA4" s="39">
        <f>EDATE(InceptionDate,231)</f>
        <v/>
      </c>
      <c r="IB4" s="39">
        <f>EDATE(InceptionDate,232)</f>
        <v/>
      </c>
      <c r="IC4" s="39">
        <f>EDATE(InceptionDate,233)</f>
        <v/>
      </c>
      <c r="ID4" s="39">
        <f>EDATE(InceptionDate,234)</f>
        <v/>
      </c>
      <c r="IE4" s="39">
        <f>EDATE(InceptionDate,235)</f>
        <v/>
      </c>
      <c r="IF4" s="39">
        <f>EDATE(InceptionDate,236)</f>
        <v/>
      </c>
      <c r="IG4" s="39">
        <f>EDATE(InceptionDate,237)</f>
        <v/>
      </c>
      <c r="IH4" s="39">
        <f>EDATE(InceptionDate,238)</f>
        <v/>
      </c>
      <c r="II4" s="39">
        <f>EDATE(InceptionDate,239)</f>
        <v/>
      </c>
      <c r="IJ4" s="39">
        <f>EDATE(InceptionDate,240)</f>
        <v/>
      </c>
      <c r="IK4" s="39">
        <f>EDATE(InceptionDate,241)</f>
        <v/>
      </c>
      <c r="IL4" s="39">
        <f>EDATE(InceptionDate,242)</f>
        <v/>
      </c>
      <c r="IM4" s="39">
        <f>EDATE(InceptionDate,243)</f>
        <v/>
      </c>
      <c r="IN4" s="39">
        <f>EDATE(InceptionDate,244)</f>
        <v/>
      </c>
      <c r="IO4" s="39">
        <f>EDATE(InceptionDate,245)</f>
        <v/>
      </c>
      <c r="IP4" s="39">
        <f>EDATE(InceptionDate,246)</f>
        <v/>
      </c>
      <c r="IQ4" s="39">
        <f>EDATE(InceptionDate,247)</f>
        <v/>
      </c>
      <c r="IR4" s="39">
        <f>EDATE(InceptionDate,248)</f>
        <v/>
      </c>
      <c r="IS4" s="39">
        <f>EDATE(InceptionDate,249)</f>
        <v/>
      </c>
      <c r="IT4" s="39">
        <f>EDATE(InceptionDate,250)</f>
        <v/>
      </c>
      <c r="IU4" s="39">
        <f>EDATE(InceptionDate,251)</f>
        <v/>
      </c>
      <c r="IV4" s="39">
        <f>EDATE(InceptionDate,252)</f>
        <v/>
      </c>
      <c r="IW4" s="39">
        <f>EDATE(InceptionDate,253)</f>
        <v/>
      </c>
      <c r="IX4" s="39">
        <f>EDATE(InceptionDate,254)</f>
        <v/>
      </c>
      <c r="IY4" s="39">
        <f>EDATE(InceptionDate,255)</f>
        <v/>
      </c>
      <c r="IZ4" s="39">
        <f>EDATE(InceptionDate,256)</f>
        <v/>
      </c>
      <c r="JA4" s="39">
        <f>EDATE(InceptionDate,257)</f>
        <v/>
      </c>
      <c r="JB4" s="39">
        <f>EDATE(InceptionDate,258)</f>
        <v/>
      </c>
      <c r="JC4" s="39">
        <f>EDATE(InceptionDate,259)</f>
        <v/>
      </c>
      <c r="JD4" s="39">
        <f>EDATE(InceptionDate,260)</f>
        <v/>
      </c>
      <c r="JE4" s="39">
        <f>EDATE(InceptionDate,261)</f>
        <v/>
      </c>
      <c r="JF4" s="39">
        <f>EDATE(InceptionDate,262)</f>
        <v/>
      </c>
      <c r="JG4" s="39">
        <f>EDATE(InceptionDate,263)</f>
        <v/>
      </c>
      <c r="JH4" s="39">
        <f>EDATE(InceptionDate,264)</f>
        <v/>
      </c>
      <c r="JI4" s="39">
        <f>EDATE(InceptionDate,265)</f>
        <v/>
      </c>
      <c r="JJ4" s="39">
        <f>EDATE(InceptionDate,266)</f>
        <v/>
      </c>
      <c r="JK4" s="39">
        <f>EDATE(InceptionDate,267)</f>
        <v/>
      </c>
      <c r="JL4" s="39">
        <f>EDATE(InceptionDate,268)</f>
        <v/>
      </c>
      <c r="JM4" s="39">
        <f>EDATE(InceptionDate,269)</f>
        <v/>
      </c>
      <c r="JN4" s="39">
        <f>EDATE(InceptionDate,270)</f>
        <v/>
      </c>
      <c r="JO4" s="39">
        <f>EDATE(InceptionDate,271)</f>
        <v/>
      </c>
      <c r="JP4" s="39">
        <f>EDATE(InceptionDate,272)</f>
        <v/>
      </c>
      <c r="JQ4" s="39">
        <f>EDATE(InceptionDate,273)</f>
        <v/>
      </c>
      <c r="JR4" s="39">
        <f>EDATE(InceptionDate,274)</f>
        <v/>
      </c>
      <c r="JS4" s="39">
        <f>EDATE(InceptionDate,275)</f>
        <v/>
      </c>
      <c r="JT4" s="39">
        <f>EDATE(InceptionDate,276)</f>
        <v/>
      </c>
      <c r="JU4" s="39">
        <f>EDATE(InceptionDate,277)</f>
        <v/>
      </c>
      <c r="JV4" s="39">
        <f>EDATE(InceptionDate,278)</f>
        <v/>
      </c>
      <c r="JW4" s="39">
        <f>EDATE(InceptionDate,279)</f>
        <v/>
      </c>
      <c r="JX4" s="39">
        <f>EDATE(InceptionDate,280)</f>
        <v/>
      </c>
      <c r="JY4" s="39">
        <f>EDATE(InceptionDate,281)</f>
        <v/>
      </c>
      <c r="JZ4" s="39">
        <f>EDATE(InceptionDate,282)</f>
        <v/>
      </c>
      <c r="KA4" s="39">
        <f>EDATE(InceptionDate,283)</f>
        <v/>
      </c>
      <c r="KB4" s="39">
        <f>EDATE(InceptionDate,284)</f>
        <v/>
      </c>
      <c r="KC4" s="39">
        <f>EDATE(InceptionDate,285)</f>
        <v/>
      </c>
      <c r="KD4" s="39">
        <f>EDATE(InceptionDate,286)</f>
        <v/>
      </c>
      <c r="KE4" s="39">
        <f>EDATE(InceptionDate,287)</f>
        <v/>
      </c>
      <c r="KF4" s="39">
        <f>EDATE(InceptionDate,288)</f>
        <v/>
      </c>
      <c r="KG4" s="39">
        <f>EDATE(InceptionDate,289)</f>
        <v/>
      </c>
      <c r="KH4" s="39">
        <f>EDATE(InceptionDate,290)</f>
        <v/>
      </c>
      <c r="KI4" s="39">
        <f>EDATE(InceptionDate,291)</f>
        <v/>
      </c>
      <c r="KJ4" s="39">
        <f>EDATE(InceptionDate,292)</f>
        <v/>
      </c>
      <c r="KK4" s="39">
        <f>EDATE(InceptionDate,293)</f>
        <v/>
      </c>
      <c r="KL4" s="39">
        <f>EDATE(InceptionDate,294)</f>
        <v/>
      </c>
      <c r="KM4" s="39">
        <f>EDATE(InceptionDate,295)</f>
        <v/>
      </c>
      <c r="KN4" s="39">
        <f>EDATE(InceptionDate,296)</f>
        <v/>
      </c>
      <c r="KO4" s="39">
        <f>EDATE(InceptionDate,297)</f>
        <v/>
      </c>
      <c r="KP4" s="39">
        <f>EDATE(InceptionDate,298)</f>
        <v/>
      </c>
      <c r="KQ4" s="39">
        <f>EDATE(InceptionDate,299)</f>
        <v/>
      </c>
      <c r="KR4" s="39">
        <f>EDATE(InceptionDate,300)</f>
        <v/>
      </c>
      <c r="KS4" s="39">
        <f>EDATE(InceptionDate,301)</f>
        <v/>
      </c>
      <c r="KT4" s="39">
        <f>EDATE(InceptionDate,302)</f>
        <v/>
      </c>
      <c r="KU4" s="39">
        <f>EDATE(InceptionDate,303)</f>
        <v/>
      </c>
      <c r="KV4" s="39">
        <f>EDATE(InceptionDate,304)</f>
        <v/>
      </c>
      <c r="KW4" s="39">
        <f>EDATE(InceptionDate,305)</f>
        <v/>
      </c>
      <c r="KX4" s="39">
        <f>EDATE(InceptionDate,306)</f>
        <v/>
      </c>
      <c r="KY4" s="39">
        <f>EDATE(InceptionDate,307)</f>
        <v/>
      </c>
      <c r="KZ4" s="39">
        <f>EDATE(InceptionDate,308)</f>
        <v/>
      </c>
      <c r="LA4" s="39">
        <f>EDATE(InceptionDate,309)</f>
        <v/>
      </c>
      <c r="LB4" s="39">
        <f>EDATE(InceptionDate,310)</f>
        <v/>
      </c>
      <c r="LC4" s="39">
        <f>EDATE(InceptionDate,311)</f>
        <v/>
      </c>
      <c r="LD4" s="39">
        <f>EDATE(InceptionDate,312)</f>
        <v/>
      </c>
      <c r="LE4" s="39">
        <f>EDATE(InceptionDate,313)</f>
        <v/>
      </c>
      <c r="LF4" s="39">
        <f>EDATE(InceptionDate,314)</f>
        <v/>
      </c>
      <c r="LG4" s="39">
        <f>EDATE(InceptionDate,315)</f>
        <v/>
      </c>
      <c r="LH4" s="39">
        <f>EDATE(InceptionDate,316)</f>
        <v/>
      </c>
      <c r="LI4" s="39">
        <f>EDATE(InceptionDate,317)</f>
        <v/>
      </c>
      <c r="LJ4" s="39">
        <f>EDATE(InceptionDate,318)</f>
        <v/>
      </c>
      <c r="LK4" s="39">
        <f>EDATE(InceptionDate,319)</f>
        <v/>
      </c>
      <c r="LL4" s="39">
        <f>EDATE(InceptionDate,320)</f>
        <v/>
      </c>
      <c r="LM4" s="39">
        <f>EDATE(InceptionDate,321)</f>
        <v/>
      </c>
      <c r="LN4" s="39">
        <f>EDATE(InceptionDate,322)</f>
        <v/>
      </c>
      <c r="LO4" s="39">
        <f>EDATE(InceptionDate,323)</f>
        <v/>
      </c>
      <c r="LP4" s="39">
        <f>EDATE(InceptionDate,324)</f>
        <v/>
      </c>
      <c r="LQ4" s="39">
        <f>EDATE(InceptionDate,325)</f>
        <v/>
      </c>
      <c r="LR4" s="39">
        <f>EDATE(InceptionDate,326)</f>
        <v/>
      </c>
      <c r="LS4" s="39">
        <f>EDATE(InceptionDate,327)</f>
        <v/>
      </c>
      <c r="LT4" s="39">
        <f>EDATE(InceptionDate,328)</f>
        <v/>
      </c>
      <c r="LU4" s="39">
        <f>EDATE(InceptionDate,329)</f>
        <v/>
      </c>
      <c r="LV4" s="39">
        <f>EDATE(InceptionDate,330)</f>
        <v/>
      </c>
      <c r="LW4" s="39">
        <f>EDATE(InceptionDate,331)</f>
        <v/>
      </c>
      <c r="LX4" s="39">
        <f>EDATE(InceptionDate,332)</f>
        <v/>
      </c>
      <c r="LY4" s="39">
        <f>EDATE(InceptionDate,333)</f>
        <v/>
      </c>
      <c r="LZ4" s="39">
        <f>EDATE(InceptionDate,334)</f>
        <v/>
      </c>
      <c r="MA4" s="39">
        <f>EDATE(InceptionDate,335)</f>
        <v/>
      </c>
      <c r="MB4" s="39">
        <f>EDATE(InceptionDate,336)</f>
        <v/>
      </c>
      <c r="MC4" s="39">
        <f>EDATE(InceptionDate,337)</f>
        <v/>
      </c>
      <c r="MD4" s="39">
        <f>EDATE(InceptionDate,338)</f>
        <v/>
      </c>
      <c r="ME4" s="39">
        <f>EDATE(InceptionDate,339)</f>
        <v/>
      </c>
      <c r="MF4" s="39">
        <f>EDATE(InceptionDate,340)</f>
        <v/>
      </c>
      <c r="MG4" s="39">
        <f>EDATE(InceptionDate,341)</f>
        <v/>
      </c>
      <c r="MH4" s="39">
        <f>EDATE(InceptionDate,342)</f>
        <v/>
      </c>
      <c r="MI4" s="39">
        <f>EDATE(InceptionDate,343)</f>
        <v/>
      </c>
      <c r="MJ4" s="39">
        <f>EDATE(InceptionDate,344)</f>
        <v/>
      </c>
      <c r="MK4" s="39">
        <f>EDATE(InceptionDate,345)</f>
        <v/>
      </c>
      <c r="ML4" s="39">
        <f>EDATE(InceptionDate,346)</f>
        <v/>
      </c>
      <c r="MM4" s="39">
        <f>EDATE(InceptionDate,347)</f>
        <v/>
      </c>
      <c r="MN4" s="39">
        <f>EDATE(InceptionDate,348)</f>
        <v/>
      </c>
      <c r="MO4" s="39">
        <f>EDATE(InceptionDate,349)</f>
        <v/>
      </c>
      <c r="MP4" s="39">
        <f>EDATE(InceptionDate,350)</f>
        <v/>
      </c>
      <c r="MQ4" s="39">
        <f>EDATE(InceptionDate,351)</f>
        <v/>
      </c>
      <c r="MR4" s="39">
        <f>EDATE(InceptionDate,352)</f>
        <v/>
      </c>
      <c r="MS4" s="39">
        <f>EDATE(InceptionDate,353)</f>
        <v/>
      </c>
      <c r="MT4" s="39">
        <f>EDATE(InceptionDate,354)</f>
        <v/>
      </c>
      <c r="MU4" s="39">
        <f>EDATE(InceptionDate,355)</f>
        <v/>
      </c>
      <c r="MV4" s="39">
        <f>EDATE(InceptionDate,356)</f>
        <v/>
      </c>
      <c r="MW4" s="39">
        <f>EDATE(InceptionDate,357)</f>
        <v/>
      </c>
      <c r="MX4" s="39">
        <f>EDATE(InceptionDate,358)</f>
        <v/>
      </c>
      <c r="MY4" s="39">
        <f>EDATE(InceptionDate,359)</f>
        <v/>
      </c>
      <c r="MZ4" s="39">
        <f>EDATE(InceptionDate,360)</f>
        <v/>
      </c>
      <c r="NA4" s="39">
        <f>EDATE(InceptionDate,361)</f>
        <v/>
      </c>
      <c r="NB4" s="39">
        <f>EDATE(InceptionDate,362)</f>
        <v/>
      </c>
      <c r="NC4" s="39">
        <f>EDATE(InceptionDate,363)</f>
        <v/>
      </c>
      <c r="ND4" s="39">
        <f>EDATE(InceptionDate,364)</f>
        <v/>
      </c>
      <c r="NE4" s="39">
        <f>EDATE(InceptionDate,365)</f>
        <v/>
      </c>
      <c r="NF4" s="39">
        <f>EDATE(InceptionDate,366)</f>
        <v/>
      </c>
      <c r="NG4" s="39">
        <f>EDATE(InceptionDate,367)</f>
        <v/>
      </c>
      <c r="NH4" s="39">
        <f>EDATE(InceptionDate,368)</f>
        <v/>
      </c>
      <c r="NI4" s="39">
        <f>EDATE(InceptionDate,369)</f>
        <v/>
      </c>
      <c r="NJ4" s="39">
        <f>EDATE(InceptionDate,370)</f>
        <v/>
      </c>
      <c r="NK4" s="39">
        <f>EDATE(InceptionDate,371)</f>
        <v/>
      </c>
    </row>
    <row r="5">
      <c r="A5" s="3" t="inlineStr">
        <is>
          <t>Growth &amp; Lease-Up Factors</t>
        </is>
      </c>
      <c r="B5" s="4" t="n"/>
      <c r="C5" s="4" t="n"/>
    </row>
    <row r="6">
      <c r="A6" s="5" t="inlineStr">
        <is>
          <t>Growth Factor — Rent</t>
        </is>
      </c>
      <c r="C6" s="52" t="n"/>
      <c r="D6" s="53">
        <f>(1+GrowthRent)^(MAX(0,1-GrowthStartMonth)/12)</f>
        <v/>
      </c>
      <c r="E6" s="53">
        <f>(1+GrowthRent)^(MAX(0,2-GrowthStartMonth)/12)</f>
        <v/>
      </c>
      <c r="F6" s="53">
        <f>(1+GrowthRent)^(MAX(0,3-GrowthStartMonth)/12)</f>
        <v/>
      </c>
      <c r="G6" s="53">
        <f>(1+GrowthRent)^(MAX(0,4-GrowthStartMonth)/12)</f>
        <v/>
      </c>
      <c r="H6" s="53">
        <f>(1+GrowthRent)^(MAX(0,5-GrowthStartMonth)/12)</f>
        <v/>
      </c>
      <c r="I6" s="53">
        <f>(1+GrowthRent)^(MAX(0,6-GrowthStartMonth)/12)</f>
        <v/>
      </c>
      <c r="J6" s="53">
        <f>(1+GrowthRent)^(MAX(0,7-GrowthStartMonth)/12)</f>
        <v/>
      </c>
      <c r="K6" s="53">
        <f>(1+GrowthRent)^(MAX(0,8-GrowthStartMonth)/12)</f>
        <v/>
      </c>
      <c r="L6" s="53">
        <f>(1+GrowthRent)^(MAX(0,9-GrowthStartMonth)/12)</f>
        <v/>
      </c>
      <c r="M6" s="53">
        <f>(1+GrowthRent)^(MAX(0,10-GrowthStartMonth)/12)</f>
        <v/>
      </c>
      <c r="N6" s="53">
        <f>(1+GrowthRent)^(MAX(0,11-GrowthStartMonth)/12)</f>
        <v/>
      </c>
      <c r="O6" s="53">
        <f>(1+GrowthRent)^(MAX(0,12-GrowthStartMonth)/12)</f>
        <v/>
      </c>
      <c r="P6" s="53">
        <f>(1+GrowthRent)^(MAX(0,13-GrowthStartMonth)/12)</f>
        <v/>
      </c>
      <c r="Q6" s="53">
        <f>(1+GrowthRent)^(MAX(0,14-GrowthStartMonth)/12)</f>
        <v/>
      </c>
      <c r="R6" s="53">
        <f>(1+GrowthRent)^(MAX(0,15-GrowthStartMonth)/12)</f>
        <v/>
      </c>
      <c r="S6" s="53">
        <f>(1+GrowthRent)^(MAX(0,16-GrowthStartMonth)/12)</f>
        <v/>
      </c>
      <c r="T6" s="53">
        <f>(1+GrowthRent)^(MAX(0,17-GrowthStartMonth)/12)</f>
        <v/>
      </c>
      <c r="U6" s="53">
        <f>(1+GrowthRent)^(MAX(0,18-GrowthStartMonth)/12)</f>
        <v/>
      </c>
      <c r="V6" s="53">
        <f>(1+GrowthRent)^(MAX(0,19-GrowthStartMonth)/12)</f>
        <v/>
      </c>
      <c r="W6" s="53">
        <f>(1+GrowthRent)^(MAX(0,20-GrowthStartMonth)/12)</f>
        <v/>
      </c>
      <c r="X6" s="53">
        <f>(1+GrowthRent)^(MAX(0,21-GrowthStartMonth)/12)</f>
        <v/>
      </c>
      <c r="Y6" s="53">
        <f>(1+GrowthRent)^(MAX(0,22-GrowthStartMonth)/12)</f>
        <v/>
      </c>
      <c r="Z6" s="53">
        <f>(1+GrowthRent)^(MAX(0,23-GrowthStartMonth)/12)</f>
        <v/>
      </c>
      <c r="AA6" s="53">
        <f>(1+GrowthRent)^(MAX(0,24-GrowthStartMonth)/12)</f>
        <v/>
      </c>
      <c r="AB6" s="53">
        <f>(1+GrowthRent)^(MAX(0,25-GrowthStartMonth)/12)</f>
        <v/>
      </c>
      <c r="AC6" s="53">
        <f>(1+GrowthRent)^(MAX(0,26-GrowthStartMonth)/12)</f>
        <v/>
      </c>
      <c r="AD6" s="53">
        <f>(1+GrowthRent)^(MAX(0,27-GrowthStartMonth)/12)</f>
        <v/>
      </c>
      <c r="AE6" s="53">
        <f>(1+GrowthRent)^(MAX(0,28-GrowthStartMonth)/12)</f>
        <v/>
      </c>
      <c r="AF6" s="53">
        <f>(1+GrowthRent)^(MAX(0,29-GrowthStartMonth)/12)</f>
        <v/>
      </c>
      <c r="AG6" s="53">
        <f>(1+GrowthRent)^(MAX(0,30-GrowthStartMonth)/12)</f>
        <v/>
      </c>
      <c r="AH6" s="53">
        <f>(1+GrowthRent)^(MAX(0,31-GrowthStartMonth)/12)</f>
        <v/>
      </c>
      <c r="AI6" s="53">
        <f>(1+GrowthRent)^(MAX(0,32-GrowthStartMonth)/12)</f>
        <v/>
      </c>
      <c r="AJ6" s="53">
        <f>(1+GrowthRent)^(MAX(0,33-GrowthStartMonth)/12)</f>
        <v/>
      </c>
      <c r="AK6" s="53">
        <f>(1+GrowthRent)^(MAX(0,34-GrowthStartMonth)/12)</f>
        <v/>
      </c>
      <c r="AL6" s="53">
        <f>(1+GrowthRent)^(MAX(0,35-GrowthStartMonth)/12)</f>
        <v/>
      </c>
      <c r="AM6" s="53">
        <f>(1+GrowthRent)^(MAX(0,36-GrowthStartMonth)/12)</f>
        <v/>
      </c>
      <c r="AN6" s="53">
        <f>(1+GrowthRent)^(MAX(0,37-GrowthStartMonth)/12)</f>
        <v/>
      </c>
      <c r="AO6" s="53">
        <f>(1+GrowthRent)^(MAX(0,38-GrowthStartMonth)/12)</f>
        <v/>
      </c>
      <c r="AP6" s="53">
        <f>(1+GrowthRent)^(MAX(0,39-GrowthStartMonth)/12)</f>
        <v/>
      </c>
      <c r="AQ6" s="53">
        <f>(1+GrowthRent)^(MAX(0,40-GrowthStartMonth)/12)</f>
        <v/>
      </c>
      <c r="AR6" s="53">
        <f>(1+GrowthRent)^(MAX(0,41-GrowthStartMonth)/12)</f>
        <v/>
      </c>
      <c r="AS6" s="53">
        <f>(1+GrowthRent)^(MAX(0,42-GrowthStartMonth)/12)</f>
        <v/>
      </c>
      <c r="AT6" s="53">
        <f>(1+GrowthRent)^(MAX(0,43-GrowthStartMonth)/12)</f>
        <v/>
      </c>
      <c r="AU6" s="53">
        <f>(1+GrowthRent)^(MAX(0,44-GrowthStartMonth)/12)</f>
        <v/>
      </c>
      <c r="AV6" s="53">
        <f>(1+GrowthRent)^(MAX(0,45-GrowthStartMonth)/12)</f>
        <v/>
      </c>
      <c r="AW6" s="53">
        <f>(1+GrowthRent)^(MAX(0,46-GrowthStartMonth)/12)</f>
        <v/>
      </c>
      <c r="AX6" s="53">
        <f>(1+GrowthRent)^(MAX(0,47-GrowthStartMonth)/12)</f>
        <v/>
      </c>
      <c r="AY6" s="53">
        <f>(1+GrowthRent)^(MAX(0,48-GrowthStartMonth)/12)</f>
        <v/>
      </c>
      <c r="AZ6" s="53">
        <f>(1+GrowthRent)^(MAX(0,49-GrowthStartMonth)/12)</f>
        <v/>
      </c>
      <c r="BA6" s="53">
        <f>(1+GrowthRent)^(MAX(0,50-GrowthStartMonth)/12)</f>
        <v/>
      </c>
      <c r="BB6" s="53">
        <f>(1+GrowthRent)^(MAX(0,51-GrowthStartMonth)/12)</f>
        <v/>
      </c>
      <c r="BC6" s="53">
        <f>(1+GrowthRent)^(MAX(0,52-GrowthStartMonth)/12)</f>
        <v/>
      </c>
      <c r="BD6" s="53">
        <f>(1+GrowthRent)^(MAX(0,53-GrowthStartMonth)/12)</f>
        <v/>
      </c>
      <c r="BE6" s="53">
        <f>(1+GrowthRent)^(MAX(0,54-GrowthStartMonth)/12)</f>
        <v/>
      </c>
      <c r="BF6" s="53">
        <f>(1+GrowthRent)^(MAX(0,55-GrowthStartMonth)/12)</f>
        <v/>
      </c>
      <c r="BG6" s="53">
        <f>(1+GrowthRent)^(MAX(0,56-GrowthStartMonth)/12)</f>
        <v/>
      </c>
      <c r="BH6" s="53">
        <f>(1+GrowthRent)^(MAX(0,57-GrowthStartMonth)/12)</f>
        <v/>
      </c>
      <c r="BI6" s="53">
        <f>(1+GrowthRent)^(MAX(0,58-GrowthStartMonth)/12)</f>
        <v/>
      </c>
      <c r="BJ6" s="53">
        <f>(1+GrowthRent)^(MAX(0,59-GrowthStartMonth)/12)</f>
        <v/>
      </c>
      <c r="BK6" s="53">
        <f>(1+GrowthRent)^(MAX(0,60-GrowthStartMonth)/12)</f>
        <v/>
      </c>
      <c r="BL6" s="53">
        <f>(1+GrowthRent)^(MAX(0,61-GrowthStartMonth)/12)</f>
        <v/>
      </c>
      <c r="BM6" s="53">
        <f>(1+GrowthRent)^(MAX(0,62-GrowthStartMonth)/12)</f>
        <v/>
      </c>
      <c r="BN6" s="53">
        <f>(1+GrowthRent)^(MAX(0,63-GrowthStartMonth)/12)</f>
        <v/>
      </c>
      <c r="BO6" s="53">
        <f>(1+GrowthRent)^(MAX(0,64-GrowthStartMonth)/12)</f>
        <v/>
      </c>
      <c r="BP6" s="53">
        <f>(1+GrowthRent)^(MAX(0,65-GrowthStartMonth)/12)</f>
        <v/>
      </c>
      <c r="BQ6" s="53">
        <f>(1+GrowthRent)^(MAX(0,66-GrowthStartMonth)/12)</f>
        <v/>
      </c>
      <c r="BR6" s="53">
        <f>(1+GrowthRent)^(MAX(0,67-GrowthStartMonth)/12)</f>
        <v/>
      </c>
      <c r="BS6" s="53">
        <f>(1+GrowthRent)^(MAX(0,68-GrowthStartMonth)/12)</f>
        <v/>
      </c>
      <c r="BT6" s="53">
        <f>(1+GrowthRent)^(MAX(0,69-GrowthStartMonth)/12)</f>
        <v/>
      </c>
      <c r="BU6" s="53">
        <f>(1+GrowthRent)^(MAX(0,70-GrowthStartMonth)/12)</f>
        <v/>
      </c>
      <c r="BV6" s="53">
        <f>(1+GrowthRent)^(MAX(0,71-GrowthStartMonth)/12)</f>
        <v/>
      </c>
      <c r="BW6" s="53">
        <f>(1+GrowthRent)^(MAX(0,72-GrowthStartMonth)/12)</f>
        <v/>
      </c>
      <c r="BX6" s="53">
        <f>(1+GrowthRent)^(MAX(0,73-GrowthStartMonth)/12)</f>
        <v/>
      </c>
      <c r="BY6" s="53">
        <f>(1+GrowthRent)^(MAX(0,74-GrowthStartMonth)/12)</f>
        <v/>
      </c>
      <c r="BZ6" s="53">
        <f>(1+GrowthRent)^(MAX(0,75-GrowthStartMonth)/12)</f>
        <v/>
      </c>
      <c r="CA6" s="53">
        <f>(1+GrowthRent)^(MAX(0,76-GrowthStartMonth)/12)</f>
        <v/>
      </c>
      <c r="CB6" s="53">
        <f>(1+GrowthRent)^(MAX(0,77-GrowthStartMonth)/12)</f>
        <v/>
      </c>
      <c r="CC6" s="53">
        <f>(1+GrowthRent)^(MAX(0,78-GrowthStartMonth)/12)</f>
        <v/>
      </c>
      <c r="CD6" s="53">
        <f>(1+GrowthRent)^(MAX(0,79-GrowthStartMonth)/12)</f>
        <v/>
      </c>
      <c r="CE6" s="53">
        <f>(1+GrowthRent)^(MAX(0,80-GrowthStartMonth)/12)</f>
        <v/>
      </c>
      <c r="CF6" s="53">
        <f>(1+GrowthRent)^(MAX(0,81-GrowthStartMonth)/12)</f>
        <v/>
      </c>
      <c r="CG6" s="53">
        <f>(1+GrowthRent)^(MAX(0,82-GrowthStartMonth)/12)</f>
        <v/>
      </c>
      <c r="CH6" s="53">
        <f>(1+GrowthRent)^(MAX(0,83-GrowthStartMonth)/12)</f>
        <v/>
      </c>
      <c r="CI6" s="53">
        <f>(1+GrowthRent)^(MAX(0,84-GrowthStartMonth)/12)</f>
        <v/>
      </c>
      <c r="CJ6" s="53">
        <f>(1+GrowthRent)^(MAX(0,85-GrowthStartMonth)/12)</f>
        <v/>
      </c>
      <c r="CK6" s="53">
        <f>(1+GrowthRent)^(MAX(0,86-GrowthStartMonth)/12)</f>
        <v/>
      </c>
      <c r="CL6" s="53">
        <f>(1+GrowthRent)^(MAX(0,87-GrowthStartMonth)/12)</f>
        <v/>
      </c>
      <c r="CM6" s="53">
        <f>(1+GrowthRent)^(MAX(0,88-GrowthStartMonth)/12)</f>
        <v/>
      </c>
      <c r="CN6" s="53">
        <f>(1+GrowthRent)^(MAX(0,89-GrowthStartMonth)/12)</f>
        <v/>
      </c>
      <c r="CO6" s="53">
        <f>(1+GrowthRent)^(MAX(0,90-GrowthStartMonth)/12)</f>
        <v/>
      </c>
      <c r="CP6" s="53">
        <f>(1+GrowthRent)^(MAX(0,91-GrowthStartMonth)/12)</f>
        <v/>
      </c>
      <c r="CQ6" s="53">
        <f>(1+GrowthRent)^(MAX(0,92-GrowthStartMonth)/12)</f>
        <v/>
      </c>
      <c r="CR6" s="53">
        <f>(1+GrowthRent)^(MAX(0,93-GrowthStartMonth)/12)</f>
        <v/>
      </c>
      <c r="CS6" s="53">
        <f>(1+GrowthRent)^(MAX(0,94-GrowthStartMonth)/12)</f>
        <v/>
      </c>
      <c r="CT6" s="53">
        <f>(1+GrowthRent)^(MAX(0,95-GrowthStartMonth)/12)</f>
        <v/>
      </c>
      <c r="CU6" s="53">
        <f>(1+GrowthRent)^(MAX(0,96-GrowthStartMonth)/12)</f>
        <v/>
      </c>
      <c r="CV6" s="53">
        <f>(1+GrowthRent)^(MAX(0,97-GrowthStartMonth)/12)</f>
        <v/>
      </c>
      <c r="CW6" s="53">
        <f>(1+GrowthRent)^(MAX(0,98-GrowthStartMonth)/12)</f>
        <v/>
      </c>
      <c r="CX6" s="53">
        <f>(1+GrowthRent)^(MAX(0,99-GrowthStartMonth)/12)</f>
        <v/>
      </c>
      <c r="CY6" s="53">
        <f>(1+GrowthRent)^(MAX(0,100-GrowthStartMonth)/12)</f>
        <v/>
      </c>
      <c r="CZ6" s="53">
        <f>(1+GrowthRent)^(MAX(0,101-GrowthStartMonth)/12)</f>
        <v/>
      </c>
      <c r="DA6" s="53">
        <f>(1+GrowthRent)^(MAX(0,102-GrowthStartMonth)/12)</f>
        <v/>
      </c>
      <c r="DB6" s="53">
        <f>(1+GrowthRent)^(MAX(0,103-GrowthStartMonth)/12)</f>
        <v/>
      </c>
      <c r="DC6" s="53">
        <f>(1+GrowthRent)^(MAX(0,104-GrowthStartMonth)/12)</f>
        <v/>
      </c>
      <c r="DD6" s="53">
        <f>(1+GrowthRent)^(MAX(0,105-GrowthStartMonth)/12)</f>
        <v/>
      </c>
      <c r="DE6" s="53">
        <f>(1+GrowthRent)^(MAX(0,106-GrowthStartMonth)/12)</f>
        <v/>
      </c>
      <c r="DF6" s="53">
        <f>(1+GrowthRent)^(MAX(0,107-GrowthStartMonth)/12)</f>
        <v/>
      </c>
      <c r="DG6" s="53">
        <f>(1+GrowthRent)^(MAX(0,108-GrowthStartMonth)/12)</f>
        <v/>
      </c>
      <c r="DH6" s="53">
        <f>(1+GrowthRent)^(MAX(0,109-GrowthStartMonth)/12)</f>
        <v/>
      </c>
      <c r="DI6" s="53">
        <f>(1+GrowthRent)^(MAX(0,110-GrowthStartMonth)/12)</f>
        <v/>
      </c>
      <c r="DJ6" s="53">
        <f>(1+GrowthRent)^(MAX(0,111-GrowthStartMonth)/12)</f>
        <v/>
      </c>
      <c r="DK6" s="53">
        <f>(1+GrowthRent)^(MAX(0,112-GrowthStartMonth)/12)</f>
        <v/>
      </c>
      <c r="DL6" s="53">
        <f>(1+GrowthRent)^(MAX(0,113-GrowthStartMonth)/12)</f>
        <v/>
      </c>
      <c r="DM6" s="53">
        <f>(1+GrowthRent)^(MAX(0,114-GrowthStartMonth)/12)</f>
        <v/>
      </c>
      <c r="DN6" s="53">
        <f>(1+GrowthRent)^(MAX(0,115-GrowthStartMonth)/12)</f>
        <v/>
      </c>
      <c r="DO6" s="53">
        <f>(1+GrowthRent)^(MAX(0,116-GrowthStartMonth)/12)</f>
        <v/>
      </c>
      <c r="DP6" s="53">
        <f>(1+GrowthRent)^(MAX(0,117-GrowthStartMonth)/12)</f>
        <v/>
      </c>
      <c r="DQ6" s="53">
        <f>(1+GrowthRent)^(MAX(0,118-GrowthStartMonth)/12)</f>
        <v/>
      </c>
      <c r="DR6" s="53">
        <f>(1+GrowthRent)^(MAX(0,119-GrowthStartMonth)/12)</f>
        <v/>
      </c>
      <c r="DS6" s="53">
        <f>(1+GrowthRent)^(MAX(0,120-GrowthStartMonth)/12)</f>
        <v/>
      </c>
      <c r="DT6" s="53">
        <f>(1+GrowthRent)^(MAX(0,121-GrowthStartMonth)/12)</f>
        <v/>
      </c>
      <c r="DU6" s="53">
        <f>(1+GrowthRent)^(MAX(0,122-GrowthStartMonth)/12)</f>
        <v/>
      </c>
      <c r="DV6" s="53">
        <f>(1+GrowthRent)^(MAX(0,123-GrowthStartMonth)/12)</f>
        <v/>
      </c>
      <c r="DW6" s="53">
        <f>(1+GrowthRent)^(MAX(0,124-GrowthStartMonth)/12)</f>
        <v/>
      </c>
      <c r="DX6" s="53">
        <f>(1+GrowthRent)^(MAX(0,125-GrowthStartMonth)/12)</f>
        <v/>
      </c>
      <c r="DY6" s="53">
        <f>(1+GrowthRent)^(MAX(0,126-GrowthStartMonth)/12)</f>
        <v/>
      </c>
      <c r="DZ6" s="53">
        <f>(1+GrowthRent)^(MAX(0,127-GrowthStartMonth)/12)</f>
        <v/>
      </c>
      <c r="EA6" s="53">
        <f>(1+GrowthRent)^(MAX(0,128-GrowthStartMonth)/12)</f>
        <v/>
      </c>
      <c r="EB6" s="53">
        <f>(1+GrowthRent)^(MAX(0,129-GrowthStartMonth)/12)</f>
        <v/>
      </c>
      <c r="EC6" s="53">
        <f>(1+GrowthRent)^(MAX(0,130-GrowthStartMonth)/12)</f>
        <v/>
      </c>
      <c r="ED6" s="53">
        <f>(1+GrowthRent)^(MAX(0,131-GrowthStartMonth)/12)</f>
        <v/>
      </c>
      <c r="EE6" s="53">
        <f>(1+GrowthRent)^(MAX(0,132-GrowthStartMonth)/12)</f>
        <v/>
      </c>
      <c r="EF6" s="53">
        <f>(1+GrowthRent)^(MAX(0,133-GrowthStartMonth)/12)</f>
        <v/>
      </c>
      <c r="EG6" s="53">
        <f>(1+GrowthRent)^(MAX(0,134-GrowthStartMonth)/12)</f>
        <v/>
      </c>
      <c r="EH6" s="53">
        <f>(1+GrowthRent)^(MAX(0,135-GrowthStartMonth)/12)</f>
        <v/>
      </c>
      <c r="EI6" s="53">
        <f>(1+GrowthRent)^(MAX(0,136-GrowthStartMonth)/12)</f>
        <v/>
      </c>
      <c r="EJ6" s="53">
        <f>(1+GrowthRent)^(MAX(0,137-GrowthStartMonth)/12)</f>
        <v/>
      </c>
      <c r="EK6" s="53">
        <f>(1+GrowthRent)^(MAX(0,138-GrowthStartMonth)/12)</f>
        <v/>
      </c>
      <c r="EL6" s="53">
        <f>(1+GrowthRent)^(MAX(0,139-GrowthStartMonth)/12)</f>
        <v/>
      </c>
      <c r="EM6" s="53">
        <f>(1+GrowthRent)^(MAX(0,140-GrowthStartMonth)/12)</f>
        <v/>
      </c>
      <c r="EN6" s="53">
        <f>(1+GrowthRent)^(MAX(0,141-GrowthStartMonth)/12)</f>
        <v/>
      </c>
      <c r="EO6" s="53">
        <f>(1+GrowthRent)^(MAX(0,142-GrowthStartMonth)/12)</f>
        <v/>
      </c>
      <c r="EP6" s="53">
        <f>(1+GrowthRent)^(MAX(0,143-GrowthStartMonth)/12)</f>
        <v/>
      </c>
      <c r="EQ6" s="53">
        <f>(1+GrowthRent)^(MAX(0,144-GrowthStartMonth)/12)</f>
        <v/>
      </c>
      <c r="ER6" s="53">
        <f>(1+GrowthRent)^(MAX(0,145-GrowthStartMonth)/12)</f>
        <v/>
      </c>
      <c r="ES6" s="53">
        <f>(1+GrowthRent)^(MAX(0,146-GrowthStartMonth)/12)</f>
        <v/>
      </c>
      <c r="ET6" s="53">
        <f>(1+GrowthRent)^(MAX(0,147-GrowthStartMonth)/12)</f>
        <v/>
      </c>
      <c r="EU6" s="53">
        <f>(1+GrowthRent)^(MAX(0,148-GrowthStartMonth)/12)</f>
        <v/>
      </c>
      <c r="EV6" s="53">
        <f>(1+GrowthRent)^(MAX(0,149-GrowthStartMonth)/12)</f>
        <v/>
      </c>
      <c r="EW6" s="53">
        <f>(1+GrowthRent)^(MAX(0,150-GrowthStartMonth)/12)</f>
        <v/>
      </c>
      <c r="EX6" s="53">
        <f>(1+GrowthRent)^(MAX(0,151-GrowthStartMonth)/12)</f>
        <v/>
      </c>
      <c r="EY6" s="53">
        <f>(1+GrowthRent)^(MAX(0,152-GrowthStartMonth)/12)</f>
        <v/>
      </c>
      <c r="EZ6" s="53">
        <f>(1+GrowthRent)^(MAX(0,153-GrowthStartMonth)/12)</f>
        <v/>
      </c>
      <c r="FA6" s="53">
        <f>(1+GrowthRent)^(MAX(0,154-GrowthStartMonth)/12)</f>
        <v/>
      </c>
      <c r="FB6" s="53">
        <f>(1+GrowthRent)^(MAX(0,155-GrowthStartMonth)/12)</f>
        <v/>
      </c>
      <c r="FC6" s="53">
        <f>(1+GrowthRent)^(MAX(0,156-GrowthStartMonth)/12)</f>
        <v/>
      </c>
      <c r="FD6" s="53">
        <f>(1+GrowthRent)^(MAX(0,157-GrowthStartMonth)/12)</f>
        <v/>
      </c>
      <c r="FE6" s="53">
        <f>(1+GrowthRent)^(MAX(0,158-GrowthStartMonth)/12)</f>
        <v/>
      </c>
      <c r="FF6" s="53">
        <f>(1+GrowthRent)^(MAX(0,159-GrowthStartMonth)/12)</f>
        <v/>
      </c>
      <c r="FG6" s="53">
        <f>(1+GrowthRent)^(MAX(0,160-GrowthStartMonth)/12)</f>
        <v/>
      </c>
      <c r="FH6" s="53">
        <f>(1+GrowthRent)^(MAX(0,161-GrowthStartMonth)/12)</f>
        <v/>
      </c>
      <c r="FI6" s="53">
        <f>(1+GrowthRent)^(MAX(0,162-GrowthStartMonth)/12)</f>
        <v/>
      </c>
      <c r="FJ6" s="53">
        <f>(1+GrowthRent)^(MAX(0,163-GrowthStartMonth)/12)</f>
        <v/>
      </c>
      <c r="FK6" s="53">
        <f>(1+GrowthRent)^(MAX(0,164-GrowthStartMonth)/12)</f>
        <v/>
      </c>
      <c r="FL6" s="53">
        <f>(1+GrowthRent)^(MAX(0,165-GrowthStartMonth)/12)</f>
        <v/>
      </c>
      <c r="FM6" s="53">
        <f>(1+GrowthRent)^(MAX(0,166-GrowthStartMonth)/12)</f>
        <v/>
      </c>
      <c r="FN6" s="53">
        <f>(1+GrowthRent)^(MAX(0,167-GrowthStartMonth)/12)</f>
        <v/>
      </c>
      <c r="FO6" s="53">
        <f>(1+GrowthRent)^(MAX(0,168-GrowthStartMonth)/12)</f>
        <v/>
      </c>
      <c r="FP6" s="53">
        <f>(1+GrowthRent)^(MAX(0,169-GrowthStartMonth)/12)</f>
        <v/>
      </c>
      <c r="FQ6" s="53">
        <f>(1+GrowthRent)^(MAX(0,170-GrowthStartMonth)/12)</f>
        <v/>
      </c>
      <c r="FR6" s="53">
        <f>(1+GrowthRent)^(MAX(0,171-GrowthStartMonth)/12)</f>
        <v/>
      </c>
      <c r="FS6" s="53">
        <f>(1+GrowthRent)^(MAX(0,172-GrowthStartMonth)/12)</f>
        <v/>
      </c>
      <c r="FT6" s="53">
        <f>(1+GrowthRent)^(MAX(0,173-GrowthStartMonth)/12)</f>
        <v/>
      </c>
      <c r="FU6" s="53">
        <f>(1+GrowthRent)^(MAX(0,174-GrowthStartMonth)/12)</f>
        <v/>
      </c>
      <c r="FV6" s="53">
        <f>(1+GrowthRent)^(MAX(0,175-GrowthStartMonth)/12)</f>
        <v/>
      </c>
      <c r="FW6" s="53">
        <f>(1+GrowthRent)^(MAX(0,176-GrowthStartMonth)/12)</f>
        <v/>
      </c>
      <c r="FX6" s="53">
        <f>(1+GrowthRent)^(MAX(0,177-GrowthStartMonth)/12)</f>
        <v/>
      </c>
      <c r="FY6" s="53">
        <f>(1+GrowthRent)^(MAX(0,178-GrowthStartMonth)/12)</f>
        <v/>
      </c>
      <c r="FZ6" s="53">
        <f>(1+GrowthRent)^(MAX(0,179-GrowthStartMonth)/12)</f>
        <v/>
      </c>
      <c r="GA6" s="53">
        <f>(1+GrowthRent)^(MAX(0,180-GrowthStartMonth)/12)</f>
        <v/>
      </c>
      <c r="GB6" s="53">
        <f>(1+GrowthRent)^(MAX(0,181-GrowthStartMonth)/12)</f>
        <v/>
      </c>
      <c r="GC6" s="53">
        <f>(1+GrowthRent)^(MAX(0,182-GrowthStartMonth)/12)</f>
        <v/>
      </c>
      <c r="GD6" s="53">
        <f>(1+GrowthRent)^(MAX(0,183-GrowthStartMonth)/12)</f>
        <v/>
      </c>
      <c r="GE6" s="53">
        <f>(1+GrowthRent)^(MAX(0,184-GrowthStartMonth)/12)</f>
        <v/>
      </c>
      <c r="GF6" s="53">
        <f>(1+GrowthRent)^(MAX(0,185-GrowthStartMonth)/12)</f>
        <v/>
      </c>
      <c r="GG6" s="53">
        <f>(1+GrowthRent)^(MAX(0,186-GrowthStartMonth)/12)</f>
        <v/>
      </c>
      <c r="GH6" s="53">
        <f>(1+GrowthRent)^(MAX(0,187-GrowthStartMonth)/12)</f>
        <v/>
      </c>
      <c r="GI6" s="53">
        <f>(1+GrowthRent)^(MAX(0,188-GrowthStartMonth)/12)</f>
        <v/>
      </c>
      <c r="GJ6" s="53">
        <f>(1+GrowthRent)^(MAX(0,189-GrowthStartMonth)/12)</f>
        <v/>
      </c>
      <c r="GK6" s="53">
        <f>(1+GrowthRent)^(MAX(0,190-GrowthStartMonth)/12)</f>
        <v/>
      </c>
      <c r="GL6" s="53">
        <f>(1+GrowthRent)^(MAX(0,191-GrowthStartMonth)/12)</f>
        <v/>
      </c>
      <c r="GM6" s="53">
        <f>(1+GrowthRent)^(MAX(0,192-GrowthStartMonth)/12)</f>
        <v/>
      </c>
      <c r="GN6" s="53">
        <f>(1+GrowthRent)^(MAX(0,193-GrowthStartMonth)/12)</f>
        <v/>
      </c>
      <c r="GO6" s="53">
        <f>(1+GrowthRent)^(MAX(0,194-GrowthStartMonth)/12)</f>
        <v/>
      </c>
      <c r="GP6" s="53">
        <f>(1+GrowthRent)^(MAX(0,195-GrowthStartMonth)/12)</f>
        <v/>
      </c>
      <c r="GQ6" s="53">
        <f>(1+GrowthRent)^(MAX(0,196-GrowthStartMonth)/12)</f>
        <v/>
      </c>
      <c r="GR6" s="53">
        <f>(1+GrowthRent)^(MAX(0,197-GrowthStartMonth)/12)</f>
        <v/>
      </c>
      <c r="GS6" s="53">
        <f>(1+GrowthRent)^(MAX(0,198-GrowthStartMonth)/12)</f>
        <v/>
      </c>
      <c r="GT6" s="53">
        <f>(1+GrowthRent)^(MAX(0,199-GrowthStartMonth)/12)</f>
        <v/>
      </c>
      <c r="GU6" s="53">
        <f>(1+GrowthRent)^(MAX(0,200-GrowthStartMonth)/12)</f>
        <v/>
      </c>
      <c r="GV6" s="53">
        <f>(1+GrowthRent)^(MAX(0,201-GrowthStartMonth)/12)</f>
        <v/>
      </c>
      <c r="GW6" s="53">
        <f>(1+GrowthRent)^(MAX(0,202-GrowthStartMonth)/12)</f>
        <v/>
      </c>
      <c r="GX6" s="53">
        <f>(1+GrowthRent)^(MAX(0,203-GrowthStartMonth)/12)</f>
        <v/>
      </c>
      <c r="GY6" s="53">
        <f>(1+GrowthRent)^(MAX(0,204-GrowthStartMonth)/12)</f>
        <v/>
      </c>
      <c r="GZ6" s="53">
        <f>(1+GrowthRent)^(MAX(0,205-GrowthStartMonth)/12)</f>
        <v/>
      </c>
      <c r="HA6" s="53">
        <f>(1+GrowthRent)^(MAX(0,206-GrowthStartMonth)/12)</f>
        <v/>
      </c>
      <c r="HB6" s="53">
        <f>(1+GrowthRent)^(MAX(0,207-GrowthStartMonth)/12)</f>
        <v/>
      </c>
      <c r="HC6" s="53">
        <f>(1+GrowthRent)^(MAX(0,208-GrowthStartMonth)/12)</f>
        <v/>
      </c>
      <c r="HD6" s="53">
        <f>(1+GrowthRent)^(MAX(0,209-GrowthStartMonth)/12)</f>
        <v/>
      </c>
      <c r="HE6" s="53">
        <f>(1+GrowthRent)^(MAX(0,210-GrowthStartMonth)/12)</f>
        <v/>
      </c>
      <c r="HF6" s="53">
        <f>(1+GrowthRent)^(MAX(0,211-GrowthStartMonth)/12)</f>
        <v/>
      </c>
      <c r="HG6" s="53">
        <f>(1+GrowthRent)^(MAX(0,212-GrowthStartMonth)/12)</f>
        <v/>
      </c>
      <c r="HH6" s="53">
        <f>(1+GrowthRent)^(MAX(0,213-GrowthStartMonth)/12)</f>
        <v/>
      </c>
      <c r="HI6" s="53">
        <f>(1+GrowthRent)^(MAX(0,214-GrowthStartMonth)/12)</f>
        <v/>
      </c>
      <c r="HJ6" s="53">
        <f>(1+GrowthRent)^(MAX(0,215-GrowthStartMonth)/12)</f>
        <v/>
      </c>
      <c r="HK6" s="53">
        <f>(1+GrowthRent)^(MAX(0,216-GrowthStartMonth)/12)</f>
        <v/>
      </c>
      <c r="HL6" s="53">
        <f>(1+GrowthRent)^(MAX(0,217-GrowthStartMonth)/12)</f>
        <v/>
      </c>
      <c r="HM6" s="53">
        <f>(1+GrowthRent)^(MAX(0,218-GrowthStartMonth)/12)</f>
        <v/>
      </c>
      <c r="HN6" s="53">
        <f>(1+GrowthRent)^(MAX(0,219-GrowthStartMonth)/12)</f>
        <v/>
      </c>
      <c r="HO6" s="53">
        <f>(1+GrowthRent)^(MAX(0,220-GrowthStartMonth)/12)</f>
        <v/>
      </c>
      <c r="HP6" s="53">
        <f>(1+GrowthRent)^(MAX(0,221-GrowthStartMonth)/12)</f>
        <v/>
      </c>
      <c r="HQ6" s="53">
        <f>(1+GrowthRent)^(MAX(0,222-GrowthStartMonth)/12)</f>
        <v/>
      </c>
      <c r="HR6" s="53">
        <f>(1+GrowthRent)^(MAX(0,223-GrowthStartMonth)/12)</f>
        <v/>
      </c>
      <c r="HS6" s="53">
        <f>(1+GrowthRent)^(MAX(0,224-GrowthStartMonth)/12)</f>
        <v/>
      </c>
      <c r="HT6" s="53">
        <f>(1+GrowthRent)^(MAX(0,225-GrowthStartMonth)/12)</f>
        <v/>
      </c>
      <c r="HU6" s="53">
        <f>(1+GrowthRent)^(MAX(0,226-GrowthStartMonth)/12)</f>
        <v/>
      </c>
      <c r="HV6" s="53">
        <f>(1+GrowthRent)^(MAX(0,227-GrowthStartMonth)/12)</f>
        <v/>
      </c>
      <c r="HW6" s="53">
        <f>(1+GrowthRent)^(MAX(0,228-GrowthStartMonth)/12)</f>
        <v/>
      </c>
      <c r="HX6" s="53">
        <f>(1+GrowthRent)^(MAX(0,229-GrowthStartMonth)/12)</f>
        <v/>
      </c>
      <c r="HY6" s="53">
        <f>(1+GrowthRent)^(MAX(0,230-GrowthStartMonth)/12)</f>
        <v/>
      </c>
      <c r="HZ6" s="53">
        <f>(1+GrowthRent)^(MAX(0,231-GrowthStartMonth)/12)</f>
        <v/>
      </c>
      <c r="IA6" s="53">
        <f>(1+GrowthRent)^(MAX(0,232-GrowthStartMonth)/12)</f>
        <v/>
      </c>
      <c r="IB6" s="53">
        <f>(1+GrowthRent)^(MAX(0,233-GrowthStartMonth)/12)</f>
        <v/>
      </c>
      <c r="IC6" s="53">
        <f>(1+GrowthRent)^(MAX(0,234-GrowthStartMonth)/12)</f>
        <v/>
      </c>
      <c r="ID6" s="53">
        <f>(1+GrowthRent)^(MAX(0,235-GrowthStartMonth)/12)</f>
        <v/>
      </c>
      <c r="IE6" s="53">
        <f>(1+GrowthRent)^(MAX(0,236-GrowthStartMonth)/12)</f>
        <v/>
      </c>
      <c r="IF6" s="53">
        <f>(1+GrowthRent)^(MAX(0,237-GrowthStartMonth)/12)</f>
        <v/>
      </c>
      <c r="IG6" s="53">
        <f>(1+GrowthRent)^(MAX(0,238-GrowthStartMonth)/12)</f>
        <v/>
      </c>
      <c r="IH6" s="53">
        <f>(1+GrowthRent)^(MAX(0,239-GrowthStartMonth)/12)</f>
        <v/>
      </c>
      <c r="II6" s="53">
        <f>(1+GrowthRent)^(MAX(0,240-GrowthStartMonth)/12)</f>
        <v/>
      </c>
      <c r="IJ6" s="53">
        <f>(1+GrowthRent)^(MAX(0,241-GrowthStartMonth)/12)</f>
        <v/>
      </c>
      <c r="IK6" s="53">
        <f>(1+GrowthRent)^(MAX(0,242-GrowthStartMonth)/12)</f>
        <v/>
      </c>
      <c r="IL6" s="53">
        <f>(1+GrowthRent)^(MAX(0,243-GrowthStartMonth)/12)</f>
        <v/>
      </c>
      <c r="IM6" s="53">
        <f>(1+GrowthRent)^(MAX(0,244-GrowthStartMonth)/12)</f>
        <v/>
      </c>
      <c r="IN6" s="53">
        <f>(1+GrowthRent)^(MAX(0,245-GrowthStartMonth)/12)</f>
        <v/>
      </c>
      <c r="IO6" s="53">
        <f>(1+GrowthRent)^(MAX(0,246-GrowthStartMonth)/12)</f>
        <v/>
      </c>
      <c r="IP6" s="53">
        <f>(1+GrowthRent)^(MAX(0,247-GrowthStartMonth)/12)</f>
        <v/>
      </c>
      <c r="IQ6" s="53">
        <f>(1+GrowthRent)^(MAX(0,248-GrowthStartMonth)/12)</f>
        <v/>
      </c>
      <c r="IR6" s="53">
        <f>(1+GrowthRent)^(MAX(0,249-GrowthStartMonth)/12)</f>
        <v/>
      </c>
      <c r="IS6" s="53">
        <f>(1+GrowthRent)^(MAX(0,250-GrowthStartMonth)/12)</f>
        <v/>
      </c>
      <c r="IT6" s="53">
        <f>(1+GrowthRent)^(MAX(0,251-GrowthStartMonth)/12)</f>
        <v/>
      </c>
      <c r="IU6" s="53">
        <f>(1+GrowthRent)^(MAX(0,252-GrowthStartMonth)/12)</f>
        <v/>
      </c>
      <c r="IV6" s="53">
        <f>(1+GrowthRent)^(MAX(0,253-GrowthStartMonth)/12)</f>
        <v/>
      </c>
      <c r="IW6" s="53">
        <f>(1+GrowthRent)^(MAX(0,254-GrowthStartMonth)/12)</f>
        <v/>
      </c>
      <c r="IX6" s="53">
        <f>(1+GrowthRent)^(MAX(0,255-GrowthStartMonth)/12)</f>
        <v/>
      </c>
      <c r="IY6" s="53">
        <f>(1+GrowthRent)^(MAX(0,256-GrowthStartMonth)/12)</f>
        <v/>
      </c>
      <c r="IZ6" s="53">
        <f>(1+GrowthRent)^(MAX(0,257-GrowthStartMonth)/12)</f>
        <v/>
      </c>
      <c r="JA6" s="53">
        <f>(1+GrowthRent)^(MAX(0,258-GrowthStartMonth)/12)</f>
        <v/>
      </c>
      <c r="JB6" s="53">
        <f>(1+GrowthRent)^(MAX(0,259-GrowthStartMonth)/12)</f>
        <v/>
      </c>
      <c r="JC6" s="53">
        <f>(1+GrowthRent)^(MAX(0,260-GrowthStartMonth)/12)</f>
        <v/>
      </c>
      <c r="JD6" s="53">
        <f>(1+GrowthRent)^(MAX(0,261-GrowthStartMonth)/12)</f>
        <v/>
      </c>
      <c r="JE6" s="53">
        <f>(1+GrowthRent)^(MAX(0,262-GrowthStartMonth)/12)</f>
        <v/>
      </c>
      <c r="JF6" s="53">
        <f>(1+GrowthRent)^(MAX(0,263-GrowthStartMonth)/12)</f>
        <v/>
      </c>
      <c r="JG6" s="53">
        <f>(1+GrowthRent)^(MAX(0,264-GrowthStartMonth)/12)</f>
        <v/>
      </c>
      <c r="JH6" s="53">
        <f>(1+GrowthRent)^(MAX(0,265-GrowthStartMonth)/12)</f>
        <v/>
      </c>
      <c r="JI6" s="53">
        <f>(1+GrowthRent)^(MAX(0,266-GrowthStartMonth)/12)</f>
        <v/>
      </c>
      <c r="JJ6" s="53">
        <f>(1+GrowthRent)^(MAX(0,267-GrowthStartMonth)/12)</f>
        <v/>
      </c>
      <c r="JK6" s="53">
        <f>(1+GrowthRent)^(MAX(0,268-GrowthStartMonth)/12)</f>
        <v/>
      </c>
      <c r="JL6" s="53">
        <f>(1+GrowthRent)^(MAX(0,269-GrowthStartMonth)/12)</f>
        <v/>
      </c>
      <c r="JM6" s="53">
        <f>(1+GrowthRent)^(MAX(0,270-GrowthStartMonth)/12)</f>
        <v/>
      </c>
      <c r="JN6" s="53">
        <f>(1+GrowthRent)^(MAX(0,271-GrowthStartMonth)/12)</f>
        <v/>
      </c>
      <c r="JO6" s="53">
        <f>(1+GrowthRent)^(MAX(0,272-GrowthStartMonth)/12)</f>
        <v/>
      </c>
      <c r="JP6" s="53">
        <f>(1+GrowthRent)^(MAX(0,273-GrowthStartMonth)/12)</f>
        <v/>
      </c>
      <c r="JQ6" s="53">
        <f>(1+GrowthRent)^(MAX(0,274-GrowthStartMonth)/12)</f>
        <v/>
      </c>
      <c r="JR6" s="53">
        <f>(1+GrowthRent)^(MAX(0,275-GrowthStartMonth)/12)</f>
        <v/>
      </c>
      <c r="JS6" s="53">
        <f>(1+GrowthRent)^(MAX(0,276-GrowthStartMonth)/12)</f>
        <v/>
      </c>
      <c r="JT6" s="53">
        <f>(1+GrowthRent)^(MAX(0,277-GrowthStartMonth)/12)</f>
        <v/>
      </c>
      <c r="JU6" s="53">
        <f>(1+GrowthRent)^(MAX(0,278-GrowthStartMonth)/12)</f>
        <v/>
      </c>
      <c r="JV6" s="53">
        <f>(1+GrowthRent)^(MAX(0,279-GrowthStartMonth)/12)</f>
        <v/>
      </c>
      <c r="JW6" s="53">
        <f>(1+GrowthRent)^(MAX(0,280-GrowthStartMonth)/12)</f>
        <v/>
      </c>
      <c r="JX6" s="53">
        <f>(1+GrowthRent)^(MAX(0,281-GrowthStartMonth)/12)</f>
        <v/>
      </c>
      <c r="JY6" s="53">
        <f>(1+GrowthRent)^(MAX(0,282-GrowthStartMonth)/12)</f>
        <v/>
      </c>
      <c r="JZ6" s="53">
        <f>(1+GrowthRent)^(MAX(0,283-GrowthStartMonth)/12)</f>
        <v/>
      </c>
      <c r="KA6" s="53">
        <f>(1+GrowthRent)^(MAX(0,284-GrowthStartMonth)/12)</f>
        <v/>
      </c>
      <c r="KB6" s="53">
        <f>(1+GrowthRent)^(MAX(0,285-GrowthStartMonth)/12)</f>
        <v/>
      </c>
      <c r="KC6" s="53">
        <f>(1+GrowthRent)^(MAX(0,286-GrowthStartMonth)/12)</f>
        <v/>
      </c>
      <c r="KD6" s="53">
        <f>(1+GrowthRent)^(MAX(0,287-GrowthStartMonth)/12)</f>
        <v/>
      </c>
      <c r="KE6" s="53">
        <f>(1+GrowthRent)^(MAX(0,288-GrowthStartMonth)/12)</f>
        <v/>
      </c>
      <c r="KF6" s="53">
        <f>(1+GrowthRent)^(MAX(0,289-GrowthStartMonth)/12)</f>
        <v/>
      </c>
      <c r="KG6" s="53">
        <f>(1+GrowthRent)^(MAX(0,290-GrowthStartMonth)/12)</f>
        <v/>
      </c>
      <c r="KH6" s="53">
        <f>(1+GrowthRent)^(MAX(0,291-GrowthStartMonth)/12)</f>
        <v/>
      </c>
      <c r="KI6" s="53">
        <f>(1+GrowthRent)^(MAX(0,292-GrowthStartMonth)/12)</f>
        <v/>
      </c>
      <c r="KJ6" s="53">
        <f>(1+GrowthRent)^(MAX(0,293-GrowthStartMonth)/12)</f>
        <v/>
      </c>
      <c r="KK6" s="53">
        <f>(1+GrowthRent)^(MAX(0,294-GrowthStartMonth)/12)</f>
        <v/>
      </c>
      <c r="KL6" s="53">
        <f>(1+GrowthRent)^(MAX(0,295-GrowthStartMonth)/12)</f>
        <v/>
      </c>
      <c r="KM6" s="53">
        <f>(1+GrowthRent)^(MAX(0,296-GrowthStartMonth)/12)</f>
        <v/>
      </c>
      <c r="KN6" s="53">
        <f>(1+GrowthRent)^(MAX(0,297-GrowthStartMonth)/12)</f>
        <v/>
      </c>
      <c r="KO6" s="53">
        <f>(1+GrowthRent)^(MAX(0,298-GrowthStartMonth)/12)</f>
        <v/>
      </c>
      <c r="KP6" s="53">
        <f>(1+GrowthRent)^(MAX(0,299-GrowthStartMonth)/12)</f>
        <v/>
      </c>
      <c r="KQ6" s="53">
        <f>(1+GrowthRent)^(MAX(0,300-GrowthStartMonth)/12)</f>
        <v/>
      </c>
      <c r="KR6" s="53">
        <f>(1+GrowthRent)^(MAX(0,301-GrowthStartMonth)/12)</f>
        <v/>
      </c>
      <c r="KS6" s="53">
        <f>(1+GrowthRent)^(MAX(0,302-GrowthStartMonth)/12)</f>
        <v/>
      </c>
      <c r="KT6" s="53">
        <f>(1+GrowthRent)^(MAX(0,303-GrowthStartMonth)/12)</f>
        <v/>
      </c>
      <c r="KU6" s="53">
        <f>(1+GrowthRent)^(MAX(0,304-GrowthStartMonth)/12)</f>
        <v/>
      </c>
      <c r="KV6" s="53">
        <f>(1+GrowthRent)^(MAX(0,305-GrowthStartMonth)/12)</f>
        <v/>
      </c>
      <c r="KW6" s="53">
        <f>(1+GrowthRent)^(MAX(0,306-GrowthStartMonth)/12)</f>
        <v/>
      </c>
      <c r="KX6" s="53">
        <f>(1+GrowthRent)^(MAX(0,307-GrowthStartMonth)/12)</f>
        <v/>
      </c>
      <c r="KY6" s="53">
        <f>(1+GrowthRent)^(MAX(0,308-GrowthStartMonth)/12)</f>
        <v/>
      </c>
      <c r="KZ6" s="53">
        <f>(1+GrowthRent)^(MAX(0,309-GrowthStartMonth)/12)</f>
        <v/>
      </c>
      <c r="LA6" s="53">
        <f>(1+GrowthRent)^(MAX(0,310-GrowthStartMonth)/12)</f>
        <v/>
      </c>
      <c r="LB6" s="53">
        <f>(1+GrowthRent)^(MAX(0,311-GrowthStartMonth)/12)</f>
        <v/>
      </c>
      <c r="LC6" s="53">
        <f>(1+GrowthRent)^(MAX(0,312-GrowthStartMonth)/12)</f>
        <v/>
      </c>
      <c r="LD6" s="53">
        <f>(1+GrowthRent)^(MAX(0,313-GrowthStartMonth)/12)</f>
        <v/>
      </c>
      <c r="LE6" s="53">
        <f>(1+GrowthRent)^(MAX(0,314-GrowthStartMonth)/12)</f>
        <v/>
      </c>
      <c r="LF6" s="53">
        <f>(1+GrowthRent)^(MAX(0,315-GrowthStartMonth)/12)</f>
        <v/>
      </c>
      <c r="LG6" s="53">
        <f>(1+GrowthRent)^(MAX(0,316-GrowthStartMonth)/12)</f>
        <v/>
      </c>
      <c r="LH6" s="53">
        <f>(1+GrowthRent)^(MAX(0,317-GrowthStartMonth)/12)</f>
        <v/>
      </c>
      <c r="LI6" s="53">
        <f>(1+GrowthRent)^(MAX(0,318-GrowthStartMonth)/12)</f>
        <v/>
      </c>
      <c r="LJ6" s="53">
        <f>(1+GrowthRent)^(MAX(0,319-GrowthStartMonth)/12)</f>
        <v/>
      </c>
      <c r="LK6" s="53">
        <f>(1+GrowthRent)^(MAX(0,320-GrowthStartMonth)/12)</f>
        <v/>
      </c>
      <c r="LL6" s="53">
        <f>(1+GrowthRent)^(MAX(0,321-GrowthStartMonth)/12)</f>
        <v/>
      </c>
      <c r="LM6" s="53">
        <f>(1+GrowthRent)^(MAX(0,322-GrowthStartMonth)/12)</f>
        <v/>
      </c>
      <c r="LN6" s="53">
        <f>(1+GrowthRent)^(MAX(0,323-GrowthStartMonth)/12)</f>
        <v/>
      </c>
      <c r="LO6" s="53">
        <f>(1+GrowthRent)^(MAX(0,324-GrowthStartMonth)/12)</f>
        <v/>
      </c>
      <c r="LP6" s="53">
        <f>(1+GrowthRent)^(MAX(0,325-GrowthStartMonth)/12)</f>
        <v/>
      </c>
      <c r="LQ6" s="53">
        <f>(1+GrowthRent)^(MAX(0,326-GrowthStartMonth)/12)</f>
        <v/>
      </c>
      <c r="LR6" s="53">
        <f>(1+GrowthRent)^(MAX(0,327-GrowthStartMonth)/12)</f>
        <v/>
      </c>
      <c r="LS6" s="53">
        <f>(1+GrowthRent)^(MAX(0,328-GrowthStartMonth)/12)</f>
        <v/>
      </c>
      <c r="LT6" s="53">
        <f>(1+GrowthRent)^(MAX(0,329-GrowthStartMonth)/12)</f>
        <v/>
      </c>
      <c r="LU6" s="53">
        <f>(1+GrowthRent)^(MAX(0,330-GrowthStartMonth)/12)</f>
        <v/>
      </c>
      <c r="LV6" s="53">
        <f>(1+GrowthRent)^(MAX(0,331-GrowthStartMonth)/12)</f>
        <v/>
      </c>
      <c r="LW6" s="53">
        <f>(1+GrowthRent)^(MAX(0,332-GrowthStartMonth)/12)</f>
        <v/>
      </c>
      <c r="LX6" s="53">
        <f>(1+GrowthRent)^(MAX(0,333-GrowthStartMonth)/12)</f>
        <v/>
      </c>
      <c r="LY6" s="53">
        <f>(1+GrowthRent)^(MAX(0,334-GrowthStartMonth)/12)</f>
        <v/>
      </c>
      <c r="LZ6" s="53">
        <f>(1+GrowthRent)^(MAX(0,335-GrowthStartMonth)/12)</f>
        <v/>
      </c>
      <c r="MA6" s="53">
        <f>(1+GrowthRent)^(MAX(0,336-GrowthStartMonth)/12)</f>
        <v/>
      </c>
      <c r="MB6" s="53">
        <f>(1+GrowthRent)^(MAX(0,337-GrowthStartMonth)/12)</f>
        <v/>
      </c>
      <c r="MC6" s="53">
        <f>(1+GrowthRent)^(MAX(0,338-GrowthStartMonth)/12)</f>
        <v/>
      </c>
      <c r="MD6" s="53">
        <f>(1+GrowthRent)^(MAX(0,339-GrowthStartMonth)/12)</f>
        <v/>
      </c>
      <c r="ME6" s="53">
        <f>(1+GrowthRent)^(MAX(0,340-GrowthStartMonth)/12)</f>
        <v/>
      </c>
      <c r="MF6" s="53">
        <f>(1+GrowthRent)^(MAX(0,341-GrowthStartMonth)/12)</f>
        <v/>
      </c>
      <c r="MG6" s="53">
        <f>(1+GrowthRent)^(MAX(0,342-GrowthStartMonth)/12)</f>
        <v/>
      </c>
      <c r="MH6" s="53">
        <f>(1+GrowthRent)^(MAX(0,343-GrowthStartMonth)/12)</f>
        <v/>
      </c>
      <c r="MI6" s="53">
        <f>(1+GrowthRent)^(MAX(0,344-GrowthStartMonth)/12)</f>
        <v/>
      </c>
      <c r="MJ6" s="53">
        <f>(1+GrowthRent)^(MAX(0,345-GrowthStartMonth)/12)</f>
        <v/>
      </c>
      <c r="MK6" s="53">
        <f>(1+GrowthRent)^(MAX(0,346-GrowthStartMonth)/12)</f>
        <v/>
      </c>
      <c r="ML6" s="53">
        <f>(1+GrowthRent)^(MAX(0,347-GrowthStartMonth)/12)</f>
        <v/>
      </c>
      <c r="MM6" s="53">
        <f>(1+GrowthRent)^(MAX(0,348-GrowthStartMonth)/12)</f>
        <v/>
      </c>
      <c r="MN6" s="53">
        <f>(1+GrowthRent)^(MAX(0,349-GrowthStartMonth)/12)</f>
        <v/>
      </c>
      <c r="MO6" s="53">
        <f>(1+GrowthRent)^(MAX(0,350-GrowthStartMonth)/12)</f>
        <v/>
      </c>
      <c r="MP6" s="53">
        <f>(1+GrowthRent)^(MAX(0,351-GrowthStartMonth)/12)</f>
        <v/>
      </c>
      <c r="MQ6" s="53">
        <f>(1+GrowthRent)^(MAX(0,352-GrowthStartMonth)/12)</f>
        <v/>
      </c>
      <c r="MR6" s="53">
        <f>(1+GrowthRent)^(MAX(0,353-GrowthStartMonth)/12)</f>
        <v/>
      </c>
      <c r="MS6" s="53">
        <f>(1+GrowthRent)^(MAX(0,354-GrowthStartMonth)/12)</f>
        <v/>
      </c>
      <c r="MT6" s="53">
        <f>(1+GrowthRent)^(MAX(0,355-GrowthStartMonth)/12)</f>
        <v/>
      </c>
      <c r="MU6" s="53">
        <f>(1+GrowthRent)^(MAX(0,356-GrowthStartMonth)/12)</f>
        <v/>
      </c>
      <c r="MV6" s="53">
        <f>(1+GrowthRent)^(MAX(0,357-GrowthStartMonth)/12)</f>
        <v/>
      </c>
      <c r="MW6" s="53">
        <f>(1+GrowthRent)^(MAX(0,358-GrowthStartMonth)/12)</f>
        <v/>
      </c>
      <c r="MX6" s="53">
        <f>(1+GrowthRent)^(MAX(0,359-GrowthStartMonth)/12)</f>
        <v/>
      </c>
      <c r="MY6" s="53">
        <f>(1+GrowthRent)^(MAX(0,360-GrowthStartMonth)/12)</f>
        <v/>
      </c>
      <c r="MZ6" s="53">
        <f>(1+GrowthRent)^(MAX(0,361-GrowthStartMonth)/12)</f>
        <v/>
      </c>
      <c r="NA6" s="53">
        <f>(1+GrowthRent)^(MAX(0,362-GrowthStartMonth)/12)</f>
        <v/>
      </c>
      <c r="NB6" s="53">
        <f>(1+GrowthRent)^(MAX(0,363-GrowthStartMonth)/12)</f>
        <v/>
      </c>
      <c r="NC6" s="53">
        <f>(1+GrowthRent)^(MAX(0,364-GrowthStartMonth)/12)</f>
        <v/>
      </c>
      <c r="ND6" s="53">
        <f>(1+GrowthRent)^(MAX(0,365-GrowthStartMonth)/12)</f>
        <v/>
      </c>
      <c r="NE6" s="53">
        <f>(1+GrowthRent)^(MAX(0,366-GrowthStartMonth)/12)</f>
        <v/>
      </c>
      <c r="NF6" s="53">
        <f>(1+GrowthRent)^(MAX(0,367-GrowthStartMonth)/12)</f>
        <v/>
      </c>
      <c r="NG6" s="53">
        <f>(1+GrowthRent)^(MAX(0,368-GrowthStartMonth)/12)</f>
        <v/>
      </c>
      <c r="NH6" s="53">
        <f>(1+GrowthRent)^(MAX(0,369-GrowthStartMonth)/12)</f>
        <v/>
      </c>
      <c r="NI6" s="53">
        <f>(1+GrowthRent)^(MAX(0,370-GrowthStartMonth)/12)</f>
        <v/>
      </c>
      <c r="NJ6" s="53">
        <f>(1+GrowthRent)^(MAX(0,371-GrowthStartMonth)/12)</f>
        <v/>
      </c>
      <c r="NK6" s="53">
        <f>(1+GrowthRent)^(MAX(0,372-GrowthStartMonth)/12)</f>
        <v/>
      </c>
    </row>
    <row r="7">
      <c r="A7" s="5" t="inlineStr">
        <is>
          <t>Growth Factor — Low-Income Rent</t>
        </is>
      </c>
      <c r="C7" s="52" t="n"/>
      <c r="D7" s="53">
        <f>(1+GrowthLowIncRent)^(MAX(0,1-GrowthStartMonth)/12)</f>
        <v/>
      </c>
      <c r="E7" s="53">
        <f>(1+GrowthLowIncRent)^(MAX(0,2-GrowthStartMonth)/12)</f>
        <v/>
      </c>
      <c r="F7" s="53">
        <f>(1+GrowthLowIncRent)^(MAX(0,3-GrowthStartMonth)/12)</f>
        <v/>
      </c>
      <c r="G7" s="53">
        <f>(1+GrowthLowIncRent)^(MAX(0,4-GrowthStartMonth)/12)</f>
        <v/>
      </c>
      <c r="H7" s="53">
        <f>(1+GrowthLowIncRent)^(MAX(0,5-GrowthStartMonth)/12)</f>
        <v/>
      </c>
      <c r="I7" s="53">
        <f>(1+GrowthLowIncRent)^(MAX(0,6-GrowthStartMonth)/12)</f>
        <v/>
      </c>
      <c r="J7" s="53">
        <f>(1+GrowthLowIncRent)^(MAX(0,7-GrowthStartMonth)/12)</f>
        <v/>
      </c>
      <c r="K7" s="53">
        <f>(1+GrowthLowIncRent)^(MAX(0,8-GrowthStartMonth)/12)</f>
        <v/>
      </c>
      <c r="L7" s="53">
        <f>(1+GrowthLowIncRent)^(MAX(0,9-GrowthStartMonth)/12)</f>
        <v/>
      </c>
      <c r="M7" s="53">
        <f>(1+GrowthLowIncRent)^(MAX(0,10-GrowthStartMonth)/12)</f>
        <v/>
      </c>
      <c r="N7" s="53">
        <f>(1+GrowthLowIncRent)^(MAX(0,11-GrowthStartMonth)/12)</f>
        <v/>
      </c>
      <c r="O7" s="53">
        <f>(1+GrowthLowIncRent)^(MAX(0,12-GrowthStartMonth)/12)</f>
        <v/>
      </c>
      <c r="P7" s="53">
        <f>(1+GrowthLowIncRent)^(MAX(0,13-GrowthStartMonth)/12)</f>
        <v/>
      </c>
      <c r="Q7" s="53">
        <f>(1+GrowthLowIncRent)^(MAX(0,14-GrowthStartMonth)/12)</f>
        <v/>
      </c>
      <c r="R7" s="53">
        <f>(1+GrowthLowIncRent)^(MAX(0,15-GrowthStartMonth)/12)</f>
        <v/>
      </c>
      <c r="S7" s="53">
        <f>(1+GrowthLowIncRent)^(MAX(0,16-GrowthStartMonth)/12)</f>
        <v/>
      </c>
      <c r="T7" s="53">
        <f>(1+GrowthLowIncRent)^(MAX(0,17-GrowthStartMonth)/12)</f>
        <v/>
      </c>
      <c r="U7" s="53">
        <f>(1+GrowthLowIncRent)^(MAX(0,18-GrowthStartMonth)/12)</f>
        <v/>
      </c>
      <c r="V7" s="53">
        <f>(1+GrowthLowIncRent)^(MAX(0,19-GrowthStartMonth)/12)</f>
        <v/>
      </c>
      <c r="W7" s="53">
        <f>(1+GrowthLowIncRent)^(MAX(0,20-GrowthStartMonth)/12)</f>
        <v/>
      </c>
      <c r="X7" s="53">
        <f>(1+GrowthLowIncRent)^(MAX(0,21-GrowthStartMonth)/12)</f>
        <v/>
      </c>
      <c r="Y7" s="53">
        <f>(1+GrowthLowIncRent)^(MAX(0,22-GrowthStartMonth)/12)</f>
        <v/>
      </c>
      <c r="Z7" s="53">
        <f>(1+GrowthLowIncRent)^(MAX(0,23-GrowthStartMonth)/12)</f>
        <v/>
      </c>
      <c r="AA7" s="53">
        <f>(1+GrowthLowIncRent)^(MAX(0,24-GrowthStartMonth)/12)</f>
        <v/>
      </c>
      <c r="AB7" s="53">
        <f>(1+GrowthLowIncRent)^(MAX(0,25-GrowthStartMonth)/12)</f>
        <v/>
      </c>
      <c r="AC7" s="53">
        <f>(1+GrowthLowIncRent)^(MAX(0,26-GrowthStartMonth)/12)</f>
        <v/>
      </c>
      <c r="AD7" s="53">
        <f>(1+GrowthLowIncRent)^(MAX(0,27-GrowthStartMonth)/12)</f>
        <v/>
      </c>
      <c r="AE7" s="53">
        <f>(1+GrowthLowIncRent)^(MAX(0,28-GrowthStartMonth)/12)</f>
        <v/>
      </c>
      <c r="AF7" s="53">
        <f>(1+GrowthLowIncRent)^(MAX(0,29-GrowthStartMonth)/12)</f>
        <v/>
      </c>
      <c r="AG7" s="53">
        <f>(1+GrowthLowIncRent)^(MAX(0,30-GrowthStartMonth)/12)</f>
        <v/>
      </c>
      <c r="AH7" s="53">
        <f>(1+GrowthLowIncRent)^(MAX(0,31-GrowthStartMonth)/12)</f>
        <v/>
      </c>
      <c r="AI7" s="53">
        <f>(1+GrowthLowIncRent)^(MAX(0,32-GrowthStartMonth)/12)</f>
        <v/>
      </c>
      <c r="AJ7" s="53">
        <f>(1+GrowthLowIncRent)^(MAX(0,33-GrowthStartMonth)/12)</f>
        <v/>
      </c>
      <c r="AK7" s="53">
        <f>(1+GrowthLowIncRent)^(MAX(0,34-GrowthStartMonth)/12)</f>
        <v/>
      </c>
      <c r="AL7" s="53">
        <f>(1+GrowthLowIncRent)^(MAX(0,35-GrowthStartMonth)/12)</f>
        <v/>
      </c>
      <c r="AM7" s="53">
        <f>(1+GrowthLowIncRent)^(MAX(0,36-GrowthStartMonth)/12)</f>
        <v/>
      </c>
      <c r="AN7" s="53">
        <f>(1+GrowthLowIncRent)^(MAX(0,37-GrowthStartMonth)/12)</f>
        <v/>
      </c>
      <c r="AO7" s="53">
        <f>(1+GrowthLowIncRent)^(MAX(0,38-GrowthStartMonth)/12)</f>
        <v/>
      </c>
      <c r="AP7" s="53">
        <f>(1+GrowthLowIncRent)^(MAX(0,39-GrowthStartMonth)/12)</f>
        <v/>
      </c>
      <c r="AQ7" s="53">
        <f>(1+GrowthLowIncRent)^(MAX(0,40-GrowthStartMonth)/12)</f>
        <v/>
      </c>
      <c r="AR7" s="53">
        <f>(1+GrowthLowIncRent)^(MAX(0,41-GrowthStartMonth)/12)</f>
        <v/>
      </c>
      <c r="AS7" s="53">
        <f>(1+GrowthLowIncRent)^(MAX(0,42-GrowthStartMonth)/12)</f>
        <v/>
      </c>
      <c r="AT7" s="53">
        <f>(1+GrowthLowIncRent)^(MAX(0,43-GrowthStartMonth)/12)</f>
        <v/>
      </c>
      <c r="AU7" s="53">
        <f>(1+GrowthLowIncRent)^(MAX(0,44-GrowthStartMonth)/12)</f>
        <v/>
      </c>
      <c r="AV7" s="53">
        <f>(1+GrowthLowIncRent)^(MAX(0,45-GrowthStartMonth)/12)</f>
        <v/>
      </c>
      <c r="AW7" s="53">
        <f>(1+GrowthLowIncRent)^(MAX(0,46-GrowthStartMonth)/12)</f>
        <v/>
      </c>
      <c r="AX7" s="53">
        <f>(1+GrowthLowIncRent)^(MAX(0,47-GrowthStartMonth)/12)</f>
        <v/>
      </c>
      <c r="AY7" s="53">
        <f>(1+GrowthLowIncRent)^(MAX(0,48-GrowthStartMonth)/12)</f>
        <v/>
      </c>
      <c r="AZ7" s="53">
        <f>(1+GrowthLowIncRent)^(MAX(0,49-GrowthStartMonth)/12)</f>
        <v/>
      </c>
      <c r="BA7" s="53">
        <f>(1+GrowthLowIncRent)^(MAX(0,50-GrowthStartMonth)/12)</f>
        <v/>
      </c>
      <c r="BB7" s="53">
        <f>(1+GrowthLowIncRent)^(MAX(0,51-GrowthStartMonth)/12)</f>
        <v/>
      </c>
      <c r="BC7" s="53">
        <f>(1+GrowthLowIncRent)^(MAX(0,52-GrowthStartMonth)/12)</f>
        <v/>
      </c>
      <c r="BD7" s="53">
        <f>(1+GrowthLowIncRent)^(MAX(0,53-GrowthStartMonth)/12)</f>
        <v/>
      </c>
      <c r="BE7" s="53">
        <f>(1+GrowthLowIncRent)^(MAX(0,54-GrowthStartMonth)/12)</f>
        <v/>
      </c>
      <c r="BF7" s="53">
        <f>(1+GrowthLowIncRent)^(MAX(0,55-GrowthStartMonth)/12)</f>
        <v/>
      </c>
      <c r="BG7" s="53">
        <f>(1+GrowthLowIncRent)^(MAX(0,56-GrowthStartMonth)/12)</f>
        <v/>
      </c>
      <c r="BH7" s="53">
        <f>(1+GrowthLowIncRent)^(MAX(0,57-GrowthStartMonth)/12)</f>
        <v/>
      </c>
      <c r="BI7" s="53">
        <f>(1+GrowthLowIncRent)^(MAX(0,58-GrowthStartMonth)/12)</f>
        <v/>
      </c>
      <c r="BJ7" s="53">
        <f>(1+GrowthLowIncRent)^(MAX(0,59-GrowthStartMonth)/12)</f>
        <v/>
      </c>
      <c r="BK7" s="53">
        <f>(1+GrowthLowIncRent)^(MAX(0,60-GrowthStartMonth)/12)</f>
        <v/>
      </c>
      <c r="BL7" s="53">
        <f>(1+GrowthLowIncRent)^(MAX(0,61-GrowthStartMonth)/12)</f>
        <v/>
      </c>
      <c r="BM7" s="53">
        <f>(1+GrowthLowIncRent)^(MAX(0,62-GrowthStartMonth)/12)</f>
        <v/>
      </c>
      <c r="BN7" s="53">
        <f>(1+GrowthLowIncRent)^(MAX(0,63-GrowthStartMonth)/12)</f>
        <v/>
      </c>
      <c r="BO7" s="53">
        <f>(1+GrowthLowIncRent)^(MAX(0,64-GrowthStartMonth)/12)</f>
        <v/>
      </c>
      <c r="BP7" s="53">
        <f>(1+GrowthLowIncRent)^(MAX(0,65-GrowthStartMonth)/12)</f>
        <v/>
      </c>
      <c r="BQ7" s="53">
        <f>(1+GrowthLowIncRent)^(MAX(0,66-GrowthStartMonth)/12)</f>
        <v/>
      </c>
      <c r="BR7" s="53">
        <f>(1+GrowthLowIncRent)^(MAX(0,67-GrowthStartMonth)/12)</f>
        <v/>
      </c>
      <c r="BS7" s="53">
        <f>(1+GrowthLowIncRent)^(MAX(0,68-GrowthStartMonth)/12)</f>
        <v/>
      </c>
      <c r="BT7" s="53">
        <f>(1+GrowthLowIncRent)^(MAX(0,69-GrowthStartMonth)/12)</f>
        <v/>
      </c>
      <c r="BU7" s="53">
        <f>(1+GrowthLowIncRent)^(MAX(0,70-GrowthStartMonth)/12)</f>
        <v/>
      </c>
      <c r="BV7" s="53">
        <f>(1+GrowthLowIncRent)^(MAX(0,71-GrowthStartMonth)/12)</f>
        <v/>
      </c>
      <c r="BW7" s="53">
        <f>(1+GrowthLowIncRent)^(MAX(0,72-GrowthStartMonth)/12)</f>
        <v/>
      </c>
      <c r="BX7" s="53">
        <f>(1+GrowthLowIncRent)^(MAX(0,73-GrowthStartMonth)/12)</f>
        <v/>
      </c>
      <c r="BY7" s="53">
        <f>(1+GrowthLowIncRent)^(MAX(0,74-GrowthStartMonth)/12)</f>
        <v/>
      </c>
      <c r="BZ7" s="53">
        <f>(1+GrowthLowIncRent)^(MAX(0,75-GrowthStartMonth)/12)</f>
        <v/>
      </c>
      <c r="CA7" s="53">
        <f>(1+GrowthLowIncRent)^(MAX(0,76-GrowthStartMonth)/12)</f>
        <v/>
      </c>
      <c r="CB7" s="53">
        <f>(1+GrowthLowIncRent)^(MAX(0,77-GrowthStartMonth)/12)</f>
        <v/>
      </c>
      <c r="CC7" s="53">
        <f>(1+GrowthLowIncRent)^(MAX(0,78-GrowthStartMonth)/12)</f>
        <v/>
      </c>
      <c r="CD7" s="53">
        <f>(1+GrowthLowIncRent)^(MAX(0,79-GrowthStartMonth)/12)</f>
        <v/>
      </c>
      <c r="CE7" s="53">
        <f>(1+GrowthLowIncRent)^(MAX(0,80-GrowthStartMonth)/12)</f>
        <v/>
      </c>
      <c r="CF7" s="53">
        <f>(1+GrowthLowIncRent)^(MAX(0,81-GrowthStartMonth)/12)</f>
        <v/>
      </c>
      <c r="CG7" s="53">
        <f>(1+GrowthLowIncRent)^(MAX(0,82-GrowthStartMonth)/12)</f>
        <v/>
      </c>
      <c r="CH7" s="53">
        <f>(1+GrowthLowIncRent)^(MAX(0,83-GrowthStartMonth)/12)</f>
        <v/>
      </c>
      <c r="CI7" s="53">
        <f>(1+GrowthLowIncRent)^(MAX(0,84-GrowthStartMonth)/12)</f>
        <v/>
      </c>
      <c r="CJ7" s="53">
        <f>(1+GrowthLowIncRent)^(MAX(0,85-GrowthStartMonth)/12)</f>
        <v/>
      </c>
      <c r="CK7" s="53">
        <f>(1+GrowthLowIncRent)^(MAX(0,86-GrowthStartMonth)/12)</f>
        <v/>
      </c>
      <c r="CL7" s="53">
        <f>(1+GrowthLowIncRent)^(MAX(0,87-GrowthStartMonth)/12)</f>
        <v/>
      </c>
      <c r="CM7" s="53">
        <f>(1+GrowthLowIncRent)^(MAX(0,88-GrowthStartMonth)/12)</f>
        <v/>
      </c>
      <c r="CN7" s="53">
        <f>(1+GrowthLowIncRent)^(MAX(0,89-GrowthStartMonth)/12)</f>
        <v/>
      </c>
      <c r="CO7" s="53">
        <f>(1+GrowthLowIncRent)^(MAX(0,90-GrowthStartMonth)/12)</f>
        <v/>
      </c>
      <c r="CP7" s="53">
        <f>(1+GrowthLowIncRent)^(MAX(0,91-GrowthStartMonth)/12)</f>
        <v/>
      </c>
      <c r="CQ7" s="53">
        <f>(1+GrowthLowIncRent)^(MAX(0,92-GrowthStartMonth)/12)</f>
        <v/>
      </c>
      <c r="CR7" s="53">
        <f>(1+GrowthLowIncRent)^(MAX(0,93-GrowthStartMonth)/12)</f>
        <v/>
      </c>
      <c r="CS7" s="53">
        <f>(1+GrowthLowIncRent)^(MAX(0,94-GrowthStartMonth)/12)</f>
        <v/>
      </c>
      <c r="CT7" s="53">
        <f>(1+GrowthLowIncRent)^(MAX(0,95-GrowthStartMonth)/12)</f>
        <v/>
      </c>
      <c r="CU7" s="53">
        <f>(1+GrowthLowIncRent)^(MAX(0,96-GrowthStartMonth)/12)</f>
        <v/>
      </c>
      <c r="CV7" s="53">
        <f>(1+GrowthLowIncRent)^(MAX(0,97-GrowthStartMonth)/12)</f>
        <v/>
      </c>
      <c r="CW7" s="53">
        <f>(1+GrowthLowIncRent)^(MAX(0,98-GrowthStartMonth)/12)</f>
        <v/>
      </c>
      <c r="CX7" s="53">
        <f>(1+GrowthLowIncRent)^(MAX(0,99-GrowthStartMonth)/12)</f>
        <v/>
      </c>
      <c r="CY7" s="53">
        <f>(1+GrowthLowIncRent)^(MAX(0,100-GrowthStartMonth)/12)</f>
        <v/>
      </c>
      <c r="CZ7" s="53">
        <f>(1+GrowthLowIncRent)^(MAX(0,101-GrowthStartMonth)/12)</f>
        <v/>
      </c>
      <c r="DA7" s="53">
        <f>(1+GrowthLowIncRent)^(MAX(0,102-GrowthStartMonth)/12)</f>
        <v/>
      </c>
      <c r="DB7" s="53">
        <f>(1+GrowthLowIncRent)^(MAX(0,103-GrowthStartMonth)/12)</f>
        <v/>
      </c>
      <c r="DC7" s="53">
        <f>(1+GrowthLowIncRent)^(MAX(0,104-GrowthStartMonth)/12)</f>
        <v/>
      </c>
      <c r="DD7" s="53">
        <f>(1+GrowthLowIncRent)^(MAX(0,105-GrowthStartMonth)/12)</f>
        <v/>
      </c>
      <c r="DE7" s="53">
        <f>(1+GrowthLowIncRent)^(MAX(0,106-GrowthStartMonth)/12)</f>
        <v/>
      </c>
      <c r="DF7" s="53">
        <f>(1+GrowthLowIncRent)^(MAX(0,107-GrowthStartMonth)/12)</f>
        <v/>
      </c>
      <c r="DG7" s="53">
        <f>(1+GrowthLowIncRent)^(MAX(0,108-GrowthStartMonth)/12)</f>
        <v/>
      </c>
      <c r="DH7" s="53">
        <f>(1+GrowthLowIncRent)^(MAX(0,109-GrowthStartMonth)/12)</f>
        <v/>
      </c>
      <c r="DI7" s="53">
        <f>(1+GrowthLowIncRent)^(MAX(0,110-GrowthStartMonth)/12)</f>
        <v/>
      </c>
      <c r="DJ7" s="53">
        <f>(1+GrowthLowIncRent)^(MAX(0,111-GrowthStartMonth)/12)</f>
        <v/>
      </c>
      <c r="DK7" s="53">
        <f>(1+GrowthLowIncRent)^(MAX(0,112-GrowthStartMonth)/12)</f>
        <v/>
      </c>
      <c r="DL7" s="53">
        <f>(1+GrowthLowIncRent)^(MAX(0,113-GrowthStartMonth)/12)</f>
        <v/>
      </c>
      <c r="DM7" s="53">
        <f>(1+GrowthLowIncRent)^(MAX(0,114-GrowthStartMonth)/12)</f>
        <v/>
      </c>
      <c r="DN7" s="53">
        <f>(1+GrowthLowIncRent)^(MAX(0,115-GrowthStartMonth)/12)</f>
        <v/>
      </c>
      <c r="DO7" s="53">
        <f>(1+GrowthLowIncRent)^(MAX(0,116-GrowthStartMonth)/12)</f>
        <v/>
      </c>
      <c r="DP7" s="53">
        <f>(1+GrowthLowIncRent)^(MAX(0,117-GrowthStartMonth)/12)</f>
        <v/>
      </c>
      <c r="DQ7" s="53">
        <f>(1+GrowthLowIncRent)^(MAX(0,118-GrowthStartMonth)/12)</f>
        <v/>
      </c>
      <c r="DR7" s="53">
        <f>(1+GrowthLowIncRent)^(MAX(0,119-GrowthStartMonth)/12)</f>
        <v/>
      </c>
      <c r="DS7" s="53">
        <f>(1+GrowthLowIncRent)^(MAX(0,120-GrowthStartMonth)/12)</f>
        <v/>
      </c>
      <c r="DT7" s="53">
        <f>(1+GrowthLowIncRent)^(MAX(0,121-GrowthStartMonth)/12)</f>
        <v/>
      </c>
      <c r="DU7" s="53">
        <f>(1+GrowthLowIncRent)^(MAX(0,122-GrowthStartMonth)/12)</f>
        <v/>
      </c>
      <c r="DV7" s="53">
        <f>(1+GrowthLowIncRent)^(MAX(0,123-GrowthStartMonth)/12)</f>
        <v/>
      </c>
      <c r="DW7" s="53">
        <f>(1+GrowthLowIncRent)^(MAX(0,124-GrowthStartMonth)/12)</f>
        <v/>
      </c>
      <c r="DX7" s="53">
        <f>(1+GrowthLowIncRent)^(MAX(0,125-GrowthStartMonth)/12)</f>
        <v/>
      </c>
      <c r="DY7" s="53">
        <f>(1+GrowthLowIncRent)^(MAX(0,126-GrowthStartMonth)/12)</f>
        <v/>
      </c>
      <c r="DZ7" s="53">
        <f>(1+GrowthLowIncRent)^(MAX(0,127-GrowthStartMonth)/12)</f>
        <v/>
      </c>
      <c r="EA7" s="53">
        <f>(1+GrowthLowIncRent)^(MAX(0,128-GrowthStartMonth)/12)</f>
        <v/>
      </c>
      <c r="EB7" s="53">
        <f>(1+GrowthLowIncRent)^(MAX(0,129-GrowthStartMonth)/12)</f>
        <v/>
      </c>
      <c r="EC7" s="53">
        <f>(1+GrowthLowIncRent)^(MAX(0,130-GrowthStartMonth)/12)</f>
        <v/>
      </c>
      <c r="ED7" s="53">
        <f>(1+GrowthLowIncRent)^(MAX(0,131-GrowthStartMonth)/12)</f>
        <v/>
      </c>
      <c r="EE7" s="53">
        <f>(1+GrowthLowIncRent)^(MAX(0,132-GrowthStartMonth)/12)</f>
        <v/>
      </c>
      <c r="EF7" s="53">
        <f>(1+GrowthLowIncRent)^(MAX(0,133-GrowthStartMonth)/12)</f>
        <v/>
      </c>
      <c r="EG7" s="53">
        <f>(1+GrowthLowIncRent)^(MAX(0,134-GrowthStartMonth)/12)</f>
        <v/>
      </c>
      <c r="EH7" s="53">
        <f>(1+GrowthLowIncRent)^(MAX(0,135-GrowthStartMonth)/12)</f>
        <v/>
      </c>
      <c r="EI7" s="53">
        <f>(1+GrowthLowIncRent)^(MAX(0,136-GrowthStartMonth)/12)</f>
        <v/>
      </c>
      <c r="EJ7" s="53">
        <f>(1+GrowthLowIncRent)^(MAX(0,137-GrowthStartMonth)/12)</f>
        <v/>
      </c>
      <c r="EK7" s="53">
        <f>(1+GrowthLowIncRent)^(MAX(0,138-GrowthStartMonth)/12)</f>
        <v/>
      </c>
      <c r="EL7" s="53">
        <f>(1+GrowthLowIncRent)^(MAX(0,139-GrowthStartMonth)/12)</f>
        <v/>
      </c>
      <c r="EM7" s="53">
        <f>(1+GrowthLowIncRent)^(MAX(0,140-GrowthStartMonth)/12)</f>
        <v/>
      </c>
      <c r="EN7" s="53">
        <f>(1+GrowthLowIncRent)^(MAX(0,141-GrowthStartMonth)/12)</f>
        <v/>
      </c>
      <c r="EO7" s="53">
        <f>(1+GrowthLowIncRent)^(MAX(0,142-GrowthStartMonth)/12)</f>
        <v/>
      </c>
      <c r="EP7" s="53">
        <f>(1+GrowthLowIncRent)^(MAX(0,143-GrowthStartMonth)/12)</f>
        <v/>
      </c>
      <c r="EQ7" s="53">
        <f>(1+GrowthLowIncRent)^(MAX(0,144-GrowthStartMonth)/12)</f>
        <v/>
      </c>
      <c r="ER7" s="53">
        <f>(1+GrowthLowIncRent)^(MAX(0,145-GrowthStartMonth)/12)</f>
        <v/>
      </c>
      <c r="ES7" s="53">
        <f>(1+GrowthLowIncRent)^(MAX(0,146-GrowthStartMonth)/12)</f>
        <v/>
      </c>
      <c r="ET7" s="53">
        <f>(1+GrowthLowIncRent)^(MAX(0,147-GrowthStartMonth)/12)</f>
        <v/>
      </c>
      <c r="EU7" s="53">
        <f>(1+GrowthLowIncRent)^(MAX(0,148-GrowthStartMonth)/12)</f>
        <v/>
      </c>
      <c r="EV7" s="53">
        <f>(1+GrowthLowIncRent)^(MAX(0,149-GrowthStartMonth)/12)</f>
        <v/>
      </c>
      <c r="EW7" s="53">
        <f>(1+GrowthLowIncRent)^(MAX(0,150-GrowthStartMonth)/12)</f>
        <v/>
      </c>
      <c r="EX7" s="53">
        <f>(1+GrowthLowIncRent)^(MAX(0,151-GrowthStartMonth)/12)</f>
        <v/>
      </c>
      <c r="EY7" s="53">
        <f>(1+GrowthLowIncRent)^(MAX(0,152-GrowthStartMonth)/12)</f>
        <v/>
      </c>
      <c r="EZ7" s="53">
        <f>(1+GrowthLowIncRent)^(MAX(0,153-GrowthStartMonth)/12)</f>
        <v/>
      </c>
      <c r="FA7" s="53">
        <f>(1+GrowthLowIncRent)^(MAX(0,154-GrowthStartMonth)/12)</f>
        <v/>
      </c>
      <c r="FB7" s="53">
        <f>(1+GrowthLowIncRent)^(MAX(0,155-GrowthStartMonth)/12)</f>
        <v/>
      </c>
      <c r="FC7" s="53">
        <f>(1+GrowthLowIncRent)^(MAX(0,156-GrowthStartMonth)/12)</f>
        <v/>
      </c>
      <c r="FD7" s="53">
        <f>(1+GrowthLowIncRent)^(MAX(0,157-GrowthStartMonth)/12)</f>
        <v/>
      </c>
      <c r="FE7" s="53">
        <f>(1+GrowthLowIncRent)^(MAX(0,158-GrowthStartMonth)/12)</f>
        <v/>
      </c>
      <c r="FF7" s="53">
        <f>(1+GrowthLowIncRent)^(MAX(0,159-GrowthStartMonth)/12)</f>
        <v/>
      </c>
      <c r="FG7" s="53">
        <f>(1+GrowthLowIncRent)^(MAX(0,160-GrowthStartMonth)/12)</f>
        <v/>
      </c>
      <c r="FH7" s="53">
        <f>(1+GrowthLowIncRent)^(MAX(0,161-GrowthStartMonth)/12)</f>
        <v/>
      </c>
      <c r="FI7" s="53">
        <f>(1+GrowthLowIncRent)^(MAX(0,162-GrowthStartMonth)/12)</f>
        <v/>
      </c>
      <c r="FJ7" s="53">
        <f>(1+GrowthLowIncRent)^(MAX(0,163-GrowthStartMonth)/12)</f>
        <v/>
      </c>
      <c r="FK7" s="53">
        <f>(1+GrowthLowIncRent)^(MAX(0,164-GrowthStartMonth)/12)</f>
        <v/>
      </c>
      <c r="FL7" s="53">
        <f>(1+GrowthLowIncRent)^(MAX(0,165-GrowthStartMonth)/12)</f>
        <v/>
      </c>
      <c r="FM7" s="53">
        <f>(1+GrowthLowIncRent)^(MAX(0,166-GrowthStartMonth)/12)</f>
        <v/>
      </c>
      <c r="FN7" s="53">
        <f>(1+GrowthLowIncRent)^(MAX(0,167-GrowthStartMonth)/12)</f>
        <v/>
      </c>
      <c r="FO7" s="53">
        <f>(1+GrowthLowIncRent)^(MAX(0,168-GrowthStartMonth)/12)</f>
        <v/>
      </c>
      <c r="FP7" s="53">
        <f>(1+GrowthLowIncRent)^(MAX(0,169-GrowthStartMonth)/12)</f>
        <v/>
      </c>
      <c r="FQ7" s="53">
        <f>(1+GrowthLowIncRent)^(MAX(0,170-GrowthStartMonth)/12)</f>
        <v/>
      </c>
      <c r="FR7" s="53">
        <f>(1+GrowthLowIncRent)^(MAX(0,171-GrowthStartMonth)/12)</f>
        <v/>
      </c>
      <c r="FS7" s="53">
        <f>(1+GrowthLowIncRent)^(MAX(0,172-GrowthStartMonth)/12)</f>
        <v/>
      </c>
      <c r="FT7" s="53">
        <f>(1+GrowthLowIncRent)^(MAX(0,173-GrowthStartMonth)/12)</f>
        <v/>
      </c>
      <c r="FU7" s="53">
        <f>(1+GrowthLowIncRent)^(MAX(0,174-GrowthStartMonth)/12)</f>
        <v/>
      </c>
      <c r="FV7" s="53">
        <f>(1+GrowthLowIncRent)^(MAX(0,175-GrowthStartMonth)/12)</f>
        <v/>
      </c>
      <c r="FW7" s="53">
        <f>(1+GrowthLowIncRent)^(MAX(0,176-GrowthStartMonth)/12)</f>
        <v/>
      </c>
      <c r="FX7" s="53">
        <f>(1+GrowthLowIncRent)^(MAX(0,177-GrowthStartMonth)/12)</f>
        <v/>
      </c>
      <c r="FY7" s="53">
        <f>(1+GrowthLowIncRent)^(MAX(0,178-GrowthStartMonth)/12)</f>
        <v/>
      </c>
      <c r="FZ7" s="53">
        <f>(1+GrowthLowIncRent)^(MAX(0,179-GrowthStartMonth)/12)</f>
        <v/>
      </c>
      <c r="GA7" s="53">
        <f>(1+GrowthLowIncRent)^(MAX(0,180-GrowthStartMonth)/12)</f>
        <v/>
      </c>
      <c r="GB7" s="53">
        <f>(1+GrowthLowIncRent)^(MAX(0,181-GrowthStartMonth)/12)</f>
        <v/>
      </c>
      <c r="GC7" s="53">
        <f>(1+GrowthLowIncRent)^(MAX(0,182-GrowthStartMonth)/12)</f>
        <v/>
      </c>
      <c r="GD7" s="53">
        <f>(1+GrowthLowIncRent)^(MAX(0,183-GrowthStartMonth)/12)</f>
        <v/>
      </c>
      <c r="GE7" s="53">
        <f>(1+GrowthLowIncRent)^(MAX(0,184-GrowthStartMonth)/12)</f>
        <v/>
      </c>
      <c r="GF7" s="53">
        <f>(1+GrowthLowIncRent)^(MAX(0,185-GrowthStartMonth)/12)</f>
        <v/>
      </c>
      <c r="GG7" s="53">
        <f>(1+GrowthLowIncRent)^(MAX(0,186-GrowthStartMonth)/12)</f>
        <v/>
      </c>
      <c r="GH7" s="53">
        <f>(1+GrowthLowIncRent)^(MAX(0,187-GrowthStartMonth)/12)</f>
        <v/>
      </c>
      <c r="GI7" s="53">
        <f>(1+GrowthLowIncRent)^(MAX(0,188-GrowthStartMonth)/12)</f>
        <v/>
      </c>
      <c r="GJ7" s="53">
        <f>(1+GrowthLowIncRent)^(MAX(0,189-GrowthStartMonth)/12)</f>
        <v/>
      </c>
      <c r="GK7" s="53">
        <f>(1+GrowthLowIncRent)^(MAX(0,190-GrowthStartMonth)/12)</f>
        <v/>
      </c>
      <c r="GL7" s="53">
        <f>(1+GrowthLowIncRent)^(MAX(0,191-GrowthStartMonth)/12)</f>
        <v/>
      </c>
      <c r="GM7" s="53">
        <f>(1+GrowthLowIncRent)^(MAX(0,192-GrowthStartMonth)/12)</f>
        <v/>
      </c>
      <c r="GN7" s="53">
        <f>(1+GrowthLowIncRent)^(MAX(0,193-GrowthStartMonth)/12)</f>
        <v/>
      </c>
      <c r="GO7" s="53">
        <f>(1+GrowthLowIncRent)^(MAX(0,194-GrowthStartMonth)/12)</f>
        <v/>
      </c>
      <c r="GP7" s="53">
        <f>(1+GrowthLowIncRent)^(MAX(0,195-GrowthStartMonth)/12)</f>
        <v/>
      </c>
      <c r="GQ7" s="53">
        <f>(1+GrowthLowIncRent)^(MAX(0,196-GrowthStartMonth)/12)</f>
        <v/>
      </c>
      <c r="GR7" s="53">
        <f>(1+GrowthLowIncRent)^(MAX(0,197-GrowthStartMonth)/12)</f>
        <v/>
      </c>
      <c r="GS7" s="53">
        <f>(1+GrowthLowIncRent)^(MAX(0,198-GrowthStartMonth)/12)</f>
        <v/>
      </c>
      <c r="GT7" s="53">
        <f>(1+GrowthLowIncRent)^(MAX(0,199-GrowthStartMonth)/12)</f>
        <v/>
      </c>
      <c r="GU7" s="53">
        <f>(1+GrowthLowIncRent)^(MAX(0,200-GrowthStartMonth)/12)</f>
        <v/>
      </c>
      <c r="GV7" s="53">
        <f>(1+GrowthLowIncRent)^(MAX(0,201-GrowthStartMonth)/12)</f>
        <v/>
      </c>
      <c r="GW7" s="53">
        <f>(1+GrowthLowIncRent)^(MAX(0,202-GrowthStartMonth)/12)</f>
        <v/>
      </c>
      <c r="GX7" s="53">
        <f>(1+GrowthLowIncRent)^(MAX(0,203-GrowthStartMonth)/12)</f>
        <v/>
      </c>
      <c r="GY7" s="53">
        <f>(1+GrowthLowIncRent)^(MAX(0,204-GrowthStartMonth)/12)</f>
        <v/>
      </c>
      <c r="GZ7" s="53">
        <f>(1+GrowthLowIncRent)^(MAX(0,205-GrowthStartMonth)/12)</f>
        <v/>
      </c>
      <c r="HA7" s="53">
        <f>(1+GrowthLowIncRent)^(MAX(0,206-GrowthStartMonth)/12)</f>
        <v/>
      </c>
      <c r="HB7" s="53">
        <f>(1+GrowthLowIncRent)^(MAX(0,207-GrowthStartMonth)/12)</f>
        <v/>
      </c>
      <c r="HC7" s="53">
        <f>(1+GrowthLowIncRent)^(MAX(0,208-GrowthStartMonth)/12)</f>
        <v/>
      </c>
      <c r="HD7" s="53">
        <f>(1+GrowthLowIncRent)^(MAX(0,209-GrowthStartMonth)/12)</f>
        <v/>
      </c>
      <c r="HE7" s="53">
        <f>(1+GrowthLowIncRent)^(MAX(0,210-GrowthStartMonth)/12)</f>
        <v/>
      </c>
      <c r="HF7" s="53">
        <f>(1+GrowthLowIncRent)^(MAX(0,211-GrowthStartMonth)/12)</f>
        <v/>
      </c>
      <c r="HG7" s="53">
        <f>(1+GrowthLowIncRent)^(MAX(0,212-GrowthStartMonth)/12)</f>
        <v/>
      </c>
      <c r="HH7" s="53">
        <f>(1+GrowthLowIncRent)^(MAX(0,213-GrowthStartMonth)/12)</f>
        <v/>
      </c>
      <c r="HI7" s="53">
        <f>(1+GrowthLowIncRent)^(MAX(0,214-GrowthStartMonth)/12)</f>
        <v/>
      </c>
      <c r="HJ7" s="53">
        <f>(1+GrowthLowIncRent)^(MAX(0,215-GrowthStartMonth)/12)</f>
        <v/>
      </c>
      <c r="HK7" s="53">
        <f>(1+GrowthLowIncRent)^(MAX(0,216-GrowthStartMonth)/12)</f>
        <v/>
      </c>
      <c r="HL7" s="53">
        <f>(1+GrowthLowIncRent)^(MAX(0,217-GrowthStartMonth)/12)</f>
        <v/>
      </c>
      <c r="HM7" s="53">
        <f>(1+GrowthLowIncRent)^(MAX(0,218-GrowthStartMonth)/12)</f>
        <v/>
      </c>
      <c r="HN7" s="53">
        <f>(1+GrowthLowIncRent)^(MAX(0,219-GrowthStartMonth)/12)</f>
        <v/>
      </c>
      <c r="HO7" s="53">
        <f>(1+GrowthLowIncRent)^(MAX(0,220-GrowthStartMonth)/12)</f>
        <v/>
      </c>
      <c r="HP7" s="53">
        <f>(1+GrowthLowIncRent)^(MAX(0,221-GrowthStartMonth)/12)</f>
        <v/>
      </c>
      <c r="HQ7" s="53">
        <f>(1+GrowthLowIncRent)^(MAX(0,222-GrowthStartMonth)/12)</f>
        <v/>
      </c>
      <c r="HR7" s="53">
        <f>(1+GrowthLowIncRent)^(MAX(0,223-GrowthStartMonth)/12)</f>
        <v/>
      </c>
      <c r="HS7" s="53">
        <f>(1+GrowthLowIncRent)^(MAX(0,224-GrowthStartMonth)/12)</f>
        <v/>
      </c>
      <c r="HT7" s="53">
        <f>(1+GrowthLowIncRent)^(MAX(0,225-GrowthStartMonth)/12)</f>
        <v/>
      </c>
      <c r="HU7" s="53">
        <f>(1+GrowthLowIncRent)^(MAX(0,226-GrowthStartMonth)/12)</f>
        <v/>
      </c>
      <c r="HV7" s="53">
        <f>(1+GrowthLowIncRent)^(MAX(0,227-GrowthStartMonth)/12)</f>
        <v/>
      </c>
      <c r="HW7" s="53">
        <f>(1+GrowthLowIncRent)^(MAX(0,228-GrowthStartMonth)/12)</f>
        <v/>
      </c>
      <c r="HX7" s="53">
        <f>(1+GrowthLowIncRent)^(MAX(0,229-GrowthStartMonth)/12)</f>
        <v/>
      </c>
      <c r="HY7" s="53">
        <f>(1+GrowthLowIncRent)^(MAX(0,230-GrowthStartMonth)/12)</f>
        <v/>
      </c>
      <c r="HZ7" s="53">
        <f>(1+GrowthLowIncRent)^(MAX(0,231-GrowthStartMonth)/12)</f>
        <v/>
      </c>
      <c r="IA7" s="53">
        <f>(1+GrowthLowIncRent)^(MAX(0,232-GrowthStartMonth)/12)</f>
        <v/>
      </c>
      <c r="IB7" s="53">
        <f>(1+GrowthLowIncRent)^(MAX(0,233-GrowthStartMonth)/12)</f>
        <v/>
      </c>
      <c r="IC7" s="53">
        <f>(1+GrowthLowIncRent)^(MAX(0,234-GrowthStartMonth)/12)</f>
        <v/>
      </c>
      <c r="ID7" s="53">
        <f>(1+GrowthLowIncRent)^(MAX(0,235-GrowthStartMonth)/12)</f>
        <v/>
      </c>
      <c r="IE7" s="53">
        <f>(1+GrowthLowIncRent)^(MAX(0,236-GrowthStartMonth)/12)</f>
        <v/>
      </c>
      <c r="IF7" s="53">
        <f>(1+GrowthLowIncRent)^(MAX(0,237-GrowthStartMonth)/12)</f>
        <v/>
      </c>
      <c r="IG7" s="53">
        <f>(1+GrowthLowIncRent)^(MAX(0,238-GrowthStartMonth)/12)</f>
        <v/>
      </c>
      <c r="IH7" s="53">
        <f>(1+GrowthLowIncRent)^(MAX(0,239-GrowthStartMonth)/12)</f>
        <v/>
      </c>
      <c r="II7" s="53">
        <f>(1+GrowthLowIncRent)^(MAX(0,240-GrowthStartMonth)/12)</f>
        <v/>
      </c>
      <c r="IJ7" s="53">
        <f>(1+GrowthLowIncRent)^(MAX(0,241-GrowthStartMonth)/12)</f>
        <v/>
      </c>
      <c r="IK7" s="53">
        <f>(1+GrowthLowIncRent)^(MAX(0,242-GrowthStartMonth)/12)</f>
        <v/>
      </c>
      <c r="IL7" s="53">
        <f>(1+GrowthLowIncRent)^(MAX(0,243-GrowthStartMonth)/12)</f>
        <v/>
      </c>
      <c r="IM7" s="53">
        <f>(1+GrowthLowIncRent)^(MAX(0,244-GrowthStartMonth)/12)</f>
        <v/>
      </c>
      <c r="IN7" s="53">
        <f>(1+GrowthLowIncRent)^(MAX(0,245-GrowthStartMonth)/12)</f>
        <v/>
      </c>
      <c r="IO7" s="53">
        <f>(1+GrowthLowIncRent)^(MAX(0,246-GrowthStartMonth)/12)</f>
        <v/>
      </c>
      <c r="IP7" s="53">
        <f>(1+GrowthLowIncRent)^(MAX(0,247-GrowthStartMonth)/12)</f>
        <v/>
      </c>
      <c r="IQ7" s="53">
        <f>(1+GrowthLowIncRent)^(MAX(0,248-GrowthStartMonth)/12)</f>
        <v/>
      </c>
      <c r="IR7" s="53">
        <f>(1+GrowthLowIncRent)^(MAX(0,249-GrowthStartMonth)/12)</f>
        <v/>
      </c>
      <c r="IS7" s="53">
        <f>(1+GrowthLowIncRent)^(MAX(0,250-GrowthStartMonth)/12)</f>
        <v/>
      </c>
      <c r="IT7" s="53">
        <f>(1+GrowthLowIncRent)^(MAX(0,251-GrowthStartMonth)/12)</f>
        <v/>
      </c>
      <c r="IU7" s="53">
        <f>(1+GrowthLowIncRent)^(MAX(0,252-GrowthStartMonth)/12)</f>
        <v/>
      </c>
      <c r="IV7" s="53">
        <f>(1+GrowthLowIncRent)^(MAX(0,253-GrowthStartMonth)/12)</f>
        <v/>
      </c>
      <c r="IW7" s="53">
        <f>(1+GrowthLowIncRent)^(MAX(0,254-GrowthStartMonth)/12)</f>
        <v/>
      </c>
      <c r="IX7" s="53">
        <f>(1+GrowthLowIncRent)^(MAX(0,255-GrowthStartMonth)/12)</f>
        <v/>
      </c>
      <c r="IY7" s="53">
        <f>(1+GrowthLowIncRent)^(MAX(0,256-GrowthStartMonth)/12)</f>
        <v/>
      </c>
      <c r="IZ7" s="53">
        <f>(1+GrowthLowIncRent)^(MAX(0,257-GrowthStartMonth)/12)</f>
        <v/>
      </c>
      <c r="JA7" s="53">
        <f>(1+GrowthLowIncRent)^(MAX(0,258-GrowthStartMonth)/12)</f>
        <v/>
      </c>
      <c r="JB7" s="53">
        <f>(1+GrowthLowIncRent)^(MAX(0,259-GrowthStartMonth)/12)</f>
        <v/>
      </c>
      <c r="JC7" s="53">
        <f>(1+GrowthLowIncRent)^(MAX(0,260-GrowthStartMonth)/12)</f>
        <v/>
      </c>
      <c r="JD7" s="53">
        <f>(1+GrowthLowIncRent)^(MAX(0,261-GrowthStartMonth)/12)</f>
        <v/>
      </c>
      <c r="JE7" s="53">
        <f>(1+GrowthLowIncRent)^(MAX(0,262-GrowthStartMonth)/12)</f>
        <v/>
      </c>
      <c r="JF7" s="53">
        <f>(1+GrowthLowIncRent)^(MAX(0,263-GrowthStartMonth)/12)</f>
        <v/>
      </c>
      <c r="JG7" s="53">
        <f>(1+GrowthLowIncRent)^(MAX(0,264-GrowthStartMonth)/12)</f>
        <v/>
      </c>
      <c r="JH7" s="53">
        <f>(1+GrowthLowIncRent)^(MAX(0,265-GrowthStartMonth)/12)</f>
        <v/>
      </c>
      <c r="JI7" s="53">
        <f>(1+GrowthLowIncRent)^(MAX(0,266-GrowthStartMonth)/12)</f>
        <v/>
      </c>
      <c r="JJ7" s="53">
        <f>(1+GrowthLowIncRent)^(MAX(0,267-GrowthStartMonth)/12)</f>
        <v/>
      </c>
      <c r="JK7" s="53">
        <f>(1+GrowthLowIncRent)^(MAX(0,268-GrowthStartMonth)/12)</f>
        <v/>
      </c>
      <c r="JL7" s="53">
        <f>(1+GrowthLowIncRent)^(MAX(0,269-GrowthStartMonth)/12)</f>
        <v/>
      </c>
      <c r="JM7" s="53">
        <f>(1+GrowthLowIncRent)^(MAX(0,270-GrowthStartMonth)/12)</f>
        <v/>
      </c>
      <c r="JN7" s="53">
        <f>(1+GrowthLowIncRent)^(MAX(0,271-GrowthStartMonth)/12)</f>
        <v/>
      </c>
      <c r="JO7" s="53">
        <f>(1+GrowthLowIncRent)^(MAX(0,272-GrowthStartMonth)/12)</f>
        <v/>
      </c>
      <c r="JP7" s="53">
        <f>(1+GrowthLowIncRent)^(MAX(0,273-GrowthStartMonth)/12)</f>
        <v/>
      </c>
      <c r="JQ7" s="53">
        <f>(1+GrowthLowIncRent)^(MAX(0,274-GrowthStartMonth)/12)</f>
        <v/>
      </c>
      <c r="JR7" s="53">
        <f>(1+GrowthLowIncRent)^(MAX(0,275-GrowthStartMonth)/12)</f>
        <v/>
      </c>
      <c r="JS7" s="53">
        <f>(1+GrowthLowIncRent)^(MAX(0,276-GrowthStartMonth)/12)</f>
        <v/>
      </c>
      <c r="JT7" s="53">
        <f>(1+GrowthLowIncRent)^(MAX(0,277-GrowthStartMonth)/12)</f>
        <v/>
      </c>
      <c r="JU7" s="53">
        <f>(1+GrowthLowIncRent)^(MAX(0,278-GrowthStartMonth)/12)</f>
        <v/>
      </c>
      <c r="JV7" s="53">
        <f>(1+GrowthLowIncRent)^(MAX(0,279-GrowthStartMonth)/12)</f>
        <v/>
      </c>
      <c r="JW7" s="53">
        <f>(1+GrowthLowIncRent)^(MAX(0,280-GrowthStartMonth)/12)</f>
        <v/>
      </c>
      <c r="JX7" s="53">
        <f>(1+GrowthLowIncRent)^(MAX(0,281-GrowthStartMonth)/12)</f>
        <v/>
      </c>
      <c r="JY7" s="53">
        <f>(1+GrowthLowIncRent)^(MAX(0,282-GrowthStartMonth)/12)</f>
        <v/>
      </c>
      <c r="JZ7" s="53">
        <f>(1+GrowthLowIncRent)^(MAX(0,283-GrowthStartMonth)/12)</f>
        <v/>
      </c>
      <c r="KA7" s="53">
        <f>(1+GrowthLowIncRent)^(MAX(0,284-GrowthStartMonth)/12)</f>
        <v/>
      </c>
      <c r="KB7" s="53">
        <f>(1+GrowthLowIncRent)^(MAX(0,285-GrowthStartMonth)/12)</f>
        <v/>
      </c>
      <c r="KC7" s="53">
        <f>(1+GrowthLowIncRent)^(MAX(0,286-GrowthStartMonth)/12)</f>
        <v/>
      </c>
      <c r="KD7" s="53">
        <f>(1+GrowthLowIncRent)^(MAX(0,287-GrowthStartMonth)/12)</f>
        <v/>
      </c>
      <c r="KE7" s="53">
        <f>(1+GrowthLowIncRent)^(MAX(0,288-GrowthStartMonth)/12)</f>
        <v/>
      </c>
      <c r="KF7" s="53">
        <f>(1+GrowthLowIncRent)^(MAX(0,289-GrowthStartMonth)/12)</f>
        <v/>
      </c>
      <c r="KG7" s="53">
        <f>(1+GrowthLowIncRent)^(MAX(0,290-GrowthStartMonth)/12)</f>
        <v/>
      </c>
      <c r="KH7" s="53">
        <f>(1+GrowthLowIncRent)^(MAX(0,291-GrowthStartMonth)/12)</f>
        <v/>
      </c>
      <c r="KI7" s="53">
        <f>(1+GrowthLowIncRent)^(MAX(0,292-GrowthStartMonth)/12)</f>
        <v/>
      </c>
      <c r="KJ7" s="53">
        <f>(1+GrowthLowIncRent)^(MAX(0,293-GrowthStartMonth)/12)</f>
        <v/>
      </c>
      <c r="KK7" s="53">
        <f>(1+GrowthLowIncRent)^(MAX(0,294-GrowthStartMonth)/12)</f>
        <v/>
      </c>
      <c r="KL7" s="53">
        <f>(1+GrowthLowIncRent)^(MAX(0,295-GrowthStartMonth)/12)</f>
        <v/>
      </c>
      <c r="KM7" s="53">
        <f>(1+GrowthLowIncRent)^(MAX(0,296-GrowthStartMonth)/12)</f>
        <v/>
      </c>
      <c r="KN7" s="53">
        <f>(1+GrowthLowIncRent)^(MAX(0,297-GrowthStartMonth)/12)</f>
        <v/>
      </c>
      <c r="KO7" s="53">
        <f>(1+GrowthLowIncRent)^(MAX(0,298-GrowthStartMonth)/12)</f>
        <v/>
      </c>
      <c r="KP7" s="53">
        <f>(1+GrowthLowIncRent)^(MAX(0,299-GrowthStartMonth)/12)</f>
        <v/>
      </c>
      <c r="KQ7" s="53">
        <f>(1+GrowthLowIncRent)^(MAX(0,300-GrowthStartMonth)/12)</f>
        <v/>
      </c>
      <c r="KR7" s="53">
        <f>(1+GrowthLowIncRent)^(MAX(0,301-GrowthStartMonth)/12)</f>
        <v/>
      </c>
      <c r="KS7" s="53">
        <f>(1+GrowthLowIncRent)^(MAX(0,302-GrowthStartMonth)/12)</f>
        <v/>
      </c>
      <c r="KT7" s="53">
        <f>(1+GrowthLowIncRent)^(MAX(0,303-GrowthStartMonth)/12)</f>
        <v/>
      </c>
      <c r="KU7" s="53">
        <f>(1+GrowthLowIncRent)^(MAX(0,304-GrowthStartMonth)/12)</f>
        <v/>
      </c>
      <c r="KV7" s="53">
        <f>(1+GrowthLowIncRent)^(MAX(0,305-GrowthStartMonth)/12)</f>
        <v/>
      </c>
      <c r="KW7" s="53">
        <f>(1+GrowthLowIncRent)^(MAX(0,306-GrowthStartMonth)/12)</f>
        <v/>
      </c>
      <c r="KX7" s="53">
        <f>(1+GrowthLowIncRent)^(MAX(0,307-GrowthStartMonth)/12)</f>
        <v/>
      </c>
      <c r="KY7" s="53">
        <f>(1+GrowthLowIncRent)^(MAX(0,308-GrowthStartMonth)/12)</f>
        <v/>
      </c>
      <c r="KZ7" s="53">
        <f>(1+GrowthLowIncRent)^(MAX(0,309-GrowthStartMonth)/12)</f>
        <v/>
      </c>
      <c r="LA7" s="53">
        <f>(1+GrowthLowIncRent)^(MAX(0,310-GrowthStartMonth)/12)</f>
        <v/>
      </c>
      <c r="LB7" s="53">
        <f>(1+GrowthLowIncRent)^(MAX(0,311-GrowthStartMonth)/12)</f>
        <v/>
      </c>
      <c r="LC7" s="53">
        <f>(1+GrowthLowIncRent)^(MAX(0,312-GrowthStartMonth)/12)</f>
        <v/>
      </c>
      <c r="LD7" s="53">
        <f>(1+GrowthLowIncRent)^(MAX(0,313-GrowthStartMonth)/12)</f>
        <v/>
      </c>
      <c r="LE7" s="53">
        <f>(1+GrowthLowIncRent)^(MAX(0,314-GrowthStartMonth)/12)</f>
        <v/>
      </c>
      <c r="LF7" s="53">
        <f>(1+GrowthLowIncRent)^(MAX(0,315-GrowthStartMonth)/12)</f>
        <v/>
      </c>
      <c r="LG7" s="53">
        <f>(1+GrowthLowIncRent)^(MAX(0,316-GrowthStartMonth)/12)</f>
        <v/>
      </c>
      <c r="LH7" s="53">
        <f>(1+GrowthLowIncRent)^(MAX(0,317-GrowthStartMonth)/12)</f>
        <v/>
      </c>
      <c r="LI7" s="53">
        <f>(1+GrowthLowIncRent)^(MAX(0,318-GrowthStartMonth)/12)</f>
        <v/>
      </c>
      <c r="LJ7" s="53">
        <f>(1+GrowthLowIncRent)^(MAX(0,319-GrowthStartMonth)/12)</f>
        <v/>
      </c>
      <c r="LK7" s="53">
        <f>(1+GrowthLowIncRent)^(MAX(0,320-GrowthStartMonth)/12)</f>
        <v/>
      </c>
      <c r="LL7" s="53">
        <f>(1+GrowthLowIncRent)^(MAX(0,321-GrowthStartMonth)/12)</f>
        <v/>
      </c>
      <c r="LM7" s="53">
        <f>(1+GrowthLowIncRent)^(MAX(0,322-GrowthStartMonth)/12)</f>
        <v/>
      </c>
      <c r="LN7" s="53">
        <f>(1+GrowthLowIncRent)^(MAX(0,323-GrowthStartMonth)/12)</f>
        <v/>
      </c>
      <c r="LO7" s="53">
        <f>(1+GrowthLowIncRent)^(MAX(0,324-GrowthStartMonth)/12)</f>
        <v/>
      </c>
      <c r="LP7" s="53">
        <f>(1+GrowthLowIncRent)^(MAX(0,325-GrowthStartMonth)/12)</f>
        <v/>
      </c>
      <c r="LQ7" s="53">
        <f>(1+GrowthLowIncRent)^(MAX(0,326-GrowthStartMonth)/12)</f>
        <v/>
      </c>
      <c r="LR7" s="53">
        <f>(1+GrowthLowIncRent)^(MAX(0,327-GrowthStartMonth)/12)</f>
        <v/>
      </c>
      <c r="LS7" s="53">
        <f>(1+GrowthLowIncRent)^(MAX(0,328-GrowthStartMonth)/12)</f>
        <v/>
      </c>
      <c r="LT7" s="53">
        <f>(1+GrowthLowIncRent)^(MAX(0,329-GrowthStartMonth)/12)</f>
        <v/>
      </c>
      <c r="LU7" s="53">
        <f>(1+GrowthLowIncRent)^(MAX(0,330-GrowthStartMonth)/12)</f>
        <v/>
      </c>
      <c r="LV7" s="53">
        <f>(1+GrowthLowIncRent)^(MAX(0,331-GrowthStartMonth)/12)</f>
        <v/>
      </c>
      <c r="LW7" s="53">
        <f>(1+GrowthLowIncRent)^(MAX(0,332-GrowthStartMonth)/12)</f>
        <v/>
      </c>
      <c r="LX7" s="53">
        <f>(1+GrowthLowIncRent)^(MAX(0,333-GrowthStartMonth)/12)</f>
        <v/>
      </c>
      <c r="LY7" s="53">
        <f>(1+GrowthLowIncRent)^(MAX(0,334-GrowthStartMonth)/12)</f>
        <v/>
      </c>
      <c r="LZ7" s="53">
        <f>(1+GrowthLowIncRent)^(MAX(0,335-GrowthStartMonth)/12)</f>
        <v/>
      </c>
      <c r="MA7" s="53">
        <f>(1+GrowthLowIncRent)^(MAX(0,336-GrowthStartMonth)/12)</f>
        <v/>
      </c>
      <c r="MB7" s="53">
        <f>(1+GrowthLowIncRent)^(MAX(0,337-GrowthStartMonth)/12)</f>
        <v/>
      </c>
      <c r="MC7" s="53">
        <f>(1+GrowthLowIncRent)^(MAX(0,338-GrowthStartMonth)/12)</f>
        <v/>
      </c>
      <c r="MD7" s="53">
        <f>(1+GrowthLowIncRent)^(MAX(0,339-GrowthStartMonth)/12)</f>
        <v/>
      </c>
      <c r="ME7" s="53">
        <f>(1+GrowthLowIncRent)^(MAX(0,340-GrowthStartMonth)/12)</f>
        <v/>
      </c>
      <c r="MF7" s="53">
        <f>(1+GrowthLowIncRent)^(MAX(0,341-GrowthStartMonth)/12)</f>
        <v/>
      </c>
      <c r="MG7" s="53">
        <f>(1+GrowthLowIncRent)^(MAX(0,342-GrowthStartMonth)/12)</f>
        <v/>
      </c>
      <c r="MH7" s="53">
        <f>(1+GrowthLowIncRent)^(MAX(0,343-GrowthStartMonth)/12)</f>
        <v/>
      </c>
      <c r="MI7" s="53">
        <f>(1+GrowthLowIncRent)^(MAX(0,344-GrowthStartMonth)/12)</f>
        <v/>
      </c>
      <c r="MJ7" s="53">
        <f>(1+GrowthLowIncRent)^(MAX(0,345-GrowthStartMonth)/12)</f>
        <v/>
      </c>
      <c r="MK7" s="53">
        <f>(1+GrowthLowIncRent)^(MAX(0,346-GrowthStartMonth)/12)</f>
        <v/>
      </c>
      <c r="ML7" s="53">
        <f>(1+GrowthLowIncRent)^(MAX(0,347-GrowthStartMonth)/12)</f>
        <v/>
      </c>
      <c r="MM7" s="53">
        <f>(1+GrowthLowIncRent)^(MAX(0,348-GrowthStartMonth)/12)</f>
        <v/>
      </c>
      <c r="MN7" s="53">
        <f>(1+GrowthLowIncRent)^(MAX(0,349-GrowthStartMonth)/12)</f>
        <v/>
      </c>
      <c r="MO7" s="53">
        <f>(1+GrowthLowIncRent)^(MAX(0,350-GrowthStartMonth)/12)</f>
        <v/>
      </c>
      <c r="MP7" s="53">
        <f>(1+GrowthLowIncRent)^(MAX(0,351-GrowthStartMonth)/12)</f>
        <v/>
      </c>
      <c r="MQ7" s="53">
        <f>(1+GrowthLowIncRent)^(MAX(0,352-GrowthStartMonth)/12)</f>
        <v/>
      </c>
      <c r="MR7" s="53">
        <f>(1+GrowthLowIncRent)^(MAX(0,353-GrowthStartMonth)/12)</f>
        <v/>
      </c>
      <c r="MS7" s="53">
        <f>(1+GrowthLowIncRent)^(MAX(0,354-GrowthStartMonth)/12)</f>
        <v/>
      </c>
      <c r="MT7" s="53">
        <f>(1+GrowthLowIncRent)^(MAX(0,355-GrowthStartMonth)/12)</f>
        <v/>
      </c>
      <c r="MU7" s="53">
        <f>(1+GrowthLowIncRent)^(MAX(0,356-GrowthStartMonth)/12)</f>
        <v/>
      </c>
      <c r="MV7" s="53">
        <f>(1+GrowthLowIncRent)^(MAX(0,357-GrowthStartMonth)/12)</f>
        <v/>
      </c>
      <c r="MW7" s="53">
        <f>(1+GrowthLowIncRent)^(MAX(0,358-GrowthStartMonth)/12)</f>
        <v/>
      </c>
      <c r="MX7" s="53">
        <f>(1+GrowthLowIncRent)^(MAX(0,359-GrowthStartMonth)/12)</f>
        <v/>
      </c>
      <c r="MY7" s="53">
        <f>(1+GrowthLowIncRent)^(MAX(0,360-GrowthStartMonth)/12)</f>
        <v/>
      </c>
      <c r="MZ7" s="53">
        <f>(1+GrowthLowIncRent)^(MAX(0,361-GrowthStartMonth)/12)</f>
        <v/>
      </c>
      <c r="NA7" s="53">
        <f>(1+GrowthLowIncRent)^(MAX(0,362-GrowthStartMonth)/12)</f>
        <v/>
      </c>
      <c r="NB7" s="53">
        <f>(1+GrowthLowIncRent)^(MAX(0,363-GrowthStartMonth)/12)</f>
        <v/>
      </c>
      <c r="NC7" s="53">
        <f>(1+GrowthLowIncRent)^(MAX(0,364-GrowthStartMonth)/12)</f>
        <v/>
      </c>
      <c r="ND7" s="53">
        <f>(1+GrowthLowIncRent)^(MAX(0,365-GrowthStartMonth)/12)</f>
        <v/>
      </c>
      <c r="NE7" s="53">
        <f>(1+GrowthLowIncRent)^(MAX(0,366-GrowthStartMonth)/12)</f>
        <v/>
      </c>
      <c r="NF7" s="53">
        <f>(1+GrowthLowIncRent)^(MAX(0,367-GrowthStartMonth)/12)</f>
        <v/>
      </c>
      <c r="NG7" s="53">
        <f>(1+GrowthLowIncRent)^(MAX(0,368-GrowthStartMonth)/12)</f>
        <v/>
      </c>
      <c r="NH7" s="53">
        <f>(1+GrowthLowIncRent)^(MAX(0,369-GrowthStartMonth)/12)</f>
        <v/>
      </c>
      <c r="NI7" s="53">
        <f>(1+GrowthLowIncRent)^(MAX(0,370-GrowthStartMonth)/12)</f>
        <v/>
      </c>
      <c r="NJ7" s="53">
        <f>(1+GrowthLowIncRent)^(MAX(0,371-GrowthStartMonth)/12)</f>
        <v/>
      </c>
      <c r="NK7" s="53">
        <f>(1+GrowthLowIncRent)^(MAX(0,372-GrowthStartMonth)/12)</f>
        <v/>
      </c>
    </row>
    <row r="8">
      <c r="A8" s="5" t="inlineStr">
        <is>
          <t>Growth Factor — Expense</t>
        </is>
      </c>
      <c r="C8" s="52" t="n"/>
      <c r="D8" s="53">
        <f>(1+GrowthExpense)^(MAX(0,1-GrowthStartMonth)/12)</f>
        <v/>
      </c>
      <c r="E8" s="53">
        <f>(1+GrowthExpense)^(MAX(0,2-GrowthStartMonth)/12)</f>
        <v/>
      </c>
      <c r="F8" s="53">
        <f>(1+GrowthExpense)^(MAX(0,3-GrowthStartMonth)/12)</f>
        <v/>
      </c>
      <c r="G8" s="53">
        <f>(1+GrowthExpense)^(MAX(0,4-GrowthStartMonth)/12)</f>
        <v/>
      </c>
      <c r="H8" s="53">
        <f>(1+GrowthExpense)^(MAX(0,5-GrowthStartMonth)/12)</f>
        <v/>
      </c>
      <c r="I8" s="53">
        <f>(1+GrowthExpense)^(MAX(0,6-GrowthStartMonth)/12)</f>
        <v/>
      </c>
      <c r="J8" s="53">
        <f>(1+GrowthExpense)^(MAX(0,7-GrowthStartMonth)/12)</f>
        <v/>
      </c>
      <c r="K8" s="53">
        <f>(1+GrowthExpense)^(MAX(0,8-GrowthStartMonth)/12)</f>
        <v/>
      </c>
      <c r="L8" s="53">
        <f>(1+GrowthExpense)^(MAX(0,9-GrowthStartMonth)/12)</f>
        <v/>
      </c>
      <c r="M8" s="53">
        <f>(1+GrowthExpense)^(MAX(0,10-GrowthStartMonth)/12)</f>
        <v/>
      </c>
      <c r="N8" s="53">
        <f>(1+GrowthExpense)^(MAX(0,11-GrowthStartMonth)/12)</f>
        <v/>
      </c>
      <c r="O8" s="53">
        <f>(1+GrowthExpense)^(MAX(0,12-GrowthStartMonth)/12)</f>
        <v/>
      </c>
      <c r="P8" s="53">
        <f>(1+GrowthExpense)^(MAX(0,13-GrowthStartMonth)/12)</f>
        <v/>
      </c>
      <c r="Q8" s="53">
        <f>(1+GrowthExpense)^(MAX(0,14-GrowthStartMonth)/12)</f>
        <v/>
      </c>
      <c r="R8" s="53">
        <f>(1+GrowthExpense)^(MAX(0,15-GrowthStartMonth)/12)</f>
        <v/>
      </c>
      <c r="S8" s="53">
        <f>(1+GrowthExpense)^(MAX(0,16-GrowthStartMonth)/12)</f>
        <v/>
      </c>
      <c r="T8" s="53">
        <f>(1+GrowthExpense)^(MAX(0,17-GrowthStartMonth)/12)</f>
        <v/>
      </c>
      <c r="U8" s="53">
        <f>(1+GrowthExpense)^(MAX(0,18-GrowthStartMonth)/12)</f>
        <v/>
      </c>
      <c r="V8" s="53">
        <f>(1+GrowthExpense)^(MAX(0,19-GrowthStartMonth)/12)</f>
        <v/>
      </c>
      <c r="W8" s="53">
        <f>(1+GrowthExpense)^(MAX(0,20-GrowthStartMonth)/12)</f>
        <v/>
      </c>
      <c r="X8" s="53">
        <f>(1+GrowthExpense)^(MAX(0,21-GrowthStartMonth)/12)</f>
        <v/>
      </c>
      <c r="Y8" s="53">
        <f>(1+GrowthExpense)^(MAX(0,22-GrowthStartMonth)/12)</f>
        <v/>
      </c>
      <c r="Z8" s="53">
        <f>(1+GrowthExpense)^(MAX(0,23-GrowthStartMonth)/12)</f>
        <v/>
      </c>
      <c r="AA8" s="53">
        <f>(1+GrowthExpense)^(MAX(0,24-GrowthStartMonth)/12)</f>
        <v/>
      </c>
      <c r="AB8" s="53">
        <f>(1+GrowthExpense)^(MAX(0,25-GrowthStartMonth)/12)</f>
        <v/>
      </c>
      <c r="AC8" s="53">
        <f>(1+GrowthExpense)^(MAX(0,26-GrowthStartMonth)/12)</f>
        <v/>
      </c>
      <c r="AD8" s="53">
        <f>(1+GrowthExpense)^(MAX(0,27-GrowthStartMonth)/12)</f>
        <v/>
      </c>
      <c r="AE8" s="53">
        <f>(1+GrowthExpense)^(MAX(0,28-GrowthStartMonth)/12)</f>
        <v/>
      </c>
      <c r="AF8" s="53">
        <f>(1+GrowthExpense)^(MAX(0,29-GrowthStartMonth)/12)</f>
        <v/>
      </c>
      <c r="AG8" s="53">
        <f>(1+GrowthExpense)^(MAX(0,30-GrowthStartMonth)/12)</f>
        <v/>
      </c>
      <c r="AH8" s="53">
        <f>(1+GrowthExpense)^(MAX(0,31-GrowthStartMonth)/12)</f>
        <v/>
      </c>
      <c r="AI8" s="53">
        <f>(1+GrowthExpense)^(MAX(0,32-GrowthStartMonth)/12)</f>
        <v/>
      </c>
      <c r="AJ8" s="53">
        <f>(1+GrowthExpense)^(MAX(0,33-GrowthStartMonth)/12)</f>
        <v/>
      </c>
      <c r="AK8" s="53">
        <f>(1+GrowthExpense)^(MAX(0,34-GrowthStartMonth)/12)</f>
        <v/>
      </c>
      <c r="AL8" s="53">
        <f>(1+GrowthExpense)^(MAX(0,35-GrowthStartMonth)/12)</f>
        <v/>
      </c>
      <c r="AM8" s="53">
        <f>(1+GrowthExpense)^(MAX(0,36-GrowthStartMonth)/12)</f>
        <v/>
      </c>
      <c r="AN8" s="53">
        <f>(1+GrowthExpense)^(MAX(0,37-GrowthStartMonth)/12)</f>
        <v/>
      </c>
      <c r="AO8" s="53">
        <f>(1+GrowthExpense)^(MAX(0,38-GrowthStartMonth)/12)</f>
        <v/>
      </c>
      <c r="AP8" s="53">
        <f>(1+GrowthExpense)^(MAX(0,39-GrowthStartMonth)/12)</f>
        <v/>
      </c>
      <c r="AQ8" s="53">
        <f>(1+GrowthExpense)^(MAX(0,40-GrowthStartMonth)/12)</f>
        <v/>
      </c>
      <c r="AR8" s="53">
        <f>(1+GrowthExpense)^(MAX(0,41-GrowthStartMonth)/12)</f>
        <v/>
      </c>
      <c r="AS8" s="53">
        <f>(1+GrowthExpense)^(MAX(0,42-GrowthStartMonth)/12)</f>
        <v/>
      </c>
      <c r="AT8" s="53">
        <f>(1+GrowthExpense)^(MAX(0,43-GrowthStartMonth)/12)</f>
        <v/>
      </c>
      <c r="AU8" s="53">
        <f>(1+GrowthExpense)^(MAX(0,44-GrowthStartMonth)/12)</f>
        <v/>
      </c>
      <c r="AV8" s="53">
        <f>(1+GrowthExpense)^(MAX(0,45-GrowthStartMonth)/12)</f>
        <v/>
      </c>
      <c r="AW8" s="53">
        <f>(1+GrowthExpense)^(MAX(0,46-GrowthStartMonth)/12)</f>
        <v/>
      </c>
      <c r="AX8" s="53">
        <f>(1+GrowthExpense)^(MAX(0,47-GrowthStartMonth)/12)</f>
        <v/>
      </c>
      <c r="AY8" s="53">
        <f>(1+GrowthExpense)^(MAX(0,48-GrowthStartMonth)/12)</f>
        <v/>
      </c>
      <c r="AZ8" s="53">
        <f>(1+GrowthExpense)^(MAX(0,49-GrowthStartMonth)/12)</f>
        <v/>
      </c>
      <c r="BA8" s="53">
        <f>(1+GrowthExpense)^(MAX(0,50-GrowthStartMonth)/12)</f>
        <v/>
      </c>
      <c r="BB8" s="53">
        <f>(1+GrowthExpense)^(MAX(0,51-GrowthStartMonth)/12)</f>
        <v/>
      </c>
      <c r="BC8" s="53">
        <f>(1+GrowthExpense)^(MAX(0,52-GrowthStartMonth)/12)</f>
        <v/>
      </c>
      <c r="BD8" s="53">
        <f>(1+GrowthExpense)^(MAX(0,53-GrowthStartMonth)/12)</f>
        <v/>
      </c>
      <c r="BE8" s="53">
        <f>(1+GrowthExpense)^(MAX(0,54-GrowthStartMonth)/12)</f>
        <v/>
      </c>
      <c r="BF8" s="53">
        <f>(1+GrowthExpense)^(MAX(0,55-GrowthStartMonth)/12)</f>
        <v/>
      </c>
      <c r="BG8" s="53">
        <f>(1+GrowthExpense)^(MAX(0,56-GrowthStartMonth)/12)</f>
        <v/>
      </c>
      <c r="BH8" s="53">
        <f>(1+GrowthExpense)^(MAX(0,57-GrowthStartMonth)/12)</f>
        <v/>
      </c>
      <c r="BI8" s="53">
        <f>(1+GrowthExpense)^(MAX(0,58-GrowthStartMonth)/12)</f>
        <v/>
      </c>
      <c r="BJ8" s="53">
        <f>(1+GrowthExpense)^(MAX(0,59-GrowthStartMonth)/12)</f>
        <v/>
      </c>
      <c r="BK8" s="53">
        <f>(1+GrowthExpense)^(MAX(0,60-GrowthStartMonth)/12)</f>
        <v/>
      </c>
      <c r="BL8" s="53">
        <f>(1+GrowthExpense)^(MAX(0,61-GrowthStartMonth)/12)</f>
        <v/>
      </c>
      <c r="BM8" s="53">
        <f>(1+GrowthExpense)^(MAX(0,62-GrowthStartMonth)/12)</f>
        <v/>
      </c>
      <c r="BN8" s="53">
        <f>(1+GrowthExpense)^(MAX(0,63-GrowthStartMonth)/12)</f>
        <v/>
      </c>
      <c r="BO8" s="53">
        <f>(1+GrowthExpense)^(MAX(0,64-GrowthStartMonth)/12)</f>
        <v/>
      </c>
      <c r="BP8" s="53">
        <f>(1+GrowthExpense)^(MAX(0,65-GrowthStartMonth)/12)</f>
        <v/>
      </c>
      <c r="BQ8" s="53">
        <f>(1+GrowthExpense)^(MAX(0,66-GrowthStartMonth)/12)</f>
        <v/>
      </c>
      <c r="BR8" s="53">
        <f>(1+GrowthExpense)^(MAX(0,67-GrowthStartMonth)/12)</f>
        <v/>
      </c>
      <c r="BS8" s="53">
        <f>(1+GrowthExpense)^(MAX(0,68-GrowthStartMonth)/12)</f>
        <v/>
      </c>
      <c r="BT8" s="53">
        <f>(1+GrowthExpense)^(MAX(0,69-GrowthStartMonth)/12)</f>
        <v/>
      </c>
      <c r="BU8" s="53">
        <f>(1+GrowthExpense)^(MAX(0,70-GrowthStartMonth)/12)</f>
        <v/>
      </c>
      <c r="BV8" s="53">
        <f>(1+GrowthExpense)^(MAX(0,71-GrowthStartMonth)/12)</f>
        <v/>
      </c>
      <c r="BW8" s="53">
        <f>(1+GrowthExpense)^(MAX(0,72-GrowthStartMonth)/12)</f>
        <v/>
      </c>
      <c r="BX8" s="53">
        <f>(1+GrowthExpense)^(MAX(0,73-GrowthStartMonth)/12)</f>
        <v/>
      </c>
      <c r="BY8" s="53">
        <f>(1+GrowthExpense)^(MAX(0,74-GrowthStartMonth)/12)</f>
        <v/>
      </c>
      <c r="BZ8" s="53">
        <f>(1+GrowthExpense)^(MAX(0,75-GrowthStartMonth)/12)</f>
        <v/>
      </c>
      <c r="CA8" s="53">
        <f>(1+GrowthExpense)^(MAX(0,76-GrowthStartMonth)/12)</f>
        <v/>
      </c>
      <c r="CB8" s="53">
        <f>(1+GrowthExpense)^(MAX(0,77-GrowthStartMonth)/12)</f>
        <v/>
      </c>
      <c r="CC8" s="53">
        <f>(1+GrowthExpense)^(MAX(0,78-GrowthStartMonth)/12)</f>
        <v/>
      </c>
      <c r="CD8" s="53">
        <f>(1+GrowthExpense)^(MAX(0,79-GrowthStartMonth)/12)</f>
        <v/>
      </c>
      <c r="CE8" s="53">
        <f>(1+GrowthExpense)^(MAX(0,80-GrowthStartMonth)/12)</f>
        <v/>
      </c>
      <c r="CF8" s="53">
        <f>(1+GrowthExpense)^(MAX(0,81-GrowthStartMonth)/12)</f>
        <v/>
      </c>
      <c r="CG8" s="53">
        <f>(1+GrowthExpense)^(MAX(0,82-GrowthStartMonth)/12)</f>
        <v/>
      </c>
      <c r="CH8" s="53">
        <f>(1+GrowthExpense)^(MAX(0,83-GrowthStartMonth)/12)</f>
        <v/>
      </c>
      <c r="CI8" s="53">
        <f>(1+GrowthExpense)^(MAX(0,84-GrowthStartMonth)/12)</f>
        <v/>
      </c>
      <c r="CJ8" s="53">
        <f>(1+GrowthExpense)^(MAX(0,85-GrowthStartMonth)/12)</f>
        <v/>
      </c>
      <c r="CK8" s="53">
        <f>(1+GrowthExpense)^(MAX(0,86-GrowthStartMonth)/12)</f>
        <v/>
      </c>
      <c r="CL8" s="53">
        <f>(1+GrowthExpense)^(MAX(0,87-GrowthStartMonth)/12)</f>
        <v/>
      </c>
      <c r="CM8" s="53">
        <f>(1+GrowthExpense)^(MAX(0,88-GrowthStartMonth)/12)</f>
        <v/>
      </c>
      <c r="CN8" s="53">
        <f>(1+GrowthExpense)^(MAX(0,89-GrowthStartMonth)/12)</f>
        <v/>
      </c>
      <c r="CO8" s="53">
        <f>(1+GrowthExpense)^(MAX(0,90-GrowthStartMonth)/12)</f>
        <v/>
      </c>
      <c r="CP8" s="53">
        <f>(1+GrowthExpense)^(MAX(0,91-GrowthStartMonth)/12)</f>
        <v/>
      </c>
      <c r="CQ8" s="53">
        <f>(1+GrowthExpense)^(MAX(0,92-GrowthStartMonth)/12)</f>
        <v/>
      </c>
      <c r="CR8" s="53">
        <f>(1+GrowthExpense)^(MAX(0,93-GrowthStartMonth)/12)</f>
        <v/>
      </c>
      <c r="CS8" s="53">
        <f>(1+GrowthExpense)^(MAX(0,94-GrowthStartMonth)/12)</f>
        <v/>
      </c>
      <c r="CT8" s="53">
        <f>(1+GrowthExpense)^(MAX(0,95-GrowthStartMonth)/12)</f>
        <v/>
      </c>
      <c r="CU8" s="53">
        <f>(1+GrowthExpense)^(MAX(0,96-GrowthStartMonth)/12)</f>
        <v/>
      </c>
      <c r="CV8" s="53">
        <f>(1+GrowthExpense)^(MAX(0,97-GrowthStartMonth)/12)</f>
        <v/>
      </c>
      <c r="CW8" s="53">
        <f>(1+GrowthExpense)^(MAX(0,98-GrowthStartMonth)/12)</f>
        <v/>
      </c>
      <c r="CX8" s="53">
        <f>(1+GrowthExpense)^(MAX(0,99-GrowthStartMonth)/12)</f>
        <v/>
      </c>
      <c r="CY8" s="53">
        <f>(1+GrowthExpense)^(MAX(0,100-GrowthStartMonth)/12)</f>
        <v/>
      </c>
      <c r="CZ8" s="53">
        <f>(1+GrowthExpense)^(MAX(0,101-GrowthStartMonth)/12)</f>
        <v/>
      </c>
      <c r="DA8" s="53">
        <f>(1+GrowthExpense)^(MAX(0,102-GrowthStartMonth)/12)</f>
        <v/>
      </c>
      <c r="DB8" s="53">
        <f>(1+GrowthExpense)^(MAX(0,103-GrowthStartMonth)/12)</f>
        <v/>
      </c>
      <c r="DC8" s="53">
        <f>(1+GrowthExpense)^(MAX(0,104-GrowthStartMonth)/12)</f>
        <v/>
      </c>
      <c r="DD8" s="53">
        <f>(1+GrowthExpense)^(MAX(0,105-GrowthStartMonth)/12)</f>
        <v/>
      </c>
      <c r="DE8" s="53">
        <f>(1+GrowthExpense)^(MAX(0,106-GrowthStartMonth)/12)</f>
        <v/>
      </c>
      <c r="DF8" s="53">
        <f>(1+GrowthExpense)^(MAX(0,107-GrowthStartMonth)/12)</f>
        <v/>
      </c>
      <c r="DG8" s="53">
        <f>(1+GrowthExpense)^(MAX(0,108-GrowthStartMonth)/12)</f>
        <v/>
      </c>
      <c r="DH8" s="53">
        <f>(1+GrowthExpense)^(MAX(0,109-GrowthStartMonth)/12)</f>
        <v/>
      </c>
      <c r="DI8" s="53">
        <f>(1+GrowthExpense)^(MAX(0,110-GrowthStartMonth)/12)</f>
        <v/>
      </c>
      <c r="DJ8" s="53">
        <f>(1+GrowthExpense)^(MAX(0,111-GrowthStartMonth)/12)</f>
        <v/>
      </c>
      <c r="DK8" s="53">
        <f>(1+GrowthExpense)^(MAX(0,112-GrowthStartMonth)/12)</f>
        <v/>
      </c>
      <c r="DL8" s="53">
        <f>(1+GrowthExpense)^(MAX(0,113-GrowthStartMonth)/12)</f>
        <v/>
      </c>
      <c r="DM8" s="53">
        <f>(1+GrowthExpense)^(MAX(0,114-GrowthStartMonth)/12)</f>
        <v/>
      </c>
      <c r="DN8" s="53">
        <f>(1+GrowthExpense)^(MAX(0,115-GrowthStartMonth)/12)</f>
        <v/>
      </c>
      <c r="DO8" s="53">
        <f>(1+GrowthExpense)^(MAX(0,116-GrowthStartMonth)/12)</f>
        <v/>
      </c>
      <c r="DP8" s="53">
        <f>(1+GrowthExpense)^(MAX(0,117-GrowthStartMonth)/12)</f>
        <v/>
      </c>
      <c r="DQ8" s="53">
        <f>(1+GrowthExpense)^(MAX(0,118-GrowthStartMonth)/12)</f>
        <v/>
      </c>
      <c r="DR8" s="53">
        <f>(1+GrowthExpense)^(MAX(0,119-GrowthStartMonth)/12)</f>
        <v/>
      </c>
      <c r="DS8" s="53">
        <f>(1+GrowthExpense)^(MAX(0,120-GrowthStartMonth)/12)</f>
        <v/>
      </c>
      <c r="DT8" s="53">
        <f>(1+GrowthExpense)^(MAX(0,121-GrowthStartMonth)/12)</f>
        <v/>
      </c>
      <c r="DU8" s="53">
        <f>(1+GrowthExpense)^(MAX(0,122-GrowthStartMonth)/12)</f>
        <v/>
      </c>
      <c r="DV8" s="53">
        <f>(1+GrowthExpense)^(MAX(0,123-GrowthStartMonth)/12)</f>
        <v/>
      </c>
      <c r="DW8" s="53">
        <f>(1+GrowthExpense)^(MAX(0,124-GrowthStartMonth)/12)</f>
        <v/>
      </c>
      <c r="DX8" s="53">
        <f>(1+GrowthExpense)^(MAX(0,125-GrowthStartMonth)/12)</f>
        <v/>
      </c>
      <c r="DY8" s="53">
        <f>(1+GrowthExpense)^(MAX(0,126-GrowthStartMonth)/12)</f>
        <v/>
      </c>
      <c r="DZ8" s="53">
        <f>(1+GrowthExpense)^(MAX(0,127-GrowthStartMonth)/12)</f>
        <v/>
      </c>
      <c r="EA8" s="53">
        <f>(1+GrowthExpense)^(MAX(0,128-GrowthStartMonth)/12)</f>
        <v/>
      </c>
      <c r="EB8" s="53">
        <f>(1+GrowthExpense)^(MAX(0,129-GrowthStartMonth)/12)</f>
        <v/>
      </c>
      <c r="EC8" s="53">
        <f>(1+GrowthExpense)^(MAX(0,130-GrowthStartMonth)/12)</f>
        <v/>
      </c>
      <c r="ED8" s="53">
        <f>(1+GrowthExpense)^(MAX(0,131-GrowthStartMonth)/12)</f>
        <v/>
      </c>
      <c r="EE8" s="53">
        <f>(1+GrowthExpense)^(MAX(0,132-GrowthStartMonth)/12)</f>
        <v/>
      </c>
      <c r="EF8" s="53">
        <f>(1+GrowthExpense)^(MAX(0,133-GrowthStartMonth)/12)</f>
        <v/>
      </c>
      <c r="EG8" s="53">
        <f>(1+GrowthExpense)^(MAX(0,134-GrowthStartMonth)/12)</f>
        <v/>
      </c>
      <c r="EH8" s="53">
        <f>(1+GrowthExpense)^(MAX(0,135-GrowthStartMonth)/12)</f>
        <v/>
      </c>
      <c r="EI8" s="53">
        <f>(1+GrowthExpense)^(MAX(0,136-GrowthStartMonth)/12)</f>
        <v/>
      </c>
      <c r="EJ8" s="53">
        <f>(1+GrowthExpense)^(MAX(0,137-GrowthStartMonth)/12)</f>
        <v/>
      </c>
      <c r="EK8" s="53">
        <f>(1+GrowthExpense)^(MAX(0,138-GrowthStartMonth)/12)</f>
        <v/>
      </c>
      <c r="EL8" s="53">
        <f>(1+GrowthExpense)^(MAX(0,139-GrowthStartMonth)/12)</f>
        <v/>
      </c>
      <c r="EM8" s="53">
        <f>(1+GrowthExpense)^(MAX(0,140-GrowthStartMonth)/12)</f>
        <v/>
      </c>
      <c r="EN8" s="53">
        <f>(1+GrowthExpense)^(MAX(0,141-GrowthStartMonth)/12)</f>
        <v/>
      </c>
      <c r="EO8" s="53">
        <f>(1+GrowthExpense)^(MAX(0,142-GrowthStartMonth)/12)</f>
        <v/>
      </c>
      <c r="EP8" s="53">
        <f>(1+GrowthExpense)^(MAX(0,143-GrowthStartMonth)/12)</f>
        <v/>
      </c>
      <c r="EQ8" s="53">
        <f>(1+GrowthExpense)^(MAX(0,144-GrowthStartMonth)/12)</f>
        <v/>
      </c>
      <c r="ER8" s="53">
        <f>(1+GrowthExpense)^(MAX(0,145-GrowthStartMonth)/12)</f>
        <v/>
      </c>
      <c r="ES8" s="53">
        <f>(1+GrowthExpense)^(MAX(0,146-GrowthStartMonth)/12)</f>
        <v/>
      </c>
      <c r="ET8" s="53">
        <f>(1+GrowthExpense)^(MAX(0,147-GrowthStartMonth)/12)</f>
        <v/>
      </c>
      <c r="EU8" s="53">
        <f>(1+GrowthExpense)^(MAX(0,148-GrowthStartMonth)/12)</f>
        <v/>
      </c>
      <c r="EV8" s="53">
        <f>(1+GrowthExpense)^(MAX(0,149-GrowthStartMonth)/12)</f>
        <v/>
      </c>
      <c r="EW8" s="53">
        <f>(1+GrowthExpense)^(MAX(0,150-GrowthStartMonth)/12)</f>
        <v/>
      </c>
      <c r="EX8" s="53">
        <f>(1+GrowthExpense)^(MAX(0,151-GrowthStartMonth)/12)</f>
        <v/>
      </c>
      <c r="EY8" s="53">
        <f>(1+GrowthExpense)^(MAX(0,152-GrowthStartMonth)/12)</f>
        <v/>
      </c>
      <c r="EZ8" s="53">
        <f>(1+GrowthExpense)^(MAX(0,153-GrowthStartMonth)/12)</f>
        <v/>
      </c>
      <c r="FA8" s="53">
        <f>(1+GrowthExpense)^(MAX(0,154-GrowthStartMonth)/12)</f>
        <v/>
      </c>
      <c r="FB8" s="53">
        <f>(1+GrowthExpense)^(MAX(0,155-GrowthStartMonth)/12)</f>
        <v/>
      </c>
      <c r="FC8" s="53">
        <f>(1+GrowthExpense)^(MAX(0,156-GrowthStartMonth)/12)</f>
        <v/>
      </c>
      <c r="FD8" s="53">
        <f>(1+GrowthExpense)^(MAX(0,157-GrowthStartMonth)/12)</f>
        <v/>
      </c>
      <c r="FE8" s="53">
        <f>(1+GrowthExpense)^(MAX(0,158-GrowthStartMonth)/12)</f>
        <v/>
      </c>
      <c r="FF8" s="53">
        <f>(1+GrowthExpense)^(MAX(0,159-GrowthStartMonth)/12)</f>
        <v/>
      </c>
      <c r="FG8" s="53">
        <f>(1+GrowthExpense)^(MAX(0,160-GrowthStartMonth)/12)</f>
        <v/>
      </c>
      <c r="FH8" s="53">
        <f>(1+GrowthExpense)^(MAX(0,161-GrowthStartMonth)/12)</f>
        <v/>
      </c>
      <c r="FI8" s="53">
        <f>(1+GrowthExpense)^(MAX(0,162-GrowthStartMonth)/12)</f>
        <v/>
      </c>
      <c r="FJ8" s="53">
        <f>(1+GrowthExpense)^(MAX(0,163-GrowthStartMonth)/12)</f>
        <v/>
      </c>
      <c r="FK8" s="53">
        <f>(1+GrowthExpense)^(MAX(0,164-GrowthStartMonth)/12)</f>
        <v/>
      </c>
      <c r="FL8" s="53">
        <f>(1+GrowthExpense)^(MAX(0,165-GrowthStartMonth)/12)</f>
        <v/>
      </c>
      <c r="FM8" s="53">
        <f>(1+GrowthExpense)^(MAX(0,166-GrowthStartMonth)/12)</f>
        <v/>
      </c>
      <c r="FN8" s="53">
        <f>(1+GrowthExpense)^(MAX(0,167-GrowthStartMonth)/12)</f>
        <v/>
      </c>
      <c r="FO8" s="53">
        <f>(1+GrowthExpense)^(MAX(0,168-GrowthStartMonth)/12)</f>
        <v/>
      </c>
      <c r="FP8" s="53">
        <f>(1+GrowthExpense)^(MAX(0,169-GrowthStartMonth)/12)</f>
        <v/>
      </c>
      <c r="FQ8" s="53">
        <f>(1+GrowthExpense)^(MAX(0,170-GrowthStartMonth)/12)</f>
        <v/>
      </c>
      <c r="FR8" s="53">
        <f>(1+GrowthExpense)^(MAX(0,171-GrowthStartMonth)/12)</f>
        <v/>
      </c>
      <c r="FS8" s="53">
        <f>(1+GrowthExpense)^(MAX(0,172-GrowthStartMonth)/12)</f>
        <v/>
      </c>
      <c r="FT8" s="53">
        <f>(1+GrowthExpense)^(MAX(0,173-GrowthStartMonth)/12)</f>
        <v/>
      </c>
      <c r="FU8" s="53">
        <f>(1+GrowthExpense)^(MAX(0,174-GrowthStartMonth)/12)</f>
        <v/>
      </c>
      <c r="FV8" s="53">
        <f>(1+GrowthExpense)^(MAX(0,175-GrowthStartMonth)/12)</f>
        <v/>
      </c>
      <c r="FW8" s="53">
        <f>(1+GrowthExpense)^(MAX(0,176-GrowthStartMonth)/12)</f>
        <v/>
      </c>
      <c r="FX8" s="53">
        <f>(1+GrowthExpense)^(MAX(0,177-GrowthStartMonth)/12)</f>
        <v/>
      </c>
      <c r="FY8" s="53">
        <f>(1+GrowthExpense)^(MAX(0,178-GrowthStartMonth)/12)</f>
        <v/>
      </c>
      <c r="FZ8" s="53">
        <f>(1+GrowthExpense)^(MAX(0,179-GrowthStartMonth)/12)</f>
        <v/>
      </c>
      <c r="GA8" s="53">
        <f>(1+GrowthExpense)^(MAX(0,180-GrowthStartMonth)/12)</f>
        <v/>
      </c>
      <c r="GB8" s="53">
        <f>(1+GrowthExpense)^(MAX(0,181-GrowthStartMonth)/12)</f>
        <v/>
      </c>
      <c r="GC8" s="53">
        <f>(1+GrowthExpense)^(MAX(0,182-GrowthStartMonth)/12)</f>
        <v/>
      </c>
      <c r="GD8" s="53">
        <f>(1+GrowthExpense)^(MAX(0,183-GrowthStartMonth)/12)</f>
        <v/>
      </c>
      <c r="GE8" s="53">
        <f>(1+GrowthExpense)^(MAX(0,184-GrowthStartMonth)/12)</f>
        <v/>
      </c>
      <c r="GF8" s="53">
        <f>(1+GrowthExpense)^(MAX(0,185-GrowthStartMonth)/12)</f>
        <v/>
      </c>
      <c r="GG8" s="53">
        <f>(1+GrowthExpense)^(MAX(0,186-GrowthStartMonth)/12)</f>
        <v/>
      </c>
      <c r="GH8" s="53">
        <f>(1+GrowthExpense)^(MAX(0,187-GrowthStartMonth)/12)</f>
        <v/>
      </c>
      <c r="GI8" s="53">
        <f>(1+GrowthExpense)^(MAX(0,188-GrowthStartMonth)/12)</f>
        <v/>
      </c>
      <c r="GJ8" s="53">
        <f>(1+GrowthExpense)^(MAX(0,189-GrowthStartMonth)/12)</f>
        <v/>
      </c>
      <c r="GK8" s="53">
        <f>(1+GrowthExpense)^(MAX(0,190-GrowthStartMonth)/12)</f>
        <v/>
      </c>
      <c r="GL8" s="53">
        <f>(1+GrowthExpense)^(MAX(0,191-GrowthStartMonth)/12)</f>
        <v/>
      </c>
      <c r="GM8" s="53">
        <f>(1+GrowthExpense)^(MAX(0,192-GrowthStartMonth)/12)</f>
        <v/>
      </c>
      <c r="GN8" s="53">
        <f>(1+GrowthExpense)^(MAX(0,193-GrowthStartMonth)/12)</f>
        <v/>
      </c>
      <c r="GO8" s="53">
        <f>(1+GrowthExpense)^(MAX(0,194-GrowthStartMonth)/12)</f>
        <v/>
      </c>
      <c r="GP8" s="53">
        <f>(1+GrowthExpense)^(MAX(0,195-GrowthStartMonth)/12)</f>
        <v/>
      </c>
      <c r="GQ8" s="53">
        <f>(1+GrowthExpense)^(MAX(0,196-GrowthStartMonth)/12)</f>
        <v/>
      </c>
      <c r="GR8" s="53">
        <f>(1+GrowthExpense)^(MAX(0,197-GrowthStartMonth)/12)</f>
        <v/>
      </c>
      <c r="GS8" s="53">
        <f>(1+GrowthExpense)^(MAX(0,198-GrowthStartMonth)/12)</f>
        <v/>
      </c>
      <c r="GT8" s="53">
        <f>(1+GrowthExpense)^(MAX(0,199-GrowthStartMonth)/12)</f>
        <v/>
      </c>
      <c r="GU8" s="53">
        <f>(1+GrowthExpense)^(MAX(0,200-GrowthStartMonth)/12)</f>
        <v/>
      </c>
      <c r="GV8" s="53">
        <f>(1+GrowthExpense)^(MAX(0,201-GrowthStartMonth)/12)</f>
        <v/>
      </c>
      <c r="GW8" s="53">
        <f>(1+GrowthExpense)^(MAX(0,202-GrowthStartMonth)/12)</f>
        <v/>
      </c>
      <c r="GX8" s="53">
        <f>(1+GrowthExpense)^(MAX(0,203-GrowthStartMonth)/12)</f>
        <v/>
      </c>
      <c r="GY8" s="53">
        <f>(1+GrowthExpense)^(MAX(0,204-GrowthStartMonth)/12)</f>
        <v/>
      </c>
      <c r="GZ8" s="53">
        <f>(1+GrowthExpense)^(MAX(0,205-GrowthStartMonth)/12)</f>
        <v/>
      </c>
      <c r="HA8" s="53">
        <f>(1+GrowthExpense)^(MAX(0,206-GrowthStartMonth)/12)</f>
        <v/>
      </c>
      <c r="HB8" s="53">
        <f>(1+GrowthExpense)^(MAX(0,207-GrowthStartMonth)/12)</f>
        <v/>
      </c>
      <c r="HC8" s="53">
        <f>(1+GrowthExpense)^(MAX(0,208-GrowthStartMonth)/12)</f>
        <v/>
      </c>
      <c r="HD8" s="53">
        <f>(1+GrowthExpense)^(MAX(0,209-GrowthStartMonth)/12)</f>
        <v/>
      </c>
      <c r="HE8" s="53">
        <f>(1+GrowthExpense)^(MAX(0,210-GrowthStartMonth)/12)</f>
        <v/>
      </c>
      <c r="HF8" s="53">
        <f>(1+GrowthExpense)^(MAX(0,211-GrowthStartMonth)/12)</f>
        <v/>
      </c>
      <c r="HG8" s="53">
        <f>(1+GrowthExpense)^(MAX(0,212-GrowthStartMonth)/12)</f>
        <v/>
      </c>
      <c r="HH8" s="53">
        <f>(1+GrowthExpense)^(MAX(0,213-GrowthStartMonth)/12)</f>
        <v/>
      </c>
      <c r="HI8" s="53">
        <f>(1+GrowthExpense)^(MAX(0,214-GrowthStartMonth)/12)</f>
        <v/>
      </c>
      <c r="HJ8" s="53">
        <f>(1+GrowthExpense)^(MAX(0,215-GrowthStartMonth)/12)</f>
        <v/>
      </c>
      <c r="HK8" s="53">
        <f>(1+GrowthExpense)^(MAX(0,216-GrowthStartMonth)/12)</f>
        <v/>
      </c>
      <c r="HL8" s="53">
        <f>(1+GrowthExpense)^(MAX(0,217-GrowthStartMonth)/12)</f>
        <v/>
      </c>
      <c r="HM8" s="53">
        <f>(1+GrowthExpense)^(MAX(0,218-GrowthStartMonth)/12)</f>
        <v/>
      </c>
      <c r="HN8" s="53">
        <f>(1+GrowthExpense)^(MAX(0,219-GrowthStartMonth)/12)</f>
        <v/>
      </c>
      <c r="HO8" s="53">
        <f>(1+GrowthExpense)^(MAX(0,220-GrowthStartMonth)/12)</f>
        <v/>
      </c>
      <c r="HP8" s="53">
        <f>(1+GrowthExpense)^(MAX(0,221-GrowthStartMonth)/12)</f>
        <v/>
      </c>
      <c r="HQ8" s="53">
        <f>(1+GrowthExpense)^(MAX(0,222-GrowthStartMonth)/12)</f>
        <v/>
      </c>
      <c r="HR8" s="53">
        <f>(1+GrowthExpense)^(MAX(0,223-GrowthStartMonth)/12)</f>
        <v/>
      </c>
      <c r="HS8" s="53">
        <f>(1+GrowthExpense)^(MAX(0,224-GrowthStartMonth)/12)</f>
        <v/>
      </c>
      <c r="HT8" s="53">
        <f>(1+GrowthExpense)^(MAX(0,225-GrowthStartMonth)/12)</f>
        <v/>
      </c>
      <c r="HU8" s="53">
        <f>(1+GrowthExpense)^(MAX(0,226-GrowthStartMonth)/12)</f>
        <v/>
      </c>
      <c r="HV8" s="53">
        <f>(1+GrowthExpense)^(MAX(0,227-GrowthStartMonth)/12)</f>
        <v/>
      </c>
      <c r="HW8" s="53">
        <f>(1+GrowthExpense)^(MAX(0,228-GrowthStartMonth)/12)</f>
        <v/>
      </c>
      <c r="HX8" s="53">
        <f>(1+GrowthExpense)^(MAX(0,229-GrowthStartMonth)/12)</f>
        <v/>
      </c>
      <c r="HY8" s="53">
        <f>(1+GrowthExpense)^(MAX(0,230-GrowthStartMonth)/12)</f>
        <v/>
      </c>
      <c r="HZ8" s="53">
        <f>(1+GrowthExpense)^(MAX(0,231-GrowthStartMonth)/12)</f>
        <v/>
      </c>
      <c r="IA8" s="53">
        <f>(1+GrowthExpense)^(MAX(0,232-GrowthStartMonth)/12)</f>
        <v/>
      </c>
      <c r="IB8" s="53">
        <f>(1+GrowthExpense)^(MAX(0,233-GrowthStartMonth)/12)</f>
        <v/>
      </c>
      <c r="IC8" s="53">
        <f>(1+GrowthExpense)^(MAX(0,234-GrowthStartMonth)/12)</f>
        <v/>
      </c>
      <c r="ID8" s="53">
        <f>(1+GrowthExpense)^(MAX(0,235-GrowthStartMonth)/12)</f>
        <v/>
      </c>
      <c r="IE8" s="53">
        <f>(1+GrowthExpense)^(MAX(0,236-GrowthStartMonth)/12)</f>
        <v/>
      </c>
      <c r="IF8" s="53">
        <f>(1+GrowthExpense)^(MAX(0,237-GrowthStartMonth)/12)</f>
        <v/>
      </c>
      <c r="IG8" s="53">
        <f>(1+GrowthExpense)^(MAX(0,238-GrowthStartMonth)/12)</f>
        <v/>
      </c>
      <c r="IH8" s="53">
        <f>(1+GrowthExpense)^(MAX(0,239-GrowthStartMonth)/12)</f>
        <v/>
      </c>
      <c r="II8" s="53">
        <f>(1+GrowthExpense)^(MAX(0,240-GrowthStartMonth)/12)</f>
        <v/>
      </c>
      <c r="IJ8" s="53">
        <f>(1+GrowthExpense)^(MAX(0,241-GrowthStartMonth)/12)</f>
        <v/>
      </c>
      <c r="IK8" s="53">
        <f>(1+GrowthExpense)^(MAX(0,242-GrowthStartMonth)/12)</f>
        <v/>
      </c>
      <c r="IL8" s="53">
        <f>(1+GrowthExpense)^(MAX(0,243-GrowthStartMonth)/12)</f>
        <v/>
      </c>
      <c r="IM8" s="53">
        <f>(1+GrowthExpense)^(MAX(0,244-GrowthStartMonth)/12)</f>
        <v/>
      </c>
      <c r="IN8" s="53">
        <f>(1+GrowthExpense)^(MAX(0,245-GrowthStartMonth)/12)</f>
        <v/>
      </c>
      <c r="IO8" s="53">
        <f>(1+GrowthExpense)^(MAX(0,246-GrowthStartMonth)/12)</f>
        <v/>
      </c>
      <c r="IP8" s="53">
        <f>(1+GrowthExpense)^(MAX(0,247-GrowthStartMonth)/12)</f>
        <v/>
      </c>
      <c r="IQ8" s="53">
        <f>(1+GrowthExpense)^(MAX(0,248-GrowthStartMonth)/12)</f>
        <v/>
      </c>
      <c r="IR8" s="53">
        <f>(1+GrowthExpense)^(MAX(0,249-GrowthStartMonth)/12)</f>
        <v/>
      </c>
      <c r="IS8" s="53">
        <f>(1+GrowthExpense)^(MAX(0,250-GrowthStartMonth)/12)</f>
        <v/>
      </c>
      <c r="IT8" s="53">
        <f>(1+GrowthExpense)^(MAX(0,251-GrowthStartMonth)/12)</f>
        <v/>
      </c>
      <c r="IU8" s="53">
        <f>(1+GrowthExpense)^(MAX(0,252-GrowthStartMonth)/12)</f>
        <v/>
      </c>
      <c r="IV8" s="53">
        <f>(1+GrowthExpense)^(MAX(0,253-GrowthStartMonth)/12)</f>
        <v/>
      </c>
      <c r="IW8" s="53">
        <f>(1+GrowthExpense)^(MAX(0,254-GrowthStartMonth)/12)</f>
        <v/>
      </c>
      <c r="IX8" s="53">
        <f>(1+GrowthExpense)^(MAX(0,255-GrowthStartMonth)/12)</f>
        <v/>
      </c>
      <c r="IY8" s="53">
        <f>(1+GrowthExpense)^(MAX(0,256-GrowthStartMonth)/12)</f>
        <v/>
      </c>
      <c r="IZ8" s="53">
        <f>(1+GrowthExpense)^(MAX(0,257-GrowthStartMonth)/12)</f>
        <v/>
      </c>
      <c r="JA8" s="53">
        <f>(1+GrowthExpense)^(MAX(0,258-GrowthStartMonth)/12)</f>
        <v/>
      </c>
      <c r="JB8" s="53">
        <f>(1+GrowthExpense)^(MAX(0,259-GrowthStartMonth)/12)</f>
        <v/>
      </c>
      <c r="JC8" s="53">
        <f>(1+GrowthExpense)^(MAX(0,260-GrowthStartMonth)/12)</f>
        <v/>
      </c>
      <c r="JD8" s="53">
        <f>(1+GrowthExpense)^(MAX(0,261-GrowthStartMonth)/12)</f>
        <v/>
      </c>
      <c r="JE8" s="53">
        <f>(1+GrowthExpense)^(MAX(0,262-GrowthStartMonth)/12)</f>
        <v/>
      </c>
      <c r="JF8" s="53">
        <f>(1+GrowthExpense)^(MAX(0,263-GrowthStartMonth)/12)</f>
        <v/>
      </c>
      <c r="JG8" s="53">
        <f>(1+GrowthExpense)^(MAX(0,264-GrowthStartMonth)/12)</f>
        <v/>
      </c>
      <c r="JH8" s="53">
        <f>(1+GrowthExpense)^(MAX(0,265-GrowthStartMonth)/12)</f>
        <v/>
      </c>
      <c r="JI8" s="53">
        <f>(1+GrowthExpense)^(MAX(0,266-GrowthStartMonth)/12)</f>
        <v/>
      </c>
      <c r="JJ8" s="53">
        <f>(1+GrowthExpense)^(MAX(0,267-GrowthStartMonth)/12)</f>
        <v/>
      </c>
      <c r="JK8" s="53">
        <f>(1+GrowthExpense)^(MAX(0,268-GrowthStartMonth)/12)</f>
        <v/>
      </c>
      <c r="JL8" s="53">
        <f>(1+GrowthExpense)^(MAX(0,269-GrowthStartMonth)/12)</f>
        <v/>
      </c>
      <c r="JM8" s="53">
        <f>(1+GrowthExpense)^(MAX(0,270-GrowthStartMonth)/12)</f>
        <v/>
      </c>
      <c r="JN8" s="53">
        <f>(1+GrowthExpense)^(MAX(0,271-GrowthStartMonth)/12)</f>
        <v/>
      </c>
      <c r="JO8" s="53">
        <f>(1+GrowthExpense)^(MAX(0,272-GrowthStartMonth)/12)</f>
        <v/>
      </c>
      <c r="JP8" s="53">
        <f>(1+GrowthExpense)^(MAX(0,273-GrowthStartMonth)/12)</f>
        <v/>
      </c>
      <c r="JQ8" s="53">
        <f>(1+GrowthExpense)^(MAX(0,274-GrowthStartMonth)/12)</f>
        <v/>
      </c>
      <c r="JR8" s="53">
        <f>(1+GrowthExpense)^(MAX(0,275-GrowthStartMonth)/12)</f>
        <v/>
      </c>
      <c r="JS8" s="53">
        <f>(1+GrowthExpense)^(MAX(0,276-GrowthStartMonth)/12)</f>
        <v/>
      </c>
      <c r="JT8" s="53">
        <f>(1+GrowthExpense)^(MAX(0,277-GrowthStartMonth)/12)</f>
        <v/>
      </c>
      <c r="JU8" s="53">
        <f>(1+GrowthExpense)^(MAX(0,278-GrowthStartMonth)/12)</f>
        <v/>
      </c>
      <c r="JV8" s="53">
        <f>(1+GrowthExpense)^(MAX(0,279-GrowthStartMonth)/12)</f>
        <v/>
      </c>
      <c r="JW8" s="53">
        <f>(1+GrowthExpense)^(MAX(0,280-GrowthStartMonth)/12)</f>
        <v/>
      </c>
      <c r="JX8" s="53">
        <f>(1+GrowthExpense)^(MAX(0,281-GrowthStartMonth)/12)</f>
        <v/>
      </c>
      <c r="JY8" s="53">
        <f>(1+GrowthExpense)^(MAX(0,282-GrowthStartMonth)/12)</f>
        <v/>
      </c>
      <c r="JZ8" s="53">
        <f>(1+GrowthExpense)^(MAX(0,283-GrowthStartMonth)/12)</f>
        <v/>
      </c>
      <c r="KA8" s="53">
        <f>(1+GrowthExpense)^(MAX(0,284-GrowthStartMonth)/12)</f>
        <v/>
      </c>
      <c r="KB8" s="53">
        <f>(1+GrowthExpense)^(MAX(0,285-GrowthStartMonth)/12)</f>
        <v/>
      </c>
      <c r="KC8" s="53">
        <f>(1+GrowthExpense)^(MAX(0,286-GrowthStartMonth)/12)</f>
        <v/>
      </c>
      <c r="KD8" s="53">
        <f>(1+GrowthExpense)^(MAX(0,287-GrowthStartMonth)/12)</f>
        <v/>
      </c>
      <c r="KE8" s="53">
        <f>(1+GrowthExpense)^(MAX(0,288-GrowthStartMonth)/12)</f>
        <v/>
      </c>
      <c r="KF8" s="53">
        <f>(1+GrowthExpense)^(MAX(0,289-GrowthStartMonth)/12)</f>
        <v/>
      </c>
      <c r="KG8" s="53">
        <f>(1+GrowthExpense)^(MAX(0,290-GrowthStartMonth)/12)</f>
        <v/>
      </c>
      <c r="KH8" s="53">
        <f>(1+GrowthExpense)^(MAX(0,291-GrowthStartMonth)/12)</f>
        <v/>
      </c>
      <c r="KI8" s="53">
        <f>(1+GrowthExpense)^(MAX(0,292-GrowthStartMonth)/12)</f>
        <v/>
      </c>
      <c r="KJ8" s="53">
        <f>(1+GrowthExpense)^(MAX(0,293-GrowthStartMonth)/12)</f>
        <v/>
      </c>
      <c r="KK8" s="53">
        <f>(1+GrowthExpense)^(MAX(0,294-GrowthStartMonth)/12)</f>
        <v/>
      </c>
      <c r="KL8" s="53">
        <f>(1+GrowthExpense)^(MAX(0,295-GrowthStartMonth)/12)</f>
        <v/>
      </c>
      <c r="KM8" s="53">
        <f>(1+GrowthExpense)^(MAX(0,296-GrowthStartMonth)/12)</f>
        <v/>
      </c>
      <c r="KN8" s="53">
        <f>(1+GrowthExpense)^(MAX(0,297-GrowthStartMonth)/12)</f>
        <v/>
      </c>
      <c r="KO8" s="53">
        <f>(1+GrowthExpense)^(MAX(0,298-GrowthStartMonth)/12)</f>
        <v/>
      </c>
      <c r="KP8" s="53">
        <f>(1+GrowthExpense)^(MAX(0,299-GrowthStartMonth)/12)</f>
        <v/>
      </c>
      <c r="KQ8" s="53">
        <f>(1+GrowthExpense)^(MAX(0,300-GrowthStartMonth)/12)</f>
        <v/>
      </c>
      <c r="KR8" s="53">
        <f>(1+GrowthExpense)^(MAX(0,301-GrowthStartMonth)/12)</f>
        <v/>
      </c>
      <c r="KS8" s="53">
        <f>(1+GrowthExpense)^(MAX(0,302-GrowthStartMonth)/12)</f>
        <v/>
      </c>
      <c r="KT8" s="53">
        <f>(1+GrowthExpense)^(MAX(0,303-GrowthStartMonth)/12)</f>
        <v/>
      </c>
      <c r="KU8" s="53">
        <f>(1+GrowthExpense)^(MAX(0,304-GrowthStartMonth)/12)</f>
        <v/>
      </c>
      <c r="KV8" s="53">
        <f>(1+GrowthExpense)^(MAX(0,305-GrowthStartMonth)/12)</f>
        <v/>
      </c>
      <c r="KW8" s="53">
        <f>(1+GrowthExpense)^(MAX(0,306-GrowthStartMonth)/12)</f>
        <v/>
      </c>
      <c r="KX8" s="53">
        <f>(1+GrowthExpense)^(MAX(0,307-GrowthStartMonth)/12)</f>
        <v/>
      </c>
      <c r="KY8" s="53">
        <f>(1+GrowthExpense)^(MAX(0,308-GrowthStartMonth)/12)</f>
        <v/>
      </c>
      <c r="KZ8" s="53">
        <f>(1+GrowthExpense)^(MAX(0,309-GrowthStartMonth)/12)</f>
        <v/>
      </c>
      <c r="LA8" s="53">
        <f>(1+GrowthExpense)^(MAX(0,310-GrowthStartMonth)/12)</f>
        <v/>
      </c>
      <c r="LB8" s="53">
        <f>(1+GrowthExpense)^(MAX(0,311-GrowthStartMonth)/12)</f>
        <v/>
      </c>
      <c r="LC8" s="53">
        <f>(1+GrowthExpense)^(MAX(0,312-GrowthStartMonth)/12)</f>
        <v/>
      </c>
      <c r="LD8" s="53">
        <f>(1+GrowthExpense)^(MAX(0,313-GrowthStartMonth)/12)</f>
        <v/>
      </c>
      <c r="LE8" s="53">
        <f>(1+GrowthExpense)^(MAX(0,314-GrowthStartMonth)/12)</f>
        <v/>
      </c>
      <c r="LF8" s="53">
        <f>(1+GrowthExpense)^(MAX(0,315-GrowthStartMonth)/12)</f>
        <v/>
      </c>
      <c r="LG8" s="53">
        <f>(1+GrowthExpense)^(MAX(0,316-GrowthStartMonth)/12)</f>
        <v/>
      </c>
      <c r="LH8" s="53">
        <f>(1+GrowthExpense)^(MAX(0,317-GrowthStartMonth)/12)</f>
        <v/>
      </c>
      <c r="LI8" s="53">
        <f>(1+GrowthExpense)^(MAX(0,318-GrowthStartMonth)/12)</f>
        <v/>
      </c>
      <c r="LJ8" s="53">
        <f>(1+GrowthExpense)^(MAX(0,319-GrowthStartMonth)/12)</f>
        <v/>
      </c>
      <c r="LK8" s="53">
        <f>(1+GrowthExpense)^(MAX(0,320-GrowthStartMonth)/12)</f>
        <v/>
      </c>
      <c r="LL8" s="53">
        <f>(1+GrowthExpense)^(MAX(0,321-GrowthStartMonth)/12)</f>
        <v/>
      </c>
      <c r="LM8" s="53">
        <f>(1+GrowthExpense)^(MAX(0,322-GrowthStartMonth)/12)</f>
        <v/>
      </c>
      <c r="LN8" s="53">
        <f>(1+GrowthExpense)^(MAX(0,323-GrowthStartMonth)/12)</f>
        <v/>
      </c>
      <c r="LO8" s="53">
        <f>(1+GrowthExpense)^(MAX(0,324-GrowthStartMonth)/12)</f>
        <v/>
      </c>
      <c r="LP8" s="53">
        <f>(1+GrowthExpense)^(MAX(0,325-GrowthStartMonth)/12)</f>
        <v/>
      </c>
      <c r="LQ8" s="53">
        <f>(1+GrowthExpense)^(MAX(0,326-GrowthStartMonth)/12)</f>
        <v/>
      </c>
      <c r="LR8" s="53">
        <f>(1+GrowthExpense)^(MAX(0,327-GrowthStartMonth)/12)</f>
        <v/>
      </c>
      <c r="LS8" s="53">
        <f>(1+GrowthExpense)^(MAX(0,328-GrowthStartMonth)/12)</f>
        <v/>
      </c>
      <c r="LT8" s="53">
        <f>(1+GrowthExpense)^(MAX(0,329-GrowthStartMonth)/12)</f>
        <v/>
      </c>
      <c r="LU8" s="53">
        <f>(1+GrowthExpense)^(MAX(0,330-GrowthStartMonth)/12)</f>
        <v/>
      </c>
      <c r="LV8" s="53">
        <f>(1+GrowthExpense)^(MAX(0,331-GrowthStartMonth)/12)</f>
        <v/>
      </c>
      <c r="LW8" s="53">
        <f>(1+GrowthExpense)^(MAX(0,332-GrowthStartMonth)/12)</f>
        <v/>
      </c>
      <c r="LX8" s="53">
        <f>(1+GrowthExpense)^(MAX(0,333-GrowthStartMonth)/12)</f>
        <v/>
      </c>
      <c r="LY8" s="53">
        <f>(1+GrowthExpense)^(MAX(0,334-GrowthStartMonth)/12)</f>
        <v/>
      </c>
      <c r="LZ8" s="53">
        <f>(1+GrowthExpense)^(MAX(0,335-GrowthStartMonth)/12)</f>
        <v/>
      </c>
      <c r="MA8" s="53">
        <f>(1+GrowthExpense)^(MAX(0,336-GrowthStartMonth)/12)</f>
        <v/>
      </c>
      <c r="MB8" s="53">
        <f>(1+GrowthExpense)^(MAX(0,337-GrowthStartMonth)/12)</f>
        <v/>
      </c>
      <c r="MC8" s="53">
        <f>(1+GrowthExpense)^(MAX(0,338-GrowthStartMonth)/12)</f>
        <v/>
      </c>
      <c r="MD8" s="53">
        <f>(1+GrowthExpense)^(MAX(0,339-GrowthStartMonth)/12)</f>
        <v/>
      </c>
      <c r="ME8" s="53">
        <f>(1+GrowthExpense)^(MAX(0,340-GrowthStartMonth)/12)</f>
        <v/>
      </c>
      <c r="MF8" s="53">
        <f>(1+GrowthExpense)^(MAX(0,341-GrowthStartMonth)/12)</f>
        <v/>
      </c>
      <c r="MG8" s="53">
        <f>(1+GrowthExpense)^(MAX(0,342-GrowthStartMonth)/12)</f>
        <v/>
      </c>
      <c r="MH8" s="53">
        <f>(1+GrowthExpense)^(MAX(0,343-GrowthStartMonth)/12)</f>
        <v/>
      </c>
      <c r="MI8" s="53">
        <f>(1+GrowthExpense)^(MAX(0,344-GrowthStartMonth)/12)</f>
        <v/>
      </c>
      <c r="MJ8" s="53">
        <f>(1+GrowthExpense)^(MAX(0,345-GrowthStartMonth)/12)</f>
        <v/>
      </c>
      <c r="MK8" s="53">
        <f>(1+GrowthExpense)^(MAX(0,346-GrowthStartMonth)/12)</f>
        <v/>
      </c>
      <c r="ML8" s="53">
        <f>(1+GrowthExpense)^(MAX(0,347-GrowthStartMonth)/12)</f>
        <v/>
      </c>
      <c r="MM8" s="53">
        <f>(1+GrowthExpense)^(MAX(0,348-GrowthStartMonth)/12)</f>
        <v/>
      </c>
      <c r="MN8" s="53">
        <f>(1+GrowthExpense)^(MAX(0,349-GrowthStartMonth)/12)</f>
        <v/>
      </c>
      <c r="MO8" s="53">
        <f>(1+GrowthExpense)^(MAX(0,350-GrowthStartMonth)/12)</f>
        <v/>
      </c>
      <c r="MP8" s="53">
        <f>(1+GrowthExpense)^(MAX(0,351-GrowthStartMonth)/12)</f>
        <v/>
      </c>
      <c r="MQ8" s="53">
        <f>(1+GrowthExpense)^(MAX(0,352-GrowthStartMonth)/12)</f>
        <v/>
      </c>
      <c r="MR8" s="53">
        <f>(1+GrowthExpense)^(MAX(0,353-GrowthStartMonth)/12)</f>
        <v/>
      </c>
      <c r="MS8" s="53">
        <f>(1+GrowthExpense)^(MAX(0,354-GrowthStartMonth)/12)</f>
        <v/>
      </c>
      <c r="MT8" s="53">
        <f>(1+GrowthExpense)^(MAX(0,355-GrowthStartMonth)/12)</f>
        <v/>
      </c>
      <c r="MU8" s="53">
        <f>(1+GrowthExpense)^(MAX(0,356-GrowthStartMonth)/12)</f>
        <v/>
      </c>
      <c r="MV8" s="53">
        <f>(1+GrowthExpense)^(MAX(0,357-GrowthStartMonth)/12)</f>
        <v/>
      </c>
      <c r="MW8" s="53">
        <f>(1+GrowthExpense)^(MAX(0,358-GrowthStartMonth)/12)</f>
        <v/>
      </c>
      <c r="MX8" s="53">
        <f>(1+GrowthExpense)^(MAX(0,359-GrowthStartMonth)/12)</f>
        <v/>
      </c>
      <c r="MY8" s="53">
        <f>(1+GrowthExpense)^(MAX(0,360-GrowthStartMonth)/12)</f>
        <v/>
      </c>
      <c r="MZ8" s="53">
        <f>(1+GrowthExpense)^(MAX(0,361-GrowthStartMonth)/12)</f>
        <v/>
      </c>
      <c r="NA8" s="53">
        <f>(1+GrowthExpense)^(MAX(0,362-GrowthStartMonth)/12)</f>
        <v/>
      </c>
      <c r="NB8" s="53">
        <f>(1+GrowthExpense)^(MAX(0,363-GrowthStartMonth)/12)</f>
        <v/>
      </c>
      <c r="NC8" s="53">
        <f>(1+GrowthExpense)^(MAX(0,364-GrowthStartMonth)/12)</f>
        <v/>
      </c>
      <c r="ND8" s="53">
        <f>(1+GrowthExpense)^(MAX(0,365-GrowthStartMonth)/12)</f>
        <v/>
      </c>
      <c r="NE8" s="53">
        <f>(1+GrowthExpense)^(MAX(0,366-GrowthStartMonth)/12)</f>
        <v/>
      </c>
      <c r="NF8" s="53">
        <f>(1+GrowthExpense)^(MAX(0,367-GrowthStartMonth)/12)</f>
        <v/>
      </c>
      <c r="NG8" s="53">
        <f>(1+GrowthExpense)^(MAX(0,368-GrowthStartMonth)/12)</f>
        <v/>
      </c>
      <c r="NH8" s="53">
        <f>(1+GrowthExpense)^(MAX(0,369-GrowthStartMonth)/12)</f>
        <v/>
      </c>
      <c r="NI8" s="53">
        <f>(1+GrowthExpense)^(MAX(0,370-GrowthStartMonth)/12)</f>
        <v/>
      </c>
      <c r="NJ8" s="53">
        <f>(1+GrowthExpense)^(MAX(0,371-GrowthStartMonth)/12)</f>
        <v/>
      </c>
      <c r="NK8" s="53">
        <f>(1+GrowthExpense)^(MAX(0,372-GrowthStartMonth)/12)</f>
        <v/>
      </c>
    </row>
    <row r="9">
      <c r="A9" s="5" t="inlineStr">
        <is>
          <t>Growth Factor — Utility</t>
        </is>
      </c>
      <c r="C9" s="52" t="n"/>
      <c r="D9" s="53">
        <f>(1+GrowthUtility)^(MAX(0,1-GrowthStartMonth)/12)</f>
        <v/>
      </c>
      <c r="E9" s="53">
        <f>(1+GrowthUtility)^(MAX(0,2-GrowthStartMonth)/12)</f>
        <v/>
      </c>
      <c r="F9" s="53">
        <f>(1+GrowthUtility)^(MAX(0,3-GrowthStartMonth)/12)</f>
        <v/>
      </c>
      <c r="G9" s="53">
        <f>(1+GrowthUtility)^(MAX(0,4-GrowthStartMonth)/12)</f>
        <v/>
      </c>
      <c r="H9" s="53">
        <f>(1+GrowthUtility)^(MAX(0,5-GrowthStartMonth)/12)</f>
        <v/>
      </c>
      <c r="I9" s="53">
        <f>(1+GrowthUtility)^(MAX(0,6-GrowthStartMonth)/12)</f>
        <v/>
      </c>
      <c r="J9" s="53">
        <f>(1+GrowthUtility)^(MAX(0,7-GrowthStartMonth)/12)</f>
        <v/>
      </c>
      <c r="K9" s="53">
        <f>(1+GrowthUtility)^(MAX(0,8-GrowthStartMonth)/12)</f>
        <v/>
      </c>
      <c r="L9" s="53">
        <f>(1+GrowthUtility)^(MAX(0,9-GrowthStartMonth)/12)</f>
        <v/>
      </c>
      <c r="M9" s="53">
        <f>(1+GrowthUtility)^(MAX(0,10-GrowthStartMonth)/12)</f>
        <v/>
      </c>
      <c r="N9" s="53">
        <f>(1+GrowthUtility)^(MAX(0,11-GrowthStartMonth)/12)</f>
        <v/>
      </c>
      <c r="O9" s="53">
        <f>(1+GrowthUtility)^(MAX(0,12-GrowthStartMonth)/12)</f>
        <v/>
      </c>
      <c r="P9" s="53">
        <f>(1+GrowthUtility)^(MAX(0,13-GrowthStartMonth)/12)</f>
        <v/>
      </c>
      <c r="Q9" s="53">
        <f>(1+GrowthUtility)^(MAX(0,14-GrowthStartMonth)/12)</f>
        <v/>
      </c>
      <c r="R9" s="53">
        <f>(1+GrowthUtility)^(MAX(0,15-GrowthStartMonth)/12)</f>
        <v/>
      </c>
      <c r="S9" s="53">
        <f>(1+GrowthUtility)^(MAX(0,16-GrowthStartMonth)/12)</f>
        <v/>
      </c>
      <c r="T9" s="53">
        <f>(1+GrowthUtility)^(MAX(0,17-GrowthStartMonth)/12)</f>
        <v/>
      </c>
      <c r="U9" s="53">
        <f>(1+GrowthUtility)^(MAX(0,18-GrowthStartMonth)/12)</f>
        <v/>
      </c>
      <c r="V9" s="53">
        <f>(1+GrowthUtility)^(MAX(0,19-GrowthStartMonth)/12)</f>
        <v/>
      </c>
      <c r="W9" s="53">
        <f>(1+GrowthUtility)^(MAX(0,20-GrowthStartMonth)/12)</f>
        <v/>
      </c>
      <c r="X9" s="53">
        <f>(1+GrowthUtility)^(MAX(0,21-GrowthStartMonth)/12)</f>
        <v/>
      </c>
      <c r="Y9" s="53">
        <f>(1+GrowthUtility)^(MAX(0,22-GrowthStartMonth)/12)</f>
        <v/>
      </c>
      <c r="Z9" s="53">
        <f>(1+GrowthUtility)^(MAX(0,23-GrowthStartMonth)/12)</f>
        <v/>
      </c>
      <c r="AA9" s="53">
        <f>(1+GrowthUtility)^(MAX(0,24-GrowthStartMonth)/12)</f>
        <v/>
      </c>
      <c r="AB9" s="53">
        <f>(1+GrowthUtility)^(MAX(0,25-GrowthStartMonth)/12)</f>
        <v/>
      </c>
      <c r="AC9" s="53">
        <f>(1+GrowthUtility)^(MAX(0,26-GrowthStartMonth)/12)</f>
        <v/>
      </c>
      <c r="AD9" s="53">
        <f>(1+GrowthUtility)^(MAX(0,27-GrowthStartMonth)/12)</f>
        <v/>
      </c>
      <c r="AE9" s="53">
        <f>(1+GrowthUtility)^(MAX(0,28-GrowthStartMonth)/12)</f>
        <v/>
      </c>
      <c r="AF9" s="53">
        <f>(1+GrowthUtility)^(MAX(0,29-GrowthStartMonth)/12)</f>
        <v/>
      </c>
      <c r="AG9" s="53">
        <f>(1+GrowthUtility)^(MAX(0,30-GrowthStartMonth)/12)</f>
        <v/>
      </c>
      <c r="AH9" s="53">
        <f>(1+GrowthUtility)^(MAX(0,31-GrowthStartMonth)/12)</f>
        <v/>
      </c>
      <c r="AI9" s="53">
        <f>(1+GrowthUtility)^(MAX(0,32-GrowthStartMonth)/12)</f>
        <v/>
      </c>
      <c r="AJ9" s="53">
        <f>(1+GrowthUtility)^(MAX(0,33-GrowthStartMonth)/12)</f>
        <v/>
      </c>
      <c r="AK9" s="53">
        <f>(1+GrowthUtility)^(MAX(0,34-GrowthStartMonth)/12)</f>
        <v/>
      </c>
      <c r="AL9" s="53">
        <f>(1+GrowthUtility)^(MAX(0,35-GrowthStartMonth)/12)</f>
        <v/>
      </c>
      <c r="AM9" s="53">
        <f>(1+GrowthUtility)^(MAX(0,36-GrowthStartMonth)/12)</f>
        <v/>
      </c>
      <c r="AN9" s="53">
        <f>(1+GrowthUtility)^(MAX(0,37-GrowthStartMonth)/12)</f>
        <v/>
      </c>
      <c r="AO9" s="53">
        <f>(1+GrowthUtility)^(MAX(0,38-GrowthStartMonth)/12)</f>
        <v/>
      </c>
      <c r="AP9" s="53">
        <f>(1+GrowthUtility)^(MAX(0,39-GrowthStartMonth)/12)</f>
        <v/>
      </c>
      <c r="AQ9" s="53">
        <f>(1+GrowthUtility)^(MAX(0,40-GrowthStartMonth)/12)</f>
        <v/>
      </c>
      <c r="AR9" s="53">
        <f>(1+GrowthUtility)^(MAX(0,41-GrowthStartMonth)/12)</f>
        <v/>
      </c>
      <c r="AS9" s="53">
        <f>(1+GrowthUtility)^(MAX(0,42-GrowthStartMonth)/12)</f>
        <v/>
      </c>
      <c r="AT9" s="53">
        <f>(1+GrowthUtility)^(MAX(0,43-GrowthStartMonth)/12)</f>
        <v/>
      </c>
      <c r="AU9" s="53">
        <f>(1+GrowthUtility)^(MAX(0,44-GrowthStartMonth)/12)</f>
        <v/>
      </c>
      <c r="AV9" s="53">
        <f>(1+GrowthUtility)^(MAX(0,45-GrowthStartMonth)/12)</f>
        <v/>
      </c>
      <c r="AW9" s="53">
        <f>(1+GrowthUtility)^(MAX(0,46-GrowthStartMonth)/12)</f>
        <v/>
      </c>
      <c r="AX9" s="53">
        <f>(1+GrowthUtility)^(MAX(0,47-GrowthStartMonth)/12)</f>
        <v/>
      </c>
      <c r="AY9" s="53">
        <f>(1+GrowthUtility)^(MAX(0,48-GrowthStartMonth)/12)</f>
        <v/>
      </c>
      <c r="AZ9" s="53">
        <f>(1+GrowthUtility)^(MAX(0,49-GrowthStartMonth)/12)</f>
        <v/>
      </c>
      <c r="BA9" s="53">
        <f>(1+GrowthUtility)^(MAX(0,50-GrowthStartMonth)/12)</f>
        <v/>
      </c>
      <c r="BB9" s="53">
        <f>(1+GrowthUtility)^(MAX(0,51-GrowthStartMonth)/12)</f>
        <v/>
      </c>
      <c r="BC9" s="53">
        <f>(1+GrowthUtility)^(MAX(0,52-GrowthStartMonth)/12)</f>
        <v/>
      </c>
      <c r="BD9" s="53">
        <f>(1+GrowthUtility)^(MAX(0,53-GrowthStartMonth)/12)</f>
        <v/>
      </c>
      <c r="BE9" s="53">
        <f>(1+GrowthUtility)^(MAX(0,54-GrowthStartMonth)/12)</f>
        <v/>
      </c>
      <c r="BF9" s="53">
        <f>(1+GrowthUtility)^(MAX(0,55-GrowthStartMonth)/12)</f>
        <v/>
      </c>
      <c r="BG9" s="53">
        <f>(1+GrowthUtility)^(MAX(0,56-GrowthStartMonth)/12)</f>
        <v/>
      </c>
      <c r="BH9" s="53">
        <f>(1+GrowthUtility)^(MAX(0,57-GrowthStartMonth)/12)</f>
        <v/>
      </c>
      <c r="BI9" s="53">
        <f>(1+GrowthUtility)^(MAX(0,58-GrowthStartMonth)/12)</f>
        <v/>
      </c>
      <c r="BJ9" s="53">
        <f>(1+GrowthUtility)^(MAX(0,59-GrowthStartMonth)/12)</f>
        <v/>
      </c>
      <c r="BK9" s="53">
        <f>(1+GrowthUtility)^(MAX(0,60-GrowthStartMonth)/12)</f>
        <v/>
      </c>
      <c r="BL9" s="53">
        <f>(1+GrowthUtility)^(MAX(0,61-GrowthStartMonth)/12)</f>
        <v/>
      </c>
      <c r="BM9" s="53">
        <f>(1+GrowthUtility)^(MAX(0,62-GrowthStartMonth)/12)</f>
        <v/>
      </c>
      <c r="BN9" s="53">
        <f>(1+GrowthUtility)^(MAX(0,63-GrowthStartMonth)/12)</f>
        <v/>
      </c>
      <c r="BO9" s="53">
        <f>(1+GrowthUtility)^(MAX(0,64-GrowthStartMonth)/12)</f>
        <v/>
      </c>
      <c r="BP9" s="53">
        <f>(1+GrowthUtility)^(MAX(0,65-GrowthStartMonth)/12)</f>
        <v/>
      </c>
      <c r="BQ9" s="53">
        <f>(1+GrowthUtility)^(MAX(0,66-GrowthStartMonth)/12)</f>
        <v/>
      </c>
      <c r="BR9" s="53">
        <f>(1+GrowthUtility)^(MAX(0,67-GrowthStartMonth)/12)</f>
        <v/>
      </c>
      <c r="BS9" s="53">
        <f>(1+GrowthUtility)^(MAX(0,68-GrowthStartMonth)/12)</f>
        <v/>
      </c>
      <c r="BT9" s="53">
        <f>(1+GrowthUtility)^(MAX(0,69-GrowthStartMonth)/12)</f>
        <v/>
      </c>
      <c r="BU9" s="53">
        <f>(1+GrowthUtility)^(MAX(0,70-GrowthStartMonth)/12)</f>
        <v/>
      </c>
      <c r="BV9" s="53">
        <f>(1+GrowthUtility)^(MAX(0,71-GrowthStartMonth)/12)</f>
        <v/>
      </c>
      <c r="BW9" s="53">
        <f>(1+GrowthUtility)^(MAX(0,72-GrowthStartMonth)/12)</f>
        <v/>
      </c>
      <c r="BX9" s="53">
        <f>(1+GrowthUtility)^(MAX(0,73-GrowthStartMonth)/12)</f>
        <v/>
      </c>
      <c r="BY9" s="53">
        <f>(1+GrowthUtility)^(MAX(0,74-GrowthStartMonth)/12)</f>
        <v/>
      </c>
      <c r="BZ9" s="53">
        <f>(1+GrowthUtility)^(MAX(0,75-GrowthStartMonth)/12)</f>
        <v/>
      </c>
      <c r="CA9" s="53">
        <f>(1+GrowthUtility)^(MAX(0,76-GrowthStartMonth)/12)</f>
        <v/>
      </c>
      <c r="CB9" s="53">
        <f>(1+GrowthUtility)^(MAX(0,77-GrowthStartMonth)/12)</f>
        <v/>
      </c>
      <c r="CC9" s="53">
        <f>(1+GrowthUtility)^(MAX(0,78-GrowthStartMonth)/12)</f>
        <v/>
      </c>
      <c r="CD9" s="53">
        <f>(1+GrowthUtility)^(MAX(0,79-GrowthStartMonth)/12)</f>
        <v/>
      </c>
      <c r="CE9" s="53">
        <f>(1+GrowthUtility)^(MAX(0,80-GrowthStartMonth)/12)</f>
        <v/>
      </c>
      <c r="CF9" s="53">
        <f>(1+GrowthUtility)^(MAX(0,81-GrowthStartMonth)/12)</f>
        <v/>
      </c>
      <c r="CG9" s="53">
        <f>(1+GrowthUtility)^(MAX(0,82-GrowthStartMonth)/12)</f>
        <v/>
      </c>
      <c r="CH9" s="53">
        <f>(1+GrowthUtility)^(MAX(0,83-GrowthStartMonth)/12)</f>
        <v/>
      </c>
      <c r="CI9" s="53">
        <f>(1+GrowthUtility)^(MAX(0,84-GrowthStartMonth)/12)</f>
        <v/>
      </c>
      <c r="CJ9" s="53">
        <f>(1+GrowthUtility)^(MAX(0,85-GrowthStartMonth)/12)</f>
        <v/>
      </c>
      <c r="CK9" s="53">
        <f>(1+GrowthUtility)^(MAX(0,86-GrowthStartMonth)/12)</f>
        <v/>
      </c>
      <c r="CL9" s="53">
        <f>(1+GrowthUtility)^(MAX(0,87-GrowthStartMonth)/12)</f>
        <v/>
      </c>
      <c r="CM9" s="53">
        <f>(1+GrowthUtility)^(MAX(0,88-GrowthStartMonth)/12)</f>
        <v/>
      </c>
      <c r="CN9" s="53">
        <f>(1+GrowthUtility)^(MAX(0,89-GrowthStartMonth)/12)</f>
        <v/>
      </c>
      <c r="CO9" s="53">
        <f>(1+GrowthUtility)^(MAX(0,90-GrowthStartMonth)/12)</f>
        <v/>
      </c>
      <c r="CP9" s="53">
        <f>(1+GrowthUtility)^(MAX(0,91-GrowthStartMonth)/12)</f>
        <v/>
      </c>
      <c r="CQ9" s="53">
        <f>(1+GrowthUtility)^(MAX(0,92-GrowthStartMonth)/12)</f>
        <v/>
      </c>
      <c r="CR9" s="53">
        <f>(1+GrowthUtility)^(MAX(0,93-GrowthStartMonth)/12)</f>
        <v/>
      </c>
      <c r="CS9" s="53">
        <f>(1+GrowthUtility)^(MAX(0,94-GrowthStartMonth)/12)</f>
        <v/>
      </c>
      <c r="CT9" s="53">
        <f>(1+GrowthUtility)^(MAX(0,95-GrowthStartMonth)/12)</f>
        <v/>
      </c>
      <c r="CU9" s="53">
        <f>(1+GrowthUtility)^(MAX(0,96-GrowthStartMonth)/12)</f>
        <v/>
      </c>
      <c r="CV9" s="53">
        <f>(1+GrowthUtility)^(MAX(0,97-GrowthStartMonth)/12)</f>
        <v/>
      </c>
      <c r="CW9" s="53">
        <f>(1+GrowthUtility)^(MAX(0,98-GrowthStartMonth)/12)</f>
        <v/>
      </c>
      <c r="CX9" s="53">
        <f>(1+GrowthUtility)^(MAX(0,99-GrowthStartMonth)/12)</f>
        <v/>
      </c>
      <c r="CY9" s="53">
        <f>(1+GrowthUtility)^(MAX(0,100-GrowthStartMonth)/12)</f>
        <v/>
      </c>
      <c r="CZ9" s="53">
        <f>(1+GrowthUtility)^(MAX(0,101-GrowthStartMonth)/12)</f>
        <v/>
      </c>
      <c r="DA9" s="53">
        <f>(1+GrowthUtility)^(MAX(0,102-GrowthStartMonth)/12)</f>
        <v/>
      </c>
      <c r="DB9" s="53">
        <f>(1+GrowthUtility)^(MAX(0,103-GrowthStartMonth)/12)</f>
        <v/>
      </c>
      <c r="DC9" s="53">
        <f>(1+GrowthUtility)^(MAX(0,104-GrowthStartMonth)/12)</f>
        <v/>
      </c>
      <c r="DD9" s="53">
        <f>(1+GrowthUtility)^(MAX(0,105-GrowthStartMonth)/12)</f>
        <v/>
      </c>
      <c r="DE9" s="53">
        <f>(1+GrowthUtility)^(MAX(0,106-GrowthStartMonth)/12)</f>
        <v/>
      </c>
      <c r="DF9" s="53">
        <f>(1+GrowthUtility)^(MAX(0,107-GrowthStartMonth)/12)</f>
        <v/>
      </c>
      <c r="DG9" s="53">
        <f>(1+GrowthUtility)^(MAX(0,108-GrowthStartMonth)/12)</f>
        <v/>
      </c>
      <c r="DH9" s="53">
        <f>(1+GrowthUtility)^(MAX(0,109-GrowthStartMonth)/12)</f>
        <v/>
      </c>
      <c r="DI9" s="53">
        <f>(1+GrowthUtility)^(MAX(0,110-GrowthStartMonth)/12)</f>
        <v/>
      </c>
      <c r="DJ9" s="53">
        <f>(1+GrowthUtility)^(MAX(0,111-GrowthStartMonth)/12)</f>
        <v/>
      </c>
      <c r="DK9" s="53">
        <f>(1+GrowthUtility)^(MAX(0,112-GrowthStartMonth)/12)</f>
        <v/>
      </c>
      <c r="DL9" s="53">
        <f>(1+GrowthUtility)^(MAX(0,113-GrowthStartMonth)/12)</f>
        <v/>
      </c>
      <c r="DM9" s="53">
        <f>(1+GrowthUtility)^(MAX(0,114-GrowthStartMonth)/12)</f>
        <v/>
      </c>
      <c r="DN9" s="53">
        <f>(1+GrowthUtility)^(MAX(0,115-GrowthStartMonth)/12)</f>
        <v/>
      </c>
      <c r="DO9" s="53">
        <f>(1+GrowthUtility)^(MAX(0,116-GrowthStartMonth)/12)</f>
        <v/>
      </c>
      <c r="DP9" s="53">
        <f>(1+GrowthUtility)^(MAX(0,117-GrowthStartMonth)/12)</f>
        <v/>
      </c>
      <c r="DQ9" s="53">
        <f>(1+GrowthUtility)^(MAX(0,118-GrowthStartMonth)/12)</f>
        <v/>
      </c>
      <c r="DR9" s="53">
        <f>(1+GrowthUtility)^(MAX(0,119-GrowthStartMonth)/12)</f>
        <v/>
      </c>
      <c r="DS9" s="53">
        <f>(1+GrowthUtility)^(MAX(0,120-GrowthStartMonth)/12)</f>
        <v/>
      </c>
      <c r="DT9" s="53">
        <f>(1+GrowthUtility)^(MAX(0,121-GrowthStartMonth)/12)</f>
        <v/>
      </c>
      <c r="DU9" s="53">
        <f>(1+GrowthUtility)^(MAX(0,122-GrowthStartMonth)/12)</f>
        <v/>
      </c>
      <c r="DV9" s="53">
        <f>(1+GrowthUtility)^(MAX(0,123-GrowthStartMonth)/12)</f>
        <v/>
      </c>
      <c r="DW9" s="53">
        <f>(1+GrowthUtility)^(MAX(0,124-GrowthStartMonth)/12)</f>
        <v/>
      </c>
      <c r="DX9" s="53">
        <f>(1+GrowthUtility)^(MAX(0,125-GrowthStartMonth)/12)</f>
        <v/>
      </c>
      <c r="DY9" s="53">
        <f>(1+GrowthUtility)^(MAX(0,126-GrowthStartMonth)/12)</f>
        <v/>
      </c>
      <c r="DZ9" s="53">
        <f>(1+GrowthUtility)^(MAX(0,127-GrowthStartMonth)/12)</f>
        <v/>
      </c>
      <c r="EA9" s="53">
        <f>(1+GrowthUtility)^(MAX(0,128-GrowthStartMonth)/12)</f>
        <v/>
      </c>
      <c r="EB9" s="53">
        <f>(1+GrowthUtility)^(MAX(0,129-GrowthStartMonth)/12)</f>
        <v/>
      </c>
      <c r="EC9" s="53">
        <f>(1+GrowthUtility)^(MAX(0,130-GrowthStartMonth)/12)</f>
        <v/>
      </c>
      <c r="ED9" s="53">
        <f>(1+GrowthUtility)^(MAX(0,131-GrowthStartMonth)/12)</f>
        <v/>
      </c>
      <c r="EE9" s="53">
        <f>(1+GrowthUtility)^(MAX(0,132-GrowthStartMonth)/12)</f>
        <v/>
      </c>
      <c r="EF9" s="53">
        <f>(1+GrowthUtility)^(MAX(0,133-GrowthStartMonth)/12)</f>
        <v/>
      </c>
      <c r="EG9" s="53">
        <f>(1+GrowthUtility)^(MAX(0,134-GrowthStartMonth)/12)</f>
        <v/>
      </c>
      <c r="EH9" s="53">
        <f>(1+GrowthUtility)^(MAX(0,135-GrowthStartMonth)/12)</f>
        <v/>
      </c>
      <c r="EI9" s="53">
        <f>(1+GrowthUtility)^(MAX(0,136-GrowthStartMonth)/12)</f>
        <v/>
      </c>
      <c r="EJ9" s="53">
        <f>(1+GrowthUtility)^(MAX(0,137-GrowthStartMonth)/12)</f>
        <v/>
      </c>
      <c r="EK9" s="53">
        <f>(1+GrowthUtility)^(MAX(0,138-GrowthStartMonth)/12)</f>
        <v/>
      </c>
      <c r="EL9" s="53">
        <f>(1+GrowthUtility)^(MAX(0,139-GrowthStartMonth)/12)</f>
        <v/>
      </c>
      <c r="EM9" s="53">
        <f>(1+GrowthUtility)^(MAX(0,140-GrowthStartMonth)/12)</f>
        <v/>
      </c>
      <c r="EN9" s="53">
        <f>(1+GrowthUtility)^(MAX(0,141-GrowthStartMonth)/12)</f>
        <v/>
      </c>
      <c r="EO9" s="53">
        <f>(1+GrowthUtility)^(MAX(0,142-GrowthStartMonth)/12)</f>
        <v/>
      </c>
      <c r="EP9" s="53">
        <f>(1+GrowthUtility)^(MAX(0,143-GrowthStartMonth)/12)</f>
        <v/>
      </c>
      <c r="EQ9" s="53">
        <f>(1+GrowthUtility)^(MAX(0,144-GrowthStartMonth)/12)</f>
        <v/>
      </c>
      <c r="ER9" s="53">
        <f>(1+GrowthUtility)^(MAX(0,145-GrowthStartMonth)/12)</f>
        <v/>
      </c>
      <c r="ES9" s="53">
        <f>(1+GrowthUtility)^(MAX(0,146-GrowthStartMonth)/12)</f>
        <v/>
      </c>
      <c r="ET9" s="53">
        <f>(1+GrowthUtility)^(MAX(0,147-GrowthStartMonth)/12)</f>
        <v/>
      </c>
      <c r="EU9" s="53">
        <f>(1+GrowthUtility)^(MAX(0,148-GrowthStartMonth)/12)</f>
        <v/>
      </c>
      <c r="EV9" s="53">
        <f>(1+GrowthUtility)^(MAX(0,149-GrowthStartMonth)/12)</f>
        <v/>
      </c>
      <c r="EW9" s="53">
        <f>(1+GrowthUtility)^(MAX(0,150-GrowthStartMonth)/12)</f>
        <v/>
      </c>
      <c r="EX9" s="53">
        <f>(1+GrowthUtility)^(MAX(0,151-GrowthStartMonth)/12)</f>
        <v/>
      </c>
      <c r="EY9" s="53">
        <f>(1+GrowthUtility)^(MAX(0,152-GrowthStartMonth)/12)</f>
        <v/>
      </c>
      <c r="EZ9" s="53">
        <f>(1+GrowthUtility)^(MAX(0,153-GrowthStartMonth)/12)</f>
        <v/>
      </c>
      <c r="FA9" s="53">
        <f>(1+GrowthUtility)^(MAX(0,154-GrowthStartMonth)/12)</f>
        <v/>
      </c>
      <c r="FB9" s="53">
        <f>(1+GrowthUtility)^(MAX(0,155-GrowthStartMonth)/12)</f>
        <v/>
      </c>
      <c r="FC9" s="53">
        <f>(1+GrowthUtility)^(MAX(0,156-GrowthStartMonth)/12)</f>
        <v/>
      </c>
      <c r="FD9" s="53">
        <f>(1+GrowthUtility)^(MAX(0,157-GrowthStartMonth)/12)</f>
        <v/>
      </c>
      <c r="FE9" s="53">
        <f>(1+GrowthUtility)^(MAX(0,158-GrowthStartMonth)/12)</f>
        <v/>
      </c>
      <c r="FF9" s="53">
        <f>(1+GrowthUtility)^(MAX(0,159-GrowthStartMonth)/12)</f>
        <v/>
      </c>
      <c r="FG9" s="53">
        <f>(1+GrowthUtility)^(MAX(0,160-GrowthStartMonth)/12)</f>
        <v/>
      </c>
      <c r="FH9" s="53">
        <f>(1+GrowthUtility)^(MAX(0,161-GrowthStartMonth)/12)</f>
        <v/>
      </c>
      <c r="FI9" s="53">
        <f>(1+GrowthUtility)^(MAX(0,162-GrowthStartMonth)/12)</f>
        <v/>
      </c>
      <c r="FJ9" s="53">
        <f>(1+GrowthUtility)^(MAX(0,163-GrowthStartMonth)/12)</f>
        <v/>
      </c>
      <c r="FK9" s="53">
        <f>(1+GrowthUtility)^(MAX(0,164-GrowthStartMonth)/12)</f>
        <v/>
      </c>
      <c r="FL9" s="53">
        <f>(1+GrowthUtility)^(MAX(0,165-GrowthStartMonth)/12)</f>
        <v/>
      </c>
      <c r="FM9" s="53">
        <f>(1+GrowthUtility)^(MAX(0,166-GrowthStartMonth)/12)</f>
        <v/>
      </c>
      <c r="FN9" s="53">
        <f>(1+GrowthUtility)^(MAX(0,167-GrowthStartMonth)/12)</f>
        <v/>
      </c>
      <c r="FO9" s="53">
        <f>(1+GrowthUtility)^(MAX(0,168-GrowthStartMonth)/12)</f>
        <v/>
      </c>
      <c r="FP9" s="53">
        <f>(1+GrowthUtility)^(MAX(0,169-GrowthStartMonth)/12)</f>
        <v/>
      </c>
      <c r="FQ9" s="53">
        <f>(1+GrowthUtility)^(MAX(0,170-GrowthStartMonth)/12)</f>
        <v/>
      </c>
      <c r="FR9" s="53">
        <f>(1+GrowthUtility)^(MAX(0,171-GrowthStartMonth)/12)</f>
        <v/>
      </c>
      <c r="FS9" s="53">
        <f>(1+GrowthUtility)^(MAX(0,172-GrowthStartMonth)/12)</f>
        <v/>
      </c>
      <c r="FT9" s="53">
        <f>(1+GrowthUtility)^(MAX(0,173-GrowthStartMonth)/12)</f>
        <v/>
      </c>
      <c r="FU9" s="53">
        <f>(1+GrowthUtility)^(MAX(0,174-GrowthStartMonth)/12)</f>
        <v/>
      </c>
      <c r="FV9" s="53">
        <f>(1+GrowthUtility)^(MAX(0,175-GrowthStartMonth)/12)</f>
        <v/>
      </c>
      <c r="FW9" s="53">
        <f>(1+GrowthUtility)^(MAX(0,176-GrowthStartMonth)/12)</f>
        <v/>
      </c>
      <c r="FX9" s="53">
        <f>(1+GrowthUtility)^(MAX(0,177-GrowthStartMonth)/12)</f>
        <v/>
      </c>
      <c r="FY9" s="53">
        <f>(1+GrowthUtility)^(MAX(0,178-GrowthStartMonth)/12)</f>
        <v/>
      </c>
      <c r="FZ9" s="53">
        <f>(1+GrowthUtility)^(MAX(0,179-GrowthStartMonth)/12)</f>
        <v/>
      </c>
      <c r="GA9" s="53">
        <f>(1+GrowthUtility)^(MAX(0,180-GrowthStartMonth)/12)</f>
        <v/>
      </c>
      <c r="GB9" s="53">
        <f>(1+GrowthUtility)^(MAX(0,181-GrowthStartMonth)/12)</f>
        <v/>
      </c>
      <c r="GC9" s="53">
        <f>(1+GrowthUtility)^(MAX(0,182-GrowthStartMonth)/12)</f>
        <v/>
      </c>
      <c r="GD9" s="53">
        <f>(1+GrowthUtility)^(MAX(0,183-GrowthStartMonth)/12)</f>
        <v/>
      </c>
      <c r="GE9" s="53">
        <f>(1+GrowthUtility)^(MAX(0,184-GrowthStartMonth)/12)</f>
        <v/>
      </c>
      <c r="GF9" s="53">
        <f>(1+GrowthUtility)^(MAX(0,185-GrowthStartMonth)/12)</f>
        <v/>
      </c>
      <c r="GG9" s="53">
        <f>(1+GrowthUtility)^(MAX(0,186-GrowthStartMonth)/12)</f>
        <v/>
      </c>
      <c r="GH9" s="53">
        <f>(1+GrowthUtility)^(MAX(0,187-GrowthStartMonth)/12)</f>
        <v/>
      </c>
      <c r="GI9" s="53">
        <f>(1+GrowthUtility)^(MAX(0,188-GrowthStartMonth)/12)</f>
        <v/>
      </c>
      <c r="GJ9" s="53">
        <f>(1+GrowthUtility)^(MAX(0,189-GrowthStartMonth)/12)</f>
        <v/>
      </c>
      <c r="GK9" s="53">
        <f>(1+GrowthUtility)^(MAX(0,190-GrowthStartMonth)/12)</f>
        <v/>
      </c>
      <c r="GL9" s="53">
        <f>(1+GrowthUtility)^(MAX(0,191-GrowthStartMonth)/12)</f>
        <v/>
      </c>
      <c r="GM9" s="53">
        <f>(1+GrowthUtility)^(MAX(0,192-GrowthStartMonth)/12)</f>
        <v/>
      </c>
      <c r="GN9" s="53">
        <f>(1+GrowthUtility)^(MAX(0,193-GrowthStartMonth)/12)</f>
        <v/>
      </c>
      <c r="GO9" s="53">
        <f>(1+GrowthUtility)^(MAX(0,194-GrowthStartMonth)/12)</f>
        <v/>
      </c>
      <c r="GP9" s="53">
        <f>(1+GrowthUtility)^(MAX(0,195-GrowthStartMonth)/12)</f>
        <v/>
      </c>
      <c r="GQ9" s="53">
        <f>(1+GrowthUtility)^(MAX(0,196-GrowthStartMonth)/12)</f>
        <v/>
      </c>
      <c r="GR9" s="53">
        <f>(1+GrowthUtility)^(MAX(0,197-GrowthStartMonth)/12)</f>
        <v/>
      </c>
      <c r="GS9" s="53">
        <f>(1+GrowthUtility)^(MAX(0,198-GrowthStartMonth)/12)</f>
        <v/>
      </c>
      <c r="GT9" s="53">
        <f>(1+GrowthUtility)^(MAX(0,199-GrowthStartMonth)/12)</f>
        <v/>
      </c>
      <c r="GU9" s="53">
        <f>(1+GrowthUtility)^(MAX(0,200-GrowthStartMonth)/12)</f>
        <v/>
      </c>
      <c r="GV9" s="53">
        <f>(1+GrowthUtility)^(MAX(0,201-GrowthStartMonth)/12)</f>
        <v/>
      </c>
      <c r="GW9" s="53">
        <f>(1+GrowthUtility)^(MAX(0,202-GrowthStartMonth)/12)</f>
        <v/>
      </c>
      <c r="GX9" s="53">
        <f>(1+GrowthUtility)^(MAX(0,203-GrowthStartMonth)/12)</f>
        <v/>
      </c>
      <c r="GY9" s="53">
        <f>(1+GrowthUtility)^(MAX(0,204-GrowthStartMonth)/12)</f>
        <v/>
      </c>
      <c r="GZ9" s="53">
        <f>(1+GrowthUtility)^(MAX(0,205-GrowthStartMonth)/12)</f>
        <v/>
      </c>
      <c r="HA9" s="53">
        <f>(1+GrowthUtility)^(MAX(0,206-GrowthStartMonth)/12)</f>
        <v/>
      </c>
      <c r="HB9" s="53">
        <f>(1+GrowthUtility)^(MAX(0,207-GrowthStartMonth)/12)</f>
        <v/>
      </c>
      <c r="HC9" s="53">
        <f>(1+GrowthUtility)^(MAX(0,208-GrowthStartMonth)/12)</f>
        <v/>
      </c>
      <c r="HD9" s="53">
        <f>(1+GrowthUtility)^(MAX(0,209-GrowthStartMonth)/12)</f>
        <v/>
      </c>
      <c r="HE9" s="53">
        <f>(1+GrowthUtility)^(MAX(0,210-GrowthStartMonth)/12)</f>
        <v/>
      </c>
      <c r="HF9" s="53">
        <f>(1+GrowthUtility)^(MAX(0,211-GrowthStartMonth)/12)</f>
        <v/>
      </c>
      <c r="HG9" s="53">
        <f>(1+GrowthUtility)^(MAX(0,212-GrowthStartMonth)/12)</f>
        <v/>
      </c>
      <c r="HH9" s="53">
        <f>(1+GrowthUtility)^(MAX(0,213-GrowthStartMonth)/12)</f>
        <v/>
      </c>
      <c r="HI9" s="53">
        <f>(1+GrowthUtility)^(MAX(0,214-GrowthStartMonth)/12)</f>
        <v/>
      </c>
      <c r="HJ9" s="53">
        <f>(1+GrowthUtility)^(MAX(0,215-GrowthStartMonth)/12)</f>
        <v/>
      </c>
      <c r="HK9" s="53">
        <f>(1+GrowthUtility)^(MAX(0,216-GrowthStartMonth)/12)</f>
        <v/>
      </c>
      <c r="HL9" s="53">
        <f>(1+GrowthUtility)^(MAX(0,217-GrowthStartMonth)/12)</f>
        <v/>
      </c>
      <c r="HM9" s="53">
        <f>(1+GrowthUtility)^(MAX(0,218-GrowthStartMonth)/12)</f>
        <v/>
      </c>
      <c r="HN9" s="53">
        <f>(1+GrowthUtility)^(MAX(0,219-GrowthStartMonth)/12)</f>
        <v/>
      </c>
      <c r="HO9" s="53">
        <f>(1+GrowthUtility)^(MAX(0,220-GrowthStartMonth)/12)</f>
        <v/>
      </c>
      <c r="HP9" s="53">
        <f>(1+GrowthUtility)^(MAX(0,221-GrowthStartMonth)/12)</f>
        <v/>
      </c>
      <c r="HQ9" s="53">
        <f>(1+GrowthUtility)^(MAX(0,222-GrowthStartMonth)/12)</f>
        <v/>
      </c>
      <c r="HR9" s="53">
        <f>(1+GrowthUtility)^(MAX(0,223-GrowthStartMonth)/12)</f>
        <v/>
      </c>
      <c r="HS9" s="53">
        <f>(1+GrowthUtility)^(MAX(0,224-GrowthStartMonth)/12)</f>
        <v/>
      </c>
      <c r="HT9" s="53">
        <f>(1+GrowthUtility)^(MAX(0,225-GrowthStartMonth)/12)</f>
        <v/>
      </c>
      <c r="HU9" s="53">
        <f>(1+GrowthUtility)^(MAX(0,226-GrowthStartMonth)/12)</f>
        <v/>
      </c>
      <c r="HV9" s="53">
        <f>(1+GrowthUtility)^(MAX(0,227-GrowthStartMonth)/12)</f>
        <v/>
      </c>
      <c r="HW9" s="53">
        <f>(1+GrowthUtility)^(MAX(0,228-GrowthStartMonth)/12)</f>
        <v/>
      </c>
      <c r="HX9" s="53">
        <f>(1+GrowthUtility)^(MAX(0,229-GrowthStartMonth)/12)</f>
        <v/>
      </c>
      <c r="HY9" s="53">
        <f>(1+GrowthUtility)^(MAX(0,230-GrowthStartMonth)/12)</f>
        <v/>
      </c>
      <c r="HZ9" s="53">
        <f>(1+GrowthUtility)^(MAX(0,231-GrowthStartMonth)/12)</f>
        <v/>
      </c>
      <c r="IA9" s="53">
        <f>(1+GrowthUtility)^(MAX(0,232-GrowthStartMonth)/12)</f>
        <v/>
      </c>
      <c r="IB9" s="53">
        <f>(1+GrowthUtility)^(MAX(0,233-GrowthStartMonth)/12)</f>
        <v/>
      </c>
      <c r="IC9" s="53">
        <f>(1+GrowthUtility)^(MAX(0,234-GrowthStartMonth)/12)</f>
        <v/>
      </c>
      <c r="ID9" s="53">
        <f>(1+GrowthUtility)^(MAX(0,235-GrowthStartMonth)/12)</f>
        <v/>
      </c>
      <c r="IE9" s="53">
        <f>(1+GrowthUtility)^(MAX(0,236-GrowthStartMonth)/12)</f>
        <v/>
      </c>
      <c r="IF9" s="53">
        <f>(1+GrowthUtility)^(MAX(0,237-GrowthStartMonth)/12)</f>
        <v/>
      </c>
      <c r="IG9" s="53">
        <f>(1+GrowthUtility)^(MAX(0,238-GrowthStartMonth)/12)</f>
        <v/>
      </c>
      <c r="IH9" s="53">
        <f>(1+GrowthUtility)^(MAX(0,239-GrowthStartMonth)/12)</f>
        <v/>
      </c>
      <c r="II9" s="53">
        <f>(1+GrowthUtility)^(MAX(0,240-GrowthStartMonth)/12)</f>
        <v/>
      </c>
      <c r="IJ9" s="53">
        <f>(1+GrowthUtility)^(MAX(0,241-GrowthStartMonth)/12)</f>
        <v/>
      </c>
      <c r="IK9" s="53">
        <f>(1+GrowthUtility)^(MAX(0,242-GrowthStartMonth)/12)</f>
        <v/>
      </c>
      <c r="IL9" s="53">
        <f>(1+GrowthUtility)^(MAX(0,243-GrowthStartMonth)/12)</f>
        <v/>
      </c>
      <c r="IM9" s="53">
        <f>(1+GrowthUtility)^(MAX(0,244-GrowthStartMonth)/12)</f>
        <v/>
      </c>
      <c r="IN9" s="53">
        <f>(1+GrowthUtility)^(MAX(0,245-GrowthStartMonth)/12)</f>
        <v/>
      </c>
      <c r="IO9" s="53">
        <f>(1+GrowthUtility)^(MAX(0,246-GrowthStartMonth)/12)</f>
        <v/>
      </c>
      <c r="IP9" s="53">
        <f>(1+GrowthUtility)^(MAX(0,247-GrowthStartMonth)/12)</f>
        <v/>
      </c>
      <c r="IQ9" s="53">
        <f>(1+GrowthUtility)^(MAX(0,248-GrowthStartMonth)/12)</f>
        <v/>
      </c>
      <c r="IR9" s="53">
        <f>(1+GrowthUtility)^(MAX(0,249-GrowthStartMonth)/12)</f>
        <v/>
      </c>
      <c r="IS9" s="53">
        <f>(1+GrowthUtility)^(MAX(0,250-GrowthStartMonth)/12)</f>
        <v/>
      </c>
      <c r="IT9" s="53">
        <f>(1+GrowthUtility)^(MAX(0,251-GrowthStartMonth)/12)</f>
        <v/>
      </c>
      <c r="IU9" s="53">
        <f>(1+GrowthUtility)^(MAX(0,252-GrowthStartMonth)/12)</f>
        <v/>
      </c>
      <c r="IV9" s="53">
        <f>(1+GrowthUtility)^(MAX(0,253-GrowthStartMonth)/12)</f>
        <v/>
      </c>
      <c r="IW9" s="53">
        <f>(1+GrowthUtility)^(MAX(0,254-GrowthStartMonth)/12)</f>
        <v/>
      </c>
      <c r="IX9" s="53">
        <f>(1+GrowthUtility)^(MAX(0,255-GrowthStartMonth)/12)</f>
        <v/>
      </c>
      <c r="IY9" s="53">
        <f>(1+GrowthUtility)^(MAX(0,256-GrowthStartMonth)/12)</f>
        <v/>
      </c>
      <c r="IZ9" s="53">
        <f>(1+GrowthUtility)^(MAX(0,257-GrowthStartMonth)/12)</f>
        <v/>
      </c>
      <c r="JA9" s="53">
        <f>(1+GrowthUtility)^(MAX(0,258-GrowthStartMonth)/12)</f>
        <v/>
      </c>
      <c r="JB9" s="53">
        <f>(1+GrowthUtility)^(MAX(0,259-GrowthStartMonth)/12)</f>
        <v/>
      </c>
      <c r="JC9" s="53">
        <f>(1+GrowthUtility)^(MAX(0,260-GrowthStartMonth)/12)</f>
        <v/>
      </c>
      <c r="JD9" s="53">
        <f>(1+GrowthUtility)^(MAX(0,261-GrowthStartMonth)/12)</f>
        <v/>
      </c>
      <c r="JE9" s="53">
        <f>(1+GrowthUtility)^(MAX(0,262-GrowthStartMonth)/12)</f>
        <v/>
      </c>
      <c r="JF9" s="53">
        <f>(1+GrowthUtility)^(MAX(0,263-GrowthStartMonth)/12)</f>
        <v/>
      </c>
      <c r="JG9" s="53">
        <f>(1+GrowthUtility)^(MAX(0,264-GrowthStartMonth)/12)</f>
        <v/>
      </c>
      <c r="JH9" s="53">
        <f>(1+GrowthUtility)^(MAX(0,265-GrowthStartMonth)/12)</f>
        <v/>
      </c>
      <c r="JI9" s="53">
        <f>(1+GrowthUtility)^(MAX(0,266-GrowthStartMonth)/12)</f>
        <v/>
      </c>
      <c r="JJ9" s="53">
        <f>(1+GrowthUtility)^(MAX(0,267-GrowthStartMonth)/12)</f>
        <v/>
      </c>
      <c r="JK9" s="53">
        <f>(1+GrowthUtility)^(MAX(0,268-GrowthStartMonth)/12)</f>
        <v/>
      </c>
      <c r="JL9" s="53">
        <f>(1+GrowthUtility)^(MAX(0,269-GrowthStartMonth)/12)</f>
        <v/>
      </c>
      <c r="JM9" s="53">
        <f>(1+GrowthUtility)^(MAX(0,270-GrowthStartMonth)/12)</f>
        <v/>
      </c>
      <c r="JN9" s="53">
        <f>(1+GrowthUtility)^(MAX(0,271-GrowthStartMonth)/12)</f>
        <v/>
      </c>
      <c r="JO9" s="53">
        <f>(1+GrowthUtility)^(MAX(0,272-GrowthStartMonth)/12)</f>
        <v/>
      </c>
      <c r="JP9" s="53">
        <f>(1+GrowthUtility)^(MAX(0,273-GrowthStartMonth)/12)</f>
        <v/>
      </c>
      <c r="JQ9" s="53">
        <f>(1+GrowthUtility)^(MAX(0,274-GrowthStartMonth)/12)</f>
        <v/>
      </c>
      <c r="JR9" s="53">
        <f>(1+GrowthUtility)^(MAX(0,275-GrowthStartMonth)/12)</f>
        <v/>
      </c>
      <c r="JS9" s="53">
        <f>(1+GrowthUtility)^(MAX(0,276-GrowthStartMonth)/12)</f>
        <v/>
      </c>
      <c r="JT9" s="53">
        <f>(1+GrowthUtility)^(MAX(0,277-GrowthStartMonth)/12)</f>
        <v/>
      </c>
      <c r="JU9" s="53">
        <f>(1+GrowthUtility)^(MAX(0,278-GrowthStartMonth)/12)</f>
        <v/>
      </c>
      <c r="JV9" s="53">
        <f>(1+GrowthUtility)^(MAX(0,279-GrowthStartMonth)/12)</f>
        <v/>
      </c>
      <c r="JW9" s="53">
        <f>(1+GrowthUtility)^(MAX(0,280-GrowthStartMonth)/12)</f>
        <v/>
      </c>
      <c r="JX9" s="53">
        <f>(1+GrowthUtility)^(MAX(0,281-GrowthStartMonth)/12)</f>
        <v/>
      </c>
      <c r="JY9" s="53">
        <f>(1+GrowthUtility)^(MAX(0,282-GrowthStartMonth)/12)</f>
        <v/>
      </c>
      <c r="JZ9" s="53">
        <f>(1+GrowthUtility)^(MAX(0,283-GrowthStartMonth)/12)</f>
        <v/>
      </c>
      <c r="KA9" s="53">
        <f>(1+GrowthUtility)^(MAX(0,284-GrowthStartMonth)/12)</f>
        <v/>
      </c>
      <c r="KB9" s="53">
        <f>(1+GrowthUtility)^(MAX(0,285-GrowthStartMonth)/12)</f>
        <v/>
      </c>
      <c r="KC9" s="53">
        <f>(1+GrowthUtility)^(MAX(0,286-GrowthStartMonth)/12)</f>
        <v/>
      </c>
      <c r="KD9" s="53">
        <f>(1+GrowthUtility)^(MAX(0,287-GrowthStartMonth)/12)</f>
        <v/>
      </c>
      <c r="KE9" s="53">
        <f>(1+GrowthUtility)^(MAX(0,288-GrowthStartMonth)/12)</f>
        <v/>
      </c>
      <c r="KF9" s="53">
        <f>(1+GrowthUtility)^(MAX(0,289-GrowthStartMonth)/12)</f>
        <v/>
      </c>
      <c r="KG9" s="53">
        <f>(1+GrowthUtility)^(MAX(0,290-GrowthStartMonth)/12)</f>
        <v/>
      </c>
      <c r="KH9" s="53">
        <f>(1+GrowthUtility)^(MAX(0,291-GrowthStartMonth)/12)</f>
        <v/>
      </c>
      <c r="KI9" s="53">
        <f>(1+GrowthUtility)^(MAX(0,292-GrowthStartMonth)/12)</f>
        <v/>
      </c>
      <c r="KJ9" s="53">
        <f>(1+GrowthUtility)^(MAX(0,293-GrowthStartMonth)/12)</f>
        <v/>
      </c>
      <c r="KK9" s="53">
        <f>(1+GrowthUtility)^(MAX(0,294-GrowthStartMonth)/12)</f>
        <v/>
      </c>
      <c r="KL9" s="53">
        <f>(1+GrowthUtility)^(MAX(0,295-GrowthStartMonth)/12)</f>
        <v/>
      </c>
      <c r="KM9" s="53">
        <f>(1+GrowthUtility)^(MAX(0,296-GrowthStartMonth)/12)</f>
        <v/>
      </c>
      <c r="KN9" s="53">
        <f>(1+GrowthUtility)^(MAX(0,297-GrowthStartMonth)/12)</f>
        <v/>
      </c>
      <c r="KO9" s="53">
        <f>(1+GrowthUtility)^(MAX(0,298-GrowthStartMonth)/12)</f>
        <v/>
      </c>
      <c r="KP9" s="53">
        <f>(1+GrowthUtility)^(MAX(0,299-GrowthStartMonth)/12)</f>
        <v/>
      </c>
      <c r="KQ9" s="53">
        <f>(1+GrowthUtility)^(MAX(0,300-GrowthStartMonth)/12)</f>
        <v/>
      </c>
      <c r="KR9" s="53">
        <f>(1+GrowthUtility)^(MAX(0,301-GrowthStartMonth)/12)</f>
        <v/>
      </c>
      <c r="KS9" s="53">
        <f>(1+GrowthUtility)^(MAX(0,302-GrowthStartMonth)/12)</f>
        <v/>
      </c>
      <c r="KT9" s="53">
        <f>(1+GrowthUtility)^(MAX(0,303-GrowthStartMonth)/12)</f>
        <v/>
      </c>
      <c r="KU9" s="53">
        <f>(1+GrowthUtility)^(MAX(0,304-GrowthStartMonth)/12)</f>
        <v/>
      </c>
      <c r="KV9" s="53">
        <f>(1+GrowthUtility)^(MAX(0,305-GrowthStartMonth)/12)</f>
        <v/>
      </c>
      <c r="KW9" s="53">
        <f>(1+GrowthUtility)^(MAX(0,306-GrowthStartMonth)/12)</f>
        <v/>
      </c>
      <c r="KX9" s="53">
        <f>(1+GrowthUtility)^(MAX(0,307-GrowthStartMonth)/12)</f>
        <v/>
      </c>
      <c r="KY9" s="53">
        <f>(1+GrowthUtility)^(MAX(0,308-GrowthStartMonth)/12)</f>
        <v/>
      </c>
      <c r="KZ9" s="53">
        <f>(1+GrowthUtility)^(MAX(0,309-GrowthStartMonth)/12)</f>
        <v/>
      </c>
      <c r="LA9" s="53">
        <f>(1+GrowthUtility)^(MAX(0,310-GrowthStartMonth)/12)</f>
        <v/>
      </c>
      <c r="LB9" s="53">
        <f>(1+GrowthUtility)^(MAX(0,311-GrowthStartMonth)/12)</f>
        <v/>
      </c>
      <c r="LC9" s="53">
        <f>(1+GrowthUtility)^(MAX(0,312-GrowthStartMonth)/12)</f>
        <v/>
      </c>
      <c r="LD9" s="53">
        <f>(1+GrowthUtility)^(MAX(0,313-GrowthStartMonth)/12)</f>
        <v/>
      </c>
      <c r="LE9" s="53">
        <f>(1+GrowthUtility)^(MAX(0,314-GrowthStartMonth)/12)</f>
        <v/>
      </c>
      <c r="LF9" s="53">
        <f>(1+GrowthUtility)^(MAX(0,315-GrowthStartMonth)/12)</f>
        <v/>
      </c>
      <c r="LG9" s="53">
        <f>(1+GrowthUtility)^(MAX(0,316-GrowthStartMonth)/12)</f>
        <v/>
      </c>
      <c r="LH9" s="53">
        <f>(1+GrowthUtility)^(MAX(0,317-GrowthStartMonth)/12)</f>
        <v/>
      </c>
      <c r="LI9" s="53">
        <f>(1+GrowthUtility)^(MAX(0,318-GrowthStartMonth)/12)</f>
        <v/>
      </c>
      <c r="LJ9" s="53">
        <f>(1+GrowthUtility)^(MAX(0,319-GrowthStartMonth)/12)</f>
        <v/>
      </c>
      <c r="LK9" s="53">
        <f>(1+GrowthUtility)^(MAX(0,320-GrowthStartMonth)/12)</f>
        <v/>
      </c>
      <c r="LL9" s="53">
        <f>(1+GrowthUtility)^(MAX(0,321-GrowthStartMonth)/12)</f>
        <v/>
      </c>
      <c r="LM9" s="53">
        <f>(1+GrowthUtility)^(MAX(0,322-GrowthStartMonth)/12)</f>
        <v/>
      </c>
      <c r="LN9" s="53">
        <f>(1+GrowthUtility)^(MAX(0,323-GrowthStartMonth)/12)</f>
        <v/>
      </c>
      <c r="LO9" s="53">
        <f>(1+GrowthUtility)^(MAX(0,324-GrowthStartMonth)/12)</f>
        <v/>
      </c>
      <c r="LP9" s="53">
        <f>(1+GrowthUtility)^(MAX(0,325-GrowthStartMonth)/12)</f>
        <v/>
      </c>
      <c r="LQ9" s="53">
        <f>(1+GrowthUtility)^(MAX(0,326-GrowthStartMonth)/12)</f>
        <v/>
      </c>
      <c r="LR9" s="53">
        <f>(1+GrowthUtility)^(MAX(0,327-GrowthStartMonth)/12)</f>
        <v/>
      </c>
      <c r="LS9" s="53">
        <f>(1+GrowthUtility)^(MAX(0,328-GrowthStartMonth)/12)</f>
        <v/>
      </c>
      <c r="LT9" s="53">
        <f>(1+GrowthUtility)^(MAX(0,329-GrowthStartMonth)/12)</f>
        <v/>
      </c>
      <c r="LU9" s="53">
        <f>(1+GrowthUtility)^(MAX(0,330-GrowthStartMonth)/12)</f>
        <v/>
      </c>
      <c r="LV9" s="53">
        <f>(1+GrowthUtility)^(MAX(0,331-GrowthStartMonth)/12)</f>
        <v/>
      </c>
      <c r="LW9" s="53">
        <f>(1+GrowthUtility)^(MAX(0,332-GrowthStartMonth)/12)</f>
        <v/>
      </c>
      <c r="LX9" s="53">
        <f>(1+GrowthUtility)^(MAX(0,333-GrowthStartMonth)/12)</f>
        <v/>
      </c>
      <c r="LY9" s="53">
        <f>(1+GrowthUtility)^(MAX(0,334-GrowthStartMonth)/12)</f>
        <v/>
      </c>
      <c r="LZ9" s="53">
        <f>(1+GrowthUtility)^(MAX(0,335-GrowthStartMonth)/12)</f>
        <v/>
      </c>
      <c r="MA9" s="53">
        <f>(1+GrowthUtility)^(MAX(0,336-GrowthStartMonth)/12)</f>
        <v/>
      </c>
      <c r="MB9" s="53">
        <f>(1+GrowthUtility)^(MAX(0,337-GrowthStartMonth)/12)</f>
        <v/>
      </c>
      <c r="MC9" s="53">
        <f>(1+GrowthUtility)^(MAX(0,338-GrowthStartMonth)/12)</f>
        <v/>
      </c>
      <c r="MD9" s="53">
        <f>(1+GrowthUtility)^(MAX(0,339-GrowthStartMonth)/12)</f>
        <v/>
      </c>
      <c r="ME9" s="53">
        <f>(1+GrowthUtility)^(MAX(0,340-GrowthStartMonth)/12)</f>
        <v/>
      </c>
      <c r="MF9" s="53">
        <f>(1+GrowthUtility)^(MAX(0,341-GrowthStartMonth)/12)</f>
        <v/>
      </c>
      <c r="MG9" s="53">
        <f>(1+GrowthUtility)^(MAX(0,342-GrowthStartMonth)/12)</f>
        <v/>
      </c>
      <c r="MH9" s="53">
        <f>(1+GrowthUtility)^(MAX(0,343-GrowthStartMonth)/12)</f>
        <v/>
      </c>
      <c r="MI9" s="53">
        <f>(1+GrowthUtility)^(MAX(0,344-GrowthStartMonth)/12)</f>
        <v/>
      </c>
      <c r="MJ9" s="53">
        <f>(1+GrowthUtility)^(MAX(0,345-GrowthStartMonth)/12)</f>
        <v/>
      </c>
      <c r="MK9" s="53">
        <f>(1+GrowthUtility)^(MAX(0,346-GrowthStartMonth)/12)</f>
        <v/>
      </c>
      <c r="ML9" s="53">
        <f>(1+GrowthUtility)^(MAX(0,347-GrowthStartMonth)/12)</f>
        <v/>
      </c>
      <c r="MM9" s="53">
        <f>(1+GrowthUtility)^(MAX(0,348-GrowthStartMonth)/12)</f>
        <v/>
      </c>
      <c r="MN9" s="53">
        <f>(1+GrowthUtility)^(MAX(0,349-GrowthStartMonth)/12)</f>
        <v/>
      </c>
      <c r="MO9" s="53">
        <f>(1+GrowthUtility)^(MAX(0,350-GrowthStartMonth)/12)</f>
        <v/>
      </c>
      <c r="MP9" s="53">
        <f>(1+GrowthUtility)^(MAX(0,351-GrowthStartMonth)/12)</f>
        <v/>
      </c>
      <c r="MQ9" s="53">
        <f>(1+GrowthUtility)^(MAX(0,352-GrowthStartMonth)/12)</f>
        <v/>
      </c>
      <c r="MR9" s="53">
        <f>(1+GrowthUtility)^(MAX(0,353-GrowthStartMonth)/12)</f>
        <v/>
      </c>
      <c r="MS9" s="53">
        <f>(1+GrowthUtility)^(MAX(0,354-GrowthStartMonth)/12)</f>
        <v/>
      </c>
      <c r="MT9" s="53">
        <f>(1+GrowthUtility)^(MAX(0,355-GrowthStartMonth)/12)</f>
        <v/>
      </c>
      <c r="MU9" s="53">
        <f>(1+GrowthUtility)^(MAX(0,356-GrowthStartMonth)/12)</f>
        <v/>
      </c>
      <c r="MV9" s="53">
        <f>(1+GrowthUtility)^(MAX(0,357-GrowthStartMonth)/12)</f>
        <v/>
      </c>
      <c r="MW9" s="53">
        <f>(1+GrowthUtility)^(MAX(0,358-GrowthStartMonth)/12)</f>
        <v/>
      </c>
      <c r="MX9" s="53">
        <f>(1+GrowthUtility)^(MAX(0,359-GrowthStartMonth)/12)</f>
        <v/>
      </c>
      <c r="MY9" s="53">
        <f>(1+GrowthUtility)^(MAX(0,360-GrowthStartMonth)/12)</f>
        <v/>
      </c>
      <c r="MZ9" s="53">
        <f>(1+GrowthUtility)^(MAX(0,361-GrowthStartMonth)/12)</f>
        <v/>
      </c>
      <c r="NA9" s="53">
        <f>(1+GrowthUtility)^(MAX(0,362-GrowthStartMonth)/12)</f>
        <v/>
      </c>
      <c r="NB9" s="53">
        <f>(1+GrowthUtility)^(MAX(0,363-GrowthStartMonth)/12)</f>
        <v/>
      </c>
      <c r="NC9" s="53">
        <f>(1+GrowthUtility)^(MAX(0,364-GrowthStartMonth)/12)</f>
        <v/>
      </c>
      <c r="ND9" s="53">
        <f>(1+GrowthUtility)^(MAX(0,365-GrowthStartMonth)/12)</f>
        <v/>
      </c>
      <c r="NE9" s="53">
        <f>(1+GrowthUtility)^(MAX(0,366-GrowthStartMonth)/12)</f>
        <v/>
      </c>
      <c r="NF9" s="53">
        <f>(1+GrowthUtility)^(MAX(0,367-GrowthStartMonth)/12)</f>
        <v/>
      </c>
      <c r="NG9" s="53">
        <f>(1+GrowthUtility)^(MAX(0,368-GrowthStartMonth)/12)</f>
        <v/>
      </c>
      <c r="NH9" s="53">
        <f>(1+GrowthUtility)^(MAX(0,369-GrowthStartMonth)/12)</f>
        <v/>
      </c>
      <c r="NI9" s="53">
        <f>(1+GrowthUtility)^(MAX(0,370-GrowthStartMonth)/12)</f>
        <v/>
      </c>
      <c r="NJ9" s="53">
        <f>(1+GrowthUtility)^(MAX(0,371-GrowthStartMonth)/12)</f>
        <v/>
      </c>
      <c r="NK9" s="53">
        <f>(1+GrowthUtility)^(MAX(0,372-GrowthStartMonth)/12)</f>
        <v/>
      </c>
    </row>
    <row r="10">
      <c r="A10" s="5" t="inlineStr">
        <is>
          <t>Growth Factor — Other Income</t>
        </is>
      </c>
      <c r="C10" s="52" t="n"/>
      <c r="D10" s="53">
        <f>(1+GrowthOther)^(MAX(0,1-GrowthStartMonth)/12)</f>
        <v/>
      </c>
      <c r="E10" s="53">
        <f>(1+GrowthOther)^(MAX(0,2-GrowthStartMonth)/12)</f>
        <v/>
      </c>
      <c r="F10" s="53">
        <f>(1+GrowthOther)^(MAX(0,3-GrowthStartMonth)/12)</f>
        <v/>
      </c>
      <c r="G10" s="53">
        <f>(1+GrowthOther)^(MAX(0,4-GrowthStartMonth)/12)</f>
        <v/>
      </c>
      <c r="H10" s="53">
        <f>(1+GrowthOther)^(MAX(0,5-GrowthStartMonth)/12)</f>
        <v/>
      </c>
      <c r="I10" s="53">
        <f>(1+GrowthOther)^(MAX(0,6-GrowthStartMonth)/12)</f>
        <v/>
      </c>
      <c r="J10" s="53">
        <f>(1+GrowthOther)^(MAX(0,7-GrowthStartMonth)/12)</f>
        <v/>
      </c>
      <c r="K10" s="53">
        <f>(1+GrowthOther)^(MAX(0,8-GrowthStartMonth)/12)</f>
        <v/>
      </c>
      <c r="L10" s="53">
        <f>(1+GrowthOther)^(MAX(0,9-GrowthStartMonth)/12)</f>
        <v/>
      </c>
      <c r="M10" s="53">
        <f>(1+GrowthOther)^(MAX(0,10-GrowthStartMonth)/12)</f>
        <v/>
      </c>
      <c r="N10" s="53">
        <f>(1+GrowthOther)^(MAX(0,11-GrowthStartMonth)/12)</f>
        <v/>
      </c>
      <c r="O10" s="53">
        <f>(1+GrowthOther)^(MAX(0,12-GrowthStartMonth)/12)</f>
        <v/>
      </c>
      <c r="P10" s="53">
        <f>(1+GrowthOther)^(MAX(0,13-GrowthStartMonth)/12)</f>
        <v/>
      </c>
      <c r="Q10" s="53">
        <f>(1+GrowthOther)^(MAX(0,14-GrowthStartMonth)/12)</f>
        <v/>
      </c>
      <c r="R10" s="53">
        <f>(1+GrowthOther)^(MAX(0,15-GrowthStartMonth)/12)</f>
        <v/>
      </c>
      <c r="S10" s="53">
        <f>(1+GrowthOther)^(MAX(0,16-GrowthStartMonth)/12)</f>
        <v/>
      </c>
      <c r="T10" s="53">
        <f>(1+GrowthOther)^(MAX(0,17-GrowthStartMonth)/12)</f>
        <v/>
      </c>
      <c r="U10" s="53">
        <f>(1+GrowthOther)^(MAX(0,18-GrowthStartMonth)/12)</f>
        <v/>
      </c>
      <c r="V10" s="53">
        <f>(1+GrowthOther)^(MAX(0,19-GrowthStartMonth)/12)</f>
        <v/>
      </c>
      <c r="W10" s="53">
        <f>(1+GrowthOther)^(MAX(0,20-GrowthStartMonth)/12)</f>
        <v/>
      </c>
      <c r="X10" s="53">
        <f>(1+GrowthOther)^(MAX(0,21-GrowthStartMonth)/12)</f>
        <v/>
      </c>
      <c r="Y10" s="53">
        <f>(1+GrowthOther)^(MAX(0,22-GrowthStartMonth)/12)</f>
        <v/>
      </c>
      <c r="Z10" s="53">
        <f>(1+GrowthOther)^(MAX(0,23-GrowthStartMonth)/12)</f>
        <v/>
      </c>
      <c r="AA10" s="53">
        <f>(1+GrowthOther)^(MAX(0,24-GrowthStartMonth)/12)</f>
        <v/>
      </c>
      <c r="AB10" s="53">
        <f>(1+GrowthOther)^(MAX(0,25-GrowthStartMonth)/12)</f>
        <v/>
      </c>
      <c r="AC10" s="53">
        <f>(1+GrowthOther)^(MAX(0,26-GrowthStartMonth)/12)</f>
        <v/>
      </c>
      <c r="AD10" s="53">
        <f>(1+GrowthOther)^(MAX(0,27-GrowthStartMonth)/12)</f>
        <v/>
      </c>
      <c r="AE10" s="53">
        <f>(1+GrowthOther)^(MAX(0,28-GrowthStartMonth)/12)</f>
        <v/>
      </c>
      <c r="AF10" s="53">
        <f>(1+GrowthOther)^(MAX(0,29-GrowthStartMonth)/12)</f>
        <v/>
      </c>
      <c r="AG10" s="53">
        <f>(1+GrowthOther)^(MAX(0,30-GrowthStartMonth)/12)</f>
        <v/>
      </c>
      <c r="AH10" s="53">
        <f>(1+GrowthOther)^(MAX(0,31-GrowthStartMonth)/12)</f>
        <v/>
      </c>
      <c r="AI10" s="53">
        <f>(1+GrowthOther)^(MAX(0,32-GrowthStartMonth)/12)</f>
        <v/>
      </c>
      <c r="AJ10" s="53">
        <f>(1+GrowthOther)^(MAX(0,33-GrowthStartMonth)/12)</f>
        <v/>
      </c>
      <c r="AK10" s="53">
        <f>(1+GrowthOther)^(MAX(0,34-GrowthStartMonth)/12)</f>
        <v/>
      </c>
      <c r="AL10" s="53">
        <f>(1+GrowthOther)^(MAX(0,35-GrowthStartMonth)/12)</f>
        <v/>
      </c>
      <c r="AM10" s="53">
        <f>(1+GrowthOther)^(MAX(0,36-GrowthStartMonth)/12)</f>
        <v/>
      </c>
      <c r="AN10" s="53">
        <f>(1+GrowthOther)^(MAX(0,37-GrowthStartMonth)/12)</f>
        <v/>
      </c>
      <c r="AO10" s="53">
        <f>(1+GrowthOther)^(MAX(0,38-GrowthStartMonth)/12)</f>
        <v/>
      </c>
      <c r="AP10" s="53">
        <f>(1+GrowthOther)^(MAX(0,39-GrowthStartMonth)/12)</f>
        <v/>
      </c>
      <c r="AQ10" s="53">
        <f>(1+GrowthOther)^(MAX(0,40-GrowthStartMonth)/12)</f>
        <v/>
      </c>
      <c r="AR10" s="53">
        <f>(1+GrowthOther)^(MAX(0,41-GrowthStartMonth)/12)</f>
        <v/>
      </c>
      <c r="AS10" s="53">
        <f>(1+GrowthOther)^(MAX(0,42-GrowthStartMonth)/12)</f>
        <v/>
      </c>
      <c r="AT10" s="53">
        <f>(1+GrowthOther)^(MAX(0,43-GrowthStartMonth)/12)</f>
        <v/>
      </c>
      <c r="AU10" s="53">
        <f>(1+GrowthOther)^(MAX(0,44-GrowthStartMonth)/12)</f>
        <v/>
      </c>
      <c r="AV10" s="53">
        <f>(1+GrowthOther)^(MAX(0,45-GrowthStartMonth)/12)</f>
        <v/>
      </c>
      <c r="AW10" s="53">
        <f>(1+GrowthOther)^(MAX(0,46-GrowthStartMonth)/12)</f>
        <v/>
      </c>
      <c r="AX10" s="53">
        <f>(1+GrowthOther)^(MAX(0,47-GrowthStartMonth)/12)</f>
        <v/>
      </c>
      <c r="AY10" s="53">
        <f>(1+GrowthOther)^(MAX(0,48-GrowthStartMonth)/12)</f>
        <v/>
      </c>
      <c r="AZ10" s="53">
        <f>(1+GrowthOther)^(MAX(0,49-GrowthStartMonth)/12)</f>
        <v/>
      </c>
      <c r="BA10" s="53">
        <f>(1+GrowthOther)^(MAX(0,50-GrowthStartMonth)/12)</f>
        <v/>
      </c>
      <c r="BB10" s="53">
        <f>(1+GrowthOther)^(MAX(0,51-GrowthStartMonth)/12)</f>
        <v/>
      </c>
      <c r="BC10" s="53">
        <f>(1+GrowthOther)^(MAX(0,52-GrowthStartMonth)/12)</f>
        <v/>
      </c>
      <c r="BD10" s="53">
        <f>(1+GrowthOther)^(MAX(0,53-GrowthStartMonth)/12)</f>
        <v/>
      </c>
      <c r="BE10" s="53">
        <f>(1+GrowthOther)^(MAX(0,54-GrowthStartMonth)/12)</f>
        <v/>
      </c>
      <c r="BF10" s="53">
        <f>(1+GrowthOther)^(MAX(0,55-GrowthStartMonth)/12)</f>
        <v/>
      </c>
      <c r="BG10" s="53">
        <f>(1+GrowthOther)^(MAX(0,56-GrowthStartMonth)/12)</f>
        <v/>
      </c>
      <c r="BH10" s="53">
        <f>(1+GrowthOther)^(MAX(0,57-GrowthStartMonth)/12)</f>
        <v/>
      </c>
      <c r="BI10" s="53">
        <f>(1+GrowthOther)^(MAX(0,58-GrowthStartMonth)/12)</f>
        <v/>
      </c>
      <c r="BJ10" s="53">
        <f>(1+GrowthOther)^(MAX(0,59-GrowthStartMonth)/12)</f>
        <v/>
      </c>
      <c r="BK10" s="53">
        <f>(1+GrowthOther)^(MAX(0,60-GrowthStartMonth)/12)</f>
        <v/>
      </c>
      <c r="BL10" s="53">
        <f>(1+GrowthOther)^(MAX(0,61-GrowthStartMonth)/12)</f>
        <v/>
      </c>
      <c r="BM10" s="53">
        <f>(1+GrowthOther)^(MAX(0,62-GrowthStartMonth)/12)</f>
        <v/>
      </c>
      <c r="BN10" s="53">
        <f>(1+GrowthOther)^(MAX(0,63-GrowthStartMonth)/12)</f>
        <v/>
      </c>
      <c r="BO10" s="53">
        <f>(1+GrowthOther)^(MAX(0,64-GrowthStartMonth)/12)</f>
        <v/>
      </c>
      <c r="BP10" s="53">
        <f>(1+GrowthOther)^(MAX(0,65-GrowthStartMonth)/12)</f>
        <v/>
      </c>
      <c r="BQ10" s="53">
        <f>(1+GrowthOther)^(MAX(0,66-GrowthStartMonth)/12)</f>
        <v/>
      </c>
      <c r="BR10" s="53">
        <f>(1+GrowthOther)^(MAX(0,67-GrowthStartMonth)/12)</f>
        <v/>
      </c>
      <c r="BS10" s="53">
        <f>(1+GrowthOther)^(MAX(0,68-GrowthStartMonth)/12)</f>
        <v/>
      </c>
      <c r="BT10" s="53">
        <f>(1+GrowthOther)^(MAX(0,69-GrowthStartMonth)/12)</f>
        <v/>
      </c>
      <c r="BU10" s="53">
        <f>(1+GrowthOther)^(MAX(0,70-GrowthStartMonth)/12)</f>
        <v/>
      </c>
      <c r="BV10" s="53">
        <f>(1+GrowthOther)^(MAX(0,71-GrowthStartMonth)/12)</f>
        <v/>
      </c>
      <c r="BW10" s="53">
        <f>(1+GrowthOther)^(MAX(0,72-GrowthStartMonth)/12)</f>
        <v/>
      </c>
      <c r="BX10" s="53">
        <f>(1+GrowthOther)^(MAX(0,73-GrowthStartMonth)/12)</f>
        <v/>
      </c>
      <c r="BY10" s="53">
        <f>(1+GrowthOther)^(MAX(0,74-GrowthStartMonth)/12)</f>
        <v/>
      </c>
      <c r="BZ10" s="53">
        <f>(1+GrowthOther)^(MAX(0,75-GrowthStartMonth)/12)</f>
        <v/>
      </c>
      <c r="CA10" s="53">
        <f>(1+GrowthOther)^(MAX(0,76-GrowthStartMonth)/12)</f>
        <v/>
      </c>
      <c r="CB10" s="53">
        <f>(1+GrowthOther)^(MAX(0,77-GrowthStartMonth)/12)</f>
        <v/>
      </c>
      <c r="CC10" s="53">
        <f>(1+GrowthOther)^(MAX(0,78-GrowthStartMonth)/12)</f>
        <v/>
      </c>
      <c r="CD10" s="53">
        <f>(1+GrowthOther)^(MAX(0,79-GrowthStartMonth)/12)</f>
        <v/>
      </c>
      <c r="CE10" s="53">
        <f>(1+GrowthOther)^(MAX(0,80-GrowthStartMonth)/12)</f>
        <v/>
      </c>
      <c r="CF10" s="53">
        <f>(1+GrowthOther)^(MAX(0,81-GrowthStartMonth)/12)</f>
        <v/>
      </c>
      <c r="CG10" s="53">
        <f>(1+GrowthOther)^(MAX(0,82-GrowthStartMonth)/12)</f>
        <v/>
      </c>
      <c r="CH10" s="53">
        <f>(1+GrowthOther)^(MAX(0,83-GrowthStartMonth)/12)</f>
        <v/>
      </c>
      <c r="CI10" s="53">
        <f>(1+GrowthOther)^(MAX(0,84-GrowthStartMonth)/12)</f>
        <v/>
      </c>
      <c r="CJ10" s="53">
        <f>(1+GrowthOther)^(MAX(0,85-GrowthStartMonth)/12)</f>
        <v/>
      </c>
      <c r="CK10" s="53">
        <f>(1+GrowthOther)^(MAX(0,86-GrowthStartMonth)/12)</f>
        <v/>
      </c>
      <c r="CL10" s="53">
        <f>(1+GrowthOther)^(MAX(0,87-GrowthStartMonth)/12)</f>
        <v/>
      </c>
      <c r="CM10" s="53">
        <f>(1+GrowthOther)^(MAX(0,88-GrowthStartMonth)/12)</f>
        <v/>
      </c>
      <c r="CN10" s="53">
        <f>(1+GrowthOther)^(MAX(0,89-GrowthStartMonth)/12)</f>
        <v/>
      </c>
      <c r="CO10" s="53">
        <f>(1+GrowthOther)^(MAX(0,90-GrowthStartMonth)/12)</f>
        <v/>
      </c>
      <c r="CP10" s="53">
        <f>(1+GrowthOther)^(MAX(0,91-GrowthStartMonth)/12)</f>
        <v/>
      </c>
      <c r="CQ10" s="53">
        <f>(1+GrowthOther)^(MAX(0,92-GrowthStartMonth)/12)</f>
        <v/>
      </c>
      <c r="CR10" s="53">
        <f>(1+GrowthOther)^(MAX(0,93-GrowthStartMonth)/12)</f>
        <v/>
      </c>
      <c r="CS10" s="53">
        <f>(1+GrowthOther)^(MAX(0,94-GrowthStartMonth)/12)</f>
        <v/>
      </c>
      <c r="CT10" s="53">
        <f>(1+GrowthOther)^(MAX(0,95-GrowthStartMonth)/12)</f>
        <v/>
      </c>
      <c r="CU10" s="53">
        <f>(1+GrowthOther)^(MAX(0,96-GrowthStartMonth)/12)</f>
        <v/>
      </c>
      <c r="CV10" s="53">
        <f>(1+GrowthOther)^(MAX(0,97-GrowthStartMonth)/12)</f>
        <v/>
      </c>
      <c r="CW10" s="53">
        <f>(1+GrowthOther)^(MAX(0,98-GrowthStartMonth)/12)</f>
        <v/>
      </c>
      <c r="CX10" s="53">
        <f>(1+GrowthOther)^(MAX(0,99-GrowthStartMonth)/12)</f>
        <v/>
      </c>
      <c r="CY10" s="53">
        <f>(1+GrowthOther)^(MAX(0,100-GrowthStartMonth)/12)</f>
        <v/>
      </c>
      <c r="CZ10" s="53">
        <f>(1+GrowthOther)^(MAX(0,101-GrowthStartMonth)/12)</f>
        <v/>
      </c>
      <c r="DA10" s="53">
        <f>(1+GrowthOther)^(MAX(0,102-GrowthStartMonth)/12)</f>
        <v/>
      </c>
      <c r="DB10" s="53">
        <f>(1+GrowthOther)^(MAX(0,103-GrowthStartMonth)/12)</f>
        <v/>
      </c>
      <c r="DC10" s="53">
        <f>(1+GrowthOther)^(MAX(0,104-GrowthStartMonth)/12)</f>
        <v/>
      </c>
      <c r="DD10" s="53">
        <f>(1+GrowthOther)^(MAX(0,105-GrowthStartMonth)/12)</f>
        <v/>
      </c>
      <c r="DE10" s="53">
        <f>(1+GrowthOther)^(MAX(0,106-GrowthStartMonth)/12)</f>
        <v/>
      </c>
      <c r="DF10" s="53">
        <f>(1+GrowthOther)^(MAX(0,107-GrowthStartMonth)/12)</f>
        <v/>
      </c>
      <c r="DG10" s="53">
        <f>(1+GrowthOther)^(MAX(0,108-GrowthStartMonth)/12)</f>
        <v/>
      </c>
      <c r="DH10" s="53">
        <f>(1+GrowthOther)^(MAX(0,109-GrowthStartMonth)/12)</f>
        <v/>
      </c>
      <c r="DI10" s="53">
        <f>(1+GrowthOther)^(MAX(0,110-GrowthStartMonth)/12)</f>
        <v/>
      </c>
      <c r="DJ10" s="53">
        <f>(1+GrowthOther)^(MAX(0,111-GrowthStartMonth)/12)</f>
        <v/>
      </c>
      <c r="DK10" s="53">
        <f>(1+GrowthOther)^(MAX(0,112-GrowthStartMonth)/12)</f>
        <v/>
      </c>
      <c r="DL10" s="53">
        <f>(1+GrowthOther)^(MAX(0,113-GrowthStartMonth)/12)</f>
        <v/>
      </c>
      <c r="DM10" s="53">
        <f>(1+GrowthOther)^(MAX(0,114-GrowthStartMonth)/12)</f>
        <v/>
      </c>
      <c r="DN10" s="53">
        <f>(1+GrowthOther)^(MAX(0,115-GrowthStartMonth)/12)</f>
        <v/>
      </c>
      <c r="DO10" s="53">
        <f>(1+GrowthOther)^(MAX(0,116-GrowthStartMonth)/12)</f>
        <v/>
      </c>
      <c r="DP10" s="53">
        <f>(1+GrowthOther)^(MAX(0,117-GrowthStartMonth)/12)</f>
        <v/>
      </c>
      <c r="DQ10" s="53">
        <f>(1+GrowthOther)^(MAX(0,118-GrowthStartMonth)/12)</f>
        <v/>
      </c>
      <c r="DR10" s="53">
        <f>(1+GrowthOther)^(MAX(0,119-GrowthStartMonth)/12)</f>
        <v/>
      </c>
      <c r="DS10" s="53">
        <f>(1+GrowthOther)^(MAX(0,120-GrowthStartMonth)/12)</f>
        <v/>
      </c>
      <c r="DT10" s="53">
        <f>(1+GrowthOther)^(MAX(0,121-GrowthStartMonth)/12)</f>
        <v/>
      </c>
      <c r="DU10" s="53">
        <f>(1+GrowthOther)^(MAX(0,122-GrowthStartMonth)/12)</f>
        <v/>
      </c>
      <c r="DV10" s="53">
        <f>(1+GrowthOther)^(MAX(0,123-GrowthStartMonth)/12)</f>
        <v/>
      </c>
      <c r="DW10" s="53">
        <f>(1+GrowthOther)^(MAX(0,124-GrowthStartMonth)/12)</f>
        <v/>
      </c>
      <c r="DX10" s="53">
        <f>(1+GrowthOther)^(MAX(0,125-GrowthStartMonth)/12)</f>
        <v/>
      </c>
      <c r="DY10" s="53">
        <f>(1+GrowthOther)^(MAX(0,126-GrowthStartMonth)/12)</f>
        <v/>
      </c>
      <c r="DZ10" s="53">
        <f>(1+GrowthOther)^(MAX(0,127-GrowthStartMonth)/12)</f>
        <v/>
      </c>
      <c r="EA10" s="53">
        <f>(1+GrowthOther)^(MAX(0,128-GrowthStartMonth)/12)</f>
        <v/>
      </c>
      <c r="EB10" s="53">
        <f>(1+GrowthOther)^(MAX(0,129-GrowthStartMonth)/12)</f>
        <v/>
      </c>
      <c r="EC10" s="53">
        <f>(1+GrowthOther)^(MAX(0,130-GrowthStartMonth)/12)</f>
        <v/>
      </c>
      <c r="ED10" s="53">
        <f>(1+GrowthOther)^(MAX(0,131-GrowthStartMonth)/12)</f>
        <v/>
      </c>
      <c r="EE10" s="53">
        <f>(1+GrowthOther)^(MAX(0,132-GrowthStartMonth)/12)</f>
        <v/>
      </c>
      <c r="EF10" s="53">
        <f>(1+GrowthOther)^(MAX(0,133-GrowthStartMonth)/12)</f>
        <v/>
      </c>
      <c r="EG10" s="53">
        <f>(1+GrowthOther)^(MAX(0,134-GrowthStartMonth)/12)</f>
        <v/>
      </c>
      <c r="EH10" s="53">
        <f>(1+GrowthOther)^(MAX(0,135-GrowthStartMonth)/12)</f>
        <v/>
      </c>
      <c r="EI10" s="53">
        <f>(1+GrowthOther)^(MAX(0,136-GrowthStartMonth)/12)</f>
        <v/>
      </c>
      <c r="EJ10" s="53">
        <f>(1+GrowthOther)^(MAX(0,137-GrowthStartMonth)/12)</f>
        <v/>
      </c>
      <c r="EK10" s="53">
        <f>(1+GrowthOther)^(MAX(0,138-GrowthStartMonth)/12)</f>
        <v/>
      </c>
      <c r="EL10" s="53">
        <f>(1+GrowthOther)^(MAX(0,139-GrowthStartMonth)/12)</f>
        <v/>
      </c>
      <c r="EM10" s="53">
        <f>(1+GrowthOther)^(MAX(0,140-GrowthStartMonth)/12)</f>
        <v/>
      </c>
      <c r="EN10" s="53">
        <f>(1+GrowthOther)^(MAX(0,141-GrowthStartMonth)/12)</f>
        <v/>
      </c>
      <c r="EO10" s="53">
        <f>(1+GrowthOther)^(MAX(0,142-GrowthStartMonth)/12)</f>
        <v/>
      </c>
      <c r="EP10" s="53">
        <f>(1+GrowthOther)^(MAX(0,143-GrowthStartMonth)/12)</f>
        <v/>
      </c>
      <c r="EQ10" s="53">
        <f>(1+GrowthOther)^(MAX(0,144-GrowthStartMonth)/12)</f>
        <v/>
      </c>
      <c r="ER10" s="53">
        <f>(1+GrowthOther)^(MAX(0,145-GrowthStartMonth)/12)</f>
        <v/>
      </c>
      <c r="ES10" s="53">
        <f>(1+GrowthOther)^(MAX(0,146-GrowthStartMonth)/12)</f>
        <v/>
      </c>
      <c r="ET10" s="53">
        <f>(1+GrowthOther)^(MAX(0,147-GrowthStartMonth)/12)</f>
        <v/>
      </c>
      <c r="EU10" s="53">
        <f>(1+GrowthOther)^(MAX(0,148-GrowthStartMonth)/12)</f>
        <v/>
      </c>
      <c r="EV10" s="53">
        <f>(1+GrowthOther)^(MAX(0,149-GrowthStartMonth)/12)</f>
        <v/>
      </c>
      <c r="EW10" s="53">
        <f>(1+GrowthOther)^(MAX(0,150-GrowthStartMonth)/12)</f>
        <v/>
      </c>
      <c r="EX10" s="53">
        <f>(1+GrowthOther)^(MAX(0,151-GrowthStartMonth)/12)</f>
        <v/>
      </c>
      <c r="EY10" s="53">
        <f>(1+GrowthOther)^(MAX(0,152-GrowthStartMonth)/12)</f>
        <v/>
      </c>
      <c r="EZ10" s="53">
        <f>(1+GrowthOther)^(MAX(0,153-GrowthStartMonth)/12)</f>
        <v/>
      </c>
      <c r="FA10" s="53">
        <f>(1+GrowthOther)^(MAX(0,154-GrowthStartMonth)/12)</f>
        <v/>
      </c>
      <c r="FB10" s="53">
        <f>(1+GrowthOther)^(MAX(0,155-GrowthStartMonth)/12)</f>
        <v/>
      </c>
      <c r="FC10" s="53">
        <f>(1+GrowthOther)^(MAX(0,156-GrowthStartMonth)/12)</f>
        <v/>
      </c>
      <c r="FD10" s="53">
        <f>(1+GrowthOther)^(MAX(0,157-GrowthStartMonth)/12)</f>
        <v/>
      </c>
      <c r="FE10" s="53">
        <f>(1+GrowthOther)^(MAX(0,158-GrowthStartMonth)/12)</f>
        <v/>
      </c>
      <c r="FF10" s="53">
        <f>(1+GrowthOther)^(MAX(0,159-GrowthStartMonth)/12)</f>
        <v/>
      </c>
      <c r="FG10" s="53">
        <f>(1+GrowthOther)^(MAX(0,160-GrowthStartMonth)/12)</f>
        <v/>
      </c>
      <c r="FH10" s="53">
        <f>(1+GrowthOther)^(MAX(0,161-GrowthStartMonth)/12)</f>
        <v/>
      </c>
      <c r="FI10" s="53">
        <f>(1+GrowthOther)^(MAX(0,162-GrowthStartMonth)/12)</f>
        <v/>
      </c>
      <c r="FJ10" s="53">
        <f>(1+GrowthOther)^(MAX(0,163-GrowthStartMonth)/12)</f>
        <v/>
      </c>
      <c r="FK10" s="53">
        <f>(1+GrowthOther)^(MAX(0,164-GrowthStartMonth)/12)</f>
        <v/>
      </c>
      <c r="FL10" s="53">
        <f>(1+GrowthOther)^(MAX(0,165-GrowthStartMonth)/12)</f>
        <v/>
      </c>
      <c r="FM10" s="53">
        <f>(1+GrowthOther)^(MAX(0,166-GrowthStartMonth)/12)</f>
        <v/>
      </c>
      <c r="FN10" s="53">
        <f>(1+GrowthOther)^(MAX(0,167-GrowthStartMonth)/12)</f>
        <v/>
      </c>
      <c r="FO10" s="53">
        <f>(1+GrowthOther)^(MAX(0,168-GrowthStartMonth)/12)</f>
        <v/>
      </c>
      <c r="FP10" s="53">
        <f>(1+GrowthOther)^(MAX(0,169-GrowthStartMonth)/12)</f>
        <v/>
      </c>
      <c r="FQ10" s="53">
        <f>(1+GrowthOther)^(MAX(0,170-GrowthStartMonth)/12)</f>
        <v/>
      </c>
      <c r="FR10" s="53">
        <f>(1+GrowthOther)^(MAX(0,171-GrowthStartMonth)/12)</f>
        <v/>
      </c>
      <c r="FS10" s="53">
        <f>(1+GrowthOther)^(MAX(0,172-GrowthStartMonth)/12)</f>
        <v/>
      </c>
      <c r="FT10" s="53">
        <f>(1+GrowthOther)^(MAX(0,173-GrowthStartMonth)/12)</f>
        <v/>
      </c>
      <c r="FU10" s="53">
        <f>(1+GrowthOther)^(MAX(0,174-GrowthStartMonth)/12)</f>
        <v/>
      </c>
      <c r="FV10" s="53">
        <f>(1+GrowthOther)^(MAX(0,175-GrowthStartMonth)/12)</f>
        <v/>
      </c>
      <c r="FW10" s="53">
        <f>(1+GrowthOther)^(MAX(0,176-GrowthStartMonth)/12)</f>
        <v/>
      </c>
      <c r="FX10" s="53">
        <f>(1+GrowthOther)^(MAX(0,177-GrowthStartMonth)/12)</f>
        <v/>
      </c>
      <c r="FY10" s="53">
        <f>(1+GrowthOther)^(MAX(0,178-GrowthStartMonth)/12)</f>
        <v/>
      </c>
      <c r="FZ10" s="53">
        <f>(1+GrowthOther)^(MAX(0,179-GrowthStartMonth)/12)</f>
        <v/>
      </c>
      <c r="GA10" s="53">
        <f>(1+GrowthOther)^(MAX(0,180-GrowthStartMonth)/12)</f>
        <v/>
      </c>
      <c r="GB10" s="53">
        <f>(1+GrowthOther)^(MAX(0,181-GrowthStartMonth)/12)</f>
        <v/>
      </c>
      <c r="GC10" s="53">
        <f>(1+GrowthOther)^(MAX(0,182-GrowthStartMonth)/12)</f>
        <v/>
      </c>
      <c r="GD10" s="53">
        <f>(1+GrowthOther)^(MAX(0,183-GrowthStartMonth)/12)</f>
        <v/>
      </c>
      <c r="GE10" s="53">
        <f>(1+GrowthOther)^(MAX(0,184-GrowthStartMonth)/12)</f>
        <v/>
      </c>
      <c r="GF10" s="53">
        <f>(1+GrowthOther)^(MAX(0,185-GrowthStartMonth)/12)</f>
        <v/>
      </c>
      <c r="GG10" s="53">
        <f>(1+GrowthOther)^(MAX(0,186-GrowthStartMonth)/12)</f>
        <v/>
      </c>
      <c r="GH10" s="53">
        <f>(1+GrowthOther)^(MAX(0,187-GrowthStartMonth)/12)</f>
        <v/>
      </c>
      <c r="GI10" s="53">
        <f>(1+GrowthOther)^(MAX(0,188-GrowthStartMonth)/12)</f>
        <v/>
      </c>
      <c r="GJ10" s="53">
        <f>(1+GrowthOther)^(MAX(0,189-GrowthStartMonth)/12)</f>
        <v/>
      </c>
      <c r="GK10" s="53">
        <f>(1+GrowthOther)^(MAX(0,190-GrowthStartMonth)/12)</f>
        <v/>
      </c>
      <c r="GL10" s="53">
        <f>(1+GrowthOther)^(MAX(0,191-GrowthStartMonth)/12)</f>
        <v/>
      </c>
      <c r="GM10" s="53">
        <f>(1+GrowthOther)^(MAX(0,192-GrowthStartMonth)/12)</f>
        <v/>
      </c>
      <c r="GN10" s="53">
        <f>(1+GrowthOther)^(MAX(0,193-GrowthStartMonth)/12)</f>
        <v/>
      </c>
      <c r="GO10" s="53">
        <f>(1+GrowthOther)^(MAX(0,194-GrowthStartMonth)/12)</f>
        <v/>
      </c>
      <c r="GP10" s="53">
        <f>(1+GrowthOther)^(MAX(0,195-GrowthStartMonth)/12)</f>
        <v/>
      </c>
      <c r="GQ10" s="53">
        <f>(1+GrowthOther)^(MAX(0,196-GrowthStartMonth)/12)</f>
        <v/>
      </c>
      <c r="GR10" s="53">
        <f>(1+GrowthOther)^(MAX(0,197-GrowthStartMonth)/12)</f>
        <v/>
      </c>
      <c r="GS10" s="53">
        <f>(1+GrowthOther)^(MAX(0,198-GrowthStartMonth)/12)</f>
        <v/>
      </c>
      <c r="GT10" s="53">
        <f>(1+GrowthOther)^(MAX(0,199-GrowthStartMonth)/12)</f>
        <v/>
      </c>
      <c r="GU10" s="53">
        <f>(1+GrowthOther)^(MAX(0,200-GrowthStartMonth)/12)</f>
        <v/>
      </c>
      <c r="GV10" s="53">
        <f>(1+GrowthOther)^(MAX(0,201-GrowthStartMonth)/12)</f>
        <v/>
      </c>
      <c r="GW10" s="53">
        <f>(1+GrowthOther)^(MAX(0,202-GrowthStartMonth)/12)</f>
        <v/>
      </c>
      <c r="GX10" s="53">
        <f>(1+GrowthOther)^(MAX(0,203-GrowthStartMonth)/12)</f>
        <v/>
      </c>
      <c r="GY10" s="53">
        <f>(1+GrowthOther)^(MAX(0,204-GrowthStartMonth)/12)</f>
        <v/>
      </c>
      <c r="GZ10" s="53">
        <f>(1+GrowthOther)^(MAX(0,205-GrowthStartMonth)/12)</f>
        <v/>
      </c>
      <c r="HA10" s="53">
        <f>(1+GrowthOther)^(MAX(0,206-GrowthStartMonth)/12)</f>
        <v/>
      </c>
      <c r="HB10" s="53">
        <f>(1+GrowthOther)^(MAX(0,207-GrowthStartMonth)/12)</f>
        <v/>
      </c>
      <c r="HC10" s="53">
        <f>(1+GrowthOther)^(MAX(0,208-GrowthStartMonth)/12)</f>
        <v/>
      </c>
      <c r="HD10" s="53">
        <f>(1+GrowthOther)^(MAX(0,209-GrowthStartMonth)/12)</f>
        <v/>
      </c>
      <c r="HE10" s="53">
        <f>(1+GrowthOther)^(MAX(0,210-GrowthStartMonth)/12)</f>
        <v/>
      </c>
      <c r="HF10" s="53">
        <f>(1+GrowthOther)^(MAX(0,211-GrowthStartMonth)/12)</f>
        <v/>
      </c>
      <c r="HG10" s="53">
        <f>(1+GrowthOther)^(MAX(0,212-GrowthStartMonth)/12)</f>
        <v/>
      </c>
      <c r="HH10" s="53">
        <f>(1+GrowthOther)^(MAX(0,213-GrowthStartMonth)/12)</f>
        <v/>
      </c>
      <c r="HI10" s="53">
        <f>(1+GrowthOther)^(MAX(0,214-GrowthStartMonth)/12)</f>
        <v/>
      </c>
      <c r="HJ10" s="53">
        <f>(1+GrowthOther)^(MAX(0,215-GrowthStartMonth)/12)</f>
        <v/>
      </c>
      <c r="HK10" s="53">
        <f>(1+GrowthOther)^(MAX(0,216-GrowthStartMonth)/12)</f>
        <v/>
      </c>
      <c r="HL10" s="53">
        <f>(1+GrowthOther)^(MAX(0,217-GrowthStartMonth)/12)</f>
        <v/>
      </c>
      <c r="HM10" s="53">
        <f>(1+GrowthOther)^(MAX(0,218-GrowthStartMonth)/12)</f>
        <v/>
      </c>
      <c r="HN10" s="53">
        <f>(1+GrowthOther)^(MAX(0,219-GrowthStartMonth)/12)</f>
        <v/>
      </c>
      <c r="HO10" s="53">
        <f>(1+GrowthOther)^(MAX(0,220-GrowthStartMonth)/12)</f>
        <v/>
      </c>
      <c r="HP10" s="53">
        <f>(1+GrowthOther)^(MAX(0,221-GrowthStartMonth)/12)</f>
        <v/>
      </c>
      <c r="HQ10" s="53">
        <f>(1+GrowthOther)^(MAX(0,222-GrowthStartMonth)/12)</f>
        <v/>
      </c>
      <c r="HR10" s="53">
        <f>(1+GrowthOther)^(MAX(0,223-GrowthStartMonth)/12)</f>
        <v/>
      </c>
      <c r="HS10" s="53">
        <f>(1+GrowthOther)^(MAX(0,224-GrowthStartMonth)/12)</f>
        <v/>
      </c>
      <c r="HT10" s="53">
        <f>(1+GrowthOther)^(MAX(0,225-GrowthStartMonth)/12)</f>
        <v/>
      </c>
      <c r="HU10" s="53">
        <f>(1+GrowthOther)^(MAX(0,226-GrowthStartMonth)/12)</f>
        <v/>
      </c>
      <c r="HV10" s="53">
        <f>(1+GrowthOther)^(MAX(0,227-GrowthStartMonth)/12)</f>
        <v/>
      </c>
      <c r="HW10" s="53">
        <f>(1+GrowthOther)^(MAX(0,228-GrowthStartMonth)/12)</f>
        <v/>
      </c>
      <c r="HX10" s="53">
        <f>(1+GrowthOther)^(MAX(0,229-GrowthStartMonth)/12)</f>
        <v/>
      </c>
      <c r="HY10" s="53">
        <f>(1+GrowthOther)^(MAX(0,230-GrowthStartMonth)/12)</f>
        <v/>
      </c>
      <c r="HZ10" s="53">
        <f>(1+GrowthOther)^(MAX(0,231-GrowthStartMonth)/12)</f>
        <v/>
      </c>
      <c r="IA10" s="53">
        <f>(1+GrowthOther)^(MAX(0,232-GrowthStartMonth)/12)</f>
        <v/>
      </c>
      <c r="IB10" s="53">
        <f>(1+GrowthOther)^(MAX(0,233-GrowthStartMonth)/12)</f>
        <v/>
      </c>
      <c r="IC10" s="53">
        <f>(1+GrowthOther)^(MAX(0,234-GrowthStartMonth)/12)</f>
        <v/>
      </c>
      <c r="ID10" s="53">
        <f>(1+GrowthOther)^(MAX(0,235-GrowthStartMonth)/12)</f>
        <v/>
      </c>
      <c r="IE10" s="53">
        <f>(1+GrowthOther)^(MAX(0,236-GrowthStartMonth)/12)</f>
        <v/>
      </c>
      <c r="IF10" s="53">
        <f>(1+GrowthOther)^(MAX(0,237-GrowthStartMonth)/12)</f>
        <v/>
      </c>
      <c r="IG10" s="53">
        <f>(1+GrowthOther)^(MAX(0,238-GrowthStartMonth)/12)</f>
        <v/>
      </c>
      <c r="IH10" s="53">
        <f>(1+GrowthOther)^(MAX(0,239-GrowthStartMonth)/12)</f>
        <v/>
      </c>
      <c r="II10" s="53">
        <f>(1+GrowthOther)^(MAX(0,240-GrowthStartMonth)/12)</f>
        <v/>
      </c>
      <c r="IJ10" s="53">
        <f>(1+GrowthOther)^(MAX(0,241-GrowthStartMonth)/12)</f>
        <v/>
      </c>
      <c r="IK10" s="53">
        <f>(1+GrowthOther)^(MAX(0,242-GrowthStartMonth)/12)</f>
        <v/>
      </c>
      <c r="IL10" s="53">
        <f>(1+GrowthOther)^(MAX(0,243-GrowthStartMonth)/12)</f>
        <v/>
      </c>
      <c r="IM10" s="53">
        <f>(1+GrowthOther)^(MAX(0,244-GrowthStartMonth)/12)</f>
        <v/>
      </c>
      <c r="IN10" s="53">
        <f>(1+GrowthOther)^(MAX(0,245-GrowthStartMonth)/12)</f>
        <v/>
      </c>
      <c r="IO10" s="53">
        <f>(1+GrowthOther)^(MAX(0,246-GrowthStartMonth)/12)</f>
        <v/>
      </c>
      <c r="IP10" s="53">
        <f>(1+GrowthOther)^(MAX(0,247-GrowthStartMonth)/12)</f>
        <v/>
      </c>
      <c r="IQ10" s="53">
        <f>(1+GrowthOther)^(MAX(0,248-GrowthStartMonth)/12)</f>
        <v/>
      </c>
      <c r="IR10" s="53">
        <f>(1+GrowthOther)^(MAX(0,249-GrowthStartMonth)/12)</f>
        <v/>
      </c>
      <c r="IS10" s="53">
        <f>(1+GrowthOther)^(MAX(0,250-GrowthStartMonth)/12)</f>
        <v/>
      </c>
      <c r="IT10" s="53">
        <f>(1+GrowthOther)^(MAX(0,251-GrowthStartMonth)/12)</f>
        <v/>
      </c>
      <c r="IU10" s="53">
        <f>(1+GrowthOther)^(MAX(0,252-GrowthStartMonth)/12)</f>
        <v/>
      </c>
      <c r="IV10" s="53">
        <f>(1+GrowthOther)^(MAX(0,253-GrowthStartMonth)/12)</f>
        <v/>
      </c>
      <c r="IW10" s="53">
        <f>(1+GrowthOther)^(MAX(0,254-GrowthStartMonth)/12)</f>
        <v/>
      </c>
      <c r="IX10" s="53">
        <f>(1+GrowthOther)^(MAX(0,255-GrowthStartMonth)/12)</f>
        <v/>
      </c>
      <c r="IY10" s="53">
        <f>(1+GrowthOther)^(MAX(0,256-GrowthStartMonth)/12)</f>
        <v/>
      </c>
      <c r="IZ10" s="53">
        <f>(1+GrowthOther)^(MAX(0,257-GrowthStartMonth)/12)</f>
        <v/>
      </c>
      <c r="JA10" s="53">
        <f>(1+GrowthOther)^(MAX(0,258-GrowthStartMonth)/12)</f>
        <v/>
      </c>
      <c r="JB10" s="53">
        <f>(1+GrowthOther)^(MAX(0,259-GrowthStartMonth)/12)</f>
        <v/>
      </c>
      <c r="JC10" s="53">
        <f>(1+GrowthOther)^(MAX(0,260-GrowthStartMonth)/12)</f>
        <v/>
      </c>
      <c r="JD10" s="53">
        <f>(1+GrowthOther)^(MAX(0,261-GrowthStartMonth)/12)</f>
        <v/>
      </c>
      <c r="JE10" s="53">
        <f>(1+GrowthOther)^(MAX(0,262-GrowthStartMonth)/12)</f>
        <v/>
      </c>
      <c r="JF10" s="53">
        <f>(1+GrowthOther)^(MAX(0,263-GrowthStartMonth)/12)</f>
        <v/>
      </c>
      <c r="JG10" s="53">
        <f>(1+GrowthOther)^(MAX(0,264-GrowthStartMonth)/12)</f>
        <v/>
      </c>
      <c r="JH10" s="53">
        <f>(1+GrowthOther)^(MAX(0,265-GrowthStartMonth)/12)</f>
        <v/>
      </c>
      <c r="JI10" s="53">
        <f>(1+GrowthOther)^(MAX(0,266-GrowthStartMonth)/12)</f>
        <v/>
      </c>
      <c r="JJ10" s="53">
        <f>(1+GrowthOther)^(MAX(0,267-GrowthStartMonth)/12)</f>
        <v/>
      </c>
      <c r="JK10" s="53">
        <f>(1+GrowthOther)^(MAX(0,268-GrowthStartMonth)/12)</f>
        <v/>
      </c>
      <c r="JL10" s="53">
        <f>(1+GrowthOther)^(MAX(0,269-GrowthStartMonth)/12)</f>
        <v/>
      </c>
      <c r="JM10" s="53">
        <f>(1+GrowthOther)^(MAX(0,270-GrowthStartMonth)/12)</f>
        <v/>
      </c>
      <c r="JN10" s="53">
        <f>(1+GrowthOther)^(MAX(0,271-GrowthStartMonth)/12)</f>
        <v/>
      </c>
      <c r="JO10" s="53">
        <f>(1+GrowthOther)^(MAX(0,272-GrowthStartMonth)/12)</f>
        <v/>
      </c>
      <c r="JP10" s="53">
        <f>(1+GrowthOther)^(MAX(0,273-GrowthStartMonth)/12)</f>
        <v/>
      </c>
      <c r="JQ10" s="53">
        <f>(1+GrowthOther)^(MAX(0,274-GrowthStartMonth)/12)</f>
        <v/>
      </c>
      <c r="JR10" s="53">
        <f>(1+GrowthOther)^(MAX(0,275-GrowthStartMonth)/12)</f>
        <v/>
      </c>
      <c r="JS10" s="53">
        <f>(1+GrowthOther)^(MAX(0,276-GrowthStartMonth)/12)</f>
        <v/>
      </c>
      <c r="JT10" s="53">
        <f>(1+GrowthOther)^(MAX(0,277-GrowthStartMonth)/12)</f>
        <v/>
      </c>
      <c r="JU10" s="53">
        <f>(1+GrowthOther)^(MAX(0,278-GrowthStartMonth)/12)</f>
        <v/>
      </c>
      <c r="JV10" s="53">
        <f>(1+GrowthOther)^(MAX(0,279-GrowthStartMonth)/12)</f>
        <v/>
      </c>
      <c r="JW10" s="53">
        <f>(1+GrowthOther)^(MAX(0,280-GrowthStartMonth)/12)</f>
        <v/>
      </c>
      <c r="JX10" s="53">
        <f>(1+GrowthOther)^(MAX(0,281-GrowthStartMonth)/12)</f>
        <v/>
      </c>
      <c r="JY10" s="53">
        <f>(1+GrowthOther)^(MAX(0,282-GrowthStartMonth)/12)</f>
        <v/>
      </c>
      <c r="JZ10" s="53">
        <f>(1+GrowthOther)^(MAX(0,283-GrowthStartMonth)/12)</f>
        <v/>
      </c>
      <c r="KA10" s="53">
        <f>(1+GrowthOther)^(MAX(0,284-GrowthStartMonth)/12)</f>
        <v/>
      </c>
      <c r="KB10" s="53">
        <f>(1+GrowthOther)^(MAX(0,285-GrowthStartMonth)/12)</f>
        <v/>
      </c>
      <c r="KC10" s="53">
        <f>(1+GrowthOther)^(MAX(0,286-GrowthStartMonth)/12)</f>
        <v/>
      </c>
      <c r="KD10" s="53">
        <f>(1+GrowthOther)^(MAX(0,287-GrowthStartMonth)/12)</f>
        <v/>
      </c>
      <c r="KE10" s="53">
        <f>(1+GrowthOther)^(MAX(0,288-GrowthStartMonth)/12)</f>
        <v/>
      </c>
      <c r="KF10" s="53">
        <f>(1+GrowthOther)^(MAX(0,289-GrowthStartMonth)/12)</f>
        <v/>
      </c>
      <c r="KG10" s="53">
        <f>(1+GrowthOther)^(MAX(0,290-GrowthStartMonth)/12)</f>
        <v/>
      </c>
      <c r="KH10" s="53">
        <f>(1+GrowthOther)^(MAX(0,291-GrowthStartMonth)/12)</f>
        <v/>
      </c>
      <c r="KI10" s="53">
        <f>(1+GrowthOther)^(MAX(0,292-GrowthStartMonth)/12)</f>
        <v/>
      </c>
      <c r="KJ10" s="53">
        <f>(1+GrowthOther)^(MAX(0,293-GrowthStartMonth)/12)</f>
        <v/>
      </c>
      <c r="KK10" s="53">
        <f>(1+GrowthOther)^(MAX(0,294-GrowthStartMonth)/12)</f>
        <v/>
      </c>
      <c r="KL10" s="53">
        <f>(1+GrowthOther)^(MAX(0,295-GrowthStartMonth)/12)</f>
        <v/>
      </c>
      <c r="KM10" s="53">
        <f>(1+GrowthOther)^(MAX(0,296-GrowthStartMonth)/12)</f>
        <v/>
      </c>
      <c r="KN10" s="53">
        <f>(1+GrowthOther)^(MAX(0,297-GrowthStartMonth)/12)</f>
        <v/>
      </c>
      <c r="KO10" s="53">
        <f>(1+GrowthOther)^(MAX(0,298-GrowthStartMonth)/12)</f>
        <v/>
      </c>
      <c r="KP10" s="53">
        <f>(1+GrowthOther)^(MAX(0,299-GrowthStartMonth)/12)</f>
        <v/>
      </c>
      <c r="KQ10" s="53">
        <f>(1+GrowthOther)^(MAX(0,300-GrowthStartMonth)/12)</f>
        <v/>
      </c>
      <c r="KR10" s="53">
        <f>(1+GrowthOther)^(MAX(0,301-GrowthStartMonth)/12)</f>
        <v/>
      </c>
      <c r="KS10" s="53">
        <f>(1+GrowthOther)^(MAX(0,302-GrowthStartMonth)/12)</f>
        <v/>
      </c>
      <c r="KT10" s="53">
        <f>(1+GrowthOther)^(MAX(0,303-GrowthStartMonth)/12)</f>
        <v/>
      </c>
      <c r="KU10" s="53">
        <f>(1+GrowthOther)^(MAX(0,304-GrowthStartMonth)/12)</f>
        <v/>
      </c>
      <c r="KV10" s="53">
        <f>(1+GrowthOther)^(MAX(0,305-GrowthStartMonth)/12)</f>
        <v/>
      </c>
      <c r="KW10" s="53">
        <f>(1+GrowthOther)^(MAX(0,306-GrowthStartMonth)/12)</f>
        <v/>
      </c>
      <c r="KX10" s="53">
        <f>(1+GrowthOther)^(MAX(0,307-GrowthStartMonth)/12)</f>
        <v/>
      </c>
      <c r="KY10" s="53">
        <f>(1+GrowthOther)^(MAX(0,308-GrowthStartMonth)/12)</f>
        <v/>
      </c>
      <c r="KZ10" s="53">
        <f>(1+GrowthOther)^(MAX(0,309-GrowthStartMonth)/12)</f>
        <v/>
      </c>
      <c r="LA10" s="53">
        <f>(1+GrowthOther)^(MAX(0,310-GrowthStartMonth)/12)</f>
        <v/>
      </c>
      <c r="LB10" s="53">
        <f>(1+GrowthOther)^(MAX(0,311-GrowthStartMonth)/12)</f>
        <v/>
      </c>
      <c r="LC10" s="53">
        <f>(1+GrowthOther)^(MAX(0,312-GrowthStartMonth)/12)</f>
        <v/>
      </c>
      <c r="LD10" s="53">
        <f>(1+GrowthOther)^(MAX(0,313-GrowthStartMonth)/12)</f>
        <v/>
      </c>
      <c r="LE10" s="53">
        <f>(1+GrowthOther)^(MAX(0,314-GrowthStartMonth)/12)</f>
        <v/>
      </c>
      <c r="LF10" s="53">
        <f>(1+GrowthOther)^(MAX(0,315-GrowthStartMonth)/12)</f>
        <v/>
      </c>
      <c r="LG10" s="53">
        <f>(1+GrowthOther)^(MAX(0,316-GrowthStartMonth)/12)</f>
        <v/>
      </c>
      <c r="LH10" s="53">
        <f>(1+GrowthOther)^(MAX(0,317-GrowthStartMonth)/12)</f>
        <v/>
      </c>
      <c r="LI10" s="53">
        <f>(1+GrowthOther)^(MAX(0,318-GrowthStartMonth)/12)</f>
        <v/>
      </c>
      <c r="LJ10" s="53">
        <f>(1+GrowthOther)^(MAX(0,319-GrowthStartMonth)/12)</f>
        <v/>
      </c>
      <c r="LK10" s="53">
        <f>(1+GrowthOther)^(MAX(0,320-GrowthStartMonth)/12)</f>
        <v/>
      </c>
      <c r="LL10" s="53">
        <f>(1+GrowthOther)^(MAX(0,321-GrowthStartMonth)/12)</f>
        <v/>
      </c>
      <c r="LM10" s="53">
        <f>(1+GrowthOther)^(MAX(0,322-GrowthStartMonth)/12)</f>
        <v/>
      </c>
      <c r="LN10" s="53">
        <f>(1+GrowthOther)^(MAX(0,323-GrowthStartMonth)/12)</f>
        <v/>
      </c>
      <c r="LO10" s="53">
        <f>(1+GrowthOther)^(MAX(0,324-GrowthStartMonth)/12)</f>
        <v/>
      </c>
      <c r="LP10" s="53">
        <f>(1+GrowthOther)^(MAX(0,325-GrowthStartMonth)/12)</f>
        <v/>
      </c>
      <c r="LQ10" s="53">
        <f>(1+GrowthOther)^(MAX(0,326-GrowthStartMonth)/12)</f>
        <v/>
      </c>
      <c r="LR10" s="53">
        <f>(1+GrowthOther)^(MAX(0,327-GrowthStartMonth)/12)</f>
        <v/>
      </c>
      <c r="LS10" s="53">
        <f>(1+GrowthOther)^(MAX(0,328-GrowthStartMonth)/12)</f>
        <v/>
      </c>
      <c r="LT10" s="53">
        <f>(1+GrowthOther)^(MAX(0,329-GrowthStartMonth)/12)</f>
        <v/>
      </c>
      <c r="LU10" s="53">
        <f>(1+GrowthOther)^(MAX(0,330-GrowthStartMonth)/12)</f>
        <v/>
      </c>
      <c r="LV10" s="53">
        <f>(1+GrowthOther)^(MAX(0,331-GrowthStartMonth)/12)</f>
        <v/>
      </c>
      <c r="LW10" s="53">
        <f>(1+GrowthOther)^(MAX(0,332-GrowthStartMonth)/12)</f>
        <v/>
      </c>
      <c r="LX10" s="53">
        <f>(1+GrowthOther)^(MAX(0,333-GrowthStartMonth)/12)</f>
        <v/>
      </c>
      <c r="LY10" s="53">
        <f>(1+GrowthOther)^(MAX(0,334-GrowthStartMonth)/12)</f>
        <v/>
      </c>
      <c r="LZ10" s="53">
        <f>(1+GrowthOther)^(MAX(0,335-GrowthStartMonth)/12)</f>
        <v/>
      </c>
      <c r="MA10" s="53">
        <f>(1+GrowthOther)^(MAX(0,336-GrowthStartMonth)/12)</f>
        <v/>
      </c>
      <c r="MB10" s="53">
        <f>(1+GrowthOther)^(MAX(0,337-GrowthStartMonth)/12)</f>
        <v/>
      </c>
      <c r="MC10" s="53">
        <f>(1+GrowthOther)^(MAX(0,338-GrowthStartMonth)/12)</f>
        <v/>
      </c>
      <c r="MD10" s="53">
        <f>(1+GrowthOther)^(MAX(0,339-GrowthStartMonth)/12)</f>
        <v/>
      </c>
      <c r="ME10" s="53">
        <f>(1+GrowthOther)^(MAX(0,340-GrowthStartMonth)/12)</f>
        <v/>
      </c>
      <c r="MF10" s="53">
        <f>(1+GrowthOther)^(MAX(0,341-GrowthStartMonth)/12)</f>
        <v/>
      </c>
      <c r="MG10" s="53">
        <f>(1+GrowthOther)^(MAX(0,342-GrowthStartMonth)/12)</f>
        <v/>
      </c>
      <c r="MH10" s="53">
        <f>(1+GrowthOther)^(MAX(0,343-GrowthStartMonth)/12)</f>
        <v/>
      </c>
      <c r="MI10" s="53">
        <f>(1+GrowthOther)^(MAX(0,344-GrowthStartMonth)/12)</f>
        <v/>
      </c>
      <c r="MJ10" s="53">
        <f>(1+GrowthOther)^(MAX(0,345-GrowthStartMonth)/12)</f>
        <v/>
      </c>
      <c r="MK10" s="53">
        <f>(1+GrowthOther)^(MAX(0,346-GrowthStartMonth)/12)</f>
        <v/>
      </c>
      <c r="ML10" s="53">
        <f>(1+GrowthOther)^(MAX(0,347-GrowthStartMonth)/12)</f>
        <v/>
      </c>
      <c r="MM10" s="53">
        <f>(1+GrowthOther)^(MAX(0,348-GrowthStartMonth)/12)</f>
        <v/>
      </c>
      <c r="MN10" s="53">
        <f>(1+GrowthOther)^(MAX(0,349-GrowthStartMonth)/12)</f>
        <v/>
      </c>
      <c r="MO10" s="53">
        <f>(1+GrowthOther)^(MAX(0,350-GrowthStartMonth)/12)</f>
        <v/>
      </c>
      <c r="MP10" s="53">
        <f>(1+GrowthOther)^(MAX(0,351-GrowthStartMonth)/12)</f>
        <v/>
      </c>
      <c r="MQ10" s="53">
        <f>(1+GrowthOther)^(MAX(0,352-GrowthStartMonth)/12)</f>
        <v/>
      </c>
      <c r="MR10" s="53">
        <f>(1+GrowthOther)^(MAX(0,353-GrowthStartMonth)/12)</f>
        <v/>
      </c>
      <c r="MS10" s="53">
        <f>(1+GrowthOther)^(MAX(0,354-GrowthStartMonth)/12)</f>
        <v/>
      </c>
      <c r="MT10" s="53">
        <f>(1+GrowthOther)^(MAX(0,355-GrowthStartMonth)/12)</f>
        <v/>
      </c>
      <c r="MU10" s="53">
        <f>(1+GrowthOther)^(MAX(0,356-GrowthStartMonth)/12)</f>
        <v/>
      </c>
      <c r="MV10" s="53">
        <f>(1+GrowthOther)^(MAX(0,357-GrowthStartMonth)/12)</f>
        <v/>
      </c>
      <c r="MW10" s="53">
        <f>(1+GrowthOther)^(MAX(0,358-GrowthStartMonth)/12)</f>
        <v/>
      </c>
      <c r="MX10" s="53">
        <f>(1+GrowthOther)^(MAX(0,359-GrowthStartMonth)/12)</f>
        <v/>
      </c>
      <c r="MY10" s="53">
        <f>(1+GrowthOther)^(MAX(0,360-GrowthStartMonth)/12)</f>
        <v/>
      </c>
      <c r="MZ10" s="53">
        <f>(1+GrowthOther)^(MAX(0,361-GrowthStartMonth)/12)</f>
        <v/>
      </c>
      <c r="NA10" s="53">
        <f>(1+GrowthOther)^(MAX(0,362-GrowthStartMonth)/12)</f>
        <v/>
      </c>
      <c r="NB10" s="53">
        <f>(1+GrowthOther)^(MAX(0,363-GrowthStartMonth)/12)</f>
        <v/>
      </c>
      <c r="NC10" s="53">
        <f>(1+GrowthOther)^(MAX(0,364-GrowthStartMonth)/12)</f>
        <v/>
      </c>
      <c r="ND10" s="53">
        <f>(1+GrowthOther)^(MAX(0,365-GrowthStartMonth)/12)</f>
        <v/>
      </c>
      <c r="NE10" s="53">
        <f>(1+GrowthOther)^(MAX(0,366-GrowthStartMonth)/12)</f>
        <v/>
      </c>
      <c r="NF10" s="53">
        <f>(1+GrowthOther)^(MAX(0,367-GrowthStartMonth)/12)</f>
        <v/>
      </c>
      <c r="NG10" s="53">
        <f>(1+GrowthOther)^(MAX(0,368-GrowthStartMonth)/12)</f>
        <v/>
      </c>
      <c r="NH10" s="53">
        <f>(1+GrowthOther)^(MAX(0,369-GrowthStartMonth)/12)</f>
        <v/>
      </c>
      <c r="NI10" s="53">
        <f>(1+GrowthOther)^(MAX(0,370-GrowthStartMonth)/12)</f>
        <v/>
      </c>
      <c r="NJ10" s="53">
        <f>(1+GrowthOther)^(MAX(0,371-GrowthStartMonth)/12)</f>
        <v/>
      </c>
      <c r="NK10" s="53">
        <f>(1+GrowthOther)^(MAX(0,372-GrowthStartMonth)/12)</f>
        <v/>
      </c>
    </row>
    <row r="11">
      <c r="A11" s="5" t="inlineStr">
        <is>
          <t>Var-Expense Ramp Factor</t>
        </is>
      </c>
      <c r="C11" s="52" t="n"/>
      <c r="D11" s="53">
        <f>IF(1&lt;DeliverStart,LeaseUpRampPct,MIN(1,LeaseUpRampPct+(1-LeaseUpRampPct)*'LeaseUp'!D$10/StabilizedOccupancy))</f>
        <v/>
      </c>
      <c r="E11" s="53">
        <f>IF(2&lt;DeliverStart,LeaseUpRampPct,MIN(1,LeaseUpRampPct+(1-LeaseUpRampPct)*'LeaseUp'!E$10/StabilizedOccupancy))</f>
        <v/>
      </c>
      <c r="F11" s="53">
        <f>IF(3&lt;DeliverStart,LeaseUpRampPct,MIN(1,LeaseUpRampPct+(1-LeaseUpRampPct)*'LeaseUp'!F$10/StabilizedOccupancy))</f>
        <v/>
      </c>
      <c r="G11" s="53">
        <f>IF(4&lt;DeliverStart,LeaseUpRampPct,MIN(1,LeaseUpRampPct+(1-LeaseUpRampPct)*'LeaseUp'!G$10/StabilizedOccupancy))</f>
        <v/>
      </c>
      <c r="H11" s="53">
        <f>IF(5&lt;DeliverStart,LeaseUpRampPct,MIN(1,LeaseUpRampPct+(1-LeaseUpRampPct)*'LeaseUp'!H$10/StabilizedOccupancy))</f>
        <v/>
      </c>
      <c r="I11" s="53">
        <f>IF(6&lt;DeliverStart,LeaseUpRampPct,MIN(1,LeaseUpRampPct+(1-LeaseUpRampPct)*'LeaseUp'!I$10/StabilizedOccupancy))</f>
        <v/>
      </c>
      <c r="J11" s="53">
        <f>IF(7&lt;DeliverStart,LeaseUpRampPct,MIN(1,LeaseUpRampPct+(1-LeaseUpRampPct)*'LeaseUp'!J$10/StabilizedOccupancy))</f>
        <v/>
      </c>
      <c r="K11" s="53">
        <f>IF(8&lt;DeliverStart,LeaseUpRampPct,MIN(1,LeaseUpRampPct+(1-LeaseUpRampPct)*'LeaseUp'!K$10/StabilizedOccupancy))</f>
        <v/>
      </c>
      <c r="L11" s="53">
        <f>IF(9&lt;DeliverStart,LeaseUpRampPct,MIN(1,LeaseUpRampPct+(1-LeaseUpRampPct)*'LeaseUp'!L$10/StabilizedOccupancy))</f>
        <v/>
      </c>
      <c r="M11" s="53">
        <f>IF(10&lt;DeliverStart,LeaseUpRampPct,MIN(1,LeaseUpRampPct+(1-LeaseUpRampPct)*'LeaseUp'!M$10/StabilizedOccupancy))</f>
        <v/>
      </c>
      <c r="N11" s="53">
        <f>IF(11&lt;DeliverStart,LeaseUpRampPct,MIN(1,LeaseUpRampPct+(1-LeaseUpRampPct)*'LeaseUp'!N$10/StabilizedOccupancy))</f>
        <v/>
      </c>
      <c r="O11" s="53">
        <f>IF(12&lt;DeliverStart,LeaseUpRampPct,MIN(1,LeaseUpRampPct+(1-LeaseUpRampPct)*'LeaseUp'!O$10/StabilizedOccupancy))</f>
        <v/>
      </c>
      <c r="P11" s="53">
        <f>IF(13&lt;DeliverStart,LeaseUpRampPct,MIN(1,LeaseUpRampPct+(1-LeaseUpRampPct)*'LeaseUp'!P$10/StabilizedOccupancy))</f>
        <v/>
      </c>
      <c r="Q11" s="53">
        <f>IF(14&lt;DeliverStart,LeaseUpRampPct,MIN(1,LeaseUpRampPct+(1-LeaseUpRampPct)*'LeaseUp'!Q$10/StabilizedOccupancy))</f>
        <v/>
      </c>
      <c r="R11" s="53">
        <f>IF(15&lt;DeliverStart,LeaseUpRampPct,MIN(1,LeaseUpRampPct+(1-LeaseUpRampPct)*'LeaseUp'!R$10/StabilizedOccupancy))</f>
        <v/>
      </c>
      <c r="S11" s="53">
        <f>IF(16&lt;DeliverStart,LeaseUpRampPct,MIN(1,LeaseUpRampPct+(1-LeaseUpRampPct)*'LeaseUp'!S$10/StabilizedOccupancy))</f>
        <v/>
      </c>
      <c r="T11" s="53">
        <f>IF(17&lt;DeliverStart,LeaseUpRampPct,MIN(1,LeaseUpRampPct+(1-LeaseUpRampPct)*'LeaseUp'!T$10/StabilizedOccupancy))</f>
        <v/>
      </c>
      <c r="U11" s="53">
        <f>IF(18&lt;DeliverStart,LeaseUpRampPct,MIN(1,LeaseUpRampPct+(1-LeaseUpRampPct)*'LeaseUp'!U$10/StabilizedOccupancy))</f>
        <v/>
      </c>
      <c r="V11" s="53">
        <f>IF(19&lt;DeliverStart,LeaseUpRampPct,MIN(1,LeaseUpRampPct+(1-LeaseUpRampPct)*'LeaseUp'!V$10/StabilizedOccupancy))</f>
        <v/>
      </c>
      <c r="W11" s="53">
        <f>IF(20&lt;DeliverStart,LeaseUpRampPct,MIN(1,LeaseUpRampPct+(1-LeaseUpRampPct)*'LeaseUp'!W$10/StabilizedOccupancy))</f>
        <v/>
      </c>
      <c r="X11" s="53">
        <f>IF(21&lt;DeliverStart,LeaseUpRampPct,MIN(1,LeaseUpRampPct+(1-LeaseUpRampPct)*'LeaseUp'!X$10/StabilizedOccupancy))</f>
        <v/>
      </c>
      <c r="Y11" s="53">
        <f>IF(22&lt;DeliverStart,LeaseUpRampPct,MIN(1,LeaseUpRampPct+(1-LeaseUpRampPct)*'LeaseUp'!Y$10/StabilizedOccupancy))</f>
        <v/>
      </c>
      <c r="Z11" s="53">
        <f>IF(23&lt;DeliverStart,LeaseUpRampPct,MIN(1,LeaseUpRampPct+(1-LeaseUpRampPct)*'LeaseUp'!Z$10/StabilizedOccupancy))</f>
        <v/>
      </c>
      <c r="AA11" s="53">
        <f>IF(24&lt;DeliverStart,LeaseUpRampPct,MIN(1,LeaseUpRampPct+(1-LeaseUpRampPct)*'LeaseUp'!AA$10/StabilizedOccupancy))</f>
        <v/>
      </c>
      <c r="AB11" s="53">
        <f>IF(25&lt;DeliverStart,LeaseUpRampPct,MIN(1,LeaseUpRampPct+(1-LeaseUpRampPct)*'LeaseUp'!AB$10/StabilizedOccupancy))</f>
        <v/>
      </c>
      <c r="AC11" s="53">
        <f>IF(26&lt;DeliverStart,LeaseUpRampPct,MIN(1,LeaseUpRampPct+(1-LeaseUpRampPct)*'LeaseUp'!AC$10/StabilizedOccupancy))</f>
        <v/>
      </c>
      <c r="AD11" s="53">
        <f>IF(27&lt;DeliverStart,LeaseUpRampPct,MIN(1,LeaseUpRampPct+(1-LeaseUpRampPct)*'LeaseUp'!AD$10/StabilizedOccupancy))</f>
        <v/>
      </c>
      <c r="AE11" s="53">
        <f>IF(28&lt;DeliverStart,LeaseUpRampPct,MIN(1,LeaseUpRampPct+(1-LeaseUpRampPct)*'LeaseUp'!AE$10/StabilizedOccupancy))</f>
        <v/>
      </c>
      <c r="AF11" s="53">
        <f>IF(29&lt;DeliverStart,LeaseUpRampPct,MIN(1,LeaseUpRampPct+(1-LeaseUpRampPct)*'LeaseUp'!AF$10/StabilizedOccupancy))</f>
        <v/>
      </c>
      <c r="AG11" s="53">
        <f>IF(30&lt;DeliverStart,LeaseUpRampPct,MIN(1,LeaseUpRampPct+(1-LeaseUpRampPct)*'LeaseUp'!AG$10/StabilizedOccupancy))</f>
        <v/>
      </c>
      <c r="AH11" s="53">
        <f>IF(31&lt;DeliverStart,LeaseUpRampPct,MIN(1,LeaseUpRampPct+(1-LeaseUpRampPct)*'LeaseUp'!AH$10/StabilizedOccupancy))</f>
        <v/>
      </c>
      <c r="AI11" s="53">
        <f>IF(32&lt;DeliverStart,LeaseUpRampPct,MIN(1,LeaseUpRampPct+(1-LeaseUpRampPct)*'LeaseUp'!AI$10/StabilizedOccupancy))</f>
        <v/>
      </c>
      <c r="AJ11" s="53">
        <f>IF(33&lt;DeliverStart,LeaseUpRampPct,MIN(1,LeaseUpRampPct+(1-LeaseUpRampPct)*'LeaseUp'!AJ$10/StabilizedOccupancy))</f>
        <v/>
      </c>
      <c r="AK11" s="53">
        <f>IF(34&lt;DeliverStart,LeaseUpRampPct,MIN(1,LeaseUpRampPct+(1-LeaseUpRampPct)*'LeaseUp'!AK$10/StabilizedOccupancy))</f>
        <v/>
      </c>
      <c r="AL11" s="53">
        <f>IF(35&lt;DeliverStart,LeaseUpRampPct,MIN(1,LeaseUpRampPct+(1-LeaseUpRampPct)*'LeaseUp'!AL$10/StabilizedOccupancy))</f>
        <v/>
      </c>
      <c r="AM11" s="53">
        <f>IF(36&lt;DeliverStart,LeaseUpRampPct,MIN(1,LeaseUpRampPct+(1-LeaseUpRampPct)*'LeaseUp'!AM$10/StabilizedOccupancy))</f>
        <v/>
      </c>
      <c r="AN11" s="53">
        <f>IF(37&lt;DeliverStart,LeaseUpRampPct,MIN(1,LeaseUpRampPct+(1-LeaseUpRampPct)*'LeaseUp'!AN$10/StabilizedOccupancy))</f>
        <v/>
      </c>
      <c r="AO11" s="53">
        <f>IF(38&lt;DeliverStart,LeaseUpRampPct,MIN(1,LeaseUpRampPct+(1-LeaseUpRampPct)*'LeaseUp'!AO$10/StabilizedOccupancy))</f>
        <v/>
      </c>
      <c r="AP11" s="53">
        <f>IF(39&lt;DeliverStart,LeaseUpRampPct,MIN(1,LeaseUpRampPct+(1-LeaseUpRampPct)*'LeaseUp'!AP$10/StabilizedOccupancy))</f>
        <v/>
      </c>
      <c r="AQ11" s="53">
        <f>IF(40&lt;DeliverStart,LeaseUpRampPct,MIN(1,LeaseUpRampPct+(1-LeaseUpRampPct)*'LeaseUp'!AQ$10/StabilizedOccupancy))</f>
        <v/>
      </c>
      <c r="AR11" s="53">
        <f>IF(41&lt;DeliverStart,LeaseUpRampPct,MIN(1,LeaseUpRampPct+(1-LeaseUpRampPct)*'LeaseUp'!AR$10/StabilizedOccupancy))</f>
        <v/>
      </c>
      <c r="AS11" s="53">
        <f>IF(42&lt;DeliverStart,LeaseUpRampPct,MIN(1,LeaseUpRampPct+(1-LeaseUpRampPct)*'LeaseUp'!AS$10/StabilizedOccupancy))</f>
        <v/>
      </c>
      <c r="AT11" s="53">
        <f>IF(43&lt;DeliverStart,LeaseUpRampPct,MIN(1,LeaseUpRampPct+(1-LeaseUpRampPct)*'LeaseUp'!AT$10/StabilizedOccupancy))</f>
        <v/>
      </c>
      <c r="AU11" s="53">
        <f>IF(44&lt;DeliverStart,LeaseUpRampPct,MIN(1,LeaseUpRampPct+(1-LeaseUpRampPct)*'LeaseUp'!AU$10/StabilizedOccupancy))</f>
        <v/>
      </c>
      <c r="AV11" s="53">
        <f>IF(45&lt;DeliverStart,LeaseUpRampPct,MIN(1,LeaseUpRampPct+(1-LeaseUpRampPct)*'LeaseUp'!AV$10/StabilizedOccupancy))</f>
        <v/>
      </c>
      <c r="AW11" s="53">
        <f>IF(46&lt;DeliverStart,LeaseUpRampPct,MIN(1,LeaseUpRampPct+(1-LeaseUpRampPct)*'LeaseUp'!AW$10/StabilizedOccupancy))</f>
        <v/>
      </c>
      <c r="AX11" s="53">
        <f>IF(47&lt;DeliverStart,LeaseUpRampPct,MIN(1,LeaseUpRampPct+(1-LeaseUpRampPct)*'LeaseUp'!AX$10/StabilizedOccupancy))</f>
        <v/>
      </c>
      <c r="AY11" s="53">
        <f>IF(48&lt;DeliverStart,LeaseUpRampPct,MIN(1,LeaseUpRampPct+(1-LeaseUpRampPct)*'LeaseUp'!AY$10/StabilizedOccupancy))</f>
        <v/>
      </c>
      <c r="AZ11" s="53">
        <f>IF(49&lt;DeliverStart,LeaseUpRampPct,MIN(1,LeaseUpRampPct+(1-LeaseUpRampPct)*'LeaseUp'!AZ$10/StabilizedOccupancy))</f>
        <v/>
      </c>
      <c r="BA11" s="53">
        <f>IF(50&lt;DeliverStart,LeaseUpRampPct,MIN(1,LeaseUpRampPct+(1-LeaseUpRampPct)*'LeaseUp'!BA$10/StabilizedOccupancy))</f>
        <v/>
      </c>
      <c r="BB11" s="53">
        <f>IF(51&lt;DeliverStart,LeaseUpRampPct,MIN(1,LeaseUpRampPct+(1-LeaseUpRampPct)*'LeaseUp'!BB$10/StabilizedOccupancy))</f>
        <v/>
      </c>
      <c r="BC11" s="53">
        <f>IF(52&lt;DeliverStart,LeaseUpRampPct,MIN(1,LeaseUpRampPct+(1-LeaseUpRampPct)*'LeaseUp'!BC$10/StabilizedOccupancy))</f>
        <v/>
      </c>
      <c r="BD11" s="53">
        <f>IF(53&lt;DeliverStart,LeaseUpRampPct,MIN(1,LeaseUpRampPct+(1-LeaseUpRampPct)*'LeaseUp'!BD$10/StabilizedOccupancy))</f>
        <v/>
      </c>
      <c r="BE11" s="53">
        <f>IF(54&lt;DeliverStart,LeaseUpRampPct,MIN(1,LeaseUpRampPct+(1-LeaseUpRampPct)*'LeaseUp'!BE$10/StabilizedOccupancy))</f>
        <v/>
      </c>
      <c r="BF11" s="53">
        <f>IF(55&lt;DeliverStart,LeaseUpRampPct,MIN(1,LeaseUpRampPct+(1-LeaseUpRampPct)*'LeaseUp'!BF$10/StabilizedOccupancy))</f>
        <v/>
      </c>
      <c r="BG11" s="53">
        <f>IF(56&lt;DeliverStart,LeaseUpRampPct,MIN(1,LeaseUpRampPct+(1-LeaseUpRampPct)*'LeaseUp'!BG$10/StabilizedOccupancy))</f>
        <v/>
      </c>
      <c r="BH11" s="53">
        <f>IF(57&lt;DeliverStart,LeaseUpRampPct,MIN(1,LeaseUpRampPct+(1-LeaseUpRampPct)*'LeaseUp'!BH$10/StabilizedOccupancy))</f>
        <v/>
      </c>
      <c r="BI11" s="53">
        <f>IF(58&lt;DeliverStart,LeaseUpRampPct,MIN(1,LeaseUpRampPct+(1-LeaseUpRampPct)*'LeaseUp'!BI$10/StabilizedOccupancy))</f>
        <v/>
      </c>
      <c r="BJ11" s="53">
        <f>IF(59&lt;DeliverStart,LeaseUpRampPct,MIN(1,LeaseUpRampPct+(1-LeaseUpRampPct)*'LeaseUp'!BJ$10/StabilizedOccupancy))</f>
        <v/>
      </c>
      <c r="BK11" s="53">
        <f>IF(60&lt;DeliverStart,LeaseUpRampPct,MIN(1,LeaseUpRampPct+(1-LeaseUpRampPct)*'LeaseUp'!BK$10/StabilizedOccupancy))</f>
        <v/>
      </c>
      <c r="BL11" s="53">
        <f>IF(61&lt;DeliverStart,LeaseUpRampPct,MIN(1,LeaseUpRampPct+(1-LeaseUpRampPct)*'LeaseUp'!BL$10/StabilizedOccupancy))</f>
        <v/>
      </c>
      <c r="BM11" s="53">
        <f>IF(62&lt;DeliverStart,LeaseUpRampPct,MIN(1,LeaseUpRampPct+(1-LeaseUpRampPct)*'LeaseUp'!BM$10/StabilizedOccupancy))</f>
        <v/>
      </c>
      <c r="BN11" s="53">
        <f>IF(63&lt;DeliverStart,LeaseUpRampPct,MIN(1,LeaseUpRampPct+(1-LeaseUpRampPct)*'LeaseUp'!BN$10/StabilizedOccupancy))</f>
        <v/>
      </c>
      <c r="BO11" s="53">
        <f>IF(64&lt;DeliverStart,LeaseUpRampPct,MIN(1,LeaseUpRampPct+(1-LeaseUpRampPct)*'LeaseUp'!BO$10/StabilizedOccupancy))</f>
        <v/>
      </c>
      <c r="BP11" s="53">
        <f>IF(65&lt;DeliverStart,LeaseUpRampPct,MIN(1,LeaseUpRampPct+(1-LeaseUpRampPct)*'LeaseUp'!BP$10/StabilizedOccupancy))</f>
        <v/>
      </c>
      <c r="BQ11" s="53">
        <f>IF(66&lt;DeliverStart,LeaseUpRampPct,MIN(1,LeaseUpRampPct+(1-LeaseUpRampPct)*'LeaseUp'!BQ$10/StabilizedOccupancy))</f>
        <v/>
      </c>
      <c r="BR11" s="53">
        <f>IF(67&lt;DeliverStart,LeaseUpRampPct,MIN(1,LeaseUpRampPct+(1-LeaseUpRampPct)*'LeaseUp'!BR$10/StabilizedOccupancy))</f>
        <v/>
      </c>
      <c r="BS11" s="53">
        <f>IF(68&lt;DeliverStart,LeaseUpRampPct,MIN(1,LeaseUpRampPct+(1-LeaseUpRampPct)*'LeaseUp'!BS$10/StabilizedOccupancy))</f>
        <v/>
      </c>
      <c r="BT11" s="53">
        <f>IF(69&lt;DeliverStart,LeaseUpRampPct,MIN(1,LeaseUpRampPct+(1-LeaseUpRampPct)*'LeaseUp'!BT$10/StabilizedOccupancy))</f>
        <v/>
      </c>
      <c r="BU11" s="53">
        <f>IF(70&lt;DeliverStart,LeaseUpRampPct,MIN(1,LeaseUpRampPct+(1-LeaseUpRampPct)*'LeaseUp'!BU$10/StabilizedOccupancy))</f>
        <v/>
      </c>
      <c r="BV11" s="53">
        <f>IF(71&lt;DeliverStart,LeaseUpRampPct,MIN(1,LeaseUpRampPct+(1-LeaseUpRampPct)*'LeaseUp'!BV$10/StabilizedOccupancy))</f>
        <v/>
      </c>
      <c r="BW11" s="53">
        <f>IF(72&lt;DeliverStart,LeaseUpRampPct,MIN(1,LeaseUpRampPct+(1-LeaseUpRampPct)*'LeaseUp'!BW$10/StabilizedOccupancy))</f>
        <v/>
      </c>
      <c r="BX11" s="53">
        <f>IF(73&lt;DeliverStart,LeaseUpRampPct,MIN(1,LeaseUpRampPct+(1-LeaseUpRampPct)*'LeaseUp'!BX$10/StabilizedOccupancy))</f>
        <v/>
      </c>
      <c r="BY11" s="53">
        <f>IF(74&lt;DeliverStart,LeaseUpRampPct,MIN(1,LeaseUpRampPct+(1-LeaseUpRampPct)*'LeaseUp'!BY$10/StabilizedOccupancy))</f>
        <v/>
      </c>
      <c r="BZ11" s="53">
        <f>IF(75&lt;DeliverStart,LeaseUpRampPct,MIN(1,LeaseUpRampPct+(1-LeaseUpRampPct)*'LeaseUp'!BZ$10/StabilizedOccupancy))</f>
        <v/>
      </c>
      <c r="CA11" s="53">
        <f>IF(76&lt;DeliverStart,LeaseUpRampPct,MIN(1,LeaseUpRampPct+(1-LeaseUpRampPct)*'LeaseUp'!CA$10/StabilizedOccupancy))</f>
        <v/>
      </c>
      <c r="CB11" s="53">
        <f>IF(77&lt;DeliverStart,LeaseUpRampPct,MIN(1,LeaseUpRampPct+(1-LeaseUpRampPct)*'LeaseUp'!CB$10/StabilizedOccupancy))</f>
        <v/>
      </c>
      <c r="CC11" s="53">
        <f>IF(78&lt;DeliverStart,LeaseUpRampPct,MIN(1,LeaseUpRampPct+(1-LeaseUpRampPct)*'LeaseUp'!CC$10/StabilizedOccupancy))</f>
        <v/>
      </c>
      <c r="CD11" s="53">
        <f>IF(79&lt;DeliverStart,LeaseUpRampPct,MIN(1,LeaseUpRampPct+(1-LeaseUpRampPct)*'LeaseUp'!CD$10/StabilizedOccupancy))</f>
        <v/>
      </c>
      <c r="CE11" s="53">
        <f>IF(80&lt;DeliverStart,LeaseUpRampPct,MIN(1,LeaseUpRampPct+(1-LeaseUpRampPct)*'LeaseUp'!CE$10/StabilizedOccupancy))</f>
        <v/>
      </c>
      <c r="CF11" s="53">
        <f>IF(81&lt;DeliverStart,LeaseUpRampPct,MIN(1,LeaseUpRampPct+(1-LeaseUpRampPct)*'LeaseUp'!CF$10/StabilizedOccupancy))</f>
        <v/>
      </c>
      <c r="CG11" s="53">
        <f>IF(82&lt;DeliverStart,LeaseUpRampPct,MIN(1,LeaseUpRampPct+(1-LeaseUpRampPct)*'LeaseUp'!CG$10/StabilizedOccupancy))</f>
        <v/>
      </c>
      <c r="CH11" s="53">
        <f>IF(83&lt;DeliverStart,LeaseUpRampPct,MIN(1,LeaseUpRampPct+(1-LeaseUpRampPct)*'LeaseUp'!CH$10/StabilizedOccupancy))</f>
        <v/>
      </c>
      <c r="CI11" s="53">
        <f>IF(84&lt;DeliverStart,LeaseUpRampPct,MIN(1,LeaseUpRampPct+(1-LeaseUpRampPct)*'LeaseUp'!CI$10/StabilizedOccupancy))</f>
        <v/>
      </c>
      <c r="CJ11" s="53">
        <f>IF(85&lt;DeliverStart,LeaseUpRampPct,MIN(1,LeaseUpRampPct+(1-LeaseUpRampPct)*'LeaseUp'!CJ$10/StabilizedOccupancy))</f>
        <v/>
      </c>
      <c r="CK11" s="53">
        <f>IF(86&lt;DeliverStart,LeaseUpRampPct,MIN(1,LeaseUpRampPct+(1-LeaseUpRampPct)*'LeaseUp'!CK$10/StabilizedOccupancy))</f>
        <v/>
      </c>
      <c r="CL11" s="53">
        <f>IF(87&lt;DeliverStart,LeaseUpRampPct,MIN(1,LeaseUpRampPct+(1-LeaseUpRampPct)*'LeaseUp'!CL$10/StabilizedOccupancy))</f>
        <v/>
      </c>
      <c r="CM11" s="53">
        <f>IF(88&lt;DeliverStart,LeaseUpRampPct,MIN(1,LeaseUpRampPct+(1-LeaseUpRampPct)*'LeaseUp'!CM$10/StabilizedOccupancy))</f>
        <v/>
      </c>
      <c r="CN11" s="53">
        <f>IF(89&lt;DeliverStart,LeaseUpRampPct,MIN(1,LeaseUpRampPct+(1-LeaseUpRampPct)*'LeaseUp'!CN$10/StabilizedOccupancy))</f>
        <v/>
      </c>
      <c r="CO11" s="53">
        <f>IF(90&lt;DeliverStart,LeaseUpRampPct,MIN(1,LeaseUpRampPct+(1-LeaseUpRampPct)*'LeaseUp'!CO$10/StabilizedOccupancy))</f>
        <v/>
      </c>
      <c r="CP11" s="53">
        <f>IF(91&lt;DeliverStart,LeaseUpRampPct,MIN(1,LeaseUpRampPct+(1-LeaseUpRampPct)*'LeaseUp'!CP$10/StabilizedOccupancy))</f>
        <v/>
      </c>
      <c r="CQ11" s="53">
        <f>IF(92&lt;DeliverStart,LeaseUpRampPct,MIN(1,LeaseUpRampPct+(1-LeaseUpRampPct)*'LeaseUp'!CQ$10/StabilizedOccupancy))</f>
        <v/>
      </c>
      <c r="CR11" s="53">
        <f>IF(93&lt;DeliverStart,LeaseUpRampPct,MIN(1,LeaseUpRampPct+(1-LeaseUpRampPct)*'LeaseUp'!CR$10/StabilizedOccupancy))</f>
        <v/>
      </c>
      <c r="CS11" s="53">
        <f>IF(94&lt;DeliverStart,LeaseUpRampPct,MIN(1,LeaseUpRampPct+(1-LeaseUpRampPct)*'LeaseUp'!CS$10/StabilizedOccupancy))</f>
        <v/>
      </c>
      <c r="CT11" s="53">
        <f>IF(95&lt;DeliverStart,LeaseUpRampPct,MIN(1,LeaseUpRampPct+(1-LeaseUpRampPct)*'LeaseUp'!CT$10/StabilizedOccupancy))</f>
        <v/>
      </c>
      <c r="CU11" s="53">
        <f>IF(96&lt;DeliverStart,LeaseUpRampPct,MIN(1,LeaseUpRampPct+(1-LeaseUpRampPct)*'LeaseUp'!CU$10/StabilizedOccupancy))</f>
        <v/>
      </c>
      <c r="CV11" s="53">
        <f>IF(97&lt;DeliverStart,LeaseUpRampPct,MIN(1,LeaseUpRampPct+(1-LeaseUpRampPct)*'LeaseUp'!CV$10/StabilizedOccupancy))</f>
        <v/>
      </c>
      <c r="CW11" s="53">
        <f>IF(98&lt;DeliverStart,LeaseUpRampPct,MIN(1,LeaseUpRampPct+(1-LeaseUpRampPct)*'LeaseUp'!CW$10/StabilizedOccupancy))</f>
        <v/>
      </c>
      <c r="CX11" s="53">
        <f>IF(99&lt;DeliverStart,LeaseUpRampPct,MIN(1,LeaseUpRampPct+(1-LeaseUpRampPct)*'LeaseUp'!CX$10/StabilizedOccupancy))</f>
        <v/>
      </c>
      <c r="CY11" s="53">
        <f>IF(100&lt;DeliverStart,LeaseUpRampPct,MIN(1,LeaseUpRampPct+(1-LeaseUpRampPct)*'LeaseUp'!CY$10/StabilizedOccupancy))</f>
        <v/>
      </c>
      <c r="CZ11" s="53">
        <f>IF(101&lt;DeliverStart,LeaseUpRampPct,MIN(1,LeaseUpRampPct+(1-LeaseUpRampPct)*'LeaseUp'!CZ$10/StabilizedOccupancy))</f>
        <v/>
      </c>
      <c r="DA11" s="53">
        <f>IF(102&lt;DeliverStart,LeaseUpRampPct,MIN(1,LeaseUpRampPct+(1-LeaseUpRampPct)*'LeaseUp'!DA$10/StabilizedOccupancy))</f>
        <v/>
      </c>
      <c r="DB11" s="53">
        <f>IF(103&lt;DeliverStart,LeaseUpRampPct,MIN(1,LeaseUpRampPct+(1-LeaseUpRampPct)*'LeaseUp'!DB$10/StabilizedOccupancy))</f>
        <v/>
      </c>
      <c r="DC11" s="53">
        <f>IF(104&lt;DeliverStart,LeaseUpRampPct,MIN(1,LeaseUpRampPct+(1-LeaseUpRampPct)*'LeaseUp'!DC$10/StabilizedOccupancy))</f>
        <v/>
      </c>
      <c r="DD11" s="53">
        <f>IF(105&lt;DeliverStart,LeaseUpRampPct,MIN(1,LeaseUpRampPct+(1-LeaseUpRampPct)*'LeaseUp'!DD$10/StabilizedOccupancy))</f>
        <v/>
      </c>
      <c r="DE11" s="53">
        <f>IF(106&lt;DeliverStart,LeaseUpRampPct,MIN(1,LeaseUpRampPct+(1-LeaseUpRampPct)*'LeaseUp'!DE$10/StabilizedOccupancy))</f>
        <v/>
      </c>
      <c r="DF11" s="53">
        <f>IF(107&lt;DeliverStart,LeaseUpRampPct,MIN(1,LeaseUpRampPct+(1-LeaseUpRampPct)*'LeaseUp'!DF$10/StabilizedOccupancy))</f>
        <v/>
      </c>
      <c r="DG11" s="53">
        <f>IF(108&lt;DeliverStart,LeaseUpRampPct,MIN(1,LeaseUpRampPct+(1-LeaseUpRampPct)*'LeaseUp'!DG$10/StabilizedOccupancy))</f>
        <v/>
      </c>
      <c r="DH11" s="53">
        <f>IF(109&lt;DeliverStart,LeaseUpRampPct,MIN(1,LeaseUpRampPct+(1-LeaseUpRampPct)*'LeaseUp'!DH$10/StabilizedOccupancy))</f>
        <v/>
      </c>
      <c r="DI11" s="53">
        <f>IF(110&lt;DeliverStart,LeaseUpRampPct,MIN(1,LeaseUpRampPct+(1-LeaseUpRampPct)*'LeaseUp'!DI$10/StabilizedOccupancy))</f>
        <v/>
      </c>
      <c r="DJ11" s="53">
        <f>IF(111&lt;DeliverStart,LeaseUpRampPct,MIN(1,LeaseUpRampPct+(1-LeaseUpRampPct)*'LeaseUp'!DJ$10/StabilizedOccupancy))</f>
        <v/>
      </c>
      <c r="DK11" s="53">
        <f>IF(112&lt;DeliverStart,LeaseUpRampPct,MIN(1,LeaseUpRampPct+(1-LeaseUpRampPct)*'LeaseUp'!DK$10/StabilizedOccupancy))</f>
        <v/>
      </c>
      <c r="DL11" s="53">
        <f>IF(113&lt;DeliverStart,LeaseUpRampPct,MIN(1,LeaseUpRampPct+(1-LeaseUpRampPct)*'LeaseUp'!DL$10/StabilizedOccupancy))</f>
        <v/>
      </c>
      <c r="DM11" s="53">
        <f>IF(114&lt;DeliverStart,LeaseUpRampPct,MIN(1,LeaseUpRampPct+(1-LeaseUpRampPct)*'LeaseUp'!DM$10/StabilizedOccupancy))</f>
        <v/>
      </c>
      <c r="DN11" s="53">
        <f>IF(115&lt;DeliverStart,LeaseUpRampPct,MIN(1,LeaseUpRampPct+(1-LeaseUpRampPct)*'LeaseUp'!DN$10/StabilizedOccupancy))</f>
        <v/>
      </c>
      <c r="DO11" s="53">
        <f>IF(116&lt;DeliverStart,LeaseUpRampPct,MIN(1,LeaseUpRampPct+(1-LeaseUpRampPct)*'LeaseUp'!DO$10/StabilizedOccupancy))</f>
        <v/>
      </c>
      <c r="DP11" s="53">
        <f>IF(117&lt;DeliverStart,LeaseUpRampPct,MIN(1,LeaseUpRampPct+(1-LeaseUpRampPct)*'LeaseUp'!DP$10/StabilizedOccupancy))</f>
        <v/>
      </c>
      <c r="DQ11" s="53">
        <f>IF(118&lt;DeliverStart,LeaseUpRampPct,MIN(1,LeaseUpRampPct+(1-LeaseUpRampPct)*'LeaseUp'!DQ$10/StabilizedOccupancy))</f>
        <v/>
      </c>
      <c r="DR11" s="53">
        <f>IF(119&lt;DeliverStart,LeaseUpRampPct,MIN(1,LeaseUpRampPct+(1-LeaseUpRampPct)*'LeaseUp'!DR$10/StabilizedOccupancy))</f>
        <v/>
      </c>
      <c r="DS11" s="53">
        <f>IF(120&lt;DeliverStart,LeaseUpRampPct,MIN(1,LeaseUpRampPct+(1-LeaseUpRampPct)*'LeaseUp'!DS$10/StabilizedOccupancy))</f>
        <v/>
      </c>
      <c r="DT11" s="53">
        <f>IF(121&lt;DeliverStart,LeaseUpRampPct,MIN(1,LeaseUpRampPct+(1-LeaseUpRampPct)*'LeaseUp'!DT$10/StabilizedOccupancy))</f>
        <v/>
      </c>
      <c r="DU11" s="53">
        <f>IF(122&lt;DeliverStart,LeaseUpRampPct,MIN(1,LeaseUpRampPct+(1-LeaseUpRampPct)*'LeaseUp'!DU$10/StabilizedOccupancy))</f>
        <v/>
      </c>
      <c r="DV11" s="53">
        <f>IF(123&lt;DeliverStart,LeaseUpRampPct,MIN(1,LeaseUpRampPct+(1-LeaseUpRampPct)*'LeaseUp'!DV$10/StabilizedOccupancy))</f>
        <v/>
      </c>
      <c r="DW11" s="53">
        <f>IF(124&lt;DeliverStart,LeaseUpRampPct,MIN(1,LeaseUpRampPct+(1-LeaseUpRampPct)*'LeaseUp'!DW$10/StabilizedOccupancy))</f>
        <v/>
      </c>
      <c r="DX11" s="53">
        <f>IF(125&lt;DeliverStart,LeaseUpRampPct,MIN(1,LeaseUpRampPct+(1-LeaseUpRampPct)*'LeaseUp'!DX$10/StabilizedOccupancy))</f>
        <v/>
      </c>
      <c r="DY11" s="53">
        <f>IF(126&lt;DeliverStart,LeaseUpRampPct,MIN(1,LeaseUpRampPct+(1-LeaseUpRampPct)*'LeaseUp'!DY$10/StabilizedOccupancy))</f>
        <v/>
      </c>
      <c r="DZ11" s="53">
        <f>IF(127&lt;DeliverStart,LeaseUpRampPct,MIN(1,LeaseUpRampPct+(1-LeaseUpRampPct)*'LeaseUp'!DZ$10/StabilizedOccupancy))</f>
        <v/>
      </c>
      <c r="EA11" s="53">
        <f>IF(128&lt;DeliverStart,LeaseUpRampPct,MIN(1,LeaseUpRampPct+(1-LeaseUpRampPct)*'LeaseUp'!EA$10/StabilizedOccupancy))</f>
        <v/>
      </c>
      <c r="EB11" s="53">
        <f>IF(129&lt;DeliverStart,LeaseUpRampPct,MIN(1,LeaseUpRampPct+(1-LeaseUpRampPct)*'LeaseUp'!EB$10/StabilizedOccupancy))</f>
        <v/>
      </c>
      <c r="EC11" s="53">
        <f>IF(130&lt;DeliverStart,LeaseUpRampPct,MIN(1,LeaseUpRampPct+(1-LeaseUpRampPct)*'LeaseUp'!EC$10/StabilizedOccupancy))</f>
        <v/>
      </c>
      <c r="ED11" s="53">
        <f>IF(131&lt;DeliverStart,LeaseUpRampPct,MIN(1,LeaseUpRampPct+(1-LeaseUpRampPct)*'LeaseUp'!ED$10/StabilizedOccupancy))</f>
        <v/>
      </c>
      <c r="EE11" s="53">
        <f>IF(132&lt;DeliverStart,LeaseUpRampPct,MIN(1,LeaseUpRampPct+(1-LeaseUpRampPct)*'LeaseUp'!EE$10/StabilizedOccupancy))</f>
        <v/>
      </c>
      <c r="EF11" s="53">
        <f>IF(133&lt;DeliverStart,LeaseUpRampPct,MIN(1,LeaseUpRampPct+(1-LeaseUpRampPct)*'LeaseUp'!EF$10/StabilizedOccupancy))</f>
        <v/>
      </c>
      <c r="EG11" s="53">
        <f>IF(134&lt;DeliverStart,LeaseUpRampPct,MIN(1,LeaseUpRampPct+(1-LeaseUpRampPct)*'LeaseUp'!EG$10/StabilizedOccupancy))</f>
        <v/>
      </c>
      <c r="EH11" s="53">
        <f>IF(135&lt;DeliverStart,LeaseUpRampPct,MIN(1,LeaseUpRampPct+(1-LeaseUpRampPct)*'LeaseUp'!EH$10/StabilizedOccupancy))</f>
        <v/>
      </c>
      <c r="EI11" s="53">
        <f>IF(136&lt;DeliverStart,LeaseUpRampPct,MIN(1,LeaseUpRampPct+(1-LeaseUpRampPct)*'LeaseUp'!EI$10/StabilizedOccupancy))</f>
        <v/>
      </c>
      <c r="EJ11" s="53">
        <f>IF(137&lt;DeliverStart,LeaseUpRampPct,MIN(1,LeaseUpRampPct+(1-LeaseUpRampPct)*'LeaseUp'!EJ$10/StabilizedOccupancy))</f>
        <v/>
      </c>
      <c r="EK11" s="53">
        <f>IF(138&lt;DeliverStart,LeaseUpRampPct,MIN(1,LeaseUpRampPct+(1-LeaseUpRampPct)*'LeaseUp'!EK$10/StabilizedOccupancy))</f>
        <v/>
      </c>
      <c r="EL11" s="53">
        <f>IF(139&lt;DeliverStart,LeaseUpRampPct,MIN(1,LeaseUpRampPct+(1-LeaseUpRampPct)*'LeaseUp'!EL$10/StabilizedOccupancy))</f>
        <v/>
      </c>
      <c r="EM11" s="53">
        <f>IF(140&lt;DeliverStart,LeaseUpRampPct,MIN(1,LeaseUpRampPct+(1-LeaseUpRampPct)*'LeaseUp'!EM$10/StabilizedOccupancy))</f>
        <v/>
      </c>
      <c r="EN11" s="53">
        <f>IF(141&lt;DeliverStart,LeaseUpRampPct,MIN(1,LeaseUpRampPct+(1-LeaseUpRampPct)*'LeaseUp'!EN$10/StabilizedOccupancy))</f>
        <v/>
      </c>
      <c r="EO11" s="53">
        <f>IF(142&lt;DeliverStart,LeaseUpRampPct,MIN(1,LeaseUpRampPct+(1-LeaseUpRampPct)*'LeaseUp'!EO$10/StabilizedOccupancy))</f>
        <v/>
      </c>
      <c r="EP11" s="53">
        <f>IF(143&lt;DeliverStart,LeaseUpRampPct,MIN(1,LeaseUpRampPct+(1-LeaseUpRampPct)*'LeaseUp'!EP$10/StabilizedOccupancy))</f>
        <v/>
      </c>
      <c r="EQ11" s="53">
        <f>IF(144&lt;DeliverStart,LeaseUpRampPct,MIN(1,LeaseUpRampPct+(1-LeaseUpRampPct)*'LeaseUp'!EQ$10/StabilizedOccupancy))</f>
        <v/>
      </c>
      <c r="ER11" s="53">
        <f>IF(145&lt;DeliverStart,LeaseUpRampPct,MIN(1,LeaseUpRampPct+(1-LeaseUpRampPct)*'LeaseUp'!ER$10/StabilizedOccupancy))</f>
        <v/>
      </c>
      <c r="ES11" s="53">
        <f>IF(146&lt;DeliverStart,LeaseUpRampPct,MIN(1,LeaseUpRampPct+(1-LeaseUpRampPct)*'LeaseUp'!ES$10/StabilizedOccupancy))</f>
        <v/>
      </c>
      <c r="ET11" s="53">
        <f>IF(147&lt;DeliverStart,LeaseUpRampPct,MIN(1,LeaseUpRampPct+(1-LeaseUpRampPct)*'LeaseUp'!ET$10/StabilizedOccupancy))</f>
        <v/>
      </c>
      <c r="EU11" s="53">
        <f>IF(148&lt;DeliverStart,LeaseUpRampPct,MIN(1,LeaseUpRampPct+(1-LeaseUpRampPct)*'LeaseUp'!EU$10/StabilizedOccupancy))</f>
        <v/>
      </c>
      <c r="EV11" s="53">
        <f>IF(149&lt;DeliverStart,LeaseUpRampPct,MIN(1,LeaseUpRampPct+(1-LeaseUpRampPct)*'LeaseUp'!EV$10/StabilizedOccupancy))</f>
        <v/>
      </c>
      <c r="EW11" s="53">
        <f>IF(150&lt;DeliverStart,LeaseUpRampPct,MIN(1,LeaseUpRampPct+(1-LeaseUpRampPct)*'LeaseUp'!EW$10/StabilizedOccupancy))</f>
        <v/>
      </c>
      <c r="EX11" s="53">
        <f>IF(151&lt;DeliverStart,LeaseUpRampPct,MIN(1,LeaseUpRampPct+(1-LeaseUpRampPct)*'LeaseUp'!EX$10/StabilizedOccupancy))</f>
        <v/>
      </c>
      <c r="EY11" s="53">
        <f>IF(152&lt;DeliverStart,LeaseUpRampPct,MIN(1,LeaseUpRampPct+(1-LeaseUpRampPct)*'LeaseUp'!EY$10/StabilizedOccupancy))</f>
        <v/>
      </c>
      <c r="EZ11" s="53">
        <f>IF(153&lt;DeliverStart,LeaseUpRampPct,MIN(1,LeaseUpRampPct+(1-LeaseUpRampPct)*'LeaseUp'!EZ$10/StabilizedOccupancy))</f>
        <v/>
      </c>
      <c r="FA11" s="53">
        <f>IF(154&lt;DeliverStart,LeaseUpRampPct,MIN(1,LeaseUpRampPct+(1-LeaseUpRampPct)*'LeaseUp'!FA$10/StabilizedOccupancy))</f>
        <v/>
      </c>
      <c r="FB11" s="53">
        <f>IF(155&lt;DeliverStart,LeaseUpRampPct,MIN(1,LeaseUpRampPct+(1-LeaseUpRampPct)*'LeaseUp'!FB$10/StabilizedOccupancy))</f>
        <v/>
      </c>
      <c r="FC11" s="53">
        <f>IF(156&lt;DeliverStart,LeaseUpRampPct,MIN(1,LeaseUpRampPct+(1-LeaseUpRampPct)*'LeaseUp'!FC$10/StabilizedOccupancy))</f>
        <v/>
      </c>
      <c r="FD11" s="53">
        <f>IF(157&lt;DeliverStart,LeaseUpRampPct,MIN(1,LeaseUpRampPct+(1-LeaseUpRampPct)*'LeaseUp'!FD$10/StabilizedOccupancy))</f>
        <v/>
      </c>
      <c r="FE11" s="53">
        <f>IF(158&lt;DeliverStart,LeaseUpRampPct,MIN(1,LeaseUpRampPct+(1-LeaseUpRampPct)*'LeaseUp'!FE$10/StabilizedOccupancy))</f>
        <v/>
      </c>
      <c r="FF11" s="53">
        <f>IF(159&lt;DeliverStart,LeaseUpRampPct,MIN(1,LeaseUpRampPct+(1-LeaseUpRampPct)*'LeaseUp'!FF$10/StabilizedOccupancy))</f>
        <v/>
      </c>
      <c r="FG11" s="53">
        <f>IF(160&lt;DeliverStart,LeaseUpRampPct,MIN(1,LeaseUpRampPct+(1-LeaseUpRampPct)*'LeaseUp'!FG$10/StabilizedOccupancy))</f>
        <v/>
      </c>
      <c r="FH11" s="53">
        <f>IF(161&lt;DeliverStart,LeaseUpRampPct,MIN(1,LeaseUpRampPct+(1-LeaseUpRampPct)*'LeaseUp'!FH$10/StabilizedOccupancy))</f>
        <v/>
      </c>
      <c r="FI11" s="53">
        <f>IF(162&lt;DeliverStart,LeaseUpRampPct,MIN(1,LeaseUpRampPct+(1-LeaseUpRampPct)*'LeaseUp'!FI$10/StabilizedOccupancy))</f>
        <v/>
      </c>
      <c r="FJ11" s="53">
        <f>IF(163&lt;DeliverStart,LeaseUpRampPct,MIN(1,LeaseUpRampPct+(1-LeaseUpRampPct)*'LeaseUp'!FJ$10/StabilizedOccupancy))</f>
        <v/>
      </c>
      <c r="FK11" s="53">
        <f>IF(164&lt;DeliverStart,LeaseUpRampPct,MIN(1,LeaseUpRampPct+(1-LeaseUpRampPct)*'LeaseUp'!FK$10/StabilizedOccupancy))</f>
        <v/>
      </c>
      <c r="FL11" s="53">
        <f>IF(165&lt;DeliverStart,LeaseUpRampPct,MIN(1,LeaseUpRampPct+(1-LeaseUpRampPct)*'LeaseUp'!FL$10/StabilizedOccupancy))</f>
        <v/>
      </c>
      <c r="FM11" s="53">
        <f>IF(166&lt;DeliverStart,LeaseUpRampPct,MIN(1,LeaseUpRampPct+(1-LeaseUpRampPct)*'LeaseUp'!FM$10/StabilizedOccupancy))</f>
        <v/>
      </c>
      <c r="FN11" s="53">
        <f>IF(167&lt;DeliverStart,LeaseUpRampPct,MIN(1,LeaseUpRampPct+(1-LeaseUpRampPct)*'LeaseUp'!FN$10/StabilizedOccupancy))</f>
        <v/>
      </c>
      <c r="FO11" s="53">
        <f>IF(168&lt;DeliverStart,LeaseUpRampPct,MIN(1,LeaseUpRampPct+(1-LeaseUpRampPct)*'LeaseUp'!FO$10/StabilizedOccupancy))</f>
        <v/>
      </c>
      <c r="FP11" s="53">
        <f>IF(169&lt;DeliverStart,LeaseUpRampPct,MIN(1,LeaseUpRampPct+(1-LeaseUpRampPct)*'LeaseUp'!FP$10/StabilizedOccupancy))</f>
        <v/>
      </c>
      <c r="FQ11" s="53">
        <f>IF(170&lt;DeliverStart,LeaseUpRampPct,MIN(1,LeaseUpRampPct+(1-LeaseUpRampPct)*'LeaseUp'!FQ$10/StabilizedOccupancy))</f>
        <v/>
      </c>
      <c r="FR11" s="53">
        <f>IF(171&lt;DeliverStart,LeaseUpRampPct,MIN(1,LeaseUpRampPct+(1-LeaseUpRampPct)*'LeaseUp'!FR$10/StabilizedOccupancy))</f>
        <v/>
      </c>
      <c r="FS11" s="53">
        <f>IF(172&lt;DeliverStart,LeaseUpRampPct,MIN(1,LeaseUpRampPct+(1-LeaseUpRampPct)*'LeaseUp'!FS$10/StabilizedOccupancy))</f>
        <v/>
      </c>
      <c r="FT11" s="53">
        <f>IF(173&lt;DeliverStart,LeaseUpRampPct,MIN(1,LeaseUpRampPct+(1-LeaseUpRampPct)*'LeaseUp'!FT$10/StabilizedOccupancy))</f>
        <v/>
      </c>
      <c r="FU11" s="53">
        <f>IF(174&lt;DeliverStart,LeaseUpRampPct,MIN(1,LeaseUpRampPct+(1-LeaseUpRampPct)*'LeaseUp'!FU$10/StabilizedOccupancy))</f>
        <v/>
      </c>
      <c r="FV11" s="53">
        <f>IF(175&lt;DeliverStart,LeaseUpRampPct,MIN(1,LeaseUpRampPct+(1-LeaseUpRampPct)*'LeaseUp'!FV$10/StabilizedOccupancy))</f>
        <v/>
      </c>
      <c r="FW11" s="53">
        <f>IF(176&lt;DeliverStart,LeaseUpRampPct,MIN(1,LeaseUpRampPct+(1-LeaseUpRampPct)*'LeaseUp'!FW$10/StabilizedOccupancy))</f>
        <v/>
      </c>
      <c r="FX11" s="53">
        <f>IF(177&lt;DeliverStart,LeaseUpRampPct,MIN(1,LeaseUpRampPct+(1-LeaseUpRampPct)*'LeaseUp'!FX$10/StabilizedOccupancy))</f>
        <v/>
      </c>
      <c r="FY11" s="53">
        <f>IF(178&lt;DeliverStart,LeaseUpRampPct,MIN(1,LeaseUpRampPct+(1-LeaseUpRampPct)*'LeaseUp'!FY$10/StabilizedOccupancy))</f>
        <v/>
      </c>
      <c r="FZ11" s="53">
        <f>IF(179&lt;DeliverStart,LeaseUpRampPct,MIN(1,LeaseUpRampPct+(1-LeaseUpRampPct)*'LeaseUp'!FZ$10/StabilizedOccupancy))</f>
        <v/>
      </c>
      <c r="GA11" s="53">
        <f>IF(180&lt;DeliverStart,LeaseUpRampPct,MIN(1,LeaseUpRampPct+(1-LeaseUpRampPct)*'LeaseUp'!GA$10/StabilizedOccupancy))</f>
        <v/>
      </c>
      <c r="GB11" s="53">
        <f>IF(181&lt;DeliverStart,LeaseUpRampPct,MIN(1,LeaseUpRampPct+(1-LeaseUpRampPct)*'LeaseUp'!GB$10/StabilizedOccupancy))</f>
        <v/>
      </c>
      <c r="GC11" s="53">
        <f>IF(182&lt;DeliverStart,LeaseUpRampPct,MIN(1,LeaseUpRampPct+(1-LeaseUpRampPct)*'LeaseUp'!GC$10/StabilizedOccupancy))</f>
        <v/>
      </c>
      <c r="GD11" s="53">
        <f>IF(183&lt;DeliverStart,LeaseUpRampPct,MIN(1,LeaseUpRampPct+(1-LeaseUpRampPct)*'LeaseUp'!GD$10/StabilizedOccupancy))</f>
        <v/>
      </c>
      <c r="GE11" s="53">
        <f>IF(184&lt;DeliverStart,LeaseUpRampPct,MIN(1,LeaseUpRampPct+(1-LeaseUpRampPct)*'LeaseUp'!GE$10/StabilizedOccupancy))</f>
        <v/>
      </c>
      <c r="GF11" s="53">
        <f>IF(185&lt;DeliverStart,LeaseUpRampPct,MIN(1,LeaseUpRampPct+(1-LeaseUpRampPct)*'LeaseUp'!GF$10/StabilizedOccupancy))</f>
        <v/>
      </c>
      <c r="GG11" s="53">
        <f>IF(186&lt;DeliverStart,LeaseUpRampPct,MIN(1,LeaseUpRampPct+(1-LeaseUpRampPct)*'LeaseUp'!GG$10/StabilizedOccupancy))</f>
        <v/>
      </c>
      <c r="GH11" s="53">
        <f>IF(187&lt;DeliverStart,LeaseUpRampPct,MIN(1,LeaseUpRampPct+(1-LeaseUpRampPct)*'LeaseUp'!GH$10/StabilizedOccupancy))</f>
        <v/>
      </c>
      <c r="GI11" s="53">
        <f>IF(188&lt;DeliverStart,LeaseUpRampPct,MIN(1,LeaseUpRampPct+(1-LeaseUpRampPct)*'LeaseUp'!GI$10/StabilizedOccupancy))</f>
        <v/>
      </c>
      <c r="GJ11" s="53">
        <f>IF(189&lt;DeliverStart,LeaseUpRampPct,MIN(1,LeaseUpRampPct+(1-LeaseUpRampPct)*'LeaseUp'!GJ$10/StabilizedOccupancy))</f>
        <v/>
      </c>
      <c r="GK11" s="53">
        <f>IF(190&lt;DeliverStart,LeaseUpRampPct,MIN(1,LeaseUpRampPct+(1-LeaseUpRampPct)*'LeaseUp'!GK$10/StabilizedOccupancy))</f>
        <v/>
      </c>
      <c r="GL11" s="53">
        <f>IF(191&lt;DeliverStart,LeaseUpRampPct,MIN(1,LeaseUpRampPct+(1-LeaseUpRampPct)*'LeaseUp'!GL$10/StabilizedOccupancy))</f>
        <v/>
      </c>
      <c r="GM11" s="53">
        <f>IF(192&lt;DeliverStart,LeaseUpRampPct,MIN(1,LeaseUpRampPct+(1-LeaseUpRampPct)*'LeaseUp'!GM$10/StabilizedOccupancy))</f>
        <v/>
      </c>
      <c r="GN11" s="53">
        <f>IF(193&lt;DeliverStart,LeaseUpRampPct,MIN(1,LeaseUpRampPct+(1-LeaseUpRampPct)*'LeaseUp'!GN$10/StabilizedOccupancy))</f>
        <v/>
      </c>
      <c r="GO11" s="53">
        <f>IF(194&lt;DeliverStart,LeaseUpRampPct,MIN(1,LeaseUpRampPct+(1-LeaseUpRampPct)*'LeaseUp'!GO$10/StabilizedOccupancy))</f>
        <v/>
      </c>
      <c r="GP11" s="53">
        <f>IF(195&lt;DeliverStart,LeaseUpRampPct,MIN(1,LeaseUpRampPct+(1-LeaseUpRampPct)*'LeaseUp'!GP$10/StabilizedOccupancy))</f>
        <v/>
      </c>
      <c r="GQ11" s="53">
        <f>IF(196&lt;DeliverStart,LeaseUpRampPct,MIN(1,LeaseUpRampPct+(1-LeaseUpRampPct)*'LeaseUp'!GQ$10/StabilizedOccupancy))</f>
        <v/>
      </c>
      <c r="GR11" s="53">
        <f>IF(197&lt;DeliverStart,LeaseUpRampPct,MIN(1,LeaseUpRampPct+(1-LeaseUpRampPct)*'LeaseUp'!GR$10/StabilizedOccupancy))</f>
        <v/>
      </c>
      <c r="GS11" s="53">
        <f>IF(198&lt;DeliverStart,LeaseUpRampPct,MIN(1,LeaseUpRampPct+(1-LeaseUpRampPct)*'LeaseUp'!GS$10/StabilizedOccupancy))</f>
        <v/>
      </c>
      <c r="GT11" s="53">
        <f>IF(199&lt;DeliverStart,LeaseUpRampPct,MIN(1,LeaseUpRampPct+(1-LeaseUpRampPct)*'LeaseUp'!GT$10/StabilizedOccupancy))</f>
        <v/>
      </c>
      <c r="GU11" s="53">
        <f>IF(200&lt;DeliverStart,LeaseUpRampPct,MIN(1,LeaseUpRampPct+(1-LeaseUpRampPct)*'LeaseUp'!GU$10/StabilizedOccupancy))</f>
        <v/>
      </c>
      <c r="GV11" s="53">
        <f>IF(201&lt;DeliverStart,LeaseUpRampPct,MIN(1,LeaseUpRampPct+(1-LeaseUpRampPct)*'LeaseUp'!GV$10/StabilizedOccupancy))</f>
        <v/>
      </c>
      <c r="GW11" s="53">
        <f>IF(202&lt;DeliverStart,LeaseUpRampPct,MIN(1,LeaseUpRampPct+(1-LeaseUpRampPct)*'LeaseUp'!GW$10/StabilizedOccupancy))</f>
        <v/>
      </c>
      <c r="GX11" s="53">
        <f>IF(203&lt;DeliverStart,LeaseUpRampPct,MIN(1,LeaseUpRampPct+(1-LeaseUpRampPct)*'LeaseUp'!GX$10/StabilizedOccupancy))</f>
        <v/>
      </c>
      <c r="GY11" s="53">
        <f>IF(204&lt;DeliverStart,LeaseUpRampPct,MIN(1,LeaseUpRampPct+(1-LeaseUpRampPct)*'LeaseUp'!GY$10/StabilizedOccupancy))</f>
        <v/>
      </c>
      <c r="GZ11" s="53">
        <f>IF(205&lt;DeliverStart,LeaseUpRampPct,MIN(1,LeaseUpRampPct+(1-LeaseUpRampPct)*'LeaseUp'!GZ$10/StabilizedOccupancy))</f>
        <v/>
      </c>
      <c r="HA11" s="53">
        <f>IF(206&lt;DeliverStart,LeaseUpRampPct,MIN(1,LeaseUpRampPct+(1-LeaseUpRampPct)*'LeaseUp'!HA$10/StabilizedOccupancy))</f>
        <v/>
      </c>
      <c r="HB11" s="53">
        <f>IF(207&lt;DeliverStart,LeaseUpRampPct,MIN(1,LeaseUpRampPct+(1-LeaseUpRampPct)*'LeaseUp'!HB$10/StabilizedOccupancy))</f>
        <v/>
      </c>
      <c r="HC11" s="53">
        <f>IF(208&lt;DeliverStart,LeaseUpRampPct,MIN(1,LeaseUpRampPct+(1-LeaseUpRampPct)*'LeaseUp'!HC$10/StabilizedOccupancy))</f>
        <v/>
      </c>
      <c r="HD11" s="53">
        <f>IF(209&lt;DeliverStart,LeaseUpRampPct,MIN(1,LeaseUpRampPct+(1-LeaseUpRampPct)*'LeaseUp'!HD$10/StabilizedOccupancy))</f>
        <v/>
      </c>
      <c r="HE11" s="53">
        <f>IF(210&lt;DeliverStart,LeaseUpRampPct,MIN(1,LeaseUpRampPct+(1-LeaseUpRampPct)*'LeaseUp'!HE$10/StabilizedOccupancy))</f>
        <v/>
      </c>
      <c r="HF11" s="53">
        <f>IF(211&lt;DeliverStart,LeaseUpRampPct,MIN(1,LeaseUpRampPct+(1-LeaseUpRampPct)*'LeaseUp'!HF$10/StabilizedOccupancy))</f>
        <v/>
      </c>
      <c r="HG11" s="53">
        <f>IF(212&lt;DeliverStart,LeaseUpRampPct,MIN(1,LeaseUpRampPct+(1-LeaseUpRampPct)*'LeaseUp'!HG$10/StabilizedOccupancy))</f>
        <v/>
      </c>
      <c r="HH11" s="53">
        <f>IF(213&lt;DeliverStart,LeaseUpRampPct,MIN(1,LeaseUpRampPct+(1-LeaseUpRampPct)*'LeaseUp'!HH$10/StabilizedOccupancy))</f>
        <v/>
      </c>
      <c r="HI11" s="53">
        <f>IF(214&lt;DeliverStart,LeaseUpRampPct,MIN(1,LeaseUpRampPct+(1-LeaseUpRampPct)*'LeaseUp'!HI$10/StabilizedOccupancy))</f>
        <v/>
      </c>
      <c r="HJ11" s="53">
        <f>IF(215&lt;DeliverStart,LeaseUpRampPct,MIN(1,LeaseUpRampPct+(1-LeaseUpRampPct)*'LeaseUp'!HJ$10/StabilizedOccupancy))</f>
        <v/>
      </c>
      <c r="HK11" s="53">
        <f>IF(216&lt;DeliverStart,LeaseUpRampPct,MIN(1,LeaseUpRampPct+(1-LeaseUpRampPct)*'LeaseUp'!HK$10/StabilizedOccupancy))</f>
        <v/>
      </c>
      <c r="HL11" s="53">
        <f>IF(217&lt;DeliverStart,LeaseUpRampPct,MIN(1,LeaseUpRampPct+(1-LeaseUpRampPct)*'LeaseUp'!HL$10/StabilizedOccupancy))</f>
        <v/>
      </c>
      <c r="HM11" s="53">
        <f>IF(218&lt;DeliverStart,LeaseUpRampPct,MIN(1,LeaseUpRampPct+(1-LeaseUpRampPct)*'LeaseUp'!HM$10/StabilizedOccupancy))</f>
        <v/>
      </c>
      <c r="HN11" s="53">
        <f>IF(219&lt;DeliverStart,LeaseUpRampPct,MIN(1,LeaseUpRampPct+(1-LeaseUpRampPct)*'LeaseUp'!HN$10/StabilizedOccupancy))</f>
        <v/>
      </c>
      <c r="HO11" s="53">
        <f>IF(220&lt;DeliverStart,LeaseUpRampPct,MIN(1,LeaseUpRampPct+(1-LeaseUpRampPct)*'LeaseUp'!HO$10/StabilizedOccupancy))</f>
        <v/>
      </c>
      <c r="HP11" s="53">
        <f>IF(221&lt;DeliverStart,LeaseUpRampPct,MIN(1,LeaseUpRampPct+(1-LeaseUpRampPct)*'LeaseUp'!HP$10/StabilizedOccupancy))</f>
        <v/>
      </c>
      <c r="HQ11" s="53">
        <f>IF(222&lt;DeliverStart,LeaseUpRampPct,MIN(1,LeaseUpRampPct+(1-LeaseUpRampPct)*'LeaseUp'!HQ$10/StabilizedOccupancy))</f>
        <v/>
      </c>
      <c r="HR11" s="53">
        <f>IF(223&lt;DeliverStart,LeaseUpRampPct,MIN(1,LeaseUpRampPct+(1-LeaseUpRampPct)*'LeaseUp'!HR$10/StabilizedOccupancy))</f>
        <v/>
      </c>
      <c r="HS11" s="53">
        <f>IF(224&lt;DeliverStart,LeaseUpRampPct,MIN(1,LeaseUpRampPct+(1-LeaseUpRampPct)*'LeaseUp'!HS$10/StabilizedOccupancy))</f>
        <v/>
      </c>
      <c r="HT11" s="53">
        <f>IF(225&lt;DeliverStart,LeaseUpRampPct,MIN(1,LeaseUpRampPct+(1-LeaseUpRampPct)*'LeaseUp'!HT$10/StabilizedOccupancy))</f>
        <v/>
      </c>
      <c r="HU11" s="53">
        <f>IF(226&lt;DeliverStart,LeaseUpRampPct,MIN(1,LeaseUpRampPct+(1-LeaseUpRampPct)*'LeaseUp'!HU$10/StabilizedOccupancy))</f>
        <v/>
      </c>
      <c r="HV11" s="53">
        <f>IF(227&lt;DeliverStart,LeaseUpRampPct,MIN(1,LeaseUpRampPct+(1-LeaseUpRampPct)*'LeaseUp'!HV$10/StabilizedOccupancy))</f>
        <v/>
      </c>
      <c r="HW11" s="53">
        <f>IF(228&lt;DeliverStart,LeaseUpRampPct,MIN(1,LeaseUpRampPct+(1-LeaseUpRampPct)*'LeaseUp'!HW$10/StabilizedOccupancy))</f>
        <v/>
      </c>
      <c r="HX11" s="53">
        <f>IF(229&lt;DeliverStart,LeaseUpRampPct,MIN(1,LeaseUpRampPct+(1-LeaseUpRampPct)*'LeaseUp'!HX$10/StabilizedOccupancy))</f>
        <v/>
      </c>
      <c r="HY11" s="53">
        <f>IF(230&lt;DeliverStart,LeaseUpRampPct,MIN(1,LeaseUpRampPct+(1-LeaseUpRampPct)*'LeaseUp'!HY$10/StabilizedOccupancy))</f>
        <v/>
      </c>
      <c r="HZ11" s="53">
        <f>IF(231&lt;DeliverStart,LeaseUpRampPct,MIN(1,LeaseUpRampPct+(1-LeaseUpRampPct)*'LeaseUp'!HZ$10/StabilizedOccupancy))</f>
        <v/>
      </c>
      <c r="IA11" s="53">
        <f>IF(232&lt;DeliverStart,LeaseUpRampPct,MIN(1,LeaseUpRampPct+(1-LeaseUpRampPct)*'LeaseUp'!IA$10/StabilizedOccupancy))</f>
        <v/>
      </c>
      <c r="IB11" s="53">
        <f>IF(233&lt;DeliverStart,LeaseUpRampPct,MIN(1,LeaseUpRampPct+(1-LeaseUpRampPct)*'LeaseUp'!IB$10/StabilizedOccupancy))</f>
        <v/>
      </c>
      <c r="IC11" s="53">
        <f>IF(234&lt;DeliverStart,LeaseUpRampPct,MIN(1,LeaseUpRampPct+(1-LeaseUpRampPct)*'LeaseUp'!IC$10/StabilizedOccupancy))</f>
        <v/>
      </c>
      <c r="ID11" s="53">
        <f>IF(235&lt;DeliverStart,LeaseUpRampPct,MIN(1,LeaseUpRampPct+(1-LeaseUpRampPct)*'LeaseUp'!ID$10/StabilizedOccupancy))</f>
        <v/>
      </c>
      <c r="IE11" s="53">
        <f>IF(236&lt;DeliverStart,LeaseUpRampPct,MIN(1,LeaseUpRampPct+(1-LeaseUpRampPct)*'LeaseUp'!IE$10/StabilizedOccupancy))</f>
        <v/>
      </c>
      <c r="IF11" s="53">
        <f>IF(237&lt;DeliverStart,LeaseUpRampPct,MIN(1,LeaseUpRampPct+(1-LeaseUpRampPct)*'LeaseUp'!IF$10/StabilizedOccupancy))</f>
        <v/>
      </c>
      <c r="IG11" s="53">
        <f>IF(238&lt;DeliverStart,LeaseUpRampPct,MIN(1,LeaseUpRampPct+(1-LeaseUpRampPct)*'LeaseUp'!IG$10/StabilizedOccupancy))</f>
        <v/>
      </c>
      <c r="IH11" s="53">
        <f>IF(239&lt;DeliverStart,LeaseUpRampPct,MIN(1,LeaseUpRampPct+(1-LeaseUpRampPct)*'LeaseUp'!IH$10/StabilizedOccupancy))</f>
        <v/>
      </c>
      <c r="II11" s="53">
        <f>IF(240&lt;DeliverStart,LeaseUpRampPct,MIN(1,LeaseUpRampPct+(1-LeaseUpRampPct)*'LeaseUp'!II$10/StabilizedOccupancy))</f>
        <v/>
      </c>
      <c r="IJ11" s="53">
        <f>IF(241&lt;DeliverStart,LeaseUpRampPct,MIN(1,LeaseUpRampPct+(1-LeaseUpRampPct)*'LeaseUp'!IJ$10/StabilizedOccupancy))</f>
        <v/>
      </c>
      <c r="IK11" s="53">
        <f>IF(242&lt;DeliverStart,LeaseUpRampPct,MIN(1,LeaseUpRampPct+(1-LeaseUpRampPct)*'LeaseUp'!IK$10/StabilizedOccupancy))</f>
        <v/>
      </c>
      <c r="IL11" s="53">
        <f>IF(243&lt;DeliverStart,LeaseUpRampPct,MIN(1,LeaseUpRampPct+(1-LeaseUpRampPct)*'LeaseUp'!IL$10/StabilizedOccupancy))</f>
        <v/>
      </c>
      <c r="IM11" s="53">
        <f>IF(244&lt;DeliverStart,LeaseUpRampPct,MIN(1,LeaseUpRampPct+(1-LeaseUpRampPct)*'LeaseUp'!IM$10/StabilizedOccupancy))</f>
        <v/>
      </c>
      <c r="IN11" s="53">
        <f>IF(245&lt;DeliverStart,LeaseUpRampPct,MIN(1,LeaseUpRampPct+(1-LeaseUpRampPct)*'LeaseUp'!IN$10/StabilizedOccupancy))</f>
        <v/>
      </c>
      <c r="IO11" s="53">
        <f>IF(246&lt;DeliverStart,LeaseUpRampPct,MIN(1,LeaseUpRampPct+(1-LeaseUpRampPct)*'LeaseUp'!IO$10/StabilizedOccupancy))</f>
        <v/>
      </c>
      <c r="IP11" s="53">
        <f>IF(247&lt;DeliverStart,LeaseUpRampPct,MIN(1,LeaseUpRampPct+(1-LeaseUpRampPct)*'LeaseUp'!IP$10/StabilizedOccupancy))</f>
        <v/>
      </c>
      <c r="IQ11" s="53">
        <f>IF(248&lt;DeliverStart,LeaseUpRampPct,MIN(1,LeaseUpRampPct+(1-LeaseUpRampPct)*'LeaseUp'!IQ$10/StabilizedOccupancy))</f>
        <v/>
      </c>
      <c r="IR11" s="53">
        <f>IF(249&lt;DeliverStart,LeaseUpRampPct,MIN(1,LeaseUpRampPct+(1-LeaseUpRampPct)*'LeaseUp'!IR$10/StabilizedOccupancy))</f>
        <v/>
      </c>
      <c r="IS11" s="53">
        <f>IF(250&lt;DeliverStart,LeaseUpRampPct,MIN(1,LeaseUpRampPct+(1-LeaseUpRampPct)*'LeaseUp'!IS$10/StabilizedOccupancy))</f>
        <v/>
      </c>
      <c r="IT11" s="53">
        <f>IF(251&lt;DeliverStart,LeaseUpRampPct,MIN(1,LeaseUpRampPct+(1-LeaseUpRampPct)*'LeaseUp'!IT$10/StabilizedOccupancy))</f>
        <v/>
      </c>
      <c r="IU11" s="53">
        <f>IF(252&lt;DeliverStart,LeaseUpRampPct,MIN(1,LeaseUpRampPct+(1-LeaseUpRampPct)*'LeaseUp'!IU$10/StabilizedOccupancy))</f>
        <v/>
      </c>
      <c r="IV11" s="53">
        <f>IF(253&lt;DeliverStart,LeaseUpRampPct,MIN(1,LeaseUpRampPct+(1-LeaseUpRampPct)*'LeaseUp'!IV$10/StabilizedOccupancy))</f>
        <v/>
      </c>
      <c r="IW11" s="53">
        <f>IF(254&lt;DeliverStart,LeaseUpRampPct,MIN(1,LeaseUpRampPct+(1-LeaseUpRampPct)*'LeaseUp'!IW$10/StabilizedOccupancy))</f>
        <v/>
      </c>
      <c r="IX11" s="53">
        <f>IF(255&lt;DeliverStart,LeaseUpRampPct,MIN(1,LeaseUpRampPct+(1-LeaseUpRampPct)*'LeaseUp'!IX$10/StabilizedOccupancy))</f>
        <v/>
      </c>
      <c r="IY11" s="53">
        <f>IF(256&lt;DeliverStart,LeaseUpRampPct,MIN(1,LeaseUpRampPct+(1-LeaseUpRampPct)*'LeaseUp'!IY$10/StabilizedOccupancy))</f>
        <v/>
      </c>
      <c r="IZ11" s="53">
        <f>IF(257&lt;DeliverStart,LeaseUpRampPct,MIN(1,LeaseUpRampPct+(1-LeaseUpRampPct)*'LeaseUp'!IZ$10/StabilizedOccupancy))</f>
        <v/>
      </c>
      <c r="JA11" s="53">
        <f>IF(258&lt;DeliverStart,LeaseUpRampPct,MIN(1,LeaseUpRampPct+(1-LeaseUpRampPct)*'LeaseUp'!JA$10/StabilizedOccupancy))</f>
        <v/>
      </c>
      <c r="JB11" s="53">
        <f>IF(259&lt;DeliverStart,LeaseUpRampPct,MIN(1,LeaseUpRampPct+(1-LeaseUpRampPct)*'LeaseUp'!JB$10/StabilizedOccupancy))</f>
        <v/>
      </c>
      <c r="JC11" s="53">
        <f>IF(260&lt;DeliverStart,LeaseUpRampPct,MIN(1,LeaseUpRampPct+(1-LeaseUpRampPct)*'LeaseUp'!JC$10/StabilizedOccupancy))</f>
        <v/>
      </c>
      <c r="JD11" s="53">
        <f>IF(261&lt;DeliverStart,LeaseUpRampPct,MIN(1,LeaseUpRampPct+(1-LeaseUpRampPct)*'LeaseUp'!JD$10/StabilizedOccupancy))</f>
        <v/>
      </c>
      <c r="JE11" s="53">
        <f>IF(262&lt;DeliverStart,LeaseUpRampPct,MIN(1,LeaseUpRampPct+(1-LeaseUpRampPct)*'LeaseUp'!JE$10/StabilizedOccupancy))</f>
        <v/>
      </c>
      <c r="JF11" s="53">
        <f>IF(263&lt;DeliverStart,LeaseUpRampPct,MIN(1,LeaseUpRampPct+(1-LeaseUpRampPct)*'LeaseUp'!JF$10/StabilizedOccupancy))</f>
        <v/>
      </c>
      <c r="JG11" s="53">
        <f>IF(264&lt;DeliverStart,LeaseUpRampPct,MIN(1,LeaseUpRampPct+(1-LeaseUpRampPct)*'LeaseUp'!JG$10/StabilizedOccupancy))</f>
        <v/>
      </c>
      <c r="JH11" s="53">
        <f>IF(265&lt;DeliverStart,LeaseUpRampPct,MIN(1,LeaseUpRampPct+(1-LeaseUpRampPct)*'LeaseUp'!JH$10/StabilizedOccupancy))</f>
        <v/>
      </c>
      <c r="JI11" s="53">
        <f>IF(266&lt;DeliverStart,LeaseUpRampPct,MIN(1,LeaseUpRampPct+(1-LeaseUpRampPct)*'LeaseUp'!JI$10/StabilizedOccupancy))</f>
        <v/>
      </c>
      <c r="JJ11" s="53">
        <f>IF(267&lt;DeliverStart,LeaseUpRampPct,MIN(1,LeaseUpRampPct+(1-LeaseUpRampPct)*'LeaseUp'!JJ$10/StabilizedOccupancy))</f>
        <v/>
      </c>
      <c r="JK11" s="53">
        <f>IF(268&lt;DeliverStart,LeaseUpRampPct,MIN(1,LeaseUpRampPct+(1-LeaseUpRampPct)*'LeaseUp'!JK$10/StabilizedOccupancy))</f>
        <v/>
      </c>
      <c r="JL11" s="53">
        <f>IF(269&lt;DeliverStart,LeaseUpRampPct,MIN(1,LeaseUpRampPct+(1-LeaseUpRampPct)*'LeaseUp'!JL$10/StabilizedOccupancy))</f>
        <v/>
      </c>
      <c r="JM11" s="53">
        <f>IF(270&lt;DeliverStart,LeaseUpRampPct,MIN(1,LeaseUpRampPct+(1-LeaseUpRampPct)*'LeaseUp'!JM$10/StabilizedOccupancy))</f>
        <v/>
      </c>
      <c r="JN11" s="53">
        <f>IF(271&lt;DeliverStart,LeaseUpRampPct,MIN(1,LeaseUpRampPct+(1-LeaseUpRampPct)*'LeaseUp'!JN$10/StabilizedOccupancy))</f>
        <v/>
      </c>
      <c r="JO11" s="53">
        <f>IF(272&lt;DeliverStart,LeaseUpRampPct,MIN(1,LeaseUpRampPct+(1-LeaseUpRampPct)*'LeaseUp'!JO$10/StabilizedOccupancy))</f>
        <v/>
      </c>
      <c r="JP11" s="53">
        <f>IF(273&lt;DeliverStart,LeaseUpRampPct,MIN(1,LeaseUpRampPct+(1-LeaseUpRampPct)*'LeaseUp'!JP$10/StabilizedOccupancy))</f>
        <v/>
      </c>
      <c r="JQ11" s="53">
        <f>IF(274&lt;DeliverStart,LeaseUpRampPct,MIN(1,LeaseUpRampPct+(1-LeaseUpRampPct)*'LeaseUp'!JQ$10/StabilizedOccupancy))</f>
        <v/>
      </c>
      <c r="JR11" s="53">
        <f>IF(275&lt;DeliverStart,LeaseUpRampPct,MIN(1,LeaseUpRampPct+(1-LeaseUpRampPct)*'LeaseUp'!JR$10/StabilizedOccupancy))</f>
        <v/>
      </c>
      <c r="JS11" s="53">
        <f>IF(276&lt;DeliverStart,LeaseUpRampPct,MIN(1,LeaseUpRampPct+(1-LeaseUpRampPct)*'LeaseUp'!JS$10/StabilizedOccupancy))</f>
        <v/>
      </c>
      <c r="JT11" s="53">
        <f>IF(277&lt;DeliverStart,LeaseUpRampPct,MIN(1,LeaseUpRampPct+(1-LeaseUpRampPct)*'LeaseUp'!JT$10/StabilizedOccupancy))</f>
        <v/>
      </c>
      <c r="JU11" s="53">
        <f>IF(278&lt;DeliverStart,LeaseUpRampPct,MIN(1,LeaseUpRampPct+(1-LeaseUpRampPct)*'LeaseUp'!JU$10/StabilizedOccupancy))</f>
        <v/>
      </c>
      <c r="JV11" s="53">
        <f>IF(279&lt;DeliverStart,LeaseUpRampPct,MIN(1,LeaseUpRampPct+(1-LeaseUpRampPct)*'LeaseUp'!JV$10/StabilizedOccupancy))</f>
        <v/>
      </c>
      <c r="JW11" s="53">
        <f>IF(280&lt;DeliverStart,LeaseUpRampPct,MIN(1,LeaseUpRampPct+(1-LeaseUpRampPct)*'LeaseUp'!JW$10/StabilizedOccupancy))</f>
        <v/>
      </c>
      <c r="JX11" s="53">
        <f>IF(281&lt;DeliverStart,LeaseUpRampPct,MIN(1,LeaseUpRampPct+(1-LeaseUpRampPct)*'LeaseUp'!JX$10/StabilizedOccupancy))</f>
        <v/>
      </c>
      <c r="JY11" s="53">
        <f>IF(282&lt;DeliverStart,LeaseUpRampPct,MIN(1,LeaseUpRampPct+(1-LeaseUpRampPct)*'LeaseUp'!JY$10/StabilizedOccupancy))</f>
        <v/>
      </c>
      <c r="JZ11" s="53">
        <f>IF(283&lt;DeliverStart,LeaseUpRampPct,MIN(1,LeaseUpRampPct+(1-LeaseUpRampPct)*'LeaseUp'!JZ$10/StabilizedOccupancy))</f>
        <v/>
      </c>
      <c r="KA11" s="53">
        <f>IF(284&lt;DeliverStart,LeaseUpRampPct,MIN(1,LeaseUpRampPct+(1-LeaseUpRampPct)*'LeaseUp'!KA$10/StabilizedOccupancy))</f>
        <v/>
      </c>
      <c r="KB11" s="53">
        <f>IF(285&lt;DeliverStart,LeaseUpRampPct,MIN(1,LeaseUpRampPct+(1-LeaseUpRampPct)*'LeaseUp'!KB$10/StabilizedOccupancy))</f>
        <v/>
      </c>
      <c r="KC11" s="53">
        <f>IF(286&lt;DeliverStart,LeaseUpRampPct,MIN(1,LeaseUpRampPct+(1-LeaseUpRampPct)*'LeaseUp'!KC$10/StabilizedOccupancy))</f>
        <v/>
      </c>
      <c r="KD11" s="53">
        <f>IF(287&lt;DeliverStart,LeaseUpRampPct,MIN(1,LeaseUpRampPct+(1-LeaseUpRampPct)*'LeaseUp'!KD$10/StabilizedOccupancy))</f>
        <v/>
      </c>
      <c r="KE11" s="53">
        <f>IF(288&lt;DeliverStart,LeaseUpRampPct,MIN(1,LeaseUpRampPct+(1-LeaseUpRampPct)*'LeaseUp'!KE$10/StabilizedOccupancy))</f>
        <v/>
      </c>
      <c r="KF11" s="53">
        <f>IF(289&lt;DeliverStart,LeaseUpRampPct,MIN(1,LeaseUpRampPct+(1-LeaseUpRampPct)*'LeaseUp'!KF$10/StabilizedOccupancy))</f>
        <v/>
      </c>
      <c r="KG11" s="53">
        <f>IF(290&lt;DeliverStart,LeaseUpRampPct,MIN(1,LeaseUpRampPct+(1-LeaseUpRampPct)*'LeaseUp'!KG$10/StabilizedOccupancy))</f>
        <v/>
      </c>
      <c r="KH11" s="53">
        <f>IF(291&lt;DeliverStart,LeaseUpRampPct,MIN(1,LeaseUpRampPct+(1-LeaseUpRampPct)*'LeaseUp'!KH$10/StabilizedOccupancy))</f>
        <v/>
      </c>
      <c r="KI11" s="53">
        <f>IF(292&lt;DeliverStart,LeaseUpRampPct,MIN(1,LeaseUpRampPct+(1-LeaseUpRampPct)*'LeaseUp'!KI$10/StabilizedOccupancy))</f>
        <v/>
      </c>
      <c r="KJ11" s="53">
        <f>IF(293&lt;DeliverStart,LeaseUpRampPct,MIN(1,LeaseUpRampPct+(1-LeaseUpRampPct)*'LeaseUp'!KJ$10/StabilizedOccupancy))</f>
        <v/>
      </c>
      <c r="KK11" s="53">
        <f>IF(294&lt;DeliverStart,LeaseUpRampPct,MIN(1,LeaseUpRampPct+(1-LeaseUpRampPct)*'LeaseUp'!KK$10/StabilizedOccupancy))</f>
        <v/>
      </c>
      <c r="KL11" s="53">
        <f>IF(295&lt;DeliverStart,LeaseUpRampPct,MIN(1,LeaseUpRampPct+(1-LeaseUpRampPct)*'LeaseUp'!KL$10/StabilizedOccupancy))</f>
        <v/>
      </c>
      <c r="KM11" s="53">
        <f>IF(296&lt;DeliverStart,LeaseUpRampPct,MIN(1,LeaseUpRampPct+(1-LeaseUpRampPct)*'LeaseUp'!KM$10/StabilizedOccupancy))</f>
        <v/>
      </c>
      <c r="KN11" s="53">
        <f>IF(297&lt;DeliverStart,LeaseUpRampPct,MIN(1,LeaseUpRampPct+(1-LeaseUpRampPct)*'LeaseUp'!KN$10/StabilizedOccupancy))</f>
        <v/>
      </c>
      <c r="KO11" s="53">
        <f>IF(298&lt;DeliverStart,LeaseUpRampPct,MIN(1,LeaseUpRampPct+(1-LeaseUpRampPct)*'LeaseUp'!KO$10/StabilizedOccupancy))</f>
        <v/>
      </c>
      <c r="KP11" s="53">
        <f>IF(299&lt;DeliverStart,LeaseUpRampPct,MIN(1,LeaseUpRampPct+(1-LeaseUpRampPct)*'LeaseUp'!KP$10/StabilizedOccupancy))</f>
        <v/>
      </c>
      <c r="KQ11" s="53">
        <f>IF(300&lt;DeliverStart,LeaseUpRampPct,MIN(1,LeaseUpRampPct+(1-LeaseUpRampPct)*'LeaseUp'!KQ$10/StabilizedOccupancy))</f>
        <v/>
      </c>
      <c r="KR11" s="53">
        <f>IF(301&lt;DeliverStart,LeaseUpRampPct,MIN(1,LeaseUpRampPct+(1-LeaseUpRampPct)*'LeaseUp'!KR$10/StabilizedOccupancy))</f>
        <v/>
      </c>
      <c r="KS11" s="53">
        <f>IF(302&lt;DeliverStart,LeaseUpRampPct,MIN(1,LeaseUpRampPct+(1-LeaseUpRampPct)*'LeaseUp'!KS$10/StabilizedOccupancy))</f>
        <v/>
      </c>
      <c r="KT11" s="53">
        <f>IF(303&lt;DeliverStart,LeaseUpRampPct,MIN(1,LeaseUpRampPct+(1-LeaseUpRampPct)*'LeaseUp'!KT$10/StabilizedOccupancy))</f>
        <v/>
      </c>
      <c r="KU11" s="53">
        <f>IF(304&lt;DeliverStart,LeaseUpRampPct,MIN(1,LeaseUpRampPct+(1-LeaseUpRampPct)*'LeaseUp'!KU$10/StabilizedOccupancy))</f>
        <v/>
      </c>
      <c r="KV11" s="53">
        <f>IF(305&lt;DeliverStart,LeaseUpRampPct,MIN(1,LeaseUpRampPct+(1-LeaseUpRampPct)*'LeaseUp'!KV$10/StabilizedOccupancy))</f>
        <v/>
      </c>
      <c r="KW11" s="53">
        <f>IF(306&lt;DeliverStart,LeaseUpRampPct,MIN(1,LeaseUpRampPct+(1-LeaseUpRampPct)*'LeaseUp'!KW$10/StabilizedOccupancy))</f>
        <v/>
      </c>
      <c r="KX11" s="53">
        <f>IF(307&lt;DeliverStart,LeaseUpRampPct,MIN(1,LeaseUpRampPct+(1-LeaseUpRampPct)*'LeaseUp'!KX$10/StabilizedOccupancy))</f>
        <v/>
      </c>
      <c r="KY11" s="53">
        <f>IF(308&lt;DeliverStart,LeaseUpRampPct,MIN(1,LeaseUpRampPct+(1-LeaseUpRampPct)*'LeaseUp'!KY$10/StabilizedOccupancy))</f>
        <v/>
      </c>
      <c r="KZ11" s="53">
        <f>IF(309&lt;DeliverStart,LeaseUpRampPct,MIN(1,LeaseUpRampPct+(1-LeaseUpRampPct)*'LeaseUp'!KZ$10/StabilizedOccupancy))</f>
        <v/>
      </c>
      <c r="LA11" s="53">
        <f>IF(310&lt;DeliverStart,LeaseUpRampPct,MIN(1,LeaseUpRampPct+(1-LeaseUpRampPct)*'LeaseUp'!LA$10/StabilizedOccupancy))</f>
        <v/>
      </c>
      <c r="LB11" s="53">
        <f>IF(311&lt;DeliverStart,LeaseUpRampPct,MIN(1,LeaseUpRampPct+(1-LeaseUpRampPct)*'LeaseUp'!LB$10/StabilizedOccupancy))</f>
        <v/>
      </c>
      <c r="LC11" s="53">
        <f>IF(312&lt;DeliverStart,LeaseUpRampPct,MIN(1,LeaseUpRampPct+(1-LeaseUpRampPct)*'LeaseUp'!LC$10/StabilizedOccupancy))</f>
        <v/>
      </c>
      <c r="LD11" s="53">
        <f>IF(313&lt;DeliverStart,LeaseUpRampPct,MIN(1,LeaseUpRampPct+(1-LeaseUpRampPct)*'LeaseUp'!LD$10/StabilizedOccupancy))</f>
        <v/>
      </c>
      <c r="LE11" s="53">
        <f>IF(314&lt;DeliverStart,LeaseUpRampPct,MIN(1,LeaseUpRampPct+(1-LeaseUpRampPct)*'LeaseUp'!LE$10/StabilizedOccupancy))</f>
        <v/>
      </c>
      <c r="LF11" s="53">
        <f>IF(315&lt;DeliverStart,LeaseUpRampPct,MIN(1,LeaseUpRampPct+(1-LeaseUpRampPct)*'LeaseUp'!LF$10/StabilizedOccupancy))</f>
        <v/>
      </c>
      <c r="LG11" s="53">
        <f>IF(316&lt;DeliverStart,LeaseUpRampPct,MIN(1,LeaseUpRampPct+(1-LeaseUpRampPct)*'LeaseUp'!LG$10/StabilizedOccupancy))</f>
        <v/>
      </c>
      <c r="LH11" s="53">
        <f>IF(317&lt;DeliverStart,LeaseUpRampPct,MIN(1,LeaseUpRampPct+(1-LeaseUpRampPct)*'LeaseUp'!LH$10/StabilizedOccupancy))</f>
        <v/>
      </c>
      <c r="LI11" s="53">
        <f>IF(318&lt;DeliverStart,LeaseUpRampPct,MIN(1,LeaseUpRampPct+(1-LeaseUpRampPct)*'LeaseUp'!LI$10/StabilizedOccupancy))</f>
        <v/>
      </c>
      <c r="LJ11" s="53">
        <f>IF(319&lt;DeliverStart,LeaseUpRampPct,MIN(1,LeaseUpRampPct+(1-LeaseUpRampPct)*'LeaseUp'!LJ$10/StabilizedOccupancy))</f>
        <v/>
      </c>
      <c r="LK11" s="53">
        <f>IF(320&lt;DeliverStart,LeaseUpRampPct,MIN(1,LeaseUpRampPct+(1-LeaseUpRampPct)*'LeaseUp'!LK$10/StabilizedOccupancy))</f>
        <v/>
      </c>
      <c r="LL11" s="53">
        <f>IF(321&lt;DeliverStart,LeaseUpRampPct,MIN(1,LeaseUpRampPct+(1-LeaseUpRampPct)*'LeaseUp'!LL$10/StabilizedOccupancy))</f>
        <v/>
      </c>
      <c r="LM11" s="53">
        <f>IF(322&lt;DeliverStart,LeaseUpRampPct,MIN(1,LeaseUpRampPct+(1-LeaseUpRampPct)*'LeaseUp'!LM$10/StabilizedOccupancy))</f>
        <v/>
      </c>
      <c r="LN11" s="53">
        <f>IF(323&lt;DeliverStart,LeaseUpRampPct,MIN(1,LeaseUpRampPct+(1-LeaseUpRampPct)*'LeaseUp'!LN$10/StabilizedOccupancy))</f>
        <v/>
      </c>
      <c r="LO11" s="53">
        <f>IF(324&lt;DeliverStart,LeaseUpRampPct,MIN(1,LeaseUpRampPct+(1-LeaseUpRampPct)*'LeaseUp'!LO$10/StabilizedOccupancy))</f>
        <v/>
      </c>
      <c r="LP11" s="53">
        <f>IF(325&lt;DeliverStart,LeaseUpRampPct,MIN(1,LeaseUpRampPct+(1-LeaseUpRampPct)*'LeaseUp'!LP$10/StabilizedOccupancy))</f>
        <v/>
      </c>
      <c r="LQ11" s="53">
        <f>IF(326&lt;DeliverStart,LeaseUpRampPct,MIN(1,LeaseUpRampPct+(1-LeaseUpRampPct)*'LeaseUp'!LQ$10/StabilizedOccupancy))</f>
        <v/>
      </c>
      <c r="LR11" s="53">
        <f>IF(327&lt;DeliverStart,LeaseUpRampPct,MIN(1,LeaseUpRampPct+(1-LeaseUpRampPct)*'LeaseUp'!LR$10/StabilizedOccupancy))</f>
        <v/>
      </c>
      <c r="LS11" s="53">
        <f>IF(328&lt;DeliverStart,LeaseUpRampPct,MIN(1,LeaseUpRampPct+(1-LeaseUpRampPct)*'LeaseUp'!LS$10/StabilizedOccupancy))</f>
        <v/>
      </c>
      <c r="LT11" s="53">
        <f>IF(329&lt;DeliverStart,LeaseUpRampPct,MIN(1,LeaseUpRampPct+(1-LeaseUpRampPct)*'LeaseUp'!LT$10/StabilizedOccupancy))</f>
        <v/>
      </c>
      <c r="LU11" s="53">
        <f>IF(330&lt;DeliverStart,LeaseUpRampPct,MIN(1,LeaseUpRampPct+(1-LeaseUpRampPct)*'LeaseUp'!LU$10/StabilizedOccupancy))</f>
        <v/>
      </c>
      <c r="LV11" s="53">
        <f>IF(331&lt;DeliverStart,LeaseUpRampPct,MIN(1,LeaseUpRampPct+(1-LeaseUpRampPct)*'LeaseUp'!LV$10/StabilizedOccupancy))</f>
        <v/>
      </c>
      <c r="LW11" s="53">
        <f>IF(332&lt;DeliverStart,LeaseUpRampPct,MIN(1,LeaseUpRampPct+(1-LeaseUpRampPct)*'LeaseUp'!LW$10/StabilizedOccupancy))</f>
        <v/>
      </c>
      <c r="LX11" s="53">
        <f>IF(333&lt;DeliverStart,LeaseUpRampPct,MIN(1,LeaseUpRampPct+(1-LeaseUpRampPct)*'LeaseUp'!LX$10/StabilizedOccupancy))</f>
        <v/>
      </c>
      <c r="LY11" s="53">
        <f>IF(334&lt;DeliverStart,LeaseUpRampPct,MIN(1,LeaseUpRampPct+(1-LeaseUpRampPct)*'LeaseUp'!LY$10/StabilizedOccupancy))</f>
        <v/>
      </c>
      <c r="LZ11" s="53">
        <f>IF(335&lt;DeliverStart,LeaseUpRampPct,MIN(1,LeaseUpRampPct+(1-LeaseUpRampPct)*'LeaseUp'!LZ$10/StabilizedOccupancy))</f>
        <v/>
      </c>
      <c r="MA11" s="53">
        <f>IF(336&lt;DeliverStart,LeaseUpRampPct,MIN(1,LeaseUpRampPct+(1-LeaseUpRampPct)*'LeaseUp'!MA$10/StabilizedOccupancy))</f>
        <v/>
      </c>
      <c r="MB11" s="53">
        <f>IF(337&lt;DeliverStart,LeaseUpRampPct,MIN(1,LeaseUpRampPct+(1-LeaseUpRampPct)*'LeaseUp'!MB$10/StabilizedOccupancy))</f>
        <v/>
      </c>
      <c r="MC11" s="53">
        <f>IF(338&lt;DeliverStart,LeaseUpRampPct,MIN(1,LeaseUpRampPct+(1-LeaseUpRampPct)*'LeaseUp'!MC$10/StabilizedOccupancy))</f>
        <v/>
      </c>
      <c r="MD11" s="53">
        <f>IF(339&lt;DeliverStart,LeaseUpRampPct,MIN(1,LeaseUpRampPct+(1-LeaseUpRampPct)*'LeaseUp'!MD$10/StabilizedOccupancy))</f>
        <v/>
      </c>
      <c r="ME11" s="53">
        <f>IF(340&lt;DeliverStart,LeaseUpRampPct,MIN(1,LeaseUpRampPct+(1-LeaseUpRampPct)*'LeaseUp'!ME$10/StabilizedOccupancy))</f>
        <v/>
      </c>
      <c r="MF11" s="53">
        <f>IF(341&lt;DeliverStart,LeaseUpRampPct,MIN(1,LeaseUpRampPct+(1-LeaseUpRampPct)*'LeaseUp'!MF$10/StabilizedOccupancy))</f>
        <v/>
      </c>
      <c r="MG11" s="53">
        <f>IF(342&lt;DeliverStart,LeaseUpRampPct,MIN(1,LeaseUpRampPct+(1-LeaseUpRampPct)*'LeaseUp'!MG$10/StabilizedOccupancy))</f>
        <v/>
      </c>
      <c r="MH11" s="53">
        <f>IF(343&lt;DeliverStart,LeaseUpRampPct,MIN(1,LeaseUpRampPct+(1-LeaseUpRampPct)*'LeaseUp'!MH$10/StabilizedOccupancy))</f>
        <v/>
      </c>
      <c r="MI11" s="53">
        <f>IF(344&lt;DeliverStart,LeaseUpRampPct,MIN(1,LeaseUpRampPct+(1-LeaseUpRampPct)*'LeaseUp'!MI$10/StabilizedOccupancy))</f>
        <v/>
      </c>
      <c r="MJ11" s="53">
        <f>IF(345&lt;DeliverStart,LeaseUpRampPct,MIN(1,LeaseUpRampPct+(1-LeaseUpRampPct)*'LeaseUp'!MJ$10/StabilizedOccupancy))</f>
        <v/>
      </c>
      <c r="MK11" s="53">
        <f>IF(346&lt;DeliverStart,LeaseUpRampPct,MIN(1,LeaseUpRampPct+(1-LeaseUpRampPct)*'LeaseUp'!MK$10/StabilizedOccupancy))</f>
        <v/>
      </c>
      <c r="ML11" s="53">
        <f>IF(347&lt;DeliverStart,LeaseUpRampPct,MIN(1,LeaseUpRampPct+(1-LeaseUpRampPct)*'LeaseUp'!ML$10/StabilizedOccupancy))</f>
        <v/>
      </c>
      <c r="MM11" s="53">
        <f>IF(348&lt;DeliverStart,LeaseUpRampPct,MIN(1,LeaseUpRampPct+(1-LeaseUpRampPct)*'LeaseUp'!MM$10/StabilizedOccupancy))</f>
        <v/>
      </c>
      <c r="MN11" s="53">
        <f>IF(349&lt;DeliverStart,LeaseUpRampPct,MIN(1,LeaseUpRampPct+(1-LeaseUpRampPct)*'LeaseUp'!MN$10/StabilizedOccupancy))</f>
        <v/>
      </c>
      <c r="MO11" s="53">
        <f>IF(350&lt;DeliverStart,LeaseUpRampPct,MIN(1,LeaseUpRampPct+(1-LeaseUpRampPct)*'LeaseUp'!MO$10/StabilizedOccupancy))</f>
        <v/>
      </c>
      <c r="MP11" s="53">
        <f>IF(351&lt;DeliverStart,LeaseUpRampPct,MIN(1,LeaseUpRampPct+(1-LeaseUpRampPct)*'LeaseUp'!MP$10/StabilizedOccupancy))</f>
        <v/>
      </c>
      <c r="MQ11" s="53">
        <f>IF(352&lt;DeliverStart,LeaseUpRampPct,MIN(1,LeaseUpRampPct+(1-LeaseUpRampPct)*'LeaseUp'!MQ$10/StabilizedOccupancy))</f>
        <v/>
      </c>
      <c r="MR11" s="53">
        <f>IF(353&lt;DeliverStart,LeaseUpRampPct,MIN(1,LeaseUpRampPct+(1-LeaseUpRampPct)*'LeaseUp'!MR$10/StabilizedOccupancy))</f>
        <v/>
      </c>
      <c r="MS11" s="53">
        <f>IF(354&lt;DeliverStart,LeaseUpRampPct,MIN(1,LeaseUpRampPct+(1-LeaseUpRampPct)*'LeaseUp'!MS$10/StabilizedOccupancy))</f>
        <v/>
      </c>
      <c r="MT11" s="53">
        <f>IF(355&lt;DeliverStart,LeaseUpRampPct,MIN(1,LeaseUpRampPct+(1-LeaseUpRampPct)*'LeaseUp'!MT$10/StabilizedOccupancy))</f>
        <v/>
      </c>
      <c r="MU11" s="53">
        <f>IF(356&lt;DeliverStart,LeaseUpRampPct,MIN(1,LeaseUpRampPct+(1-LeaseUpRampPct)*'LeaseUp'!MU$10/StabilizedOccupancy))</f>
        <v/>
      </c>
      <c r="MV11" s="53">
        <f>IF(357&lt;DeliverStart,LeaseUpRampPct,MIN(1,LeaseUpRampPct+(1-LeaseUpRampPct)*'LeaseUp'!MV$10/StabilizedOccupancy))</f>
        <v/>
      </c>
      <c r="MW11" s="53">
        <f>IF(358&lt;DeliverStart,LeaseUpRampPct,MIN(1,LeaseUpRampPct+(1-LeaseUpRampPct)*'LeaseUp'!MW$10/StabilizedOccupancy))</f>
        <v/>
      </c>
      <c r="MX11" s="53">
        <f>IF(359&lt;DeliverStart,LeaseUpRampPct,MIN(1,LeaseUpRampPct+(1-LeaseUpRampPct)*'LeaseUp'!MX$10/StabilizedOccupancy))</f>
        <v/>
      </c>
      <c r="MY11" s="53">
        <f>IF(360&lt;DeliverStart,LeaseUpRampPct,MIN(1,LeaseUpRampPct+(1-LeaseUpRampPct)*'LeaseUp'!MY$10/StabilizedOccupancy))</f>
        <v/>
      </c>
      <c r="MZ11" s="53">
        <f>IF(361&lt;DeliverStart,LeaseUpRampPct,MIN(1,LeaseUpRampPct+(1-LeaseUpRampPct)*'LeaseUp'!MZ$10/StabilizedOccupancy))</f>
        <v/>
      </c>
      <c r="NA11" s="53">
        <f>IF(362&lt;DeliverStart,LeaseUpRampPct,MIN(1,LeaseUpRampPct+(1-LeaseUpRampPct)*'LeaseUp'!NA$10/StabilizedOccupancy))</f>
        <v/>
      </c>
      <c r="NB11" s="53">
        <f>IF(363&lt;DeliverStart,LeaseUpRampPct,MIN(1,LeaseUpRampPct+(1-LeaseUpRampPct)*'LeaseUp'!NB$10/StabilizedOccupancy))</f>
        <v/>
      </c>
      <c r="NC11" s="53">
        <f>IF(364&lt;DeliverStart,LeaseUpRampPct,MIN(1,LeaseUpRampPct+(1-LeaseUpRampPct)*'LeaseUp'!NC$10/StabilizedOccupancy))</f>
        <v/>
      </c>
      <c r="ND11" s="53">
        <f>IF(365&lt;DeliverStart,LeaseUpRampPct,MIN(1,LeaseUpRampPct+(1-LeaseUpRampPct)*'LeaseUp'!ND$10/StabilizedOccupancy))</f>
        <v/>
      </c>
      <c r="NE11" s="53">
        <f>IF(366&lt;DeliverStart,LeaseUpRampPct,MIN(1,LeaseUpRampPct+(1-LeaseUpRampPct)*'LeaseUp'!NE$10/StabilizedOccupancy))</f>
        <v/>
      </c>
      <c r="NF11" s="53">
        <f>IF(367&lt;DeliverStart,LeaseUpRampPct,MIN(1,LeaseUpRampPct+(1-LeaseUpRampPct)*'LeaseUp'!NF$10/StabilizedOccupancy))</f>
        <v/>
      </c>
      <c r="NG11" s="53">
        <f>IF(368&lt;DeliverStart,LeaseUpRampPct,MIN(1,LeaseUpRampPct+(1-LeaseUpRampPct)*'LeaseUp'!NG$10/StabilizedOccupancy))</f>
        <v/>
      </c>
      <c r="NH11" s="53">
        <f>IF(369&lt;DeliverStart,LeaseUpRampPct,MIN(1,LeaseUpRampPct+(1-LeaseUpRampPct)*'LeaseUp'!NH$10/StabilizedOccupancy))</f>
        <v/>
      </c>
      <c r="NI11" s="53">
        <f>IF(370&lt;DeliverStart,LeaseUpRampPct,MIN(1,LeaseUpRampPct+(1-LeaseUpRampPct)*'LeaseUp'!NI$10/StabilizedOccupancy))</f>
        <v/>
      </c>
      <c r="NJ11" s="53">
        <f>IF(371&lt;DeliverStart,LeaseUpRampPct,MIN(1,LeaseUpRampPct+(1-LeaseUpRampPct)*'LeaseUp'!NJ$10/StabilizedOccupancy))</f>
        <v/>
      </c>
      <c r="NK11" s="53">
        <f>IF(372&lt;DeliverStart,LeaseUpRampPct,MIN(1,LeaseUpRampPct+(1-LeaseUpRampPct)*'LeaseUp'!NK$10/StabilizedOccupancy))</f>
        <v/>
      </c>
    </row>
    <row r="12">
      <c r="A12" s="5" t="inlineStr">
        <is>
          <t>Elevated-Expense Factor</t>
        </is>
      </c>
      <c r="C12" s="52" t="n"/>
      <c r="D12" s="53">
        <f>1+LeaseUpElevationPct*MAX(0,1-'LeaseUp'!D$10/StabilizedOccupancy)</f>
        <v/>
      </c>
      <c r="E12" s="53">
        <f>1+LeaseUpElevationPct*MAX(0,1-'LeaseUp'!E$10/StabilizedOccupancy)</f>
        <v/>
      </c>
      <c r="F12" s="53">
        <f>1+LeaseUpElevationPct*MAX(0,1-'LeaseUp'!F$10/StabilizedOccupancy)</f>
        <v/>
      </c>
      <c r="G12" s="53">
        <f>1+LeaseUpElevationPct*MAX(0,1-'LeaseUp'!G$10/StabilizedOccupancy)</f>
        <v/>
      </c>
      <c r="H12" s="53">
        <f>1+LeaseUpElevationPct*MAX(0,1-'LeaseUp'!H$10/StabilizedOccupancy)</f>
        <v/>
      </c>
      <c r="I12" s="53">
        <f>1+LeaseUpElevationPct*MAX(0,1-'LeaseUp'!I$10/StabilizedOccupancy)</f>
        <v/>
      </c>
      <c r="J12" s="53">
        <f>1+LeaseUpElevationPct*MAX(0,1-'LeaseUp'!J$10/StabilizedOccupancy)</f>
        <v/>
      </c>
      <c r="K12" s="53">
        <f>1+LeaseUpElevationPct*MAX(0,1-'LeaseUp'!K$10/StabilizedOccupancy)</f>
        <v/>
      </c>
      <c r="L12" s="53">
        <f>1+LeaseUpElevationPct*MAX(0,1-'LeaseUp'!L$10/StabilizedOccupancy)</f>
        <v/>
      </c>
      <c r="M12" s="53">
        <f>1+LeaseUpElevationPct*MAX(0,1-'LeaseUp'!M$10/StabilizedOccupancy)</f>
        <v/>
      </c>
      <c r="N12" s="53">
        <f>1+LeaseUpElevationPct*MAX(0,1-'LeaseUp'!N$10/StabilizedOccupancy)</f>
        <v/>
      </c>
      <c r="O12" s="53">
        <f>1+LeaseUpElevationPct*MAX(0,1-'LeaseUp'!O$10/StabilizedOccupancy)</f>
        <v/>
      </c>
      <c r="P12" s="53">
        <f>1+LeaseUpElevationPct*MAX(0,1-'LeaseUp'!P$10/StabilizedOccupancy)</f>
        <v/>
      </c>
      <c r="Q12" s="53">
        <f>1+LeaseUpElevationPct*MAX(0,1-'LeaseUp'!Q$10/StabilizedOccupancy)</f>
        <v/>
      </c>
      <c r="R12" s="53">
        <f>1+LeaseUpElevationPct*MAX(0,1-'LeaseUp'!R$10/StabilizedOccupancy)</f>
        <v/>
      </c>
      <c r="S12" s="53">
        <f>1+LeaseUpElevationPct*MAX(0,1-'LeaseUp'!S$10/StabilizedOccupancy)</f>
        <v/>
      </c>
      <c r="T12" s="53">
        <f>1+LeaseUpElevationPct*MAX(0,1-'LeaseUp'!T$10/StabilizedOccupancy)</f>
        <v/>
      </c>
      <c r="U12" s="53">
        <f>1+LeaseUpElevationPct*MAX(0,1-'LeaseUp'!U$10/StabilizedOccupancy)</f>
        <v/>
      </c>
      <c r="V12" s="53">
        <f>1+LeaseUpElevationPct*MAX(0,1-'LeaseUp'!V$10/StabilizedOccupancy)</f>
        <v/>
      </c>
      <c r="W12" s="53">
        <f>1+LeaseUpElevationPct*MAX(0,1-'LeaseUp'!W$10/StabilizedOccupancy)</f>
        <v/>
      </c>
      <c r="X12" s="53">
        <f>1+LeaseUpElevationPct*MAX(0,1-'LeaseUp'!X$10/StabilizedOccupancy)</f>
        <v/>
      </c>
      <c r="Y12" s="53">
        <f>1+LeaseUpElevationPct*MAX(0,1-'LeaseUp'!Y$10/StabilizedOccupancy)</f>
        <v/>
      </c>
      <c r="Z12" s="53">
        <f>1+LeaseUpElevationPct*MAX(0,1-'LeaseUp'!Z$10/StabilizedOccupancy)</f>
        <v/>
      </c>
      <c r="AA12" s="53">
        <f>1+LeaseUpElevationPct*MAX(0,1-'LeaseUp'!AA$10/StabilizedOccupancy)</f>
        <v/>
      </c>
      <c r="AB12" s="53">
        <f>1+LeaseUpElevationPct*MAX(0,1-'LeaseUp'!AB$10/StabilizedOccupancy)</f>
        <v/>
      </c>
      <c r="AC12" s="53">
        <f>1+LeaseUpElevationPct*MAX(0,1-'LeaseUp'!AC$10/StabilizedOccupancy)</f>
        <v/>
      </c>
      <c r="AD12" s="53">
        <f>1+LeaseUpElevationPct*MAX(0,1-'LeaseUp'!AD$10/StabilizedOccupancy)</f>
        <v/>
      </c>
      <c r="AE12" s="53">
        <f>1+LeaseUpElevationPct*MAX(0,1-'LeaseUp'!AE$10/StabilizedOccupancy)</f>
        <v/>
      </c>
      <c r="AF12" s="53">
        <f>1+LeaseUpElevationPct*MAX(0,1-'LeaseUp'!AF$10/StabilizedOccupancy)</f>
        <v/>
      </c>
      <c r="AG12" s="53">
        <f>1+LeaseUpElevationPct*MAX(0,1-'LeaseUp'!AG$10/StabilizedOccupancy)</f>
        <v/>
      </c>
      <c r="AH12" s="53">
        <f>1+LeaseUpElevationPct*MAX(0,1-'LeaseUp'!AH$10/StabilizedOccupancy)</f>
        <v/>
      </c>
      <c r="AI12" s="53">
        <f>1+LeaseUpElevationPct*MAX(0,1-'LeaseUp'!AI$10/StabilizedOccupancy)</f>
        <v/>
      </c>
      <c r="AJ12" s="53">
        <f>1+LeaseUpElevationPct*MAX(0,1-'LeaseUp'!AJ$10/StabilizedOccupancy)</f>
        <v/>
      </c>
      <c r="AK12" s="53">
        <f>1+LeaseUpElevationPct*MAX(0,1-'LeaseUp'!AK$10/StabilizedOccupancy)</f>
        <v/>
      </c>
      <c r="AL12" s="53">
        <f>1+LeaseUpElevationPct*MAX(0,1-'LeaseUp'!AL$10/StabilizedOccupancy)</f>
        <v/>
      </c>
      <c r="AM12" s="53">
        <f>1+LeaseUpElevationPct*MAX(0,1-'LeaseUp'!AM$10/StabilizedOccupancy)</f>
        <v/>
      </c>
      <c r="AN12" s="53">
        <f>1+LeaseUpElevationPct*MAX(0,1-'LeaseUp'!AN$10/StabilizedOccupancy)</f>
        <v/>
      </c>
      <c r="AO12" s="53">
        <f>1+LeaseUpElevationPct*MAX(0,1-'LeaseUp'!AO$10/StabilizedOccupancy)</f>
        <v/>
      </c>
      <c r="AP12" s="53">
        <f>1+LeaseUpElevationPct*MAX(0,1-'LeaseUp'!AP$10/StabilizedOccupancy)</f>
        <v/>
      </c>
      <c r="AQ12" s="53">
        <f>1+LeaseUpElevationPct*MAX(0,1-'LeaseUp'!AQ$10/StabilizedOccupancy)</f>
        <v/>
      </c>
      <c r="AR12" s="53">
        <f>1+LeaseUpElevationPct*MAX(0,1-'LeaseUp'!AR$10/StabilizedOccupancy)</f>
        <v/>
      </c>
      <c r="AS12" s="53">
        <f>1+LeaseUpElevationPct*MAX(0,1-'LeaseUp'!AS$10/StabilizedOccupancy)</f>
        <v/>
      </c>
      <c r="AT12" s="53">
        <f>1+LeaseUpElevationPct*MAX(0,1-'LeaseUp'!AT$10/StabilizedOccupancy)</f>
        <v/>
      </c>
      <c r="AU12" s="53">
        <f>1+LeaseUpElevationPct*MAX(0,1-'LeaseUp'!AU$10/StabilizedOccupancy)</f>
        <v/>
      </c>
      <c r="AV12" s="53">
        <f>1+LeaseUpElevationPct*MAX(0,1-'LeaseUp'!AV$10/StabilizedOccupancy)</f>
        <v/>
      </c>
      <c r="AW12" s="53">
        <f>1+LeaseUpElevationPct*MAX(0,1-'LeaseUp'!AW$10/StabilizedOccupancy)</f>
        <v/>
      </c>
      <c r="AX12" s="53">
        <f>1+LeaseUpElevationPct*MAX(0,1-'LeaseUp'!AX$10/StabilizedOccupancy)</f>
        <v/>
      </c>
      <c r="AY12" s="53">
        <f>1+LeaseUpElevationPct*MAX(0,1-'LeaseUp'!AY$10/StabilizedOccupancy)</f>
        <v/>
      </c>
      <c r="AZ12" s="53">
        <f>1+LeaseUpElevationPct*MAX(0,1-'LeaseUp'!AZ$10/StabilizedOccupancy)</f>
        <v/>
      </c>
      <c r="BA12" s="53">
        <f>1+LeaseUpElevationPct*MAX(0,1-'LeaseUp'!BA$10/StabilizedOccupancy)</f>
        <v/>
      </c>
      <c r="BB12" s="53">
        <f>1+LeaseUpElevationPct*MAX(0,1-'LeaseUp'!BB$10/StabilizedOccupancy)</f>
        <v/>
      </c>
      <c r="BC12" s="53">
        <f>1+LeaseUpElevationPct*MAX(0,1-'LeaseUp'!BC$10/StabilizedOccupancy)</f>
        <v/>
      </c>
      <c r="BD12" s="53">
        <f>1+LeaseUpElevationPct*MAX(0,1-'LeaseUp'!BD$10/StabilizedOccupancy)</f>
        <v/>
      </c>
      <c r="BE12" s="53">
        <f>1+LeaseUpElevationPct*MAX(0,1-'LeaseUp'!BE$10/StabilizedOccupancy)</f>
        <v/>
      </c>
      <c r="BF12" s="53">
        <f>1+LeaseUpElevationPct*MAX(0,1-'LeaseUp'!BF$10/StabilizedOccupancy)</f>
        <v/>
      </c>
      <c r="BG12" s="53">
        <f>1+LeaseUpElevationPct*MAX(0,1-'LeaseUp'!BG$10/StabilizedOccupancy)</f>
        <v/>
      </c>
      <c r="BH12" s="53">
        <f>1+LeaseUpElevationPct*MAX(0,1-'LeaseUp'!BH$10/StabilizedOccupancy)</f>
        <v/>
      </c>
      <c r="BI12" s="53">
        <f>1+LeaseUpElevationPct*MAX(0,1-'LeaseUp'!BI$10/StabilizedOccupancy)</f>
        <v/>
      </c>
      <c r="BJ12" s="53">
        <f>1+LeaseUpElevationPct*MAX(0,1-'LeaseUp'!BJ$10/StabilizedOccupancy)</f>
        <v/>
      </c>
      <c r="BK12" s="53">
        <f>1+LeaseUpElevationPct*MAX(0,1-'LeaseUp'!BK$10/StabilizedOccupancy)</f>
        <v/>
      </c>
      <c r="BL12" s="53">
        <f>1+LeaseUpElevationPct*MAX(0,1-'LeaseUp'!BL$10/StabilizedOccupancy)</f>
        <v/>
      </c>
      <c r="BM12" s="53">
        <f>1+LeaseUpElevationPct*MAX(0,1-'LeaseUp'!BM$10/StabilizedOccupancy)</f>
        <v/>
      </c>
      <c r="BN12" s="53">
        <f>1+LeaseUpElevationPct*MAX(0,1-'LeaseUp'!BN$10/StabilizedOccupancy)</f>
        <v/>
      </c>
      <c r="BO12" s="53">
        <f>1+LeaseUpElevationPct*MAX(0,1-'LeaseUp'!BO$10/StabilizedOccupancy)</f>
        <v/>
      </c>
      <c r="BP12" s="53">
        <f>1+LeaseUpElevationPct*MAX(0,1-'LeaseUp'!BP$10/StabilizedOccupancy)</f>
        <v/>
      </c>
      <c r="BQ12" s="53">
        <f>1+LeaseUpElevationPct*MAX(0,1-'LeaseUp'!BQ$10/StabilizedOccupancy)</f>
        <v/>
      </c>
      <c r="BR12" s="53">
        <f>1+LeaseUpElevationPct*MAX(0,1-'LeaseUp'!BR$10/StabilizedOccupancy)</f>
        <v/>
      </c>
      <c r="BS12" s="53">
        <f>1+LeaseUpElevationPct*MAX(0,1-'LeaseUp'!BS$10/StabilizedOccupancy)</f>
        <v/>
      </c>
      <c r="BT12" s="53">
        <f>1+LeaseUpElevationPct*MAX(0,1-'LeaseUp'!BT$10/StabilizedOccupancy)</f>
        <v/>
      </c>
      <c r="BU12" s="53">
        <f>1+LeaseUpElevationPct*MAX(0,1-'LeaseUp'!BU$10/StabilizedOccupancy)</f>
        <v/>
      </c>
      <c r="BV12" s="53">
        <f>1+LeaseUpElevationPct*MAX(0,1-'LeaseUp'!BV$10/StabilizedOccupancy)</f>
        <v/>
      </c>
      <c r="BW12" s="53">
        <f>1+LeaseUpElevationPct*MAX(0,1-'LeaseUp'!BW$10/StabilizedOccupancy)</f>
        <v/>
      </c>
      <c r="BX12" s="53">
        <f>1+LeaseUpElevationPct*MAX(0,1-'LeaseUp'!BX$10/StabilizedOccupancy)</f>
        <v/>
      </c>
      <c r="BY12" s="53">
        <f>1+LeaseUpElevationPct*MAX(0,1-'LeaseUp'!BY$10/StabilizedOccupancy)</f>
        <v/>
      </c>
      <c r="BZ12" s="53">
        <f>1+LeaseUpElevationPct*MAX(0,1-'LeaseUp'!BZ$10/StabilizedOccupancy)</f>
        <v/>
      </c>
      <c r="CA12" s="53">
        <f>1+LeaseUpElevationPct*MAX(0,1-'LeaseUp'!CA$10/StabilizedOccupancy)</f>
        <v/>
      </c>
      <c r="CB12" s="53">
        <f>1+LeaseUpElevationPct*MAX(0,1-'LeaseUp'!CB$10/StabilizedOccupancy)</f>
        <v/>
      </c>
      <c r="CC12" s="53">
        <f>1+LeaseUpElevationPct*MAX(0,1-'LeaseUp'!CC$10/StabilizedOccupancy)</f>
        <v/>
      </c>
      <c r="CD12" s="53">
        <f>1+LeaseUpElevationPct*MAX(0,1-'LeaseUp'!CD$10/StabilizedOccupancy)</f>
        <v/>
      </c>
      <c r="CE12" s="53">
        <f>1+LeaseUpElevationPct*MAX(0,1-'LeaseUp'!CE$10/StabilizedOccupancy)</f>
        <v/>
      </c>
      <c r="CF12" s="53">
        <f>1+LeaseUpElevationPct*MAX(0,1-'LeaseUp'!CF$10/StabilizedOccupancy)</f>
        <v/>
      </c>
      <c r="CG12" s="53">
        <f>1+LeaseUpElevationPct*MAX(0,1-'LeaseUp'!CG$10/StabilizedOccupancy)</f>
        <v/>
      </c>
      <c r="CH12" s="53">
        <f>1+LeaseUpElevationPct*MAX(0,1-'LeaseUp'!CH$10/StabilizedOccupancy)</f>
        <v/>
      </c>
      <c r="CI12" s="53">
        <f>1+LeaseUpElevationPct*MAX(0,1-'LeaseUp'!CI$10/StabilizedOccupancy)</f>
        <v/>
      </c>
      <c r="CJ12" s="53">
        <f>1+LeaseUpElevationPct*MAX(0,1-'LeaseUp'!CJ$10/StabilizedOccupancy)</f>
        <v/>
      </c>
      <c r="CK12" s="53">
        <f>1+LeaseUpElevationPct*MAX(0,1-'LeaseUp'!CK$10/StabilizedOccupancy)</f>
        <v/>
      </c>
      <c r="CL12" s="53">
        <f>1+LeaseUpElevationPct*MAX(0,1-'LeaseUp'!CL$10/StabilizedOccupancy)</f>
        <v/>
      </c>
      <c r="CM12" s="53">
        <f>1+LeaseUpElevationPct*MAX(0,1-'LeaseUp'!CM$10/StabilizedOccupancy)</f>
        <v/>
      </c>
      <c r="CN12" s="53">
        <f>1+LeaseUpElevationPct*MAX(0,1-'LeaseUp'!CN$10/StabilizedOccupancy)</f>
        <v/>
      </c>
      <c r="CO12" s="53">
        <f>1+LeaseUpElevationPct*MAX(0,1-'LeaseUp'!CO$10/StabilizedOccupancy)</f>
        <v/>
      </c>
      <c r="CP12" s="53">
        <f>1+LeaseUpElevationPct*MAX(0,1-'LeaseUp'!CP$10/StabilizedOccupancy)</f>
        <v/>
      </c>
      <c r="CQ12" s="53">
        <f>1+LeaseUpElevationPct*MAX(0,1-'LeaseUp'!CQ$10/StabilizedOccupancy)</f>
        <v/>
      </c>
      <c r="CR12" s="53">
        <f>1+LeaseUpElevationPct*MAX(0,1-'LeaseUp'!CR$10/StabilizedOccupancy)</f>
        <v/>
      </c>
      <c r="CS12" s="53">
        <f>1+LeaseUpElevationPct*MAX(0,1-'LeaseUp'!CS$10/StabilizedOccupancy)</f>
        <v/>
      </c>
      <c r="CT12" s="53">
        <f>1+LeaseUpElevationPct*MAX(0,1-'LeaseUp'!CT$10/StabilizedOccupancy)</f>
        <v/>
      </c>
      <c r="CU12" s="53">
        <f>1+LeaseUpElevationPct*MAX(0,1-'LeaseUp'!CU$10/StabilizedOccupancy)</f>
        <v/>
      </c>
      <c r="CV12" s="53">
        <f>1+LeaseUpElevationPct*MAX(0,1-'LeaseUp'!CV$10/StabilizedOccupancy)</f>
        <v/>
      </c>
      <c r="CW12" s="53">
        <f>1+LeaseUpElevationPct*MAX(0,1-'LeaseUp'!CW$10/StabilizedOccupancy)</f>
        <v/>
      </c>
      <c r="CX12" s="53">
        <f>1+LeaseUpElevationPct*MAX(0,1-'LeaseUp'!CX$10/StabilizedOccupancy)</f>
        <v/>
      </c>
      <c r="CY12" s="53">
        <f>1+LeaseUpElevationPct*MAX(0,1-'LeaseUp'!CY$10/StabilizedOccupancy)</f>
        <v/>
      </c>
      <c r="CZ12" s="53">
        <f>1+LeaseUpElevationPct*MAX(0,1-'LeaseUp'!CZ$10/StabilizedOccupancy)</f>
        <v/>
      </c>
      <c r="DA12" s="53">
        <f>1+LeaseUpElevationPct*MAX(0,1-'LeaseUp'!DA$10/StabilizedOccupancy)</f>
        <v/>
      </c>
      <c r="DB12" s="53">
        <f>1+LeaseUpElevationPct*MAX(0,1-'LeaseUp'!DB$10/StabilizedOccupancy)</f>
        <v/>
      </c>
      <c r="DC12" s="53">
        <f>1+LeaseUpElevationPct*MAX(0,1-'LeaseUp'!DC$10/StabilizedOccupancy)</f>
        <v/>
      </c>
      <c r="DD12" s="53">
        <f>1+LeaseUpElevationPct*MAX(0,1-'LeaseUp'!DD$10/StabilizedOccupancy)</f>
        <v/>
      </c>
      <c r="DE12" s="53">
        <f>1+LeaseUpElevationPct*MAX(0,1-'LeaseUp'!DE$10/StabilizedOccupancy)</f>
        <v/>
      </c>
      <c r="DF12" s="53">
        <f>1+LeaseUpElevationPct*MAX(0,1-'LeaseUp'!DF$10/StabilizedOccupancy)</f>
        <v/>
      </c>
      <c r="DG12" s="53">
        <f>1+LeaseUpElevationPct*MAX(0,1-'LeaseUp'!DG$10/StabilizedOccupancy)</f>
        <v/>
      </c>
      <c r="DH12" s="53">
        <f>1+LeaseUpElevationPct*MAX(0,1-'LeaseUp'!DH$10/StabilizedOccupancy)</f>
        <v/>
      </c>
      <c r="DI12" s="53">
        <f>1+LeaseUpElevationPct*MAX(0,1-'LeaseUp'!DI$10/StabilizedOccupancy)</f>
        <v/>
      </c>
      <c r="DJ12" s="53">
        <f>1+LeaseUpElevationPct*MAX(0,1-'LeaseUp'!DJ$10/StabilizedOccupancy)</f>
        <v/>
      </c>
      <c r="DK12" s="53">
        <f>1+LeaseUpElevationPct*MAX(0,1-'LeaseUp'!DK$10/StabilizedOccupancy)</f>
        <v/>
      </c>
      <c r="DL12" s="53">
        <f>1+LeaseUpElevationPct*MAX(0,1-'LeaseUp'!DL$10/StabilizedOccupancy)</f>
        <v/>
      </c>
      <c r="DM12" s="53">
        <f>1+LeaseUpElevationPct*MAX(0,1-'LeaseUp'!DM$10/StabilizedOccupancy)</f>
        <v/>
      </c>
      <c r="DN12" s="53">
        <f>1+LeaseUpElevationPct*MAX(0,1-'LeaseUp'!DN$10/StabilizedOccupancy)</f>
        <v/>
      </c>
      <c r="DO12" s="53">
        <f>1+LeaseUpElevationPct*MAX(0,1-'LeaseUp'!DO$10/StabilizedOccupancy)</f>
        <v/>
      </c>
      <c r="DP12" s="53">
        <f>1+LeaseUpElevationPct*MAX(0,1-'LeaseUp'!DP$10/StabilizedOccupancy)</f>
        <v/>
      </c>
      <c r="DQ12" s="53">
        <f>1+LeaseUpElevationPct*MAX(0,1-'LeaseUp'!DQ$10/StabilizedOccupancy)</f>
        <v/>
      </c>
      <c r="DR12" s="53">
        <f>1+LeaseUpElevationPct*MAX(0,1-'LeaseUp'!DR$10/StabilizedOccupancy)</f>
        <v/>
      </c>
      <c r="DS12" s="53">
        <f>1+LeaseUpElevationPct*MAX(0,1-'LeaseUp'!DS$10/StabilizedOccupancy)</f>
        <v/>
      </c>
      <c r="DT12" s="53">
        <f>1+LeaseUpElevationPct*MAX(0,1-'LeaseUp'!DT$10/StabilizedOccupancy)</f>
        <v/>
      </c>
      <c r="DU12" s="53">
        <f>1+LeaseUpElevationPct*MAX(0,1-'LeaseUp'!DU$10/StabilizedOccupancy)</f>
        <v/>
      </c>
      <c r="DV12" s="53">
        <f>1+LeaseUpElevationPct*MAX(0,1-'LeaseUp'!DV$10/StabilizedOccupancy)</f>
        <v/>
      </c>
      <c r="DW12" s="53">
        <f>1+LeaseUpElevationPct*MAX(0,1-'LeaseUp'!DW$10/StabilizedOccupancy)</f>
        <v/>
      </c>
      <c r="DX12" s="53">
        <f>1+LeaseUpElevationPct*MAX(0,1-'LeaseUp'!DX$10/StabilizedOccupancy)</f>
        <v/>
      </c>
      <c r="DY12" s="53">
        <f>1+LeaseUpElevationPct*MAX(0,1-'LeaseUp'!DY$10/StabilizedOccupancy)</f>
        <v/>
      </c>
      <c r="DZ12" s="53">
        <f>1+LeaseUpElevationPct*MAX(0,1-'LeaseUp'!DZ$10/StabilizedOccupancy)</f>
        <v/>
      </c>
      <c r="EA12" s="53">
        <f>1+LeaseUpElevationPct*MAX(0,1-'LeaseUp'!EA$10/StabilizedOccupancy)</f>
        <v/>
      </c>
      <c r="EB12" s="53">
        <f>1+LeaseUpElevationPct*MAX(0,1-'LeaseUp'!EB$10/StabilizedOccupancy)</f>
        <v/>
      </c>
      <c r="EC12" s="53">
        <f>1+LeaseUpElevationPct*MAX(0,1-'LeaseUp'!EC$10/StabilizedOccupancy)</f>
        <v/>
      </c>
      <c r="ED12" s="53">
        <f>1+LeaseUpElevationPct*MAX(0,1-'LeaseUp'!ED$10/StabilizedOccupancy)</f>
        <v/>
      </c>
      <c r="EE12" s="53">
        <f>1+LeaseUpElevationPct*MAX(0,1-'LeaseUp'!EE$10/StabilizedOccupancy)</f>
        <v/>
      </c>
      <c r="EF12" s="53">
        <f>1+LeaseUpElevationPct*MAX(0,1-'LeaseUp'!EF$10/StabilizedOccupancy)</f>
        <v/>
      </c>
      <c r="EG12" s="53">
        <f>1+LeaseUpElevationPct*MAX(0,1-'LeaseUp'!EG$10/StabilizedOccupancy)</f>
        <v/>
      </c>
      <c r="EH12" s="53">
        <f>1+LeaseUpElevationPct*MAX(0,1-'LeaseUp'!EH$10/StabilizedOccupancy)</f>
        <v/>
      </c>
      <c r="EI12" s="53">
        <f>1+LeaseUpElevationPct*MAX(0,1-'LeaseUp'!EI$10/StabilizedOccupancy)</f>
        <v/>
      </c>
      <c r="EJ12" s="53">
        <f>1+LeaseUpElevationPct*MAX(0,1-'LeaseUp'!EJ$10/StabilizedOccupancy)</f>
        <v/>
      </c>
      <c r="EK12" s="53">
        <f>1+LeaseUpElevationPct*MAX(0,1-'LeaseUp'!EK$10/StabilizedOccupancy)</f>
        <v/>
      </c>
      <c r="EL12" s="53">
        <f>1+LeaseUpElevationPct*MAX(0,1-'LeaseUp'!EL$10/StabilizedOccupancy)</f>
        <v/>
      </c>
      <c r="EM12" s="53">
        <f>1+LeaseUpElevationPct*MAX(0,1-'LeaseUp'!EM$10/StabilizedOccupancy)</f>
        <v/>
      </c>
      <c r="EN12" s="53">
        <f>1+LeaseUpElevationPct*MAX(0,1-'LeaseUp'!EN$10/StabilizedOccupancy)</f>
        <v/>
      </c>
      <c r="EO12" s="53">
        <f>1+LeaseUpElevationPct*MAX(0,1-'LeaseUp'!EO$10/StabilizedOccupancy)</f>
        <v/>
      </c>
      <c r="EP12" s="53">
        <f>1+LeaseUpElevationPct*MAX(0,1-'LeaseUp'!EP$10/StabilizedOccupancy)</f>
        <v/>
      </c>
      <c r="EQ12" s="53">
        <f>1+LeaseUpElevationPct*MAX(0,1-'LeaseUp'!EQ$10/StabilizedOccupancy)</f>
        <v/>
      </c>
      <c r="ER12" s="53">
        <f>1+LeaseUpElevationPct*MAX(0,1-'LeaseUp'!ER$10/StabilizedOccupancy)</f>
        <v/>
      </c>
      <c r="ES12" s="53">
        <f>1+LeaseUpElevationPct*MAX(0,1-'LeaseUp'!ES$10/StabilizedOccupancy)</f>
        <v/>
      </c>
      <c r="ET12" s="53">
        <f>1+LeaseUpElevationPct*MAX(0,1-'LeaseUp'!ET$10/StabilizedOccupancy)</f>
        <v/>
      </c>
      <c r="EU12" s="53">
        <f>1+LeaseUpElevationPct*MAX(0,1-'LeaseUp'!EU$10/StabilizedOccupancy)</f>
        <v/>
      </c>
      <c r="EV12" s="53">
        <f>1+LeaseUpElevationPct*MAX(0,1-'LeaseUp'!EV$10/StabilizedOccupancy)</f>
        <v/>
      </c>
      <c r="EW12" s="53">
        <f>1+LeaseUpElevationPct*MAX(0,1-'LeaseUp'!EW$10/StabilizedOccupancy)</f>
        <v/>
      </c>
      <c r="EX12" s="53">
        <f>1+LeaseUpElevationPct*MAX(0,1-'LeaseUp'!EX$10/StabilizedOccupancy)</f>
        <v/>
      </c>
      <c r="EY12" s="53">
        <f>1+LeaseUpElevationPct*MAX(0,1-'LeaseUp'!EY$10/StabilizedOccupancy)</f>
        <v/>
      </c>
      <c r="EZ12" s="53">
        <f>1+LeaseUpElevationPct*MAX(0,1-'LeaseUp'!EZ$10/StabilizedOccupancy)</f>
        <v/>
      </c>
      <c r="FA12" s="53">
        <f>1+LeaseUpElevationPct*MAX(0,1-'LeaseUp'!FA$10/StabilizedOccupancy)</f>
        <v/>
      </c>
      <c r="FB12" s="53">
        <f>1+LeaseUpElevationPct*MAX(0,1-'LeaseUp'!FB$10/StabilizedOccupancy)</f>
        <v/>
      </c>
      <c r="FC12" s="53">
        <f>1+LeaseUpElevationPct*MAX(0,1-'LeaseUp'!FC$10/StabilizedOccupancy)</f>
        <v/>
      </c>
      <c r="FD12" s="53">
        <f>1+LeaseUpElevationPct*MAX(0,1-'LeaseUp'!FD$10/StabilizedOccupancy)</f>
        <v/>
      </c>
      <c r="FE12" s="53">
        <f>1+LeaseUpElevationPct*MAX(0,1-'LeaseUp'!FE$10/StabilizedOccupancy)</f>
        <v/>
      </c>
      <c r="FF12" s="53">
        <f>1+LeaseUpElevationPct*MAX(0,1-'LeaseUp'!FF$10/StabilizedOccupancy)</f>
        <v/>
      </c>
      <c r="FG12" s="53">
        <f>1+LeaseUpElevationPct*MAX(0,1-'LeaseUp'!FG$10/StabilizedOccupancy)</f>
        <v/>
      </c>
      <c r="FH12" s="53">
        <f>1+LeaseUpElevationPct*MAX(0,1-'LeaseUp'!FH$10/StabilizedOccupancy)</f>
        <v/>
      </c>
      <c r="FI12" s="53">
        <f>1+LeaseUpElevationPct*MAX(0,1-'LeaseUp'!FI$10/StabilizedOccupancy)</f>
        <v/>
      </c>
      <c r="FJ12" s="53">
        <f>1+LeaseUpElevationPct*MAX(0,1-'LeaseUp'!FJ$10/StabilizedOccupancy)</f>
        <v/>
      </c>
      <c r="FK12" s="53">
        <f>1+LeaseUpElevationPct*MAX(0,1-'LeaseUp'!FK$10/StabilizedOccupancy)</f>
        <v/>
      </c>
      <c r="FL12" s="53">
        <f>1+LeaseUpElevationPct*MAX(0,1-'LeaseUp'!FL$10/StabilizedOccupancy)</f>
        <v/>
      </c>
      <c r="FM12" s="53">
        <f>1+LeaseUpElevationPct*MAX(0,1-'LeaseUp'!FM$10/StabilizedOccupancy)</f>
        <v/>
      </c>
      <c r="FN12" s="53">
        <f>1+LeaseUpElevationPct*MAX(0,1-'LeaseUp'!FN$10/StabilizedOccupancy)</f>
        <v/>
      </c>
      <c r="FO12" s="53">
        <f>1+LeaseUpElevationPct*MAX(0,1-'LeaseUp'!FO$10/StabilizedOccupancy)</f>
        <v/>
      </c>
      <c r="FP12" s="53">
        <f>1+LeaseUpElevationPct*MAX(0,1-'LeaseUp'!FP$10/StabilizedOccupancy)</f>
        <v/>
      </c>
      <c r="FQ12" s="53">
        <f>1+LeaseUpElevationPct*MAX(0,1-'LeaseUp'!FQ$10/StabilizedOccupancy)</f>
        <v/>
      </c>
      <c r="FR12" s="53">
        <f>1+LeaseUpElevationPct*MAX(0,1-'LeaseUp'!FR$10/StabilizedOccupancy)</f>
        <v/>
      </c>
      <c r="FS12" s="53">
        <f>1+LeaseUpElevationPct*MAX(0,1-'LeaseUp'!FS$10/StabilizedOccupancy)</f>
        <v/>
      </c>
      <c r="FT12" s="53">
        <f>1+LeaseUpElevationPct*MAX(0,1-'LeaseUp'!FT$10/StabilizedOccupancy)</f>
        <v/>
      </c>
      <c r="FU12" s="53">
        <f>1+LeaseUpElevationPct*MAX(0,1-'LeaseUp'!FU$10/StabilizedOccupancy)</f>
        <v/>
      </c>
      <c r="FV12" s="53">
        <f>1+LeaseUpElevationPct*MAX(0,1-'LeaseUp'!FV$10/StabilizedOccupancy)</f>
        <v/>
      </c>
      <c r="FW12" s="53">
        <f>1+LeaseUpElevationPct*MAX(0,1-'LeaseUp'!FW$10/StabilizedOccupancy)</f>
        <v/>
      </c>
      <c r="FX12" s="53">
        <f>1+LeaseUpElevationPct*MAX(0,1-'LeaseUp'!FX$10/StabilizedOccupancy)</f>
        <v/>
      </c>
      <c r="FY12" s="53">
        <f>1+LeaseUpElevationPct*MAX(0,1-'LeaseUp'!FY$10/StabilizedOccupancy)</f>
        <v/>
      </c>
      <c r="FZ12" s="53">
        <f>1+LeaseUpElevationPct*MAX(0,1-'LeaseUp'!FZ$10/StabilizedOccupancy)</f>
        <v/>
      </c>
      <c r="GA12" s="53">
        <f>1+LeaseUpElevationPct*MAX(0,1-'LeaseUp'!GA$10/StabilizedOccupancy)</f>
        <v/>
      </c>
      <c r="GB12" s="53">
        <f>1+LeaseUpElevationPct*MAX(0,1-'LeaseUp'!GB$10/StabilizedOccupancy)</f>
        <v/>
      </c>
      <c r="GC12" s="53">
        <f>1+LeaseUpElevationPct*MAX(0,1-'LeaseUp'!GC$10/StabilizedOccupancy)</f>
        <v/>
      </c>
      <c r="GD12" s="53">
        <f>1+LeaseUpElevationPct*MAX(0,1-'LeaseUp'!GD$10/StabilizedOccupancy)</f>
        <v/>
      </c>
      <c r="GE12" s="53">
        <f>1+LeaseUpElevationPct*MAX(0,1-'LeaseUp'!GE$10/StabilizedOccupancy)</f>
        <v/>
      </c>
      <c r="GF12" s="53">
        <f>1+LeaseUpElevationPct*MAX(0,1-'LeaseUp'!GF$10/StabilizedOccupancy)</f>
        <v/>
      </c>
      <c r="GG12" s="53">
        <f>1+LeaseUpElevationPct*MAX(0,1-'LeaseUp'!GG$10/StabilizedOccupancy)</f>
        <v/>
      </c>
      <c r="GH12" s="53">
        <f>1+LeaseUpElevationPct*MAX(0,1-'LeaseUp'!GH$10/StabilizedOccupancy)</f>
        <v/>
      </c>
      <c r="GI12" s="53">
        <f>1+LeaseUpElevationPct*MAX(0,1-'LeaseUp'!GI$10/StabilizedOccupancy)</f>
        <v/>
      </c>
      <c r="GJ12" s="53">
        <f>1+LeaseUpElevationPct*MAX(0,1-'LeaseUp'!GJ$10/StabilizedOccupancy)</f>
        <v/>
      </c>
      <c r="GK12" s="53">
        <f>1+LeaseUpElevationPct*MAX(0,1-'LeaseUp'!GK$10/StabilizedOccupancy)</f>
        <v/>
      </c>
      <c r="GL12" s="53">
        <f>1+LeaseUpElevationPct*MAX(0,1-'LeaseUp'!GL$10/StabilizedOccupancy)</f>
        <v/>
      </c>
      <c r="GM12" s="53">
        <f>1+LeaseUpElevationPct*MAX(0,1-'LeaseUp'!GM$10/StabilizedOccupancy)</f>
        <v/>
      </c>
      <c r="GN12" s="53">
        <f>1+LeaseUpElevationPct*MAX(0,1-'LeaseUp'!GN$10/StabilizedOccupancy)</f>
        <v/>
      </c>
      <c r="GO12" s="53">
        <f>1+LeaseUpElevationPct*MAX(0,1-'LeaseUp'!GO$10/StabilizedOccupancy)</f>
        <v/>
      </c>
      <c r="GP12" s="53">
        <f>1+LeaseUpElevationPct*MAX(0,1-'LeaseUp'!GP$10/StabilizedOccupancy)</f>
        <v/>
      </c>
      <c r="GQ12" s="53">
        <f>1+LeaseUpElevationPct*MAX(0,1-'LeaseUp'!GQ$10/StabilizedOccupancy)</f>
        <v/>
      </c>
      <c r="GR12" s="53">
        <f>1+LeaseUpElevationPct*MAX(0,1-'LeaseUp'!GR$10/StabilizedOccupancy)</f>
        <v/>
      </c>
      <c r="GS12" s="53">
        <f>1+LeaseUpElevationPct*MAX(0,1-'LeaseUp'!GS$10/StabilizedOccupancy)</f>
        <v/>
      </c>
      <c r="GT12" s="53">
        <f>1+LeaseUpElevationPct*MAX(0,1-'LeaseUp'!GT$10/StabilizedOccupancy)</f>
        <v/>
      </c>
      <c r="GU12" s="53">
        <f>1+LeaseUpElevationPct*MAX(0,1-'LeaseUp'!GU$10/StabilizedOccupancy)</f>
        <v/>
      </c>
      <c r="GV12" s="53">
        <f>1+LeaseUpElevationPct*MAX(0,1-'LeaseUp'!GV$10/StabilizedOccupancy)</f>
        <v/>
      </c>
      <c r="GW12" s="53">
        <f>1+LeaseUpElevationPct*MAX(0,1-'LeaseUp'!GW$10/StabilizedOccupancy)</f>
        <v/>
      </c>
      <c r="GX12" s="53">
        <f>1+LeaseUpElevationPct*MAX(0,1-'LeaseUp'!GX$10/StabilizedOccupancy)</f>
        <v/>
      </c>
      <c r="GY12" s="53">
        <f>1+LeaseUpElevationPct*MAX(0,1-'LeaseUp'!GY$10/StabilizedOccupancy)</f>
        <v/>
      </c>
      <c r="GZ12" s="53">
        <f>1+LeaseUpElevationPct*MAX(0,1-'LeaseUp'!GZ$10/StabilizedOccupancy)</f>
        <v/>
      </c>
      <c r="HA12" s="53">
        <f>1+LeaseUpElevationPct*MAX(0,1-'LeaseUp'!HA$10/StabilizedOccupancy)</f>
        <v/>
      </c>
      <c r="HB12" s="53">
        <f>1+LeaseUpElevationPct*MAX(0,1-'LeaseUp'!HB$10/StabilizedOccupancy)</f>
        <v/>
      </c>
      <c r="HC12" s="53">
        <f>1+LeaseUpElevationPct*MAX(0,1-'LeaseUp'!HC$10/StabilizedOccupancy)</f>
        <v/>
      </c>
      <c r="HD12" s="53">
        <f>1+LeaseUpElevationPct*MAX(0,1-'LeaseUp'!HD$10/StabilizedOccupancy)</f>
        <v/>
      </c>
      <c r="HE12" s="53">
        <f>1+LeaseUpElevationPct*MAX(0,1-'LeaseUp'!HE$10/StabilizedOccupancy)</f>
        <v/>
      </c>
      <c r="HF12" s="53">
        <f>1+LeaseUpElevationPct*MAX(0,1-'LeaseUp'!HF$10/StabilizedOccupancy)</f>
        <v/>
      </c>
      <c r="HG12" s="53">
        <f>1+LeaseUpElevationPct*MAX(0,1-'LeaseUp'!HG$10/StabilizedOccupancy)</f>
        <v/>
      </c>
      <c r="HH12" s="53">
        <f>1+LeaseUpElevationPct*MAX(0,1-'LeaseUp'!HH$10/StabilizedOccupancy)</f>
        <v/>
      </c>
      <c r="HI12" s="53">
        <f>1+LeaseUpElevationPct*MAX(0,1-'LeaseUp'!HI$10/StabilizedOccupancy)</f>
        <v/>
      </c>
      <c r="HJ12" s="53">
        <f>1+LeaseUpElevationPct*MAX(0,1-'LeaseUp'!HJ$10/StabilizedOccupancy)</f>
        <v/>
      </c>
      <c r="HK12" s="53">
        <f>1+LeaseUpElevationPct*MAX(0,1-'LeaseUp'!HK$10/StabilizedOccupancy)</f>
        <v/>
      </c>
      <c r="HL12" s="53">
        <f>1+LeaseUpElevationPct*MAX(0,1-'LeaseUp'!HL$10/StabilizedOccupancy)</f>
        <v/>
      </c>
      <c r="HM12" s="53">
        <f>1+LeaseUpElevationPct*MAX(0,1-'LeaseUp'!HM$10/StabilizedOccupancy)</f>
        <v/>
      </c>
      <c r="HN12" s="53">
        <f>1+LeaseUpElevationPct*MAX(0,1-'LeaseUp'!HN$10/StabilizedOccupancy)</f>
        <v/>
      </c>
      <c r="HO12" s="53">
        <f>1+LeaseUpElevationPct*MAX(0,1-'LeaseUp'!HO$10/StabilizedOccupancy)</f>
        <v/>
      </c>
      <c r="HP12" s="53">
        <f>1+LeaseUpElevationPct*MAX(0,1-'LeaseUp'!HP$10/StabilizedOccupancy)</f>
        <v/>
      </c>
      <c r="HQ12" s="53">
        <f>1+LeaseUpElevationPct*MAX(0,1-'LeaseUp'!HQ$10/StabilizedOccupancy)</f>
        <v/>
      </c>
      <c r="HR12" s="53">
        <f>1+LeaseUpElevationPct*MAX(0,1-'LeaseUp'!HR$10/StabilizedOccupancy)</f>
        <v/>
      </c>
      <c r="HS12" s="53">
        <f>1+LeaseUpElevationPct*MAX(0,1-'LeaseUp'!HS$10/StabilizedOccupancy)</f>
        <v/>
      </c>
      <c r="HT12" s="53">
        <f>1+LeaseUpElevationPct*MAX(0,1-'LeaseUp'!HT$10/StabilizedOccupancy)</f>
        <v/>
      </c>
      <c r="HU12" s="53">
        <f>1+LeaseUpElevationPct*MAX(0,1-'LeaseUp'!HU$10/StabilizedOccupancy)</f>
        <v/>
      </c>
      <c r="HV12" s="53">
        <f>1+LeaseUpElevationPct*MAX(0,1-'LeaseUp'!HV$10/StabilizedOccupancy)</f>
        <v/>
      </c>
      <c r="HW12" s="53">
        <f>1+LeaseUpElevationPct*MAX(0,1-'LeaseUp'!HW$10/StabilizedOccupancy)</f>
        <v/>
      </c>
      <c r="HX12" s="53">
        <f>1+LeaseUpElevationPct*MAX(0,1-'LeaseUp'!HX$10/StabilizedOccupancy)</f>
        <v/>
      </c>
      <c r="HY12" s="53">
        <f>1+LeaseUpElevationPct*MAX(0,1-'LeaseUp'!HY$10/StabilizedOccupancy)</f>
        <v/>
      </c>
      <c r="HZ12" s="53">
        <f>1+LeaseUpElevationPct*MAX(0,1-'LeaseUp'!HZ$10/StabilizedOccupancy)</f>
        <v/>
      </c>
      <c r="IA12" s="53">
        <f>1+LeaseUpElevationPct*MAX(0,1-'LeaseUp'!IA$10/StabilizedOccupancy)</f>
        <v/>
      </c>
      <c r="IB12" s="53">
        <f>1+LeaseUpElevationPct*MAX(0,1-'LeaseUp'!IB$10/StabilizedOccupancy)</f>
        <v/>
      </c>
      <c r="IC12" s="53">
        <f>1+LeaseUpElevationPct*MAX(0,1-'LeaseUp'!IC$10/StabilizedOccupancy)</f>
        <v/>
      </c>
      <c r="ID12" s="53">
        <f>1+LeaseUpElevationPct*MAX(0,1-'LeaseUp'!ID$10/StabilizedOccupancy)</f>
        <v/>
      </c>
      <c r="IE12" s="53">
        <f>1+LeaseUpElevationPct*MAX(0,1-'LeaseUp'!IE$10/StabilizedOccupancy)</f>
        <v/>
      </c>
      <c r="IF12" s="53">
        <f>1+LeaseUpElevationPct*MAX(0,1-'LeaseUp'!IF$10/StabilizedOccupancy)</f>
        <v/>
      </c>
      <c r="IG12" s="53">
        <f>1+LeaseUpElevationPct*MAX(0,1-'LeaseUp'!IG$10/StabilizedOccupancy)</f>
        <v/>
      </c>
      <c r="IH12" s="53">
        <f>1+LeaseUpElevationPct*MAX(0,1-'LeaseUp'!IH$10/StabilizedOccupancy)</f>
        <v/>
      </c>
      <c r="II12" s="53">
        <f>1+LeaseUpElevationPct*MAX(0,1-'LeaseUp'!II$10/StabilizedOccupancy)</f>
        <v/>
      </c>
      <c r="IJ12" s="53">
        <f>1+LeaseUpElevationPct*MAX(0,1-'LeaseUp'!IJ$10/StabilizedOccupancy)</f>
        <v/>
      </c>
      <c r="IK12" s="53">
        <f>1+LeaseUpElevationPct*MAX(0,1-'LeaseUp'!IK$10/StabilizedOccupancy)</f>
        <v/>
      </c>
      <c r="IL12" s="53">
        <f>1+LeaseUpElevationPct*MAX(0,1-'LeaseUp'!IL$10/StabilizedOccupancy)</f>
        <v/>
      </c>
      <c r="IM12" s="53">
        <f>1+LeaseUpElevationPct*MAX(0,1-'LeaseUp'!IM$10/StabilizedOccupancy)</f>
        <v/>
      </c>
      <c r="IN12" s="53">
        <f>1+LeaseUpElevationPct*MAX(0,1-'LeaseUp'!IN$10/StabilizedOccupancy)</f>
        <v/>
      </c>
      <c r="IO12" s="53">
        <f>1+LeaseUpElevationPct*MAX(0,1-'LeaseUp'!IO$10/StabilizedOccupancy)</f>
        <v/>
      </c>
      <c r="IP12" s="53">
        <f>1+LeaseUpElevationPct*MAX(0,1-'LeaseUp'!IP$10/StabilizedOccupancy)</f>
        <v/>
      </c>
      <c r="IQ12" s="53">
        <f>1+LeaseUpElevationPct*MAX(0,1-'LeaseUp'!IQ$10/StabilizedOccupancy)</f>
        <v/>
      </c>
      <c r="IR12" s="53">
        <f>1+LeaseUpElevationPct*MAX(0,1-'LeaseUp'!IR$10/StabilizedOccupancy)</f>
        <v/>
      </c>
      <c r="IS12" s="53">
        <f>1+LeaseUpElevationPct*MAX(0,1-'LeaseUp'!IS$10/StabilizedOccupancy)</f>
        <v/>
      </c>
      <c r="IT12" s="53">
        <f>1+LeaseUpElevationPct*MAX(0,1-'LeaseUp'!IT$10/StabilizedOccupancy)</f>
        <v/>
      </c>
      <c r="IU12" s="53">
        <f>1+LeaseUpElevationPct*MAX(0,1-'LeaseUp'!IU$10/StabilizedOccupancy)</f>
        <v/>
      </c>
      <c r="IV12" s="53">
        <f>1+LeaseUpElevationPct*MAX(0,1-'LeaseUp'!IV$10/StabilizedOccupancy)</f>
        <v/>
      </c>
      <c r="IW12" s="53">
        <f>1+LeaseUpElevationPct*MAX(0,1-'LeaseUp'!IW$10/StabilizedOccupancy)</f>
        <v/>
      </c>
      <c r="IX12" s="53">
        <f>1+LeaseUpElevationPct*MAX(0,1-'LeaseUp'!IX$10/StabilizedOccupancy)</f>
        <v/>
      </c>
      <c r="IY12" s="53">
        <f>1+LeaseUpElevationPct*MAX(0,1-'LeaseUp'!IY$10/StabilizedOccupancy)</f>
        <v/>
      </c>
      <c r="IZ12" s="53">
        <f>1+LeaseUpElevationPct*MAX(0,1-'LeaseUp'!IZ$10/StabilizedOccupancy)</f>
        <v/>
      </c>
      <c r="JA12" s="53">
        <f>1+LeaseUpElevationPct*MAX(0,1-'LeaseUp'!JA$10/StabilizedOccupancy)</f>
        <v/>
      </c>
      <c r="JB12" s="53">
        <f>1+LeaseUpElevationPct*MAX(0,1-'LeaseUp'!JB$10/StabilizedOccupancy)</f>
        <v/>
      </c>
      <c r="JC12" s="53">
        <f>1+LeaseUpElevationPct*MAX(0,1-'LeaseUp'!JC$10/StabilizedOccupancy)</f>
        <v/>
      </c>
      <c r="JD12" s="53">
        <f>1+LeaseUpElevationPct*MAX(0,1-'LeaseUp'!JD$10/StabilizedOccupancy)</f>
        <v/>
      </c>
      <c r="JE12" s="53">
        <f>1+LeaseUpElevationPct*MAX(0,1-'LeaseUp'!JE$10/StabilizedOccupancy)</f>
        <v/>
      </c>
      <c r="JF12" s="53">
        <f>1+LeaseUpElevationPct*MAX(0,1-'LeaseUp'!JF$10/StabilizedOccupancy)</f>
        <v/>
      </c>
      <c r="JG12" s="53">
        <f>1+LeaseUpElevationPct*MAX(0,1-'LeaseUp'!JG$10/StabilizedOccupancy)</f>
        <v/>
      </c>
      <c r="JH12" s="53">
        <f>1+LeaseUpElevationPct*MAX(0,1-'LeaseUp'!JH$10/StabilizedOccupancy)</f>
        <v/>
      </c>
      <c r="JI12" s="53">
        <f>1+LeaseUpElevationPct*MAX(0,1-'LeaseUp'!JI$10/StabilizedOccupancy)</f>
        <v/>
      </c>
      <c r="JJ12" s="53">
        <f>1+LeaseUpElevationPct*MAX(0,1-'LeaseUp'!JJ$10/StabilizedOccupancy)</f>
        <v/>
      </c>
      <c r="JK12" s="53">
        <f>1+LeaseUpElevationPct*MAX(0,1-'LeaseUp'!JK$10/StabilizedOccupancy)</f>
        <v/>
      </c>
      <c r="JL12" s="53">
        <f>1+LeaseUpElevationPct*MAX(0,1-'LeaseUp'!JL$10/StabilizedOccupancy)</f>
        <v/>
      </c>
      <c r="JM12" s="53">
        <f>1+LeaseUpElevationPct*MAX(0,1-'LeaseUp'!JM$10/StabilizedOccupancy)</f>
        <v/>
      </c>
      <c r="JN12" s="53">
        <f>1+LeaseUpElevationPct*MAX(0,1-'LeaseUp'!JN$10/StabilizedOccupancy)</f>
        <v/>
      </c>
      <c r="JO12" s="53">
        <f>1+LeaseUpElevationPct*MAX(0,1-'LeaseUp'!JO$10/StabilizedOccupancy)</f>
        <v/>
      </c>
      <c r="JP12" s="53">
        <f>1+LeaseUpElevationPct*MAX(0,1-'LeaseUp'!JP$10/StabilizedOccupancy)</f>
        <v/>
      </c>
      <c r="JQ12" s="53">
        <f>1+LeaseUpElevationPct*MAX(0,1-'LeaseUp'!JQ$10/StabilizedOccupancy)</f>
        <v/>
      </c>
      <c r="JR12" s="53">
        <f>1+LeaseUpElevationPct*MAX(0,1-'LeaseUp'!JR$10/StabilizedOccupancy)</f>
        <v/>
      </c>
      <c r="JS12" s="53">
        <f>1+LeaseUpElevationPct*MAX(0,1-'LeaseUp'!JS$10/StabilizedOccupancy)</f>
        <v/>
      </c>
      <c r="JT12" s="53">
        <f>1+LeaseUpElevationPct*MAX(0,1-'LeaseUp'!JT$10/StabilizedOccupancy)</f>
        <v/>
      </c>
      <c r="JU12" s="53">
        <f>1+LeaseUpElevationPct*MAX(0,1-'LeaseUp'!JU$10/StabilizedOccupancy)</f>
        <v/>
      </c>
      <c r="JV12" s="53">
        <f>1+LeaseUpElevationPct*MAX(0,1-'LeaseUp'!JV$10/StabilizedOccupancy)</f>
        <v/>
      </c>
      <c r="JW12" s="53">
        <f>1+LeaseUpElevationPct*MAX(0,1-'LeaseUp'!JW$10/StabilizedOccupancy)</f>
        <v/>
      </c>
      <c r="JX12" s="53">
        <f>1+LeaseUpElevationPct*MAX(0,1-'LeaseUp'!JX$10/StabilizedOccupancy)</f>
        <v/>
      </c>
      <c r="JY12" s="53">
        <f>1+LeaseUpElevationPct*MAX(0,1-'LeaseUp'!JY$10/StabilizedOccupancy)</f>
        <v/>
      </c>
      <c r="JZ12" s="53">
        <f>1+LeaseUpElevationPct*MAX(0,1-'LeaseUp'!JZ$10/StabilizedOccupancy)</f>
        <v/>
      </c>
      <c r="KA12" s="53">
        <f>1+LeaseUpElevationPct*MAX(0,1-'LeaseUp'!KA$10/StabilizedOccupancy)</f>
        <v/>
      </c>
      <c r="KB12" s="53">
        <f>1+LeaseUpElevationPct*MAX(0,1-'LeaseUp'!KB$10/StabilizedOccupancy)</f>
        <v/>
      </c>
      <c r="KC12" s="53">
        <f>1+LeaseUpElevationPct*MAX(0,1-'LeaseUp'!KC$10/StabilizedOccupancy)</f>
        <v/>
      </c>
      <c r="KD12" s="53">
        <f>1+LeaseUpElevationPct*MAX(0,1-'LeaseUp'!KD$10/StabilizedOccupancy)</f>
        <v/>
      </c>
      <c r="KE12" s="53">
        <f>1+LeaseUpElevationPct*MAX(0,1-'LeaseUp'!KE$10/StabilizedOccupancy)</f>
        <v/>
      </c>
      <c r="KF12" s="53">
        <f>1+LeaseUpElevationPct*MAX(0,1-'LeaseUp'!KF$10/StabilizedOccupancy)</f>
        <v/>
      </c>
      <c r="KG12" s="53">
        <f>1+LeaseUpElevationPct*MAX(0,1-'LeaseUp'!KG$10/StabilizedOccupancy)</f>
        <v/>
      </c>
      <c r="KH12" s="53">
        <f>1+LeaseUpElevationPct*MAX(0,1-'LeaseUp'!KH$10/StabilizedOccupancy)</f>
        <v/>
      </c>
      <c r="KI12" s="53">
        <f>1+LeaseUpElevationPct*MAX(0,1-'LeaseUp'!KI$10/StabilizedOccupancy)</f>
        <v/>
      </c>
      <c r="KJ12" s="53">
        <f>1+LeaseUpElevationPct*MAX(0,1-'LeaseUp'!KJ$10/StabilizedOccupancy)</f>
        <v/>
      </c>
      <c r="KK12" s="53">
        <f>1+LeaseUpElevationPct*MAX(0,1-'LeaseUp'!KK$10/StabilizedOccupancy)</f>
        <v/>
      </c>
      <c r="KL12" s="53">
        <f>1+LeaseUpElevationPct*MAX(0,1-'LeaseUp'!KL$10/StabilizedOccupancy)</f>
        <v/>
      </c>
      <c r="KM12" s="53">
        <f>1+LeaseUpElevationPct*MAX(0,1-'LeaseUp'!KM$10/StabilizedOccupancy)</f>
        <v/>
      </c>
      <c r="KN12" s="53">
        <f>1+LeaseUpElevationPct*MAX(0,1-'LeaseUp'!KN$10/StabilizedOccupancy)</f>
        <v/>
      </c>
      <c r="KO12" s="53">
        <f>1+LeaseUpElevationPct*MAX(0,1-'LeaseUp'!KO$10/StabilizedOccupancy)</f>
        <v/>
      </c>
      <c r="KP12" s="53">
        <f>1+LeaseUpElevationPct*MAX(0,1-'LeaseUp'!KP$10/StabilizedOccupancy)</f>
        <v/>
      </c>
      <c r="KQ12" s="53">
        <f>1+LeaseUpElevationPct*MAX(0,1-'LeaseUp'!KQ$10/StabilizedOccupancy)</f>
        <v/>
      </c>
      <c r="KR12" s="53">
        <f>1+LeaseUpElevationPct*MAX(0,1-'LeaseUp'!KR$10/StabilizedOccupancy)</f>
        <v/>
      </c>
      <c r="KS12" s="53">
        <f>1+LeaseUpElevationPct*MAX(0,1-'LeaseUp'!KS$10/StabilizedOccupancy)</f>
        <v/>
      </c>
      <c r="KT12" s="53">
        <f>1+LeaseUpElevationPct*MAX(0,1-'LeaseUp'!KT$10/StabilizedOccupancy)</f>
        <v/>
      </c>
      <c r="KU12" s="53">
        <f>1+LeaseUpElevationPct*MAX(0,1-'LeaseUp'!KU$10/StabilizedOccupancy)</f>
        <v/>
      </c>
      <c r="KV12" s="53">
        <f>1+LeaseUpElevationPct*MAX(0,1-'LeaseUp'!KV$10/StabilizedOccupancy)</f>
        <v/>
      </c>
      <c r="KW12" s="53">
        <f>1+LeaseUpElevationPct*MAX(0,1-'LeaseUp'!KW$10/StabilizedOccupancy)</f>
        <v/>
      </c>
      <c r="KX12" s="53">
        <f>1+LeaseUpElevationPct*MAX(0,1-'LeaseUp'!KX$10/StabilizedOccupancy)</f>
        <v/>
      </c>
      <c r="KY12" s="53">
        <f>1+LeaseUpElevationPct*MAX(0,1-'LeaseUp'!KY$10/StabilizedOccupancy)</f>
        <v/>
      </c>
      <c r="KZ12" s="53">
        <f>1+LeaseUpElevationPct*MAX(0,1-'LeaseUp'!KZ$10/StabilizedOccupancy)</f>
        <v/>
      </c>
      <c r="LA12" s="53">
        <f>1+LeaseUpElevationPct*MAX(0,1-'LeaseUp'!LA$10/StabilizedOccupancy)</f>
        <v/>
      </c>
      <c r="LB12" s="53">
        <f>1+LeaseUpElevationPct*MAX(0,1-'LeaseUp'!LB$10/StabilizedOccupancy)</f>
        <v/>
      </c>
      <c r="LC12" s="53">
        <f>1+LeaseUpElevationPct*MAX(0,1-'LeaseUp'!LC$10/StabilizedOccupancy)</f>
        <v/>
      </c>
      <c r="LD12" s="53">
        <f>1+LeaseUpElevationPct*MAX(0,1-'LeaseUp'!LD$10/StabilizedOccupancy)</f>
        <v/>
      </c>
      <c r="LE12" s="53">
        <f>1+LeaseUpElevationPct*MAX(0,1-'LeaseUp'!LE$10/StabilizedOccupancy)</f>
        <v/>
      </c>
      <c r="LF12" s="53">
        <f>1+LeaseUpElevationPct*MAX(0,1-'LeaseUp'!LF$10/StabilizedOccupancy)</f>
        <v/>
      </c>
      <c r="LG12" s="53">
        <f>1+LeaseUpElevationPct*MAX(0,1-'LeaseUp'!LG$10/StabilizedOccupancy)</f>
        <v/>
      </c>
      <c r="LH12" s="53">
        <f>1+LeaseUpElevationPct*MAX(0,1-'LeaseUp'!LH$10/StabilizedOccupancy)</f>
        <v/>
      </c>
      <c r="LI12" s="53">
        <f>1+LeaseUpElevationPct*MAX(0,1-'LeaseUp'!LI$10/StabilizedOccupancy)</f>
        <v/>
      </c>
      <c r="LJ12" s="53">
        <f>1+LeaseUpElevationPct*MAX(0,1-'LeaseUp'!LJ$10/StabilizedOccupancy)</f>
        <v/>
      </c>
      <c r="LK12" s="53">
        <f>1+LeaseUpElevationPct*MAX(0,1-'LeaseUp'!LK$10/StabilizedOccupancy)</f>
        <v/>
      </c>
      <c r="LL12" s="53">
        <f>1+LeaseUpElevationPct*MAX(0,1-'LeaseUp'!LL$10/StabilizedOccupancy)</f>
        <v/>
      </c>
      <c r="LM12" s="53">
        <f>1+LeaseUpElevationPct*MAX(0,1-'LeaseUp'!LM$10/StabilizedOccupancy)</f>
        <v/>
      </c>
      <c r="LN12" s="53">
        <f>1+LeaseUpElevationPct*MAX(0,1-'LeaseUp'!LN$10/StabilizedOccupancy)</f>
        <v/>
      </c>
      <c r="LO12" s="53">
        <f>1+LeaseUpElevationPct*MAX(0,1-'LeaseUp'!LO$10/StabilizedOccupancy)</f>
        <v/>
      </c>
      <c r="LP12" s="53">
        <f>1+LeaseUpElevationPct*MAX(0,1-'LeaseUp'!LP$10/StabilizedOccupancy)</f>
        <v/>
      </c>
      <c r="LQ12" s="53">
        <f>1+LeaseUpElevationPct*MAX(0,1-'LeaseUp'!LQ$10/StabilizedOccupancy)</f>
        <v/>
      </c>
      <c r="LR12" s="53">
        <f>1+LeaseUpElevationPct*MAX(0,1-'LeaseUp'!LR$10/StabilizedOccupancy)</f>
        <v/>
      </c>
      <c r="LS12" s="53">
        <f>1+LeaseUpElevationPct*MAX(0,1-'LeaseUp'!LS$10/StabilizedOccupancy)</f>
        <v/>
      </c>
      <c r="LT12" s="53">
        <f>1+LeaseUpElevationPct*MAX(0,1-'LeaseUp'!LT$10/StabilizedOccupancy)</f>
        <v/>
      </c>
      <c r="LU12" s="53">
        <f>1+LeaseUpElevationPct*MAX(0,1-'LeaseUp'!LU$10/StabilizedOccupancy)</f>
        <v/>
      </c>
      <c r="LV12" s="53">
        <f>1+LeaseUpElevationPct*MAX(0,1-'LeaseUp'!LV$10/StabilizedOccupancy)</f>
        <v/>
      </c>
      <c r="LW12" s="53">
        <f>1+LeaseUpElevationPct*MAX(0,1-'LeaseUp'!LW$10/StabilizedOccupancy)</f>
        <v/>
      </c>
      <c r="LX12" s="53">
        <f>1+LeaseUpElevationPct*MAX(0,1-'LeaseUp'!LX$10/StabilizedOccupancy)</f>
        <v/>
      </c>
      <c r="LY12" s="53">
        <f>1+LeaseUpElevationPct*MAX(0,1-'LeaseUp'!LY$10/StabilizedOccupancy)</f>
        <v/>
      </c>
      <c r="LZ12" s="53">
        <f>1+LeaseUpElevationPct*MAX(0,1-'LeaseUp'!LZ$10/StabilizedOccupancy)</f>
        <v/>
      </c>
      <c r="MA12" s="53">
        <f>1+LeaseUpElevationPct*MAX(0,1-'LeaseUp'!MA$10/StabilizedOccupancy)</f>
        <v/>
      </c>
      <c r="MB12" s="53">
        <f>1+LeaseUpElevationPct*MAX(0,1-'LeaseUp'!MB$10/StabilizedOccupancy)</f>
        <v/>
      </c>
      <c r="MC12" s="53">
        <f>1+LeaseUpElevationPct*MAX(0,1-'LeaseUp'!MC$10/StabilizedOccupancy)</f>
        <v/>
      </c>
      <c r="MD12" s="53">
        <f>1+LeaseUpElevationPct*MAX(0,1-'LeaseUp'!MD$10/StabilizedOccupancy)</f>
        <v/>
      </c>
      <c r="ME12" s="53">
        <f>1+LeaseUpElevationPct*MAX(0,1-'LeaseUp'!ME$10/StabilizedOccupancy)</f>
        <v/>
      </c>
      <c r="MF12" s="53">
        <f>1+LeaseUpElevationPct*MAX(0,1-'LeaseUp'!MF$10/StabilizedOccupancy)</f>
        <v/>
      </c>
      <c r="MG12" s="53">
        <f>1+LeaseUpElevationPct*MAX(0,1-'LeaseUp'!MG$10/StabilizedOccupancy)</f>
        <v/>
      </c>
      <c r="MH12" s="53">
        <f>1+LeaseUpElevationPct*MAX(0,1-'LeaseUp'!MH$10/StabilizedOccupancy)</f>
        <v/>
      </c>
      <c r="MI12" s="53">
        <f>1+LeaseUpElevationPct*MAX(0,1-'LeaseUp'!MI$10/StabilizedOccupancy)</f>
        <v/>
      </c>
      <c r="MJ12" s="53">
        <f>1+LeaseUpElevationPct*MAX(0,1-'LeaseUp'!MJ$10/StabilizedOccupancy)</f>
        <v/>
      </c>
      <c r="MK12" s="53">
        <f>1+LeaseUpElevationPct*MAX(0,1-'LeaseUp'!MK$10/StabilizedOccupancy)</f>
        <v/>
      </c>
      <c r="ML12" s="53">
        <f>1+LeaseUpElevationPct*MAX(0,1-'LeaseUp'!ML$10/StabilizedOccupancy)</f>
        <v/>
      </c>
      <c r="MM12" s="53">
        <f>1+LeaseUpElevationPct*MAX(0,1-'LeaseUp'!MM$10/StabilizedOccupancy)</f>
        <v/>
      </c>
      <c r="MN12" s="53">
        <f>1+LeaseUpElevationPct*MAX(0,1-'LeaseUp'!MN$10/StabilizedOccupancy)</f>
        <v/>
      </c>
      <c r="MO12" s="53">
        <f>1+LeaseUpElevationPct*MAX(0,1-'LeaseUp'!MO$10/StabilizedOccupancy)</f>
        <v/>
      </c>
      <c r="MP12" s="53">
        <f>1+LeaseUpElevationPct*MAX(0,1-'LeaseUp'!MP$10/StabilizedOccupancy)</f>
        <v/>
      </c>
      <c r="MQ12" s="53">
        <f>1+LeaseUpElevationPct*MAX(0,1-'LeaseUp'!MQ$10/StabilizedOccupancy)</f>
        <v/>
      </c>
      <c r="MR12" s="53">
        <f>1+LeaseUpElevationPct*MAX(0,1-'LeaseUp'!MR$10/StabilizedOccupancy)</f>
        <v/>
      </c>
      <c r="MS12" s="53">
        <f>1+LeaseUpElevationPct*MAX(0,1-'LeaseUp'!MS$10/StabilizedOccupancy)</f>
        <v/>
      </c>
      <c r="MT12" s="53">
        <f>1+LeaseUpElevationPct*MAX(0,1-'LeaseUp'!MT$10/StabilizedOccupancy)</f>
        <v/>
      </c>
      <c r="MU12" s="53">
        <f>1+LeaseUpElevationPct*MAX(0,1-'LeaseUp'!MU$10/StabilizedOccupancy)</f>
        <v/>
      </c>
      <c r="MV12" s="53">
        <f>1+LeaseUpElevationPct*MAX(0,1-'LeaseUp'!MV$10/StabilizedOccupancy)</f>
        <v/>
      </c>
      <c r="MW12" s="53">
        <f>1+LeaseUpElevationPct*MAX(0,1-'LeaseUp'!MW$10/StabilizedOccupancy)</f>
        <v/>
      </c>
      <c r="MX12" s="53">
        <f>1+LeaseUpElevationPct*MAX(0,1-'LeaseUp'!MX$10/StabilizedOccupancy)</f>
        <v/>
      </c>
      <c r="MY12" s="53">
        <f>1+LeaseUpElevationPct*MAX(0,1-'LeaseUp'!MY$10/StabilizedOccupancy)</f>
        <v/>
      </c>
      <c r="MZ12" s="53">
        <f>1+LeaseUpElevationPct*MAX(0,1-'LeaseUp'!MZ$10/StabilizedOccupancy)</f>
        <v/>
      </c>
      <c r="NA12" s="53">
        <f>1+LeaseUpElevationPct*MAX(0,1-'LeaseUp'!NA$10/StabilizedOccupancy)</f>
        <v/>
      </c>
      <c r="NB12" s="53">
        <f>1+LeaseUpElevationPct*MAX(0,1-'LeaseUp'!NB$10/StabilizedOccupancy)</f>
        <v/>
      </c>
      <c r="NC12" s="53">
        <f>1+LeaseUpElevationPct*MAX(0,1-'LeaseUp'!NC$10/StabilizedOccupancy)</f>
        <v/>
      </c>
      <c r="ND12" s="53">
        <f>1+LeaseUpElevationPct*MAX(0,1-'LeaseUp'!ND$10/StabilizedOccupancy)</f>
        <v/>
      </c>
      <c r="NE12" s="53">
        <f>1+LeaseUpElevationPct*MAX(0,1-'LeaseUp'!NE$10/StabilizedOccupancy)</f>
        <v/>
      </c>
      <c r="NF12" s="53">
        <f>1+LeaseUpElevationPct*MAX(0,1-'LeaseUp'!NF$10/StabilizedOccupancy)</f>
        <v/>
      </c>
      <c r="NG12" s="53">
        <f>1+LeaseUpElevationPct*MAX(0,1-'LeaseUp'!NG$10/StabilizedOccupancy)</f>
        <v/>
      </c>
      <c r="NH12" s="53">
        <f>1+LeaseUpElevationPct*MAX(0,1-'LeaseUp'!NH$10/StabilizedOccupancy)</f>
        <v/>
      </c>
      <c r="NI12" s="53">
        <f>1+LeaseUpElevationPct*MAX(0,1-'LeaseUp'!NI$10/StabilizedOccupancy)</f>
        <v/>
      </c>
      <c r="NJ12" s="53">
        <f>1+LeaseUpElevationPct*MAX(0,1-'LeaseUp'!NJ$10/StabilizedOccupancy)</f>
        <v/>
      </c>
      <c r="NK12" s="53">
        <f>1+LeaseUpElevationPct*MAX(0,1-'LeaseUp'!NK$10/StabilizedOccupancy)</f>
        <v/>
      </c>
    </row>
    <row r="13">
      <c r="A13" s="3" t="inlineStr">
        <is>
          <t>Revenue</t>
        </is>
      </c>
      <c r="B13" s="4" t="n"/>
      <c r="C13" s="4" t="n"/>
    </row>
    <row r="14">
      <c r="A14" s="5" t="inlineStr">
        <is>
          <t>Gross Potential Rent</t>
        </is>
      </c>
      <c r="C14" s="41">
        <f>SUM(D14:NK14)</f>
        <v/>
      </c>
      <c r="D14" s="18">
        <f>IF(1&gt;=DeliverStart,BaseMarketRentMo*D$6+BaseLowRentMo*D$7,0)</f>
        <v/>
      </c>
      <c r="E14" s="18">
        <f>IF(2&gt;=DeliverStart,BaseMarketRentMo*E$6+BaseLowRentMo*E$7,0)</f>
        <v/>
      </c>
      <c r="F14" s="18">
        <f>IF(3&gt;=DeliverStart,BaseMarketRentMo*F$6+BaseLowRentMo*F$7,0)</f>
        <v/>
      </c>
      <c r="G14" s="18">
        <f>IF(4&gt;=DeliverStart,BaseMarketRentMo*G$6+BaseLowRentMo*G$7,0)</f>
        <v/>
      </c>
      <c r="H14" s="18">
        <f>IF(5&gt;=DeliverStart,BaseMarketRentMo*H$6+BaseLowRentMo*H$7,0)</f>
        <v/>
      </c>
      <c r="I14" s="18">
        <f>IF(6&gt;=DeliverStart,BaseMarketRentMo*I$6+BaseLowRentMo*I$7,0)</f>
        <v/>
      </c>
      <c r="J14" s="18">
        <f>IF(7&gt;=DeliverStart,BaseMarketRentMo*J$6+BaseLowRentMo*J$7,0)</f>
        <v/>
      </c>
      <c r="K14" s="18">
        <f>IF(8&gt;=DeliverStart,BaseMarketRentMo*K$6+BaseLowRentMo*K$7,0)</f>
        <v/>
      </c>
      <c r="L14" s="18">
        <f>IF(9&gt;=DeliverStart,BaseMarketRentMo*L$6+BaseLowRentMo*L$7,0)</f>
        <v/>
      </c>
      <c r="M14" s="18">
        <f>IF(10&gt;=DeliverStart,BaseMarketRentMo*M$6+BaseLowRentMo*M$7,0)</f>
        <v/>
      </c>
      <c r="N14" s="18">
        <f>IF(11&gt;=DeliverStart,BaseMarketRentMo*N$6+BaseLowRentMo*N$7,0)</f>
        <v/>
      </c>
      <c r="O14" s="18">
        <f>IF(12&gt;=DeliverStart,BaseMarketRentMo*O$6+BaseLowRentMo*O$7,0)</f>
        <v/>
      </c>
      <c r="P14" s="18">
        <f>IF(13&gt;=DeliverStart,BaseMarketRentMo*P$6+BaseLowRentMo*P$7,0)</f>
        <v/>
      </c>
      <c r="Q14" s="18">
        <f>IF(14&gt;=DeliverStart,BaseMarketRentMo*Q$6+BaseLowRentMo*Q$7,0)</f>
        <v/>
      </c>
      <c r="R14" s="18">
        <f>IF(15&gt;=DeliverStart,BaseMarketRentMo*R$6+BaseLowRentMo*R$7,0)</f>
        <v/>
      </c>
      <c r="S14" s="18">
        <f>IF(16&gt;=DeliverStart,BaseMarketRentMo*S$6+BaseLowRentMo*S$7,0)</f>
        <v/>
      </c>
      <c r="T14" s="18">
        <f>IF(17&gt;=DeliverStart,BaseMarketRentMo*T$6+BaseLowRentMo*T$7,0)</f>
        <v/>
      </c>
      <c r="U14" s="18">
        <f>IF(18&gt;=DeliverStart,BaseMarketRentMo*U$6+BaseLowRentMo*U$7,0)</f>
        <v/>
      </c>
      <c r="V14" s="18">
        <f>IF(19&gt;=DeliverStart,BaseMarketRentMo*V$6+BaseLowRentMo*V$7,0)</f>
        <v/>
      </c>
      <c r="W14" s="18">
        <f>IF(20&gt;=DeliverStart,BaseMarketRentMo*W$6+BaseLowRentMo*W$7,0)</f>
        <v/>
      </c>
      <c r="X14" s="18">
        <f>IF(21&gt;=DeliverStart,BaseMarketRentMo*X$6+BaseLowRentMo*X$7,0)</f>
        <v/>
      </c>
      <c r="Y14" s="18">
        <f>IF(22&gt;=DeliverStart,BaseMarketRentMo*Y$6+BaseLowRentMo*Y$7,0)</f>
        <v/>
      </c>
      <c r="Z14" s="18">
        <f>IF(23&gt;=DeliverStart,BaseMarketRentMo*Z$6+BaseLowRentMo*Z$7,0)</f>
        <v/>
      </c>
      <c r="AA14" s="18">
        <f>IF(24&gt;=DeliverStart,BaseMarketRentMo*AA$6+BaseLowRentMo*AA$7,0)</f>
        <v/>
      </c>
      <c r="AB14" s="18">
        <f>IF(25&gt;=DeliverStart,BaseMarketRentMo*AB$6+BaseLowRentMo*AB$7,0)</f>
        <v/>
      </c>
      <c r="AC14" s="18">
        <f>IF(26&gt;=DeliverStart,BaseMarketRentMo*AC$6+BaseLowRentMo*AC$7,0)</f>
        <v/>
      </c>
      <c r="AD14" s="18">
        <f>IF(27&gt;=DeliverStart,BaseMarketRentMo*AD$6+BaseLowRentMo*AD$7,0)</f>
        <v/>
      </c>
      <c r="AE14" s="18">
        <f>IF(28&gt;=DeliverStart,BaseMarketRentMo*AE$6+BaseLowRentMo*AE$7,0)</f>
        <v/>
      </c>
      <c r="AF14" s="18">
        <f>IF(29&gt;=DeliverStart,BaseMarketRentMo*AF$6+BaseLowRentMo*AF$7,0)</f>
        <v/>
      </c>
      <c r="AG14" s="18">
        <f>IF(30&gt;=DeliverStart,BaseMarketRentMo*AG$6+BaseLowRentMo*AG$7,0)</f>
        <v/>
      </c>
      <c r="AH14" s="18">
        <f>IF(31&gt;=DeliverStart,BaseMarketRentMo*AH$6+BaseLowRentMo*AH$7,0)</f>
        <v/>
      </c>
      <c r="AI14" s="18">
        <f>IF(32&gt;=DeliverStart,BaseMarketRentMo*AI$6+BaseLowRentMo*AI$7,0)</f>
        <v/>
      </c>
      <c r="AJ14" s="18">
        <f>IF(33&gt;=DeliverStart,BaseMarketRentMo*AJ$6+BaseLowRentMo*AJ$7,0)</f>
        <v/>
      </c>
      <c r="AK14" s="18">
        <f>IF(34&gt;=DeliverStart,BaseMarketRentMo*AK$6+BaseLowRentMo*AK$7,0)</f>
        <v/>
      </c>
      <c r="AL14" s="18">
        <f>IF(35&gt;=DeliverStart,BaseMarketRentMo*AL$6+BaseLowRentMo*AL$7,0)</f>
        <v/>
      </c>
      <c r="AM14" s="18">
        <f>IF(36&gt;=DeliverStart,BaseMarketRentMo*AM$6+BaseLowRentMo*AM$7,0)</f>
        <v/>
      </c>
      <c r="AN14" s="18">
        <f>IF(37&gt;=DeliverStart,BaseMarketRentMo*AN$6+BaseLowRentMo*AN$7,0)</f>
        <v/>
      </c>
      <c r="AO14" s="18">
        <f>IF(38&gt;=DeliverStart,BaseMarketRentMo*AO$6+BaseLowRentMo*AO$7,0)</f>
        <v/>
      </c>
      <c r="AP14" s="18">
        <f>IF(39&gt;=DeliverStart,BaseMarketRentMo*AP$6+BaseLowRentMo*AP$7,0)</f>
        <v/>
      </c>
      <c r="AQ14" s="18">
        <f>IF(40&gt;=DeliverStart,BaseMarketRentMo*AQ$6+BaseLowRentMo*AQ$7,0)</f>
        <v/>
      </c>
      <c r="AR14" s="18">
        <f>IF(41&gt;=DeliverStart,BaseMarketRentMo*AR$6+BaseLowRentMo*AR$7,0)</f>
        <v/>
      </c>
      <c r="AS14" s="18">
        <f>IF(42&gt;=DeliverStart,BaseMarketRentMo*AS$6+BaseLowRentMo*AS$7,0)</f>
        <v/>
      </c>
      <c r="AT14" s="18">
        <f>IF(43&gt;=DeliverStart,BaseMarketRentMo*AT$6+BaseLowRentMo*AT$7,0)</f>
        <v/>
      </c>
      <c r="AU14" s="18">
        <f>IF(44&gt;=DeliverStart,BaseMarketRentMo*AU$6+BaseLowRentMo*AU$7,0)</f>
        <v/>
      </c>
      <c r="AV14" s="18">
        <f>IF(45&gt;=DeliverStart,BaseMarketRentMo*AV$6+BaseLowRentMo*AV$7,0)</f>
        <v/>
      </c>
      <c r="AW14" s="18">
        <f>IF(46&gt;=DeliverStart,BaseMarketRentMo*AW$6+BaseLowRentMo*AW$7,0)</f>
        <v/>
      </c>
      <c r="AX14" s="18">
        <f>IF(47&gt;=DeliverStart,BaseMarketRentMo*AX$6+BaseLowRentMo*AX$7,0)</f>
        <v/>
      </c>
      <c r="AY14" s="18">
        <f>IF(48&gt;=DeliverStart,BaseMarketRentMo*AY$6+BaseLowRentMo*AY$7,0)</f>
        <v/>
      </c>
      <c r="AZ14" s="18">
        <f>IF(49&gt;=DeliverStart,BaseMarketRentMo*AZ$6+BaseLowRentMo*AZ$7,0)</f>
        <v/>
      </c>
      <c r="BA14" s="18">
        <f>IF(50&gt;=DeliverStart,BaseMarketRentMo*BA$6+BaseLowRentMo*BA$7,0)</f>
        <v/>
      </c>
      <c r="BB14" s="18">
        <f>IF(51&gt;=DeliverStart,BaseMarketRentMo*BB$6+BaseLowRentMo*BB$7,0)</f>
        <v/>
      </c>
      <c r="BC14" s="18">
        <f>IF(52&gt;=DeliverStart,BaseMarketRentMo*BC$6+BaseLowRentMo*BC$7,0)</f>
        <v/>
      </c>
      <c r="BD14" s="18">
        <f>IF(53&gt;=DeliverStart,BaseMarketRentMo*BD$6+BaseLowRentMo*BD$7,0)</f>
        <v/>
      </c>
      <c r="BE14" s="18">
        <f>IF(54&gt;=DeliverStart,BaseMarketRentMo*BE$6+BaseLowRentMo*BE$7,0)</f>
        <v/>
      </c>
      <c r="BF14" s="18">
        <f>IF(55&gt;=DeliverStart,BaseMarketRentMo*BF$6+BaseLowRentMo*BF$7,0)</f>
        <v/>
      </c>
      <c r="BG14" s="18">
        <f>IF(56&gt;=DeliverStart,BaseMarketRentMo*BG$6+BaseLowRentMo*BG$7,0)</f>
        <v/>
      </c>
      <c r="BH14" s="18">
        <f>IF(57&gt;=DeliverStart,BaseMarketRentMo*BH$6+BaseLowRentMo*BH$7,0)</f>
        <v/>
      </c>
      <c r="BI14" s="18">
        <f>IF(58&gt;=DeliverStart,BaseMarketRentMo*BI$6+BaseLowRentMo*BI$7,0)</f>
        <v/>
      </c>
      <c r="BJ14" s="18">
        <f>IF(59&gt;=DeliverStart,BaseMarketRentMo*BJ$6+BaseLowRentMo*BJ$7,0)</f>
        <v/>
      </c>
      <c r="BK14" s="18">
        <f>IF(60&gt;=DeliverStart,BaseMarketRentMo*BK$6+BaseLowRentMo*BK$7,0)</f>
        <v/>
      </c>
      <c r="BL14" s="18">
        <f>IF(61&gt;=DeliverStart,BaseMarketRentMo*BL$6+BaseLowRentMo*BL$7,0)</f>
        <v/>
      </c>
      <c r="BM14" s="18">
        <f>IF(62&gt;=DeliverStart,BaseMarketRentMo*BM$6+BaseLowRentMo*BM$7,0)</f>
        <v/>
      </c>
      <c r="BN14" s="18">
        <f>IF(63&gt;=DeliverStart,BaseMarketRentMo*BN$6+BaseLowRentMo*BN$7,0)</f>
        <v/>
      </c>
      <c r="BO14" s="18">
        <f>IF(64&gt;=DeliverStart,BaseMarketRentMo*BO$6+BaseLowRentMo*BO$7,0)</f>
        <v/>
      </c>
      <c r="BP14" s="18">
        <f>IF(65&gt;=DeliverStart,BaseMarketRentMo*BP$6+BaseLowRentMo*BP$7,0)</f>
        <v/>
      </c>
      <c r="BQ14" s="18">
        <f>IF(66&gt;=DeliverStart,BaseMarketRentMo*BQ$6+BaseLowRentMo*BQ$7,0)</f>
        <v/>
      </c>
      <c r="BR14" s="18">
        <f>IF(67&gt;=DeliverStart,BaseMarketRentMo*BR$6+BaseLowRentMo*BR$7,0)</f>
        <v/>
      </c>
      <c r="BS14" s="18">
        <f>IF(68&gt;=DeliverStart,BaseMarketRentMo*BS$6+BaseLowRentMo*BS$7,0)</f>
        <v/>
      </c>
      <c r="BT14" s="18">
        <f>IF(69&gt;=DeliverStart,BaseMarketRentMo*BT$6+BaseLowRentMo*BT$7,0)</f>
        <v/>
      </c>
      <c r="BU14" s="18">
        <f>IF(70&gt;=DeliverStart,BaseMarketRentMo*BU$6+BaseLowRentMo*BU$7,0)</f>
        <v/>
      </c>
      <c r="BV14" s="18">
        <f>IF(71&gt;=DeliverStart,BaseMarketRentMo*BV$6+BaseLowRentMo*BV$7,0)</f>
        <v/>
      </c>
      <c r="BW14" s="18">
        <f>IF(72&gt;=DeliverStart,BaseMarketRentMo*BW$6+BaseLowRentMo*BW$7,0)</f>
        <v/>
      </c>
      <c r="BX14" s="18">
        <f>IF(73&gt;=DeliverStart,BaseMarketRentMo*BX$6+BaseLowRentMo*BX$7,0)</f>
        <v/>
      </c>
      <c r="BY14" s="18">
        <f>IF(74&gt;=DeliverStart,BaseMarketRentMo*BY$6+BaseLowRentMo*BY$7,0)</f>
        <v/>
      </c>
      <c r="BZ14" s="18">
        <f>IF(75&gt;=DeliverStart,BaseMarketRentMo*BZ$6+BaseLowRentMo*BZ$7,0)</f>
        <v/>
      </c>
      <c r="CA14" s="18">
        <f>IF(76&gt;=DeliverStart,BaseMarketRentMo*CA$6+BaseLowRentMo*CA$7,0)</f>
        <v/>
      </c>
      <c r="CB14" s="18">
        <f>IF(77&gt;=DeliverStart,BaseMarketRentMo*CB$6+BaseLowRentMo*CB$7,0)</f>
        <v/>
      </c>
      <c r="CC14" s="18">
        <f>IF(78&gt;=DeliverStart,BaseMarketRentMo*CC$6+BaseLowRentMo*CC$7,0)</f>
        <v/>
      </c>
      <c r="CD14" s="18">
        <f>IF(79&gt;=DeliverStart,BaseMarketRentMo*CD$6+BaseLowRentMo*CD$7,0)</f>
        <v/>
      </c>
      <c r="CE14" s="18">
        <f>IF(80&gt;=DeliverStart,BaseMarketRentMo*CE$6+BaseLowRentMo*CE$7,0)</f>
        <v/>
      </c>
      <c r="CF14" s="18">
        <f>IF(81&gt;=DeliverStart,BaseMarketRentMo*CF$6+BaseLowRentMo*CF$7,0)</f>
        <v/>
      </c>
      <c r="CG14" s="18">
        <f>IF(82&gt;=DeliverStart,BaseMarketRentMo*CG$6+BaseLowRentMo*CG$7,0)</f>
        <v/>
      </c>
      <c r="CH14" s="18">
        <f>IF(83&gt;=DeliverStart,BaseMarketRentMo*CH$6+BaseLowRentMo*CH$7,0)</f>
        <v/>
      </c>
      <c r="CI14" s="18">
        <f>IF(84&gt;=DeliverStart,BaseMarketRentMo*CI$6+BaseLowRentMo*CI$7,0)</f>
        <v/>
      </c>
      <c r="CJ14" s="18">
        <f>IF(85&gt;=DeliverStart,BaseMarketRentMo*CJ$6+BaseLowRentMo*CJ$7,0)</f>
        <v/>
      </c>
      <c r="CK14" s="18">
        <f>IF(86&gt;=DeliverStart,BaseMarketRentMo*CK$6+BaseLowRentMo*CK$7,0)</f>
        <v/>
      </c>
      <c r="CL14" s="18">
        <f>IF(87&gt;=DeliverStart,BaseMarketRentMo*CL$6+BaseLowRentMo*CL$7,0)</f>
        <v/>
      </c>
      <c r="CM14" s="18">
        <f>IF(88&gt;=DeliverStart,BaseMarketRentMo*CM$6+BaseLowRentMo*CM$7,0)</f>
        <v/>
      </c>
      <c r="CN14" s="18">
        <f>IF(89&gt;=DeliverStart,BaseMarketRentMo*CN$6+BaseLowRentMo*CN$7,0)</f>
        <v/>
      </c>
      <c r="CO14" s="18">
        <f>IF(90&gt;=DeliverStart,BaseMarketRentMo*CO$6+BaseLowRentMo*CO$7,0)</f>
        <v/>
      </c>
      <c r="CP14" s="18">
        <f>IF(91&gt;=DeliverStart,BaseMarketRentMo*CP$6+BaseLowRentMo*CP$7,0)</f>
        <v/>
      </c>
      <c r="CQ14" s="18">
        <f>IF(92&gt;=DeliverStart,BaseMarketRentMo*CQ$6+BaseLowRentMo*CQ$7,0)</f>
        <v/>
      </c>
      <c r="CR14" s="18">
        <f>IF(93&gt;=DeliverStart,BaseMarketRentMo*CR$6+BaseLowRentMo*CR$7,0)</f>
        <v/>
      </c>
      <c r="CS14" s="18">
        <f>IF(94&gt;=DeliverStart,BaseMarketRentMo*CS$6+BaseLowRentMo*CS$7,0)</f>
        <v/>
      </c>
      <c r="CT14" s="18">
        <f>IF(95&gt;=DeliverStart,BaseMarketRentMo*CT$6+BaseLowRentMo*CT$7,0)</f>
        <v/>
      </c>
      <c r="CU14" s="18">
        <f>IF(96&gt;=DeliverStart,BaseMarketRentMo*CU$6+BaseLowRentMo*CU$7,0)</f>
        <v/>
      </c>
      <c r="CV14" s="18">
        <f>IF(97&gt;=DeliverStart,BaseMarketRentMo*CV$6+BaseLowRentMo*CV$7,0)</f>
        <v/>
      </c>
      <c r="CW14" s="18">
        <f>IF(98&gt;=DeliverStart,BaseMarketRentMo*CW$6+BaseLowRentMo*CW$7,0)</f>
        <v/>
      </c>
      <c r="CX14" s="18">
        <f>IF(99&gt;=DeliverStart,BaseMarketRentMo*CX$6+BaseLowRentMo*CX$7,0)</f>
        <v/>
      </c>
      <c r="CY14" s="18">
        <f>IF(100&gt;=DeliverStart,BaseMarketRentMo*CY$6+BaseLowRentMo*CY$7,0)</f>
        <v/>
      </c>
      <c r="CZ14" s="18">
        <f>IF(101&gt;=DeliverStart,BaseMarketRentMo*CZ$6+BaseLowRentMo*CZ$7,0)</f>
        <v/>
      </c>
      <c r="DA14" s="18">
        <f>IF(102&gt;=DeliverStart,BaseMarketRentMo*DA$6+BaseLowRentMo*DA$7,0)</f>
        <v/>
      </c>
      <c r="DB14" s="18">
        <f>IF(103&gt;=DeliverStart,BaseMarketRentMo*DB$6+BaseLowRentMo*DB$7,0)</f>
        <v/>
      </c>
      <c r="DC14" s="18">
        <f>IF(104&gt;=DeliverStart,BaseMarketRentMo*DC$6+BaseLowRentMo*DC$7,0)</f>
        <v/>
      </c>
      <c r="DD14" s="18">
        <f>IF(105&gt;=DeliverStart,BaseMarketRentMo*DD$6+BaseLowRentMo*DD$7,0)</f>
        <v/>
      </c>
      <c r="DE14" s="18">
        <f>IF(106&gt;=DeliverStart,BaseMarketRentMo*DE$6+BaseLowRentMo*DE$7,0)</f>
        <v/>
      </c>
      <c r="DF14" s="18">
        <f>IF(107&gt;=DeliverStart,BaseMarketRentMo*DF$6+BaseLowRentMo*DF$7,0)</f>
        <v/>
      </c>
      <c r="DG14" s="18">
        <f>IF(108&gt;=DeliverStart,BaseMarketRentMo*DG$6+BaseLowRentMo*DG$7,0)</f>
        <v/>
      </c>
      <c r="DH14" s="18">
        <f>IF(109&gt;=DeliverStart,BaseMarketRentMo*DH$6+BaseLowRentMo*DH$7,0)</f>
        <v/>
      </c>
      <c r="DI14" s="18">
        <f>IF(110&gt;=DeliverStart,BaseMarketRentMo*DI$6+BaseLowRentMo*DI$7,0)</f>
        <v/>
      </c>
      <c r="DJ14" s="18">
        <f>IF(111&gt;=DeliverStart,BaseMarketRentMo*DJ$6+BaseLowRentMo*DJ$7,0)</f>
        <v/>
      </c>
      <c r="DK14" s="18">
        <f>IF(112&gt;=DeliverStart,BaseMarketRentMo*DK$6+BaseLowRentMo*DK$7,0)</f>
        <v/>
      </c>
      <c r="DL14" s="18">
        <f>IF(113&gt;=DeliverStart,BaseMarketRentMo*DL$6+BaseLowRentMo*DL$7,0)</f>
        <v/>
      </c>
      <c r="DM14" s="18">
        <f>IF(114&gt;=DeliverStart,BaseMarketRentMo*DM$6+BaseLowRentMo*DM$7,0)</f>
        <v/>
      </c>
      <c r="DN14" s="18">
        <f>IF(115&gt;=DeliverStart,BaseMarketRentMo*DN$6+BaseLowRentMo*DN$7,0)</f>
        <v/>
      </c>
      <c r="DO14" s="18">
        <f>IF(116&gt;=DeliverStart,BaseMarketRentMo*DO$6+BaseLowRentMo*DO$7,0)</f>
        <v/>
      </c>
      <c r="DP14" s="18">
        <f>IF(117&gt;=DeliverStart,BaseMarketRentMo*DP$6+BaseLowRentMo*DP$7,0)</f>
        <v/>
      </c>
      <c r="DQ14" s="18">
        <f>IF(118&gt;=DeliverStart,BaseMarketRentMo*DQ$6+BaseLowRentMo*DQ$7,0)</f>
        <v/>
      </c>
      <c r="DR14" s="18">
        <f>IF(119&gt;=DeliverStart,BaseMarketRentMo*DR$6+BaseLowRentMo*DR$7,0)</f>
        <v/>
      </c>
      <c r="DS14" s="18">
        <f>IF(120&gt;=DeliverStart,BaseMarketRentMo*DS$6+BaseLowRentMo*DS$7,0)</f>
        <v/>
      </c>
      <c r="DT14" s="18">
        <f>IF(121&gt;=DeliverStart,BaseMarketRentMo*DT$6+BaseLowRentMo*DT$7,0)</f>
        <v/>
      </c>
      <c r="DU14" s="18">
        <f>IF(122&gt;=DeliverStart,BaseMarketRentMo*DU$6+BaseLowRentMo*DU$7,0)</f>
        <v/>
      </c>
      <c r="DV14" s="18">
        <f>IF(123&gt;=DeliverStart,BaseMarketRentMo*DV$6+BaseLowRentMo*DV$7,0)</f>
        <v/>
      </c>
      <c r="DW14" s="18">
        <f>IF(124&gt;=DeliverStart,BaseMarketRentMo*DW$6+BaseLowRentMo*DW$7,0)</f>
        <v/>
      </c>
      <c r="DX14" s="18">
        <f>IF(125&gt;=DeliverStart,BaseMarketRentMo*DX$6+BaseLowRentMo*DX$7,0)</f>
        <v/>
      </c>
      <c r="DY14" s="18">
        <f>IF(126&gt;=DeliverStart,BaseMarketRentMo*DY$6+BaseLowRentMo*DY$7,0)</f>
        <v/>
      </c>
      <c r="DZ14" s="18">
        <f>IF(127&gt;=DeliverStart,BaseMarketRentMo*DZ$6+BaseLowRentMo*DZ$7,0)</f>
        <v/>
      </c>
      <c r="EA14" s="18">
        <f>IF(128&gt;=DeliverStart,BaseMarketRentMo*EA$6+BaseLowRentMo*EA$7,0)</f>
        <v/>
      </c>
      <c r="EB14" s="18">
        <f>IF(129&gt;=DeliverStart,BaseMarketRentMo*EB$6+BaseLowRentMo*EB$7,0)</f>
        <v/>
      </c>
      <c r="EC14" s="18">
        <f>IF(130&gt;=DeliverStart,BaseMarketRentMo*EC$6+BaseLowRentMo*EC$7,0)</f>
        <v/>
      </c>
      <c r="ED14" s="18">
        <f>IF(131&gt;=DeliverStart,BaseMarketRentMo*ED$6+BaseLowRentMo*ED$7,0)</f>
        <v/>
      </c>
      <c r="EE14" s="18">
        <f>IF(132&gt;=DeliverStart,BaseMarketRentMo*EE$6+BaseLowRentMo*EE$7,0)</f>
        <v/>
      </c>
      <c r="EF14" s="18">
        <f>IF(133&gt;=DeliverStart,BaseMarketRentMo*EF$6+BaseLowRentMo*EF$7,0)</f>
        <v/>
      </c>
      <c r="EG14" s="18">
        <f>IF(134&gt;=DeliverStart,BaseMarketRentMo*EG$6+BaseLowRentMo*EG$7,0)</f>
        <v/>
      </c>
      <c r="EH14" s="18">
        <f>IF(135&gt;=DeliverStart,BaseMarketRentMo*EH$6+BaseLowRentMo*EH$7,0)</f>
        <v/>
      </c>
      <c r="EI14" s="18">
        <f>IF(136&gt;=DeliverStart,BaseMarketRentMo*EI$6+BaseLowRentMo*EI$7,0)</f>
        <v/>
      </c>
      <c r="EJ14" s="18">
        <f>IF(137&gt;=DeliverStart,BaseMarketRentMo*EJ$6+BaseLowRentMo*EJ$7,0)</f>
        <v/>
      </c>
      <c r="EK14" s="18">
        <f>IF(138&gt;=DeliverStart,BaseMarketRentMo*EK$6+BaseLowRentMo*EK$7,0)</f>
        <v/>
      </c>
      <c r="EL14" s="18">
        <f>IF(139&gt;=DeliverStart,BaseMarketRentMo*EL$6+BaseLowRentMo*EL$7,0)</f>
        <v/>
      </c>
      <c r="EM14" s="18">
        <f>IF(140&gt;=DeliverStart,BaseMarketRentMo*EM$6+BaseLowRentMo*EM$7,0)</f>
        <v/>
      </c>
      <c r="EN14" s="18">
        <f>IF(141&gt;=DeliverStart,BaseMarketRentMo*EN$6+BaseLowRentMo*EN$7,0)</f>
        <v/>
      </c>
      <c r="EO14" s="18">
        <f>IF(142&gt;=DeliverStart,BaseMarketRentMo*EO$6+BaseLowRentMo*EO$7,0)</f>
        <v/>
      </c>
      <c r="EP14" s="18">
        <f>IF(143&gt;=DeliverStart,BaseMarketRentMo*EP$6+BaseLowRentMo*EP$7,0)</f>
        <v/>
      </c>
      <c r="EQ14" s="18">
        <f>IF(144&gt;=DeliverStart,BaseMarketRentMo*EQ$6+BaseLowRentMo*EQ$7,0)</f>
        <v/>
      </c>
      <c r="ER14" s="18">
        <f>IF(145&gt;=DeliverStart,BaseMarketRentMo*ER$6+BaseLowRentMo*ER$7,0)</f>
        <v/>
      </c>
      <c r="ES14" s="18">
        <f>IF(146&gt;=DeliverStart,BaseMarketRentMo*ES$6+BaseLowRentMo*ES$7,0)</f>
        <v/>
      </c>
      <c r="ET14" s="18">
        <f>IF(147&gt;=DeliverStart,BaseMarketRentMo*ET$6+BaseLowRentMo*ET$7,0)</f>
        <v/>
      </c>
      <c r="EU14" s="18">
        <f>IF(148&gt;=DeliverStart,BaseMarketRentMo*EU$6+BaseLowRentMo*EU$7,0)</f>
        <v/>
      </c>
      <c r="EV14" s="18">
        <f>IF(149&gt;=DeliverStart,BaseMarketRentMo*EV$6+BaseLowRentMo*EV$7,0)</f>
        <v/>
      </c>
      <c r="EW14" s="18">
        <f>IF(150&gt;=DeliverStart,BaseMarketRentMo*EW$6+BaseLowRentMo*EW$7,0)</f>
        <v/>
      </c>
      <c r="EX14" s="18">
        <f>IF(151&gt;=DeliverStart,BaseMarketRentMo*EX$6+BaseLowRentMo*EX$7,0)</f>
        <v/>
      </c>
      <c r="EY14" s="18">
        <f>IF(152&gt;=DeliverStart,BaseMarketRentMo*EY$6+BaseLowRentMo*EY$7,0)</f>
        <v/>
      </c>
      <c r="EZ14" s="18">
        <f>IF(153&gt;=DeliverStart,BaseMarketRentMo*EZ$6+BaseLowRentMo*EZ$7,0)</f>
        <v/>
      </c>
      <c r="FA14" s="18">
        <f>IF(154&gt;=DeliverStart,BaseMarketRentMo*FA$6+BaseLowRentMo*FA$7,0)</f>
        <v/>
      </c>
      <c r="FB14" s="18">
        <f>IF(155&gt;=DeliverStart,BaseMarketRentMo*FB$6+BaseLowRentMo*FB$7,0)</f>
        <v/>
      </c>
      <c r="FC14" s="18">
        <f>IF(156&gt;=DeliverStart,BaseMarketRentMo*FC$6+BaseLowRentMo*FC$7,0)</f>
        <v/>
      </c>
      <c r="FD14" s="18">
        <f>IF(157&gt;=DeliverStart,BaseMarketRentMo*FD$6+BaseLowRentMo*FD$7,0)</f>
        <v/>
      </c>
      <c r="FE14" s="18">
        <f>IF(158&gt;=DeliverStart,BaseMarketRentMo*FE$6+BaseLowRentMo*FE$7,0)</f>
        <v/>
      </c>
      <c r="FF14" s="18">
        <f>IF(159&gt;=DeliverStart,BaseMarketRentMo*FF$6+BaseLowRentMo*FF$7,0)</f>
        <v/>
      </c>
      <c r="FG14" s="18">
        <f>IF(160&gt;=DeliverStart,BaseMarketRentMo*FG$6+BaseLowRentMo*FG$7,0)</f>
        <v/>
      </c>
      <c r="FH14" s="18">
        <f>IF(161&gt;=DeliverStart,BaseMarketRentMo*FH$6+BaseLowRentMo*FH$7,0)</f>
        <v/>
      </c>
      <c r="FI14" s="18">
        <f>IF(162&gt;=DeliverStart,BaseMarketRentMo*FI$6+BaseLowRentMo*FI$7,0)</f>
        <v/>
      </c>
      <c r="FJ14" s="18">
        <f>IF(163&gt;=DeliverStart,BaseMarketRentMo*FJ$6+BaseLowRentMo*FJ$7,0)</f>
        <v/>
      </c>
      <c r="FK14" s="18">
        <f>IF(164&gt;=DeliverStart,BaseMarketRentMo*FK$6+BaseLowRentMo*FK$7,0)</f>
        <v/>
      </c>
      <c r="FL14" s="18">
        <f>IF(165&gt;=DeliverStart,BaseMarketRentMo*FL$6+BaseLowRentMo*FL$7,0)</f>
        <v/>
      </c>
      <c r="FM14" s="18">
        <f>IF(166&gt;=DeliverStart,BaseMarketRentMo*FM$6+BaseLowRentMo*FM$7,0)</f>
        <v/>
      </c>
      <c r="FN14" s="18">
        <f>IF(167&gt;=DeliverStart,BaseMarketRentMo*FN$6+BaseLowRentMo*FN$7,0)</f>
        <v/>
      </c>
      <c r="FO14" s="18">
        <f>IF(168&gt;=DeliverStart,BaseMarketRentMo*FO$6+BaseLowRentMo*FO$7,0)</f>
        <v/>
      </c>
      <c r="FP14" s="18">
        <f>IF(169&gt;=DeliverStart,BaseMarketRentMo*FP$6+BaseLowRentMo*FP$7,0)</f>
        <v/>
      </c>
      <c r="FQ14" s="18">
        <f>IF(170&gt;=DeliverStart,BaseMarketRentMo*FQ$6+BaseLowRentMo*FQ$7,0)</f>
        <v/>
      </c>
      <c r="FR14" s="18">
        <f>IF(171&gt;=DeliverStart,BaseMarketRentMo*FR$6+BaseLowRentMo*FR$7,0)</f>
        <v/>
      </c>
      <c r="FS14" s="18">
        <f>IF(172&gt;=DeliverStart,BaseMarketRentMo*FS$6+BaseLowRentMo*FS$7,0)</f>
        <v/>
      </c>
      <c r="FT14" s="18">
        <f>IF(173&gt;=DeliverStart,BaseMarketRentMo*FT$6+BaseLowRentMo*FT$7,0)</f>
        <v/>
      </c>
      <c r="FU14" s="18">
        <f>IF(174&gt;=DeliverStart,BaseMarketRentMo*FU$6+BaseLowRentMo*FU$7,0)</f>
        <v/>
      </c>
      <c r="FV14" s="18">
        <f>IF(175&gt;=DeliverStart,BaseMarketRentMo*FV$6+BaseLowRentMo*FV$7,0)</f>
        <v/>
      </c>
      <c r="FW14" s="18">
        <f>IF(176&gt;=DeliverStart,BaseMarketRentMo*FW$6+BaseLowRentMo*FW$7,0)</f>
        <v/>
      </c>
      <c r="FX14" s="18">
        <f>IF(177&gt;=DeliverStart,BaseMarketRentMo*FX$6+BaseLowRentMo*FX$7,0)</f>
        <v/>
      </c>
      <c r="FY14" s="18">
        <f>IF(178&gt;=DeliverStart,BaseMarketRentMo*FY$6+BaseLowRentMo*FY$7,0)</f>
        <v/>
      </c>
      <c r="FZ14" s="18">
        <f>IF(179&gt;=DeliverStart,BaseMarketRentMo*FZ$6+BaseLowRentMo*FZ$7,0)</f>
        <v/>
      </c>
      <c r="GA14" s="18">
        <f>IF(180&gt;=DeliverStart,BaseMarketRentMo*GA$6+BaseLowRentMo*GA$7,0)</f>
        <v/>
      </c>
      <c r="GB14" s="18">
        <f>IF(181&gt;=DeliverStart,BaseMarketRentMo*GB$6+BaseLowRentMo*GB$7,0)</f>
        <v/>
      </c>
      <c r="GC14" s="18">
        <f>IF(182&gt;=DeliverStart,BaseMarketRentMo*GC$6+BaseLowRentMo*GC$7,0)</f>
        <v/>
      </c>
      <c r="GD14" s="18">
        <f>IF(183&gt;=DeliverStart,BaseMarketRentMo*GD$6+BaseLowRentMo*GD$7,0)</f>
        <v/>
      </c>
      <c r="GE14" s="18">
        <f>IF(184&gt;=DeliverStart,BaseMarketRentMo*GE$6+BaseLowRentMo*GE$7,0)</f>
        <v/>
      </c>
      <c r="GF14" s="18">
        <f>IF(185&gt;=DeliverStart,BaseMarketRentMo*GF$6+BaseLowRentMo*GF$7,0)</f>
        <v/>
      </c>
      <c r="GG14" s="18">
        <f>IF(186&gt;=DeliverStart,BaseMarketRentMo*GG$6+BaseLowRentMo*GG$7,0)</f>
        <v/>
      </c>
      <c r="GH14" s="18">
        <f>IF(187&gt;=DeliverStart,BaseMarketRentMo*GH$6+BaseLowRentMo*GH$7,0)</f>
        <v/>
      </c>
      <c r="GI14" s="18">
        <f>IF(188&gt;=DeliverStart,BaseMarketRentMo*GI$6+BaseLowRentMo*GI$7,0)</f>
        <v/>
      </c>
      <c r="GJ14" s="18">
        <f>IF(189&gt;=DeliverStart,BaseMarketRentMo*GJ$6+BaseLowRentMo*GJ$7,0)</f>
        <v/>
      </c>
      <c r="GK14" s="18">
        <f>IF(190&gt;=DeliverStart,BaseMarketRentMo*GK$6+BaseLowRentMo*GK$7,0)</f>
        <v/>
      </c>
      <c r="GL14" s="18">
        <f>IF(191&gt;=DeliverStart,BaseMarketRentMo*GL$6+BaseLowRentMo*GL$7,0)</f>
        <v/>
      </c>
      <c r="GM14" s="18">
        <f>IF(192&gt;=DeliverStart,BaseMarketRentMo*GM$6+BaseLowRentMo*GM$7,0)</f>
        <v/>
      </c>
      <c r="GN14" s="18">
        <f>IF(193&gt;=DeliverStart,BaseMarketRentMo*GN$6+BaseLowRentMo*GN$7,0)</f>
        <v/>
      </c>
      <c r="GO14" s="18">
        <f>IF(194&gt;=DeliverStart,BaseMarketRentMo*GO$6+BaseLowRentMo*GO$7,0)</f>
        <v/>
      </c>
      <c r="GP14" s="18">
        <f>IF(195&gt;=DeliverStart,BaseMarketRentMo*GP$6+BaseLowRentMo*GP$7,0)</f>
        <v/>
      </c>
      <c r="GQ14" s="18">
        <f>IF(196&gt;=DeliverStart,BaseMarketRentMo*GQ$6+BaseLowRentMo*GQ$7,0)</f>
        <v/>
      </c>
      <c r="GR14" s="18">
        <f>IF(197&gt;=DeliverStart,BaseMarketRentMo*GR$6+BaseLowRentMo*GR$7,0)</f>
        <v/>
      </c>
      <c r="GS14" s="18">
        <f>IF(198&gt;=DeliverStart,BaseMarketRentMo*GS$6+BaseLowRentMo*GS$7,0)</f>
        <v/>
      </c>
      <c r="GT14" s="18">
        <f>IF(199&gt;=DeliverStart,BaseMarketRentMo*GT$6+BaseLowRentMo*GT$7,0)</f>
        <v/>
      </c>
      <c r="GU14" s="18">
        <f>IF(200&gt;=DeliverStart,BaseMarketRentMo*GU$6+BaseLowRentMo*GU$7,0)</f>
        <v/>
      </c>
      <c r="GV14" s="18">
        <f>IF(201&gt;=DeliverStart,BaseMarketRentMo*GV$6+BaseLowRentMo*GV$7,0)</f>
        <v/>
      </c>
      <c r="GW14" s="18">
        <f>IF(202&gt;=DeliverStart,BaseMarketRentMo*GW$6+BaseLowRentMo*GW$7,0)</f>
        <v/>
      </c>
      <c r="GX14" s="18">
        <f>IF(203&gt;=DeliverStart,BaseMarketRentMo*GX$6+BaseLowRentMo*GX$7,0)</f>
        <v/>
      </c>
      <c r="GY14" s="18">
        <f>IF(204&gt;=DeliverStart,BaseMarketRentMo*GY$6+BaseLowRentMo*GY$7,0)</f>
        <v/>
      </c>
      <c r="GZ14" s="18">
        <f>IF(205&gt;=DeliverStart,BaseMarketRentMo*GZ$6+BaseLowRentMo*GZ$7,0)</f>
        <v/>
      </c>
      <c r="HA14" s="18">
        <f>IF(206&gt;=DeliverStart,BaseMarketRentMo*HA$6+BaseLowRentMo*HA$7,0)</f>
        <v/>
      </c>
      <c r="HB14" s="18">
        <f>IF(207&gt;=DeliverStart,BaseMarketRentMo*HB$6+BaseLowRentMo*HB$7,0)</f>
        <v/>
      </c>
      <c r="HC14" s="18">
        <f>IF(208&gt;=DeliverStart,BaseMarketRentMo*HC$6+BaseLowRentMo*HC$7,0)</f>
        <v/>
      </c>
      <c r="HD14" s="18">
        <f>IF(209&gt;=DeliverStart,BaseMarketRentMo*HD$6+BaseLowRentMo*HD$7,0)</f>
        <v/>
      </c>
      <c r="HE14" s="18">
        <f>IF(210&gt;=DeliverStart,BaseMarketRentMo*HE$6+BaseLowRentMo*HE$7,0)</f>
        <v/>
      </c>
      <c r="HF14" s="18">
        <f>IF(211&gt;=DeliverStart,BaseMarketRentMo*HF$6+BaseLowRentMo*HF$7,0)</f>
        <v/>
      </c>
      <c r="HG14" s="18">
        <f>IF(212&gt;=DeliverStart,BaseMarketRentMo*HG$6+BaseLowRentMo*HG$7,0)</f>
        <v/>
      </c>
      <c r="HH14" s="18">
        <f>IF(213&gt;=DeliverStart,BaseMarketRentMo*HH$6+BaseLowRentMo*HH$7,0)</f>
        <v/>
      </c>
      <c r="HI14" s="18">
        <f>IF(214&gt;=DeliverStart,BaseMarketRentMo*HI$6+BaseLowRentMo*HI$7,0)</f>
        <v/>
      </c>
      <c r="HJ14" s="18">
        <f>IF(215&gt;=DeliverStart,BaseMarketRentMo*HJ$6+BaseLowRentMo*HJ$7,0)</f>
        <v/>
      </c>
      <c r="HK14" s="18">
        <f>IF(216&gt;=DeliverStart,BaseMarketRentMo*HK$6+BaseLowRentMo*HK$7,0)</f>
        <v/>
      </c>
      <c r="HL14" s="18">
        <f>IF(217&gt;=DeliverStart,BaseMarketRentMo*HL$6+BaseLowRentMo*HL$7,0)</f>
        <v/>
      </c>
      <c r="HM14" s="18">
        <f>IF(218&gt;=DeliverStart,BaseMarketRentMo*HM$6+BaseLowRentMo*HM$7,0)</f>
        <v/>
      </c>
      <c r="HN14" s="18">
        <f>IF(219&gt;=DeliverStart,BaseMarketRentMo*HN$6+BaseLowRentMo*HN$7,0)</f>
        <v/>
      </c>
      <c r="HO14" s="18">
        <f>IF(220&gt;=DeliverStart,BaseMarketRentMo*HO$6+BaseLowRentMo*HO$7,0)</f>
        <v/>
      </c>
      <c r="HP14" s="18">
        <f>IF(221&gt;=DeliverStart,BaseMarketRentMo*HP$6+BaseLowRentMo*HP$7,0)</f>
        <v/>
      </c>
      <c r="HQ14" s="18">
        <f>IF(222&gt;=DeliverStart,BaseMarketRentMo*HQ$6+BaseLowRentMo*HQ$7,0)</f>
        <v/>
      </c>
      <c r="HR14" s="18">
        <f>IF(223&gt;=DeliverStart,BaseMarketRentMo*HR$6+BaseLowRentMo*HR$7,0)</f>
        <v/>
      </c>
      <c r="HS14" s="18">
        <f>IF(224&gt;=DeliverStart,BaseMarketRentMo*HS$6+BaseLowRentMo*HS$7,0)</f>
        <v/>
      </c>
      <c r="HT14" s="18">
        <f>IF(225&gt;=DeliverStart,BaseMarketRentMo*HT$6+BaseLowRentMo*HT$7,0)</f>
        <v/>
      </c>
      <c r="HU14" s="18">
        <f>IF(226&gt;=DeliverStart,BaseMarketRentMo*HU$6+BaseLowRentMo*HU$7,0)</f>
        <v/>
      </c>
      <c r="HV14" s="18">
        <f>IF(227&gt;=DeliverStart,BaseMarketRentMo*HV$6+BaseLowRentMo*HV$7,0)</f>
        <v/>
      </c>
      <c r="HW14" s="18">
        <f>IF(228&gt;=DeliverStart,BaseMarketRentMo*HW$6+BaseLowRentMo*HW$7,0)</f>
        <v/>
      </c>
      <c r="HX14" s="18">
        <f>IF(229&gt;=DeliverStart,BaseMarketRentMo*HX$6+BaseLowRentMo*HX$7,0)</f>
        <v/>
      </c>
      <c r="HY14" s="18">
        <f>IF(230&gt;=DeliverStart,BaseMarketRentMo*HY$6+BaseLowRentMo*HY$7,0)</f>
        <v/>
      </c>
      <c r="HZ14" s="18">
        <f>IF(231&gt;=DeliverStart,BaseMarketRentMo*HZ$6+BaseLowRentMo*HZ$7,0)</f>
        <v/>
      </c>
      <c r="IA14" s="18">
        <f>IF(232&gt;=DeliverStart,BaseMarketRentMo*IA$6+BaseLowRentMo*IA$7,0)</f>
        <v/>
      </c>
      <c r="IB14" s="18">
        <f>IF(233&gt;=DeliverStart,BaseMarketRentMo*IB$6+BaseLowRentMo*IB$7,0)</f>
        <v/>
      </c>
      <c r="IC14" s="18">
        <f>IF(234&gt;=DeliverStart,BaseMarketRentMo*IC$6+BaseLowRentMo*IC$7,0)</f>
        <v/>
      </c>
      <c r="ID14" s="18">
        <f>IF(235&gt;=DeliverStart,BaseMarketRentMo*ID$6+BaseLowRentMo*ID$7,0)</f>
        <v/>
      </c>
      <c r="IE14" s="18">
        <f>IF(236&gt;=DeliverStart,BaseMarketRentMo*IE$6+BaseLowRentMo*IE$7,0)</f>
        <v/>
      </c>
      <c r="IF14" s="18">
        <f>IF(237&gt;=DeliverStart,BaseMarketRentMo*IF$6+BaseLowRentMo*IF$7,0)</f>
        <v/>
      </c>
      <c r="IG14" s="18">
        <f>IF(238&gt;=DeliverStart,BaseMarketRentMo*IG$6+BaseLowRentMo*IG$7,0)</f>
        <v/>
      </c>
      <c r="IH14" s="18">
        <f>IF(239&gt;=DeliverStart,BaseMarketRentMo*IH$6+BaseLowRentMo*IH$7,0)</f>
        <v/>
      </c>
      <c r="II14" s="18">
        <f>IF(240&gt;=DeliverStart,BaseMarketRentMo*II$6+BaseLowRentMo*II$7,0)</f>
        <v/>
      </c>
      <c r="IJ14" s="18">
        <f>IF(241&gt;=DeliverStart,BaseMarketRentMo*IJ$6+BaseLowRentMo*IJ$7,0)</f>
        <v/>
      </c>
      <c r="IK14" s="18">
        <f>IF(242&gt;=DeliverStart,BaseMarketRentMo*IK$6+BaseLowRentMo*IK$7,0)</f>
        <v/>
      </c>
      <c r="IL14" s="18">
        <f>IF(243&gt;=DeliverStart,BaseMarketRentMo*IL$6+BaseLowRentMo*IL$7,0)</f>
        <v/>
      </c>
      <c r="IM14" s="18">
        <f>IF(244&gt;=DeliverStart,BaseMarketRentMo*IM$6+BaseLowRentMo*IM$7,0)</f>
        <v/>
      </c>
      <c r="IN14" s="18">
        <f>IF(245&gt;=DeliverStart,BaseMarketRentMo*IN$6+BaseLowRentMo*IN$7,0)</f>
        <v/>
      </c>
      <c r="IO14" s="18">
        <f>IF(246&gt;=DeliverStart,BaseMarketRentMo*IO$6+BaseLowRentMo*IO$7,0)</f>
        <v/>
      </c>
      <c r="IP14" s="18">
        <f>IF(247&gt;=DeliverStart,BaseMarketRentMo*IP$6+BaseLowRentMo*IP$7,0)</f>
        <v/>
      </c>
      <c r="IQ14" s="18">
        <f>IF(248&gt;=DeliverStart,BaseMarketRentMo*IQ$6+BaseLowRentMo*IQ$7,0)</f>
        <v/>
      </c>
      <c r="IR14" s="18">
        <f>IF(249&gt;=DeliverStart,BaseMarketRentMo*IR$6+BaseLowRentMo*IR$7,0)</f>
        <v/>
      </c>
      <c r="IS14" s="18">
        <f>IF(250&gt;=DeliverStart,BaseMarketRentMo*IS$6+BaseLowRentMo*IS$7,0)</f>
        <v/>
      </c>
      <c r="IT14" s="18">
        <f>IF(251&gt;=DeliverStart,BaseMarketRentMo*IT$6+BaseLowRentMo*IT$7,0)</f>
        <v/>
      </c>
      <c r="IU14" s="18">
        <f>IF(252&gt;=DeliverStart,BaseMarketRentMo*IU$6+BaseLowRentMo*IU$7,0)</f>
        <v/>
      </c>
      <c r="IV14" s="18">
        <f>IF(253&gt;=DeliverStart,BaseMarketRentMo*IV$6+BaseLowRentMo*IV$7,0)</f>
        <v/>
      </c>
      <c r="IW14" s="18">
        <f>IF(254&gt;=DeliverStart,BaseMarketRentMo*IW$6+BaseLowRentMo*IW$7,0)</f>
        <v/>
      </c>
      <c r="IX14" s="18">
        <f>IF(255&gt;=DeliverStart,BaseMarketRentMo*IX$6+BaseLowRentMo*IX$7,0)</f>
        <v/>
      </c>
      <c r="IY14" s="18">
        <f>IF(256&gt;=DeliverStart,BaseMarketRentMo*IY$6+BaseLowRentMo*IY$7,0)</f>
        <v/>
      </c>
      <c r="IZ14" s="18">
        <f>IF(257&gt;=DeliverStart,BaseMarketRentMo*IZ$6+BaseLowRentMo*IZ$7,0)</f>
        <v/>
      </c>
      <c r="JA14" s="18">
        <f>IF(258&gt;=DeliverStart,BaseMarketRentMo*JA$6+BaseLowRentMo*JA$7,0)</f>
        <v/>
      </c>
      <c r="JB14" s="18">
        <f>IF(259&gt;=DeliverStart,BaseMarketRentMo*JB$6+BaseLowRentMo*JB$7,0)</f>
        <v/>
      </c>
      <c r="JC14" s="18">
        <f>IF(260&gt;=DeliverStart,BaseMarketRentMo*JC$6+BaseLowRentMo*JC$7,0)</f>
        <v/>
      </c>
      <c r="JD14" s="18">
        <f>IF(261&gt;=DeliverStart,BaseMarketRentMo*JD$6+BaseLowRentMo*JD$7,0)</f>
        <v/>
      </c>
      <c r="JE14" s="18">
        <f>IF(262&gt;=DeliverStart,BaseMarketRentMo*JE$6+BaseLowRentMo*JE$7,0)</f>
        <v/>
      </c>
      <c r="JF14" s="18">
        <f>IF(263&gt;=DeliverStart,BaseMarketRentMo*JF$6+BaseLowRentMo*JF$7,0)</f>
        <v/>
      </c>
      <c r="JG14" s="18">
        <f>IF(264&gt;=DeliverStart,BaseMarketRentMo*JG$6+BaseLowRentMo*JG$7,0)</f>
        <v/>
      </c>
      <c r="JH14" s="18">
        <f>IF(265&gt;=DeliverStart,BaseMarketRentMo*JH$6+BaseLowRentMo*JH$7,0)</f>
        <v/>
      </c>
      <c r="JI14" s="18">
        <f>IF(266&gt;=DeliverStart,BaseMarketRentMo*JI$6+BaseLowRentMo*JI$7,0)</f>
        <v/>
      </c>
      <c r="JJ14" s="18">
        <f>IF(267&gt;=DeliverStart,BaseMarketRentMo*JJ$6+BaseLowRentMo*JJ$7,0)</f>
        <v/>
      </c>
      <c r="JK14" s="18">
        <f>IF(268&gt;=DeliverStart,BaseMarketRentMo*JK$6+BaseLowRentMo*JK$7,0)</f>
        <v/>
      </c>
      <c r="JL14" s="18">
        <f>IF(269&gt;=DeliverStart,BaseMarketRentMo*JL$6+BaseLowRentMo*JL$7,0)</f>
        <v/>
      </c>
      <c r="JM14" s="18">
        <f>IF(270&gt;=DeliverStart,BaseMarketRentMo*JM$6+BaseLowRentMo*JM$7,0)</f>
        <v/>
      </c>
      <c r="JN14" s="18">
        <f>IF(271&gt;=DeliverStart,BaseMarketRentMo*JN$6+BaseLowRentMo*JN$7,0)</f>
        <v/>
      </c>
      <c r="JO14" s="18">
        <f>IF(272&gt;=DeliverStart,BaseMarketRentMo*JO$6+BaseLowRentMo*JO$7,0)</f>
        <v/>
      </c>
      <c r="JP14" s="18">
        <f>IF(273&gt;=DeliverStart,BaseMarketRentMo*JP$6+BaseLowRentMo*JP$7,0)</f>
        <v/>
      </c>
      <c r="JQ14" s="18">
        <f>IF(274&gt;=DeliverStart,BaseMarketRentMo*JQ$6+BaseLowRentMo*JQ$7,0)</f>
        <v/>
      </c>
      <c r="JR14" s="18">
        <f>IF(275&gt;=DeliverStart,BaseMarketRentMo*JR$6+BaseLowRentMo*JR$7,0)</f>
        <v/>
      </c>
      <c r="JS14" s="18">
        <f>IF(276&gt;=DeliverStart,BaseMarketRentMo*JS$6+BaseLowRentMo*JS$7,0)</f>
        <v/>
      </c>
      <c r="JT14" s="18">
        <f>IF(277&gt;=DeliverStart,BaseMarketRentMo*JT$6+BaseLowRentMo*JT$7,0)</f>
        <v/>
      </c>
      <c r="JU14" s="18">
        <f>IF(278&gt;=DeliverStart,BaseMarketRentMo*JU$6+BaseLowRentMo*JU$7,0)</f>
        <v/>
      </c>
      <c r="JV14" s="18">
        <f>IF(279&gt;=DeliverStart,BaseMarketRentMo*JV$6+BaseLowRentMo*JV$7,0)</f>
        <v/>
      </c>
      <c r="JW14" s="18">
        <f>IF(280&gt;=DeliverStart,BaseMarketRentMo*JW$6+BaseLowRentMo*JW$7,0)</f>
        <v/>
      </c>
      <c r="JX14" s="18">
        <f>IF(281&gt;=DeliverStart,BaseMarketRentMo*JX$6+BaseLowRentMo*JX$7,0)</f>
        <v/>
      </c>
      <c r="JY14" s="18">
        <f>IF(282&gt;=DeliverStart,BaseMarketRentMo*JY$6+BaseLowRentMo*JY$7,0)</f>
        <v/>
      </c>
      <c r="JZ14" s="18">
        <f>IF(283&gt;=DeliverStart,BaseMarketRentMo*JZ$6+BaseLowRentMo*JZ$7,0)</f>
        <v/>
      </c>
      <c r="KA14" s="18">
        <f>IF(284&gt;=DeliverStart,BaseMarketRentMo*KA$6+BaseLowRentMo*KA$7,0)</f>
        <v/>
      </c>
      <c r="KB14" s="18">
        <f>IF(285&gt;=DeliverStart,BaseMarketRentMo*KB$6+BaseLowRentMo*KB$7,0)</f>
        <v/>
      </c>
      <c r="KC14" s="18">
        <f>IF(286&gt;=DeliverStart,BaseMarketRentMo*KC$6+BaseLowRentMo*KC$7,0)</f>
        <v/>
      </c>
      <c r="KD14" s="18">
        <f>IF(287&gt;=DeliverStart,BaseMarketRentMo*KD$6+BaseLowRentMo*KD$7,0)</f>
        <v/>
      </c>
      <c r="KE14" s="18">
        <f>IF(288&gt;=DeliverStart,BaseMarketRentMo*KE$6+BaseLowRentMo*KE$7,0)</f>
        <v/>
      </c>
      <c r="KF14" s="18">
        <f>IF(289&gt;=DeliverStart,BaseMarketRentMo*KF$6+BaseLowRentMo*KF$7,0)</f>
        <v/>
      </c>
      <c r="KG14" s="18">
        <f>IF(290&gt;=DeliverStart,BaseMarketRentMo*KG$6+BaseLowRentMo*KG$7,0)</f>
        <v/>
      </c>
      <c r="KH14" s="18">
        <f>IF(291&gt;=DeliverStart,BaseMarketRentMo*KH$6+BaseLowRentMo*KH$7,0)</f>
        <v/>
      </c>
      <c r="KI14" s="18">
        <f>IF(292&gt;=DeliverStart,BaseMarketRentMo*KI$6+BaseLowRentMo*KI$7,0)</f>
        <v/>
      </c>
      <c r="KJ14" s="18">
        <f>IF(293&gt;=DeliverStart,BaseMarketRentMo*KJ$6+BaseLowRentMo*KJ$7,0)</f>
        <v/>
      </c>
      <c r="KK14" s="18">
        <f>IF(294&gt;=DeliverStart,BaseMarketRentMo*KK$6+BaseLowRentMo*KK$7,0)</f>
        <v/>
      </c>
      <c r="KL14" s="18">
        <f>IF(295&gt;=DeliverStart,BaseMarketRentMo*KL$6+BaseLowRentMo*KL$7,0)</f>
        <v/>
      </c>
      <c r="KM14" s="18">
        <f>IF(296&gt;=DeliverStart,BaseMarketRentMo*KM$6+BaseLowRentMo*KM$7,0)</f>
        <v/>
      </c>
      <c r="KN14" s="18">
        <f>IF(297&gt;=DeliverStart,BaseMarketRentMo*KN$6+BaseLowRentMo*KN$7,0)</f>
        <v/>
      </c>
      <c r="KO14" s="18">
        <f>IF(298&gt;=DeliverStart,BaseMarketRentMo*KO$6+BaseLowRentMo*KO$7,0)</f>
        <v/>
      </c>
      <c r="KP14" s="18">
        <f>IF(299&gt;=DeliverStart,BaseMarketRentMo*KP$6+BaseLowRentMo*KP$7,0)</f>
        <v/>
      </c>
      <c r="KQ14" s="18">
        <f>IF(300&gt;=DeliverStart,BaseMarketRentMo*KQ$6+BaseLowRentMo*KQ$7,0)</f>
        <v/>
      </c>
      <c r="KR14" s="18">
        <f>IF(301&gt;=DeliverStart,BaseMarketRentMo*KR$6+BaseLowRentMo*KR$7,0)</f>
        <v/>
      </c>
      <c r="KS14" s="18">
        <f>IF(302&gt;=DeliverStart,BaseMarketRentMo*KS$6+BaseLowRentMo*KS$7,0)</f>
        <v/>
      </c>
      <c r="KT14" s="18">
        <f>IF(303&gt;=DeliverStart,BaseMarketRentMo*KT$6+BaseLowRentMo*KT$7,0)</f>
        <v/>
      </c>
      <c r="KU14" s="18">
        <f>IF(304&gt;=DeliverStart,BaseMarketRentMo*KU$6+BaseLowRentMo*KU$7,0)</f>
        <v/>
      </c>
      <c r="KV14" s="18">
        <f>IF(305&gt;=DeliverStart,BaseMarketRentMo*KV$6+BaseLowRentMo*KV$7,0)</f>
        <v/>
      </c>
      <c r="KW14" s="18">
        <f>IF(306&gt;=DeliverStart,BaseMarketRentMo*KW$6+BaseLowRentMo*KW$7,0)</f>
        <v/>
      </c>
      <c r="KX14" s="18">
        <f>IF(307&gt;=DeliverStart,BaseMarketRentMo*KX$6+BaseLowRentMo*KX$7,0)</f>
        <v/>
      </c>
      <c r="KY14" s="18">
        <f>IF(308&gt;=DeliverStart,BaseMarketRentMo*KY$6+BaseLowRentMo*KY$7,0)</f>
        <v/>
      </c>
      <c r="KZ14" s="18">
        <f>IF(309&gt;=DeliverStart,BaseMarketRentMo*KZ$6+BaseLowRentMo*KZ$7,0)</f>
        <v/>
      </c>
      <c r="LA14" s="18">
        <f>IF(310&gt;=DeliverStart,BaseMarketRentMo*LA$6+BaseLowRentMo*LA$7,0)</f>
        <v/>
      </c>
      <c r="LB14" s="18">
        <f>IF(311&gt;=DeliverStart,BaseMarketRentMo*LB$6+BaseLowRentMo*LB$7,0)</f>
        <v/>
      </c>
      <c r="LC14" s="18">
        <f>IF(312&gt;=DeliverStart,BaseMarketRentMo*LC$6+BaseLowRentMo*LC$7,0)</f>
        <v/>
      </c>
      <c r="LD14" s="18">
        <f>IF(313&gt;=DeliverStart,BaseMarketRentMo*LD$6+BaseLowRentMo*LD$7,0)</f>
        <v/>
      </c>
      <c r="LE14" s="18">
        <f>IF(314&gt;=DeliverStart,BaseMarketRentMo*LE$6+BaseLowRentMo*LE$7,0)</f>
        <v/>
      </c>
      <c r="LF14" s="18">
        <f>IF(315&gt;=DeliverStart,BaseMarketRentMo*LF$6+BaseLowRentMo*LF$7,0)</f>
        <v/>
      </c>
      <c r="LG14" s="18">
        <f>IF(316&gt;=DeliverStart,BaseMarketRentMo*LG$6+BaseLowRentMo*LG$7,0)</f>
        <v/>
      </c>
      <c r="LH14" s="18">
        <f>IF(317&gt;=DeliverStart,BaseMarketRentMo*LH$6+BaseLowRentMo*LH$7,0)</f>
        <v/>
      </c>
      <c r="LI14" s="18">
        <f>IF(318&gt;=DeliverStart,BaseMarketRentMo*LI$6+BaseLowRentMo*LI$7,0)</f>
        <v/>
      </c>
      <c r="LJ14" s="18">
        <f>IF(319&gt;=DeliverStart,BaseMarketRentMo*LJ$6+BaseLowRentMo*LJ$7,0)</f>
        <v/>
      </c>
      <c r="LK14" s="18">
        <f>IF(320&gt;=DeliverStart,BaseMarketRentMo*LK$6+BaseLowRentMo*LK$7,0)</f>
        <v/>
      </c>
      <c r="LL14" s="18">
        <f>IF(321&gt;=DeliverStart,BaseMarketRentMo*LL$6+BaseLowRentMo*LL$7,0)</f>
        <v/>
      </c>
      <c r="LM14" s="18">
        <f>IF(322&gt;=DeliverStart,BaseMarketRentMo*LM$6+BaseLowRentMo*LM$7,0)</f>
        <v/>
      </c>
      <c r="LN14" s="18">
        <f>IF(323&gt;=DeliverStart,BaseMarketRentMo*LN$6+BaseLowRentMo*LN$7,0)</f>
        <v/>
      </c>
      <c r="LO14" s="18">
        <f>IF(324&gt;=DeliverStart,BaseMarketRentMo*LO$6+BaseLowRentMo*LO$7,0)</f>
        <v/>
      </c>
      <c r="LP14" s="18">
        <f>IF(325&gt;=DeliverStart,BaseMarketRentMo*LP$6+BaseLowRentMo*LP$7,0)</f>
        <v/>
      </c>
      <c r="LQ14" s="18">
        <f>IF(326&gt;=DeliverStart,BaseMarketRentMo*LQ$6+BaseLowRentMo*LQ$7,0)</f>
        <v/>
      </c>
      <c r="LR14" s="18">
        <f>IF(327&gt;=DeliverStart,BaseMarketRentMo*LR$6+BaseLowRentMo*LR$7,0)</f>
        <v/>
      </c>
      <c r="LS14" s="18">
        <f>IF(328&gt;=DeliverStart,BaseMarketRentMo*LS$6+BaseLowRentMo*LS$7,0)</f>
        <v/>
      </c>
      <c r="LT14" s="18">
        <f>IF(329&gt;=DeliverStart,BaseMarketRentMo*LT$6+BaseLowRentMo*LT$7,0)</f>
        <v/>
      </c>
      <c r="LU14" s="18">
        <f>IF(330&gt;=DeliverStart,BaseMarketRentMo*LU$6+BaseLowRentMo*LU$7,0)</f>
        <v/>
      </c>
      <c r="LV14" s="18">
        <f>IF(331&gt;=DeliverStart,BaseMarketRentMo*LV$6+BaseLowRentMo*LV$7,0)</f>
        <v/>
      </c>
      <c r="LW14" s="18">
        <f>IF(332&gt;=DeliverStart,BaseMarketRentMo*LW$6+BaseLowRentMo*LW$7,0)</f>
        <v/>
      </c>
      <c r="LX14" s="18">
        <f>IF(333&gt;=DeliverStart,BaseMarketRentMo*LX$6+BaseLowRentMo*LX$7,0)</f>
        <v/>
      </c>
      <c r="LY14" s="18">
        <f>IF(334&gt;=DeliverStart,BaseMarketRentMo*LY$6+BaseLowRentMo*LY$7,0)</f>
        <v/>
      </c>
      <c r="LZ14" s="18">
        <f>IF(335&gt;=DeliverStart,BaseMarketRentMo*LZ$6+BaseLowRentMo*LZ$7,0)</f>
        <v/>
      </c>
      <c r="MA14" s="18">
        <f>IF(336&gt;=DeliverStart,BaseMarketRentMo*MA$6+BaseLowRentMo*MA$7,0)</f>
        <v/>
      </c>
      <c r="MB14" s="18">
        <f>IF(337&gt;=DeliverStart,BaseMarketRentMo*MB$6+BaseLowRentMo*MB$7,0)</f>
        <v/>
      </c>
      <c r="MC14" s="18">
        <f>IF(338&gt;=DeliverStart,BaseMarketRentMo*MC$6+BaseLowRentMo*MC$7,0)</f>
        <v/>
      </c>
      <c r="MD14" s="18">
        <f>IF(339&gt;=DeliverStart,BaseMarketRentMo*MD$6+BaseLowRentMo*MD$7,0)</f>
        <v/>
      </c>
      <c r="ME14" s="18">
        <f>IF(340&gt;=DeliverStart,BaseMarketRentMo*ME$6+BaseLowRentMo*ME$7,0)</f>
        <v/>
      </c>
      <c r="MF14" s="18">
        <f>IF(341&gt;=DeliverStart,BaseMarketRentMo*MF$6+BaseLowRentMo*MF$7,0)</f>
        <v/>
      </c>
      <c r="MG14" s="18">
        <f>IF(342&gt;=DeliverStart,BaseMarketRentMo*MG$6+BaseLowRentMo*MG$7,0)</f>
        <v/>
      </c>
      <c r="MH14" s="18">
        <f>IF(343&gt;=DeliverStart,BaseMarketRentMo*MH$6+BaseLowRentMo*MH$7,0)</f>
        <v/>
      </c>
      <c r="MI14" s="18">
        <f>IF(344&gt;=DeliverStart,BaseMarketRentMo*MI$6+BaseLowRentMo*MI$7,0)</f>
        <v/>
      </c>
      <c r="MJ14" s="18">
        <f>IF(345&gt;=DeliverStart,BaseMarketRentMo*MJ$6+BaseLowRentMo*MJ$7,0)</f>
        <v/>
      </c>
      <c r="MK14" s="18">
        <f>IF(346&gt;=DeliverStart,BaseMarketRentMo*MK$6+BaseLowRentMo*MK$7,0)</f>
        <v/>
      </c>
      <c r="ML14" s="18">
        <f>IF(347&gt;=DeliverStart,BaseMarketRentMo*ML$6+BaseLowRentMo*ML$7,0)</f>
        <v/>
      </c>
      <c r="MM14" s="18">
        <f>IF(348&gt;=DeliverStart,BaseMarketRentMo*MM$6+BaseLowRentMo*MM$7,0)</f>
        <v/>
      </c>
      <c r="MN14" s="18">
        <f>IF(349&gt;=DeliverStart,BaseMarketRentMo*MN$6+BaseLowRentMo*MN$7,0)</f>
        <v/>
      </c>
      <c r="MO14" s="18">
        <f>IF(350&gt;=DeliverStart,BaseMarketRentMo*MO$6+BaseLowRentMo*MO$7,0)</f>
        <v/>
      </c>
      <c r="MP14" s="18">
        <f>IF(351&gt;=DeliverStart,BaseMarketRentMo*MP$6+BaseLowRentMo*MP$7,0)</f>
        <v/>
      </c>
      <c r="MQ14" s="18">
        <f>IF(352&gt;=DeliverStart,BaseMarketRentMo*MQ$6+BaseLowRentMo*MQ$7,0)</f>
        <v/>
      </c>
      <c r="MR14" s="18">
        <f>IF(353&gt;=DeliverStart,BaseMarketRentMo*MR$6+BaseLowRentMo*MR$7,0)</f>
        <v/>
      </c>
      <c r="MS14" s="18">
        <f>IF(354&gt;=DeliverStart,BaseMarketRentMo*MS$6+BaseLowRentMo*MS$7,0)</f>
        <v/>
      </c>
      <c r="MT14" s="18">
        <f>IF(355&gt;=DeliverStart,BaseMarketRentMo*MT$6+BaseLowRentMo*MT$7,0)</f>
        <v/>
      </c>
      <c r="MU14" s="18">
        <f>IF(356&gt;=DeliverStart,BaseMarketRentMo*MU$6+BaseLowRentMo*MU$7,0)</f>
        <v/>
      </c>
      <c r="MV14" s="18">
        <f>IF(357&gt;=DeliverStart,BaseMarketRentMo*MV$6+BaseLowRentMo*MV$7,0)</f>
        <v/>
      </c>
      <c r="MW14" s="18">
        <f>IF(358&gt;=DeliverStart,BaseMarketRentMo*MW$6+BaseLowRentMo*MW$7,0)</f>
        <v/>
      </c>
      <c r="MX14" s="18">
        <f>IF(359&gt;=DeliverStart,BaseMarketRentMo*MX$6+BaseLowRentMo*MX$7,0)</f>
        <v/>
      </c>
      <c r="MY14" s="18">
        <f>IF(360&gt;=DeliverStart,BaseMarketRentMo*MY$6+BaseLowRentMo*MY$7,0)</f>
        <v/>
      </c>
      <c r="MZ14" s="18">
        <f>IF(361&gt;=DeliverStart,BaseMarketRentMo*MZ$6+BaseLowRentMo*MZ$7,0)</f>
        <v/>
      </c>
      <c r="NA14" s="18">
        <f>IF(362&gt;=DeliverStart,BaseMarketRentMo*NA$6+BaseLowRentMo*NA$7,0)</f>
        <v/>
      </c>
      <c r="NB14" s="18">
        <f>IF(363&gt;=DeliverStart,BaseMarketRentMo*NB$6+BaseLowRentMo*NB$7,0)</f>
        <v/>
      </c>
      <c r="NC14" s="18">
        <f>IF(364&gt;=DeliverStart,BaseMarketRentMo*NC$6+BaseLowRentMo*NC$7,0)</f>
        <v/>
      </c>
      <c r="ND14" s="18">
        <f>IF(365&gt;=DeliverStart,BaseMarketRentMo*ND$6+BaseLowRentMo*ND$7,0)</f>
        <v/>
      </c>
      <c r="NE14" s="18">
        <f>IF(366&gt;=DeliverStart,BaseMarketRentMo*NE$6+BaseLowRentMo*NE$7,0)</f>
        <v/>
      </c>
      <c r="NF14" s="18">
        <f>IF(367&gt;=DeliverStart,BaseMarketRentMo*NF$6+BaseLowRentMo*NF$7,0)</f>
        <v/>
      </c>
      <c r="NG14" s="18">
        <f>IF(368&gt;=DeliverStart,BaseMarketRentMo*NG$6+BaseLowRentMo*NG$7,0)</f>
        <v/>
      </c>
      <c r="NH14" s="18">
        <f>IF(369&gt;=DeliverStart,BaseMarketRentMo*NH$6+BaseLowRentMo*NH$7,0)</f>
        <v/>
      </c>
      <c r="NI14" s="18">
        <f>IF(370&gt;=DeliverStart,BaseMarketRentMo*NI$6+BaseLowRentMo*NI$7,0)</f>
        <v/>
      </c>
      <c r="NJ14" s="18">
        <f>IF(371&gt;=DeliverStart,BaseMarketRentMo*NJ$6+BaseLowRentMo*NJ$7,0)</f>
        <v/>
      </c>
      <c r="NK14" s="18">
        <f>IF(372&gt;=DeliverStart,BaseMarketRentMo*NK$6+BaseLowRentMo*NK$7,0)</f>
        <v/>
      </c>
    </row>
    <row r="15">
      <c r="A15" s="5" t="inlineStr">
        <is>
          <t>Vacancy Loss</t>
        </is>
      </c>
      <c r="C15" s="41">
        <f>SUM(D15:NK15)</f>
        <v/>
      </c>
      <c r="D15" s="18">
        <f>-D$14*(1-'LeaseUp'!D$10)</f>
        <v/>
      </c>
      <c r="E15" s="18">
        <f>-E$14*(1-'LeaseUp'!E$10)</f>
        <v/>
      </c>
      <c r="F15" s="18">
        <f>-F$14*(1-'LeaseUp'!F$10)</f>
        <v/>
      </c>
      <c r="G15" s="18">
        <f>-G$14*(1-'LeaseUp'!G$10)</f>
        <v/>
      </c>
      <c r="H15" s="18">
        <f>-H$14*(1-'LeaseUp'!H$10)</f>
        <v/>
      </c>
      <c r="I15" s="18">
        <f>-I$14*(1-'LeaseUp'!I$10)</f>
        <v/>
      </c>
      <c r="J15" s="18">
        <f>-J$14*(1-'LeaseUp'!J$10)</f>
        <v/>
      </c>
      <c r="K15" s="18">
        <f>-K$14*(1-'LeaseUp'!K$10)</f>
        <v/>
      </c>
      <c r="L15" s="18">
        <f>-L$14*(1-'LeaseUp'!L$10)</f>
        <v/>
      </c>
      <c r="M15" s="18">
        <f>-M$14*(1-'LeaseUp'!M$10)</f>
        <v/>
      </c>
      <c r="N15" s="18">
        <f>-N$14*(1-'LeaseUp'!N$10)</f>
        <v/>
      </c>
      <c r="O15" s="18">
        <f>-O$14*(1-'LeaseUp'!O$10)</f>
        <v/>
      </c>
      <c r="P15" s="18">
        <f>-P$14*(1-'LeaseUp'!P$10)</f>
        <v/>
      </c>
      <c r="Q15" s="18">
        <f>-Q$14*(1-'LeaseUp'!Q$10)</f>
        <v/>
      </c>
      <c r="R15" s="18">
        <f>-R$14*(1-'LeaseUp'!R$10)</f>
        <v/>
      </c>
      <c r="S15" s="18">
        <f>-S$14*(1-'LeaseUp'!S$10)</f>
        <v/>
      </c>
      <c r="T15" s="18">
        <f>-T$14*(1-'LeaseUp'!T$10)</f>
        <v/>
      </c>
      <c r="U15" s="18">
        <f>-U$14*(1-'LeaseUp'!U$10)</f>
        <v/>
      </c>
      <c r="V15" s="18">
        <f>-V$14*(1-'LeaseUp'!V$10)</f>
        <v/>
      </c>
      <c r="W15" s="18">
        <f>-W$14*(1-'LeaseUp'!W$10)</f>
        <v/>
      </c>
      <c r="X15" s="18">
        <f>-X$14*(1-'LeaseUp'!X$10)</f>
        <v/>
      </c>
      <c r="Y15" s="18">
        <f>-Y$14*(1-'LeaseUp'!Y$10)</f>
        <v/>
      </c>
      <c r="Z15" s="18">
        <f>-Z$14*(1-'LeaseUp'!Z$10)</f>
        <v/>
      </c>
      <c r="AA15" s="18">
        <f>-AA$14*(1-'LeaseUp'!AA$10)</f>
        <v/>
      </c>
      <c r="AB15" s="18">
        <f>-AB$14*(1-'LeaseUp'!AB$10)</f>
        <v/>
      </c>
      <c r="AC15" s="18">
        <f>-AC$14*(1-'LeaseUp'!AC$10)</f>
        <v/>
      </c>
      <c r="AD15" s="18">
        <f>-AD$14*(1-'LeaseUp'!AD$10)</f>
        <v/>
      </c>
      <c r="AE15" s="18">
        <f>-AE$14*(1-'LeaseUp'!AE$10)</f>
        <v/>
      </c>
      <c r="AF15" s="18">
        <f>-AF$14*(1-'LeaseUp'!AF$10)</f>
        <v/>
      </c>
      <c r="AG15" s="18">
        <f>-AG$14*(1-'LeaseUp'!AG$10)</f>
        <v/>
      </c>
      <c r="AH15" s="18">
        <f>-AH$14*(1-'LeaseUp'!AH$10)</f>
        <v/>
      </c>
      <c r="AI15" s="18">
        <f>-AI$14*(1-'LeaseUp'!AI$10)</f>
        <v/>
      </c>
      <c r="AJ15" s="18">
        <f>-AJ$14*(1-'LeaseUp'!AJ$10)</f>
        <v/>
      </c>
      <c r="AK15" s="18">
        <f>-AK$14*(1-'LeaseUp'!AK$10)</f>
        <v/>
      </c>
      <c r="AL15" s="18">
        <f>-AL$14*(1-'LeaseUp'!AL$10)</f>
        <v/>
      </c>
      <c r="AM15" s="18">
        <f>-AM$14*(1-'LeaseUp'!AM$10)</f>
        <v/>
      </c>
      <c r="AN15" s="18">
        <f>-AN$14*(1-'LeaseUp'!AN$10)</f>
        <v/>
      </c>
      <c r="AO15" s="18">
        <f>-AO$14*(1-'LeaseUp'!AO$10)</f>
        <v/>
      </c>
      <c r="AP15" s="18">
        <f>-AP$14*(1-'LeaseUp'!AP$10)</f>
        <v/>
      </c>
      <c r="AQ15" s="18">
        <f>-AQ$14*(1-'LeaseUp'!AQ$10)</f>
        <v/>
      </c>
      <c r="AR15" s="18">
        <f>-AR$14*(1-'LeaseUp'!AR$10)</f>
        <v/>
      </c>
      <c r="AS15" s="18">
        <f>-AS$14*(1-'LeaseUp'!AS$10)</f>
        <v/>
      </c>
      <c r="AT15" s="18">
        <f>-AT$14*(1-'LeaseUp'!AT$10)</f>
        <v/>
      </c>
      <c r="AU15" s="18">
        <f>-AU$14*(1-'LeaseUp'!AU$10)</f>
        <v/>
      </c>
      <c r="AV15" s="18">
        <f>-AV$14*(1-'LeaseUp'!AV$10)</f>
        <v/>
      </c>
      <c r="AW15" s="18">
        <f>-AW$14*(1-'LeaseUp'!AW$10)</f>
        <v/>
      </c>
      <c r="AX15" s="18">
        <f>-AX$14*(1-'LeaseUp'!AX$10)</f>
        <v/>
      </c>
      <c r="AY15" s="18">
        <f>-AY$14*(1-'LeaseUp'!AY$10)</f>
        <v/>
      </c>
      <c r="AZ15" s="18">
        <f>-AZ$14*(1-'LeaseUp'!AZ$10)</f>
        <v/>
      </c>
      <c r="BA15" s="18">
        <f>-BA$14*(1-'LeaseUp'!BA$10)</f>
        <v/>
      </c>
      <c r="BB15" s="18">
        <f>-BB$14*(1-'LeaseUp'!BB$10)</f>
        <v/>
      </c>
      <c r="BC15" s="18">
        <f>-BC$14*(1-'LeaseUp'!BC$10)</f>
        <v/>
      </c>
      <c r="BD15" s="18">
        <f>-BD$14*(1-'LeaseUp'!BD$10)</f>
        <v/>
      </c>
      <c r="BE15" s="18">
        <f>-BE$14*(1-'LeaseUp'!BE$10)</f>
        <v/>
      </c>
      <c r="BF15" s="18">
        <f>-BF$14*(1-'LeaseUp'!BF$10)</f>
        <v/>
      </c>
      <c r="BG15" s="18">
        <f>-BG$14*(1-'LeaseUp'!BG$10)</f>
        <v/>
      </c>
      <c r="BH15" s="18">
        <f>-BH$14*(1-'LeaseUp'!BH$10)</f>
        <v/>
      </c>
      <c r="BI15" s="18">
        <f>-BI$14*(1-'LeaseUp'!BI$10)</f>
        <v/>
      </c>
      <c r="BJ15" s="18">
        <f>-BJ$14*(1-'LeaseUp'!BJ$10)</f>
        <v/>
      </c>
      <c r="BK15" s="18">
        <f>-BK$14*(1-'LeaseUp'!BK$10)</f>
        <v/>
      </c>
      <c r="BL15" s="18">
        <f>-BL$14*(1-'LeaseUp'!BL$10)</f>
        <v/>
      </c>
      <c r="BM15" s="18">
        <f>-BM$14*(1-'LeaseUp'!BM$10)</f>
        <v/>
      </c>
      <c r="BN15" s="18">
        <f>-BN$14*(1-'LeaseUp'!BN$10)</f>
        <v/>
      </c>
      <c r="BO15" s="18">
        <f>-BO$14*(1-'LeaseUp'!BO$10)</f>
        <v/>
      </c>
      <c r="BP15" s="18">
        <f>-BP$14*(1-'LeaseUp'!BP$10)</f>
        <v/>
      </c>
      <c r="BQ15" s="18">
        <f>-BQ$14*(1-'LeaseUp'!BQ$10)</f>
        <v/>
      </c>
      <c r="BR15" s="18">
        <f>-BR$14*(1-'LeaseUp'!BR$10)</f>
        <v/>
      </c>
      <c r="BS15" s="18">
        <f>-BS$14*(1-'LeaseUp'!BS$10)</f>
        <v/>
      </c>
      <c r="BT15" s="18">
        <f>-BT$14*(1-'LeaseUp'!BT$10)</f>
        <v/>
      </c>
      <c r="BU15" s="18">
        <f>-BU$14*(1-'LeaseUp'!BU$10)</f>
        <v/>
      </c>
      <c r="BV15" s="18">
        <f>-BV$14*(1-'LeaseUp'!BV$10)</f>
        <v/>
      </c>
      <c r="BW15" s="18">
        <f>-BW$14*(1-'LeaseUp'!BW$10)</f>
        <v/>
      </c>
      <c r="BX15" s="18">
        <f>-BX$14*(1-'LeaseUp'!BX$10)</f>
        <v/>
      </c>
      <c r="BY15" s="18">
        <f>-BY$14*(1-'LeaseUp'!BY$10)</f>
        <v/>
      </c>
      <c r="BZ15" s="18">
        <f>-BZ$14*(1-'LeaseUp'!BZ$10)</f>
        <v/>
      </c>
      <c r="CA15" s="18">
        <f>-CA$14*(1-'LeaseUp'!CA$10)</f>
        <v/>
      </c>
      <c r="CB15" s="18">
        <f>-CB$14*(1-'LeaseUp'!CB$10)</f>
        <v/>
      </c>
      <c r="CC15" s="18">
        <f>-CC$14*(1-'LeaseUp'!CC$10)</f>
        <v/>
      </c>
      <c r="CD15" s="18">
        <f>-CD$14*(1-'LeaseUp'!CD$10)</f>
        <v/>
      </c>
      <c r="CE15" s="18">
        <f>-CE$14*(1-'LeaseUp'!CE$10)</f>
        <v/>
      </c>
      <c r="CF15" s="18">
        <f>-CF$14*(1-'LeaseUp'!CF$10)</f>
        <v/>
      </c>
      <c r="CG15" s="18">
        <f>-CG$14*(1-'LeaseUp'!CG$10)</f>
        <v/>
      </c>
      <c r="CH15" s="18">
        <f>-CH$14*(1-'LeaseUp'!CH$10)</f>
        <v/>
      </c>
      <c r="CI15" s="18">
        <f>-CI$14*(1-'LeaseUp'!CI$10)</f>
        <v/>
      </c>
      <c r="CJ15" s="18">
        <f>-CJ$14*(1-'LeaseUp'!CJ$10)</f>
        <v/>
      </c>
      <c r="CK15" s="18">
        <f>-CK$14*(1-'LeaseUp'!CK$10)</f>
        <v/>
      </c>
      <c r="CL15" s="18">
        <f>-CL$14*(1-'LeaseUp'!CL$10)</f>
        <v/>
      </c>
      <c r="CM15" s="18">
        <f>-CM$14*(1-'LeaseUp'!CM$10)</f>
        <v/>
      </c>
      <c r="CN15" s="18">
        <f>-CN$14*(1-'LeaseUp'!CN$10)</f>
        <v/>
      </c>
      <c r="CO15" s="18">
        <f>-CO$14*(1-'LeaseUp'!CO$10)</f>
        <v/>
      </c>
      <c r="CP15" s="18">
        <f>-CP$14*(1-'LeaseUp'!CP$10)</f>
        <v/>
      </c>
      <c r="CQ15" s="18">
        <f>-CQ$14*(1-'LeaseUp'!CQ$10)</f>
        <v/>
      </c>
      <c r="CR15" s="18">
        <f>-CR$14*(1-'LeaseUp'!CR$10)</f>
        <v/>
      </c>
      <c r="CS15" s="18">
        <f>-CS$14*(1-'LeaseUp'!CS$10)</f>
        <v/>
      </c>
      <c r="CT15" s="18">
        <f>-CT$14*(1-'LeaseUp'!CT$10)</f>
        <v/>
      </c>
      <c r="CU15" s="18">
        <f>-CU$14*(1-'LeaseUp'!CU$10)</f>
        <v/>
      </c>
      <c r="CV15" s="18">
        <f>-CV$14*(1-'LeaseUp'!CV$10)</f>
        <v/>
      </c>
      <c r="CW15" s="18">
        <f>-CW$14*(1-'LeaseUp'!CW$10)</f>
        <v/>
      </c>
      <c r="CX15" s="18">
        <f>-CX$14*(1-'LeaseUp'!CX$10)</f>
        <v/>
      </c>
      <c r="CY15" s="18">
        <f>-CY$14*(1-'LeaseUp'!CY$10)</f>
        <v/>
      </c>
      <c r="CZ15" s="18">
        <f>-CZ$14*(1-'LeaseUp'!CZ$10)</f>
        <v/>
      </c>
      <c r="DA15" s="18">
        <f>-DA$14*(1-'LeaseUp'!DA$10)</f>
        <v/>
      </c>
      <c r="DB15" s="18">
        <f>-DB$14*(1-'LeaseUp'!DB$10)</f>
        <v/>
      </c>
      <c r="DC15" s="18">
        <f>-DC$14*(1-'LeaseUp'!DC$10)</f>
        <v/>
      </c>
      <c r="DD15" s="18">
        <f>-DD$14*(1-'LeaseUp'!DD$10)</f>
        <v/>
      </c>
      <c r="DE15" s="18">
        <f>-DE$14*(1-'LeaseUp'!DE$10)</f>
        <v/>
      </c>
      <c r="DF15" s="18">
        <f>-DF$14*(1-'LeaseUp'!DF$10)</f>
        <v/>
      </c>
      <c r="DG15" s="18">
        <f>-DG$14*(1-'LeaseUp'!DG$10)</f>
        <v/>
      </c>
      <c r="DH15" s="18">
        <f>-DH$14*(1-'LeaseUp'!DH$10)</f>
        <v/>
      </c>
      <c r="DI15" s="18">
        <f>-DI$14*(1-'LeaseUp'!DI$10)</f>
        <v/>
      </c>
      <c r="DJ15" s="18">
        <f>-DJ$14*(1-'LeaseUp'!DJ$10)</f>
        <v/>
      </c>
      <c r="DK15" s="18">
        <f>-DK$14*(1-'LeaseUp'!DK$10)</f>
        <v/>
      </c>
      <c r="DL15" s="18">
        <f>-DL$14*(1-'LeaseUp'!DL$10)</f>
        <v/>
      </c>
      <c r="DM15" s="18">
        <f>-DM$14*(1-'LeaseUp'!DM$10)</f>
        <v/>
      </c>
      <c r="DN15" s="18">
        <f>-DN$14*(1-'LeaseUp'!DN$10)</f>
        <v/>
      </c>
      <c r="DO15" s="18">
        <f>-DO$14*(1-'LeaseUp'!DO$10)</f>
        <v/>
      </c>
      <c r="DP15" s="18">
        <f>-DP$14*(1-'LeaseUp'!DP$10)</f>
        <v/>
      </c>
      <c r="DQ15" s="18">
        <f>-DQ$14*(1-'LeaseUp'!DQ$10)</f>
        <v/>
      </c>
      <c r="DR15" s="18">
        <f>-DR$14*(1-'LeaseUp'!DR$10)</f>
        <v/>
      </c>
      <c r="DS15" s="18">
        <f>-DS$14*(1-'LeaseUp'!DS$10)</f>
        <v/>
      </c>
      <c r="DT15" s="18">
        <f>-DT$14*(1-'LeaseUp'!DT$10)</f>
        <v/>
      </c>
      <c r="DU15" s="18">
        <f>-DU$14*(1-'LeaseUp'!DU$10)</f>
        <v/>
      </c>
      <c r="DV15" s="18">
        <f>-DV$14*(1-'LeaseUp'!DV$10)</f>
        <v/>
      </c>
      <c r="DW15" s="18">
        <f>-DW$14*(1-'LeaseUp'!DW$10)</f>
        <v/>
      </c>
      <c r="DX15" s="18">
        <f>-DX$14*(1-'LeaseUp'!DX$10)</f>
        <v/>
      </c>
      <c r="DY15" s="18">
        <f>-DY$14*(1-'LeaseUp'!DY$10)</f>
        <v/>
      </c>
      <c r="DZ15" s="18">
        <f>-DZ$14*(1-'LeaseUp'!DZ$10)</f>
        <v/>
      </c>
      <c r="EA15" s="18">
        <f>-EA$14*(1-'LeaseUp'!EA$10)</f>
        <v/>
      </c>
      <c r="EB15" s="18">
        <f>-EB$14*(1-'LeaseUp'!EB$10)</f>
        <v/>
      </c>
      <c r="EC15" s="18">
        <f>-EC$14*(1-'LeaseUp'!EC$10)</f>
        <v/>
      </c>
      <c r="ED15" s="18">
        <f>-ED$14*(1-'LeaseUp'!ED$10)</f>
        <v/>
      </c>
      <c r="EE15" s="18">
        <f>-EE$14*(1-'LeaseUp'!EE$10)</f>
        <v/>
      </c>
      <c r="EF15" s="18">
        <f>-EF$14*(1-'LeaseUp'!EF$10)</f>
        <v/>
      </c>
      <c r="EG15" s="18">
        <f>-EG$14*(1-'LeaseUp'!EG$10)</f>
        <v/>
      </c>
      <c r="EH15" s="18">
        <f>-EH$14*(1-'LeaseUp'!EH$10)</f>
        <v/>
      </c>
      <c r="EI15" s="18">
        <f>-EI$14*(1-'LeaseUp'!EI$10)</f>
        <v/>
      </c>
      <c r="EJ15" s="18">
        <f>-EJ$14*(1-'LeaseUp'!EJ$10)</f>
        <v/>
      </c>
      <c r="EK15" s="18">
        <f>-EK$14*(1-'LeaseUp'!EK$10)</f>
        <v/>
      </c>
      <c r="EL15" s="18">
        <f>-EL$14*(1-'LeaseUp'!EL$10)</f>
        <v/>
      </c>
      <c r="EM15" s="18">
        <f>-EM$14*(1-'LeaseUp'!EM$10)</f>
        <v/>
      </c>
      <c r="EN15" s="18">
        <f>-EN$14*(1-'LeaseUp'!EN$10)</f>
        <v/>
      </c>
      <c r="EO15" s="18">
        <f>-EO$14*(1-'LeaseUp'!EO$10)</f>
        <v/>
      </c>
      <c r="EP15" s="18">
        <f>-EP$14*(1-'LeaseUp'!EP$10)</f>
        <v/>
      </c>
      <c r="EQ15" s="18">
        <f>-EQ$14*(1-'LeaseUp'!EQ$10)</f>
        <v/>
      </c>
      <c r="ER15" s="18">
        <f>-ER$14*(1-'LeaseUp'!ER$10)</f>
        <v/>
      </c>
      <c r="ES15" s="18">
        <f>-ES$14*(1-'LeaseUp'!ES$10)</f>
        <v/>
      </c>
      <c r="ET15" s="18">
        <f>-ET$14*(1-'LeaseUp'!ET$10)</f>
        <v/>
      </c>
      <c r="EU15" s="18">
        <f>-EU$14*(1-'LeaseUp'!EU$10)</f>
        <v/>
      </c>
      <c r="EV15" s="18">
        <f>-EV$14*(1-'LeaseUp'!EV$10)</f>
        <v/>
      </c>
      <c r="EW15" s="18">
        <f>-EW$14*(1-'LeaseUp'!EW$10)</f>
        <v/>
      </c>
      <c r="EX15" s="18">
        <f>-EX$14*(1-'LeaseUp'!EX$10)</f>
        <v/>
      </c>
      <c r="EY15" s="18">
        <f>-EY$14*(1-'LeaseUp'!EY$10)</f>
        <v/>
      </c>
      <c r="EZ15" s="18">
        <f>-EZ$14*(1-'LeaseUp'!EZ$10)</f>
        <v/>
      </c>
      <c r="FA15" s="18">
        <f>-FA$14*(1-'LeaseUp'!FA$10)</f>
        <v/>
      </c>
      <c r="FB15" s="18">
        <f>-FB$14*(1-'LeaseUp'!FB$10)</f>
        <v/>
      </c>
      <c r="FC15" s="18">
        <f>-FC$14*(1-'LeaseUp'!FC$10)</f>
        <v/>
      </c>
      <c r="FD15" s="18">
        <f>-FD$14*(1-'LeaseUp'!FD$10)</f>
        <v/>
      </c>
      <c r="FE15" s="18">
        <f>-FE$14*(1-'LeaseUp'!FE$10)</f>
        <v/>
      </c>
      <c r="FF15" s="18">
        <f>-FF$14*(1-'LeaseUp'!FF$10)</f>
        <v/>
      </c>
      <c r="FG15" s="18">
        <f>-FG$14*(1-'LeaseUp'!FG$10)</f>
        <v/>
      </c>
      <c r="FH15" s="18">
        <f>-FH$14*(1-'LeaseUp'!FH$10)</f>
        <v/>
      </c>
      <c r="FI15" s="18">
        <f>-FI$14*(1-'LeaseUp'!FI$10)</f>
        <v/>
      </c>
      <c r="FJ15" s="18">
        <f>-FJ$14*(1-'LeaseUp'!FJ$10)</f>
        <v/>
      </c>
      <c r="FK15" s="18">
        <f>-FK$14*(1-'LeaseUp'!FK$10)</f>
        <v/>
      </c>
      <c r="FL15" s="18">
        <f>-FL$14*(1-'LeaseUp'!FL$10)</f>
        <v/>
      </c>
      <c r="FM15" s="18">
        <f>-FM$14*(1-'LeaseUp'!FM$10)</f>
        <v/>
      </c>
      <c r="FN15" s="18">
        <f>-FN$14*(1-'LeaseUp'!FN$10)</f>
        <v/>
      </c>
      <c r="FO15" s="18">
        <f>-FO$14*(1-'LeaseUp'!FO$10)</f>
        <v/>
      </c>
      <c r="FP15" s="18">
        <f>-FP$14*(1-'LeaseUp'!FP$10)</f>
        <v/>
      </c>
      <c r="FQ15" s="18">
        <f>-FQ$14*(1-'LeaseUp'!FQ$10)</f>
        <v/>
      </c>
      <c r="FR15" s="18">
        <f>-FR$14*(1-'LeaseUp'!FR$10)</f>
        <v/>
      </c>
      <c r="FS15" s="18">
        <f>-FS$14*(1-'LeaseUp'!FS$10)</f>
        <v/>
      </c>
      <c r="FT15" s="18">
        <f>-FT$14*(1-'LeaseUp'!FT$10)</f>
        <v/>
      </c>
      <c r="FU15" s="18">
        <f>-FU$14*(1-'LeaseUp'!FU$10)</f>
        <v/>
      </c>
      <c r="FV15" s="18">
        <f>-FV$14*(1-'LeaseUp'!FV$10)</f>
        <v/>
      </c>
      <c r="FW15" s="18">
        <f>-FW$14*(1-'LeaseUp'!FW$10)</f>
        <v/>
      </c>
      <c r="FX15" s="18">
        <f>-FX$14*(1-'LeaseUp'!FX$10)</f>
        <v/>
      </c>
      <c r="FY15" s="18">
        <f>-FY$14*(1-'LeaseUp'!FY$10)</f>
        <v/>
      </c>
      <c r="FZ15" s="18">
        <f>-FZ$14*(1-'LeaseUp'!FZ$10)</f>
        <v/>
      </c>
      <c r="GA15" s="18">
        <f>-GA$14*(1-'LeaseUp'!GA$10)</f>
        <v/>
      </c>
      <c r="GB15" s="18">
        <f>-GB$14*(1-'LeaseUp'!GB$10)</f>
        <v/>
      </c>
      <c r="GC15" s="18">
        <f>-GC$14*(1-'LeaseUp'!GC$10)</f>
        <v/>
      </c>
      <c r="GD15" s="18">
        <f>-GD$14*(1-'LeaseUp'!GD$10)</f>
        <v/>
      </c>
      <c r="GE15" s="18">
        <f>-GE$14*(1-'LeaseUp'!GE$10)</f>
        <v/>
      </c>
      <c r="GF15" s="18">
        <f>-GF$14*(1-'LeaseUp'!GF$10)</f>
        <v/>
      </c>
      <c r="GG15" s="18">
        <f>-GG$14*(1-'LeaseUp'!GG$10)</f>
        <v/>
      </c>
      <c r="GH15" s="18">
        <f>-GH$14*(1-'LeaseUp'!GH$10)</f>
        <v/>
      </c>
      <c r="GI15" s="18">
        <f>-GI$14*(1-'LeaseUp'!GI$10)</f>
        <v/>
      </c>
      <c r="GJ15" s="18">
        <f>-GJ$14*(1-'LeaseUp'!GJ$10)</f>
        <v/>
      </c>
      <c r="GK15" s="18">
        <f>-GK$14*(1-'LeaseUp'!GK$10)</f>
        <v/>
      </c>
      <c r="GL15" s="18">
        <f>-GL$14*(1-'LeaseUp'!GL$10)</f>
        <v/>
      </c>
      <c r="GM15" s="18">
        <f>-GM$14*(1-'LeaseUp'!GM$10)</f>
        <v/>
      </c>
      <c r="GN15" s="18">
        <f>-GN$14*(1-'LeaseUp'!GN$10)</f>
        <v/>
      </c>
      <c r="GO15" s="18">
        <f>-GO$14*(1-'LeaseUp'!GO$10)</f>
        <v/>
      </c>
      <c r="GP15" s="18">
        <f>-GP$14*(1-'LeaseUp'!GP$10)</f>
        <v/>
      </c>
      <c r="GQ15" s="18">
        <f>-GQ$14*(1-'LeaseUp'!GQ$10)</f>
        <v/>
      </c>
      <c r="GR15" s="18">
        <f>-GR$14*(1-'LeaseUp'!GR$10)</f>
        <v/>
      </c>
      <c r="GS15" s="18">
        <f>-GS$14*(1-'LeaseUp'!GS$10)</f>
        <v/>
      </c>
      <c r="GT15" s="18">
        <f>-GT$14*(1-'LeaseUp'!GT$10)</f>
        <v/>
      </c>
      <c r="GU15" s="18">
        <f>-GU$14*(1-'LeaseUp'!GU$10)</f>
        <v/>
      </c>
      <c r="GV15" s="18">
        <f>-GV$14*(1-'LeaseUp'!GV$10)</f>
        <v/>
      </c>
      <c r="GW15" s="18">
        <f>-GW$14*(1-'LeaseUp'!GW$10)</f>
        <v/>
      </c>
      <c r="GX15" s="18">
        <f>-GX$14*(1-'LeaseUp'!GX$10)</f>
        <v/>
      </c>
      <c r="GY15" s="18">
        <f>-GY$14*(1-'LeaseUp'!GY$10)</f>
        <v/>
      </c>
      <c r="GZ15" s="18">
        <f>-GZ$14*(1-'LeaseUp'!GZ$10)</f>
        <v/>
      </c>
      <c r="HA15" s="18">
        <f>-HA$14*(1-'LeaseUp'!HA$10)</f>
        <v/>
      </c>
      <c r="HB15" s="18">
        <f>-HB$14*(1-'LeaseUp'!HB$10)</f>
        <v/>
      </c>
      <c r="HC15" s="18">
        <f>-HC$14*(1-'LeaseUp'!HC$10)</f>
        <v/>
      </c>
      <c r="HD15" s="18">
        <f>-HD$14*(1-'LeaseUp'!HD$10)</f>
        <v/>
      </c>
      <c r="HE15" s="18">
        <f>-HE$14*(1-'LeaseUp'!HE$10)</f>
        <v/>
      </c>
      <c r="HF15" s="18">
        <f>-HF$14*(1-'LeaseUp'!HF$10)</f>
        <v/>
      </c>
      <c r="HG15" s="18">
        <f>-HG$14*(1-'LeaseUp'!HG$10)</f>
        <v/>
      </c>
      <c r="HH15" s="18">
        <f>-HH$14*(1-'LeaseUp'!HH$10)</f>
        <v/>
      </c>
      <c r="HI15" s="18">
        <f>-HI$14*(1-'LeaseUp'!HI$10)</f>
        <v/>
      </c>
      <c r="HJ15" s="18">
        <f>-HJ$14*(1-'LeaseUp'!HJ$10)</f>
        <v/>
      </c>
      <c r="HK15" s="18">
        <f>-HK$14*(1-'LeaseUp'!HK$10)</f>
        <v/>
      </c>
      <c r="HL15" s="18">
        <f>-HL$14*(1-'LeaseUp'!HL$10)</f>
        <v/>
      </c>
      <c r="HM15" s="18">
        <f>-HM$14*(1-'LeaseUp'!HM$10)</f>
        <v/>
      </c>
      <c r="HN15" s="18">
        <f>-HN$14*(1-'LeaseUp'!HN$10)</f>
        <v/>
      </c>
      <c r="HO15" s="18">
        <f>-HO$14*(1-'LeaseUp'!HO$10)</f>
        <v/>
      </c>
      <c r="HP15" s="18">
        <f>-HP$14*(1-'LeaseUp'!HP$10)</f>
        <v/>
      </c>
      <c r="HQ15" s="18">
        <f>-HQ$14*(1-'LeaseUp'!HQ$10)</f>
        <v/>
      </c>
      <c r="HR15" s="18">
        <f>-HR$14*(1-'LeaseUp'!HR$10)</f>
        <v/>
      </c>
      <c r="HS15" s="18">
        <f>-HS$14*(1-'LeaseUp'!HS$10)</f>
        <v/>
      </c>
      <c r="HT15" s="18">
        <f>-HT$14*(1-'LeaseUp'!HT$10)</f>
        <v/>
      </c>
      <c r="HU15" s="18">
        <f>-HU$14*(1-'LeaseUp'!HU$10)</f>
        <v/>
      </c>
      <c r="HV15" s="18">
        <f>-HV$14*(1-'LeaseUp'!HV$10)</f>
        <v/>
      </c>
      <c r="HW15" s="18">
        <f>-HW$14*(1-'LeaseUp'!HW$10)</f>
        <v/>
      </c>
      <c r="HX15" s="18">
        <f>-HX$14*(1-'LeaseUp'!HX$10)</f>
        <v/>
      </c>
      <c r="HY15" s="18">
        <f>-HY$14*(1-'LeaseUp'!HY$10)</f>
        <v/>
      </c>
      <c r="HZ15" s="18">
        <f>-HZ$14*(1-'LeaseUp'!HZ$10)</f>
        <v/>
      </c>
      <c r="IA15" s="18">
        <f>-IA$14*(1-'LeaseUp'!IA$10)</f>
        <v/>
      </c>
      <c r="IB15" s="18">
        <f>-IB$14*(1-'LeaseUp'!IB$10)</f>
        <v/>
      </c>
      <c r="IC15" s="18">
        <f>-IC$14*(1-'LeaseUp'!IC$10)</f>
        <v/>
      </c>
      <c r="ID15" s="18">
        <f>-ID$14*(1-'LeaseUp'!ID$10)</f>
        <v/>
      </c>
      <c r="IE15" s="18">
        <f>-IE$14*(1-'LeaseUp'!IE$10)</f>
        <v/>
      </c>
      <c r="IF15" s="18">
        <f>-IF$14*(1-'LeaseUp'!IF$10)</f>
        <v/>
      </c>
      <c r="IG15" s="18">
        <f>-IG$14*(1-'LeaseUp'!IG$10)</f>
        <v/>
      </c>
      <c r="IH15" s="18">
        <f>-IH$14*(1-'LeaseUp'!IH$10)</f>
        <v/>
      </c>
      <c r="II15" s="18">
        <f>-II$14*(1-'LeaseUp'!II$10)</f>
        <v/>
      </c>
      <c r="IJ15" s="18">
        <f>-IJ$14*(1-'LeaseUp'!IJ$10)</f>
        <v/>
      </c>
      <c r="IK15" s="18">
        <f>-IK$14*(1-'LeaseUp'!IK$10)</f>
        <v/>
      </c>
      <c r="IL15" s="18">
        <f>-IL$14*(1-'LeaseUp'!IL$10)</f>
        <v/>
      </c>
      <c r="IM15" s="18">
        <f>-IM$14*(1-'LeaseUp'!IM$10)</f>
        <v/>
      </c>
      <c r="IN15" s="18">
        <f>-IN$14*(1-'LeaseUp'!IN$10)</f>
        <v/>
      </c>
      <c r="IO15" s="18">
        <f>-IO$14*(1-'LeaseUp'!IO$10)</f>
        <v/>
      </c>
      <c r="IP15" s="18">
        <f>-IP$14*(1-'LeaseUp'!IP$10)</f>
        <v/>
      </c>
      <c r="IQ15" s="18">
        <f>-IQ$14*(1-'LeaseUp'!IQ$10)</f>
        <v/>
      </c>
      <c r="IR15" s="18">
        <f>-IR$14*(1-'LeaseUp'!IR$10)</f>
        <v/>
      </c>
      <c r="IS15" s="18">
        <f>-IS$14*(1-'LeaseUp'!IS$10)</f>
        <v/>
      </c>
      <c r="IT15" s="18">
        <f>-IT$14*(1-'LeaseUp'!IT$10)</f>
        <v/>
      </c>
      <c r="IU15" s="18">
        <f>-IU$14*(1-'LeaseUp'!IU$10)</f>
        <v/>
      </c>
      <c r="IV15" s="18">
        <f>-IV$14*(1-'LeaseUp'!IV$10)</f>
        <v/>
      </c>
      <c r="IW15" s="18">
        <f>-IW$14*(1-'LeaseUp'!IW$10)</f>
        <v/>
      </c>
      <c r="IX15" s="18">
        <f>-IX$14*(1-'LeaseUp'!IX$10)</f>
        <v/>
      </c>
      <c r="IY15" s="18">
        <f>-IY$14*(1-'LeaseUp'!IY$10)</f>
        <v/>
      </c>
      <c r="IZ15" s="18">
        <f>-IZ$14*(1-'LeaseUp'!IZ$10)</f>
        <v/>
      </c>
      <c r="JA15" s="18">
        <f>-JA$14*(1-'LeaseUp'!JA$10)</f>
        <v/>
      </c>
      <c r="JB15" s="18">
        <f>-JB$14*(1-'LeaseUp'!JB$10)</f>
        <v/>
      </c>
      <c r="JC15" s="18">
        <f>-JC$14*(1-'LeaseUp'!JC$10)</f>
        <v/>
      </c>
      <c r="JD15" s="18">
        <f>-JD$14*(1-'LeaseUp'!JD$10)</f>
        <v/>
      </c>
      <c r="JE15" s="18">
        <f>-JE$14*(1-'LeaseUp'!JE$10)</f>
        <v/>
      </c>
      <c r="JF15" s="18">
        <f>-JF$14*(1-'LeaseUp'!JF$10)</f>
        <v/>
      </c>
      <c r="JG15" s="18">
        <f>-JG$14*(1-'LeaseUp'!JG$10)</f>
        <v/>
      </c>
      <c r="JH15" s="18">
        <f>-JH$14*(1-'LeaseUp'!JH$10)</f>
        <v/>
      </c>
      <c r="JI15" s="18">
        <f>-JI$14*(1-'LeaseUp'!JI$10)</f>
        <v/>
      </c>
      <c r="JJ15" s="18">
        <f>-JJ$14*(1-'LeaseUp'!JJ$10)</f>
        <v/>
      </c>
      <c r="JK15" s="18">
        <f>-JK$14*(1-'LeaseUp'!JK$10)</f>
        <v/>
      </c>
      <c r="JL15" s="18">
        <f>-JL$14*(1-'LeaseUp'!JL$10)</f>
        <v/>
      </c>
      <c r="JM15" s="18">
        <f>-JM$14*(1-'LeaseUp'!JM$10)</f>
        <v/>
      </c>
      <c r="JN15" s="18">
        <f>-JN$14*(1-'LeaseUp'!JN$10)</f>
        <v/>
      </c>
      <c r="JO15" s="18">
        <f>-JO$14*(1-'LeaseUp'!JO$10)</f>
        <v/>
      </c>
      <c r="JP15" s="18">
        <f>-JP$14*(1-'LeaseUp'!JP$10)</f>
        <v/>
      </c>
      <c r="JQ15" s="18">
        <f>-JQ$14*(1-'LeaseUp'!JQ$10)</f>
        <v/>
      </c>
      <c r="JR15" s="18">
        <f>-JR$14*(1-'LeaseUp'!JR$10)</f>
        <v/>
      </c>
      <c r="JS15" s="18">
        <f>-JS$14*(1-'LeaseUp'!JS$10)</f>
        <v/>
      </c>
      <c r="JT15" s="18">
        <f>-JT$14*(1-'LeaseUp'!JT$10)</f>
        <v/>
      </c>
      <c r="JU15" s="18">
        <f>-JU$14*(1-'LeaseUp'!JU$10)</f>
        <v/>
      </c>
      <c r="JV15" s="18">
        <f>-JV$14*(1-'LeaseUp'!JV$10)</f>
        <v/>
      </c>
      <c r="JW15" s="18">
        <f>-JW$14*(1-'LeaseUp'!JW$10)</f>
        <v/>
      </c>
      <c r="JX15" s="18">
        <f>-JX$14*(1-'LeaseUp'!JX$10)</f>
        <v/>
      </c>
      <c r="JY15" s="18">
        <f>-JY$14*(1-'LeaseUp'!JY$10)</f>
        <v/>
      </c>
      <c r="JZ15" s="18">
        <f>-JZ$14*(1-'LeaseUp'!JZ$10)</f>
        <v/>
      </c>
      <c r="KA15" s="18">
        <f>-KA$14*(1-'LeaseUp'!KA$10)</f>
        <v/>
      </c>
      <c r="KB15" s="18">
        <f>-KB$14*(1-'LeaseUp'!KB$10)</f>
        <v/>
      </c>
      <c r="KC15" s="18">
        <f>-KC$14*(1-'LeaseUp'!KC$10)</f>
        <v/>
      </c>
      <c r="KD15" s="18">
        <f>-KD$14*(1-'LeaseUp'!KD$10)</f>
        <v/>
      </c>
      <c r="KE15" s="18">
        <f>-KE$14*(1-'LeaseUp'!KE$10)</f>
        <v/>
      </c>
      <c r="KF15" s="18">
        <f>-KF$14*(1-'LeaseUp'!KF$10)</f>
        <v/>
      </c>
      <c r="KG15" s="18">
        <f>-KG$14*(1-'LeaseUp'!KG$10)</f>
        <v/>
      </c>
      <c r="KH15" s="18">
        <f>-KH$14*(1-'LeaseUp'!KH$10)</f>
        <v/>
      </c>
      <c r="KI15" s="18">
        <f>-KI$14*(1-'LeaseUp'!KI$10)</f>
        <v/>
      </c>
      <c r="KJ15" s="18">
        <f>-KJ$14*(1-'LeaseUp'!KJ$10)</f>
        <v/>
      </c>
      <c r="KK15" s="18">
        <f>-KK$14*(1-'LeaseUp'!KK$10)</f>
        <v/>
      </c>
      <c r="KL15" s="18">
        <f>-KL$14*(1-'LeaseUp'!KL$10)</f>
        <v/>
      </c>
      <c r="KM15" s="18">
        <f>-KM$14*(1-'LeaseUp'!KM$10)</f>
        <v/>
      </c>
      <c r="KN15" s="18">
        <f>-KN$14*(1-'LeaseUp'!KN$10)</f>
        <v/>
      </c>
      <c r="KO15" s="18">
        <f>-KO$14*(1-'LeaseUp'!KO$10)</f>
        <v/>
      </c>
      <c r="KP15" s="18">
        <f>-KP$14*(1-'LeaseUp'!KP$10)</f>
        <v/>
      </c>
      <c r="KQ15" s="18">
        <f>-KQ$14*(1-'LeaseUp'!KQ$10)</f>
        <v/>
      </c>
      <c r="KR15" s="18">
        <f>-KR$14*(1-'LeaseUp'!KR$10)</f>
        <v/>
      </c>
      <c r="KS15" s="18">
        <f>-KS$14*(1-'LeaseUp'!KS$10)</f>
        <v/>
      </c>
      <c r="KT15" s="18">
        <f>-KT$14*(1-'LeaseUp'!KT$10)</f>
        <v/>
      </c>
      <c r="KU15" s="18">
        <f>-KU$14*(1-'LeaseUp'!KU$10)</f>
        <v/>
      </c>
      <c r="KV15" s="18">
        <f>-KV$14*(1-'LeaseUp'!KV$10)</f>
        <v/>
      </c>
      <c r="KW15" s="18">
        <f>-KW$14*(1-'LeaseUp'!KW$10)</f>
        <v/>
      </c>
      <c r="KX15" s="18">
        <f>-KX$14*(1-'LeaseUp'!KX$10)</f>
        <v/>
      </c>
      <c r="KY15" s="18">
        <f>-KY$14*(1-'LeaseUp'!KY$10)</f>
        <v/>
      </c>
      <c r="KZ15" s="18">
        <f>-KZ$14*(1-'LeaseUp'!KZ$10)</f>
        <v/>
      </c>
      <c r="LA15" s="18">
        <f>-LA$14*(1-'LeaseUp'!LA$10)</f>
        <v/>
      </c>
      <c r="LB15" s="18">
        <f>-LB$14*(1-'LeaseUp'!LB$10)</f>
        <v/>
      </c>
      <c r="LC15" s="18">
        <f>-LC$14*(1-'LeaseUp'!LC$10)</f>
        <v/>
      </c>
      <c r="LD15" s="18">
        <f>-LD$14*(1-'LeaseUp'!LD$10)</f>
        <v/>
      </c>
      <c r="LE15" s="18">
        <f>-LE$14*(1-'LeaseUp'!LE$10)</f>
        <v/>
      </c>
      <c r="LF15" s="18">
        <f>-LF$14*(1-'LeaseUp'!LF$10)</f>
        <v/>
      </c>
      <c r="LG15" s="18">
        <f>-LG$14*(1-'LeaseUp'!LG$10)</f>
        <v/>
      </c>
      <c r="LH15" s="18">
        <f>-LH$14*(1-'LeaseUp'!LH$10)</f>
        <v/>
      </c>
      <c r="LI15" s="18">
        <f>-LI$14*(1-'LeaseUp'!LI$10)</f>
        <v/>
      </c>
      <c r="LJ15" s="18">
        <f>-LJ$14*(1-'LeaseUp'!LJ$10)</f>
        <v/>
      </c>
      <c r="LK15" s="18">
        <f>-LK$14*(1-'LeaseUp'!LK$10)</f>
        <v/>
      </c>
      <c r="LL15" s="18">
        <f>-LL$14*(1-'LeaseUp'!LL$10)</f>
        <v/>
      </c>
      <c r="LM15" s="18">
        <f>-LM$14*(1-'LeaseUp'!LM$10)</f>
        <v/>
      </c>
      <c r="LN15" s="18">
        <f>-LN$14*(1-'LeaseUp'!LN$10)</f>
        <v/>
      </c>
      <c r="LO15" s="18">
        <f>-LO$14*(1-'LeaseUp'!LO$10)</f>
        <v/>
      </c>
      <c r="LP15" s="18">
        <f>-LP$14*(1-'LeaseUp'!LP$10)</f>
        <v/>
      </c>
      <c r="LQ15" s="18">
        <f>-LQ$14*(1-'LeaseUp'!LQ$10)</f>
        <v/>
      </c>
      <c r="LR15" s="18">
        <f>-LR$14*(1-'LeaseUp'!LR$10)</f>
        <v/>
      </c>
      <c r="LS15" s="18">
        <f>-LS$14*(1-'LeaseUp'!LS$10)</f>
        <v/>
      </c>
      <c r="LT15" s="18">
        <f>-LT$14*(1-'LeaseUp'!LT$10)</f>
        <v/>
      </c>
      <c r="LU15" s="18">
        <f>-LU$14*(1-'LeaseUp'!LU$10)</f>
        <v/>
      </c>
      <c r="LV15" s="18">
        <f>-LV$14*(1-'LeaseUp'!LV$10)</f>
        <v/>
      </c>
      <c r="LW15" s="18">
        <f>-LW$14*(1-'LeaseUp'!LW$10)</f>
        <v/>
      </c>
      <c r="LX15" s="18">
        <f>-LX$14*(1-'LeaseUp'!LX$10)</f>
        <v/>
      </c>
      <c r="LY15" s="18">
        <f>-LY$14*(1-'LeaseUp'!LY$10)</f>
        <v/>
      </c>
      <c r="LZ15" s="18">
        <f>-LZ$14*(1-'LeaseUp'!LZ$10)</f>
        <v/>
      </c>
      <c r="MA15" s="18">
        <f>-MA$14*(1-'LeaseUp'!MA$10)</f>
        <v/>
      </c>
      <c r="MB15" s="18">
        <f>-MB$14*(1-'LeaseUp'!MB$10)</f>
        <v/>
      </c>
      <c r="MC15" s="18">
        <f>-MC$14*(1-'LeaseUp'!MC$10)</f>
        <v/>
      </c>
      <c r="MD15" s="18">
        <f>-MD$14*(1-'LeaseUp'!MD$10)</f>
        <v/>
      </c>
      <c r="ME15" s="18">
        <f>-ME$14*(1-'LeaseUp'!ME$10)</f>
        <v/>
      </c>
      <c r="MF15" s="18">
        <f>-MF$14*(1-'LeaseUp'!MF$10)</f>
        <v/>
      </c>
      <c r="MG15" s="18">
        <f>-MG$14*(1-'LeaseUp'!MG$10)</f>
        <v/>
      </c>
      <c r="MH15" s="18">
        <f>-MH$14*(1-'LeaseUp'!MH$10)</f>
        <v/>
      </c>
      <c r="MI15" s="18">
        <f>-MI$14*(1-'LeaseUp'!MI$10)</f>
        <v/>
      </c>
      <c r="MJ15" s="18">
        <f>-MJ$14*(1-'LeaseUp'!MJ$10)</f>
        <v/>
      </c>
      <c r="MK15" s="18">
        <f>-MK$14*(1-'LeaseUp'!MK$10)</f>
        <v/>
      </c>
      <c r="ML15" s="18">
        <f>-ML$14*(1-'LeaseUp'!ML$10)</f>
        <v/>
      </c>
      <c r="MM15" s="18">
        <f>-MM$14*(1-'LeaseUp'!MM$10)</f>
        <v/>
      </c>
      <c r="MN15" s="18">
        <f>-MN$14*(1-'LeaseUp'!MN$10)</f>
        <v/>
      </c>
      <c r="MO15" s="18">
        <f>-MO$14*(1-'LeaseUp'!MO$10)</f>
        <v/>
      </c>
      <c r="MP15" s="18">
        <f>-MP$14*(1-'LeaseUp'!MP$10)</f>
        <v/>
      </c>
      <c r="MQ15" s="18">
        <f>-MQ$14*(1-'LeaseUp'!MQ$10)</f>
        <v/>
      </c>
      <c r="MR15" s="18">
        <f>-MR$14*(1-'LeaseUp'!MR$10)</f>
        <v/>
      </c>
      <c r="MS15" s="18">
        <f>-MS$14*(1-'LeaseUp'!MS$10)</f>
        <v/>
      </c>
      <c r="MT15" s="18">
        <f>-MT$14*(1-'LeaseUp'!MT$10)</f>
        <v/>
      </c>
      <c r="MU15" s="18">
        <f>-MU$14*(1-'LeaseUp'!MU$10)</f>
        <v/>
      </c>
      <c r="MV15" s="18">
        <f>-MV$14*(1-'LeaseUp'!MV$10)</f>
        <v/>
      </c>
      <c r="MW15" s="18">
        <f>-MW$14*(1-'LeaseUp'!MW$10)</f>
        <v/>
      </c>
      <c r="MX15" s="18">
        <f>-MX$14*(1-'LeaseUp'!MX$10)</f>
        <v/>
      </c>
      <c r="MY15" s="18">
        <f>-MY$14*(1-'LeaseUp'!MY$10)</f>
        <v/>
      </c>
      <c r="MZ15" s="18">
        <f>-MZ$14*(1-'LeaseUp'!MZ$10)</f>
        <v/>
      </c>
      <c r="NA15" s="18">
        <f>-NA$14*(1-'LeaseUp'!NA$10)</f>
        <v/>
      </c>
      <c r="NB15" s="18">
        <f>-NB$14*(1-'LeaseUp'!NB$10)</f>
        <v/>
      </c>
      <c r="NC15" s="18">
        <f>-NC$14*(1-'LeaseUp'!NC$10)</f>
        <v/>
      </c>
      <c r="ND15" s="18">
        <f>-ND$14*(1-'LeaseUp'!ND$10)</f>
        <v/>
      </c>
      <c r="NE15" s="18">
        <f>-NE$14*(1-'LeaseUp'!NE$10)</f>
        <v/>
      </c>
      <c r="NF15" s="18">
        <f>-NF$14*(1-'LeaseUp'!NF$10)</f>
        <v/>
      </c>
      <c r="NG15" s="18">
        <f>-NG$14*(1-'LeaseUp'!NG$10)</f>
        <v/>
      </c>
      <c r="NH15" s="18">
        <f>-NH$14*(1-'LeaseUp'!NH$10)</f>
        <v/>
      </c>
      <c r="NI15" s="18">
        <f>-NI$14*(1-'LeaseUp'!NI$10)</f>
        <v/>
      </c>
      <c r="NJ15" s="18">
        <f>-NJ$14*(1-'LeaseUp'!NJ$10)</f>
        <v/>
      </c>
      <c r="NK15" s="18">
        <f>-NK$14*(1-'LeaseUp'!NK$10)</f>
        <v/>
      </c>
    </row>
    <row r="16">
      <c r="A16" s="5" t="inlineStr">
        <is>
          <t>Gain/Loss to Lease</t>
        </is>
      </c>
      <c r="C16" s="41">
        <f>SUM(D16:NK16)</f>
        <v/>
      </c>
      <c r="D16" s="18">
        <f>-D$14*LossToLeasePct</f>
        <v/>
      </c>
      <c r="E16" s="18">
        <f>-E$14*LossToLeasePct</f>
        <v/>
      </c>
      <c r="F16" s="18">
        <f>-F$14*LossToLeasePct</f>
        <v/>
      </c>
      <c r="G16" s="18">
        <f>-G$14*LossToLeasePct</f>
        <v/>
      </c>
      <c r="H16" s="18">
        <f>-H$14*LossToLeasePct</f>
        <v/>
      </c>
      <c r="I16" s="18">
        <f>-I$14*LossToLeasePct</f>
        <v/>
      </c>
      <c r="J16" s="18">
        <f>-J$14*LossToLeasePct</f>
        <v/>
      </c>
      <c r="K16" s="18">
        <f>-K$14*LossToLeasePct</f>
        <v/>
      </c>
      <c r="L16" s="18">
        <f>-L$14*LossToLeasePct</f>
        <v/>
      </c>
      <c r="M16" s="18">
        <f>-M$14*LossToLeasePct</f>
        <v/>
      </c>
      <c r="N16" s="18">
        <f>-N$14*LossToLeasePct</f>
        <v/>
      </c>
      <c r="O16" s="18">
        <f>-O$14*LossToLeasePct</f>
        <v/>
      </c>
      <c r="P16" s="18">
        <f>-P$14*LossToLeasePct</f>
        <v/>
      </c>
      <c r="Q16" s="18">
        <f>-Q$14*LossToLeasePct</f>
        <v/>
      </c>
      <c r="R16" s="18">
        <f>-R$14*LossToLeasePct</f>
        <v/>
      </c>
      <c r="S16" s="18">
        <f>-S$14*LossToLeasePct</f>
        <v/>
      </c>
      <c r="T16" s="18">
        <f>-T$14*LossToLeasePct</f>
        <v/>
      </c>
      <c r="U16" s="18">
        <f>-U$14*LossToLeasePct</f>
        <v/>
      </c>
      <c r="V16" s="18">
        <f>-V$14*LossToLeasePct</f>
        <v/>
      </c>
      <c r="W16" s="18">
        <f>-W$14*LossToLeasePct</f>
        <v/>
      </c>
      <c r="X16" s="18">
        <f>-X$14*LossToLeasePct</f>
        <v/>
      </c>
      <c r="Y16" s="18">
        <f>-Y$14*LossToLeasePct</f>
        <v/>
      </c>
      <c r="Z16" s="18">
        <f>-Z$14*LossToLeasePct</f>
        <v/>
      </c>
      <c r="AA16" s="18">
        <f>-AA$14*LossToLeasePct</f>
        <v/>
      </c>
      <c r="AB16" s="18">
        <f>-AB$14*LossToLeasePct</f>
        <v/>
      </c>
      <c r="AC16" s="18">
        <f>-AC$14*LossToLeasePct</f>
        <v/>
      </c>
      <c r="AD16" s="18">
        <f>-AD$14*LossToLeasePct</f>
        <v/>
      </c>
      <c r="AE16" s="18">
        <f>-AE$14*LossToLeasePct</f>
        <v/>
      </c>
      <c r="AF16" s="18">
        <f>-AF$14*LossToLeasePct</f>
        <v/>
      </c>
      <c r="AG16" s="18">
        <f>-AG$14*LossToLeasePct</f>
        <v/>
      </c>
      <c r="AH16" s="18">
        <f>-AH$14*LossToLeasePct</f>
        <v/>
      </c>
      <c r="AI16" s="18">
        <f>-AI$14*LossToLeasePct</f>
        <v/>
      </c>
      <c r="AJ16" s="18">
        <f>-AJ$14*LossToLeasePct</f>
        <v/>
      </c>
      <c r="AK16" s="18">
        <f>-AK$14*LossToLeasePct</f>
        <v/>
      </c>
      <c r="AL16" s="18">
        <f>-AL$14*LossToLeasePct</f>
        <v/>
      </c>
      <c r="AM16" s="18">
        <f>-AM$14*LossToLeasePct</f>
        <v/>
      </c>
      <c r="AN16" s="18">
        <f>-AN$14*LossToLeasePct</f>
        <v/>
      </c>
      <c r="AO16" s="18">
        <f>-AO$14*LossToLeasePct</f>
        <v/>
      </c>
      <c r="AP16" s="18">
        <f>-AP$14*LossToLeasePct</f>
        <v/>
      </c>
      <c r="AQ16" s="18">
        <f>-AQ$14*LossToLeasePct</f>
        <v/>
      </c>
      <c r="AR16" s="18">
        <f>-AR$14*LossToLeasePct</f>
        <v/>
      </c>
      <c r="AS16" s="18">
        <f>-AS$14*LossToLeasePct</f>
        <v/>
      </c>
      <c r="AT16" s="18">
        <f>-AT$14*LossToLeasePct</f>
        <v/>
      </c>
      <c r="AU16" s="18">
        <f>-AU$14*LossToLeasePct</f>
        <v/>
      </c>
      <c r="AV16" s="18">
        <f>-AV$14*LossToLeasePct</f>
        <v/>
      </c>
      <c r="AW16" s="18">
        <f>-AW$14*LossToLeasePct</f>
        <v/>
      </c>
      <c r="AX16" s="18">
        <f>-AX$14*LossToLeasePct</f>
        <v/>
      </c>
      <c r="AY16" s="18">
        <f>-AY$14*LossToLeasePct</f>
        <v/>
      </c>
      <c r="AZ16" s="18">
        <f>-AZ$14*LossToLeasePct</f>
        <v/>
      </c>
      <c r="BA16" s="18">
        <f>-BA$14*LossToLeasePct</f>
        <v/>
      </c>
      <c r="BB16" s="18">
        <f>-BB$14*LossToLeasePct</f>
        <v/>
      </c>
      <c r="BC16" s="18">
        <f>-BC$14*LossToLeasePct</f>
        <v/>
      </c>
      <c r="BD16" s="18">
        <f>-BD$14*LossToLeasePct</f>
        <v/>
      </c>
      <c r="BE16" s="18">
        <f>-BE$14*LossToLeasePct</f>
        <v/>
      </c>
      <c r="BF16" s="18">
        <f>-BF$14*LossToLeasePct</f>
        <v/>
      </c>
      <c r="BG16" s="18">
        <f>-BG$14*LossToLeasePct</f>
        <v/>
      </c>
      <c r="BH16" s="18">
        <f>-BH$14*LossToLeasePct</f>
        <v/>
      </c>
      <c r="BI16" s="18">
        <f>-BI$14*LossToLeasePct</f>
        <v/>
      </c>
      <c r="BJ16" s="18">
        <f>-BJ$14*LossToLeasePct</f>
        <v/>
      </c>
      <c r="BK16" s="18">
        <f>-BK$14*LossToLeasePct</f>
        <v/>
      </c>
      <c r="BL16" s="18">
        <f>-BL$14*LossToLeasePct</f>
        <v/>
      </c>
      <c r="BM16" s="18">
        <f>-BM$14*LossToLeasePct</f>
        <v/>
      </c>
      <c r="BN16" s="18">
        <f>-BN$14*LossToLeasePct</f>
        <v/>
      </c>
      <c r="BO16" s="18">
        <f>-BO$14*LossToLeasePct</f>
        <v/>
      </c>
      <c r="BP16" s="18">
        <f>-BP$14*LossToLeasePct</f>
        <v/>
      </c>
      <c r="BQ16" s="18">
        <f>-BQ$14*LossToLeasePct</f>
        <v/>
      </c>
      <c r="BR16" s="18">
        <f>-BR$14*LossToLeasePct</f>
        <v/>
      </c>
      <c r="BS16" s="18">
        <f>-BS$14*LossToLeasePct</f>
        <v/>
      </c>
      <c r="BT16" s="18">
        <f>-BT$14*LossToLeasePct</f>
        <v/>
      </c>
      <c r="BU16" s="18">
        <f>-BU$14*LossToLeasePct</f>
        <v/>
      </c>
      <c r="BV16" s="18">
        <f>-BV$14*LossToLeasePct</f>
        <v/>
      </c>
      <c r="BW16" s="18">
        <f>-BW$14*LossToLeasePct</f>
        <v/>
      </c>
      <c r="BX16" s="18">
        <f>-BX$14*LossToLeasePct</f>
        <v/>
      </c>
      <c r="BY16" s="18">
        <f>-BY$14*LossToLeasePct</f>
        <v/>
      </c>
      <c r="BZ16" s="18">
        <f>-BZ$14*LossToLeasePct</f>
        <v/>
      </c>
      <c r="CA16" s="18">
        <f>-CA$14*LossToLeasePct</f>
        <v/>
      </c>
      <c r="CB16" s="18">
        <f>-CB$14*LossToLeasePct</f>
        <v/>
      </c>
      <c r="CC16" s="18">
        <f>-CC$14*LossToLeasePct</f>
        <v/>
      </c>
      <c r="CD16" s="18">
        <f>-CD$14*LossToLeasePct</f>
        <v/>
      </c>
      <c r="CE16" s="18">
        <f>-CE$14*LossToLeasePct</f>
        <v/>
      </c>
      <c r="CF16" s="18">
        <f>-CF$14*LossToLeasePct</f>
        <v/>
      </c>
      <c r="CG16" s="18">
        <f>-CG$14*LossToLeasePct</f>
        <v/>
      </c>
      <c r="CH16" s="18">
        <f>-CH$14*LossToLeasePct</f>
        <v/>
      </c>
      <c r="CI16" s="18">
        <f>-CI$14*LossToLeasePct</f>
        <v/>
      </c>
      <c r="CJ16" s="18">
        <f>-CJ$14*LossToLeasePct</f>
        <v/>
      </c>
      <c r="CK16" s="18">
        <f>-CK$14*LossToLeasePct</f>
        <v/>
      </c>
      <c r="CL16" s="18">
        <f>-CL$14*LossToLeasePct</f>
        <v/>
      </c>
      <c r="CM16" s="18">
        <f>-CM$14*LossToLeasePct</f>
        <v/>
      </c>
      <c r="CN16" s="18">
        <f>-CN$14*LossToLeasePct</f>
        <v/>
      </c>
      <c r="CO16" s="18">
        <f>-CO$14*LossToLeasePct</f>
        <v/>
      </c>
      <c r="CP16" s="18">
        <f>-CP$14*LossToLeasePct</f>
        <v/>
      </c>
      <c r="CQ16" s="18">
        <f>-CQ$14*LossToLeasePct</f>
        <v/>
      </c>
      <c r="CR16" s="18">
        <f>-CR$14*LossToLeasePct</f>
        <v/>
      </c>
      <c r="CS16" s="18">
        <f>-CS$14*LossToLeasePct</f>
        <v/>
      </c>
      <c r="CT16" s="18">
        <f>-CT$14*LossToLeasePct</f>
        <v/>
      </c>
      <c r="CU16" s="18">
        <f>-CU$14*LossToLeasePct</f>
        <v/>
      </c>
      <c r="CV16" s="18">
        <f>-CV$14*LossToLeasePct</f>
        <v/>
      </c>
      <c r="CW16" s="18">
        <f>-CW$14*LossToLeasePct</f>
        <v/>
      </c>
      <c r="CX16" s="18">
        <f>-CX$14*LossToLeasePct</f>
        <v/>
      </c>
      <c r="CY16" s="18">
        <f>-CY$14*LossToLeasePct</f>
        <v/>
      </c>
      <c r="CZ16" s="18">
        <f>-CZ$14*LossToLeasePct</f>
        <v/>
      </c>
      <c r="DA16" s="18">
        <f>-DA$14*LossToLeasePct</f>
        <v/>
      </c>
      <c r="DB16" s="18">
        <f>-DB$14*LossToLeasePct</f>
        <v/>
      </c>
      <c r="DC16" s="18">
        <f>-DC$14*LossToLeasePct</f>
        <v/>
      </c>
      <c r="DD16" s="18">
        <f>-DD$14*LossToLeasePct</f>
        <v/>
      </c>
      <c r="DE16" s="18">
        <f>-DE$14*LossToLeasePct</f>
        <v/>
      </c>
      <c r="DF16" s="18">
        <f>-DF$14*LossToLeasePct</f>
        <v/>
      </c>
      <c r="DG16" s="18">
        <f>-DG$14*LossToLeasePct</f>
        <v/>
      </c>
      <c r="DH16" s="18">
        <f>-DH$14*LossToLeasePct</f>
        <v/>
      </c>
      <c r="DI16" s="18">
        <f>-DI$14*LossToLeasePct</f>
        <v/>
      </c>
      <c r="DJ16" s="18">
        <f>-DJ$14*LossToLeasePct</f>
        <v/>
      </c>
      <c r="DK16" s="18">
        <f>-DK$14*LossToLeasePct</f>
        <v/>
      </c>
      <c r="DL16" s="18">
        <f>-DL$14*LossToLeasePct</f>
        <v/>
      </c>
      <c r="DM16" s="18">
        <f>-DM$14*LossToLeasePct</f>
        <v/>
      </c>
      <c r="DN16" s="18">
        <f>-DN$14*LossToLeasePct</f>
        <v/>
      </c>
      <c r="DO16" s="18">
        <f>-DO$14*LossToLeasePct</f>
        <v/>
      </c>
      <c r="DP16" s="18">
        <f>-DP$14*LossToLeasePct</f>
        <v/>
      </c>
      <c r="DQ16" s="18">
        <f>-DQ$14*LossToLeasePct</f>
        <v/>
      </c>
      <c r="DR16" s="18">
        <f>-DR$14*LossToLeasePct</f>
        <v/>
      </c>
      <c r="DS16" s="18">
        <f>-DS$14*LossToLeasePct</f>
        <v/>
      </c>
      <c r="DT16" s="18">
        <f>-DT$14*LossToLeasePct</f>
        <v/>
      </c>
      <c r="DU16" s="18">
        <f>-DU$14*LossToLeasePct</f>
        <v/>
      </c>
      <c r="DV16" s="18">
        <f>-DV$14*LossToLeasePct</f>
        <v/>
      </c>
      <c r="DW16" s="18">
        <f>-DW$14*LossToLeasePct</f>
        <v/>
      </c>
      <c r="DX16" s="18">
        <f>-DX$14*LossToLeasePct</f>
        <v/>
      </c>
      <c r="DY16" s="18">
        <f>-DY$14*LossToLeasePct</f>
        <v/>
      </c>
      <c r="DZ16" s="18">
        <f>-DZ$14*LossToLeasePct</f>
        <v/>
      </c>
      <c r="EA16" s="18">
        <f>-EA$14*LossToLeasePct</f>
        <v/>
      </c>
      <c r="EB16" s="18">
        <f>-EB$14*LossToLeasePct</f>
        <v/>
      </c>
      <c r="EC16" s="18">
        <f>-EC$14*LossToLeasePct</f>
        <v/>
      </c>
      <c r="ED16" s="18">
        <f>-ED$14*LossToLeasePct</f>
        <v/>
      </c>
      <c r="EE16" s="18">
        <f>-EE$14*LossToLeasePct</f>
        <v/>
      </c>
      <c r="EF16" s="18">
        <f>-EF$14*LossToLeasePct</f>
        <v/>
      </c>
      <c r="EG16" s="18">
        <f>-EG$14*LossToLeasePct</f>
        <v/>
      </c>
      <c r="EH16" s="18">
        <f>-EH$14*LossToLeasePct</f>
        <v/>
      </c>
      <c r="EI16" s="18">
        <f>-EI$14*LossToLeasePct</f>
        <v/>
      </c>
      <c r="EJ16" s="18">
        <f>-EJ$14*LossToLeasePct</f>
        <v/>
      </c>
      <c r="EK16" s="18">
        <f>-EK$14*LossToLeasePct</f>
        <v/>
      </c>
      <c r="EL16" s="18">
        <f>-EL$14*LossToLeasePct</f>
        <v/>
      </c>
      <c r="EM16" s="18">
        <f>-EM$14*LossToLeasePct</f>
        <v/>
      </c>
      <c r="EN16" s="18">
        <f>-EN$14*LossToLeasePct</f>
        <v/>
      </c>
      <c r="EO16" s="18">
        <f>-EO$14*LossToLeasePct</f>
        <v/>
      </c>
      <c r="EP16" s="18">
        <f>-EP$14*LossToLeasePct</f>
        <v/>
      </c>
      <c r="EQ16" s="18">
        <f>-EQ$14*LossToLeasePct</f>
        <v/>
      </c>
      <c r="ER16" s="18">
        <f>-ER$14*LossToLeasePct</f>
        <v/>
      </c>
      <c r="ES16" s="18">
        <f>-ES$14*LossToLeasePct</f>
        <v/>
      </c>
      <c r="ET16" s="18">
        <f>-ET$14*LossToLeasePct</f>
        <v/>
      </c>
      <c r="EU16" s="18">
        <f>-EU$14*LossToLeasePct</f>
        <v/>
      </c>
      <c r="EV16" s="18">
        <f>-EV$14*LossToLeasePct</f>
        <v/>
      </c>
      <c r="EW16" s="18">
        <f>-EW$14*LossToLeasePct</f>
        <v/>
      </c>
      <c r="EX16" s="18">
        <f>-EX$14*LossToLeasePct</f>
        <v/>
      </c>
      <c r="EY16" s="18">
        <f>-EY$14*LossToLeasePct</f>
        <v/>
      </c>
      <c r="EZ16" s="18">
        <f>-EZ$14*LossToLeasePct</f>
        <v/>
      </c>
      <c r="FA16" s="18">
        <f>-FA$14*LossToLeasePct</f>
        <v/>
      </c>
      <c r="FB16" s="18">
        <f>-FB$14*LossToLeasePct</f>
        <v/>
      </c>
      <c r="FC16" s="18">
        <f>-FC$14*LossToLeasePct</f>
        <v/>
      </c>
      <c r="FD16" s="18">
        <f>-FD$14*LossToLeasePct</f>
        <v/>
      </c>
      <c r="FE16" s="18">
        <f>-FE$14*LossToLeasePct</f>
        <v/>
      </c>
      <c r="FF16" s="18">
        <f>-FF$14*LossToLeasePct</f>
        <v/>
      </c>
      <c r="FG16" s="18">
        <f>-FG$14*LossToLeasePct</f>
        <v/>
      </c>
      <c r="FH16" s="18">
        <f>-FH$14*LossToLeasePct</f>
        <v/>
      </c>
      <c r="FI16" s="18">
        <f>-FI$14*LossToLeasePct</f>
        <v/>
      </c>
      <c r="FJ16" s="18">
        <f>-FJ$14*LossToLeasePct</f>
        <v/>
      </c>
      <c r="FK16" s="18">
        <f>-FK$14*LossToLeasePct</f>
        <v/>
      </c>
      <c r="FL16" s="18">
        <f>-FL$14*LossToLeasePct</f>
        <v/>
      </c>
      <c r="FM16" s="18">
        <f>-FM$14*LossToLeasePct</f>
        <v/>
      </c>
      <c r="FN16" s="18">
        <f>-FN$14*LossToLeasePct</f>
        <v/>
      </c>
      <c r="FO16" s="18">
        <f>-FO$14*LossToLeasePct</f>
        <v/>
      </c>
      <c r="FP16" s="18">
        <f>-FP$14*LossToLeasePct</f>
        <v/>
      </c>
      <c r="FQ16" s="18">
        <f>-FQ$14*LossToLeasePct</f>
        <v/>
      </c>
      <c r="FR16" s="18">
        <f>-FR$14*LossToLeasePct</f>
        <v/>
      </c>
      <c r="FS16" s="18">
        <f>-FS$14*LossToLeasePct</f>
        <v/>
      </c>
      <c r="FT16" s="18">
        <f>-FT$14*LossToLeasePct</f>
        <v/>
      </c>
      <c r="FU16" s="18">
        <f>-FU$14*LossToLeasePct</f>
        <v/>
      </c>
      <c r="FV16" s="18">
        <f>-FV$14*LossToLeasePct</f>
        <v/>
      </c>
      <c r="FW16" s="18">
        <f>-FW$14*LossToLeasePct</f>
        <v/>
      </c>
      <c r="FX16" s="18">
        <f>-FX$14*LossToLeasePct</f>
        <v/>
      </c>
      <c r="FY16" s="18">
        <f>-FY$14*LossToLeasePct</f>
        <v/>
      </c>
      <c r="FZ16" s="18">
        <f>-FZ$14*LossToLeasePct</f>
        <v/>
      </c>
      <c r="GA16" s="18">
        <f>-GA$14*LossToLeasePct</f>
        <v/>
      </c>
      <c r="GB16" s="18">
        <f>-GB$14*LossToLeasePct</f>
        <v/>
      </c>
      <c r="GC16" s="18">
        <f>-GC$14*LossToLeasePct</f>
        <v/>
      </c>
      <c r="GD16" s="18">
        <f>-GD$14*LossToLeasePct</f>
        <v/>
      </c>
      <c r="GE16" s="18">
        <f>-GE$14*LossToLeasePct</f>
        <v/>
      </c>
      <c r="GF16" s="18">
        <f>-GF$14*LossToLeasePct</f>
        <v/>
      </c>
      <c r="GG16" s="18">
        <f>-GG$14*LossToLeasePct</f>
        <v/>
      </c>
      <c r="GH16" s="18">
        <f>-GH$14*LossToLeasePct</f>
        <v/>
      </c>
      <c r="GI16" s="18">
        <f>-GI$14*LossToLeasePct</f>
        <v/>
      </c>
      <c r="GJ16" s="18">
        <f>-GJ$14*LossToLeasePct</f>
        <v/>
      </c>
      <c r="GK16" s="18">
        <f>-GK$14*LossToLeasePct</f>
        <v/>
      </c>
      <c r="GL16" s="18">
        <f>-GL$14*LossToLeasePct</f>
        <v/>
      </c>
      <c r="GM16" s="18">
        <f>-GM$14*LossToLeasePct</f>
        <v/>
      </c>
      <c r="GN16" s="18">
        <f>-GN$14*LossToLeasePct</f>
        <v/>
      </c>
      <c r="GO16" s="18">
        <f>-GO$14*LossToLeasePct</f>
        <v/>
      </c>
      <c r="GP16" s="18">
        <f>-GP$14*LossToLeasePct</f>
        <v/>
      </c>
      <c r="GQ16" s="18">
        <f>-GQ$14*LossToLeasePct</f>
        <v/>
      </c>
      <c r="GR16" s="18">
        <f>-GR$14*LossToLeasePct</f>
        <v/>
      </c>
      <c r="GS16" s="18">
        <f>-GS$14*LossToLeasePct</f>
        <v/>
      </c>
      <c r="GT16" s="18">
        <f>-GT$14*LossToLeasePct</f>
        <v/>
      </c>
      <c r="GU16" s="18">
        <f>-GU$14*LossToLeasePct</f>
        <v/>
      </c>
      <c r="GV16" s="18">
        <f>-GV$14*LossToLeasePct</f>
        <v/>
      </c>
      <c r="GW16" s="18">
        <f>-GW$14*LossToLeasePct</f>
        <v/>
      </c>
      <c r="GX16" s="18">
        <f>-GX$14*LossToLeasePct</f>
        <v/>
      </c>
      <c r="GY16" s="18">
        <f>-GY$14*LossToLeasePct</f>
        <v/>
      </c>
      <c r="GZ16" s="18">
        <f>-GZ$14*LossToLeasePct</f>
        <v/>
      </c>
      <c r="HA16" s="18">
        <f>-HA$14*LossToLeasePct</f>
        <v/>
      </c>
      <c r="HB16" s="18">
        <f>-HB$14*LossToLeasePct</f>
        <v/>
      </c>
      <c r="HC16" s="18">
        <f>-HC$14*LossToLeasePct</f>
        <v/>
      </c>
      <c r="HD16" s="18">
        <f>-HD$14*LossToLeasePct</f>
        <v/>
      </c>
      <c r="HE16" s="18">
        <f>-HE$14*LossToLeasePct</f>
        <v/>
      </c>
      <c r="HF16" s="18">
        <f>-HF$14*LossToLeasePct</f>
        <v/>
      </c>
      <c r="HG16" s="18">
        <f>-HG$14*LossToLeasePct</f>
        <v/>
      </c>
      <c r="HH16" s="18">
        <f>-HH$14*LossToLeasePct</f>
        <v/>
      </c>
      <c r="HI16" s="18">
        <f>-HI$14*LossToLeasePct</f>
        <v/>
      </c>
      <c r="HJ16" s="18">
        <f>-HJ$14*LossToLeasePct</f>
        <v/>
      </c>
      <c r="HK16" s="18">
        <f>-HK$14*LossToLeasePct</f>
        <v/>
      </c>
      <c r="HL16" s="18">
        <f>-HL$14*LossToLeasePct</f>
        <v/>
      </c>
      <c r="HM16" s="18">
        <f>-HM$14*LossToLeasePct</f>
        <v/>
      </c>
      <c r="HN16" s="18">
        <f>-HN$14*LossToLeasePct</f>
        <v/>
      </c>
      <c r="HO16" s="18">
        <f>-HO$14*LossToLeasePct</f>
        <v/>
      </c>
      <c r="HP16" s="18">
        <f>-HP$14*LossToLeasePct</f>
        <v/>
      </c>
      <c r="HQ16" s="18">
        <f>-HQ$14*LossToLeasePct</f>
        <v/>
      </c>
      <c r="HR16" s="18">
        <f>-HR$14*LossToLeasePct</f>
        <v/>
      </c>
      <c r="HS16" s="18">
        <f>-HS$14*LossToLeasePct</f>
        <v/>
      </c>
      <c r="HT16" s="18">
        <f>-HT$14*LossToLeasePct</f>
        <v/>
      </c>
      <c r="HU16" s="18">
        <f>-HU$14*LossToLeasePct</f>
        <v/>
      </c>
      <c r="HV16" s="18">
        <f>-HV$14*LossToLeasePct</f>
        <v/>
      </c>
      <c r="HW16" s="18">
        <f>-HW$14*LossToLeasePct</f>
        <v/>
      </c>
      <c r="HX16" s="18">
        <f>-HX$14*LossToLeasePct</f>
        <v/>
      </c>
      <c r="HY16" s="18">
        <f>-HY$14*LossToLeasePct</f>
        <v/>
      </c>
      <c r="HZ16" s="18">
        <f>-HZ$14*LossToLeasePct</f>
        <v/>
      </c>
      <c r="IA16" s="18">
        <f>-IA$14*LossToLeasePct</f>
        <v/>
      </c>
      <c r="IB16" s="18">
        <f>-IB$14*LossToLeasePct</f>
        <v/>
      </c>
      <c r="IC16" s="18">
        <f>-IC$14*LossToLeasePct</f>
        <v/>
      </c>
      <c r="ID16" s="18">
        <f>-ID$14*LossToLeasePct</f>
        <v/>
      </c>
      <c r="IE16" s="18">
        <f>-IE$14*LossToLeasePct</f>
        <v/>
      </c>
      <c r="IF16" s="18">
        <f>-IF$14*LossToLeasePct</f>
        <v/>
      </c>
      <c r="IG16" s="18">
        <f>-IG$14*LossToLeasePct</f>
        <v/>
      </c>
      <c r="IH16" s="18">
        <f>-IH$14*LossToLeasePct</f>
        <v/>
      </c>
      <c r="II16" s="18">
        <f>-II$14*LossToLeasePct</f>
        <v/>
      </c>
      <c r="IJ16" s="18">
        <f>-IJ$14*LossToLeasePct</f>
        <v/>
      </c>
      <c r="IK16" s="18">
        <f>-IK$14*LossToLeasePct</f>
        <v/>
      </c>
      <c r="IL16" s="18">
        <f>-IL$14*LossToLeasePct</f>
        <v/>
      </c>
      <c r="IM16" s="18">
        <f>-IM$14*LossToLeasePct</f>
        <v/>
      </c>
      <c r="IN16" s="18">
        <f>-IN$14*LossToLeasePct</f>
        <v/>
      </c>
      <c r="IO16" s="18">
        <f>-IO$14*LossToLeasePct</f>
        <v/>
      </c>
      <c r="IP16" s="18">
        <f>-IP$14*LossToLeasePct</f>
        <v/>
      </c>
      <c r="IQ16" s="18">
        <f>-IQ$14*LossToLeasePct</f>
        <v/>
      </c>
      <c r="IR16" s="18">
        <f>-IR$14*LossToLeasePct</f>
        <v/>
      </c>
      <c r="IS16" s="18">
        <f>-IS$14*LossToLeasePct</f>
        <v/>
      </c>
      <c r="IT16" s="18">
        <f>-IT$14*LossToLeasePct</f>
        <v/>
      </c>
      <c r="IU16" s="18">
        <f>-IU$14*LossToLeasePct</f>
        <v/>
      </c>
      <c r="IV16" s="18">
        <f>-IV$14*LossToLeasePct</f>
        <v/>
      </c>
      <c r="IW16" s="18">
        <f>-IW$14*LossToLeasePct</f>
        <v/>
      </c>
      <c r="IX16" s="18">
        <f>-IX$14*LossToLeasePct</f>
        <v/>
      </c>
      <c r="IY16" s="18">
        <f>-IY$14*LossToLeasePct</f>
        <v/>
      </c>
      <c r="IZ16" s="18">
        <f>-IZ$14*LossToLeasePct</f>
        <v/>
      </c>
      <c r="JA16" s="18">
        <f>-JA$14*LossToLeasePct</f>
        <v/>
      </c>
      <c r="JB16" s="18">
        <f>-JB$14*LossToLeasePct</f>
        <v/>
      </c>
      <c r="JC16" s="18">
        <f>-JC$14*LossToLeasePct</f>
        <v/>
      </c>
      <c r="JD16" s="18">
        <f>-JD$14*LossToLeasePct</f>
        <v/>
      </c>
      <c r="JE16" s="18">
        <f>-JE$14*LossToLeasePct</f>
        <v/>
      </c>
      <c r="JF16" s="18">
        <f>-JF$14*LossToLeasePct</f>
        <v/>
      </c>
      <c r="JG16" s="18">
        <f>-JG$14*LossToLeasePct</f>
        <v/>
      </c>
      <c r="JH16" s="18">
        <f>-JH$14*LossToLeasePct</f>
        <v/>
      </c>
      <c r="JI16" s="18">
        <f>-JI$14*LossToLeasePct</f>
        <v/>
      </c>
      <c r="JJ16" s="18">
        <f>-JJ$14*LossToLeasePct</f>
        <v/>
      </c>
      <c r="JK16" s="18">
        <f>-JK$14*LossToLeasePct</f>
        <v/>
      </c>
      <c r="JL16" s="18">
        <f>-JL$14*LossToLeasePct</f>
        <v/>
      </c>
      <c r="JM16" s="18">
        <f>-JM$14*LossToLeasePct</f>
        <v/>
      </c>
      <c r="JN16" s="18">
        <f>-JN$14*LossToLeasePct</f>
        <v/>
      </c>
      <c r="JO16" s="18">
        <f>-JO$14*LossToLeasePct</f>
        <v/>
      </c>
      <c r="JP16" s="18">
        <f>-JP$14*LossToLeasePct</f>
        <v/>
      </c>
      <c r="JQ16" s="18">
        <f>-JQ$14*LossToLeasePct</f>
        <v/>
      </c>
      <c r="JR16" s="18">
        <f>-JR$14*LossToLeasePct</f>
        <v/>
      </c>
      <c r="JS16" s="18">
        <f>-JS$14*LossToLeasePct</f>
        <v/>
      </c>
      <c r="JT16" s="18">
        <f>-JT$14*LossToLeasePct</f>
        <v/>
      </c>
      <c r="JU16" s="18">
        <f>-JU$14*LossToLeasePct</f>
        <v/>
      </c>
      <c r="JV16" s="18">
        <f>-JV$14*LossToLeasePct</f>
        <v/>
      </c>
      <c r="JW16" s="18">
        <f>-JW$14*LossToLeasePct</f>
        <v/>
      </c>
      <c r="JX16" s="18">
        <f>-JX$14*LossToLeasePct</f>
        <v/>
      </c>
      <c r="JY16" s="18">
        <f>-JY$14*LossToLeasePct</f>
        <v/>
      </c>
      <c r="JZ16" s="18">
        <f>-JZ$14*LossToLeasePct</f>
        <v/>
      </c>
      <c r="KA16" s="18">
        <f>-KA$14*LossToLeasePct</f>
        <v/>
      </c>
      <c r="KB16" s="18">
        <f>-KB$14*LossToLeasePct</f>
        <v/>
      </c>
      <c r="KC16" s="18">
        <f>-KC$14*LossToLeasePct</f>
        <v/>
      </c>
      <c r="KD16" s="18">
        <f>-KD$14*LossToLeasePct</f>
        <v/>
      </c>
      <c r="KE16" s="18">
        <f>-KE$14*LossToLeasePct</f>
        <v/>
      </c>
      <c r="KF16" s="18">
        <f>-KF$14*LossToLeasePct</f>
        <v/>
      </c>
      <c r="KG16" s="18">
        <f>-KG$14*LossToLeasePct</f>
        <v/>
      </c>
      <c r="KH16" s="18">
        <f>-KH$14*LossToLeasePct</f>
        <v/>
      </c>
      <c r="KI16" s="18">
        <f>-KI$14*LossToLeasePct</f>
        <v/>
      </c>
      <c r="KJ16" s="18">
        <f>-KJ$14*LossToLeasePct</f>
        <v/>
      </c>
      <c r="KK16" s="18">
        <f>-KK$14*LossToLeasePct</f>
        <v/>
      </c>
      <c r="KL16" s="18">
        <f>-KL$14*LossToLeasePct</f>
        <v/>
      </c>
      <c r="KM16" s="18">
        <f>-KM$14*LossToLeasePct</f>
        <v/>
      </c>
      <c r="KN16" s="18">
        <f>-KN$14*LossToLeasePct</f>
        <v/>
      </c>
      <c r="KO16" s="18">
        <f>-KO$14*LossToLeasePct</f>
        <v/>
      </c>
      <c r="KP16" s="18">
        <f>-KP$14*LossToLeasePct</f>
        <v/>
      </c>
      <c r="KQ16" s="18">
        <f>-KQ$14*LossToLeasePct</f>
        <v/>
      </c>
      <c r="KR16" s="18">
        <f>-KR$14*LossToLeasePct</f>
        <v/>
      </c>
      <c r="KS16" s="18">
        <f>-KS$14*LossToLeasePct</f>
        <v/>
      </c>
      <c r="KT16" s="18">
        <f>-KT$14*LossToLeasePct</f>
        <v/>
      </c>
      <c r="KU16" s="18">
        <f>-KU$14*LossToLeasePct</f>
        <v/>
      </c>
      <c r="KV16" s="18">
        <f>-KV$14*LossToLeasePct</f>
        <v/>
      </c>
      <c r="KW16" s="18">
        <f>-KW$14*LossToLeasePct</f>
        <v/>
      </c>
      <c r="KX16" s="18">
        <f>-KX$14*LossToLeasePct</f>
        <v/>
      </c>
      <c r="KY16" s="18">
        <f>-KY$14*LossToLeasePct</f>
        <v/>
      </c>
      <c r="KZ16" s="18">
        <f>-KZ$14*LossToLeasePct</f>
        <v/>
      </c>
      <c r="LA16" s="18">
        <f>-LA$14*LossToLeasePct</f>
        <v/>
      </c>
      <c r="LB16" s="18">
        <f>-LB$14*LossToLeasePct</f>
        <v/>
      </c>
      <c r="LC16" s="18">
        <f>-LC$14*LossToLeasePct</f>
        <v/>
      </c>
      <c r="LD16" s="18">
        <f>-LD$14*LossToLeasePct</f>
        <v/>
      </c>
      <c r="LE16" s="18">
        <f>-LE$14*LossToLeasePct</f>
        <v/>
      </c>
      <c r="LF16" s="18">
        <f>-LF$14*LossToLeasePct</f>
        <v/>
      </c>
      <c r="LG16" s="18">
        <f>-LG$14*LossToLeasePct</f>
        <v/>
      </c>
      <c r="LH16" s="18">
        <f>-LH$14*LossToLeasePct</f>
        <v/>
      </c>
      <c r="LI16" s="18">
        <f>-LI$14*LossToLeasePct</f>
        <v/>
      </c>
      <c r="LJ16" s="18">
        <f>-LJ$14*LossToLeasePct</f>
        <v/>
      </c>
      <c r="LK16" s="18">
        <f>-LK$14*LossToLeasePct</f>
        <v/>
      </c>
      <c r="LL16" s="18">
        <f>-LL$14*LossToLeasePct</f>
        <v/>
      </c>
      <c r="LM16" s="18">
        <f>-LM$14*LossToLeasePct</f>
        <v/>
      </c>
      <c r="LN16" s="18">
        <f>-LN$14*LossToLeasePct</f>
        <v/>
      </c>
      <c r="LO16" s="18">
        <f>-LO$14*LossToLeasePct</f>
        <v/>
      </c>
      <c r="LP16" s="18">
        <f>-LP$14*LossToLeasePct</f>
        <v/>
      </c>
      <c r="LQ16" s="18">
        <f>-LQ$14*LossToLeasePct</f>
        <v/>
      </c>
      <c r="LR16" s="18">
        <f>-LR$14*LossToLeasePct</f>
        <v/>
      </c>
      <c r="LS16" s="18">
        <f>-LS$14*LossToLeasePct</f>
        <v/>
      </c>
      <c r="LT16" s="18">
        <f>-LT$14*LossToLeasePct</f>
        <v/>
      </c>
      <c r="LU16" s="18">
        <f>-LU$14*LossToLeasePct</f>
        <v/>
      </c>
      <c r="LV16" s="18">
        <f>-LV$14*LossToLeasePct</f>
        <v/>
      </c>
      <c r="LW16" s="18">
        <f>-LW$14*LossToLeasePct</f>
        <v/>
      </c>
      <c r="LX16" s="18">
        <f>-LX$14*LossToLeasePct</f>
        <v/>
      </c>
      <c r="LY16" s="18">
        <f>-LY$14*LossToLeasePct</f>
        <v/>
      </c>
      <c r="LZ16" s="18">
        <f>-LZ$14*LossToLeasePct</f>
        <v/>
      </c>
      <c r="MA16" s="18">
        <f>-MA$14*LossToLeasePct</f>
        <v/>
      </c>
      <c r="MB16" s="18">
        <f>-MB$14*LossToLeasePct</f>
        <v/>
      </c>
      <c r="MC16" s="18">
        <f>-MC$14*LossToLeasePct</f>
        <v/>
      </c>
      <c r="MD16" s="18">
        <f>-MD$14*LossToLeasePct</f>
        <v/>
      </c>
      <c r="ME16" s="18">
        <f>-ME$14*LossToLeasePct</f>
        <v/>
      </c>
      <c r="MF16" s="18">
        <f>-MF$14*LossToLeasePct</f>
        <v/>
      </c>
      <c r="MG16" s="18">
        <f>-MG$14*LossToLeasePct</f>
        <v/>
      </c>
      <c r="MH16" s="18">
        <f>-MH$14*LossToLeasePct</f>
        <v/>
      </c>
      <c r="MI16" s="18">
        <f>-MI$14*LossToLeasePct</f>
        <v/>
      </c>
      <c r="MJ16" s="18">
        <f>-MJ$14*LossToLeasePct</f>
        <v/>
      </c>
      <c r="MK16" s="18">
        <f>-MK$14*LossToLeasePct</f>
        <v/>
      </c>
      <c r="ML16" s="18">
        <f>-ML$14*LossToLeasePct</f>
        <v/>
      </c>
      <c r="MM16" s="18">
        <f>-MM$14*LossToLeasePct</f>
        <v/>
      </c>
      <c r="MN16" s="18">
        <f>-MN$14*LossToLeasePct</f>
        <v/>
      </c>
      <c r="MO16" s="18">
        <f>-MO$14*LossToLeasePct</f>
        <v/>
      </c>
      <c r="MP16" s="18">
        <f>-MP$14*LossToLeasePct</f>
        <v/>
      </c>
      <c r="MQ16" s="18">
        <f>-MQ$14*LossToLeasePct</f>
        <v/>
      </c>
      <c r="MR16" s="18">
        <f>-MR$14*LossToLeasePct</f>
        <v/>
      </c>
      <c r="MS16" s="18">
        <f>-MS$14*LossToLeasePct</f>
        <v/>
      </c>
      <c r="MT16" s="18">
        <f>-MT$14*LossToLeasePct</f>
        <v/>
      </c>
      <c r="MU16" s="18">
        <f>-MU$14*LossToLeasePct</f>
        <v/>
      </c>
      <c r="MV16" s="18">
        <f>-MV$14*LossToLeasePct</f>
        <v/>
      </c>
      <c r="MW16" s="18">
        <f>-MW$14*LossToLeasePct</f>
        <v/>
      </c>
      <c r="MX16" s="18">
        <f>-MX$14*LossToLeasePct</f>
        <v/>
      </c>
      <c r="MY16" s="18">
        <f>-MY$14*LossToLeasePct</f>
        <v/>
      </c>
      <c r="MZ16" s="18">
        <f>-MZ$14*LossToLeasePct</f>
        <v/>
      </c>
      <c r="NA16" s="18">
        <f>-NA$14*LossToLeasePct</f>
        <v/>
      </c>
      <c r="NB16" s="18">
        <f>-NB$14*LossToLeasePct</f>
        <v/>
      </c>
      <c r="NC16" s="18">
        <f>-NC$14*LossToLeasePct</f>
        <v/>
      </c>
      <c r="ND16" s="18">
        <f>-ND$14*LossToLeasePct</f>
        <v/>
      </c>
      <c r="NE16" s="18">
        <f>-NE$14*LossToLeasePct</f>
        <v/>
      </c>
      <c r="NF16" s="18">
        <f>-NF$14*LossToLeasePct</f>
        <v/>
      </c>
      <c r="NG16" s="18">
        <f>-NG$14*LossToLeasePct</f>
        <v/>
      </c>
      <c r="NH16" s="18">
        <f>-NH$14*LossToLeasePct</f>
        <v/>
      </c>
      <c r="NI16" s="18">
        <f>-NI$14*LossToLeasePct</f>
        <v/>
      </c>
      <c r="NJ16" s="18">
        <f>-NJ$14*LossToLeasePct</f>
        <v/>
      </c>
      <c r="NK16" s="18">
        <f>-NK$14*LossToLeasePct</f>
        <v/>
      </c>
    </row>
    <row r="17">
      <c r="A17" s="5" t="inlineStr">
        <is>
          <t>Bad Debt</t>
        </is>
      </c>
      <c r="C17" s="41">
        <f>SUM(D17:NK17)</f>
        <v/>
      </c>
      <c r="D17" s="18">
        <f>-D$14*BadDebtPct</f>
        <v/>
      </c>
      <c r="E17" s="18">
        <f>-E$14*BadDebtPct</f>
        <v/>
      </c>
      <c r="F17" s="18">
        <f>-F$14*BadDebtPct</f>
        <v/>
      </c>
      <c r="G17" s="18">
        <f>-G$14*BadDebtPct</f>
        <v/>
      </c>
      <c r="H17" s="18">
        <f>-H$14*BadDebtPct</f>
        <v/>
      </c>
      <c r="I17" s="18">
        <f>-I$14*BadDebtPct</f>
        <v/>
      </c>
      <c r="J17" s="18">
        <f>-J$14*BadDebtPct</f>
        <v/>
      </c>
      <c r="K17" s="18">
        <f>-K$14*BadDebtPct</f>
        <v/>
      </c>
      <c r="L17" s="18">
        <f>-L$14*BadDebtPct</f>
        <v/>
      </c>
      <c r="M17" s="18">
        <f>-M$14*BadDebtPct</f>
        <v/>
      </c>
      <c r="N17" s="18">
        <f>-N$14*BadDebtPct</f>
        <v/>
      </c>
      <c r="O17" s="18">
        <f>-O$14*BadDebtPct</f>
        <v/>
      </c>
      <c r="P17" s="18">
        <f>-P$14*BadDebtPct</f>
        <v/>
      </c>
      <c r="Q17" s="18">
        <f>-Q$14*BadDebtPct</f>
        <v/>
      </c>
      <c r="R17" s="18">
        <f>-R$14*BadDebtPct</f>
        <v/>
      </c>
      <c r="S17" s="18">
        <f>-S$14*BadDebtPct</f>
        <v/>
      </c>
      <c r="T17" s="18">
        <f>-T$14*BadDebtPct</f>
        <v/>
      </c>
      <c r="U17" s="18">
        <f>-U$14*BadDebtPct</f>
        <v/>
      </c>
      <c r="V17" s="18">
        <f>-V$14*BadDebtPct</f>
        <v/>
      </c>
      <c r="W17" s="18">
        <f>-W$14*BadDebtPct</f>
        <v/>
      </c>
      <c r="X17" s="18">
        <f>-X$14*BadDebtPct</f>
        <v/>
      </c>
      <c r="Y17" s="18">
        <f>-Y$14*BadDebtPct</f>
        <v/>
      </c>
      <c r="Z17" s="18">
        <f>-Z$14*BadDebtPct</f>
        <v/>
      </c>
      <c r="AA17" s="18">
        <f>-AA$14*BadDebtPct</f>
        <v/>
      </c>
      <c r="AB17" s="18">
        <f>-AB$14*BadDebtPct</f>
        <v/>
      </c>
      <c r="AC17" s="18">
        <f>-AC$14*BadDebtPct</f>
        <v/>
      </c>
      <c r="AD17" s="18">
        <f>-AD$14*BadDebtPct</f>
        <v/>
      </c>
      <c r="AE17" s="18">
        <f>-AE$14*BadDebtPct</f>
        <v/>
      </c>
      <c r="AF17" s="18">
        <f>-AF$14*BadDebtPct</f>
        <v/>
      </c>
      <c r="AG17" s="18">
        <f>-AG$14*BadDebtPct</f>
        <v/>
      </c>
      <c r="AH17" s="18">
        <f>-AH$14*BadDebtPct</f>
        <v/>
      </c>
      <c r="AI17" s="18">
        <f>-AI$14*BadDebtPct</f>
        <v/>
      </c>
      <c r="AJ17" s="18">
        <f>-AJ$14*BadDebtPct</f>
        <v/>
      </c>
      <c r="AK17" s="18">
        <f>-AK$14*BadDebtPct</f>
        <v/>
      </c>
      <c r="AL17" s="18">
        <f>-AL$14*BadDebtPct</f>
        <v/>
      </c>
      <c r="AM17" s="18">
        <f>-AM$14*BadDebtPct</f>
        <v/>
      </c>
      <c r="AN17" s="18">
        <f>-AN$14*BadDebtPct</f>
        <v/>
      </c>
      <c r="AO17" s="18">
        <f>-AO$14*BadDebtPct</f>
        <v/>
      </c>
      <c r="AP17" s="18">
        <f>-AP$14*BadDebtPct</f>
        <v/>
      </c>
      <c r="AQ17" s="18">
        <f>-AQ$14*BadDebtPct</f>
        <v/>
      </c>
      <c r="AR17" s="18">
        <f>-AR$14*BadDebtPct</f>
        <v/>
      </c>
      <c r="AS17" s="18">
        <f>-AS$14*BadDebtPct</f>
        <v/>
      </c>
      <c r="AT17" s="18">
        <f>-AT$14*BadDebtPct</f>
        <v/>
      </c>
      <c r="AU17" s="18">
        <f>-AU$14*BadDebtPct</f>
        <v/>
      </c>
      <c r="AV17" s="18">
        <f>-AV$14*BadDebtPct</f>
        <v/>
      </c>
      <c r="AW17" s="18">
        <f>-AW$14*BadDebtPct</f>
        <v/>
      </c>
      <c r="AX17" s="18">
        <f>-AX$14*BadDebtPct</f>
        <v/>
      </c>
      <c r="AY17" s="18">
        <f>-AY$14*BadDebtPct</f>
        <v/>
      </c>
      <c r="AZ17" s="18">
        <f>-AZ$14*BadDebtPct</f>
        <v/>
      </c>
      <c r="BA17" s="18">
        <f>-BA$14*BadDebtPct</f>
        <v/>
      </c>
      <c r="BB17" s="18">
        <f>-BB$14*BadDebtPct</f>
        <v/>
      </c>
      <c r="BC17" s="18">
        <f>-BC$14*BadDebtPct</f>
        <v/>
      </c>
      <c r="BD17" s="18">
        <f>-BD$14*BadDebtPct</f>
        <v/>
      </c>
      <c r="BE17" s="18">
        <f>-BE$14*BadDebtPct</f>
        <v/>
      </c>
      <c r="BF17" s="18">
        <f>-BF$14*BadDebtPct</f>
        <v/>
      </c>
      <c r="BG17" s="18">
        <f>-BG$14*BadDebtPct</f>
        <v/>
      </c>
      <c r="BH17" s="18">
        <f>-BH$14*BadDebtPct</f>
        <v/>
      </c>
      <c r="BI17" s="18">
        <f>-BI$14*BadDebtPct</f>
        <v/>
      </c>
      <c r="BJ17" s="18">
        <f>-BJ$14*BadDebtPct</f>
        <v/>
      </c>
      <c r="BK17" s="18">
        <f>-BK$14*BadDebtPct</f>
        <v/>
      </c>
      <c r="BL17" s="18">
        <f>-BL$14*BadDebtPct</f>
        <v/>
      </c>
      <c r="BM17" s="18">
        <f>-BM$14*BadDebtPct</f>
        <v/>
      </c>
      <c r="BN17" s="18">
        <f>-BN$14*BadDebtPct</f>
        <v/>
      </c>
      <c r="BO17" s="18">
        <f>-BO$14*BadDebtPct</f>
        <v/>
      </c>
      <c r="BP17" s="18">
        <f>-BP$14*BadDebtPct</f>
        <v/>
      </c>
      <c r="BQ17" s="18">
        <f>-BQ$14*BadDebtPct</f>
        <v/>
      </c>
      <c r="BR17" s="18">
        <f>-BR$14*BadDebtPct</f>
        <v/>
      </c>
      <c r="BS17" s="18">
        <f>-BS$14*BadDebtPct</f>
        <v/>
      </c>
      <c r="BT17" s="18">
        <f>-BT$14*BadDebtPct</f>
        <v/>
      </c>
      <c r="BU17" s="18">
        <f>-BU$14*BadDebtPct</f>
        <v/>
      </c>
      <c r="BV17" s="18">
        <f>-BV$14*BadDebtPct</f>
        <v/>
      </c>
      <c r="BW17" s="18">
        <f>-BW$14*BadDebtPct</f>
        <v/>
      </c>
      <c r="BX17" s="18">
        <f>-BX$14*BadDebtPct</f>
        <v/>
      </c>
      <c r="BY17" s="18">
        <f>-BY$14*BadDebtPct</f>
        <v/>
      </c>
      <c r="BZ17" s="18">
        <f>-BZ$14*BadDebtPct</f>
        <v/>
      </c>
      <c r="CA17" s="18">
        <f>-CA$14*BadDebtPct</f>
        <v/>
      </c>
      <c r="CB17" s="18">
        <f>-CB$14*BadDebtPct</f>
        <v/>
      </c>
      <c r="CC17" s="18">
        <f>-CC$14*BadDebtPct</f>
        <v/>
      </c>
      <c r="CD17" s="18">
        <f>-CD$14*BadDebtPct</f>
        <v/>
      </c>
      <c r="CE17" s="18">
        <f>-CE$14*BadDebtPct</f>
        <v/>
      </c>
      <c r="CF17" s="18">
        <f>-CF$14*BadDebtPct</f>
        <v/>
      </c>
      <c r="CG17" s="18">
        <f>-CG$14*BadDebtPct</f>
        <v/>
      </c>
      <c r="CH17" s="18">
        <f>-CH$14*BadDebtPct</f>
        <v/>
      </c>
      <c r="CI17" s="18">
        <f>-CI$14*BadDebtPct</f>
        <v/>
      </c>
      <c r="CJ17" s="18">
        <f>-CJ$14*BadDebtPct</f>
        <v/>
      </c>
      <c r="CK17" s="18">
        <f>-CK$14*BadDebtPct</f>
        <v/>
      </c>
      <c r="CL17" s="18">
        <f>-CL$14*BadDebtPct</f>
        <v/>
      </c>
      <c r="CM17" s="18">
        <f>-CM$14*BadDebtPct</f>
        <v/>
      </c>
      <c r="CN17" s="18">
        <f>-CN$14*BadDebtPct</f>
        <v/>
      </c>
      <c r="CO17" s="18">
        <f>-CO$14*BadDebtPct</f>
        <v/>
      </c>
      <c r="CP17" s="18">
        <f>-CP$14*BadDebtPct</f>
        <v/>
      </c>
      <c r="CQ17" s="18">
        <f>-CQ$14*BadDebtPct</f>
        <v/>
      </c>
      <c r="CR17" s="18">
        <f>-CR$14*BadDebtPct</f>
        <v/>
      </c>
      <c r="CS17" s="18">
        <f>-CS$14*BadDebtPct</f>
        <v/>
      </c>
      <c r="CT17" s="18">
        <f>-CT$14*BadDebtPct</f>
        <v/>
      </c>
      <c r="CU17" s="18">
        <f>-CU$14*BadDebtPct</f>
        <v/>
      </c>
      <c r="CV17" s="18">
        <f>-CV$14*BadDebtPct</f>
        <v/>
      </c>
      <c r="CW17" s="18">
        <f>-CW$14*BadDebtPct</f>
        <v/>
      </c>
      <c r="CX17" s="18">
        <f>-CX$14*BadDebtPct</f>
        <v/>
      </c>
      <c r="CY17" s="18">
        <f>-CY$14*BadDebtPct</f>
        <v/>
      </c>
      <c r="CZ17" s="18">
        <f>-CZ$14*BadDebtPct</f>
        <v/>
      </c>
      <c r="DA17" s="18">
        <f>-DA$14*BadDebtPct</f>
        <v/>
      </c>
      <c r="DB17" s="18">
        <f>-DB$14*BadDebtPct</f>
        <v/>
      </c>
      <c r="DC17" s="18">
        <f>-DC$14*BadDebtPct</f>
        <v/>
      </c>
      <c r="DD17" s="18">
        <f>-DD$14*BadDebtPct</f>
        <v/>
      </c>
      <c r="DE17" s="18">
        <f>-DE$14*BadDebtPct</f>
        <v/>
      </c>
      <c r="DF17" s="18">
        <f>-DF$14*BadDebtPct</f>
        <v/>
      </c>
      <c r="DG17" s="18">
        <f>-DG$14*BadDebtPct</f>
        <v/>
      </c>
      <c r="DH17" s="18">
        <f>-DH$14*BadDebtPct</f>
        <v/>
      </c>
      <c r="DI17" s="18">
        <f>-DI$14*BadDebtPct</f>
        <v/>
      </c>
      <c r="DJ17" s="18">
        <f>-DJ$14*BadDebtPct</f>
        <v/>
      </c>
      <c r="DK17" s="18">
        <f>-DK$14*BadDebtPct</f>
        <v/>
      </c>
      <c r="DL17" s="18">
        <f>-DL$14*BadDebtPct</f>
        <v/>
      </c>
      <c r="DM17" s="18">
        <f>-DM$14*BadDebtPct</f>
        <v/>
      </c>
      <c r="DN17" s="18">
        <f>-DN$14*BadDebtPct</f>
        <v/>
      </c>
      <c r="DO17" s="18">
        <f>-DO$14*BadDebtPct</f>
        <v/>
      </c>
      <c r="DP17" s="18">
        <f>-DP$14*BadDebtPct</f>
        <v/>
      </c>
      <c r="DQ17" s="18">
        <f>-DQ$14*BadDebtPct</f>
        <v/>
      </c>
      <c r="DR17" s="18">
        <f>-DR$14*BadDebtPct</f>
        <v/>
      </c>
      <c r="DS17" s="18">
        <f>-DS$14*BadDebtPct</f>
        <v/>
      </c>
      <c r="DT17" s="18">
        <f>-DT$14*BadDebtPct</f>
        <v/>
      </c>
      <c r="DU17" s="18">
        <f>-DU$14*BadDebtPct</f>
        <v/>
      </c>
      <c r="DV17" s="18">
        <f>-DV$14*BadDebtPct</f>
        <v/>
      </c>
      <c r="DW17" s="18">
        <f>-DW$14*BadDebtPct</f>
        <v/>
      </c>
      <c r="DX17" s="18">
        <f>-DX$14*BadDebtPct</f>
        <v/>
      </c>
      <c r="DY17" s="18">
        <f>-DY$14*BadDebtPct</f>
        <v/>
      </c>
      <c r="DZ17" s="18">
        <f>-DZ$14*BadDebtPct</f>
        <v/>
      </c>
      <c r="EA17" s="18">
        <f>-EA$14*BadDebtPct</f>
        <v/>
      </c>
      <c r="EB17" s="18">
        <f>-EB$14*BadDebtPct</f>
        <v/>
      </c>
      <c r="EC17" s="18">
        <f>-EC$14*BadDebtPct</f>
        <v/>
      </c>
      <c r="ED17" s="18">
        <f>-ED$14*BadDebtPct</f>
        <v/>
      </c>
      <c r="EE17" s="18">
        <f>-EE$14*BadDebtPct</f>
        <v/>
      </c>
      <c r="EF17" s="18">
        <f>-EF$14*BadDebtPct</f>
        <v/>
      </c>
      <c r="EG17" s="18">
        <f>-EG$14*BadDebtPct</f>
        <v/>
      </c>
      <c r="EH17" s="18">
        <f>-EH$14*BadDebtPct</f>
        <v/>
      </c>
      <c r="EI17" s="18">
        <f>-EI$14*BadDebtPct</f>
        <v/>
      </c>
      <c r="EJ17" s="18">
        <f>-EJ$14*BadDebtPct</f>
        <v/>
      </c>
      <c r="EK17" s="18">
        <f>-EK$14*BadDebtPct</f>
        <v/>
      </c>
      <c r="EL17" s="18">
        <f>-EL$14*BadDebtPct</f>
        <v/>
      </c>
      <c r="EM17" s="18">
        <f>-EM$14*BadDebtPct</f>
        <v/>
      </c>
      <c r="EN17" s="18">
        <f>-EN$14*BadDebtPct</f>
        <v/>
      </c>
      <c r="EO17" s="18">
        <f>-EO$14*BadDebtPct</f>
        <v/>
      </c>
      <c r="EP17" s="18">
        <f>-EP$14*BadDebtPct</f>
        <v/>
      </c>
      <c r="EQ17" s="18">
        <f>-EQ$14*BadDebtPct</f>
        <v/>
      </c>
      <c r="ER17" s="18">
        <f>-ER$14*BadDebtPct</f>
        <v/>
      </c>
      <c r="ES17" s="18">
        <f>-ES$14*BadDebtPct</f>
        <v/>
      </c>
      <c r="ET17" s="18">
        <f>-ET$14*BadDebtPct</f>
        <v/>
      </c>
      <c r="EU17" s="18">
        <f>-EU$14*BadDebtPct</f>
        <v/>
      </c>
      <c r="EV17" s="18">
        <f>-EV$14*BadDebtPct</f>
        <v/>
      </c>
      <c r="EW17" s="18">
        <f>-EW$14*BadDebtPct</f>
        <v/>
      </c>
      <c r="EX17" s="18">
        <f>-EX$14*BadDebtPct</f>
        <v/>
      </c>
      <c r="EY17" s="18">
        <f>-EY$14*BadDebtPct</f>
        <v/>
      </c>
      <c r="EZ17" s="18">
        <f>-EZ$14*BadDebtPct</f>
        <v/>
      </c>
      <c r="FA17" s="18">
        <f>-FA$14*BadDebtPct</f>
        <v/>
      </c>
      <c r="FB17" s="18">
        <f>-FB$14*BadDebtPct</f>
        <v/>
      </c>
      <c r="FC17" s="18">
        <f>-FC$14*BadDebtPct</f>
        <v/>
      </c>
      <c r="FD17" s="18">
        <f>-FD$14*BadDebtPct</f>
        <v/>
      </c>
      <c r="FE17" s="18">
        <f>-FE$14*BadDebtPct</f>
        <v/>
      </c>
      <c r="FF17" s="18">
        <f>-FF$14*BadDebtPct</f>
        <v/>
      </c>
      <c r="FG17" s="18">
        <f>-FG$14*BadDebtPct</f>
        <v/>
      </c>
      <c r="FH17" s="18">
        <f>-FH$14*BadDebtPct</f>
        <v/>
      </c>
      <c r="FI17" s="18">
        <f>-FI$14*BadDebtPct</f>
        <v/>
      </c>
      <c r="FJ17" s="18">
        <f>-FJ$14*BadDebtPct</f>
        <v/>
      </c>
      <c r="FK17" s="18">
        <f>-FK$14*BadDebtPct</f>
        <v/>
      </c>
      <c r="FL17" s="18">
        <f>-FL$14*BadDebtPct</f>
        <v/>
      </c>
      <c r="FM17" s="18">
        <f>-FM$14*BadDebtPct</f>
        <v/>
      </c>
      <c r="FN17" s="18">
        <f>-FN$14*BadDebtPct</f>
        <v/>
      </c>
      <c r="FO17" s="18">
        <f>-FO$14*BadDebtPct</f>
        <v/>
      </c>
      <c r="FP17" s="18">
        <f>-FP$14*BadDebtPct</f>
        <v/>
      </c>
      <c r="FQ17" s="18">
        <f>-FQ$14*BadDebtPct</f>
        <v/>
      </c>
      <c r="FR17" s="18">
        <f>-FR$14*BadDebtPct</f>
        <v/>
      </c>
      <c r="FS17" s="18">
        <f>-FS$14*BadDebtPct</f>
        <v/>
      </c>
      <c r="FT17" s="18">
        <f>-FT$14*BadDebtPct</f>
        <v/>
      </c>
      <c r="FU17" s="18">
        <f>-FU$14*BadDebtPct</f>
        <v/>
      </c>
      <c r="FV17" s="18">
        <f>-FV$14*BadDebtPct</f>
        <v/>
      </c>
      <c r="FW17" s="18">
        <f>-FW$14*BadDebtPct</f>
        <v/>
      </c>
      <c r="FX17" s="18">
        <f>-FX$14*BadDebtPct</f>
        <v/>
      </c>
      <c r="FY17" s="18">
        <f>-FY$14*BadDebtPct</f>
        <v/>
      </c>
      <c r="FZ17" s="18">
        <f>-FZ$14*BadDebtPct</f>
        <v/>
      </c>
      <c r="GA17" s="18">
        <f>-GA$14*BadDebtPct</f>
        <v/>
      </c>
      <c r="GB17" s="18">
        <f>-GB$14*BadDebtPct</f>
        <v/>
      </c>
      <c r="GC17" s="18">
        <f>-GC$14*BadDebtPct</f>
        <v/>
      </c>
      <c r="GD17" s="18">
        <f>-GD$14*BadDebtPct</f>
        <v/>
      </c>
      <c r="GE17" s="18">
        <f>-GE$14*BadDebtPct</f>
        <v/>
      </c>
      <c r="GF17" s="18">
        <f>-GF$14*BadDebtPct</f>
        <v/>
      </c>
      <c r="GG17" s="18">
        <f>-GG$14*BadDebtPct</f>
        <v/>
      </c>
      <c r="GH17" s="18">
        <f>-GH$14*BadDebtPct</f>
        <v/>
      </c>
      <c r="GI17" s="18">
        <f>-GI$14*BadDebtPct</f>
        <v/>
      </c>
      <c r="GJ17" s="18">
        <f>-GJ$14*BadDebtPct</f>
        <v/>
      </c>
      <c r="GK17" s="18">
        <f>-GK$14*BadDebtPct</f>
        <v/>
      </c>
      <c r="GL17" s="18">
        <f>-GL$14*BadDebtPct</f>
        <v/>
      </c>
      <c r="GM17" s="18">
        <f>-GM$14*BadDebtPct</f>
        <v/>
      </c>
      <c r="GN17" s="18">
        <f>-GN$14*BadDebtPct</f>
        <v/>
      </c>
      <c r="GO17" s="18">
        <f>-GO$14*BadDebtPct</f>
        <v/>
      </c>
      <c r="GP17" s="18">
        <f>-GP$14*BadDebtPct</f>
        <v/>
      </c>
      <c r="GQ17" s="18">
        <f>-GQ$14*BadDebtPct</f>
        <v/>
      </c>
      <c r="GR17" s="18">
        <f>-GR$14*BadDebtPct</f>
        <v/>
      </c>
      <c r="GS17" s="18">
        <f>-GS$14*BadDebtPct</f>
        <v/>
      </c>
      <c r="GT17" s="18">
        <f>-GT$14*BadDebtPct</f>
        <v/>
      </c>
      <c r="GU17" s="18">
        <f>-GU$14*BadDebtPct</f>
        <v/>
      </c>
      <c r="GV17" s="18">
        <f>-GV$14*BadDebtPct</f>
        <v/>
      </c>
      <c r="GW17" s="18">
        <f>-GW$14*BadDebtPct</f>
        <v/>
      </c>
      <c r="GX17" s="18">
        <f>-GX$14*BadDebtPct</f>
        <v/>
      </c>
      <c r="GY17" s="18">
        <f>-GY$14*BadDebtPct</f>
        <v/>
      </c>
      <c r="GZ17" s="18">
        <f>-GZ$14*BadDebtPct</f>
        <v/>
      </c>
      <c r="HA17" s="18">
        <f>-HA$14*BadDebtPct</f>
        <v/>
      </c>
      <c r="HB17" s="18">
        <f>-HB$14*BadDebtPct</f>
        <v/>
      </c>
      <c r="HC17" s="18">
        <f>-HC$14*BadDebtPct</f>
        <v/>
      </c>
      <c r="HD17" s="18">
        <f>-HD$14*BadDebtPct</f>
        <v/>
      </c>
      <c r="HE17" s="18">
        <f>-HE$14*BadDebtPct</f>
        <v/>
      </c>
      <c r="HF17" s="18">
        <f>-HF$14*BadDebtPct</f>
        <v/>
      </c>
      <c r="HG17" s="18">
        <f>-HG$14*BadDebtPct</f>
        <v/>
      </c>
      <c r="HH17" s="18">
        <f>-HH$14*BadDebtPct</f>
        <v/>
      </c>
      <c r="HI17" s="18">
        <f>-HI$14*BadDebtPct</f>
        <v/>
      </c>
      <c r="HJ17" s="18">
        <f>-HJ$14*BadDebtPct</f>
        <v/>
      </c>
      <c r="HK17" s="18">
        <f>-HK$14*BadDebtPct</f>
        <v/>
      </c>
      <c r="HL17" s="18">
        <f>-HL$14*BadDebtPct</f>
        <v/>
      </c>
      <c r="HM17" s="18">
        <f>-HM$14*BadDebtPct</f>
        <v/>
      </c>
      <c r="HN17" s="18">
        <f>-HN$14*BadDebtPct</f>
        <v/>
      </c>
      <c r="HO17" s="18">
        <f>-HO$14*BadDebtPct</f>
        <v/>
      </c>
      <c r="HP17" s="18">
        <f>-HP$14*BadDebtPct</f>
        <v/>
      </c>
      <c r="HQ17" s="18">
        <f>-HQ$14*BadDebtPct</f>
        <v/>
      </c>
      <c r="HR17" s="18">
        <f>-HR$14*BadDebtPct</f>
        <v/>
      </c>
      <c r="HS17" s="18">
        <f>-HS$14*BadDebtPct</f>
        <v/>
      </c>
      <c r="HT17" s="18">
        <f>-HT$14*BadDebtPct</f>
        <v/>
      </c>
      <c r="HU17" s="18">
        <f>-HU$14*BadDebtPct</f>
        <v/>
      </c>
      <c r="HV17" s="18">
        <f>-HV$14*BadDebtPct</f>
        <v/>
      </c>
      <c r="HW17" s="18">
        <f>-HW$14*BadDebtPct</f>
        <v/>
      </c>
      <c r="HX17" s="18">
        <f>-HX$14*BadDebtPct</f>
        <v/>
      </c>
      <c r="HY17" s="18">
        <f>-HY$14*BadDebtPct</f>
        <v/>
      </c>
      <c r="HZ17" s="18">
        <f>-HZ$14*BadDebtPct</f>
        <v/>
      </c>
      <c r="IA17" s="18">
        <f>-IA$14*BadDebtPct</f>
        <v/>
      </c>
      <c r="IB17" s="18">
        <f>-IB$14*BadDebtPct</f>
        <v/>
      </c>
      <c r="IC17" s="18">
        <f>-IC$14*BadDebtPct</f>
        <v/>
      </c>
      <c r="ID17" s="18">
        <f>-ID$14*BadDebtPct</f>
        <v/>
      </c>
      <c r="IE17" s="18">
        <f>-IE$14*BadDebtPct</f>
        <v/>
      </c>
      <c r="IF17" s="18">
        <f>-IF$14*BadDebtPct</f>
        <v/>
      </c>
      <c r="IG17" s="18">
        <f>-IG$14*BadDebtPct</f>
        <v/>
      </c>
      <c r="IH17" s="18">
        <f>-IH$14*BadDebtPct</f>
        <v/>
      </c>
      <c r="II17" s="18">
        <f>-II$14*BadDebtPct</f>
        <v/>
      </c>
      <c r="IJ17" s="18">
        <f>-IJ$14*BadDebtPct</f>
        <v/>
      </c>
      <c r="IK17" s="18">
        <f>-IK$14*BadDebtPct</f>
        <v/>
      </c>
      <c r="IL17" s="18">
        <f>-IL$14*BadDebtPct</f>
        <v/>
      </c>
      <c r="IM17" s="18">
        <f>-IM$14*BadDebtPct</f>
        <v/>
      </c>
      <c r="IN17" s="18">
        <f>-IN$14*BadDebtPct</f>
        <v/>
      </c>
      <c r="IO17" s="18">
        <f>-IO$14*BadDebtPct</f>
        <v/>
      </c>
      <c r="IP17" s="18">
        <f>-IP$14*BadDebtPct</f>
        <v/>
      </c>
      <c r="IQ17" s="18">
        <f>-IQ$14*BadDebtPct</f>
        <v/>
      </c>
      <c r="IR17" s="18">
        <f>-IR$14*BadDebtPct</f>
        <v/>
      </c>
      <c r="IS17" s="18">
        <f>-IS$14*BadDebtPct</f>
        <v/>
      </c>
      <c r="IT17" s="18">
        <f>-IT$14*BadDebtPct</f>
        <v/>
      </c>
      <c r="IU17" s="18">
        <f>-IU$14*BadDebtPct</f>
        <v/>
      </c>
      <c r="IV17" s="18">
        <f>-IV$14*BadDebtPct</f>
        <v/>
      </c>
      <c r="IW17" s="18">
        <f>-IW$14*BadDebtPct</f>
        <v/>
      </c>
      <c r="IX17" s="18">
        <f>-IX$14*BadDebtPct</f>
        <v/>
      </c>
      <c r="IY17" s="18">
        <f>-IY$14*BadDebtPct</f>
        <v/>
      </c>
      <c r="IZ17" s="18">
        <f>-IZ$14*BadDebtPct</f>
        <v/>
      </c>
      <c r="JA17" s="18">
        <f>-JA$14*BadDebtPct</f>
        <v/>
      </c>
      <c r="JB17" s="18">
        <f>-JB$14*BadDebtPct</f>
        <v/>
      </c>
      <c r="JC17" s="18">
        <f>-JC$14*BadDebtPct</f>
        <v/>
      </c>
      <c r="JD17" s="18">
        <f>-JD$14*BadDebtPct</f>
        <v/>
      </c>
      <c r="JE17" s="18">
        <f>-JE$14*BadDebtPct</f>
        <v/>
      </c>
      <c r="JF17" s="18">
        <f>-JF$14*BadDebtPct</f>
        <v/>
      </c>
      <c r="JG17" s="18">
        <f>-JG$14*BadDebtPct</f>
        <v/>
      </c>
      <c r="JH17" s="18">
        <f>-JH$14*BadDebtPct</f>
        <v/>
      </c>
      <c r="JI17" s="18">
        <f>-JI$14*BadDebtPct</f>
        <v/>
      </c>
      <c r="JJ17" s="18">
        <f>-JJ$14*BadDebtPct</f>
        <v/>
      </c>
      <c r="JK17" s="18">
        <f>-JK$14*BadDebtPct</f>
        <v/>
      </c>
      <c r="JL17" s="18">
        <f>-JL$14*BadDebtPct</f>
        <v/>
      </c>
      <c r="JM17" s="18">
        <f>-JM$14*BadDebtPct</f>
        <v/>
      </c>
      <c r="JN17" s="18">
        <f>-JN$14*BadDebtPct</f>
        <v/>
      </c>
      <c r="JO17" s="18">
        <f>-JO$14*BadDebtPct</f>
        <v/>
      </c>
      <c r="JP17" s="18">
        <f>-JP$14*BadDebtPct</f>
        <v/>
      </c>
      <c r="JQ17" s="18">
        <f>-JQ$14*BadDebtPct</f>
        <v/>
      </c>
      <c r="JR17" s="18">
        <f>-JR$14*BadDebtPct</f>
        <v/>
      </c>
      <c r="JS17" s="18">
        <f>-JS$14*BadDebtPct</f>
        <v/>
      </c>
      <c r="JT17" s="18">
        <f>-JT$14*BadDebtPct</f>
        <v/>
      </c>
      <c r="JU17" s="18">
        <f>-JU$14*BadDebtPct</f>
        <v/>
      </c>
      <c r="JV17" s="18">
        <f>-JV$14*BadDebtPct</f>
        <v/>
      </c>
      <c r="JW17" s="18">
        <f>-JW$14*BadDebtPct</f>
        <v/>
      </c>
      <c r="JX17" s="18">
        <f>-JX$14*BadDebtPct</f>
        <v/>
      </c>
      <c r="JY17" s="18">
        <f>-JY$14*BadDebtPct</f>
        <v/>
      </c>
      <c r="JZ17" s="18">
        <f>-JZ$14*BadDebtPct</f>
        <v/>
      </c>
      <c r="KA17" s="18">
        <f>-KA$14*BadDebtPct</f>
        <v/>
      </c>
      <c r="KB17" s="18">
        <f>-KB$14*BadDebtPct</f>
        <v/>
      </c>
      <c r="KC17" s="18">
        <f>-KC$14*BadDebtPct</f>
        <v/>
      </c>
      <c r="KD17" s="18">
        <f>-KD$14*BadDebtPct</f>
        <v/>
      </c>
      <c r="KE17" s="18">
        <f>-KE$14*BadDebtPct</f>
        <v/>
      </c>
      <c r="KF17" s="18">
        <f>-KF$14*BadDebtPct</f>
        <v/>
      </c>
      <c r="KG17" s="18">
        <f>-KG$14*BadDebtPct</f>
        <v/>
      </c>
      <c r="KH17" s="18">
        <f>-KH$14*BadDebtPct</f>
        <v/>
      </c>
      <c r="KI17" s="18">
        <f>-KI$14*BadDebtPct</f>
        <v/>
      </c>
      <c r="KJ17" s="18">
        <f>-KJ$14*BadDebtPct</f>
        <v/>
      </c>
      <c r="KK17" s="18">
        <f>-KK$14*BadDebtPct</f>
        <v/>
      </c>
      <c r="KL17" s="18">
        <f>-KL$14*BadDebtPct</f>
        <v/>
      </c>
      <c r="KM17" s="18">
        <f>-KM$14*BadDebtPct</f>
        <v/>
      </c>
      <c r="KN17" s="18">
        <f>-KN$14*BadDebtPct</f>
        <v/>
      </c>
      <c r="KO17" s="18">
        <f>-KO$14*BadDebtPct</f>
        <v/>
      </c>
      <c r="KP17" s="18">
        <f>-KP$14*BadDebtPct</f>
        <v/>
      </c>
      <c r="KQ17" s="18">
        <f>-KQ$14*BadDebtPct</f>
        <v/>
      </c>
      <c r="KR17" s="18">
        <f>-KR$14*BadDebtPct</f>
        <v/>
      </c>
      <c r="KS17" s="18">
        <f>-KS$14*BadDebtPct</f>
        <v/>
      </c>
      <c r="KT17" s="18">
        <f>-KT$14*BadDebtPct</f>
        <v/>
      </c>
      <c r="KU17" s="18">
        <f>-KU$14*BadDebtPct</f>
        <v/>
      </c>
      <c r="KV17" s="18">
        <f>-KV$14*BadDebtPct</f>
        <v/>
      </c>
      <c r="KW17" s="18">
        <f>-KW$14*BadDebtPct</f>
        <v/>
      </c>
      <c r="KX17" s="18">
        <f>-KX$14*BadDebtPct</f>
        <v/>
      </c>
      <c r="KY17" s="18">
        <f>-KY$14*BadDebtPct</f>
        <v/>
      </c>
      <c r="KZ17" s="18">
        <f>-KZ$14*BadDebtPct</f>
        <v/>
      </c>
      <c r="LA17" s="18">
        <f>-LA$14*BadDebtPct</f>
        <v/>
      </c>
      <c r="LB17" s="18">
        <f>-LB$14*BadDebtPct</f>
        <v/>
      </c>
      <c r="LC17" s="18">
        <f>-LC$14*BadDebtPct</f>
        <v/>
      </c>
      <c r="LD17" s="18">
        <f>-LD$14*BadDebtPct</f>
        <v/>
      </c>
      <c r="LE17" s="18">
        <f>-LE$14*BadDebtPct</f>
        <v/>
      </c>
      <c r="LF17" s="18">
        <f>-LF$14*BadDebtPct</f>
        <v/>
      </c>
      <c r="LG17" s="18">
        <f>-LG$14*BadDebtPct</f>
        <v/>
      </c>
      <c r="LH17" s="18">
        <f>-LH$14*BadDebtPct</f>
        <v/>
      </c>
      <c r="LI17" s="18">
        <f>-LI$14*BadDebtPct</f>
        <v/>
      </c>
      <c r="LJ17" s="18">
        <f>-LJ$14*BadDebtPct</f>
        <v/>
      </c>
      <c r="LK17" s="18">
        <f>-LK$14*BadDebtPct</f>
        <v/>
      </c>
      <c r="LL17" s="18">
        <f>-LL$14*BadDebtPct</f>
        <v/>
      </c>
      <c r="LM17" s="18">
        <f>-LM$14*BadDebtPct</f>
        <v/>
      </c>
      <c r="LN17" s="18">
        <f>-LN$14*BadDebtPct</f>
        <v/>
      </c>
      <c r="LO17" s="18">
        <f>-LO$14*BadDebtPct</f>
        <v/>
      </c>
      <c r="LP17" s="18">
        <f>-LP$14*BadDebtPct</f>
        <v/>
      </c>
      <c r="LQ17" s="18">
        <f>-LQ$14*BadDebtPct</f>
        <v/>
      </c>
      <c r="LR17" s="18">
        <f>-LR$14*BadDebtPct</f>
        <v/>
      </c>
      <c r="LS17" s="18">
        <f>-LS$14*BadDebtPct</f>
        <v/>
      </c>
      <c r="LT17" s="18">
        <f>-LT$14*BadDebtPct</f>
        <v/>
      </c>
      <c r="LU17" s="18">
        <f>-LU$14*BadDebtPct</f>
        <v/>
      </c>
      <c r="LV17" s="18">
        <f>-LV$14*BadDebtPct</f>
        <v/>
      </c>
      <c r="LW17" s="18">
        <f>-LW$14*BadDebtPct</f>
        <v/>
      </c>
      <c r="LX17" s="18">
        <f>-LX$14*BadDebtPct</f>
        <v/>
      </c>
      <c r="LY17" s="18">
        <f>-LY$14*BadDebtPct</f>
        <v/>
      </c>
      <c r="LZ17" s="18">
        <f>-LZ$14*BadDebtPct</f>
        <v/>
      </c>
      <c r="MA17" s="18">
        <f>-MA$14*BadDebtPct</f>
        <v/>
      </c>
      <c r="MB17" s="18">
        <f>-MB$14*BadDebtPct</f>
        <v/>
      </c>
      <c r="MC17" s="18">
        <f>-MC$14*BadDebtPct</f>
        <v/>
      </c>
      <c r="MD17" s="18">
        <f>-MD$14*BadDebtPct</f>
        <v/>
      </c>
      <c r="ME17" s="18">
        <f>-ME$14*BadDebtPct</f>
        <v/>
      </c>
      <c r="MF17" s="18">
        <f>-MF$14*BadDebtPct</f>
        <v/>
      </c>
      <c r="MG17" s="18">
        <f>-MG$14*BadDebtPct</f>
        <v/>
      </c>
      <c r="MH17" s="18">
        <f>-MH$14*BadDebtPct</f>
        <v/>
      </c>
      <c r="MI17" s="18">
        <f>-MI$14*BadDebtPct</f>
        <v/>
      </c>
      <c r="MJ17" s="18">
        <f>-MJ$14*BadDebtPct</f>
        <v/>
      </c>
      <c r="MK17" s="18">
        <f>-MK$14*BadDebtPct</f>
        <v/>
      </c>
      <c r="ML17" s="18">
        <f>-ML$14*BadDebtPct</f>
        <v/>
      </c>
      <c r="MM17" s="18">
        <f>-MM$14*BadDebtPct</f>
        <v/>
      </c>
      <c r="MN17" s="18">
        <f>-MN$14*BadDebtPct</f>
        <v/>
      </c>
      <c r="MO17" s="18">
        <f>-MO$14*BadDebtPct</f>
        <v/>
      </c>
      <c r="MP17" s="18">
        <f>-MP$14*BadDebtPct</f>
        <v/>
      </c>
      <c r="MQ17" s="18">
        <f>-MQ$14*BadDebtPct</f>
        <v/>
      </c>
      <c r="MR17" s="18">
        <f>-MR$14*BadDebtPct</f>
        <v/>
      </c>
      <c r="MS17" s="18">
        <f>-MS$14*BadDebtPct</f>
        <v/>
      </c>
      <c r="MT17" s="18">
        <f>-MT$14*BadDebtPct</f>
        <v/>
      </c>
      <c r="MU17" s="18">
        <f>-MU$14*BadDebtPct</f>
        <v/>
      </c>
      <c r="MV17" s="18">
        <f>-MV$14*BadDebtPct</f>
        <v/>
      </c>
      <c r="MW17" s="18">
        <f>-MW$14*BadDebtPct</f>
        <v/>
      </c>
      <c r="MX17" s="18">
        <f>-MX$14*BadDebtPct</f>
        <v/>
      </c>
      <c r="MY17" s="18">
        <f>-MY$14*BadDebtPct</f>
        <v/>
      </c>
      <c r="MZ17" s="18">
        <f>-MZ$14*BadDebtPct</f>
        <v/>
      </c>
      <c r="NA17" s="18">
        <f>-NA$14*BadDebtPct</f>
        <v/>
      </c>
      <c r="NB17" s="18">
        <f>-NB$14*BadDebtPct</f>
        <v/>
      </c>
      <c r="NC17" s="18">
        <f>-NC$14*BadDebtPct</f>
        <v/>
      </c>
      <c r="ND17" s="18">
        <f>-ND$14*BadDebtPct</f>
        <v/>
      </c>
      <c r="NE17" s="18">
        <f>-NE$14*BadDebtPct</f>
        <v/>
      </c>
      <c r="NF17" s="18">
        <f>-NF$14*BadDebtPct</f>
        <v/>
      </c>
      <c r="NG17" s="18">
        <f>-NG$14*BadDebtPct</f>
        <v/>
      </c>
      <c r="NH17" s="18">
        <f>-NH$14*BadDebtPct</f>
        <v/>
      </c>
      <c r="NI17" s="18">
        <f>-NI$14*BadDebtPct</f>
        <v/>
      </c>
      <c r="NJ17" s="18">
        <f>-NJ$14*BadDebtPct</f>
        <v/>
      </c>
      <c r="NK17" s="18">
        <f>-NK$14*BadDebtPct</f>
        <v/>
      </c>
    </row>
    <row r="18">
      <c r="A18" s="5" t="inlineStr">
        <is>
          <t>Concessions</t>
        </is>
      </c>
      <c r="C18" s="41">
        <f>SUM(D18:NK18)</f>
        <v/>
      </c>
      <c r="D18" s="18">
        <f>-D$14*ConcessionsPct</f>
        <v/>
      </c>
      <c r="E18" s="18">
        <f>-E$14*ConcessionsPct</f>
        <v/>
      </c>
      <c r="F18" s="18">
        <f>-F$14*ConcessionsPct</f>
        <v/>
      </c>
      <c r="G18" s="18">
        <f>-G$14*ConcessionsPct</f>
        <v/>
      </c>
      <c r="H18" s="18">
        <f>-H$14*ConcessionsPct</f>
        <v/>
      </c>
      <c r="I18" s="18">
        <f>-I$14*ConcessionsPct</f>
        <v/>
      </c>
      <c r="J18" s="18">
        <f>-J$14*ConcessionsPct</f>
        <v/>
      </c>
      <c r="K18" s="18">
        <f>-K$14*ConcessionsPct</f>
        <v/>
      </c>
      <c r="L18" s="18">
        <f>-L$14*ConcessionsPct</f>
        <v/>
      </c>
      <c r="M18" s="18">
        <f>-M$14*ConcessionsPct</f>
        <v/>
      </c>
      <c r="N18" s="18">
        <f>-N$14*ConcessionsPct</f>
        <v/>
      </c>
      <c r="O18" s="18">
        <f>-O$14*ConcessionsPct</f>
        <v/>
      </c>
      <c r="P18" s="18">
        <f>-P$14*ConcessionsPct</f>
        <v/>
      </c>
      <c r="Q18" s="18">
        <f>-Q$14*ConcessionsPct</f>
        <v/>
      </c>
      <c r="R18" s="18">
        <f>-R$14*ConcessionsPct</f>
        <v/>
      </c>
      <c r="S18" s="18">
        <f>-S$14*ConcessionsPct</f>
        <v/>
      </c>
      <c r="T18" s="18">
        <f>-T$14*ConcessionsPct</f>
        <v/>
      </c>
      <c r="U18" s="18">
        <f>-U$14*ConcessionsPct</f>
        <v/>
      </c>
      <c r="V18" s="18">
        <f>-V$14*ConcessionsPct</f>
        <v/>
      </c>
      <c r="W18" s="18">
        <f>-W$14*ConcessionsPct</f>
        <v/>
      </c>
      <c r="X18" s="18">
        <f>-X$14*ConcessionsPct</f>
        <v/>
      </c>
      <c r="Y18" s="18">
        <f>-Y$14*ConcessionsPct</f>
        <v/>
      </c>
      <c r="Z18" s="18">
        <f>-Z$14*ConcessionsPct</f>
        <v/>
      </c>
      <c r="AA18" s="18">
        <f>-AA$14*ConcessionsPct</f>
        <v/>
      </c>
      <c r="AB18" s="18">
        <f>-AB$14*ConcessionsPct</f>
        <v/>
      </c>
      <c r="AC18" s="18">
        <f>-AC$14*ConcessionsPct</f>
        <v/>
      </c>
      <c r="AD18" s="18">
        <f>-AD$14*ConcessionsPct</f>
        <v/>
      </c>
      <c r="AE18" s="18">
        <f>-AE$14*ConcessionsPct</f>
        <v/>
      </c>
      <c r="AF18" s="18">
        <f>-AF$14*ConcessionsPct</f>
        <v/>
      </c>
      <c r="AG18" s="18">
        <f>-AG$14*ConcessionsPct</f>
        <v/>
      </c>
      <c r="AH18" s="18">
        <f>-AH$14*ConcessionsPct</f>
        <v/>
      </c>
      <c r="AI18" s="18">
        <f>-AI$14*ConcessionsPct</f>
        <v/>
      </c>
      <c r="AJ18" s="18">
        <f>-AJ$14*ConcessionsPct</f>
        <v/>
      </c>
      <c r="AK18" s="18">
        <f>-AK$14*ConcessionsPct</f>
        <v/>
      </c>
      <c r="AL18" s="18">
        <f>-AL$14*ConcessionsPct</f>
        <v/>
      </c>
      <c r="AM18" s="18">
        <f>-AM$14*ConcessionsPct</f>
        <v/>
      </c>
      <c r="AN18" s="18">
        <f>-AN$14*ConcessionsPct</f>
        <v/>
      </c>
      <c r="AO18" s="18">
        <f>-AO$14*ConcessionsPct</f>
        <v/>
      </c>
      <c r="AP18" s="18">
        <f>-AP$14*ConcessionsPct</f>
        <v/>
      </c>
      <c r="AQ18" s="18">
        <f>-AQ$14*ConcessionsPct</f>
        <v/>
      </c>
      <c r="AR18" s="18">
        <f>-AR$14*ConcessionsPct</f>
        <v/>
      </c>
      <c r="AS18" s="18">
        <f>-AS$14*ConcessionsPct</f>
        <v/>
      </c>
      <c r="AT18" s="18">
        <f>-AT$14*ConcessionsPct</f>
        <v/>
      </c>
      <c r="AU18" s="18">
        <f>-AU$14*ConcessionsPct</f>
        <v/>
      </c>
      <c r="AV18" s="18">
        <f>-AV$14*ConcessionsPct</f>
        <v/>
      </c>
      <c r="AW18" s="18">
        <f>-AW$14*ConcessionsPct</f>
        <v/>
      </c>
      <c r="AX18" s="18">
        <f>-AX$14*ConcessionsPct</f>
        <v/>
      </c>
      <c r="AY18" s="18">
        <f>-AY$14*ConcessionsPct</f>
        <v/>
      </c>
      <c r="AZ18" s="18">
        <f>-AZ$14*ConcessionsPct</f>
        <v/>
      </c>
      <c r="BA18" s="18">
        <f>-BA$14*ConcessionsPct</f>
        <v/>
      </c>
      <c r="BB18" s="18">
        <f>-BB$14*ConcessionsPct</f>
        <v/>
      </c>
      <c r="BC18" s="18">
        <f>-BC$14*ConcessionsPct</f>
        <v/>
      </c>
      <c r="BD18" s="18">
        <f>-BD$14*ConcessionsPct</f>
        <v/>
      </c>
      <c r="BE18" s="18">
        <f>-BE$14*ConcessionsPct</f>
        <v/>
      </c>
      <c r="BF18" s="18">
        <f>-BF$14*ConcessionsPct</f>
        <v/>
      </c>
      <c r="BG18" s="18">
        <f>-BG$14*ConcessionsPct</f>
        <v/>
      </c>
      <c r="BH18" s="18">
        <f>-BH$14*ConcessionsPct</f>
        <v/>
      </c>
      <c r="BI18" s="18">
        <f>-BI$14*ConcessionsPct</f>
        <v/>
      </c>
      <c r="BJ18" s="18">
        <f>-BJ$14*ConcessionsPct</f>
        <v/>
      </c>
      <c r="BK18" s="18">
        <f>-BK$14*ConcessionsPct</f>
        <v/>
      </c>
      <c r="BL18" s="18">
        <f>-BL$14*ConcessionsPct</f>
        <v/>
      </c>
      <c r="BM18" s="18">
        <f>-BM$14*ConcessionsPct</f>
        <v/>
      </c>
      <c r="BN18" s="18">
        <f>-BN$14*ConcessionsPct</f>
        <v/>
      </c>
      <c r="BO18" s="18">
        <f>-BO$14*ConcessionsPct</f>
        <v/>
      </c>
      <c r="BP18" s="18">
        <f>-BP$14*ConcessionsPct</f>
        <v/>
      </c>
      <c r="BQ18" s="18">
        <f>-BQ$14*ConcessionsPct</f>
        <v/>
      </c>
      <c r="BR18" s="18">
        <f>-BR$14*ConcessionsPct</f>
        <v/>
      </c>
      <c r="BS18" s="18">
        <f>-BS$14*ConcessionsPct</f>
        <v/>
      </c>
      <c r="BT18" s="18">
        <f>-BT$14*ConcessionsPct</f>
        <v/>
      </c>
      <c r="BU18" s="18">
        <f>-BU$14*ConcessionsPct</f>
        <v/>
      </c>
      <c r="BV18" s="18">
        <f>-BV$14*ConcessionsPct</f>
        <v/>
      </c>
      <c r="BW18" s="18">
        <f>-BW$14*ConcessionsPct</f>
        <v/>
      </c>
      <c r="BX18" s="18">
        <f>-BX$14*ConcessionsPct</f>
        <v/>
      </c>
      <c r="BY18" s="18">
        <f>-BY$14*ConcessionsPct</f>
        <v/>
      </c>
      <c r="BZ18" s="18">
        <f>-BZ$14*ConcessionsPct</f>
        <v/>
      </c>
      <c r="CA18" s="18">
        <f>-CA$14*ConcessionsPct</f>
        <v/>
      </c>
      <c r="CB18" s="18">
        <f>-CB$14*ConcessionsPct</f>
        <v/>
      </c>
      <c r="CC18" s="18">
        <f>-CC$14*ConcessionsPct</f>
        <v/>
      </c>
      <c r="CD18" s="18">
        <f>-CD$14*ConcessionsPct</f>
        <v/>
      </c>
      <c r="CE18" s="18">
        <f>-CE$14*ConcessionsPct</f>
        <v/>
      </c>
      <c r="CF18" s="18">
        <f>-CF$14*ConcessionsPct</f>
        <v/>
      </c>
      <c r="CG18" s="18">
        <f>-CG$14*ConcessionsPct</f>
        <v/>
      </c>
      <c r="CH18" s="18">
        <f>-CH$14*ConcessionsPct</f>
        <v/>
      </c>
      <c r="CI18" s="18">
        <f>-CI$14*ConcessionsPct</f>
        <v/>
      </c>
      <c r="CJ18" s="18">
        <f>-CJ$14*ConcessionsPct</f>
        <v/>
      </c>
      <c r="CK18" s="18">
        <f>-CK$14*ConcessionsPct</f>
        <v/>
      </c>
      <c r="CL18" s="18">
        <f>-CL$14*ConcessionsPct</f>
        <v/>
      </c>
      <c r="CM18" s="18">
        <f>-CM$14*ConcessionsPct</f>
        <v/>
      </c>
      <c r="CN18" s="18">
        <f>-CN$14*ConcessionsPct</f>
        <v/>
      </c>
      <c r="CO18" s="18">
        <f>-CO$14*ConcessionsPct</f>
        <v/>
      </c>
      <c r="CP18" s="18">
        <f>-CP$14*ConcessionsPct</f>
        <v/>
      </c>
      <c r="CQ18" s="18">
        <f>-CQ$14*ConcessionsPct</f>
        <v/>
      </c>
      <c r="CR18" s="18">
        <f>-CR$14*ConcessionsPct</f>
        <v/>
      </c>
      <c r="CS18" s="18">
        <f>-CS$14*ConcessionsPct</f>
        <v/>
      </c>
      <c r="CT18" s="18">
        <f>-CT$14*ConcessionsPct</f>
        <v/>
      </c>
      <c r="CU18" s="18">
        <f>-CU$14*ConcessionsPct</f>
        <v/>
      </c>
      <c r="CV18" s="18">
        <f>-CV$14*ConcessionsPct</f>
        <v/>
      </c>
      <c r="CW18" s="18">
        <f>-CW$14*ConcessionsPct</f>
        <v/>
      </c>
      <c r="CX18" s="18">
        <f>-CX$14*ConcessionsPct</f>
        <v/>
      </c>
      <c r="CY18" s="18">
        <f>-CY$14*ConcessionsPct</f>
        <v/>
      </c>
      <c r="CZ18" s="18">
        <f>-CZ$14*ConcessionsPct</f>
        <v/>
      </c>
      <c r="DA18" s="18">
        <f>-DA$14*ConcessionsPct</f>
        <v/>
      </c>
      <c r="DB18" s="18">
        <f>-DB$14*ConcessionsPct</f>
        <v/>
      </c>
      <c r="DC18" s="18">
        <f>-DC$14*ConcessionsPct</f>
        <v/>
      </c>
      <c r="DD18" s="18">
        <f>-DD$14*ConcessionsPct</f>
        <v/>
      </c>
      <c r="DE18" s="18">
        <f>-DE$14*ConcessionsPct</f>
        <v/>
      </c>
      <c r="DF18" s="18">
        <f>-DF$14*ConcessionsPct</f>
        <v/>
      </c>
      <c r="DG18" s="18">
        <f>-DG$14*ConcessionsPct</f>
        <v/>
      </c>
      <c r="DH18" s="18">
        <f>-DH$14*ConcessionsPct</f>
        <v/>
      </c>
      <c r="DI18" s="18">
        <f>-DI$14*ConcessionsPct</f>
        <v/>
      </c>
      <c r="DJ18" s="18">
        <f>-DJ$14*ConcessionsPct</f>
        <v/>
      </c>
      <c r="DK18" s="18">
        <f>-DK$14*ConcessionsPct</f>
        <v/>
      </c>
      <c r="DL18" s="18">
        <f>-DL$14*ConcessionsPct</f>
        <v/>
      </c>
      <c r="DM18" s="18">
        <f>-DM$14*ConcessionsPct</f>
        <v/>
      </c>
      <c r="DN18" s="18">
        <f>-DN$14*ConcessionsPct</f>
        <v/>
      </c>
      <c r="DO18" s="18">
        <f>-DO$14*ConcessionsPct</f>
        <v/>
      </c>
      <c r="DP18" s="18">
        <f>-DP$14*ConcessionsPct</f>
        <v/>
      </c>
      <c r="DQ18" s="18">
        <f>-DQ$14*ConcessionsPct</f>
        <v/>
      </c>
      <c r="DR18" s="18">
        <f>-DR$14*ConcessionsPct</f>
        <v/>
      </c>
      <c r="DS18" s="18">
        <f>-DS$14*ConcessionsPct</f>
        <v/>
      </c>
      <c r="DT18" s="18">
        <f>-DT$14*ConcessionsPct</f>
        <v/>
      </c>
      <c r="DU18" s="18">
        <f>-DU$14*ConcessionsPct</f>
        <v/>
      </c>
      <c r="DV18" s="18">
        <f>-DV$14*ConcessionsPct</f>
        <v/>
      </c>
      <c r="DW18" s="18">
        <f>-DW$14*ConcessionsPct</f>
        <v/>
      </c>
      <c r="DX18" s="18">
        <f>-DX$14*ConcessionsPct</f>
        <v/>
      </c>
      <c r="DY18" s="18">
        <f>-DY$14*ConcessionsPct</f>
        <v/>
      </c>
      <c r="DZ18" s="18">
        <f>-DZ$14*ConcessionsPct</f>
        <v/>
      </c>
      <c r="EA18" s="18">
        <f>-EA$14*ConcessionsPct</f>
        <v/>
      </c>
      <c r="EB18" s="18">
        <f>-EB$14*ConcessionsPct</f>
        <v/>
      </c>
      <c r="EC18" s="18">
        <f>-EC$14*ConcessionsPct</f>
        <v/>
      </c>
      <c r="ED18" s="18">
        <f>-ED$14*ConcessionsPct</f>
        <v/>
      </c>
      <c r="EE18" s="18">
        <f>-EE$14*ConcessionsPct</f>
        <v/>
      </c>
      <c r="EF18" s="18">
        <f>-EF$14*ConcessionsPct</f>
        <v/>
      </c>
      <c r="EG18" s="18">
        <f>-EG$14*ConcessionsPct</f>
        <v/>
      </c>
      <c r="EH18" s="18">
        <f>-EH$14*ConcessionsPct</f>
        <v/>
      </c>
      <c r="EI18" s="18">
        <f>-EI$14*ConcessionsPct</f>
        <v/>
      </c>
      <c r="EJ18" s="18">
        <f>-EJ$14*ConcessionsPct</f>
        <v/>
      </c>
      <c r="EK18" s="18">
        <f>-EK$14*ConcessionsPct</f>
        <v/>
      </c>
      <c r="EL18" s="18">
        <f>-EL$14*ConcessionsPct</f>
        <v/>
      </c>
      <c r="EM18" s="18">
        <f>-EM$14*ConcessionsPct</f>
        <v/>
      </c>
      <c r="EN18" s="18">
        <f>-EN$14*ConcessionsPct</f>
        <v/>
      </c>
      <c r="EO18" s="18">
        <f>-EO$14*ConcessionsPct</f>
        <v/>
      </c>
      <c r="EP18" s="18">
        <f>-EP$14*ConcessionsPct</f>
        <v/>
      </c>
      <c r="EQ18" s="18">
        <f>-EQ$14*ConcessionsPct</f>
        <v/>
      </c>
      <c r="ER18" s="18">
        <f>-ER$14*ConcessionsPct</f>
        <v/>
      </c>
      <c r="ES18" s="18">
        <f>-ES$14*ConcessionsPct</f>
        <v/>
      </c>
      <c r="ET18" s="18">
        <f>-ET$14*ConcessionsPct</f>
        <v/>
      </c>
      <c r="EU18" s="18">
        <f>-EU$14*ConcessionsPct</f>
        <v/>
      </c>
      <c r="EV18" s="18">
        <f>-EV$14*ConcessionsPct</f>
        <v/>
      </c>
      <c r="EW18" s="18">
        <f>-EW$14*ConcessionsPct</f>
        <v/>
      </c>
      <c r="EX18" s="18">
        <f>-EX$14*ConcessionsPct</f>
        <v/>
      </c>
      <c r="EY18" s="18">
        <f>-EY$14*ConcessionsPct</f>
        <v/>
      </c>
      <c r="EZ18" s="18">
        <f>-EZ$14*ConcessionsPct</f>
        <v/>
      </c>
      <c r="FA18" s="18">
        <f>-FA$14*ConcessionsPct</f>
        <v/>
      </c>
      <c r="FB18" s="18">
        <f>-FB$14*ConcessionsPct</f>
        <v/>
      </c>
      <c r="FC18" s="18">
        <f>-FC$14*ConcessionsPct</f>
        <v/>
      </c>
      <c r="FD18" s="18">
        <f>-FD$14*ConcessionsPct</f>
        <v/>
      </c>
      <c r="FE18" s="18">
        <f>-FE$14*ConcessionsPct</f>
        <v/>
      </c>
      <c r="FF18" s="18">
        <f>-FF$14*ConcessionsPct</f>
        <v/>
      </c>
      <c r="FG18" s="18">
        <f>-FG$14*ConcessionsPct</f>
        <v/>
      </c>
      <c r="FH18" s="18">
        <f>-FH$14*ConcessionsPct</f>
        <v/>
      </c>
      <c r="FI18" s="18">
        <f>-FI$14*ConcessionsPct</f>
        <v/>
      </c>
      <c r="FJ18" s="18">
        <f>-FJ$14*ConcessionsPct</f>
        <v/>
      </c>
      <c r="FK18" s="18">
        <f>-FK$14*ConcessionsPct</f>
        <v/>
      </c>
      <c r="FL18" s="18">
        <f>-FL$14*ConcessionsPct</f>
        <v/>
      </c>
      <c r="FM18" s="18">
        <f>-FM$14*ConcessionsPct</f>
        <v/>
      </c>
      <c r="FN18" s="18">
        <f>-FN$14*ConcessionsPct</f>
        <v/>
      </c>
      <c r="FO18" s="18">
        <f>-FO$14*ConcessionsPct</f>
        <v/>
      </c>
      <c r="FP18" s="18">
        <f>-FP$14*ConcessionsPct</f>
        <v/>
      </c>
      <c r="FQ18" s="18">
        <f>-FQ$14*ConcessionsPct</f>
        <v/>
      </c>
      <c r="FR18" s="18">
        <f>-FR$14*ConcessionsPct</f>
        <v/>
      </c>
      <c r="FS18" s="18">
        <f>-FS$14*ConcessionsPct</f>
        <v/>
      </c>
      <c r="FT18" s="18">
        <f>-FT$14*ConcessionsPct</f>
        <v/>
      </c>
      <c r="FU18" s="18">
        <f>-FU$14*ConcessionsPct</f>
        <v/>
      </c>
      <c r="FV18" s="18">
        <f>-FV$14*ConcessionsPct</f>
        <v/>
      </c>
      <c r="FW18" s="18">
        <f>-FW$14*ConcessionsPct</f>
        <v/>
      </c>
      <c r="FX18" s="18">
        <f>-FX$14*ConcessionsPct</f>
        <v/>
      </c>
      <c r="FY18" s="18">
        <f>-FY$14*ConcessionsPct</f>
        <v/>
      </c>
      <c r="FZ18" s="18">
        <f>-FZ$14*ConcessionsPct</f>
        <v/>
      </c>
      <c r="GA18" s="18">
        <f>-GA$14*ConcessionsPct</f>
        <v/>
      </c>
      <c r="GB18" s="18">
        <f>-GB$14*ConcessionsPct</f>
        <v/>
      </c>
      <c r="GC18" s="18">
        <f>-GC$14*ConcessionsPct</f>
        <v/>
      </c>
      <c r="GD18" s="18">
        <f>-GD$14*ConcessionsPct</f>
        <v/>
      </c>
      <c r="GE18" s="18">
        <f>-GE$14*ConcessionsPct</f>
        <v/>
      </c>
      <c r="GF18" s="18">
        <f>-GF$14*ConcessionsPct</f>
        <v/>
      </c>
      <c r="GG18" s="18">
        <f>-GG$14*ConcessionsPct</f>
        <v/>
      </c>
      <c r="GH18" s="18">
        <f>-GH$14*ConcessionsPct</f>
        <v/>
      </c>
      <c r="GI18" s="18">
        <f>-GI$14*ConcessionsPct</f>
        <v/>
      </c>
      <c r="GJ18" s="18">
        <f>-GJ$14*ConcessionsPct</f>
        <v/>
      </c>
      <c r="GK18" s="18">
        <f>-GK$14*ConcessionsPct</f>
        <v/>
      </c>
      <c r="GL18" s="18">
        <f>-GL$14*ConcessionsPct</f>
        <v/>
      </c>
      <c r="GM18" s="18">
        <f>-GM$14*ConcessionsPct</f>
        <v/>
      </c>
      <c r="GN18" s="18">
        <f>-GN$14*ConcessionsPct</f>
        <v/>
      </c>
      <c r="GO18" s="18">
        <f>-GO$14*ConcessionsPct</f>
        <v/>
      </c>
      <c r="GP18" s="18">
        <f>-GP$14*ConcessionsPct</f>
        <v/>
      </c>
      <c r="GQ18" s="18">
        <f>-GQ$14*ConcessionsPct</f>
        <v/>
      </c>
      <c r="GR18" s="18">
        <f>-GR$14*ConcessionsPct</f>
        <v/>
      </c>
      <c r="GS18" s="18">
        <f>-GS$14*ConcessionsPct</f>
        <v/>
      </c>
      <c r="GT18" s="18">
        <f>-GT$14*ConcessionsPct</f>
        <v/>
      </c>
      <c r="GU18" s="18">
        <f>-GU$14*ConcessionsPct</f>
        <v/>
      </c>
      <c r="GV18" s="18">
        <f>-GV$14*ConcessionsPct</f>
        <v/>
      </c>
      <c r="GW18" s="18">
        <f>-GW$14*ConcessionsPct</f>
        <v/>
      </c>
      <c r="GX18" s="18">
        <f>-GX$14*ConcessionsPct</f>
        <v/>
      </c>
      <c r="GY18" s="18">
        <f>-GY$14*ConcessionsPct</f>
        <v/>
      </c>
      <c r="GZ18" s="18">
        <f>-GZ$14*ConcessionsPct</f>
        <v/>
      </c>
      <c r="HA18" s="18">
        <f>-HA$14*ConcessionsPct</f>
        <v/>
      </c>
      <c r="HB18" s="18">
        <f>-HB$14*ConcessionsPct</f>
        <v/>
      </c>
      <c r="HC18" s="18">
        <f>-HC$14*ConcessionsPct</f>
        <v/>
      </c>
      <c r="HD18" s="18">
        <f>-HD$14*ConcessionsPct</f>
        <v/>
      </c>
      <c r="HE18" s="18">
        <f>-HE$14*ConcessionsPct</f>
        <v/>
      </c>
      <c r="HF18" s="18">
        <f>-HF$14*ConcessionsPct</f>
        <v/>
      </c>
      <c r="HG18" s="18">
        <f>-HG$14*ConcessionsPct</f>
        <v/>
      </c>
      <c r="HH18" s="18">
        <f>-HH$14*ConcessionsPct</f>
        <v/>
      </c>
      <c r="HI18" s="18">
        <f>-HI$14*ConcessionsPct</f>
        <v/>
      </c>
      <c r="HJ18" s="18">
        <f>-HJ$14*ConcessionsPct</f>
        <v/>
      </c>
      <c r="HK18" s="18">
        <f>-HK$14*ConcessionsPct</f>
        <v/>
      </c>
      <c r="HL18" s="18">
        <f>-HL$14*ConcessionsPct</f>
        <v/>
      </c>
      <c r="HM18" s="18">
        <f>-HM$14*ConcessionsPct</f>
        <v/>
      </c>
      <c r="HN18" s="18">
        <f>-HN$14*ConcessionsPct</f>
        <v/>
      </c>
      <c r="HO18" s="18">
        <f>-HO$14*ConcessionsPct</f>
        <v/>
      </c>
      <c r="HP18" s="18">
        <f>-HP$14*ConcessionsPct</f>
        <v/>
      </c>
      <c r="HQ18" s="18">
        <f>-HQ$14*ConcessionsPct</f>
        <v/>
      </c>
      <c r="HR18" s="18">
        <f>-HR$14*ConcessionsPct</f>
        <v/>
      </c>
      <c r="HS18" s="18">
        <f>-HS$14*ConcessionsPct</f>
        <v/>
      </c>
      <c r="HT18" s="18">
        <f>-HT$14*ConcessionsPct</f>
        <v/>
      </c>
      <c r="HU18" s="18">
        <f>-HU$14*ConcessionsPct</f>
        <v/>
      </c>
      <c r="HV18" s="18">
        <f>-HV$14*ConcessionsPct</f>
        <v/>
      </c>
      <c r="HW18" s="18">
        <f>-HW$14*ConcessionsPct</f>
        <v/>
      </c>
      <c r="HX18" s="18">
        <f>-HX$14*ConcessionsPct</f>
        <v/>
      </c>
      <c r="HY18" s="18">
        <f>-HY$14*ConcessionsPct</f>
        <v/>
      </c>
      <c r="HZ18" s="18">
        <f>-HZ$14*ConcessionsPct</f>
        <v/>
      </c>
      <c r="IA18" s="18">
        <f>-IA$14*ConcessionsPct</f>
        <v/>
      </c>
      <c r="IB18" s="18">
        <f>-IB$14*ConcessionsPct</f>
        <v/>
      </c>
      <c r="IC18" s="18">
        <f>-IC$14*ConcessionsPct</f>
        <v/>
      </c>
      <c r="ID18" s="18">
        <f>-ID$14*ConcessionsPct</f>
        <v/>
      </c>
      <c r="IE18" s="18">
        <f>-IE$14*ConcessionsPct</f>
        <v/>
      </c>
      <c r="IF18" s="18">
        <f>-IF$14*ConcessionsPct</f>
        <v/>
      </c>
      <c r="IG18" s="18">
        <f>-IG$14*ConcessionsPct</f>
        <v/>
      </c>
      <c r="IH18" s="18">
        <f>-IH$14*ConcessionsPct</f>
        <v/>
      </c>
      <c r="II18" s="18">
        <f>-II$14*ConcessionsPct</f>
        <v/>
      </c>
      <c r="IJ18" s="18">
        <f>-IJ$14*ConcessionsPct</f>
        <v/>
      </c>
      <c r="IK18" s="18">
        <f>-IK$14*ConcessionsPct</f>
        <v/>
      </c>
      <c r="IL18" s="18">
        <f>-IL$14*ConcessionsPct</f>
        <v/>
      </c>
      <c r="IM18" s="18">
        <f>-IM$14*ConcessionsPct</f>
        <v/>
      </c>
      <c r="IN18" s="18">
        <f>-IN$14*ConcessionsPct</f>
        <v/>
      </c>
      <c r="IO18" s="18">
        <f>-IO$14*ConcessionsPct</f>
        <v/>
      </c>
      <c r="IP18" s="18">
        <f>-IP$14*ConcessionsPct</f>
        <v/>
      </c>
      <c r="IQ18" s="18">
        <f>-IQ$14*ConcessionsPct</f>
        <v/>
      </c>
      <c r="IR18" s="18">
        <f>-IR$14*ConcessionsPct</f>
        <v/>
      </c>
      <c r="IS18" s="18">
        <f>-IS$14*ConcessionsPct</f>
        <v/>
      </c>
      <c r="IT18" s="18">
        <f>-IT$14*ConcessionsPct</f>
        <v/>
      </c>
      <c r="IU18" s="18">
        <f>-IU$14*ConcessionsPct</f>
        <v/>
      </c>
      <c r="IV18" s="18">
        <f>-IV$14*ConcessionsPct</f>
        <v/>
      </c>
      <c r="IW18" s="18">
        <f>-IW$14*ConcessionsPct</f>
        <v/>
      </c>
      <c r="IX18" s="18">
        <f>-IX$14*ConcessionsPct</f>
        <v/>
      </c>
      <c r="IY18" s="18">
        <f>-IY$14*ConcessionsPct</f>
        <v/>
      </c>
      <c r="IZ18" s="18">
        <f>-IZ$14*ConcessionsPct</f>
        <v/>
      </c>
      <c r="JA18" s="18">
        <f>-JA$14*ConcessionsPct</f>
        <v/>
      </c>
      <c r="JB18" s="18">
        <f>-JB$14*ConcessionsPct</f>
        <v/>
      </c>
      <c r="JC18" s="18">
        <f>-JC$14*ConcessionsPct</f>
        <v/>
      </c>
      <c r="JD18" s="18">
        <f>-JD$14*ConcessionsPct</f>
        <v/>
      </c>
      <c r="JE18" s="18">
        <f>-JE$14*ConcessionsPct</f>
        <v/>
      </c>
      <c r="JF18" s="18">
        <f>-JF$14*ConcessionsPct</f>
        <v/>
      </c>
      <c r="JG18" s="18">
        <f>-JG$14*ConcessionsPct</f>
        <v/>
      </c>
      <c r="JH18" s="18">
        <f>-JH$14*ConcessionsPct</f>
        <v/>
      </c>
      <c r="JI18" s="18">
        <f>-JI$14*ConcessionsPct</f>
        <v/>
      </c>
      <c r="JJ18" s="18">
        <f>-JJ$14*ConcessionsPct</f>
        <v/>
      </c>
      <c r="JK18" s="18">
        <f>-JK$14*ConcessionsPct</f>
        <v/>
      </c>
      <c r="JL18" s="18">
        <f>-JL$14*ConcessionsPct</f>
        <v/>
      </c>
      <c r="JM18" s="18">
        <f>-JM$14*ConcessionsPct</f>
        <v/>
      </c>
      <c r="JN18" s="18">
        <f>-JN$14*ConcessionsPct</f>
        <v/>
      </c>
      <c r="JO18" s="18">
        <f>-JO$14*ConcessionsPct</f>
        <v/>
      </c>
      <c r="JP18" s="18">
        <f>-JP$14*ConcessionsPct</f>
        <v/>
      </c>
      <c r="JQ18" s="18">
        <f>-JQ$14*ConcessionsPct</f>
        <v/>
      </c>
      <c r="JR18" s="18">
        <f>-JR$14*ConcessionsPct</f>
        <v/>
      </c>
      <c r="JS18" s="18">
        <f>-JS$14*ConcessionsPct</f>
        <v/>
      </c>
      <c r="JT18" s="18">
        <f>-JT$14*ConcessionsPct</f>
        <v/>
      </c>
      <c r="JU18" s="18">
        <f>-JU$14*ConcessionsPct</f>
        <v/>
      </c>
      <c r="JV18" s="18">
        <f>-JV$14*ConcessionsPct</f>
        <v/>
      </c>
      <c r="JW18" s="18">
        <f>-JW$14*ConcessionsPct</f>
        <v/>
      </c>
      <c r="JX18" s="18">
        <f>-JX$14*ConcessionsPct</f>
        <v/>
      </c>
      <c r="JY18" s="18">
        <f>-JY$14*ConcessionsPct</f>
        <v/>
      </c>
      <c r="JZ18" s="18">
        <f>-JZ$14*ConcessionsPct</f>
        <v/>
      </c>
      <c r="KA18" s="18">
        <f>-KA$14*ConcessionsPct</f>
        <v/>
      </c>
      <c r="KB18" s="18">
        <f>-KB$14*ConcessionsPct</f>
        <v/>
      </c>
      <c r="KC18" s="18">
        <f>-KC$14*ConcessionsPct</f>
        <v/>
      </c>
      <c r="KD18" s="18">
        <f>-KD$14*ConcessionsPct</f>
        <v/>
      </c>
      <c r="KE18" s="18">
        <f>-KE$14*ConcessionsPct</f>
        <v/>
      </c>
      <c r="KF18" s="18">
        <f>-KF$14*ConcessionsPct</f>
        <v/>
      </c>
      <c r="KG18" s="18">
        <f>-KG$14*ConcessionsPct</f>
        <v/>
      </c>
      <c r="KH18" s="18">
        <f>-KH$14*ConcessionsPct</f>
        <v/>
      </c>
      <c r="KI18" s="18">
        <f>-KI$14*ConcessionsPct</f>
        <v/>
      </c>
      <c r="KJ18" s="18">
        <f>-KJ$14*ConcessionsPct</f>
        <v/>
      </c>
      <c r="KK18" s="18">
        <f>-KK$14*ConcessionsPct</f>
        <v/>
      </c>
      <c r="KL18" s="18">
        <f>-KL$14*ConcessionsPct</f>
        <v/>
      </c>
      <c r="KM18" s="18">
        <f>-KM$14*ConcessionsPct</f>
        <v/>
      </c>
      <c r="KN18" s="18">
        <f>-KN$14*ConcessionsPct</f>
        <v/>
      </c>
      <c r="KO18" s="18">
        <f>-KO$14*ConcessionsPct</f>
        <v/>
      </c>
      <c r="KP18" s="18">
        <f>-KP$14*ConcessionsPct</f>
        <v/>
      </c>
      <c r="KQ18" s="18">
        <f>-KQ$14*ConcessionsPct</f>
        <v/>
      </c>
      <c r="KR18" s="18">
        <f>-KR$14*ConcessionsPct</f>
        <v/>
      </c>
      <c r="KS18" s="18">
        <f>-KS$14*ConcessionsPct</f>
        <v/>
      </c>
      <c r="KT18" s="18">
        <f>-KT$14*ConcessionsPct</f>
        <v/>
      </c>
      <c r="KU18" s="18">
        <f>-KU$14*ConcessionsPct</f>
        <v/>
      </c>
      <c r="KV18" s="18">
        <f>-KV$14*ConcessionsPct</f>
        <v/>
      </c>
      <c r="KW18" s="18">
        <f>-KW$14*ConcessionsPct</f>
        <v/>
      </c>
      <c r="KX18" s="18">
        <f>-KX$14*ConcessionsPct</f>
        <v/>
      </c>
      <c r="KY18" s="18">
        <f>-KY$14*ConcessionsPct</f>
        <v/>
      </c>
      <c r="KZ18" s="18">
        <f>-KZ$14*ConcessionsPct</f>
        <v/>
      </c>
      <c r="LA18" s="18">
        <f>-LA$14*ConcessionsPct</f>
        <v/>
      </c>
      <c r="LB18" s="18">
        <f>-LB$14*ConcessionsPct</f>
        <v/>
      </c>
      <c r="LC18" s="18">
        <f>-LC$14*ConcessionsPct</f>
        <v/>
      </c>
      <c r="LD18" s="18">
        <f>-LD$14*ConcessionsPct</f>
        <v/>
      </c>
      <c r="LE18" s="18">
        <f>-LE$14*ConcessionsPct</f>
        <v/>
      </c>
      <c r="LF18" s="18">
        <f>-LF$14*ConcessionsPct</f>
        <v/>
      </c>
      <c r="LG18" s="18">
        <f>-LG$14*ConcessionsPct</f>
        <v/>
      </c>
      <c r="LH18" s="18">
        <f>-LH$14*ConcessionsPct</f>
        <v/>
      </c>
      <c r="LI18" s="18">
        <f>-LI$14*ConcessionsPct</f>
        <v/>
      </c>
      <c r="LJ18" s="18">
        <f>-LJ$14*ConcessionsPct</f>
        <v/>
      </c>
      <c r="LK18" s="18">
        <f>-LK$14*ConcessionsPct</f>
        <v/>
      </c>
      <c r="LL18" s="18">
        <f>-LL$14*ConcessionsPct</f>
        <v/>
      </c>
      <c r="LM18" s="18">
        <f>-LM$14*ConcessionsPct</f>
        <v/>
      </c>
      <c r="LN18" s="18">
        <f>-LN$14*ConcessionsPct</f>
        <v/>
      </c>
      <c r="LO18" s="18">
        <f>-LO$14*ConcessionsPct</f>
        <v/>
      </c>
      <c r="LP18" s="18">
        <f>-LP$14*ConcessionsPct</f>
        <v/>
      </c>
      <c r="LQ18" s="18">
        <f>-LQ$14*ConcessionsPct</f>
        <v/>
      </c>
      <c r="LR18" s="18">
        <f>-LR$14*ConcessionsPct</f>
        <v/>
      </c>
      <c r="LS18" s="18">
        <f>-LS$14*ConcessionsPct</f>
        <v/>
      </c>
      <c r="LT18" s="18">
        <f>-LT$14*ConcessionsPct</f>
        <v/>
      </c>
      <c r="LU18" s="18">
        <f>-LU$14*ConcessionsPct</f>
        <v/>
      </c>
      <c r="LV18" s="18">
        <f>-LV$14*ConcessionsPct</f>
        <v/>
      </c>
      <c r="LW18" s="18">
        <f>-LW$14*ConcessionsPct</f>
        <v/>
      </c>
      <c r="LX18" s="18">
        <f>-LX$14*ConcessionsPct</f>
        <v/>
      </c>
      <c r="LY18" s="18">
        <f>-LY$14*ConcessionsPct</f>
        <v/>
      </c>
      <c r="LZ18" s="18">
        <f>-LZ$14*ConcessionsPct</f>
        <v/>
      </c>
      <c r="MA18" s="18">
        <f>-MA$14*ConcessionsPct</f>
        <v/>
      </c>
      <c r="MB18" s="18">
        <f>-MB$14*ConcessionsPct</f>
        <v/>
      </c>
      <c r="MC18" s="18">
        <f>-MC$14*ConcessionsPct</f>
        <v/>
      </c>
      <c r="MD18" s="18">
        <f>-MD$14*ConcessionsPct</f>
        <v/>
      </c>
      <c r="ME18" s="18">
        <f>-ME$14*ConcessionsPct</f>
        <v/>
      </c>
      <c r="MF18" s="18">
        <f>-MF$14*ConcessionsPct</f>
        <v/>
      </c>
      <c r="MG18" s="18">
        <f>-MG$14*ConcessionsPct</f>
        <v/>
      </c>
      <c r="MH18" s="18">
        <f>-MH$14*ConcessionsPct</f>
        <v/>
      </c>
      <c r="MI18" s="18">
        <f>-MI$14*ConcessionsPct</f>
        <v/>
      </c>
      <c r="MJ18" s="18">
        <f>-MJ$14*ConcessionsPct</f>
        <v/>
      </c>
      <c r="MK18" s="18">
        <f>-MK$14*ConcessionsPct</f>
        <v/>
      </c>
      <c r="ML18" s="18">
        <f>-ML$14*ConcessionsPct</f>
        <v/>
      </c>
      <c r="MM18" s="18">
        <f>-MM$14*ConcessionsPct</f>
        <v/>
      </c>
      <c r="MN18" s="18">
        <f>-MN$14*ConcessionsPct</f>
        <v/>
      </c>
      <c r="MO18" s="18">
        <f>-MO$14*ConcessionsPct</f>
        <v/>
      </c>
      <c r="MP18" s="18">
        <f>-MP$14*ConcessionsPct</f>
        <v/>
      </c>
      <c r="MQ18" s="18">
        <f>-MQ$14*ConcessionsPct</f>
        <v/>
      </c>
      <c r="MR18" s="18">
        <f>-MR$14*ConcessionsPct</f>
        <v/>
      </c>
      <c r="MS18" s="18">
        <f>-MS$14*ConcessionsPct</f>
        <v/>
      </c>
      <c r="MT18" s="18">
        <f>-MT$14*ConcessionsPct</f>
        <v/>
      </c>
      <c r="MU18" s="18">
        <f>-MU$14*ConcessionsPct</f>
        <v/>
      </c>
      <c r="MV18" s="18">
        <f>-MV$14*ConcessionsPct</f>
        <v/>
      </c>
      <c r="MW18" s="18">
        <f>-MW$14*ConcessionsPct</f>
        <v/>
      </c>
      <c r="MX18" s="18">
        <f>-MX$14*ConcessionsPct</f>
        <v/>
      </c>
      <c r="MY18" s="18">
        <f>-MY$14*ConcessionsPct</f>
        <v/>
      </c>
      <c r="MZ18" s="18">
        <f>-MZ$14*ConcessionsPct</f>
        <v/>
      </c>
      <c r="NA18" s="18">
        <f>-NA$14*ConcessionsPct</f>
        <v/>
      </c>
      <c r="NB18" s="18">
        <f>-NB$14*ConcessionsPct</f>
        <v/>
      </c>
      <c r="NC18" s="18">
        <f>-NC$14*ConcessionsPct</f>
        <v/>
      </c>
      <c r="ND18" s="18">
        <f>-ND$14*ConcessionsPct</f>
        <v/>
      </c>
      <c r="NE18" s="18">
        <f>-NE$14*ConcessionsPct</f>
        <v/>
      </c>
      <c r="NF18" s="18">
        <f>-NF$14*ConcessionsPct</f>
        <v/>
      </c>
      <c r="NG18" s="18">
        <f>-NG$14*ConcessionsPct</f>
        <v/>
      </c>
      <c r="NH18" s="18">
        <f>-NH$14*ConcessionsPct</f>
        <v/>
      </c>
      <c r="NI18" s="18">
        <f>-NI$14*ConcessionsPct</f>
        <v/>
      </c>
      <c r="NJ18" s="18">
        <f>-NJ$14*ConcessionsPct</f>
        <v/>
      </c>
      <c r="NK18" s="18">
        <f>-NK$14*ConcessionsPct</f>
        <v/>
      </c>
    </row>
    <row r="19">
      <c r="A19" s="5" t="inlineStr">
        <is>
          <t>Parking &amp; Storage</t>
        </is>
      </c>
      <c r="C19" s="41">
        <f>SUM(D19:NK19)</f>
        <v/>
      </c>
      <c r="D19" s="18">
        <f>IF(1&gt;=DeliverStart,ParkingPerUnitMo*'LeaseUp'!D$9*D$10,0)</f>
        <v/>
      </c>
      <c r="E19" s="18">
        <f>IF(2&gt;=DeliverStart,ParkingPerUnitMo*'LeaseUp'!E$9*E$10,0)</f>
        <v/>
      </c>
      <c r="F19" s="18">
        <f>IF(3&gt;=DeliverStart,ParkingPerUnitMo*'LeaseUp'!F$9*F$10,0)</f>
        <v/>
      </c>
      <c r="G19" s="18">
        <f>IF(4&gt;=DeliverStart,ParkingPerUnitMo*'LeaseUp'!G$9*G$10,0)</f>
        <v/>
      </c>
      <c r="H19" s="18">
        <f>IF(5&gt;=DeliverStart,ParkingPerUnitMo*'LeaseUp'!H$9*H$10,0)</f>
        <v/>
      </c>
      <c r="I19" s="18">
        <f>IF(6&gt;=DeliverStart,ParkingPerUnitMo*'LeaseUp'!I$9*I$10,0)</f>
        <v/>
      </c>
      <c r="J19" s="18">
        <f>IF(7&gt;=DeliverStart,ParkingPerUnitMo*'LeaseUp'!J$9*J$10,0)</f>
        <v/>
      </c>
      <c r="K19" s="18">
        <f>IF(8&gt;=DeliverStart,ParkingPerUnitMo*'LeaseUp'!K$9*K$10,0)</f>
        <v/>
      </c>
      <c r="L19" s="18">
        <f>IF(9&gt;=DeliverStart,ParkingPerUnitMo*'LeaseUp'!L$9*L$10,0)</f>
        <v/>
      </c>
      <c r="M19" s="18">
        <f>IF(10&gt;=DeliverStart,ParkingPerUnitMo*'LeaseUp'!M$9*M$10,0)</f>
        <v/>
      </c>
      <c r="N19" s="18">
        <f>IF(11&gt;=DeliverStart,ParkingPerUnitMo*'LeaseUp'!N$9*N$10,0)</f>
        <v/>
      </c>
      <c r="O19" s="18">
        <f>IF(12&gt;=DeliverStart,ParkingPerUnitMo*'LeaseUp'!O$9*O$10,0)</f>
        <v/>
      </c>
      <c r="P19" s="18">
        <f>IF(13&gt;=DeliverStart,ParkingPerUnitMo*'LeaseUp'!P$9*P$10,0)</f>
        <v/>
      </c>
      <c r="Q19" s="18">
        <f>IF(14&gt;=DeliverStart,ParkingPerUnitMo*'LeaseUp'!Q$9*Q$10,0)</f>
        <v/>
      </c>
      <c r="R19" s="18">
        <f>IF(15&gt;=DeliverStart,ParkingPerUnitMo*'LeaseUp'!R$9*R$10,0)</f>
        <v/>
      </c>
      <c r="S19" s="18">
        <f>IF(16&gt;=DeliverStart,ParkingPerUnitMo*'LeaseUp'!S$9*S$10,0)</f>
        <v/>
      </c>
      <c r="T19" s="18">
        <f>IF(17&gt;=DeliverStart,ParkingPerUnitMo*'LeaseUp'!T$9*T$10,0)</f>
        <v/>
      </c>
      <c r="U19" s="18">
        <f>IF(18&gt;=DeliverStart,ParkingPerUnitMo*'LeaseUp'!U$9*U$10,0)</f>
        <v/>
      </c>
      <c r="V19" s="18">
        <f>IF(19&gt;=DeliverStart,ParkingPerUnitMo*'LeaseUp'!V$9*V$10,0)</f>
        <v/>
      </c>
      <c r="W19" s="18">
        <f>IF(20&gt;=DeliverStart,ParkingPerUnitMo*'LeaseUp'!W$9*W$10,0)</f>
        <v/>
      </c>
      <c r="X19" s="18">
        <f>IF(21&gt;=DeliverStart,ParkingPerUnitMo*'LeaseUp'!X$9*X$10,0)</f>
        <v/>
      </c>
      <c r="Y19" s="18">
        <f>IF(22&gt;=DeliverStart,ParkingPerUnitMo*'LeaseUp'!Y$9*Y$10,0)</f>
        <v/>
      </c>
      <c r="Z19" s="18">
        <f>IF(23&gt;=DeliverStart,ParkingPerUnitMo*'LeaseUp'!Z$9*Z$10,0)</f>
        <v/>
      </c>
      <c r="AA19" s="18">
        <f>IF(24&gt;=DeliverStart,ParkingPerUnitMo*'LeaseUp'!AA$9*AA$10,0)</f>
        <v/>
      </c>
      <c r="AB19" s="18">
        <f>IF(25&gt;=DeliverStart,ParkingPerUnitMo*'LeaseUp'!AB$9*AB$10,0)</f>
        <v/>
      </c>
      <c r="AC19" s="18">
        <f>IF(26&gt;=DeliverStart,ParkingPerUnitMo*'LeaseUp'!AC$9*AC$10,0)</f>
        <v/>
      </c>
      <c r="AD19" s="18">
        <f>IF(27&gt;=DeliverStart,ParkingPerUnitMo*'LeaseUp'!AD$9*AD$10,0)</f>
        <v/>
      </c>
      <c r="AE19" s="18">
        <f>IF(28&gt;=DeliverStart,ParkingPerUnitMo*'LeaseUp'!AE$9*AE$10,0)</f>
        <v/>
      </c>
      <c r="AF19" s="18">
        <f>IF(29&gt;=DeliverStart,ParkingPerUnitMo*'LeaseUp'!AF$9*AF$10,0)</f>
        <v/>
      </c>
      <c r="AG19" s="18">
        <f>IF(30&gt;=DeliverStart,ParkingPerUnitMo*'LeaseUp'!AG$9*AG$10,0)</f>
        <v/>
      </c>
      <c r="AH19" s="18">
        <f>IF(31&gt;=DeliverStart,ParkingPerUnitMo*'LeaseUp'!AH$9*AH$10,0)</f>
        <v/>
      </c>
      <c r="AI19" s="18">
        <f>IF(32&gt;=DeliverStart,ParkingPerUnitMo*'LeaseUp'!AI$9*AI$10,0)</f>
        <v/>
      </c>
      <c r="AJ19" s="18">
        <f>IF(33&gt;=DeliverStart,ParkingPerUnitMo*'LeaseUp'!AJ$9*AJ$10,0)</f>
        <v/>
      </c>
      <c r="AK19" s="18">
        <f>IF(34&gt;=DeliverStart,ParkingPerUnitMo*'LeaseUp'!AK$9*AK$10,0)</f>
        <v/>
      </c>
      <c r="AL19" s="18">
        <f>IF(35&gt;=DeliverStart,ParkingPerUnitMo*'LeaseUp'!AL$9*AL$10,0)</f>
        <v/>
      </c>
      <c r="AM19" s="18">
        <f>IF(36&gt;=DeliverStart,ParkingPerUnitMo*'LeaseUp'!AM$9*AM$10,0)</f>
        <v/>
      </c>
      <c r="AN19" s="18">
        <f>IF(37&gt;=DeliverStart,ParkingPerUnitMo*'LeaseUp'!AN$9*AN$10,0)</f>
        <v/>
      </c>
      <c r="AO19" s="18">
        <f>IF(38&gt;=DeliverStart,ParkingPerUnitMo*'LeaseUp'!AO$9*AO$10,0)</f>
        <v/>
      </c>
      <c r="AP19" s="18">
        <f>IF(39&gt;=DeliverStart,ParkingPerUnitMo*'LeaseUp'!AP$9*AP$10,0)</f>
        <v/>
      </c>
      <c r="AQ19" s="18">
        <f>IF(40&gt;=DeliverStart,ParkingPerUnitMo*'LeaseUp'!AQ$9*AQ$10,0)</f>
        <v/>
      </c>
      <c r="AR19" s="18">
        <f>IF(41&gt;=DeliverStart,ParkingPerUnitMo*'LeaseUp'!AR$9*AR$10,0)</f>
        <v/>
      </c>
      <c r="AS19" s="18">
        <f>IF(42&gt;=DeliverStart,ParkingPerUnitMo*'LeaseUp'!AS$9*AS$10,0)</f>
        <v/>
      </c>
      <c r="AT19" s="18">
        <f>IF(43&gt;=DeliverStart,ParkingPerUnitMo*'LeaseUp'!AT$9*AT$10,0)</f>
        <v/>
      </c>
      <c r="AU19" s="18">
        <f>IF(44&gt;=DeliverStart,ParkingPerUnitMo*'LeaseUp'!AU$9*AU$10,0)</f>
        <v/>
      </c>
      <c r="AV19" s="18">
        <f>IF(45&gt;=DeliverStart,ParkingPerUnitMo*'LeaseUp'!AV$9*AV$10,0)</f>
        <v/>
      </c>
      <c r="AW19" s="18">
        <f>IF(46&gt;=DeliverStart,ParkingPerUnitMo*'LeaseUp'!AW$9*AW$10,0)</f>
        <v/>
      </c>
      <c r="AX19" s="18">
        <f>IF(47&gt;=DeliverStart,ParkingPerUnitMo*'LeaseUp'!AX$9*AX$10,0)</f>
        <v/>
      </c>
      <c r="AY19" s="18">
        <f>IF(48&gt;=DeliverStart,ParkingPerUnitMo*'LeaseUp'!AY$9*AY$10,0)</f>
        <v/>
      </c>
      <c r="AZ19" s="18">
        <f>IF(49&gt;=DeliverStart,ParkingPerUnitMo*'LeaseUp'!AZ$9*AZ$10,0)</f>
        <v/>
      </c>
      <c r="BA19" s="18">
        <f>IF(50&gt;=DeliverStart,ParkingPerUnitMo*'LeaseUp'!BA$9*BA$10,0)</f>
        <v/>
      </c>
      <c r="BB19" s="18">
        <f>IF(51&gt;=DeliverStart,ParkingPerUnitMo*'LeaseUp'!BB$9*BB$10,0)</f>
        <v/>
      </c>
      <c r="BC19" s="18">
        <f>IF(52&gt;=DeliverStart,ParkingPerUnitMo*'LeaseUp'!BC$9*BC$10,0)</f>
        <v/>
      </c>
      <c r="BD19" s="18">
        <f>IF(53&gt;=DeliverStart,ParkingPerUnitMo*'LeaseUp'!BD$9*BD$10,0)</f>
        <v/>
      </c>
      <c r="BE19" s="18">
        <f>IF(54&gt;=DeliverStart,ParkingPerUnitMo*'LeaseUp'!BE$9*BE$10,0)</f>
        <v/>
      </c>
      <c r="BF19" s="18">
        <f>IF(55&gt;=DeliverStart,ParkingPerUnitMo*'LeaseUp'!BF$9*BF$10,0)</f>
        <v/>
      </c>
      <c r="BG19" s="18">
        <f>IF(56&gt;=DeliverStart,ParkingPerUnitMo*'LeaseUp'!BG$9*BG$10,0)</f>
        <v/>
      </c>
      <c r="BH19" s="18">
        <f>IF(57&gt;=DeliverStart,ParkingPerUnitMo*'LeaseUp'!BH$9*BH$10,0)</f>
        <v/>
      </c>
      <c r="BI19" s="18">
        <f>IF(58&gt;=DeliverStart,ParkingPerUnitMo*'LeaseUp'!BI$9*BI$10,0)</f>
        <v/>
      </c>
      <c r="BJ19" s="18">
        <f>IF(59&gt;=DeliverStart,ParkingPerUnitMo*'LeaseUp'!BJ$9*BJ$10,0)</f>
        <v/>
      </c>
      <c r="BK19" s="18">
        <f>IF(60&gt;=DeliverStart,ParkingPerUnitMo*'LeaseUp'!BK$9*BK$10,0)</f>
        <v/>
      </c>
      <c r="BL19" s="18">
        <f>IF(61&gt;=DeliverStart,ParkingPerUnitMo*'LeaseUp'!BL$9*BL$10,0)</f>
        <v/>
      </c>
      <c r="BM19" s="18">
        <f>IF(62&gt;=DeliverStart,ParkingPerUnitMo*'LeaseUp'!BM$9*BM$10,0)</f>
        <v/>
      </c>
      <c r="BN19" s="18">
        <f>IF(63&gt;=DeliverStart,ParkingPerUnitMo*'LeaseUp'!BN$9*BN$10,0)</f>
        <v/>
      </c>
      <c r="BO19" s="18">
        <f>IF(64&gt;=DeliverStart,ParkingPerUnitMo*'LeaseUp'!BO$9*BO$10,0)</f>
        <v/>
      </c>
      <c r="BP19" s="18">
        <f>IF(65&gt;=DeliverStart,ParkingPerUnitMo*'LeaseUp'!BP$9*BP$10,0)</f>
        <v/>
      </c>
      <c r="BQ19" s="18">
        <f>IF(66&gt;=DeliverStart,ParkingPerUnitMo*'LeaseUp'!BQ$9*BQ$10,0)</f>
        <v/>
      </c>
      <c r="BR19" s="18">
        <f>IF(67&gt;=DeliverStart,ParkingPerUnitMo*'LeaseUp'!BR$9*BR$10,0)</f>
        <v/>
      </c>
      <c r="BS19" s="18">
        <f>IF(68&gt;=DeliverStart,ParkingPerUnitMo*'LeaseUp'!BS$9*BS$10,0)</f>
        <v/>
      </c>
      <c r="BT19" s="18">
        <f>IF(69&gt;=DeliverStart,ParkingPerUnitMo*'LeaseUp'!BT$9*BT$10,0)</f>
        <v/>
      </c>
      <c r="BU19" s="18">
        <f>IF(70&gt;=DeliverStart,ParkingPerUnitMo*'LeaseUp'!BU$9*BU$10,0)</f>
        <v/>
      </c>
      <c r="BV19" s="18">
        <f>IF(71&gt;=DeliverStart,ParkingPerUnitMo*'LeaseUp'!BV$9*BV$10,0)</f>
        <v/>
      </c>
      <c r="BW19" s="18">
        <f>IF(72&gt;=DeliverStart,ParkingPerUnitMo*'LeaseUp'!BW$9*BW$10,0)</f>
        <v/>
      </c>
      <c r="BX19" s="18">
        <f>IF(73&gt;=DeliverStart,ParkingPerUnitMo*'LeaseUp'!BX$9*BX$10,0)</f>
        <v/>
      </c>
      <c r="BY19" s="18">
        <f>IF(74&gt;=DeliverStart,ParkingPerUnitMo*'LeaseUp'!BY$9*BY$10,0)</f>
        <v/>
      </c>
      <c r="BZ19" s="18">
        <f>IF(75&gt;=DeliverStart,ParkingPerUnitMo*'LeaseUp'!BZ$9*BZ$10,0)</f>
        <v/>
      </c>
      <c r="CA19" s="18">
        <f>IF(76&gt;=DeliverStart,ParkingPerUnitMo*'LeaseUp'!CA$9*CA$10,0)</f>
        <v/>
      </c>
      <c r="CB19" s="18">
        <f>IF(77&gt;=DeliverStart,ParkingPerUnitMo*'LeaseUp'!CB$9*CB$10,0)</f>
        <v/>
      </c>
      <c r="CC19" s="18">
        <f>IF(78&gt;=DeliverStart,ParkingPerUnitMo*'LeaseUp'!CC$9*CC$10,0)</f>
        <v/>
      </c>
      <c r="CD19" s="18">
        <f>IF(79&gt;=DeliverStart,ParkingPerUnitMo*'LeaseUp'!CD$9*CD$10,0)</f>
        <v/>
      </c>
      <c r="CE19" s="18">
        <f>IF(80&gt;=DeliverStart,ParkingPerUnitMo*'LeaseUp'!CE$9*CE$10,0)</f>
        <v/>
      </c>
      <c r="CF19" s="18">
        <f>IF(81&gt;=DeliverStart,ParkingPerUnitMo*'LeaseUp'!CF$9*CF$10,0)</f>
        <v/>
      </c>
      <c r="CG19" s="18">
        <f>IF(82&gt;=DeliverStart,ParkingPerUnitMo*'LeaseUp'!CG$9*CG$10,0)</f>
        <v/>
      </c>
      <c r="CH19" s="18">
        <f>IF(83&gt;=DeliverStart,ParkingPerUnitMo*'LeaseUp'!CH$9*CH$10,0)</f>
        <v/>
      </c>
      <c r="CI19" s="18">
        <f>IF(84&gt;=DeliverStart,ParkingPerUnitMo*'LeaseUp'!CI$9*CI$10,0)</f>
        <v/>
      </c>
      <c r="CJ19" s="18">
        <f>IF(85&gt;=DeliverStart,ParkingPerUnitMo*'LeaseUp'!CJ$9*CJ$10,0)</f>
        <v/>
      </c>
      <c r="CK19" s="18">
        <f>IF(86&gt;=DeliverStart,ParkingPerUnitMo*'LeaseUp'!CK$9*CK$10,0)</f>
        <v/>
      </c>
      <c r="CL19" s="18">
        <f>IF(87&gt;=DeliverStart,ParkingPerUnitMo*'LeaseUp'!CL$9*CL$10,0)</f>
        <v/>
      </c>
      <c r="CM19" s="18">
        <f>IF(88&gt;=DeliverStart,ParkingPerUnitMo*'LeaseUp'!CM$9*CM$10,0)</f>
        <v/>
      </c>
      <c r="CN19" s="18">
        <f>IF(89&gt;=DeliverStart,ParkingPerUnitMo*'LeaseUp'!CN$9*CN$10,0)</f>
        <v/>
      </c>
      <c r="CO19" s="18">
        <f>IF(90&gt;=DeliverStart,ParkingPerUnitMo*'LeaseUp'!CO$9*CO$10,0)</f>
        <v/>
      </c>
      <c r="CP19" s="18">
        <f>IF(91&gt;=DeliverStart,ParkingPerUnitMo*'LeaseUp'!CP$9*CP$10,0)</f>
        <v/>
      </c>
      <c r="CQ19" s="18">
        <f>IF(92&gt;=DeliverStart,ParkingPerUnitMo*'LeaseUp'!CQ$9*CQ$10,0)</f>
        <v/>
      </c>
      <c r="CR19" s="18">
        <f>IF(93&gt;=DeliverStart,ParkingPerUnitMo*'LeaseUp'!CR$9*CR$10,0)</f>
        <v/>
      </c>
      <c r="CS19" s="18">
        <f>IF(94&gt;=DeliverStart,ParkingPerUnitMo*'LeaseUp'!CS$9*CS$10,0)</f>
        <v/>
      </c>
      <c r="CT19" s="18">
        <f>IF(95&gt;=DeliverStart,ParkingPerUnitMo*'LeaseUp'!CT$9*CT$10,0)</f>
        <v/>
      </c>
      <c r="CU19" s="18">
        <f>IF(96&gt;=DeliverStart,ParkingPerUnitMo*'LeaseUp'!CU$9*CU$10,0)</f>
        <v/>
      </c>
      <c r="CV19" s="18">
        <f>IF(97&gt;=DeliverStart,ParkingPerUnitMo*'LeaseUp'!CV$9*CV$10,0)</f>
        <v/>
      </c>
      <c r="CW19" s="18">
        <f>IF(98&gt;=DeliverStart,ParkingPerUnitMo*'LeaseUp'!CW$9*CW$10,0)</f>
        <v/>
      </c>
      <c r="CX19" s="18">
        <f>IF(99&gt;=DeliverStart,ParkingPerUnitMo*'LeaseUp'!CX$9*CX$10,0)</f>
        <v/>
      </c>
      <c r="CY19" s="18">
        <f>IF(100&gt;=DeliverStart,ParkingPerUnitMo*'LeaseUp'!CY$9*CY$10,0)</f>
        <v/>
      </c>
      <c r="CZ19" s="18">
        <f>IF(101&gt;=DeliverStart,ParkingPerUnitMo*'LeaseUp'!CZ$9*CZ$10,0)</f>
        <v/>
      </c>
      <c r="DA19" s="18">
        <f>IF(102&gt;=DeliverStart,ParkingPerUnitMo*'LeaseUp'!DA$9*DA$10,0)</f>
        <v/>
      </c>
      <c r="DB19" s="18">
        <f>IF(103&gt;=DeliverStart,ParkingPerUnitMo*'LeaseUp'!DB$9*DB$10,0)</f>
        <v/>
      </c>
      <c r="DC19" s="18">
        <f>IF(104&gt;=DeliverStart,ParkingPerUnitMo*'LeaseUp'!DC$9*DC$10,0)</f>
        <v/>
      </c>
      <c r="DD19" s="18">
        <f>IF(105&gt;=DeliverStart,ParkingPerUnitMo*'LeaseUp'!DD$9*DD$10,0)</f>
        <v/>
      </c>
      <c r="DE19" s="18">
        <f>IF(106&gt;=DeliverStart,ParkingPerUnitMo*'LeaseUp'!DE$9*DE$10,0)</f>
        <v/>
      </c>
      <c r="DF19" s="18">
        <f>IF(107&gt;=DeliverStart,ParkingPerUnitMo*'LeaseUp'!DF$9*DF$10,0)</f>
        <v/>
      </c>
      <c r="DG19" s="18">
        <f>IF(108&gt;=DeliverStart,ParkingPerUnitMo*'LeaseUp'!DG$9*DG$10,0)</f>
        <v/>
      </c>
      <c r="DH19" s="18">
        <f>IF(109&gt;=DeliverStart,ParkingPerUnitMo*'LeaseUp'!DH$9*DH$10,0)</f>
        <v/>
      </c>
      <c r="DI19" s="18">
        <f>IF(110&gt;=DeliverStart,ParkingPerUnitMo*'LeaseUp'!DI$9*DI$10,0)</f>
        <v/>
      </c>
      <c r="DJ19" s="18">
        <f>IF(111&gt;=DeliverStart,ParkingPerUnitMo*'LeaseUp'!DJ$9*DJ$10,0)</f>
        <v/>
      </c>
      <c r="DK19" s="18">
        <f>IF(112&gt;=DeliverStart,ParkingPerUnitMo*'LeaseUp'!DK$9*DK$10,0)</f>
        <v/>
      </c>
      <c r="DL19" s="18">
        <f>IF(113&gt;=DeliverStart,ParkingPerUnitMo*'LeaseUp'!DL$9*DL$10,0)</f>
        <v/>
      </c>
      <c r="DM19" s="18">
        <f>IF(114&gt;=DeliverStart,ParkingPerUnitMo*'LeaseUp'!DM$9*DM$10,0)</f>
        <v/>
      </c>
      <c r="DN19" s="18">
        <f>IF(115&gt;=DeliverStart,ParkingPerUnitMo*'LeaseUp'!DN$9*DN$10,0)</f>
        <v/>
      </c>
      <c r="DO19" s="18">
        <f>IF(116&gt;=DeliverStart,ParkingPerUnitMo*'LeaseUp'!DO$9*DO$10,0)</f>
        <v/>
      </c>
      <c r="DP19" s="18">
        <f>IF(117&gt;=DeliverStart,ParkingPerUnitMo*'LeaseUp'!DP$9*DP$10,0)</f>
        <v/>
      </c>
      <c r="DQ19" s="18">
        <f>IF(118&gt;=DeliverStart,ParkingPerUnitMo*'LeaseUp'!DQ$9*DQ$10,0)</f>
        <v/>
      </c>
      <c r="DR19" s="18">
        <f>IF(119&gt;=DeliverStart,ParkingPerUnitMo*'LeaseUp'!DR$9*DR$10,0)</f>
        <v/>
      </c>
      <c r="DS19" s="18">
        <f>IF(120&gt;=DeliverStart,ParkingPerUnitMo*'LeaseUp'!DS$9*DS$10,0)</f>
        <v/>
      </c>
      <c r="DT19" s="18">
        <f>IF(121&gt;=DeliverStart,ParkingPerUnitMo*'LeaseUp'!DT$9*DT$10,0)</f>
        <v/>
      </c>
      <c r="DU19" s="18">
        <f>IF(122&gt;=DeliverStart,ParkingPerUnitMo*'LeaseUp'!DU$9*DU$10,0)</f>
        <v/>
      </c>
      <c r="DV19" s="18">
        <f>IF(123&gt;=DeliverStart,ParkingPerUnitMo*'LeaseUp'!DV$9*DV$10,0)</f>
        <v/>
      </c>
      <c r="DW19" s="18">
        <f>IF(124&gt;=DeliverStart,ParkingPerUnitMo*'LeaseUp'!DW$9*DW$10,0)</f>
        <v/>
      </c>
      <c r="DX19" s="18">
        <f>IF(125&gt;=DeliverStart,ParkingPerUnitMo*'LeaseUp'!DX$9*DX$10,0)</f>
        <v/>
      </c>
      <c r="DY19" s="18">
        <f>IF(126&gt;=DeliverStart,ParkingPerUnitMo*'LeaseUp'!DY$9*DY$10,0)</f>
        <v/>
      </c>
      <c r="DZ19" s="18">
        <f>IF(127&gt;=DeliverStart,ParkingPerUnitMo*'LeaseUp'!DZ$9*DZ$10,0)</f>
        <v/>
      </c>
      <c r="EA19" s="18">
        <f>IF(128&gt;=DeliverStart,ParkingPerUnitMo*'LeaseUp'!EA$9*EA$10,0)</f>
        <v/>
      </c>
      <c r="EB19" s="18">
        <f>IF(129&gt;=DeliverStart,ParkingPerUnitMo*'LeaseUp'!EB$9*EB$10,0)</f>
        <v/>
      </c>
      <c r="EC19" s="18">
        <f>IF(130&gt;=DeliverStart,ParkingPerUnitMo*'LeaseUp'!EC$9*EC$10,0)</f>
        <v/>
      </c>
      <c r="ED19" s="18">
        <f>IF(131&gt;=DeliverStart,ParkingPerUnitMo*'LeaseUp'!ED$9*ED$10,0)</f>
        <v/>
      </c>
      <c r="EE19" s="18">
        <f>IF(132&gt;=DeliverStart,ParkingPerUnitMo*'LeaseUp'!EE$9*EE$10,0)</f>
        <v/>
      </c>
      <c r="EF19" s="18">
        <f>IF(133&gt;=DeliverStart,ParkingPerUnitMo*'LeaseUp'!EF$9*EF$10,0)</f>
        <v/>
      </c>
      <c r="EG19" s="18">
        <f>IF(134&gt;=DeliverStart,ParkingPerUnitMo*'LeaseUp'!EG$9*EG$10,0)</f>
        <v/>
      </c>
      <c r="EH19" s="18">
        <f>IF(135&gt;=DeliverStart,ParkingPerUnitMo*'LeaseUp'!EH$9*EH$10,0)</f>
        <v/>
      </c>
      <c r="EI19" s="18">
        <f>IF(136&gt;=DeliverStart,ParkingPerUnitMo*'LeaseUp'!EI$9*EI$10,0)</f>
        <v/>
      </c>
      <c r="EJ19" s="18">
        <f>IF(137&gt;=DeliverStart,ParkingPerUnitMo*'LeaseUp'!EJ$9*EJ$10,0)</f>
        <v/>
      </c>
      <c r="EK19" s="18">
        <f>IF(138&gt;=DeliverStart,ParkingPerUnitMo*'LeaseUp'!EK$9*EK$10,0)</f>
        <v/>
      </c>
      <c r="EL19" s="18">
        <f>IF(139&gt;=DeliverStart,ParkingPerUnitMo*'LeaseUp'!EL$9*EL$10,0)</f>
        <v/>
      </c>
      <c r="EM19" s="18">
        <f>IF(140&gt;=DeliverStart,ParkingPerUnitMo*'LeaseUp'!EM$9*EM$10,0)</f>
        <v/>
      </c>
      <c r="EN19" s="18">
        <f>IF(141&gt;=DeliverStart,ParkingPerUnitMo*'LeaseUp'!EN$9*EN$10,0)</f>
        <v/>
      </c>
      <c r="EO19" s="18">
        <f>IF(142&gt;=DeliverStart,ParkingPerUnitMo*'LeaseUp'!EO$9*EO$10,0)</f>
        <v/>
      </c>
      <c r="EP19" s="18">
        <f>IF(143&gt;=DeliverStart,ParkingPerUnitMo*'LeaseUp'!EP$9*EP$10,0)</f>
        <v/>
      </c>
      <c r="EQ19" s="18">
        <f>IF(144&gt;=DeliverStart,ParkingPerUnitMo*'LeaseUp'!EQ$9*EQ$10,0)</f>
        <v/>
      </c>
      <c r="ER19" s="18">
        <f>IF(145&gt;=DeliverStart,ParkingPerUnitMo*'LeaseUp'!ER$9*ER$10,0)</f>
        <v/>
      </c>
      <c r="ES19" s="18">
        <f>IF(146&gt;=DeliverStart,ParkingPerUnitMo*'LeaseUp'!ES$9*ES$10,0)</f>
        <v/>
      </c>
      <c r="ET19" s="18">
        <f>IF(147&gt;=DeliverStart,ParkingPerUnitMo*'LeaseUp'!ET$9*ET$10,0)</f>
        <v/>
      </c>
      <c r="EU19" s="18">
        <f>IF(148&gt;=DeliverStart,ParkingPerUnitMo*'LeaseUp'!EU$9*EU$10,0)</f>
        <v/>
      </c>
      <c r="EV19" s="18">
        <f>IF(149&gt;=DeliverStart,ParkingPerUnitMo*'LeaseUp'!EV$9*EV$10,0)</f>
        <v/>
      </c>
      <c r="EW19" s="18">
        <f>IF(150&gt;=DeliverStart,ParkingPerUnitMo*'LeaseUp'!EW$9*EW$10,0)</f>
        <v/>
      </c>
      <c r="EX19" s="18">
        <f>IF(151&gt;=DeliverStart,ParkingPerUnitMo*'LeaseUp'!EX$9*EX$10,0)</f>
        <v/>
      </c>
      <c r="EY19" s="18">
        <f>IF(152&gt;=DeliverStart,ParkingPerUnitMo*'LeaseUp'!EY$9*EY$10,0)</f>
        <v/>
      </c>
      <c r="EZ19" s="18">
        <f>IF(153&gt;=DeliverStart,ParkingPerUnitMo*'LeaseUp'!EZ$9*EZ$10,0)</f>
        <v/>
      </c>
      <c r="FA19" s="18">
        <f>IF(154&gt;=DeliverStart,ParkingPerUnitMo*'LeaseUp'!FA$9*FA$10,0)</f>
        <v/>
      </c>
      <c r="FB19" s="18">
        <f>IF(155&gt;=DeliverStart,ParkingPerUnitMo*'LeaseUp'!FB$9*FB$10,0)</f>
        <v/>
      </c>
      <c r="FC19" s="18">
        <f>IF(156&gt;=DeliverStart,ParkingPerUnitMo*'LeaseUp'!FC$9*FC$10,0)</f>
        <v/>
      </c>
      <c r="FD19" s="18">
        <f>IF(157&gt;=DeliverStart,ParkingPerUnitMo*'LeaseUp'!FD$9*FD$10,0)</f>
        <v/>
      </c>
      <c r="FE19" s="18">
        <f>IF(158&gt;=DeliverStart,ParkingPerUnitMo*'LeaseUp'!FE$9*FE$10,0)</f>
        <v/>
      </c>
      <c r="FF19" s="18">
        <f>IF(159&gt;=DeliverStart,ParkingPerUnitMo*'LeaseUp'!FF$9*FF$10,0)</f>
        <v/>
      </c>
      <c r="FG19" s="18">
        <f>IF(160&gt;=DeliverStart,ParkingPerUnitMo*'LeaseUp'!FG$9*FG$10,0)</f>
        <v/>
      </c>
      <c r="FH19" s="18">
        <f>IF(161&gt;=DeliverStart,ParkingPerUnitMo*'LeaseUp'!FH$9*FH$10,0)</f>
        <v/>
      </c>
      <c r="FI19" s="18">
        <f>IF(162&gt;=DeliverStart,ParkingPerUnitMo*'LeaseUp'!FI$9*FI$10,0)</f>
        <v/>
      </c>
      <c r="FJ19" s="18">
        <f>IF(163&gt;=DeliverStart,ParkingPerUnitMo*'LeaseUp'!FJ$9*FJ$10,0)</f>
        <v/>
      </c>
      <c r="FK19" s="18">
        <f>IF(164&gt;=DeliverStart,ParkingPerUnitMo*'LeaseUp'!FK$9*FK$10,0)</f>
        <v/>
      </c>
      <c r="FL19" s="18">
        <f>IF(165&gt;=DeliverStart,ParkingPerUnitMo*'LeaseUp'!FL$9*FL$10,0)</f>
        <v/>
      </c>
      <c r="FM19" s="18">
        <f>IF(166&gt;=DeliverStart,ParkingPerUnitMo*'LeaseUp'!FM$9*FM$10,0)</f>
        <v/>
      </c>
      <c r="FN19" s="18">
        <f>IF(167&gt;=DeliverStart,ParkingPerUnitMo*'LeaseUp'!FN$9*FN$10,0)</f>
        <v/>
      </c>
      <c r="FO19" s="18">
        <f>IF(168&gt;=DeliverStart,ParkingPerUnitMo*'LeaseUp'!FO$9*FO$10,0)</f>
        <v/>
      </c>
      <c r="FP19" s="18">
        <f>IF(169&gt;=DeliverStart,ParkingPerUnitMo*'LeaseUp'!FP$9*FP$10,0)</f>
        <v/>
      </c>
      <c r="FQ19" s="18">
        <f>IF(170&gt;=DeliverStart,ParkingPerUnitMo*'LeaseUp'!FQ$9*FQ$10,0)</f>
        <v/>
      </c>
      <c r="FR19" s="18">
        <f>IF(171&gt;=DeliverStart,ParkingPerUnitMo*'LeaseUp'!FR$9*FR$10,0)</f>
        <v/>
      </c>
      <c r="FS19" s="18">
        <f>IF(172&gt;=DeliverStart,ParkingPerUnitMo*'LeaseUp'!FS$9*FS$10,0)</f>
        <v/>
      </c>
      <c r="FT19" s="18">
        <f>IF(173&gt;=DeliverStart,ParkingPerUnitMo*'LeaseUp'!FT$9*FT$10,0)</f>
        <v/>
      </c>
      <c r="FU19" s="18">
        <f>IF(174&gt;=DeliverStart,ParkingPerUnitMo*'LeaseUp'!FU$9*FU$10,0)</f>
        <v/>
      </c>
      <c r="FV19" s="18">
        <f>IF(175&gt;=DeliverStart,ParkingPerUnitMo*'LeaseUp'!FV$9*FV$10,0)</f>
        <v/>
      </c>
      <c r="FW19" s="18">
        <f>IF(176&gt;=DeliverStart,ParkingPerUnitMo*'LeaseUp'!FW$9*FW$10,0)</f>
        <v/>
      </c>
      <c r="FX19" s="18">
        <f>IF(177&gt;=DeliverStart,ParkingPerUnitMo*'LeaseUp'!FX$9*FX$10,0)</f>
        <v/>
      </c>
      <c r="FY19" s="18">
        <f>IF(178&gt;=DeliverStart,ParkingPerUnitMo*'LeaseUp'!FY$9*FY$10,0)</f>
        <v/>
      </c>
      <c r="FZ19" s="18">
        <f>IF(179&gt;=DeliverStart,ParkingPerUnitMo*'LeaseUp'!FZ$9*FZ$10,0)</f>
        <v/>
      </c>
      <c r="GA19" s="18">
        <f>IF(180&gt;=DeliverStart,ParkingPerUnitMo*'LeaseUp'!GA$9*GA$10,0)</f>
        <v/>
      </c>
      <c r="GB19" s="18">
        <f>IF(181&gt;=DeliverStart,ParkingPerUnitMo*'LeaseUp'!GB$9*GB$10,0)</f>
        <v/>
      </c>
      <c r="GC19" s="18">
        <f>IF(182&gt;=DeliverStart,ParkingPerUnitMo*'LeaseUp'!GC$9*GC$10,0)</f>
        <v/>
      </c>
      <c r="GD19" s="18">
        <f>IF(183&gt;=DeliverStart,ParkingPerUnitMo*'LeaseUp'!GD$9*GD$10,0)</f>
        <v/>
      </c>
      <c r="GE19" s="18">
        <f>IF(184&gt;=DeliverStart,ParkingPerUnitMo*'LeaseUp'!GE$9*GE$10,0)</f>
        <v/>
      </c>
      <c r="GF19" s="18">
        <f>IF(185&gt;=DeliverStart,ParkingPerUnitMo*'LeaseUp'!GF$9*GF$10,0)</f>
        <v/>
      </c>
      <c r="GG19" s="18">
        <f>IF(186&gt;=DeliverStart,ParkingPerUnitMo*'LeaseUp'!GG$9*GG$10,0)</f>
        <v/>
      </c>
      <c r="GH19" s="18">
        <f>IF(187&gt;=DeliverStart,ParkingPerUnitMo*'LeaseUp'!GH$9*GH$10,0)</f>
        <v/>
      </c>
      <c r="GI19" s="18">
        <f>IF(188&gt;=DeliverStart,ParkingPerUnitMo*'LeaseUp'!GI$9*GI$10,0)</f>
        <v/>
      </c>
      <c r="GJ19" s="18">
        <f>IF(189&gt;=DeliverStart,ParkingPerUnitMo*'LeaseUp'!GJ$9*GJ$10,0)</f>
        <v/>
      </c>
      <c r="GK19" s="18">
        <f>IF(190&gt;=DeliverStart,ParkingPerUnitMo*'LeaseUp'!GK$9*GK$10,0)</f>
        <v/>
      </c>
      <c r="GL19" s="18">
        <f>IF(191&gt;=DeliverStart,ParkingPerUnitMo*'LeaseUp'!GL$9*GL$10,0)</f>
        <v/>
      </c>
      <c r="GM19" s="18">
        <f>IF(192&gt;=DeliverStart,ParkingPerUnitMo*'LeaseUp'!GM$9*GM$10,0)</f>
        <v/>
      </c>
      <c r="GN19" s="18">
        <f>IF(193&gt;=DeliverStart,ParkingPerUnitMo*'LeaseUp'!GN$9*GN$10,0)</f>
        <v/>
      </c>
      <c r="GO19" s="18">
        <f>IF(194&gt;=DeliverStart,ParkingPerUnitMo*'LeaseUp'!GO$9*GO$10,0)</f>
        <v/>
      </c>
      <c r="GP19" s="18">
        <f>IF(195&gt;=DeliverStart,ParkingPerUnitMo*'LeaseUp'!GP$9*GP$10,0)</f>
        <v/>
      </c>
      <c r="GQ19" s="18">
        <f>IF(196&gt;=DeliverStart,ParkingPerUnitMo*'LeaseUp'!GQ$9*GQ$10,0)</f>
        <v/>
      </c>
      <c r="GR19" s="18">
        <f>IF(197&gt;=DeliverStart,ParkingPerUnitMo*'LeaseUp'!GR$9*GR$10,0)</f>
        <v/>
      </c>
      <c r="GS19" s="18">
        <f>IF(198&gt;=DeliverStart,ParkingPerUnitMo*'LeaseUp'!GS$9*GS$10,0)</f>
        <v/>
      </c>
      <c r="GT19" s="18">
        <f>IF(199&gt;=DeliverStart,ParkingPerUnitMo*'LeaseUp'!GT$9*GT$10,0)</f>
        <v/>
      </c>
      <c r="GU19" s="18">
        <f>IF(200&gt;=DeliverStart,ParkingPerUnitMo*'LeaseUp'!GU$9*GU$10,0)</f>
        <v/>
      </c>
      <c r="GV19" s="18">
        <f>IF(201&gt;=DeliverStart,ParkingPerUnitMo*'LeaseUp'!GV$9*GV$10,0)</f>
        <v/>
      </c>
      <c r="GW19" s="18">
        <f>IF(202&gt;=DeliverStart,ParkingPerUnitMo*'LeaseUp'!GW$9*GW$10,0)</f>
        <v/>
      </c>
      <c r="GX19" s="18">
        <f>IF(203&gt;=DeliverStart,ParkingPerUnitMo*'LeaseUp'!GX$9*GX$10,0)</f>
        <v/>
      </c>
      <c r="GY19" s="18">
        <f>IF(204&gt;=DeliverStart,ParkingPerUnitMo*'LeaseUp'!GY$9*GY$10,0)</f>
        <v/>
      </c>
      <c r="GZ19" s="18">
        <f>IF(205&gt;=DeliverStart,ParkingPerUnitMo*'LeaseUp'!GZ$9*GZ$10,0)</f>
        <v/>
      </c>
      <c r="HA19" s="18">
        <f>IF(206&gt;=DeliverStart,ParkingPerUnitMo*'LeaseUp'!HA$9*HA$10,0)</f>
        <v/>
      </c>
      <c r="HB19" s="18">
        <f>IF(207&gt;=DeliverStart,ParkingPerUnitMo*'LeaseUp'!HB$9*HB$10,0)</f>
        <v/>
      </c>
      <c r="HC19" s="18">
        <f>IF(208&gt;=DeliverStart,ParkingPerUnitMo*'LeaseUp'!HC$9*HC$10,0)</f>
        <v/>
      </c>
      <c r="HD19" s="18">
        <f>IF(209&gt;=DeliverStart,ParkingPerUnitMo*'LeaseUp'!HD$9*HD$10,0)</f>
        <v/>
      </c>
      <c r="HE19" s="18">
        <f>IF(210&gt;=DeliverStart,ParkingPerUnitMo*'LeaseUp'!HE$9*HE$10,0)</f>
        <v/>
      </c>
      <c r="HF19" s="18">
        <f>IF(211&gt;=DeliverStart,ParkingPerUnitMo*'LeaseUp'!HF$9*HF$10,0)</f>
        <v/>
      </c>
      <c r="HG19" s="18">
        <f>IF(212&gt;=DeliverStart,ParkingPerUnitMo*'LeaseUp'!HG$9*HG$10,0)</f>
        <v/>
      </c>
      <c r="HH19" s="18">
        <f>IF(213&gt;=DeliverStart,ParkingPerUnitMo*'LeaseUp'!HH$9*HH$10,0)</f>
        <v/>
      </c>
      <c r="HI19" s="18">
        <f>IF(214&gt;=DeliverStart,ParkingPerUnitMo*'LeaseUp'!HI$9*HI$10,0)</f>
        <v/>
      </c>
      <c r="HJ19" s="18">
        <f>IF(215&gt;=DeliverStart,ParkingPerUnitMo*'LeaseUp'!HJ$9*HJ$10,0)</f>
        <v/>
      </c>
      <c r="HK19" s="18">
        <f>IF(216&gt;=DeliverStart,ParkingPerUnitMo*'LeaseUp'!HK$9*HK$10,0)</f>
        <v/>
      </c>
      <c r="HL19" s="18">
        <f>IF(217&gt;=DeliverStart,ParkingPerUnitMo*'LeaseUp'!HL$9*HL$10,0)</f>
        <v/>
      </c>
      <c r="HM19" s="18">
        <f>IF(218&gt;=DeliverStart,ParkingPerUnitMo*'LeaseUp'!HM$9*HM$10,0)</f>
        <v/>
      </c>
      <c r="HN19" s="18">
        <f>IF(219&gt;=DeliverStart,ParkingPerUnitMo*'LeaseUp'!HN$9*HN$10,0)</f>
        <v/>
      </c>
      <c r="HO19" s="18">
        <f>IF(220&gt;=DeliverStart,ParkingPerUnitMo*'LeaseUp'!HO$9*HO$10,0)</f>
        <v/>
      </c>
      <c r="HP19" s="18">
        <f>IF(221&gt;=DeliverStart,ParkingPerUnitMo*'LeaseUp'!HP$9*HP$10,0)</f>
        <v/>
      </c>
      <c r="HQ19" s="18">
        <f>IF(222&gt;=DeliverStart,ParkingPerUnitMo*'LeaseUp'!HQ$9*HQ$10,0)</f>
        <v/>
      </c>
      <c r="HR19" s="18">
        <f>IF(223&gt;=DeliverStart,ParkingPerUnitMo*'LeaseUp'!HR$9*HR$10,0)</f>
        <v/>
      </c>
      <c r="HS19" s="18">
        <f>IF(224&gt;=DeliverStart,ParkingPerUnitMo*'LeaseUp'!HS$9*HS$10,0)</f>
        <v/>
      </c>
      <c r="HT19" s="18">
        <f>IF(225&gt;=DeliverStart,ParkingPerUnitMo*'LeaseUp'!HT$9*HT$10,0)</f>
        <v/>
      </c>
      <c r="HU19" s="18">
        <f>IF(226&gt;=DeliverStart,ParkingPerUnitMo*'LeaseUp'!HU$9*HU$10,0)</f>
        <v/>
      </c>
      <c r="HV19" s="18">
        <f>IF(227&gt;=DeliverStart,ParkingPerUnitMo*'LeaseUp'!HV$9*HV$10,0)</f>
        <v/>
      </c>
      <c r="HW19" s="18">
        <f>IF(228&gt;=DeliverStart,ParkingPerUnitMo*'LeaseUp'!HW$9*HW$10,0)</f>
        <v/>
      </c>
      <c r="HX19" s="18">
        <f>IF(229&gt;=DeliverStart,ParkingPerUnitMo*'LeaseUp'!HX$9*HX$10,0)</f>
        <v/>
      </c>
      <c r="HY19" s="18">
        <f>IF(230&gt;=DeliverStart,ParkingPerUnitMo*'LeaseUp'!HY$9*HY$10,0)</f>
        <v/>
      </c>
      <c r="HZ19" s="18">
        <f>IF(231&gt;=DeliverStart,ParkingPerUnitMo*'LeaseUp'!HZ$9*HZ$10,0)</f>
        <v/>
      </c>
      <c r="IA19" s="18">
        <f>IF(232&gt;=DeliverStart,ParkingPerUnitMo*'LeaseUp'!IA$9*IA$10,0)</f>
        <v/>
      </c>
      <c r="IB19" s="18">
        <f>IF(233&gt;=DeliverStart,ParkingPerUnitMo*'LeaseUp'!IB$9*IB$10,0)</f>
        <v/>
      </c>
      <c r="IC19" s="18">
        <f>IF(234&gt;=DeliverStart,ParkingPerUnitMo*'LeaseUp'!IC$9*IC$10,0)</f>
        <v/>
      </c>
      <c r="ID19" s="18">
        <f>IF(235&gt;=DeliverStart,ParkingPerUnitMo*'LeaseUp'!ID$9*ID$10,0)</f>
        <v/>
      </c>
      <c r="IE19" s="18">
        <f>IF(236&gt;=DeliverStart,ParkingPerUnitMo*'LeaseUp'!IE$9*IE$10,0)</f>
        <v/>
      </c>
      <c r="IF19" s="18">
        <f>IF(237&gt;=DeliverStart,ParkingPerUnitMo*'LeaseUp'!IF$9*IF$10,0)</f>
        <v/>
      </c>
      <c r="IG19" s="18">
        <f>IF(238&gt;=DeliverStart,ParkingPerUnitMo*'LeaseUp'!IG$9*IG$10,0)</f>
        <v/>
      </c>
      <c r="IH19" s="18">
        <f>IF(239&gt;=DeliverStart,ParkingPerUnitMo*'LeaseUp'!IH$9*IH$10,0)</f>
        <v/>
      </c>
      <c r="II19" s="18">
        <f>IF(240&gt;=DeliverStart,ParkingPerUnitMo*'LeaseUp'!II$9*II$10,0)</f>
        <v/>
      </c>
      <c r="IJ19" s="18">
        <f>IF(241&gt;=DeliverStart,ParkingPerUnitMo*'LeaseUp'!IJ$9*IJ$10,0)</f>
        <v/>
      </c>
      <c r="IK19" s="18">
        <f>IF(242&gt;=DeliverStart,ParkingPerUnitMo*'LeaseUp'!IK$9*IK$10,0)</f>
        <v/>
      </c>
      <c r="IL19" s="18">
        <f>IF(243&gt;=DeliverStart,ParkingPerUnitMo*'LeaseUp'!IL$9*IL$10,0)</f>
        <v/>
      </c>
      <c r="IM19" s="18">
        <f>IF(244&gt;=DeliverStart,ParkingPerUnitMo*'LeaseUp'!IM$9*IM$10,0)</f>
        <v/>
      </c>
      <c r="IN19" s="18">
        <f>IF(245&gt;=DeliverStart,ParkingPerUnitMo*'LeaseUp'!IN$9*IN$10,0)</f>
        <v/>
      </c>
      <c r="IO19" s="18">
        <f>IF(246&gt;=DeliverStart,ParkingPerUnitMo*'LeaseUp'!IO$9*IO$10,0)</f>
        <v/>
      </c>
      <c r="IP19" s="18">
        <f>IF(247&gt;=DeliverStart,ParkingPerUnitMo*'LeaseUp'!IP$9*IP$10,0)</f>
        <v/>
      </c>
      <c r="IQ19" s="18">
        <f>IF(248&gt;=DeliverStart,ParkingPerUnitMo*'LeaseUp'!IQ$9*IQ$10,0)</f>
        <v/>
      </c>
      <c r="IR19" s="18">
        <f>IF(249&gt;=DeliverStart,ParkingPerUnitMo*'LeaseUp'!IR$9*IR$10,0)</f>
        <v/>
      </c>
      <c r="IS19" s="18">
        <f>IF(250&gt;=DeliverStart,ParkingPerUnitMo*'LeaseUp'!IS$9*IS$10,0)</f>
        <v/>
      </c>
      <c r="IT19" s="18">
        <f>IF(251&gt;=DeliverStart,ParkingPerUnitMo*'LeaseUp'!IT$9*IT$10,0)</f>
        <v/>
      </c>
      <c r="IU19" s="18">
        <f>IF(252&gt;=DeliverStart,ParkingPerUnitMo*'LeaseUp'!IU$9*IU$10,0)</f>
        <v/>
      </c>
      <c r="IV19" s="18">
        <f>IF(253&gt;=DeliverStart,ParkingPerUnitMo*'LeaseUp'!IV$9*IV$10,0)</f>
        <v/>
      </c>
      <c r="IW19" s="18">
        <f>IF(254&gt;=DeliverStart,ParkingPerUnitMo*'LeaseUp'!IW$9*IW$10,0)</f>
        <v/>
      </c>
      <c r="IX19" s="18">
        <f>IF(255&gt;=DeliverStart,ParkingPerUnitMo*'LeaseUp'!IX$9*IX$10,0)</f>
        <v/>
      </c>
      <c r="IY19" s="18">
        <f>IF(256&gt;=DeliverStart,ParkingPerUnitMo*'LeaseUp'!IY$9*IY$10,0)</f>
        <v/>
      </c>
      <c r="IZ19" s="18">
        <f>IF(257&gt;=DeliverStart,ParkingPerUnitMo*'LeaseUp'!IZ$9*IZ$10,0)</f>
        <v/>
      </c>
      <c r="JA19" s="18">
        <f>IF(258&gt;=DeliverStart,ParkingPerUnitMo*'LeaseUp'!JA$9*JA$10,0)</f>
        <v/>
      </c>
      <c r="JB19" s="18">
        <f>IF(259&gt;=DeliverStart,ParkingPerUnitMo*'LeaseUp'!JB$9*JB$10,0)</f>
        <v/>
      </c>
      <c r="JC19" s="18">
        <f>IF(260&gt;=DeliverStart,ParkingPerUnitMo*'LeaseUp'!JC$9*JC$10,0)</f>
        <v/>
      </c>
      <c r="JD19" s="18">
        <f>IF(261&gt;=DeliverStart,ParkingPerUnitMo*'LeaseUp'!JD$9*JD$10,0)</f>
        <v/>
      </c>
      <c r="JE19" s="18">
        <f>IF(262&gt;=DeliverStart,ParkingPerUnitMo*'LeaseUp'!JE$9*JE$10,0)</f>
        <v/>
      </c>
      <c r="JF19" s="18">
        <f>IF(263&gt;=DeliverStart,ParkingPerUnitMo*'LeaseUp'!JF$9*JF$10,0)</f>
        <v/>
      </c>
      <c r="JG19" s="18">
        <f>IF(264&gt;=DeliverStart,ParkingPerUnitMo*'LeaseUp'!JG$9*JG$10,0)</f>
        <v/>
      </c>
      <c r="JH19" s="18">
        <f>IF(265&gt;=DeliverStart,ParkingPerUnitMo*'LeaseUp'!JH$9*JH$10,0)</f>
        <v/>
      </c>
      <c r="JI19" s="18">
        <f>IF(266&gt;=DeliverStart,ParkingPerUnitMo*'LeaseUp'!JI$9*JI$10,0)</f>
        <v/>
      </c>
      <c r="JJ19" s="18">
        <f>IF(267&gt;=DeliverStart,ParkingPerUnitMo*'LeaseUp'!JJ$9*JJ$10,0)</f>
        <v/>
      </c>
      <c r="JK19" s="18">
        <f>IF(268&gt;=DeliverStart,ParkingPerUnitMo*'LeaseUp'!JK$9*JK$10,0)</f>
        <v/>
      </c>
      <c r="JL19" s="18">
        <f>IF(269&gt;=DeliverStart,ParkingPerUnitMo*'LeaseUp'!JL$9*JL$10,0)</f>
        <v/>
      </c>
      <c r="JM19" s="18">
        <f>IF(270&gt;=DeliverStart,ParkingPerUnitMo*'LeaseUp'!JM$9*JM$10,0)</f>
        <v/>
      </c>
      <c r="JN19" s="18">
        <f>IF(271&gt;=DeliverStart,ParkingPerUnitMo*'LeaseUp'!JN$9*JN$10,0)</f>
        <v/>
      </c>
      <c r="JO19" s="18">
        <f>IF(272&gt;=DeliverStart,ParkingPerUnitMo*'LeaseUp'!JO$9*JO$10,0)</f>
        <v/>
      </c>
      <c r="JP19" s="18">
        <f>IF(273&gt;=DeliverStart,ParkingPerUnitMo*'LeaseUp'!JP$9*JP$10,0)</f>
        <v/>
      </c>
      <c r="JQ19" s="18">
        <f>IF(274&gt;=DeliverStart,ParkingPerUnitMo*'LeaseUp'!JQ$9*JQ$10,0)</f>
        <v/>
      </c>
      <c r="JR19" s="18">
        <f>IF(275&gt;=DeliverStart,ParkingPerUnitMo*'LeaseUp'!JR$9*JR$10,0)</f>
        <v/>
      </c>
      <c r="JS19" s="18">
        <f>IF(276&gt;=DeliverStart,ParkingPerUnitMo*'LeaseUp'!JS$9*JS$10,0)</f>
        <v/>
      </c>
      <c r="JT19" s="18">
        <f>IF(277&gt;=DeliverStart,ParkingPerUnitMo*'LeaseUp'!JT$9*JT$10,0)</f>
        <v/>
      </c>
      <c r="JU19" s="18">
        <f>IF(278&gt;=DeliverStart,ParkingPerUnitMo*'LeaseUp'!JU$9*JU$10,0)</f>
        <v/>
      </c>
      <c r="JV19" s="18">
        <f>IF(279&gt;=DeliverStart,ParkingPerUnitMo*'LeaseUp'!JV$9*JV$10,0)</f>
        <v/>
      </c>
      <c r="JW19" s="18">
        <f>IF(280&gt;=DeliverStart,ParkingPerUnitMo*'LeaseUp'!JW$9*JW$10,0)</f>
        <v/>
      </c>
      <c r="JX19" s="18">
        <f>IF(281&gt;=DeliverStart,ParkingPerUnitMo*'LeaseUp'!JX$9*JX$10,0)</f>
        <v/>
      </c>
      <c r="JY19" s="18">
        <f>IF(282&gt;=DeliverStart,ParkingPerUnitMo*'LeaseUp'!JY$9*JY$10,0)</f>
        <v/>
      </c>
      <c r="JZ19" s="18">
        <f>IF(283&gt;=DeliverStart,ParkingPerUnitMo*'LeaseUp'!JZ$9*JZ$10,0)</f>
        <v/>
      </c>
      <c r="KA19" s="18">
        <f>IF(284&gt;=DeliverStart,ParkingPerUnitMo*'LeaseUp'!KA$9*KA$10,0)</f>
        <v/>
      </c>
      <c r="KB19" s="18">
        <f>IF(285&gt;=DeliverStart,ParkingPerUnitMo*'LeaseUp'!KB$9*KB$10,0)</f>
        <v/>
      </c>
      <c r="KC19" s="18">
        <f>IF(286&gt;=DeliverStart,ParkingPerUnitMo*'LeaseUp'!KC$9*KC$10,0)</f>
        <v/>
      </c>
      <c r="KD19" s="18">
        <f>IF(287&gt;=DeliverStart,ParkingPerUnitMo*'LeaseUp'!KD$9*KD$10,0)</f>
        <v/>
      </c>
      <c r="KE19" s="18">
        <f>IF(288&gt;=DeliverStart,ParkingPerUnitMo*'LeaseUp'!KE$9*KE$10,0)</f>
        <v/>
      </c>
      <c r="KF19" s="18">
        <f>IF(289&gt;=DeliverStart,ParkingPerUnitMo*'LeaseUp'!KF$9*KF$10,0)</f>
        <v/>
      </c>
      <c r="KG19" s="18">
        <f>IF(290&gt;=DeliverStart,ParkingPerUnitMo*'LeaseUp'!KG$9*KG$10,0)</f>
        <v/>
      </c>
      <c r="KH19" s="18">
        <f>IF(291&gt;=DeliverStart,ParkingPerUnitMo*'LeaseUp'!KH$9*KH$10,0)</f>
        <v/>
      </c>
      <c r="KI19" s="18">
        <f>IF(292&gt;=DeliverStart,ParkingPerUnitMo*'LeaseUp'!KI$9*KI$10,0)</f>
        <v/>
      </c>
      <c r="KJ19" s="18">
        <f>IF(293&gt;=DeliverStart,ParkingPerUnitMo*'LeaseUp'!KJ$9*KJ$10,0)</f>
        <v/>
      </c>
      <c r="KK19" s="18">
        <f>IF(294&gt;=DeliverStart,ParkingPerUnitMo*'LeaseUp'!KK$9*KK$10,0)</f>
        <v/>
      </c>
      <c r="KL19" s="18">
        <f>IF(295&gt;=DeliverStart,ParkingPerUnitMo*'LeaseUp'!KL$9*KL$10,0)</f>
        <v/>
      </c>
      <c r="KM19" s="18">
        <f>IF(296&gt;=DeliverStart,ParkingPerUnitMo*'LeaseUp'!KM$9*KM$10,0)</f>
        <v/>
      </c>
      <c r="KN19" s="18">
        <f>IF(297&gt;=DeliverStart,ParkingPerUnitMo*'LeaseUp'!KN$9*KN$10,0)</f>
        <v/>
      </c>
      <c r="KO19" s="18">
        <f>IF(298&gt;=DeliverStart,ParkingPerUnitMo*'LeaseUp'!KO$9*KO$10,0)</f>
        <v/>
      </c>
      <c r="KP19" s="18">
        <f>IF(299&gt;=DeliverStart,ParkingPerUnitMo*'LeaseUp'!KP$9*KP$10,0)</f>
        <v/>
      </c>
      <c r="KQ19" s="18">
        <f>IF(300&gt;=DeliverStart,ParkingPerUnitMo*'LeaseUp'!KQ$9*KQ$10,0)</f>
        <v/>
      </c>
      <c r="KR19" s="18">
        <f>IF(301&gt;=DeliverStart,ParkingPerUnitMo*'LeaseUp'!KR$9*KR$10,0)</f>
        <v/>
      </c>
      <c r="KS19" s="18">
        <f>IF(302&gt;=DeliverStart,ParkingPerUnitMo*'LeaseUp'!KS$9*KS$10,0)</f>
        <v/>
      </c>
      <c r="KT19" s="18">
        <f>IF(303&gt;=DeliverStart,ParkingPerUnitMo*'LeaseUp'!KT$9*KT$10,0)</f>
        <v/>
      </c>
      <c r="KU19" s="18">
        <f>IF(304&gt;=DeliverStart,ParkingPerUnitMo*'LeaseUp'!KU$9*KU$10,0)</f>
        <v/>
      </c>
      <c r="KV19" s="18">
        <f>IF(305&gt;=DeliverStart,ParkingPerUnitMo*'LeaseUp'!KV$9*KV$10,0)</f>
        <v/>
      </c>
      <c r="KW19" s="18">
        <f>IF(306&gt;=DeliverStart,ParkingPerUnitMo*'LeaseUp'!KW$9*KW$10,0)</f>
        <v/>
      </c>
      <c r="KX19" s="18">
        <f>IF(307&gt;=DeliverStart,ParkingPerUnitMo*'LeaseUp'!KX$9*KX$10,0)</f>
        <v/>
      </c>
      <c r="KY19" s="18">
        <f>IF(308&gt;=DeliverStart,ParkingPerUnitMo*'LeaseUp'!KY$9*KY$10,0)</f>
        <v/>
      </c>
      <c r="KZ19" s="18">
        <f>IF(309&gt;=DeliverStart,ParkingPerUnitMo*'LeaseUp'!KZ$9*KZ$10,0)</f>
        <v/>
      </c>
      <c r="LA19" s="18">
        <f>IF(310&gt;=DeliverStart,ParkingPerUnitMo*'LeaseUp'!LA$9*LA$10,0)</f>
        <v/>
      </c>
      <c r="LB19" s="18">
        <f>IF(311&gt;=DeliverStart,ParkingPerUnitMo*'LeaseUp'!LB$9*LB$10,0)</f>
        <v/>
      </c>
      <c r="LC19" s="18">
        <f>IF(312&gt;=DeliverStart,ParkingPerUnitMo*'LeaseUp'!LC$9*LC$10,0)</f>
        <v/>
      </c>
      <c r="LD19" s="18">
        <f>IF(313&gt;=DeliverStart,ParkingPerUnitMo*'LeaseUp'!LD$9*LD$10,0)</f>
        <v/>
      </c>
      <c r="LE19" s="18">
        <f>IF(314&gt;=DeliverStart,ParkingPerUnitMo*'LeaseUp'!LE$9*LE$10,0)</f>
        <v/>
      </c>
      <c r="LF19" s="18">
        <f>IF(315&gt;=DeliverStart,ParkingPerUnitMo*'LeaseUp'!LF$9*LF$10,0)</f>
        <v/>
      </c>
      <c r="LG19" s="18">
        <f>IF(316&gt;=DeliverStart,ParkingPerUnitMo*'LeaseUp'!LG$9*LG$10,0)</f>
        <v/>
      </c>
      <c r="LH19" s="18">
        <f>IF(317&gt;=DeliverStart,ParkingPerUnitMo*'LeaseUp'!LH$9*LH$10,0)</f>
        <v/>
      </c>
      <c r="LI19" s="18">
        <f>IF(318&gt;=DeliverStart,ParkingPerUnitMo*'LeaseUp'!LI$9*LI$10,0)</f>
        <v/>
      </c>
      <c r="LJ19" s="18">
        <f>IF(319&gt;=DeliverStart,ParkingPerUnitMo*'LeaseUp'!LJ$9*LJ$10,0)</f>
        <v/>
      </c>
      <c r="LK19" s="18">
        <f>IF(320&gt;=DeliverStart,ParkingPerUnitMo*'LeaseUp'!LK$9*LK$10,0)</f>
        <v/>
      </c>
      <c r="LL19" s="18">
        <f>IF(321&gt;=DeliverStart,ParkingPerUnitMo*'LeaseUp'!LL$9*LL$10,0)</f>
        <v/>
      </c>
      <c r="LM19" s="18">
        <f>IF(322&gt;=DeliverStart,ParkingPerUnitMo*'LeaseUp'!LM$9*LM$10,0)</f>
        <v/>
      </c>
      <c r="LN19" s="18">
        <f>IF(323&gt;=DeliverStart,ParkingPerUnitMo*'LeaseUp'!LN$9*LN$10,0)</f>
        <v/>
      </c>
      <c r="LO19" s="18">
        <f>IF(324&gt;=DeliverStart,ParkingPerUnitMo*'LeaseUp'!LO$9*LO$10,0)</f>
        <v/>
      </c>
      <c r="LP19" s="18">
        <f>IF(325&gt;=DeliverStart,ParkingPerUnitMo*'LeaseUp'!LP$9*LP$10,0)</f>
        <v/>
      </c>
      <c r="LQ19" s="18">
        <f>IF(326&gt;=DeliverStart,ParkingPerUnitMo*'LeaseUp'!LQ$9*LQ$10,0)</f>
        <v/>
      </c>
      <c r="LR19" s="18">
        <f>IF(327&gt;=DeliverStart,ParkingPerUnitMo*'LeaseUp'!LR$9*LR$10,0)</f>
        <v/>
      </c>
      <c r="LS19" s="18">
        <f>IF(328&gt;=DeliverStart,ParkingPerUnitMo*'LeaseUp'!LS$9*LS$10,0)</f>
        <v/>
      </c>
      <c r="LT19" s="18">
        <f>IF(329&gt;=DeliverStart,ParkingPerUnitMo*'LeaseUp'!LT$9*LT$10,0)</f>
        <v/>
      </c>
      <c r="LU19" s="18">
        <f>IF(330&gt;=DeliverStart,ParkingPerUnitMo*'LeaseUp'!LU$9*LU$10,0)</f>
        <v/>
      </c>
      <c r="LV19" s="18">
        <f>IF(331&gt;=DeliverStart,ParkingPerUnitMo*'LeaseUp'!LV$9*LV$10,0)</f>
        <v/>
      </c>
      <c r="LW19" s="18">
        <f>IF(332&gt;=DeliverStart,ParkingPerUnitMo*'LeaseUp'!LW$9*LW$10,0)</f>
        <v/>
      </c>
      <c r="LX19" s="18">
        <f>IF(333&gt;=DeliverStart,ParkingPerUnitMo*'LeaseUp'!LX$9*LX$10,0)</f>
        <v/>
      </c>
      <c r="LY19" s="18">
        <f>IF(334&gt;=DeliverStart,ParkingPerUnitMo*'LeaseUp'!LY$9*LY$10,0)</f>
        <v/>
      </c>
      <c r="LZ19" s="18">
        <f>IF(335&gt;=DeliverStart,ParkingPerUnitMo*'LeaseUp'!LZ$9*LZ$10,0)</f>
        <v/>
      </c>
      <c r="MA19" s="18">
        <f>IF(336&gt;=DeliverStart,ParkingPerUnitMo*'LeaseUp'!MA$9*MA$10,0)</f>
        <v/>
      </c>
      <c r="MB19" s="18">
        <f>IF(337&gt;=DeliverStart,ParkingPerUnitMo*'LeaseUp'!MB$9*MB$10,0)</f>
        <v/>
      </c>
      <c r="MC19" s="18">
        <f>IF(338&gt;=DeliverStart,ParkingPerUnitMo*'LeaseUp'!MC$9*MC$10,0)</f>
        <v/>
      </c>
      <c r="MD19" s="18">
        <f>IF(339&gt;=DeliverStart,ParkingPerUnitMo*'LeaseUp'!MD$9*MD$10,0)</f>
        <v/>
      </c>
      <c r="ME19" s="18">
        <f>IF(340&gt;=DeliverStart,ParkingPerUnitMo*'LeaseUp'!ME$9*ME$10,0)</f>
        <v/>
      </c>
      <c r="MF19" s="18">
        <f>IF(341&gt;=DeliverStart,ParkingPerUnitMo*'LeaseUp'!MF$9*MF$10,0)</f>
        <v/>
      </c>
      <c r="MG19" s="18">
        <f>IF(342&gt;=DeliverStart,ParkingPerUnitMo*'LeaseUp'!MG$9*MG$10,0)</f>
        <v/>
      </c>
      <c r="MH19" s="18">
        <f>IF(343&gt;=DeliverStart,ParkingPerUnitMo*'LeaseUp'!MH$9*MH$10,0)</f>
        <v/>
      </c>
      <c r="MI19" s="18">
        <f>IF(344&gt;=DeliverStart,ParkingPerUnitMo*'LeaseUp'!MI$9*MI$10,0)</f>
        <v/>
      </c>
      <c r="MJ19" s="18">
        <f>IF(345&gt;=DeliverStart,ParkingPerUnitMo*'LeaseUp'!MJ$9*MJ$10,0)</f>
        <v/>
      </c>
      <c r="MK19" s="18">
        <f>IF(346&gt;=DeliverStart,ParkingPerUnitMo*'LeaseUp'!MK$9*MK$10,0)</f>
        <v/>
      </c>
      <c r="ML19" s="18">
        <f>IF(347&gt;=DeliverStart,ParkingPerUnitMo*'LeaseUp'!ML$9*ML$10,0)</f>
        <v/>
      </c>
      <c r="MM19" s="18">
        <f>IF(348&gt;=DeliverStart,ParkingPerUnitMo*'LeaseUp'!MM$9*MM$10,0)</f>
        <v/>
      </c>
      <c r="MN19" s="18">
        <f>IF(349&gt;=DeliverStart,ParkingPerUnitMo*'LeaseUp'!MN$9*MN$10,0)</f>
        <v/>
      </c>
      <c r="MO19" s="18">
        <f>IF(350&gt;=DeliverStart,ParkingPerUnitMo*'LeaseUp'!MO$9*MO$10,0)</f>
        <v/>
      </c>
      <c r="MP19" s="18">
        <f>IF(351&gt;=DeliverStart,ParkingPerUnitMo*'LeaseUp'!MP$9*MP$10,0)</f>
        <v/>
      </c>
      <c r="MQ19" s="18">
        <f>IF(352&gt;=DeliverStart,ParkingPerUnitMo*'LeaseUp'!MQ$9*MQ$10,0)</f>
        <v/>
      </c>
      <c r="MR19" s="18">
        <f>IF(353&gt;=DeliverStart,ParkingPerUnitMo*'LeaseUp'!MR$9*MR$10,0)</f>
        <v/>
      </c>
      <c r="MS19" s="18">
        <f>IF(354&gt;=DeliverStart,ParkingPerUnitMo*'LeaseUp'!MS$9*MS$10,0)</f>
        <v/>
      </c>
      <c r="MT19" s="18">
        <f>IF(355&gt;=DeliverStart,ParkingPerUnitMo*'LeaseUp'!MT$9*MT$10,0)</f>
        <v/>
      </c>
      <c r="MU19" s="18">
        <f>IF(356&gt;=DeliverStart,ParkingPerUnitMo*'LeaseUp'!MU$9*MU$10,0)</f>
        <v/>
      </c>
      <c r="MV19" s="18">
        <f>IF(357&gt;=DeliverStart,ParkingPerUnitMo*'LeaseUp'!MV$9*MV$10,0)</f>
        <v/>
      </c>
      <c r="MW19" s="18">
        <f>IF(358&gt;=DeliverStart,ParkingPerUnitMo*'LeaseUp'!MW$9*MW$10,0)</f>
        <v/>
      </c>
      <c r="MX19" s="18">
        <f>IF(359&gt;=DeliverStart,ParkingPerUnitMo*'LeaseUp'!MX$9*MX$10,0)</f>
        <v/>
      </c>
      <c r="MY19" s="18">
        <f>IF(360&gt;=DeliverStart,ParkingPerUnitMo*'LeaseUp'!MY$9*MY$10,0)</f>
        <v/>
      </c>
      <c r="MZ19" s="18">
        <f>IF(361&gt;=DeliverStart,ParkingPerUnitMo*'LeaseUp'!MZ$9*MZ$10,0)</f>
        <v/>
      </c>
      <c r="NA19" s="18">
        <f>IF(362&gt;=DeliverStart,ParkingPerUnitMo*'LeaseUp'!NA$9*NA$10,0)</f>
        <v/>
      </c>
      <c r="NB19" s="18">
        <f>IF(363&gt;=DeliverStart,ParkingPerUnitMo*'LeaseUp'!NB$9*NB$10,0)</f>
        <v/>
      </c>
      <c r="NC19" s="18">
        <f>IF(364&gt;=DeliverStart,ParkingPerUnitMo*'LeaseUp'!NC$9*NC$10,0)</f>
        <v/>
      </c>
      <c r="ND19" s="18">
        <f>IF(365&gt;=DeliverStart,ParkingPerUnitMo*'LeaseUp'!ND$9*ND$10,0)</f>
        <v/>
      </c>
      <c r="NE19" s="18">
        <f>IF(366&gt;=DeliverStart,ParkingPerUnitMo*'LeaseUp'!NE$9*NE$10,0)</f>
        <v/>
      </c>
      <c r="NF19" s="18">
        <f>IF(367&gt;=DeliverStart,ParkingPerUnitMo*'LeaseUp'!NF$9*NF$10,0)</f>
        <v/>
      </c>
      <c r="NG19" s="18">
        <f>IF(368&gt;=DeliverStart,ParkingPerUnitMo*'LeaseUp'!NG$9*NG$10,0)</f>
        <v/>
      </c>
      <c r="NH19" s="18">
        <f>IF(369&gt;=DeliverStart,ParkingPerUnitMo*'LeaseUp'!NH$9*NH$10,0)</f>
        <v/>
      </c>
      <c r="NI19" s="18">
        <f>IF(370&gt;=DeliverStart,ParkingPerUnitMo*'LeaseUp'!NI$9*NI$10,0)</f>
        <v/>
      </c>
      <c r="NJ19" s="18">
        <f>IF(371&gt;=DeliverStart,ParkingPerUnitMo*'LeaseUp'!NJ$9*NJ$10,0)</f>
        <v/>
      </c>
      <c r="NK19" s="18">
        <f>IF(372&gt;=DeliverStart,ParkingPerUnitMo*'LeaseUp'!NK$9*NK$10,0)</f>
        <v/>
      </c>
    </row>
    <row r="20">
      <c r="A20" s="5" t="inlineStr">
        <is>
          <t>Utility Reimbursement</t>
        </is>
      </c>
      <c r="C20" s="41">
        <f>SUM(D20:NK20)</f>
        <v/>
      </c>
      <c r="D20" s="18">
        <f>IF(1&gt;=DeliverStart,UtilReimbPerUnitMo*'LeaseUp'!D$9*D$10,0)</f>
        <v/>
      </c>
      <c r="E20" s="18">
        <f>IF(2&gt;=DeliverStart,UtilReimbPerUnitMo*'LeaseUp'!E$9*E$10,0)</f>
        <v/>
      </c>
      <c r="F20" s="18">
        <f>IF(3&gt;=DeliverStart,UtilReimbPerUnitMo*'LeaseUp'!F$9*F$10,0)</f>
        <v/>
      </c>
      <c r="G20" s="18">
        <f>IF(4&gt;=DeliverStart,UtilReimbPerUnitMo*'LeaseUp'!G$9*G$10,0)</f>
        <v/>
      </c>
      <c r="H20" s="18">
        <f>IF(5&gt;=DeliverStart,UtilReimbPerUnitMo*'LeaseUp'!H$9*H$10,0)</f>
        <v/>
      </c>
      <c r="I20" s="18">
        <f>IF(6&gt;=DeliverStart,UtilReimbPerUnitMo*'LeaseUp'!I$9*I$10,0)</f>
        <v/>
      </c>
      <c r="J20" s="18">
        <f>IF(7&gt;=DeliverStart,UtilReimbPerUnitMo*'LeaseUp'!J$9*J$10,0)</f>
        <v/>
      </c>
      <c r="K20" s="18">
        <f>IF(8&gt;=DeliverStart,UtilReimbPerUnitMo*'LeaseUp'!K$9*K$10,0)</f>
        <v/>
      </c>
      <c r="L20" s="18">
        <f>IF(9&gt;=DeliverStart,UtilReimbPerUnitMo*'LeaseUp'!L$9*L$10,0)</f>
        <v/>
      </c>
      <c r="M20" s="18">
        <f>IF(10&gt;=DeliverStart,UtilReimbPerUnitMo*'LeaseUp'!M$9*M$10,0)</f>
        <v/>
      </c>
      <c r="N20" s="18">
        <f>IF(11&gt;=DeliverStart,UtilReimbPerUnitMo*'LeaseUp'!N$9*N$10,0)</f>
        <v/>
      </c>
      <c r="O20" s="18">
        <f>IF(12&gt;=DeliverStart,UtilReimbPerUnitMo*'LeaseUp'!O$9*O$10,0)</f>
        <v/>
      </c>
      <c r="P20" s="18">
        <f>IF(13&gt;=DeliverStart,UtilReimbPerUnitMo*'LeaseUp'!P$9*P$10,0)</f>
        <v/>
      </c>
      <c r="Q20" s="18">
        <f>IF(14&gt;=DeliverStart,UtilReimbPerUnitMo*'LeaseUp'!Q$9*Q$10,0)</f>
        <v/>
      </c>
      <c r="R20" s="18">
        <f>IF(15&gt;=DeliverStart,UtilReimbPerUnitMo*'LeaseUp'!R$9*R$10,0)</f>
        <v/>
      </c>
      <c r="S20" s="18">
        <f>IF(16&gt;=DeliverStart,UtilReimbPerUnitMo*'LeaseUp'!S$9*S$10,0)</f>
        <v/>
      </c>
      <c r="T20" s="18">
        <f>IF(17&gt;=DeliverStart,UtilReimbPerUnitMo*'LeaseUp'!T$9*T$10,0)</f>
        <v/>
      </c>
      <c r="U20" s="18">
        <f>IF(18&gt;=DeliverStart,UtilReimbPerUnitMo*'LeaseUp'!U$9*U$10,0)</f>
        <v/>
      </c>
      <c r="V20" s="18">
        <f>IF(19&gt;=DeliverStart,UtilReimbPerUnitMo*'LeaseUp'!V$9*V$10,0)</f>
        <v/>
      </c>
      <c r="W20" s="18">
        <f>IF(20&gt;=DeliverStart,UtilReimbPerUnitMo*'LeaseUp'!W$9*W$10,0)</f>
        <v/>
      </c>
      <c r="X20" s="18">
        <f>IF(21&gt;=DeliverStart,UtilReimbPerUnitMo*'LeaseUp'!X$9*X$10,0)</f>
        <v/>
      </c>
      <c r="Y20" s="18">
        <f>IF(22&gt;=DeliverStart,UtilReimbPerUnitMo*'LeaseUp'!Y$9*Y$10,0)</f>
        <v/>
      </c>
      <c r="Z20" s="18">
        <f>IF(23&gt;=DeliverStart,UtilReimbPerUnitMo*'LeaseUp'!Z$9*Z$10,0)</f>
        <v/>
      </c>
      <c r="AA20" s="18">
        <f>IF(24&gt;=DeliverStart,UtilReimbPerUnitMo*'LeaseUp'!AA$9*AA$10,0)</f>
        <v/>
      </c>
      <c r="AB20" s="18">
        <f>IF(25&gt;=DeliverStart,UtilReimbPerUnitMo*'LeaseUp'!AB$9*AB$10,0)</f>
        <v/>
      </c>
      <c r="AC20" s="18">
        <f>IF(26&gt;=DeliverStart,UtilReimbPerUnitMo*'LeaseUp'!AC$9*AC$10,0)</f>
        <v/>
      </c>
      <c r="AD20" s="18">
        <f>IF(27&gt;=DeliverStart,UtilReimbPerUnitMo*'LeaseUp'!AD$9*AD$10,0)</f>
        <v/>
      </c>
      <c r="AE20" s="18">
        <f>IF(28&gt;=DeliverStart,UtilReimbPerUnitMo*'LeaseUp'!AE$9*AE$10,0)</f>
        <v/>
      </c>
      <c r="AF20" s="18">
        <f>IF(29&gt;=DeliverStart,UtilReimbPerUnitMo*'LeaseUp'!AF$9*AF$10,0)</f>
        <v/>
      </c>
      <c r="AG20" s="18">
        <f>IF(30&gt;=DeliverStart,UtilReimbPerUnitMo*'LeaseUp'!AG$9*AG$10,0)</f>
        <v/>
      </c>
      <c r="AH20" s="18">
        <f>IF(31&gt;=DeliverStart,UtilReimbPerUnitMo*'LeaseUp'!AH$9*AH$10,0)</f>
        <v/>
      </c>
      <c r="AI20" s="18">
        <f>IF(32&gt;=DeliverStart,UtilReimbPerUnitMo*'LeaseUp'!AI$9*AI$10,0)</f>
        <v/>
      </c>
      <c r="AJ20" s="18">
        <f>IF(33&gt;=DeliverStart,UtilReimbPerUnitMo*'LeaseUp'!AJ$9*AJ$10,0)</f>
        <v/>
      </c>
      <c r="AK20" s="18">
        <f>IF(34&gt;=DeliverStart,UtilReimbPerUnitMo*'LeaseUp'!AK$9*AK$10,0)</f>
        <v/>
      </c>
      <c r="AL20" s="18">
        <f>IF(35&gt;=DeliverStart,UtilReimbPerUnitMo*'LeaseUp'!AL$9*AL$10,0)</f>
        <v/>
      </c>
      <c r="AM20" s="18">
        <f>IF(36&gt;=DeliverStart,UtilReimbPerUnitMo*'LeaseUp'!AM$9*AM$10,0)</f>
        <v/>
      </c>
      <c r="AN20" s="18">
        <f>IF(37&gt;=DeliverStart,UtilReimbPerUnitMo*'LeaseUp'!AN$9*AN$10,0)</f>
        <v/>
      </c>
      <c r="AO20" s="18">
        <f>IF(38&gt;=DeliverStart,UtilReimbPerUnitMo*'LeaseUp'!AO$9*AO$10,0)</f>
        <v/>
      </c>
      <c r="AP20" s="18">
        <f>IF(39&gt;=DeliverStart,UtilReimbPerUnitMo*'LeaseUp'!AP$9*AP$10,0)</f>
        <v/>
      </c>
      <c r="AQ20" s="18">
        <f>IF(40&gt;=DeliverStart,UtilReimbPerUnitMo*'LeaseUp'!AQ$9*AQ$10,0)</f>
        <v/>
      </c>
      <c r="AR20" s="18">
        <f>IF(41&gt;=DeliverStart,UtilReimbPerUnitMo*'LeaseUp'!AR$9*AR$10,0)</f>
        <v/>
      </c>
      <c r="AS20" s="18">
        <f>IF(42&gt;=DeliverStart,UtilReimbPerUnitMo*'LeaseUp'!AS$9*AS$10,0)</f>
        <v/>
      </c>
      <c r="AT20" s="18">
        <f>IF(43&gt;=DeliverStart,UtilReimbPerUnitMo*'LeaseUp'!AT$9*AT$10,0)</f>
        <v/>
      </c>
      <c r="AU20" s="18">
        <f>IF(44&gt;=DeliverStart,UtilReimbPerUnitMo*'LeaseUp'!AU$9*AU$10,0)</f>
        <v/>
      </c>
      <c r="AV20" s="18">
        <f>IF(45&gt;=DeliverStart,UtilReimbPerUnitMo*'LeaseUp'!AV$9*AV$10,0)</f>
        <v/>
      </c>
      <c r="AW20" s="18">
        <f>IF(46&gt;=DeliverStart,UtilReimbPerUnitMo*'LeaseUp'!AW$9*AW$10,0)</f>
        <v/>
      </c>
      <c r="AX20" s="18">
        <f>IF(47&gt;=DeliverStart,UtilReimbPerUnitMo*'LeaseUp'!AX$9*AX$10,0)</f>
        <v/>
      </c>
      <c r="AY20" s="18">
        <f>IF(48&gt;=DeliverStart,UtilReimbPerUnitMo*'LeaseUp'!AY$9*AY$10,0)</f>
        <v/>
      </c>
      <c r="AZ20" s="18">
        <f>IF(49&gt;=DeliverStart,UtilReimbPerUnitMo*'LeaseUp'!AZ$9*AZ$10,0)</f>
        <v/>
      </c>
      <c r="BA20" s="18">
        <f>IF(50&gt;=DeliverStart,UtilReimbPerUnitMo*'LeaseUp'!BA$9*BA$10,0)</f>
        <v/>
      </c>
      <c r="BB20" s="18">
        <f>IF(51&gt;=DeliverStart,UtilReimbPerUnitMo*'LeaseUp'!BB$9*BB$10,0)</f>
        <v/>
      </c>
      <c r="BC20" s="18">
        <f>IF(52&gt;=DeliverStart,UtilReimbPerUnitMo*'LeaseUp'!BC$9*BC$10,0)</f>
        <v/>
      </c>
      <c r="BD20" s="18">
        <f>IF(53&gt;=DeliverStart,UtilReimbPerUnitMo*'LeaseUp'!BD$9*BD$10,0)</f>
        <v/>
      </c>
      <c r="BE20" s="18">
        <f>IF(54&gt;=DeliverStart,UtilReimbPerUnitMo*'LeaseUp'!BE$9*BE$10,0)</f>
        <v/>
      </c>
      <c r="BF20" s="18">
        <f>IF(55&gt;=DeliverStart,UtilReimbPerUnitMo*'LeaseUp'!BF$9*BF$10,0)</f>
        <v/>
      </c>
      <c r="BG20" s="18">
        <f>IF(56&gt;=DeliverStart,UtilReimbPerUnitMo*'LeaseUp'!BG$9*BG$10,0)</f>
        <v/>
      </c>
      <c r="BH20" s="18">
        <f>IF(57&gt;=DeliverStart,UtilReimbPerUnitMo*'LeaseUp'!BH$9*BH$10,0)</f>
        <v/>
      </c>
      <c r="BI20" s="18">
        <f>IF(58&gt;=DeliverStart,UtilReimbPerUnitMo*'LeaseUp'!BI$9*BI$10,0)</f>
        <v/>
      </c>
      <c r="BJ20" s="18">
        <f>IF(59&gt;=DeliverStart,UtilReimbPerUnitMo*'LeaseUp'!BJ$9*BJ$10,0)</f>
        <v/>
      </c>
      <c r="BK20" s="18">
        <f>IF(60&gt;=DeliverStart,UtilReimbPerUnitMo*'LeaseUp'!BK$9*BK$10,0)</f>
        <v/>
      </c>
      <c r="BL20" s="18">
        <f>IF(61&gt;=DeliverStart,UtilReimbPerUnitMo*'LeaseUp'!BL$9*BL$10,0)</f>
        <v/>
      </c>
      <c r="BM20" s="18">
        <f>IF(62&gt;=DeliverStart,UtilReimbPerUnitMo*'LeaseUp'!BM$9*BM$10,0)</f>
        <v/>
      </c>
      <c r="BN20" s="18">
        <f>IF(63&gt;=DeliverStart,UtilReimbPerUnitMo*'LeaseUp'!BN$9*BN$10,0)</f>
        <v/>
      </c>
      <c r="BO20" s="18">
        <f>IF(64&gt;=DeliverStart,UtilReimbPerUnitMo*'LeaseUp'!BO$9*BO$10,0)</f>
        <v/>
      </c>
      <c r="BP20" s="18">
        <f>IF(65&gt;=DeliverStart,UtilReimbPerUnitMo*'LeaseUp'!BP$9*BP$10,0)</f>
        <v/>
      </c>
      <c r="BQ20" s="18">
        <f>IF(66&gt;=DeliverStart,UtilReimbPerUnitMo*'LeaseUp'!BQ$9*BQ$10,0)</f>
        <v/>
      </c>
      <c r="BR20" s="18">
        <f>IF(67&gt;=DeliverStart,UtilReimbPerUnitMo*'LeaseUp'!BR$9*BR$10,0)</f>
        <v/>
      </c>
      <c r="BS20" s="18">
        <f>IF(68&gt;=DeliverStart,UtilReimbPerUnitMo*'LeaseUp'!BS$9*BS$10,0)</f>
        <v/>
      </c>
      <c r="BT20" s="18">
        <f>IF(69&gt;=DeliverStart,UtilReimbPerUnitMo*'LeaseUp'!BT$9*BT$10,0)</f>
        <v/>
      </c>
      <c r="BU20" s="18">
        <f>IF(70&gt;=DeliverStart,UtilReimbPerUnitMo*'LeaseUp'!BU$9*BU$10,0)</f>
        <v/>
      </c>
      <c r="BV20" s="18">
        <f>IF(71&gt;=DeliverStart,UtilReimbPerUnitMo*'LeaseUp'!BV$9*BV$10,0)</f>
        <v/>
      </c>
      <c r="BW20" s="18">
        <f>IF(72&gt;=DeliverStart,UtilReimbPerUnitMo*'LeaseUp'!BW$9*BW$10,0)</f>
        <v/>
      </c>
      <c r="BX20" s="18">
        <f>IF(73&gt;=DeliverStart,UtilReimbPerUnitMo*'LeaseUp'!BX$9*BX$10,0)</f>
        <v/>
      </c>
      <c r="BY20" s="18">
        <f>IF(74&gt;=DeliverStart,UtilReimbPerUnitMo*'LeaseUp'!BY$9*BY$10,0)</f>
        <v/>
      </c>
      <c r="BZ20" s="18">
        <f>IF(75&gt;=DeliverStart,UtilReimbPerUnitMo*'LeaseUp'!BZ$9*BZ$10,0)</f>
        <v/>
      </c>
      <c r="CA20" s="18">
        <f>IF(76&gt;=DeliverStart,UtilReimbPerUnitMo*'LeaseUp'!CA$9*CA$10,0)</f>
        <v/>
      </c>
      <c r="CB20" s="18">
        <f>IF(77&gt;=DeliverStart,UtilReimbPerUnitMo*'LeaseUp'!CB$9*CB$10,0)</f>
        <v/>
      </c>
      <c r="CC20" s="18">
        <f>IF(78&gt;=DeliverStart,UtilReimbPerUnitMo*'LeaseUp'!CC$9*CC$10,0)</f>
        <v/>
      </c>
      <c r="CD20" s="18">
        <f>IF(79&gt;=DeliverStart,UtilReimbPerUnitMo*'LeaseUp'!CD$9*CD$10,0)</f>
        <v/>
      </c>
      <c r="CE20" s="18">
        <f>IF(80&gt;=DeliverStart,UtilReimbPerUnitMo*'LeaseUp'!CE$9*CE$10,0)</f>
        <v/>
      </c>
      <c r="CF20" s="18">
        <f>IF(81&gt;=DeliverStart,UtilReimbPerUnitMo*'LeaseUp'!CF$9*CF$10,0)</f>
        <v/>
      </c>
      <c r="CG20" s="18">
        <f>IF(82&gt;=DeliverStart,UtilReimbPerUnitMo*'LeaseUp'!CG$9*CG$10,0)</f>
        <v/>
      </c>
      <c r="CH20" s="18">
        <f>IF(83&gt;=DeliverStart,UtilReimbPerUnitMo*'LeaseUp'!CH$9*CH$10,0)</f>
        <v/>
      </c>
      <c r="CI20" s="18">
        <f>IF(84&gt;=DeliverStart,UtilReimbPerUnitMo*'LeaseUp'!CI$9*CI$10,0)</f>
        <v/>
      </c>
      <c r="CJ20" s="18">
        <f>IF(85&gt;=DeliverStart,UtilReimbPerUnitMo*'LeaseUp'!CJ$9*CJ$10,0)</f>
        <v/>
      </c>
      <c r="CK20" s="18">
        <f>IF(86&gt;=DeliverStart,UtilReimbPerUnitMo*'LeaseUp'!CK$9*CK$10,0)</f>
        <v/>
      </c>
      <c r="CL20" s="18">
        <f>IF(87&gt;=DeliverStart,UtilReimbPerUnitMo*'LeaseUp'!CL$9*CL$10,0)</f>
        <v/>
      </c>
      <c r="CM20" s="18">
        <f>IF(88&gt;=DeliverStart,UtilReimbPerUnitMo*'LeaseUp'!CM$9*CM$10,0)</f>
        <v/>
      </c>
      <c r="CN20" s="18">
        <f>IF(89&gt;=DeliverStart,UtilReimbPerUnitMo*'LeaseUp'!CN$9*CN$10,0)</f>
        <v/>
      </c>
      <c r="CO20" s="18">
        <f>IF(90&gt;=DeliverStart,UtilReimbPerUnitMo*'LeaseUp'!CO$9*CO$10,0)</f>
        <v/>
      </c>
      <c r="CP20" s="18">
        <f>IF(91&gt;=DeliverStart,UtilReimbPerUnitMo*'LeaseUp'!CP$9*CP$10,0)</f>
        <v/>
      </c>
      <c r="CQ20" s="18">
        <f>IF(92&gt;=DeliverStart,UtilReimbPerUnitMo*'LeaseUp'!CQ$9*CQ$10,0)</f>
        <v/>
      </c>
      <c r="CR20" s="18">
        <f>IF(93&gt;=DeliverStart,UtilReimbPerUnitMo*'LeaseUp'!CR$9*CR$10,0)</f>
        <v/>
      </c>
      <c r="CS20" s="18">
        <f>IF(94&gt;=DeliverStart,UtilReimbPerUnitMo*'LeaseUp'!CS$9*CS$10,0)</f>
        <v/>
      </c>
      <c r="CT20" s="18">
        <f>IF(95&gt;=DeliverStart,UtilReimbPerUnitMo*'LeaseUp'!CT$9*CT$10,0)</f>
        <v/>
      </c>
      <c r="CU20" s="18">
        <f>IF(96&gt;=DeliverStart,UtilReimbPerUnitMo*'LeaseUp'!CU$9*CU$10,0)</f>
        <v/>
      </c>
      <c r="CV20" s="18">
        <f>IF(97&gt;=DeliverStart,UtilReimbPerUnitMo*'LeaseUp'!CV$9*CV$10,0)</f>
        <v/>
      </c>
      <c r="CW20" s="18">
        <f>IF(98&gt;=DeliverStart,UtilReimbPerUnitMo*'LeaseUp'!CW$9*CW$10,0)</f>
        <v/>
      </c>
      <c r="CX20" s="18">
        <f>IF(99&gt;=DeliverStart,UtilReimbPerUnitMo*'LeaseUp'!CX$9*CX$10,0)</f>
        <v/>
      </c>
      <c r="CY20" s="18">
        <f>IF(100&gt;=DeliverStart,UtilReimbPerUnitMo*'LeaseUp'!CY$9*CY$10,0)</f>
        <v/>
      </c>
      <c r="CZ20" s="18">
        <f>IF(101&gt;=DeliverStart,UtilReimbPerUnitMo*'LeaseUp'!CZ$9*CZ$10,0)</f>
        <v/>
      </c>
      <c r="DA20" s="18">
        <f>IF(102&gt;=DeliverStart,UtilReimbPerUnitMo*'LeaseUp'!DA$9*DA$10,0)</f>
        <v/>
      </c>
      <c r="DB20" s="18">
        <f>IF(103&gt;=DeliverStart,UtilReimbPerUnitMo*'LeaseUp'!DB$9*DB$10,0)</f>
        <v/>
      </c>
      <c r="DC20" s="18">
        <f>IF(104&gt;=DeliverStart,UtilReimbPerUnitMo*'LeaseUp'!DC$9*DC$10,0)</f>
        <v/>
      </c>
      <c r="DD20" s="18">
        <f>IF(105&gt;=DeliverStart,UtilReimbPerUnitMo*'LeaseUp'!DD$9*DD$10,0)</f>
        <v/>
      </c>
      <c r="DE20" s="18">
        <f>IF(106&gt;=DeliverStart,UtilReimbPerUnitMo*'LeaseUp'!DE$9*DE$10,0)</f>
        <v/>
      </c>
      <c r="DF20" s="18">
        <f>IF(107&gt;=DeliverStart,UtilReimbPerUnitMo*'LeaseUp'!DF$9*DF$10,0)</f>
        <v/>
      </c>
      <c r="DG20" s="18">
        <f>IF(108&gt;=DeliverStart,UtilReimbPerUnitMo*'LeaseUp'!DG$9*DG$10,0)</f>
        <v/>
      </c>
      <c r="DH20" s="18">
        <f>IF(109&gt;=DeliverStart,UtilReimbPerUnitMo*'LeaseUp'!DH$9*DH$10,0)</f>
        <v/>
      </c>
      <c r="DI20" s="18">
        <f>IF(110&gt;=DeliverStart,UtilReimbPerUnitMo*'LeaseUp'!DI$9*DI$10,0)</f>
        <v/>
      </c>
      <c r="DJ20" s="18">
        <f>IF(111&gt;=DeliverStart,UtilReimbPerUnitMo*'LeaseUp'!DJ$9*DJ$10,0)</f>
        <v/>
      </c>
      <c r="DK20" s="18">
        <f>IF(112&gt;=DeliverStart,UtilReimbPerUnitMo*'LeaseUp'!DK$9*DK$10,0)</f>
        <v/>
      </c>
      <c r="DL20" s="18">
        <f>IF(113&gt;=DeliverStart,UtilReimbPerUnitMo*'LeaseUp'!DL$9*DL$10,0)</f>
        <v/>
      </c>
      <c r="DM20" s="18">
        <f>IF(114&gt;=DeliverStart,UtilReimbPerUnitMo*'LeaseUp'!DM$9*DM$10,0)</f>
        <v/>
      </c>
      <c r="DN20" s="18">
        <f>IF(115&gt;=DeliverStart,UtilReimbPerUnitMo*'LeaseUp'!DN$9*DN$10,0)</f>
        <v/>
      </c>
      <c r="DO20" s="18">
        <f>IF(116&gt;=DeliverStart,UtilReimbPerUnitMo*'LeaseUp'!DO$9*DO$10,0)</f>
        <v/>
      </c>
      <c r="DP20" s="18">
        <f>IF(117&gt;=DeliverStart,UtilReimbPerUnitMo*'LeaseUp'!DP$9*DP$10,0)</f>
        <v/>
      </c>
      <c r="DQ20" s="18">
        <f>IF(118&gt;=DeliverStart,UtilReimbPerUnitMo*'LeaseUp'!DQ$9*DQ$10,0)</f>
        <v/>
      </c>
      <c r="DR20" s="18">
        <f>IF(119&gt;=DeliverStart,UtilReimbPerUnitMo*'LeaseUp'!DR$9*DR$10,0)</f>
        <v/>
      </c>
      <c r="DS20" s="18">
        <f>IF(120&gt;=DeliverStart,UtilReimbPerUnitMo*'LeaseUp'!DS$9*DS$10,0)</f>
        <v/>
      </c>
      <c r="DT20" s="18">
        <f>IF(121&gt;=DeliverStart,UtilReimbPerUnitMo*'LeaseUp'!DT$9*DT$10,0)</f>
        <v/>
      </c>
      <c r="DU20" s="18">
        <f>IF(122&gt;=DeliverStart,UtilReimbPerUnitMo*'LeaseUp'!DU$9*DU$10,0)</f>
        <v/>
      </c>
      <c r="DV20" s="18">
        <f>IF(123&gt;=DeliverStart,UtilReimbPerUnitMo*'LeaseUp'!DV$9*DV$10,0)</f>
        <v/>
      </c>
      <c r="DW20" s="18">
        <f>IF(124&gt;=DeliverStart,UtilReimbPerUnitMo*'LeaseUp'!DW$9*DW$10,0)</f>
        <v/>
      </c>
      <c r="DX20" s="18">
        <f>IF(125&gt;=DeliverStart,UtilReimbPerUnitMo*'LeaseUp'!DX$9*DX$10,0)</f>
        <v/>
      </c>
      <c r="DY20" s="18">
        <f>IF(126&gt;=DeliverStart,UtilReimbPerUnitMo*'LeaseUp'!DY$9*DY$10,0)</f>
        <v/>
      </c>
      <c r="DZ20" s="18">
        <f>IF(127&gt;=DeliverStart,UtilReimbPerUnitMo*'LeaseUp'!DZ$9*DZ$10,0)</f>
        <v/>
      </c>
      <c r="EA20" s="18">
        <f>IF(128&gt;=DeliverStart,UtilReimbPerUnitMo*'LeaseUp'!EA$9*EA$10,0)</f>
        <v/>
      </c>
      <c r="EB20" s="18">
        <f>IF(129&gt;=DeliverStart,UtilReimbPerUnitMo*'LeaseUp'!EB$9*EB$10,0)</f>
        <v/>
      </c>
      <c r="EC20" s="18">
        <f>IF(130&gt;=DeliverStart,UtilReimbPerUnitMo*'LeaseUp'!EC$9*EC$10,0)</f>
        <v/>
      </c>
      <c r="ED20" s="18">
        <f>IF(131&gt;=DeliverStart,UtilReimbPerUnitMo*'LeaseUp'!ED$9*ED$10,0)</f>
        <v/>
      </c>
      <c r="EE20" s="18">
        <f>IF(132&gt;=DeliverStart,UtilReimbPerUnitMo*'LeaseUp'!EE$9*EE$10,0)</f>
        <v/>
      </c>
      <c r="EF20" s="18">
        <f>IF(133&gt;=DeliverStart,UtilReimbPerUnitMo*'LeaseUp'!EF$9*EF$10,0)</f>
        <v/>
      </c>
      <c r="EG20" s="18">
        <f>IF(134&gt;=DeliverStart,UtilReimbPerUnitMo*'LeaseUp'!EG$9*EG$10,0)</f>
        <v/>
      </c>
      <c r="EH20" s="18">
        <f>IF(135&gt;=DeliverStart,UtilReimbPerUnitMo*'LeaseUp'!EH$9*EH$10,0)</f>
        <v/>
      </c>
      <c r="EI20" s="18">
        <f>IF(136&gt;=DeliverStart,UtilReimbPerUnitMo*'LeaseUp'!EI$9*EI$10,0)</f>
        <v/>
      </c>
      <c r="EJ20" s="18">
        <f>IF(137&gt;=DeliverStart,UtilReimbPerUnitMo*'LeaseUp'!EJ$9*EJ$10,0)</f>
        <v/>
      </c>
      <c r="EK20" s="18">
        <f>IF(138&gt;=DeliverStart,UtilReimbPerUnitMo*'LeaseUp'!EK$9*EK$10,0)</f>
        <v/>
      </c>
      <c r="EL20" s="18">
        <f>IF(139&gt;=DeliverStart,UtilReimbPerUnitMo*'LeaseUp'!EL$9*EL$10,0)</f>
        <v/>
      </c>
      <c r="EM20" s="18">
        <f>IF(140&gt;=DeliverStart,UtilReimbPerUnitMo*'LeaseUp'!EM$9*EM$10,0)</f>
        <v/>
      </c>
      <c r="EN20" s="18">
        <f>IF(141&gt;=DeliverStart,UtilReimbPerUnitMo*'LeaseUp'!EN$9*EN$10,0)</f>
        <v/>
      </c>
      <c r="EO20" s="18">
        <f>IF(142&gt;=DeliverStart,UtilReimbPerUnitMo*'LeaseUp'!EO$9*EO$10,0)</f>
        <v/>
      </c>
      <c r="EP20" s="18">
        <f>IF(143&gt;=DeliverStart,UtilReimbPerUnitMo*'LeaseUp'!EP$9*EP$10,0)</f>
        <v/>
      </c>
      <c r="EQ20" s="18">
        <f>IF(144&gt;=DeliverStart,UtilReimbPerUnitMo*'LeaseUp'!EQ$9*EQ$10,0)</f>
        <v/>
      </c>
      <c r="ER20" s="18">
        <f>IF(145&gt;=DeliverStart,UtilReimbPerUnitMo*'LeaseUp'!ER$9*ER$10,0)</f>
        <v/>
      </c>
      <c r="ES20" s="18">
        <f>IF(146&gt;=DeliverStart,UtilReimbPerUnitMo*'LeaseUp'!ES$9*ES$10,0)</f>
        <v/>
      </c>
      <c r="ET20" s="18">
        <f>IF(147&gt;=DeliverStart,UtilReimbPerUnitMo*'LeaseUp'!ET$9*ET$10,0)</f>
        <v/>
      </c>
      <c r="EU20" s="18">
        <f>IF(148&gt;=DeliverStart,UtilReimbPerUnitMo*'LeaseUp'!EU$9*EU$10,0)</f>
        <v/>
      </c>
      <c r="EV20" s="18">
        <f>IF(149&gt;=DeliverStart,UtilReimbPerUnitMo*'LeaseUp'!EV$9*EV$10,0)</f>
        <v/>
      </c>
      <c r="EW20" s="18">
        <f>IF(150&gt;=DeliverStart,UtilReimbPerUnitMo*'LeaseUp'!EW$9*EW$10,0)</f>
        <v/>
      </c>
      <c r="EX20" s="18">
        <f>IF(151&gt;=DeliverStart,UtilReimbPerUnitMo*'LeaseUp'!EX$9*EX$10,0)</f>
        <v/>
      </c>
      <c r="EY20" s="18">
        <f>IF(152&gt;=DeliverStart,UtilReimbPerUnitMo*'LeaseUp'!EY$9*EY$10,0)</f>
        <v/>
      </c>
      <c r="EZ20" s="18">
        <f>IF(153&gt;=DeliverStart,UtilReimbPerUnitMo*'LeaseUp'!EZ$9*EZ$10,0)</f>
        <v/>
      </c>
      <c r="FA20" s="18">
        <f>IF(154&gt;=DeliverStart,UtilReimbPerUnitMo*'LeaseUp'!FA$9*FA$10,0)</f>
        <v/>
      </c>
      <c r="FB20" s="18">
        <f>IF(155&gt;=DeliverStart,UtilReimbPerUnitMo*'LeaseUp'!FB$9*FB$10,0)</f>
        <v/>
      </c>
      <c r="FC20" s="18">
        <f>IF(156&gt;=DeliverStart,UtilReimbPerUnitMo*'LeaseUp'!FC$9*FC$10,0)</f>
        <v/>
      </c>
      <c r="FD20" s="18">
        <f>IF(157&gt;=DeliverStart,UtilReimbPerUnitMo*'LeaseUp'!FD$9*FD$10,0)</f>
        <v/>
      </c>
      <c r="FE20" s="18">
        <f>IF(158&gt;=DeliverStart,UtilReimbPerUnitMo*'LeaseUp'!FE$9*FE$10,0)</f>
        <v/>
      </c>
      <c r="FF20" s="18">
        <f>IF(159&gt;=DeliverStart,UtilReimbPerUnitMo*'LeaseUp'!FF$9*FF$10,0)</f>
        <v/>
      </c>
      <c r="FG20" s="18">
        <f>IF(160&gt;=DeliverStart,UtilReimbPerUnitMo*'LeaseUp'!FG$9*FG$10,0)</f>
        <v/>
      </c>
      <c r="FH20" s="18">
        <f>IF(161&gt;=DeliverStart,UtilReimbPerUnitMo*'LeaseUp'!FH$9*FH$10,0)</f>
        <v/>
      </c>
      <c r="FI20" s="18">
        <f>IF(162&gt;=DeliverStart,UtilReimbPerUnitMo*'LeaseUp'!FI$9*FI$10,0)</f>
        <v/>
      </c>
      <c r="FJ20" s="18">
        <f>IF(163&gt;=DeliverStart,UtilReimbPerUnitMo*'LeaseUp'!FJ$9*FJ$10,0)</f>
        <v/>
      </c>
      <c r="FK20" s="18">
        <f>IF(164&gt;=DeliverStart,UtilReimbPerUnitMo*'LeaseUp'!FK$9*FK$10,0)</f>
        <v/>
      </c>
      <c r="FL20" s="18">
        <f>IF(165&gt;=DeliverStart,UtilReimbPerUnitMo*'LeaseUp'!FL$9*FL$10,0)</f>
        <v/>
      </c>
      <c r="FM20" s="18">
        <f>IF(166&gt;=DeliverStart,UtilReimbPerUnitMo*'LeaseUp'!FM$9*FM$10,0)</f>
        <v/>
      </c>
      <c r="FN20" s="18">
        <f>IF(167&gt;=DeliverStart,UtilReimbPerUnitMo*'LeaseUp'!FN$9*FN$10,0)</f>
        <v/>
      </c>
      <c r="FO20" s="18">
        <f>IF(168&gt;=DeliverStart,UtilReimbPerUnitMo*'LeaseUp'!FO$9*FO$10,0)</f>
        <v/>
      </c>
      <c r="FP20" s="18">
        <f>IF(169&gt;=DeliverStart,UtilReimbPerUnitMo*'LeaseUp'!FP$9*FP$10,0)</f>
        <v/>
      </c>
      <c r="FQ20" s="18">
        <f>IF(170&gt;=DeliverStart,UtilReimbPerUnitMo*'LeaseUp'!FQ$9*FQ$10,0)</f>
        <v/>
      </c>
      <c r="FR20" s="18">
        <f>IF(171&gt;=DeliverStart,UtilReimbPerUnitMo*'LeaseUp'!FR$9*FR$10,0)</f>
        <v/>
      </c>
      <c r="FS20" s="18">
        <f>IF(172&gt;=DeliverStart,UtilReimbPerUnitMo*'LeaseUp'!FS$9*FS$10,0)</f>
        <v/>
      </c>
      <c r="FT20" s="18">
        <f>IF(173&gt;=DeliverStart,UtilReimbPerUnitMo*'LeaseUp'!FT$9*FT$10,0)</f>
        <v/>
      </c>
      <c r="FU20" s="18">
        <f>IF(174&gt;=DeliverStart,UtilReimbPerUnitMo*'LeaseUp'!FU$9*FU$10,0)</f>
        <v/>
      </c>
      <c r="FV20" s="18">
        <f>IF(175&gt;=DeliverStart,UtilReimbPerUnitMo*'LeaseUp'!FV$9*FV$10,0)</f>
        <v/>
      </c>
      <c r="FW20" s="18">
        <f>IF(176&gt;=DeliverStart,UtilReimbPerUnitMo*'LeaseUp'!FW$9*FW$10,0)</f>
        <v/>
      </c>
      <c r="FX20" s="18">
        <f>IF(177&gt;=DeliverStart,UtilReimbPerUnitMo*'LeaseUp'!FX$9*FX$10,0)</f>
        <v/>
      </c>
      <c r="FY20" s="18">
        <f>IF(178&gt;=DeliverStart,UtilReimbPerUnitMo*'LeaseUp'!FY$9*FY$10,0)</f>
        <v/>
      </c>
      <c r="FZ20" s="18">
        <f>IF(179&gt;=DeliverStart,UtilReimbPerUnitMo*'LeaseUp'!FZ$9*FZ$10,0)</f>
        <v/>
      </c>
      <c r="GA20" s="18">
        <f>IF(180&gt;=DeliverStart,UtilReimbPerUnitMo*'LeaseUp'!GA$9*GA$10,0)</f>
        <v/>
      </c>
      <c r="GB20" s="18">
        <f>IF(181&gt;=DeliverStart,UtilReimbPerUnitMo*'LeaseUp'!GB$9*GB$10,0)</f>
        <v/>
      </c>
      <c r="GC20" s="18">
        <f>IF(182&gt;=DeliverStart,UtilReimbPerUnitMo*'LeaseUp'!GC$9*GC$10,0)</f>
        <v/>
      </c>
      <c r="GD20" s="18">
        <f>IF(183&gt;=DeliverStart,UtilReimbPerUnitMo*'LeaseUp'!GD$9*GD$10,0)</f>
        <v/>
      </c>
      <c r="GE20" s="18">
        <f>IF(184&gt;=DeliverStart,UtilReimbPerUnitMo*'LeaseUp'!GE$9*GE$10,0)</f>
        <v/>
      </c>
      <c r="GF20" s="18">
        <f>IF(185&gt;=DeliverStart,UtilReimbPerUnitMo*'LeaseUp'!GF$9*GF$10,0)</f>
        <v/>
      </c>
      <c r="GG20" s="18">
        <f>IF(186&gt;=DeliverStart,UtilReimbPerUnitMo*'LeaseUp'!GG$9*GG$10,0)</f>
        <v/>
      </c>
      <c r="GH20" s="18">
        <f>IF(187&gt;=DeliverStart,UtilReimbPerUnitMo*'LeaseUp'!GH$9*GH$10,0)</f>
        <v/>
      </c>
      <c r="GI20" s="18">
        <f>IF(188&gt;=DeliverStart,UtilReimbPerUnitMo*'LeaseUp'!GI$9*GI$10,0)</f>
        <v/>
      </c>
      <c r="GJ20" s="18">
        <f>IF(189&gt;=DeliverStart,UtilReimbPerUnitMo*'LeaseUp'!GJ$9*GJ$10,0)</f>
        <v/>
      </c>
      <c r="GK20" s="18">
        <f>IF(190&gt;=DeliverStart,UtilReimbPerUnitMo*'LeaseUp'!GK$9*GK$10,0)</f>
        <v/>
      </c>
      <c r="GL20" s="18">
        <f>IF(191&gt;=DeliverStart,UtilReimbPerUnitMo*'LeaseUp'!GL$9*GL$10,0)</f>
        <v/>
      </c>
      <c r="GM20" s="18">
        <f>IF(192&gt;=DeliverStart,UtilReimbPerUnitMo*'LeaseUp'!GM$9*GM$10,0)</f>
        <v/>
      </c>
      <c r="GN20" s="18">
        <f>IF(193&gt;=DeliverStart,UtilReimbPerUnitMo*'LeaseUp'!GN$9*GN$10,0)</f>
        <v/>
      </c>
      <c r="GO20" s="18">
        <f>IF(194&gt;=DeliverStart,UtilReimbPerUnitMo*'LeaseUp'!GO$9*GO$10,0)</f>
        <v/>
      </c>
      <c r="GP20" s="18">
        <f>IF(195&gt;=DeliverStart,UtilReimbPerUnitMo*'LeaseUp'!GP$9*GP$10,0)</f>
        <v/>
      </c>
      <c r="GQ20" s="18">
        <f>IF(196&gt;=DeliverStart,UtilReimbPerUnitMo*'LeaseUp'!GQ$9*GQ$10,0)</f>
        <v/>
      </c>
      <c r="GR20" s="18">
        <f>IF(197&gt;=DeliverStart,UtilReimbPerUnitMo*'LeaseUp'!GR$9*GR$10,0)</f>
        <v/>
      </c>
      <c r="GS20" s="18">
        <f>IF(198&gt;=DeliverStart,UtilReimbPerUnitMo*'LeaseUp'!GS$9*GS$10,0)</f>
        <v/>
      </c>
      <c r="GT20" s="18">
        <f>IF(199&gt;=DeliverStart,UtilReimbPerUnitMo*'LeaseUp'!GT$9*GT$10,0)</f>
        <v/>
      </c>
      <c r="GU20" s="18">
        <f>IF(200&gt;=DeliverStart,UtilReimbPerUnitMo*'LeaseUp'!GU$9*GU$10,0)</f>
        <v/>
      </c>
      <c r="GV20" s="18">
        <f>IF(201&gt;=DeliverStart,UtilReimbPerUnitMo*'LeaseUp'!GV$9*GV$10,0)</f>
        <v/>
      </c>
      <c r="GW20" s="18">
        <f>IF(202&gt;=DeliverStart,UtilReimbPerUnitMo*'LeaseUp'!GW$9*GW$10,0)</f>
        <v/>
      </c>
      <c r="GX20" s="18">
        <f>IF(203&gt;=DeliverStart,UtilReimbPerUnitMo*'LeaseUp'!GX$9*GX$10,0)</f>
        <v/>
      </c>
      <c r="GY20" s="18">
        <f>IF(204&gt;=DeliverStart,UtilReimbPerUnitMo*'LeaseUp'!GY$9*GY$10,0)</f>
        <v/>
      </c>
      <c r="GZ20" s="18">
        <f>IF(205&gt;=DeliverStart,UtilReimbPerUnitMo*'LeaseUp'!GZ$9*GZ$10,0)</f>
        <v/>
      </c>
      <c r="HA20" s="18">
        <f>IF(206&gt;=DeliverStart,UtilReimbPerUnitMo*'LeaseUp'!HA$9*HA$10,0)</f>
        <v/>
      </c>
      <c r="HB20" s="18">
        <f>IF(207&gt;=DeliverStart,UtilReimbPerUnitMo*'LeaseUp'!HB$9*HB$10,0)</f>
        <v/>
      </c>
      <c r="HC20" s="18">
        <f>IF(208&gt;=DeliverStart,UtilReimbPerUnitMo*'LeaseUp'!HC$9*HC$10,0)</f>
        <v/>
      </c>
      <c r="HD20" s="18">
        <f>IF(209&gt;=DeliverStart,UtilReimbPerUnitMo*'LeaseUp'!HD$9*HD$10,0)</f>
        <v/>
      </c>
      <c r="HE20" s="18">
        <f>IF(210&gt;=DeliverStart,UtilReimbPerUnitMo*'LeaseUp'!HE$9*HE$10,0)</f>
        <v/>
      </c>
      <c r="HF20" s="18">
        <f>IF(211&gt;=DeliverStart,UtilReimbPerUnitMo*'LeaseUp'!HF$9*HF$10,0)</f>
        <v/>
      </c>
      <c r="HG20" s="18">
        <f>IF(212&gt;=DeliverStart,UtilReimbPerUnitMo*'LeaseUp'!HG$9*HG$10,0)</f>
        <v/>
      </c>
      <c r="HH20" s="18">
        <f>IF(213&gt;=DeliverStart,UtilReimbPerUnitMo*'LeaseUp'!HH$9*HH$10,0)</f>
        <v/>
      </c>
      <c r="HI20" s="18">
        <f>IF(214&gt;=DeliverStart,UtilReimbPerUnitMo*'LeaseUp'!HI$9*HI$10,0)</f>
        <v/>
      </c>
      <c r="HJ20" s="18">
        <f>IF(215&gt;=DeliverStart,UtilReimbPerUnitMo*'LeaseUp'!HJ$9*HJ$10,0)</f>
        <v/>
      </c>
      <c r="HK20" s="18">
        <f>IF(216&gt;=DeliverStart,UtilReimbPerUnitMo*'LeaseUp'!HK$9*HK$10,0)</f>
        <v/>
      </c>
      <c r="HL20" s="18">
        <f>IF(217&gt;=DeliverStart,UtilReimbPerUnitMo*'LeaseUp'!HL$9*HL$10,0)</f>
        <v/>
      </c>
      <c r="HM20" s="18">
        <f>IF(218&gt;=DeliverStart,UtilReimbPerUnitMo*'LeaseUp'!HM$9*HM$10,0)</f>
        <v/>
      </c>
      <c r="HN20" s="18">
        <f>IF(219&gt;=DeliverStart,UtilReimbPerUnitMo*'LeaseUp'!HN$9*HN$10,0)</f>
        <v/>
      </c>
      <c r="HO20" s="18">
        <f>IF(220&gt;=DeliverStart,UtilReimbPerUnitMo*'LeaseUp'!HO$9*HO$10,0)</f>
        <v/>
      </c>
      <c r="HP20" s="18">
        <f>IF(221&gt;=DeliverStart,UtilReimbPerUnitMo*'LeaseUp'!HP$9*HP$10,0)</f>
        <v/>
      </c>
      <c r="HQ20" s="18">
        <f>IF(222&gt;=DeliverStart,UtilReimbPerUnitMo*'LeaseUp'!HQ$9*HQ$10,0)</f>
        <v/>
      </c>
      <c r="HR20" s="18">
        <f>IF(223&gt;=DeliverStart,UtilReimbPerUnitMo*'LeaseUp'!HR$9*HR$10,0)</f>
        <v/>
      </c>
      <c r="HS20" s="18">
        <f>IF(224&gt;=DeliverStart,UtilReimbPerUnitMo*'LeaseUp'!HS$9*HS$10,0)</f>
        <v/>
      </c>
      <c r="HT20" s="18">
        <f>IF(225&gt;=DeliverStart,UtilReimbPerUnitMo*'LeaseUp'!HT$9*HT$10,0)</f>
        <v/>
      </c>
      <c r="HU20" s="18">
        <f>IF(226&gt;=DeliverStart,UtilReimbPerUnitMo*'LeaseUp'!HU$9*HU$10,0)</f>
        <v/>
      </c>
      <c r="HV20" s="18">
        <f>IF(227&gt;=DeliverStart,UtilReimbPerUnitMo*'LeaseUp'!HV$9*HV$10,0)</f>
        <v/>
      </c>
      <c r="HW20" s="18">
        <f>IF(228&gt;=DeliverStart,UtilReimbPerUnitMo*'LeaseUp'!HW$9*HW$10,0)</f>
        <v/>
      </c>
      <c r="HX20" s="18">
        <f>IF(229&gt;=DeliverStart,UtilReimbPerUnitMo*'LeaseUp'!HX$9*HX$10,0)</f>
        <v/>
      </c>
      <c r="HY20" s="18">
        <f>IF(230&gt;=DeliverStart,UtilReimbPerUnitMo*'LeaseUp'!HY$9*HY$10,0)</f>
        <v/>
      </c>
      <c r="HZ20" s="18">
        <f>IF(231&gt;=DeliverStart,UtilReimbPerUnitMo*'LeaseUp'!HZ$9*HZ$10,0)</f>
        <v/>
      </c>
      <c r="IA20" s="18">
        <f>IF(232&gt;=DeliverStart,UtilReimbPerUnitMo*'LeaseUp'!IA$9*IA$10,0)</f>
        <v/>
      </c>
      <c r="IB20" s="18">
        <f>IF(233&gt;=DeliverStart,UtilReimbPerUnitMo*'LeaseUp'!IB$9*IB$10,0)</f>
        <v/>
      </c>
      <c r="IC20" s="18">
        <f>IF(234&gt;=DeliverStart,UtilReimbPerUnitMo*'LeaseUp'!IC$9*IC$10,0)</f>
        <v/>
      </c>
      <c r="ID20" s="18">
        <f>IF(235&gt;=DeliverStart,UtilReimbPerUnitMo*'LeaseUp'!ID$9*ID$10,0)</f>
        <v/>
      </c>
      <c r="IE20" s="18">
        <f>IF(236&gt;=DeliverStart,UtilReimbPerUnitMo*'LeaseUp'!IE$9*IE$10,0)</f>
        <v/>
      </c>
      <c r="IF20" s="18">
        <f>IF(237&gt;=DeliverStart,UtilReimbPerUnitMo*'LeaseUp'!IF$9*IF$10,0)</f>
        <v/>
      </c>
      <c r="IG20" s="18">
        <f>IF(238&gt;=DeliverStart,UtilReimbPerUnitMo*'LeaseUp'!IG$9*IG$10,0)</f>
        <v/>
      </c>
      <c r="IH20" s="18">
        <f>IF(239&gt;=DeliverStart,UtilReimbPerUnitMo*'LeaseUp'!IH$9*IH$10,0)</f>
        <v/>
      </c>
      <c r="II20" s="18">
        <f>IF(240&gt;=DeliverStart,UtilReimbPerUnitMo*'LeaseUp'!II$9*II$10,0)</f>
        <v/>
      </c>
      <c r="IJ20" s="18">
        <f>IF(241&gt;=DeliverStart,UtilReimbPerUnitMo*'LeaseUp'!IJ$9*IJ$10,0)</f>
        <v/>
      </c>
      <c r="IK20" s="18">
        <f>IF(242&gt;=DeliverStart,UtilReimbPerUnitMo*'LeaseUp'!IK$9*IK$10,0)</f>
        <v/>
      </c>
      <c r="IL20" s="18">
        <f>IF(243&gt;=DeliverStart,UtilReimbPerUnitMo*'LeaseUp'!IL$9*IL$10,0)</f>
        <v/>
      </c>
      <c r="IM20" s="18">
        <f>IF(244&gt;=DeliverStart,UtilReimbPerUnitMo*'LeaseUp'!IM$9*IM$10,0)</f>
        <v/>
      </c>
      <c r="IN20" s="18">
        <f>IF(245&gt;=DeliverStart,UtilReimbPerUnitMo*'LeaseUp'!IN$9*IN$10,0)</f>
        <v/>
      </c>
      <c r="IO20" s="18">
        <f>IF(246&gt;=DeliverStart,UtilReimbPerUnitMo*'LeaseUp'!IO$9*IO$10,0)</f>
        <v/>
      </c>
      <c r="IP20" s="18">
        <f>IF(247&gt;=DeliverStart,UtilReimbPerUnitMo*'LeaseUp'!IP$9*IP$10,0)</f>
        <v/>
      </c>
      <c r="IQ20" s="18">
        <f>IF(248&gt;=DeliverStart,UtilReimbPerUnitMo*'LeaseUp'!IQ$9*IQ$10,0)</f>
        <v/>
      </c>
      <c r="IR20" s="18">
        <f>IF(249&gt;=DeliverStart,UtilReimbPerUnitMo*'LeaseUp'!IR$9*IR$10,0)</f>
        <v/>
      </c>
      <c r="IS20" s="18">
        <f>IF(250&gt;=DeliverStart,UtilReimbPerUnitMo*'LeaseUp'!IS$9*IS$10,0)</f>
        <v/>
      </c>
      <c r="IT20" s="18">
        <f>IF(251&gt;=DeliverStart,UtilReimbPerUnitMo*'LeaseUp'!IT$9*IT$10,0)</f>
        <v/>
      </c>
      <c r="IU20" s="18">
        <f>IF(252&gt;=DeliverStart,UtilReimbPerUnitMo*'LeaseUp'!IU$9*IU$10,0)</f>
        <v/>
      </c>
      <c r="IV20" s="18">
        <f>IF(253&gt;=DeliverStart,UtilReimbPerUnitMo*'LeaseUp'!IV$9*IV$10,0)</f>
        <v/>
      </c>
      <c r="IW20" s="18">
        <f>IF(254&gt;=DeliverStart,UtilReimbPerUnitMo*'LeaseUp'!IW$9*IW$10,0)</f>
        <v/>
      </c>
      <c r="IX20" s="18">
        <f>IF(255&gt;=DeliverStart,UtilReimbPerUnitMo*'LeaseUp'!IX$9*IX$10,0)</f>
        <v/>
      </c>
      <c r="IY20" s="18">
        <f>IF(256&gt;=DeliverStart,UtilReimbPerUnitMo*'LeaseUp'!IY$9*IY$10,0)</f>
        <v/>
      </c>
      <c r="IZ20" s="18">
        <f>IF(257&gt;=DeliverStart,UtilReimbPerUnitMo*'LeaseUp'!IZ$9*IZ$10,0)</f>
        <v/>
      </c>
      <c r="JA20" s="18">
        <f>IF(258&gt;=DeliverStart,UtilReimbPerUnitMo*'LeaseUp'!JA$9*JA$10,0)</f>
        <v/>
      </c>
      <c r="JB20" s="18">
        <f>IF(259&gt;=DeliverStart,UtilReimbPerUnitMo*'LeaseUp'!JB$9*JB$10,0)</f>
        <v/>
      </c>
      <c r="JC20" s="18">
        <f>IF(260&gt;=DeliverStart,UtilReimbPerUnitMo*'LeaseUp'!JC$9*JC$10,0)</f>
        <v/>
      </c>
      <c r="JD20" s="18">
        <f>IF(261&gt;=DeliverStart,UtilReimbPerUnitMo*'LeaseUp'!JD$9*JD$10,0)</f>
        <v/>
      </c>
      <c r="JE20" s="18">
        <f>IF(262&gt;=DeliverStart,UtilReimbPerUnitMo*'LeaseUp'!JE$9*JE$10,0)</f>
        <v/>
      </c>
      <c r="JF20" s="18">
        <f>IF(263&gt;=DeliverStart,UtilReimbPerUnitMo*'LeaseUp'!JF$9*JF$10,0)</f>
        <v/>
      </c>
      <c r="JG20" s="18">
        <f>IF(264&gt;=DeliverStart,UtilReimbPerUnitMo*'LeaseUp'!JG$9*JG$10,0)</f>
        <v/>
      </c>
      <c r="JH20" s="18">
        <f>IF(265&gt;=DeliverStart,UtilReimbPerUnitMo*'LeaseUp'!JH$9*JH$10,0)</f>
        <v/>
      </c>
      <c r="JI20" s="18">
        <f>IF(266&gt;=DeliverStart,UtilReimbPerUnitMo*'LeaseUp'!JI$9*JI$10,0)</f>
        <v/>
      </c>
      <c r="JJ20" s="18">
        <f>IF(267&gt;=DeliverStart,UtilReimbPerUnitMo*'LeaseUp'!JJ$9*JJ$10,0)</f>
        <v/>
      </c>
      <c r="JK20" s="18">
        <f>IF(268&gt;=DeliverStart,UtilReimbPerUnitMo*'LeaseUp'!JK$9*JK$10,0)</f>
        <v/>
      </c>
      <c r="JL20" s="18">
        <f>IF(269&gt;=DeliverStart,UtilReimbPerUnitMo*'LeaseUp'!JL$9*JL$10,0)</f>
        <v/>
      </c>
      <c r="JM20" s="18">
        <f>IF(270&gt;=DeliverStart,UtilReimbPerUnitMo*'LeaseUp'!JM$9*JM$10,0)</f>
        <v/>
      </c>
      <c r="JN20" s="18">
        <f>IF(271&gt;=DeliverStart,UtilReimbPerUnitMo*'LeaseUp'!JN$9*JN$10,0)</f>
        <v/>
      </c>
      <c r="JO20" s="18">
        <f>IF(272&gt;=DeliverStart,UtilReimbPerUnitMo*'LeaseUp'!JO$9*JO$10,0)</f>
        <v/>
      </c>
      <c r="JP20" s="18">
        <f>IF(273&gt;=DeliverStart,UtilReimbPerUnitMo*'LeaseUp'!JP$9*JP$10,0)</f>
        <v/>
      </c>
      <c r="JQ20" s="18">
        <f>IF(274&gt;=DeliverStart,UtilReimbPerUnitMo*'LeaseUp'!JQ$9*JQ$10,0)</f>
        <v/>
      </c>
      <c r="JR20" s="18">
        <f>IF(275&gt;=DeliverStart,UtilReimbPerUnitMo*'LeaseUp'!JR$9*JR$10,0)</f>
        <v/>
      </c>
      <c r="JS20" s="18">
        <f>IF(276&gt;=DeliverStart,UtilReimbPerUnitMo*'LeaseUp'!JS$9*JS$10,0)</f>
        <v/>
      </c>
      <c r="JT20" s="18">
        <f>IF(277&gt;=DeliverStart,UtilReimbPerUnitMo*'LeaseUp'!JT$9*JT$10,0)</f>
        <v/>
      </c>
      <c r="JU20" s="18">
        <f>IF(278&gt;=DeliverStart,UtilReimbPerUnitMo*'LeaseUp'!JU$9*JU$10,0)</f>
        <v/>
      </c>
      <c r="JV20" s="18">
        <f>IF(279&gt;=DeliverStart,UtilReimbPerUnitMo*'LeaseUp'!JV$9*JV$10,0)</f>
        <v/>
      </c>
      <c r="JW20" s="18">
        <f>IF(280&gt;=DeliverStart,UtilReimbPerUnitMo*'LeaseUp'!JW$9*JW$10,0)</f>
        <v/>
      </c>
      <c r="JX20" s="18">
        <f>IF(281&gt;=DeliverStart,UtilReimbPerUnitMo*'LeaseUp'!JX$9*JX$10,0)</f>
        <v/>
      </c>
      <c r="JY20" s="18">
        <f>IF(282&gt;=DeliverStart,UtilReimbPerUnitMo*'LeaseUp'!JY$9*JY$10,0)</f>
        <v/>
      </c>
      <c r="JZ20" s="18">
        <f>IF(283&gt;=DeliverStart,UtilReimbPerUnitMo*'LeaseUp'!JZ$9*JZ$10,0)</f>
        <v/>
      </c>
      <c r="KA20" s="18">
        <f>IF(284&gt;=DeliverStart,UtilReimbPerUnitMo*'LeaseUp'!KA$9*KA$10,0)</f>
        <v/>
      </c>
      <c r="KB20" s="18">
        <f>IF(285&gt;=DeliverStart,UtilReimbPerUnitMo*'LeaseUp'!KB$9*KB$10,0)</f>
        <v/>
      </c>
      <c r="KC20" s="18">
        <f>IF(286&gt;=DeliverStart,UtilReimbPerUnitMo*'LeaseUp'!KC$9*KC$10,0)</f>
        <v/>
      </c>
      <c r="KD20" s="18">
        <f>IF(287&gt;=DeliverStart,UtilReimbPerUnitMo*'LeaseUp'!KD$9*KD$10,0)</f>
        <v/>
      </c>
      <c r="KE20" s="18">
        <f>IF(288&gt;=DeliverStart,UtilReimbPerUnitMo*'LeaseUp'!KE$9*KE$10,0)</f>
        <v/>
      </c>
      <c r="KF20" s="18">
        <f>IF(289&gt;=DeliverStart,UtilReimbPerUnitMo*'LeaseUp'!KF$9*KF$10,0)</f>
        <v/>
      </c>
      <c r="KG20" s="18">
        <f>IF(290&gt;=DeliverStart,UtilReimbPerUnitMo*'LeaseUp'!KG$9*KG$10,0)</f>
        <v/>
      </c>
      <c r="KH20" s="18">
        <f>IF(291&gt;=DeliverStart,UtilReimbPerUnitMo*'LeaseUp'!KH$9*KH$10,0)</f>
        <v/>
      </c>
      <c r="KI20" s="18">
        <f>IF(292&gt;=DeliverStart,UtilReimbPerUnitMo*'LeaseUp'!KI$9*KI$10,0)</f>
        <v/>
      </c>
      <c r="KJ20" s="18">
        <f>IF(293&gt;=DeliverStart,UtilReimbPerUnitMo*'LeaseUp'!KJ$9*KJ$10,0)</f>
        <v/>
      </c>
      <c r="KK20" s="18">
        <f>IF(294&gt;=DeliverStart,UtilReimbPerUnitMo*'LeaseUp'!KK$9*KK$10,0)</f>
        <v/>
      </c>
      <c r="KL20" s="18">
        <f>IF(295&gt;=DeliverStart,UtilReimbPerUnitMo*'LeaseUp'!KL$9*KL$10,0)</f>
        <v/>
      </c>
      <c r="KM20" s="18">
        <f>IF(296&gt;=DeliverStart,UtilReimbPerUnitMo*'LeaseUp'!KM$9*KM$10,0)</f>
        <v/>
      </c>
      <c r="KN20" s="18">
        <f>IF(297&gt;=DeliverStart,UtilReimbPerUnitMo*'LeaseUp'!KN$9*KN$10,0)</f>
        <v/>
      </c>
      <c r="KO20" s="18">
        <f>IF(298&gt;=DeliverStart,UtilReimbPerUnitMo*'LeaseUp'!KO$9*KO$10,0)</f>
        <v/>
      </c>
      <c r="KP20" s="18">
        <f>IF(299&gt;=DeliverStart,UtilReimbPerUnitMo*'LeaseUp'!KP$9*KP$10,0)</f>
        <v/>
      </c>
      <c r="KQ20" s="18">
        <f>IF(300&gt;=DeliverStart,UtilReimbPerUnitMo*'LeaseUp'!KQ$9*KQ$10,0)</f>
        <v/>
      </c>
      <c r="KR20" s="18">
        <f>IF(301&gt;=DeliverStart,UtilReimbPerUnitMo*'LeaseUp'!KR$9*KR$10,0)</f>
        <v/>
      </c>
      <c r="KS20" s="18">
        <f>IF(302&gt;=DeliverStart,UtilReimbPerUnitMo*'LeaseUp'!KS$9*KS$10,0)</f>
        <v/>
      </c>
      <c r="KT20" s="18">
        <f>IF(303&gt;=DeliverStart,UtilReimbPerUnitMo*'LeaseUp'!KT$9*KT$10,0)</f>
        <v/>
      </c>
      <c r="KU20" s="18">
        <f>IF(304&gt;=DeliverStart,UtilReimbPerUnitMo*'LeaseUp'!KU$9*KU$10,0)</f>
        <v/>
      </c>
      <c r="KV20" s="18">
        <f>IF(305&gt;=DeliverStart,UtilReimbPerUnitMo*'LeaseUp'!KV$9*KV$10,0)</f>
        <v/>
      </c>
      <c r="KW20" s="18">
        <f>IF(306&gt;=DeliverStart,UtilReimbPerUnitMo*'LeaseUp'!KW$9*KW$10,0)</f>
        <v/>
      </c>
      <c r="KX20" s="18">
        <f>IF(307&gt;=DeliverStart,UtilReimbPerUnitMo*'LeaseUp'!KX$9*KX$10,0)</f>
        <v/>
      </c>
      <c r="KY20" s="18">
        <f>IF(308&gt;=DeliverStart,UtilReimbPerUnitMo*'LeaseUp'!KY$9*KY$10,0)</f>
        <v/>
      </c>
      <c r="KZ20" s="18">
        <f>IF(309&gt;=DeliverStart,UtilReimbPerUnitMo*'LeaseUp'!KZ$9*KZ$10,0)</f>
        <v/>
      </c>
      <c r="LA20" s="18">
        <f>IF(310&gt;=DeliverStart,UtilReimbPerUnitMo*'LeaseUp'!LA$9*LA$10,0)</f>
        <v/>
      </c>
      <c r="LB20" s="18">
        <f>IF(311&gt;=DeliverStart,UtilReimbPerUnitMo*'LeaseUp'!LB$9*LB$10,0)</f>
        <v/>
      </c>
      <c r="LC20" s="18">
        <f>IF(312&gt;=DeliverStart,UtilReimbPerUnitMo*'LeaseUp'!LC$9*LC$10,0)</f>
        <v/>
      </c>
      <c r="LD20" s="18">
        <f>IF(313&gt;=DeliverStart,UtilReimbPerUnitMo*'LeaseUp'!LD$9*LD$10,0)</f>
        <v/>
      </c>
      <c r="LE20" s="18">
        <f>IF(314&gt;=DeliverStart,UtilReimbPerUnitMo*'LeaseUp'!LE$9*LE$10,0)</f>
        <v/>
      </c>
      <c r="LF20" s="18">
        <f>IF(315&gt;=DeliverStart,UtilReimbPerUnitMo*'LeaseUp'!LF$9*LF$10,0)</f>
        <v/>
      </c>
      <c r="LG20" s="18">
        <f>IF(316&gt;=DeliverStart,UtilReimbPerUnitMo*'LeaseUp'!LG$9*LG$10,0)</f>
        <v/>
      </c>
      <c r="LH20" s="18">
        <f>IF(317&gt;=DeliverStart,UtilReimbPerUnitMo*'LeaseUp'!LH$9*LH$10,0)</f>
        <v/>
      </c>
      <c r="LI20" s="18">
        <f>IF(318&gt;=DeliverStart,UtilReimbPerUnitMo*'LeaseUp'!LI$9*LI$10,0)</f>
        <v/>
      </c>
      <c r="LJ20" s="18">
        <f>IF(319&gt;=DeliverStart,UtilReimbPerUnitMo*'LeaseUp'!LJ$9*LJ$10,0)</f>
        <v/>
      </c>
      <c r="LK20" s="18">
        <f>IF(320&gt;=DeliverStart,UtilReimbPerUnitMo*'LeaseUp'!LK$9*LK$10,0)</f>
        <v/>
      </c>
      <c r="LL20" s="18">
        <f>IF(321&gt;=DeliverStart,UtilReimbPerUnitMo*'LeaseUp'!LL$9*LL$10,0)</f>
        <v/>
      </c>
      <c r="LM20" s="18">
        <f>IF(322&gt;=DeliverStart,UtilReimbPerUnitMo*'LeaseUp'!LM$9*LM$10,0)</f>
        <v/>
      </c>
      <c r="LN20" s="18">
        <f>IF(323&gt;=DeliverStart,UtilReimbPerUnitMo*'LeaseUp'!LN$9*LN$10,0)</f>
        <v/>
      </c>
      <c r="LO20" s="18">
        <f>IF(324&gt;=DeliverStart,UtilReimbPerUnitMo*'LeaseUp'!LO$9*LO$10,0)</f>
        <v/>
      </c>
      <c r="LP20" s="18">
        <f>IF(325&gt;=DeliverStart,UtilReimbPerUnitMo*'LeaseUp'!LP$9*LP$10,0)</f>
        <v/>
      </c>
      <c r="LQ20" s="18">
        <f>IF(326&gt;=DeliverStart,UtilReimbPerUnitMo*'LeaseUp'!LQ$9*LQ$10,0)</f>
        <v/>
      </c>
      <c r="LR20" s="18">
        <f>IF(327&gt;=DeliverStart,UtilReimbPerUnitMo*'LeaseUp'!LR$9*LR$10,0)</f>
        <v/>
      </c>
      <c r="LS20" s="18">
        <f>IF(328&gt;=DeliverStart,UtilReimbPerUnitMo*'LeaseUp'!LS$9*LS$10,0)</f>
        <v/>
      </c>
      <c r="LT20" s="18">
        <f>IF(329&gt;=DeliverStart,UtilReimbPerUnitMo*'LeaseUp'!LT$9*LT$10,0)</f>
        <v/>
      </c>
      <c r="LU20" s="18">
        <f>IF(330&gt;=DeliverStart,UtilReimbPerUnitMo*'LeaseUp'!LU$9*LU$10,0)</f>
        <v/>
      </c>
      <c r="LV20" s="18">
        <f>IF(331&gt;=DeliverStart,UtilReimbPerUnitMo*'LeaseUp'!LV$9*LV$10,0)</f>
        <v/>
      </c>
      <c r="LW20" s="18">
        <f>IF(332&gt;=DeliverStart,UtilReimbPerUnitMo*'LeaseUp'!LW$9*LW$10,0)</f>
        <v/>
      </c>
      <c r="LX20" s="18">
        <f>IF(333&gt;=DeliverStart,UtilReimbPerUnitMo*'LeaseUp'!LX$9*LX$10,0)</f>
        <v/>
      </c>
      <c r="LY20" s="18">
        <f>IF(334&gt;=DeliverStart,UtilReimbPerUnitMo*'LeaseUp'!LY$9*LY$10,0)</f>
        <v/>
      </c>
      <c r="LZ20" s="18">
        <f>IF(335&gt;=DeliverStart,UtilReimbPerUnitMo*'LeaseUp'!LZ$9*LZ$10,0)</f>
        <v/>
      </c>
      <c r="MA20" s="18">
        <f>IF(336&gt;=DeliverStart,UtilReimbPerUnitMo*'LeaseUp'!MA$9*MA$10,0)</f>
        <v/>
      </c>
      <c r="MB20" s="18">
        <f>IF(337&gt;=DeliverStart,UtilReimbPerUnitMo*'LeaseUp'!MB$9*MB$10,0)</f>
        <v/>
      </c>
      <c r="MC20" s="18">
        <f>IF(338&gt;=DeliverStart,UtilReimbPerUnitMo*'LeaseUp'!MC$9*MC$10,0)</f>
        <v/>
      </c>
      <c r="MD20" s="18">
        <f>IF(339&gt;=DeliverStart,UtilReimbPerUnitMo*'LeaseUp'!MD$9*MD$10,0)</f>
        <v/>
      </c>
      <c r="ME20" s="18">
        <f>IF(340&gt;=DeliverStart,UtilReimbPerUnitMo*'LeaseUp'!ME$9*ME$10,0)</f>
        <v/>
      </c>
      <c r="MF20" s="18">
        <f>IF(341&gt;=DeliverStart,UtilReimbPerUnitMo*'LeaseUp'!MF$9*MF$10,0)</f>
        <v/>
      </c>
      <c r="MG20" s="18">
        <f>IF(342&gt;=DeliverStart,UtilReimbPerUnitMo*'LeaseUp'!MG$9*MG$10,0)</f>
        <v/>
      </c>
      <c r="MH20" s="18">
        <f>IF(343&gt;=DeliverStart,UtilReimbPerUnitMo*'LeaseUp'!MH$9*MH$10,0)</f>
        <v/>
      </c>
      <c r="MI20" s="18">
        <f>IF(344&gt;=DeliverStart,UtilReimbPerUnitMo*'LeaseUp'!MI$9*MI$10,0)</f>
        <v/>
      </c>
      <c r="MJ20" s="18">
        <f>IF(345&gt;=DeliverStart,UtilReimbPerUnitMo*'LeaseUp'!MJ$9*MJ$10,0)</f>
        <v/>
      </c>
      <c r="MK20" s="18">
        <f>IF(346&gt;=DeliverStart,UtilReimbPerUnitMo*'LeaseUp'!MK$9*MK$10,0)</f>
        <v/>
      </c>
      <c r="ML20" s="18">
        <f>IF(347&gt;=DeliverStart,UtilReimbPerUnitMo*'LeaseUp'!ML$9*ML$10,0)</f>
        <v/>
      </c>
      <c r="MM20" s="18">
        <f>IF(348&gt;=DeliverStart,UtilReimbPerUnitMo*'LeaseUp'!MM$9*MM$10,0)</f>
        <v/>
      </c>
      <c r="MN20" s="18">
        <f>IF(349&gt;=DeliverStart,UtilReimbPerUnitMo*'LeaseUp'!MN$9*MN$10,0)</f>
        <v/>
      </c>
      <c r="MO20" s="18">
        <f>IF(350&gt;=DeliverStart,UtilReimbPerUnitMo*'LeaseUp'!MO$9*MO$10,0)</f>
        <v/>
      </c>
      <c r="MP20" s="18">
        <f>IF(351&gt;=DeliverStart,UtilReimbPerUnitMo*'LeaseUp'!MP$9*MP$10,0)</f>
        <v/>
      </c>
      <c r="MQ20" s="18">
        <f>IF(352&gt;=DeliverStart,UtilReimbPerUnitMo*'LeaseUp'!MQ$9*MQ$10,0)</f>
        <v/>
      </c>
      <c r="MR20" s="18">
        <f>IF(353&gt;=DeliverStart,UtilReimbPerUnitMo*'LeaseUp'!MR$9*MR$10,0)</f>
        <v/>
      </c>
      <c r="MS20" s="18">
        <f>IF(354&gt;=DeliverStart,UtilReimbPerUnitMo*'LeaseUp'!MS$9*MS$10,0)</f>
        <v/>
      </c>
      <c r="MT20" s="18">
        <f>IF(355&gt;=DeliverStart,UtilReimbPerUnitMo*'LeaseUp'!MT$9*MT$10,0)</f>
        <v/>
      </c>
      <c r="MU20" s="18">
        <f>IF(356&gt;=DeliverStart,UtilReimbPerUnitMo*'LeaseUp'!MU$9*MU$10,0)</f>
        <v/>
      </c>
      <c r="MV20" s="18">
        <f>IF(357&gt;=DeliverStart,UtilReimbPerUnitMo*'LeaseUp'!MV$9*MV$10,0)</f>
        <v/>
      </c>
      <c r="MW20" s="18">
        <f>IF(358&gt;=DeliverStart,UtilReimbPerUnitMo*'LeaseUp'!MW$9*MW$10,0)</f>
        <v/>
      </c>
      <c r="MX20" s="18">
        <f>IF(359&gt;=DeliverStart,UtilReimbPerUnitMo*'LeaseUp'!MX$9*MX$10,0)</f>
        <v/>
      </c>
      <c r="MY20" s="18">
        <f>IF(360&gt;=DeliverStart,UtilReimbPerUnitMo*'LeaseUp'!MY$9*MY$10,0)</f>
        <v/>
      </c>
      <c r="MZ20" s="18">
        <f>IF(361&gt;=DeliverStart,UtilReimbPerUnitMo*'LeaseUp'!MZ$9*MZ$10,0)</f>
        <v/>
      </c>
      <c r="NA20" s="18">
        <f>IF(362&gt;=DeliverStart,UtilReimbPerUnitMo*'LeaseUp'!NA$9*NA$10,0)</f>
        <v/>
      </c>
      <c r="NB20" s="18">
        <f>IF(363&gt;=DeliverStart,UtilReimbPerUnitMo*'LeaseUp'!NB$9*NB$10,0)</f>
        <v/>
      </c>
      <c r="NC20" s="18">
        <f>IF(364&gt;=DeliverStart,UtilReimbPerUnitMo*'LeaseUp'!NC$9*NC$10,0)</f>
        <v/>
      </c>
      <c r="ND20" s="18">
        <f>IF(365&gt;=DeliverStart,UtilReimbPerUnitMo*'LeaseUp'!ND$9*ND$10,0)</f>
        <v/>
      </c>
      <c r="NE20" s="18">
        <f>IF(366&gt;=DeliverStart,UtilReimbPerUnitMo*'LeaseUp'!NE$9*NE$10,0)</f>
        <v/>
      </c>
      <c r="NF20" s="18">
        <f>IF(367&gt;=DeliverStart,UtilReimbPerUnitMo*'LeaseUp'!NF$9*NF$10,0)</f>
        <v/>
      </c>
      <c r="NG20" s="18">
        <f>IF(368&gt;=DeliverStart,UtilReimbPerUnitMo*'LeaseUp'!NG$9*NG$10,0)</f>
        <v/>
      </c>
      <c r="NH20" s="18">
        <f>IF(369&gt;=DeliverStart,UtilReimbPerUnitMo*'LeaseUp'!NH$9*NH$10,0)</f>
        <v/>
      </c>
      <c r="NI20" s="18">
        <f>IF(370&gt;=DeliverStart,UtilReimbPerUnitMo*'LeaseUp'!NI$9*NI$10,0)</f>
        <v/>
      </c>
      <c r="NJ20" s="18">
        <f>IF(371&gt;=DeliverStart,UtilReimbPerUnitMo*'LeaseUp'!NJ$9*NJ$10,0)</f>
        <v/>
      </c>
      <c r="NK20" s="18">
        <f>IF(372&gt;=DeliverStart,UtilReimbPerUnitMo*'LeaseUp'!NK$9*NK$10,0)</f>
        <v/>
      </c>
    </row>
    <row r="21">
      <c r="A21" s="5" t="inlineStr">
        <is>
          <t>Other Income</t>
        </is>
      </c>
      <c r="C21" s="41">
        <f>SUM(D21:NK21)</f>
        <v/>
      </c>
      <c r="D21" s="18">
        <f>IF(1&gt;=DeliverStart,OtherIncPerUnitMo*'LeaseUp'!D$9*D$10,0)</f>
        <v/>
      </c>
      <c r="E21" s="18">
        <f>IF(2&gt;=DeliverStart,OtherIncPerUnitMo*'LeaseUp'!E$9*E$10,0)</f>
        <v/>
      </c>
      <c r="F21" s="18">
        <f>IF(3&gt;=DeliverStart,OtherIncPerUnitMo*'LeaseUp'!F$9*F$10,0)</f>
        <v/>
      </c>
      <c r="G21" s="18">
        <f>IF(4&gt;=DeliverStart,OtherIncPerUnitMo*'LeaseUp'!G$9*G$10,0)</f>
        <v/>
      </c>
      <c r="H21" s="18">
        <f>IF(5&gt;=DeliverStart,OtherIncPerUnitMo*'LeaseUp'!H$9*H$10,0)</f>
        <v/>
      </c>
      <c r="I21" s="18">
        <f>IF(6&gt;=DeliverStart,OtherIncPerUnitMo*'LeaseUp'!I$9*I$10,0)</f>
        <v/>
      </c>
      <c r="J21" s="18">
        <f>IF(7&gt;=DeliverStart,OtherIncPerUnitMo*'LeaseUp'!J$9*J$10,0)</f>
        <v/>
      </c>
      <c r="K21" s="18">
        <f>IF(8&gt;=DeliverStart,OtherIncPerUnitMo*'LeaseUp'!K$9*K$10,0)</f>
        <v/>
      </c>
      <c r="L21" s="18">
        <f>IF(9&gt;=DeliverStart,OtherIncPerUnitMo*'LeaseUp'!L$9*L$10,0)</f>
        <v/>
      </c>
      <c r="M21" s="18">
        <f>IF(10&gt;=DeliverStart,OtherIncPerUnitMo*'LeaseUp'!M$9*M$10,0)</f>
        <v/>
      </c>
      <c r="N21" s="18">
        <f>IF(11&gt;=DeliverStart,OtherIncPerUnitMo*'LeaseUp'!N$9*N$10,0)</f>
        <v/>
      </c>
      <c r="O21" s="18">
        <f>IF(12&gt;=DeliverStart,OtherIncPerUnitMo*'LeaseUp'!O$9*O$10,0)</f>
        <v/>
      </c>
      <c r="P21" s="18">
        <f>IF(13&gt;=DeliverStart,OtherIncPerUnitMo*'LeaseUp'!P$9*P$10,0)</f>
        <v/>
      </c>
      <c r="Q21" s="18">
        <f>IF(14&gt;=DeliverStart,OtherIncPerUnitMo*'LeaseUp'!Q$9*Q$10,0)</f>
        <v/>
      </c>
      <c r="R21" s="18">
        <f>IF(15&gt;=DeliverStart,OtherIncPerUnitMo*'LeaseUp'!R$9*R$10,0)</f>
        <v/>
      </c>
      <c r="S21" s="18">
        <f>IF(16&gt;=DeliverStart,OtherIncPerUnitMo*'LeaseUp'!S$9*S$10,0)</f>
        <v/>
      </c>
      <c r="T21" s="18">
        <f>IF(17&gt;=DeliverStart,OtherIncPerUnitMo*'LeaseUp'!T$9*T$10,0)</f>
        <v/>
      </c>
      <c r="U21" s="18">
        <f>IF(18&gt;=DeliverStart,OtherIncPerUnitMo*'LeaseUp'!U$9*U$10,0)</f>
        <v/>
      </c>
      <c r="V21" s="18">
        <f>IF(19&gt;=DeliverStart,OtherIncPerUnitMo*'LeaseUp'!V$9*V$10,0)</f>
        <v/>
      </c>
      <c r="W21" s="18">
        <f>IF(20&gt;=DeliverStart,OtherIncPerUnitMo*'LeaseUp'!W$9*W$10,0)</f>
        <v/>
      </c>
      <c r="X21" s="18">
        <f>IF(21&gt;=DeliverStart,OtherIncPerUnitMo*'LeaseUp'!X$9*X$10,0)</f>
        <v/>
      </c>
      <c r="Y21" s="18">
        <f>IF(22&gt;=DeliverStart,OtherIncPerUnitMo*'LeaseUp'!Y$9*Y$10,0)</f>
        <v/>
      </c>
      <c r="Z21" s="18">
        <f>IF(23&gt;=DeliverStart,OtherIncPerUnitMo*'LeaseUp'!Z$9*Z$10,0)</f>
        <v/>
      </c>
      <c r="AA21" s="18">
        <f>IF(24&gt;=DeliverStart,OtherIncPerUnitMo*'LeaseUp'!AA$9*AA$10,0)</f>
        <v/>
      </c>
      <c r="AB21" s="18">
        <f>IF(25&gt;=DeliverStart,OtherIncPerUnitMo*'LeaseUp'!AB$9*AB$10,0)</f>
        <v/>
      </c>
      <c r="AC21" s="18">
        <f>IF(26&gt;=DeliverStart,OtherIncPerUnitMo*'LeaseUp'!AC$9*AC$10,0)</f>
        <v/>
      </c>
      <c r="AD21" s="18">
        <f>IF(27&gt;=DeliverStart,OtherIncPerUnitMo*'LeaseUp'!AD$9*AD$10,0)</f>
        <v/>
      </c>
      <c r="AE21" s="18">
        <f>IF(28&gt;=DeliverStart,OtherIncPerUnitMo*'LeaseUp'!AE$9*AE$10,0)</f>
        <v/>
      </c>
      <c r="AF21" s="18">
        <f>IF(29&gt;=DeliverStart,OtherIncPerUnitMo*'LeaseUp'!AF$9*AF$10,0)</f>
        <v/>
      </c>
      <c r="AG21" s="18">
        <f>IF(30&gt;=DeliverStart,OtherIncPerUnitMo*'LeaseUp'!AG$9*AG$10,0)</f>
        <v/>
      </c>
      <c r="AH21" s="18">
        <f>IF(31&gt;=DeliverStart,OtherIncPerUnitMo*'LeaseUp'!AH$9*AH$10,0)</f>
        <v/>
      </c>
      <c r="AI21" s="18">
        <f>IF(32&gt;=DeliverStart,OtherIncPerUnitMo*'LeaseUp'!AI$9*AI$10,0)</f>
        <v/>
      </c>
      <c r="AJ21" s="18">
        <f>IF(33&gt;=DeliverStart,OtherIncPerUnitMo*'LeaseUp'!AJ$9*AJ$10,0)</f>
        <v/>
      </c>
      <c r="AK21" s="18">
        <f>IF(34&gt;=DeliverStart,OtherIncPerUnitMo*'LeaseUp'!AK$9*AK$10,0)</f>
        <v/>
      </c>
      <c r="AL21" s="18">
        <f>IF(35&gt;=DeliverStart,OtherIncPerUnitMo*'LeaseUp'!AL$9*AL$10,0)</f>
        <v/>
      </c>
      <c r="AM21" s="18">
        <f>IF(36&gt;=DeliverStart,OtherIncPerUnitMo*'LeaseUp'!AM$9*AM$10,0)</f>
        <v/>
      </c>
      <c r="AN21" s="18">
        <f>IF(37&gt;=DeliverStart,OtherIncPerUnitMo*'LeaseUp'!AN$9*AN$10,0)</f>
        <v/>
      </c>
      <c r="AO21" s="18">
        <f>IF(38&gt;=DeliverStart,OtherIncPerUnitMo*'LeaseUp'!AO$9*AO$10,0)</f>
        <v/>
      </c>
      <c r="AP21" s="18">
        <f>IF(39&gt;=DeliverStart,OtherIncPerUnitMo*'LeaseUp'!AP$9*AP$10,0)</f>
        <v/>
      </c>
      <c r="AQ21" s="18">
        <f>IF(40&gt;=DeliverStart,OtherIncPerUnitMo*'LeaseUp'!AQ$9*AQ$10,0)</f>
        <v/>
      </c>
      <c r="AR21" s="18">
        <f>IF(41&gt;=DeliverStart,OtherIncPerUnitMo*'LeaseUp'!AR$9*AR$10,0)</f>
        <v/>
      </c>
      <c r="AS21" s="18">
        <f>IF(42&gt;=DeliverStart,OtherIncPerUnitMo*'LeaseUp'!AS$9*AS$10,0)</f>
        <v/>
      </c>
      <c r="AT21" s="18">
        <f>IF(43&gt;=DeliverStart,OtherIncPerUnitMo*'LeaseUp'!AT$9*AT$10,0)</f>
        <v/>
      </c>
      <c r="AU21" s="18">
        <f>IF(44&gt;=DeliverStart,OtherIncPerUnitMo*'LeaseUp'!AU$9*AU$10,0)</f>
        <v/>
      </c>
      <c r="AV21" s="18">
        <f>IF(45&gt;=DeliverStart,OtherIncPerUnitMo*'LeaseUp'!AV$9*AV$10,0)</f>
        <v/>
      </c>
      <c r="AW21" s="18">
        <f>IF(46&gt;=DeliverStart,OtherIncPerUnitMo*'LeaseUp'!AW$9*AW$10,0)</f>
        <v/>
      </c>
      <c r="AX21" s="18">
        <f>IF(47&gt;=DeliverStart,OtherIncPerUnitMo*'LeaseUp'!AX$9*AX$10,0)</f>
        <v/>
      </c>
      <c r="AY21" s="18">
        <f>IF(48&gt;=DeliverStart,OtherIncPerUnitMo*'LeaseUp'!AY$9*AY$10,0)</f>
        <v/>
      </c>
      <c r="AZ21" s="18">
        <f>IF(49&gt;=DeliverStart,OtherIncPerUnitMo*'LeaseUp'!AZ$9*AZ$10,0)</f>
        <v/>
      </c>
      <c r="BA21" s="18">
        <f>IF(50&gt;=DeliverStart,OtherIncPerUnitMo*'LeaseUp'!BA$9*BA$10,0)</f>
        <v/>
      </c>
      <c r="BB21" s="18">
        <f>IF(51&gt;=DeliverStart,OtherIncPerUnitMo*'LeaseUp'!BB$9*BB$10,0)</f>
        <v/>
      </c>
      <c r="BC21" s="18">
        <f>IF(52&gt;=DeliverStart,OtherIncPerUnitMo*'LeaseUp'!BC$9*BC$10,0)</f>
        <v/>
      </c>
      <c r="BD21" s="18">
        <f>IF(53&gt;=DeliverStart,OtherIncPerUnitMo*'LeaseUp'!BD$9*BD$10,0)</f>
        <v/>
      </c>
      <c r="BE21" s="18">
        <f>IF(54&gt;=DeliverStart,OtherIncPerUnitMo*'LeaseUp'!BE$9*BE$10,0)</f>
        <v/>
      </c>
      <c r="BF21" s="18">
        <f>IF(55&gt;=DeliverStart,OtherIncPerUnitMo*'LeaseUp'!BF$9*BF$10,0)</f>
        <v/>
      </c>
      <c r="BG21" s="18">
        <f>IF(56&gt;=DeliverStart,OtherIncPerUnitMo*'LeaseUp'!BG$9*BG$10,0)</f>
        <v/>
      </c>
      <c r="BH21" s="18">
        <f>IF(57&gt;=DeliverStart,OtherIncPerUnitMo*'LeaseUp'!BH$9*BH$10,0)</f>
        <v/>
      </c>
      <c r="BI21" s="18">
        <f>IF(58&gt;=DeliverStart,OtherIncPerUnitMo*'LeaseUp'!BI$9*BI$10,0)</f>
        <v/>
      </c>
      <c r="BJ21" s="18">
        <f>IF(59&gt;=DeliverStart,OtherIncPerUnitMo*'LeaseUp'!BJ$9*BJ$10,0)</f>
        <v/>
      </c>
      <c r="BK21" s="18">
        <f>IF(60&gt;=DeliverStart,OtherIncPerUnitMo*'LeaseUp'!BK$9*BK$10,0)</f>
        <v/>
      </c>
      <c r="BL21" s="18">
        <f>IF(61&gt;=DeliverStart,OtherIncPerUnitMo*'LeaseUp'!BL$9*BL$10,0)</f>
        <v/>
      </c>
      <c r="BM21" s="18">
        <f>IF(62&gt;=DeliverStart,OtherIncPerUnitMo*'LeaseUp'!BM$9*BM$10,0)</f>
        <v/>
      </c>
      <c r="BN21" s="18">
        <f>IF(63&gt;=DeliverStart,OtherIncPerUnitMo*'LeaseUp'!BN$9*BN$10,0)</f>
        <v/>
      </c>
      <c r="BO21" s="18">
        <f>IF(64&gt;=DeliverStart,OtherIncPerUnitMo*'LeaseUp'!BO$9*BO$10,0)</f>
        <v/>
      </c>
      <c r="BP21" s="18">
        <f>IF(65&gt;=DeliverStart,OtherIncPerUnitMo*'LeaseUp'!BP$9*BP$10,0)</f>
        <v/>
      </c>
      <c r="BQ21" s="18">
        <f>IF(66&gt;=DeliverStart,OtherIncPerUnitMo*'LeaseUp'!BQ$9*BQ$10,0)</f>
        <v/>
      </c>
      <c r="BR21" s="18">
        <f>IF(67&gt;=DeliverStart,OtherIncPerUnitMo*'LeaseUp'!BR$9*BR$10,0)</f>
        <v/>
      </c>
      <c r="BS21" s="18">
        <f>IF(68&gt;=DeliverStart,OtherIncPerUnitMo*'LeaseUp'!BS$9*BS$10,0)</f>
        <v/>
      </c>
      <c r="BT21" s="18">
        <f>IF(69&gt;=DeliverStart,OtherIncPerUnitMo*'LeaseUp'!BT$9*BT$10,0)</f>
        <v/>
      </c>
      <c r="BU21" s="18">
        <f>IF(70&gt;=DeliverStart,OtherIncPerUnitMo*'LeaseUp'!BU$9*BU$10,0)</f>
        <v/>
      </c>
      <c r="BV21" s="18">
        <f>IF(71&gt;=DeliverStart,OtherIncPerUnitMo*'LeaseUp'!BV$9*BV$10,0)</f>
        <v/>
      </c>
      <c r="BW21" s="18">
        <f>IF(72&gt;=DeliverStart,OtherIncPerUnitMo*'LeaseUp'!BW$9*BW$10,0)</f>
        <v/>
      </c>
      <c r="BX21" s="18">
        <f>IF(73&gt;=DeliverStart,OtherIncPerUnitMo*'LeaseUp'!BX$9*BX$10,0)</f>
        <v/>
      </c>
      <c r="BY21" s="18">
        <f>IF(74&gt;=DeliverStart,OtherIncPerUnitMo*'LeaseUp'!BY$9*BY$10,0)</f>
        <v/>
      </c>
      <c r="BZ21" s="18">
        <f>IF(75&gt;=DeliverStart,OtherIncPerUnitMo*'LeaseUp'!BZ$9*BZ$10,0)</f>
        <v/>
      </c>
      <c r="CA21" s="18">
        <f>IF(76&gt;=DeliverStart,OtherIncPerUnitMo*'LeaseUp'!CA$9*CA$10,0)</f>
        <v/>
      </c>
      <c r="CB21" s="18">
        <f>IF(77&gt;=DeliverStart,OtherIncPerUnitMo*'LeaseUp'!CB$9*CB$10,0)</f>
        <v/>
      </c>
      <c r="CC21" s="18">
        <f>IF(78&gt;=DeliverStart,OtherIncPerUnitMo*'LeaseUp'!CC$9*CC$10,0)</f>
        <v/>
      </c>
      <c r="CD21" s="18">
        <f>IF(79&gt;=DeliverStart,OtherIncPerUnitMo*'LeaseUp'!CD$9*CD$10,0)</f>
        <v/>
      </c>
      <c r="CE21" s="18">
        <f>IF(80&gt;=DeliverStart,OtherIncPerUnitMo*'LeaseUp'!CE$9*CE$10,0)</f>
        <v/>
      </c>
      <c r="CF21" s="18">
        <f>IF(81&gt;=DeliverStart,OtherIncPerUnitMo*'LeaseUp'!CF$9*CF$10,0)</f>
        <v/>
      </c>
      <c r="CG21" s="18">
        <f>IF(82&gt;=DeliverStart,OtherIncPerUnitMo*'LeaseUp'!CG$9*CG$10,0)</f>
        <v/>
      </c>
      <c r="CH21" s="18">
        <f>IF(83&gt;=DeliverStart,OtherIncPerUnitMo*'LeaseUp'!CH$9*CH$10,0)</f>
        <v/>
      </c>
      <c r="CI21" s="18">
        <f>IF(84&gt;=DeliverStart,OtherIncPerUnitMo*'LeaseUp'!CI$9*CI$10,0)</f>
        <v/>
      </c>
      <c r="CJ21" s="18">
        <f>IF(85&gt;=DeliverStart,OtherIncPerUnitMo*'LeaseUp'!CJ$9*CJ$10,0)</f>
        <v/>
      </c>
      <c r="CK21" s="18">
        <f>IF(86&gt;=DeliverStart,OtherIncPerUnitMo*'LeaseUp'!CK$9*CK$10,0)</f>
        <v/>
      </c>
      <c r="CL21" s="18">
        <f>IF(87&gt;=DeliverStart,OtherIncPerUnitMo*'LeaseUp'!CL$9*CL$10,0)</f>
        <v/>
      </c>
      <c r="CM21" s="18">
        <f>IF(88&gt;=DeliverStart,OtherIncPerUnitMo*'LeaseUp'!CM$9*CM$10,0)</f>
        <v/>
      </c>
      <c r="CN21" s="18">
        <f>IF(89&gt;=DeliverStart,OtherIncPerUnitMo*'LeaseUp'!CN$9*CN$10,0)</f>
        <v/>
      </c>
      <c r="CO21" s="18">
        <f>IF(90&gt;=DeliverStart,OtherIncPerUnitMo*'LeaseUp'!CO$9*CO$10,0)</f>
        <v/>
      </c>
      <c r="CP21" s="18">
        <f>IF(91&gt;=DeliverStart,OtherIncPerUnitMo*'LeaseUp'!CP$9*CP$10,0)</f>
        <v/>
      </c>
      <c r="CQ21" s="18">
        <f>IF(92&gt;=DeliverStart,OtherIncPerUnitMo*'LeaseUp'!CQ$9*CQ$10,0)</f>
        <v/>
      </c>
      <c r="CR21" s="18">
        <f>IF(93&gt;=DeliverStart,OtherIncPerUnitMo*'LeaseUp'!CR$9*CR$10,0)</f>
        <v/>
      </c>
      <c r="CS21" s="18">
        <f>IF(94&gt;=DeliverStart,OtherIncPerUnitMo*'LeaseUp'!CS$9*CS$10,0)</f>
        <v/>
      </c>
      <c r="CT21" s="18">
        <f>IF(95&gt;=DeliverStart,OtherIncPerUnitMo*'LeaseUp'!CT$9*CT$10,0)</f>
        <v/>
      </c>
      <c r="CU21" s="18">
        <f>IF(96&gt;=DeliverStart,OtherIncPerUnitMo*'LeaseUp'!CU$9*CU$10,0)</f>
        <v/>
      </c>
      <c r="CV21" s="18">
        <f>IF(97&gt;=DeliverStart,OtherIncPerUnitMo*'LeaseUp'!CV$9*CV$10,0)</f>
        <v/>
      </c>
      <c r="CW21" s="18">
        <f>IF(98&gt;=DeliverStart,OtherIncPerUnitMo*'LeaseUp'!CW$9*CW$10,0)</f>
        <v/>
      </c>
      <c r="CX21" s="18">
        <f>IF(99&gt;=DeliverStart,OtherIncPerUnitMo*'LeaseUp'!CX$9*CX$10,0)</f>
        <v/>
      </c>
      <c r="CY21" s="18">
        <f>IF(100&gt;=DeliverStart,OtherIncPerUnitMo*'LeaseUp'!CY$9*CY$10,0)</f>
        <v/>
      </c>
      <c r="CZ21" s="18">
        <f>IF(101&gt;=DeliverStart,OtherIncPerUnitMo*'LeaseUp'!CZ$9*CZ$10,0)</f>
        <v/>
      </c>
      <c r="DA21" s="18">
        <f>IF(102&gt;=DeliverStart,OtherIncPerUnitMo*'LeaseUp'!DA$9*DA$10,0)</f>
        <v/>
      </c>
      <c r="DB21" s="18">
        <f>IF(103&gt;=DeliverStart,OtherIncPerUnitMo*'LeaseUp'!DB$9*DB$10,0)</f>
        <v/>
      </c>
      <c r="DC21" s="18">
        <f>IF(104&gt;=DeliverStart,OtherIncPerUnitMo*'LeaseUp'!DC$9*DC$10,0)</f>
        <v/>
      </c>
      <c r="DD21" s="18">
        <f>IF(105&gt;=DeliverStart,OtherIncPerUnitMo*'LeaseUp'!DD$9*DD$10,0)</f>
        <v/>
      </c>
      <c r="DE21" s="18">
        <f>IF(106&gt;=DeliverStart,OtherIncPerUnitMo*'LeaseUp'!DE$9*DE$10,0)</f>
        <v/>
      </c>
      <c r="DF21" s="18">
        <f>IF(107&gt;=DeliverStart,OtherIncPerUnitMo*'LeaseUp'!DF$9*DF$10,0)</f>
        <v/>
      </c>
      <c r="DG21" s="18">
        <f>IF(108&gt;=DeliverStart,OtherIncPerUnitMo*'LeaseUp'!DG$9*DG$10,0)</f>
        <v/>
      </c>
      <c r="DH21" s="18">
        <f>IF(109&gt;=DeliverStart,OtherIncPerUnitMo*'LeaseUp'!DH$9*DH$10,0)</f>
        <v/>
      </c>
      <c r="DI21" s="18">
        <f>IF(110&gt;=DeliverStart,OtherIncPerUnitMo*'LeaseUp'!DI$9*DI$10,0)</f>
        <v/>
      </c>
      <c r="DJ21" s="18">
        <f>IF(111&gt;=DeliverStart,OtherIncPerUnitMo*'LeaseUp'!DJ$9*DJ$10,0)</f>
        <v/>
      </c>
      <c r="DK21" s="18">
        <f>IF(112&gt;=DeliverStart,OtherIncPerUnitMo*'LeaseUp'!DK$9*DK$10,0)</f>
        <v/>
      </c>
      <c r="DL21" s="18">
        <f>IF(113&gt;=DeliverStart,OtherIncPerUnitMo*'LeaseUp'!DL$9*DL$10,0)</f>
        <v/>
      </c>
      <c r="DM21" s="18">
        <f>IF(114&gt;=DeliverStart,OtherIncPerUnitMo*'LeaseUp'!DM$9*DM$10,0)</f>
        <v/>
      </c>
      <c r="DN21" s="18">
        <f>IF(115&gt;=DeliverStart,OtherIncPerUnitMo*'LeaseUp'!DN$9*DN$10,0)</f>
        <v/>
      </c>
      <c r="DO21" s="18">
        <f>IF(116&gt;=DeliverStart,OtherIncPerUnitMo*'LeaseUp'!DO$9*DO$10,0)</f>
        <v/>
      </c>
      <c r="DP21" s="18">
        <f>IF(117&gt;=DeliverStart,OtherIncPerUnitMo*'LeaseUp'!DP$9*DP$10,0)</f>
        <v/>
      </c>
      <c r="DQ21" s="18">
        <f>IF(118&gt;=DeliverStart,OtherIncPerUnitMo*'LeaseUp'!DQ$9*DQ$10,0)</f>
        <v/>
      </c>
      <c r="DR21" s="18">
        <f>IF(119&gt;=DeliverStart,OtherIncPerUnitMo*'LeaseUp'!DR$9*DR$10,0)</f>
        <v/>
      </c>
      <c r="DS21" s="18">
        <f>IF(120&gt;=DeliverStart,OtherIncPerUnitMo*'LeaseUp'!DS$9*DS$10,0)</f>
        <v/>
      </c>
      <c r="DT21" s="18">
        <f>IF(121&gt;=DeliverStart,OtherIncPerUnitMo*'LeaseUp'!DT$9*DT$10,0)</f>
        <v/>
      </c>
      <c r="DU21" s="18">
        <f>IF(122&gt;=DeliverStart,OtherIncPerUnitMo*'LeaseUp'!DU$9*DU$10,0)</f>
        <v/>
      </c>
      <c r="DV21" s="18">
        <f>IF(123&gt;=DeliverStart,OtherIncPerUnitMo*'LeaseUp'!DV$9*DV$10,0)</f>
        <v/>
      </c>
      <c r="DW21" s="18">
        <f>IF(124&gt;=DeliverStart,OtherIncPerUnitMo*'LeaseUp'!DW$9*DW$10,0)</f>
        <v/>
      </c>
      <c r="DX21" s="18">
        <f>IF(125&gt;=DeliverStart,OtherIncPerUnitMo*'LeaseUp'!DX$9*DX$10,0)</f>
        <v/>
      </c>
      <c r="DY21" s="18">
        <f>IF(126&gt;=DeliverStart,OtherIncPerUnitMo*'LeaseUp'!DY$9*DY$10,0)</f>
        <v/>
      </c>
      <c r="DZ21" s="18">
        <f>IF(127&gt;=DeliverStart,OtherIncPerUnitMo*'LeaseUp'!DZ$9*DZ$10,0)</f>
        <v/>
      </c>
      <c r="EA21" s="18">
        <f>IF(128&gt;=DeliverStart,OtherIncPerUnitMo*'LeaseUp'!EA$9*EA$10,0)</f>
        <v/>
      </c>
      <c r="EB21" s="18">
        <f>IF(129&gt;=DeliverStart,OtherIncPerUnitMo*'LeaseUp'!EB$9*EB$10,0)</f>
        <v/>
      </c>
      <c r="EC21" s="18">
        <f>IF(130&gt;=DeliverStart,OtherIncPerUnitMo*'LeaseUp'!EC$9*EC$10,0)</f>
        <v/>
      </c>
      <c r="ED21" s="18">
        <f>IF(131&gt;=DeliverStart,OtherIncPerUnitMo*'LeaseUp'!ED$9*ED$10,0)</f>
        <v/>
      </c>
      <c r="EE21" s="18">
        <f>IF(132&gt;=DeliverStart,OtherIncPerUnitMo*'LeaseUp'!EE$9*EE$10,0)</f>
        <v/>
      </c>
      <c r="EF21" s="18">
        <f>IF(133&gt;=DeliverStart,OtherIncPerUnitMo*'LeaseUp'!EF$9*EF$10,0)</f>
        <v/>
      </c>
      <c r="EG21" s="18">
        <f>IF(134&gt;=DeliverStart,OtherIncPerUnitMo*'LeaseUp'!EG$9*EG$10,0)</f>
        <v/>
      </c>
      <c r="EH21" s="18">
        <f>IF(135&gt;=DeliverStart,OtherIncPerUnitMo*'LeaseUp'!EH$9*EH$10,0)</f>
        <v/>
      </c>
      <c r="EI21" s="18">
        <f>IF(136&gt;=DeliverStart,OtherIncPerUnitMo*'LeaseUp'!EI$9*EI$10,0)</f>
        <v/>
      </c>
      <c r="EJ21" s="18">
        <f>IF(137&gt;=DeliverStart,OtherIncPerUnitMo*'LeaseUp'!EJ$9*EJ$10,0)</f>
        <v/>
      </c>
      <c r="EK21" s="18">
        <f>IF(138&gt;=DeliverStart,OtherIncPerUnitMo*'LeaseUp'!EK$9*EK$10,0)</f>
        <v/>
      </c>
      <c r="EL21" s="18">
        <f>IF(139&gt;=DeliverStart,OtherIncPerUnitMo*'LeaseUp'!EL$9*EL$10,0)</f>
        <v/>
      </c>
      <c r="EM21" s="18">
        <f>IF(140&gt;=DeliverStart,OtherIncPerUnitMo*'LeaseUp'!EM$9*EM$10,0)</f>
        <v/>
      </c>
      <c r="EN21" s="18">
        <f>IF(141&gt;=DeliverStart,OtherIncPerUnitMo*'LeaseUp'!EN$9*EN$10,0)</f>
        <v/>
      </c>
      <c r="EO21" s="18">
        <f>IF(142&gt;=DeliverStart,OtherIncPerUnitMo*'LeaseUp'!EO$9*EO$10,0)</f>
        <v/>
      </c>
      <c r="EP21" s="18">
        <f>IF(143&gt;=DeliverStart,OtherIncPerUnitMo*'LeaseUp'!EP$9*EP$10,0)</f>
        <v/>
      </c>
      <c r="EQ21" s="18">
        <f>IF(144&gt;=DeliverStart,OtherIncPerUnitMo*'LeaseUp'!EQ$9*EQ$10,0)</f>
        <v/>
      </c>
      <c r="ER21" s="18">
        <f>IF(145&gt;=DeliverStart,OtherIncPerUnitMo*'LeaseUp'!ER$9*ER$10,0)</f>
        <v/>
      </c>
      <c r="ES21" s="18">
        <f>IF(146&gt;=DeliverStart,OtherIncPerUnitMo*'LeaseUp'!ES$9*ES$10,0)</f>
        <v/>
      </c>
      <c r="ET21" s="18">
        <f>IF(147&gt;=DeliverStart,OtherIncPerUnitMo*'LeaseUp'!ET$9*ET$10,0)</f>
        <v/>
      </c>
      <c r="EU21" s="18">
        <f>IF(148&gt;=DeliverStart,OtherIncPerUnitMo*'LeaseUp'!EU$9*EU$10,0)</f>
        <v/>
      </c>
      <c r="EV21" s="18">
        <f>IF(149&gt;=DeliverStart,OtherIncPerUnitMo*'LeaseUp'!EV$9*EV$10,0)</f>
        <v/>
      </c>
      <c r="EW21" s="18">
        <f>IF(150&gt;=DeliverStart,OtherIncPerUnitMo*'LeaseUp'!EW$9*EW$10,0)</f>
        <v/>
      </c>
      <c r="EX21" s="18">
        <f>IF(151&gt;=DeliverStart,OtherIncPerUnitMo*'LeaseUp'!EX$9*EX$10,0)</f>
        <v/>
      </c>
      <c r="EY21" s="18">
        <f>IF(152&gt;=DeliverStart,OtherIncPerUnitMo*'LeaseUp'!EY$9*EY$10,0)</f>
        <v/>
      </c>
      <c r="EZ21" s="18">
        <f>IF(153&gt;=DeliverStart,OtherIncPerUnitMo*'LeaseUp'!EZ$9*EZ$10,0)</f>
        <v/>
      </c>
      <c r="FA21" s="18">
        <f>IF(154&gt;=DeliverStart,OtherIncPerUnitMo*'LeaseUp'!FA$9*FA$10,0)</f>
        <v/>
      </c>
      <c r="FB21" s="18">
        <f>IF(155&gt;=DeliverStart,OtherIncPerUnitMo*'LeaseUp'!FB$9*FB$10,0)</f>
        <v/>
      </c>
      <c r="FC21" s="18">
        <f>IF(156&gt;=DeliverStart,OtherIncPerUnitMo*'LeaseUp'!FC$9*FC$10,0)</f>
        <v/>
      </c>
      <c r="FD21" s="18">
        <f>IF(157&gt;=DeliverStart,OtherIncPerUnitMo*'LeaseUp'!FD$9*FD$10,0)</f>
        <v/>
      </c>
      <c r="FE21" s="18">
        <f>IF(158&gt;=DeliverStart,OtherIncPerUnitMo*'LeaseUp'!FE$9*FE$10,0)</f>
        <v/>
      </c>
      <c r="FF21" s="18">
        <f>IF(159&gt;=DeliverStart,OtherIncPerUnitMo*'LeaseUp'!FF$9*FF$10,0)</f>
        <v/>
      </c>
      <c r="FG21" s="18">
        <f>IF(160&gt;=DeliverStart,OtherIncPerUnitMo*'LeaseUp'!FG$9*FG$10,0)</f>
        <v/>
      </c>
      <c r="FH21" s="18">
        <f>IF(161&gt;=DeliverStart,OtherIncPerUnitMo*'LeaseUp'!FH$9*FH$10,0)</f>
        <v/>
      </c>
      <c r="FI21" s="18">
        <f>IF(162&gt;=DeliverStart,OtherIncPerUnitMo*'LeaseUp'!FI$9*FI$10,0)</f>
        <v/>
      </c>
      <c r="FJ21" s="18">
        <f>IF(163&gt;=DeliverStart,OtherIncPerUnitMo*'LeaseUp'!FJ$9*FJ$10,0)</f>
        <v/>
      </c>
      <c r="FK21" s="18">
        <f>IF(164&gt;=DeliverStart,OtherIncPerUnitMo*'LeaseUp'!FK$9*FK$10,0)</f>
        <v/>
      </c>
      <c r="FL21" s="18">
        <f>IF(165&gt;=DeliverStart,OtherIncPerUnitMo*'LeaseUp'!FL$9*FL$10,0)</f>
        <v/>
      </c>
      <c r="FM21" s="18">
        <f>IF(166&gt;=DeliverStart,OtherIncPerUnitMo*'LeaseUp'!FM$9*FM$10,0)</f>
        <v/>
      </c>
      <c r="FN21" s="18">
        <f>IF(167&gt;=DeliverStart,OtherIncPerUnitMo*'LeaseUp'!FN$9*FN$10,0)</f>
        <v/>
      </c>
      <c r="FO21" s="18">
        <f>IF(168&gt;=DeliverStart,OtherIncPerUnitMo*'LeaseUp'!FO$9*FO$10,0)</f>
        <v/>
      </c>
      <c r="FP21" s="18">
        <f>IF(169&gt;=DeliverStart,OtherIncPerUnitMo*'LeaseUp'!FP$9*FP$10,0)</f>
        <v/>
      </c>
      <c r="FQ21" s="18">
        <f>IF(170&gt;=DeliverStart,OtherIncPerUnitMo*'LeaseUp'!FQ$9*FQ$10,0)</f>
        <v/>
      </c>
      <c r="FR21" s="18">
        <f>IF(171&gt;=DeliverStart,OtherIncPerUnitMo*'LeaseUp'!FR$9*FR$10,0)</f>
        <v/>
      </c>
      <c r="FS21" s="18">
        <f>IF(172&gt;=DeliverStart,OtherIncPerUnitMo*'LeaseUp'!FS$9*FS$10,0)</f>
        <v/>
      </c>
      <c r="FT21" s="18">
        <f>IF(173&gt;=DeliverStart,OtherIncPerUnitMo*'LeaseUp'!FT$9*FT$10,0)</f>
        <v/>
      </c>
      <c r="FU21" s="18">
        <f>IF(174&gt;=DeliverStart,OtherIncPerUnitMo*'LeaseUp'!FU$9*FU$10,0)</f>
        <v/>
      </c>
      <c r="FV21" s="18">
        <f>IF(175&gt;=DeliverStart,OtherIncPerUnitMo*'LeaseUp'!FV$9*FV$10,0)</f>
        <v/>
      </c>
      <c r="FW21" s="18">
        <f>IF(176&gt;=DeliverStart,OtherIncPerUnitMo*'LeaseUp'!FW$9*FW$10,0)</f>
        <v/>
      </c>
      <c r="FX21" s="18">
        <f>IF(177&gt;=DeliverStart,OtherIncPerUnitMo*'LeaseUp'!FX$9*FX$10,0)</f>
        <v/>
      </c>
      <c r="FY21" s="18">
        <f>IF(178&gt;=DeliverStart,OtherIncPerUnitMo*'LeaseUp'!FY$9*FY$10,0)</f>
        <v/>
      </c>
      <c r="FZ21" s="18">
        <f>IF(179&gt;=DeliverStart,OtherIncPerUnitMo*'LeaseUp'!FZ$9*FZ$10,0)</f>
        <v/>
      </c>
      <c r="GA21" s="18">
        <f>IF(180&gt;=DeliverStart,OtherIncPerUnitMo*'LeaseUp'!GA$9*GA$10,0)</f>
        <v/>
      </c>
      <c r="GB21" s="18">
        <f>IF(181&gt;=DeliverStart,OtherIncPerUnitMo*'LeaseUp'!GB$9*GB$10,0)</f>
        <v/>
      </c>
      <c r="GC21" s="18">
        <f>IF(182&gt;=DeliverStart,OtherIncPerUnitMo*'LeaseUp'!GC$9*GC$10,0)</f>
        <v/>
      </c>
      <c r="GD21" s="18">
        <f>IF(183&gt;=DeliverStart,OtherIncPerUnitMo*'LeaseUp'!GD$9*GD$10,0)</f>
        <v/>
      </c>
      <c r="GE21" s="18">
        <f>IF(184&gt;=DeliverStart,OtherIncPerUnitMo*'LeaseUp'!GE$9*GE$10,0)</f>
        <v/>
      </c>
      <c r="GF21" s="18">
        <f>IF(185&gt;=DeliverStart,OtherIncPerUnitMo*'LeaseUp'!GF$9*GF$10,0)</f>
        <v/>
      </c>
      <c r="GG21" s="18">
        <f>IF(186&gt;=DeliverStart,OtherIncPerUnitMo*'LeaseUp'!GG$9*GG$10,0)</f>
        <v/>
      </c>
      <c r="GH21" s="18">
        <f>IF(187&gt;=DeliverStart,OtherIncPerUnitMo*'LeaseUp'!GH$9*GH$10,0)</f>
        <v/>
      </c>
      <c r="GI21" s="18">
        <f>IF(188&gt;=DeliverStart,OtherIncPerUnitMo*'LeaseUp'!GI$9*GI$10,0)</f>
        <v/>
      </c>
      <c r="GJ21" s="18">
        <f>IF(189&gt;=DeliverStart,OtherIncPerUnitMo*'LeaseUp'!GJ$9*GJ$10,0)</f>
        <v/>
      </c>
      <c r="GK21" s="18">
        <f>IF(190&gt;=DeliverStart,OtherIncPerUnitMo*'LeaseUp'!GK$9*GK$10,0)</f>
        <v/>
      </c>
      <c r="GL21" s="18">
        <f>IF(191&gt;=DeliverStart,OtherIncPerUnitMo*'LeaseUp'!GL$9*GL$10,0)</f>
        <v/>
      </c>
      <c r="GM21" s="18">
        <f>IF(192&gt;=DeliverStart,OtherIncPerUnitMo*'LeaseUp'!GM$9*GM$10,0)</f>
        <v/>
      </c>
      <c r="GN21" s="18">
        <f>IF(193&gt;=DeliverStart,OtherIncPerUnitMo*'LeaseUp'!GN$9*GN$10,0)</f>
        <v/>
      </c>
      <c r="GO21" s="18">
        <f>IF(194&gt;=DeliverStart,OtherIncPerUnitMo*'LeaseUp'!GO$9*GO$10,0)</f>
        <v/>
      </c>
      <c r="GP21" s="18">
        <f>IF(195&gt;=DeliverStart,OtherIncPerUnitMo*'LeaseUp'!GP$9*GP$10,0)</f>
        <v/>
      </c>
      <c r="GQ21" s="18">
        <f>IF(196&gt;=DeliverStart,OtherIncPerUnitMo*'LeaseUp'!GQ$9*GQ$10,0)</f>
        <v/>
      </c>
      <c r="GR21" s="18">
        <f>IF(197&gt;=DeliverStart,OtherIncPerUnitMo*'LeaseUp'!GR$9*GR$10,0)</f>
        <v/>
      </c>
      <c r="GS21" s="18">
        <f>IF(198&gt;=DeliverStart,OtherIncPerUnitMo*'LeaseUp'!GS$9*GS$10,0)</f>
        <v/>
      </c>
      <c r="GT21" s="18">
        <f>IF(199&gt;=DeliverStart,OtherIncPerUnitMo*'LeaseUp'!GT$9*GT$10,0)</f>
        <v/>
      </c>
      <c r="GU21" s="18">
        <f>IF(200&gt;=DeliverStart,OtherIncPerUnitMo*'LeaseUp'!GU$9*GU$10,0)</f>
        <v/>
      </c>
      <c r="GV21" s="18">
        <f>IF(201&gt;=DeliverStart,OtherIncPerUnitMo*'LeaseUp'!GV$9*GV$10,0)</f>
        <v/>
      </c>
      <c r="GW21" s="18">
        <f>IF(202&gt;=DeliverStart,OtherIncPerUnitMo*'LeaseUp'!GW$9*GW$10,0)</f>
        <v/>
      </c>
      <c r="GX21" s="18">
        <f>IF(203&gt;=DeliverStart,OtherIncPerUnitMo*'LeaseUp'!GX$9*GX$10,0)</f>
        <v/>
      </c>
      <c r="GY21" s="18">
        <f>IF(204&gt;=DeliverStart,OtherIncPerUnitMo*'LeaseUp'!GY$9*GY$10,0)</f>
        <v/>
      </c>
      <c r="GZ21" s="18">
        <f>IF(205&gt;=DeliverStart,OtherIncPerUnitMo*'LeaseUp'!GZ$9*GZ$10,0)</f>
        <v/>
      </c>
      <c r="HA21" s="18">
        <f>IF(206&gt;=DeliverStart,OtherIncPerUnitMo*'LeaseUp'!HA$9*HA$10,0)</f>
        <v/>
      </c>
      <c r="HB21" s="18">
        <f>IF(207&gt;=DeliverStart,OtherIncPerUnitMo*'LeaseUp'!HB$9*HB$10,0)</f>
        <v/>
      </c>
      <c r="HC21" s="18">
        <f>IF(208&gt;=DeliverStart,OtherIncPerUnitMo*'LeaseUp'!HC$9*HC$10,0)</f>
        <v/>
      </c>
      <c r="HD21" s="18">
        <f>IF(209&gt;=DeliverStart,OtherIncPerUnitMo*'LeaseUp'!HD$9*HD$10,0)</f>
        <v/>
      </c>
      <c r="HE21" s="18">
        <f>IF(210&gt;=DeliverStart,OtherIncPerUnitMo*'LeaseUp'!HE$9*HE$10,0)</f>
        <v/>
      </c>
      <c r="HF21" s="18">
        <f>IF(211&gt;=DeliverStart,OtherIncPerUnitMo*'LeaseUp'!HF$9*HF$10,0)</f>
        <v/>
      </c>
      <c r="HG21" s="18">
        <f>IF(212&gt;=DeliverStart,OtherIncPerUnitMo*'LeaseUp'!HG$9*HG$10,0)</f>
        <v/>
      </c>
      <c r="HH21" s="18">
        <f>IF(213&gt;=DeliverStart,OtherIncPerUnitMo*'LeaseUp'!HH$9*HH$10,0)</f>
        <v/>
      </c>
      <c r="HI21" s="18">
        <f>IF(214&gt;=DeliverStart,OtherIncPerUnitMo*'LeaseUp'!HI$9*HI$10,0)</f>
        <v/>
      </c>
      <c r="HJ21" s="18">
        <f>IF(215&gt;=DeliverStart,OtherIncPerUnitMo*'LeaseUp'!HJ$9*HJ$10,0)</f>
        <v/>
      </c>
      <c r="HK21" s="18">
        <f>IF(216&gt;=DeliverStart,OtherIncPerUnitMo*'LeaseUp'!HK$9*HK$10,0)</f>
        <v/>
      </c>
      <c r="HL21" s="18">
        <f>IF(217&gt;=DeliverStart,OtherIncPerUnitMo*'LeaseUp'!HL$9*HL$10,0)</f>
        <v/>
      </c>
      <c r="HM21" s="18">
        <f>IF(218&gt;=DeliverStart,OtherIncPerUnitMo*'LeaseUp'!HM$9*HM$10,0)</f>
        <v/>
      </c>
      <c r="HN21" s="18">
        <f>IF(219&gt;=DeliverStart,OtherIncPerUnitMo*'LeaseUp'!HN$9*HN$10,0)</f>
        <v/>
      </c>
      <c r="HO21" s="18">
        <f>IF(220&gt;=DeliverStart,OtherIncPerUnitMo*'LeaseUp'!HO$9*HO$10,0)</f>
        <v/>
      </c>
      <c r="HP21" s="18">
        <f>IF(221&gt;=DeliverStart,OtherIncPerUnitMo*'LeaseUp'!HP$9*HP$10,0)</f>
        <v/>
      </c>
      <c r="HQ21" s="18">
        <f>IF(222&gt;=DeliverStart,OtherIncPerUnitMo*'LeaseUp'!HQ$9*HQ$10,0)</f>
        <v/>
      </c>
      <c r="HR21" s="18">
        <f>IF(223&gt;=DeliverStart,OtherIncPerUnitMo*'LeaseUp'!HR$9*HR$10,0)</f>
        <v/>
      </c>
      <c r="HS21" s="18">
        <f>IF(224&gt;=DeliverStart,OtherIncPerUnitMo*'LeaseUp'!HS$9*HS$10,0)</f>
        <v/>
      </c>
      <c r="HT21" s="18">
        <f>IF(225&gt;=DeliverStart,OtherIncPerUnitMo*'LeaseUp'!HT$9*HT$10,0)</f>
        <v/>
      </c>
      <c r="HU21" s="18">
        <f>IF(226&gt;=DeliverStart,OtherIncPerUnitMo*'LeaseUp'!HU$9*HU$10,0)</f>
        <v/>
      </c>
      <c r="HV21" s="18">
        <f>IF(227&gt;=DeliverStart,OtherIncPerUnitMo*'LeaseUp'!HV$9*HV$10,0)</f>
        <v/>
      </c>
      <c r="HW21" s="18">
        <f>IF(228&gt;=DeliverStart,OtherIncPerUnitMo*'LeaseUp'!HW$9*HW$10,0)</f>
        <v/>
      </c>
      <c r="HX21" s="18">
        <f>IF(229&gt;=DeliverStart,OtherIncPerUnitMo*'LeaseUp'!HX$9*HX$10,0)</f>
        <v/>
      </c>
      <c r="HY21" s="18">
        <f>IF(230&gt;=DeliverStart,OtherIncPerUnitMo*'LeaseUp'!HY$9*HY$10,0)</f>
        <v/>
      </c>
      <c r="HZ21" s="18">
        <f>IF(231&gt;=DeliverStart,OtherIncPerUnitMo*'LeaseUp'!HZ$9*HZ$10,0)</f>
        <v/>
      </c>
      <c r="IA21" s="18">
        <f>IF(232&gt;=DeliverStart,OtherIncPerUnitMo*'LeaseUp'!IA$9*IA$10,0)</f>
        <v/>
      </c>
      <c r="IB21" s="18">
        <f>IF(233&gt;=DeliverStart,OtherIncPerUnitMo*'LeaseUp'!IB$9*IB$10,0)</f>
        <v/>
      </c>
      <c r="IC21" s="18">
        <f>IF(234&gt;=DeliverStart,OtherIncPerUnitMo*'LeaseUp'!IC$9*IC$10,0)</f>
        <v/>
      </c>
      <c r="ID21" s="18">
        <f>IF(235&gt;=DeliverStart,OtherIncPerUnitMo*'LeaseUp'!ID$9*ID$10,0)</f>
        <v/>
      </c>
      <c r="IE21" s="18">
        <f>IF(236&gt;=DeliverStart,OtherIncPerUnitMo*'LeaseUp'!IE$9*IE$10,0)</f>
        <v/>
      </c>
      <c r="IF21" s="18">
        <f>IF(237&gt;=DeliverStart,OtherIncPerUnitMo*'LeaseUp'!IF$9*IF$10,0)</f>
        <v/>
      </c>
      <c r="IG21" s="18">
        <f>IF(238&gt;=DeliverStart,OtherIncPerUnitMo*'LeaseUp'!IG$9*IG$10,0)</f>
        <v/>
      </c>
      <c r="IH21" s="18">
        <f>IF(239&gt;=DeliverStart,OtherIncPerUnitMo*'LeaseUp'!IH$9*IH$10,0)</f>
        <v/>
      </c>
      <c r="II21" s="18">
        <f>IF(240&gt;=DeliverStart,OtherIncPerUnitMo*'LeaseUp'!II$9*II$10,0)</f>
        <v/>
      </c>
      <c r="IJ21" s="18">
        <f>IF(241&gt;=DeliverStart,OtherIncPerUnitMo*'LeaseUp'!IJ$9*IJ$10,0)</f>
        <v/>
      </c>
      <c r="IK21" s="18">
        <f>IF(242&gt;=DeliverStart,OtherIncPerUnitMo*'LeaseUp'!IK$9*IK$10,0)</f>
        <v/>
      </c>
      <c r="IL21" s="18">
        <f>IF(243&gt;=DeliverStart,OtherIncPerUnitMo*'LeaseUp'!IL$9*IL$10,0)</f>
        <v/>
      </c>
      <c r="IM21" s="18">
        <f>IF(244&gt;=DeliverStart,OtherIncPerUnitMo*'LeaseUp'!IM$9*IM$10,0)</f>
        <v/>
      </c>
      <c r="IN21" s="18">
        <f>IF(245&gt;=DeliverStart,OtherIncPerUnitMo*'LeaseUp'!IN$9*IN$10,0)</f>
        <v/>
      </c>
      <c r="IO21" s="18">
        <f>IF(246&gt;=DeliverStart,OtherIncPerUnitMo*'LeaseUp'!IO$9*IO$10,0)</f>
        <v/>
      </c>
      <c r="IP21" s="18">
        <f>IF(247&gt;=DeliverStart,OtherIncPerUnitMo*'LeaseUp'!IP$9*IP$10,0)</f>
        <v/>
      </c>
      <c r="IQ21" s="18">
        <f>IF(248&gt;=DeliverStart,OtherIncPerUnitMo*'LeaseUp'!IQ$9*IQ$10,0)</f>
        <v/>
      </c>
      <c r="IR21" s="18">
        <f>IF(249&gt;=DeliverStart,OtherIncPerUnitMo*'LeaseUp'!IR$9*IR$10,0)</f>
        <v/>
      </c>
      <c r="IS21" s="18">
        <f>IF(250&gt;=DeliverStart,OtherIncPerUnitMo*'LeaseUp'!IS$9*IS$10,0)</f>
        <v/>
      </c>
      <c r="IT21" s="18">
        <f>IF(251&gt;=DeliverStart,OtherIncPerUnitMo*'LeaseUp'!IT$9*IT$10,0)</f>
        <v/>
      </c>
      <c r="IU21" s="18">
        <f>IF(252&gt;=DeliverStart,OtherIncPerUnitMo*'LeaseUp'!IU$9*IU$10,0)</f>
        <v/>
      </c>
      <c r="IV21" s="18">
        <f>IF(253&gt;=DeliverStart,OtherIncPerUnitMo*'LeaseUp'!IV$9*IV$10,0)</f>
        <v/>
      </c>
      <c r="IW21" s="18">
        <f>IF(254&gt;=DeliverStart,OtherIncPerUnitMo*'LeaseUp'!IW$9*IW$10,0)</f>
        <v/>
      </c>
      <c r="IX21" s="18">
        <f>IF(255&gt;=DeliverStart,OtherIncPerUnitMo*'LeaseUp'!IX$9*IX$10,0)</f>
        <v/>
      </c>
      <c r="IY21" s="18">
        <f>IF(256&gt;=DeliverStart,OtherIncPerUnitMo*'LeaseUp'!IY$9*IY$10,0)</f>
        <v/>
      </c>
      <c r="IZ21" s="18">
        <f>IF(257&gt;=DeliverStart,OtherIncPerUnitMo*'LeaseUp'!IZ$9*IZ$10,0)</f>
        <v/>
      </c>
      <c r="JA21" s="18">
        <f>IF(258&gt;=DeliverStart,OtherIncPerUnitMo*'LeaseUp'!JA$9*JA$10,0)</f>
        <v/>
      </c>
      <c r="JB21" s="18">
        <f>IF(259&gt;=DeliverStart,OtherIncPerUnitMo*'LeaseUp'!JB$9*JB$10,0)</f>
        <v/>
      </c>
      <c r="JC21" s="18">
        <f>IF(260&gt;=DeliverStart,OtherIncPerUnitMo*'LeaseUp'!JC$9*JC$10,0)</f>
        <v/>
      </c>
      <c r="JD21" s="18">
        <f>IF(261&gt;=DeliverStart,OtherIncPerUnitMo*'LeaseUp'!JD$9*JD$10,0)</f>
        <v/>
      </c>
      <c r="JE21" s="18">
        <f>IF(262&gt;=DeliverStart,OtherIncPerUnitMo*'LeaseUp'!JE$9*JE$10,0)</f>
        <v/>
      </c>
      <c r="JF21" s="18">
        <f>IF(263&gt;=DeliverStart,OtherIncPerUnitMo*'LeaseUp'!JF$9*JF$10,0)</f>
        <v/>
      </c>
      <c r="JG21" s="18">
        <f>IF(264&gt;=DeliverStart,OtherIncPerUnitMo*'LeaseUp'!JG$9*JG$10,0)</f>
        <v/>
      </c>
      <c r="JH21" s="18">
        <f>IF(265&gt;=DeliverStart,OtherIncPerUnitMo*'LeaseUp'!JH$9*JH$10,0)</f>
        <v/>
      </c>
      <c r="JI21" s="18">
        <f>IF(266&gt;=DeliverStart,OtherIncPerUnitMo*'LeaseUp'!JI$9*JI$10,0)</f>
        <v/>
      </c>
      <c r="JJ21" s="18">
        <f>IF(267&gt;=DeliverStart,OtherIncPerUnitMo*'LeaseUp'!JJ$9*JJ$10,0)</f>
        <v/>
      </c>
      <c r="JK21" s="18">
        <f>IF(268&gt;=DeliverStart,OtherIncPerUnitMo*'LeaseUp'!JK$9*JK$10,0)</f>
        <v/>
      </c>
      <c r="JL21" s="18">
        <f>IF(269&gt;=DeliverStart,OtherIncPerUnitMo*'LeaseUp'!JL$9*JL$10,0)</f>
        <v/>
      </c>
      <c r="JM21" s="18">
        <f>IF(270&gt;=DeliverStart,OtherIncPerUnitMo*'LeaseUp'!JM$9*JM$10,0)</f>
        <v/>
      </c>
      <c r="JN21" s="18">
        <f>IF(271&gt;=DeliverStart,OtherIncPerUnitMo*'LeaseUp'!JN$9*JN$10,0)</f>
        <v/>
      </c>
      <c r="JO21" s="18">
        <f>IF(272&gt;=DeliverStart,OtherIncPerUnitMo*'LeaseUp'!JO$9*JO$10,0)</f>
        <v/>
      </c>
      <c r="JP21" s="18">
        <f>IF(273&gt;=DeliverStart,OtherIncPerUnitMo*'LeaseUp'!JP$9*JP$10,0)</f>
        <v/>
      </c>
      <c r="JQ21" s="18">
        <f>IF(274&gt;=DeliverStart,OtherIncPerUnitMo*'LeaseUp'!JQ$9*JQ$10,0)</f>
        <v/>
      </c>
      <c r="JR21" s="18">
        <f>IF(275&gt;=DeliverStart,OtherIncPerUnitMo*'LeaseUp'!JR$9*JR$10,0)</f>
        <v/>
      </c>
      <c r="JS21" s="18">
        <f>IF(276&gt;=DeliverStart,OtherIncPerUnitMo*'LeaseUp'!JS$9*JS$10,0)</f>
        <v/>
      </c>
      <c r="JT21" s="18">
        <f>IF(277&gt;=DeliverStart,OtherIncPerUnitMo*'LeaseUp'!JT$9*JT$10,0)</f>
        <v/>
      </c>
      <c r="JU21" s="18">
        <f>IF(278&gt;=DeliverStart,OtherIncPerUnitMo*'LeaseUp'!JU$9*JU$10,0)</f>
        <v/>
      </c>
      <c r="JV21" s="18">
        <f>IF(279&gt;=DeliverStart,OtherIncPerUnitMo*'LeaseUp'!JV$9*JV$10,0)</f>
        <v/>
      </c>
      <c r="JW21" s="18">
        <f>IF(280&gt;=DeliverStart,OtherIncPerUnitMo*'LeaseUp'!JW$9*JW$10,0)</f>
        <v/>
      </c>
      <c r="JX21" s="18">
        <f>IF(281&gt;=DeliverStart,OtherIncPerUnitMo*'LeaseUp'!JX$9*JX$10,0)</f>
        <v/>
      </c>
      <c r="JY21" s="18">
        <f>IF(282&gt;=DeliverStart,OtherIncPerUnitMo*'LeaseUp'!JY$9*JY$10,0)</f>
        <v/>
      </c>
      <c r="JZ21" s="18">
        <f>IF(283&gt;=DeliverStart,OtherIncPerUnitMo*'LeaseUp'!JZ$9*JZ$10,0)</f>
        <v/>
      </c>
      <c r="KA21" s="18">
        <f>IF(284&gt;=DeliverStart,OtherIncPerUnitMo*'LeaseUp'!KA$9*KA$10,0)</f>
        <v/>
      </c>
      <c r="KB21" s="18">
        <f>IF(285&gt;=DeliverStart,OtherIncPerUnitMo*'LeaseUp'!KB$9*KB$10,0)</f>
        <v/>
      </c>
      <c r="KC21" s="18">
        <f>IF(286&gt;=DeliverStart,OtherIncPerUnitMo*'LeaseUp'!KC$9*KC$10,0)</f>
        <v/>
      </c>
      <c r="KD21" s="18">
        <f>IF(287&gt;=DeliverStart,OtherIncPerUnitMo*'LeaseUp'!KD$9*KD$10,0)</f>
        <v/>
      </c>
      <c r="KE21" s="18">
        <f>IF(288&gt;=DeliverStart,OtherIncPerUnitMo*'LeaseUp'!KE$9*KE$10,0)</f>
        <v/>
      </c>
      <c r="KF21" s="18">
        <f>IF(289&gt;=DeliverStart,OtherIncPerUnitMo*'LeaseUp'!KF$9*KF$10,0)</f>
        <v/>
      </c>
      <c r="KG21" s="18">
        <f>IF(290&gt;=DeliverStart,OtherIncPerUnitMo*'LeaseUp'!KG$9*KG$10,0)</f>
        <v/>
      </c>
      <c r="KH21" s="18">
        <f>IF(291&gt;=DeliverStart,OtherIncPerUnitMo*'LeaseUp'!KH$9*KH$10,0)</f>
        <v/>
      </c>
      <c r="KI21" s="18">
        <f>IF(292&gt;=DeliverStart,OtherIncPerUnitMo*'LeaseUp'!KI$9*KI$10,0)</f>
        <v/>
      </c>
      <c r="KJ21" s="18">
        <f>IF(293&gt;=DeliverStart,OtherIncPerUnitMo*'LeaseUp'!KJ$9*KJ$10,0)</f>
        <v/>
      </c>
      <c r="KK21" s="18">
        <f>IF(294&gt;=DeliverStart,OtherIncPerUnitMo*'LeaseUp'!KK$9*KK$10,0)</f>
        <v/>
      </c>
      <c r="KL21" s="18">
        <f>IF(295&gt;=DeliverStart,OtherIncPerUnitMo*'LeaseUp'!KL$9*KL$10,0)</f>
        <v/>
      </c>
      <c r="KM21" s="18">
        <f>IF(296&gt;=DeliverStart,OtherIncPerUnitMo*'LeaseUp'!KM$9*KM$10,0)</f>
        <v/>
      </c>
      <c r="KN21" s="18">
        <f>IF(297&gt;=DeliverStart,OtherIncPerUnitMo*'LeaseUp'!KN$9*KN$10,0)</f>
        <v/>
      </c>
      <c r="KO21" s="18">
        <f>IF(298&gt;=DeliverStart,OtherIncPerUnitMo*'LeaseUp'!KO$9*KO$10,0)</f>
        <v/>
      </c>
      <c r="KP21" s="18">
        <f>IF(299&gt;=DeliverStart,OtherIncPerUnitMo*'LeaseUp'!KP$9*KP$10,0)</f>
        <v/>
      </c>
      <c r="KQ21" s="18">
        <f>IF(300&gt;=DeliverStart,OtherIncPerUnitMo*'LeaseUp'!KQ$9*KQ$10,0)</f>
        <v/>
      </c>
      <c r="KR21" s="18">
        <f>IF(301&gt;=DeliverStart,OtherIncPerUnitMo*'LeaseUp'!KR$9*KR$10,0)</f>
        <v/>
      </c>
      <c r="KS21" s="18">
        <f>IF(302&gt;=DeliverStart,OtherIncPerUnitMo*'LeaseUp'!KS$9*KS$10,0)</f>
        <v/>
      </c>
      <c r="KT21" s="18">
        <f>IF(303&gt;=DeliverStart,OtherIncPerUnitMo*'LeaseUp'!KT$9*KT$10,0)</f>
        <v/>
      </c>
      <c r="KU21" s="18">
        <f>IF(304&gt;=DeliverStart,OtherIncPerUnitMo*'LeaseUp'!KU$9*KU$10,0)</f>
        <v/>
      </c>
      <c r="KV21" s="18">
        <f>IF(305&gt;=DeliverStart,OtherIncPerUnitMo*'LeaseUp'!KV$9*KV$10,0)</f>
        <v/>
      </c>
      <c r="KW21" s="18">
        <f>IF(306&gt;=DeliverStart,OtherIncPerUnitMo*'LeaseUp'!KW$9*KW$10,0)</f>
        <v/>
      </c>
      <c r="KX21" s="18">
        <f>IF(307&gt;=DeliverStart,OtherIncPerUnitMo*'LeaseUp'!KX$9*KX$10,0)</f>
        <v/>
      </c>
      <c r="KY21" s="18">
        <f>IF(308&gt;=DeliverStart,OtherIncPerUnitMo*'LeaseUp'!KY$9*KY$10,0)</f>
        <v/>
      </c>
      <c r="KZ21" s="18">
        <f>IF(309&gt;=DeliverStart,OtherIncPerUnitMo*'LeaseUp'!KZ$9*KZ$10,0)</f>
        <v/>
      </c>
      <c r="LA21" s="18">
        <f>IF(310&gt;=DeliverStart,OtherIncPerUnitMo*'LeaseUp'!LA$9*LA$10,0)</f>
        <v/>
      </c>
      <c r="LB21" s="18">
        <f>IF(311&gt;=DeliverStart,OtherIncPerUnitMo*'LeaseUp'!LB$9*LB$10,0)</f>
        <v/>
      </c>
      <c r="LC21" s="18">
        <f>IF(312&gt;=DeliverStart,OtherIncPerUnitMo*'LeaseUp'!LC$9*LC$10,0)</f>
        <v/>
      </c>
      <c r="LD21" s="18">
        <f>IF(313&gt;=DeliverStart,OtherIncPerUnitMo*'LeaseUp'!LD$9*LD$10,0)</f>
        <v/>
      </c>
      <c r="LE21" s="18">
        <f>IF(314&gt;=DeliverStart,OtherIncPerUnitMo*'LeaseUp'!LE$9*LE$10,0)</f>
        <v/>
      </c>
      <c r="LF21" s="18">
        <f>IF(315&gt;=DeliverStart,OtherIncPerUnitMo*'LeaseUp'!LF$9*LF$10,0)</f>
        <v/>
      </c>
      <c r="LG21" s="18">
        <f>IF(316&gt;=DeliverStart,OtherIncPerUnitMo*'LeaseUp'!LG$9*LG$10,0)</f>
        <v/>
      </c>
      <c r="LH21" s="18">
        <f>IF(317&gt;=DeliverStart,OtherIncPerUnitMo*'LeaseUp'!LH$9*LH$10,0)</f>
        <v/>
      </c>
      <c r="LI21" s="18">
        <f>IF(318&gt;=DeliverStart,OtherIncPerUnitMo*'LeaseUp'!LI$9*LI$10,0)</f>
        <v/>
      </c>
      <c r="LJ21" s="18">
        <f>IF(319&gt;=DeliverStart,OtherIncPerUnitMo*'LeaseUp'!LJ$9*LJ$10,0)</f>
        <v/>
      </c>
      <c r="LK21" s="18">
        <f>IF(320&gt;=DeliverStart,OtherIncPerUnitMo*'LeaseUp'!LK$9*LK$10,0)</f>
        <v/>
      </c>
      <c r="LL21" s="18">
        <f>IF(321&gt;=DeliverStart,OtherIncPerUnitMo*'LeaseUp'!LL$9*LL$10,0)</f>
        <v/>
      </c>
      <c r="LM21" s="18">
        <f>IF(322&gt;=DeliverStart,OtherIncPerUnitMo*'LeaseUp'!LM$9*LM$10,0)</f>
        <v/>
      </c>
      <c r="LN21" s="18">
        <f>IF(323&gt;=DeliverStart,OtherIncPerUnitMo*'LeaseUp'!LN$9*LN$10,0)</f>
        <v/>
      </c>
      <c r="LO21" s="18">
        <f>IF(324&gt;=DeliverStart,OtherIncPerUnitMo*'LeaseUp'!LO$9*LO$10,0)</f>
        <v/>
      </c>
      <c r="LP21" s="18">
        <f>IF(325&gt;=DeliverStart,OtherIncPerUnitMo*'LeaseUp'!LP$9*LP$10,0)</f>
        <v/>
      </c>
      <c r="LQ21" s="18">
        <f>IF(326&gt;=DeliverStart,OtherIncPerUnitMo*'LeaseUp'!LQ$9*LQ$10,0)</f>
        <v/>
      </c>
      <c r="LR21" s="18">
        <f>IF(327&gt;=DeliverStart,OtherIncPerUnitMo*'LeaseUp'!LR$9*LR$10,0)</f>
        <v/>
      </c>
      <c r="LS21" s="18">
        <f>IF(328&gt;=DeliverStart,OtherIncPerUnitMo*'LeaseUp'!LS$9*LS$10,0)</f>
        <v/>
      </c>
      <c r="LT21" s="18">
        <f>IF(329&gt;=DeliverStart,OtherIncPerUnitMo*'LeaseUp'!LT$9*LT$10,0)</f>
        <v/>
      </c>
      <c r="LU21" s="18">
        <f>IF(330&gt;=DeliverStart,OtherIncPerUnitMo*'LeaseUp'!LU$9*LU$10,0)</f>
        <v/>
      </c>
      <c r="LV21" s="18">
        <f>IF(331&gt;=DeliverStart,OtherIncPerUnitMo*'LeaseUp'!LV$9*LV$10,0)</f>
        <v/>
      </c>
      <c r="LW21" s="18">
        <f>IF(332&gt;=DeliverStart,OtherIncPerUnitMo*'LeaseUp'!LW$9*LW$10,0)</f>
        <v/>
      </c>
      <c r="LX21" s="18">
        <f>IF(333&gt;=DeliverStart,OtherIncPerUnitMo*'LeaseUp'!LX$9*LX$10,0)</f>
        <v/>
      </c>
      <c r="LY21" s="18">
        <f>IF(334&gt;=DeliverStart,OtherIncPerUnitMo*'LeaseUp'!LY$9*LY$10,0)</f>
        <v/>
      </c>
      <c r="LZ21" s="18">
        <f>IF(335&gt;=DeliverStart,OtherIncPerUnitMo*'LeaseUp'!LZ$9*LZ$10,0)</f>
        <v/>
      </c>
      <c r="MA21" s="18">
        <f>IF(336&gt;=DeliverStart,OtherIncPerUnitMo*'LeaseUp'!MA$9*MA$10,0)</f>
        <v/>
      </c>
      <c r="MB21" s="18">
        <f>IF(337&gt;=DeliverStart,OtherIncPerUnitMo*'LeaseUp'!MB$9*MB$10,0)</f>
        <v/>
      </c>
      <c r="MC21" s="18">
        <f>IF(338&gt;=DeliverStart,OtherIncPerUnitMo*'LeaseUp'!MC$9*MC$10,0)</f>
        <v/>
      </c>
      <c r="MD21" s="18">
        <f>IF(339&gt;=DeliverStart,OtherIncPerUnitMo*'LeaseUp'!MD$9*MD$10,0)</f>
        <v/>
      </c>
      <c r="ME21" s="18">
        <f>IF(340&gt;=DeliverStart,OtherIncPerUnitMo*'LeaseUp'!ME$9*ME$10,0)</f>
        <v/>
      </c>
      <c r="MF21" s="18">
        <f>IF(341&gt;=DeliverStart,OtherIncPerUnitMo*'LeaseUp'!MF$9*MF$10,0)</f>
        <v/>
      </c>
      <c r="MG21" s="18">
        <f>IF(342&gt;=DeliverStart,OtherIncPerUnitMo*'LeaseUp'!MG$9*MG$10,0)</f>
        <v/>
      </c>
      <c r="MH21" s="18">
        <f>IF(343&gt;=DeliverStart,OtherIncPerUnitMo*'LeaseUp'!MH$9*MH$10,0)</f>
        <v/>
      </c>
      <c r="MI21" s="18">
        <f>IF(344&gt;=DeliverStart,OtherIncPerUnitMo*'LeaseUp'!MI$9*MI$10,0)</f>
        <v/>
      </c>
      <c r="MJ21" s="18">
        <f>IF(345&gt;=DeliverStart,OtherIncPerUnitMo*'LeaseUp'!MJ$9*MJ$10,0)</f>
        <v/>
      </c>
      <c r="MK21" s="18">
        <f>IF(346&gt;=DeliverStart,OtherIncPerUnitMo*'LeaseUp'!MK$9*MK$10,0)</f>
        <v/>
      </c>
      <c r="ML21" s="18">
        <f>IF(347&gt;=DeliverStart,OtherIncPerUnitMo*'LeaseUp'!ML$9*ML$10,0)</f>
        <v/>
      </c>
      <c r="MM21" s="18">
        <f>IF(348&gt;=DeliverStart,OtherIncPerUnitMo*'LeaseUp'!MM$9*MM$10,0)</f>
        <v/>
      </c>
      <c r="MN21" s="18">
        <f>IF(349&gt;=DeliverStart,OtherIncPerUnitMo*'LeaseUp'!MN$9*MN$10,0)</f>
        <v/>
      </c>
      <c r="MO21" s="18">
        <f>IF(350&gt;=DeliverStart,OtherIncPerUnitMo*'LeaseUp'!MO$9*MO$10,0)</f>
        <v/>
      </c>
      <c r="MP21" s="18">
        <f>IF(351&gt;=DeliverStart,OtherIncPerUnitMo*'LeaseUp'!MP$9*MP$10,0)</f>
        <v/>
      </c>
      <c r="MQ21" s="18">
        <f>IF(352&gt;=DeliverStart,OtherIncPerUnitMo*'LeaseUp'!MQ$9*MQ$10,0)</f>
        <v/>
      </c>
      <c r="MR21" s="18">
        <f>IF(353&gt;=DeliverStart,OtherIncPerUnitMo*'LeaseUp'!MR$9*MR$10,0)</f>
        <v/>
      </c>
      <c r="MS21" s="18">
        <f>IF(354&gt;=DeliverStart,OtherIncPerUnitMo*'LeaseUp'!MS$9*MS$10,0)</f>
        <v/>
      </c>
      <c r="MT21" s="18">
        <f>IF(355&gt;=DeliverStart,OtherIncPerUnitMo*'LeaseUp'!MT$9*MT$10,0)</f>
        <v/>
      </c>
      <c r="MU21" s="18">
        <f>IF(356&gt;=DeliverStart,OtherIncPerUnitMo*'LeaseUp'!MU$9*MU$10,0)</f>
        <v/>
      </c>
      <c r="MV21" s="18">
        <f>IF(357&gt;=DeliverStart,OtherIncPerUnitMo*'LeaseUp'!MV$9*MV$10,0)</f>
        <v/>
      </c>
      <c r="MW21" s="18">
        <f>IF(358&gt;=DeliverStart,OtherIncPerUnitMo*'LeaseUp'!MW$9*MW$10,0)</f>
        <v/>
      </c>
      <c r="MX21" s="18">
        <f>IF(359&gt;=DeliverStart,OtherIncPerUnitMo*'LeaseUp'!MX$9*MX$10,0)</f>
        <v/>
      </c>
      <c r="MY21" s="18">
        <f>IF(360&gt;=DeliverStart,OtherIncPerUnitMo*'LeaseUp'!MY$9*MY$10,0)</f>
        <v/>
      </c>
      <c r="MZ21" s="18">
        <f>IF(361&gt;=DeliverStart,OtherIncPerUnitMo*'LeaseUp'!MZ$9*MZ$10,0)</f>
        <v/>
      </c>
      <c r="NA21" s="18">
        <f>IF(362&gt;=DeliverStart,OtherIncPerUnitMo*'LeaseUp'!NA$9*NA$10,0)</f>
        <v/>
      </c>
      <c r="NB21" s="18">
        <f>IF(363&gt;=DeliverStart,OtherIncPerUnitMo*'LeaseUp'!NB$9*NB$10,0)</f>
        <v/>
      </c>
      <c r="NC21" s="18">
        <f>IF(364&gt;=DeliverStart,OtherIncPerUnitMo*'LeaseUp'!NC$9*NC$10,0)</f>
        <v/>
      </c>
      <c r="ND21" s="18">
        <f>IF(365&gt;=DeliverStart,OtherIncPerUnitMo*'LeaseUp'!ND$9*ND$10,0)</f>
        <v/>
      </c>
      <c r="NE21" s="18">
        <f>IF(366&gt;=DeliverStart,OtherIncPerUnitMo*'LeaseUp'!NE$9*NE$10,0)</f>
        <v/>
      </c>
      <c r="NF21" s="18">
        <f>IF(367&gt;=DeliverStart,OtherIncPerUnitMo*'LeaseUp'!NF$9*NF$10,0)</f>
        <v/>
      </c>
      <c r="NG21" s="18">
        <f>IF(368&gt;=DeliverStart,OtherIncPerUnitMo*'LeaseUp'!NG$9*NG$10,0)</f>
        <v/>
      </c>
      <c r="NH21" s="18">
        <f>IF(369&gt;=DeliverStart,OtherIncPerUnitMo*'LeaseUp'!NH$9*NH$10,0)</f>
        <v/>
      </c>
      <c r="NI21" s="18">
        <f>IF(370&gt;=DeliverStart,OtherIncPerUnitMo*'LeaseUp'!NI$9*NI$10,0)</f>
        <v/>
      </c>
      <c r="NJ21" s="18">
        <f>IF(371&gt;=DeliverStart,OtherIncPerUnitMo*'LeaseUp'!NJ$9*NJ$10,0)</f>
        <v/>
      </c>
      <c r="NK21" s="18">
        <f>IF(372&gt;=DeliverStart,OtherIncPerUnitMo*'LeaseUp'!NK$9*NK$10,0)</f>
        <v/>
      </c>
    </row>
    <row r="22">
      <c r="A22" s="5" t="inlineStr">
        <is>
          <t>Retail Income</t>
        </is>
      </c>
      <c r="C22" s="41">
        <f>SUM(D22:NK22)</f>
        <v/>
      </c>
      <c r="D22" s="18">
        <f>IF(1&gt;=DeliverStart,RetailRentMo*D$10*MIN(1,'LeaseUp'!D$10/StabilizedOccupancy),0)</f>
        <v/>
      </c>
      <c r="E22" s="18">
        <f>IF(2&gt;=DeliverStart,RetailRentMo*E$10*MIN(1,'LeaseUp'!E$10/StabilizedOccupancy),0)</f>
        <v/>
      </c>
      <c r="F22" s="18">
        <f>IF(3&gt;=DeliverStart,RetailRentMo*F$10*MIN(1,'LeaseUp'!F$10/StabilizedOccupancy),0)</f>
        <v/>
      </c>
      <c r="G22" s="18">
        <f>IF(4&gt;=DeliverStart,RetailRentMo*G$10*MIN(1,'LeaseUp'!G$10/StabilizedOccupancy),0)</f>
        <v/>
      </c>
      <c r="H22" s="18">
        <f>IF(5&gt;=DeliverStart,RetailRentMo*H$10*MIN(1,'LeaseUp'!H$10/StabilizedOccupancy),0)</f>
        <v/>
      </c>
      <c r="I22" s="18">
        <f>IF(6&gt;=DeliverStart,RetailRentMo*I$10*MIN(1,'LeaseUp'!I$10/StabilizedOccupancy),0)</f>
        <v/>
      </c>
      <c r="J22" s="18">
        <f>IF(7&gt;=DeliverStart,RetailRentMo*J$10*MIN(1,'LeaseUp'!J$10/StabilizedOccupancy),0)</f>
        <v/>
      </c>
      <c r="K22" s="18">
        <f>IF(8&gt;=DeliverStart,RetailRentMo*K$10*MIN(1,'LeaseUp'!K$10/StabilizedOccupancy),0)</f>
        <v/>
      </c>
      <c r="L22" s="18">
        <f>IF(9&gt;=DeliverStart,RetailRentMo*L$10*MIN(1,'LeaseUp'!L$10/StabilizedOccupancy),0)</f>
        <v/>
      </c>
      <c r="M22" s="18">
        <f>IF(10&gt;=DeliverStart,RetailRentMo*M$10*MIN(1,'LeaseUp'!M$10/StabilizedOccupancy),0)</f>
        <v/>
      </c>
      <c r="N22" s="18">
        <f>IF(11&gt;=DeliverStart,RetailRentMo*N$10*MIN(1,'LeaseUp'!N$10/StabilizedOccupancy),0)</f>
        <v/>
      </c>
      <c r="O22" s="18">
        <f>IF(12&gt;=DeliverStart,RetailRentMo*O$10*MIN(1,'LeaseUp'!O$10/StabilizedOccupancy),0)</f>
        <v/>
      </c>
      <c r="P22" s="18">
        <f>IF(13&gt;=DeliverStart,RetailRentMo*P$10*MIN(1,'LeaseUp'!P$10/StabilizedOccupancy),0)</f>
        <v/>
      </c>
      <c r="Q22" s="18">
        <f>IF(14&gt;=DeliverStart,RetailRentMo*Q$10*MIN(1,'LeaseUp'!Q$10/StabilizedOccupancy),0)</f>
        <v/>
      </c>
      <c r="R22" s="18">
        <f>IF(15&gt;=DeliverStart,RetailRentMo*R$10*MIN(1,'LeaseUp'!R$10/StabilizedOccupancy),0)</f>
        <v/>
      </c>
      <c r="S22" s="18">
        <f>IF(16&gt;=DeliverStart,RetailRentMo*S$10*MIN(1,'LeaseUp'!S$10/StabilizedOccupancy),0)</f>
        <v/>
      </c>
      <c r="T22" s="18">
        <f>IF(17&gt;=DeliverStart,RetailRentMo*T$10*MIN(1,'LeaseUp'!T$10/StabilizedOccupancy),0)</f>
        <v/>
      </c>
      <c r="U22" s="18">
        <f>IF(18&gt;=DeliverStart,RetailRentMo*U$10*MIN(1,'LeaseUp'!U$10/StabilizedOccupancy),0)</f>
        <v/>
      </c>
      <c r="V22" s="18">
        <f>IF(19&gt;=DeliverStart,RetailRentMo*V$10*MIN(1,'LeaseUp'!V$10/StabilizedOccupancy),0)</f>
        <v/>
      </c>
      <c r="W22" s="18">
        <f>IF(20&gt;=DeliverStart,RetailRentMo*W$10*MIN(1,'LeaseUp'!W$10/StabilizedOccupancy),0)</f>
        <v/>
      </c>
      <c r="X22" s="18">
        <f>IF(21&gt;=DeliverStart,RetailRentMo*X$10*MIN(1,'LeaseUp'!X$10/StabilizedOccupancy),0)</f>
        <v/>
      </c>
      <c r="Y22" s="18">
        <f>IF(22&gt;=DeliverStart,RetailRentMo*Y$10*MIN(1,'LeaseUp'!Y$10/StabilizedOccupancy),0)</f>
        <v/>
      </c>
      <c r="Z22" s="18">
        <f>IF(23&gt;=DeliverStart,RetailRentMo*Z$10*MIN(1,'LeaseUp'!Z$10/StabilizedOccupancy),0)</f>
        <v/>
      </c>
      <c r="AA22" s="18">
        <f>IF(24&gt;=DeliverStart,RetailRentMo*AA$10*MIN(1,'LeaseUp'!AA$10/StabilizedOccupancy),0)</f>
        <v/>
      </c>
      <c r="AB22" s="18">
        <f>IF(25&gt;=DeliverStart,RetailRentMo*AB$10*MIN(1,'LeaseUp'!AB$10/StabilizedOccupancy),0)</f>
        <v/>
      </c>
      <c r="AC22" s="18">
        <f>IF(26&gt;=DeliverStart,RetailRentMo*AC$10*MIN(1,'LeaseUp'!AC$10/StabilizedOccupancy),0)</f>
        <v/>
      </c>
      <c r="AD22" s="18">
        <f>IF(27&gt;=DeliverStart,RetailRentMo*AD$10*MIN(1,'LeaseUp'!AD$10/StabilizedOccupancy),0)</f>
        <v/>
      </c>
      <c r="AE22" s="18">
        <f>IF(28&gt;=DeliverStart,RetailRentMo*AE$10*MIN(1,'LeaseUp'!AE$10/StabilizedOccupancy),0)</f>
        <v/>
      </c>
      <c r="AF22" s="18">
        <f>IF(29&gt;=DeliverStart,RetailRentMo*AF$10*MIN(1,'LeaseUp'!AF$10/StabilizedOccupancy),0)</f>
        <v/>
      </c>
      <c r="AG22" s="18">
        <f>IF(30&gt;=DeliverStart,RetailRentMo*AG$10*MIN(1,'LeaseUp'!AG$10/StabilizedOccupancy),0)</f>
        <v/>
      </c>
      <c r="AH22" s="18">
        <f>IF(31&gt;=DeliverStart,RetailRentMo*AH$10*MIN(1,'LeaseUp'!AH$10/StabilizedOccupancy),0)</f>
        <v/>
      </c>
      <c r="AI22" s="18">
        <f>IF(32&gt;=DeliverStart,RetailRentMo*AI$10*MIN(1,'LeaseUp'!AI$10/StabilizedOccupancy),0)</f>
        <v/>
      </c>
      <c r="AJ22" s="18">
        <f>IF(33&gt;=DeliverStart,RetailRentMo*AJ$10*MIN(1,'LeaseUp'!AJ$10/StabilizedOccupancy),0)</f>
        <v/>
      </c>
      <c r="AK22" s="18">
        <f>IF(34&gt;=DeliverStart,RetailRentMo*AK$10*MIN(1,'LeaseUp'!AK$10/StabilizedOccupancy),0)</f>
        <v/>
      </c>
      <c r="AL22" s="18">
        <f>IF(35&gt;=DeliverStart,RetailRentMo*AL$10*MIN(1,'LeaseUp'!AL$10/StabilizedOccupancy),0)</f>
        <v/>
      </c>
      <c r="AM22" s="18">
        <f>IF(36&gt;=DeliverStart,RetailRentMo*AM$10*MIN(1,'LeaseUp'!AM$10/StabilizedOccupancy),0)</f>
        <v/>
      </c>
      <c r="AN22" s="18">
        <f>IF(37&gt;=DeliverStart,RetailRentMo*AN$10*MIN(1,'LeaseUp'!AN$10/StabilizedOccupancy),0)</f>
        <v/>
      </c>
      <c r="AO22" s="18">
        <f>IF(38&gt;=DeliverStart,RetailRentMo*AO$10*MIN(1,'LeaseUp'!AO$10/StabilizedOccupancy),0)</f>
        <v/>
      </c>
      <c r="AP22" s="18">
        <f>IF(39&gt;=DeliverStart,RetailRentMo*AP$10*MIN(1,'LeaseUp'!AP$10/StabilizedOccupancy),0)</f>
        <v/>
      </c>
      <c r="AQ22" s="18">
        <f>IF(40&gt;=DeliverStart,RetailRentMo*AQ$10*MIN(1,'LeaseUp'!AQ$10/StabilizedOccupancy),0)</f>
        <v/>
      </c>
      <c r="AR22" s="18">
        <f>IF(41&gt;=DeliverStart,RetailRentMo*AR$10*MIN(1,'LeaseUp'!AR$10/StabilizedOccupancy),0)</f>
        <v/>
      </c>
      <c r="AS22" s="18">
        <f>IF(42&gt;=DeliverStart,RetailRentMo*AS$10*MIN(1,'LeaseUp'!AS$10/StabilizedOccupancy),0)</f>
        <v/>
      </c>
      <c r="AT22" s="18">
        <f>IF(43&gt;=DeliverStart,RetailRentMo*AT$10*MIN(1,'LeaseUp'!AT$10/StabilizedOccupancy),0)</f>
        <v/>
      </c>
      <c r="AU22" s="18">
        <f>IF(44&gt;=DeliverStart,RetailRentMo*AU$10*MIN(1,'LeaseUp'!AU$10/StabilizedOccupancy),0)</f>
        <v/>
      </c>
      <c r="AV22" s="18">
        <f>IF(45&gt;=DeliverStart,RetailRentMo*AV$10*MIN(1,'LeaseUp'!AV$10/StabilizedOccupancy),0)</f>
        <v/>
      </c>
      <c r="AW22" s="18">
        <f>IF(46&gt;=DeliverStart,RetailRentMo*AW$10*MIN(1,'LeaseUp'!AW$10/StabilizedOccupancy),0)</f>
        <v/>
      </c>
      <c r="AX22" s="18">
        <f>IF(47&gt;=DeliverStart,RetailRentMo*AX$10*MIN(1,'LeaseUp'!AX$10/StabilizedOccupancy),0)</f>
        <v/>
      </c>
      <c r="AY22" s="18">
        <f>IF(48&gt;=DeliverStart,RetailRentMo*AY$10*MIN(1,'LeaseUp'!AY$10/StabilizedOccupancy),0)</f>
        <v/>
      </c>
      <c r="AZ22" s="18">
        <f>IF(49&gt;=DeliverStart,RetailRentMo*AZ$10*MIN(1,'LeaseUp'!AZ$10/StabilizedOccupancy),0)</f>
        <v/>
      </c>
      <c r="BA22" s="18">
        <f>IF(50&gt;=DeliverStart,RetailRentMo*BA$10*MIN(1,'LeaseUp'!BA$10/StabilizedOccupancy),0)</f>
        <v/>
      </c>
      <c r="BB22" s="18">
        <f>IF(51&gt;=DeliverStart,RetailRentMo*BB$10*MIN(1,'LeaseUp'!BB$10/StabilizedOccupancy),0)</f>
        <v/>
      </c>
      <c r="BC22" s="18">
        <f>IF(52&gt;=DeliverStart,RetailRentMo*BC$10*MIN(1,'LeaseUp'!BC$10/StabilizedOccupancy),0)</f>
        <v/>
      </c>
      <c r="BD22" s="18">
        <f>IF(53&gt;=DeliverStart,RetailRentMo*BD$10*MIN(1,'LeaseUp'!BD$10/StabilizedOccupancy),0)</f>
        <v/>
      </c>
      <c r="BE22" s="18">
        <f>IF(54&gt;=DeliverStart,RetailRentMo*BE$10*MIN(1,'LeaseUp'!BE$10/StabilizedOccupancy),0)</f>
        <v/>
      </c>
      <c r="BF22" s="18">
        <f>IF(55&gt;=DeliverStart,RetailRentMo*BF$10*MIN(1,'LeaseUp'!BF$10/StabilizedOccupancy),0)</f>
        <v/>
      </c>
      <c r="BG22" s="18">
        <f>IF(56&gt;=DeliverStart,RetailRentMo*BG$10*MIN(1,'LeaseUp'!BG$10/StabilizedOccupancy),0)</f>
        <v/>
      </c>
      <c r="BH22" s="18">
        <f>IF(57&gt;=DeliverStart,RetailRentMo*BH$10*MIN(1,'LeaseUp'!BH$10/StabilizedOccupancy),0)</f>
        <v/>
      </c>
      <c r="BI22" s="18">
        <f>IF(58&gt;=DeliverStart,RetailRentMo*BI$10*MIN(1,'LeaseUp'!BI$10/StabilizedOccupancy),0)</f>
        <v/>
      </c>
      <c r="BJ22" s="18">
        <f>IF(59&gt;=DeliverStart,RetailRentMo*BJ$10*MIN(1,'LeaseUp'!BJ$10/StabilizedOccupancy),0)</f>
        <v/>
      </c>
      <c r="BK22" s="18">
        <f>IF(60&gt;=DeliverStart,RetailRentMo*BK$10*MIN(1,'LeaseUp'!BK$10/StabilizedOccupancy),0)</f>
        <v/>
      </c>
      <c r="BL22" s="18">
        <f>IF(61&gt;=DeliverStart,RetailRentMo*BL$10*MIN(1,'LeaseUp'!BL$10/StabilizedOccupancy),0)</f>
        <v/>
      </c>
      <c r="BM22" s="18">
        <f>IF(62&gt;=DeliverStart,RetailRentMo*BM$10*MIN(1,'LeaseUp'!BM$10/StabilizedOccupancy),0)</f>
        <v/>
      </c>
      <c r="BN22" s="18">
        <f>IF(63&gt;=DeliverStart,RetailRentMo*BN$10*MIN(1,'LeaseUp'!BN$10/StabilizedOccupancy),0)</f>
        <v/>
      </c>
      <c r="BO22" s="18">
        <f>IF(64&gt;=DeliverStart,RetailRentMo*BO$10*MIN(1,'LeaseUp'!BO$10/StabilizedOccupancy),0)</f>
        <v/>
      </c>
      <c r="BP22" s="18">
        <f>IF(65&gt;=DeliverStart,RetailRentMo*BP$10*MIN(1,'LeaseUp'!BP$10/StabilizedOccupancy),0)</f>
        <v/>
      </c>
      <c r="BQ22" s="18">
        <f>IF(66&gt;=DeliverStart,RetailRentMo*BQ$10*MIN(1,'LeaseUp'!BQ$10/StabilizedOccupancy),0)</f>
        <v/>
      </c>
      <c r="BR22" s="18">
        <f>IF(67&gt;=DeliverStart,RetailRentMo*BR$10*MIN(1,'LeaseUp'!BR$10/StabilizedOccupancy),0)</f>
        <v/>
      </c>
      <c r="BS22" s="18">
        <f>IF(68&gt;=DeliverStart,RetailRentMo*BS$10*MIN(1,'LeaseUp'!BS$10/StabilizedOccupancy),0)</f>
        <v/>
      </c>
      <c r="BT22" s="18">
        <f>IF(69&gt;=DeliverStart,RetailRentMo*BT$10*MIN(1,'LeaseUp'!BT$10/StabilizedOccupancy),0)</f>
        <v/>
      </c>
      <c r="BU22" s="18">
        <f>IF(70&gt;=DeliverStart,RetailRentMo*BU$10*MIN(1,'LeaseUp'!BU$10/StabilizedOccupancy),0)</f>
        <v/>
      </c>
      <c r="BV22" s="18">
        <f>IF(71&gt;=DeliverStart,RetailRentMo*BV$10*MIN(1,'LeaseUp'!BV$10/StabilizedOccupancy),0)</f>
        <v/>
      </c>
      <c r="BW22" s="18">
        <f>IF(72&gt;=DeliverStart,RetailRentMo*BW$10*MIN(1,'LeaseUp'!BW$10/StabilizedOccupancy),0)</f>
        <v/>
      </c>
      <c r="BX22" s="18">
        <f>IF(73&gt;=DeliverStart,RetailRentMo*BX$10*MIN(1,'LeaseUp'!BX$10/StabilizedOccupancy),0)</f>
        <v/>
      </c>
      <c r="BY22" s="18">
        <f>IF(74&gt;=DeliverStart,RetailRentMo*BY$10*MIN(1,'LeaseUp'!BY$10/StabilizedOccupancy),0)</f>
        <v/>
      </c>
      <c r="BZ22" s="18">
        <f>IF(75&gt;=DeliverStart,RetailRentMo*BZ$10*MIN(1,'LeaseUp'!BZ$10/StabilizedOccupancy),0)</f>
        <v/>
      </c>
      <c r="CA22" s="18">
        <f>IF(76&gt;=DeliverStart,RetailRentMo*CA$10*MIN(1,'LeaseUp'!CA$10/StabilizedOccupancy),0)</f>
        <v/>
      </c>
      <c r="CB22" s="18">
        <f>IF(77&gt;=DeliverStart,RetailRentMo*CB$10*MIN(1,'LeaseUp'!CB$10/StabilizedOccupancy),0)</f>
        <v/>
      </c>
      <c r="CC22" s="18">
        <f>IF(78&gt;=DeliverStart,RetailRentMo*CC$10*MIN(1,'LeaseUp'!CC$10/StabilizedOccupancy),0)</f>
        <v/>
      </c>
      <c r="CD22" s="18">
        <f>IF(79&gt;=DeliverStart,RetailRentMo*CD$10*MIN(1,'LeaseUp'!CD$10/StabilizedOccupancy),0)</f>
        <v/>
      </c>
      <c r="CE22" s="18">
        <f>IF(80&gt;=DeliverStart,RetailRentMo*CE$10*MIN(1,'LeaseUp'!CE$10/StabilizedOccupancy),0)</f>
        <v/>
      </c>
      <c r="CF22" s="18">
        <f>IF(81&gt;=DeliverStart,RetailRentMo*CF$10*MIN(1,'LeaseUp'!CF$10/StabilizedOccupancy),0)</f>
        <v/>
      </c>
      <c r="CG22" s="18">
        <f>IF(82&gt;=DeliverStart,RetailRentMo*CG$10*MIN(1,'LeaseUp'!CG$10/StabilizedOccupancy),0)</f>
        <v/>
      </c>
      <c r="CH22" s="18">
        <f>IF(83&gt;=DeliverStart,RetailRentMo*CH$10*MIN(1,'LeaseUp'!CH$10/StabilizedOccupancy),0)</f>
        <v/>
      </c>
      <c r="CI22" s="18">
        <f>IF(84&gt;=DeliverStart,RetailRentMo*CI$10*MIN(1,'LeaseUp'!CI$10/StabilizedOccupancy),0)</f>
        <v/>
      </c>
      <c r="CJ22" s="18">
        <f>IF(85&gt;=DeliverStart,RetailRentMo*CJ$10*MIN(1,'LeaseUp'!CJ$10/StabilizedOccupancy),0)</f>
        <v/>
      </c>
      <c r="CK22" s="18">
        <f>IF(86&gt;=DeliverStart,RetailRentMo*CK$10*MIN(1,'LeaseUp'!CK$10/StabilizedOccupancy),0)</f>
        <v/>
      </c>
      <c r="CL22" s="18">
        <f>IF(87&gt;=DeliverStart,RetailRentMo*CL$10*MIN(1,'LeaseUp'!CL$10/StabilizedOccupancy),0)</f>
        <v/>
      </c>
      <c r="CM22" s="18">
        <f>IF(88&gt;=DeliverStart,RetailRentMo*CM$10*MIN(1,'LeaseUp'!CM$10/StabilizedOccupancy),0)</f>
        <v/>
      </c>
      <c r="CN22" s="18">
        <f>IF(89&gt;=DeliverStart,RetailRentMo*CN$10*MIN(1,'LeaseUp'!CN$10/StabilizedOccupancy),0)</f>
        <v/>
      </c>
      <c r="CO22" s="18">
        <f>IF(90&gt;=DeliverStart,RetailRentMo*CO$10*MIN(1,'LeaseUp'!CO$10/StabilizedOccupancy),0)</f>
        <v/>
      </c>
      <c r="CP22" s="18">
        <f>IF(91&gt;=DeliverStart,RetailRentMo*CP$10*MIN(1,'LeaseUp'!CP$10/StabilizedOccupancy),0)</f>
        <v/>
      </c>
      <c r="CQ22" s="18">
        <f>IF(92&gt;=DeliverStart,RetailRentMo*CQ$10*MIN(1,'LeaseUp'!CQ$10/StabilizedOccupancy),0)</f>
        <v/>
      </c>
      <c r="CR22" s="18">
        <f>IF(93&gt;=DeliverStart,RetailRentMo*CR$10*MIN(1,'LeaseUp'!CR$10/StabilizedOccupancy),0)</f>
        <v/>
      </c>
      <c r="CS22" s="18">
        <f>IF(94&gt;=DeliverStart,RetailRentMo*CS$10*MIN(1,'LeaseUp'!CS$10/StabilizedOccupancy),0)</f>
        <v/>
      </c>
      <c r="CT22" s="18">
        <f>IF(95&gt;=DeliverStart,RetailRentMo*CT$10*MIN(1,'LeaseUp'!CT$10/StabilizedOccupancy),0)</f>
        <v/>
      </c>
      <c r="CU22" s="18">
        <f>IF(96&gt;=DeliverStart,RetailRentMo*CU$10*MIN(1,'LeaseUp'!CU$10/StabilizedOccupancy),0)</f>
        <v/>
      </c>
      <c r="CV22" s="18">
        <f>IF(97&gt;=DeliverStart,RetailRentMo*CV$10*MIN(1,'LeaseUp'!CV$10/StabilizedOccupancy),0)</f>
        <v/>
      </c>
      <c r="CW22" s="18">
        <f>IF(98&gt;=DeliverStart,RetailRentMo*CW$10*MIN(1,'LeaseUp'!CW$10/StabilizedOccupancy),0)</f>
        <v/>
      </c>
      <c r="CX22" s="18">
        <f>IF(99&gt;=DeliverStart,RetailRentMo*CX$10*MIN(1,'LeaseUp'!CX$10/StabilizedOccupancy),0)</f>
        <v/>
      </c>
      <c r="CY22" s="18">
        <f>IF(100&gt;=DeliverStart,RetailRentMo*CY$10*MIN(1,'LeaseUp'!CY$10/StabilizedOccupancy),0)</f>
        <v/>
      </c>
      <c r="CZ22" s="18">
        <f>IF(101&gt;=DeliverStart,RetailRentMo*CZ$10*MIN(1,'LeaseUp'!CZ$10/StabilizedOccupancy),0)</f>
        <v/>
      </c>
      <c r="DA22" s="18">
        <f>IF(102&gt;=DeliverStart,RetailRentMo*DA$10*MIN(1,'LeaseUp'!DA$10/StabilizedOccupancy),0)</f>
        <v/>
      </c>
      <c r="DB22" s="18">
        <f>IF(103&gt;=DeliverStart,RetailRentMo*DB$10*MIN(1,'LeaseUp'!DB$10/StabilizedOccupancy),0)</f>
        <v/>
      </c>
      <c r="DC22" s="18">
        <f>IF(104&gt;=DeliverStart,RetailRentMo*DC$10*MIN(1,'LeaseUp'!DC$10/StabilizedOccupancy),0)</f>
        <v/>
      </c>
      <c r="DD22" s="18">
        <f>IF(105&gt;=DeliverStart,RetailRentMo*DD$10*MIN(1,'LeaseUp'!DD$10/StabilizedOccupancy),0)</f>
        <v/>
      </c>
      <c r="DE22" s="18">
        <f>IF(106&gt;=DeliverStart,RetailRentMo*DE$10*MIN(1,'LeaseUp'!DE$10/StabilizedOccupancy),0)</f>
        <v/>
      </c>
      <c r="DF22" s="18">
        <f>IF(107&gt;=DeliverStart,RetailRentMo*DF$10*MIN(1,'LeaseUp'!DF$10/StabilizedOccupancy),0)</f>
        <v/>
      </c>
      <c r="DG22" s="18">
        <f>IF(108&gt;=DeliverStart,RetailRentMo*DG$10*MIN(1,'LeaseUp'!DG$10/StabilizedOccupancy),0)</f>
        <v/>
      </c>
      <c r="DH22" s="18">
        <f>IF(109&gt;=DeliverStart,RetailRentMo*DH$10*MIN(1,'LeaseUp'!DH$10/StabilizedOccupancy),0)</f>
        <v/>
      </c>
      <c r="DI22" s="18">
        <f>IF(110&gt;=DeliverStart,RetailRentMo*DI$10*MIN(1,'LeaseUp'!DI$10/StabilizedOccupancy),0)</f>
        <v/>
      </c>
      <c r="DJ22" s="18">
        <f>IF(111&gt;=DeliverStart,RetailRentMo*DJ$10*MIN(1,'LeaseUp'!DJ$10/StabilizedOccupancy),0)</f>
        <v/>
      </c>
      <c r="DK22" s="18">
        <f>IF(112&gt;=DeliverStart,RetailRentMo*DK$10*MIN(1,'LeaseUp'!DK$10/StabilizedOccupancy),0)</f>
        <v/>
      </c>
      <c r="DL22" s="18">
        <f>IF(113&gt;=DeliverStart,RetailRentMo*DL$10*MIN(1,'LeaseUp'!DL$10/StabilizedOccupancy),0)</f>
        <v/>
      </c>
      <c r="DM22" s="18">
        <f>IF(114&gt;=DeliverStart,RetailRentMo*DM$10*MIN(1,'LeaseUp'!DM$10/StabilizedOccupancy),0)</f>
        <v/>
      </c>
      <c r="DN22" s="18">
        <f>IF(115&gt;=DeliverStart,RetailRentMo*DN$10*MIN(1,'LeaseUp'!DN$10/StabilizedOccupancy),0)</f>
        <v/>
      </c>
      <c r="DO22" s="18">
        <f>IF(116&gt;=DeliverStart,RetailRentMo*DO$10*MIN(1,'LeaseUp'!DO$10/StabilizedOccupancy),0)</f>
        <v/>
      </c>
      <c r="DP22" s="18">
        <f>IF(117&gt;=DeliverStart,RetailRentMo*DP$10*MIN(1,'LeaseUp'!DP$10/StabilizedOccupancy),0)</f>
        <v/>
      </c>
      <c r="DQ22" s="18">
        <f>IF(118&gt;=DeliverStart,RetailRentMo*DQ$10*MIN(1,'LeaseUp'!DQ$10/StabilizedOccupancy),0)</f>
        <v/>
      </c>
      <c r="DR22" s="18">
        <f>IF(119&gt;=DeliverStart,RetailRentMo*DR$10*MIN(1,'LeaseUp'!DR$10/StabilizedOccupancy),0)</f>
        <v/>
      </c>
      <c r="DS22" s="18">
        <f>IF(120&gt;=DeliverStart,RetailRentMo*DS$10*MIN(1,'LeaseUp'!DS$10/StabilizedOccupancy),0)</f>
        <v/>
      </c>
      <c r="DT22" s="18">
        <f>IF(121&gt;=DeliverStart,RetailRentMo*DT$10*MIN(1,'LeaseUp'!DT$10/StabilizedOccupancy),0)</f>
        <v/>
      </c>
      <c r="DU22" s="18">
        <f>IF(122&gt;=DeliverStart,RetailRentMo*DU$10*MIN(1,'LeaseUp'!DU$10/StabilizedOccupancy),0)</f>
        <v/>
      </c>
      <c r="DV22" s="18">
        <f>IF(123&gt;=DeliverStart,RetailRentMo*DV$10*MIN(1,'LeaseUp'!DV$10/StabilizedOccupancy),0)</f>
        <v/>
      </c>
      <c r="DW22" s="18">
        <f>IF(124&gt;=DeliverStart,RetailRentMo*DW$10*MIN(1,'LeaseUp'!DW$10/StabilizedOccupancy),0)</f>
        <v/>
      </c>
      <c r="DX22" s="18">
        <f>IF(125&gt;=DeliverStart,RetailRentMo*DX$10*MIN(1,'LeaseUp'!DX$10/StabilizedOccupancy),0)</f>
        <v/>
      </c>
      <c r="DY22" s="18">
        <f>IF(126&gt;=DeliverStart,RetailRentMo*DY$10*MIN(1,'LeaseUp'!DY$10/StabilizedOccupancy),0)</f>
        <v/>
      </c>
      <c r="DZ22" s="18">
        <f>IF(127&gt;=DeliverStart,RetailRentMo*DZ$10*MIN(1,'LeaseUp'!DZ$10/StabilizedOccupancy),0)</f>
        <v/>
      </c>
      <c r="EA22" s="18">
        <f>IF(128&gt;=DeliverStart,RetailRentMo*EA$10*MIN(1,'LeaseUp'!EA$10/StabilizedOccupancy),0)</f>
        <v/>
      </c>
      <c r="EB22" s="18">
        <f>IF(129&gt;=DeliverStart,RetailRentMo*EB$10*MIN(1,'LeaseUp'!EB$10/StabilizedOccupancy),0)</f>
        <v/>
      </c>
      <c r="EC22" s="18">
        <f>IF(130&gt;=DeliverStart,RetailRentMo*EC$10*MIN(1,'LeaseUp'!EC$10/StabilizedOccupancy),0)</f>
        <v/>
      </c>
      <c r="ED22" s="18">
        <f>IF(131&gt;=DeliverStart,RetailRentMo*ED$10*MIN(1,'LeaseUp'!ED$10/StabilizedOccupancy),0)</f>
        <v/>
      </c>
      <c r="EE22" s="18">
        <f>IF(132&gt;=DeliverStart,RetailRentMo*EE$10*MIN(1,'LeaseUp'!EE$10/StabilizedOccupancy),0)</f>
        <v/>
      </c>
      <c r="EF22" s="18">
        <f>IF(133&gt;=DeliverStart,RetailRentMo*EF$10*MIN(1,'LeaseUp'!EF$10/StabilizedOccupancy),0)</f>
        <v/>
      </c>
      <c r="EG22" s="18">
        <f>IF(134&gt;=DeliverStart,RetailRentMo*EG$10*MIN(1,'LeaseUp'!EG$10/StabilizedOccupancy),0)</f>
        <v/>
      </c>
      <c r="EH22" s="18">
        <f>IF(135&gt;=DeliverStart,RetailRentMo*EH$10*MIN(1,'LeaseUp'!EH$10/StabilizedOccupancy),0)</f>
        <v/>
      </c>
      <c r="EI22" s="18">
        <f>IF(136&gt;=DeliverStart,RetailRentMo*EI$10*MIN(1,'LeaseUp'!EI$10/StabilizedOccupancy),0)</f>
        <v/>
      </c>
      <c r="EJ22" s="18">
        <f>IF(137&gt;=DeliverStart,RetailRentMo*EJ$10*MIN(1,'LeaseUp'!EJ$10/StabilizedOccupancy),0)</f>
        <v/>
      </c>
      <c r="EK22" s="18">
        <f>IF(138&gt;=DeliverStart,RetailRentMo*EK$10*MIN(1,'LeaseUp'!EK$10/StabilizedOccupancy),0)</f>
        <v/>
      </c>
      <c r="EL22" s="18">
        <f>IF(139&gt;=DeliverStart,RetailRentMo*EL$10*MIN(1,'LeaseUp'!EL$10/StabilizedOccupancy),0)</f>
        <v/>
      </c>
      <c r="EM22" s="18">
        <f>IF(140&gt;=DeliverStart,RetailRentMo*EM$10*MIN(1,'LeaseUp'!EM$10/StabilizedOccupancy),0)</f>
        <v/>
      </c>
      <c r="EN22" s="18">
        <f>IF(141&gt;=DeliverStart,RetailRentMo*EN$10*MIN(1,'LeaseUp'!EN$10/StabilizedOccupancy),0)</f>
        <v/>
      </c>
      <c r="EO22" s="18">
        <f>IF(142&gt;=DeliverStart,RetailRentMo*EO$10*MIN(1,'LeaseUp'!EO$10/StabilizedOccupancy),0)</f>
        <v/>
      </c>
      <c r="EP22" s="18">
        <f>IF(143&gt;=DeliverStart,RetailRentMo*EP$10*MIN(1,'LeaseUp'!EP$10/StabilizedOccupancy),0)</f>
        <v/>
      </c>
      <c r="EQ22" s="18">
        <f>IF(144&gt;=DeliverStart,RetailRentMo*EQ$10*MIN(1,'LeaseUp'!EQ$10/StabilizedOccupancy),0)</f>
        <v/>
      </c>
      <c r="ER22" s="18">
        <f>IF(145&gt;=DeliverStart,RetailRentMo*ER$10*MIN(1,'LeaseUp'!ER$10/StabilizedOccupancy),0)</f>
        <v/>
      </c>
      <c r="ES22" s="18">
        <f>IF(146&gt;=DeliverStart,RetailRentMo*ES$10*MIN(1,'LeaseUp'!ES$10/StabilizedOccupancy),0)</f>
        <v/>
      </c>
      <c r="ET22" s="18">
        <f>IF(147&gt;=DeliverStart,RetailRentMo*ET$10*MIN(1,'LeaseUp'!ET$10/StabilizedOccupancy),0)</f>
        <v/>
      </c>
      <c r="EU22" s="18">
        <f>IF(148&gt;=DeliverStart,RetailRentMo*EU$10*MIN(1,'LeaseUp'!EU$10/StabilizedOccupancy),0)</f>
        <v/>
      </c>
      <c r="EV22" s="18">
        <f>IF(149&gt;=DeliverStart,RetailRentMo*EV$10*MIN(1,'LeaseUp'!EV$10/StabilizedOccupancy),0)</f>
        <v/>
      </c>
      <c r="EW22" s="18">
        <f>IF(150&gt;=DeliverStart,RetailRentMo*EW$10*MIN(1,'LeaseUp'!EW$10/StabilizedOccupancy),0)</f>
        <v/>
      </c>
      <c r="EX22" s="18">
        <f>IF(151&gt;=DeliverStart,RetailRentMo*EX$10*MIN(1,'LeaseUp'!EX$10/StabilizedOccupancy),0)</f>
        <v/>
      </c>
      <c r="EY22" s="18">
        <f>IF(152&gt;=DeliverStart,RetailRentMo*EY$10*MIN(1,'LeaseUp'!EY$10/StabilizedOccupancy),0)</f>
        <v/>
      </c>
      <c r="EZ22" s="18">
        <f>IF(153&gt;=DeliverStart,RetailRentMo*EZ$10*MIN(1,'LeaseUp'!EZ$10/StabilizedOccupancy),0)</f>
        <v/>
      </c>
      <c r="FA22" s="18">
        <f>IF(154&gt;=DeliverStart,RetailRentMo*FA$10*MIN(1,'LeaseUp'!FA$10/StabilizedOccupancy),0)</f>
        <v/>
      </c>
      <c r="FB22" s="18">
        <f>IF(155&gt;=DeliverStart,RetailRentMo*FB$10*MIN(1,'LeaseUp'!FB$10/StabilizedOccupancy),0)</f>
        <v/>
      </c>
      <c r="FC22" s="18">
        <f>IF(156&gt;=DeliverStart,RetailRentMo*FC$10*MIN(1,'LeaseUp'!FC$10/StabilizedOccupancy),0)</f>
        <v/>
      </c>
      <c r="FD22" s="18">
        <f>IF(157&gt;=DeliverStart,RetailRentMo*FD$10*MIN(1,'LeaseUp'!FD$10/StabilizedOccupancy),0)</f>
        <v/>
      </c>
      <c r="FE22" s="18">
        <f>IF(158&gt;=DeliverStart,RetailRentMo*FE$10*MIN(1,'LeaseUp'!FE$10/StabilizedOccupancy),0)</f>
        <v/>
      </c>
      <c r="FF22" s="18">
        <f>IF(159&gt;=DeliverStart,RetailRentMo*FF$10*MIN(1,'LeaseUp'!FF$10/StabilizedOccupancy),0)</f>
        <v/>
      </c>
      <c r="FG22" s="18">
        <f>IF(160&gt;=DeliverStart,RetailRentMo*FG$10*MIN(1,'LeaseUp'!FG$10/StabilizedOccupancy),0)</f>
        <v/>
      </c>
      <c r="FH22" s="18">
        <f>IF(161&gt;=DeliverStart,RetailRentMo*FH$10*MIN(1,'LeaseUp'!FH$10/StabilizedOccupancy),0)</f>
        <v/>
      </c>
      <c r="FI22" s="18">
        <f>IF(162&gt;=DeliverStart,RetailRentMo*FI$10*MIN(1,'LeaseUp'!FI$10/StabilizedOccupancy),0)</f>
        <v/>
      </c>
      <c r="FJ22" s="18">
        <f>IF(163&gt;=DeliverStart,RetailRentMo*FJ$10*MIN(1,'LeaseUp'!FJ$10/StabilizedOccupancy),0)</f>
        <v/>
      </c>
      <c r="FK22" s="18">
        <f>IF(164&gt;=DeliverStart,RetailRentMo*FK$10*MIN(1,'LeaseUp'!FK$10/StabilizedOccupancy),0)</f>
        <v/>
      </c>
      <c r="FL22" s="18">
        <f>IF(165&gt;=DeliverStart,RetailRentMo*FL$10*MIN(1,'LeaseUp'!FL$10/StabilizedOccupancy),0)</f>
        <v/>
      </c>
      <c r="FM22" s="18">
        <f>IF(166&gt;=DeliverStart,RetailRentMo*FM$10*MIN(1,'LeaseUp'!FM$10/StabilizedOccupancy),0)</f>
        <v/>
      </c>
      <c r="FN22" s="18">
        <f>IF(167&gt;=DeliverStart,RetailRentMo*FN$10*MIN(1,'LeaseUp'!FN$10/StabilizedOccupancy),0)</f>
        <v/>
      </c>
      <c r="FO22" s="18">
        <f>IF(168&gt;=DeliverStart,RetailRentMo*FO$10*MIN(1,'LeaseUp'!FO$10/StabilizedOccupancy),0)</f>
        <v/>
      </c>
      <c r="FP22" s="18">
        <f>IF(169&gt;=DeliverStart,RetailRentMo*FP$10*MIN(1,'LeaseUp'!FP$10/StabilizedOccupancy),0)</f>
        <v/>
      </c>
      <c r="FQ22" s="18">
        <f>IF(170&gt;=DeliverStart,RetailRentMo*FQ$10*MIN(1,'LeaseUp'!FQ$10/StabilizedOccupancy),0)</f>
        <v/>
      </c>
      <c r="FR22" s="18">
        <f>IF(171&gt;=DeliverStart,RetailRentMo*FR$10*MIN(1,'LeaseUp'!FR$10/StabilizedOccupancy),0)</f>
        <v/>
      </c>
      <c r="FS22" s="18">
        <f>IF(172&gt;=DeliverStart,RetailRentMo*FS$10*MIN(1,'LeaseUp'!FS$10/StabilizedOccupancy),0)</f>
        <v/>
      </c>
      <c r="FT22" s="18">
        <f>IF(173&gt;=DeliverStart,RetailRentMo*FT$10*MIN(1,'LeaseUp'!FT$10/StabilizedOccupancy),0)</f>
        <v/>
      </c>
      <c r="FU22" s="18">
        <f>IF(174&gt;=DeliverStart,RetailRentMo*FU$10*MIN(1,'LeaseUp'!FU$10/StabilizedOccupancy),0)</f>
        <v/>
      </c>
      <c r="FV22" s="18">
        <f>IF(175&gt;=DeliverStart,RetailRentMo*FV$10*MIN(1,'LeaseUp'!FV$10/StabilizedOccupancy),0)</f>
        <v/>
      </c>
      <c r="FW22" s="18">
        <f>IF(176&gt;=DeliverStart,RetailRentMo*FW$10*MIN(1,'LeaseUp'!FW$10/StabilizedOccupancy),0)</f>
        <v/>
      </c>
      <c r="FX22" s="18">
        <f>IF(177&gt;=DeliverStart,RetailRentMo*FX$10*MIN(1,'LeaseUp'!FX$10/StabilizedOccupancy),0)</f>
        <v/>
      </c>
      <c r="FY22" s="18">
        <f>IF(178&gt;=DeliverStart,RetailRentMo*FY$10*MIN(1,'LeaseUp'!FY$10/StabilizedOccupancy),0)</f>
        <v/>
      </c>
      <c r="FZ22" s="18">
        <f>IF(179&gt;=DeliverStart,RetailRentMo*FZ$10*MIN(1,'LeaseUp'!FZ$10/StabilizedOccupancy),0)</f>
        <v/>
      </c>
      <c r="GA22" s="18">
        <f>IF(180&gt;=DeliverStart,RetailRentMo*GA$10*MIN(1,'LeaseUp'!GA$10/StabilizedOccupancy),0)</f>
        <v/>
      </c>
      <c r="GB22" s="18">
        <f>IF(181&gt;=DeliverStart,RetailRentMo*GB$10*MIN(1,'LeaseUp'!GB$10/StabilizedOccupancy),0)</f>
        <v/>
      </c>
      <c r="GC22" s="18">
        <f>IF(182&gt;=DeliverStart,RetailRentMo*GC$10*MIN(1,'LeaseUp'!GC$10/StabilizedOccupancy),0)</f>
        <v/>
      </c>
      <c r="GD22" s="18">
        <f>IF(183&gt;=DeliverStart,RetailRentMo*GD$10*MIN(1,'LeaseUp'!GD$10/StabilizedOccupancy),0)</f>
        <v/>
      </c>
      <c r="GE22" s="18">
        <f>IF(184&gt;=DeliverStart,RetailRentMo*GE$10*MIN(1,'LeaseUp'!GE$10/StabilizedOccupancy),0)</f>
        <v/>
      </c>
      <c r="GF22" s="18">
        <f>IF(185&gt;=DeliverStart,RetailRentMo*GF$10*MIN(1,'LeaseUp'!GF$10/StabilizedOccupancy),0)</f>
        <v/>
      </c>
      <c r="GG22" s="18">
        <f>IF(186&gt;=DeliverStart,RetailRentMo*GG$10*MIN(1,'LeaseUp'!GG$10/StabilizedOccupancy),0)</f>
        <v/>
      </c>
      <c r="GH22" s="18">
        <f>IF(187&gt;=DeliverStart,RetailRentMo*GH$10*MIN(1,'LeaseUp'!GH$10/StabilizedOccupancy),0)</f>
        <v/>
      </c>
      <c r="GI22" s="18">
        <f>IF(188&gt;=DeliverStart,RetailRentMo*GI$10*MIN(1,'LeaseUp'!GI$10/StabilizedOccupancy),0)</f>
        <v/>
      </c>
      <c r="GJ22" s="18">
        <f>IF(189&gt;=DeliverStart,RetailRentMo*GJ$10*MIN(1,'LeaseUp'!GJ$10/StabilizedOccupancy),0)</f>
        <v/>
      </c>
      <c r="GK22" s="18">
        <f>IF(190&gt;=DeliverStart,RetailRentMo*GK$10*MIN(1,'LeaseUp'!GK$10/StabilizedOccupancy),0)</f>
        <v/>
      </c>
      <c r="GL22" s="18">
        <f>IF(191&gt;=DeliverStart,RetailRentMo*GL$10*MIN(1,'LeaseUp'!GL$10/StabilizedOccupancy),0)</f>
        <v/>
      </c>
      <c r="GM22" s="18">
        <f>IF(192&gt;=DeliverStart,RetailRentMo*GM$10*MIN(1,'LeaseUp'!GM$10/StabilizedOccupancy),0)</f>
        <v/>
      </c>
      <c r="GN22" s="18">
        <f>IF(193&gt;=DeliverStart,RetailRentMo*GN$10*MIN(1,'LeaseUp'!GN$10/StabilizedOccupancy),0)</f>
        <v/>
      </c>
      <c r="GO22" s="18">
        <f>IF(194&gt;=DeliverStart,RetailRentMo*GO$10*MIN(1,'LeaseUp'!GO$10/StabilizedOccupancy),0)</f>
        <v/>
      </c>
      <c r="GP22" s="18">
        <f>IF(195&gt;=DeliverStart,RetailRentMo*GP$10*MIN(1,'LeaseUp'!GP$10/StabilizedOccupancy),0)</f>
        <v/>
      </c>
      <c r="GQ22" s="18">
        <f>IF(196&gt;=DeliverStart,RetailRentMo*GQ$10*MIN(1,'LeaseUp'!GQ$10/StabilizedOccupancy),0)</f>
        <v/>
      </c>
      <c r="GR22" s="18">
        <f>IF(197&gt;=DeliverStart,RetailRentMo*GR$10*MIN(1,'LeaseUp'!GR$10/StabilizedOccupancy),0)</f>
        <v/>
      </c>
      <c r="GS22" s="18">
        <f>IF(198&gt;=DeliverStart,RetailRentMo*GS$10*MIN(1,'LeaseUp'!GS$10/StabilizedOccupancy),0)</f>
        <v/>
      </c>
      <c r="GT22" s="18">
        <f>IF(199&gt;=DeliverStart,RetailRentMo*GT$10*MIN(1,'LeaseUp'!GT$10/StabilizedOccupancy),0)</f>
        <v/>
      </c>
      <c r="GU22" s="18">
        <f>IF(200&gt;=DeliverStart,RetailRentMo*GU$10*MIN(1,'LeaseUp'!GU$10/StabilizedOccupancy),0)</f>
        <v/>
      </c>
      <c r="GV22" s="18">
        <f>IF(201&gt;=DeliverStart,RetailRentMo*GV$10*MIN(1,'LeaseUp'!GV$10/StabilizedOccupancy),0)</f>
        <v/>
      </c>
      <c r="GW22" s="18">
        <f>IF(202&gt;=DeliverStart,RetailRentMo*GW$10*MIN(1,'LeaseUp'!GW$10/StabilizedOccupancy),0)</f>
        <v/>
      </c>
      <c r="GX22" s="18">
        <f>IF(203&gt;=DeliverStart,RetailRentMo*GX$10*MIN(1,'LeaseUp'!GX$10/StabilizedOccupancy),0)</f>
        <v/>
      </c>
      <c r="GY22" s="18">
        <f>IF(204&gt;=DeliverStart,RetailRentMo*GY$10*MIN(1,'LeaseUp'!GY$10/StabilizedOccupancy),0)</f>
        <v/>
      </c>
      <c r="GZ22" s="18">
        <f>IF(205&gt;=DeliverStart,RetailRentMo*GZ$10*MIN(1,'LeaseUp'!GZ$10/StabilizedOccupancy),0)</f>
        <v/>
      </c>
      <c r="HA22" s="18">
        <f>IF(206&gt;=DeliverStart,RetailRentMo*HA$10*MIN(1,'LeaseUp'!HA$10/StabilizedOccupancy),0)</f>
        <v/>
      </c>
      <c r="HB22" s="18">
        <f>IF(207&gt;=DeliverStart,RetailRentMo*HB$10*MIN(1,'LeaseUp'!HB$10/StabilizedOccupancy),0)</f>
        <v/>
      </c>
      <c r="HC22" s="18">
        <f>IF(208&gt;=DeliverStart,RetailRentMo*HC$10*MIN(1,'LeaseUp'!HC$10/StabilizedOccupancy),0)</f>
        <v/>
      </c>
      <c r="HD22" s="18">
        <f>IF(209&gt;=DeliverStart,RetailRentMo*HD$10*MIN(1,'LeaseUp'!HD$10/StabilizedOccupancy),0)</f>
        <v/>
      </c>
      <c r="HE22" s="18">
        <f>IF(210&gt;=DeliverStart,RetailRentMo*HE$10*MIN(1,'LeaseUp'!HE$10/StabilizedOccupancy),0)</f>
        <v/>
      </c>
      <c r="HF22" s="18">
        <f>IF(211&gt;=DeliverStart,RetailRentMo*HF$10*MIN(1,'LeaseUp'!HF$10/StabilizedOccupancy),0)</f>
        <v/>
      </c>
      <c r="HG22" s="18">
        <f>IF(212&gt;=DeliverStart,RetailRentMo*HG$10*MIN(1,'LeaseUp'!HG$10/StabilizedOccupancy),0)</f>
        <v/>
      </c>
      <c r="HH22" s="18">
        <f>IF(213&gt;=DeliverStart,RetailRentMo*HH$10*MIN(1,'LeaseUp'!HH$10/StabilizedOccupancy),0)</f>
        <v/>
      </c>
      <c r="HI22" s="18">
        <f>IF(214&gt;=DeliverStart,RetailRentMo*HI$10*MIN(1,'LeaseUp'!HI$10/StabilizedOccupancy),0)</f>
        <v/>
      </c>
      <c r="HJ22" s="18">
        <f>IF(215&gt;=DeliverStart,RetailRentMo*HJ$10*MIN(1,'LeaseUp'!HJ$10/StabilizedOccupancy),0)</f>
        <v/>
      </c>
      <c r="HK22" s="18">
        <f>IF(216&gt;=DeliverStart,RetailRentMo*HK$10*MIN(1,'LeaseUp'!HK$10/StabilizedOccupancy),0)</f>
        <v/>
      </c>
      <c r="HL22" s="18">
        <f>IF(217&gt;=DeliverStart,RetailRentMo*HL$10*MIN(1,'LeaseUp'!HL$10/StabilizedOccupancy),0)</f>
        <v/>
      </c>
      <c r="HM22" s="18">
        <f>IF(218&gt;=DeliverStart,RetailRentMo*HM$10*MIN(1,'LeaseUp'!HM$10/StabilizedOccupancy),0)</f>
        <v/>
      </c>
      <c r="HN22" s="18">
        <f>IF(219&gt;=DeliverStart,RetailRentMo*HN$10*MIN(1,'LeaseUp'!HN$10/StabilizedOccupancy),0)</f>
        <v/>
      </c>
      <c r="HO22" s="18">
        <f>IF(220&gt;=DeliverStart,RetailRentMo*HO$10*MIN(1,'LeaseUp'!HO$10/StabilizedOccupancy),0)</f>
        <v/>
      </c>
      <c r="HP22" s="18">
        <f>IF(221&gt;=DeliverStart,RetailRentMo*HP$10*MIN(1,'LeaseUp'!HP$10/StabilizedOccupancy),0)</f>
        <v/>
      </c>
      <c r="HQ22" s="18">
        <f>IF(222&gt;=DeliverStart,RetailRentMo*HQ$10*MIN(1,'LeaseUp'!HQ$10/StabilizedOccupancy),0)</f>
        <v/>
      </c>
      <c r="HR22" s="18">
        <f>IF(223&gt;=DeliverStart,RetailRentMo*HR$10*MIN(1,'LeaseUp'!HR$10/StabilizedOccupancy),0)</f>
        <v/>
      </c>
      <c r="HS22" s="18">
        <f>IF(224&gt;=DeliverStart,RetailRentMo*HS$10*MIN(1,'LeaseUp'!HS$10/StabilizedOccupancy),0)</f>
        <v/>
      </c>
      <c r="HT22" s="18">
        <f>IF(225&gt;=DeliverStart,RetailRentMo*HT$10*MIN(1,'LeaseUp'!HT$10/StabilizedOccupancy),0)</f>
        <v/>
      </c>
      <c r="HU22" s="18">
        <f>IF(226&gt;=DeliverStart,RetailRentMo*HU$10*MIN(1,'LeaseUp'!HU$10/StabilizedOccupancy),0)</f>
        <v/>
      </c>
      <c r="HV22" s="18">
        <f>IF(227&gt;=DeliverStart,RetailRentMo*HV$10*MIN(1,'LeaseUp'!HV$10/StabilizedOccupancy),0)</f>
        <v/>
      </c>
      <c r="HW22" s="18">
        <f>IF(228&gt;=DeliverStart,RetailRentMo*HW$10*MIN(1,'LeaseUp'!HW$10/StabilizedOccupancy),0)</f>
        <v/>
      </c>
      <c r="HX22" s="18">
        <f>IF(229&gt;=DeliverStart,RetailRentMo*HX$10*MIN(1,'LeaseUp'!HX$10/StabilizedOccupancy),0)</f>
        <v/>
      </c>
      <c r="HY22" s="18">
        <f>IF(230&gt;=DeliverStart,RetailRentMo*HY$10*MIN(1,'LeaseUp'!HY$10/StabilizedOccupancy),0)</f>
        <v/>
      </c>
      <c r="HZ22" s="18">
        <f>IF(231&gt;=DeliverStart,RetailRentMo*HZ$10*MIN(1,'LeaseUp'!HZ$10/StabilizedOccupancy),0)</f>
        <v/>
      </c>
      <c r="IA22" s="18">
        <f>IF(232&gt;=DeliverStart,RetailRentMo*IA$10*MIN(1,'LeaseUp'!IA$10/StabilizedOccupancy),0)</f>
        <v/>
      </c>
      <c r="IB22" s="18">
        <f>IF(233&gt;=DeliverStart,RetailRentMo*IB$10*MIN(1,'LeaseUp'!IB$10/StabilizedOccupancy),0)</f>
        <v/>
      </c>
      <c r="IC22" s="18">
        <f>IF(234&gt;=DeliverStart,RetailRentMo*IC$10*MIN(1,'LeaseUp'!IC$10/StabilizedOccupancy),0)</f>
        <v/>
      </c>
      <c r="ID22" s="18">
        <f>IF(235&gt;=DeliverStart,RetailRentMo*ID$10*MIN(1,'LeaseUp'!ID$10/StabilizedOccupancy),0)</f>
        <v/>
      </c>
      <c r="IE22" s="18">
        <f>IF(236&gt;=DeliverStart,RetailRentMo*IE$10*MIN(1,'LeaseUp'!IE$10/StabilizedOccupancy),0)</f>
        <v/>
      </c>
      <c r="IF22" s="18">
        <f>IF(237&gt;=DeliverStart,RetailRentMo*IF$10*MIN(1,'LeaseUp'!IF$10/StabilizedOccupancy),0)</f>
        <v/>
      </c>
      <c r="IG22" s="18">
        <f>IF(238&gt;=DeliverStart,RetailRentMo*IG$10*MIN(1,'LeaseUp'!IG$10/StabilizedOccupancy),0)</f>
        <v/>
      </c>
      <c r="IH22" s="18">
        <f>IF(239&gt;=DeliverStart,RetailRentMo*IH$10*MIN(1,'LeaseUp'!IH$10/StabilizedOccupancy),0)</f>
        <v/>
      </c>
      <c r="II22" s="18">
        <f>IF(240&gt;=DeliverStart,RetailRentMo*II$10*MIN(1,'LeaseUp'!II$10/StabilizedOccupancy),0)</f>
        <v/>
      </c>
      <c r="IJ22" s="18">
        <f>IF(241&gt;=DeliverStart,RetailRentMo*IJ$10*MIN(1,'LeaseUp'!IJ$10/StabilizedOccupancy),0)</f>
        <v/>
      </c>
      <c r="IK22" s="18">
        <f>IF(242&gt;=DeliverStart,RetailRentMo*IK$10*MIN(1,'LeaseUp'!IK$10/StabilizedOccupancy),0)</f>
        <v/>
      </c>
      <c r="IL22" s="18">
        <f>IF(243&gt;=DeliverStart,RetailRentMo*IL$10*MIN(1,'LeaseUp'!IL$10/StabilizedOccupancy),0)</f>
        <v/>
      </c>
      <c r="IM22" s="18">
        <f>IF(244&gt;=DeliverStart,RetailRentMo*IM$10*MIN(1,'LeaseUp'!IM$10/StabilizedOccupancy),0)</f>
        <v/>
      </c>
      <c r="IN22" s="18">
        <f>IF(245&gt;=DeliverStart,RetailRentMo*IN$10*MIN(1,'LeaseUp'!IN$10/StabilizedOccupancy),0)</f>
        <v/>
      </c>
      <c r="IO22" s="18">
        <f>IF(246&gt;=DeliverStart,RetailRentMo*IO$10*MIN(1,'LeaseUp'!IO$10/StabilizedOccupancy),0)</f>
        <v/>
      </c>
      <c r="IP22" s="18">
        <f>IF(247&gt;=DeliverStart,RetailRentMo*IP$10*MIN(1,'LeaseUp'!IP$10/StabilizedOccupancy),0)</f>
        <v/>
      </c>
      <c r="IQ22" s="18">
        <f>IF(248&gt;=DeliverStart,RetailRentMo*IQ$10*MIN(1,'LeaseUp'!IQ$10/StabilizedOccupancy),0)</f>
        <v/>
      </c>
      <c r="IR22" s="18">
        <f>IF(249&gt;=DeliverStart,RetailRentMo*IR$10*MIN(1,'LeaseUp'!IR$10/StabilizedOccupancy),0)</f>
        <v/>
      </c>
      <c r="IS22" s="18">
        <f>IF(250&gt;=DeliverStart,RetailRentMo*IS$10*MIN(1,'LeaseUp'!IS$10/StabilizedOccupancy),0)</f>
        <v/>
      </c>
      <c r="IT22" s="18">
        <f>IF(251&gt;=DeliverStart,RetailRentMo*IT$10*MIN(1,'LeaseUp'!IT$10/StabilizedOccupancy),0)</f>
        <v/>
      </c>
      <c r="IU22" s="18">
        <f>IF(252&gt;=DeliverStart,RetailRentMo*IU$10*MIN(1,'LeaseUp'!IU$10/StabilizedOccupancy),0)</f>
        <v/>
      </c>
      <c r="IV22" s="18">
        <f>IF(253&gt;=DeliverStart,RetailRentMo*IV$10*MIN(1,'LeaseUp'!IV$10/StabilizedOccupancy),0)</f>
        <v/>
      </c>
      <c r="IW22" s="18">
        <f>IF(254&gt;=DeliverStart,RetailRentMo*IW$10*MIN(1,'LeaseUp'!IW$10/StabilizedOccupancy),0)</f>
        <v/>
      </c>
      <c r="IX22" s="18">
        <f>IF(255&gt;=DeliverStart,RetailRentMo*IX$10*MIN(1,'LeaseUp'!IX$10/StabilizedOccupancy),0)</f>
        <v/>
      </c>
      <c r="IY22" s="18">
        <f>IF(256&gt;=DeliverStart,RetailRentMo*IY$10*MIN(1,'LeaseUp'!IY$10/StabilizedOccupancy),0)</f>
        <v/>
      </c>
      <c r="IZ22" s="18">
        <f>IF(257&gt;=DeliverStart,RetailRentMo*IZ$10*MIN(1,'LeaseUp'!IZ$10/StabilizedOccupancy),0)</f>
        <v/>
      </c>
      <c r="JA22" s="18">
        <f>IF(258&gt;=DeliverStart,RetailRentMo*JA$10*MIN(1,'LeaseUp'!JA$10/StabilizedOccupancy),0)</f>
        <v/>
      </c>
      <c r="JB22" s="18">
        <f>IF(259&gt;=DeliverStart,RetailRentMo*JB$10*MIN(1,'LeaseUp'!JB$10/StabilizedOccupancy),0)</f>
        <v/>
      </c>
      <c r="JC22" s="18">
        <f>IF(260&gt;=DeliverStart,RetailRentMo*JC$10*MIN(1,'LeaseUp'!JC$10/StabilizedOccupancy),0)</f>
        <v/>
      </c>
      <c r="JD22" s="18">
        <f>IF(261&gt;=DeliverStart,RetailRentMo*JD$10*MIN(1,'LeaseUp'!JD$10/StabilizedOccupancy),0)</f>
        <v/>
      </c>
      <c r="JE22" s="18">
        <f>IF(262&gt;=DeliverStart,RetailRentMo*JE$10*MIN(1,'LeaseUp'!JE$10/StabilizedOccupancy),0)</f>
        <v/>
      </c>
      <c r="JF22" s="18">
        <f>IF(263&gt;=DeliverStart,RetailRentMo*JF$10*MIN(1,'LeaseUp'!JF$10/StabilizedOccupancy),0)</f>
        <v/>
      </c>
      <c r="JG22" s="18">
        <f>IF(264&gt;=DeliverStart,RetailRentMo*JG$10*MIN(1,'LeaseUp'!JG$10/StabilizedOccupancy),0)</f>
        <v/>
      </c>
      <c r="JH22" s="18">
        <f>IF(265&gt;=DeliverStart,RetailRentMo*JH$10*MIN(1,'LeaseUp'!JH$10/StabilizedOccupancy),0)</f>
        <v/>
      </c>
      <c r="JI22" s="18">
        <f>IF(266&gt;=DeliverStart,RetailRentMo*JI$10*MIN(1,'LeaseUp'!JI$10/StabilizedOccupancy),0)</f>
        <v/>
      </c>
      <c r="JJ22" s="18">
        <f>IF(267&gt;=DeliverStart,RetailRentMo*JJ$10*MIN(1,'LeaseUp'!JJ$10/StabilizedOccupancy),0)</f>
        <v/>
      </c>
      <c r="JK22" s="18">
        <f>IF(268&gt;=DeliverStart,RetailRentMo*JK$10*MIN(1,'LeaseUp'!JK$10/StabilizedOccupancy),0)</f>
        <v/>
      </c>
      <c r="JL22" s="18">
        <f>IF(269&gt;=DeliverStart,RetailRentMo*JL$10*MIN(1,'LeaseUp'!JL$10/StabilizedOccupancy),0)</f>
        <v/>
      </c>
      <c r="JM22" s="18">
        <f>IF(270&gt;=DeliverStart,RetailRentMo*JM$10*MIN(1,'LeaseUp'!JM$10/StabilizedOccupancy),0)</f>
        <v/>
      </c>
      <c r="JN22" s="18">
        <f>IF(271&gt;=DeliverStart,RetailRentMo*JN$10*MIN(1,'LeaseUp'!JN$10/StabilizedOccupancy),0)</f>
        <v/>
      </c>
      <c r="JO22" s="18">
        <f>IF(272&gt;=DeliverStart,RetailRentMo*JO$10*MIN(1,'LeaseUp'!JO$10/StabilizedOccupancy),0)</f>
        <v/>
      </c>
      <c r="JP22" s="18">
        <f>IF(273&gt;=DeliverStart,RetailRentMo*JP$10*MIN(1,'LeaseUp'!JP$10/StabilizedOccupancy),0)</f>
        <v/>
      </c>
      <c r="JQ22" s="18">
        <f>IF(274&gt;=DeliverStart,RetailRentMo*JQ$10*MIN(1,'LeaseUp'!JQ$10/StabilizedOccupancy),0)</f>
        <v/>
      </c>
      <c r="JR22" s="18">
        <f>IF(275&gt;=DeliverStart,RetailRentMo*JR$10*MIN(1,'LeaseUp'!JR$10/StabilizedOccupancy),0)</f>
        <v/>
      </c>
      <c r="JS22" s="18">
        <f>IF(276&gt;=DeliverStart,RetailRentMo*JS$10*MIN(1,'LeaseUp'!JS$10/StabilizedOccupancy),0)</f>
        <v/>
      </c>
      <c r="JT22" s="18">
        <f>IF(277&gt;=DeliverStart,RetailRentMo*JT$10*MIN(1,'LeaseUp'!JT$10/StabilizedOccupancy),0)</f>
        <v/>
      </c>
      <c r="JU22" s="18">
        <f>IF(278&gt;=DeliverStart,RetailRentMo*JU$10*MIN(1,'LeaseUp'!JU$10/StabilizedOccupancy),0)</f>
        <v/>
      </c>
      <c r="JV22" s="18">
        <f>IF(279&gt;=DeliverStart,RetailRentMo*JV$10*MIN(1,'LeaseUp'!JV$10/StabilizedOccupancy),0)</f>
        <v/>
      </c>
      <c r="JW22" s="18">
        <f>IF(280&gt;=DeliverStart,RetailRentMo*JW$10*MIN(1,'LeaseUp'!JW$10/StabilizedOccupancy),0)</f>
        <v/>
      </c>
      <c r="JX22" s="18">
        <f>IF(281&gt;=DeliverStart,RetailRentMo*JX$10*MIN(1,'LeaseUp'!JX$10/StabilizedOccupancy),0)</f>
        <v/>
      </c>
      <c r="JY22" s="18">
        <f>IF(282&gt;=DeliverStart,RetailRentMo*JY$10*MIN(1,'LeaseUp'!JY$10/StabilizedOccupancy),0)</f>
        <v/>
      </c>
      <c r="JZ22" s="18">
        <f>IF(283&gt;=DeliverStart,RetailRentMo*JZ$10*MIN(1,'LeaseUp'!JZ$10/StabilizedOccupancy),0)</f>
        <v/>
      </c>
      <c r="KA22" s="18">
        <f>IF(284&gt;=DeliverStart,RetailRentMo*KA$10*MIN(1,'LeaseUp'!KA$10/StabilizedOccupancy),0)</f>
        <v/>
      </c>
      <c r="KB22" s="18">
        <f>IF(285&gt;=DeliverStart,RetailRentMo*KB$10*MIN(1,'LeaseUp'!KB$10/StabilizedOccupancy),0)</f>
        <v/>
      </c>
      <c r="KC22" s="18">
        <f>IF(286&gt;=DeliverStart,RetailRentMo*KC$10*MIN(1,'LeaseUp'!KC$10/StabilizedOccupancy),0)</f>
        <v/>
      </c>
      <c r="KD22" s="18">
        <f>IF(287&gt;=DeliverStart,RetailRentMo*KD$10*MIN(1,'LeaseUp'!KD$10/StabilizedOccupancy),0)</f>
        <v/>
      </c>
      <c r="KE22" s="18">
        <f>IF(288&gt;=DeliverStart,RetailRentMo*KE$10*MIN(1,'LeaseUp'!KE$10/StabilizedOccupancy),0)</f>
        <v/>
      </c>
      <c r="KF22" s="18">
        <f>IF(289&gt;=DeliverStart,RetailRentMo*KF$10*MIN(1,'LeaseUp'!KF$10/StabilizedOccupancy),0)</f>
        <v/>
      </c>
      <c r="KG22" s="18">
        <f>IF(290&gt;=DeliverStart,RetailRentMo*KG$10*MIN(1,'LeaseUp'!KG$10/StabilizedOccupancy),0)</f>
        <v/>
      </c>
      <c r="KH22" s="18">
        <f>IF(291&gt;=DeliverStart,RetailRentMo*KH$10*MIN(1,'LeaseUp'!KH$10/StabilizedOccupancy),0)</f>
        <v/>
      </c>
      <c r="KI22" s="18">
        <f>IF(292&gt;=DeliverStart,RetailRentMo*KI$10*MIN(1,'LeaseUp'!KI$10/StabilizedOccupancy),0)</f>
        <v/>
      </c>
      <c r="KJ22" s="18">
        <f>IF(293&gt;=DeliverStart,RetailRentMo*KJ$10*MIN(1,'LeaseUp'!KJ$10/StabilizedOccupancy),0)</f>
        <v/>
      </c>
      <c r="KK22" s="18">
        <f>IF(294&gt;=DeliverStart,RetailRentMo*KK$10*MIN(1,'LeaseUp'!KK$10/StabilizedOccupancy),0)</f>
        <v/>
      </c>
      <c r="KL22" s="18">
        <f>IF(295&gt;=DeliverStart,RetailRentMo*KL$10*MIN(1,'LeaseUp'!KL$10/StabilizedOccupancy),0)</f>
        <v/>
      </c>
      <c r="KM22" s="18">
        <f>IF(296&gt;=DeliverStart,RetailRentMo*KM$10*MIN(1,'LeaseUp'!KM$10/StabilizedOccupancy),0)</f>
        <v/>
      </c>
      <c r="KN22" s="18">
        <f>IF(297&gt;=DeliverStart,RetailRentMo*KN$10*MIN(1,'LeaseUp'!KN$10/StabilizedOccupancy),0)</f>
        <v/>
      </c>
      <c r="KO22" s="18">
        <f>IF(298&gt;=DeliverStart,RetailRentMo*KO$10*MIN(1,'LeaseUp'!KO$10/StabilizedOccupancy),0)</f>
        <v/>
      </c>
      <c r="KP22" s="18">
        <f>IF(299&gt;=DeliverStart,RetailRentMo*KP$10*MIN(1,'LeaseUp'!KP$10/StabilizedOccupancy),0)</f>
        <v/>
      </c>
      <c r="KQ22" s="18">
        <f>IF(300&gt;=DeliverStart,RetailRentMo*KQ$10*MIN(1,'LeaseUp'!KQ$10/StabilizedOccupancy),0)</f>
        <v/>
      </c>
      <c r="KR22" s="18">
        <f>IF(301&gt;=DeliverStart,RetailRentMo*KR$10*MIN(1,'LeaseUp'!KR$10/StabilizedOccupancy),0)</f>
        <v/>
      </c>
      <c r="KS22" s="18">
        <f>IF(302&gt;=DeliverStart,RetailRentMo*KS$10*MIN(1,'LeaseUp'!KS$10/StabilizedOccupancy),0)</f>
        <v/>
      </c>
      <c r="KT22" s="18">
        <f>IF(303&gt;=DeliverStart,RetailRentMo*KT$10*MIN(1,'LeaseUp'!KT$10/StabilizedOccupancy),0)</f>
        <v/>
      </c>
      <c r="KU22" s="18">
        <f>IF(304&gt;=DeliverStart,RetailRentMo*KU$10*MIN(1,'LeaseUp'!KU$10/StabilizedOccupancy),0)</f>
        <v/>
      </c>
      <c r="KV22" s="18">
        <f>IF(305&gt;=DeliverStart,RetailRentMo*KV$10*MIN(1,'LeaseUp'!KV$10/StabilizedOccupancy),0)</f>
        <v/>
      </c>
      <c r="KW22" s="18">
        <f>IF(306&gt;=DeliverStart,RetailRentMo*KW$10*MIN(1,'LeaseUp'!KW$10/StabilizedOccupancy),0)</f>
        <v/>
      </c>
      <c r="KX22" s="18">
        <f>IF(307&gt;=DeliverStart,RetailRentMo*KX$10*MIN(1,'LeaseUp'!KX$10/StabilizedOccupancy),0)</f>
        <v/>
      </c>
      <c r="KY22" s="18">
        <f>IF(308&gt;=DeliverStart,RetailRentMo*KY$10*MIN(1,'LeaseUp'!KY$10/StabilizedOccupancy),0)</f>
        <v/>
      </c>
      <c r="KZ22" s="18">
        <f>IF(309&gt;=DeliverStart,RetailRentMo*KZ$10*MIN(1,'LeaseUp'!KZ$10/StabilizedOccupancy),0)</f>
        <v/>
      </c>
      <c r="LA22" s="18">
        <f>IF(310&gt;=DeliverStart,RetailRentMo*LA$10*MIN(1,'LeaseUp'!LA$10/StabilizedOccupancy),0)</f>
        <v/>
      </c>
      <c r="LB22" s="18">
        <f>IF(311&gt;=DeliverStart,RetailRentMo*LB$10*MIN(1,'LeaseUp'!LB$10/StabilizedOccupancy),0)</f>
        <v/>
      </c>
      <c r="LC22" s="18">
        <f>IF(312&gt;=DeliverStart,RetailRentMo*LC$10*MIN(1,'LeaseUp'!LC$10/StabilizedOccupancy),0)</f>
        <v/>
      </c>
      <c r="LD22" s="18">
        <f>IF(313&gt;=DeliverStart,RetailRentMo*LD$10*MIN(1,'LeaseUp'!LD$10/StabilizedOccupancy),0)</f>
        <v/>
      </c>
      <c r="LE22" s="18">
        <f>IF(314&gt;=DeliverStart,RetailRentMo*LE$10*MIN(1,'LeaseUp'!LE$10/StabilizedOccupancy),0)</f>
        <v/>
      </c>
      <c r="LF22" s="18">
        <f>IF(315&gt;=DeliverStart,RetailRentMo*LF$10*MIN(1,'LeaseUp'!LF$10/StabilizedOccupancy),0)</f>
        <v/>
      </c>
      <c r="LG22" s="18">
        <f>IF(316&gt;=DeliverStart,RetailRentMo*LG$10*MIN(1,'LeaseUp'!LG$10/StabilizedOccupancy),0)</f>
        <v/>
      </c>
      <c r="LH22" s="18">
        <f>IF(317&gt;=DeliverStart,RetailRentMo*LH$10*MIN(1,'LeaseUp'!LH$10/StabilizedOccupancy),0)</f>
        <v/>
      </c>
      <c r="LI22" s="18">
        <f>IF(318&gt;=DeliverStart,RetailRentMo*LI$10*MIN(1,'LeaseUp'!LI$10/StabilizedOccupancy),0)</f>
        <v/>
      </c>
      <c r="LJ22" s="18">
        <f>IF(319&gt;=DeliverStart,RetailRentMo*LJ$10*MIN(1,'LeaseUp'!LJ$10/StabilizedOccupancy),0)</f>
        <v/>
      </c>
      <c r="LK22" s="18">
        <f>IF(320&gt;=DeliverStart,RetailRentMo*LK$10*MIN(1,'LeaseUp'!LK$10/StabilizedOccupancy),0)</f>
        <v/>
      </c>
      <c r="LL22" s="18">
        <f>IF(321&gt;=DeliverStart,RetailRentMo*LL$10*MIN(1,'LeaseUp'!LL$10/StabilizedOccupancy),0)</f>
        <v/>
      </c>
      <c r="LM22" s="18">
        <f>IF(322&gt;=DeliverStart,RetailRentMo*LM$10*MIN(1,'LeaseUp'!LM$10/StabilizedOccupancy),0)</f>
        <v/>
      </c>
      <c r="LN22" s="18">
        <f>IF(323&gt;=DeliverStart,RetailRentMo*LN$10*MIN(1,'LeaseUp'!LN$10/StabilizedOccupancy),0)</f>
        <v/>
      </c>
      <c r="LO22" s="18">
        <f>IF(324&gt;=DeliverStart,RetailRentMo*LO$10*MIN(1,'LeaseUp'!LO$10/StabilizedOccupancy),0)</f>
        <v/>
      </c>
      <c r="LP22" s="18">
        <f>IF(325&gt;=DeliverStart,RetailRentMo*LP$10*MIN(1,'LeaseUp'!LP$10/StabilizedOccupancy),0)</f>
        <v/>
      </c>
      <c r="LQ22" s="18">
        <f>IF(326&gt;=DeliverStart,RetailRentMo*LQ$10*MIN(1,'LeaseUp'!LQ$10/StabilizedOccupancy),0)</f>
        <v/>
      </c>
      <c r="LR22" s="18">
        <f>IF(327&gt;=DeliverStart,RetailRentMo*LR$10*MIN(1,'LeaseUp'!LR$10/StabilizedOccupancy),0)</f>
        <v/>
      </c>
      <c r="LS22" s="18">
        <f>IF(328&gt;=DeliverStart,RetailRentMo*LS$10*MIN(1,'LeaseUp'!LS$10/StabilizedOccupancy),0)</f>
        <v/>
      </c>
      <c r="LT22" s="18">
        <f>IF(329&gt;=DeliverStart,RetailRentMo*LT$10*MIN(1,'LeaseUp'!LT$10/StabilizedOccupancy),0)</f>
        <v/>
      </c>
      <c r="LU22" s="18">
        <f>IF(330&gt;=DeliverStart,RetailRentMo*LU$10*MIN(1,'LeaseUp'!LU$10/StabilizedOccupancy),0)</f>
        <v/>
      </c>
      <c r="LV22" s="18">
        <f>IF(331&gt;=DeliverStart,RetailRentMo*LV$10*MIN(1,'LeaseUp'!LV$10/StabilizedOccupancy),0)</f>
        <v/>
      </c>
      <c r="LW22" s="18">
        <f>IF(332&gt;=DeliverStart,RetailRentMo*LW$10*MIN(1,'LeaseUp'!LW$10/StabilizedOccupancy),0)</f>
        <v/>
      </c>
      <c r="LX22" s="18">
        <f>IF(333&gt;=DeliverStart,RetailRentMo*LX$10*MIN(1,'LeaseUp'!LX$10/StabilizedOccupancy),0)</f>
        <v/>
      </c>
      <c r="LY22" s="18">
        <f>IF(334&gt;=DeliverStart,RetailRentMo*LY$10*MIN(1,'LeaseUp'!LY$10/StabilizedOccupancy),0)</f>
        <v/>
      </c>
      <c r="LZ22" s="18">
        <f>IF(335&gt;=DeliverStart,RetailRentMo*LZ$10*MIN(1,'LeaseUp'!LZ$10/StabilizedOccupancy),0)</f>
        <v/>
      </c>
      <c r="MA22" s="18">
        <f>IF(336&gt;=DeliverStart,RetailRentMo*MA$10*MIN(1,'LeaseUp'!MA$10/StabilizedOccupancy),0)</f>
        <v/>
      </c>
      <c r="MB22" s="18">
        <f>IF(337&gt;=DeliverStart,RetailRentMo*MB$10*MIN(1,'LeaseUp'!MB$10/StabilizedOccupancy),0)</f>
        <v/>
      </c>
      <c r="MC22" s="18">
        <f>IF(338&gt;=DeliverStart,RetailRentMo*MC$10*MIN(1,'LeaseUp'!MC$10/StabilizedOccupancy),0)</f>
        <v/>
      </c>
      <c r="MD22" s="18">
        <f>IF(339&gt;=DeliverStart,RetailRentMo*MD$10*MIN(1,'LeaseUp'!MD$10/StabilizedOccupancy),0)</f>
        <v/>
      </c>
      <c r="ME22" s="18">
        <f>IF(340&gt;=DeliverStart,RetailRentMo*ME$10*MIN(1,'LeaseUp'!ME$10/StabilizedOccupancy),0)</f>
        <v/>
      </c>
      <c r="MF22" s="18">
        <f>IF(341&gt;=DeliverStart,RetailRentMo*MF$10*MIN(1,'LeaseUp'!MF$10/StabilizedOccupancy),0)</f>
        <v/>
      </c>
      <c r="MG22" s="18">
        <f>IF(342&gt;=DeliverStart,RetailRentMo*MG$10*MIN(1,'LeaseUp'!MG$10/StabilizedOccupancy),0)</f>
        <v/>
      </c>
      <c r="MH22" s="18">
        <f>IF(343&gt;=DeliverStart,RetailRentMo*MH$10*MIN(1,'LeaseUp'!MH$10/StabilizedOccupancy),0)</f>
        <v/>
      </c>
      <c r="MI22" s="18">
        <f>IF(344&gt;=DeliverStart,RetailRentMo*MI$10*MIN(1,'LeaseUp'!MI$10/StabilizedOccupancy),0)</f>
        <v/>
      </c>
      <c r="MJ22" s="18">
        <f>IF(345&gt;=DeliverStart,RetailRentMo*MJ$10*MIN(1,'LeaseUp'!MJ$10/StabilizedOccupancy),0)</f>
        <v/>
      </c>
      <c r="MK22" s="18">
        <f>IF(346&gt;=DeliverStart,RetailRentMo*MK$10*MIN(1,'LeaseUp'!MK$10/StabilizedOccupancy),0)</f>
        <v/>
      </c>
      <c r="ML22" s="18">
        <f>IF(347&gt;=DeliverStart,RetailRentMo*ML$10*MIN(1,'LeaseUp'!ML$10/StabilizedOccupancy),0)</f>
        <v/>
      </c>
      <c r="MM22" s="18">
        <f>IF(348&gt;=DeliverStart,RetailRentMo*MM$10*MIN(1,'LeaseUp'!MM$10/StabilizedOccupancy),0)</f>
        <v/>
      </c>
      <c r="MN22" s="18">
        <f>IF(349&gt;=DeliverStart,RetailRentMo*MN$10*MIN(1,'LeaseUp'!MN$10/StabilizedOccupancy),0)</f>
        <v/>
      </c>
      <c r="MO22" s="18">
        <f>IF(350&gt;=DeliverStart,RetailRentMo*MO$10*MIN(1,'LeaseUp'!MO$10/StabilizedOccupancy),0)</f>
        <v/>
      </c>
      <c r="MP22" s="18">
        <f>IF(351&gt;=DeliverStart,RetailRentMo*MP$10*MIN(1,'LeaseUp'!MP$10/StabilizedOccupancy),0)</f>
        <v/>
      </c>
      <c r="MQ22" s="18">
        <f>IF(352&gt;=DeliverStart,RetailRentMo*MQ$10*MIN(1,'LeaseUp'!MQ$10/StabilizedOccupancy),0)</f>
        <v/>
      </c>
      <c r="MR22" s="18">
        <f>IF(353&gt;=DeliverStart,RetailRentMo*MR$10*MIN(1,'LeaseUp'!MR$10/StabilizedOccupancy),0)</f>
        <v/>
      </c>
      <c r="MS22" s="18">
        <f>IF(354&gt;=DeliverStart,RetailRentMo*MS$10*MIN(1,'LeaseUp'!MS$10/StabilizedOccupancy),0)</f>
        <v/>
      </c>
      <c r="MT22" s="18">
        <f>IF(355&gt;=DeliverStart,RetailRentMo*MT$10*MIN(1,'LeaseUp'!MT$10/StabilizedOccupancy),0)</f>
        <v/>
      </c>
      <c r="MU22" s="18">
        <f>IF(356&gt;=DeliverStart,RetailRentMo*MU$10*MIN(1,'LeaseUp'!MU$10/StabilizedOccupancy),0)</f>
        <v/>
      </c>
      <c r="MV22" s="18">
        <f>IF(357&gt;=DeliverStart,RetailRentMo*MV$10*MIN(1,'LeaseUp'!MV$10/StabilizedOccupancy),0)</f>
        <v/>
      </c>
      <c r="MW22" s="18">
        <f>IF(358&gt;=DeliverStart,RetailRentMo*MW$10*MIN(1,'LeaseUp'!MW$10/StabilizedOccupancy),0)</f>
        <v/>
      </c>
      <c r="MX22" s="18">
        <f>IF(359&gt;=DeliverStart,RetailRentMo*MX$10*MIN(1,'LeaseUp'!MX$10/StabilizedOccupancy),0)</f>
        <v/>
      </c>
      <c r="MY22" s="18">
        <f>IF(360&gt;=DeliverStart,RetailRentMo*MY$10*MIN(1,'LeaseUp'!MY$10/StabilizedOccupancy),0)</f>
        <v/>
      </c>
      <c r="MZ22" s="18">
        <f>IF(361&gt;=DeliverStart,RetailRentMo*MZ$10*MIN(1,'LeaseUp'!MZ$10/StabilizedOccupancy),0)</f>
        <v/>
      </c>
      <c r="NA22" s="18">
        <f>IF(362&gt;=DeliverStart,RetailRentMo*NA$10*MIN(1,'LeaseUp'!NA$10/StabilizedOccupancy),0)</f>
        <v/>
      </c>
      <c r="NB22" s="18">
        <f>IF(363&gt;=DeliverStart,RetailRentMo*NB$10*MIN(1,'LeaseUp'!NB$10/StabilizedOccupancy),0)</f>
        <v/>
      </c>
      <c r="NC22" s="18">
        <f>IF(364&gt;=DeliverStart,RetailRentMo*NC$10*MIN(1,'LeaseUp'!NC$10/StabilizedOccupancy),0)</f>
        <v/>
      </c>
      <c r="ND22" s="18">
        <f>IF(365&gt;=DeliverStart,RetailRentMo*ND$10*MIN(1,'LeaseUp'!ND$10/StabilizedOccupancy),0)</f>
        <v/>
      </c>
      <c r="NE22" s="18">
        <f>IF(366&gt;=DeliverStart,RetailRentMo*NE$10*MIN(1,'LeaseUp'!NE$10/StabilizedOccupancy),0)</f>
        <v/>
      </c>
      <c r="NF22" s="18">
        <f>IF(367&gt;=DeliverStart,RetailRentMo*NF$10*MIN(1,'LeaseUp'!NF$10/StabilizedOccupancy),0)</f>
        <v/>
      </c>
      <c r="NG22" s="18">
        <f>IF(368&gt;=DeliverStart,RetailRentMo*NG$10*MIN(1,'LeaseUp'!NG$10/StabilizedOccupancy),0)</f>
        <v/>
      </c>
      <c r="NH22" s="18">
        <f>IF(369&gt;=DeliverStart,RetailRentMo*NH$10*MIN(1,'LeaseUp'!NH$10/StabilizedOccupancy),0)</f>
        <v/>
      </c>
      <c r="NI22" s="18">
        <f>IF(370&gt;=DeliverStart,RetailRentMo*NI$10*MIN(1,'LeaseUp'!NI$10/StabilizedOccupancy),0)</f>
        <v/>
      </c>
      <c r="NJ22" s="18">
        <f>IF(371&gt;=DeliverStart,RetailRentMo*NJ$10*MIN(1,'LeaseUp'!NJ$10/StabilizedOccupancy),0)</f>
        <v/>
      </c>
      <c r="NK22" s="18">
        <f>IF(372&gt;=DeliverStart,RetailRentMo*NK$10*MIN(1,'LeaseUp'!NK$10/StabilizedOccupancy),0)</f>
        <v/>
      </c>
    </row>
    <row r="23">
      <c r="A23" s="21" t="inlineStr">
        <is>
          <t>Effective Gross Income</t>
        </is>
      </c>
      <c r="C23" s="41">
        <f>SUM(D23:NK23)</f>
        <v/>
      </c>
      <c r="D23" s="43">
        <f>D$14+D$15+D$16+D$17+D$18+D$19+D$20+D$21+D$22</f>
        <v/>
      </c>
      <c r="E23" s="43">
        <f>E$14+E$15+E$16+E$17+E$18+E$19+E$20+E$21+E$22</f>
        <v/>
      </c>
      <c r="F23" s="43">
        <f>F$14+F$15+F$16+F$17+F$18+F$19+F$20+F$21+F$22</f>
        <v/>
      </c>
      <c r="G23" s="43">
        <f>G$14+G$15+G$16+G$17+G$18+G$19+G$20+G$21+G$22</f>
        <v/>
      </c>
      <c r="H23" s="43">
        <f>H$14+H$15+H$16+H$17+H$18+H$19+H$20+H$21+H$22</f>
        <v/>
      </c>
      <c r="I23" s="43">
        <f>I$14+I$15+I$16+I$17+I$18+I$19+I$20+I$21+I$22</f>
        <v/>
      </c>
      <c r="J23" s="43">
        <f>J$14+J$15+J$16+J$17+J$18+J$19+J$20+J$21+J$22</f>
        <v/>
      </c>
      <c r="K23" s="43">
        <f>K$14+K$15+K$16+K$17+K$18+K$19+K$20+K$21+K$22</f>
        <v/>
      </c>
      <c r="L23" s="43">
        <f>L$14+L$15+L$16+L$17+L$18+L$19+L$20+L$21+L$22</f>
        <v/>
      </c>
      <c r="M23" s="43">
        <f>M$14+M$15+M$16+M$17+M$18+M$19+M$20+M$21+M$22</f>
        <v/>
      </c>
      <c r="N23" s="43">
        <f>N$14+N$15+N$16+N$17+N$18+N$19+N$20+N$21+N$22</f>
        <v/>
      </c>
      <c r="O23" s="43">
        <f>O$14+O$15+O$16+O$17+O$18+O$19+O$20+O$21+O$22</f>
        <v/>
      </c>
      <c r="P23" s="43">
        <f>P$14+P$15+P$16+P$17+P$18+P$19+P$20+P$21+P$22</f>
        <v/>
      </c>
      <c r="Q23" s="43">
        <f>Q$14+Q$15+Q$16+Q$17+Q$18+Q$19+Q$20+Q$21+Q$22</f>
        <v/>
      </c>
      <c r="R23" s="43">
        <f>R$14+R$15+R$16+R$17+R$18+R$19+R$20+R$21+R$22</f>
        <v/>
      </c>
      <c r="S23" s="43">
        <f>S$14+S$15+S$16+S$17+S$18+S$19+S$20+S$21+S$22</f>
        <v/>
      </c>
      <c r="T23" s="43">
        <f>T$14+T$15+T$16+T$17+T$18+T$19+T$20+T$21+T$22</f>
        <v/>
      </c>
      <c r="U23" s="43">
        <f>U$14+U$15+U$16+U$17+U$18+U$19+U$20+U$21+U$22</f>
        <v/>
      </c>
      <c r="V23" s="43">
        <f>V$14+V$15+V$16+V$17+V$18+V$19+V$20+V$21+V$22</f>
        <v/>
      </c>
      <c r="W23" s="43">
        <f>W$14+W$15+W$16+W$17+W$18+W$19+W$20+W$21+W$22</f>
        <v/>
      </c>
      <c r="X23" s="43">
        <f>X$14+X$15+X$16+X$17+X$18+X$19+X$20+X$21+X$22</f>
        <v/>
      </c>
      <c r="Y23" s="43">
        <f>Y$14+Y$15+Y$16+Y$17+Y$18+Y$19+Y$20+Y$21+Y$22</f>
        <v/>
      </c>
      <c r="Z23" s="43">
        <f>Z$14+Z$15+Z$16+Z$17+Z$18+Z$19+Z$20+Z$21+Z$22</f>
        <v/>
      </c>
      <c r="AA23" s="43">
        <f>AA$14+AA$15+AA$16+AA$17+AA$18+AA$19+AA$20+AA$21+AA$22</f>
        <v/>
      </c>
      <c r="AB23" s="43">
        <f>AB$14+AB$15+AB$16+AB$17+AB$18+AB$19+AB$20+AB$21+AB$22</f>
        <v/>
      </c>
      <c r="AC23" s="43">
        <f>AC$14+AC$15+AC$16+AC$17+AC$18+AC$19+AC$20+AC$21+AC$22</f>
        <v/>
      </c>
      <c r="AD23" s="43">
        <f>AD$14+AD$15+AD$16+AD$17+AD$18+AD$19+AD$20+AD$21+AD$22</f>
        <v/>
      </c>
      <c r="AE23" s="43">
        <f>AE$14+AE$15+AE$16+AE$17+AE$18+AE$19+AE$20+AE$21+AE$22</f>
        <v/>
      </c>
      <c r="AF23" s="43">
        <f>AF$14+AF$15+AF$16+AF$17+AF$18+AF$19+AF$20+AF$21+AF$22</f>
        <v/>
      </c>
      <c r="AG23" s="43">
        <f>AG$14+AG$15+AG$16+AG$17+AG$18+AG$19+AG$20+AG$21+AG$22</f>
        <v/>
      </c>
      <c r="AH23" s="43">
        <f>AH$14+AH$15+AH$16+AH$17+AH$18+AH$19+AH$20+AH$21+AH$22</f>
        <v/>
      </c>
      <c r="AI23" s="43">
        <f>AI$14+AI$15+AI$16+AI$17+AI$18+AI$19+AI$20+AI$21+AI$22</f>
        <v/>
      </c>
      <c r="AJ23" s="43">
        <f>AJ$14+AJ$15+AJ$16+AJ$17+AJ$18+AJ$19+AJ$20+AJ$21+AJ$22</f>
        <v/>
      </c>
      <c r="AK23" s="43">
        <f>AK$14+AK$15+AK$16+AK$17+AK$18+AK$19+AK$20+AK$21+AK$22</f>
        <v/>
      </c>
      <c r="AL23" s="43">
        <f>AL$14+AL$15+AL$16+AL$17+AL$18+AL$19+AL$20+AL$21+AL$22</f>
        <v/>
      </c>
      <c r="AM23" s="43">
        <f>AM$14+AM$15+AM$16+AM$17+AM$18+AM$19+AM$20+AM$21+AM$22</f>
        <v/>
      </c>
      <c r="AN23" s="43">
        <f>AN$14+AN$15+AN$16+AN$17+AN$18+AN$19+AN$20+AN$21+AN$22</f>
        <v/>
      </c>
      <c r="AO23" s="43">
        <f>AO$14+AO$15+AO$16+AO$17+AO$18+AO$19+AO$20+AO$21+AO$22</f>
        <v/>
      </c>
      <c r="AP23" s="43">
        <f>AP$14+AP$15+AP$16+AP$17+AP$18+AP$19+AP$20+AP$21+AP$22</f>
        <v/>
      </c>
      <c r="AQ23" s="43">
        <f>AQ$14+AQ$15+AQ$16+AQ$17+AQ$18+AQ$19+AQ$20+AQ$21+AQ$22</f>
        <v/>
      </c>
      <c r="AR23" s="43">
        <f>AR$14+AR$15+AR$16+AR$17+AR$18+AR$19+AR$20+AR$21+AR$22</f>
        <v/>
      </c>
      <c r="AS23" s="43">
        <f>AS$14+AS$15+AS$16+AS$17+AS$18+AS$19+AS$20+AS$21+AS$22</f>
        <v/>
      </c>
      <c r="AT23" s="43">
        <f>AT$14+AT$15+AT$16+AT$17+AT$18+AT$19+AT$20+AT$21+AT$22</f>
        <v/>
      </c>
      <c r="AU23" s="43">
        <f>AU$14+AU$15+AU$16+AU$17+AU$18+AU$19+AU$20+AU$21+AU$22</f>
        <v/>
      </c>
      <c r="AV23" s="43">
        <f>AV$14+AV$15+AV$16+AV$17+AV$18+AV$19+AV$20+AV$21+AV$22</f>
        <v/>
      </c>
      <c r="AW23" s="43">
        <f>AW$14+AW$15+AW$16+AW$17+AW$18+AW$19+AW$20+AW$21+AW$22</f>
        <v/>
      </c>
      <c r="AX23" s="43">
        <f>AX$14+AX$15+AX$16+AX$17+AX$18+AX$19+AX$20+AX$21+AX$22</f>
        <v/>
      </c>
      <c r="AY23" s="43">
        <f>AY$14+AY$15+AY$16+AY$17+AY$18+AY$19+AY$20+AY$21+AY$22</f>
        <v/>
      </c>
      <c r="AZ23" s="43">
        <f>AZ$14+AZ$15+AZ$16+AZ$17+AZ$18+AZ$19+AZ$20+AZ$21+AZ$22</f>
        <v/>
      </c>
      <c r="BA23" s="43">
        <f>BA$14+BA$15+BA$16+BA$17+BA$18+BA$19+BA$20+BA$21+BA$22</f>
        <v/>
      </c>
      <c r="BB23" s="43">
        <f>BB$14+BB$15+BB$16+BB$17+BB$18+BB$19+BB$20+BB$21+BB$22</f>
        <v/>
      </c>
      <c r="BC23" s="43">
        <f>BC$14+BC$15+BC$16+BC$17+BC$18+BC$19+BC$20+BC$21+BC$22</f>
        <v/>
      </c>
      <c r="BD23" s="43">
        <f>BD$14+BD$15+BD$16+BD$17+BD$18+BD$19+BD$20+BD$21+BD$22</f>
        <v/>
      </c>
      <c r="BE23" s="43">
        <f>BE$14+BE$15+BE$16+BE$17+BE$18+BE$19+BE$20+BE$21+BE$22</f>
        <v/>
      </c>
      <c r="BF23" s="43">
        <f>BF$14+BF$15+BF$16+BF$17+BF$18+BF$19+BF$20+BF$21+BF$22</f>
        <v/>
      </c>
      <c r="BG23" s="43">
        <f>BG$14+BG$15+BG$16+BG$17+BG$18+BG$19+BG$20+BG$21+BG$22</f>
        <v/>
      </c>
      <c r="BH23" s="43">
        <f>BH$14+BH$15+BH$16+BH$17+BH$18+BH$19+BH$20+BH$21+BH$22</f>
        <v/>
      </c>
      <c r="BI23" s="43">
        <f>BI$14+BI$15+BI$16+BI$17+BI$18+BI$19+BI$20+BI$21+BI$22</f>
        <v/>
      </c>
      <c r="BJ23" s="43">
        <f>BJ$14+BJ$15+BJ$16+BJ$17+BJ$18+BJ$19+BJ$20+BJ$21+BJ$22</f>
        <v/>
      </c>
      <c r="BK23" s="43">
        <f>BK$14+BK$15+BK$16+BK$17+BK$18+BK$19+BK$20+BK$21+BK$22</f>
        <v/>
      </c>
      <c r="BL23" s="43">
        <f>BL$14+BL$15+BL$16+BL$17+BL$18+BL$19+BL$20+BL$21+BL$22</f>
        <v/>
      </c>
      <c r="BM23" s="43">
        <f>BM$14+BM$15+BM$16+BM$17+BM$18+BM$19+BM$20+BM$21+BM$22</f>
        <v/>
      </c>
      <c r="BN23" s="43">
        <f>BN$14+BN$15+BN$16+BN$17+BN$18+BN$19+BN$20+BN$21+BN$22</f>
        <v/>
      </c>
      <c r="BO23" s="43">
        <f>BO$14+BO$15+BO$16+BO$17+BO$18+BO$19+BO$20+BO$21+BO$22</f>
        <v/>
      </c>
      <c r="BP23" s="43">
        <f>BP$14+BP$15+BP$16+BP$17+BP$18+BP$19+BP$20+BP$21+BP$22</f>
        <v/>
      </c>
      <c r="BQ23" s="43">
        <f>BQ$14+BQ$15+BQ$16+BQ$17+BQ$18+BQ$19+BQ$20+BQ$21+BQ$22</f>
        <v/>
      </c>
      <c r="BR23" s="43">
        <f>BR$14+BR$15+BR$16+BR$17+BR$18+BR$19+BR$20+BR$21+BR$22</f>
        <v/>
      </c>
      <c r="BS23" s="43">
        <f>BS$14+BS$15+BS$16+BS$17+BS$18+BS$19+BS$20+BS$21+BS$22</f>
        <v/>
      </c>
      <c r="BT23" s="43">
        <f>BT$14+BT$15+BT$16+BT$17+BT$18+BT$19+BT$20+BT$21+BT$22</f>
        <v/>
      </c>
      <c r="BU23" s="43">
        <f>BU$14+BU$15+BU$16+BU$17+BU$18+BU$19+BU$20+BU$21+BU$22</f>
        <v/>
      </c>
      <c r="BV23" s="43">
        <f>BV$14+BV$15+BV$16+BV$17+BV$18+BV$19+BV$20+BV$21+BV$22</f>
        <v/>
      </c>
      <c r="BW23" s="43">
        <f>BW$14+BW$15+BW$16+BW$17+BW$18+BW$19+BW$20+BW$21+BW$22</f>
        <v/>
      </c>
      <c r="BX23" s="43">
        <f>BX$14+BX$15+BX$16+BX$17+BX$18+BX$19+BX$20+BX$21+BX$22</f>
        <v/>
      </c>
      <c r="BY23" s="43">
        <f>BY$14+BY$15+BY$16+BY$17+BY$18+BY$19+BY$20+BY$21+BY$22</f>
        <v/>
      </c>
      <c r="BZ23" s="43">
        <f>BZ$14+BZ$15+BZ$16+BZ$17+BZ$18+BZ$19+BZ$20+BZ$21+BZ$22</f>
        <v/>
      </c>
      <c r="CA23" s="43">
        <f>CA$14+CA$15+CA$16+CA$17+CA$18+CA$19+CA$20+CA$21+CA$22</f>
        <v/>
      </c>
      <c r="CB23" s="43">
        <f>CB$14+CB$15+CB$16+CB$17+CB$18+CB$19+CB$20+CB$21+CB$22</f>
        <v/>
      </c>
      <c r="CC23" s="43">
        <f>CC$14+CC$15+CC$16+CC$17+CC$18+CC$19+CC$20+CC$21+CC$22</f>
        <v/>
      </c>
      <c r="CD23" s="43">
        <f>CD$14+CD$15+CD$16+CD$17+CD$18+CD$19+CD$20+CD$21+CD$22</f>
        <v/>
      </c>
      <c r="CE23" s="43">
        <f>CE$14+CE$15+CE$16+CE$17+CE$18+CE$19+CE$20+CE$21+CE$22</f>
        <v/>
      </c>
      <c r="CF23" s="43">
        <f>CF$14+CF$15+CF$16+CF$17+CF$18+CF$19+CF$20+CF$21+CF$22</f>
        <v/>
      </c>
      <c r="CG23" s="43">
        <f>CG$14+CG$15+CG$16+CG$17+CG$18+CG$19+CG$20+CG$21+CG$22</f>
        <v/>
      </c>
      <c r="CH23" s="43">
        <f>CH$14+CH$15+CH$16+CH$17+CH$18+CH$19+CH$20+CH$21+CH$22</f>
        <v/>
      </c>
      <c r="CI23" s="43">
        <f>CI$14+CI$15+CI$16+CI$17+CI$18+CI$19+CI$20+CI$21+CI$22</f>
        <v/>
      </c>
      <c r="CJ23" s="43">
        <f>CJ$14+CJ$15+CJ$16+CJ$17+CJ$18+CJ$19+CJ$20+CJ$21+CJ$22</f>
        <v/>
      </c>
      <c r="CK23" s="43">
        <f>CK$14+CK$15+CK$16+CK$17+CK$18+CK$19+CK$20+CK$21+CK$22</f>
        <v/>
      </c>
      <c r="CL23" s="43">
        <f>CL$14+CL$15+CL$16+CL$17+CL$18+CL$19+CL$20+CL$21+CL$22</f>
        <v/>
      </c>
      <c r="CM23" s="43">
        <f>CM$14+CM$15+CM$16+CM$17+CM$18+CM$19+CM$20+CM$21+CM$22</f>
        <v/>
      </c>
      <c r="CN23" s="43">
        <f>CN$14+CN$15+CN$16+CN$17+CN$18+CN$19+CN$20+CN$21+CN$22</f>
        <v/>
      </c>
      <c r="CO23" s="43">
        <f>CO$14+CO$15+CO$16+CO$17+CO$18+CO$19+CO$20+CO$21+CO$22</f>
        <v/>
      </c>
      <c r="CP23" s="43">
        <f>CP$14+CP$15+CP$16+CP$17+CP$18+CP$19+CP$20+CP$21+CP$22</f>
        <v/>
      </c>
      <c r="CQ23" s="43">
        <f>CQ$14+CQ$15+CQ$16+CQ$17+CQ$18+CQ$19+CQ$20+CQ$21+CQ$22</f>
        <v/>
      </c>
      <c r="CR23" s="43">
        <f>CR$14+CR$15+CR$16+CR$17+CR$18+CR$19+CR$20+CR$21+CR$22</f>
        <v/>
      </c>
      <c r="CS23" s="43">
        <f>CS$14+CS$15+CS$16+CS$17+CS$18+CS$19+CS$20+CS$21+CS$22</f>
        <v/>
      </c>
      <c r="CT23" s="43">
        <f>CT$14+CT$15+CT$16+CT$17+CT$18+CT$19+CT$20+CT$21+CT$22</f>
        <v/>
      </c>
      <c r="CU23" s="43">
        <f>CU$14+CU$15+CU$16+CU$17+CU$18+CU$19+CU$20+CU$21+CU$22</f>
        <v/>
      </c>
      <c r="CV23" s="43">
        <f>CV$14+CV$15+CV$16+CV$17+CV$18+CV$19+CV$20+CV$21+CV$22</f>
        <v/>
      </c>
      <c r="CW23" s="43">
        <f>CW$14+CW$15+CW$16+CW$17+CW$18+CW$19+CW$20+CW$21+CW$22</f>
        <v/>
      </c>
      <c r="CX23" s="43">
        <f>CX$14+CX$15+CX$16+CX$17+CX$18+CX$19+CX$20+CX$21+CX$22</f>
        <v/>
      </c>
      <c r="CY23" s="43">
        <f>CY$14+CY$15+CY$16+CY$17+CY$18+CY$19+CY$20+CY$21+CY$22</f>
        <v/>
      </c>
      <c r="CZ23" s="43">
        <f>CZ$14+CZ$15+CZ$16+CZ$17+CZ$18+CZ$19+CZ$20+CZ$21+CZ$22</f>
        <v/>
      </c>
      <c r="DA23" s="43">
        <f>DA$14+DA$15+DA$16+DA$17+DA$18+DA$19+DA$20+DA$21+DA$22</f>
        <v/>
      </c>
      <c r="DB23" s="43">
        <f>DB$14+DB$15+DB$16+DB$17+DB$18+DB$19+DB$20+DB$21+DB$22</f>
        <v/>
      </c>
      <c r="DC23" s="43">
        <f>DC$14+DC$15+DC$16+DC$17+DC$18+DC$19+DC$20+DC$21+DC$22</f>
        <v/>
      </c>
      <c r="DD23" s="43">
        <f>DD$14+DD$15+DD$16+DD$17+DD$18+DD$19+DD$20+DD$21+DD$22</f>
        <v/>
      </c>
      <c r="DE23" s="43">
        <f>DE$14+DE$15+DE$16+DE$17+DE$18+DE$19+DE$20+DE$21+DE$22</f>
        <v/>
      </c>
      <c r="DF23" s="43">
        <f>DF$14+DF$15+DF$16+DF$17+DF$18+DF$19+DF$20+DF$21+DF$22</f>
        <v/>
      </c>
      <c r="DG23" s="43">
        <f>DG$14+DG$15+DG$16+DG$17+DG$18+DG$19+DG$20+DG$21+DG$22</f>
        <v/>
      </c>
      <c r="DH23" s="43">
        <f>DH$14+DH$15+DH$16+DH$17+DH$18+DH$19+DH$20+DH$21+DH$22</f>
        <v/>
      </c>
      <c r="DI23" s="43">
        <f>DI$14+DI$15+DI$16+DI$17+DI$18+DI$19+DI$20+DI$21+DI$22</f>
        <v/>
      </c>
      <c r="DJ23" s="43">
        <f>DJ$14+DJ$15+DJ$16+DJ$17+DJ$18+DJ$19+DJ$20+DJ$21+DJ$22</f>
        <v/>
      </c>
      <c r="DK23" s="43">
        <f>DK$14+DK$15+DK$16+DK$17+DK$18+DK$19+DK$20+DK$21+DK$22</f>
        <v/>
      </c>
      <c r="DL23" s="43">
        <f>DL$14+DL$15+DL$16+DL$17+DL$18+DL$19+DL$20+DL$21+DL$22</f>
        <v/>
      </c>
      <c r="DM23" s="43">
        <f>DM$14+DM$15+DM$16+DM$17+DM$18+DM$19+DM$20+DM$21+DM$22</f>
        <v/>
      </c>
      <c r="DN23" s="43">
        <f>DN$14+DN$15+DN$16+DN$17+DN$18+DN$19+DN$20+DN$21+DN$22</f>
        <v/>
      </c>
      <c r="DO23" s="43">
        <f>DO$14+DO$15+DO$16+DO$17+DO$18+DO$19+DO$20+DO$21+DO$22</f>
        <v/>
      </c>
      <c r="DP23" s="43">
        <f>DP$14+DP$15+DP$16+DP$17+DP$18+DP$19+DP$20+DP$21+DP$22</f>
        <v/>
      </c>
      <c r="DQ23" s="43">
        <f>DQ$14+DQ$15+DQ$16+DQ$17+DQ$18+DQ$19+DQ$20+DQ$21+DQ$22</f>
        <v/>
      </c>
      <c r="DR23" s="43">
        <f>DR$14+DR$15+DR$16+DR$17+DR$18+DR$19+DR$20+DR$21+DR$22</f>
        <v/>
      </c>
      <c r="DS23" s="43">
        <f>DS$14+DS$15+DS$16+DS$17+DS$18+DS$19+DS$20+DS$21+DS$22</f>
        <v/>
      </c>
      <c r="DT23" s="43">
        <f>DT$14+DT$15+DT$16+DT$17+DT$18+DT$19+DT$20+DT$21+DT$22</f>
        <v/>
      </c>
      <c r="DU23" s="43">
        <f>DU$14+DU$15+DU$16+DU$17+DU$18+DU$19+DU$20+DU$21+DU$22</f>
        <v/>
      </c>
      <c r="DV23" s="43">
        <f>DV$14+DV$15+DV$16+DV$17+DV$18+DV$19+DV$20+DV$21+DV$22</f>
        <v/>
      </c>
      <c r="DW23" s="43">
        <f>DW$14+DW$15+DW$16+DW$17+DW$18+DW$19+DW$20+DW$21+DW$22</f>
        <v/>
      </c>
      <c r="DX23" s="43">
        <f>DX$14+DX$15+DX$16+DX$17+DX$18+DX$19+DX$20+DX$21+DX$22</f>
        <v/>
      </c>
      <c r="DY23" s="43">
        <f>DY$14+DY$15+DY$16+DY$17+DY$18+DY$19+DY$20+DY$21+DY$22</f>
        <v/>
      </c>
      <c r="DZ23" s="43">
        <f>DZ$14+DZ$15+DZ$16+DZ$17+DZ$18+DZ$19+DZ$20+DZ$21+DZ$22</f>
        <v/>
      </c>
      <c r="EA23" s="43">
        <f>EA$14+EA$15+EA$16+EA$17+EA$18+EA$19+EA$20+EA$21+EA$22</f>
        <v/>
      </c>
      <c r="EB23" s="43">
        <f>EB$14+EB$15+EB$16+EB$17+EB$18+EB$19+EB$20+EB$21+EB$22</f>
        <v/>
      </c>
      <c r="EC23" s="43">
        <f>EC$14+EC$15+EC$16+EC$17+EC$18+EC$19+EC$20+EC$21+EC$22</f>
        <v/>
      </c>
      <c r="ED23" s="43">
        <f>ED$14+ED$15+ED$16+ED$17+ED$18+ED$19+ED$20+ED$21+ED$22</f>
        <v/>
      </c>
      <c r="EE23" s="43">
        <f>EE$14+EE$15+EE$16+EE$17+EE$18+EE$19+EE$20+EE$21+EE$22</f>
        <v/>
      </c>
      <c r="EF23" s="43">
        <f>EF$14+EF$15+EF$16+EF$17+EF$18+EF$19+EF$20+EF$21+EF$22</f>
        <v/>
      </c>
      <c r="EG23" s="43">
        <f>EG$14+EG$15+EG$16+EG$17+EG$18+EG$19+EG$20+EG$21+EG$22</f>
        <v/>
      </c>
      <c r="EH23" s="43">
        <f>EH$14+EH$15+EH$16+EH$17+EH$18+EH$19+EH$20+EH$21+EH$22</f>
        <v/>
      </c>
      <c r="EI23" s="43">
        <f>EI$14+EI$15+EI$16+EI$17+EI$18+EI$19+EI$20+EI$21+EI$22</f>
        <v/>
      </c>
      <c r="EJ23" s="43">
        <f>EJ$14+EJ$15+EJ$16+EJ$17+EJ$18+EJ$19+EJ$20+EJ$21+EJ$22</f>
        <v/>
      </c>
      <c r="EK23" s="43">
        <f>EK$14+EK$15+EK$16+EK$17+EK$18+EK$19+EK$20+EK$21+EK$22</f>
        <v/>
      </c>
      <c r="EL23" s="43">
        <f>EL$14+EL$15+EL$16+EL$17+EL$18+EL$19+EL$20+EL$21+EL$22</f>
        <v/>
      </c>
      <c r="EM23" s="43">
        <f>EM$14+EM$15+EM$16+EM$17+EM$18+EM$19+EM$20+EM$21+EM$22</f>
        <v/>
      </c>
      <c r="EN23" s="43">
        <f>EN$14+EN$15+EN$16+EN$17+EN$18+EN$19+EN$20+EN$21+EN$22</f>
        <v/>
      </c>
      <c r="EO23" s="43">
        <f>EO$14+EO$15+EO$16+EO$17+EO$18+EO$19+EO$20+EO$21+EO$22</f>
        <v/>
      </c>
      <c r="EP23" s="43">
        <f>EP$14+EP$15+EP$16+EP$17+EP$18+EP$19+EP$20+EP$21+EP$22</f>
        <v/>
      </c>
      <c r="EQ23" s="43">
        <f>EQ$14+EQ$15+EQ$16+EQ$17+EQ$18+EQ$19+EQ$20+EQ$21+EQ$22</f>
        <v/>
      </c>
      <c r="ER23" s="43">
        <f>ER$14+ER$15+ER$16+ER$17+ER$18+ER$19+ER$20+ER$21+ER$22</f>
        <v/>
      </c>
      <c r="ES23" s="43">
        <f>ES$14+ES$15+ES$16+ES$17+ES$18+ES$19+ES$20+ES$21+ES$22</f>
        <v/>
      </c>
      <c r="ET23" s="43">
        <f>ET$14+ET$15+ET$16+ET$17+ET$18+ET$19+ET$20+ET$21+ET$22</f>
        <v/>
      </c>
      <c r="EU23" s="43">
        <f>EU$14+EU$15+EU$16+EU$17+EU$18+EU$19+EU$20+EU$21+EU$22</f>
        <v/>
      </c>
      <c r="EV23" s="43">
        <f>EV$14+EV$15+EV$16+EV$17+EV$18+EV$19+EV$20+EV$21+EV$22</f>
        <v/>
      </c>
      <c r="EW23" s="43">
        <f>EW$14+EW$15+EW$16+EW$17+EW$18+EW$19+EW$20+EW$21+EW$22</f>
        <v/>
      </c>
      <c r="EX23" s="43">
        <f>EX$14+EX$15+EX$16+EX$17+EX$18+EX$19+EX$20+EX$21+EX$22</f>
        <v/>
      </c>
      <c r="EY23" s="43">
        <f>EY$14+EY$15+EY$16+EY$17+EY$18+EY$19+EY$20+EY$21+EY$22</f>
        <v/>
      </c>
      <c r="EZ23" s="43">
        <f>EZ$14+EZ$15+EZ$16+EZ$17+EZ$18+EZ$19+EZ$20+EZ$21+EZ$22</f>
        <v/>
      </c>
      <c r="FA23" s="43">
        <f>FA$14+FA$15+FA$16+FA$17+FA$18+FA$19+FA$20+FA$21+FA$22</f>
        <v/>
      </c>
      <c r="FB23" s="43">
        <f>FB$14+FB$15+FB$16+FB$17+FB$18+FB$19+FB$20+FB$21+FB$22</f>
        <v/>
      </c>
      <c r="FC23" s="43">
        <f>FC$14+FC$15+FC$16+FC$17+FC$18+FC$19+FC$20+FC$21+FC$22</f>
        <v/>
      </c>
      <c r="FD23" s="43">
        <f>FD$14+FD$15+FD$16+FD$17+FD$18+FD$19+FD$20+FD$21+FD$22</f>
        <v/>
      </c>
      <c r="FE23" s="43">
        <f>FE$14+FE$15+FE$16+FE$17+FE$18+FE$19+FE$20+FE$21+FE$22</f>
        <v/>
      </c>
      <c r="FF23" s="43">
        <f>FF$14+FF$15+FF$16+FF$17+FF$18+FF$19+FF$20+FF$21+FF$22</f>
        <v/>
      </c>
      <c r="FG23" s="43">
        <f>FG$14+FG$15+FG$16+FG$17+FG$18+FG$19+FG$20+FG$21+FG$22</f>
        <v/>
      </c>
      <c r="FH23" s="43">
        <f>FH$14+FH$15+FH$16+FH$17+FH$18+FH$19+FH$20+FH$21+FH$22</f>
        <v/>
      </c>
      <c r="FI23" s="43">
        <f>FI$14+FI$15+FI$16+FI$17+FI$18+FI$19+FI$20+FI$21+FI$22</f>
        <v/>
      </c>
      <c r="FJ23" s="43">
        <f>FJ$14+FJ$15+FJ$16+FJ$17+FJ$18+FJ$19+FJ$20+FJ$21+FJ$22</f>
        <v/>
      </c>
      <c r="FK23" s="43">
        <f>FK$14+FK$15+FK$16+FK$17+FK$18+FK$19+FK$20+FK$21+FK$22</f>
        <v/>
      </c>
      <c r="FL23" s="43">
        <f>FL$14+FL$15+FL$16+FL$17+FL$18+FL$19+FL$20+FL$21+FL$22</f>
        <v/>
      </c>
      <c r="FM23" s="43">
        <f>FM$14+FM$15+FM$16+FM$17+FM$18+FM$19+FM$20+FM$21+FM$22</f>
        <v/>
      </c>
      <c r="FN23" s="43">
        <f>FN$14+FN$15+FN$16+FN$17+FN$18+FN$19+FN$20+FN$21+FN$22</f>
        <v/>
      </c>
      <c r="FO23" s="43">
        <f>FO$14+FO$15+FO$16+FO$17+FO$18+FO$19+FO$20+FO$21+FO$22</f>
        <v/>
      </c>
      <c r="FP23" s="43">
        <f>FP$14+FP$15+FP$16+FP$17+FP$18+FP$19+FP$20+FP$21+FP$22</f>
        <v/>
      </c>
      <c r="FQ23" s="43">
        <f>FQ$14+FQ$15+FQ$16+FQ$17+FQ$18+FQ$19+FQ$20+FQ$21+FQ$22</f>
        <v/>
      </c>
      <c r="FR23" s="43">
        <f>FR$14+FR$15+FR$16+FR$17+FR$18+FR$19+FR$20+FR$21+FR$22</f>
        <v/>
      </c>
      <c r="FS23" s="43">
        <f>FS$14+FS$15+FS$16+FS$17+FS$18+FS$19+FS$20+FS$21+FS$22</f>
        <v/>
      </c>
      <c r="FT23" s="43">
        <f>FT$14+FT$15+FT$16+FT$17+FT$18+FT$19+FT$20+FT$21+FT$22</f>
        <v/>
      </c>
      <c r="FU23" s="43">
        <f>FU$14+FU$15+FU$16+FU$17+FU$18+FU$19+FU$20+FU$21+FU$22</f>
        <v/>
      </c>
      <c r="FV23" s="43">
        <f>FV$14+FV$15+FV$16+FV$17+FV$18+FV$19+FV$20+FV$21+FV$22</f>
        <v/>
      </c>
      <c r="FW23" s="43">
        <f>FW$14+FW$15+FW$16+FW$17+FW$18+FW$19+FW$20+FW$21+FW$22</f>
        <v/>
      </c>
      <c r="FX23" s="43">
        <f>FX$14+FX$15+FX$16+FX$17+FX$18+FX$19+FX$20+FX$21+FX$22</f>
        <v/>
      </c>
      <c r="FY23" s="43">
        <f>FY$14+FY$15+FY$16+FY$17+FY$18+FY$19+FY$20+FY$21+FY$22</f>
        <v/>
      </c>
      <c r="FZ23" s="43">
        <f>FZ$14+FZ$15+FZ$16+FZ$17+FZ$18+FZ$19+FZ$20+FZ$21+FZ$22</f>
        <v/>
      </c>
      <c r="GA23" s="43">
        <f>GA$14+GA$15+GA$16+GA$17+GA$18+GA$19+GA$20+GA$21+GA$22</f>
        <v/>
      </c>
      <c r="GB23" s="43">
        <f>GB$14+GB$15+GB$16+GB$17+GB$18+GB$19+GB$20+GB$21+GB$22</f>
        <v/>
      </c>
      <c r="GC23" s="43">
        <f>GC$14+GC$15+GC$16+GC$17+GC$18+GC$19+GC$20+GC$21+GC$22</f>
        <v/>
      </c>
      <c r="GD23" s="43">
        <f>GD$14+GD$15+GD$16+GD$17+GD$18+GD$19+GD$20+GD$21+GD$22</f>
        <v/>
      </c>
      <c r="GE23" s="43">
        <f>GE$14+GE$15+GE$16+GE$17+GE$18+GE$19+GE$20+GE$21+GE$22</f>
        <v/>
      </c>
      <c r="GF23" s="43">
        <f>GF$14+GF$15+GF$16+GF$17+GF$18+GF$19+GF$20+GF$21+GF$22</f>
        <v/>
      </c>
      <c r="GG23" s="43">
        <f>GG$14+GG$15+GG$16+GG$17+GG$18+GG$19+GG$20+GG$21+GG$22</f>
        <v/>
      </c>
      <c r="GH23" s="43">
        <f>GH$14+GH$15+GH$16+GH$17+GH$18+GH$19+GH$20+GH$21+GH$22</f>
        <v/>
      </c>
      <c r="GI23" s="43">
        <f>GI$14+GI$15+GI$16+GI$17+GI$18+GI$19+GI$20+GI$21+GI$22</f>
        <v/>
      </c>
      <c r="GJ23" s="43">
        <f>GJ$14+GJ$15+GJ$16+GJ$17+GJ$18+GJ$19+GJ$20+GJ$21+GJ$22</f>
        <v/>
      </c>
      <c r="GK23" s="43">
        <f>GK$14+GK$15+GK$16+GK$17+GK$18+GK$19+GK$20+GK$21+GK$22</f>
        <v/>
      </c>
      <c r="GL23" s="43">
        <f>GL$14+GL$15+GL$16+GL$17+GL$18+GL$19+GL$20+GL$21+GL$22</f>
        <v/>
      </c>
      <c r="GM23" s="43">
        <f>GM$14+GM$15+GM$16+GM$17+GM$18+GM$19+GM$20+GM$21+GM$22</f>
        <v/>
      </c>
      <c r="GN23" s="43">
        <f>GN$14+GN$15+GN$16+GN$17+GN$18+GN$19+GN$20+GN$21+GN$22</f>
        <v/>
      </c>
      <c r="GO23" s="43">
        <f>GO$14+GO$15+GO$16+GO$17+GO$18+GO$19+GO$20+GO$21+GO$22</f>
        <v/>
      </c>
      <c r="GP23" s="43">
        <f>GP$14+GP$15+GP$16+GP$17+GP$18+GP$19+GP$20+GP$21+GP$22</f>
        <v/>
      </c>
      <c r="GQ23" s="43">
        <f>GQ$14+GQ$15+GQ$16+GQ$17+GQ$18+GQ$19+GQ$20+GQ$21+GQ$22</f>
        <v/>
      </c>
      <c r="GR23" s="43">
        <f>GR$14+GR$15+GR$16+GR$17+GR$18+GR$19+GR$20+GR$21+GR$22</f>
        <v/>
      </c>
      <c r="GS23" s="43">
        <f>GS$14+GS$15+GS$16+GS$17+GS$18+GS$19+GS$20+GS$21+GS$22</f>
        <v/>
      </c>
      <c r="GT23" s="43">
        <f>GT$14+GT$15+GT$16+GT$17+GT$18+GT$19+GT$20+GT$21+GT$22</f>
        <v/>
      </c>
      <c r="GU23" s="43">
        <f>GU$14+GU$15+GU$16+GU$17+GU$18+GU$19+GU$20+GU$21+GU$22</f>
        <v/>
      </c>
      <c r="GV23" s="43">
        <f>GV$14+GV$15+GV$16+GV$17+GV$18+GV$19+GV$20+GV$21+GV$22</f>
        <v/>
      </c>
      <c r="GW23" s="43">
        <f>GW$14+GW$15+GW$16+GW$17+GW$18+GW$19+GW$20+GW$21+GW$22</f>
        <v/>
      </c>
      <c r="GX23" s="43">
        <f>GX$14+GX$15+GX$16+GX$17+GX$18+GX$19+GX$20+GX$21+GX$22</f>
        <v/>
      </c>
      <c r="GY23" s="43">
        <f>GY$14+GY$15+GY$16+GY$17+GY$18+GY$19+GY$20+GY$21+GY$22</f>
        <v/>
      </c>
      <c r="GZ23" s="43">
        <f>GZ$14+GZ$15+GZ$16+GZ$17+GZ$18+GZ$19+GZ$20+GZ$21+GZ$22</f>
        <v/>
      </c>
      <c r="HA23" s="43">
        <f>HA$14+HA$15+HA$16+HA$17+HA$18+HA$19+HA$20+HA$21+HA$22</f>
        <v/>
      </c>
      <c r="HB23" s="43">
        <f>HB$14+HB$15+HB$16+HB$17+HB$18+HB$19+HB$20+HB$21+HB$22</f>
        <v/>
      </c>
      <c r="HC23" s="43">
        <f>HC$14+HC$15+HC$16+HC$17+HC$18+HC$19+HC$20+HC$21+HC$22</f>
        <v/>
      </c>
      <c r="HD23" s="43">
        <f>HD$14+HD$15+HD$16+HD$17+HD$18+HD$19+HD$20+HD$21+HD$22</f>
        <v/>
      </c>
      <c r="HE23" s="43">
        <f>HE$14+HE$15+HE$16+HE$17+HE$18+HE$19+HE$20+HE$21+HE$22</f>
        <v/>
      </c>
      <c r="HF23" s="43">
        <f>HF$14+HF$15+HF$16+HF$17+HF$18+HF$19+HF$20+HF$21+HF$22</f>
        <v/>
      </c>
      <c r="HG23" s="43">
        <f>HG$14+HG$15+HG$16+HG$17+HG$18+HG$19+HG$20+HG$21+HG$22</f>
        <v/>
      </c>
      <c r="HH23" s="43">
        <f>HH$14+HH$15+HH$16+HH$17+HH$18+HH$19+HH$20+HH$21+HH$22</f>
        <v/>
      </c>
      <c r="HI23" s="43">
        <f>HI$14+HI$15+HI$16+HI$17+HI$18+HI$19+HI$20+HI$21+HI$22</f>
        <v/>
      </c>
      <c r="HJ23" s="43">
        <f>HJ$14+HJ$15+HJ$16+HJ$17+HJ$18+HJ$19+HJ$20+HJ$21+HJ$22</f>
        <v/>
      </c>
      <c r="HK23" s="43">
        <f>HK$14+HK$15+HK$16+HK$17+HK$18+HK$19+HK$20+HK$21+HK$22</f>
        <v/>
      </c>
      <c r="HL23" s="43">
        <f>HL$14+HL$15+HL$16+HL$17+HL$18+HL$19+HL$20+HL$21+HL$22</f>
        <v/>
      </c>
      <c r="HM23" s="43">
        <f>HM$14+HM$15+HM$16+HM$17+HM$18+HM$19+HM$20+HM$21+HM$22</f>
        <v/>
      </c>
      <c r="HN23" s="43">
        <f>HN$14+HN$15+HN$16+HN$17+HN$18+HN$19+HN$20+HN$21+HN$22</f>
        <v/>
      </c>
      <c r="HO23" s="43">
        <f>HO$14+HO$15+HO$16+HO$17+HO$18+HO$19+HO$20+HO$21+HO$22</f>
        <v/>
      </c>
      <c r="HP23" s="43">
        <f>HP$14+HP$15+HP$16+HP$17+HP$18+HP$19+HP$20+HP$21+HP$22</f>
        <v/>
      </c>
      <c r="HQ23" s="43">
        <f>HQ$14+HQ$15+HQ$16+HQ$17+HQ$18+HQ$19+HQ$20+HQ$21+HQ$22</f>
        <v/>
      </c>
      <c r="HR23" s="43">
        <f>HR$14+HR$15+HR$16+HR$17+HR$18+HR$19+HR$20+HR$21+HR$22</f>
        <v/>
      </c>
      <c r="HS23" s="43">
        <f>HS$14+HS$15+HS$16+HS$17+HS$18+HS$19+HS$20+HS$21+HS$22</f>
        <v/>
      </c>
      <c r="HT23" s="43">
        <f>HT$14+HT$15+HT$16+HT$17+HT$18+HT$19+HT$20+HT$21+HT$22</f>
        <v/>
      </c>
      <c r="HU23" s="43">
        <f>HU$14+HU$15+HU$16+HU$17+HU$18+HU$19+HU$20+HU$21+HU$22</f>
        <v/>
      </c>
      <c r="HV23" s="43">
        <f>HV$14+HV$15+HV$16+HV$17+HV$18+HV$19+HV$20+HV$21+HV$22</f>
        <v/>
      </c>
      <c r="HW23" s="43">
        <f>HW$14+HW$15+HW$16+HW$17+HW$18+HW$19+HW$20+HW$21+HW$22</f>
        <v/>
      </c>
      <c r="HX23" s="43">
        <f>HX$14+HX$15+HX$16+HX$17+HX$18+HX$19+HX$20+HX$21+HX$22</f>
        <v/>
      </c>
      <c r="HY23" s="43">
        <f>HY$14+HY$15+HY$16+HY$17+HY$18+HY$19+HY$20+HY$21+HY$22</f>
        <v/>
      </c>
      <c r="HZ23" s="43">
        <f>HZ$14+HZ$15+HZ$16+HZ$17+HZ$18+HZ$19+HZ$20+HZ$21+HZ$22</f>
        <v/>
      </c>
      <c r="IA23" s="43">
        <f>IA$14+IA$15+IA$16+IA$17+IA$18+IA$19+IA$20+IA$21+IA$22</f>
        <v/>
      </c>
      <c r="IB23" s="43">
        <f>IB$14+IB$15+IB$16+IB$17+IB$18+IB$19+IB$20+IB$21+IB$22</f>
        <v/>
      </c>
      <c r="IC23" s="43">
        <f>IC$14+IC$15+IC$16+IC$17+IC$18+IC$19+IC$20+IC$21+IC$22</f>
        <v/>
      </c>
      <c r="ID23" s="43">
        <f>ID$14+ID$15+ID$16+ID$17+ID$18+ID$19+ID$20+ID$21+ID$22</f>
        <v/>
      </c>
      <c r="IE23" s="43">
        <f>IE$14+IE$15+IE$16+IE$17+IE$18+IE$19+IE$20+IE$21+IE$22</f>
        <v/>
      </c>
      <c r="IF23" s="43">
        <f>IF$14+IF$15+IF$16+IF$17+IF$18+IF$19+IF$20+IF$21+IF$22</f>
        <v/>
      </c>
      <c r="IG23" s="43">
        <f>IG$14+IG$15+IG$16+IG$17+IG$18+IG$19+IG$20+IG$21+IG$22</f>
        <v/>
      </c>
      <c r="IH23" s="43">
        <f>IH$14+IH$15+IH$16+IH$17+IH$18+IH$19+IH$20+IH$21+IH$22</f>
        <v/>
      </c>
      <c r="II23" s="43">
        <f>II$14+II$15+II$16+II$17+II$18+II$19+II$20+II$21+II$22</f>
        <v/>
      </c>
      <c r="IJ23" s="43">
        <f>IJ$14+IJ$15+IJ$16+IJ$17+IJ$18+IJ$19+IJ$20+IJ$21+IJ$22</f>
        <v/>
      </c>
      <c r="IK23" s="43">
        <f>IK$14+IK$15+IK$16+IK$17+IK$18+IK$19+IK$20+IK$21+IK$22</f>
        <v/>
      </c>
      <c r="IL23" s="43">
        <f>IL$14+IL$15+IL$16+IL$17+IL$18+IL$19+IL$20+IL$21+IL$22</f>
        <v/>
      </c>
      <c r="IM23" s="43">
        <f>IM$14+IM$15+IM$16+IM$17+IM$18+IM$19+IM$20+IM$21+IM$22</f>
        <v/>
      </c>
      <c r="IN23" s="43">
        <f>IN$14+IN$15+IN$16+IN$17+IN$18+IN$19+IN$20+IN$21+IN$22</f>
        <v/>
      </c>
      <c r="IO23" s="43">
        <f>IO$14+IO$15+IO$16+IO$17+IO$18+IO$19+IO$20+IO$21+IO$22</f>
        <v/>
      </c>
      <c r="IP23" s="43">
        <f>IP$14+IP$15+IP$16+IP$17+IP$18+IP$19+IP$20+IP$21+IP$22</f>
        <v/>
      </c>
      <c r="IQ23" s="43">
        <f>IQ$14+IQ$15+IQ$16+IQ$17+IQ$18+IQ$19+IQ$20+IQ$21+IQ$22</f>
        <v/>
      </c>
      <c r="IR23" s="43">
        <f>IR$14+IR$15+IR$16+IR$17+IR$18+IR$19+IR$20+IR$21+IR$22</f>
        <v/>
      </c>
      <c r="IS23" s="43">
        <f>IS$14+IS$15+IS$16+IS$17+IS$18+IS$19+IS$20+IS$21+IS$22</f>
        <v/>
      </c>
      <c r="IT23" s="43">
        <f>IT$14+IT$15+IT$16+IT$17+IT$18+IT$19+IT$20+IT$21+IT$22</f>
        <v/>
      </c>
      <c r="IU23" s="43">
        <f>IU$14+IU$15+IU$16+IU$17+IU$18+IU$19+IU$20+IU$21+IU$22</f>
        <v/>
      </c>
      <c r="IV23" s="43">
        <f>IV$14+IV$15+IV$16+IV$17+IV$18+IV$19+IV$20+IV$21+IV$22</f>
        <v/>
      </c>
      <c r="IW23" s="43">
        <f>IW$14+IW$15+IW$16+IW$17+IW$18+IW$19+IW$20+IW$21+IW$22</f>
        <v/>
      </c>
      <c r="IX23" s="43">
        <f>IX$14+IX$15+IX$16+IX$17+IX$18+IX$19+IX$20+IX$21+IX$22</f>
        <v/>
      </c>
      <c r="IY23" s="43">
        <f>IY$14+IY$15+IY$16+IY$17+IY$18+IY$19+IY$20+IY$21+IY$22</f>
        <v/>
      </c>
      <c r="IZ23" s="43">
        <f>IZ$14+IZ$15+IZ$16+IZ$17+IZ$18+IZ$19+IZ$20+IZ$21+IZ$22</f>
        <v/>
      </c>
      <c r="JA23" s="43">
        <f>JA$14+JA$15+JA$16+JA$17+JA$18+JA$19+JA$20+JA$21+JA$22</f>
        <v/>
      </c>
      <c r="JB23" s="43">
        <f>JB$14+JB$15+JB$16+JB$17+JB$18+JB$19+JB$20+JB$21+JB$22</f>
        <v/>
      </c>
      <c r="JC23" s="43">
        <f>JC$14+JC$15+JC$16+JC$17+JC$18+JC$19+JC$20+JC$21+JC$22</f>
        <v/>
      </c>
      <c r="JD23" s="43">
        <f>JD$14+JD$15+JD$16+JD$17+JD$18+JD$19+JD$20+JD$21+JD$22</f>
        <v/>
      </c>
      <c r="JE23" s="43">
        <f>JE$14+JE$15+JE$16+JE$17+JE$18+JE$19+JE$20+JE$21+JE$22</f>
        <v/>
      </c>
      <c r="JF23" s="43">
        <f>JF$14+JF$15+JF$16+JF$17+JF$18+JF$19+JF$20+JF$21+JF$22</f>
        <v/>
      </c>
      <c r="JG23" s="43">
        <f>JG$14+JG$15+JG$16+JG$17+JG$18+JG$19+JG$20+JG$21+JG$22</f>
        <v/>
      </c>
      <c r="JH23" s="43">
        <f>JH$14+JH$15+JH$16+JH$17+JH$18+JH$19+JH$20+JH$21+JH$22</f>
        <v/>
      </c>
      <c r="JI23" s="43">
        <f>JI$14+JI$15+JI$16+JI$17+JI$18+JI$19+JI$20+JI$21+JI$22</f>
        <v/>
      </c>
      <c r="JJ23" s="43">
        <f>JJ$14+JJ$15+JJ$16+JJ$17+JJ$18+JJ$19+JJ$20+JJ$21+JJ$22</f>
        <v/>
      </c>
      <c r="JK23" s="43">
        <f>JK$14+JK$15+JK$16+JK$17+JK$18+JK$19+JK$20+JK$21+JK$22</f>
        <v/>
      </c>
      <c r="JL23" s="43">
        <f>JL$14+JL$15+JL$16+JL$17+JL$18+JL$19+JL$20+JL$21+JL$22</f>
        <v/>
      </c>
      <c r="JM23" s="43">
        <f>JM$14+JM$15+JM$16+JM$17+JM$18+JM$19+JM$20+JM$21+JM$22</f>
        <v/>
      </c>
      <c r="JN23" s="43">
        <f>JN$14+JN$15+JN$16+JN$17+JN$18+JN$19+JN$20+JN$21+JN$22</f>
        <v/>
      </c>
      <c r="JO23" s="43">
        <f>JO$14+JO$15+JO$16+JO$17+JO$18+JO$19+JO$20+JO$21+JO$22</f>
        <v/>
      </c>
      <c r="JP23" s="43">
        <f>JP$14+JP$15+JP$16+JP$17+JP$18+JP$19+JP$20+JP$21+JP$22</f>
        <v/>
      </c>
      <c r="JQ23" s="43">
        <f>JQ$14+JQ$15+JQ$16+JQ$17+JQ$18+JQ$19+JQ$20+JQ$21+JQ$22</f>
        <v/>
      </c>
      <c r="JR23" s="43">
        <f>JR$14+JR$15+JR$16+JR$17+JR$18+JR$19+JR$20+JR$21+JR$22</f>
        <v/>
      </c>
      <c r="JS23" s="43">
        <f>JS$14+JS$15+JS$16+JS$17+JS$18+JS$19+JS$20+JS$21+JS$22</f>
        <v/>
      </c>
      <c r="JT23" s="43">
        <f>JT$14+JT$15+JT$16+JT$17+JT$18+JT$19+JT$20+JT$21+JT$22</f>
        <v/>
      </c>
      <c r="JU23" s="43">
        <f>JU$14+JU$15+JU$16+JU$17+JU$18+JU$19+JU$20+JU$21+JU$22</f>
        <v/>
      </c>
      <c r="JV23" s="43">
        <f>JV$14+JV$15+JV$16+JV$17+JV$18+JV$19+JV$20+JV$21+JV$22</f>
        <v/>
      </c>
      <c r="JW23" s="43">
        <f>JW$14+JW$15+JW$16+JW$17+JW$18+JW$19+JW$20+JW$21+JW$22</f>
        <v/>
      </c>
      <c r="JX23" s="43">
        <f>JX$14+JX$15+JX$16+JX$17+JX$18+JX$19+JX$20+JX$21+JX$22</f>
        <v/>
      </c>
      <c r="JY23" s="43">
        <f>JY$14+JY$15+JY$16+JY$17+JY$18+JY$19+JY$20+JY$21+JY$22</f>
        <v/>
      </c>
      <c r="JZ23" s="43">
        <f>JZ$14+JZ$15+JZ$16+JZ$17+JZ$18+JZ$19+JZ$20+JZ$21+JZ$22</f>
        <v/>
      </c>
      <c r="KA23" s="43">
        <f>KA$14+KA$15+KA$16+KA$17+KA$18+KA$19+KA$20+KA$21+KA$22</f>
        <v/>
      </c>
      <c r="KB23" s="43">
        <f>KB$14+KB$15+KB$16+KB$17+KB$18+KB$19+KB$20+KB$21+KB$22</f>
        <v/>
      </c>
      <c r="KC23" s="43">
        <f>KC$14+KC$15+KC$16+KC$17+KC$18+KC$19+KC$20+KC$21+KC$22</f>
        <v/>
      </c>
      <c r="KD23" s="43">
        <f>KD$14+KD$15+KD$16+KD$17+KD$18+KD$19+KD$20+KD$21+KD$22</f>
        <v/>
      </c>
      <c r="KE23" s="43">
        <f>KE$14+KE$15+KE$16+KE$17+KE$18+KE$19+KE$20+KE$21+KE$22</f>
        <v/>
      </c>
      <c r="KF23" s="43">
        <f>KF$14+KF$15+KF$16+KF$17+KF$18+KF$19+KF$20+KF$21+KF$22</f>
        <v/>
      </c>
      <c r="KG23" s="43">
        <f>KG$14+KG$15+KG$16+KG$17+KG$18+KG$19+KG$20+KG$21+KG$22</f>
        <v/>
      </c>
      <c r="KH23" s="43">
        <f>KH$14+KH$15+KH$16+KH$17+KH$18+KH$19+KH$20+KH$21+KH$22</f>
        <v/>
      </c>
      <c r="KI23" s="43">
        <f>KI$14+KI$15+KI$16+KI$17+KI$18+KI$19+KI$20+KI$21+KI$22</f>
        <v/>
      </c>
      <c r="KJ23" s="43">
        <f>KJ$14+KJ$15+KJ$16+KJ$17+KJ$18+KJ$19+KJ$20+KJ$21+KJ$22</f>
        <v/>
      </c>
      <c r="KK23" s="43">
        <f>KK$14+KK$15+KK$16+KK$17+KK$18+KK$19+KK$20+KK$21+KK$22</f>
        <v/>
      </c>
      <c r="KL23" s="43">
        <f>KL$14+KL$15+KL$16+KL$17+KL$18+KL$19+KL$20+KL$21+KL$22</f>
        <v/>
      </c>
      <c r="KM23" s="43">
        <f>KM$14+KM$15+KM$16+KM$17+KM$18+KM$19+KM$20+KM$21+KM$22</f>
        <v/>
      </c>
      <c r="KN23" s="43">
        <f>KN$14+KN$15+KN$16+KN$17+KN$18+KN$19+KN$20+KN$21+KN$22</f>
        <v/>
      </c>
      <c r="KO23" s="43">
        <f>KO$14+KO$15+KO$16+KO$17+KO$18+KO$19+KO$20+KO$21+KO$22</f>
        <v/>
      </c>
      <c r="KP23" s="43">
        <f>KP$14+KP$15+KP$16+KP$17+KP$18+KP$19+KP$20+KP$21+KP$22</f>
        <v/>
      </c>
      <c r="KQ23" s="43">
        <f>KQ$14+KQ$15+KQ$16+KQ$17+KQ$18+KQ$19+KQ$20+KQ$21+KQ$22</f>
        <v/>
      </c>
      <c r="KR23" s="43">
        <f>KR$14+KR$15+KR$16+KR$17+KR$18+KR$19+KR$20+KR$21+KR$22</f>
        <v/>
      </c>
      <c r="KS23" s="43">
        <f>KS$14+KS$15+KS$16+KS$17+KS$18+KS$19+KS$20+KS$21+KS$22</f>
        <v/>
      </c>
      <c r="KT23" s="43">
        <f>KT$14+KT$15+KT$16+KT$17+KT$18+KT$19+KT$20+KT$21+KT$22</f>
        <v/>
      </c>
      <c r="KU23" s="43">
        <f>KU$14+KU$15+KU$16+KU$17+KU$18+KU$19+KU$20+KU$21+KU$22</f>
        <v/>
      </c>
      <c r="KV23" s="43">
        <f>KV$14+KV$15+KV$16+KV$17+KV$18+KV$19+KV$20+KV$21+KV$22</f>
        <v/>
      </c>
      <c r="KW23" s="43">
        <f>KW$14+KW$15+KW$16+KW$17+KW$18+KW$19+KW$20+KW$21+KW$22</f>
        <v/>
      </c>
      <c r="KX23" s="43">
        <f>KX$14+KX$15+KX$16+KX$17+KX$18+KX$19+KX$20+KX$21+KX$22</f>
        <v/>
      </c>
      <c r="KY23" s="43">
        <f>KY$14+KY$15+KY$16+KY$17+KY$18+KY$19+KY$20+KY$21+KY$22</f>
        <v/>
      </c>
      <c r="KZ23" s="43">
        <f>KZ$14+KZ$15+KZ$16+KZ$17+KZ$18+KZ$19+KZ$20+KZ$21+KZ$22</f>
        <v/>
      </c>
      <c r="LA23" s="43">
        <f>LA$14+LA$15+LA$16+LA$17+LA$18+LA$19+LA$20+LA$21+LA$22</f>
        <v/>
      </c>
      <c r="LB23" s="43">
        <f>LB$14+LB$15+LB$16+LB$17+LB$18+LB$19+LB$20+LB$21+LB$22</f>
        <v/>
      </c>
      <c r="LC23" s="43">
        <f>LC$14+LC$15+LC$16+LC$17+LC$18+LC$19+LC$20+LC$21+LC$22</f>
        <v/>
      </c>
      <c r="LD23" s="43">
        <f>LD$14+LD$15+LD$16+LD$17+LD$18+LD$19+LD$20+LD$21+LD$22</f>
        <v/>
      </c>
      <c r="LE23" s="43">
        <f>LE$14+LE$15+LE$16+LE$17+LE$18+LE$19+LE$20+LE$21+LE$22</f>
        <v/>
      </c>
      <c r="LF23" s="43">
        <f>LF$14+LF$15+LF$16+LF$17+LF$18+LF$19+LF$20+LF$21+LF$22</f>
        <v/>
      </c>
      <c r="LG23" s="43">
        <f>LG$14+LG$15+LG$16+LG$17+LG$18+LG$19+LG$20+LG$21+LG$22</f>
        <v/>
      </c>
      <c r="LH23" s="43">
        <f>LH$14+LH$15+LH$16+LH$17+LH$18+LH$19+LH$20+LH$21+LH$22</f>
        <v/>
      </c>
      <c r="LI23" s="43">
        <f>LI$14+LI$15+LI$16+LI$17+LI$18+LI$19+LI$20+LI$21+LI$22</f>
        <v/>
      </c>
      <c r="LJ23" s="43">
        <f>LJ$14+LJ$15+LJ$16+LJ$17+LJ$18+LJ$19+LJ$20+LJ$21+LJ$22</f>
        <v/>
      </c>
      <c r="LK23" s="43">
        <f>LK$14+LK$15+LK$16+LK$17+LK$18+LK$19+LK$20+LK$21+LK$22</f>
        <v/>
      </c>
      <c r="LL23" s="43">
        <f>LL$14+LL$15+LL$16+LL$17+LL$18+LL$19+LL$20+LL$21+LL$22</f>
        <v/>
      </c>
      <c r="LM23" s="43">
        <f>LM$14+LM$15+LM$16+LM$17+LM$18+LM$19+LM$20+LM$21+LM$22</f>
        <v/>
      </c>
      <c r="LN23" s="43">
        <f>LN$14+LN$15+LN$16+LN$17+LN$18+LN$19+LN$20+LN$21+LN$22</f>
        <v/>
      </c>
      <c r="LO23" s="43">
        <f>LO$14+LO$15+LO$16+LO$17+LO$18+LO$19+LO$20+LO$21+LO$22</f>
        <v/>
      </c>
      <c r="LP23" s="43">
        <f>LP$14+LP$15+LP$16+LP$17+LP$18+LP$19+LP$20+LP$21+LP$22</f>
        <v/>
      </c>
      <c r="LQ23" s="43">
        <f>LQ$14+LQ$15+LQ$16+LQ$17+LQ$18+LQ$19+LQ$20+LQ$21+LQ$22</f>
        <v/>
      </c>
      <c r="LR23" s="43">
        <f>LR$14+LR$15+LR$16+LR$17+LR$18+LR$19+LR$20+LR$21+LR$22</f>
        <v/>
      </c>
      <c r="LS23" s="43">
        <f>LS$14+LS$15+LS$16+LS$17+LS$18+LS$19+LS$20+LS$21+LS$22</f>
        <v/>
      </c>
      <c r="LT23" s="43">
        <f>LT$14+LT$15+LT$16+LT$17+LT$18+LT$19+LT$20+LT$21+LT$22</f>
        <v/>
      </c>
      <c r="LU23" s="43">
        <f>LU$14+LU$15+LU$16+LU$17+LU$18+LU$19+LU$20+LU$21+LU$22</f>
        <v/>
      </c>
      <c r="LV23" s="43">
        <f>LV$14+LV$15+LV$16+LV$17+LV$18+LV$19+LV$20+LV$21+LV$22</f>
        <v/>
      </c>
      <c r="LW23" s="43">
        <f>LW$14+LW$15+LW$16+LW$17+LW$18+LW$19+LW$20+LW$21+LW$22</f>
        <v/>
      </c>
      <c r="LX23" s="43">
        <f>LX$14+LX$15+LX$16+LX$17+LX$18+LX$19+LX$20+LX$21+LX$22</f>
        <v/>
      </c>
      <c r="LY23" s="43">
        <f>LY$14+LY$15+LY$16+LY$17+LY$18+LY$19+LY$20+LY$21+LY$22</f>
        <v/>
      </c>
      <c r="LZ23" s="43">
        <f>LZ$14+LZ$15+LZ$16+LZ$17+LZ$18+LZ$19+LZ$20+LZ$21+LZ$22</f>
        <v/>
      </c>
      <c r="MA23" s="43">
        <f>MA$14+MA$15+MA$16+MA$17+MA$18+MA$19+MA$20+MA$21+MA$22</f>
        <v/>
      </c>
      <c r="MB23" s="43">
        <f>MB$14+MB$15+MB$16+MB$17+MB$18+MB$19+MB$20+MB$21+MB$22</f>
        <v/>
      </c>
      <c r="MC23" s="43">
        <f>MC$14+MC$15+MC$16+MC$17+MC$18+MC$19+MC$20+MC$21+MC$22</f>
        <v/>
      </c>
      <c r="MD23" s="43">
        <f>MD$14+MD$15+MD$16+MD$17+MD$18+MD$19+MD$20+MD$21+MD$22</f>
        <v/>
      </c>
      <c r="ME23" s="43">
        <f>ME$14+ME$15+ME$16+ME$17+ME$18+ME$19+ME$20+ME$21+ME$22</f>
        <v/>
      </c>
      <c r="MF23" s="43">
        <f>MF$14+MF$15+MF$16+MF$17+MF$18+MF$19+MF$20+MF$21+MF$22</f>
        <v/>
      </c>
      <c r="MG23" s="43">
        <f>MG$14+MG$15+MG$16+MG$17+MG$18+MG$19+MG$20+MG$21+MG$22</f>
        <v/>
      </c>
      <c r="MH23" s="43">
        <f>MH$14+MH$15+MH$16+MH$17+MH$18+MH$19+MH$20+MH$21+MH$22</f>
        <v/>
      </c>
      <c r="MI23" s="43">
        <f>MI$14+MI$15+MI$16+MI$17+MI$18+MI$19+MI$20+MI$21+MI$22</f>
        <v/>
      </c>
      <c r="MJ23" s="43">
        <f>MJ$14+MJ$15+MJ$16+MJ$17+MJ$18+MJ$19+MJ$20+MJ$21+MJ$22</f>
        <v/>
      </c>
      <c r="MK23" s="43">
        <f>MK$14+MK$15+MK$16+MK$17+MK$18+MK$19+MK$20+MK$21+MK$22</f>
        <v/>
      </c>
      <c r="ML23" s="43">
        <f>ML$14+ML$15+ML$16+ML$17+ML$18+ML$19+ML$20+ML$21+ML$22</f>
        <v/>
      </c>
      <c r="MM23" s="43">
        <f>MM$14+MM$15+MM$16+MM$17+MM$18+MM$19+MM$20+MM$21+MM$22</f>
        <v/>
      </c>
      <c r="MN23" s="43">
        <f>MN$14+MN$15+MN$16+MN$17+MN$18+MN$19+MN$20+MN$21+MN$22</f>
        <v/>
      </c>
      <c r="MO23" s="43">
        <f>MO$14+MO$15+MO$16+MO$17+MO$18+MO$19+MO$20+MO$21+MO$22</f>
        <v/>
      </c>
      <c r="MP23" s="43">
        <f>MP$14+MP$15+MP$16+MP$17+MP$18+MP$19+MP$20+MP$21+MP$22</f>
        <v/>
      </c>
      <c r="MQ23" s="43">
        <f>MQ$14+MQ$15+MQ$16+MQ$17+MQ$18+MQ$19+MQ$20+MQ$21+MQ$22</f>
        <v/>
      </c>
      <c r="MR23" s="43">
        <f>MR$14+MR$15+MR$16+MR$17+MR$18+MR$19+MR$20+MR$21+MR$22</f>
        <v/>
      </c>
      <c r="MS23" s="43">
        <f>MS$14+MS$15+MS$16+MS$17+MS$18+MS$19+MS$20+MS$21+MS$22</f>
        <v/>
      </c>
      <c r="MT23" s="43">
        <f>MT$14+MT$15+MT$16+MT$17+MT$18+MT$19+MT$20+MT$21+MT$22</f>
        <v/>
      </c>
      <c r="MU23" s="43">
        <f>MU$14+MU$15+MU$16+MU$17+MU$18+MU$19+MU$20+MU$21+MU$22</f>
        <v/>
      </c>
      <c r="MV23" s="43">
        <f>MV$14+MV$15+MV$16+MV$17+MV$18+MV$19+MV$20+MV$21+MV$22</f>
        <v/>
      </c>
      <c r="MW23" s="43">
        <f>MW$14+MW$15+MW$16+MW$17+MW$18+MW$19+MW$20+MW$21+MW$22</f>
        <v/>
      </c>
      <c r="MX23" s="43">
        <f>MX$14+MX$15+MX$16+MX$17+MX$18+MX$19+MX$20+MX$21+MX$22</f>
        <v/>
      </c>
      <c r="MY23" s="43">
        <f>MY$14+MY$15+MY$16+MY$17+MY$18+MY$19+MY$20+MY$21+MY$22</f>
        <v/>
      </c>
      <c r="MZ23" s="43">
        <f>MZ$14+MZ$15+MZ$16+MZ$17+MZ$18+MZ$19+MZ$20+MZ$21+MZ$22</f>
        <v/>
      </c>
      <c r="NA23" s="43">
        <f>NA$14+NA$15+NA$16+NA$17+NA$18+NA$19+NA$20+NA$21+NA$22</f>
        <v/>
      </c>
      <c r="NB23" s="43">
        <f>NB$14+NB$15+NB$16+NB$17+NB$18+NB$19+NB$20+NB$21+NB$22</f>
        <v/>
      </c>
      <c r="NC23" s="43">
        <f>NC$14+NC$15+NC$16+NC$17+NC$18+NC$19+NC$20+NC$21+NC$22</f>
        <v/>
      </c>
      <c r="ND23" s="43">
        <f>ND$14+ND$15+ND$16+ND$17+ND$18+ND$19+ND$20+ND$21+ND$22</f>
        <v/>
      </c>
      <c r="NE23" s="43">
        <f>NE$14+NE$15+NE$16+NE$17+NE$18+NE$19+NE$20+NE$21+NE$22</f>
        <v/>
      </c>
      <c r="NF23" s="43">
        <f>NF$14+NF$15+NF$16+NF$17+NF$18+NF$19+NF$20+NF$21+NF$22</f>
        <v/>
      </c>
      <c r="NG23" s="43">
        <f>NG$14+NG$15+NG$16+NG$17+NG$18+NG$19+NG$20+NG$21+NG$22</f>
        <v/>
      </c>
      <c r="NH23" s="43">
        <f>NH$14+NH$15+NH$16+NH$17+NH$18+NH$19+NH$20+NH$21+NH$22</f>
        <v/>
      </c>
      <c r="NI23" s="43">
        <f>NI$14+NI$15+NI$16+NI$17+NI$18+NI$19+NI$20+NI$21+NI$22</f>
        <v/>
      </c>
      <c r="NJ23" s="43">
        <f>NJ$14+NJ$15+NJ$16+NJ$17+NJ$18+NJ$19+NJ$20+NJ$21+NJ$22</f>
        <v/>
      </c>
      <c r="NK23" s="43">
        <f>NK$14+NK$15+NK$16+NK$17+NK$18+NK$19+NK$20+NK$21+NK$22</f>
        <v/>
      </c>
    </row>
    <row r="24">
      <c r="A24" s="3" t="inlineStr">
        <is>
          <t>Operating Expenses</t>
        </is>
      </c>
      <c r="B24" s="4" t="n"/>
      <c r="C24" s="4" t="n"/>
    </row>
    <row r="25">
      <c r="A25" s="5" t="inlineStr">
        <is>
          <t>Insurance</t>
        </is>
      </c>
      <c r="C25" s="41">
        <f>SUM(D25:NK25)</f>
        <v/>
      </c>
      <c r="D25" s="18">
        <f>IF(1&gt;=DeliverStart,ExpInsurancePerUnit*TotalUnits/12*D$8,0)</f>
        <v/>
      </c>
      <c r="E25" s="18">
        <f>IF(2&gt;=DeliverStart,ExpInsurancePerUnit*TotalUnits/12*E$8,0)</f>
        <v/>
      </c>
      <c r="F25" s="18">
        <f>IF(3&gt;=DeliverStart,ExpInsurancePerUnit*TotalUnits/12*F$8,0)</f>
        <v/>
      </c>
      <c r="G25" s="18">
        <f>IF(4&gt;=DeliverStart,ExpInsurancePerUnit*TotalUnits/12*G$8,0)</f>
        <v/>
      </c>
      <c r="H25" s="18">
        <f>IF(5&gt;=DeliverStart,ExpInsurancePerUnit*TotalUnits/12*H$8,0)</f>
        <v/>
      </c>
      <c r="I25" s="18">
        <f>IF(6&gt;=DeliverStart,ExpInsurancePerUnit*TotalUnits/12*I$8,0)</f>
        <v/>
      </c>
      <c r="J25" s="18">
        <f>IF(7&gt;=DeliverStart,ExpInsurancePerUnit*TotalUnits/12*J$8,0)</f>
        <v/>
      </c>
      <c r="K25" s="18">
        <f>IF(8&gt;=DeliverStart,ExpInsurancePerUnit*TotalUnits/12*K$8,0)</f>
        <v/>
      </c>
      <c r="L25" s="18">
        <f>IF(9&gt;=DeliverStart,ExpInsurancePerUnit*TotalUnits/12*L$8,0)</f>
        <v/>
      </c>
      <c r="M25" s="18">
        <f>IF(10&gt;=DeliverStart,ExpInsurancePerUnit*TotalUnits/12*M$8,0)</f>
        <v/>
      </c>
      <c r="N25" s="18">
        <f>IF(11&gt;=DeliverStart,ExpInsurancePerUnit*TotalUnits/12*N$8,0)</f>
        <v/>
      </c>
      <c r="O25" s="18">
        <f>IF(12&gt;=DeliverStart,ExpInsurancePerUnit*TotalUnits/12*O$8,0)</f>
        <v/>
      </c>
      <c r="P25" s="18">
        <f>IF(13&gt;=DeliverStart,ExpInsurancePerUnit*TotalUnits/12*P$8,0)</f>
        <v/>
      </c>
      <c r="Q25" s="18">
        <f>IF(14&gt;=DeliverStart,ExpInsurancePerUnit*TotalUnits/12*Q$8,0)</f>
        <v/>
      </c>
      <c r="R25" s="18">
        <f>IF(15&gt;=DeliverStart,ExpInsurancePerUnit*TotalUnits/12*R$8,0)</f>
        <v/>
      </c>
      <c r="S25" s="18">
        <f>IF(16&gt;=DeliverStart,ExpInsurancePerUnit*TotalUnits/12*S$8,0)</f>
        <v/>
      </c>
      <c r="T25" s="18">
        <f>IF(17&gt;=DeliverStart,ExpInsurancePerUnit*TotalUnits/12*T$8,0)</f>
        <v/>
      </c>
      <c r="U25" s="18">
        <f>IF(18&gt;=DeliverStart,ExpInsurancePerUnit*TotalUnits/12*U$8,0)</f>
        <v/>
      </c>
      <c r="V25" s="18">
        <f>IF(19&gt;=DeliverStart,ExpInsurancePerUnit*TotalUnits/12*V$8,0)</f>
        <v/>
      </c>
      <c r="W25" s="18">
        <f>IF(20&gt;=DeliverStart,ExpInsurancePerUnit*TotalUnits/12*W$8,0)</f>
        <v/>
      </c>
      <c r="X25" s="18">
        <f>IF(21&gt;=DeliverStart,ExpInsurancePerUnit*TotalUnits/12*X$8,0)</f>
        <v/>
      </c>
      <c r="Y25" s="18">
        <f>IF(22&gt;=DeliverStart,ExpInsurancePerUnit*TotalUnits/12*Y$8,0)</f>
        <v/>
      </c>
      <c r="Z25" s="18">
        <f>IF(23&gt;=DeliverStart,ExpInsurancePerUnit*TotalUnits/12*Z$8,0)</f>
        <v/>
      </c>
      <c r="AA25" s="18">
        <f>IF(24&gt;=DeliverStart,ExpInsurancePerUnit*TotalUnits/12*AA$8,0)</f>
        <v/>
      </c>
      <c r="AB25" s="18">
        <f>IF(25&gt;=DeliverStart,ExpInsurancePerUnit*TotalUnits/12*AB$8,0)</f>
        <v/>
      </c>
      <c r="AC25" s="18">
        <f>IF(26&gt;=DeliverStart,ExpInsurancePerUnit*TotalUnits/12*AC$8,0)</f>
        <v/>
      </c>
      <c r="AD25" s="18">
        <f>IF(27&gt;=DeliverStart,ExpInsurancePerUnit*TotalUnits/12*AD$8,0)</f>
        <v/>
      </c>
      <c r="AE25" s="18">
        <f>IF(28&gt;=DeliverStart,ExpInsurancePerUnit*TotalUnits/12*AE$8,0)</f>
        <v/>
      </c>
      <c r="AF25" s="18">
        <f>IF(29&gt;=DeliverStart,ExpInsurancePerUnit*TotalUnits/12*AF$8,0)</f>
        <v/>
      </c>
      <c r="AG25" s="18">
        <f>IF(30&gt;=DeliverStart,ExpInsurancePerUnit*TotalUnits/12*AG$8,0)</f>
        <v/>
      </c>
      <c r="AH25" s="18">
        <f>IF(31&gt;=DeliverStart,ExpInsurancePerUnit*TotalUnits/12*AH$8,0)</f>
        <v/>
      </c>
      <c r="AI25" s="18">
        <f>IF(32&gt;=DeliverStart,ExpInsurancePerUnit*TotalUnits/12*AI$8,0)</f>
        <v/>
      </c>
      <c r="AJ25" s="18">
        <f>IF(33&gt;=DeliverStart,ExpInsurancePerUnit*TotalUnits/12*AJ$8,0)</f>
        <v/>
      </c>
      <c r="AK25" s="18">
        <f>IF(34&gt;=DeliverStart,ExpInsurancePerUnit*TotalUnits/12*AK$8,0)</f>
        <v/>
      </c>
      <c r="AL25" s="18">
        <f>IF(35&gt;=DeliverStart,ExpInsurancePerUnit*TotalUnits/12*AL$8,0)</f>
        <v/>
      </c>
      <c r="AM25" s="18">
        <f>IF(36&gt;=DeliverStart,ExpInsurancePerUnit*TotalUnits/12*AM$8,0)</f>
        <v/>
      </c>
      <c r="AN25" s="18">
        <f>IF(37&gt;=DeliverStart,ExpInsurancePerUnit*TotalUnits/12*AN$8,0)</f>
        <v/>
      </c>
      <c r="AO25" s="18">
        <f>IF(38&gt;=DeliverStart,ExpInsurancePerUnit*TotalUnits/12*AO$8,0)</f>
        <v/>
      </c>
      <c r="AP25" s="18">
        <f>IF(39&gt;=DeliverStart,ExpInsurancePerUnit*TotalUnits/12*AP$8,0)</f>
        <v/>
      </c>
      <c r="AQ25" s="18">
        <f>IF(40&gt;=DeliverStart,ExpInsurancePerUnit*TotalUnits/12*AQ$8,0)</f>
        <v/>
      </c>
      <c r="AR25" s="18">
        <f>IF(41&gt;=DeliverStart,ExpInsurancePerUnit*TotalUnits/12*AR$8,0)</f>
        <v/>
      </c>
      <c r="AS25" s="18">
        <f>IF(42&gt;=DeliverStart,ExpInsurancePerUnit*TotalUnits/12*AS$8,0)</f>
        <v/>
      </c>
      <c r="AT25" s="18">
        <f>IF(43&gt;=DeliverStart,ExpInsurancePerUnit*TotalUnits/12*AT$8,0)</f>
        <v/>
      </c>
      <c r="AU25" s="18">
        <f>IF(44&gt;=DeliverStart,ExpInsurancePerUnit*TotalUnits/12*AU$8,0)</f>
        <v/>
      </c>
      <c r="AV25" s="18">
        <f>IF(45&gt;=DeliverStart,ExpInsurancePerUnit*TotalUnits/12*AV$8,0)</f>
        <v/>
      </c>
      <c r="AW25" s="18">
        <f>IF(46&gt;=DeliverStart,ExpInsurancePerUnit*TotalUnits/12*AW$8,0)</f>
        <v/>
      </c>
      <c r="AX25" s="18">
        <f>IF(47&gt;=DeliverStart,ExpInsurancePerUnit*TotalUnits/12*AX$8,0)</f>
        <v/>
      </c>
      <c r="AY25" s="18">
        <f>IF(48&gt;=DeliverStart,ExpInsurancePerUnit*TotalUnits/12*AY$8,0)</f>
        <v/>
      </c>
      <c r="AZ25" s="18">
        <f>IF(49&gt;=DeliverStart,ExpInsurancePerUnit*TotalUnits/12*AZ$8,0)</f>
        <v/>
      </c>
      <c r="BA25" s="18">
        <f>IF(50&gt;=DeliverStart,ExpInsurancePerUnit*TotalUnits/12*BA$8,0)</f>
        <v/>
      </c>
      <c r="BB25" s="18">
        <f>IF(51&gt;=DeliverStart,ExpInsurancePerUnit*TotalUnits/12*BB$8,0)</f>
        <v/>
      </c>
      <c r="BC25" s="18">
        <f>IF(52&gt;=DeliverStart,ExpInsurancePerUnit*TotalUnits/12*BC$8,0)</f>
        <v/>
      </c>
      <c r="BD25" s="18">
        <f>IF(53&gt;=DeliverStart,ExpInsurancePerUnit*TotalUnits/12*BD$8,0)</f>
        <v/>
      </c>
      <c r="BE25" s="18">
        <f>IF(54&gt;=DeliverStart,ExpInsurancePerUnit*TotalUnits/12*BE$8,0)</f>
        <v/>
      </c>
      <c r="BF25" s="18">
        <f>IF(55&gt;=DeliverStart,ExpInsurancePerUnit*TotalUnits/12*BF$8,0)</f>
        <v/>
      </c>
      <c r="BG25" s="18">
        <f>IF(56&gt;=DeliverStart,ExpInsurancePerUnit*TotalUnits/12*BG$8,0)</f>
        <v/>
      </c>
      <c r="BH25" s="18">
        <f>IF(57&gt;=DeliverStart,ExpInsurancePerUnit*TotalUnits/12*BH$8,0)</f>
        <v/>
      </c>
      <c r="BI25" s="18">
        <f>IF(58&gt;=DeliverStart,ExpInsurancePerUnit*TotalUnits/12*BI$8,0)</f>
        <v/>
      </c>
      <c r="BJ25" s="18">
        <f>IF(59&gt;=DeliverStart,ExpInsurancePerUnit*TotalUnits/12*BJ$8,0)</f>
        <v/>
      </c>
      <c r="BK25" s="18">
        <f>IF(60&gt;=DeliverStart,ExpInsurancePerUnit*TotalUnits/12*BK$8,0)</f>
        <v/>
      </c>
      <c r="BL25" s="18">
        <f>IF(61&gt;=DeliverStart,ExpInsurancePerUnit*TotalUnits/12*BL$8,0)</f>
        <v/>
      </c>
      <c r="BM25" s="18">
        <f>IF(62&gt;=DeliverStart,ExpInsurancePerUnit*TotalUnits/12*BM$8,0)</f>
        <v/>
      </c>
      <c r="BN25" s="18">
        <f>IF(63&gt;=DeliverStart,ExpInsurancePerUnit*TotalUnits/12*BN$8,0)</f>
        <v/>
      </c>
      <c r="BO25" s="18">
        <f>IF(64&gt;=DeliverStart,ExpInsurancePerUnit*TotalUnits/12*BO$8,0)</f>
        <v/>
      </c>
      <c r="BP25" s="18">
        <f>IF(65&gt;=DeliverStart,ExpInsurancePerUnit*TotalUnits/12*BP$8,0)</f>
        <v/>
      </c>
      <c r="BQ25" s="18">
        <f>IF(66&gt;=DeliverStart,ExpInsurancePerUnit*TotalUnits/12*BQ$8,0)</f>
        <v/>
      </c>
      <c r="BR25" s="18">
        <f>IF(67&gt;=DeliverStart,ExpInsurancePerUnit*TotalUnits/12*BR$8,0)</f>
        <v/>
      </c>
      <c r="BS25" s="18">
        <f>IF(68&gt;=DeliverStart,ExpInsurancePerUnit*TotalUnits/12*BS$8,0)</f>
        <v/>
      </c>
      <c r="BT25" s="18">
        <f>IF(69&gt;=DeliverStart,ExpInsurancePerUnit*TotalUnits/12*BT$8,0)</f>
        <v/>
      </c>
      <c r="BU25" s="18">
        <f>IF(70&gt;=DeliverStart,ExpInsurancePerUnit*TotalUnits/12*BU$8,0)</f>
        <v/>
      </c>
      <c r="BV25" s="18">
        <f>IF(71&gt;=DeliverStart,ExpInsurancePerUnit*TotalUnits/12*BV$8,0)</f>
        <v/>
      </c>
      <c r="BW25" s="18">
        <f>IF(72&gt;=DeliverStart,ExpInsurancePerUnit*TotalUnits/12*BW$8,0)</f>
        <v/>
      </c>
      <c r="BX25" s="18">
        <f>IF(73&gt;=DeliverStart,ExpInsurancePerUnit*TotalUnits/12*BX$8,0)</f>
        <v/>
      </c>
      <c r="BY25" s="18">
        <f>IF(74&gt;=DeliverStart,ExpInsurancePerUnit*TotalUnits/12*BY$8,0)</f>
        <v/>
      </c>
      <c r="BZ25" s="18">
        <f>IF(75&gt;=DeliverStart,ExpInsurancePerUnit*TotalUnits/12*BZ$8,0)</f>
        <v/>
      </c>
      <c r="CA25" s="18">
        <f>IF(76&gt;=DeliverStart,ExpInsurancePerUnit*TotalUnits/12*CA$8,0)</f>
        <v/>
      </c>
      <c r="CB25" s="18">
        <f>IF(77&gt;=DeliverStart,ExpInsurancePerUnit*TotalUnits/12*CB$8,0)</f>
        <v/>
      </c>
      <c r="CC25" s="18">
        <f>IF(78&gt;=DeliverStart,ExpInsurancePerUnit*TotalUnits/12*CC$8,0)</f>
        <v/>
      </c>
      <c r="CD25" s="18">
        <f>IF(79&gt;=DeliverStart,ExpInsurancePerUnit*TotalUnits/12*CD$8,0)</f>
        <v/>
      </c>
      <c r="CE25" s="18">
        <f>IF(80&gt;=DeliverStart,ExpInsurancePerUnit*TotalUnits/12*CE$8,0)</f>
        <v/>
      </c>
      <c r="CF25" s="18">
        <f>IF(81&gt;=DeliverStart,ExpInsurancePerUnit*TotalUnits/12*CF$8,0)</f>
        <v/>
      </c>
      <c r="CG25" s="18">
        <f>IF(82&gt;=DeliverStart,ExpInsurancePerUnit*TotalUnits/12*CG$8,0)</f>
        <v/>
      </c>
      <c r="CH25" s="18">
        <f>IF(83&gt;=DeliverStart,ExpInsurancePerUnit*TotalUnits/12*CH$8,0)</f>
        <v/>
      </c>
      <c r="CI25" s="18">
        <f>IF(84&gt;=DeliverStart,ExpInsurancePerUnit*TotalUnits/12*CI$8,0)</f>
        <v/>
      </c>
      <c r="CJ25" s="18">
        <f>IF(85&gt;=DeliverStart,ExpInsurancePerUnit*TotalUnits/12*CJ$8,0)</f>
        <v/>
      </c>
      <c r="CK25" s="18">
        <f>IF(86&gt;=DeliverStart,ExpInsurancePerUnit*TotalUnits/12*CK$8,0)</f>
        <v/>
      </c>
      <c r="CL25" s="18">
        <f>IF(87&gt;=DeliverStart,ExpInsurancePerUnit*TotalUnits/12*CL$8,0)</f>
        <v/>
      </c>
      <c r="CM25" s="18">
        <f>IF(88&gt;=DeliverStart,ExpInsurancePerUnit*TotalUnits/12*CM$8,0)</f>
        <v/>
      </c>
      <c r="CN25" s="18">
        <f>IF(89&gt;=DeliverStart,ExpInsurancePerUnit*TotalUnits/12*CN$8,0)</f>
        <v/>
      </c>
      <c r="CO25" s="18">
        <f>IF(90&gt;=DeliverStart,ExpInsurancePerUnit*TotalUnits/12*CO$8,0)</f>
        <v/>
      </c>
      <c r="CP25" s="18">
        <f>IF(91&gt;=DeliverStart,ExpInsurancePerUnit*TotalUnits/12*CP$8,0)</f>
        <v/>
      </c>
      <c r="CQ25" s="18">
        <f>IF(92&gt;=DeliverStart,ExpInsurancePerUnit*TotalUnits/12*CQ$8,0)</f>
        <v/>
      </c>
      <c r="CR25" s="18">
        <f>IF(93&gt;=DeliverStart,ExpInsurancePerUnit*TotalUnits/12*CR$8,0)</f>
        <v/>
      </c>
      <c r="CS25" s="18">
        <f>IF(94&gt;=DeliverStart,ExpInsurancePerUnit*TotalUnits/12*CS$8,0)</f>
        <v/>
      </c>
      <c r="CT25" s="18">
        <f>IF(95&gt;=DeliverStart,ExpInsurancePerUnit*TotalUnits/12*CT$8,0)</f>
        <v/>
      </c>
      <c r="CU25" s="18">
        <f>IF(96&gt;=DeliverStart,ExpInsurancePerUnit*TotalUnits/12*CU$8,0)</f>
        <v/>
      </c>
      <c r="CV25" s="18">
        <f>IF(97&gt;=DeliverStart,ExpInsurancePerUnit*TotalUnits/12*CV$8,0)</f>
        <v/>
      </c>
      <c r="CW25" s="18">
        <f>IF(98&gt;=DeliverStart,ExpInsurancePerUnit*TotalUnits/12*CW$8,0)</f>
        <v/>
      </c>
      <c r="CX25" s="18">
        <f>IF(99&gt;=DeliverStart,ExpInsurancePerUnit*TotalUnits/12*CX$8,0)</f>
        <v/>
      </c>
      <c r="CY25" s="18">
        <f>IF(100&gt;=DeliverStart,ExpInsurancePerUnit*TotalUnits/12*CY$8,0)</f>
        <v/>
      </c>
      <c r="CZ25" s="18">
        <f>IF(101&gt;=DeliverStart,ExpInsurancePerUnit*TotalUnits/12*CZ$8,0)</f>
        <v/>
      </c>
      <c r="DA25" s="18">
        <f>IF(102&gt;=DeliverStart,ExpInsurancePerUnit*TotalUnits/12*DA$8,0)</f>
        <v/>
      </c>
      <c r="DB25" s="18">
        <f>IF(103&gt;=DeliverStart,ExpInsurancePerUnit*TotalUnits/12*DB$8,0)</f>
        <v/>
      </c>
      <c r="DC25" s="18">
        <f>IF(104&gt;=DeliverStart,ExpInsurancePerUnit*TotalUnits/12*DC$8,0)</f>
        <v/>
      </c>
      <c r="DD25" s="18">
        <f>IF(105&gt;=DeliverStart,ExpInsurancePerUnit*TotalUnits/12*DD$8,0)</f>
        <v/>
      </c>
      <c r="DE25" s="18">
        <f>IF(106&gt;=DeliverStart,ExpInsurancePerUnit*TotalUnits/12*DE$8,0)</f>
        <v/>
      </c>
      <c r="DF25" s="18">
        <f>IF(107&gt;=DeliverStart,ExpInsurancePerUnit*TotalUnits/12*DF$8,0)</f>
        <v/>
      </c>
      <c r="DG25" s="18">
        <f>IF(108&gt;=DeliverStart,ExpInsurancePerUnit*TotalUnits/12*DG$8,0)</f>
        <v/>
      </c>
      <c r="DH25" s="18">
        <f>IF(109&gt;=DeliverStart,ExpInsurancePerUnit*TotalUnits/12*DH$8,0)</f>
        <v/>
      </c>
      <c r="DI25" s="18">
        <f>IF(110&gt;=DeliverStart,ExpInsurancePerUnit*TotalUnits/12*DI$8,0)</f>
        <v/>
      </c>
      <c r="DJ25" s="18">
        <f>IF(111&gt;=DeliverStart,ExpInsurancePerUnit*TotalUnits/12*DJ$8,0)</f>
        <v/>
      </c>
      <c r="DK25" s="18">
        <f>IF(112&gt;=DeliverStart,ExpInsurancePerUnit*TotalUnits/12*DK$8,0)</f>
        <v/>
      </c>
      <c r="DL25" s="18">
        <f>IF(113&gt;=DeliverStart,ExpInsurancePerUnit*TotalUnits/12*DL$8,0)</f>
        <v/>
      </c>
      <c r="DM25" s="18">
        <f>IF(114&gt;=DeliverStart,ExpInsurancePerUnit*TotalUnits/12*DM$8,0)</f>
        <v/>
      </c>
      <c r="DN25" s="18">
        <f>IF(115&gt;=DeliverStart,ExpInsurancePerUnit*TotalUnits/12*DN$8,0)</f>
        <v/>
      </c>
      <c r="DO25" s="18">
        <f>IF(116&gt;=DeliverStart,ExpInsurancePerUnit*TotalUnits/12*DO$8,0)</f>
        <v/>
      </c>
      <c r="DP25" s="18">
        <f>IF(117&gt;=DeliverStart,ExpInsurancePerUnit*TotalUnits/12*DP$8,0)</f>
        <v/>
      </c>
      <c r="DQ25" s="18">
        <f>IF(118&gt;=DeliverStart,ExpInsurancePerUnit*TotalUnits/12*DQ$8,0)</f>
        <v/>
      </c>
      <c r="DR25" s="18">
        <f>IF(119&gt;=DeliverStart,ExpInsurancePerUnit*TotalUnits/12*DR$8,0)</f>
        <v/>
      </c>
      <c r="DS25" s="18">
        <f>IF(120&gt;=DeliverStart,ExpInsurancePerUnit*TotalUnits/12*DS$8,0)</f>
        <v/>
      </c>
      <c r="DT25" s="18">
        <f>IF(121&gt;=DeliverStart,ExpInsurancePerUnit*TotalUnits/12*DT$8,0)</f>
        <v/>
      </c>
      <c r="DU25" s="18">
        <f>IF(122&gt;=DeliverStart,ExpInsurancePerUnit*TotalUnits/12*DU$8,0)</f>
        <v/>
      </c>
      <c r="DV25" s="18">
        <f>IF(123&gt;=DeliverStart,ExpInsurancePerUnit*TotalUnits/12*DV$8,0)</f>
        <v/>
      </c>
      <c r="DW25" s="18">
        <f>IF(124&gt;=DeliverStart,ExpInsurancePerUnit*TotalUnits/12*DW$8,0)</f>
        <v/>
      </c>
      <c r="DX25" s="18">
        <f>IF(125&gt;=DeliverStart,ExpInsurancePerUnit*TotalUnits/12*DX$8,0)</f>
        <v/>
      </c>
      <c r="DY25" s="18">
        <f>IF(126&gt;=DeliverStart,ExpInsurancePerUnit*TotalUnits/12*DY$8,0)</f>
        <v/>
      </c>
      <c r="DZ25" s="18">
        <f>IF(127&gt;=DeliverStart,ExpInsurancePerUnit*TotalUnits/12*DZ$8,0)</f>
        <v/>
      </c>
      <c r="EA25" s="18">
        <f>IF(128&gt;=DeliverStart,ExpInsurancePerUnit*TotalUnits/12*EA$8,0)</f>
        <v/>
      </c>
      <c r="EB25" s="18">
        <f>IF(129&gt;=DeliverStart,ExpInsurancePerUnit*TotalUnits/12*EB$8,0)</f>
        <v/>
      </c>
      <c r="EC25" s="18">
        <f>IF(130&gt;=DeliverStart,ExpInsurancePerUnit*TotalUnits/12*EC$8,0)</f>
        <v/>
      </c>
      <c r="ED25" s="18">
        <f>IF(131&gt;=DeliverStart,ExpInsurancePerUnit*TotalUnits/12*ED$8,0)</f>
        <v/>
      </c>
      <c r="EE25" s="18">
        <f>IF(132&gt;=DeliverStart,ExpInsurancePerUnit*TotalUnits/12*EE$8,0)</f>
        <v/>
      </c>
      <c r="EF25" s="18">
        <f>IF(133&gt;=DeliverStart,ExpInsurancePerUnit*TotalUnits/12*EF$8,0)</f>
        <v/>
      </c>
      <c r="EG25" s="18">
        <f>IF(134&gt;=DeliverStart,ExpInsurancePerUnit*TotalUnits/12*EG$8,0)</f>
        <v/>
      </c>
      <c r="EH25" s="18">
        <f>IF(135&gt;=DeliverStart,ExpInsurancePerUnit*TotalUnits/12*EH$8,0)</f>
        <v/>
      </c>
      <c r="EI25" s="18">
        <f>IF(136&gt;=DeliverStart,ExpInsurancePerUnit*TotalUnits/12*EI$8,0)</f>
        <v/>
      </c>
      <c r="EJ25" s="18">
        <f>IF(137&gt;=DeliverStart,ExpInsurancePerUnit*TotalUnits/12*EJ$8,0)</f>
        <v/>
      </c>
      <c r="EK25" s="18">
        <f>IF(138&gt;=DeliverStart,ExpInsurancePerUnit*TotalUnits/12*EK$8,0)</f>
        <v/>
      </c>
      <c r="EL25" s="18">
        <f>IF(139&gt;=DeliverStart,ExpInsurancePerUnit*TotalUnits/12*EL$8,0)</f>
        <v/>
      </c>
      <c r="EM25" s="18">
        <f>IF(140&gt;=DeliverStart,ExpInsurancePerUnit*TotalUnits/12*EM$8,0)</f>
        <v/>
      </c>
      <c r="EN25" s="18">
        <f>IF(141&gt;=DeliverStart,ExpInsurancePerUnit*TotalUnits/12*EN$8,0)</f>
        <v/>
      </c>
      <c r="EO25" s="18">
        <f>IF(142&gt;=DeliverStart,ExpInsurancePerUnit*TotalUnits/12*EO$8,0)</f>
        <v/>
      </c>
      <c r="EP25" s="18">
        <f>IF(143&gt;=DeliverStart,ExpInsurancePerUnit*TotalUnits/12*EP$8,0)</f>
        <v/>
      </c>
      <c r="EQ25" s="18">
        <f>IF(144&gt;=DeliverStart,ExpInsurancePerUnit*TotalUnits/12*EQ$8,0)</f>
        <v/>
      </c>
      <c r="ER25" s="18">
        <f>IF(145&gt;=DeliverStart,ExpInsurancePerUnit*TotalUnits/12*ER$8,0)</f>
        <v/>
      </c>
      <c r="ES25" s="18">
        <f>IF(146&gt;=DeliverStart,ExpInsurancePerUnit*TotalUnits/12*ES$8,0)</f>
        <v/>
      </c>
      <c r="ET25" s="18">
        <f>IF(147&gt;=DeliverStart,ExpInsurancePerUnit*TotalUnits/12*ET$8,0)</f>
        <v/>
      </c>
      <c r="EU25" s="18">
        <f>IF(148&gt;=DeliverStart,ExpInsurancePerUnit*TotalUnits/12*EU$8,0)</f>
        <v/>
      </c>
      <c r="EV25" s="18">
        <f>IF(149&gt;=DeliverStart,ExpInsurancePerUnit*TotalUnits/12*EV$8,0)</f>
        <v/>
      </c>
      <c r="EW25" s="18">
        <f>IF(150&gt;=DeliverStart,ExpInsurancePerUnit*TotalUnits/12*EW$8,0)</f>
        <v/>
      </c>
      <c r="EX25" s="18">
        <f>IF(151&gt;=DeliverStart,ExpInsurancePerUnit*TotalUnits/12*EX$8,0)</f>
        <v/>
      </c>
      <c r="EY25" s="18">
        <f>IF(152&gt;=DeliverStart,ExpInsurancePerUnit*TotalUnits/12*EY$8,0)</f>
        <v/>
      </c>
      <c r="EZ25" s="18">
        <f>IF(153&gt;=DeliverStart,ExpInsurancePerUnit*TotalUnits/12*EZ$8,0)</f>
        <v/>
      </c>
      <c r="FA25" s="18">
        <f>IF(154&gt;=DeliverStart,ExpInsurancePerUnit*TotalUnits/12*FA$8,0)</f>
        <v/>
      </c>
      <c r="FB25" s="18">
        <f>IF(155&gt;=DeliverStart,ExpInsurancePerUnit*TotalUnits/12*FB$8,0)</f>
        <v/>
      </c>
      <c r="FC25" s="18">
        <f>IF(156&gt;=DeliverStart,ExpInsurancePerUnit*TotalUnits/12*FC$8,0)</f>
        <v/>
      </c>
      <c r="FD25" s="18">
        <f>IF(157&gt;=DeliverStart,ExpInsurancePerUnit*TotalUnits/12*FD$8,0)</f>
        <v/>
      </c>
      <c r="FE25" s="18">
        <f>IF(158&gt;=DeliverStart,ExpInsurancePerUnit*TotalUnits/12*FE$8,0)</f>
        <v/>
      </c>
      <c r="FF25" s="18">
        <f>IF(159&gt;=DeliverStart,ExpInsurancePerUnit*TotalUnits/12*FF$8,0)</f>
        <v/>
      </c>
      <c r="FG25" s="18">
        <f>IF(160&gt;=DeliverStart,ExpInsurancePerUnit*TotalUnits/12*FG$8,0)</f>
        <v/>
      </c>
      <c r="FH25" s="18">
        <f>IF(161&gt;=DeliverStart,ExpInsurancePerUnit*TotalUnits/12*FH$8,0)</f>
        <v/>
      </c>
      <c r="FI25" s="18">
        <f>IF(162&gt;=DeliverStart,ExpInsurancePerUnit*TotalUnits/12*FI$8,0)</f>
        <v/>
      </c>
      <c r="FJ25" s="18">
        <f>IF(163&gt;=DeliverStart,ExpInsurancePerUnit*TotalUnits/12*FJ$8,0)</f>
        <v/>
      </c>
      <c r="FK25" s="18">
        <f>IF(164&gt;=DeliverStart,ExpInsurancePerUnit*TotalUnits/12*FK$8,0)</f>
        <v/>
      </c>
      <c r="FL25" s="18">
        <f>IF(165&gt;=DeliverStart,ExpInsurancePerUnit*TotalUnits/12*FL$8,0)</f>
        <v/>
      </c>
      <c r="FM25" s="18">
        <f>IF(166&gt;=DeliverStart,ExpInsurancePerUnit*TotalUnits/12*FM$8,0)</f>
        <v/>
      </c>
      <c r="FN25" s="18">
        <f>IF(167&gt;=DeliverStart,ExpInsurancePerUnit*TotalUnits/12*FN$8,0)</f>
        <v/>
      </c>
      <c r="FO25" s="18">
        <f>IF(168&gt;=DeliverStart,ExpInsurancePerUnit*TotalUnits/12*FO$8,0)</f>
        <v/>
      </c>
      <c r="FP25" s="18">
        <f>IF(169&gt;=DeliverStart,ExpInsurancePerUnit*TotalUnits/12*FP$8,0)</f>
        <v/>
      </c>
      <c r="FQ25" s="18">
        <f>IF(170&gt;=DeliverStart,ExpInsurancePerUnit*TotalUnits/12*FQ$8,0)</f>
        <v/>
      </c>
      <c r="FR25" s="18">
        <f>IF(171&gt;=DeliverStart,ExpInsurancePerUnit*TotalUnits/12*FR$8,0)</f>
        <v/>
      </c>
      <c r="FS25" s="18">
        <f>IF(172&gt;=DeliverStart,ExpInsurancePerUnit*TotalUnits/12*FS$8,0)</f>
        <v/>
      </c>
      <c r="FT25" s="18">
        <f>IF(173&gt;=DeliverStart,ExpInsurancePerUnit*TotalUnits/12*FT$8,0)</f>
        <v/>
      </c>
      <c r="FU25" s="18">
        <f>IF(174&gt;=DeliverStart,ExpInsurancePerUnit*TotalUnits/12*FU$8,0)</f>
        <v/>
      </c>
      <c r="FV25" s="18">
        <f>IF(175&gt;=DeliverStart,ExpInsurancePerUnit*TotalUnits/12*FV$8,0)</f>
        <v/>
      </c>
      <c r="FW25" s="18">
        <f>IF(176&gt;=DeliverStart,ExpInsurancePerUnit*TotalUnits/12*FW$8,0)</f>
        <v/>
      </c>
      <c r="FX25" s="18">
        <f>IF(177&gt;=DeliverStart,ExpInsurancePerUnit*TotalUnits/12*FX$8,0)</f>
        <v/>
      </c>
      <c r="FY25" s="18">
        <f>IF(178&gt;=DeliverStart,ExpInsurancePerUnit*TotalUnits/12*FY$8,0)</f>
        <v/>
      </c>
      <c r="FZ25" s="18">
        <f>IF(179&gt;=DeliverStart,ExpInsurancePerUnit*TotalUnits/12*FZ$8,0)</f>
        <v/>
      </c>
      <c r="GA25" s="18">
        <f>IF(180&gt;=DeliverStart,ExpInsurancePerUnit*TotalUnits/12*GA$8,0)</f>
        <v/>
      </c>
      <c r="GB25" s="18">
        <f>IF(181&gt;=DeliverStart,ExpInsurancePerUnit*TotalUnits/12*GB$8,0)</f>
        <v/>
      </c>
      <c r="GC25" s="18">
        <f>IF(182&gt;=DeliverStart,ExpInsurancePerUnit*TotalUnits/12*GC$8,0)</f>
        <v/>
      </c>
      <c r="GD25" s="18">
        <f>IF(183&gt;=DeliverStart,ExpInsurancePerUnit*TotalUnits/12*GD$8,0)</f>
        <v/>
      </c>
      <c r="GE25" s="18">
        <f>IF(184&gt;=DeliverStart,ExpInsurancePerUnit*TotalUnits/12*GE$8,0)</f>
        <v/>
      </c>
      <c r="GF25" s="18">
        <f>IF(185&gt;=DeliverStart,ExpInsurancePerUnit*TotalUnits/12*GF$8,0)</f>
        <v/>
      </c>
      <c r="GG25" s="18">
        <f>IF(186&gt;=DeliverStart,ExpInsurancePerUnit*TotalUnits/12*GG$8,0)</f>
        <v/>
      </c>
      <c r="GH25" s="18">
        <f>IF(187&gt;=DeliverStart,ExpInsurancePerUnit*TotalUnits/12*GH$8,0)</f>
        <v/>
      </c>
      <c r="GI25" s="18">
        <f>IF(188&gt;=DeliverStart,ExpInsurancePerUnit*TotalUnits/12*GI$8,0)</f>
        <v/>
      </c>
      <c r="GJ25" s="18">
        <f>IF(189&gt;=DeliverStart,ExpInsurancePerUnit*TotalUnits/12*GJ$8,0)</f>
        <v/>
      </c>
      <c r="GK25" s="18">
        <f>IF(190&gt;=DeliverStart,ExpInsurancePerUnit*TotalUnits/12*GK$8,0)</f>
        <v/>
      </c>
      <c r="GL25" s="18">
        <f>IF(191&gt;=DeliverStart,ExpInsurancePerUnit*TotalUnits/12*GL$8,0)</f>
        <v/>
      </c>
      <c r="GM25" s="18">
        <f>IF(192&gt;=DeliverStart,ExpInsurancePerUnit*TotalUnits/12*GM$8,0)</f>
        <v/>
      </c>
      <c r="GN25" s="18">
        <f>IF(193&gt;=DeliverStart,ExpInsurancePerUnit*TotalUnits/12*GN$8,0)</f>
        <v/>
      </c>
      <c r="GO25" s="18">
        <f>IF(194&gt;=DeliverStart,ExpInsurancePerUnit*TotalUnits/12*GO$8,0)</f>
        <v/>
      </c>
      <c r="GP25" s="18">
        <f>IF(195&gt;=DeliverStart,ExpInsurancePerUnit*TotalUnits/12*GP$8,0)</f>
        <v/>
      </c>
      <c r="GQ25" s="18">
        <f>IF(196&gt;=DeliverStart,ExpInsurancePerUnit*TotalUnits/12*GQ$8,0)</f>
        <v/>
      </c>
      <c r="GR25" s="18">
        <f>IF(197&gt;=DeliverStart,ExpInsurancePerUnit*TotalUnits/12*GR$8,0)</f>
        <v/>
      </c>
      <c r="GS25" s="18">
        <f>IF(198&gt;=DeliverStart,ExpInsurancePerUnit*TotalUnits/12*GS$8,0)</f>
        <v/>
      </c>
      <c r="GT25" s="18">
        <f>IF(199&gt;=DeliverStart,ExpInsurancePerUnit*TotalUnits/12*GT$8,0)</f>
        <v/>
      </c>
      <c r="GU25" s="18">
        <f>IF(200&gt;=DeliverStart,ExpInsurancePerUnit*TotalUnits/12*GU$8,0)</f>
        <v/>
      </c>
      <c r="GV25" s="18">
        <f>IF(201&gt;=DeliverStart,ExpInsurancePerUnit*TotalUnits/12*GV$8,0)</f>
        <v/>
      </c>
      <c r="GW25" s="18">
        <f>IF(202&gt;=DeliverStart,ExpInsurancePerUnit*TotalUnits/12*GW$8,0)</f>
        <v/>
      </c>
      <c r="GX25" s="18">
        <f>IF(203&gt;=DeliverStart,ExpInsurancePerUnit*TotalUnits/12*GX$8,0)</f>
        <v/>
      </c>
      <c r="GY25" s="18">
        <f>IF(204&gt;=DeliverStart,ExpInsurancePerUnit*TotalUnits/12*GY$8,0)</f>
        <v/>
      </c>
      <c r="GZ25" s="18">
        <f>IF(205&gt;=DeliverStart,ExpInsurancePerUnit*TotalUnits/12*GZ$8,0)</f>
        <v/>
      </c>
      <c r="HA25" s="18">
        <f>IF(206&gt;=DeliverStart,ExpInsurancePerUnit*TotalUnits/12*HA$8,0)</f>
        <v/>
      </c>
      <c r="HB25" s="18">
        <f>IF(207&gt;=DeliverStart,ExpInsurancePerUnit*TotalUnits/12*HB$8,0)</f>
        <v/>
      </c>
      <c r="HC25" s="18">
        <f>IF(208&gt;=DeliverStart,ExpInsurancePerUnit*TotalUnits/12*HC$8,0)</f>
        <v/>
      </c>
      <c r="HD25" s="18">
        <f>IF(209&gt;=DeliverStart,ExpInsurancePerUnit*TotalUnits/12*HD$8,0)</f>
        <v/>
      </c>
      <c r="HE25" s="18">
        <f>IF(210&gt;=DeliverStart,ExpInsurancePerUnit*TotalUnits/12*HE$8,0)</f>
        <v/>
      </c>
      <c r="HF25" s="18">
        <f>IF(211&gt;=DeliverStart,ExpInsurancePerUnit*TotalUnits/12*HF$8,0)</f>
        <v/>
      </c>
      <c r="HG25" s="18">
        <f>IF(212&gt;=DeliverStart,ExpInsurancePerUnit*TotalUnits/12*HG$8,0)</f>
        <v/>
      </c>
      <c r="HH25" s="18">
        <f>IF(213&gt;=DeliverStart,ExpInsurancePerUnit*TotalUnits/12*HH$8,0)</f>
        <v/>
      </c>
      <c r="HI25" s="18">
        <f>IF(214&gt;=DeliverStart,ExpInsurancePerUnit*TotalUnits/12*HI$8,0)</f>
        <v/>
      </c>
      <c r="HJ25" s="18">
        <f>IF(215&gt;=DeliverStart,ExpInsurancePerUnit*TotalUnits/12*HJ$8,0)</f>
        <v/>
      </c>
      <c r="HK25" s="18">
        <f>IF(216&gt;=DeliverStart,ExpInsurancePerUnit*TotalUnits/12*HK$8,0)</f>
        <v/>
      </c>
      <c r="HL25" s="18">
        <f>IF(217&gt;=DeliverStart,ExpInsurancePerUnit*TotalUnits/12*HL$8,0)</f>
        <v/>
      </c>
      <c r="HM25" s="18">
        <f>IF(218&gt;=DeliverStart,ExpInsurancePerUnit*TotalUnits/12*HM$8,0)</f>
        <v/>
      </c>
      <c r="HN25" s="18">
        <f>IF(219&gt;=DeliverStart,ExpInsurancePerUnit*TotalUnits/12*HN$8,0)</f>
        <v/>
      </c>
      <c r="HO25" s="18">
        <f>IF(220&gt;=DeliverStart,ExpInsurancePerUnit*TotalUnits/12*HO$8,0)</f>
        <v/>
      </c>
      <c r="HP25" s="18">
        <f>IF(221&gt;=DeliverStart,ExpInsurancePerUnit*TotalUnits/12*HP$8,0)</f>
        <v/>
      </c>
      <c r="HQ25" s="18">
        <f>IF(222&gt;=DeliverStart,ExpInsurancePerUnit*TotalUnits/12*HQ$8,0)</f>
        <v/>
      </c>
      <c r="HR25" s="18">
        <f>IF(223&gt;=DeliverStart,ExpInsurancePerUnit*TotalUnits/12*HR$8,0)</f>
        <v/>
      </c>
      <c r="HS25" s="18">
        <f>IF(224&gt;=DeliverStart,ExpInsurancePerUnit*TotalUnits/12*HS$8,0)</f>
        <v/>
      </c>
      <c r="HT25" s="18">
        <f>IF(225&gt;=DeliverStart,ExpInsurancePerUnit*TotalUnits/12*HT$8,0)</f>
        <v/>
      </c>
      <c r="HU25" s="18">
        <f>IF(226&gt;=DeliverStart,ExpInsurancePerUnit*TotalUnits/12*HU$8,0)</f>
        <v/>
      </c>
      <c r="HV25" s="18">
        <f>IF(227&gt;=DeliverStart,ExpInsurancePerUnit*TotalUnits/12*HV$8,0)</f>
        <v/>
      </c>
      <c r="HW25" s="18">
        <f>IF(228&gt;=DeliverStart,ExpInsurancePerUnit*TotalUnits/12*HW$8,0)</f>
        <v/>
      </c>
      <c r="HX25" s="18">
        <f>IF(229&gt;=DeliverStart,ExpInsurancePerUnit*TotalUnits/12*HX$8,0)</f>
        <v/>
      </c>
      <c r="HY25" s="18">
        <f>IF(230&gt;=DeliverStart,ExpInsurancePerUnit*TotalUnits/12*HY$8,0)</f>
        <v/>
      </c>
      <c r="HZ25" s="18">
        <f>IF(231&gt;=DeliverStart,ExpInsurancePerUnit*TotalUnits/12*HZ$8,0)</f>
        <v/>
      </c>
      <c r="IA25" s="18">
        <f>IF(232&gt;=DeliverStart,ExpInsurancePerUnit*TotalUnits/12*IA$8,0)</f>
        <v/>
      </c>
      <c r="IB25" s="18">
        <f>IF(233&gt;=DeliverStart,ExpInsurancePerUnit*TotalUnits/12*IB$8,0)</f>
        <v/>
      </c>
      <c r="IC25" s="18">
        <f>IF(234&gt;=DeliverStart,ExpInsurancePerUnit*TotalUnits/12*IC$8,0)</f>
        <v/>
      </c>
      <c r="ID25" s="18">
        <f>IF(235&gt;=DeliverStart,ExpInsurancePerUnit*TotalUnits/12*ID$8,0)</f>
        <v/>
      </c>
      <c r="IE25" s="18">
        <f>IF(236&gt;=DeliverStart,ExpInsurancePerUnit*TotalUnits/12*IE$8,0)</f>
        <v/>
      </c>
      <c r="IF25" s="18">
        <f>IF(237&gt;=DeliverStart,ExpInsurancePerUnit*TotalUnits/12*IF$8,0)</f>
        <v/>
      </c>
      <c r="IG25" s="18">
        <f>IF(238&gt;=DeliverStart,ExpInsurancePerUnit*TotalUnits/12*IG$8,0)</f>
        <v/>
      </c>
      <c r="IH25" s="18">
        <f>IF(239&gt;=DeliverStart,ExpInsurancePerUnit*TotalUnits/12*IH$8,0)</f>
        <v/>
      </c>
      <c r="II25" s="18">
        <f>IF(240&gt;=DeliverStart,ExpInsurancePerUnit*TotalUnits/12*II$8,0)</f>
        <v/>
      </c>
      <c r="IJ25" s="18">
        <f>IF(241&gt;=DeliverStart,ExpInsurancePerUnit*TotalUnits/12*IJ$8,0)</f>
        <v/>
      </c>
      <c r="IK25" s="18">
        <f>IF(242&gt;=DeliverStart,ExpInsurancePerUnit*TotalUnits/12*IK$8,0)</f>
        <v/>
      </c>
      <c r="IL25" s="18">
        <f>IF(243&gt;=DeliverStart,ExpInsurancePerUnit*TotalUnits/12*IL$8,0)</f>
        <v/>
      </c>
      <c r="IM25" s="18">
        <f>IF(244&gt;=DeliverStart,ExpInsurancePerUnit*TotalUnits/12*IM$8,0)</f>
        <v/>
      </c>
      <c r="IN25" s="18">
        <f>IF(245&gt;=DeliverStart,ExpInsurancePerUnit*TotalUnits/12*IN$8,0)</f>
        <v/>
      </c>
      <c r="IO25" s="18">
        <f>IF(246&gt;=DeliverStart,ExpInsurancePerUnit*TotalUnits/12*IO$8,0)</f>
        <v/>
      </c>
      <c r="IP25" s="18">
        <f>IF(247&gt;=DeliverStart,ExpInsurancePerUnit*TotalUnits/12*IP$8,0)</f>
        <v/>
      </c>
      <c r="IQ25" s="18">
        <f>IF(248&gt;=DeliverStart,ExpInsurancePerUnit*TotalUnits/12*IQ$8,0)</f>
        <v/>
      </c>
      <c r="IR25" s="18">
        <f>IF(249&gt;=DeliverStart,ExpInsurancePerUnit*TotalUnits/12*IR$8,0)</f>
        <v/>
      </c>
      <c r="IS25" s="18">
        <f>IF(250&gt;=DeliverStart,ExpInsurancePerUnit*TotalUnits/12*IS$8,0)</f>
        <v/>
      </c>
      <c r="IT25" s="18">
        <f>IF(251&gt;=DeliverStart,ExpInsurancePerUnit*TotalUnits/12*IT$8,0)</f>
        <v/>
      </c>
      <c r="IU25" s="18">
        <f>IF(252&gt;=DeliverStart,ExpInsurancePerUnit*TotalUnits/12*IU$8,0)</f>
        <v/>
      </c>
      <c r="IV25" s="18">
        <f>IF(253&gt;=DeliverStart,ExpInsurancePerUnit*TotalUnits/12*IV$8,0)</f>
        <v/>
      </c>
      <c r="IW25" s="18">
        <f>IF(254&gt;=DeliverStart,ExpInsurancePerUnit*TotalUnits/12*IW$8,0)</f>
        <v/>
      </c>
      <c r="IX25" s="18">
        <f>IF(255&gt;=DeliverStart,ExpInsurancePerUnit*TotalUnits/12*IX$8,0)</f>
        <v/>
      </c>
      <c r="IY25" s="18">
        <f>IF(256&gt;=DeliverStart,ExpInsurancePerUnit*TotalUnits/12*IY$8,0)</f>
        <v/>
      </c>
      <c r="IZ25" s="18">
        <f>IF(257&gt;=DeliverStart,ExpInsurancePerUnit*TotalUnits/12*IZ$8,0)</f>
        <v/>
      </c>
      <c r="JA25" s="18">
        <f>IF(258&gt;=DeliverStart,ExpInsurancePerUnit*TotalUnits/12*JA$8,0)</f>
        <v/>
      </c>
      <c r="JB25" s="18">
        <f>IF(259&gt;=DeliverStart,ExpInsurancePerUnit*TotalUnits/12*JB$8,0)</f>
        <v/>
      </c>
      <c r="JC25" s="18">
        <f>IF(260&gt;=DeliverStart,ExpInsurancePerUnit*TotalUnits/12*JC$8,0)</f>
        <v/>
      </c>
      <c r="JD25" s="18">
        <f>IF(261&gt;=DeliverStart,ExpInsurancePerUnit*TotalUnits/12*JD$8,0)</f>
        <v/>
      </c>
      <c r="JE25" s="18">
        <f>IF(262&gt;=DeliverStart,ExpInsurancePerUnit*TotalUnits/12*JE$8,0)</f>
        <v/>
      </c>
      <c r="JF25" s="18">
        <f>IF(263&gt;=DeliverStart,ExpInsurancePerUnit*TotalUnits/12*JF$8,0)</f>
        <v/>
      </c>
      <c r="JG25" s="18">
        <f>IF(264&gt;=DeliverStart,ExpInsurancePerUnit*TotalUnits/12*JG$8,0)</f>
        <v/>
      </c>
      <c r="JH25" s="18">
        <f>IF(265&gt;=DeliverStart,ExpInsurancePerUnit*TotalUnits/12*JH$8,0)</f>
        <v/>
      </c>
      <c r="JI25" s="18">
        <f>IF(266&gt;=DeliverStart,ExpInsurancePerUnit*TotalUnits/12*JI$8,0)</f>
        <v/>
      </c>
      <c r="JJ25" s="18">
        <f>IF(267&gt;=DeliverStart,ExpInsurancePerUnit*TotalUnits/12*JJ$8,0)</f>
        <v/>
      </c>
      <c r="JK25" s="18">
        <f>IF(268&gt;=DeliverStart,ExpInsurancePerUnit*TotalUnits/12*JK$8,0)</f>
        <v/>
      </c>
      <c r="JL25" s="18">
        <f>IF(269&gt;=DeliverStart,ExpInsurancePerUnit*TotalUnits/12*JL$8,0)</f>
        <v/>
      </c>
      <c r="JM25" s="18">
        <f>IF(270&gt;=DeliverStart,ExpInsurancePerUnit*TotalUnits/12*JM$8,0)</f>
        <v/>
      </c>
      <c r="JN25" s="18">
        <f>IF(271&gt;=DeliverStart,ExpInsurancePerUnit*TotalUnits/12*JN$8,0)</f>
        <v/>
      </c>
      <c r="JO25" s="18">
        <f>IF(272&gt;=DeliverStart,ExpInsurancePerUnit*TotalUnits/12*JO$8,0)</f>
        <v/>
      </c>
      <c r="JP25" s="18">
        <f>IF(273&gt;=DeliverStart,ExpInsurancePerUnit*TotalUnits/12*JP$8,0)</f>
        <v/>
      </c>
      <c r="JQ25" s="18">
        <f>IF(274&gt;=DeliverStart,ExpInsurancePerUnit*TotalUnits/12*JQ$8,0)</f>
        <v/>
      </c>
      <c r="JR25" s="18">
        <f>IF(275&gt;=DeliverStart,ExpInsurancePerUnit*TotalUnits/12*JR$8,0)</f>
        <v/>
      </c>
      <c r="JS25" s="18">
        <f>IF(276&gt;=DeliverStart,ExpInsurancePerUnit*TotalUnits/12*JS$8,0)</f>
        <v/>
      </c>
      <c r="JT25" s="18">
        <f>IF(277&gt;=DeliverStart,ExpInsurancePerUnit*TotalUnits/12*JT$8,0)</f>
        <v/>
      </c>
      <c r="JU25" s="18">
        <f>IF(278&gt;=DeliverStart,ExpInsurancePerUnit*TotalUnits/12*JU$8,0)</f>
        <v/>
      </c>
      <c r="JV25" s="18">
        <f>IF(279&gt;=DeliverStart,ExpInsurancePerUnit*TotalUnits/12*JV$8,0)</f>
        <v/>
      </c>
      <c r="JW25" s="18">
        <f>IF(280&gt;=DeliverStart,ExpInsurancePerUnit*TotalUnits/12*JW$8,0)</f>
        <v/>
      </c>
      <c r="JX25" s="18">
        <f>IF(281&gt;=DeliverStart,ExpInsurancePerUnit*TotalUnits/12*JX$8,0)</f>
        <v/>
      </c>
      <c r="JY25" s="18">
        <f>IF(282&gt;=DeliverStart,ExpInsurancePerUnit*TotalUnits/12*JY$8,0)</f>
        <v/>
      </c>
      <c r="JZ25" s="18">
        <f>IF(283&gt;=DeliverStart,ExpInsurancePerUnit*TotalUnits/12*JZ$8,0)</f>
        <v/>
      </c>
      <c r="KA25" s="18">
        <f>IF(284&gt;=DeliverStart,ExpInsurancePerUnit*TotalUnits/12*KA$8,0)</f>
        <v/>
      </c>
      <c r="KB25" s="18">
        <f>IF(285&gt;=DeliverStart,ExpInsurancePerUnit*TotalUnits/12*KB$8,0)</f>
        <v/>
      </c>
      <c r="KC25" s="18">
        <f>IF(286&gt;=DeliverStart,ExpInsurancePerUnit*TotalUnits/12*KC$8,0)</f>
        <v/>
      </c>
      <c r="KD25" s="18">
        <f>IF(287&gt;=DeliverStart,ExpInsurancePerUnit*TotalUnits/12*KD$8,0)</f>
        <v/>
      </c>
      <c r="KE25" s="18">
        <f>IF(288&gt;=DeliverStart,ExpInsurancePerUnit*TotalUnits/12*KE$8,0)</f>
        <v/>
      </c>
      <c r="KF25" s="18">
        <f>IF(289&gt;=DeliverStart,ExpInsurancePerUnit*TotalUnits/12*KF$8,0)</f>
        <v/>
      </c>
      <c r="KG25" s="18">
        <f>IF(290&gt;=DeliverStart,ExpInsurancePerUnit*TotalUnits/12*KG$8,0)</f>
        <v/>
      </c>
      <c r="KH25" s="18">
        <f>IF(291&gt;=DeliverStart,ExpInsurancePerUnit*TotalUnits/12*KH$8,0)</f>
        <v/>
      </c>
      <c r="KI25" s="18">
        <f>IF(292&gt;=DeliverStart,ExpInsurancePerUnit*TotalUnits/12*KI$8,0)</f>
        <v/>
      </c>
      <c r="KJ25" s="18">
        <f>IF(293&gt;=DeliverStart,ExpInsurancePerUnit*TotalUnits/12*KJ$8,0)</f>
        <v/>
      </c>
      <c r="KK25" s="18">
        <f>IF(294&gt;=DeliverStart,ExpInsurancePerUnit*TotalUnits/12*KK$8,0)</f>
        <v/>
      </c>
      <c r="KL25" s="18">
        <f>IF(295&gt;=DeliverStart,ExpInsurancePerUnit*TotalUnits/12*KL$8,0)</f>
        <v/>
      </c>
      <c r="KM25" s="18">
        <f>IF(296&gt;=DeliverStart,ExpInsurancePerUnit*TotalUnits/12*KM$8,0)</f>
        <v/>
      </c>
      <c r="KN25" s="18">
        <f>IF(297&gt;=DeliverStart,ExpInsurancePerUnit*TotalUnits/12*KN$8,0)</f>
        <v/>
      </c>
      <c r="KO25" s="18">
        <f>IF(298&gt;=DeliverStart,ExpInsurancePerUnit*TotalUnits/12*KO$8,0)</f>
        <v/>
      </c>
      <c r="KP25" s="18">
        <f>IF(299&gt;=DeliverStart,ExpInsurancePerUnit*TotalUnits/12*KP$8,0)</f>
        <v/>
      </c>
      <c r="KQ25" s="18">
        <f>IF(300&gt;=DeliverStart,ExpInsurancePerUnit*TotalUnits/12*KQ$8,0)</f>
        <v/>
      </c>
      <c r="KR25" s="18">
        <f>IF(301&gt;=DeliverStart,ExpInsurancePerUnit*TotalUnits/12*KR$8,0)</f>
        <v/>
      </c>
      <c r="KS25" s="18">
        <f>IF(302&gt;=DeliverStart,ExpInsurancePerUnit*TotalUnits/12*KS$8,0)</f>
        <v/>
      </c>
      <c r="KT25" s="18">
        <f>IF(303&gt;=DeliverStart,ExpInsurancePerUnit*TotalUnits/12*KT$8,0)</f>
        <v/>
      </c>
      <c r="KU25" s="18">
        <f>IF(304&gt;=DeliverStart,ExpInsurancePerUnit*TotalUnits/12*KU$8,0)</f>
        <v/>
      </c>
      <c r="KV25" s="18">
        <f>IF(305&gt;=DeliverStart,ExpInsurancePerUnit*TotalUnits/12*KV$8,0)</f>
        <v/>
      </c>
      <c r="KW25" s="18">
        <f>IF(306&gt;=DeliverStart,ExpInsurancePerUnit*TotalUnits/12*KW$8,0)</f>
        <v/>
      </c>
      <c r="KX25" s="18">
        <f>IF(307&gt;=DeliverStart,ExpInsurancePerUnit*TotalUnits/12*KX$8,0)</f>
        <v/>
      </c>
      <c r="KY25" s="18">
        <f>IF(308&gt;=DeliverStart,ExpInsurancePerUnit*TotalUnits/12*KY$8,0)</f>
        <v/>
      </c>
      <c r="KZ25" s="18">
        <f>IF(309&gt;=DeliverStart,ExpInsurancePerUnit*TotalUnits/12*KZ$8,0)</f>
        <v/>
      </c>
      <c r="LA25" s="18">
        <f>IF(310&gt;=DeliverStart,ExpInsurancePerUnit*TotalUnits/12*LA$8,0)</f>
        <v/>
      </c>
      <c r="LB25" s="18">
        <f>IF(311&gt;=DeliverStart,ExpInsurancePerUnit*TotalUnits/12*LB$8,0)</f>
        <v/>
      </c>
      <c r="LC25" s="18">
        <f>IF(312&gt;=DeliverStart,ExpInsurancePerUnit*TotalUnits/12*LC$8,0)</f>
        <v/>
      </c>
      <c r="LD25" s="18">
        <f>IF(313&gt;=DeliverStart,ExpInsurancePerUnit*TotalUnits/12*LD$8,0)</f>
        <v/>
      </c>
      <c r="LE25" s="18">
        <f>IF(314&gt;=DeliverStart,ExpInsurancePerUnit*TotalUnits/12*LE$8,0)</f>
        <v/>
      </c>
      <c r="LF25" s="18">
        <f>IF(315&gt;=DeliverStart,ExpInsurancePerUnit*TotalUnits/12*LF$8,0)</f>
        <v/>
      </c>
      <c r="LG25" s="18">
        <f>IF(316&gt;=DeliverStart,ExpInsurancePerUnit*TotalUnits/12*LG$8,0)</f>
        <v/>
      </c>
      <c r="LH25" s="18">
        <f>IF(317&gt;=DeliverStart,ExpInsurancePerUnit*TotalUnits/12*LH$8,0)</f>
        <v/>
      </c>
      <c r="LI25" s="18">
        <f>IF(318&gt;=DeliverStart,ExpInsurancePerUnit*TotalUnits/12*LI$8,0)</f>
        <v/>
      </c>
      <c r="LJ25" s="18">
        <f>IF(319&gt;=DeliverStart,ExpInsurancePerUnit*TotalUnits/12*LJ$8,0)</f>
        <v/>
      </c>
      <c r="LK25" s="18">
        <f>IF(320&gt;=DeliverStart,ExpInsurancePerUnit*TotalUnits/12*LK$8,0)</f>
        <v/>
      </c>
      <c r="LL25" s="18">
        <f>IF(321&gt;=DeliverStart,ExpInsurancePerUnit*TotalUnits/12*LL$8,0)</f>
        <v/>
      </c>
      <c r="LM25" s="18">
        <f>IF(322&gt;=DeliverStart,ExpInsurancePerUnit*TotalUnits/12*LM$8,0)</f>
        <v/>
      </c>
      <c r="LN25" s="18">
        <f>IF(323&gt;=DeliverStart,ExpInsurancePerUnit*TotalUnits/12*LN$8,0)</f>
        <v/>
      </c>
      <c r="LO25" s="18">
        <f>IF(324&gt;=DeliverStart,ExpInsurancePerUnit*TotalUnits/12*LO$8,0)</f>
        <v/>
      </c>
      <c r="LP25" s="18">
        <f>IF(325&gt;=DeliverStart,ExpInsurancePerUnit*TotalUnits/12*LP$8,0)</f>
        <v/>
      </c>
      <c r="LQ25" s="18">
        <f>IF(326&gt;=DeliverStart,ExpInsurancePerUnit*TotalUnits/12*LQ$8,0)</f>
        <v/>
      </c>
      <c r="LR25" s="18">
        <f>IF(327&gt;=DeliverStart,ExpInsurancePerUnit*TotalUnits/12*LR$8,0)</f>
        <v/>
      </c>
      <c r="LS25" s="18">
        <f>IF(328&gt;=DeliverStart,ExpInsurancePerUnit*TotalUnits/12*LS$8,0)</f>
        <v/>
      </c>
      <c r="LT25" s="18">
        <f>IF(329&gt;=DeliverStart,ExpInsurancePerUnit*TotalUnits/12*LT$8,0)</f>
        <v/>
      </c>
      <c r="LU25" s="18">
        <f>IF(330&gt;=DeliverStart,ExpInsurancePerUnit*TotalUnits/12*LU$8,0)</f>
        <v/>
      </c>
      <c r="LV25" s="18">
        <f>IF(331&gt;=DeliverStart,ExpInsurancePerUnit*TotalUnits/12*LV$8,0)</f>
        <v/>
      </c>
      <c r="LW25" s="18">
        <f>IF(332&gt;=DeliverStart,ExpInsurancePerUnit*TotalUnits/12*LW$8,0)</f>
        <v/>
      </c>
      <c r="LX25" s="18">
        <f>IF(333&gt;=DeliverStart,ExpInsurancePerUnit*TotalUnits/12*LX$8,0)</f>
        <v/>
      </c>
      <c r="LY25" s="18">
        <f>IF(334&gt;=DeliverStart,ExpInsurancePerUnit*TotalUnits/12*LY$8,0)</f>
        <v/>
      </c>
      <c r="LZ25" s="18">
        <f>IF(335&gt;=DeliverStart,ExpInsurancePerUnit*TotalUnits/12*LZ$8,0)</f>
        <v/>
      </c>
      <c r="MA25" s="18">
        <f>IF(336&gt;=DeliverStart,ExpInsurancePerUnit*TotalUnits/12*MA$8,0)</f>
        <v/>
      </c>
      <c r="MB25" s="18">
        <f>IF(337&gt;=DeliverStart,ExpInsurancePerUnit*TotalUnits/12*MB$8,0)</f>
        <v/>
      </c>
      <c r="MC25" s="18">
        <f>IF(338&gt;=DeliverStart,ExpInsurancePerUnit*TotalUnits/12*MC$8,0)</f>
        <v/>
      </c>
      <c r="MD25" s="18">
        <f>IF(339&gt;=DeliverStart,ExpInsurancePerUnit*TotalUnits/12*MD$8,0)</f>
        <v/>
      </c>
      <c r="ME25" s="18">
        <f>IF(340&gt;=DeliverStart,ExpInsurancePerUnit*TotalUnits/12*ME$8,0)</f>
        <v/>
      </c>
      <c r="MF25" s="18">
        <f>IF(341&gt;=DeliverStart,ExpInsurancePerUnit*TotalUnits/12*MF$8,0)</f>
        <v/>
      </c>
      <c r="MG25" s="18">
        <f>IF(342&gt;=DeliverStart,ExpInsurancePerUnit*TotalUnits/12*MG$8,0)</f>
        <v/>
      </c>
      <c r="MH25" s="18">
        <f>IF(343&gt;=DeliverStart,ExpInsurancePerUnit*TotalUnits/12*MH$8,0)</f>
        <v/>
      </c>
      <c r="MI25" s="18">
        <f>IF(344&gt;=DeliverStart,ExpInsurancePerUnit*TotalUnits/12*MI$8,0)</f>
        <v/>
      </c>
      <c r="MJ25" s="18">
        <f>IF(345&gt;=DeliverStart,ExpInsurancePerUnit*TotalUnits/12*MJ$8,0)</f>
        <v/>
      </c>
      <c r="MK25" s="18">
        <f>IF(346&gt;=DeliverStart,ExpInsurancePerUnit*TotalUnits/12*MK$8,0)</f>
        <v/>
      </c>
      <c r="ML25" s="18">
        <f>IF(347&gt;=DeliverStart,ExpInsurancePerUnit*TotalUnits/12*ML$8,0)</f>
        <v/>
      </c>
      <c r="MM25" s="18">
        <f>IF(348&gt;=DeliverStart,ExpInsurancePerUnit*TotalUnits/12*MM$8,0)</f>
        <v/>
      </c>
      <c r="MN25" s="18">
        <f>IF(349&gt;=DeliverStart,ExpInsurancePerUnit*TotalUnits/12*MN$8,0)</f>
        <v/>
      </c>
      <c r="MO25" s="18">
        <f>IF(350&gt;=DeliverStart,ExpInsurancePerUnit*TotalUnits/12*MO$8,0)</f>
        <v/>
      </c>
      <c r="MP25" s="18">
        <f>IF(351&gt;=DeliverStart,ExpInsurancePerUnit*TotalUnits/12*MP$8,0)</f>
        <v/>
      </c>
      <c r="MQ25" s="18">
        <f>IF(352&gt;=DeliverStart,ExpInsurancePerUnit*TotalUnits/12*MQ$8,0)</f>
        <v/>
      </c>
      <c r="MR25" s="18">
        <f>IF(353&gt;=DeliverStart,ExpInsurancePerUnit*TotalUnits/12*MR$8,0)</f>
        <v/>
      </c>
      <c r="MS25" s="18">
        <f>IF(354&gt;=DeliverStart,ExpInsurancePerUnit*TotalUnits/12*MS$8,0)</f>
        <v/>
      </c>
      <c r="MT25" s="18">
        <f>IF(355&gt;=DeliverStart,ExpInsurancePerUnit*TotalUnits/12*MT$8,0)</f>
        <v/>
      </c>
      <c r="MU25" s="18">
        <f>IF(356&gt;=DeliverStart,ExpInsurancePerUnit*TotalUnits/12*MU$8,0)</f>
        <v/>
      </c>
      <c r="MV25" s="18">
        <f>IF(357&gt;=DeliverStart,ExpInsurancePerUnit*TotalUnits/12*MV$8,0)</f>
        <v/>
      </c>
      <c r="MW25" s="18">
        <f>IF(358&gt;=DeliverStart,ExpInsurancePerUnit*TotalUnits/12*MW$8,0)</f>
        <v/>
      </c>
      <c r="MX25" s="18">
        <f>IF(359&gt;=DeliverStart,ExpInsurancePerUnit*TotalUnits/12*MX$8,0)</f>
        <v/>
      </c>
      <c r="MY25" s="18">
        <f>IF(360&gt;=DeliverStart,ExpInsurancePerUnit*TotalUnits/12*MY$8,0)</f>
        <v/>
      </c>
      <c r="MZ25" s="18">
        <f>IF(361&gt;=DeliverStart,ExpInsurancePerUnit*TotalUnits/12*MZ$8,0)</f>
        <v/>
      </c>
      <c r="NA25" s="18">
        <f>IF(362&gt;=DeliverStart,ExpInsurancePerUnit*TotalUnits/12*NA$8,0)</f>
        <v/>
      </c>
      <c r="NB25" s="18">
        <f>IF(363&gt;=DeliverStart,ExpInsurancePerUnit*TotalUnits/12*NB$8,0)</f>
        <v/>
      </c>
      <c r="NC25" s="18">
        <f>IF(364&gt;=DeliverStart,ExpInsurancePerUnit*TotalUnits/12*NC$8,0)</f>
        <v/>
      </c>
      <c r="ND25" s="18">
        <f>IF(365&gt;=DeliverStart,ExpInsurancePerUnit*TotalUnits/12*ND$8,0)</f>
        <v/>
      </c>
      <c r="NE25" s="18">
        <f>IF(366&gt;=DeliverStart,ExpInsurancePerUnit*TotalUnits/12*NE$8,0)</f>
        <v/>
      </c>
      <c r="NF25" s="18">
        <f>IF(367&gt;=DeliverStart,ExpInsurancePerUnit*TotalUnits/12*NF$8,0)</f>
        <v/>
      </c>
      <c r="NG25" s="18">
        <f>IF(368&gt;=DeliverStart,ExpInsurancePerUnit*TotalUnits/12*NG$8,0)</f>
        <v/>
      </c>
      <c r="NH25" s="18">
        <f>IF(369&gt;=DeliverStart,ExpInsurancePerUnit*TotalUnits/12*NH$8,0)</f>
        <v/>
      </c>
      <c r="NI25" s="18">
        <f>IF(370&gt;=DeliverStart,ExpInsurancePerUnit*TotalUnits/12*NI$8,0)</f>
        <v/>
      </c>
      <c r="NJ25" s="18">
        <f>IF(371&gt;=DeliverStart,ExpInsurancePerUnit*TotalUnits/12*NJ$8,0)</f>
        <v/>
      </c>
      <c r="NK25" s="18">
        <f>IF(372&gt;=DeliverStart,ExpInsurancePerUnit*TotalUnits/12*NK$8,0)</f>
        <v/>
      </c>
    </row>
    <row r="26">
      <c r="A26" s="5" t="inlineStr">
        <is>
          <t>Admin &amp; Legal</t>
        </is>
      </c>
      <c r="C26" s="41">
        <f>SUM(D26:NK26)</f>
        <v/>
      </c>
      <c r="D26" s="18">
        <f>IF(1&gt;=DeliverStart,ExpAdminPerUnit*TotalUnits/12*D$8,0)</f>
        <v/>
      </c>
      <c r="E26" s="18">
        <f>IF(2&gt;=DeliverStart,ExpAdminPerUnit*TotalUnits/12*E$8,0)</f>
        <v/>
      </c>
      <c r="F26" s="18">
        <f>IF(3&gt;=DeliverStart,ExpAdminPerUnit*TotalUnits/12*F$8,0)</f>
        <v/>
      </c>
      <c r="G26" s="18">
        <f>IF(4&gt;=DeliverStart,ExpAdminPerUnit*TotalUnits/12*G$8,0)</f>
        <v/>
      </c>
      <c r="H26" s="18">
        <f>IF(5&gt;=DeliverStart,ExpAdminPerUnit*TotalUnits/12*H$8,0)</f>
        <v/>
      </c>
      <c r="I26" s="18">
        <f>IF(6&gt;=DeliverStart,ExpAdminPerUnit*TotalUnits/12*I$8,0)</f>
        <v/>
      </c>
      <c r="J26" s="18">
        <f>IF(7&gt;=DeliverStart,ExpAdminPerUnit*TotalUnits/12*J$8,0)</f>
        <v/>
      </c>
      <c r="K26" s="18">
        <f>IF(8&gt;=DeliverStart,ExpAdminPerUnit*TotalUnits/12*K$8,0)</f>
        <v/>
      </c>
      <c r="L26" s="18">
        <f>IF(9&gt;=DeliverStart,ExpAdminPerUnit*TotalUnits/12*L$8,0)</f>
        <v/>
      </c>
      <c r="M26" s="18">
        <f>IF(10&gt;=DeliverStart,ExpAdminPerUnit*TotalUnits/12*M$8,0)</f>
        <v/>
      </c>
      <c r="N26" s="18">
        <f>IF(11&gt;=DeliverStart,ExpAdminPerUnit*TotalUnits/12*N$8,0)</f>
        <v/>
      </c>
      <c r="O26" s="18">
        <f>IF(12&gt;=DeliverStart,ExpAdminPerUnit*TotalUnits/12*O$8,0)</f>
        <v/>
      </c>
      <c r="P26" s="18">
        <f>IF(13&gt;=DeliverStart,ExpAdminPerUnit*TotalUnits/12*P$8,0)</f>
        <v/>
      </c>
      <c r="Q26" s="18">
        <f>IF(14&gt;=DeliverStart,ExpAdminPerUnit*TotalUnits/12*Q$8,0)</f>
        <v/>
      </c>
      <c r="R26" s="18">
        <f>IF(15&gt;=DeliverStart,ExpAdminPerUnit*TotalUnits/12*R$8,0)</f>
        <v/>
      </c>
      <c r="S26" s="18">
        <f>IF(16&gt;=DeliverStart,ExpAdminPerUnit*TotalUnits/12*S$8,0)</f>
        <v/>
      </c>
      <c r="T26" s="18">
        <f>IF(17&gt;=DeliverStart,ExpAdminPerUnit*TotalUnits/12*T$8,0)</f>
        <v/>
      </c>
      <c r="U26" s="18">
        <f>IF(18&gt;=DeliverStart,ExpAdminPerUnit*TotalUnits/12*U$8,0)</f>
        <v/>
      </c>
      <c r="V26" s="18">
        <f>IF(19&gt;=DeliverStart,ExpAdminPerUnit*TotalUnits/12*V$8,0)</f>
        <v/>
      </c>
      <c r="W26" s="18">
        <f>IF(20&gt;=DeliverStart,ExpAdminPerUnit*TotalUnits/12*W$8,0)</f>
        <v/>
      </c>
      <c r="X26" s="18">
        <f>IF(21&gt;=DeliverStart,ExpAdminPerUnit*TotalUnits/12*X$8,0)</f>
        <v/>
      </c>
      <c r="Y26" s="18">
        <f>IF(22&gt;=DeliverStart,ExpAdminPerUnit*TotalUnits/12*Y$8,0)</f>
        <v/>
      </c>
      <c r="Z26" s="18">
        <f>IF(23&gt;=DeliverStart,ExpAdminPerUnit*TotalUnits/12*Z$8,0)</f>
        <v/>
      </c>
      <c r="AA26" s="18">
        <f>IF(24&gt;=DeliverStart,ExpAdminPerUnit*TotalUnits/12*AA$8,0)</f>
        <v/>
      </c>
      <c r="AB26" s="18">
        <f>IF(25&gt;=DeliverStart,ExpAdminPerUnit*TotalUnits/12*AB$8,0)</f>
        <v/>
      </c>
      <c r="AC26" s="18">
        <f>IF(26&gt;=DeliverStart,ExpAdminPerUnit*TotalUnits/12*AC$8,0)</f>
        <v/>
      </c>
      <c r="AD26" s="18">
        <f>IF(27&gt;=DeliverStart,ExpAdminPerUnit*TotalUnits/12*AD$8,0)</f>
        <v/>
      </c>
      <c r="AE26" s="18">
        <f>IF(28&gt;=DeliverStart,ExpAdminPerUnit*TotalUnits/12*AE$8,0)</f>
        <v/>
      </c>
      <c r="AF26" s="18">
        <f>IF(29&gt;=DeliverStart,ExpAdminPerUnit*TotalUnits/12*AF$8,0)</f>
        <v/>
      </c>
      <c r="AG26" s="18">
        <f>IF(30&gt;=DeliverStart,ExpAdminPerUnit*TotalUnits/12*AG$8,0)</f>
        <v/>
      </c>
      <c r="AH26" s="18">
        <f>IF(31&gt;=DeliverStart,ExpAdminPerUnit*TotalUnits/12*AH$8,0)</f>
        <v/>
      </c>
      <c r="AI26" s="18">
        <f>IF(32&gt;=DeliverStart,ExpAdminPerUnit*TotalUnits/12*AI$8,0)</f>
        <v/>
      </c>
      <c r="AJ26" s="18">
        <f>IF(33&gt;=DeliverStart,ExpAdminPerUnit*TotalUnits/12*AJ$8,0)</f>
        <v/>
      </c>
      <c r="AK26" s="18">
        <f>IF(34&gt;=DeliverStart,ExpAdminPerUnit*TotalUnits/12*AK$8,0)</f>
        <v/>
      </c>
      <c r="AL26" s="18">
        <f>IF(35&gt;=DeliverStart,ExpAdminPerUnit*TotalUnits/12*AL$8,0)</f>
        <v/>
      </c>
      <c r="AM26" s="18">
        <f>IF(36&gt;=DeliverStart,ExpAdminPerUnit*TotalUnits/12*AM$8,0)</f>
        <v/>
      </c>
      <c r="AN26" s="18">
        <f>IF(37&gt;=DeliverStart,ExpAdminPerUnit*TotalUnits/12*AN$8,0)</f>
        <v/>
      </c>
      <c r="AO26" s="18">
        <f>IF(38&gt;=DeliverStart,ExpAdminPerUnit*TotalUnits/12*AO$8,0)</f>
        <v/>
      </c>
      <c r="AP26" s="18">
        <f>IF(39&gt;=DeliverStart,ExpAdminPerUnit*TotalUnits/12*AP$8,0)</f>
        <v/>
      </c>
      <c r="AQ26" s="18">
        <f>IF(40&gt;=DeliverStart,ExpAdminPerUnit*TotalUnits/12*AQ$8,0)</f>
        <v/>
      </c>
      <c r="AR26" s="18">
        <f>IF(41&gt;=DeliverStart,ExpAdminPerUnit*TotalUnits/12*AR$8,0)</f>
        <v/>
      </c>
      <c r="AS26" s="18">
        <f>IF(42&gt;=DeliverStart,ExpAdminPerUnit*TotalUnits/12*AS$8,0)</f>
        <v/>
      </c>
      <c r="AT26" s="18">
        <f>IF(43&gt;=DeliverStart,ExpAdminPerUnit*TotalUnits/12*AT$8,0)</f>
        <v/>
      </c>
      <c r="AU26" s="18">
        <f>IF(44&gt;=DeliverStart,ExpAdminPerUnit*TotalUnits/12*AU$8,0)</f>
        <v/>
      </c>
      <c r="AV26" s="18">
        <f>IF(45&gt;=DeliverStart,ExpAdminPerUnit*TotalUnits/12*AV$8,0)</f>
        <v/>
      </c>
      <c r="AW26" s="18">
        <f>IF(46&gt;=DeliverStart,ExpAdminPerUnit*TotalUnits/12*AW$8,0)</f>
        <v/>
      </c>
      <c r="AX26" s="18">
        <f>IF(47&gt;=DeliverStart,ExpAdminPerUnit*TotalUnits/12*AX$8,0)</f>
        <v/>
      </c>
      <c r="AY26" s="18">
        <f>IF(48&gt;=DeliverStart,ExpAdminPerUnit*TotalUnits/12*AY$8,0)</f>
        <v/>
      </c>
      <c r="AZ26" s="18">
        <f>IF(49&gt;=DeliverStart,ExpAdminPerUnit*TotalUnits/12*AZ$8,0)</f>
        <v/>
      </c>
      <c r="BA26" s="18">
        <f>IF(50&gt;=DeliverStart,ExpAdminPerUnit*TotalUnits/12*BA$8,0)</f>
        <v/>
      </c>
      <c r="BB26" s="18">
        <f>IF(51&gt;=DeliverStart,ExpAdminPerUnit*TotalUnits/12*BB$8,0)</f>
        <v/>
      </c>
      <c r="BC26" s="18">
        <f>IF(52&gt;=DeliverStart,ExpAdminPerUnit*TotalUnits/12*BC$8,0)</f>
        <v/>
      </c>
      <c r="BD26" s="18">
        <f>IF(53&gt;=DeliverStart,ExpAdminPerUnit*TotalUnits/12*BD$8,0)</f>
        <v/>
      </c>
      <c r="BE26" s="18">
        <f>IF(54&gt;=DeliverStart,ExpAdminPerUnit*TotalUnits/12*BE$8,0)</f>
        <v/>
      </c>
      <c r="BF26" s="18">
        <f>IF(55&gt;=DeliverStart,ExpAdminPerUnit*TotalUnits/12*BF$8,0)</f>
        <v/>
      </c>
      <c r="BG26" s="18">
        <f>IF(56&gt;=DeliverStart,ExpAdminPerUnit*TotalUnits/12*BG$8,0)</f>
        <v/>
      </c>
      <c r="BH26" s="18">
        <f>IF(57&gt;=DeliverStart,ExpAdminPerUnit*TotalUnits/12*BH$8,0)</f>
        <v/>
      </c>
      <c r="BI26" s="18">
        <f>IF(58&gt;=DeliverStart,ExpAdminPerUnit*TotalUnits/12*BI$8,0)</f>
        <v/>
      </c>
      <c r="BJ26" s="18">
        <f>IF(59&gt;=DeliverStart,ExpAdminPerUnit*TotalUnits/12*BJ$8,0)</f>
        <v/>
      </c>
      <c r="BK26" s="18">
        <f>IF(60&gt;=DeliverStart,ExpAdminPerUnit*TotalUnits/12*BK$8,0)</f>
        <v/>
      </c>
      <c r="BL26" s="18">
        <f>IF(61&gt;=DeliverStart,ExpAdminPerUnit*TotalUnits/12*BL$8,0)</f>
        <v/>
      </c>
      <c r="BM26" s="18">
        <f>IF(62&gt;=DeliverStart,ExpAdminPerUnit*TotalUnits/12*BM$8,0)</f>
        <v/>
      </c>
      <c r="BN26" s="18">
        <f>IF(63&gt;=DeliverStart,ExpAdminPerUnit*TotalUnits/12*BN$8,0)</f>
        <v/>
      </c>
      <c r="BO26" s="18">
        <f>IF(64&gt;=DeliverStart,ExpAdminPerUnit*TotalUnits/12*BO$8,0)</f>
        <v/>
      </c>
      <c r="BP26" s="18">
        <f>IF(65&gt;=DeliverStart,ExpAdminPerUnit*TotalUnits/12*BP$8,0)</f>
        <v/>
      </c>
      <c r="BQ26" s="18">
        <f>IF(66&gt;=DeliverStart,ExpAdminPerUnit*TotalUnits/12*BQ$8,0)</f>
        <v/>
      </c>
      <c r="BR26" s="18">
        <f>IF(67&gt;=DeliverStart,ExpAdminPerUnit*TotalUnits/12*BR$8,0)</f>
        <v/>
      </c>
      <c r="BS26" s="18">
        <f>IF(68&gt;=DeliverStart,ExpAdminPerUnit*TotalUnits/12*BS$8,0)</f>
        <v/>
      </c>
      <c r="BT26" s="18">
        <f>IF(69&gt;=DeliverStart,ExpAdminPerUnit*TotalUnits/12*BT$8,0)</f>
        <v/>
      </c>
      <c r="BU26" s="18">
        <f>IF(70&gt;=DeliverStart,ExpAdminPerUnit*TotalUnits/12*BU$8,0)</f>
        <v/>
      </c>
      <c r="BV26" s="18">
        <f>IF(71&gt;=DeliverStart,ExpAdminPerUnit*TotalUnits/12*BV$8,0)</f>
        <v/>
      </c>
      <c r="BW26" s="18">
        <f>IF(72&gt;=DeliverStart,ExpAdminPerUnit*TotalUnits/12*BW$8,0)</f>
        <v/>
      </c>
      <c r="BX26" s="18">
        <f>IF(73&gt;=DeliverStart,ExpAdminPerUnit*TotalUnits/12*BX$8,0)</f>
        <v/>
      </c>
      <c r="BY26" s="18">
        <f>IF(74&gt;=DeliverStart,ExpAdminPerUnit*TotalUnits/12*BY$8,0)</f>
        <v/>
      </c>
      <c r="BZ26" s="18">
        <f>IF(75&gt;=DeliverStart,ExpAdminPerUnit*TotalUnits/12*BZ$8,0)</f>
        <v/>
      </c>
      <c r="CA26" s="18">
        <f>IF(76&gt;=DeliverStart,ExpAdminPerUnit*TotalUnits/12*CA$8,0)</f>
        <v/>
      </c>
      <c r="CB26" s="18">
        <f>IF(77&gt;=DeliverStart,ExpAdminPerUnit*TotalUnits/12*CB$8,0)</f>
        <v/>
      </c>
      <c r="CC26" s="18">
        <f>IF(78&gt;=DeliverStart,ExpAdminPerUnit*TotalUnits/12*CC$8,0)</f>
        <v/>
      </c>
      <c r="CD26" s="18">
        <f>IF(79&gt;=DeliverStart,ExpAdminPerUnit*TotalUnits/12*CD$8,0)</f>
        <v/>
      </c>
      <c r="CE26" s="18">
        <f>IF(80&gt;=DeliverStart,ExpAdminPerUnit*TotalUnits/12*CE$8,0)</f>
        <v/>
      </c>
      <c r="CF26" s="18">
        <f>IF(81&gt;=DeliverStart,ExpAdminPerUnit*TotalUnits/12*CF$8,0)</f>
        <v/>
      </c>
      <c r="CG26" s="18">
        <f>IF(82&gt;=DeliverStart,ExpAdminPerUnit*TotalUnits/12*CG$8,0)</f>
        <v/>
      </c>
      <c r="CH26" s="18">
        <f>IF(83&gt;=DeliverStart,ExpAdminPerUnit*TotalUnits/12*CH$8,0)</f>
        <v/>
      </c>
      <c r="CI26" s="18">
        <f>IF(84&gt;=DeliverStart,ExpAdminPerUnit*TotalUnits/12*CI$8,0)</f>
        <v/>
      </c>
      <c r="CJ26" s="18">
        <f>IF(85&gt;=DeliverStart,ExpAdminPerUnit*TotalUnits/12*CJ$8,0)</f>
        <v/>
      </c>
      <c r="CK26" s="18">
        <f>IF(86&gt;=DeliverStart,ExpAdminPerUnit*TotalUnits/12*CK$8,0)</f>
        <v/>
      </c>
      <c r="CL26" s="18">
        <f>IF(87&gt;=DeliverStart,ExpAdminPerUnit*TotalUnits/12*CL$8,0)</f>
        <v/>
      </c>
      <c r="CM26" s="18">
        <f>IF(88&gt;=DeliverStart,ExpAdminPerUnit*TotalUnits/12*CM$8,0)</f>
        <v/>
      </c>
      <c r="CN26" s="18">
        <f>IF(89&gt;=DeliverStart,ExpAdminPerUnit*TotalUnits/12*CN$8,0)</f>
        <v/>
      </c>
      <c r="CO26" s="18">
        <f>IF(90&gt;=DeliverStart,ExpAdminPerUnit*TotalUnits/12*CO$8,0)</f>
        <v/>
      </c>
      <c r="CP26" s="18">
        <f>IF(91&gt;=DeliverStart,ExpAdminPerUnit*TotalUnits/12*CP$8,0)</f>
        <v/>
      </c>
      <c r="CQ26" s="18">
        <f>IF(92&gt;=DeliverStart,ExpAdminPerUnit*TotalUnits/12*CQ$8,0)</f>
        <v/>
      </c>
      <c r="CR26" s="18">
        <f>IF(93&gt;=DeliverStart,ExpAdminPerUnit*TotalUnits/12*CR$8,0)</f>
        <v/>
      </c>
      <c r="CS26" s="18">
        <f>IF(94&gt;=DeliverStart,ExpAdminPerUnit*TotalUnits/12*CS$8,0)</f>
        <v/>
      </c>
      <c r="CT26" s="18">
        <f>IF(95&gt;=DeliverStart,ExpAdminPerUnit*TotalUnits/12*CT$8,0)</f>
        <v/>
      </c>
      <c r="CU26" s="18">
        <f>IF(96&gt;=DeliverStart,ExpAdminPerUnit*TotalUnits/12*CU$8,0)</f>
        <v/>
      </c>
      <c r="CV26" s="18">
        <f>IF(97&gt;=DeliverStart,ExpAdminPerUnit*TotalUnits/12*CV$8,0)</f>
        <v/>
      </c>
      <c r="CW26" s="18">
        <f>IF(98&gt;=DeliverStart,ExpAdminPerUnit*TotalUnits/12*CW$8,0)</f>
        <v/>
      </c>
      <c r="CX26" s="18">
        <f>IF(99&gt;=DeliverStart,ExpAdminPerUnit*TotalUnits/12*CX$8,0)</f>
        <v/>
      </c>
      <c r="CY26" s="18">
        <f>IF(100&gt;=DeliverStart,ExpAdminPerUnit*TotalUnits/12*CY$8,0)</f>
        <v/>
      </c>
      <c r="CZ26" s="18">
        <f>IF(101&gt;=DeliverStart,ExpAdminPerUnit*TotalUnits/12*CZ$8,0)</f>
        <v/>
      </c>
      <c r="DA26" s="18">
        <f>IF(102&gt;=DeliverStart,ExpAdminPerUnit*TotalUnits/12*DA$8,0)</f>
        <v/>
      </c>
      <c r="DB26" s="18">
        <f>IF(103&gt;=DeliverStart,ExpAdminPerUnit*TotalUnits/12*DB$8,0)</f>
        <v/>
      </c>
      <c r="DC26" s="18">
        <f>IF(104&gt;=DeliverStart,ExpAdminPerUnit*TotalUnits/12*DC$8,0)</f>
        <v/>
      </c>
      <c r="DD26" s="18">
        <f>IF(105&gt;=DeliverStart,ExpAdminPerUnit*TotalUnits/12*DD$8,0)</f>
        <v/>
      </c>
      <c r="DE26" s="18">
        <f>IF(106&gt;=DeliverStart,ExpAdminPerUnit*TotalUnits/12*DE$8,0)</f>
        <v/>
      </c>
      <c r="DF26" s="18">
        <f>IF(107&gt;=DeliverStart,ExpAdminPerUnit*TotalUnits/12*DF$8,0)</f>
        <v/>
      </c>
      <c r="DG26" s="18">
        <f>IF(108&gt;=DeliverStart,ExpAdminPerUnit*TotalUnits/12*DG$8,0)</f>
        <v/>
      </c>
      <c r="DH26" s="18">
        <f>IF(109&gt;=DeliverStart,ExpAdminPerUnit*TotalUnits/12*DH$8,0)</f>
        <v/>
      </c>
      <c r="DI26" s="18">
        <f>IF(110&gt;=DeliverStart,ExpAdminPerUnit*TotalUnits/12*DI$8,0)</f>
        <v/>
      </c>
      <c r="DJ26" s="18">
        <f>IF(111&gt;=DeliverStart,ExpAdminPerUnit*TotalUnits/12*DJ$8,0)</f>
        <v/>
      </c>
      <c r="DK26" s="18">
        <f>IF(112&gt;=DeliverStart,ExpAdminPerUnit*TotalUnits/12*DK$8,0)</f>
        <v/>
      </c>
      <c r="DL26" s="18">
        <f>IF(113&gt;=DeliverStart,ExpAdminPerUnit*TotalUnits/12*DL$8,0)</f>
        <v/>
      </c>
      <c r="DM26" s="18">
        <f>IF(114&gt;=DeliverStart,ExpAdminPerUnit*TotalUnits/12*DM$8,0)</f>
        <v/>
      </c>
      <c r="DN26" s="18">
        <f>IF(115&gt;=DeliverStart,ExpAdminPerUnit*TotalUnits/12*DN$8,0)</f>
        <v/>
      </c>
      <c r="DO26" s="18">
        <f>IF(116&gt;=DeliverStart,ExpAdminPerUnit*TotalUnits/12*DO$8,0)</f>
        <v/>
      </c>
      <c r="DP26" s="18">
        <f>IF(117&gt;=DeliverStart,ExpAdminPerUnit*TotalUnits/12*DP$8,0)</f>
        <v/>
      </c>
      <c r="DQ26" s="18">
        <f>IF(118&gt;=DeliverStart,ExpAdminPerUnit*TotalUnits/12*DQ$8,0)</f>
        <v/>
      </c>
      <c r="DR26" s="18">
        <f>IF(119&gt;=DeliverStart,ExpAdminPerUnit*TotalUnits/12*DR$8,0)</f>
        <v/>
      </c>
      <c r="DS26" s="18">
        <f>IF(120&gt;=DeliverStart,ExpAdminPerUnit*TotalUnits/12*DS$8,0)</f>
        <v/>
      </c>
      <c r="DT26" s="18">
        <f>IF(121&gt;=DeliverStart,ExpAdminPerUnit*TotalUnits/12*DT$8,0)</f>
        <v/>
      </c>
      <c r="DU26" s="18">
        <f>IF(122&gt;=DeliverStart,ExpAdminPerUnit*TotalUnits/12*DU$8,0)</f>
        <v/>
      </c>
      <c r="DV26" s="18">
        <f>IF(123&gt;=DeliverStart,ExpAdminPerUnit*TotalUnits/12*DV$8,0)</f>
        <v/>
      </c>
      <c r="DW26" s="18">
        <f>IF(124&gt;=DeliverStart,ExpAdminPerUnit*TotalUnits/12*DW$8,0)</f>
        <v/>
      </c>
      <c r="DX26" s="18">
        <f>IF(125&gt;=DeliverStart,ExpAdminPerUnit*TotalUnits/12*DX$8,0)</f>
        <v/>
      </c>
      <c r="DY26" s="18">
        <f>IF(126&gt;=DeliverStart,ExpAdminPerUnit*TotalUnits/12*DY$8,0)</f>
        <v/>
      </c>
      <c r="DZ26" s="18">
        <f>IF(127&gt;=DeliverStart,ExpAdminPerUnit*TotalUnits/12*DZ$8,0)</f>
        <v/>
      </c>
      <c r="EA26" s="18">
        <f>IF(128&gt;=DeliverStart,ExpAdminPerUnit*TotalUnits/12*EA$8,0)</f>
        <v/>
      </c>
      <c r="EB26" s="18">
        <f>IF(129&gt;=DeliverStart,ExpAdminPerUnit*TotalUnits/12*EB$8,0)</f>
        <v/>
      </c>
      <c r="EC26" s="18">
        <f>IF(130&gt;=DeliverStart,ExpAdminPerUnit*TotalUnits/12*EC$8,0)</f>
        <v/>
      </c>
      <c r="ED26" s="18">
        <f>IF(131&gt;=DeliverStart,ExpAdminPerUnit*TotalUnits/12*ED$8,0)</f>
        <v/>
      </c>
      <c r="EE26" s="18">
        <f>IF(132&gt;=DeliverStart,ExpAdminPerUnit*TotalUnits/12*EE$8,0)</f>
        <v/>
      </c>
      <c r="EF26" s="18">
        <f>IF(133&gt;=DeliverStart,ExpAdminPerUnit*TotalUnits/12*EF$8,0)</f>
        <v/>
      </c>
      <c r="EG26" s="18">
        <f>IF(134&gt;=DeliverStart,ExpAdminPerUnit*TotalUnits/12*EG$8,0)</f>
        <v/>
      </c>
      <c r="EH26" s="18">
        <f>IF(135&gt;=DeliverStart,ExpAdminPerUnit*TotalUnits/12*EH$8,0)</f>
        <v/>
      </c>
      <c r="EI26" s="18">
        <f>IF(136&gt;=DeliverStart,ExpAdminPerUnit*TotalUnits/12*EI$8,0)</f>
        <v/>
      </c>
      <c r="EJ26" s="18">
        <f>IF(137&gt;=DeliverStart,ExpAdminPerUnit*TotalUnits/12*EJ$8,0)</f>
        <v/>
      </c>
      <c r="EK26" s="18">
        <f>IF(138&gt;=DeliverStart,ExpAdminPerUnit*TotalUnits/12*EK$8,0)</f>
        <v/>
      </c>
      <c r="EL26" s="18">
        <f>IF(139&gt;=DeliverStart,ExpAdminPerUnit*TotalUnits/12*EL$8,0)</f>
        <v/>
      </c>
      <c r="EM26" s="18">
        <f>IF(140&gt;=DeliverStart,ExpAdminPerUnit*TotalUnits/12*EM$8,0)</f>
        <v/>
      </c>
      <c r="EN26" s="18">
        <f>IF(141&gt;=DeliverStart,ExpAdminPerUnit*TotalUnits/12*EN$8,0)</f>
        <v/>
      </c>
      <c r="EO26" s="18">
        <f>IF(142&gt;=DeliverStart,ExpAdminPerUnit*TotalUnits/12*EO$8,0)</f>
        <v/>
      </c>
      <c r="EP26" s="18">
        <f>IF(143&gt;=DeliverStart,ExpAdminPerUnit*TotalUnits/12*EP$8,0)</f>
        <v/>
      </c>
      <c r="EQ26" s="18">
        <f>IF(144&gt;=DeliverStart,ExpAdminPerUnit*TotalUnits/12*EQ$8,0)</f>
        <v/>
      </c>
      <c r="ER26" s="18">
        <f>IF(145&gt;=DeliverStart,ExpAdminPerUnit*TotalUnits/12*ER$8,0)</f>
        <v/>
      </c>
      <c r="ES26" s="18">
        <f>IF(146&gt;=DeliverStart,ExpAdminPerUnit*TotalUnits/12*ES$8,0)</f>
        <v/>
      </c>
      <c r="ET26" s="18">
        <f>IF(147&gt;=DeliverStart,ExpAdminPerUnit*TotalUnits/12*ET$8,0)</f>
        <v/>
      </c>
      <c r="EU26" s="18">
        <f>IF(148&gt;=DeliverStart,ExpAdminPerUnit*TotalUnits/12*EU$8,0)</f>
        <v/>
      </c>
      <c r="EV26" s="18">
        <f>IF(149&gt;=DeliverStart,ExpAdminPerUnit*TotalUnits/12*EV$8,0)</f>
        <v/>
      </c>
      <c r="EW26" s="18">
        <f>IF(150&gt;=DeliverStart,ExpAdminPerUnit*TotalUnits/12*EW$8,0)</f>
        <v/>
      </c>
      <c r="EX26" s="18">
        <f>IF(151&gt;=DeliverStart,ExpAdminPerUnit*TotalUnits/12*EX$8,0)</f>
        <v/>
      </c>
      <c r="EY26" s="18">
        <f>IF(152&gt;=DeliverStart,ExpAdminPerUnit*TotalUnits/12*EY$8,0)</f>
        <v/>
      </c>
      <c r="EZ26" s="18">
        <f>IF(153&gt;=DeliverStart,ExpAdminPerUnit*TotalUnits/12*EZ$8,0)</f>
        <v/>
      </c>
      <c r="FA26" s="18">
        <f>IF(154&gt;=DeliverStart,ExpAdminPerUnit*TotalUnits/12*FA$8,0)</f>
        <v/>
      </c>
      <c r="FB26" s="18">
        <f>IF(155&gt;=DeliverStart,ExpAdminPerUnit*TotalUnits/12*FB$8,0)</f>
        <v/>
      </c>
      <c r="FC26" s="18">
        <f>IF(156&gt;=DeliverStart,ExpAdminPerUnit*TotalUnits/12*FC$8,0)</f>
        <v/>
      </c>
      <c r="FD26" s="18">
        <f>IF(157&gt;=DeliverStart,ExpAdminPerUnit*TotalUnits/12*FD$8,0)</f>
        <v/>
      </c>
      <c r="FE26" s="18">
        <f>IF(158&gt;=DeliverStart,ExpAdminPerUnit*TotalUnits/12*FE$8,0)</f>
        <v/>
      </c>
      <c r="FF26" s="18">
        <f>IF(159&gt;=DeliverStart,ExpAdminPerUnit*TotalUnits/12*FF$8,0)</f>
        <v/>
      </c>
      <c r="FG26" s="18">
        <f>IF(160&gt;=DeliverStart,ExpAdminPerUnit*TotalUnits/12*FG$8,0)</f>
        <v/>
      </c>
      <c r="FH26" s="18">
        <f>IF(161&gt;=DeliverStart,ExpAdminPerUnit*TotalUnits/12*FH$8,0)</f>
        <v/>
      </c>
      <c r="FI26" s="18">
        <f>IF(162&gt;=DeliverStart,ExpAdminPerUnit*TotalUnits/12*FI$8,0)</f>
        <v/>
      </c>
      <c r="FJ26" s="18">
        <f>IF(163&gt;=DeliverStart,ExpAdminPerUnit*TotalUnits/12*FJ$8,0)</f>
        <v/>
      </c>
      <c r="FK26" s="18">
        <f>IF(164&gt;=DeliverStart,ExpAdminPerUnit*TotalUnits/12*FK$8,0)</f>
        <v/>
      </c>
      <c r="FL26" s="18">
        <f>IF(165&gt;=DeliverStart,ExpAdminPerUnit*TotalUnits/12*FL$8,0)</f>
        <v/>
      </c>
      <c r="FM26" s="18">
        <f>IF(166&gt;=DeliverStart,ExpAdminPerUnit*TotalUnits/12*FM$8,0)</f>
        <v/>
      </c>
      <c r="FN26" s="18">
        <f>IF(167&gt;=DeliverStart,ExpAdminPerUnit*TotalUnits/12*FN$8,0)</f>
        <v/>
      </c>
      <c r="FO26" s="18">
        <f>IF(168&gt;=DeliverStart,ExpAdminPerUnit*TotalUnits/12*FO$8,0)</f>
        <v/>
      </c>
      <c r="FP26" s="18">
        <f>IF(169&gt;=DeliverStart,ExpAdminPerUnit*TotalUnits/12*FP$8,0)</f>
        <v/>
      </c>
      <c r="FQ26" s="18">
        <f>IF(170&gt;=DeliverStart,ExpAdminPerUnit*TotalUnits/12*FQ$8,0)</f>
        <v/>
      </c>
      <c r="FR26" s="18">
        <f>IF(171&gt;=DeliverStart,ExpAdminPerUnit*TotalUnits/12*FR$8,0)</f>
        <v/>
      </c>
      <c r="FS26" s="18">
        <f>IF(172&gt;=DeliverStart,ExpAdminPerUnit*TotalUnits/12*FS$8,0)</f>
        <v/>
      </c>
      <c r="FT26" s="18">
        <f>IF(173&gt;=DeliverStart,ExpAdminPerUnit*TotalUnits/12*FT$8,0)</f>
        <v/>
      </c>
      <c r="FU26" s="18">
        <f>IF(174&gt;=DeliverStart,ExpAdminPerUnit*TotalUnits/12*FU$8,0)</f>
        <v/>
      </c>
      <c r="FV26" s="18">
        <f>IF(175&gt;=DeliverStart,ExpAdminPerUnit*TotalUnits/12*FV$8,0)</f>
        <v/>
      </c>
      <c r="FW26" s="18">
        <f>IF(176&gt;=DeliverStart,ExpAdminPerUnit*TotalUnits/12*FW$8,0)</f>
        <v/>
      </c>
      <c r="FX26" s="18">
        <f>IF(177&gt;=DeliverStart,ExpAdminPerUnit*TotalUnits/12*FX$8,0)</f>
        <v/>
      </c>
      <c r="FY26" s="18">
        <f>IF(178&gt;=DeliverStart,ExpAdminPerUnit*TotalUnits/12*FY$8,0)</f>
        <v/>
      </c>
      <c r="FZ26" s="18">
        <f>IF(179&gt;=DeliverStart,ExpAdminPerUnit*TotalUnits/12*FZ$8,0)</f>
        <v/>
      </c>
      <c r="GA26" s="18">
        <f>IF(180&gt;=DeliverStart,ExpAdminPerUnit*TotalUnits/12*GA$8,0)</f>
        <v/>
      </c>
      <c r="GB26" s="18">
        <f>IF(181&gt;=DeliverStart,ExpAdminPerUnit*TotalUnits/12*GB$8,0)</f>
        <v/>
      </c>
      <c r="GC26" s="18">
        <f>IF(182&gt;=DeliverStart,ExpAdminPerUnit*TotalUnits/12*GC$8,0)</f>
        <v/>
      </c>
      <c r="GD26" s="18">
        <f>IF(183&gt;=DeliverStart,ExpAdminPerUnit*TotalUnits/12*GD$8,0)</f>
        <v/>
      </c>
      <c r="GE26" s="18">
        <f>IF(184&gt;=DeliverStart,ExpAdminPerUnit*TotalUnits/12*GE$8,0)</f>
        <v/>
      </c>
      <c r="GF26" s="18">
        <f>IF(185&gt;=DeliverStart,ExpAdminPerUnit*TotalUnits/12*GF$8,0)</f>
        <v/>
      </c>
      <c r="GG26" s="18">
        <f>IF(186&gt;=DeliverStart,ExpAdminPerUnit*TotalUnits/12*GG$8,0)</f>
        <v/>
      </c>
      <c r="GH26" s="18">
        <f>IF(187&gt;=DeliverStart,ExpAdminPerUnit*TotalUnits/12*GH$8,0)</f>
        <v/>
      </c>
      <c r="GI26" s="18">
        <f>IF(188&gt;=DeliverStart,ExpAdminPerUnit*TotalUnits/12*GI$8,0)</f>
        <v/>
      </c>
      <c r="GJ26" s="18">
        <f>IF(189&gt;=DeliverStart,ExpAdminPerUnit*TotalUnits/12*GJ$8,0)</f>
        <v/>
      </c>
      <c r="GK26" s="18">
        <f>IF(190&gt;=DeliverStart,ExpAdminPerUnit*TotalUnits/12*GK$8,0)</f>
        <v/>
      </c>
      <c r="GL26" s="18">
        <f>IF(191&gt;=DeliverStart,ExpAdminPerUnit*TotalUnits/12*GL$8,0)</f>
        <v/>
      </c>
      <c r="GM26" s="18">
        <f>IF(192&gt;=DeliverStart,ExpAdminPerUnit*TotalUnits/12*GM$8,0)</f>
        <v/>
      </c>
      <c r="GN26" s="18">
        <f>IF(193&gt;=DeliverStart,ExpAdminPerUnit*TotalUnits/12*GN$8,0)</f>
        <v/>
      </c>
      <c r="GO26" s="18">
        <f>IF(194&gt;=DeliverStart,ExpAdminPerUnit*TotalUnits/12*GO$8,0)</f>
        <v/>
      </c>
      <c r="GP26" s="18">
        <f>IF(195&gt;=DeliverStart,ExpAdminPerUnit*TotalUnits/12*GP$8,0)</f>
        <v/>
      </c>
      <c r="GQ26" s="18">
        <f>IF(196&gt;=DeliverStart,ExpAdminPerUnit*TotalUnits/12*GQ$8,0)</f>
        <v/>
      </c>
      <c r="GR26" s="18">
        <f>IF(197&gt;=DeliverStart,ExpAdminPerUnit*TotalUnits/12*GR$8,0)</f>
        <v/>
      </c>
      <c r="GS26" s="18">
        <f>IF(198&gt;=DeliverStart,ExpAdminPerUnit*TotalUnits/12*GS$8,0)</f>
        <v/>
      </c>
      <c r="GT26" s="18">
        <f>IF(199&gt;=DeliverStart,ExpAdminPerUnit*TotalUnits/12*GT$8,0)</f>
        <v/>
      </c>
      <c r="GU26" s="18">
        <f>IF(200&gt;=DeliverStart,ExpAdminPerUnit*TotalUnits/12*GU$8,0)</f>
        <v/>
      </c>
      <c r="GV26" s="18">
        <f>IF(201&gt;=DeliverStart,ExpAdminPerUnit*TotalUnits/12*GV$8,0)</f>
        <v/>
      </c>
      <c r="GW26" s="18">
        <f>IF(202&gt;=DeliverStart,ExpAdminPerUnit*TotalUnits/12*GW$8,0)</f>
        <v/>
      </c>
      <c r="GX26" s="18">
        <f>IF(203&gt;=DeliverStart,ExpAdminPerUnit*TotalUnits/12*GX$8,0)</f>
        <v/>
      </c>
      <c r="GY26" s="18">
        <f>IF(204&gt;=DeliverStart,ExpAdminPerUnit*TotalUnits/12*GY$8,0)</f>
        <v/>
      </c>
      <c r="GZ26" s="18">
        <f>IF(205&gt;=DeliverStart,ExpAdminPerUnit*TotalUnits/12*GZ$8,0)</f>
        <v/>
      </c>
      <c r="HA26" s="18">
        <f>IF(206&gt;=DeliverStart,ExpAdminPerUnit*TotalUnits/12*HA$8,0)</f>
        <v/>
      </c>
      <c r="HB26" s="18">
        <f>IF(207&gt;=DeliverStart,ExpAdminPerUnit*TotalUnits/12*HB$8,0)</f>
        <v/>
      </c>
      <c r="HC26" s="18">
        <f>IF(208&gt;=DeliverStart,ExpAdminPerUnit*TotalUnits/12*HC$8,0)</f>
        <v/>
      </c>
      <c r="HD26" s="18">
        <f>IF(209&gt;=DeliverStart,ExpAdminPerUnit*TotalUnits/12*HD$8,0)</f>
        <v/>
      </c>
      <c r="HE26" s="18">
        <f>IF(210&gt;=DeliverStart,ExpAdminPerUnit*TotalUnits/12*HE$8,0)</f>
        <v/>
      </c>
      <c r="HF26" s="18">
        <f>IF(211&gt;=DeliverStart,ExpAdminPerUnit*TotalUnits/12*HF$8,0)</f>
        <v/>
      </c>
      <c r="HG26" s="18">
        <f>IF(212&gt;=DeliverStart,ExpAdminPerUnit*TotalUnits/12*HG$8,0)</f>
        <v/>
      </c>
      <c r="HH26" s="18">
        <f>IF(213&gt;=DeliverStart,ExpAdminPerUnit*TotalUnits/12*HH$8,0)</f>
        <v/>
      </c>
      <c r="HI26" s="18">
        <f>IF(214&gt;=DeliverStart,ExpAdminPerUnit*TotalUnits/12*HI$8,0)</f>
        <v/>
      </c>
      <c r="HJ26" s="18">
        <f>IF(215&gt;=DeliverStart,ExpAdminPerUnit*TotalUnits/12*HJ$8,0)</f>
        <v/>
      </c>
      <c r="HK26" s="18">
        <f>IF(216&gt;=DeliverStart,ExpAdminPerUnit*TotalUnits/12*HK$8,0)</f>
        <v/>
      </c>
      <c r="HL26" s="18">
        <f>IF(217&gt;=DeliverStart,ExpAdminPerUnit*TotalUnits/12*HL$8,0)</f>
        <v/>
      </c>
      <c r="HM26" s="18">
        <f>IF(218&gt;=DeliverStart,ExpAdminPerUnit*TotalUnits/12*HM$8,0)</f>
        <v/>
      </c>
      <c r="HN26" s="18">
        <f>IF(219&gt;=DeliverStart,ExpAdminPerUnit*TotalUnits/12*HN$8,0)</f>
        <v/>
      </c>
      <c r="HO26" s="18">
        <f>IF(220&gt;=DeliverStart,ExpAdminPerUnit*TotalUnits/12*HO$8,0)</f>
        <v/>
      </c>
      <c r="HP26" s="18">
        <f>IF(221&gt;=DeliverStart,ExpAdminPerUnit*TotalUnits/12*HP$8,0)</f>
        <v/>
      </c>
      <c r="HQ26" s="18">
        <f>IF(222&gt;=DeliverStart,ExpAdminPerUnit*TotalUnits/12*HQ$8,0)</f>
        <v/>
      </c>
      <c r="HR26" s="18">
        <f>IF(223&gt;=DeliverStart,ExpAdminPerUnit*TotalUnits/12*HR$8,0)</f>
        <v/>
      </c>
      <c r="HS26" s="18">
        <f>IF(224&gt;=DeliverStart,ExpAdminPerUnit*TotalUnits/12*HS$8,0)</f>
        <v/>
      </c>
      <c r="HT26" s="18">
        <f>IF(225&gt;=DeliverStart,ExpAdminPerUnit*TotalUnits/12*HT$8,0)</f>
        <v/>
      </c>
      <c r="HU26" s="18">
        <f>IF(226&gt;=DeliverStart,ExpAdminPerUnit*TotalUnits/12*HU$8,0)</f>
        <v/>
      </c>
      <c r="HV26" s="18">
        <f>IF(227&gt;=DeliverStart,ExpAdminPerUnit*TotalUnits/12*HV$8,0)</f>
        <v/>
      </c>
      <c r="HW26" s="18">
        <f>IF(228&gt;=DeliverStart,ExpAdminPerUnit*TotalUnits/12*HW$8,0)</f>
        <v/>
      </c>
      <c r="HX26" s="18">
        <f>IF(229&gt;=DeliverStart,ExpAdminPerUnit*TotalUnits/12*HX$8,0)</f>
        <v/>
      </c>
      <c r="HY26" s="18">
        <f>IF(230&gt;=DeliverStart,ExpAdminPerUnit*TotalUnits/12*HY$8,0)</f>
        <v/>
      </c>
      <c r="HZ26" s="18">
        <f>IF(231&gt;=DeliverStart,ExpAdminPerUnit*TotalUnits/12*HZ$8,0)</f>
        <v/>
      </c>
      <c r="IA26" s="18">
        <f>IF(232&gt;=DeliverStart,ExpAdminPerUnit*TotalUnits/12*IA$8,0)</f>
        <v/>
      </c>
      <c r="IB26" s="18">
        <f>IF(233&gt;=DeliverStart,ExpAdminPerUnit*TotalUnits/12*IB$8,0)</f>
        <v/>
      </c>
      <c r="IC26" s="18">
        <f>IF(234&gt;=DeliverStart,ExpAdminPerUnit*TotalUnits/12*IC$8,0)</f>
        <v/>
      </c>
      <c r="ID26" s="18">
        <f>IF(235&gt;=DeliverStart,ExpAdminPerUnit*TotalUnits/12*ID$8,0)</f>
        <v/>
      </c>
      <c r="IE26" s="18">
        <f>IF(236&gt;=DeliverStart,ExpAdminPerUnit*TotalUnits/12*IE$8,0)</f>
        <v/>
      </c>
      <c r="IF26" s="18">
        <f>IF(237&gt;=DeliverStart,ExpAdminPerUnit*TotalUnits/12*IF$8,0)</f>
        <v/>
      </c>
      <c r="IG26" s="18">
        <f>IF(238&gt;=DeliverStart,ExpAdminPerUnit*TotalUnits/12*IG$8,0)</f>
        <v/>
      </c>
      <c r="IH26" s="18">
        <f>IF(239&gt;=DeliverStart,ExpAdminPerUnit*TotalUnits/12*IH$8,0)</f>
        <v/>
      </c>
      <c r="II26" s="18">
        <f>IF(240&gt;=DeliverStart,ExpAdminPerUnit*TotalUnits/12*II$8,0)</f>
        <v/>
      </c>
      <c r="IJ26" s="18">
        <f>IF(241&gt;=DeliverStart,ExpAdminPerUnit*TotalUnits/12*IJ$8,0)</f>
        <v/>
      </c>
      <c r="IK26" s="18">
        <f>IF(242&gt;=DeliverStart,ExpAdminPerUnit*TotalUnits/12*IK$8,0)</f>
        <v/>
      </c>
      <c r="IL26" s="18">
        <f>IF(243&gt;=DeliverStart,ExpAdminPerUnit*TotalUnits/12*IL$8,0)</f>
        <v/>
      </c>
      <c r="IM26" s="18">
        <f>IF(244&gt;=DeliverStart,ExpAdminPerUnit*TotalUnits/12*IM$8,0)</f>
        <v/>
      </c>
      <c r="IN26" s="18">
        <f>IF(245&gt;=DeliverStart,ExpAdminPerUnit*TotalUnits/12*IN$8,0)</f>
        <v/>
      </c>
      <c r="IO26" s="18">
        <f>IF(246&gt;=DeliverStart,ExpAdminPerUnit*TotalUnits/12*IO$8,0)</f>
        <v/>
      </c>
      <c r="IP26" s="18">
        <f>IF(247&gt;=DeliverStart,ExpAdminPerUnit*TotalUnits/12*IP$8,0)</f>
        <v/>
      </c>
      <c r="IQ26" s="18">
        <f>IF(248&gt;=DeliverStart,ExpAdminPerUnit*TotalUnits/12*IQ$8,0)</f>
        <v/>
      </c>
      <c r="IR26" s="18">
        <f>IF(249&gt;=DeliverStart,ExpAdminPerUnit*TotalUnits/12*IR$8,0)</f>
        <v/>
      </c>
      <c r="IS26" s="18">
        <f>IF(250&gt;=DeliverStart,ExpAdminPerUnit*TotalUnits/12*IS$8,0)</f>
        <v/>
      </c>
      <c r="IT26" s="18">
        <f>IF(251&gt;=DeliverStart,ExpAdminPerUnit*TotalUnits/12*IT$8,0)</f>
        <v/>
      </c>
      <c r="IU26" s="18">
        <f>IF(252&gt;=DeliverStart,ExpAdminPerUnit*TotalUnits/12*IU$8,0)</f>
        <v/>
      </c>
      <c r="IV26" s="18">
        <f>IF(253&gt;=DeliverStart,ExpAdminPerUnit*TotalUnits/12*IV$8,0)</f>
        <v/>
      </c>
      <c r="IW26" s="18">
        <f>IF(254&gt;=DeliverStart,ExpAdminPerUnit*TotalUnits/12*IW$8,0)</f>
        <v/>
      </c>
      <c r="IX26" s="18">
        <f>IF(255&gt;=DeliverStart,ExpAdminPerUnit*TotalUnits/12*IX$8,0)</f>
        <v/>
      </c>
      <c r="IY26" s="18">
        <f>IF(256&gt;=DeliverStart,ExpAdminPerUnit*TotalUnits/12*IY$8,0)</f>
        <v/>
      </c>
      <c r="IZ26" s="18">
        <f>IF(257&gt;=DeliverStart,ExpAdminPerUnit*TotalUnits/12*IZ$8,0)</f>
        <v/>
      </c>
      <c r="JA26" s="18">
        <f>IF(258&gt;=DeliverStart,ExpAdminPerUnit*TotalUnits/12*JA$8,0)</f>
        <v/>
      </c>
      <c r="JB26" s="18">
        <f>IF(259&gt;=DeliverStart,ExpAdminPerUnit*TotalUnits/12*JB$8,0)</f>
        <v/>
      </c>
      <c r="JC26" s="18">
        <f>IF(260&gt;=DeliverStart,ExpAdminPerUnit*TotalUnits/12*JC$8,0)</f>
        <v/>
      </c>
      <c r="JD26" s="18">
        <f>IF(261&gt;=DeliverStart,ExpAdminPerUnit*TotalUnits/12*JD$8,0)</f>
        <v/>
      </c>
      <c r="JE26" s="18">
        <f>IF(262&gt;=DeliverStart,ExpAdminPerUnit*TotalUnits/12*JE$8,0)</f>
        <v/>
      </c>
      <c r="JF26" s="18">
        <f>IF(263&gt;=DeliverStart,ExpAdminPerUnit*TotalUnits/12*JF$8,0)</f>
        <v/>
      </c>
      <c r="JG26" s="18">
        <f>IF(264&gt;=DeliverStart,ExpAdminPerUnit*TotalUnits/12*JG$8,0)</f>
        <v/>
      </c>
      <c r="JH26" s="18">
        <f>IF(265&gt;=DeliverStart,ExpAdminPerUnit*TotalUnits/12*JH$8,0)</f>
        <v/>
      </c>
      <c r="JI26" s="18">
        <f>IF(266&gt;=DeliverStart,ExpAdminPerUnit*TotalUnits/12*JI$8,0)</f>
        <v/>
      </c>
      <c r="JJ26" s="18">
        <f>IF(267&gt;=DeliverStart,ExpAdminPerUnit*TotalUnits/12*JJ$8,0)</f>
        <v/>
      </c>
      <c r="JK26" s="18">
        <f>IF(268&gt;=DeliverStart,ExpAdminPerUnit*TotalUnits/12*JK$8,0)</f>
        <v/>
      </c>
      <c r="JL26" s="18">
        <f>IF(269&gt;=DeliverStart,ExpAdminPerUnit*TotalUnits/12*JL$8,0)</f>
        <v/>
      </c>
      <c r="JM26" s="18">
        <f>IF(270&gt;=DeliverStart,ExpAdminPerUnit*TotalUnits/12*JM$8,0)</f>
        <v/>
      </c>
      <c r="JN26" s="18">
        <f>IF(271&gt;=DeliverStart,ExpAdminPerUnit*TotalUnits/12*JN$8,0)</f>
        <v/>
      </c>
      <c r="JO26" s="18">
        <f>IF(272&gt;=DeliverStart,ExpAdminPerUnit*TotalUnits/12*JO$8,0)</f>
        <v/>
      </c>
      <c r="JP26" s="18">
        <f>IF(273&gt;=DeliverStart,ExpAdminPerUnit*TotalUnits/12*JP$8,0)</f>
        <v/>
      </c>
      <c r="JQ26" s="18">
        <f>IF(274&gt;=DeliverStart,ExpAdminPerUnit*TotalUnits/12*JQ$8,0)</f>
        <v/>
      </c>
      <c r="JR26" s="18">
        <f>IF(275&gt;=DeliverStart,ExpAdminPerUnit*TotalUnits/12*JR$8,0)</f>
        <v/>
      </c>
      <c r="JS26" s="18">
        <f>IF(276&gt;=DeliverStart,ExpAdminPerUnit*TotalUnits/12*JS$8,0)</f>
        <v/>
      </c>
      <c r="JT26" s="18">
        <f>IF(277&gt;=DeliverStart,ExpAdminPerUnit*TotalUnits/12*JT$8,0)</f>
        <v/>
      </c>
      <c r="JU26" s="18">
        <f>IF(278&gt;=DeliverStart,ExpAdminPerUnit*TotalUnits/12*JU$8,0)</f>
        <v/>
      </c>
      <c r="JV26" s="18">
        <f>IF(279&gt;=DeliverStart,ExpAdminPerUnit*TotalUnits/12*JV$8,0)</f>
        <v/>
      </c>
      <c r="JW26" s="18">
        <f>IF(280&gt;=DeliverStart,ExpAdminPerUnit*TotalUnits/12*JW$8,0)</f>
        <v/>
      </c>
      <c r="JX26" s="18">
        <f>IF(281&gt;=DeliverStart,ExpAdminPerUnit*TotalUnits/12*JX$8,0)</f>
        <v/>
      </c>
      <c r="JY26" s="18">
        <f>IF(282&gt;=DeliverStart,ExpAdminPerUnit*TotalUnits/12*JY$8,0)</f>
        <v/>
      </c>
      <c r="JZ26" s="18">
        <f>IF(283&gt;=DeliverStart,ExpAdminPerUnit*TotalUnits/12*JZ$8,0)</f>
        <v/>
      </c>
      <c r="KA26" s="18">
        <f>IF(284&gt;=DeliverStart,ExpAdminPerUnit*TotalUnits/12*KA$8,0)</f>
        <v/>
      </c>
      <c r="KB26" s="18">
        <f>IF(285&gt;=DeliverStart,ExpAdminPerUnit*TotalUnits/12*KB$8,0)</f>
        <v/>
      </c>
      <c r="KC26" s="18">
        <f>IF(286&gt;=DeliverStart,ExpAdminPerUnit*TotalUnits/12*KC$8,0)</f>
        <v/>
      </c>
      <c r="KD26" s="18">
        <f>IF(287&gt;=DeliverStart,ExpAdminPerUnit*TotalUnits/12*KD$8,0)</f>
        <v/>
      </c>
      <c r="KE26" s="18">
        <f>IF(288&gt;=DeliverStart,ExpAdminPerUnit*TotalUnits/12*KE$8,0)</f>
        <v/>
      </c>
      <c r="KF26" s="18">
        <f>IF(289&gt;=DeliverStart,ExpAdminPerUnit*TotalUnits/12*KF$8,0)</f>
        <v/>
      </c>
      <c r="KG26" s="18">
        <f>IF(290&gt;=DeliverStart,ExpAdminPerUnit*TotalUnits/12*KG$8,0)</f>
        <v/>
      </c>
      <c r="KH26" s="18">
        <f>IF(291&gt;=DeliverStart,ExpAdminPerUnit*TotalUnits/12*KH$8,0)</f>
        <v/>
      </c>
      <c r="KI26" s="18">
        <f>IF(292&gt;=DeliverStart,ExpAdminPerUnit*TotalUnits/12*KI$8,0)</f>
        <v/>
      </c>
      <c r="KJ26" s="18">
        <f>IF(293&gt;=DeliverStart,ExpAdminPerUnit*TotalUnits/12*KJ$8,0)</f>
        <v/>
      </c>
      <c r="KK26" s="18">
        <f>IF(294&gt;=DeliverStart,ExpAdminPerUnit*TotalUnits/12*KK$8,0)</f>
        <v/>
      </c>
      <c r="KL26" s="18">
        <f>IF(295&gt;=DeliverStart,ExpAdminPerUnit*TotalUnits/12*KL$8,0)</f>
        <v/>
      </c>
      <c r="KM26" s="18">
        <f>IF(296&gt;=DeliverStart,ExpAdminPerUnit*TotalUnits/12*KM$8,0)</f>
        <v/>
      </c>
      <c r="KN26" s="18">
        <f>IF(297&gt;=DeliverStart,ExpAdminPerUnit*TotalUnits/12*KN$8,0)</f>
        <v/>
      </c>
      <c r="KO26" s="18">
        <f>IF(298&gt;=DeliverStart,ExpAdminPerUnit*TotalUnits/12*KO$8,0)</f>
        <v/>
      </c>
      <c r="KP26" s="18">
        <f>IF(299&gt;=DeliverStart,ExpAdminPerUnit*TotalUnits/12*KP$8,0)</f>
        <v/>
      </c>
      <c r="KQ26" s="18">
        <f>IF(300&gt;=DeliverStart,ExpAdminPerUnit*TotalUnits/12*KQ$8,0)</f>
        <v/>
      </c>
      <c r="KR26" s="18">
        <f>IF(301&gt;=DeliverStart,ExpAdminPerUnit*TotalUnits/12*KR$8,0)</f>
        <v/>
      </c>
      <c r="KS26" s="18">
        <f>IF(302&gt;=DeliverStart,ExpAdminPerUnit*TotalUnits/12*KS$8,0)</f>
        <v/>
      </c>
      <c r="KT26" s="18">
        <f>IF(303&gt;=DeliverStart,ExpAdminPerUnit*TotalUnits/12*KT$8,0)</f>
        <v/>
      </c>
      <c r="KU26" s="18">
        <f>IF(304&gt;=DeliverStart,ExpAdminPerUnit*TotalUnits/12*KU$8,0)</f>
        <v/>
      </c>
      <c r="KV26" s="18">
        <f>IF(305&gt;=DeliverStart,ExpAdminPerUnit*TotalUnits/12*KV$8,0)</f>
        <v/>
      </c>
      <c r="KW26" s="18">
        <f>IF(306&gt;=DeliverStart,ExpAdminPerUnit*TotalUnits/12*KW$8,0)</f>
        <v/>
      </c>
      <c r="KX26" s="18">
        <f>IF(307&gt;=DeliverStart,ExpAdminPerUnit*TotalUnits/12*KX$8,0)</f>
        <v/>
      </c>
      <c r="KY26" s="18">
        <f>IF(308&gt;=DeliverStart,ExpAdminPerUnit*TotalUnits/12*KY$8,0)</f>
        <v/>
      </c>
      <c r="KZ26" s="18">
        <f>IF(309&gt;=DeliverStart,ExpAdminPerUnit*TotalUnits/12*KZ$8,0)</f>
        <v/>
      </c>
      <c r="LA26" s="18">
        <f>IF(310&gt;=DeliverStart,ExpAdminPerUnit*TotalUnits/12*LA$8,0)</f>
        <v/>
      </c>
      <c r="LB26" s="18">
        <f>IF(311&gt;=DeliverStart,ExpAdminPerUnit*TotalUnits/12*LB$8,0)</f>
        <v/>
      </c>
      <c r="LC26" s="18">
        <f>IF(312&gt;=DeliverStart,ExpAdminPerUnit*TotalUnits/12*LC$8,0)</f>
        <v/>
      </c>
      <c r="LD26" s="18">
        <f>IF(313&gt;=DeliverStart,ExpAdminPerUnit*TotalUnits/12*LD$8,0)</f>
        <v/>
      </c>
      <c r="LE26" s="18">
        <f>IF(314&gt;=DeliverStart,ExpAdminPerUnit*TotalUnits/12*LE$8,0)</f>
        <v/>
      </c>
      <c r="LF26" s="18">
        <f>IF(315&gt;=DeliverStart,ExpAdminPerUnit*TotalUnits/12*LF$8,0)</f>
        <v/>
      </c>
      <c r="LG26" s="18">
        <f>IF(316&gt;=DeliverStart,ExpAdminPerUnit*TotalUnits/12*LG$8,0)</f>
        <v/>
      </c>
      <c r="LH26" s="18">
        <f>IF(317&gt;=DeliverStart,ExpAdminPerUnit*TotalUnits/12*LH$8,0)</f>
        <v/>
      </c>
      <c r="LI26" s="18">
        <f>IF(318&gt;=DeliverStart,ExpAdminPerUnit*TotalUnits/12*LI$8,0)</f>
        <v/>
      </c>
      <c r="LJ26" s="18">
        <f>IF(319&gt;=DeliverStart,ExpAdminPerUnit*TotalUnits/12*LJ$8,0)</f>
        <v/>
      </c>
      <c r="LK26" s="18">
        <f>IF(320&gt;=DeliverStart,ExpAdminPerUnit*TotalUnits/12*LK$8,0)</f>
        <v/>
      </c>
      <c r="LL26" s="18">
        <f>IF(321&gt;=DeliverStart,ExpAdminPerUnit*TotalUnits/12*LL$8,0)</f>
        <v/>
      </c>
      <c r="LM26" s="18">
        <f>IF(322&gt;=DeliverStart,ExpAdminPerUnit*TotalUnits/12*LM$8,0)</f>
        <v/>
      </c>
      <c r="LN26" s="18">
        <f>IF(323&gt;=DeliverStart,ExpAdminPerUnit*TotalUnits/12*LN$8,0)</f>
        <v/>
      </c>
      <c r="LO26" s="18">
        <f>IF(324&gt;=DeliverStart,ExpAdminPerUnit*TotalUnits/12*LO$8,0)</f>
        <v/>
      </c>
      <c r="LP26" s="18">
        <f>IF(325&gt;=DeliverStart,ExpAdminPerUnit*TotalUnits/12*LP$8,0)</f>
        <v/>
      </c>
      <c r="LQ26" s="18">
        <f>IF(326&gt;=DeliverStart,ExpAdminPerUnit*TotalUnits/12*LQ$8,0)</f>
        <v/>
      </c>
      <c r="LR26" s="18">
        <f>IF(327&gt;=DeliverStart,ExpAdminPerUnit*TotalUnits/12*LR$8,0)</f>
        <v/>
      </c>
      <c r="LS26" s="18">
        <f>IF(328&gt;=DeliverStart,ExpAdminPerUnit*TotalUnits/12*LS$8,0)</f>
        <v/>
      </c>
      <c r="LT26" s="18">
        <f>IF(329&gt;=DeliverStart,ExpAdminPerUnit*TotalUnits/12*LT$8,0)</f>
        <v/>
      </c>
      <c r="LU26" s="18">
        <f>IF(330&gt;=DeliverStart,ExpAdminPerUnit*TotalUnits/12*LU$8,0)</f>
        <v/>
      </c>
      <c r="LV26" s="18">
        <f>IF(331&gt;=DeliverStart,ExpAdminPerUnit*TotalUnits/12*LV$8,0)</f>
        <v/>
      </c>
      <c r="LW26" s="18">
        <f>IF(332&gt;=DeliverStart,ExpAdminPerUnit*TotalUnits/12*LW$8,0)</f>
        <v/>
      </c>
      <c r="LX26" s="18">
        <f>IF(333&gt;=DeliverStart,ExpAdminPerUnit*TotalUnits/12*LX$8,0)</f>
        <v/>
      </c>
      <c r="LY26" s="18">
        <f>IF(334&gt;=DeliverStart,ExpAdminPerUnit*TotalUnits/12*LY$8,0)</f>
        <v/>
      </c>
      <c r="LZ26" s="18">
        <f>IF(335&gt;=DeliverStart,ExpAdminPerUnit*TotalUnits/12*LZ$8,0)</f>
        <v/>
      </c>
      <c r="MA26" s="18">
        <f>IF(336&gt;=DeliverStart,ExpAdminPerUnit*TotalUnits/12*MA$8,0)</f>
        <v/>
      </c>
      <c r="MB26" s="18">
        <f>IF(337&gt;=DeliverStart,ExpAdminPerUnit*TotalUnits/12*MB$8,0)</f>
        <v/>
      </c>
      <c r="MC26" s="18">
        <f>IF(338&gt;=DeliverStart,ExpAdminPerUnit*TotalUnits/12*MC$8,0)</f>
        <v/>
      </c>
      <c r="MD26" s="18">
        <f>IF(339&gt;=DeliverStart,ExpAdminPerUnit*TotalUnits/12*MD$8,0)</f>
        <v/>
      </c>
      <c r="ME26" s="18">
        <f>IF(340&gt;=DeliverStart,ExpAdminPerUnit*TotalUnits/12*ME$8,0)</f>
        <v/>
      </c>
      <c r="MF26" s="18">
        <f>IF(341&gt;=DeliverStart,ExpAdminPerUnit*TotalUnits/12*MF$8,0)</f>
        <v/>
      </c>
      <c r="MG26" s="18">
        <f>IF(342&gt;=DeliverStart,ExpAdminPerUnit*TotalUnits/12*MG$8,0)</f>
        <v/>
      </c>
      <c r="MH26" s="18">
        <f>IF(343&gt;=DeliverStart,ExpAdminPerUnit*TotalUnits/12*MH$8,0)</f>
        <v/>
      </c>
      <c r="MI26" s="18">
        <f>IF(344&gt;=DeliverStart,ExpAdminPerUnit*TotalUnits/12*MI$8,0)</f>
        <v/>
      </c>
      <c r="MJ26" s="18">
        <f>IF(345&gt;=DeliverStart,ExpAdminPerUnit*TotalUnits/12*MJ$8,0)</f>
        <v/>
      </c>
      <c r="MK26" s="18">
        <f>IF(346&gt;=DeliverStart,ExpAdminPerUnit*TotalUnits/12*MK$8,0)</f>
        <v/>
      </c>
      <c r="ML26" s="18">
        <f>IF(347&gt;=DeliverStart,ExpAdminPerUnit*TotalUnits/12*ML$8,0)</f>
        <v/>
      </c>
      <c r="MM26" s="18">
        <f>IF(348&gt;=DeliverStart,ExpAdminPerUnit*TotalUnits/12*MM$8,0)</f>
        <v/>
      </c>
      <c r="MN26" s="18">
        <f>IF(349&gt;=DeliverStart,ExpAdminPerUnit*TotalUnits/12*MN$8,0)</f>
        <v/>
      </c>
      <c r="MO26" s="18">
        <f>IF(350&gt;=DeliverStart,ExpAdminPerUnit*TotalUnits/12*MO$8,0)</f>
        <v/>
      </c>
      <c r="MP26" s="18">
        <f>IF(351&gt;=DeliverStart,ExpAdminPerUnit*TotalUnits/12*MP$8,0)</f>
        <v/>
      </c>
      <c r="MQ26" s="18">
        <f>IF(352&gt;=DeliverStart,ExpAdminPerUnit*TotalUnits/12*MQ$8,0)</f>
        <v/>
      </c>
      <c r="MR26" s="18">
        <f>IF(353&gt;=DeliverStart,ExpAdminPerUnit*TotalUnits/12*MR$8,0)</f>
        <v/>
      </c>
      <c r="MS26" s="18">
        <f>IF(354&gt;=DeliverStart,ExpAdminPerUnit*TotalUnits/12*MS$8,0)</f>
        <v/>
      </c>
      <c r="MT26" s="18">
        <f>IF(355&gt;=DeliverStart,ExpAdminPerUnit*TotalUnits/12*MT$8,0)</f>
        <v/>
      </c>
      <c r="MU26" s="18">
        <f>IF(356&gt;=DeliverStart,ExpAdminPerUnit*TotalUnits/12*MU$8,0)</f>
        <v/>
      </c>
      <c r="MV26" s="18">
        <f>IF(357&gt;=DeliverStart,ExpAdminPerUnit*TotalUnits/12*MV$8,0)</f>
        <v/>
      </c>
      <c r="MW26" s="18">
        <f>IF(358&gt;=DeliverStart,ExpAdminPerUnit*TotalUnits/12*MW$8,0)</f>
        <v/>
      </c>
      <c r="MX26" s="18">
        <f>IF(359&gt;=DeliverStart,ExpAdminPerUnit*TotalUnits/12*MX$8,0)</f>
        <v/>
      </c>
      <c r="MY26" s="18">
        <f>IF(360&gt;=DeliverStart,ExpAdminPerUnit*TotalUnits/12*MY$8,0)</f>
        <v/>
      </c>
      <c r="MZ26" s="18">
        <f>IF(361&gt;=DeliverStart,ExpAdminPerUnit*TotalUnits/12*MZ$8,0)</f>
        <v/>
      </c>
      <c r="NA26" s="18">
        <f>IF(362&gt;=DeliverStart,ExpAdminPerUnit*TotalUnits/12*NA$8,0)</f>
        <v/>
      </c>
      <c r="NB26" s="18">
        <f>IF(363&gt;=DeliverStart,ExpAdminPerUnit*TotalUnits/12*NB$8,0)</f>
        <v/>
      </c>
      <c r="NC26" s="18">
        <f>IF(364&gt;=DeliverStart,ExpAdminPerUnit*TotalUnits/12*NC$8,0)</f>
        <v/>
      </c>
      <c r="ND26" s="18">
        <f>IF(365&gt;=DeliverStart,ExpAdminPerUnit*TotalUnits/12*ND$8,0)</f>
        <v/>
      </c>
      <c r="NE26" s="18">
        <f>IF(366&gt;=DeliverStart,ExpAdminPerUnit*TotalUnits/12*NE$8,0)</f>
        <v/>
      </c>
      <c r="NF26" s="18">
        <f>IF(367&gt;=DeliverStart,ExpAdminPerUnit*TotalUnits/12*NF$8,0)</f>
        <v/>
      </c>
      <c r="NG26" s="18">
        <f>IF(368&gt;=DeliverStart,ExpAdminPerUnit*TotalUnits/12*NG$8,0)</f>
        <v/>
      </c>
      <c r="NH26" s="18">
        <f>IF(369&gt;=DeliverStart,ExpAdminPerUnit*TotalUnits/12*NH$8,0)</f>
        <v/>
      </c>
      <c r="NI26" s="18">
        <f>IF(370&gt;=DeliverStart,ExpAdminPerUnit*TotalUnits/12*NI$8,0)</f>
        <v/>
      </c>
      <c r="NJ26" s="18">
        <f>IF(371&gt;=DeliverStart,ExpAdminPerUnit*TotalUnits/12*NJ$8,0)</f>
        <v/>
      </c>
      <c r="NK26" s="18">
        <f>IF(372&gt;=DeliverStart,ExpAdminPerUnit*TotalUnits/12*NK$8,0)</f>
        <v/>
      </c>
    </row>
    <row r="27">
      <c r="A27" s="5" t="inlineStr">
        <is>
          <t>Utilities (variable)</t>
        </is>
      </c>
      <c r="C27" s="41">
        <f>SUM(D27:NK27)</f>
        <v/>
      </c>
      <c r="D27" s="18">
        <f>IF(1&gt;=DeliverStart,ExpUtilitiesPerUnit*TotalUnits/12*D$9*D$11,0)</f>
        <v/>
      </c>
      <c r="E27" s="18">
        <f>IF(2&gt;=DeliverStart,ExpUtilitiesPerUnit*TotalUnits/12*E$9*E$11,0)</f>
        <v/>
      </c>
      <c r="F27" s="18">
        <f>IF(3&gt;=DeliverStart,ExpUtilitiesPerUnit*TotalUnits/12*F$9*F$11,0)</f>
        <v/>
      </c>
      <c r="G27" s="18">
        <f>IF(4&gt;=DeliverStart,ExpUtilitiesPerUnit*TotalUnits/12*G$9*G$11,0)</f>
        <v/>
      </c>
      <c r="H27" s="18">
        <f>IF(5&gt;=DeliverStart,ExpUtilitiesPerUnit*TotalUnits/12*H$9*H$11,0)</f>
        <v/>
      </c>
      <c r="I27" s="18">
        <f>IF(6&gt;=DeliverStart,ExpUtilitiesPerUnit*TotalUnits/12*I$9*I$11,0)</f>
        <v/>
      </c>
      <c r="J27" s="18">
        <f>IF(7&gt;=DeliverStart,ExpUtilitiesPerUnit*TotalUnits/12*J$9*J$11,0)</f>
        <v/>
      </c>
      <c r="K27" s="18">
        <f>IF(8&gt;=DeliverStart,ExpUtilitiesPerUnit*TotalUnits/12*K$9*K$11,0)</f>
        <v/>
      </c>
      <c r="L27" s="18">
        <f>IF(9&gt;=DeliverStart,ExpUtilitiesPerUnit*TotalUnits/12*L$9*L$11,0)</f>
        <v/>
      </c>
      <c r="M27" s="18">
        <f>IF(10&gt;=DeliverStart,ExpUtilitiesPerUnit*TotalUnits/12*M$9*M$11,0)</f>
        <v/>
      </c>
      <c r="N27" s="18">
        <f>IF(11&gt;=DeliverStart,ExpUtilitiesPerUnit*TotalUnits/12*N$9*N$11,0)</f>
        <v/>
      </c>
      <c r="O27" s="18">
        <f>IF(12&gt;=DeliverStart,ExpUtilitiesPerUnit*TotalUnits/12*O$9*O$11,0)</f>
        <v/>
      </c>
      <c r="P27" s="18">
        <f>IF(13&gt;=DeliverStart,ExpUtilitiesPerUnit*TotalUnits/12*P$9*P$11,0)</f>
        <v/>
      </c>
      <c r="Q27" s="18">
        <f>IF(14&gt;=DeliverStart,ExpUtilitiesPerUnit*TotalUnits/12*Q$9*Q$11,0)</f>
        <v/>
      </c>
      <c r="R27" s="18">
        <f>IF(15&gt;=DeliverStart,ExpUtilitiesPerUnit*TotalUnits/12*R$9*R$11,0)</f>
        <v/>
      </c>
      <c r="S27" s="18">
        <f>IF(16&gt;=DeliverStart,ExpUtilitiesPerUnit*TotalUnits/12*S$9*S$11,0)</f>
        <v/>
      </c>
      <c r="T27" s="18">
        <f>IF(17&gt;=DeliverStart,ExpUtilitiesPerUnit*TotalUnits/12*T$9*T$11,0)</f>
        <v/>
      </c>
      <c r="U27" s="18">
        <f>IF(18&gt;=DeliverStart,ExpUtilitiesPerUnit*TotalUnits/12*U$9*U$11,0)</f>
        <v/>
      </c>
      <c r="V27" s="18">
        <f>IF(19&gt;=DeliverStart,ExpUtilitiesPerUnit*TotalUnits/12*V$9*V$11,0)</f>
        <v/>
      </c>
      <c r="W27" s="18">
        <f>IF(20&gt;=DeliverStart,ExpUtilitiesPerUnit*TotalUnits/12*W$9*W$11,0)</f>
        <v/>
      </c>
      <c r="X27" s="18">
        <f>IF(21&gt;=DeliverStart,ExpUtilitiesPerUnit*TotalUnits/12*X$9*X$11,0)</f>
        <v/>
      </c>
      <c r="Y27" s="18">
        <f>IF(22&gt;=DeliverStart,ExpUtilitiesPerUnit*TotalUnits/12*Y$9*Y$11,0)</f>
        <v/>
      </c>
      <c r="Z27" s="18">
        <f>IF(23&gt;=DeliverStart,ExpUtilitiesPerUnit*TotalUnits/12*Z$9*Z$11,0)</f>
        <v/>
      </c>
      <c r="AA27" s="18">
        <f>IF(24&gt;=DeliverStart,ExpUtilitiesPerUnit*TotalUnits/12*AA$9*AA$11,0)</f>
        <v/>
      </c>
      <c r="AB27" s="18">
        <f>IF(25&gt;=DeliverStart,ExpUtilitiesPerUnit*TotalUnits/12*AB$9*AB$11,0)</f>
        <v/>
      </c>
      <c r="AC27" s="18">
        <f>IF(26&gt;=DeliverStart,ExpUtilitiesPerUnit*TotalUnits/12*AC$9*AC$11,0)</f>
        <v/>
      </c>
      <c r="AD27" s="18">
        <f>IF(27&gt;=DeliverStart,ExpUtilitiesPerUnit*TotalUnits/12*AD$9*AD$11,0)</f>
        <v/>
      </c>
      <c r="AE27" s="18">
        <f>IF(28&gt;=DeliverStart,ExpUtilitiesPerUnit*TotalUnits/12*AE$9*AE$11,0)</f>
        <v/>
      </c>
      <c r="AF27" s="18">
        <f>IF(29&gt;=DeliverStart,ExpUtilitiesPerUnit*TotalUnits/12*AF$9*AF$11,0)</f>
        <v/>
      </c>
      <c r="AG27" s="18">
        <f>IF(30&gt;=DeliverStart,ExpUtilitiesPerUnit*TotalUnits/12*AG$9*AG$11,0)</f>
        <v/>
      </c>
      <c r="AH27" s="18">
        <f>IF(31&gt;=DeliverStart,ExpUtilitiesPerUnit*TotalUnits/12*AH$9*AH$11,0)</f>
        <v/>
      </c>
      <c r="AI27" s="18">
        <f>IF(32&gt;=DeliverStart,ExpUtilitiesPerUnit*TotalUnits/12*AI$9*AI$11,0)</f>
        <v/>
      </c>
      <c r="AJ27" s="18">
        <f>IF(33&gt;=DeliverStart,ExpUtilitiesPerUnit*TotalUnits/12*AJ$9*AJ$11,0)</f>
        <v/>
      </c>
      <c r="AK27" s="18">
        <f>IF(34&gt;=DeliverStart,ExpUtilitiesPerUnit*TotalUnits/12*AK$9*AK$11,0)</f>
        <v/>
      </c>
      <c r="AL27" s="18">
        <f>IF(35&gt;=DeliverStart,ExpUtilitiesPerUnit*TotalUnits/12*AL$9*AL$11,0)</f>
        <v/>
      </c>
      <c r="AM27" s="18">
        <f>IF(36&gt;=DeliverStart,ExpUtilitiesPerUnit*TotalUnits/12*AM$9*AM$11,0)</f>
        <v/>
      </c>
      <c r="AN27" s="18">
        <f>IF(37&gt;=DeliverStart,ExpUtilitiesPerUnit*TotalUnits/12*AN$9*AN$11,0)</f>
        <v/>
      </c>
      <c r="AO27" s="18">
        <f>IF(38&gt;=DeliverStart,ExpUtilitiesPerUnit*TotalUnits/12*AO$9*AO$11,0)</f>
        <v/>
      </c>
      <c r="AP27" s="18">
        <f>IF(39&gt;=DeliverStart,ExpUtilitiesPerUnit*TotalUnits/12*AP$9*AP$11,0)</f>
        <v/>
      </c>
      <c r="AQ27" s="18">
        <f>IF(40&gt;=DeliverStart,ExpUtilitiesPerUnit*TotalUnits/12*AQ$9*AQ$11,0)</f>
        <v/>
      </c>
      <c r="AR27" s="18">
        <f>IF(41&gt;=DeliverStart,ExpUtilitiesPerUnit*TotalUnits/12*AR$9*AR$11,0)</f>
        <v/>
      </c>
      <c r="AS27" s="18">
        <f>IF(42&gt;=DeliverStart,ExpUtilitiesPerUnit*TotalUnits/12*AS$9*AS$11,0)</f>
        <v/>
      </c>
      <c r="AT27" s="18">
        <f>IF(43&gt;=DeliverStart,ExpUtilitiesPerUnit*TotalUnits/12*AT$9*AT$11,0)</f>
        <v/>
      </c>
      <c r="AU27" s="18">
        <f>IF(44&gt;=DeliverStart,ExpUtilitiesPerUnit*TotalUnits/12*AU$9*AU$11,0)</f>
        <v/>
      </c>
      <c r="AV27" s="18">
        <f>IF(45&gt;=DeliverStart,ExpUtilitiesPerUnit*TotalUnits/12*AV$9*AV$11,0)</f>
        <v/>
      </c>
      <c r="AW27" s="18">
        <f>IF(46&gt;=DeliverStart,ExpUtilitiesPerUnit*TotalUnits/12*AW$9*AW$11,0)</f>
        <v/>
      </c>
      <c r="AX27" s="18">
        <f>IF(47&gt;=DeliverStart,ExpUtilitiesPerUnit*TotalUnits/12*AX$9*AX$11,0)</f>
        <v/>
      </c>
      <c r="AY27" s="18">
        <f>IF(48&gt;=DeliverStart,ExpUtilitiesPerUnit*TotalUnits/12*AY$9*AY$11,0)</f>
        <v/>
      </c>
      <c r="AZ27" s="18">
        <f>IF(49&gt;=DeliverStart,ExpUtilitiesPerUnit*TotalUnits/12*AZ$9*AZ$11,0)</f>
        <v/>
      </c>
      <c r="BA27" s="18">
        <f>IF(50&gt;=DeliverStart,ExpUtilitiesPerUnit*TotalUnits/12*BA$9*BA$11,0)</f>
        <v/>
      </c>
      <c r="BB27" s="18">
        <f>IF(51&gt;=DeliverStart,ExpUtilitiesPerUnit*TotalUnits/12*BB$9*BB$11,0)</f>
        <v/>
      </c>
      <c r="BC27" s="18">
        <f>IF(52&gt;=DeliverStart,ExpUtilitiesPerUnit*TotalUnits/12*BC$9*BC$11,0)</f>
        <v/>
      </c>
      <c r="BD27" s="18">
        <f>IF(53&gt;=DeliverStart,ExpUtilitiesPerUnit*TotalUnits/12*BD$9*BD$11,0)</f>
        <v/>
      </c>
      <c r="BE27" s="18">
        <f>IF(54&gt;=DeliverStart,ExpUtilitiesPerUnit*TotalUnits/12*BE$9*BE$11,0)</f>
        <v/>
      </c>
      <c r="BF27" s="18">
        <f>IF(55&gt;=DeliverStart,ExpUtilitiesPerUnit*TotalUnits/12*BF$9*BF$11,0)</f>
        <v/>
      </c>
      <c r="BG27" s="18">
        <f>IF(56&gt;=DeliverStart,ExpUtilitiesPerUnit*TotalUnits/12*BG$9*BG$11,0)</f>
        <v/>
      </c>
      <c r="BH27" s="18">
        <f>IF(57&gt;=DeliverStart,ExpUtilitiesPerUnit*TotalUnits/12*BH$9*BH$11,0)</f>
        <v/>
      </c>
      <c r="BI27" s="18">
        <f>IF(58&gt;=DeliverStart,ExpUtilitiesPerUnit*TotalUnits/12*BI$9*BI$11,0)</f>
        <v/>
      </c>
      <c r="BJ27" s="18">
        <f>IF(59&gt;=DeliverStart,ExpUtilitiesPerUnit*TotalUnits/12*BJ$9*BJ$11,0)</f>
        <v/>
      </c>
      <c r="BK27" s="18">
        <f>IF(60&gt;=DeliverStart,ExpUtilitiesPerUnit*TotalUnits/12*BK$9*BK$11,0)</f>
        <v/>
      </c>
      <c r="BL27" s="18">
        <f>IF(61&gt;=DeliverStart,ExpUtilitiesPerUnit*TotalUnits/12*BL$9*BL$11,0)</f>
        <v/>
      </c>
      <c r="BM27" s="18">
        <f>IF(62&gt;=DeliverStart,ExpUtilitiesPerUnit*TotalUnits/12*BM$9*BM$11,0)</f>
        <v/>
      </c>
      <c r="BN27" s="18">
        <f>IF(63&gt;=DeliverStart,ExpUtilitiesPerUnit*TotalUnits/12*BN$9*BN$11,0)</f>
        <v/>
      </c>
      <c r="BO27" s="18">
        <f>IF(64&gt;=DeliverStart,ExpUtilitiesPerUnit*TotalUnits/12*BO$9*BO$11,0)</f>
        <v/>
      </c>
      <c r="BP27" s="18">
        <f>IF(65&gt;=DeliverStart,ExpUtilitiesPerUnit*TotalUnits/12*BP$9*BP$11,0)</f>
        <v/>
      </c>
      <c r="BQ27" s="18">
        <f>IF(66&gt;=DeliverStart,ExpUtilitiesPerUnit*TotalUnits/12*BQ$9*BQ$11,0)</f>
        <v/>
      </c>
      <c r="BR27" s="18">
        <f>IF(67&gt;=DeliverStart,ExpUtilitiesPerUnit*TotalUnits/12*BR$9*BR$11,0)</f>
        <v/>
      </c>
      <c r="BS27" s="18">
        <f>IF(68&gt;=DeliverStart,ExpUtilitiesPerUnit*TotalUnits/12*BS$9*BS$11,0)</f>
        <v/>
      </c>
      <c r="BT27" s="18">
        <f>IF(69&gt;=DeliverStart,ExpUtilitiesPerUnit*TotalUnits/12*BT$9*BT$11,0)</f>
        <v/>
      </c>
      <c r="BU27" s="18">
        <f>IF(70&gt;=DeliverStart,ExpUtilitiesPerUnit*TotalUnits/12*BU$9*BU$11,0)</f>
        <v/>
      </c>
      <c r="BV27" s="18">
        <f>IF(71&gt;=DeliverStart,ExpUtilitiesPerUnit*TotalUnits/12*BV$9*BV$11,0)</f>
        <v/>
      </c>
      <c r="BW27" s="18">
        <f>IF(72&gt;=DeliverStart,ExpUtilitiesPerUnit*TotalUnits/12*BW$9*BW$11,0)</f>
        <v/>
      </c>
      <c r="BX27" s="18">
        <f>IF(73&gt;=DeliverStart,ExpUtilitiesPerUnit*TotalUnits/12*BX$9*BX$11,0)</f>
        <v/>
      </c>
      <c r="BY27" s="18">
        <f>IF(74&gt;=DeliverStart,ExpUtilitiesPerUnit*TotalUnits/12*BY$9*BY$11,0)</f>
        <v/>
      </c>
      <c r="BZ27" s="18">
        <f>IF(75&gt;=DeliverStart,ExpUtilitiesPerUnit*TotalUnits/12*BZ$9*BZ$11,0)</f>
        <v/>
      </c>
      <c r="CA27" s="18">
        <f>IF(76&gt;=DeliverStart,ExpUtilitiesPerUnit*TotalUnits/12*CA$9*CA$11,0)</f>
        <v/>
      </c>
      <c r="CB27" s="18">
        <f>IF(77&gt;=DeliverStart,ExpUtilitiesPerUnit*TotalUnits/12*CB$9*CB$11,0)</f>
        <v/>
      </c>
      <c r="CC27" s="18">
        <f>IF(78&gt;=DeliverStart,ExpUtilitiesPerUnit*TotalUnits/12*CC$9*CC$11,0)</f>
        <v/>
      </c>
      <c r="CD27" s="18">
        <f>IF(79&gt;=DeliverStart,ExpUtilitiesPerUnit*TotalUnits/12*CD$9*CD$11,0)</f>
        <v/>
      </c>
      <c r="CE27" s="18">
        <f>IF(80&gt;=DeliverStart,ExpUtilitiesPerUnit*TotalUnits/12*CE$9*CE$11,0)</f>
        <v/>
      </c>
      <c r="CF27" s="18">
        <f>IF(81&gt;=DeliverStart,ExpUtilitiesPerUnit*TotalUnits/12*CF$9*CF$11,0)</f>
        <v/>
      </c>
      <c r="CG27" s="18">
        <f>IF(82&gt;=DeliverStart,ExpUtilitiesPerUnit*TotalUnits/12*CG$9*CG$11,0)</f>
        <v/>
      </c>
      <c r="CH27" s="18">
        <f>IF(83&gt;=DeliverStart,ExpUtilitiesPerUnit*TotalUnits/12*CH$9*CH$11,0)</f>
        <v/>
      </c>
      <c r="CI27" s="18">
        <f>IF(84&gt;=DeliverStart,ExpUtilitiesPerUnit*TotalUnits/12*CI$9*CI$11,0)</f>
        <v/>
      </c>
      <c r="CJ27" s="18">
        <f>IF(85&gt;=DeliverStart,ExpUtilitiesPerUnit*TotalUnits/12*CJ$9*CJ$11,0)</f>
        <v/>
      </c>
      <c r="CK27" s="18">
        <f>IF(86&gt;=DeliverStart,ExpUtilitiesPerUnit*TotalUnits/12*CK$9*CK$11,0)</f>
        <v/>
      </c>
      <c r="CL27" s="18">
        <f>IF(87&gt;=DeliverStart,ExpUtilitiesPerUnit*TotalUnits/12*CL$9*CL$11,0)</f>
        <v/>
      </c>
      <c r="CM27" s="18">
        <f>IF(88&gt;=DeliverStart,ExpUtilitiesPerUnit*TotalUnits/12*CM$9*CM$11,0)</f>
        <v/>
      </c>
      <c r="CN27" s="18">
        <f>IF(89&gt;=DeliverStart,ExpUtilitiesPerUnit*TotalUnits/12*CN$9*CN$11,0)</f>
        <v/>
      </c>
      <c r="CO27" s="18">
        <f>IF(90&gt;=DeliverStart,ExpUtilitiesPerUnit*TotalUnits/12*CO$9*CO$11,0)</f>
        <v/>
      </c>
      <c r="CP27" s="18">
        <f>IF(91&gt;=DeliverStart,ExpUtilitiesPerUnit*TotalUnits/12*CP$9*CP$11,0)</f>
        <v/>
      </c>
      <c r="CQ27" s="18">
        <f>IF(92&gt;=DeliverStart,ExpUtilitiesPerUnit*TotalUnits/12*CQ$9*CQ$11,0)</f>
        <v/>
      </c>
      <c r="CR27" s="18">
        <f>IF(93&gt;=DeliverStart,ExpUtilitiesPerUnit*TotalUnits/12*CR$9*CR$11,0)</f>
        <v/>
      </c>
      <c r="CS27" s="18">
        <f>IF(94&gt;=DeliverStart,ExpUtilitiesPerUnit*TotalUnits/12*CS$9*CS$11,0)</f>
        <v/>
      </c>
      <c r="CT27" s="18">
        <f>IF(95&gt;=DeliverStart,ExpUtilitiesPerUnit*TotalUnits/12*CT$9*CT$11,0)</f>
        <v/>
      </c>
      <c r="CU27" s="18">
        <f>IF(96&gt;=DeliverStart,ExpUtilitiesPerUnit*TotalUnits/12*CU$9*CU$11,0)</f>
        <v/>
      </c>
      <c r="CV27" s="18">
        <f>IF(97&gt;=DeliverStart,ExpUtilitiesPerUnit*TotalUnits/12*CV$9*CV$11,0)</f>
        <v/>
      </c>
      <c r="CW27" s="18">
        <f>IF(98&gt;=DeliverStart,ExpUtilitiesPerUnit*TotalUnits/12*CW$9*CW$11,0)</f>
        <v/>
      </c>
      <c r="CX27" s="18">
        <f>IF(99&gt;=DeliverStart,ExpUtilitiesPerUnit*TotalUnits/12*CX$9*CX$11,0)</f>
        <v/>
      </c>
      <c r="CY27" s="18">
        <f>IF(100&gt;=DeliverStart,ExpUtilitiesPerUnit*TotalUnits/12*CY$9*CY$11,0)</f>
        <v/>
      </c>
      <c r="CZ27" s="18">
        <f>IF(101&gt;=DeliverStart,ExpUtilitiesPerUnit*TotalUnits/12*CZ$9*CZ$11,0)</f>
        <v/>
      </c>
      <c r="DA27" s="18">
        <f>IF(102&gt;=DeliverStart,ExpUtilitiesPerUnit*TotalUnits/12*DA$9*DA$11,0)</f>
        <v/>
      </c>
      <c r="DB27" s="18">
        <f>IF(103&gt;=DeliverStart,ExpUtilitiesPerUnit*TotalUnits/12*DB$9*DB$11,0)</f>
        <v/>
      </c>
      <c r="DC27" s="18">
        <f>IF(104&gt;=DeliverStart,ExpUtilitiesPerUnit*TotalUnits/12*DC$9*DC$11,0)</f>
        <v/>
      </c>
      <c r="DD27" s="18">
        <f>IF(105&gt;=DeliverStart,ExpUtilitiesPerUnit*TotalUnits/12*DD$9*DD$11,0)</f>
        <v/>
      </c>
      <c r="DE27" s="18">
        <f>IF(106&gt;=DeliverStart,ExpUtilitiesPerUnit*TotalUnits/12*DE$9*DE$11,0)</f>
        <v/>
      </c>
      <c r="DF27" s="18">
        <f>IF(107&gt;=DeliverStart,ExpUtilitiesPerUnit*TotalUnits/12*DF$9*DF$11,0)</f>
        <v/>
      </c>
      <c r="DG27" s="18">
        <f>IF(108&gt;=DeliverStart,ExpUtilitiesPerUnit*TotalUnits/12*DG$9*DG$11,0)</f>
        <v/>
      </c>
      <c r="DH27" s="18">
        <f>IF(109&gt;=DeliverStart,ExpUtilitiesPerUnit*TotalUnits/12*DH$9*DH$11,0)</f>
        <v/>
      </c>
      <c r="DI27" s="18">
        <f>IF(110&gt;=DeliverStart,ExpUtilitiesPerUnit*TotalUnits/12*DI$9*DI$11,0)</f>
        <v/>
      </c>
      <c r="DJ27" s="18">
        <f>IF(111&gt;=DeliverStart,ExpUtilitiesPerUnit*TotalUnits/12*DJ$9*DJ$11,0)</f>
        <v/>
      </c>
      <c r="DK27" s="18">
        <f>IF(112&gt;=DeliverStart,ExpUtilitiesPerUnit*TotalUnits/12*DK$9*DK$11,0)</f>
        <v/>
      </c>
      <c r="DL27" s="18">
        <f>IF(113&gt;=DeliverStart,ExpUtilitiesPerUnit*TotalUnits/12*DL$9*DL$11,0)</f>
        <v/>
      </c>
      <c r="DM27" s="18">
        <f>IF(114&gt;=DeliverStart,ExpUtilitiesPerUnit*TotalUnits/12*DM$9*DM$11,0)</f>
        <v/>
      </c>
      <c r="DN27" s="18">
        <f>IF(115&gt;=DeliverStart,ExpUtilitiesPerUnit*TotalUnits/12*DN$9*DN$11,0)</f>
        <v/>
      </c>
      <c r="DO27" s="18">
        <f>IF(116&gt;=DeliverStart,ExpUtilitiesPerUnit*TotalUnits/12*DO$9*DO$11,0)</f>
        <v/>
      </c>
      <c r="DP27" s="18">
        <f>IF(117&gt;=DeliverStart,ExpUtilitiesPerUnit*TotalUnits/12*DP$9*DP$11,0)</f>
        <v/>
      </c>
      <c r="DQ27" s="18">
        <f>IF(118&gt;=DeliverStart,ExpUtilitiesPerUnit*TotalUnits/12*DQ$9*DQ$11,0)</f>
        <v/>
      </c>
      <c r="DR27" s="18">
        <f>IF(119&gt;=DeliverStart,ExpUtilitiesPerUnit*TotalUnits/12*DR$9*DR$11,0)</f>
        <v/>
      </c>
      <c r="DS27" s="18">
        <f>IF(120&gt;=DeliverStart,ExpUtilitiesPerUnit*TotalUnits/12*DS$9*DS$11,0)</f>
        <v/>
      </c>
      <c r="DT27" s="18">
        <f>IF(121&gt;=DeliverStart,ExpUtilitiesPerUnit*TotalUnits/12*DT$9*DT$11,0)</f>
        <v/>
      </c>
      <c r="DU27" s="18">
        <f>IF(122&gt;=DeliverStart,ExpUtilitiesPerUnit*TotalUnits/12*DU$9*DU$11,0)</f>
        <v/>
      </c>
      <c r="DV27" s="18">
        <f>IF(123&gt;=DeliverStart,ExpUtilitiesPerUnit*TotalUnits/12*DV$9*DV$11,0)</f>
        <v/>
      </c>
      <c r="DW27" s="18">
        <f>IF(124&gt;=DeliverStart,ExpUtilitiesPerUnit*TotalUnits/12*DW$9*DW$11,0)</f>
        <v/>
      </c>
      <c r="DX27" s="18">
        <f>IF(125&gt;=DeliverStart,ExpUtilitiesPerUnit*TotalUnits/12*DX$9*DX$11,0)</f>
        <v/>
      </c>
      <c r="DY27" s="18">
        <f>IF(126&gt;=DeliverStart,ExpUtilitiesPerUnit*TotalUnits/12*DY$9*DY$11,0)</f>
        <v/>
      </c>
      <c r="DZ27" s="18">
        <f>IF(127&gt;=DeliverStart,ExpUtilitiesPerUnit*TotalUnits/12*DZ$9*DZ$11,0)</f>
        <v/>
      </c>
      <c r="EA27" s="18">
        <f>IF(128&gt;=DeliverStart,ExpUtilitiesPerUnit*TotalUnits/12*EA$9*EA$11,0)</f>
        <v/>
      </c>
      <c r="EB27" s="18">
        <f>IF(129&gt;=DeliverStart,ExpUtilitiesPerUnit*TotalUnits/12*EB$9*EB$11,0)</f>
        <v/>
      </c>
      <c r="EC27" s="18">
        <f>IF(130&gt;=DeliverStart,ExpUtilitiesPerUnit*TotalUnits/12*EC$9*EC$11,0)</f>
        <v/>
      </c>
      <c r="ED27" s="18">
        <f>IF(131&gt;=DeliverStart,ExpUtilitiesPerUnit*TotalUnits/12*ED$9*ED$11,0)</f>
        <v/>
      </c>
      <c r="EE27" s="18">
        <f>IF(132&gt;=DeliverStart,ExpUtilitiesPerUnit*TotalUnits/12*EE$9*EE$11,0)</f>
        <v/>
      </c>
      <c r="EF27" s="18">
        <f>IF(133&gt;=DeliverStart,ExpUtilitiesPerUnit*TotalUnits/12*EF$9*EF$11,0)</f>
        <v/>
      </c>
      <c r="EG27" s="18">
        <f>IF(134&gt;=DeliverStart,ExpUtilitiesPerUnit*TotalUnits/12*EG$9*EG$11,0)</f>
        <v/>
      </c>
      <c r="EH27" s="18">
        <f>IF(135&gt;=DeliverStart,ExpUtilitiesPerUnit*TotalUnits/12*EH$9*EH$11,0)</f>
        <v/>
      </c>
      <c r="EI27" s="18">
        <f>IF(136&gt;=DeliverStart,ExpUtilitiesPerUnit*TotalUnits/12*EI$9*EI$11,0)</f>
        <v/>
      </c>
      <c r="EJ27" s="18">
        <f>IF(137&gt;=DeliverStart,ExpUtilitiesPerUnit*TotalUnits/12*EJ$9*EJ$11,0)</f>
        <v/>
      </c>
      <c r="EK27" s="18">
        <f>IF(138&gt;=DeliverStart,ExpUtilitiesPerUnit*TotalUnits/12*EK$9*EK$11,0)</f>
        <v/>
      </c>
      <c r="EL27" s="18">
        <f>IF(139&gt;=DeliverStart,ExpUtilitiesPerUnit*TotalUnits/12*EL$9*EL$11,0)</f>
        <v/>
      </c>
      <c r="EM27" s="18">
        <f>IF(140&gt;=DeliverStart,ExpUtilitiesPerUnit*TotalUnits/12*EM$9*EM$11,0)</f>
        <v/>
      </c>
      <c r="EN27" s="18">
        <f>IF(141&gt;=DeliverStart,ExpUtilitiesPerUnit*TotalUnits/12*EN$9*EN$11,0)</f>
        <v/>
      </c>
      <c r="EO27" s="18">
        <f>IF(142&gt;=DeliverStart,ExpUtilitiesPerUnit*TotalUnits/12*EO$9*EO$11,0)</f>
        <v/>
      </c>
      <c r="EP27" s="18">
        <f>IF(143&gt;=DeliverStart,ExpUtilitiesPerUnit*TotalUnits/12*EP$9*EP$11,0)</f>
        <v/>
      </c>
      <c r="EQ27" s="18">
        <f>IF(144&gt;=DeliverStart,ExpUtilitiesPerUnit*TotalUnits/12*EQ$9*EQ$11,0)</f>
        <v/>
      </c>
      <c r="ER27" s="18">
        <f>IF(145&gt;=DeliverStart,ExpUtilitiesPerUnit*TotalUnits/12*ER$9*ER$11,0)</f>
        <v/>
      </c>
      <c r="ES27" s="18">
        <f>IF(146&gt;=DeliverStart,ExpUtilitiesPerUnit*TotalUnits/12*ES$9*ES$11,0)</f>
        <v/>
      </c>
      <c r="ET27" s="18">
        <f>IF(147&gt;=DeliverStart,ExpUtilitiesPerUnit*TotalUnits/12*ET$9*ET$11,0)</f>
        <v/>
      </c>
      <c r="EU27" s="18">
        <f>IF(148&gt;=DeliverStart,ExpUtilitiesPerUnit*TotalUnits/12*EU$9*EU$11,0)</f>
        <v/>
      </c>
      <c r="EV27" s="18">
        <f>IF(149&gt;=DeliverStart,ExpUtilitiesPerUnit*TotalUnits/12*EV$9*EV$11,0)</f>
        <v/>
      </c>
      <c r="EW27" s="18">
        <f>IF(150&gt;=DeliverStart,ExpUtilitiesPerUnit*TotalUnits/12*EW$9*EW$11,0)</f>
        <v/>
      </c>
      <c r="EX27" s="18">
        <f>IF(151&gt;=DeliverStart,ExpUtilitiesPerUnit*TotalUnits/12*EX$9*EX$11,0)</f>
        <v/>
      </c>
      <c r="EY27" s="18">
        <f>IF(152&gt;=DeliverStart,ExpUtilitiesPerUnit*TotalUnits/12*EY$9*EY$11,0)</f>
        <v/>
      </c>
      <c r="EZ27" s="18">
        <f>IF(153&gt;=DeliverStart,ExpUtilitiesPerUnit*TotalUnits/12*EZ$9*EZ$11,0)</f>
        <v/>
      </c>
      <c r="FA27" s="18">
        <f>IF(154&gt;=DeliverStart,ExpUtilitiesPerUnit*TotalUnits/12*FA$9*FA$11,0)</f>
        <v/>
      </c>
      <c r="FB27" s="18">
        <f>IF(155&gt;=DeliverStart,ExpUtilitiesPerUnit*TotalUnits/12*FB$9*FB$11,0)</f>
        <v/>
      </c>
      <c r="FC27" s="18">
        <f>IF(156&gt;=DeliverStart,ExpUtilitiesPerUnit*TotalUnits/12*FC$9*FC$11,0)</f>
        <v/>
      </c>
      <c r="FD27" s="18">
        <f>IF(157&gt;=DeliverStart,ExpUtilitiesPerUnit*TotalUnits/12*FD$9*FD$11,0)</f>
        <v/>
      </c>
      <c r="FE27" s="18">
        <f>IF(158&gt;=DeliverStart,ExpUtilitiesPerUnit*TotalUnits/12*FE$9*FE$11,0)</f>
        <v/>
      </c>
      <c r="FF27" s="18">
        <f>IF(159&gt;=DeliverStart,ExpUtilitiesPerUnit*TotalUnits/12*FF$9*FF$11,0)</f>
        <v/>
      </c>
      <c r="FG27" s="18">
        <f>IF(160&gt;=DeliverStart,ExpUtilitiesPerUnit*TotalUnits/12*FG$9*FG$11,0)</f>
        <v/>
      </c>
      <c r="FH27" s="18">
        <f>IF(161&gt;=DeliverStart,ExpUtilitiesPerUnit*TotalUnits/12*FH$9*FH$11,0)</f>
        <v/>
      </c>
      <c r="FI27" s="18">
        <f>IF(162&gt;=DeliverStart,ExpUtilitiesPerUnit*TotalUnits/12*FI$9*FI$11,0)</f>
        <v/>
      </c>
      <c r="FJ27" s="18">
        <f>IF(163&gt;=DeliverStart,ExpUtilitiesPerUnit*TotalUnits/12*FJ$9*FJ$11,0)</f>
        <v/>
      </c>
      <c r="FK27" s="18">
        <f>IF(164&gt;=DeliverStart,ExpUtilitiesPerUnit*TotalUnits/12*FK$9*FK$11,0)</f>
        <v/>
      </c>
      <c r="FL27" s="18">
        <f>IF(165&gt;=DeliverStart,ExpUtilitiesPerUnit*TotalUnits/12*FL$9*FL$11,0)</f>
        <v/>
      </c>
      <c r="FM27" s="18">
        <f>IF(166&gt;=DeliverStart,ExpUtilitiesPerUnit*TotalUnits/12*FM$9*FM$11,0)</f>
        <v/>
      </c>
      <c r="FN27" s="18">
        <f>IF(167&gt;=DeliverStart,ExpUtilitiesPerUnit*TotalUnits/12*FN$9*FN$11,0)</f>
        <v/>
      </c>
      <c r="FO27" s="18">
        <f>IF(168&gt;=DeliverStart,ExpUtilitiesPerUnit*TotalUnits/12*FO$9*FO$11,0)</f>
        <v/>
      </c>
      <c r="FP27" s="18">
        <f>IF(169&gt;=DeliverStart,ExpUtilitiesPerUnit*TotalUnits/12*FP$9*FP$11,0)</f>
        <v/>
      </c>
      <c r="FQ27" s="18">
        <f>IF(170&gt;=DeliverStart,ExpUtilitiesPerUnit*TotalUnits/12*FQ$9*FQ$11,0)</f>
        <v/>
      </c>
      <c r="FR27" s="18">
        <f>IF(171&gt;=DeliverStart,ExpUtilitiesPerUnit*TotalUnits/12*FR$9*FR$11,0)</f>
        <v/>
      </c>
      <c r="FS27" s="18">
        <f>IF(172&gt;=DeliverStart,ExpUtilitiesPerUnit*TotalUnits/12*FS$9*FS$11,0)</f>
        <v/>
      </c>
      <c r="FT27" s="18">
        <f>IF(173&gt;=DeliverStart,ExpUtilitiesPerUnit*TotalUnits/12*FT$9*FT$11,0)</f>
        <v/>
      </c>
      <c r="FU27" s="18">
        <f>IF(174&gt;=DeliverStart,ExpUtilitiesPerUnit*TotalUnits/12*FU$9*FU$11,0)</f>
        <v/>
      </c>
      <c r="FV27" s="18">
        <f>IF(175&gt;=DeliverStart,ExpUtilitiesPerUnit*TotalUnits/12*FV$9*FV$11,0)</f>
        <v/>
      </c>
      <c r="FW27" s="18">
        <f>IF(176&gt;=DeliverStart,ExpUtilitiesPerUnit*TotalUnits/12*FW$9*FW$11,0)</f>
        <v/>
      </c>
      <c r="FX27" s="18">
        <f>IF(177&gt;=DeliverStart,ExpUtilitiesPerUnit*TotalUnits/12*FX$9*FX$11,0)</f>
        <v/>
      </c>
      <c r="FY27" s="18">
        <f>IF(178&gt;=DeliverStart,ExpUtilitiesPerUnit*TotalUnits/12*FY$9*FY$11,0)</f>
        <v/>
      </c>
      <c r="FZ27" s="18">
        <f>IF(179&gt;=DeliverStart,ExpUtilitiesPerUnit*TotalUnits/12*FZ$9*FZ$11,0)</f>
        <v/>
      </c>
      <c r="GA27" s="18">
        <f>IF(180&gt;=DeliverStart,ExpUtilitiesPerUnit*TotalUnits/12*GA$9*GA$11,0)</f>
        <v/>
      </c>
      <c r="GB27" s="18">
        <f>IF(181&gt;=DeliverStart,ExpUtilitiesPerUnit*TotalUnits/12*GB$9*GB$11,0)</f>
        <v/>
      </c>
      <c r="GC27" s="18">
        <f>IF(182&gt;=DeliverStart,ExpUtilitiesPerUnit*TotalUnits/12*GC$9*GC$11,0)</f>
        <v/>
      </c>
      <c r="GD27" s="18">
        <f>IF(183&gt;=DeliverStart,ExpUtilitiesPerUnit*TotalUnits/12*GD$9*GD$11,0)</f>
        <v/>
      </c>
      <c r="GE27" s="18">
        <f>IF(184&gt;=DeliverStart,ExpUtilitiesPerUnit*TotalUnits/12*GE$9*GE$11,0)</f>
        <v/>
      </c>
      <c r="GF27" s="18">
        <f>IF(185&gt;=DeliverStart,ExpUtilitiesPerUnit*TotalUnits/12*GF$9*GF$11,0)</f>
        <v/>
      </c>
      <c r="GG27" s="18">
        <f>IF(186&gt;=DeliverStart,ExpUtilitiesPerUnit*TotalUnits/12*GG$9*GG$11,0)</f>
        <v/>
      </c>
      <c r="GH27" s="18">
        <f>IF(187&gt;=DeliverStart,ExpUtilitiesPerUnit*TotalUnits/12*GH$9*GH$11,0)</f>
        <v/>
      </c>
      <c r="GI27" s="18">
        <f>IF(188&gt;=DeliverStart,ExpUtilitiesPerUnit*TotalUnits/12*GI$9*GI$11,0)</f>
        <v/>
      </c>
      <c r="GJ27" s="18">
        <f>IF(189&gt;=DeliverStart,ExpUtilitiesPerUnit*TotalUnits/12*GJ$9*GJ$11,0)</f>
        <v/>
      </c>
      <c r="GK27" s="18">
        <f>IF(190&gt;=DeliverStart,ExpUtilitiesPerUnit*TotalUnits/12*GK$9*GK$11,0)</f>
        <v/>
      </c>
      <c r="GL27" s="18">
        <f>IF(191&gt;=DeliverStart,ExpUtilitiesPerUnit*TotalUnits/12*GL$9*GL$11,0)</f>
        <v/>
      </c>
      <c r="GM27" s="18">
        <f>IF(192&gt;=DeliverStart,ExpUtilitiesPerUnit*TotalUnits/12*GM$9*GM$11,0)</f>
        <v/>
      </c>
      <c r="GN27" s="18">
        <f>IF(193&gt;=DeliverStart,ExpUtilitiesPerUnit*TotalUnits/12*GN$9*GN$11,0)</f>
        <v/>
      </c>
      <c r="GO27" s="18">
        <f>IF(194&gt;=DeliverStart,ExpUtilitiesPerUnit*TotalUnits/12*GO$9*GO$11,0)</f>
        <v/>
      </c>
      <c r="GP27" s="18">
        <f>IF(195&gt;=DeliverStart,ExpUtilitiesPerUnit*TotalUnits/12*GP$9*GP$11,0)</f>
        <v/>
      </c>
      <c r="GQ27" s="18">
        <f>IF(196&gt;=DeliverStart,ExpUtilitiesPerUnit*TotalUnits/12*GQ$9*GQ$11,0)</f>
        <v/>
      </c>
      <c r="GR27" s="18">
        <f>IF(197&gt;=DeliverStart,ExpUtilitiesPerUnit*TotalUnits/12*GR$9*GR$11,0)</f>
        <v/>
      </c>
      <c r="GS27" s="18">
        <f>IF(198&gt;=DeliverStart,ExpUtilitiesPerUnit*TotalUnits/12*GS$9*GS$11,0)</f>
        <v/>
      </c>
      <c r="GT27" s="18">
        <f>IF(199&gt;=DeliverStart,ExpUtilitiesPerUnit*TotalUnits/12*GT$9*GT$11,0)</f>
        <v/>
      </c>
      <c r="GU27" s="18">
        <f>IF(200&gt;=DeliverStart,ExpUtilitiesPerUnit*TotalUnits/12*GU$9*GU$11,0)</f>
        <v/>
      </c>
      <c r="GV27" s="18">
        <f>IF(201&gt;=DeliverStart,ExpUtilitiesPerUnit*TotalUnits/12*GV$9*GV$11,0)</f>
        <v/>
      </c>
      <c r="GW27" s="18">
        <f>IF(202&gt;=DeliverStart,ExpUtilitiesPerUnit*TotalUnits/12*GW$9*GW$11,0)</f>
        <v/>
      </c>
      <c r="GX27" s="18">
        <f>IF(203&gt;=DeliverStart,ExpUtilitiesPerUnit*TotalUnits/12*GX$9*GX$11,0)</f>
        <v/>
      </c>
      <c r="GY27" s="18">
        <f>IF(204&gt;=DeliverStart,ExpUtilitiesPerUnit*TotalUnits/12*GY$9*GY$11,0)</f>
        <v/>
      </c>
      <c r="GZ27" s="18">
        <f>IF(205&gt;=DeliverStart,ExpUtilitiesPerUnit*TotalUnits/12*GZ$9*GZ$11,0)</f>
        <v/>
      </c>
      <c r="HA27" s="18">
        <f>IF(206&gt;=DeliverStart,ExpUtilitiesPerUnit*TotalUnits/12*HA$9*HA$11,0)</f>
        <v/>
      </c>
      <c r="HB27" s="18">
        <f>IF(207&gt;=DeliverStart,ExpUtilitiesPerUnit*TotalUnits/12*HB$9*HB$11,0)</f>
        <v/>
      </c>
      <c r="HC27" s="18">
        <f>IF(208&gt;=DeliverStart,ExpUtilitiesPerUnit*TotalUnits/12*HC$9*HC$11,0)</f>
        <v/>
      </c>
      <c r="HD27" s="18">
        <f>IF(209&gt;=DeliverStart,ExpUtilitiesPerUnit*TotalUnits/12*HD$9*HD$11,0)</f>
        <v/>
      </c>
      <c r="HE27" s="18">
        <f>IF(210&gt;=DeliverStart,ExpUtilitiesPerUnit*TotalUnits/12*HE$9*HE$11,0)</f>
        <v/>
      </c>
      <c r="HF27" s="18">
        <f>IF(211&gt;=DeliverStart,ExpUtilitiesPerUnit*TotalUnits/12*HF$9*HF$11,0)</f>
        <v/>
      </c>
      <c r="HG27" s="18">
        <f>IF(212&gt;=DeliverStart,ExpUtilitiesPerUnit*TotalUnits/12*HG$9*HG$11,0)</f>
        <v/>
      </c>
      <c r="HH27" s="18">
        <f>IF(213&gt;=DeliverStart,ExpUtilitiesPerUnit*TotalUnits/12*HH$9*HH$11,0)</f>
        <v/>
      </c>
      <c r="HI27" s="18">
        <f>IF(214&gt;=DeliverStart,ExpUtilitiesPerUnit*TotalUnits/12*HI$9*HI$11,0)</f>
        <v/>
      </c>
      <c r="HJ27" s="18">
        <f>IF(215&gt;=DeliverStart,ExpUtilitiesPerUnit*TotalUnits/12*HJ$9*HJ$11,0)</f>
        <v/>
      </c>
      <c r="HK27" s="18">
        <f>IF(216&gt;=DeliverStart,ExpUtilitiesPerUnit*TotalUnits/12*HK$9*HK$11,0)</f>
        <v/>
      </c>
      <c r="HL27" s="18">
        <f>IF(217&gt;=DeliverStart,ExpUtilitiesPerUnit*TotalUnits/12*HL$9*HL$11,0)</f>
        <v/>
      </c>
      <c r="HM27" s="18">
        <f>IF(218&gt;=DeliverStart,ExpUtilitiesPerUnit*TotalUnits/12*HM$9*HM$11,0)</f>
        <v/>
      </c>
      <c r="HN27" s="18">
        <f>IF(219&gt;=DeliverStart,ExpUtilitiesPerUnit*TotalUnits/12*HN$9*HN$11,0)</f>
        <v/>
      </c>
      <c r="HO27" s="18">
        <f>IF(220&gt;=DeliverStart,ExpUtilitiesPerUnit*TotalUnits/12*HO$9*HO$11,0)</f>
        <v/>
      </c>
      <c r="HP27" s="18">
        <f>IF(221&gt;=DeliverStart,ExpUtilitiesPerUnit*TotalUnits/12*HP$9*HP$11,0)</f>
        <v/>
      </c>
      <c r="HQ27" s="18">
        <f>IF(222&gt;=DeliverStart,ExpUtilitiesPerUnit*TotalUnits/12*HQ$9*HQ$11,0)</f>
        <v/>
      </c>
      <c r="HR27" s="18">
        <f>IF(223&gt;=DeliverStart,ExpUtilitiesPerUnit*TotalUnits/12*HR$9*HR$11,0)</f>
        <v/>
      </c>
      <c r="HS27" s="18">
        <f>IF(224&gt;=DeliverStart,ExpUtilitiesPerUnit*TotalUnits/12*HS$9*HS$11,0)</f>
        <v/>
      </c>
      <c r="HT27" s="18">
        <f>IF(225&gt;=DeliverStart,ExpUtilitiesPerUnit*TotalUnits/12*HT$9*HT$11,0)</f>
        <v/>
      </c>
      <c r="HU27" s="18">
        <f>IF(226&gt;=DeliverStart,ExpUtilitiesPerUnit*TotalUnits/12*HU$9*HU$11,0)</f>
        <v/>
      </c>
      <c r="HV27" s="18">
        <f>IF(227&gt;=DeliverStart,ExpUtilitiesPerUnit*TotalUnits/12*HV$9*HV$11,0)</f>
        <v/>
      </c>
      <c r="HW27" s="18">
        <f>IF(228&gt;=DeliverStart,ExpUtilitiesPerUnit*TotalUnits/12*HW$9*HW$11,0)</f>
        <v/>
      </c>
      <c r="HX27" s="18">
        <f>IF(229&gt;=DeliverStart,ExpUtilitiesPerUnit*TotalUnits/12*HX$9*HX$11,0)</f>
        <v/>
      </c>
      <c r="HY27" s="18">
        <f>IF(230&gt;=DeliverStart,ExpUtilitiesPerUnit*TotalUnits/12*HY$9*HY$11,0)</f>
        <v/>
      </c>
      <c r="HZ27" s="18">
        <f>IF(231&gt;=DeliverStart,ExpUtilitiesPerUnit*TotalUnits/12*HZ$9*HZ$11,0)</f>
        <v/>
      </c>
      <c r="IA27" s="18">
        <f>IF(232&gt;=DeliverStart,ExpUtilitiesPerUnit*TotalUnits/12*IA$9*IA$11,0)</f>
        <v/>
      </c>
      <c r="IB27" s="18">
        <f>IF(233&gt;=DeliverStart,ExpUtilitiesPerUnit*TotalUnits/12*IB$9*IB$11,0)</f>
        <v/>
      </c>
      <c r="IC27" s="18">
        <f>IF(234&gt;=DeliverStart,ExpUtilitiesPerUnit*TotalUnits/12*IC$9*IC$11,0)</f>
        <v/>
      </c>
      <c r="ID27" s="18">
        <f>IF(235&gt;=DeliverStart,ExpUtilitiesPerUnit*TotalUnits/12*ID$9*ID$11,0)</f>
        <v/>
      </c>
      <c r="IE27" s="18">
        <f>IF(236&gt;=DeliverStart,ExpUtilitiesPerUnit*TotalUnits/12*IE$9*IE$11,0)</f>
        <v/>
      </c>
      <c r="IF27" s="18">
        <f>IF(237&gt;=DeliverStart,ExpUtilitiesPerUnit*TotalUnits/12*IF$9*IF$11,0)</f>
        <v/>
      </c>
      <c r="IG27" s="18">
        <f>IF(238&gt;=DeliverStart,ExpUtilitiesPerUnit*TotalUnits/12*IG$9*IG$11,0)</f>
        <v/>
      </c>
      <c r="IH27" s="18">
        <f>IF(239&gt;=DeliverStart,ExpUtilitiesPerUnit*TotalUnits/12*IH$9*IH$11,0)</f>
        <v/>
      </c>
      <c r="II27" s="18">
        <f>IF(240&gt;=DeliverStart,ExpUtilitiesPerUnit*TotalUnits/12*II$9*II$11,0)</f>
        <v/>
      </c>
      <c r="IJ27" s="18">
        <f>IF(241&gt;=DeliverStart,ExpUtilitiesPerUnit*TotalUnits/12*IJ$9*IJ$11,0)</f>
        <v/>
      </c>
      <c r="IK27" s="18">
        <f>IF(242&gt;=DeliverStart,ExpUtilitiesPerUnit*TotalUnits/12*IK$9*IK$11,0)</f>
        <v/>
      </c>
      <c r="IL27" s="18">
        <f>IF(243&gt;=DeliverStart,ExpUtilitiesPerUnit*TotalUnits/12*IL$9*IL$11,0)</f>
        <v/>
      </c>
      <c r="IM27" s="18">
        <f>IF(244&gt;=DeliverStart,ExpUtilitiesPerUnit*TotalUnits/12*IM$9*IM$11,0)</f>
        <v/>
      </c>
      <c r="IN27" s="18">
        <f>IF(245&gt;=DeliverStart,ExpUtilitiesPerUnit*TotalUnits/12*IN$9*IN$11,0)</f>
        <v/>
      </c>
      <c r="IO27" s="18">
        <f>IF(246&gt;=DeliverStart,ExpUtilitiesPerUnit*TotalUnits/12*IO$9*IO$11,0)</f>
        <v/>
      </c>
      <c r="IP27" s="18">
        <f>IF(247&gt;=DeliverStart,ExpUtilitiesPerUnit*TotalUnits/12*IP$9*IP$11,0)</f>
        <v/>
      </c>
      <c r="IQ27" s="18">
        <f>IF(248&gt;=DeliverStart,ExpUtilitiesPerUnit*TotalUnits/12*IQ$9*IQ$11,0)</f>
        <v/>
      </c>
      <c r="IR27" s="18">
        <f>IF(249&gt;=DeliverStart,ExpUtilitiesPerUnit*TotalUnits/12*IR$9*IR$11,0)</f>
        <v/>
      </c>
      <c r="IS27" s="18">
        <f>IF(250&gt;=DeliverStart,ExpUtilitiesPerUnit*TotalUnits/12*IS$9*IS$11,0)</f>
        <v/>
      </c>
      <c r="IT27" s="18">
        <f>IF(251&gt;=DeliverStart,ExpUtilitiesPerUnit*TotalUnits/12*IT$9*IT$11,0)</f>
        <v/>
      </c>
      <c r="IU27" s="18">
        <f>IF(252&gt;=DeliverStart,ExpUtilitiesPerUnit*TotalUnits/12*IU$9*IU$11,0)</f>
        <v/>
      </c>
      <c r="IV27" s="18">
        <f>IF(253&gt;=DeliverStart,ExpUtilitiesPerUnit*TotalUnits/12*IV$9*IV$11,0)</f>
        <v/>
      </c>
      <c r="IW27" s="18">
        <f>IF(254&gt;=DeliverStart,ExpUtilitiesPerUnit*TotalUnits/12*IW$9*IW$11,0)</f>
        <v/>
      </c>
      <c r="IX27" s="18">
        <f>IF(255&gt;=DeliverStart,ExpUtilitiesPerUnit*TotalUnits/12*IX$9*IX$11,0)</f>
        <v/>
      </c>
      <c r="IY27" s="18">
        <f>IF(256&gt;=DeliverStart,ExpUtilitiesPerUnit*TotalUnits/12*IY$9*IY$11,0)</f>
        <v/>
      </c>
      <c r="IZ27" s="18">
        <f>IF(257&gt;=DeliverStart,ExpUtilitiesPerUnit*TotalUnits/12*IZ$9*IZ$11,0)</f>
        <v/>
      </c>
      <c r="JA27" s="18">
        <f>IF(258&gt;=DeliverStart,ExpUtilitiesPerUnit*TotalUnits/12*JA$9*JA$11,0)</f>
        <v/>
      </c>
      <c r="JB27" s="18">
        <f>IF(259&gt;=DeliverStart,ExpUtilitiesPerUnit*TotalUnits/12*JB$9*JB$11,0)</f>
        <v/>
      </c>
      <c r="JC27" s="18">
        <f>IF(260&gt;=DeliverStart,ExpUtilitiesPerUnit*TotalUnits/12*JC$9*JC$11,0)</f>
        <v/>
      </c>
      <c r="JD27" s="18">
        <f>IF(261&gt;=DeliverStart,ExpUtilitiesPerUnit*TotalUnits/12*JD$9*JD$11,0)</f>
        <v/>
      </c>
      <c r="JE27" s="18">
        <f>IF(262&gt;=DeliverStart,ExpUtilitiesPerUnit*TotalUnits/12*JE$9*JE$11,0)</f>
        <v/>
      </c>
      <c r="JF27" s="18">
        <f>IF(263&gt;=DeliverStart,ExpUtilitiesPerUnit*TotalUnits/12*JF$9*JF$11,0)</f>
        <v/>
      </c>
      <c r="JG27" s="18">
        <f>IF(264&gt;=DeliverStart,ExpUtilitiesPerUnit*TotalUnits/12*JG$9*JG$11,0)</f>
        <v/>
      </c>
      <c r="JH27" s="18">
        <f>IF(265&gt;=DeliverStart,ExpUtilitiesPerUnit*TotalUnits/12*JH$9*JH$11,0)</f>
        <v/>
      </c>
      <c r="JI27" s="18">
        <f>IF(266&gt;=DeliverStart,ExpUtilitiesPerUnit*TotalUnits/12*JI$9*JI$11,0)</f>
        <v/>
      </c>
      <c r="JJ27" s="18">
        <f>IF(267&gt;=DeliverStart,ExpUtilitiesPerUnit*TotalUnits/12*JJ$9*JJ$11,0)</f>
        <v/>
      </c>
      <c r="JK27" s="18">
        <f>IF(268&gt;=DeliverStart,ExpUtilitiesPerUnit*TotalUnits/12*JK$9*JK$11,0)</f>
        <v/>
      </c>
      <c r="JL27" s="18">
        <f>IF(269&gt;=DeliverStart,ExpUtilitiesPerUnit*TotalUnits/12*JL$9*JL$11,0)</f>
        <v/>
      </c>
      <c r="JM27" s="18">
        <f>IF(270&gt;=DeliverStart,ExpUtilitiesPerUnit*TotalUnits/12*JM$9*JM$11,0)</f>
        <v/>
      </c>
      <c r="JN27" s="18">
        <f>IF(271&gt;=DeliverStart,ExpUtilitiesPerUnit*TotalUnits/12*JN$9*JN$11,0)</f>
        <v/>
      </c>
      <c r="JO27" s="18">
        <f>IF(272&gt;=DeliverStart,ExpUtilitiesPerUnit*TotalUnits/12*JO$9*JO$11,0)</f>
        <v/>
      </c>
      <c r="JP27" s="18">
        <f>IF(273&gt;=DeliverStart,ExpUtilitiesPerUnit*TotalUnits/12*JP$9*JP$11,0)</f>
        <v/>
      </c>
      <c r="JQ27" s="18">
        <f>IF(274&gt;=DeliverStart,ExpUtilitiesPerUnit*TotalUnits/12*JQ$9*JQ$11,0)</f>
        <v/>
      </c>
      <c r="JR27" s="18">
        <f>IF(275&gt;=DeliverStart,ExpUtilitiesPerUnit*TotalUnits/12*JR$9*JR$11,0)</f>
        <v/>
      </c>
      <c r="JS27" s="18">
        <f>IF(276&gt;=DeliverStart,ExpUtilitiesPerUnit*TotalUnits/12*JS$9*JS$11,0)</f>
        <v/>
      </c>
      <c r="JT27" s="18">
        <f>IF(277&gt;=DeliverStart,ExpUtilitiesPerUnit*TotalUnits/12*JT$9*JT$11,0)</f>
        <v/>
      </c>
      <c r="JU27" s="18">
        <f>IF(278&gt;=DeliverStart,ExpUtilitiesPerUnit*TotalUnits/12*JU$9*JU$11,0)</f>
        <v/>
      </c>
      <c r="JV27" s="18">
        <f>IF(279&gt;=DeliverStart,ExpUtilitiesPerUnit*TotalUnits/12*JV$9*JV$11,0)</f>
        <v/>
      </c>
      <c r="JW27" s="18">
        <f>IF(280&gt;=DeliverStart,ExpUtilitiesPerUnit*TotalUnits/12*JW$9*JW$11,0)</f>
        <v/>
      </c>
      <c r="JX27" s="18">
        <f>IF(281&gt;=DeliverStart,ExpUtilitiesPerUnit*TotalUnits/12*JX$9*JX$11,0)</f>
        <v/>
      </c>
      <c r="JY27" s="18">
        <f>IF(282&gt;=DeliverStart,ExpUtilitiesPerUnit*TotalUnits/12*JY$9*JY$11,0)</f>
        <v/>
      </c>
      <c r="JZ27" s="18">
        <f>IF(283&gt;=DeliverStart,ExpUtilitiesPerUnit*TotalUnits/12*JZ$9*JZ$11,0)</f>
        <v/>
      </c>
      <c r="KA27" s="18">
        <f>IF(284&gt;=DeliverStart,ExpUtilitiesPerUnit*TotalUnits/12*KA$9*KA$11,0)</f>
        <v/>
      </c>
      <c r="KB27" s="18">
        <f>IF(285&gt;=DeliverStart,ExpUtilitiesPerUnit*TotalUnits/12*KB$9*KB$11,0)</f>
        <v/>
      </c>
      <c r="KC27" s="18">
        <f>IF(286&gt;=DeliverStart,ExpUtilitiesPerUnit*TotalUnits/12*KC$9*KC$11,0)</f>
        <v/>
      </c>
      <c r="KD27" s="18">
        <f>IF(287&gt;=DeliverStart,ExpUtilitiesPerUnit*TotalUnits/12*KD$9*KD$11,0)</f>
        <v/>
      </c>
      <c r="KE27" s="18">
        <f>IF(288&gt;=DeliverStart,ExpUtilitiesPerUnit*TotalUnits/12*KE$9*KE$11,0)</f>
        <v/>
      </c>
      <c r="KF27" s="18">
        <f>IF(289&gt;=DeliverStart,ExpUtilitiesPerUnit*TotalUnits/12*KF$9*KF$11,0)</f>
        <v/>
      </c>
      <c r="KG27" s="18">
        <f>IF(290&gt;=DeliverStart,ExpUtilitiesPerUnit*TotalUnits/12*KG$9*KG$11,0)</f>
        <v/>
      </c>
      <c r="KH27" s="18">
        <f>IF(291&gt;=DeliverStart,ExpUtilitiesPerUnit*TotalUnits/12*KH$9*KH$11,0)</f>
        <v/>
      </c>
      <c r="KI27" s="18">
        <f>IF(292&gt;=DeliverStart,ExpUtilitiesPerUnit*TotalUnits/12*KI$9*KI$11,0)</f>
        <v/>
      </c>
      <c r="KJ27" s="18">
        <f>IF(293&gt;=DeliverStart,ExpUtilitiesPerUnit*TotalUnits/12*KJ$9*KJ$11,0)</f>
        <v/>
      </c>
      <c r="KK27" s="18">
        <f>IF(294&gt;=DeliverStart,ExpUtilitiesPerUnit*TotalUnits/12*KK$9*KK$11,0)</f>
        <v/>
      </c>
      <c r="KL27" s="18">
        <f>IF(295&gt;=DeliverStart,ExpUtilitiesPerUnit*TotalUnits/12*KL$9*KL$11,0)</f>
        <v/>
      </c>
      <c r="KM27" s="18">
        <f>IF(296&gt;=DeliverStart,ExpUtilitiesPerUnit*TotalUnits/12*KM$9*KM$11,0)</f>
        <v/>
      </c>
      <c r="KN27" s="18">
        <f>IF(297&gt;=DeliverStart,ExpUtilitiesPerUnit*TotalUnits/12*KN$9*KN$11,0)</f>
        <v/>
      </c>
      <c r="KO27" s="18">
        <f>IF(298&gt;=DeliverStart,ExpUtilitiesPerUnit*TotalUnits/12*KO$9*KO$11,0)</f>
        <v/>
      </c>
      <c r="KP27" s="18">
        <f>IF(299&gt;=DeliverStart,ExpUtilitiesPerUnit*TotalUnits/12*KP$9*KP$11,0)</f>
        <v/>
      </c>
      <c r="KQ27" s="18">
        <f>IF(300&gt;=DeliverStart,ExpUtilitiesPerUnit*TotalUnits/12*KQ$9*KQ$11,0)</f>
        <v/>
      </c>
      <c r="KR27" s="18">
        <f>IF(301&gt;=DeliverStart,ExpUtilitiesPerUnit*TotalUnits/12*KR$9*KR$11,0)</f>
        <v/>
      </c>
      <c r="KS27" s="18">
        <f>IF(302&gt;=DeliverStart,ExpUtilitiesPerUnit*TotalUnits/12*KS$9*KS$11,0)</f>
        <v/>
      </c>
      <c r="KT27" s="18">
        <f>IF(303&gt;=DeliverStart,ExpUtilitiesPerUnit*TotalUnits/12*KT$9*KT$11,0)</f>
        <v/>
      </c>
      <c r="KU27" s="18">
        <f>IF(304&gt;=DeliverStart,ExpUtilitiesPerUnit*TotalUnits/12*KU$9*KU$11,0)</f>
        <v/>
      </c>
      <c r="KV27" s="18">
        <f>IF(305&gt;=DeliverStart,ExpUtilitiesPerUnit*TotalUnits/12*KV$9*KV$11,0)</f>
        <v/>
      </c>
      <c r="KW27" s="18">
        <f>IF(306&gt;=DeliverStart,ExpUtilitiesPerUnit*TotalUnits/12*KW$9*KW$11,0)</f>
        <v/>
      </c>
      <c r="KX27" s="18">
        <f>IF(307&gt;=DeliverStart,ExpUtilitiesPerUnit*TotalUnits/12*KX$9*KX$11,0)</f>
        <v/>
      </c>
      <c r="KY27" s="18">
        <f>IF(308&gt;=DeliverStart,ExpUtilitiesPerUnit*TotalUnits/12*KY$9*KY$11,0)</f>
        <v/>
      </c>
      <c r="KZ27" s="18">
        <f>IF(309&gt;=DeliverStart,ExpUtilitiesPerUnit*TotalUnits/12*KZ$9*KZ$11,0)</f>
        <v/>
      </c>
      <c r="LA27" s="18">
        <f>IF(310&gt;=DeliverStart,ExpUtilitiesPerUnit*TotalUnits/12*LA$9*LA$11,0)</f>
        <v/>
      </c>
      <c r="LB27" s="18">
        <f>IF(311&gt;=DeliverStart,ExpUtilitiesPerUnit*TotalUnits/12*LB$9*LB$11,0)</f>
        <v/>
      </c>
      <c r="LC27" s="18">
        <f>IF(312&gt;=DeliverStart,ExpUtilitiesPerUnit*TotalUnits/12*LC$9*LC$11,0)</f>
        <v/>
      </c>
      <c r="LD27" s="18">
        <f>IF(313&gt;=DeliverStart,ExpUtilitiesPerUnit*TotalUnits/12*LD$9*LD$11,0)</f>
        <v/>
      </c>
      <c r="LE27" s="18">
        <f>IF(314&gt;=DeliverStart,ExpUtilitiesPerUnit*TotalUnits/12*LE$9*LE$11,0)</f>
        <v/>
      </c>
      <c r="LF27" s="18">
        <f>IF(315&gt;=DeliverStart,ExpUtilitiesPerUnit*TotalUnits/12*LF$9*LF$11,0)</f>
        <v/>
      </c>
      <c r="LG27" s="18">
        <f>IF(316&gt;=DeliverStart,ExpUtilitiesPerUnit*TotalUnits/12*LG$9*LG$11,0)</f>
        <v/>
      </c>
      <c r="LH27" s="18">
        <f>IF(317&gt;=DeliverStart,ExpUtilitiesPerUnit*TotalUnits/12*LH$9*LH$11,0)</f>
        <v/>
      </c>
      <c r="LI27" s="18">
        <f>IF(318&gt;=DeliverStart,ExpUtilitiesPerUnit*TotalUnits/12*LI$9*LI$11,0)</f>
        <v/>
      </c>
      <c r="LJ27" s="18">
        <f>IF(319&gt;=DeliverStart,ExpUtilitiesPerUnit*TotalUnits/12*LJ$9*LJ$11,0)</f>
        <v/>
      </c>
      <c r="LK27" s="18">
        <f>IF(320&gt;=DeliverStart,ExpUtilitiesPerUnit*TotalUnits/12*LK$9*LK$11,0)</f>
        <v/>
      </c>
      <c r="LL27" s="18">
        <f>IF(321&gt;=DeliverStart,ExpUtilitiesPerUnit*TotalUnits/12*LL$9*LL$11,0)</f>
        <v/>
      </c>
      <c r="LM27" s="18">
        <f>IF(322&gt;=DeliverStart,ExpUtilitiesPerUnit*TotalUnits/12*LM$9*LM$11,0)</f>
        <v/>
      </c>
      <c r="LN27" s="18">
        <f>IF(323&gt;=DeliverStart,ExpUtilitiesPerUnit*TotalUnits/12*LN$9*LN$11,0)</f>
        <v/>
      </c>
      <c r="LO27" s="18">
        <f>IF(324&gt;=DeliverStart,ExpUtilitiesPerUnit*TotalUnits/12*LO$9*LO$11,0)</f>
        <v/>
      </c>
      <c r="LP27" s="18">
        <f>IF(325&gt;=DeliverStart,ExpUtilitiesPerUnit*TotalUnits/12*LP$9*LP$11,0)</f>
        <v/>
      </c>
      <c r="LQ27" s="18">
        <f>IF(326&gt;=DeliverStart,ExpUtilitiesPerUnit*TotalUnits/12*LQ$9*LQ$11,0)</f>
        <v/>
      </c>
      <c r="LR27" s="18">
        <f>IF(327&gt;=DeliverStart,ExpUtilitiesPerUnit*TotalUnits/12*LR$9*LR$11,0)</f>
        <v/>
      </c>
      <c r="LS27" s="18">
        <f>IF(328&gt;=DeliverStart,ExpUtilitiesPerUnit*TotalUnits/12*LS$9*LS$11,0)</f>
        <v/>
      </c>
      <c r="LT27" s="18">
        <f>IF(329&gt;=DeliverStart,ExpUtilitiesPerUnit*TotalUnits/12*LT$9*LT$11,0)</f>
        <v/>
      </c>
      <c r="LU27" s="18">
        <f>IF(330&gt;=DeliverStart,ExpUtilitiesPerUnit*TotalUnits/12*LU$9*LU$11,0)</f>
        <v/>
      </c>
      <c r="LV27" s="18">
        <f>IF(331&gt;=DeliverStart,ExpUtilitiesPerUnit*TotalUnits/12*LV$9*LV$11,0)</f>
        <v/>
      </c>
      <c r="LW27" s="18">
        <f>IF(332&gt;=DeliverStart,ExpUtilitiesPerUnit*TotalUnits/12*LW$9*LW$11,0)</f>
        <v/>
      </c>
      <c r="LX27" s="18">
        <f>IF(333&gt;=DeliverStart,ExpUtilitiesPerUnit*TotalUnits/12*LX$9*LX$11,0)</f>
        <v/>
      </c>
      <c r="LY27" s="18">
        <f>IF(334&gt;=DeliverStart,ExpUtilitiesPerUnit*TotalUnits/12*LY$9*LY$11,0)</f>
        <v/>
      </c>
      <c r="LZ27" s="18">
        <f>IF(335&gt;=DeliverStart,ExpUtilitiesPerUnit*TotalUnits/12*LZ$9*LZ$11,0)</f>
        <v/>
      </c>
      <c r="MA27" s="18">
        <f>IF(336&gt;=DeliverStart,ExpUtilitiesPerUnit*TotalUnits/12*MA$9*MA$11,0)</f>
        <v/>
      </c>
      <c r="MB27" s="18">
        <f>IF(337&gt;=DeliverStart,ExpUtilitiesPerUnit*TotalUnits/12*MB$9*MB$11,0)</f>
        <v/>
      </c>
      <c r="MC27" s="18">
        <f>IF(338&gt;=DeliverStart,ExpUtilitiesPerUnit*TotalUnits/12*MC$9*MC$11,0)</f>
        <v/>
      </c>
      <c r="MD27" s="18">
        <f>IF(339&gt;=DeliverStart,ExpUtilitiesPerUnit*TotalUnits/12*MD$9*MD$11,0)</f>
        <v/>
      </c>
      <c r="ME27" s="18">
        <f>IF(340&gt;=DeliverStart,ExpUtilitiesPerUnit*TotalUnits/12*ME$9*ME$11,0)</f>
        <v/>
      </c>
      <c r="MF27" s="18">
        <f>IF(341&gt;=DeliverStart,ExpUtilitiesPerUnit*TotalUnits/12*MF$9*MF$11,0)</f>
        <v/>
      </c>
      <c r="MG27" s="18">
        <f>IF(342&gt;=DeliverStart,ExpUtilitiesPerUnit*TotalUnits/12*MG$9*MG$11,0)</f>
        <v/>
      </c>
      <c r="MH27" s="18">
        <f>IF(343&gt;=DeliverStart,ExpUtilitiesPerUnit*TotalUnits/12*MH$9*MH$11,0)</f>
        <v/>
      </c>
      <c r="MI27" s="18">
        <f>IF(344&gt;=DeliverStart,ExpUtilitiesPerUnit*TotalUnits/12*MI$9*MI$11,0)</f>
        <v/>
      </c>
      <c r="MJ27" s="18">
        <f>IF(345&gt;=DeliverStart,ExpUtilitiesPerUnit*TotalUnits/12*MJ$9*MJ$11,0)</f>
        <v/>
      </c>
      <c r="MK27" s="18">
        <f>IF(346&gt;=DeliverStart,ExpUtilitiesPerUnit*TotalUnits/12*MK$9*MK$11,0)</f>
        <v/>
      </c>
      <c r="ML27" s="18">
        <f>IF(347&gt;=DeliverStart,ExpUtilitiesPerUnit*TotalUnits/12*ML$9*ML$11,0)</f>
        <v/>
      </c>
      <c r="MM27" s="18">
        <f>IF(348&gt;=DeliverStart,ExpUtilitiesPerUnit*TotalUnits/12*MM$9*MM$11,0)</f>
        <v/>
      </c>
      <c r="MN27" s="18">
        <f>IF(349&gt;=DeliverStart,ExpUtilitiesPerUnit*TotalUnits/12*MN$9*MN$11,0)</f>
        <v/>
      </c>
      <c r="MO27" s="18">
        <f>IF(350&gt;=DeliverStart,ExpUtilitiesPerUnit*TotalUnits/12*MO$9*MO$11,0)</f>
        <v/>
      </c>
      <c r="MP27" s="18">
        <f>IF(351&gt;=DeliverStart,ExpUtilitiesPerUnit*TotalUnits/12*MP$9*MP$11,0)</f>
        <v/>
      </c>
      <c r="MQ27" s="18">
        <f>IF(352&gt;=DeliverStart,ExpUtilitiesPerUnit*TotalUnits/12*MQ$9*MQ$11,0)</f>
        <v/>
      </c>
      <c r="MR27" s="18">
        <f>IF(353&gt;=DeliverStart,ExpUtilitiesPerUnit*TotalUnits/12*MR$9*MR$11,0)</f>
        <v/>
      </c>
      <c r="MS27" s="18">
        <f>IF(354&gt;=DeliverStart,ExpUtilitiesPerUnit*TotalUnits/12*MS$9*MS$11,0)</f>
        <v/>
      </c>
      <c r="MT27" s="18">
        <f>IF(355&gt;=DeliverStart,ExpUtilitiesPerUnit*TotalUnits/12*MT$9*MT$11,0)</f>
        <v/>
      </c>
      <c r="MU27" s="18">
        <f>IF(356&gt;=DeliverStart,ExpUtilitiesPerUnit*TotalUnits/12*MU$9*MU$11,0)</f>
        <v/>
      </c>
      <c r="MV27" s="18">
        <f>IF(357&gt;=DeliverStart,ExpUtilitiesPerUnit*TotalUnits/12*MV$9*MV$11,0)</f>
        <v/>
      </c>
      <c r="MW27" s="18">
        <f>IF(358&gt;=DeliverStart,ExpUtilitiesPerUnit*TotalUnits/12*MW$9*MW$11,0)</f>
        <v/>
      </c>
      <c r="MX27" s="18">
        <f>IF(359&gt;=DeliverStart,ExpUtilitiesPerUnit*TotalUnits/12*MX$9*MX$11,0)</f>
        <v/>
      </c>
      <c r="MY27" s="18">
        <f>IF(360&gt;=DeliverStart,ExpUtilitiesPerUnit*TotalUnits/12*MY$9*MY$11,0)</f>
        <v/>
      </c>
      <c r="MZ27" s="18">
        <f>IF(361&gt;=DeliverStart,ExpUtilitiesPerUnit*TotalUnits/12*MZ$9*MZ$11,0)</f>
        <v/>
      </c>
      <c r="NA27" s="18">
        <f>IF(362&gt;=DeliverStart,ExpUtilitiesPerUnit*TotalUnits/12*NA$9*NA$11,0)</f>
        <v/>
      </c>
      <c r="NB27" s="18">
        <f>IF(363&gt;=DeliverStart,ExpUtilitiesPerUnit*TotalUnits/12*NB$9*NB$11,0)</f>
        <v/>
      </c>
      <c r="NC27" s="18">
        <f>IF(364&gt;=DeliverStart,ExpUtilitiesPerUnit*TotalUnits/12*NC$9*NC$11,0)</f>
        <v/>
      </c>
      <c r="ND27" s="18">
        <f>IF(365&gt;=DeliverStart,ExpUtilitiesPerUnit*TotalUnits/12*ND$9*ND$11,0)</f>
        <v/>
      </c>
      <c r="NE27" s="18">
        <f>IF(366&gt;=DeliverStart,ExpUtilitiesPerUnit*TotalUnits/12*NE$9*NE$11,0)</f>
        <v/>
      </c>
      <c r="NF27" s="18">
        <f>IF(367&gt;=DeliverStart,ExpUtilitiesPerUnit*TotalUnits/12*NF$9*NF$11,0)</f>
        <v/>
      </c>
      <c r="NG27" s="18">
        <f>IF(368&gt;=DeliverStart,ExpUtilitiesPerUnit*TotalUnits/12*NG$9*NG$11,0)</f>
        <v/>
      </c>
      <c r="NH27" s="18">
        <f>IF(369&gt;=DeliverStart,ExpUtilitiesPerUnit*TotalUnits/12*NH$9*NH$11,0)</f>
        <v/>
      </c>
      <c r="NI27" s="18">
        <f>IF(370&gt;=DeliverStart,ExpUtilitiesPerUnit*TotalUnits/12*NI$9*NI$11,0)</f>
        <v/>
      </c>
      <c r="NJ27" s="18">
        <f>IF(371&gt;=DeliverStart,ExpUtilitiesPerUnit*TotalUnits/12*NJ$9*NJ$11,0)</f>
        <v/>
      </c>
      <c r="NK27" s="18">
        <f>IF(372&gt;=DeliverStart,ExpUtilitiesPerUnit*TotalUnits/12*NK$9*NK$11,0)</f>
        <v/>
      </c>
    </row>
    <row r="28">
      <c r="A28" s="5" t="inlineStr">
        <is>
          <t>Repairs &amp; Maintenance (variable)</t>
        </is>
      </c>
      <c r="C28" s="41">
        <f>SUM(D28:NK28)</f>
        <v/>
      </c>
      <c r="D28" s="18">
        <f>IF(1&gt;=DeliverStart,ExpRMPerUnit*TotalUnits/12*D$8*D$11,0)</f>
        <v/>
      </c>
      <c r="E28" s="18">
        <f>IF(2&gt;=DeliverStart,ExpRMPerUnit*TotalUnits/12*E$8*E$11,0)</f>
        <v/>
      </c>
      <c r="F28" s="18">
        <f>IF(3&gt;=DeliverStart,ExpRMPerUnit*TotalUnits/12*F$8*F$11,0)</f>
        <v/>
      </c>
      <c r="G28" s="18">
        <f>IF(4&gt;=DeliverStart,ExpRMPerUnit*TotalUnits/12*G$8*G$11,0)</f>
        <v/>
      </c>
      <c r="H28" s="18">
        <f>IF(5&gt;=DeliverStart,ExpRMPerUnit*TotalUnits/12*H$8*H$11,0)</f>
        <v/>
      </c>
      <c r="I28" s="18">
        <f>IF(6&gt;=DeliverStart,ExpRMPerUnit*TotalUnits/12*I$8*I$11,0)</f>
        <v/>
      </c>
      <c r="J28" s="18">
        <f>IF(7&gt;=DeliverStart,ExpRMPerUnit*TotalUnits/12*J$8*J$11,0)</f>
        <v/>
      </c>
      <c r="K28" s="18">
        <f>IF(8&gt;=DeliverStart,ExpRMPerUnit*TotalUnits/12*K$8*K$11,0)</f>
        <v/>
      </c>
      <c r="L28" s="18">
        <f>IF(9&gt;=DeliverStart,ExpRMPerUnit*TotalUnits/12*L$8*L$11,0)</f>
        <v/>
      </c>
      <c r="M28" s="18">
        <f>IF(10&gt;=DeliverStart,ExpRMPerUnit*TotalUnits/12*M$8*M$11,0)</f>
        <v/>
      </c>
      <c r="N28" s="18">
        <f>IF(11&gt;=DeliverStart,ExpRMPerUnit*TotalUnits/12*N$8*N$11,0)</f>
        <v/>
      </c>
      <c r="O28" s="18">
        <f>IF(12&gt;=DeliverStart,ExpRMPerUnit*TotalUnits/12*O$8*O$11,0)</f>
        <v/>
      </c>
      <c r="P28" s="18">
        <f>IF(13&gt;=DeliverStart,ExpRMPerUnit*TotalUnits/12*P$8*P$11,0)</f>
        <v/>
      </c>
      <c r="Q28" s="18">
        <f>IF(14&gt;=DeliverStart,ExpRMPerUnit*TotalUnits/12*Q$8*Q$11,0)</f>
        <v/>
      </c>
      <c r="R28" s="18">
        <f>IF(15&gt;=DeliverStart,ExpRMPerUnit*TotalUnits/12*R$8*R$11,0)</f>
        <v/>
      </c>
      <c r="S28" s="18">
        <f>IF(16&gt;=DeliverStart,ExpRMPerUnit*TotalUnits/12*S$8*S$11,0)</f>
        <v/>
      </c>
      <c r="T28" s="18">
        <f>IF(17&gt;=DeliverStart,ExpRMPerUnit*TotalUnits/12*T$8*T$11,0)</f>
        <v/>
      </c>
      <c r="U28" s="18">
        <f>IF(18&gt;=DeliverStart,ExpRMPerUnit*TotalUnits/12*U$8*U$11,0)</f>
        <v/>
      </c>
      <c r="V28" s="18">
        <f>IF(19&gt;=DeliverStart,ExpRMPerUnit*TotalUnits/12*V$8*V$11,0)</f>
        <v/>
      </c>
      <c r="W28" s="18">
        <f>IF(20&gt;=DeliverStart,ExpRMPerUnit*TotalUnits/12*W$8*W$11,0)</f>
        <v/>
      </c>
      <c r="X28" s="18">
        <f>IF(21&gt;=DeliverStart,ExpRMPerUnit*TotalUnits/12*X$8*X$11,0)</f>
        <v/>
      </c>
      <c r="Y28" s="18">
        <f>IF(22&gt;=DeliverStart,ExpRMPerUnit*TotalUnits/12*Y$8*Y$11,0)</f>
        <v/>
      </c>
      <c r="Z28" s="18">
        <f>IF(23&gt;=DeliverStart,ExpRMPerUnit*TotalUnits/12*Z$8*Z$11,0)</f>
        <v/>
      </c>
      <c r="AA28" s="18">
        <f>IF(24&gt;=DeliverStart,ExpRMPerUnit*TotalUnits/12*AA$8*AA$11,0)</f>
        <v/>
      </c>
      <c r="AB28" s="18">
        <f>IF(25&gt;=DeliverStart,ExpRMPerUnit*TotalUnits/12*AB$8*AB$11,0)</f>
        <v/>
      </c>
      <c r="AC28" s="18">
        <f>IF(26&gt;=DeliverStart,ExpRMPerUnit*TotalUnits/12*AC$8*AC$11,0)</f>
        <v/>
      </c>
      <c r="AD28" s="18">
        <f>IF(27&gt;=DeliverStart,ExpRMPerUnit*TotalUnits/12*AD$8*AD$11,0)</f>
        <v/>
      </c>
      <c r="AE28" s="18">
        <f>IF(28&gt;=DeliverStart,ExpRMPerUnit*TotalUnits/12*AE$8*AE$11,0)</f>
        <v/>
      </c>
      <c r="AF28" s="18">
        <f>IF(29&gt;=DeliverStart,ExpRMPerUnit*TotalUnits/12*AF$8*AF$11,0)</f>
        <v/>
      </c>
      <c r="AG28" s="18">
        <f>IF(30&gt;=DeliverStart,ExpRMPerUnit*TotalUnits/12*AG$8*AG$11,0)</f>
        <v/>
      </c>
      <c r="AH28" s="18">
        <f>IF(31&gt;=DeliverStart,ExpRMPerUnit*TotalUnits/12*AH$8*AH$11,0)</f>
        <v/>
      </c>
      <c r="AI28" s="18">
        <f>IF(32&gt;=DeliverStart,ExpRMPerUnit*TotalUnits/12*AI$8*AI$11,0)</f>
        <v/>
      </c>
      <c r="AJ28" s="18">
        <f>IF(33&gt;=DeliverStart,ExpRMPerUnit*TotalUnits/12*AJ$8*AJ$11,0)</f>
        <v/>
      </c>
      <c r="AK28" s="18">
        <f>IF(34&gt;=DeliverStart,ExpRMPerUnit*TotalUnits/12*AK$8*AK$11,0)</f>
        <v/>
      </c>
      <c r="AL28" s="18">
        <f>IF(35&gt;=DeliverStart,ExpRMPerUnit*TotalUnits/12*AL$8*AL$11,0)</f>
        <v/>
      </c>
      <c r="AM28" s="18">
        <f>IF(36&gt;=DeliverStart,ExpRMPerUnit*TotalUnits/12*AM$8*AM$11,0)</f>
        <v/>
      </c>
      <c r="AN28" s="18">
        <f>IF(37&gt;=DeliverStart,ExpRMPerUnit*TotalUnits/12*AN$8*AN$11,0)</f>
        <v/>
      </c>
      <c r="AO28" s="18">
        <f>IF(38&gt;=DeliverStart,ExpRMPerUnit*TotalUnits/12*AO$8*AO$11,0)</f>
        <v/>
      </c>
      <c r="AP28" s="18">
        <f>IF(39&gt;=DeliverStart,ExpRMPerUnit*TotalUnits/12*AP$8*AP$11,0)</f>
        <v/>
      </c>
      <c r="AQ28" s="18">
        <f>IF(40&gt;=DeliverStart,ExpRMPerUnit*TotalUnits/12*AQ$8*AQ$11,0)</f>
        <v/>
      </c>
      <c r="AR28" s="18">
        <f>IF(41&gt;=DeliverStart,ExpRMPerUnit*TotalUnits/12*AR$8*AR$11,0)</f>
        <v/>
      </c>
      <c r="AS28" s="18">
        <f>IF(42&gt;=DeliverStart,ExpRMPerUnit*TotalUnits/12*AS$8*AS$11,0)</f>
        <v/>
      </c>
      <c r="AT28" s="18">
        <f>IF(43&gt;=DeliverStart,ExpRMPerUnit*TotalUnits/12*AT$8*AT$11,0)</f>
        <v/>
      </c>
      <c r="AU28" s="18">
        <f>IF(44&gt;=DeliverStart,ExpRMPerUnit*TotalUnits/12*AU$8*AU$11,0)</f>
        <v/>
      </c>
      <c r="AV28" s="18">
        <f>IF(45&gt;=DeliverStart,ExpRMPerUnit*TotalUnits/12*AV$8*AV$11,0)</f>
        <v/>
      </c>
      <c r="AW28" s="18">
        <f>IF(46&gt;=DeliverStart,ExpRMPerUnit*TotalUnits/12*AW$8*AW$11,0)</f>
        <v/>
      </c>
      <c r="AX28" s="18">
        <f>IF(47&gt;=DeliverStart,ExpRMPerUnit*TotalUnits/12*AX$8*AX$11,0)</f>
        <v/>
      </c>
      <c r="AY28" s="18">
        <f>IF(48&gt;=DeliverStart,ExpRMPerUnit*TotalUnits/12*AY$8*AY$11,0)</f>
        <v/>
      </c>
      <c r="AZ28" s="18">
        <f>IF(49&gt;=DeliverStart,ExpRMPerUnit*TotalUnits/12*AZ$8*AZ$11,0)</f>
        <v/>
      </c>
      <c r="BA28" s="18">
        <f>IF(50&gt;=DeliverStart,ExpRMPerUnit*TotalUnits/12*BA$8*BA$11,0)</f>
        <v/>
      </c>
      <c r="BB28" s="18">
        <f>IF(51&gt;=DeliverStart,ExpRMPerUnit*TotalUnits/12*BB$8*BB$11,0)</f>
        <v/>
      </c>
      <c r="BC28" s="18">
        <f>IF(52&gt;=DeliverStart,ExpRMPerUnit*TotalUnits/12*BC$8*BC$11,0)</f>
        <v/>
      </c>
      <c r="BD28" s="18">
        <f>IF(53&gt;=DeliverStart,ExpRMPerUnit*TotalUnits/12*BD$8*BD$11,0)</f>
        <v/>
      </c>
      <c r="BE28" s="18">
        <f>IF(54&gt;=DeliverStart,ExpRMPerUnit*TotalUnits/12*BE$8*BE$11,0)</f>
        <v/>
      </c>
      <c r="BF28" s="18">
        <f>IF(55&gt;=DeliverStart,ExpRMPerUnit*TotalUnits/12*BF$8*BF$11,0)</f>
        <v/>
      </c>
      <c r="BG28" s="18">
        <f>IF(56&gt;=DeliverStart,ExpRMPerUnit*TotalUnits/12*BG$8*BG$11,0)</f>
        <v/>
      </c>
      <c r="BH28" s="18">
        <f>IF(57&gt;=DeliverStart,ExpRMPerUnit*TotalUnits/12*BH$8*BH$11,0)</f>
        <v/>
      </c>
      <c r="BI28" s="18">
        <f>IF(58&gt;=DeliverStart,ExpRMPerUnit*TotalUnits/12*BI$8*BI$11,0)</f>
        <v/>
      </c>
      <c r="BJ28" s="18">
        <f>IF(59&gt;=DeliverStart,ExpRMPerUnit*TotalUnits/12*BJ$8*BJ$11,0)</f>
        <v/>
      </c>
      <c r="BK28" s="18">
        <f>IF(60&gt;=DeliverStart,ExpRMPerUnit*TotalUnits/12*BK$8*BK$11,0)</f>
        <v/>
      </c>
      <c r="BL28" s="18">
        <f>IF(61&gt;=DeliverStart,ExpRMPerUnit*TotalUnits/12*BL$8*BL$11,0)</f>
        <v/>
      </c>
      <c r="BM28" s="18">
        <f>IF(62&gt;=DeliverStart,ExpRMPerUnit*TotalUnits/12*BM$8*BM$11,0)</f>
        <v/>
      </c>
      <c r="BN28" s="18">
        <f>IF(63&gt;=DeliverStart,ExpRMPerUnit*TotalUnits/12*BN$8*BN$11,0)</f>
        <v/>
      </c>
      <c r="BO28" s="18">
        <f>IF(64&gt;=DeliverStart,ExpRMPerUnit*TotalUnits/12*BO$8*BO$11,0)</f>
        <v/>
      </c>
      <c r="BP28" s="18">
        <f>IF(65&gt;=DeliverStart,ExpRMPerUnit*TotalUnits/12*BP$8*BP$11,0)</f>
        <v/>
      </c>
      <c r="BQ28" s="18">
        <f>IF(66&gt;=DeliverStart,ExpRMPerUnit*TotalUnits/12*BQ$8*BQ$11,0)</f>
        <v/>
      </c>
      <c r="BR28" s="18">
        <f>IF(67&gt;=DeliverStart,ExpRMPerUnit*TotalUnits/12*BR$8*BR$11,0)</f>
        <v/>
      </c>
      <c r="BS28" s="18">
        <f>IF(68&gt;=DeliverStart,ExpRMPerUnit*TotalUnits/12*BS$8*BS$11,0)</f>
        <v/>
      </c>
      <c r="BT28" s="18">
        <f>IF(69&gt;=DeliverStart,ExpRMPerUnit*TotalUnits/12*BT$8*BT$11,0)</f>
        <v/>
      </c>
      <c r="BU28" s="18">
        <f>IF(70&gt;=DeliverStart,ExpRMPerUnit*TotalUnits/12*BU$8*BU$11,0)</f>
        <v/>
      </c>
      <c r="BV28" s="18">
        <f>IF(71&gt;=DeliverStart,ExpRMPerUnit*TotalUnits/12*BV$8*BV$11,0)</f>
        <v/>
      </c>
      <c r="BW28" s="18">
        <f>IF(72&gt;=DeliverStart,ExpRMPerUnit*TotalUnits/12*BW$8*BW$11,0)</f>
        <v/>
      </c>
      <c r="BX28" s="18">
        <f>IF(73&gt;=DeliverStart,ExpRMPerUnit*TotalUnits/12*BX$8*BX$11,0)</f>
        <v/>
      </c>
      <c r="BY28" s="18">
        <f>IF(74&gt;=DeliverStart,ExpRMPerUnit*TotalUnits/12*BY$8*BY$11,0)</f>
        <v/>
      </c>
      <c r="BZ28" s="18">
        <f>IF(75&gt;=DeliverStart,ExpRMPerUnit*TotalUnits/12*BZ$8*BZ$11,0)</f>
        <v/>
      </c>
      <c r="CA28" s="18">
        <f>IF(76&gt;=DeliverStart,ExpRMPerUnit*TotalUnits/12*CA$8*CA$11,0)</f>
        <v/>
      </c>
      <c r="CB28" s="18">
        <f>IF(77&gt;=DeliverStart,ExpRMPerUnit*TotalUnits/12*CB$8*CB$11,0)</f>
        <v/>
      </c>
      <c r="CC28" s="18">
        <f>IF(78&gt;=DeliverStart,ExpRMPerUnit*TotalUnits/12*CC$8*CC$11,0)</f>
        <v/>
      </c>
      <c r="CD28" s="18">
        <f>IF(79&gt;=DeliverStart,ExpRMPerUnit*TotalUnits/12*CD$8*CD$11,0)</f>
        <v/>
      </c>
      <c r="CE28" s="18">
        <f>IF(80&gt;=DeliverStart,ExpRMPerUnit*TotalUnits/12*CE$8*CE$11,0)</f>
        <v/>
      </c>
      <c r="CF28" s="18">
        <f>IF(81&gt;=DeliverStart,ExpRMPerUnit*TotalUnits/12*CF$8*CF$11,0)</f>
        <v/>
      </c>
      <c r="CG28" s="18">
        <f>IF(82&gt;=DeliverStart,ExpRMPerUnit*TotalUnits/12*CG$8*CG$11,0)</f>
        <v/>
      </c>
      <c r="CH28" s="18">
        <f>IF(83&gt;=DeliverStart,ExpRMPerUnit*TotalUnits/12*CH$8*CH$11,0)</f>
        <v/>
      </c>
      <c r="CI28" s="18">
        <f>IF(84&gt;=DeliverStart,ExpRMPerUnit*TotalUnits/12*CI$8*CI$11,0)</f>
        <v/>
      </c>
      <c r="CJ28" s="18">
        <f>IF(85&gt;=DeliverStart,ExpRMPerUnit*TotalUnits/12*CJ$8*CJ$11,0)</f>
        <v/>
      </c>
      <c r="CK28" s="18">
        <f>IF(86&gt;=DeliverStart,ExpRMPerUnit*TotalUnits/12*CK$8*CK$11,0)</f>
        <v/>
      </c>
      <c r="CL28" s="18">
        <f>IF(87&gt;=DeliverStart,ExpRMPerUnit*TotalUnits/12*CL$8*CL$11,0)</f>
        <v/>
      </c>
      <c r="CM28" s="18">
        <f>IF(88&gt;=DeliverStart,ExpRMPerUnit*TotalUnits/12*CM$8*CM$11,0)</f>
        <v/>
      </c>
      <c r="CN28" s="18">
        <f>IF(89&gt;=DeliverStart,ExpRMPerUnit*TotalUnits/12*CN$8*CN$11,0)</f>
        <v/>
      </c>
      <c r="CO28" s="18">
        <f>IF(90&gt;=DeliverStart,ExpRMPerUnit*TotalUnits/12*CO$8*CO$11,0)</f>
        <v/>
      </c>
      <c r="CP28" s="18">
        <f>IF(91&gt;=DeliverStart,ExpRMPerUnit*TotalUnits/12*CP$8*CP$11,0)</f>
        <v/>
      </c>
      <c r="CQ28" s="18">
        <f>IF(92&gt;=DeliverStart,ExpRMPerUnit*TotalUnits/12*CQ$8*CQ$11,0)</f>
        <v/>
      </c>
      <c r="CR28" s="18">
        <f>IF(93&gt;=DeliverStart,ExpRMPerUnit*TotalUnits/12*CR$8*CR$11,0)</f>
        <v/>
      </c>
      <c r="CS28" s="18">
        <f>IF(94&gt;=DeliverStart,ExpRMPerUnit*TotalUnits/12*CS$8*CS$11,0)</f>
        <v/>
      </c>
      <c r="CT28" s="18">
        <f>IF(95&gt;=DeliverStart,ExpRMPerUnit*TotalUnits/12*CT$8*CT$11,0)</f>
        <v/>
      </c>
      <c r="CU28" s="18">
        <f>IF(96&gt;=DeliverStart,ExpRMPerUnit*TotalUnits/12*CU$8*CU$11,0)</f>
        <v/>
      </c>
      <c r="CV28" s="18">
        <f>IF(97&gt;=DeliverStart,ExpRMPerUnit*TotalUnits/12*CV$8*CV$11,0)</f>
        <v/>
      </c>
      <c r="CW28" s="18">
        <f>IF(98&gt;=DeliverStart,ExpRMPerUnit*TotalUnits/12*CW$8*CW$11,0)</f>
        <v/>
      </c>
      <c r="CX28" s="18">
        <f>IF(99&gt;=DeliverStart,ExpRMPerUnit*TotalUnits/12*CX$8*CX$11,0)</f>
        <v/>
      </c>
      <c r="CY28" s="18">
        <f>IF(100&gt;=DeliverStart,ExpRMPerUnit*TotalUnits/12*CY$8*CY$11,0)</f>
        <v/>
      </c>
      <c r="CZ28" s="18">
        <f>IF(101&gt;=DeliverStart,ExpRMPerUnit*TotalUnits/12*CZ$8*CZ$11,0)</f>
        <v/>
      </c>
      <c r="DA28" s="18">
        <f>IF(102&gt;=DeliverStart,ExpRMPerUnit*TotalUnits/12*DA$8*DA$11,0)</f>
        <v/>
      </c>
      <c r="DB28" s="18">
        <f>IF(103&gt;=DeliverStart,ExpRMPerUnit*TotalUnits/12*DB$8*DB$11,0)</f>
        <v/>
      </c>
      <c r="DC28" s="18">
        <f>IF(104&gt;=DeliverStart,ExpRMPerUnit*TotalUnits/12*DC$8*DC$11,0)</f>
        <v/>
      </c>
      <c r="DD28" s="18">
        <f>IF(105&gt;=DeliverStart,ExpRMPerUnit*TotalUnits/12*DD$8*DD$11,0)</f>
        <v/>
      </c>
      <c r="DE28" s="18">
        <f>IF(106&gt;=DeliverStart,ExpRMPerUnit*TotalUnits/12*DE$8*DE$11,0)</f>
        <v/>
      </c>
      <c r="DF28" s="18">
        <f>IF(107&gt;=DeliverStart,ExpRMPerUnit*TotalUnits/12*DF$8*DF$11,0)</f>
        <v/>
      </c>
      <c r="DG28" s="18">
        <f>IF(108&gt;=DeliverStart,ExpRMPerUnit*TotalUnits/12*DG$8*DG$11,0)</f>
        <v/>
      </c>
      <c r="DH28" s="18">
        <f>IF(109&gt;=DeliverStart,ExpRMPerUnit*TotalUnits/12*DH$8*DH$11,0)</f>
        <v/>
      </c>
      <c r="DI28" s="18">
        <f>IF(110&gt;=DeliverStart,ExpRMPerUnit*TotalUnits/12*DI$8*DI$11,0)</f>
        <v/>
      </c>
      <c r="DJ28" s="18">
        <f>IF(111&gt;=DeliverStart,ExpRMPerUnit*TotalUnits/12*DJ$8*DJ$11,0)</f>
        <v/>
      </c>
      <c r="DK28" s="18">
        <f>IF(112&gt;=DeliverStart,ExpRMPerUnit*TotalUnits/12*DK$8*DK$11,0)</f>
        <v/>
      </c>
      <c r="DL28" s="18">
        <f>IF(113&gt;=DeliverStart,ExpRMPerUnit*TotalUnits/12*DL$8*DL$11,0)</f>
        <v/>
      </c>
      <c r="DM28" s="18">
        <f>IF(114&gt;=DeliverStart,ExpRMPerUnit*TotalUnits/12*DM$8*DM$11,0)</f>
        <v/>
      </c>
      <c r="DN28" s="18">
        <f>IF(115&gt;=DeliverStart,ExpRMPerUnit*TotalUnits/12*DN$8*DN$11,0)</f>
        <v/>
      </c>
      <c r="DO28" s="18">
        <f>IF(116&gt;=DeliverStart,ExpRMPerUnit*TotalUnits/12*DO$8*DO$11,0)</f>
        <v/>
      </c>
      <c r="DP28" s="18">
        <f>IF(117&gt;=DeliverStart,ExpRMPerUnit*TotalUnits/12*DP$8*DP$11,0)</f>
        <v/>
      </c>
      <c r="DQ28" s="18">
        <f>IF(118&gt;=DeliverStart,ExpRMPerUnit*TotalUnits/12*DQ$8*DQ$11,0)</f>
        <v/>
      </c>
      <c r="DR28" s="18">
        <f>IF(119&gt;=DeliverStart,ExpRMPerUnit*TotalUnits/12*DR$8*DR$11,0)</f>
        <v/>
      </c>
      <c r="DS28" s="18">
        <f>IF(120&gt;=DeliverStart,ExpRMPerUnit*TotalUnits/12*DS$8*DS$11,0)</f>
        <v/>
      </c>
      <c r="DT28" s="18">
        <f>IF(121&gt;=DeliverStart,ExpRMPerUnit*TotalUnits/12*DT$8*DT$11,0)</f>
        <v/>
      </c>
      <c r="DU28" s="18">
        <f>IF(122&gt;=DeliverStart,ExpRMPerUnit*TotalUnits/12*DU$8*DU$11,0)</f>
        <v/>
      </c>
      <c r="DV28" s="18">
        <f>IF(123&gt;=DeliverStart,ExpRMPerUnit*TotalUnits/12*DV$8*DV$11,0)</f>
        <v/>
      </c>
      <c r="DW28" s="18">
        <f>IF(124&gt;=DeliverStart,ExpRMPerUnit*TotalUnits/12*DW$8*DW$11,0)</f>
        <v/>
      </c>
      <c r="DX28" s="18">
        <f>IF(125&gt;=DeliverStart,ExpRMPerUnit*TotalUnits/12*DX$8*DX$11,0)</f>
        <v/>
      </c>
      <c r="DY28" s="18">
        <f>IF(126&gt;=DeliverStart,ExpRMPerUnit*TotalUnits/12*DY$8*DY$11,0)</f>
        <v/>
      </c>
      <c r="DZ28" s="18">
        <f>IF(127&gt;=DeliverStart,ExpRMPerUnit*TotalUnits/12*DZ$8*DZ$11,0)</f>
        <v/>
      </c>
      <c r="EA28" s="18">
        <f>IF(128&gt;=DeliverStart,ExpRMPerUnit*TotalUnits/12*EA$8*EA$11,0)</f>
        <v/>
      </c>
      <c r="EB28" s="18">
        <f>IF(129&gt;=DeliverStart,ExpRMPerUnit*TotalUnits/12*EB$8*EB$11,0)</f>
        <v/>
      </c>
      <c r="EC28" s="18">
        <f>IF(130&gt;=DeliverStart,ExpRMPerUnit*TotalUnits/12*EC$8*EC$11,0)</f>
        <v/>
      </c>
      <c r="ED28" s="18">
        <f>IF(131&gt;=DeliverStart,ExpRMPerUnit*TotalUnits/12*ED$8*ED$11,0)</f>
        <v/>
      </c>
      <c r="EE28" s="18">
        <f>IF(132&gt;=DeliverStart,ExpRMPerUnit*TotalUnits/12*EE$8*EE$11,0)</f>
        <v/>
      </c>
      <c r="EF28" s="18">
        <f>IF(133&gt;=DeliverStart,ExpRMPerUnit*TotalUnits/12*EF$8*EF$11,0)</f>
        <v/>
      </c>
      <c r="EG28" s="18">
        <f>IF(134&gt;=DeliverStart,ExpRMPerUnit*TotalUnits/12*EG$8*EG$11,0)</f>
        <v/>
      </c>
      <c r="EH28" s="18">
        <f>IF(135&gt;=DeliverStart,ExpRMPerUnit*TotalUnits/12*EH$8*EH$11,0)</f>
        <v/>
      </c>
      <c r="EI28" s="18">
        <f>IF(136&gt;=DeliverStart,ExpRMPerUnit*TotalUnits/12*EI$8*EI$11,0)</f>
        <v/>
      </c>
      <c r="EJ28" s="18">
        <f>IF(137&gt;=DeliverStart,ExpRMPerUnit*TotalUnits/12*EJ$8*EJ$11,0)</f>
        <v/>
      </c>
      <c r="EK28" s="18">
        <f>IF(138&gt;=DeliverStart,ExpRMPerUnit*TotalUnits/12*EK$8*EK$11,0)</f>
        <v/>
      </c>
      <c r="EL28" s="18">
        <f>IF(139&gt;=DeliverStart,ExpRMPerUnit*TotalUnits/12*EL$8*EL$11,0)</f>
        <v/>
      </c>
      <c r="EM28" s="18">
        <f>IF(140&gt;=DeliverStart,ExpRMPerUnit*TotalUnits/12*EM$8*EM$11,0)</f>
        <v/>
      </c>
      <c r="EN28" s="18">
        <f>IF(141&gt;=DeliverStart,ExpRMPerUnit*TotalUnits/12*EN$8*EN$11,0)</f>
        <v/>
      </c>
      <c r="EO28" s="18">
        <f>IF(142&gt;=DeliverStart,ExpRMPerUnit*TotalUnits/12*EO$8*EO$11,0)</f>
        <v/>
      </c>
      <c r="EP28" s="18">
        <f>IF(143&gt;=DeliverStart,ExpRMPerUnit*TotalUnits/12*EP$8*EP$11,0)</f>
        <v/>
      </c>
      <c r="EQ28" s="18">
        <f>IF(144&gt;=DeliverStart,ExpRMPerUnit*TotalUnits/12*EQ$8*EQ$11,0)</f>
        <v/>
      </c>
      <c r="ER28" s="18">
        <f>IF(145&gt;=DeliverStart,ExpRMPerUnit*TotalUnits/12*ER$8*ER$11,0)</f>
        <v/>
      </c>
      <c r="ES28" s="18">
        <f>IF(146&gt;=DeliverStart,ExpRMPerUnit*TotalUnits/12*ES$8*ES$11,0)</f>
        <v/>
      </c>
      <c r="ET28" s="18">
        <f>IF(147&gt;=DeliverStart,ExpRMPerUnit*TotalUnits/12*ET$8*ET$11,0)</f>
        <v/>
      </c>
      <c r="EU28" s="18">
        <f>IF(148&gt;=DeliverStart,ExpRMPerUnit*TotalUnits/12*EU$8*EU$11,0)</f>
        <v/>
      </c>
      <c r="EV28" s="18">
        <f>IF(149&gt;=DeliverStart,ExpRMPerUnit*TotalUnits/12*EV$8*EV$11,0)</f>
        <v/>
      </c>
      <c r="EW28" s="18">
        <f>IF(150&gt;=DeliverStart,ExpRMPerUnit*TotalUnits/12*EW$8*EW$11,0)</f>
        <v/>
      </c>
      <c r="EX28" s="18">
        <f>IF(151&gt;=DeliverStart,ExpRMPerUnit*TotalUnits/12*EX$8*EX$11,0)</f>
        <v/>
      </c>
      <c r="EY28" s="18">
        <f>IF(152&gt;=DeliverStart,ExpRMPerUnit*TotalUnits/12*EY$8*EY$11,0)</f>
        <v/>
      </c>
      <c r="EZ28" s="18">
        <f>IF(153&gt;=DeliverStart,ExpRMPerUnit*TotalUnits/12*EZ$8*EZ$11,0)</f>
        <v/>
      </c>
      <c r="FA28" s="18">
        <f>IF(154&gt;=DeliverStart,ExpRMPerUnit*TotalUnits/12*FA$8*FA$11,0)</f>
        <v/>
      </c>
      <c r="FB28" s="18">
        <f>IF(155&gt;=DeliverStart,ExpRMPerUnit*TotalUnits/12*FB$8*FB$11,0)</f>
        <v/>
      </c>
      <c r="FC28" s="18">
        <f>IF(156&gt;=DeliverStart,ExpRMPerUnit*TotalUnits/12*FC$8*FC$11,0)</f>
        <v/>
      </c>
      <c r="FD28" s="18">
        <f>IF(157&gt;=DeliverStart,ExpRMPerUnit*TotalUnits/12*FD$8*FD$11,0)</f>
        <v/>
      </c>
      <c r="FE28" s="18">
        <f>IF(158&gt;=DeliverStart,ExpRMPerUnit*TotalUnits/12*FE$8*FE$11,0)</f>
        <v/>
      </c>
      <c r="FF28" s="18">
        <f>IF(159&gt;=DeliverStart,ExpRMPerUnit*TotalUnits/12*FF$8*FF$11,0)</f>
        <v/>
      </c>
      <c r="FG28" s="18">
        <f>IF(160&gt;=DeliverStart,ExpRMPerUnit*TotalUnits/12*FG$8*FG$11,0)</f>
        <v/>
      </c>
      <c r="FH28" s="18">
        <f>IF(161&gt;=DeliverStart,ExpRMPerUnit*TotalUnits/12*FH$8*FH$11,0)</f>
        <v/>
      </c>
      <c r="FI28" s="18">
        <f>IF(162&gt;=DeliverStart,ExpRMPerUnit*TotalUnits/12*FI$8*FI$11,0)</f>
        <v/>
      </c>
      <c r="FJ28" s="18">
        <f>IF(163&gt;=DeliverStart,ExpRMPerUnit*TotalUnits/12*FJ$8*FJ$11,0)</f>
        <v/>
      </c>
      <c r="FK28" s="18">
        <f>IF(164&gt;=DeliverStart,ExpRMPerUnit*TotalUnits/12*FK$8*FK$11,0)</f>
        <v/>
      </c>
      <c r="FL28" s="18">
        <f>IF(165&gt;=DeliverStart,ExpRMPerUnit*TotalUnits/12*FL$8*FL$11,0)</f>
        <v/>
      </c>
      <c r="FM28" s="18">
        <f>IF(166&gt;=DeliverStart,ExpRMPerUnit*TotalUnits/12*FM$8*FM$11,0)</f>
        <v/>
      </c>
      <c r="FN28" s="18">
        <f>IF(167&gt;=DeliverStart,ExpRMPerUnit*TotalUnits/12*FN$8*FN$11,0)</f>
        <v/>
      </c>
      <c r="FO28" s="18">
        <f>IF(168&gt;=DeliverStart,ExpRMPerUnit*TotalUnits/12*FO$8*FO$11,0)</f>
        <v/>
      </c>
      <c r="FP28" s="18">
        <f>IF(169&gt;=DeliverStart,ExpRMPerUnit*TotalUnits/12*FP$8*FP$11,0)</f>
        <v/>
      </c>
      <c r="FQ28" s="18">
        <f>IF(170&gt;=DeliverStart,ExpRMPerUnit*TotalUnits/12*FQ$8*FQ$11,0)</f>
        <v/>
      </c>
      <c r="FR28" s="18">
        <f>IF(171&gt;=DeliverStart,ExpRMPerUnit*TotalUnits/12*FR$8*FR$11,0)</f>
        <v/>
      </c>
      <c r="FS28" s="18">
        <f>IF(172&gt;=DeliverStart,ExpRMPerUnit*TotalUnits/12*FS$8*FS$11,0)</f>
        <v/>
      </c>
      <c r="FT28" s="18">
        <f>IF(173&gt;=DeliverStart,ExpRMPerUnit*TotalUnits/12*FT$8*FT$11,0)</f>
        <v/>
      </c>
      <c r="FU28" s="18">
        <f>IF(174&gt;=DeliverStart,ExpRMPerUnit*TotalUnits/12*FU$8*FU$11,0)</f>
        <v/>
      </c>
      <c r="FV28" s="18">
        <f>IF(175&gt;=DeliverStart,ExpRMPerUnit*TotalUnits/12*FV$8*FV$11,0)</f>
        <v/>
      </c>
      <c r="FW28" s="18">
        <f>IF(176&gt;=DeliverStart,ExpRMPerUnit*TotalUnits/12*FW$8*FW$11,0)</f>
        <v/>
      </c>
      <c r="FX28" s="18">
        <f>IF(177&gt;=DeliverStart,ExpRMPerUnit*TotalUnits/12*FX$8*FX$11,0)</f>
        <v/>
      </c>
      <c r="FY28" s="18">
        <f>IF(178&gt;=DeliverStart,ExpRMPerUnit*TotalUnits/12*FY$8*FY$11,0)</f>
        <v/>
      </c>
      <c r="FZ28" s="18">
        <f>IF(179&gt;=DeliverStart,ExpRMPerUnit*TotalUnits/12*FZ$8*FZ$11,0)</f>
        <v/>
      </c>
      <c r="GA28" s="18">
        <f>IF(180&gt;=DeliverStart,ExpRMPerUnit*TotalUnits/12*GA$8*GA$11,0)</f>
        <v/>
      </c>
      <c r="GB28" s="18">
        <f>IF(181&gt;=DeliverStart,ExpRMPerUnit*TotalUnits/12*GB$8*GB$11,0)</f>
        <v/>
      </c>
      <c r="GC28" s="18">
        <f>IF(182&gt;=DeliverStart,ExpRMPerUnit*TotalUnits/12*GC$8*GC$11,0)</f>
        <v/>
      </c>
      <c r="GD28" s="18">
        <f>IF(183&gt;=DeliverStart,ExpRMPerUnit*TotalUnits/12*GD$8*GD$11,0)</f>
        <v/>
      </c>
      <c r="GE28" s="18">
        <f>IF(184&gt;=DeliverStart,ExpRMPerUnit*TotalUnits/12*GE$8*GE$11,0)</f>
        <v/>
      </c>
      <c r="GF28" s="18">
        <f>IF(185&gt;=DeliverStart,ExpRMPerUnit*TotalUnits/12*GF$8*GF$11,0)</f>
        <v/>
      </c>
      <c r="GG28" s="18">
        <f>IF(186&gt;=DeliverStart,ExpRMPerUnit*TotalUnits/12*GG$8*GG$11,0)</f>
        <v/>
      </c>
      <c r="GH28" s="18">
        <f>IF(187&gt;=DeliverStart,ExpRMPerUnit*TotalUnits/12*GH$8*GH$11,0)</f>
        <v/>
      </c>
      <c r="GI28" s="18">
        <f>IF(188&gt;=DeliverStart,ExpRMPerUnit*TotalUnits/12*GI$8*GI$11,0)</f>
        <v/>
      </c>
      <c r="GJ28" s="18">
        <f>IF(189&gt;=DeliverStart,ExpRMPerUnit*TotalUnits/12*GJ$8*GJ$11,0)</f>
        <v/>
      </c>
      <c r="GK28" s="18">
        <f>IF(190&gt;=DeliverStart,ExpRMPerUnit*TotalUnits/12*GK$8*GK$11,0)</f>
        <v/>
      </c>
      <c r="GL28" s="18">
        <f>IF(191&gt;=DeliverStart,ExpRMPerUnit*TotalUnits/12*GL$8*GL$11,0)</f>
        <v/>
      </c>
      <c r="GM28" s="18">
        <f>IF(192&gt;=DeliverStart,ExpRMPerUnit*TotalUnits/12*GM$8*GM$11,0)</f>
        <v/>
      </c>
      <c r="GN28" s="18">
        <f>IF(193&gt;=DeliverStart,ExpRMPerUnit*TotalUnits/12*GN$8*GN$11,0)</f>
        <v/>
      </c>
      <c r="GO28" s="18">
        <f>IF(194&gt;=DeliverStart,ExpRMPerUnit*TotalUnits/12*GO$8*GO$11,0)</f>
        <v/>
      </c>
      <c r="GP28" s="18">
        <f>IF(195&gt;=DeliverStart,ExpRMPerUnit*TotalUnits/12*GP$8*GP$11,0)</f>
        <v/>
      </c>
      <c r="GQ28" s="18">
        <f>IF(196&gt;=DeliverStart,ExpRMPerUnit*TotalUnits/12*GQ$8*GQ$11,0)</f>
        <v/>
      </c>
      <c r="GR28" s="18">
        <f>IF(197&gt;=DeliverStart,ExpRMPerUnit*TotalUnits/12*GR$8*GR$11,0)</f>
        <v/>
      </c>
      <c r="GS28" s="18">
        <f>IF(198&gt;=DeliverStart,ExpRMPerUnit*TotalUnits/12*GS$8*GS$11,0)</f>
        <v/>
      </c>
      <c r="GT28" s="18">
        <f>IF(199&gt;=DeliverStart,ExpRMPerUnit*TotalUnits/12*GT$8*GT$11,0)</f>
        <v/>
      </c>
      <c r="GU28" s="18">
        <f>IF(200&gt;=DeliverStart,ExpRMPerUnit*TotalUnits/12*GU$8*GU$11,0)</f>
        <v/>
      </c>
      <c r="GV28" s="18">
        <f>IF(201&gt;=DeliverStart,ExpRMPerUnit*TotalUnits/12*GV$8*GV$11,0)</f>
        <v/>
      </c>
      <c r="GW28" s="18">
        <f>IF(202&gt;=DeliverStart,ExpRMPerUnit*TotalUnits/12*GW$8*GW$11,0)</f>
        <v/>
      </c>
      <c r="GX28" s="18">
        <f>IF(203&gt;=DeliverStart,ExpRMPerUnit*TotalUnits/12*GX$8*GX$11,0)</f>
        <v/>
      </c>
      <c r="GY28" s="18">
        <f>IF(204&gt;=DeliverStart,ExpRMPerUnit*TotalUnits/12*GY$8*GY$11,0)</f>
        <v/>
      </c>
      <c r="GZ28" s="18">
        <f>IF(205&gt;=DeliverStart,ExpRMPerUnit*TotalUnits/12*GZ$8*GZ$11,0)</f>
        <v/>
      </c>
      <c r="HA28" s="18">
        <f>IF(206&gt;=DeliverStart,ExpRMPerUnit*TotalUnits/12*HA$8*HA$11,0)</f>
        <v/>
      </c>
      <c r="HB28" s="18">
        <f>IF(207&gt;=DeliverStart,ExpRMPerUnit*TotalUnits/12*HB$8*HB$11,0)</f>
        <v/>
      </c>
      <c r="HC28" s="18">
        <f>IF(208&gt;=DeliverStart,ExpRMPerUnit*TotalUnits/12*HC$8*HC$11,0)</f>
        <v/>
      </c>
      <c r="HD28" s="18">
        <f>IF(209&gt;=DeliverStart,ExpRMPerUnit*TotalUnits/12*HD$8*HD$11,0)</f>
        <v/>
      </c>
      <c r="HE28" s="18">
        <f>IF(210&gt;=DeliverStart,ExpRMPerUnit*TotalUnits/12*HE$8*HE$11,0)</f>
        <v/>
      </c>
      <c r="HF28" s="18">
        <f>IF(211&gt;=DeliverStart,ExpRMPerUnit*TotalUnits/12*HF$8*HF$11,0)</f>
        <v/>
      </c>
      <c r="HG28" s="18">
        <f>IF(212&gt;=DeliverStart,ExpRMPerUnit*TotalUnits/12*HG$8*HG$11,0)</f>
        <v/>
      </c>
      <c r="HH28" s="18">
        <f>IF(213&gt;=DeliverStart,ExpRMPerUnit*TotalUnits/12*HH$8*HH$11,0)</f>
        <v/>
      </c>
      <c r="HI28" s="18">
        <f>IF(214&gt;=DeliverStart,ExpRMPerUnit*TotalUnits/12*HI$8*HI$11,0)</f>
        <v/>
      </c>
      <c r="HJ28" s="18">
        <f>IF(215&gt;=DeliverStart,ExpRMPerUnit*TotalUnits/12*HJ$8*HJ$11,0)</f>
        <v/>
      </c>
      <c r="HK28" s="18">
        <f>IF(216&gt;=DeliverStart,ExpRMPerUnit*TotalUnits/12*HK$8*HK$11,0)</f>
        <v/>
      </c>
      <c r="HL28" s="18">
        <f>IF(217&gt;=DeliverStart,ExpRMPerUnit*TotalUnits/12*HL$8*HL$11,0)</f>
        <v/>
      </c>
      <c r="HM28" s="18">
        <f>IF(218&gt;=DeliverStart,ExpRMPerUnit*TotalUnits/12*HM$8*HM$11,0)</f>
        <v/>
      </c>
      <c r="HN28" s="18">
        <f>IF(219&gt;=DeliverStart,ExpRMPerUnit*TotalUnits/12*HN$8*HN$11,0)</f>
        <v/>
      </c>
      <c r="HO28" s="18">
        <f>IF(220&gt;=DeliverStart,ExpRMPerUnit*TotalUnits/12*HO$8*HO$11,0)</f>
        <v/>
      </c>
      <c r="HP28" s="18">
        <f>IF(221&gt;=DeliverStart,ExpRMPerUnit*TotalUnits/12*HP$8*HP$11,0)</f>
        <v/>
      </c>
      <c r="HQ28" s="18">
        <f>IF(222&gt;=DeliverStart,ExpRMPerUnit*TotalUnits/12*HQ$8*HQ$11,0)</f>
        <v/>
      </c>
      <c r="HR28" s="18">
        <f>IF(223&gt;=DeliverStart,ExpRMPerUnit*TotalUnits/12*HR$8*HR$11,0)</f>
        <v/>
      </c>
      <c r="HS28" s="18">
        <f>IF(224&gt;=DeliverStart,ExpRMPerUnit*TotalUnits/12*HS$8*HS$11,0)</f>
        <v/>
      </c>
      <c r="HT28" s="18">
        <f>IF(225&gt;=DeliverStart,ExpRMPerUnit*TotalUnits/12*HT$8*HT$11,0)</f>
        <v/>
      </c>
      <c r="HU28" s="18">
        <f>IF(226&gt;=DeliverStart,ExpRMPerUnit*TotalUnits/12*HU$8*HU$11,0)</f>
        <v/>
      </c>
      <c r="HV28" s="18">
        <f>IF(227&gt;=DeliverStart,ExpRMPerUnit*TotalUnits/12*HV$8*HV$11,0)</f>
        <v/>
      </c>
      <c r="HW28" s="18">
        <f>IF(228&gt;=DeliverStart,ExpRMPerUnit*TotalUnits/12*HW$8*HW$11,0)</f>
        <v/>
      </c>
      <c r="HX28" s="18">
        <f>IF(229&gt;=DeliverStart,ExpRMPerUnit*TotalUnits/12*HX$8*HX$11,0)</f>
        <v/>
      </c>
      <c r="HY28" s="18">
        <f>IF(230&gt;=DeliverStart,ExpRMPerUnit*TotalUnits/12*HY$8*HY$11,0)</f>
        <v/>
      </c>
      <c r="HZ28" s="18">
        <f>IF(231&gt;=DeliverStart,ExpRMPerUnit*TotalUnits/12*HZ$8*HZ$11,0)</f>
        <v/>
      </c>
      <c r="IA28" s="18">
        <f>IF(232&gt;=DeliverStart,ExpRMPerUnit*TotalUnits/12*IA$8*IA$11,0)</f>
        <v/>
      </c>
      <c r="IB28" s="18">
        <f>IF(233&gt;=DeliverStart,ExpRMPerUnit*TotalUnits/12*IB$8*IB$11,0)</f>
        <v/>
      </c>
      <c r="IC28" s="18">
        <f>IF(234&gt;=DeliverStart,ExpRMPerUnit*TotalUnits/12*IC$8*IC$11,0)</f>
        <v/>
      </c>
      <c r="ID28" s="18">
        <f>IF(235&gt;=DeliverStart,ExpRMPerUnit*TotalUnits/12*ID$8*ID$11,0)</f>
        <v/>
      </c>
      <c r="IE28" s="18">
        <f>IF(236&gt;=DeliverStart,ExpRMPerUnit*TotalUnits/12*IE$8*IE$11,0)</f>
        <v/>
      </c>
      <c r="IF28" s="18">
        <f>IF(237&gt;=DeliverStart,ExpRMPerUnit*TotalUnits/12*IF$8*IF$11,0)</f>
        <v/>
      </c>
      <c r="IG28" s="18">
        <f>IF(238&gt;=DeliverStart,ExpRMPerUnit*TotalUnits/12*IG$8*IG$11,0)</f>
        <v/>
      </c>
      <c r="IH28" s="18">
        <f>IF(239&gt;=DeliverStart,ExpRMPerUnit*TotalUnits/12*IH$8*IH$11,0)</f>
        <v/>
      </c>
      <c r="II28" s="18">
        <f>IF(240&gt;=DeliverStart,ExpRMPerUnit*TotalUnits/12*II$8*II$11,0)</f>
        <v/>
      </c>
      <c r="IJ28" s="18">
        <f>IF(241&gt;=DeliverStart,ExpRMPerUnit*TotalUnits/12*IJ$8*IJ$11,0)</f>
        <v/>
      </c>
      <c r="IK28" s="18">
        <f>IF(242&gt;=DeliverStart,ExpRMPerUnit*TotalUnits/12*IK$8*IK$11,0)</f>
        <v/>
      </c>
      <c r="IL28" s="18">
        <f>IF(243&gt;=DeliverStart,ExpRMPerUnit*TotalUnits/12*IL$8*IL$11,0)</f>
        <v/>
      </c>
      <c r="IM28" s="18">
        <f>IF(244&gt;=DeliverStart,ExpRMPerUnit*TotalUnits/12*IM$8*IM$11,0)</f>
        <v/>
      </c>
      <c r="IN28" s="18">
        <f>IF(245&gt;=DeliverStart,ExpRMPerUnit*TotalUnits/12*IN$8*IN$11,0)</f>
        <v/>
      </c>
      <c r="IO28" s="18">
        <f>IF(246&gt;=DeliverStart,ExpRMPerUnit*TotalUnits/12*IO$8*IO$11,0)</f>
        <v/>
      </c>
      <c r="IP28" s="18">
        <f>IF(247&gt;=DeliverStart,ExpRMPerUnit*TotalUnits/12*IP$8*IP$11,0)</f>
        <v/>
      </c>
      <c r="IQ28" s="18">
        <f>IF(248&gt;=DeliverStart,ExpRMPerUnit*TotalUnits/12*IQ$8*IQ$11,0)</f>
        <v/>
      </c>
      <c r="IR28" s="18">
        <f>IF(249&gt;=DeliverStart,ExpRMPerUnit*TotalUnits/12*IR$8*IR$11,0)</f>
        <v/>
      </c>
      <c r="IS28" s="18">
        <f>IF(250&gt;=DeliverStart,ExpRMPerUnit*TotalUnits/12*IS$8*IS$11,0)</f>
        <v/>
      </c>
      <c r="IT28" s="18">
        <f>IF(251&gt;=DeliverStart,ExpRMPerUnit*TotalUnits/12*IT$8*IT$11,0)</f>
        <v/>
      </c>
      <c r="IU28" s="18">
        <f>IF(252&gt;=DeliverStart,ExpRMPerUnit*TotalUnits/12*IU$8*IU$11,0)</f>
        <v/>
      </c>
      <c r="IV28" s="18">
        <f>IF(253&gt;=DeliverStart,ExpRMPerUnit*TotalUnits/12*IV$8*IV$11,0)</f>
        <v/>
      </c>
      <c r="IW28" s="18">
        <f>IF(254&gt;=DeliverStart,ExpRMPerUnit*TotalUnits/12*IW$8*IW$11,0)</f>
        <v/>
      </c>
      <c r="IX28" s="18">
        <f>IF(255&gt;=DeliverStart,ExpRMPerUnit*TotalUnits/12*IX$8*IX$11,0)</f>
        <v/>
      </c>
      <c r="IY28" s="18">
        <f>IF(256&gt;=DeliverStart,ExpRMPerUnit*TotalUnits/12*IY$8*IY$11,0)</f>
        <v/>
      </c>
      <c r="IZ28" s="18">
        <f>IF(257&gt;=DeliverStart,ExpRMPerUnit*TotalUnits/12*IZ$8*IZ$11,0)</f>
        <v/>
      </c>
      <c r="JA28" s="18">
        <f>IF(258&gt;=DeliverStart,ExpRMPerUnit*TotalUnits/12*JA$8*JA$11,0)</f>
        <v/>
      </c>
      <c r="JB28" s="18">
        <f>IF(259&gt;=DeliverStart,ExpRMPerUnit*TotalUnits/12*JB$8*JB$11,0)</f>
        <v/>
      </c>
      <c r="JC28" s="18">
        <f>IF(260&gt;=DeliverStart,ExpRMPerUnit*TotalUnits/12*JC$8*JC$11,0)</f>
        <v/>
      </c>
      <c r="JD28" s="18">
        <f>IF(261&gt;=DeliverStart,ExpRMPerUnit*TotalUnits/12*JD$8*JD$11,0)</f>
        <v/>
      </c>
      <c r="JE28" s="18">
        <f>IF(262&gt;=DeliverStart,ExpRMPerUnit*TotalUnits/12*JE$8*JE$11,0)</f>
        <v/>
      </c>
      <c r="JF28" s="18">
        <f>IF(263&gt;=DeliverStart,ExpRMPerUnit*TotalUnits/12*JF$8*JF$11,0)</f>
        <v/>
      </c>
      <c r="JG28" s="18">
        <f>IF(264&gt;=DeliverStart,ExpRMPerUnit*TotalUnits/12*JG$8*JG$11,0)</f>
        <v/>
      </c>
      <c r="JH28" s="18">
        <f>IF(265&gt;=DeliverStart,ExpRMPerUnit*TotalUnits/12*JH$8*JH$11,0)</f>
        <v/>
      </c>
      <c r="JI28" s="18">
        <f>IF(266&gt;=DeliverStart,ExpRMPerUnit*TotalUnits/12*JI$8*JI$11,0)</f>
        <v/>
      </c>
      <c r="JJ28" s="18">
        <f>IF(267&gt;=DeliverStart,ExpRMPerUnit*TotalUnits/12*JJ$8*JJ$11,0)</f>
        <v/>
      </c>
      <c r="JK28" s="18">
        <f>IF(268&gt;=DeliverStart,ExpRMPerUnit*TotalUnits/12*JK$8*JK$11,0)</f>
        <v/>
      </c>
      <c r="JL28" s="18">
        <f>IF(269&gt;=DeliverStart,ExpRMPerUnit*TotalUnits/12*JL$8*JL$11,0)</f>
        <v/>
      </c>
      <c r="JM28" s="18">
        <f>IF(270&gt;=DeliverStart,ExpRMPerUnit*TotalUnits/12*JM$8*JM$11,0)</f>
        <v/>
      </c>
      <c r="JN28" s="18">
        <f>IF(271&gt;=DeliverStart,ExpRMPerUnit*TotalUnits/12*JN$8*JN$11,0)</f>
        <v/>
      </c>
      <c r="JO28" s="18">
        <f>IF(272&gt;=DeliverStart,ExpRMPerUnit*TotalUnits/12*JO$8*JO$11,0)</f>
        <v/>
      </c>
      <c r="JP28" s="18">
        <f>IF(273&gt;=DeliverStart,ExpRMPerUnit*TotalUnits/12*JP$8*JP$11,0)</f>
        <v/>
      </c>
      <c r="JQ28" s="18">
        <f>IF(274&gt;=DeliverStart,ExpRMPerUnit*TotalUnits/12*JQ$8*JQ$11,0)</f>
        <v/>
      </c>
      <c r="JR28" s="18">
        <f>IF(275&gt;=DeliverStart,ExpRMPerUnit*TotalUnits/12*JR$8*JR$11,0)</f>
        <v/>
      </c>
      <c r="JS28" s="18">
        <f>IF(276&gt;=DeliverStart,ExpRMPerUnit*TotalUnits/12*JS$8*JS$11,0)</f>
        <v/>
      </c>
      <c r="JT28" s="18">
        <f>IF(277&gt;=DeliverStart,ExpRMPerUnit*TotalUnits/12*JT$8*JT$11,0)</f>
        <v/>
      </c>
      <c r="JU28" s="18">
        <f>IF(278&gt;=DeliverStart,ExpRMPerUnit*TotalUnits/12*JU$8*JU$11,0)</f>
        <v/>
      </c>
      <c r="JV28" s="18">
        <f>IF(279&gt;=DeliverStart,ExpRMPerUnit*TotalUnits/12*JV$8*JV$11,0)</f>
        <v/>
      </c>
      <c r="JW28" s="18">
        <f>IF(280&gt;=DeliverStart,ExpRMPerUnit*TotalUnits/12*JW$8*JW$11,0)</f>
        <v/>
      </c>
      <c r="JX28" s="18">
        <f>IF(281&gt;=DeliverStart,ExpRMPerUnit*TotalUnits/12*JX$8*JX$11,0)</f>
        <v/>
      </c>
      <c r="JY28" s="18">
        <f>IF(282&gt;=DeliverStart,ExpRMPerUnit*TotalUnits/12*JY$8*JY$11,0)</f>
        <v/>
      </c>
      <c r="JZ28" s="18">
        <f>IF(283&gt;=DeliverStart,ExpRMPerUnit*TotalUnits/12*JZ$8*JZ$11,0)</f>
        <v/>
      </c>
      <c r="KA28" s="18">
        <f>IF(284&gt;=DeliverStart,ExpRMPerUnit*TotalUnits/12*KA$8*KA$11,0)</f>
        <v/>
      </c>
      <c r="KB28" s="18">
        <f>IF(285&gt;=DeliverStart,ExpRMPerUnit*TotalUnits/12*KB$8*KB$11,0)</f>
        <v/>
      </c>
      <c r="KC28" s="18">
        <f>IF(286&gt;=DeliverStart,ExpRMPerUnit*TotalUnits/12*KC$8*KC$11,0)</f>
        <v/>
      </c>
      <c r="KD28" s="18">
        <f>IF(287&gt;=DeliverStart,ExpRMPerUnit*TotalUnits/12*KD$8*KD$11,0)</f>
        <v/>
      </c>
      <c r="KE28" s="18">
        <f>IF(288&gt;=DeliverStart,ExpRMPerUnit*TotalUnits/12*KE$8*KE$11,0)</f>
        <v/>
      </c>
      <c r="KF28" s="18">
        <f>IF(289&gt;=DeliverStart,ExpRMPerUnit*TotalUnits/12*KF$8*KF$11,0)</f>
        <v/>
      </c>
      <c r="KG28" s="18">
        <f>IF(290&gt;=DeliverStart,ExpRMPerUnit*TotalUnits/12*KG$8*KG$11,0)</f>
        <v/>
      </c>
      <c r="KH28" s="18">
        <f>IF(291&gt;=DeliverStart,ExpRMPerUnit*TotalUnits/12*KH$8*KH$11,0)</f>
        <v/>
      </c>
      <c r="KI28" s="18">
        <f>IF(292&gt;=DeliverStart,ExpRMPerUnit*TotalUnits/12*KI$8*KI$11,0)</f>
        <v/>
      </c>
      <c r="KJ28" s="18">
        <f>IF(293&gt;=DeliverStart,ExpRMPerUnit*TotalUnits/12*KJ$8*KJ$11,0)</f>
        <v/>
      </c>
      <c r="KK28" s="18">
        <f>IF(294&gt;=DeliverStart,ExpRMPerUnit*TotalUnits/12*KK$8*KK$11,0)</f>
        <v/>
      </c>
      <c r="KL28" s="18">
        <f>IF(295&gt;=DeliverStart,ExpRMPerUnit*TotalUnits/12*KL$8*KL$11,0)</f>
        <v/>
      </c>
      <c r="KM28" s="18">
        <f>IF(296&gt;=DeliverStart,ExpRMPerUnit*TotalUnits/12*KM$8*KM$11,0)</f>
        <v/>
      </c>
      <c r="KN28" s="18">
        <f>IF(297&gt;=DeliverStart,ExpRMPerUnit*TotalUnits/12*KN$8*KN$11,0)</f>
        <v/>
      </c>
      <c r="KO28" s="18">
        <f>IF(298&gt;=DeliverStart,ExpRMPerUnit*TotalUnits/12*KO$8*KO$11,0)</f>
        <v/>
      </c>
      <c r="KP28" s="18">
        <f>IF(299&gt;=DeliverStart,ExpRMPerUnit*TotalUnits/12*KP$8*KP$11,0)</f>
        <v/>
      </c>
      <c r="KQ28" s="18">
        <f>IF(300&gt;=DeliverStart,ExpRMPerUnit*TotalUnits/12*KQ$8*KQ$11,0)</f>
        <v/>
      </c>
      <c r="KR28" s="18">
        <f>IF(301&gt;=DeliverStart,ExpRMPerUnit*TotalUnits/12*KR$8*KR$11,0)</f>
        <v/>
      </c>
      <c r="KS28" s="18">
        <f>IF(302&gt;=DeliverStart,ExpRMPerUnit*TotalUnits/12*KS$8*KS$11,0)</f>
        <v/>
      </c>
      <c r="KT28" s="18">
        <f>IF(303&gt;=DeliverStart,ExpRMPerUnit*TotalUnits/12*KT$8*KT$11,0)</f>
        <v/>
      </c>
      <c r="KU28" s="18">
        <f>IF(304&gt;=DeliverStart,ExpRMPerUnit*TotalUnits/12*KU$8*KU$11,0)</f>
        <v/>
      </c>
      <c r="KV28" s="18">
        <f>IF(305&gt;=DeliverStart,ExpRMPerUnit*TotalUnits/12*KV$8*KV$11,0)</f>
        <v/>
      </c>
      <c r="KW28" s="18">
        <f>IF(306&gt;=DeliverStart,ExpRMPerUnit*TotalUnits/12*KW$8*KW$11,0)</f>
        <v/>
      </c>
      <c r="KX28" s="18">
        <f>IF(307&gt;=DeliverStart,ExpRMPerUnit*TotalUnits/12*KX$8*KX$11,0)</f>
        <v/>
      </c>
      <c r="KY28" s="18">
        <f>IF(308&gt;=DeliverStart,ExpRMPerUnit*TotalUnits/12*KY$8*KY$11,0)</f>
        <v/>
      </c>
      <c r="KZ28" s="18">
        <f>IF(309&gt;=DeliverStart,ExpRMPerUnit*TotalUnits/12*KZ$8*KZ$11,0)</f>
        <v/>
      </c>
      <c r="LA28" s="18">
        <f>IF(310&gt;=DeliverStart,ExpRMPerUnit*TotalUnits/12*LA$8*LA$11,0)</f>
        <v/>
      </c>
      <c r="LB28" s="18">
        <f>IF(311&gt;=DeliverStart,ExpRMPerUnit*TotalUnits/12*LB$8*LB$11,0)</f>
        <v/>
      </c>
      <c r="LC28" s="18">
        <f>IF(312&gt;=DeliverStart,ExpRMPerUnit*TotalUnits/12*LC$8*LC$11,0)</f>
        <v/>
      </c>
      <c r="LD28" s="18">
        <f>IF(313&gt;=DeliverStart,ExpRMPerUnit*TotalUnits/12*LD$8*LD$11,0)</f>
        <v/>
      </c>
      <c r="LE28" s="18">
        <f>IF(314&gt;=DeliverStart,ExpRMPerUnit*TotalUnits/12*LE$8*LE$11,0)</f>
        <v/>
      </c>
      <c r="LF28" s="18">
        <f>IF(315&gt;=DeliverStart,ExpRMPerUnit*TotalUnits/12*LF$8*LF$11,0)</f>
        <v/>
      </c>
      <c r="LG28" s="18">
        <f>IF(316&gt;=DeliverStart,ExpRMPerUnit*TotalUnits/12*LG$8*LG$11,0)</f>
        <v/>
      </c>
      <c r="LH28" s="18">
        <f>IF(317&gt;=DeliverStart,ExpRMPerUnit*TotalUnits/12*LH$8*LH$11,0)</f>
        <v/>
      </c>
      <c r="LI28" s="18">
        <f>IF(318&gt;=DeliverStart,ExpRMPerUnit*TotalUnits/12*LI$8*LI$11,0)</f>
        <v/>
      </c>
      <c r="LJ28" s="18">
        <f>IF(319&gt;=DeliverStart,ExpRMPerUnit*TotalUnits/12*LJ$8*LJ$11,0)</f>
        <v/>
      </c>
      <c r="LK28" s="18">
        <f>IF(320&gt;=DeliverStart,ExpRMPerUnit*TotalUnits/12*LK$8*LK$11,0)</f>
        <v/>
      </c>
      <c r="LL28" s="18">
        <f>IF(321&gt;=DeliverStart,ExpRMPerUnit*TotalUnits/12*LL$8*LL$11,0)</f>
        <v/>
      </c>
      <c r="LM28" s="18">
        <f>IF(322&gt;=DeliverStart,ExpRMPerUnit*TotalUnits/12*LM$8*LM$11,0)</f>
        <v/>
      </c>
      <c r="LN28" s="18">
        <f>IF(323&gt;=DeliverStart,ExpRMPerUnit*TotalUnits/12*LN$8*LN$11,0)</f>
        <v/>
      </c>
      <c r="LO28" s="18">
        <f>IF(324&gt;=DeliverStart,ExpRMPerUnit*TotalUnits/12*LO$8*LO$11,0)</f>
        <v/>
      </c>
      <c r="LP28" s="18">
        <f>IF(325&gt;=DeliverStart,ExpRMPerUnit*TotalUnits/12*LP$8*LP$11,0)</f>
        <v/>
      </c>
      <c r="LQ28" s="18">
        <f>IF(326&gt;=DeliverStart,ExpRMPerUnit*TotalUnits/12*LQ$8*LQ$11,0)</f>
        <v/>
      </c>
      <c r="LR28" s="18">
        <f>IF(327&gt;=DeliverStart,ExpRMPerUnit*TotalUnits/12*LR$8*LR$11,0)</f>
        <v/>
      </c>
      <c r="LS28" s="18">
        <f>IF(328&gt;=DeliverStart,ExpRMPerUnit*TotalUnits/12*LS$8*LS$11,0)</f>
        <v/>
      </c>
      <c r="LT28" s="18">
        <f>IF(329&gt;=DeliverStart,ExpRMPerUnit*TotalUnits/12*LT$8*LT$11,0)</f>
        <v/>
      </c>
      <c r="LU28" s="18">
        <f>IF(330&gt;=DeliverStart,ExpRMPerUnit*TotalUnits/12*LU$8*LU$11,0)</f>
        <v/>
      </c>
      <c r="LV28" s="18">
        <f>IF(331&gt;=DeliverStart,ExpRMPerUnit*TotalUnits/12*LV$8*LV$11,0)</f>
        <v/>
      </c>
      <c r="LW28" s="18">
        <f>IF(332&gt;=DeliverStart,ExpRMPerUnit*TotalUnits/12*LW$8*LW$11,0)</f>
        <v/>
      </c>
      <c r="LX28" s="18">
        <f>IF(333&gt;=DeliverStart,ExpRMPerUnit*TotalUnits/12*LX$8*LX$11,0)</f>
        <v/>
      </c>
      <c r="LY28" s="18">
        <f>IF(334&gt;=DeliverStart,ExpRMPerUnit*TotalUnits/12*LY$8*LY$11,0)</f>
        <v/>
      </c>
      <c r="LZ28" s="18">
        <f>IF(335&gt;=DeliverStart,ExpRMPerUnit*TotalUnits/12*LZ$8*LZ$11,0)</f>
        <v/>
      </c>
      <c r="MA28" s="18">
        <f>IF(336&gt;=DeliverStart,ExpRMPerUnit*TotalUnits/12*MA$8*MA$11,0)</f>
        <v/>
      </c>
      <c r="MB28" s="18">
        <f>IF(337&gt;=DeliverStart,ExpRMPerUnit*TotalUnits/12*MB$8*MB$11,0)</f>
        <v/>
      </c>
      <c r="MC28" s="18">
        <f>IF(338&gt;=DeliverStart,ExpRMPerUnit*TotalUnits/12*MC$8*MC$11,0)</f>
        <v/>
      </c>
      <c r="MD28" s="18">
        <f>IF(339&gt;=DeliverStart,ExpRMPerUnit*TotalUnits/12*MD$8*MD$11,0)</f>
        <v/>
      </c>
      <c r="ME28" s="18">
        <f>IF(340&gt;=DeliverStart,ExpRMPerUnit*TotalUnits/12*ME$8*ME$11,0)</f>
        <v/>
      </c>
      <c r="MF28" s="18">
        <f>IF(341&gt;=DeliverStart,ExpRMPerUnit*TotalUnits/12*MF$8*MF$11,0)</f>
        <v/>
      </c>
      <c r="MG28" s="18">
        <f>IF(342&gt;=DeliverStart,ExpRMPerUnit*TotalUnits/12*MG$8*MG$11,0)</f>
        <v/>
      </c>
      <c r="MH28" s="18">
        <f>IF(343&gt;=DeliverStart,ExpRMPerUnit*TotalUnits/12*MH$8*MH$11,0)</f>
        <v/>
      </c>
      <c r="MI28" s="18">
        <f>IF(344&gt;=DeliverStart,ExpRMPerUnit*TotalUnits/12*MI$8*MI$11,0)</f>
        <v/>
      </c>
      <c r="MJ28" s="18">
        <f>IF(345&gt;=DeliverStart,ExpRMPerUnit*TotalUnits/12*MJ$8*MJ$11,0)</f>
        <v/>
      </c>
      <c r="MK28" s="18">
        <f>IF(346&gt;=DeliverStart,ExpRMPerUnit*TotalUnits/12*MK$8*MK$11,0)</f>
        <v/>
      </c>
      <c r="ML28" s="18">
        <f>IF(347&gt;=DeliverStart,ExpRMPerUnit*TotalUnits/12*ML$8*ML$11,0)</f>
        <v/>
      </c>
      <c r="MM28" s="18">
        <f>IF(348&gt;=DeliverStart,ExpRMPerUnit*TotalUnits/12*MM$8*MM$11,0)</f>
        <v/>
      </c>
      <c r="MN28" s="18">
        <f>IF(349&gt;=DeliverStart,ExpRMPerUnit*TotalUnits/12*MN$8*MN$11,0)</f>
        <v/>
      </c>
      <c r="MO28" s="18">
        <f>IF(350&gt;=DeliverStart,ExpRMPerUnit*TotalUnits/12*MO$8*MO$11,0)</f>
        <v/>
      </c>
      <c r="MP28" s="18">
        <f>IF(351&gt;=DeliverStart,ExpRMPerUnit*TotalUnits/12*MP$8*MP$11,0)</f>
        <v/>
      </c>
      <c r="MQ28" s="18">
        <f>IF(352&gt;=DeliverStart,ExpRMPerUnit*TotalUnits/12*MQ$8*MQ$11,0)</f>
        <v/>
      </c>
      <c r="MR28" s="18">
        <f>IF(353&gt;=DeliverStart,ExpRMPerUnit*TotalUnits/12*MR$8*MR$11,0)</f>
        <v/>
      </c>
      <c r="MS28" s="18">
        <f>IF(354&gt;=DeliverStart,ExpRMPerUnit*TotalUnits/12*MS$8*MS$11,0)</f>
        <v/>
      </c>
      <c r="MT28" s="18">
        <f>IF(355&gt;=DeliverStart,ExpRMPerUnit*TotalUnits/12*MT$8*MT$11,0)</f>
        <v/>
      </c>
      <c r="MU28" s="18">
        <f>IF(356&gt;=DeliverStart,ExpRMPerUnit*TotalUnits/12*MU$8*MU$11,0)</f>
        <v/>
      </c>
      <c r="MV28" s="18">
        <f>IF(357&gt;=DeliverStart,ExpRMPerUnit*TotalUnits/12*MV$8*MV$11,0)</f>
        <v/>
      </c>
      <c r="MW28" s="18">
        <f>IF(358&gt;=DeliverStart,ExpRMPerUnit*TotalUnits/12*MW$8*MW$11,0)</f>
        <v/>
      </c>
      <c r="MX28" s="18">
        <f>IF(359&gt;=DeliverStart,ExpRMPerUnit*TotalUnits/12*MX$8*MX$11,0)</f>
        <v/>
      </c>
      <c r="MY28" s="18">
        <f>IF(360&gt;=DeliverStart,ExpRMPerUnit*TotalUnits/12*MY$8*MY$11,0)</f>
        <v/>
      </c>
      <c r="MZ28" s="18">
        <f>IF(361&gt;=DeliverStart,ExpRMPerUnit*TotalUnits/12*MZ$8*MZ$11,0)</f>
        <v/>
      </c>
      <c r="NA28" s="18">
        <f>IF(362&gt;=DeliverStart,ExpRMPerUnit*TotalUnits/12*NA$8*NA$11,0)</f>
        <v/>
      </c>
      <c r="NB28" s="18">
        <f>IF(363&gt;=DeliverStart,ExpRMPerUnit*TotalUnits/12*NB$8*NB$11,0)</f>
        <v/>
      </c>
      <c r="NC28" s="18">
        <f>IF(364&gt;=DeliverStart,ExpRMPerUnit*TotalUnits/12*NC$8*NC$11,0)</f>
        <v/>
      </c>
      <c r="ND28" s="18">
        <f>IF(365&gt;=DeliverStart,ExpRMPerUnit*TotalUnits/12*ND$8*ND$11,0)</f>
        <v/>
      </c>
      <c r="NE28" s="18">
        <f>IF(366&gt;=DeliverStart,ExpRMPerUnit*TotalUnits/12*NE$8*NE$11,0)</f>
        <v/>
      </c>
      <c r="NF28" s="18">
        <f>IF(367&gt;=DeliverStart,ExpRMPerUnit*TotalUnits/12*NF$8*NF$11,0)</f>
        <v/>
      </c>
      <c r="NG28" s="18">
        <f>IF(368&gt;=DeliverStart,ExpRMPerUnit*TotalUnits/12*NG$8*NG$11,0)</f>
        <v/>
      </c>
      <c r="NH28" s="18">
        <f>IF(369&gt;=DeliverStart,ExpRMPerUnit*TotalUnits/12*NH$8*NH$11,0)</f>
        <v/>
      </c>
      <c r="NI28" s="18">
        <f>IF(370&gt;=DeliverStart,ExpRMPerUnit*TotalUnits/12*NI$8*NI$11,0)</f>
        <v/>
      </c>
      <c r="NJ28" s="18">
        <f>IF(371&gt;=DeliverStart,ExpRMPerUnit*TotalUnits/12*NJ$8*NJ$11,0)</f>
        <v/>
      </c>
      <c r="NK28" s="18">
        <f>IF(372&gt;=DeliverStart,ExpRMPerUnit*TotalUnits/12*NK$8*NK$11,0)</f>
        <v/>
      </c>
    </row>
    <row r="29">
      <c r="A29" s="5" t="inlineStr">
        <is>
          <t>Turnover (variable)</t>
        </is>
      </c>
      <c r="C29" s="41">
        <f>SUM(D29:NK29)</f>
        <v/>
      </c>
      <c r="D29" s="18">
        <f>IF(1&gt;=DeliverStart,ExpTurnoverPerUnit*TotalUnits/12*D$8*D$11,0)</f>
        <v/>
      </c>
      <c r="E29" s="18">
        <f>IF(2&gt;=DeliverStart,ExpTurnoverPerUnit*TotalUnits/12*E$8*E$11,0)</f>
        <v/>
      </c>
      <c r="F29" s="18">
        <f>IF(3&gt;=DeliverStart,ExpTurnoverPerUnit*TotalUnits/12*F$8*F$11,0)</f>
        <v/>
      </c>
      <c r="G29" s="18">
        <f>IF(4&gt;=DeliverStart,ExpTurnoverPerUnit*TotalUnits/12*G$8*G$11,0)</f>
        <v/>
      </c>
      <c r="H29" s="18">
        <f>IF(5&gt;=DeliverStart,ExpTurnoverPerUnit*TotalUnits/12*H$8*H$11,0)</f>
        <v/>
      </c>
      <c r="I29" s="18">
        <f>IF(6&gt;=DeliverStart,ExpTurnoverPerUnit*TotalUnits/12*I$8*I$11,0)</f>
        <v/>
      </c>
      <c r="J29" s="18">
        <f>IF(7&gt;=DeliverStart,ExpTurnoverPerUnit*TotalUnits/12*J$8*J$11,0)</f>
        <v/>
      </c>
      <c r="K29" s="18">
        <f>IF(8&gt;=DeliverStart,ExpTurnoverPerUnit*TotalUnits/12*K$8*K$11,0)</f>
        <v/>
      </c>
      <c r="L29" s="18">
        <f>IF(9&gt;=DeliverStart,ExpTurnoverPerUnit*TotalUnits/12*L$8*L$11,0)</f>
        <v/>
      </c>
      <c r="M29" s="18">
        <f>IF(10&gt;=DeliverStart,ExpTurnoverPerUnit*TotalUnits/12*M$8*M$11,0)</f>
        <v/>
      </c>
      <c r="N29" s="18">
        <f>IF(11&gt;=DeliverStart,ExpTurnoverPerUnit*TotalUnits/12*N$8*N$11,0)</f>
        <v/>
      </c>
      <c r="O29" s="18">
        <f>IF(12&gt;=DeliverStart,ExpTurnoverPerUnit*TotalUnits/12*O$8*O$11,0)</f>
        <v/>
      </c>
      <c r="P29" s="18">
        <f>IF(13&gt;=DeliverStart,ExpTurnoverPerUnit*TotalUnits/12*P$8*P$11,0)</f>
        <v/>
      </c>
      <c r="Q29" s="18">
        <f>IF(14&gt;=DeliverStart,ExpTurnoverPerUnit*TotalUnits/12*Q$8*Q$11,0)</f>
        <v/>
      </c>
      <c r="R29" s="18">
        <f>IF(15&gt;=DeliverStart,ExpTurnoverPerUnit*TotalUnits/12*R$8*R$11,0)</f>
        <v/>
      </c>
      <c r="S29" s="18">
        <f>IF(16&gt;=DeliverStart,ExpTurnoverPerUnit*TotalUnits/12*S$8*S$11,0)</f>
        <v/>
      </c>
      <c r="T29" s="18">
        <f>IF(17&gt;=DeliverStart,ExpTurnoverPerUnit*TotalUnits/12*T$8*T$11,0)</f>
        <v/>
      </c>
      <c r="U29" s="18">
        <f>IF(18&gt;=DeliverStart,ExpTurnoverPerUnit*TotalUnits/12*U$8*U$11,0)</f>
        <v/>
      </c>
      <c r="V29" s="18">
        <f>IF(19&gt;=DeliverStart,ExpTurnoverPerUnit*TotalUnits/12*V$8*V$11,0)</f>
        <v/>
      </c>
      <c r="W29" s="18">
        <f>IF(20&gt;=DeliverStart,ExpTurnoverPerUnit*TotalUnits/12*W$8*W$11,0)</f>
        <v/>
      </c>
      <c r="X29" s="18">
        <f>IF(21&gt;=DeliverStart,ExpTurnoverPerUnit*TotalUnits/12*X$8*X$11,0)</f>
        <v/>
      </c>
      <c r="Y29" s="18">
        <f>IF(22&gt;=DeliverStart,ExpTurnoverPerUnit*TotalUnits/12*Y$8*Y$11,0)</f>
        <v/>
      </c>
      <c r="Z29" s="18">
        <f>IF(23&gt;=DeliverStart,ExpTurnoverPerUnit*TotalUnits/12*Z$8*Z$11,0)</f>
        <v/>
      </c>
      <c r="AA29" s="18">
        <f>IF(24&gt;=DeliverStart,ExpTurnoverPerUnit*TotalUnits/12*AA$8*AA$11,0)</f>
        <v/>
      </c>
      <c r="AB29" s="18">
        <f>IF(25&gt;=DeliverStart,ExpTurnoverPerUnit*TotalUnits/12*AB$8*AB$11,0)</f>
        <v/>
      </c>
      <c r="AC29" s="18">
        <f>IF(26&gt;=DeliverStart,ExpTurnoverPerUnit*TotalUnits/12*AC$8*AC$11,0)</f>
        <v/>
      </c>
      <c r="AD29" s="18">
        <f>IF(27&gt;=DeliverStart,ExpTurnoverPerUnit*TotalUnits/12*AD$8*AD$11,0)</f>
        <v/>
      </c>
      <c r="AE29" s="18">
        <f>IF(28&gt;=DeliverStart,ExpTurnoverPerUnit*TotalUnits/12*AE$8*AE$11,0)</f>
        <v/>
      </c>
      <c r="AF29" s="18">
        <f>IF(29&gt;=DeliverStart,ExpTurnoverPerUnit*TotalUnits/12*AF$8*AF$11,0)</f>
        <v/>
      </c>
      <c r="AG29" s="18">
        <f>IF(30&gt;=DeliverStart,ExpTurnoverPerUnit*TotalUnits/12*AG$8*AG$11,0)</f>
        <v/>
      </c>
      <c r="AH29" s="18">
        <f>IF(31&gt;=DeliverStart,ExpTurnoverPerUnit*TotalUnits/12*AH$8*AH$11,0)</f>
        <v/>
      </c>
      <c r="AI29" s="18">
        <f>IF(32&gt;=DeliverStart,ExpTurnoverPerUnit*TotalUnits/12*AI$8*AI$11,0)</f>
        <v/>
      </c>
      <c r="AJ29" s="18">
        <f>IF(33&gt;=DeliverStart,ExpTurnoverPerUnit*TotalUnits/12*AJ$8*AJ$11,0)</f>
        <v/>
      </c>
      <c r="AK29" s="18">
        <f>IF(34&gt;=DeliverStart,ExpTurnoverPerUnit*TotalUnits/12*AK$8*AK$11,0)</f>
        <v/>
      </c>
      <c r="AL29" s="18">
        <f>IF(35&gt;=DeliverStart,ExpTurnoverPerUnit*TotalUnits/12*AL$8*AL$11,0)</f>
        <v/>
      </c>
      <c r="AM29" s="18">
        <f>IF(36&gt;=DeliverStart,ExpTurnoverPerUnit*TotalUnits/12*AM$8*AM$11,0)</f>
        <v/>
      </c>
      <c r="AN29" s="18">
        <f>IF(37&gt;=DeliverStart,ExpTurnoverPerUnit*TotalUnits/12*AN$8*AN$11,0)</f>
        <v/>
      </c>
      <c r="AO29" s="18">
        <f>IF(38&gt;=DeliverStart,ExpTurnoverPerUnit*TotalUnits/12*AO$8*AO$11,0)</f>
        <v/>
      </c>
      <c r="AP29" s="18">
        <f>IF(39&gt;=DeliverStart,ExpTurnoverPerUnit*TotalUnits/12*AP$8*AP$11,0)</f>
        <v/>
      </c>
      <c r="AQ29" s="18">
        <f>IF(40&gt;=DeliverStart,ExpTurnoverPerUnit*TotalUnits/12*AQ$8*AQ$11,0)</f>
        <v/>
      </c>
      <c r="AR29" s="18">
        <f>IF(41&gt;=DeliverStart,ExpTurnoverPerUnit*TotalUnits/12*AR$8*AR$11,0)</f>
        <v/>
      </c>
      <c r="AS29" s="18">
        <f>IF(42&gt;=DeliverStart,ExpTurnoverPerUnit*TotalUnits/12*AS$8*AS$11,0)</f>
        <v/>
      </c>
      <c r="AT29" s="18">
        <f>IF(43&gt;=DeliverStart,ExpTurnoverPerUnit*TotalUnits/12*AT$8*AT$11,0)</f>
        <v/>
      </c>
      <c r="AU29" s="18">
        <f>IF(44&gt;=DeliverStart,ExpTurnoverPerUnit*TotalUnits/12*AU$8*AU$11,0)</f>
        <v/>
      </c>
      <c r="AV29" s="18">
        <f>IF(45&gt;=DeliverStart,ExpTurnoverPerUnit*TotalUnits/12*AV$8*AV$11,0)</f>
        <v/>
      </c>
      <c r="AW29" s="18">
        <f>IF(46&gt;=DeliverStart,ExpTurnoverPerUnit*TotalUnits/12*AW$8*AW$11,0)</f>
        <v/>
      </c>
      <c r="AX29" s="18">
        <f>IF(47&gt;=DeliverStart,ExpTurnoverPerUnit*TotalUnits/12*AX$8*AX$11,0)</f>
        <v/>
      </c>
      <c r="AY29" s="18">
        <f>IF(48&gt;=DeliverStart,ExpTurnoverPerUnit*TotalUnits/12*AY$8*AY$11,0)</f>
        <v/>
      </c>
      <c r="AZ29" s="18">
        <f>IF(49&gt;=DeliverStart,ExpTurnoverPerUnit*TotalUnits/12*AZ$8*AZ$11,0)</f>
        <v/>
      </c>
      <c r="BA29" s="18">
        <f>IF(50&gt;=DeliverStart,ExpTurnoverPerUnit*TotalUnits/12*BA$8*BA$11,0)</f>
        <v/>
      </c>
      <c r="BB29" s="18">
        <f>IF(51&gt;=DeliverStart,ExpTurnoverPerUnit*TotalUnits/12*BB$8*BB$11,0)</f>
        <v/>
      </c>
      <c r="BC29" s="18">
        <f>IF(52&gt;=DeliverStart,ExpTurnoverPerUnit*TotalUnits/12*BC$8*BC$11,0)</f>
        <v/>
      </c>
      <c r="BD29" s="18">
        <f>IF(53&gt;=DeliverStart,ExpTurnoverPerUnit*TotalUnits/12*BD$8*BD$11,0)</f>
        <v/>
      </c>
      <c r="BE29" s="18">
        <f>IF(54&gt;=DeliverStart,ExpTurnoverPerUnit*TotalUnits/12*BE$8*BE$11,0)</f>
        <v/>
      </c>
      <c r="BF29" s="18">
        <f>IF(55&gt;=DeliverStart,ExpTurnoverPerUnit*TotalUnits/12*BF$8*BF$11,0)</f>
        <v/>
      </c>
      <c r="BG29" s="18">
        <f>IF(56&gt;=DeliverStart,ExpTurnoverPerUnit*TotalUnits/12*BG$8*BG$11,0)</f>
        <v/>
      </c>
      <c r="BH29" s="18">
        <f>IF(57&gt;=DeliverStart,ExpTurnoverPerUnit*TotalUnits/12*BH$8*BH$11,0)</f>
        <v/>
      </c>
      <c r="BI29" s="18">
        <f>IF(58&gt;=DeliverStart,ExpTurnoverPerUnit*TotalUnits/12*BI$8*BI$11,0)</f>
        <v/>
      </c>
      <c r="BJ29" s="18">
        <f>IF(59&gt;=DeliverStart,ExpTurnoverPerUnit*TotalUnits/12*BJ$8*BJ$11,0)</f>
        <v/>
      </c>
      <c r="BK29" s="18">
        <f>IF(60&gt;=DeliverStart,ExpTurnoverPerUnit*TotalUnits/12*BK$8*BK$11,0)</f>
        <v/>
      </c>
      <c r="BL29" s="18">
        <f>IF(61&gt;=DeliverStart,ExpTurnoverPerUnit*TotalUnits/12*BL$8*BL$11,0)</f>
        <v/>
      </c>
      <c r="BM29" s="18">
        <f>IF(62&gt;=DeliverStart,ExpTurnoverPerUnit*TotalUnits/12*BM$8*BM$11,0)</f>
        <v/>
      </c>
      <c r="BN29" s="18">
        <f>IF(63&gt;=DeliverStart,ExpTurnoverPerUnit*TotalUnits/12*BN$8*BN$11,0)</f>
        <v/>
      </c>
      <c r="BO29" s="18">
        <f>IF(64&gt;=DeliverStart,ExpTurnoverPerUnit*TotalUnits/12*BO$8*BO$11,0)</f>
        <v/>
      </c>
      <c r="BP29" s="18">
        <f>IF(65&gt;=DeliverStart,ExpTurnoverPerUnit*TotalUnits/12*BP$8*BP$11,0)</f>
        <v/>
      </c>
      <c r="BQ29" s="18">
        <f>IF(66&gt;=DeliverStart,ExpTurnoverPerUnit*TotalUnits/12*BQ$8*BQ$11,0)</f>
        <v/>
      </c>
      <c r="BR29" s="18">
        <f>IF(67&gt;=DeliverStart,ExpTurnoverPerUnit*TotalUnits/12*BR$8*BR$11,0)</f>
        <v/>
      </c>
      <c r="BS29" s="18">
        <f>IF(68&gt;=DeliverStart,ExpTurnoverPerUnit*TotalUnits/12*BS$8*BS$11,0)</f>
        <v/>
      </c>
      <c r="BT29" s="18">
        <f>IF(69&gt;=DeliverStart,ExpTurnoverPerUnit*TotalUnits/12*BT$8*BT$11,0)</f>
        <v/>
      </c>
      <c r="BU29" s="18">
        <f>IF(70&gt;=DeliverStart,ExpTurnoverPerUnit*TotalUnits/12*BU$8*BU$11,0)</f>
        <v/>
      </c>
      <c r="BV29" s="18">
        <f>IF(71&gt;=DeliverStart,ExpTurnoverPerUnit*TotalUnits/12*BV$8*BV$11,0)</f>
        <v/>
      </c>
      <c r="BW29" s="18">
        <f>IF(72&gt;=DeliverStart,ExpTurnoverPerUnit*TotalUnits/12*BW$8*BW$11,0)</f>
        <v/>
      </c>
      <c r="BX29" s="18">
        <f>IF(73&gt;=DeliverStart,ExpTurnoverPerUnit*TotalUnits/12*BX$8*BX$11,0)</f>
        <v/>
      </c>
      <c r="BY29" s="18">
        <f>IF(74&gt;=DeliverStart,ExpTurnoverPerUnit*TotalUnits/12*BY$8*BY$11,0)</f>
        <v/>
      </c>
      <c r="BZ29" s="18">
        <f>IF(75&gt;=DeliverStart,ExpTurnoverPerUnit*TotalUnits/12*BZ$8*BZ$11,0)</f>
        <v/>
      </c>
      <c r="CA29" s="18">
        <f>IF(76&gt;=DeliverStart,ExpTurnoverPerUnit*TotalUnits/12*CA$8*CA$11,0)</f>
        <v/>
      </c>
      <c r="CB29" s="18">
        <f>IF(77&gt;=DeliverStart,ExpTurnoverPerUnit*TotalUnits/12*CB$8*CB$11,0)</f>
        <v/>
      </c>
      <c r="CC29" s="18">
        <f>IF(78&gt;=DeliverStart,ExpTurnoverPerUnit*TotalUnits/12*CC$8*CC$11,0)</f>
        <v/>
      </c>
      <c r="CD29" s="18">
        <f>IF(79&gt;=DeliverStart,ExpTurnoverPerUnit*TotalUnits/12*CD$8*CD$11,0)</f>
        <v/>
      </c>
      <c r="CE29" s="18">
        <f>IF(80&gt;=DeliverStart,ExpTurnoverPerUnit*TotalUnits/12*CE$8*CE$11,0)</f>
        <v/>
      </c>
      <c r="CF29" s="18">
        <f>IF(81&gt;=DeliverStart,ExpTurnoverPerUnit*TotalUnits/12*CF$8*CF$11,0)</f>
        <v/>
      </c>
      <c r="CG29" s="18">
        <f>IF(82&gt;=DeliverStart,ExpTurnoverPerUnit*TotalUnits/12*CG$8*CG$11,0)</f>
        <v/>
      </c>
      <c r="CH29" s="18">
        <f>IF(83&gt;=DeliverStart,ExpTurnoverPerUnit*TotalUnits/12*CH$8*CH$11,0)</f>
        <v/>
      </c>
      <c r="CI29" s="18">
        <f>IF(84&gt;=DeliverStart,ExpTurnoverPerUnit*TotalUnits/12*CI$8*CI$11,0)</f>
        <v/>
      </c>
      <c r="CJ29" s="18">
        <f>IF(85&gt;=DeliverStart,ExpTurnoverPerUnit*TotalUnits/12*CJ$8*CJ$11,0)</f>
        <v/>
      </c>
      <c r="CK29" s="18">
        <f>IF(86&gt;=DeliverStart,ExpTurnoverPerUnit*TotalUnits/12*CK$8*CK$11,0)</f>
        <v/>
      </c>
      <c r="CL29" s="18">
        <f>IF(87&gt;=DeliverStart,ExpTurnoverPerUnit*TotalUnits/12*CL$8*CL$11,0)</f>
        <v/>
      </c>
      <c r="CM29" s="18">
        <f>IF(88&gt;=DeliverStart,ExpTurnoverPerUnit*TotalUnits/12*CM$8*CM$11,0)</f>
        <v/>
      </c>
      <c r="CN29" s="18">
        <f>IF(89&gt;=DeliverStart,ExpTurnoverPerUnit*TotalUnits/12*CN$8*CN$11,0)</f>
        <v/>
      </c>
      <c r="CO29" s="18">
        <f>IF(90&gt;=DeliverStart,ExpTurnoverPerUnit*TotalUnits/12*CO$8*CO$11,0)</f>
        <v/>
      </c>
      <c r="CP29" s="18">
        <f>IF(91&gt;=DeliverStart,ExpTurnoverPerUnit*TotalUnits/12*CP$8*CP$11,0)</f>
        <v/>
      </c>
      <c r="CQ29" s="18">
        <f>IF(92&gt;=DeliverStart,ExpTurnoverPerUnit*TotalUnits/12*CQ$8*CQ$11,0)</f>
        <v/>
      </c>
      <c r="CR29" s="18">
        <f>IF(93&gt;=DeliverStart,ExpTurnoverPerUnit*TotalUnits/12*CR$8*CR$11,0)</f>
        <v/>
      </c>
      <c r="CS29" s="18">
        <f>IF(94&gt;=DeliverStart,ExpTurnoverPerUnit*TotalUnits/12*CS$8*CS$11,0)</f>
        <v/>
      </c>
      <c r="CT29" s="18">
        <f>IF(95&gt;=DeliverStart,ExpTurnoverPerUnit*TotalUnits/12*CT$8*CT$11,0)</f>
        <v/>
      </c>
      <c r="CU29" s="18">
        <f>IF(96&gt;=DeliverStart,ExpTurnoverPerUnit*TotalUnits/12*CU$8*CU$11,0)</f>
        <v/>
      </c>
      <c r="CV29" s="18">
        <f>IF(97&gt;=DeliverStart,ExpTurnoverPerUnit*TotalUnits/12*CV$8*CV$11,0)</f>
        <v/>
      </c>
      <c r="CW29" s="18">
        <f>IF(98&gt;=DeliverStart,ExpTurnoverPerUnit*TotalUnits/12*CW$8*CW$11,0)</f>
        <v/>
      </c>
      <c r="CX29" s="18">
        <f>IF(99&gt;=DeliverStart,ExpTurnoverPerUnit*TotalUnits/12*CX$8*CX$11,0)</f>
        <v/>
      </c>
      <c r="CY29" s="18">
        <f>IF(100&gt;=DeliverStart,ExpTurnoverPerUnit*TotalUnits/12*CY$8*CY$11,0)</f>
        <v/>
      </c>
      <c r="CZ29" s="18">
        <f>IF(101&gt;=DeliverStart,ExpTurnoverPerUnit*TotalUnits/12*CZ$8*CZ$11,0)</f>
        <v/>
      </c>
      <c r="DA29" s="18">
        <f>IF(102&gt;=DeliverStart,ExpTurnoverPerUnit*TotalUnits/12*DA$8*DA$11,0)</f>
        <v/>
      </c>
      <c r="DB29" s="18">
        <f>IF(103&gt;=DeliverStart,ExpTurnoverPerUnit*TotalUnits/12*DB$8*DB$11,0)</f>
        <v/>
      </c>
      <c r="DC29" s="18">
        <f>IF(104&gt;=DeliverStart,ExpTurnoverPerUnit*TotalUnits/12*DC$8*DC$11,0)</f>
        <v/>
      </c>
      <c r="DD29" s="18">
        <f>IF(105&gt;=DeliverStart,ExpTurnoverPerUnit*TotalUnits/12*DD$8*DD$11,0)</f>
        <v/>
      </c>
      <c r="DE29" s="18">
        <f>IF(106&gt;=DeliverStart,ExpTurnoverPerUnit*TotalUnits/12*DE$8*DE$11,0)</f>
        <v/>
      </c>
      <c r="DF29" s="18">
        <f>IF(107&gt;=DeliverStart,ExpTurnoverPerUnit*TotalUnits/12*DF$8*DF$11,0)</f>
        <v/>
      </c>
      <c r="DG29" s="18">
        <f>IF(108&gt;=DeliverStart,ExpTurnoverPerUnit*TotalUnits/12*DG$8*DG$11,0)</f>
        <v/>
      </c>
      <c r="DH29" s="18">
        <f>IF(109&gt;=DeliverStart,ExpTurnoverPerUnit*TotalUnits/12*DH$8*DH$11,0)</f>
        <v/>
      </c>
      <c r="DI29" s="18">
        <f>IF(110&gt;=DeliverStart,ExpTurnoverPerUnit*TotalUnits/12*DI$8*DI$11,0)</f>
        <v/>
      </c>
      <c r="DJ29" s="18">
        <f>IF(111&gt;=DeliverStart,ExpTurnoverPerUnit*TotalUnits/12*DJ$8*DJ$11,0)</f>
        <v/>
      </c>
      <c r="DK29" s="18">
        <f>IF(112&gt;=DeliverStart,ExpTurnoverPerUnit*TotalUnits/12*DK$8*DK$11,0)</f>
        <v/>
      </c>
      <c r="DL29" s="18">
        <f>IF(113&gt;=DeliverStart,ExpTurnoverPerUnit*TotalUnits/12*DL$8*DL$11,0)</f>
        <v/>
      </c>
      <c r="DM29" s="18">
        <f>IF(114&gt;=DeliverStart,ExpTurnoverPerUnit*TotalUnits/12*DM$8*DM$11,0)</f>
        <v/>
      </c>
      <c r="DN29" s="18">
        <f>IF(115&gt;=DeliverStart,ExpTurnoverPerUnit*TotalUnits/12*DN$8*DN$11,0)</f>
        <v/>
      </c>
      <c r="DO29" s="18">
        <f>IF(116&gt;=DeliverStart,ExpTurnoverPerUnit*TotalUnits/12*DO$8*DO$11,0)</f>
        <v/>
      </c>
      <c r="DP29" s="18">
        <f>IF(117&gt;=DeliverStart,ExpTurnoverPerUnit*TotalUnits/12*DP$8*DP$11,0)</f>
        <v/>
      </c>
      <c r="DQ29" s="18">
        <f>IF(118&gt;=DeliverStart,ExpTurnoverPerUnit*TotalUnits/12*DQ$8*DQ$11,0)</f>
        <v/>
      </c>
      <c r="DR29" s="18">
        <f>IF(119&gt;=DeliverStart,ExpTurnoverPerUnit*TotalUnits/12*DR$8*DR$11,0)</f>
        <v/>
      </c>
      <c r="DS29" s="18">
        <f>IF(120&gt;=DeliverStart,ExpTurnoverPerUnit*TotalUnits/12*DS$8*DS$11,0)</f>
        <v/>
      </c>
      <c r="DT29" s="18">
        <f>IF(121&gt;=DeliverStart,ExpTurnoverPerUnit*TotalUnits/12*DT$8*DT$11,0)</f>
        <v/>
      </c>
      <c r="DU29" s="18">
        <f>IF(122&gt;=DeliverStart,ExpTurnoverPerUnit*TotalUnits/12*DU$8*DU$11,0)</f>
        <v/>
      </c>
      <c r="DV29" s="18">
        <f>IF(123&gt;=DeliverStart,ExpTurnoverPerUnit*TotalUnits/12*DV$8*DV$11,0)</f>
        <v/>
      </c>
      <c r="DW29" s="18">
        <f>IF(124&gt;=DeliverStart,ExpTurnoverPerUnit*TotalUnits/12*DW$8*DW$11,0)</f>
        <v/>
      </c>
      <c r="DX29" s="18">
        <f>IF(125&gt;=DeliverStart,ExpTurnoverPerUnit*TotalUnits/12*DX$8*DX$11,0)</f>
        <v/>
      </c>
      <c r="DY29" s="18">
        <f>IF(126&gt;=DeliverStart,ExpTurnoverPerUnit*TotalUnits/12*DY$8*DY$11,0)</f>
        <v/>
      </c>
      <c r="DZ29" s="18">
        <f>IF(127&gt;=DeliverStart,ExpTurnoverPerUnit*TotalUnits/12*DZ$8*DZ$11,0)</f>
        <v/>
      </c>
      <c r="EA29" s="18">
        <f>IF(128&gt;=DeliverStart,ExpTurnoverPerUnit*TotalUnits/12*EA$8*EA$11,0)</f>
        <v/>
      </c>
      <c r="EB29" s="18">
        <f>IF(129&gt;=DeliverStart,ExpTurnoverPerUnit*TotalUnits/12*EB$8*EB$11,0)</f>
        <v/>
      </c>
      <c r="EC29" s="18">
        <f>IF(130&gt;=DeliverStart,ExpTurnoverPerUnit*TotalUnits/12*EC$8*EC$11,0)</f>
        <v/>
      </c>
      <c r="ED29" s="18">
        <f>IF(131&gt;=DeliverStart,ExpTurnoverPerUnit*TotalUnits/12*ED$8*ED$11,0)</f>
        <v/>
      </c>
      <c r="EE29" s="18">
        <f>IF(132&gt;=DeliverStart,ExpTurnoverPerUnit*TotalUnits/12*EE$8*EE$11,0)</f>
        <v/>
      </c>
      <c r="EF29" s="18">
        <f>IF(133&gt;=DeliverStart,ExpTurnoverPerUnit*TotalUnits/12*EF$8*EF$11,0)</f>
        <v/>
      </c>
      <c r="EG29" s="18">
        <f>IF(134&gt;=DeliverStart,ExpTurnoverPerUnit*TotalUnits/12*EG$8*EG$11,0)</f>
        <v/>
      </c>
      <c r="EH29" s="18">
        <f>IF(135&gt;=DeliverStart,ExpTurnoverPerUnit*TotalUnits/12*EH$8*EH$11,0)</f>
        <v/>
      </c>
      <c r="EI29" s="18">
        <f>IF(136&gt;=DeliverStart,ExpTurnoverPerUnit*TotalUnits/12*EI$8*EI$11,0)</f>
        <v/>
      </c>
      <c r="EJ29" s="18">
        <f>IF(137&gt;=DeliverStart,ExpTurnoverPerUnit*TotalUnits/12*EJ$8*EJ$11,0)</f>
        <v/>
      </c>
      <c r="EK29" s="18">
        <f>IF(138&gt;=DeliverStart,ExpTurnoverPerUnit*TotalUnits/12*EK$8*EK$11,0)</f>
        <v/>
      </c>
      <c r="EL29" s="18">
        <f>IF(139&gt;=DeliverStart,ExpTurnoverPerUnit*TotalUnits/12*EL$8*EL$11,0)</f>
        <v/>
      </c>
      <c r="EM29" s="18">
        <f>IF(140&gt;=DeliverStart,ExpTurnoverPerUnit*TotalUnits/12*EM$8*EM$11,0)</f>
        <v/>
      </c>
      <c r="EN29" s="18">
        <f>IF(141&gt;=DeliverStart,ExpTurnoverPerUnit*TotalUnits/12*EN$8*EN$11,0)</f>
        <v/>
      </c>
      <c r="EO29" s="18">
        <f>IF(142&gt;=DeliverStart,ExpTurnoverPerUnit*TotalUnits/12*EO$8*EO$11,0)</f>
        <v/>
      </c>
      <c r="EP29" s="18">
        <f>IF(143&gt;=DeliverStart,ExpTurnoverPerUnit*TotalUnits/12*EP$8*EP$11,0)</f>
        <v/>
      </c>
      <c r="EQ29" s="18">
        <f>IF(144&gt;=DeliverStart,ExpTurnoverPerUnit*TotalUnits/12*EQ$8*EQ$11,0)</f>
        <v/>
      </c>
      <c r="ER29" s="18">
        <f>IF(145&gt;=DeliverStart,ExpTurnoverPerUnit*TotalUnits/12*ER$8*ER$11,0)</f>
        <v/>
      </c>
      <c r="ES29" s="18">
        <f>IF(146&gt;=DeliverStart,ExpTurnoverPerUnit*TotalUnits/12*ES$8*ES$11,0)</f>
        <v/>
      </c>
      <c r="ET29" s="18">
        <f>IF(147&gt;=DeliverStart,ExpTurnoverPerUnit*TotalUnits/12*ET$8*ET$11,0)</f>
        <v/>
      </c>
      <c r="EU29" s="18">
        <f>IF(148&gt;=DeliverStart,ExpTurnoverPerUnit*TotalUnits/12*EU$8*EU$11,0)</f>
        <v/>
      </c>
      <c r="EV29" s="18">
        <f>IF(149&gt;=DeliverStart,ExpTurnoverPerUnit*TotalUnits/12*EV$8*EV$11,0)</f>
        <v/>
      </c>
      <c r="EW29" s="18">
        <f>IF(150&gt;=DeliverStart,ExpTurnoverPerUnit*TotalUnits/12*EW$8*EW$11,0)</f>
        <v/>
      </c>
      <c r="EX29" s="18">
        <f>IF(151&gt;=DeliverStart,ExpTurnoverPerUnit*TotalUnits/12*EX$8*EX$11,0)</f>
        <v/>
      </c>
      <c r="EY29" s="18">
        <f>IF(152&gt;=DeliverStart,ExpTurnoverPerUnit*TotalUnits/12*EY$8*EY$11,0)</f>
        <v/>
      </c>
      <c r="EZ29" s="18">
        <f>IF(153&gt;=DeliverStart,ExpTurnoverPerUnit*TotalUnits/12*EZ$8*EZ$11,0)</f>
        <v/>
      </c>
      <c r="FA29" s="18">
        <f>IF(154&gt;=DeliverStart,ExpTurnoverPerUnit*TotalUnits/12*FA$8*FA$11,0)</f>
        <v/>
      </c>
      <c r="FB29" s="18">
        <f>IF(155&gt;=DeliverStart,ExpTurnoverPerUnit*TotalUnits/12*FB$8*FB$11,0)</f>
        <v/>
      </c>
      <c r="FC29" s="18">
        <f>IF(156&gt;=DeliverStart,ExpTurnoverPerUnit*TotalUnits/12*FC$8*FC$11,0)</f>
        <v/>
      </c>
      <c r="FD29" s="18">
        <f>IF(157&gt;=DeliverStart,ExpTurnoverPerUnit*TotalUnits/12*FD$8*FD$11,0)</f>
        <v/>
      </c>
      <c r="FE29" s="18">
        <f>IF(158&gt;=DeliverStart,ExpTurnoverPerUnit*TotalUnits/12*FE$8*FE$11,0)</f>
        <v/>
      </c>
      <c r="FF29" s="18">
        <f>IF(159&gt;=DeliverStart,ExpTurnoverPerUnit*TotalUnits/12*FF$8*FF$11,0)</f>
        <v/>
      </c>
      <c r="FG29" s="18">
        <f>IF(160&gt;=DeliverStart,ExpTurnoverPerUnit*TotalUnits/12*FG$8*FG$11,0)</f>
        <v/>
      </c>
      <c r="FH29" s="18">
        <f>IF(161&gt;=DeliverStart,ExpTurnoverPerUnit*TotalUnits/12*FH$8*FH$11,0)</f>
        <v/>
      </c>
      <c r="FI29" s="18">
        <f>IF(162&gt;=DeliverStart,ExpTurnoverPerUnit*TotalUnits/12*FI$8*FI$11,0)</f>
        <v/>
      </c>
      <c r="FJ29" s="18">
        <f>IF(163&gt;=DeliverStart,ExpTurnoverPerUnit*TotalUnits/12*FJ$8*FJ$11,0)</f>
        <v/>
      </c>
      <c r="FK29" s="18">
        <f>IF(164&gt;=DeliverStart,ExpTurnoverPerUnit*TotalUnits/12*FK$8*FK$11,0)</f>
        <v/>
      </c>
      <c r="FL29" s="18">
        <f>IF(165&gt;=DeliverStart,ExpTurnoverPerUnit*TotalUnits/12*FL$8*FL$11,0)</f>
        <v/>
      </c>
      <c r="FM29" s="18">
        <f>IF(166&gt;=DeliverStart,ExpTurnoverPerUnit*TotalUnits/12*FM$8*FM$11,0)</f>
        <v/>
      </c>
      <c r="FN29" s="18">
        <f>IF(167&gt;=DeliverStart,ExpTurnoverPerUnit*TotalUnits/12*FN$8*FN$11,0)</f>
        <v/>
      </c>
      <c r="FO29" s="18">
        <f>IF(168&gt;=DeliverStart,ExpTurnoverPerUnit*TotalUnits/12*FO$8*FO$11,0)</f>
        <v/>
      </c>
      <c r="FP29" s="18">
        <f>IF(169&gt;=DeliverStart,ExpTurnoverPerUnit*TotalUnits/12*FP$8*FP$11,0)</f>
        <v/>
      </c>
      <c r="FQ29" s="18">
        <f>IF(170&gt;=DeliverStart,ExpTurnoverPerUnit*TotalUnits/12*FQ$8*FQ$11,0)</f>
        <v/>
      </c>
      <c r="FR29" s="18">
        <f>IF(171&gt;=DeliverStart,ExpTurnoverPerUnit*TotalUnits/12*FR$8*FR$11,0)</f>
        <v/>
      </c>
      <c r="FS29" s="18">
        <f>IF(172&gt;=DeliverStart,ExpTurnoverPerUnit*TotalUnits/12*FS$8*FS$11,0)</f>
        <v/>
      </c>
      <c r="FT29" s="18">
        <f>IF(173&gt;=DeliverStart,ExpTurnoverPerUnit*TotalUnits/12*FT$8*FT$11,0)</f>
        <v/>
      </c>
      <c r="FU29" s="18">
        <f>IF(174&gt;=DeliverStart,ExpTurnoverPerUnit*TotalUnits/12*FU$8*FU$11,0)</f>
        <v/>
      </c>
      <c r="FV29" s="18">
        <f>IF(175&gt;=DeliverStart,ExpTurnoverPerUnit*TotalUnits/12*FV$8*FV$11,0)</f>
        <v/>
      </c>
      <c r="FW29" s="18">
        <f>IF(176&gt;=DeliverStart,ExpTurnoverPerUnit*TotalUnits/12*FW$8*FW$11,0)</f>
        <v/>
      </c>
      <c r="FX29" s="18">
        <f>IF(177&gt;=DeliverStart,ExpTurnoverPerUnit*TotalUnits/12*FX$8*FX$11,0)</f>
        <v/>
      </c>
      <c r="FY29" s="18">
        <f>IF(178&gt;=DeliverStart,ExpTurnoverPerUnit*TotalUnits/12*FY$8*FY$11,0)</f>
        <v/>
      </c>
      <c r="FZ29" s="18">
        <f>IF(179&gt;=DeliverStart,ExpTurnoverPerUnit*TotalUnits/12*FZ$8*FZ$11,0)</f>
        <v/>
      </c>
      <c r="GA29" s="18">
        <f>IF(180&gt;=DeliverStart,ExpTurnoverPerUnit*TotalUnits/12*GA$8*GA$11,0)</f>
        <v/>
      </c>
      <c r="GB29" s="18">
        <f>IF(181&gt;=DeliverStart,ExpTurnoverPerUnit*TotalUnits/12*GB$8*GB$11,0)</f>
        <v/>
      </c>
      <c r="GC29" s="18">
        <f>IF(182&gt;=DeliverStart,ExpTurnoverPerUnit*TotalUnits/12*GC$8*GC$11,0)</f>
        <v/>
      </c>
      <c r="GD29" s="18">
        <f>IF(183&gt;=DeliverStart,ExpTurnoverPerUnit*TotalUnits/12*GD$8*GD$11,0)</f>
        <v/>
      </c>
      <c r="GE29" s="18">
        <f>IF(184&gt;=DeliverStart,ExpTurnoverPerUnit*TotalUnits/12*GE$8*GE$11,0)</f>
        <v/>
      </c>
      <c r="GF29" s="18">
        <f>IF(185&gt;=DeliverStart,ExpTurnoverPerUnit*TotalUnits/12*GF$8*GF$11,0)</f>
        <v/>
      </c>
      <c r="GG29" s="18">
        <f>IF(186&gt;=DeliverStart,ExpTurnoverPerUnit*TotalUnits/12*GG$8*GG$11,0)</f>
        <v/>
      </c>
      <c r="GH29" s="18">
        <f>IF(187&gt;=DeliverStart,ExpTurnoverPerUnit*TotalUnits/12*GH$8*GH$11,0)</f>
        <v/>
      </c>
      <c r="GI29" s="18">
        <f>IF(188&gt;=DeliverStart,ExpTurnoverPerUnit*TotalUnits/12*GI$8*GI$11,0)</f>
        <v/>
      </c>
      <c r="GJ29" s="18">
        <f>IF(189&gt;=DeliverStart,ExpTurnoverPerUnit*TotalUnits/12*GJ$8*GJ$11,0)</f>
        <v/>
      </c>
      <c r="GK29" s="18">
        <f>IF(190&gt;=DeliverStart,ExpTurnoverPerUnit*TotalUnits/12*GK$8*GK$11,0)</f>
        <v/>
      </c>
      <c r="GL29" s="18">
        <f>IF(191&gt;=DeliverStart,ExpTurnoverPerUnit*TotalUnits/12*GL$8*GL$11,0)</f>
        <v/>
      </c>
      <c r="GM29" s="18">
        <f>IF(192&gt;=DeliverStart,ExpTurnoverPerUnit*TotalUnits/12*GM$8*GM$11,0)</f>
        <v/>
      </c>
      <c r="GN29" s="18">
        <f>IF(193&gt;=DeliverStart,ExpTurnoverPerUnit*TotalUnits/12*GN$8*GN$11,0)</f>
        <v/>
      </c>
      <c r="GO29" s="18">
        <f>IF(194&gt;=DeliverStart,ExpTurnoverPerUnit*TotalUnits/12*GO$8*GO$11,0)</f>
        <v/>
      </c>
      <c r="GP29" s="18">
        <f>IF(195&gt;=DeliverStart,ExpTurnoverPerUnit*TotalUnits/12*GP$8*GP$11,0)</f>
        <v/>
      </c>
      <c r="GQ29" s="18">
        <f>IF(196&gt;=DeliverStart,ExpTurnoverPerUnit*TotalUnits/12*GQ$8*GQ$11,0)</f>
        <v/>
      </c>
      <c r="GR29" s="18">
        <f>IF(197&gt;=DeliverStart,ExpTurnoverPerUnit*TotalUnits/12*GR$8*GR$11,0)</f>
        <v/>
      </c>
      <c r="GS29" s="18">
        <f>IF(198&gt;=DeliverStart,ExpTurnoverPerUnit*TotalUnits/12*GS$8*GS$11,0)</f>
        <v/>
      </c>
      <c r="GT29" s="18">
        <f>IF(199&gt;=DeliverStart,ExpTurnoverPerUnit*TotalUnits/12*GT$8*GT$11,0)</f>
        <v/>
      </c>
      <c r="GU29" s="18">
        <f>IF(200&gt;=DeliverStart,ExpTurnoverPerUnit*TotalUnits/12*GU$8*GU$11,0)</f>
        <v/>
      </c>
      <c r="GV29" s="18">
        <f>IF(201&gt;=DeliverStart,ExpTurnoverPerUnit*TotalUnits/12*GV$8*GV$11,0)</f>
        <v/>
      </c>
      <c r="GW29" s="18">
        <f>IF(202&gt;=DeliverStart,ExpTurnoverPerUnit*TotalUnits/12*GW$8*GW$11,0)</f>
        <v/>
      </c>
      <c r="GX29" s="18">
        <f>IF(203&gt;=DeliverStart,ExpTurnoverPerUnit*TotalUnits/12*GX$8*GX$11,0)</f>
        <v/>
      </c>
      <c r="GY29" s="18">
        <f>IF(204&gt;=DeliverStart,ExpTurnoverPerUnit*TotalUnits/12*GY$8*GY$11,0)</f>
        <v/>
      </c>
      <c r="GZ29" s="18">
        <f>IF(205&gt;=DeliverStart,ExpTurnoverPerUnit*TotalUnits/12*GZ$8*GZ$11,0)</f>
        <v/>
      </c>
      <c r="HA29" s="18">
        <f>IF(206&gt;=DeliverStart,ExpTurnoverPerUnit*TotalUnits/12*HA$8*HA$11,0)</f>
        <v/>
      </c>
      <c r="HB29" s="18">
        <f>IF(207&gt;=DeliverStart,ExpTurnoverPerUnit*TotalUnits/12*HB$8*HB$11,0)</f>
        <v/>
      </c>
      <c r="HC29" s="18">
        <f>IF(208&gt;=DeliverStart,ExpTurnoverPerUnit*TotalUnits/12*HC$8*HC$11,0)</f>
        <v/>
      </c>
      <c r="HD29" s="18">
        <f>IF(209&gt;=DeliverStart,ExpTurnoverPerUnit*TotalUnits/12*HD$8*HD$11,0)</f>
        <v/>
      </c>
      <c r="HE29" s="18">
        <f>IF(210&gt;=DeliverStart,ExpTurnoverPerUnit*TotalUnits/12*HE$8*HE$11,0)</f>
        <v/>
      </c>
      <c r="HF29" s="18">
        <f>IF(211&gt;=DeliverStart,ExpTurnoverPerUnit*TotalUnits/12*HF$8*HF$11,0)</f>
        <v/>
      </c>
      <c r="HG29" s="18">
        <f>IF(212&gt;=DeliverStart,ExpTurnoverPerUnit*TotalUnits/12*HG$8*HG$11,0)</f>
        <v/>
      </c>
      <c r="HH29" s="18">
        <f>IF(213&gt;=DeliverStart,ExpTurnoverPerUnit*TotalUnits/12*HH$8*HH$11,0)</f>
        <v/>
      </c>
      <c r="HI29" s="18">
        <f>IF(214&gt;=DeliverStart,ExpTurnoverPerUnit*TotalUnits/12*HI$8*HI$11,0)</f>
        <v/>
      </c>
      <c r="HJ29" s="18">
        <f>IF(215&gt;=DeliverStart,ExpTurnoverPerUnit*TotalUnits/12*HJ$8*HJ$11,0)</f>
        <v/>
      </c>
      <c r="HK29" s="18">
        <f>IF(216&gt;=DeliverStart,ExpTurnoverPerUnit*TotalUnits/12*HK$8*HK$11,0)</f>
        <v/>
      </c>
      <c r="HL29" s="18">
        <f>IF(217&gt;=DeliverStart,ExpTurnoverPerUnit*TotalUnits/12*HL$8*HL$11,0)</f>
        <v/>
      </c>
      <c r="HM29" s="18">
        <f>IF(218&gt;=DeliverStart,ExpTurnoverPerUnit*TotalUnits/12*HM$8*HM$11,0)</f>
        <v/>
      </c>
      <c r="HN29" s="18">
        <f>IF(219&gt;=DeliverStart,ExpTurnoverPerUnit*TotalUnits/12*HN$8*HN$11,0)</f>
        <v/>
      </c>
      <c r="HO29" s="18">
        <f>IF(220&gt;=DeliverStart,ExpTurnoverPerUnit*TotalUnits/12*HO$8*HO$11,0)</f>
        <v/>
      </c>
      <c r="HP29" s="18">
        <f>IF(221&gt;=DeliverStart,ExpTurnoverPerUnit*TotalUnits/12*HP$8*HP$11,0)</f>
        <v/>
      </c>
      <c r="HQ29" s="18">
        <f>IF(222&gt;=DeliverStart,ExpTurnoverPerUnit*TotalUnits/12*HQ$8*HQ$11,0)</f>
        <v/>
      </c>
      <c r="HR29" s="18">
        <f>IF(223&gt;=DeliverStart,ExpTurnoverPerUnit*TotalUnits/12*HR$8*HR$11,0)</f>
        <v/>
      </c>
      <c r="HS29" s="18">
        <f>IF(224&gt;=DeliverStart,ExpTurnoverPerUnit*TotalUnits/12*HS$8*HS$11,0)</f>
        <v/>
      </c>
      <c r="HT29" s="18">
        <f>IF(225&gt;=DeliverStart,ExpTurnoverPerUnit*TotalUnits/12*HT$8*HT$11,0)</f>
        <v/>
      </c>
      <c r="HU29" s="18">
        <f>IF(226&gt;=DeliverStart,ExpTurnoverPerUnit*TotalUnits/12*HU$8*HU$11,0)</f>
        <v/>
      </c>
      <c r="HV29" s="18">
        <f>IF(227&gt;=DeliverStart,ExpTurnoverPerUnit*TotalUnits/12*HV$8*HV$11,0)</f>
        <v/>
      </c>
      <c r="HW29" s="18">
        <f>IF(228&gt;=DeliverStart,ExpTurnoverPerUnit*TotalUnits/12*HW$8*HW$11,0)</f>
        <v/>
      </c>
      <c r="HX29" s="18">
        <f>IF(229&gt;=DeliverStart,ExpTurnoverPerUnit*TotalUnits/12*HX$8*HX$11,0)</f>
        <v/>
      </c>
      <c r="HY29" s="18">
        <f>IF(230&gt;=DeliverStart,ExpTurnoverPerUnit*TotalUnits/12*HY$8*HY$11,0)</f>
        <v/>
      </c>
      <c r="HZ29" s="18">
        <f>IF(231&gt;=DeliverStart,ExpTurnoverPerUnit*TotalUnits/12*HZ$8*HZ$11,0)</f>
        <v/>
      </c>
      <c r="IA29" s="18">
        <f>IF(232&gt;=DeliverStart,ExpTurnoverPerUnit*TotalUnits/12*IA$8*IA$11,0)</f>
        <v/>
      </c>
      <c r="IB29" s="18">
        <f>IF(233&gt;=DeliverStart,ExpTurnoverPerUnit*TotalUnits/12*IB$8*IB$11,0)</f>
        <v/>
      </c>
      <c r="IC29" s="18">
        <f>IF(234&gt;=DeliverStart,ExpTurnoverPerUnit*TotalUnits/12*IC$8*IC$11,0)</f>
        <v/>
      </c>
      <c r="ID29" s="18">
        <f>IF(235&gt;=DeliverStart,ExpTurnoverPerUnit*TotalUnits/12*ID$8*ID$11,0)</f>
        <v/>
      </c>
      <c r="IE29" s="18">
        <f>IF(236&gt;=DeliverStart,ExpTurnoverPerUnit*TotalUnits/12*IE$8*IE$11,0)</f>
        <v/>
      </c>
      <c r="IF29" s="18">
        <f>IF(237&gt;=DeliverStart,ExpTurnoverPerUnit*TotalUnits/12*IF$8*IF$11,0)</f>
        <v/>
      </c>
      <c r="IG29" s="18">
        <f>IF(238&gt;=DeliverStart,ExpTurnoverPerUnit*TotalUnits/12*IG$8*IG$11,0)</f>
        <v/>
      </c>
      <c r="IH29" s="18">
        <f>IF(239&gt;=DeliverStart,ExpTurnoverPerUnit*TotalUnits/12*IH$8*IH$11,0)</f>
        <v/>
      </c>
      <c r="II29" s="18">
        <f>IF(240&gt;=DeliverStart,ExpTurnoverPerUnit*TotalUnits/12*II$8*II$11,0)</f>
        <v/>
      </c>
      <c r="IJ29" s="18">
        <f>IF(241&gt;=DeliverStart,ExpTurnoverPerUnit*TotalUnits/12*IJ$8*IJ$11,0)</f>
        <v/>
      </c>
      <c r="IK29" s="18">
        <f>IF(242&gt;=DeliverStart,ExpTurnoverPerUnit*TotalUnits/12*IK$8*IK$11,0)</f>
        <v/>
      </c>
      <c r="IL29" s="18">
        <f>IF(243&gt;=DeliverStart,ExpTurnoverPerUnit*TotalUnits/12*IL$8*IL$11,0)</f>
        <v/>
      </c>
      <c r="IM29" s="18">
        <f>IF(244&gt;=DeliverStart,ExpTurnoverPerUnit*TotalUnits/12*IM$8*IM$11,0)</f>
        <v/>
      </c>
      <c r="IN29" s="18">
        <f>IF(245&gt;=DeliverStart,ExpTurnoverPerUnit*TotalUnits/12*IN$8*IN$11,0)</f>
        <v/>
      </c>
      <c r="IO29" s="18">
        <f>IF(246&gt;=DeliverStart,ExpTurnoverPerUnit*TotalUnits/12*IO$8*IO$11,0)</f>
        <v/>
      </c>
      <c r="IP29" s="18">
        <f>IF(247&gt;=DeliverStart,ExpTurnoverPerUnit*TotalUnits/12*IP$8*IP$11,0)</f>
        <v/>
      </c>
      <c r="IQ29" s="18">
        <f>IF(248&gt;=DeliverStart,ExpTurnoverPerUnit*TotalUnits/12*IQ$8*IQ$11,0)</f>
        <v/>
      </c>
      <c r="IR29" s="18">
        <f>IF(249&gt;=DeliverStart,ExpTurnoverPerUnit*TotalUnits/12*IR$8*IR$11,0)</f>
        <v/>
      </c>
      <c r="IS29" s="18">
        <f>IF(250&gt;=DeliverStart,ExpTurnoverPerUnit*TotalUnits/12*IS$8*IS$11,0)</f>
        <v/>
      </c>
      <c r="IT29" s="18">
        <f>IF(251&gt;=DeliverStart,ExpTurnoverPerUnit*TotalUnits/12*IT$8*IT$11,0)</f>
        <v/>
      </c>
      <c r="IU29" s="18">
        <f>IF(252&gt;=DeliverStart,ExpTurnoverPerUnit*TotalUnits/12*IU$8*IU$11,0)</f>
        <v/>
      </c>
      <c r="IV29" s="18">
        <f>IF(253&gt;=DeliverStart,ExpTurnoverPerUnit*TotalUnits/12*IV$8*IV$11,0)</f>
        <v/>
      </c>
      <c r="IW29" s="18">
        <f>IF(254&gt;=DeliverStart,ExpTurnoverPerUnit*TotalUnits/12*IW$8*IW$11,0)</f>
        <v/>
      </c>
      <c r="IX29" s="18">
        <f>IF(255&gt;=DeliverStart,ExpTurnoverPerUnit*TotalUnits/12*IX$8*IX$11,0)</f>
        <v/>
      </c>
      <c r="IY29" s="18">
        <f>IF(256&gt;=DeliverStart,ExpTurnoverPerUnit*TotalUnits/12*IY$8*IY$11,0)</f>
        <v/>
      </c>
      <c r="IZ29" s="18">
        <f>IF(257&gt;=DeliverStart,ExpTurnoverPerUnit*TotalUnits/12*IZ$8*IZ$11,0)</f>
        <v/>
      </c>
      <c r="JA29" s="18">
        <f>IF(258&gt;=DeliverStart,ExpTurnoverPerUnit*TotalUnits/12*JA$8*JA$11,0)</f>
        <v/>
      </c>
      <c r="JB29" s="18">
        <f>IF(259&gt;=DeliverStart,ExpTurnoverPerUnit*TotalUnits/12*JB$8*JB$11,0)</f>
        <v/>
      </c>
      <c r="JC29" s="18">
        <f>IF(260&gt;=DeliverStart,ExpTurnoverPerUnit*TotalUnits/12*JC$8*JC$11,0)</f>
        <v/>
      </c>
      <c r="JD29" s="18">
        <f>IF(261&gt;=DeliverStart,ExpTurnoverPerUnit*TotalUnits/12*JD$8*JD$11,0)</f>
        <v/>
      </c>
      <c r="JE29" s="18">
        <f>IF(262&gt;=DeliverStart,ExpTurnoverPerUnit*TotalUnits/12*JE$8*JE$11,0)</f>
        <v/>
      </c>
      <c r="JF29" s="18">
        <f>IF(263&gt;=DeliverStart,ExpTurnoverPerUnit*TotalUnits/12*JF$8*JF$11,0)</f>
        <v/>
      </c>
      <c r="JG29" s="18">
        <f>IF(264&gt;=DeliverStart,ExpTurnoverPerUnit*TotalUnits/12*JG$8*JG$11,0)</f>
        <v/>
      </c>
      <c r="JH29" s="18">
        <f>IF(265&gt;=DeliverStart,ExpTurnoverPerUnit*TotalUnits/12*JH$8*JH$11,0)</f>
        <v/>
      </c>
      <c r="JI29" s="18">
        <f>IF(266&gt;=DeliverStart,ExpTurnoverPerUnit*TotalUnits/12*JI$8*JI$11,0)</f>
        <v/>
      </c>
      <c r="JJ29" s="18">
        <f>IF(267&gt;=DeliverStart,ExpTurnoverPerUnit*TotalUnits/12*JJ$8*JJ$11,0)</f>
        <v/>
      </c>
      <c r="JK29" s="18">
        <f>IF(268&gt;=DeliverStart,ExpTurnoverPerUnit*TotalUnits/12*JK$8*JK$11,0)</f>
        <v/>
      </c>
      <c r="JL29" s="18">
        <f>IF(269&gt;=DeliverStart,ExpTurnoverPerUnit*TotalUnits/12*JL$8*JL$11,0)</f>
        <v/>
      </c>
      <c r="JM29" s="18">
        <f>IF(270&gt;=DeliverStart,ExpTurnoverPerUnit*TotalUnits/12*JM$8*JM$11,0)</f>
        <v/>
      </c>
      <c r="JN29" s="18">
        <f>IF(271&gt;=DeliverStart,ExpTurnoverPerUnit*TotalUnits/12*JN$8*JN$11,0)</f>
        <v/>
      </c>
      <c r="JO29" s="18">
        <f>IF(272&gt;=DeliverStart,ExpTurnoverPerUnit*TotalUnits/12*JO$8*JO$11,0)</f>
        <v/>
      </c>
      <c r="JP29" s="18">
        <f>IF(273&gt;=DeliverStart,ExpTurnoverPerUnit*TotalUnits/12*JP$8*JP$11,0)</f>
        <v/>
      </c>
      <c r="JQ29" s="18">
        <f>IF(274&gt;=DeliverStart,ExpTurnoverPerUnit*TotalUnits/12*JQ$8*JQ$11,0)</f>
        <v/>
      </c>
      <c r="JR29" s="18">
        <f>IF(275&gt;=DeliverStart,ExpTurnoverPerUnit*TotalUnits/12*JR$8*JR$11,0)</f>
        <v/>
      </c>
      <c r="JS29" s="18">
        <f>IF(276&gt;=DeliverStart,ExpTurnoverPerUnit*TotalUnits/12*JS$8*JS$11,0)</f>
        <v/>
      </c>
      <c r="JT29" s="18">
        <f>IF(277&gt;=DeliverStart,ExpTurnoverPerUnit*TotalUnits/12*JT$8*JT$11,0)</f>
        <v/>
      </c>
      <c r="JU29" s="18">
        <f>IF(278&gt;=DeliverStart,ExpTurnoverPerUnit*TotalUnits/12*JU$8*JU$11,0)</f>
        <v/>
      </c>
      <c r="JV29" s="18">
        <f>IF(279&gt;=DeliverStart,ExpTurnoverPerUnit*TotalUnits/12*JV$8*JV$11,0)</f>
        <v/>
      </c>
      <c r="JW29" s="18">
        <f>IF(280&gt;=DeliverStart,ExpTurnoverPerUnit*TotalUnits/12*JW$8*JW$11,0)</f>
        <v/>
      </c>
      <c r="JX29" s="18">
        <f>IF(281&gt;=DeliverStart,ExpTurnoverPerUnit*TotalUnits/12*JX$8*JX$11,0)</f>
        <v/>
      </c>
      <c r="JY29" s="18">
        <f>IF(282&gt;=DeliverStart,ExpTurnoverPerUnit*TotalUnits/12*JY$8*JY$11,0)</f>
        <v/>
      </c>
      <c r="JZ29" s="18">
        <f>IF(283&gt;=DeliverStart,ExpTurnoverPerUnit*TotalUnits/12*JZ$8*JZ$11,0)</f>
        <v/>
      </c>
      <c r="KA29" s="18">
        <f>IF(284&gt;=DeliverStart,ExpTurnoverPerUnit*TotalUnits/12*KA$8*KA$11,0)</f>
        <v/>
      </c>
      <c r="KB29" s="18">
        <f>IF(285&gt;=DeliverStart,ExpTurnoverPerUnit*TotalUnits/12*KB$8*KB$11,0)</f>
        <v/>
      </c>
      <c r="KC29" s="18">
        <f>IF(286&gt;=DeliverStart,ExpTurnoverPerUnit*TotalUnits/12*KC$8*KC$11,0)</f>
        <v/>
      </c>
      <c r="KD29" s="18">
        <f>IF(287&gt;=DeliverStart,ExpTurnoverPerUnit*TotalUnits/12*KD$8*KD$11,0)</f>
        <v/>
      </c>
      <c r="KE29" s="18">
        <f>IF(288&gt;=DeliverStart,ExpTurnoverPerUnit*TotalUnits/12*KE$8*KE$11,0)</f>
        <v/>
      </c>
      <c r="KF29" s="18">
        <f>IF(289&gt;=DeliverStart,ExpTurnoverPerUnit*TotalUnits/12*KF$8*KF$11,0)</f>
        <v/>
      </c>
      <c r="KG29" s="18">
        <f>IF(290&gt;=DeliverStart,ExpTurnoverPerUnit*TotalUnits/12*KG$8*KG$11,0)</f>
        <v/>
      </c>
      <c r="KH29" s="18">
        <f>IF(291&gt;=DeliverStart,ExpTurnoverPerUnit*TotalUnits/12*KH$8*KH$11,0)</f>
        <v/>
      </c>
      <c r="KI29" s="18">
        <f>IF(292&gt;=DeliverStart,ExpTurnoverPerUnit*TotalUnits/12*KI$8*KI$11,0)</f>
        <v/>
      </c>
      <c r="KJ29" s="18">
        <f>IF(293&gt;=DeliverStart,ExpTurnoverPerUnit*TotalUnits/12*KJ$8*KJ$11,0)</f>
        <v/>
      </c>
      <c r="KK29" s="18">
        <f>IF(294&gt;=DeliverStart,ExpTurnoverPerUnit*TotalUnits/12*KK$8*KK$11,0)</f>
        <v/>
      </c>
      <c r="KL29" s="18">
        <f>IF(295&gt;=DeliverStart,ExpTurnoverPerUnit*TotalUnits/12*KL$8*KL$11,0)</f>
        <v/>
      </c>
      <c r="KM29" s="18">
        <f>IF(296&gt;=DeliverStart,ExpTurnoverPerUnit*TotalUnits/12*KM$8*KM$11,0)</f>
        <v/>
      </c>
      <c r="KN29" s="18">
        <f>IF(297&gt;=DeliverStart,ExpTurnoverPerUnit*TotalUnits/12*KN$8*KN$11,0)</f>
        <v/>
      </c>
      <c r="KO29" s="18">
        <f>IF(298&gt;=DeliverStart,ExpTurnoverPerUnit*TotalUnits/12*KO$8*KO$11,0)</f>
        <v/>
      </c>
      <c r="KP29" s="18">
        <f>IF(299&gt;=DeliverStart,ExpTurnoverPerUnit*TotalUnits/12*KP$8*KP$11,0)</f>
        <v/>
      </c>
      <c r="KQ29" s="18">
        <f>IF(300&gt;=DeliverStart,ExpTurnoverPerUnit*TotalUnits/12*KQ$8*KQ$11,0)</f>
        <v/>
      </c>
      <c r="KR29" s="18">
        <f>IF(301&gt;=DeliverStart,ExpTurnoverPerUnit*TotalUnits/12*KR$8*KR$11,0)</f>
        <v/>
      </c>
      <c r="KS29" s="18">
        <f>IF(302&gt;=DeliverStart,ExpTurnoverPerUnit*TotalUnits/12*KS$8*KS$11,0)</f>
        <v/>
      </c>
      <c r="KT29" s="18">
        <f>IF(303&gt;=DeliverStart,ExpTurnoverPerUnit*TotalUnits/12*KT$8*KT$11,0)</f>
        <v/>
      </c>
      <c r="KU29" s="18">
        <f>IF(304&gt;=DeliverStart,ExpTurnoverPerUnit*TotalUnits/12*KU$8*KU$11,0)</f>
        <v/>
      </c>
      <c r="KV29" s="18">
        <f>IF(305&gt;=DeliverStart,ExpTurnoverPerUnit*TotalUnits/12*KV$8*KV$11,0)</f>
        <v/>
      </c>
      <c r="KW29" s="18">
        <f>IF(306&gt;=DeliverStart,ExpTurnoverPerUnit*TotalUnits/12*KW$8*KW$11,0)</f>
        <v/>
      </c>
      <c r="KX29" s="18">
        <f>IF(307&gt;=DeliverStart,ExpTurnoverPerUnit*TotalUnits/12*KX$8*KX$11,0)</f>
        <v/>
      </c>
      <c r="KY29" s="18">
        <f>IF(308&gt;=DeliverStart,ExpTurnoverPerUnit*TotalUnits/12*KY$8*KY$11,0)</f>
        <v/>
      </c>
      <c r="KZ29" s="18">
        <f>IF(309&gt;=DeliverStart,ExpTurnoverPerUnit*TotalUnits/12*KZ$8*KZ$11,0)</f>
        <v/>
      </c>
      <c r="LA29" s="18">
        <f>IF(310&gt;=DeliverStart,ExpTurnoverPerUnit*TotalUnits/12*LA$8*LA$11,0)</f>
        <v/>
      </c>
      <c r="LB29" s="18">
        <f>IF(311&gt;=DeliverStart,ExpTurnoverPerUnit*TotalUnits/12*LB$8*LB$11,0)</f>
        <v/>
      </c>
      <c r="LC29" s="18">
        <f>IF(312&gt;=DeliverStart,ExpTurnoverPerUnit*TotalUnits/12*LC$8*LC$11,0)</f>
        <v/>
      </c>
      <c r="LD29" s="18">
        <f>IF(313&gt;=DeliverStart,ExpTurnoverPerUnit*TotalUnits/12*LD$8*LD$11,0)</f>
        <v/>
      </c>
      <c r="LE29" s="18">
        <f>IF(314&gt;=DeliverStart,ExpTurnoverPerUnit*TotalUnits/12*LE$8*LE$11,0)</f>
        <v/>
      </c>
      <c r="LF29" s="18">
        <f>IF(315&gt;=DeliverStart,ExpTurnoverPerUnit*TotalUnits/12*LF$8*LF$11,0)</f>
        <v/>
      </c>
      <c r="LG29" s="18">
        <f>IF(316&gt;=DeliverStart,ExpTurnoverPerUnit*TotalUnits/12*LG$8*LG$11,0)</f>
        <v/>
      </c>
      <c r="LH29" s="18">
        <f>IF(317&gt;=DeliverStart,ExpTurnoverPerUnit*TotalUnits/12*LH$8*LH$11,0)</f>
        <v/>
      </c>
      <c r="LI29" s="18">
        <f>IF(318&gt;=DeliverStart,ExpTurnoverPerUnit*TotalUnits/12*LI$8*LI$11,0)</f>
        <v/>
      </c>
      <c r="LJ29" s="18">
        <f>IF(319&gt;=DeliverStart,ExpTurnoverPerUnit*TotalUnits/12*LJ$8*LJ$11,0)</f>
        <v/>
      </c>
      <c r="LK29" s="18">
        <f>IF(320&gt;=DeliverStart,ExpTurnoverPerUnit*TotalUnits/12*LK$8*LK$11,0)</f>
        <v/>
      </c>
      <c r="LL29" s="18">
        <f>IF(321&gt;=DeliverStart,ExpTurnoverPerUnit*TotalUnits/12*LL$8*LL$11,0)</f>
        <v/>
      </c>
      <c r="LM29" s="18">
        <f>IF(322&gt;=DeliverStart,ExpTurnoverPerUnit*TotalUnits/12*LM$8*LM$11,0)</f>
        <v/>
      </c>
      <c r="LN29" s="18">
        <f>IF(323&gt;=DeliverStart,ExpTurnoverPerUnit*TotalUnits/12*LN$8*LN$11,0)</f>
        <v/>
      </c>
      <c r="LO29" s="18">
        <f>IF(324&gt;=DeliverStart,ExpTurnoverPerUnit*TotalUnits/12*LO$8*LO$11,0)</f>
        <v/>
      </c>
      <c r="LP29" s="18">
        <f>IF(325&gt;=DeliverStart,ExpTurnoverPerUnit*TotalUnits/12*LP$8*LP$11,0)</f>
        <v/>
      </c>
      <c r="LQ29" s="18">
        <f>IF(326&gt;=DeliverStart,ExpTurnoverPerUnit*TotalUnits/12*LQ$8*LQ$11,0)</f>
        <v/>
      </c>
      <c r="LR29" s="18">
        <f>IF(327&gt;=DeliverStart,ExpTurnoverPerUnit*TotalUnits/12*LR$8*LR$11,0)</f>
        <v/>
      </c>
      <c r="LS29" s="18">
        <f>IF(328&gt;=DeliverStart,ExpTurnoverPerUnit*TotalUnits/12*LS$8*LS$11,0)</f>
        <v/>
      </c>
      <c r="LT29" s="18">
        <f>IF(329&gt;=DeliverStart,ExpTurnoverPerUnit*TotalUnits/12*LT$8*LT$11,0)</f>
        <v/>
      </c>
      <c r="LU29" s="18">
        <f>IF(330&gt;=DeliverStart,ExpTurnoverPerUnit*TotalUnits/12*LU$8*LU$11,0)</f>
        <v/>
      </c>
      <c r="LV29" s="18">
        <f>IF(331&gt;=DeliverStart,ExpTurnoverPerUnit*TotalUnits/12*LV$8*LV$11,0)</f>
        <v/>
      </c>
      <c r="LW29" s="18">
        <f>IF(332&gt;=DeliverStart,ExpTurnoverPerUnit*TotalUnits/12*LW$8*LW$11,0)</f>
        <v/>
      </c>
      <c r="LX29" s="18">
        <f>IF(333&gt;=DeliverStart,ExpTurnoverPerUnit*TotalUnits/12*LX$8*LX$11,0)</f>
        <v/>
      </c>
      <c r="LY29" s="18">
        <f>IF(334&gt;=DeliverStart,ExpTurnoverPerUnit*TotalUnits/12*LY$8*LY$11,0)</f>
        <v/>
      </c>
      <c r="LZ29" s="18">
        <f>IF(335&gt;=DeliverStart,ExpTurnoverPerUnit*TotalUnits/12*LZ$8*LZ$11,0)</f>
        <v/>
      </c>
      <c r="MA29" s="18">
        <f>IF(336&gt;=DeliverStart,ExpTurnoverPerUnit*TotalUnits/12*MA$8*MA$11,0)</f>
        <v/>
      </c>
      <c r="MB29" s="18">
        <f>IF(337&gt;=DeliverStart,ExpTurnoverPerUnit*TotalUnits/12*MB$8*MB$11,0)</f>
        <v/>
      </c>
      <c r="MC29" s="18">
        <f>IF(338&gt;=DeliverStart,ExpTurnoverPerUnit*TotalUnits/12*MC$8*MC$11,0)</f>
        <v/>
      </c>
      <c r="MD29" s="18">
        <f>IF(339&gt;=DeliverStart,ExpTurnoverPerUnit*TotalUnits/12*MD$8*MD$11,0)</f>
        <v/>
      </c>
      <c r="ME29" s="18">
        <f>IF(340&gt;=DeliverStart,ExpTurnoverPerUnit*TotalUnits/12*ME$8*ME$11,0)</f>
        <v/>
      </c>
      <c r="MF29" s="18">
        <f>IF(341&gt;=DeliverStart,ExpTurnoverPerUnit*TotalUnits/12*MF$8*MF$11,0)</f>
        <v/>
      </c>
      <c r="MG29" s="18">
        <f>IF(342&gt;=DeliverStart,ExpTurnoverPerUnit*TotalUnits/12*MG$8*MG$11,0)</f>
        <v/>
      </c>
      <c r="MH29" s="18">
        <f>IF(343&gt;=DeliverStart,ExpTurnoverPerUnit*TotalUnits/12*MH$8*MH$11,0)</f>
        <v/>
      </c>
      <c r="MI29" s="18">
        <f>IF(344&gt;=DeliverStart,ExpTurnoverPerUnit*TotalUnits/12*MI$8*MI$11,0)</f>
        <v/>
      </c>
      <c r="MJ29" s="18">
        <f>IF(345&gt;=DeliverStart,ExpTurnoverPerUnit*TotalUnits/12*MJ$8*MJ$11,0)</f>
        <v/>
      </c>
      <c r="MK29" s="18">
        <f>IF(346&gt;=DeliverStart,ExpTurnoverPerUnit*TotalUnits/12*MK$8*MK$11,0)</f>
        <v/>
      </c>
      <c r="ML29" s="18">
        <f>IF(347&gt;=DeliverStart,ExpTurnoverPerUnit*TotalUnits/12*ML$8*ML$11,0)</f>
        <v/>
      </c>
      <c r="MM29" s="18">
        <f>IF(348&gt;=DeliverStart,ExpTurnoverPerUnit*TotalUnits/12*MM$8*MM$11,0)</f>
        <v/>
      </c>
      <c r="MN29" s="18">
        <f>IF(349&gt;=DeliverStart,ExpTurnoverPerUnit*TotalUnits/12*MN$8*MN$11,0)</f>
        <v/>
      </c>
      <c r="MO29" s="18">
        <f>IF(350&gt;=DeliverStart,ExpTurnoverPerUnit*TotalUnits/12*MO$8*MO$11,0)</f>
        <v/>
      </c>
      <c r="MP29" s="18">
        <f>IF(351&gt;=DeliverStart,ExpTurnoverPerUnit*TotalUnits/12*MP$8*MP$11,0)</f>
        <v/>
      </c>
      <c r="MQ29" s="18">
        <f>IF(352&gt;=DeliverStart,ExpTurnoverPerUnit*TotalUnits/12*MQ$8*MQ$11,0)</f>
        <v/>
      </c>
      <c r="MR29" s="18">
        <f>IF(353&gt;=DeliverStart,ExpTurnoverPerUnit*TotalUnits/12*MR$8*MR$11,0)</f>
        <v/>
      </c>
      <c r="MS29" s="18">
        <f>IF(354&gt;=DeliverStart,ExpTurnoverPerUnit*TotalUnits/12*MS$8*MS$11,0)</f>
        <v/>
      </c>
      <c r="MT29" s="18">
        <f>IF(355&gt;=DeliverStart,ExpTurnoverPerUnit*TotalUnits/12*MT$8*MT$11,0)</f>
        <v/>
      </c>
      <c r="MU29" s="18">
        <f>IF(356&gt;=DeliverStart,ExpTurnoverPerUnit*TotalUnits/12*MU$8*MU$11,0)</f>
        <v/>
      </c>
      <c r="MV29" s="18">
        <f>IF(357&gt;=DeliverStart,ExpTurnoverPerUnit*TotalUnits/12*MV$8*MV$11,0)</f>
        <v/>
      </c>
      <c r="MW29" s="18">
        <f>IF(358&gt;=DeliverStart,ExpTurnoverPerUnit*TotalUnits/12*MW$8*MW$11,0)</f>
        <v/>
      </c>
      <c r="MX29" s="18">
        <f>IF(359&gt;=DeliverStart,ExpTurnoverPerUnit*TotalUnits/12*MX$8*MX$11,0)</f>
        <v/>
      </c>
      <c r="MY29" s="18">
        <f>IF(360&gt;=DeliverStart,ExpTurnoverPerUnit*TotalUnits/12*MY$8*MY$11,0)</f>
        <v/>
      </c>
      <c r="MZ29" s="18">
        <f>IF(361&gt;=DeliverStart,ExpTurnoverPerUnit*TotalUnits/12*MZ$8*MZ$11,0)</f>
        <v/>
      </c>
      <c r="NA29" s="18">
        <f>IF(362&gt;=DeliverStart,ExpTurnoverPerUnit*TotalUnits/12*NA$8*NA$11,0)</f>
        <v/>
      </c>
      <c r="NB29" s="18">
        <f>IF(363&gt;=DeliverStart,ExpTurnoverPerUnit*TotalUnits/12*NB$8*NB$11,0)</f>
        <v/>
      </c>
      <c r="NC29" s="18">
        <f>IF(364&gt;=DeliverStart,ExpTurnoverPerUnit*TotalUnits/12*NC$8*NC$11,0)</f>
        <v/>
      </c>
      <c r="ND29" s="18">
        <f>IF(365&gt;=DeliverStart,ExpTurnoverPerUnit*TotalUnits/12*ND$8*ND$11,0)</f>
        <v/>
      </c>
      <c r="NE29" s="18">
        <f>IF(366&gt;=DeliverStart,ExpTurnoverPerUnit*TotalUnits/12*NE$8*NE$11,0)</f>
        <v/>
      </c>
      <c r="NF29" s="18">
        <f>IF(367&gt;=DeliverStart,ExpTurnoverPerUnit*TotalUnits/12*NF$8*NF$11,0)</f>
        <v/>
      </c>
      <c r="NG29" s="18">
        <f>IF(368&gt;=DeliverStart,ExpTurnoverPerUnit*TotalUnits/12*NG$8*NG$11,0)</f>
        <v/>
      </c>
      <c r="NH29" s="18">
        <f>IF(369&gt;=DeliverStart,ExpTurnoverPerUnit*TotalUnits/12*NH$8*NH$11,0)</f>
        <v/>
      </c>
      <c r="NI29" s="18">
        <f>IF(370&gt;=DeliverStart,ExpTurnoverPerUnit*TotalUnits/12*NI$8*NI$11,0)</f>
        <v/>
      </c>
      <c r="NJ29" s="18">
        <f>IF(371&gt;=DeliverStart,ExpTurnoverPerUnit*TotalUnits/12*NJ$8*NJ$11,0)</f>
        <v/>
      </c>
      <c r="NK29" s="18">
        <f>IF(372&gt;=DeliverStart,ExpTurnoverPerUnit*TotalUnits/12*NK$8*NK$11,0)</f>
        <v/>
      </c>
    </row>
    <row r="30">
      <c r="A30" s="5" t="inlineStr">
        <is>
          <t>Contract Services (variable)</t>
        </is>
      </c>
      <c r="C30" s="41">
        <f>SUM(D30:NK30)</f>
        <v/>
      </c>
      <c r="D30" s="18">
        <f>IF(1&gt;=DeliverStart,ExpContractPerUnit*TotalUnits/12*D$8*D$11,0)</f>
        <v/>
      </c>
      <c r="E30" s="18">
        <f>IF(2&gt;=DeliverStart,ExpContractPerUnit*TotalUnits/12*E$8*E$11,0)</f>
        <v/>
      </c>
      <c r="F30" s="18">
        <f>IF(3&gt;=DeliverStart,ExpContractPerUnit*TotalUnits/12*F$8*F$11,0)</f>
        <v/>
      </c>
      <c r="G30" s="18">
        <f>IF(4&gt;=DeliverStart,ExpContractPerUnit*TotalUnits/12*G$8*G$11,0)</f>
        <v/>
      </c>
      <c r="H30" s="18">
        <f>IF(5&gt;=DeliverStart,ExpContractPerUnit*TotalUnits/12*H$8*H$11,0)</f>
        <v/>
      </c>
      <c r="I30" s="18">
        <f>IF(6&gt;=DeliverStart,ExpContractPerUnit*TotalUnits/12*I$8*I$11,0)</f>
        <v/>
      </c>
      <c r="J30" s="18">
        <f>IF(7&gt;=DeliverStart,ExpContractPerUnit*TotalUnits/12*J$8*J$11,0)</f>
        <v/>
      </c>
      <c r="K30" s="18">
        <f>IF(8&gt;=DeliverStart,ExpContractPerUnit*TotalUnits/12*K$8*K$11,0)</f>
        <v/>
      </c>
      <c r="L30" s="18">
        <f>IF(9&gt;=DeliverStart,ExpContractPerUnit*TotalUnits/12*L$8*L$11,0)</f>
        <v/>
      </c>
      <c r="M30" s="18">
        <f>IF(10&gt;=DeliverStart,ExpContractPerUnit*TotalUnits/12*M$8*M$11,0)</f>
        <v/>
      </c>
      <c r="N30" s="18">
        <f>IF(11&gt;=DeliverStart,ExpContractPerUnit*TotalUnits/12*N$8*N$11,0)</f>
        <v/>
      </c>
      <c r="O30" s="18">
        <f>IF(12&gt;=DeliverStart,ExpContractPerUnit*TotalUnits/12*O$8*O$11,0)</f>
        <v/>
      </c>
      <c r="P30" s="18">
        <f>IF(13&gt;=DeliverStart,ExpContractPerUnit*TotalUnits/12*P$8*P$11,0)</f>
        <v/>
      </c>
      <c r="Q30" s="18">
        <f>IF(14&gt;=DeliverStart,ExpContractPerUnit*TotalUnits/12*Q$8*Q$11,0)</f>
        <v/>
      </c>
      <c r="R30" s="18">
        <f>IF(15&gt;=DeliverStart,ExpContractPerUnit*TotalUnits/12*R$8*R$11,0)</f>
        <v/>
      </c>
      <c r="S30" s="18">
        <f>IF(16&gt;=DeliverStart,ExpContractPerUnit*TotalUnits/12*S$8*S$11,0)</f>
        <v/>
      </c>
      <c r="T30" s="18">
        <f>IF(17&gt;=DeliverStart,ExpContractPerUnit*TotalUnits/12*T$8*T$11,0)</f>
        <v/>
      </c>
      <c r="U30" s="18">
        <f>IF(18&gt;=DeliverStart,ExpContractPerUnit*TotalUnits/12*U$8*U$11,0)</f>
        <v/>
      </c>
      <c r="V30" s="18">
        <f>IF(19&gt;=DeliverStart,ExpContractPerUnit*TotalUnits/12*V$8*V$11,0)</f>
        <v/>
      </c>
      <c r="W30" s="18">
        <f>IF(20&gt;=DeliverStart,ExpContractPerUnit*TotalUnits/12*W$8*W$11,0)</f>
        <v/>
      </c>
      <c r="X30" s="18">
        <f>IF(21&gt;=DeliverStart,ExpContractPerUnit*TotalUnits/12*X$8*X$11,0)</f>
        <v/>
      </c>
      <c r="Y30" s="18">
        <f>IF(22&gt;=DeliverStart,ExpContractPerUnit*TotalUnits/12*Y$8*Y$11,0)</f>
        <v/>
      </c>
      <c r="Z30" s="18">
        <f>IF(23&gt;=DeliverStart,ExpContractPerUnit*TotalUnits/12*Z$8*Z$11,0)</f>
        <v/>
      </c>
      <c r="AA30" s="18">
        <f>IF(24&gt;=DeliverStart,ExpContractPerUnit*TotalUnits/12*AA$8*AA$11,0)</f>
        <v/>
      </c>
      <c r="AB30" s="18">
        <f>IF(25&gt;=DeliverStart,ExpContractPerUnit*TotalUnits/12*AB$8*AB$11,0)</f>
        <v/>
      </c>
      <c r="AC30" s="18">
        <f>IF(26&gt;=DeliverStart,ExpContractPerUnit*TotalUnits/12*AC$8*AC$11,0)</f>
        <v/>
      </c>
      <c r="AD30" s="18">
        <f>IF(27&gt;=DeliverStart,ExpContractPerUnit*TotalUnits/12*AD$8*AD$11,0)</f>
        <v/>
      </c>
      <c r="AE30" s="18">
        <f>IF(28&gt;=DeliverStart,ExpContractPerUnit*TotalUnits/12*AE$8*AE$11,0)</f>
        <v/>
      </c>
      <c r="AF30" s="18">
        <f>IF(29&gt;=DeliverStart,ExpContractPerUnit*TotalUnits/12*AF$8*AF$11,0)</f>
        <v/>
      </c>
      <c r="AG30" s="18">
        <f>IF(30&gt;=DeliverStart,ExpContractPerUnit*TotalUnits/12*AG$8*AG$11,0)</f>
        <v/>
      </c>
      <c r="AH30" s="18">
        <f>IF(31&gt;=DeliverStart,ExpContractPerUnit*TotalUnits/12*AH$8*AH$11,0)</f>
        <v/>
      </c>
      <c r="AI30" s="18">
        <f>IF(32&gt;=DeliverStart,ExpContractPerUnit*TotalUnits/12*AI$8*AI$11,0)</f>
        <v/>
      </c>
      <c r="AJ30" s="18">
        <f>IF(33&gt;=DeliverStart,ExpContractPerUnit*TotalUnits/12*AJ$8*AJ$11,0)</f>
        <v/>
      </c>
      <c r="AK30" s="18">
        <f>IF(34&gt;=DeliverStart,ExpContractPerUnit*TotalUnits/12*AK$8*AK$11,0)</f>
        <v/>
      </c>
      <c r="AL30" s="18">
        <f>IF(35&gt;=DeliverStart,ExpContractPerUnit*TotalUnits/12*AL$8*AL$11,0)</f>
        <v/>
      </c>
      <c r="AM30" s="18">
        <f>IF(36&gt;=DeliverStart,ExpContractPerUnit*TotalUnits/12*AM$8*AM$11,0)</f>
        <v/>
      </c>
      <c r="AN30" s="18">
        <f>IF(37&gt;=DeliverStart,ExpContractPerUnit*TotalUnits/12*AN$8*AN$11,0)</f>
        <v/>
      </c>
      <c r="AO30" s="18">
        <f>IF(38&gt;=DeliverStart,ExpContractPerUnit*TotalUnits/12*AO$8*AO$11,0)</f>
        <v/>
      </c>
      <c r="AP30" s="18">
        <f>IF(39&gt;=DeliverStart,ExpContractPerUnit*TotalUnits/12*AP$8*AP$11,0)</f>
        <v/>
      </c>
      <c r="AQ30" s="18">
        <f>IF(40&gt;=DeliverStart,ExpContractPerUnit*TotalUnits/12*AQ$8*AQ$11,0)</f>
        <v/>
      </c>
      <c r="AR30" s="18">
        <f>IF(41&gt;=DeliverStart,ExpContractPerUnit*TotalUnits/12*AR$8*AR$11,0)</f>
        <v/>
      </c>
      <c r="AS30" s="18">
        <f>IF(42&gt;=DeliverStart,ExpContractPerUnit*TotalUnits/12*AS$8*AS$11,0)</f>
        <v/>
      </c>
      <c r="AT30" s="18">
        <f>IF(43&gt;=DeliverStart,ExpContractPerUnit*TotalUnits/12*AT$8*AT$11,0)</f>
        <v/>
      </c>
      <c r="AU30" s="18">
        <f>IF(44&gt;=DeliverStart,ExpContractPerUnit*TotalUnits/12*AU$8*AU$11,0)</f>
        <v/>
      </c>
      <c r="AV30" s="18">
        <f>IF(45&gt;=DeliverStart,ExpContractPerUnit*TotalUnits/12*AV$8*AV$11,0)</f>
        <v/>
      </c>
      <c r="AW30" s="18">
        <f>IF(46&gt;=DeliverStart,ExpContractPerUnit*TotalUnits/12*AW$8*AW$11,0)</f>
        <v/>
      </c>
      <c r="AX30" s="18">
        <f>IF(47&gt;=DeliverStart,ExpContractPerUnit*TotalUnits/12*AX$8*AX$11,0)</f>
        <v/>
      </c>
      <c r="AY30" s="18">
        <f>IF(48&gt;=DeliverStart,ExpContractPerUnit*TotalUnits/12*AY$8*AY$11,0)</f>
        <v/>
      </c>
      <c r="AZ30" s="18">
        <f>IF(49&gt;=DeliverStart,ExpContractPerUnit*TotalUnits/12*AZ$8*AZ$11,0)</f>
        <v/>
      </c>
      <c r="BA30" s="18">
        <f>IF(50&gt;=DeliverStart,ExpContractPerUnit*TotalUnits/12*BA$8*BA$11,0)</f>
        <v/>
      </c>
      <c r="BB30" s="18">
        <f>IF(51&gt;=DeliverStart,ExpContractPerUnit*TotalUnits/12*BB$8*BB$11,0)</f>
        <v/>
      </c>
      <c r="BC30" s="18">
        <f>IF(52&gt;=DeliverStart,ExpContractPerUnit*TotalUnits/12*BC$8*BC$11,0)</f>
        <v/>
      </c>
      <c r="BD30" s="18">
        <f>IF(53&gt;=DeliverStart,ExpContractPerUnit*TotalUnits/12*BD$8*BD$11,0)</f>
        <v/>
      </c>
      <c r="BE30" s="18">
        <f>IF(54&gt;=DeliverStart,ExpContractPerUnit*TotalUnits/12*BE$8*BE$11,0)</f>
        <v/>
      </c>
      <c r="BF30" s="18">
        <f>IF(55&gt;=DeliverStart,ExpContractPerUnit*TotalUnits/12*BF$8*BF$11,0)</f>
        <v/>
      </c>
      <c r="BG30" s="18">
        <f>IF(56&gt;=DeliverStart,ExpContractPerUnit*TotalUnits/12*BG$8*BG$11,0)</f>
        <v/>
      </c>
      <c r="BH30" s="18">
        <f>IF(57&gt;=DeliverStart,ExpContractPerUnit*TotalUnits/12*BH$8*BH$11,0)</f>
        <v/>
      </c>
      <c r="BI30" s="18">
        <f>IF(58&gt;=DeliverStart,ExpContractPerUnit*TotalUnits/12*BI$8*BI$11,0)</f>
        <v/>
      </c>
      <c r="BJ30" s="18">
        <f>IF(59&gt;=DeliverStart,ExpContractPerUnit*TotalUnits/12*BJ$8*BJ$11,0)</f>
        <v/>
      </c>
      <c r="BK30" s="18">
        <f>IF(60&gt;=DeliverStart,ExpContractPerUnit*TotalUnits/12*BK$8*BK$11,0)</f>
        <v/>
      </c>
      <c r="BL30" s="18">
        <f>IF(61&gt;=DeliverStart,ExpContractPerUnit*TotalUnits/12*BL$8*BL$11,0)</f>
        <v/>
      </c>
      <c r="BM30" s="18">
        <f>IF(62&gt;=DeliverStart,ExpContractPerUnit*TotalUnits/12*BM$8*BM$11,0)</f>
        <v/>
      </c>
      <c r="BN30" s="18">
        <f>IF(63&gt;=DeliverStart,ExpContractPerUnit*TotalUnits/12*BN$8*BN$11,0)</f>
        <v/>
      </c>
      <c r="BO30" s="18">
        <f>IF(64&gt;=DeliverStart,ExpContractPerUnit*TotalUnits/12*BO$8*BO$11,0)</f>
        <v/>
      </c>
      <c r="BP30" s="18">
        <f>IF(65&gt;=DeliverStart,ExpContractPerUnit*TotalUnits/12*BP$8*BP$11,0)</f>
        <v/>
      </c>
      <c r="BQ30" s="18">
        <f>IF(66&gt;=DeliverStart,ExpContractPerUnit*TotalUnits/12*BQ$8*BQ$11,0)</f>
        <v/>
      </c>
      <c r="BR30" s="18">
        <f>IF(67&gt;=DeliverStart,ExpContractPerUnit*TotalUnits/12*BR$8*BR$11,0)</f>
        <v/>
      </c>
      <c r="BS30" s="18">
        <f>IF(68&gt;=DeliverStart,ExpContractPerUnit*TotalUnits/12*BS$8*BS$11,0)</f>
        <v/>
      </c>
      <c r="BT30" s="18">
        <f>IF(69&gt;=DeliverStart,ExpContractPerUnit*TotalUnits/12*BT$8*BT$11,0)</f>
        <v/>
      </c>
      <c r="BU30" s="18">
        <f>IF(70&gt;=DeliverStart,ExpContractPerUnit*TotalUnits/12*BU$8*BU$11,0)</f>
        <v/>
      </c>
      <c r="BV30" s="18">
        <f>IF(71&gt;=DeliverStart,ExpContractPerUnit*TotalUnits/12*BV$8*BV$11,0)</f>
        <v/>
      </c>
      <c r="BW30" s="18">
        <f>IF(72&gt;=DeliverStart,ExpContractPerUnit*TotalUnits/12*BW$8*BW$11,0)</f>
        <v/>
      </c>
      <c r="BX30" s="18">
        <f>IF(73&gt;=DeliverStart,ExpContractPerUnit*TotalUnits/12*BX$8*BX$11,0)</f>
        <v/>
      </c>
      <c r="BY30" s="18">
        <f>IF(74&gt;=DeliverStart,ExpContractPerUnit*TotalUnits/12*BY$8*BY$11,0)</f>
        <v/>
      </c>
      <c r="BZ30" s="18">
        <f>IF(75&gt;=DeliverStart,ExpContractPerUnit*TotalUnits/12*BZ$8*BZ$11,0)</f>
        <v/>
      </c>
      <c r="CA30" s="18">
        <f>IF(76&gt;=DeliverStart,ExpContractPerUnit*TotalUnits/12*CA$8*CA$11,0)</f>
        <v/>
      </c>
      <c r="CB30" s="18">
        <f>IF(77&gt;=DeliverStart,ExpContractPerUnit*TotalUnits/12*CB$8*CB$11,0)</f>
        <v/>
      </c>
      <c r="CC30" s="18">
        <f>IF(78&gt;=DeliverStart,ExpContractPerUnit*TotalUnits/12*CC$8*CC$11,0)</f>
        <v/>
      </c>
      <c r="CD30" s="18">
        <f>IF(79&gt;=DeliverStart,ExpContractPerUnit*TotalUnits/12*CD$8*CD$11,0)</f>
        <v/>
      </c>
      <c r="CE30" s="18">
        <f>IF(80&gt;=DeliverStart,ExpContractPerUnit*TotalUnits/12*CE$8*CE$11,0)</f>
        <v/>
      </c>
      <c r="CF30" s="18">
        <f>IF(81&gt;=DeliverStart,ExpContractPerUnit*TotalUnits/12*CF$8*CF$11,0)</f>
        <v/>
      </c>
      <c r="CG30" s="18">
        <f>IF(82&gt;=DeliverStart,ExpContractPerUnit*TotalUnits/12*CG$8*CG$11,0)</f>
        <v/>
      </c>
      <c r="CH30" s="18">
        <f>IF(83&gt;=DeliverStart,ExpContractPerUnit*TotalUnits/12*CH$8*CH$11,0)</f>
        <v/>
      </c>
      <c r="CI30" s="18">
        <f>IF(84&gt;=DeliverStart,ExpContractPerUnit*TotalUnits/12*CI$8*CI$11,0)</f>
        <v/>
      </c>
      <c r="CJ30" s="18">
        <f>IF(85&gt;=DeliverStart,ExpContractPerUnit*TotalUnits/12*CJ$8*CJ$11,0)</f>
        <v/>
      </c>
      <c r="CK30" s="18">
        <f>IF(86&gt;=DeliverStart,ExpContractPerUnit*TotalUnits/12*CK$8*CK$11,0)</f>
        <v/>
      </c>
      <c r="CL30" s="18">
        <f>IF(87&gt;=DeliverStart,ExpContractPerUnit*TotalUnits/12*CL$8*CL$11,0)</f>
        <v/>
      </c>
      <c r="CM30" s="18">
        <f>IF(88&gt;=DeliverStart,ExpContractPerUnit*TotalUnits/12*CM$8*CM$11,0)</f>
        <v/>
      </c>
      <c r="CN30" s="18">
        <f>IF(89&gt;=DeliverStart,ExpContractPerUnit*TotalUnits/12*CN$8*CN$11,0)</f>
        <v/>
      </c>
      <c r="CO30" s="18">
        <f>IF(90&gt;=DeliverStart,ExpContractPerUnit*TotalUnits/12*CO$8*CO$11,0)</f>
        <v/>
      </c>
      <c r="CP30" s="18">
        <f>IF(91&gt;=DeliverStart,ExpContractPerUnit*TotalUnits/12*CP$8*CP$11,0)</f>
        <v/>
      </c>
      <c r="CQ30" s="18">
        <f>IF(92&gt;=DeliverStart,ExpContractPerUnit*TotalUnits/12*CQ$8*CQ$11,0)</f>
        <v/>
      </c>
      <c r="CR30" s="18">
        <f>IF(93&gt;=DeliverStart,ExpContractPerUnit*TotalUnits/12*CR$8*CR$11,0)</f>
        <v/>
      </c>
      <c r="CS30" s="18">
        <f>IF(94&gt;=DeliverStart,ExpContractPerUnit*TotalUnits/12*CS$8*CS$11,0)</f>
        <v/>
      </c>
      <c r="CT30" s="18">
        <f>IF(95&gt;=DeliverStart,ExpContractPerUnit*TotalUnits/12*CT$8*CT$11,0)</f>
        <v/>
      </c>
      <c r="CU30" s="18">
        <f>IF(96&gt;=DeliverStart,ExpContractPerUnit*TotalUnits/12*CU$8*CU$11,0)</f>
        <v/>
      </c>
      <c r="CV30" s="18">
        <f>IF(97&gt;=DeliverStart,ExpContractPerUnit*TotalUnits/12*CV$8*CV$11,0)</f>
        <v/>
      </c>
      <c r="CW30" s="18">
        <f>IF(98&gt;=DeliverStart,ExpContractPerUnit*TotalUnits/12*CW$8*CW$11,0)</f>
        <v/>
      </c>
      <c r="CX30" s="18">
        <f>IF(99&gt;=DeliverStart,ExpContractPerUnit*TotalUnits/12*CX$8*CX$11,0)</f>
        <v/>
      </c>
      <c r="CY30" s="18">
        <f>IF(100&gt;=DeliverStart,ExpContractPerUnit*TotalUnits/12*CY$8*CY$11,0)</f>
        <v/>
      </c>
      <c r="CZ30" s="18">
        <f>IF(101&gt;=DeliverStart,ExpContractPerUnit*TotalUnits/12*CZ$8*CZ$11,0)</f>
        <v/>
      </c>
      <c r="DA30" s="18">
        <f>IF(102&gt;=DeliverStart,ExpContractPerUnit*TotalUnits/12*DA$8*DA$11,0)</f>
        <v/>
      </c>
      <c r="DB30" s="18">
        <f>IF(103&gt;=DeliverStart,ExpContractPerUnit*TotalUnits/12*DB$8*DB$11,0)</f>
        <v/>
      </c>
      <c r="DC30" s="18">
        <f>IF(104&gt;=DeliverStart,ExpContractPerUnit*TotalUnits/12*DC$8*DC$11,0)</f>
        <v/>
      </c>
      <c r="DD30" s="18">
        <f>IF(105&gt;=DeliverStart,ExpContractPerUnit*TotalUnits/12*DD$8*DD$11,0)</f>
        <v/>
      </c>
      <c r="DE30" s="18">
        <f>IF(106&gt;=DeliverStart,ExpContractPerUnit*TotalUnits/12*DE$8*DE$11,0)</f>
        <v/>
      </c>
      <c r="DF30" s="18">
        <f>IF(107&gt;=DeliverStart,ExpContractPerUnit*TotalUnits/12*DF$8*DF$11,0)</f>
        <v/>
      </c>
      <c r="DG30" s="18">
        <f>IF(108&gt;=DeliverStart,ExpContractPerUnit*TotalUnits/12*DG$8*DG$11,0)</f>
        <v/>
      </c>
      <c r="DH30" s="18">
        <f>IF(109&gt;=DeliverStart,ExpContractPerUnit*TotalUnits/12*DH$8*DH$11,0)</f>
        <v/>
      </c>
      <c r="DI30" s="18">
        <f>IF(110&gt;=DeliverStart,ExpContractPerUnit*TotalUnits/12*DI$8*DI$11,0)</f>
        <v/>
      </c>
      <c r="DJ30" s="18">
        <f>IF(111&gt;=DeliverStart,ExpContractPerUnit*TotalUnits/12*DJ$8*DJ$11,0)</f>
        <v/>
      </c>
      <c r="DK30" s="18">
        <f>IF(112&gt;=DeliverStart,ExpContractPerUnit*TotalUnits/12*DK$8*DK$11,0)</f>
        <v/>
      </c>
      <c r="DL30" s="18">
        <f>IF(113&gt;=DeliverStart,ExpContractPerUnit*TotalUnits/12*DL$8*DL$11,0)</f>
        <v/>
      </c>
      <c r="DM30" s="18">
        <f>IF(114&gt;=DeliverStart,ExpContractPerUnit*TotalUnits/12*DM$8*DM$11,0)</f>
        <v/>
      </c>
      <c r="DN30" s="18">
        <f>IF(115&gt;=DeliverStart,ExpContractPerUnit*TotalUnits/12*DN$8*DN$11,0)</f>
        <v/>
      </c>
      <c r="DO30" s="18">
        <f>IF(116&gt;=DeliverStart,ExpContractPerUnit*TotalUnits/12*DO$8*DO$11,0)</f>
        <v/>
      </c>
      <c r="DP30" s="18">
        <f>IF(117&gt;=DeliverStart,ExpContractPerUnit*TotalUnits/12*DP$8*DP$11,0)</f>
        <v/>
      </c>
      <c r="DQ30" s="18">
        <f>IF(118&gt;=DeliverStart,ExpContractPerUnit*TotalUnits/12*DQ$8*DQ$11,0)</f>
        <v/>
      </c>
      <c r="DR30" s="18">
        <f>IF(119&gt;=DeliverStart,ExpContractPerUnit*TotalUnits/12*DR$8*DR$11,0)</f>
        <v/>
      </c>
      <c r="DS30" s="18">
        <f>IF(120&gt;=DeliverStart,ExpContractPerUnit*TotalUnits/12*DS$8*DS$11,0)</f>
        <v/>
      </c>
      <c r="DT30" s="18">
        <f>IF(121&gt;=DeliverStart,ExpContractPerUnit*TotalUnits/12*DT$8*DT$11,0)</f>
        <v/>
      </c>
      <c r="DU30" s="18">
        <f>IF(122&gt;=DeliverStart,ExpContractPerUnit*TotalUnits/12*DU$8*DU$11,0)</f>
        <v/>
      </c>
      <c r="DV30" s="18">
        <f>IF(123&gt;=DeliverStart,ExpContractPerUnit*TotalUnits/12*DV$8*DV$11,0)</f>
        <v/>
      </c>
      <c r="DW30" s="18">
        <f>IF(124&gt;=DeliverStart,ExpContractPerUnit*TotalUnits/12*DW$8*DW$11,0)</f>
        <v/>
      </c>
      <c r="DX30" s="18">
        <f>IF(125&gt;=DeliverStart,ExpContractPerUnit*TotalUnits/12*DX$8*DX$11,0)</f>
        <v/>
      </c>
      <c r="DY30" s="18">
        <f>IF(126&gt;=DeliverStart,ExpContractPerUnit*TotalUnits/12*DY$8*DY$11,0)</f>
        <v/>
      </c>
      <c r="DZ30" s="18">
        <f>IF(127&gt;=DeliverStart,ExpContractPerUnit*TotalUnits/12*DZ$8*DZ$11,0)</f>
        <v/>
      </c>
      <c r="EA30" s="18">
        <f>IF(128&gt;=DeliverStart,ExpContractPerUnit*TotalUnits/12*EA$8*EA$11,0)</f>
        <v/>
      </c>
      <c r="EB30" s="18">
        <f>IF(129&gt;=DeliverStart,ExpContractPerUnit*TotalUnits/12*EB$8*EB$11,0)</f>
        <v/>
      </c>
      <c r="EC30" s="18">
        <f>IF(130&gt;=DeliverStart,ExpContractPerUnit*TotalUnits/12*EC$8*EC$11,0)</f>
        <v/>
      </c>
      <c r="ED30" s="18">
        <f>IF(131&gt;=DeliverStart,ExpContractPerUnit*TotalUnits/12*ED$8*ED$11,0)</f>
        <v/>
      </c>
      <c r="EE30" s="18">
        <f>IF(132&gt;=DeliverStart,ExpContractPerUnit*TotalUnits/12*EE$8*EE$11,0)</f>
        <v/>
      </c>
      <c r="EF30" s="18">
        <f>IF(133&gt;=DeliverStart,ExpContractPerUnit*TotalUnits/12*EF$8*EF$11,0)</f>
        <v/>
      </c>
      <c r="EG30" s="18">
        <f>IF(134&gt;=DeliverStart,ExpContractPerUnit*TotalUnits/12*EG$8*EG$11,0)</f>
        <v/>
      </c>
      <c r="EH30" s="18">
        <f>IF(135&gt;=DeliverStart,ExpContractPerUnit*TotalUnits/12*EH$8*EH$11,0)</f>
        <v/>
      </c>
      <c r="EI30" s="18">
        <f>IF(136&gt;=DeliverStart,ExpContractPerUnit*TotalUnits/12*EI$8*EI$11,0)</f>
        <v/>
      </c>
      <c r="EJ30" s="18">
        <f>IF(137&gt;=DeliverStart,ExpContractPerUnit*TotalUnits/12*EJ$8*EJ$11,0)</f>
        <v/>
      </c>
      <c r="EK30" s="18">
        <f>IF(138&gt;=DeliverStart,ExpContractPerUnit*TotalUnits/12*EK$8*EK$11,0)</f>
        <v/>
      </c>
      <c r="EL30" s="18">
        <f>IF(139&gt;=DeliverStart,ExpContractPerUnit*TotalUnits/12*EL$8*EL$11,0)</f>
        <v/>
      </c>
      <c r="EM30" s="18">
        <f>IF(140&gt;=DeliverStart,ExpContractPerUnit*TotalUnits/12*EM$8*EM$11,0)</f>
        <v/>
      </c>
      <c r="EN30" s="18">
        <f>IF(141&gt;=DeliverStart,ExpContractPerUnit*TotalUnits/12*EN$8*EN$11,0)</f>
        <v/>
      </c>
      <c r="EO30" s="18">
        <f>IF(142&gt;=DeliverStart,ExpContractPerUnit*TotalUnits/12*EO$8*EO$11,0)</f>
        <v/>
      </c>
      <c r="EP30" s="18">
        <f>IF(143&gt;=DeliverStart,ExpContractPerUnit*TotalUnits/12*EP$8*EP$11,0)</f>
        <v/>
      </c>
      <c r="EQ30" s="18">
        <f>IF(144&gt;=DeliverStart,ExpContractPerUnit*TotalUnits/12*EQ$8*EQ$11,0)</f>
        <v/>
      </c>
      <c r="ER30" s="18">
        <f>IF(145&gt;=DeliverStart,ExpContractPerUnit*TotalUnits/12*ER$8*ER$11,0)</f>
        <v/>
      </c>
      <c r="ES30" s="18">
        <f>IF(146&gt;=DeliverStart,ExpContractPerUnit*TotalUnits/12*ES$8*ES$11,0)</f>
        <v/>
      </c>
      <c r="ET30" s="18">
        <f>IF(147&gt;=DeliverStart,ExpContractPerUnit*TotalUnits/12*ET$8*ET$11,0)</f>
        <v/>
      </c>
      <c r="EU30" s="18">
        <f>IF(148&gt;=DeliverStart,ExpContractPerUnit*TotalUnits/12*EU$8*EU$11,0)</f>
        <v/>
      </c>
      <c r="EV30" s="18">
        <f>IF(149&gt;=DeliverStart,ExpContractPerUnit*TotalUnits/12*EV$8*EV$11,0)</f>
        <v/>
      </c>
      <c r="EW30" s="18">
        <f>IF(150&gt;=DeliverStart,ExpContractPerUnit*TotalUnits/12*EW$8*EW$11,0)</f>
        <v/>
      </c>
      <c r="EX30" s="18">
        <f>IF(151&gt;=DeliverStart,ExpContractPerUnit*TotalUnits/12*EX$8*EX$11,0)</f>
        <v/>
      </c>
      <c r="EY30" s="18">
        <f>IF(152&gt;=DeliverStart,ExpContractPerUnit*TotalUnits/12*EY$8*EY$11,0)</f>
        <v/>
      </c>
      <c r="EZ30" s="18">
        <f>IF(153&gt;=DeliverStart,ExpContractPerUnit*TotalUnits/12*EZ$8*EZ$11,0)</f>
        <v/>
      </c>
      <c r="FA30" s="18">
        <f>IF(154&gt;=DeliverStart,ExpContractPerUnit*TotalUnits/12*FA$8*FA$11,0)</f>
        <v/>
      </c>
      <c r="FB30" s="18">
        <f>IF(155&gt;=DeliverStart,ExpContractPerUnit*TotalUnits/12*FB$8*FB$11,0)</f>
        <v/>
      </c>
      <c r="FC30" s="18">
        <f>IF(156&gt;=DeliverStart,ExpContractPerUnit*TotalUnits/12*FC$8*FC$11,0)</f>
        <v/>
      </c>
      <c r="FD30" s="18">
        <f>IF(157&gt;=DeliverStart,ExpContractPerUnit*TotalUnits/12*FD$8*FD$11,0)</f>
        <v/>
      </c>
      <c r="FE30" s="18">
        <f>IF(158&gt;=DeliverStart,ExpContractPerUnit*TotalUnits/12*FE$8*FE$11,0)</f>
        <v/>
      </c>
      <c r="FF30" s="18">
        <f>IF(159&gt;=DeliverStart,ExpContractPerUnit*TotalUnits/12*FF$8*FF$11,0)</f>
        <v/>
      </c>
      <c r="FG30" s="18">
        <f>IF(160&gt;=DeliverStart,ExpContractPerUnit*TotalUnits/12*FG$8*FG$11,0)</f>
        <v/>
      </c>
      <c r="FH30" s="18">
        <f>IF(161&gt;=DeliverStart,ExpContractPerUnit*TotalUnits/12*FH$8*FH$11,0)</f>
        <v/>
      </c>
      <c r="FI30" s="18">
        <f>IF(162&gt;=DeliverStart,ExpContractPerUnit*TotalUnits/12*FI$8*FI$11,0)</f>
        <v/>
      </c>
      <c r="FJ30" s="18">
        <f>IF(163&gt;=DeliverStart,ExpContractPerUnit*TotalUnits/12*FJ$8*FJ$11,0)</f>
        <v/>
      </c>
      <c r="FK30" s="18">
        <f>IF(164&gt;=DeliverStart,ExpContractPerUnit*TotalUnits/12*FK$8*FK$11,0)</f>
        <v/>
      </c>
      <c r="FL30" s="18">
        <f>IF(165&gt;=DeliverStart,ExpContractPerUnit*TotalUnits/12*FL$8*FL$11,0)</f>
        <v/>
      </c>
      <c r="FM30" s="18">
        <f>IF(166&gt;=DeliverStart,ExpContractPerUnit*TotalUnits/12*FM$8*FM$11,0)</f>
        <v/>
      </c>
      <c r="FN30" s="18">
        <f>IF(167&gt;=DeliverStart,ExpContractPerUnit*TotalUnits/12*FN$8*FN$11,0)</f>
        <v/>
      </c>
      <c r="FO30" s="18">
        <f>IF(168&gt;=DeliverStart,ExpContractPerUnit*TotalUnits/12*FO$8*FO$11,0)</f>
        <v/>
      </c>
      <c r="FP30" s="18">
        <f>IF(169&gt;=DeliverStart,ExpContractPerUnit*TotalUnits/12*FP$8*FP$11,0)</f>
        <v/>
      </c>
      <c r="FQ30" s="18">
        <f>IF(170&gt;=DeliverStart,ExpContractPerUnit*TotalUnits/12*FQ$8*FQ$11,0)</f>
        <v/>
      </c>
      <c r="FR30" s="18">
        <f>IF(171&gt;=DeliverStart,ExpContractPerUnit*TotalUnits/12*FR$8*FR$11,0)</f>
        <v/>
      </c>
      <c r="FS30" s="18">
        <f>IF(172&gt;=DeliverStart,ExpContractPerUnit*TotalUnits/12*FS$8*FS$11,0)</f>
        <v/>
      </c>
      <c r="FT30" s="18">
        <f>IF(173&gt;=DeliverStart,ExpContractPerUnit*TotalUnits/12*FT$8*FT$11,0)</f>
        <v/>
      </c>
      <c r="FU30" s="18">
        <f>IF(174&gt;=DeliverStart,ExpContractPerUnit*TotalUnits/12*FU$8*FU$11,0)</f>
        <v/>
      </c>
      <c r="FV30" s="18">
        <f>IF(175&gt;=DeliverStart,ExpContractPerUnit*TotalUnits/12*FV$8*FV$11,0)</f>
        <v/>
      </c>
      <c r="FW30" s="18">
        <f>IF(176&gt;=DeliverStart,ExpContractPerUnit*TotalUnits/12*FW$8*FW$11,0)</f>
        <v/>
      </c>
      <c r="FX30" s="18">
        <f>IF(177&gt;=DeliverStart,ExpContractPerUnit*TotalUnits/12*FX$8*FX$11,0)</f>
        <v/>
      </c>
      <c r="FY30" s="18">
        <f>IF(178&gt;=DeliverStart,ExpContractPerUnit*TotalUnits/12*FY$8*FY$11,0)</f>
        <v/>
      </c>
      <c r="FZ30" s="18">
        <f>IF(179&gt;=DeliverStart,ExpContractPerUnit*TotalUnits/12*FZ$8*FZ$11,0)</f>
        <v/>
      </c>
      <c r="GA30" s="18">
        <f>IF(180&gt;=DeliverStart,ExpContractPerUnit*TotalUnits/12*GA$8*GA$11,0)</f>
        <v/>
      </c>
      <c r="GB30" s="18">
        <f>IF(181&gt;=DeliverStart,ExpContractPerUnit*TotalUnits/12*GB$8*GB$11,0)</f>
        <v/>
      </c>
      <c r="GC30" s="18">
        <f>IF(182&gt;=DeliverStart,ExpContractPerUnit*TotalUnits/12*GC$8*GC$11,0)</f>
        <v/>
      </c>
      <c r="GD30" s="18">
        <f>IF(183&gt;=DeliverStart,ExpContractPerUnit*TotalUnits/12*GD$8*GD$11,0)</f>
        <v/>
      </c>
      <c r="GE30" s="18">
        <f>IF(184&gt;=DeliverStart,ExpContractPerUnit*TotalUnits/12*GE$8*GE$11,0)</f>
        <v/>
      </c>
      <c r="GF30" s="18">
        <f>IF(185&gt;=DeliverStart,ExpContractPerUnit*TotalUnits/12*GF$8*GF$11,0)</f>
        <v/>
      </c>
      <c r="GG30" s="18">
        <f>IF(186&gt;=DeliverStart,ExpContractPerUnit*TotalUnits/12*GG$8*GG$11,0)</f>
        <v/>
      </c>
      <c r="GH30" s="18">
        <f>IF(187&gt;=DeliverStart,ExpContractPerUnit*TotalUnits/12*GH$8*GH$11,0)</f>
        <v/>
      </c>
      <c r="GI30" s="18">
        <f>IF(188&gt;=DeliverStart,ExpContractPerUnit*TotalUnits/12*GI$8*GI$11,0)</f>
        <v/>
      </c>
      <c r="GJ30" s="18">
        <f>IF(189&gt;=DeliverStart,ExpContractPerUnit*TotalUnits/12*GJ$8*GJ$11,0)</f>
        <v/>
      </c>
      <c r="GK30" s="18">
        <f>IF(190&gt;=DeliverStart,ExpContractPerUnit*TotalUnits/12*GK$8*GK$11,0)</f>
        <v/>
      </c>
      <c r="GL30" s="18">
        <f>IF(191&gt;=DeliverStart,ExpContractPerUnit*TotalUnits/12*GL$8*GL$11,0)</f>
        <v/>
      </c>
      <c r="GM30" s="18">
        <f>IF(192&gt;=DeliverStart,ExpContractPerUnit*TotalUnits/12*GM$8*GM$11,0)</f>
        <v/>
      </c>
      <c r="GN30" s="18">
        <f>IF(193&gt;=DeliverStart,ExpContractPerUnit*TotalUnits/12*GN$8*GN$11,0)</f>
        <v/>
      </c>
      <c r="GO30" s="18">
        <f>IF(194&gt;=DeliverStart,ExpContractPerUnit*TotalUnits/12*GO$8*GO$11,0)</f>
        <v/>
      </c>
      <c r="GP30" s="18">
        <f>IF(195&gt;=DeliverStart,ExpContractPerUnit*TotalUnits/12*GP$8*GP$11,0)</f>
        <v/>
      </c>
      <c r="GQ30" s="18">
        <f>IF(196&gt;=DeliverStart,ExpContractPerUnit*TotalUnits/12*GQ$8*GQ$11,0)</f>
        <v/>
      </c>
      <c r="GR30" s="18">
        <f>IF(197&gt;=DeliverStart,ExpContractPerUnit*TotalUnits/12*GR$8*GR$11,0)</f>
        <v/>
      </c>
      <c r="GS30" s="18">
        <f>IF(198&gt;=DeliverStart,ExpContractPerUnit*TotalUnits/12*GS$8*GS$11,0)</f>
        <v/>
      </c>
      <c r="GT30" s="18">
        <f>IF(199&gt;=DeliverStart,ExpContractPerUnit*TotalUnits/12*GT$8*GT$11,0)</f>
        <v/>
      </c>
      <c r="GU30" s="18">
        <f>IF(200&gt;=DeliverStart,ExpContractPerUnit*TotalUnits/12*GU$8*GU$11,0)</f>
        <v/>
      </c>
      <c r="GV30" s="18">
        <f>IF(201&gt;=DeliverStart,ExpContractPerUnit*TotalUnits/12*GV$8*GV$11,0)</f>
        <v/>
      </c>
      <c r="GW30" s="18">
        <f>IF(202&gt;=DeliverStart,ExpContractPerUnit*TotalUnits/12*GW$8*GW$11,0)</f>
        <v/>
      </c>
      <c r="GX30" s="18">
        <f>IF(203&gt;=DeliverStart,ExpContractPerUnit*TotalUnits/12*GX$8*GX$11,0)</f>
        <v/>
      </c>
      <c r="GY30" s="18">
        <f>IF(204&gt;=DeliverStart,ExpContractPerUnit*TotalUnits/12*GY$8*GY$11,0)</f>
        <v/>
      </c>
      <c r="GZ30" s="18">
        <f>IF(205&gt;=DeliverStart,ExpContractPerUnit*TotalUnits/12*GZ$8*GZ$11,0)</f>
        <v/>
      </c>
      <c r="HA30" s="18">
        <f>IF(206&gt;=DeliverStart,ExpContractPerUnit*TotalUnits/12*HA$8*HA$11,0)</f>
        <v/>
      </c>
      <c r="HB30" s="18">
        <f>IF(207&gt;=DeliverStart,ExpContractPerUnit*TotalUnits/12*HB$8*HB$11,0)</f>
        <v/>
      </c>
      <c r="HC30" s="18">
        <f>IF(208&gt;=DeliverStart,ExpContractPerUnit*TotalUnits/12*HC$8*HC$11,0)</f>
        <v/>
      </c>
      <c r="HD30" s="18">
        <f>IF(209&gt;=DeliverStart,ExpContractPerUnit*TotalUnits/12*HD$8*HD$11,0)</f>
        <v/>
      </c>
      <c r="HE30" s="18">
        <f>IF(210&gt;=DeliverStart,ExpContractPerUnit*TotalUnits/12*HE$8*HE$11,0)</f>
        <v/>
      </c>
      <c r="HF30" s="18">
        <f>IF(211&gt;=DeliverStart,ExpContractPerUnit*TotalUnits/12*HF$8*HF$11,0)</f>
        <v/>
      </c>
      <c r="HG30" s="18">
        <f>IF(212&gt;=DeliverStart,ExpContractPerUnit*TotalUnits/12*HG$8*HG$11,0)</f>
        <v/>
      </c>
      <c r="HH30" s="18">
        <f>IF(213&gt;=DeliverStart,ExpContractPerUnit*TotalUnits/12*HH$8*HH$11,0)</f>
        <v/>
      </c>
      <c r="HI30" s="18">
        <f>IF(214&gt;=DeliverStart,ExpContractPerUnit*TotalUnits/12*HI$8*HI$11,0)</f>
        <v/>
      </c>
      <c r="HJ30" s="18">
        <f>IF(215&gt;=DeliverStart,ExpContractPerUnit*TotalUnits/12*HJ$8*HJ$11,0)</f>
        <v/>
      </c>
      <c r="HK30" s="18">
        <f>IF(216&gt;=DeliverStart,ExpContractPerUnit*TotalUnits/12*HK$8*HK$11,0)</f>
        <v/>
      </c>
      <c r="HL30" s="18">
        <f>IF(217&gt;=DeliverStart,ExpContractPerUnit*TotalUnits/12*HL$8*HL$11,0)</f>
        <v/>
      </c>
      <c r="HM30" s="18">
        <f>IF(218&gt;=DeliverStart,ExpContractPerUnit*TotalUnits/12*HM$8*HM$11,0)</f>
        <v/>
      </c>
      <c r="HN30" s="18">
        <f>IF(219&gt;=DeliverStart,ExpContractPerUnit*TotalUnits/12*HN$8*HN$11,0)</f>
        <v/>
      </c>
      <c r="HO30" s="18">
        <f>IF(220&gt;=DeliverStart,ExpContractPerUnit*TotalUnits/12*HO$8*HO$11,0)</f>
        <v/>
      </c>
      <c r="HP30" s="18">
        <f>IF(221&gt;=DeliverStart,ExpContractPerUnit*TotalUnits/12*HP$8*HP$11,0)</f>
        <v/>
      </c>
      <c r="HQ30" s="18">
        <f>IF(222&gt;=DeliverStart,ExpContractPerUnit*TotalUnits/12*HQ$8*HQ$11,0)</f>
        <v/>
      </c>
      <c r="HR30" s="18">
        <f>IF(223&gt;=DeliverStart,ExpContractPerUnit*TotalUnits/12*HR$8*HR$11,0)</f>
        <v/>
      </c>
      <c r="HS30" s="18">
        <f>IF(224&gt;=DeliverStart,ExpContractPerUnit*TotalUnits/12*HS$8*HS$11,0)</f>
        <v/>
      </c>
      <c r="HT30" s="18">
        <f>IF(225&gt;=DeliverStart,ExpContractPerUnit*TotalUnits/12*HT$8*HT$11,0)</f>
        <v/>
      </c>
      <c r="HU30" s="18">
        <f>IF(226&gt;=DeliverStart,ExpContractPerUnit*TotalUnits/12*HU$8*HU$11,0)</f>
        <v/>
      </c>
      <c r="HV30" s="18">
        <f>IF(227&gt;=DeliverStart,ExpContractPerUnit*TotalUnits/12*HV$8*HV$11,0)</f>
        <v/>
      </c>
      <c r="HW30" s="18">
        <f>IF(228&gt;=DeliverStart,ExpContractPerUnit*TotalUnits/12*HW$8*HW$11,0)</f>
        <v/>
      </c>
      <c r="HX30" s="18">
        <f>IF(229&gt;=DeliverStart,ExpContractPerUnit*TotalUnits/12*HX$8*HX$11,0)</f>
        <v/>
      </c>
      <c r="HY30" s="18">
        <f>IF(230&gt;=DeliverStart,ExpContractPerUnit*TotalUnits/12*HY$8*HY$11,0)</f>
        <v/>
      </c>
      <c r="HZ30" s="18">
        <f>IF(231&gt;=DeliverStart,ExpContractPerUnit*TotalUnits/12*HZ$8*HZ$11,0)</f>
        <v/>
      </c>
      <c r="IA30" s="18">
        <f>IF(232&gt;=DeliverStart,ExpContractPerUnit*TotalUnits/12*IA$8*IA$11,0)</f>
        <v/>
      </c>
      <c r="IB30" s="18">
        <f>IF(233&gt;=DeliverStart,ExpContractPerUnit*TotalUnits/12*IB$8*IB$11,0)</f>
        <v/>
      </c>
      <c r="IC30" s="18">
        <f>IF(234&gt;=DeliverStart,ExpContractPerUnit*TotalUnits/12*IC$8*IC$11,0)</f>
        <v/>
      </c>
      <c r="ID30" s="18">
        <f>IF(235&gt;=DeliverStart,ExpContractPerUnit*TotalUnits/12*ID$8*ID$11,0)</f>
        <v/>
      </c>
      <c r="IE30" s="18">
        <f>IF(236&gt;=DeliverStart,ExpContractPerUnit*TotalUnits/12*IE$8*IE$11,0)</f>
        <v/>
      </c>
      <c r="IF30" s="18">
        <f>IF(237&gt;=DeliverStart,ExpContractPerUnit*TotalUnits/12*IF$8*IF$11,0)</f>
        <v/>
      </c>
      <c r="IG30" s="18">
        <f>IF(238&gt;=DeliverStart,ExpContractPerUnit*TotalUnits/12*IG$8*IG$11,0)</f>
        <v/>
      </c>
      <c r="IH30" s="18">
        <f>IF(239&gt;=DeliverStart,ExpContractPerUnit*TotalUnits/12*IH$8*IH$11,0)</f>
        <v/>
      </c>
      <c r="II30" s="18">
        <f>IF(240&gt;=DeliverStart,ExpContractPerUnit*TotalUnits/12*II$8*II$11,0)</f>
        <v/>
      </c>
      <c r="IJ30" s="18">
        <f>IF(241&gt;=DeliverStart,ExpContractPerUnit*TotalUnits/12*IJ$8*IJ$11,0)</f>
        <v/>
      </c>
      <c r="IK30" s="18">
        <f>IF(242&gt;=DeliverStart,ExpContractPerUnit*TotalUnits/12*IK$8*IK$11,0)</f>
        <v/>
      </c>
      <c r="IL30" s="18">
        <f>IF(243&gt;=DeliverStart,ExpContractPerUnit*TotalUnits/12*IL$8*IL$11,0)</f>
        <v/>
      </c>
      <c r="IM30" s="18">
        <f>IF(244&gt;=DeliverStart,ExpContractPerUnit*TotalUnits/12*IM$8*IM$11,0)</f>
        <v/>
      </c>
      <c r="IN30" s="18">
        <f>IF(245&gt;=DeliverStart,ExpContractPerUnit*TotalUnits/12*IN$8*IN$11,0)</f>
        <v/>
      </c>
      <c r="IO30" s="18">
        <f>IF(246&gt;=DeliverStart,ExpContractPerUnit*TotalUnits/12*IO$8*IO$11,0)</f>
        <v/>
      </c>
      <c r="IP30" s="18">
        <f>IF(247&gt;=DeliverStart,ExpContractPerUnit*TotalUnits/12*IP$8*IP$11,0)</f>
        <v/>
      </c>
      <c r="IQ30" s="18">
        <f>IF(248&gt;=DeliverStart,ExpContractPerUnit*TotalUnits/12*IQ$8*IQ$11,0)</f>
        <v/>
      </c>
      <c r="IR30" s="18">
        <f>IF(249&gt;=DeliverStart,ExpContractPerUnit*TotalUnits/12*IR$8*IR$11,0)</f>
        <v/>
      </c>
      <c r="IS30" s="18">
        <f>IF(250&gt;=DeliverStart,ExpContractPerUnit*TotalUnits/12*IS$8*IS$11,0)</f>
        <v/>
      </c>
      <c r="IT30" s="18">
        <f>IF(251&gt;=DeliverStart,ExpContractPerUnit*TotalUnits/12*IT$8*IT$11,0)</f>
        <v/>
      </c>
      <c r="IU30" s="18">
        <f>IF(252&gt;=DeliverStart,ExpContractPerUnit*TotalUnits/12*IU$8*IU$11,0)</f>
        <v/>
      </c>
      <c r="IV30" s="18">
        <f>IF(253&gt;=DeliverStart,ExpContractPerUnit*TotalUnits/12*IV$8*IV$11,0)</f>
        <v/>
      </c>
      <c r="IW30" s="18">
        <f>IF(254&gt;=DeliverStart,ExpContractPerUnit*TotalUnits/12*IW$8*IW$11,0)</f>
        <v/>
      </c>
      <c r="IX30" s="18">
        <f>IF(255&gt;=DeliverStart,ExpContractPerUnit*TotalUnits/12*IX$8*IX$11,0)</f>
        <v/>
      </c>
      <c r="IY30" s="18">
        <f>IF(256&gt;=DeliverStart,ExpContractPerUnit*TotalUnits/12*IY$8*IY$11,0)</f>
        <v/>
      </c>
      <c r="IZ30" s="18">
        <f>IF(257&gt;=DeliverStart,ExpContractPerUnit*TotalUnits/12*IZ$8*IZ$11,0)</f>
        <v/>
      </c>
      <c r="JA30" s="18">
        <f>IF(258&gt;=DeliverStart,ExpContractPerUnit*TotalUnits/12*JA$8*JA$11,0)</f>
        <v/>
      </c>
      <c r="JB30" s="18">
        <f>IF(259&gt;=DeliverStart,ExpContractPerUnit*TotalUnits/12*JB$8*JB$11,0)</f>
        <v/>
      </c>
      <c r="JC30" s="18">
        <f>IF(260&gt;=DeliverStart,ExpContractPerUnit*TotalUnits/12*JC$8*JC$11,0)</f>
        <v/>
      </c>
      <c r="JD30" s="18">
        <f>IF(261&gt;=DeliverStart,ExpContractPerUnit*TotalUnits/12*JD$8*JD$11,0)</f>
        <v/>
      </c>
      <c r="JE30" s="18">
        <f>IF(262&gt;=DeliverStart,ExpContractPerUnit*TotalUnits/12*JE$8*JE$11,0)</f>
        <v/>
      </c>
      <c r="JF30" s="18">
        <f>IF(263&gt;=DeliverStart,ExpContractPerUnit*TotalUnits/12*JF$8*JF$11,0)</f>
        <v/>
      </c>
      <c r="JG30" s="18">
        <f>IF(264&gt;=DeliverStart,ExpContractPerUnit*TotalUnits/12*JG$8*JG$11,0)</f>
        <v/>
      </c>
      <c r="JH30" s="18">
        <f>IF(265&gt;=DeliverStart,ExpContractPerUnit*TotalUnits/12*JH$8*JH$11,0)</f>
        <v/>
      </c>
      <c r="JI30" s="18">
        <f>IF(266&gt;=DeliverStart,ExpContractPerUnit*TotalUnits/12*JI$8*JI$11,0)</f>
        <v/>
      </c>
      <c r="JJ30" s="18">
        <f>IF(267&gt;=DeliverStart,ExpContractPerUnit*TotalUnits/12*JJ$8*JJ$11,0)</f>
        <v/>
      </c>
      <c r="JK30" s="18">
        <f>IF(268&gt;=DeliverStart,ExpContractPerUnit*TotalUnits/12*JK$8*JK$11,0)</f>
        <v/>
      </c>
      <c r="JL30" s="18">
        <f>IF(269&gt;=DeliverStart,ExpContractPerUnit*TotalUnits/12*JL$8*JL$11,0)</f>
        <v/>
      </c>
      <c r="JM30" s="18">
        <f>IF(270&gt;=DeliverStart,ExpContractPerUnit*TotalUnits/12*JM$8*JM$11,0)</f>
        <v/>
      </c>
      <c r="JN30" s="18">
        <f>IF(271&gt;=DeliverStart,ExpContractPerUnit*TotalUnits/12*JN$8*JN$11,0)</f>
        <v/>
      </c>
      <c r="JO30" s="18">
        <f>IF(272&gt;=DeliverStart,ExpContractPerUnit*TotalUnits/12*JO$8*JO$11,0)</f>
        <v/>
      </c>
      <c r="JP30" s="18">
        <f>IF(273&gt;=DeliverStart,ExpContractPerUnit*TotalUnits/12*JP$8*JP$11,0)</f>
        <v/>
      </c>
      <c r="JQ30" s="18">
        <f>IF(274&gt;=DeliverStart,ExpContractPerUnit*TotalUnits/12*JQ$8*JQ$11,0)</f>
        <v/>
      </c>
      <c r="JR30" s="18">
        <f>IF(275&gt;=DeliverStart,ExpContractPerUnit*TotalUnits/12*JR$8*JR$11,0)</f>
        <v/>
      </c>
      <c r="JS30" s="18">
        <f>IF(276&gt;=DeliverStart,ExpContractPerUnit*TotalUnits/12*JS$8*JS$11,0)</f>
        <v/>
      </c>
      <c r="JT30" s="18">
        <f>IF(277&gt;=DeliverStart,ExpContractPerUnit*TotalUnits/12*JT$8*JT$11,0)</f>
        <v/>
      </c>
      <c r="JU30" s="18">
        <f>IF(278&gt;=DeliverStart,ExpContractPerUnit*TotalUnits/12*JU$8*JU$11,0)</f>
        <v/>
      </c>
      <c r="JV30" s="18">
        <f>IF(279&gt;=DeliverStart,ExpContractPerUnit*TotalUnits/12*JV$8*JV$11,0)</f>
        <v/>
      </c>
      <c r="JW30" s="18">
        <f>IF(280&gt;=DeliverStart,ExpContractPerUnit*TotalUnits/12*JW$8*JW$11,0)</f>
        <v/>
      </c>
      <c r="JX30" s="18">
        <f>IF(281&gt;=DeliverStart,ExpContractPerUnit*TotalUnits/12*JX$8*JX$11,0)</f>
        <v/>
      </c>
      <c r="JY30" s="18">
        <f>IF(282&gt;=DeliverStart,ExpContractPerUnit*TotalUnits/12*JY$8*JY$11,0)</f>
        <v/>
      </c>
      <c r="JZ30" s="18">
        <f>IF(283&gt;=DeliverStart,ExpContractPerUnit*TotalUnits/12*JZ$8*JZ$11,0)</f>
        <v/>
      </c>
      <c r="KA30" s="18">
        <f>IF(284&gt;=DeliverStart,ExpContractPerUnit*TotalUnits/12*KA$8*KA$11,0)</f>
        <v/>
      </c>
      <c r="KB30" s="18">
        <f>IF(285&gt;=DeliverStart,ExpContractPerUnit*TotalUnits/12*KB$8*KB$11,0)</f>
        <v/>
      </c>
      <c r="KC30" s="18">
        <f>IF(286&gt;=DeliverStart,ExpContractPerUnit*TotalUnits/12*KC$8*KC$11,0)</f>
        <v/>
      </c>
      <c r="KD30" s="18">
        <f>IF(287&gt;=DeliverStart,ExpContractPerUnit*TotalUnits/12*KD$8*KD$11,0)</f>
        <v/>
      </c>
      <c r="KE30" s="18">
        <f>IF(288&gt;=DeliverStart,ExpContractPerUnit*TotalUnits/12*KE$8*KE$11,0)</f>
        <v/>
      </c>
      <c r="KF30" s="18">
        <f>IF(289&gt;=DeliverStart,ExpContractPerUnit*TotalUnits/12*KF$8*KF$11,0)</f>
        <v/>
      </c>
      <c r="KG30" s="18">
        <f>IF(290&gt;=DeliverStart,ExpContractPerUnit*TotalUnits/12*KG$8*KG$11,0)</f>
        <v/>
      </c>
      <c r="KH30" s="18">
        <f>IF(291&gt;=DeliverStart,ExpContractPerUnit*TotalUnits/12*KH$8*KH$11,0)</f>
        <v/>
      </c>
      <c r="KI30" s="18">
        <f>IF(292&gt;=DeliverStart,ExpContractPerUnit*TotalUnits/12*KI$8*KI$11,0)</f>
        <v/>
      </c>
      <c r="KJ30" s="18">
        <f>IF(293&gt;=DeliverStart,ExpContractPerUnit*TotalUnits/12*KJ$8*KJ$11,0)</f>
        <v/>
      </c>
      <c r="KK30" s="18">
        <f>IF(294&gt;=DeliverStart,ExpContractPerUnit*TotalUnits/12*KK$8*KK$11,0)</f>
        <v/>
      </c>
      <c r="KL30" s="18">
        <f>IF(295&gt;=DeliverStart,ExpContractPerUnit*TotalUnits/12*KL$8*KL$11,0)</f>
        <v/>
      </c>
      <c r="KM30" s="18">
        <f>IF(296&gt;=DeliverStart,ExpContractPerUnit*TotalUnits/12*KM$8*KM$11,0)</f>
        <v/>
      </c>
      <c r="KN30" s="18">
        <f>IF(297&gt;=DeliverStart,ExpContractPerUnit*TotalUnits/12*KN$8*KN$11,0)</f>
        <v/>
      </c>
      <c r="KO30" s="18">
        <f>IF(298&gt;=DeliverStart,ExpContractPerUnit*TotalUnits/12*KO$8*KO$11,0)</f>
        <v/>
      </c>
      <c r="KP30" s="18">
        <f>IF(299&gt;=DeliverStart,ExpContractPerUnit*TotalUnits/12*KP$8*KP$11,0)</f>
        <v/>
      </c>
      <c r="KQ30" s="18">
        <f>IF(300&gt;=DeliverStart,ExpContractPerUnit*TotalUnits/12*KQ$8*KQ$11,0)</f>
        <v/>
      </c>
      <c r="KR30" s="18">
        <f>IF(301&gt;=DeliverStart,ExpContractPerUnit*TotalUnits/12*KR$8*KR$11,0)</f>
        <v/>
      </c>
      <c r="KS30" s="18">
        <f>IF(302&gt;=DeliverStart,ExpContractPerUnit*TotalUnits/12*KS$8*KS$11,0)</f>
        <v/>
      </c>
      <c r="KT30" s="18">
        <f>IF(303&gt;=DeliverStart,ExpContractPerUnit*TotalUnits/12*KT$8*KT$11,0)</f>
        <v/>
      </c>
      <c r="KU30" s="18">
        <f>IF(304&gt;=DeliverStart,ExpContractPerUnit*TotalUnits/12*KU$8*KU$11,0)</f>
        <v/>
      </c>
      <c r="KV30" s="18">
        <f>IF(305&gt;=DeliverStart,ExpContractPerUnit*TotalUnits/12*KV$8*KV$11,0)</f>
        <v/>
      </c>
      <c r="KW30" s="18">
        <f>IF(306&gt;=DeliverStart,ExpContractPerUnit*TotalUnits/12*KW$8*KW$11,0)</f>
        <v/>
      </c>
      <c r="KX30" s="18">
        <f>IF(307&gt;=DeliverStart,ExpContractPerUnit*TotalUnits/12*KX$8*KX$11,0)</f>
        <v/>
      </c>
      <c r="KY30" s="18">
        <f>IF(308&gt;=DeliverStart,ExpContractPerUnit*TotalUnits/12*KY$8*KY$11,0)</f>
        <v/>
      </c>
      <c r="KZ30" s="18">
        <f>IF(309&gt;=DeliverStart,ExpContractPerUnit*TotalUnits/12*KZ$8*KZ$11,0)</f>
        <v/>
      </c>
      <c r="LA30" s="18">
        <f>IF(310&gt;=DeliverStart,ExpContractPerUnit*TotalUnits/12*LA$8*LA$11,0)</f>
        <v/>
      </c>
      <c r="LB30" s="18">
        <f>IF(311&gt;=DeliverStart,ExpContractPerUnit*TotalUnits/12*LB$8*LB$11,0)</f>
        <v/>
      </c>
      <c r="LC30" s="18">
        <f>IF(312&gt;=DeliverStart,ExpContractPerUnit*TotalUnits/12*LC$8*LC$11,0)</f>
        <v/>
      </c>
      <c r="LD30" s="18">
        <f>IF(313&gt;=DeliverStart,ExpContractPerUnit*TotalUnits/12*LD$8*LD$11,0)</f>
        <v/>
      </c>
      <c r="LE30" s="18">
        <f>IF(314&gt;=DeliverStart,ExpContractPerUnit*TotalUnits/12*LE$8*LE$11,0)</f>
        <v/>
      </c>
      <c r="LF30" s="18">
        <f>IF(315&gt;=DeliverStart,ExpContractPerUnit*TotalUnits/12*LF$8*LF$11,0)</f>
        <v/>
      </c>
      <c r="LG30" s="18">
        <f>IF(316&gt;=DeliverStart,ExpContractPerUnit*TotalUnits/12*LG$8*LG$11,0)</f>
        <v/>
      </c>
      <c r="LH30" s="18">
        <f>IF(317&gt;=DeliverStart,ExpContractPerUnit*TotalUnits/12*LH$8*LH$11,0)</f>
        <v/>
      </c>
      <c r="LI30" s="18">
        <f>IF(318&gt;=DeliverStart,ExpContractPerUnit*TotalUnits/12*LI$8*LI$11,0)</f>
        <v/>
      </c>
      <c r="LJ30" s="18">
        <f>IF(319&gt;=DeliverStart,ExpContractPerUnit*TotalUnits/12*LJ$8*LJ$11,0)</f>
        <v/>
      </c>
      <c r="LK30" s="18">
        <f>IF(320&gt;=DeliverStart,ExpContractPerUnit*TotalUnits/12*LK$8*LK$11,0)</f>
        <v/>
      </c>
      <c r="LL30" s="18">
        <f>IF(321&gt;=DeliverStart,ExpContractPerUnit*TotalUnits/12*LL$8*LL$11,0)</f>
        <v/>
      </c>
      <c r="LM30" s="18">
        <f>IF(322&gt;=DeliverStart,ExpContractPerUnit*TotalUnits/12*LM$8*LM$11,0)</f>
        <v/>
      </c>
      <c r="LN30" s="18">
        <f>IF(323&gt;=DeliverStart,ExpContractPerUnit*TotalUnits/12*LN$8*LN$11,0)</f>
        <v/>
      </c>
      <c r="LO30" s="18">
        <f>IF(324&gt;=DeliverStart,ExpContractPerUnit*TotalUnits/12*LO$8*LO$11,0)</f>
        <v/>
      </c>
      <c r="LP30" s="18">
        <f>IF(325&gt;=DeliverStart,ExpContractPerUnit*TotalUnits/12*LP$8*LP$11,0)</f>
        <v/>
      </c>
      <c r="LQ30" s="18">
        <f>IF(326&gt;=DeliverStart,ExpContractPerUnit*TotalUnits/12*LQ$8*LQ$11,0)</f>
        <v/>
      </c>
      <c r="LR30" s="18">
        <f>IF(327&gt;=DeliverStart,ExpContractPerUnit*TotalUnits/12*LR$8*LR$11,0)</f>
        <v/>
      </c>
      <c r="LS30" s="18">
        <f>IF(328&gt;=DeliverStart,ExpContractPerUnit*TotalUnits/12*LS$8*LS$11,0)</f>
        <v/>
      </c>
      <c r="LT30" s="18">
        <f>IF(329&gt;=DeliverStart,ExpContractPerUnit*TotalUnits/12*LT$8*LT$11,0)</f>
        <v/>
      </c>
      <c r="LU30" s="18">
        <f>IF(330&gt;=DeliverStart,ExpContractPerUnit*TotalUnits/12*LU$8*LU$11,0)</f>
        <v/>
      </c>
      <c r="LV30" s="18">
        <f>IF(331&gt;=DeliverStart,ExpContractPerUnit*TotalUnits/12*LV$8*LV$11,0)</f>
        <v/>
      </c>
      <c r="LW30" s="18">
        <f>IF(332&gt;=DeliverStart,ExpContractPerUnit*TotalUnits/12*LW$8*LW$11,0)</f>
        <v/>
      </c>
      <c r="LX30" s="18">
        <f>IF(333&gt;=DeliverStart,ExpContractPerUnit*TotalUnits/12*LX$8*LX$11,0)</f>
        <v/>
      </c>
      <c r="LY30" s="18">
        <f>IF(334&gt;=DeliverStart,ExpContractPerUnit*TotalUnits/12*LY$8*LY$11,0)</f>
        <v/>
      </c>
      <c r="LZ30" s="18">
        <f>IF(335&gt;=DeliverStart,ExpContractPerUnit*TotalUnits/12*LZ$8*LZ$11,0)</f>
        <v/>
      </c>
      <c r="MA30" s="18">
        <f>IF(336&gt;=DeliverStart,ExpContractPerUnit*TotalUnits/12*MA$8*MA$11,0)</f>
        <v/>
      </c>
      <c r="MB30" s="18">
        <f>IF(337&gt;=DeliverStart,ExpContractPerUnit*TotalUnits/12*MB$8*MB$11,0)</f>
        <v/>
      </c>
      <c r="MC30" s="18">
        <f>IF(338&gt;=DeliverStart,ExpContractPerUnit*TotalUnits/12*MC$8*MC$11,0)</f>
        <v/>
      </c>
      <c r="MD30" s="18">
        <f>IF(339&gt;=DeliverStart,ExpContractPerUnit*TotalUnits/12*MD$8*MD$11,0)</f>
        <v/>
      </c>
      <c r="ME30" s="18">
        <f>IF(340&gt;=DeliverStart,ExpContractPerUnit*TotalUnits/12*ME$8*ME$11,0)</f>
        <v/>
      </c>
      <c r="MF30" s="18">
        <f>IF(341&gt;=DeliverStart,ExpContractPerUnit*TotalUnits/12*MF$8*MF$11,0)</f>
        <v/>
      </c>
      <c r="MG30" s="18">
        <f>IF(342&gt;=DeliverStart,ExpContractPerUnit*TotalUnits/12*MG$8*MG$11,0)</f>
        <v/>
      </c>
      <c r="MH30" s="18">
        <f>IF(343&gt;=DeliverStart,ExpContractPerUnit*TotalUnits/12*MH$8*MH$11,0)</f>
        <v/>
      </c>
      <c r="MI30" s="18">
        <f>IF(344&gt;=DeliverStart,ExpContractPerUnit*TotalUnits/12*MI$8*MI$11,0)</f>
        <v/>
      </c>
      <c r="MJ30" s="18">
        <f>IF(345&gt;=DeliverStart,ExpContractPerUnit*TotalUnits/12*MJ$8*MJ$11,0)</f>
        <v/>
      </c>
      <c r="MK30" s="18">
        <f>IF(346&gt;=DeliverStart,ExpContractPerUnit*TotalUnits/12*MK$8*MK$11,0)</f>
        <v/>
      </c>
      <c r="ML30" s="18">
        <f>IF(347&gt;=DeliverStart,ExpContractPerUnit*TotalUnits/12*ML$8*ML$11,0)</f>
        <v/>
      </c>
      <c r="MM30" s="18">
        <f>IF(348&gt;=DeliverStart,ExpContractPerUnit*TotalUnits/12*MM$8*MM$11,0)</f>
        <v/>
      </c>
      <c r="MN30" s="18">
        <f>IF(349&gt;=DeliverStart,ExpContractPerUnit*TotalUnits/12*MN$8*MN$11,0)</f>
        <v/>
      </c>
      <c r="MO30" s="18">
        <f>IF(350&gt;=DeliverStart,ExpContractPerUnit*TotalUnits/12*MO$8*MO$11,0)</f>
        <v/>
      </c>
      <c r="MP30" s="18">
        <f>IF(351&gt;=DeliverStart,ExpContractPerUnit*TotalUnits/12*MP$8*MP$11,0)</f>
        <v/>
      </c>
      <c r="MQ30" s="18">
        <f>IF(352&gt;=DeliverStart,ExpContractPerUnit*TotalUnits/12*MQ$8*MQ$11,0)</f>
        <v/>
      </c>
      <c r="MR30" s="18">
        <f>IF(353&gt;=DeliverStart,ExpContractPerUnit*TotalUnits/12*MR$8*MR$11,0)</f>
        <v/>
      </c>
      <c r="MS30" s="18">
        <f>IF(354&gt;=DeliverStart,ExpContractPerUnit*TotalUnits/12*MS$8*MS$11,0)</f>
        <v/>
      </c>
      <c r="MT30" s="18">
        <f>IF(355&gt;=DeliverStart,ExpContractPerUnit*TotalUnits/12*MT$8*MT$11,0)</f>
        <v/>
      </c>
      <c r="MU30" s="18">
        <f>IF(356&gt;=DeliverStart,ExpContractPerUnit*TotalUnits/12*MU$8*MU$11,0)</f>
        <v/>
      </c>
      <c r="MV30" s="18">
        <f>IF(357&gt;=DeliverStart,ExpContractPerUnit*TotalUnits/12*MV$8*MV$11,0)</f>
        <v/>
      </c>
      <c r="MW30" s="18">
        <f>IF(358&gt;=DeliverStart,ExpContractPerUnit*TotalUnits/12*MW$8*MW$11,0)</f>
        <v/>
      </c>
      <c r="MX30" s="18">
        <f>IF(359&gt;=DeliverStart,ExpContractPerUnit*TotalUnits/12*MX$8*MX$11,0)</f>
        <v/>
      </c>
      <c r="MY30" s="18">
        <f>IF(360&gt;=DeliverStart,ExpContractPerUnit*TotalUnits/12*MY$8*MY$11,0)</f>
        <v/>
      </c>
      <c r="MZ30" s="18">
        <f>IF(361&gt;=DeliverStart,ExpContractPerUnit*TotalUnits/12*MZ$8*MZ$11,0)</f>
        <v/>
      </c>
      <c r="NA30" s="18">
        <f>IF(362&gt;=DeliverStart,ExpContractPerUnit*TotalUnits/12*NA$8*NA$11,0)</f>
        <v/>
      </c>
      <c r="NB30" s="18">
        <f>IF(363&gt;=DeliverStart,ExpContractPerUnit*TotalUnits/12*NB$8*NB$11,0)</f>
        <v/>
      </c>
      <c r="NC30" s="18">
        <f>IF(364&gt;=DeliverStart,ExpContractPerUnit*TotalUnits/12*NC$8*NC$11,0)</f>
        <v/>
      </c>
      <c r="ND30" s="18">
        <f>IF(365&gt;=DeliverStart,ExpContractPerUnit*TotalUnits/12*ND$8*ND$11,0)</f>
        <v/>
      </c>
      <c r="NE30" s="18">
        <f>IF(366&gt;=DeliverStart,ExpContractPerUnit*TotalUnits/12*NE$8*NE$11,0)</f>
        <v/>
      </c>
      <c r="NF30" s="18">
        <f>IF(367&gt;=DeliverStart,ExpContractPerUnit*TotalUnits/12*NF$8*NF$11,0)</f>
        <v/>
      </c>
      <c r="NG30" s="18">
        <f>IF(368&gt;=DeliverStart,ExpContractPerUnit*TotalUnits/12*NG$8*NG$11,0)</f>
        <v/>
      </c>
      <c r="NH30" s="18">
        <f>IF(369&gt;=DeliverStart,ExpContractPerUnit*TotalUnits/12*NH$8*NH$11,0)</f>
        <v/>
      </c>
      <c r="NI30" s="18">
        <f>IF(370&gt;=DeliverStart,ExpContractPerUnit*TotalUnits/12*NI$8*NI$11,0)</f>
        <v/>
      </c>
      <c r="NJ30" s="18">
        <f>IF(371&gt;=DeliverStart,ExpContractPerUnit*TotalUnits/12*NJ$8*NJ$11,0)</f>
        <v/>
      </c>
      <c r="NK30" s="18">
        <f>IF(372&gt;=DeliverStart,ExpContractPerUnit*TotalUnits/12*NK$8*NK$11,0)</f>
        <v/>
      </c>
    </row>
    <row r="31">
      <c r="A31" s="5" t="inlineStr">
        <is>
          <t>Payroll (elevated)</t>
        </is>
      </c>
      <c r="C31" s="41">
        <f>SUM(D31:NK31)</f>
        <v/>
      </c>
      <c r="D31" s="18">
        <f>IF(1&gt;=DeliverStart,ExpPayrollPerUnit*TotalUnits/12*D$8*D$12,0)</f>
        <v/>
      </c>
      <c r="E31" s="18">
        <f>IF(2&gt;=DeliverStart,ExpPayrollPerUnit*TotalUnits/12*E$8*E$12,0)</f>
        <v/>
      </c>
      <c r="F31" s="18">
        <f>IF(3&gt;=DeliverStart,ExpPayrollPerUnit*TotalUnits/12*F$8*F$12,0)</f>
        <v/>
      </c>
      <c r="G31" s="18">
        <f>IF(4&gt;=DeliverStart,ExpPayrollPerUnit*TotalUnits/12*G$8*G$12,0)</f>
        <v/>
      </c>
      <c r="H31" s="18">
        <f>IF(5&gt;=DeliverStart,ExpPayrollPerUnit*TotalUnits/12*H$8*H$12,0)</f>
        <v/>
      </c>
      <c r="I31" s="18">
        <f>IF(6&gt;=DeliverStart,ExpPayrollPerUnit*TotalUnits/12*I$8*I$12,0)</f>
        <v/>
      </c>
      <c r="J31" s="18">
        <f>IF(7&gt;=DeliverStart,ExpPayrollPerUnit*TotalUnits/12*J$8*J$12,0)</f>
        <v/>
      </c>
      <c r="K31" s="18">
        <f>IF(8&gt;=DeliverStart,ExpPayrollPerUnit*TotalUnits/12*K$8*K$12,0)</f>
        <v/>
      </c>
      <c r="L31" s="18">
        <f>IF(9&gt;=DeliverStart,ExpPayrollPerUnit*TotalUnits/12*L$8*L$12,0)</f>
        <v/>
      </c>
      <c r="M31" s="18">
        <f>IF(10&gt;=DeliverStart,ExpPayrollPerUnit*TotalUnits/12*M$8*M$12,0)</f>
        <v/>
      </c>
      <c r="N31" s="18">
        <f>IF(11&gt;=DeliverStart,ExpPayrollPerUnit*TotalUnits/12*N$8*N$12,0)</f>
        <v/>
      </c>
      <c r="O31" s="18">
        <f>IF(12&gt;=DeliverStart,ExpPayrollPerUnit*TotalUnits/12*O$8*O$12,0)</f>
        <v/>
      </c>
      <c r="P31" s="18">
        <f>IF(13&gt;=DeliverStart,ExpPayrollPerUnit*TotalUnits/12*P$8*P$12,0)</f>
        <v/>
      </c>
      <c r="Q31" s="18">
        <f>IF(14&gt;=DeliverStart,ExpPayrollPerUnit*TotalUnits/12*Q$8*Q$12,0)</f>
        <v/>
      </c>
      <c r="R31" s="18">
        <f>IF(15&gt;=DeliverStart,ExpPayrollPerUnit*TotalUnits/12*R$8*R$12,0)</f>
        <v/>
      </c>
      <c r="S31" s="18">
        <f>IF(16&gt;=DeliverStart,ExpPayrollPerUnit*TotalUnits/12*S$8*S$12,0)</f>
        <v/>
      </c>
      <c r="T31" s="18">
        <f>IF(17&gt;=DeliverStart,ExpPayrollPerUnit*TotalUnits/12*T$8*T$12,0)</f>
        <v/>
      </c>
      <c r="U31" s="18">
        <f>IF(18&gt;=DeliverStart,ExpPayrollPerUnit*TotalUnits/12*U$8*U$12,0)</f>
        <v/>
      </c>
      <c r="V31" s="18">
        <f>IF(19&gt;=DeliverStart,ExpPayrollPerUnit*TotalUnits/12*V$8*V$12,0)</f>
        <v/>
      </c>
      <c r="W31" s="18">
        <f>IF(20&gt;=DeliverStart,ExpPayrollPerUnit*TotalUnits/12*W$8*W$12,0)</f>
        <v/>
      </c>
      <c r="X31" s="18">
        <f>IF(21&gt;=DeliverStart,ExpPayrollPerUnit*TotalUnits/12*X$8*X$12,0)</f>
        <v/>
      </c>
      <c r="Y31" s="18">
        <f>IF(22&gt;=DeliverStart,ExpPayrollPerUnit*TotalUnits/12*Y$8*Y$12,0)</f>
        <v/>
      </c>
      <c r="Z31" s="18">
        <f>IF(23&gt;=DeliverStart,ExpPayrollPerUnit*TotalUnits/12*Z$8*Z$12,0)</f>
        <v/>
      </c>
      <c r="AA31" s="18">
        <f>IF(24&gt;=DeliverStart,ExpPayrollPerUnit*TotalUnits/12*AA$8*AA$12,0)</f>
        <v/>
      </c>
      <c r="AB31" s="18">
        <f>IF(25&gt;=DeliverStart,ExpPayrollPerUnit*TotalUnits/12*AB$8*AB$12,0)</f>
        <v/>
      </c>
      <c r="AC31" s="18">
        <f>IF(26&gt;=DeliverStart,ExpPayrollPerUnit*TotalUnits/12*AC$8*AC$12,0)</f>
        <v/>
      </c>
      <c r="AD31" s="18">
        <f>IF(27&gt;=DeliverStart,ExpPayrollPerUnit*TotalUnits/12*AD$8*AD$12,0)</f>
        <v/>
      </c>
      <c r="AE31" s="18">
        <f>IF(28&gt;=DeliverStart,ExpPayrollPerUnit*TotalUnits/12*AE$8*AE$12,0)</f>
        <v/>
      </c>
      <c r="AF31" s="18">
        <f>IF(29&gt;=DeliverStart,ExpPayrollPerUnit*TotalUnits/12*AF$8*AF$12,0)</f>
        <v/>
      </c>
      <c r="AG31" s="18">
        <f>IF(30&gt;=DeliverStart,ExpPayrollPerUnit*TotalUnits/12*AG$8*AG$12,0)</f>
        <v/>
      </c>
      <c r="AH31" s="18">
        <f>IF(31&gt;=DeliverStart,ExpPayrollPerUnit*TotalUnits/12*AH$8*AH$12,0)</f>
        <v/>
      </c>
      <c r="AI31" s="18">
        <f>IF(32&gt;=DeliverStart,ExpPayrollPerUnit*TotalUnits/12*AI$8*AI$12,0)</f>
        <v/>
      </c>
      <c r="AJ31" s="18">
        <f>IF(33&gt;=DeliverStart,ExpPayrollPerUnit*TotalUnits/12*AJ$8*AJ$12,0)</f>
        <v/>
      </c>
      <c r="AK31" s="18">
        <f>IF(34&gt;=DeliverStart,ExpPayrollPerUnit*TotalUnits/12*AK$8*AK$12,0)</f>
        <v/>
      </c>
      <c r="AL31" s="18">
        <f>IF(35&gt;=DeliverStart,ExpPayrollPerUnit*TotalUnits/12*AL$8*AL$12,0)</f>
        <v/>
      </c>
      <c r="AM31" s="18">
        <f>IF(36&gt;=DeliverStart,ExpPayrollPerUnit*TotalUnits/12*AM$8*AM$12,0)</f>
        <v/>
      </c>
      <c r="AN31" s="18">
        <f>IF(37&gt;=DeliverStart,ExpPayrollPerUnit*TotalUnits/12*AN$8*AN$12,0)</f>
        <v/>
      </c>
      <c r="AO31" s="18">
        <f>IF(38&gt;=DeliverStart,ExpPayrollPerUnit*TotalUnits/12*AO$8*AO$12,0)</f>
        <v/>
      </c>
      <c r="AP31" s="18">
        <f>IF(39&gt;=DeliverStart,ExpPayrollPerUnit*TotalUnits/12*AP$8*AP$12,0)</f>
        <v/>
      </c>
      <c r="AQ31" s="18">
        <f>IF(40&gt;=DeliverStart,ExpPayrollPerUnit*TotalUnits/12*AQ$8*AQ$12,0)</f>
        <v/>
      </c>
      <c r="AR31" s="18">
        <f>IF(41&gt;=DeliverStart,ExpPayrollPerUnit*TotalUnits/12*AR$8*AR$12,0)</f>
        <v/>
      </c>
      <c r="AS31" s="18">
        <f>IF(42&gt;=DeliverStart,ExpPayrollPerUnit*TotalUnits/12*AS$8*AS$12,0)</f>
        <v/>
      </c>
      <c r="AT31" s="18">
        <f>IF(43&gt;=DeliverStart,ExpPayrollPerUnit*TotalUnits/12*AT$8*AT$12,0)</f>
        <v/>
      </c>
      <c r="AU31" s="18">
        <f>IF(44&gt;=DeliverStart,ExpPayrollPerUnit*TotalUnits/12*AU$8*AU$12,0)</f>
        <v/>
      </c>
      <c r="AV31" s="18">
        <f>IF(45&gt;=DeliverStart,ExpPayrollPerUnit*TotalUnits/12*AV$8*AV$12,0)</f>
        <v/>
      </c>
      <c r="AW31" s="18">
        <f>IF(46&gt;=DeliverStart,ExpPayrollPerUnit*TotalUnits/12*AW$8*AW$12,0)</f>
        <v/>
      </c>
      <c r="AX31" s="18">
        <f>IF(47&gt;=DeliverStart,ExpPayrollPerUnit*TotalUnits/12*AX$8*AX$12,0)</f>
        <v/>
      </c>
      <c r="AY31" s="18">
        <f>IF(48&gt;=DeliverStart,ExpPayrollPerUnit*TotalUnits/12*AY$8*AY$12,0)</f>
        <v/>
      </c>
      <c r="AZ31" s="18">
        <f>IF(49&gt;=DeliverStart,ExpPayrollPerUnit*TotalUnits/12*AZ$8*AZ$12,0)</f>
        <v/>
      </c>
      <c r="BA31" s="18">
        <f>IF(50&gt;=DeliverStart,ExpPayrollPerUnit*TotalUnits/12*BA$8*BA$12,0)</f>
        <v/>
      </c>
      <c r="BB31" s="18">
        <f>IF(51&gt;=DeliverStart,ExpPayrollPerUnit*TotalUnits/12*BB$8*BB$12,0)</f>
        <v/>
      </c>
      <c r="BC31" s="18">
        <f>IF(52&gt;=DeliverStart,ExpPayrollPerUnit*TotalUnits/12*BC$8*BC$12,0)</f>
        <v/>
      </c>
      <c r="BD31" s="18">
        <f>IF(53&gt;=DeliverStart,ExpPayrollPerUnit*TotalUnits/12*BD$8*BD$12,0)</f>
        <v/>
      </c>
      <c r="BE31" s="18">
        <f>IF(54&gt;=DeliverStart,ExpPayrollPerUnit*TotalUnits/12*BE$8*BE$12,0)</f>
        <v/>
      </c>
      <c r="BF31" s="18">
        <f>IF(55&gt;=DeliverStart,ExpPayrollPerUnit*TotalUnits/12*BF$8*BF$12,0)</f>
        <v/>
      </c>
      <c r="BG31" s="18">
        <f>IF(56&gt;=DeliverStart,ExpPayrollPerUnit*TotalUnits/12*BG$8*BG$12,0)</f>
        <v/>
      </c>
      <c r="BH31" s="18">
        <f>IF(57&gt;=DeliverStart,ExpPayrollPerUnit*TotalUnits/12*BH$8*BH$12,0)</f>
        <v/>
      </c>
      <c r="BI31" s="18">
        <f>IF(58&gt;=DeliverStart,ExpPayrollPerUnit*TotalUnits/12*BI$8*BI$12,0)</f>
        <v/>
      </c>
      <c r="BJ31" s="18">
        <f>IF(59&gt;=DeliverStart,ExpPayrollPerUnit*TotalUnits/12*BJ$8*BJ$12,0)</f>
        <v/>
      </c>
      <c r="BK31" s="18">
        <f>IF(60&gt;=DeliverStart,ExpPayrollPerUnit*TotalUnits/12*BK$8*BK$12,0)</f>
        <v/>
      </c>
      <c r="BL31" s="18">
        <f>IF(61&gt;=DeliverStart,ExpPayrollPerUnit*TotalUnits/12*BL$8*BL$12,0)</f>
        <v/>
      </c>
      <c r="BM31" s="18">
        <f>IF(62&gt;=DeliverStart,ExpPayrollPerUnit*TotalUnits/12*BM$8*BM$12,0)</f>
        <v/>
      </c>
      <c r="BN31" s="18">
        <f>IF(63&gt;=DeliverStart,ExpPayrollPerUnit*TotalUnits/12*BN$8*BN$12,0)</f>
        <v/>
      </c>
      <c r="BO31" s="18">
        <f>IF(64&gt;=DeliverStart,ExpPayrollPerUnit*TotalUnits/12*BO$8*BO$12,0)</f>
        <v/>
      </c>
      <c r="BP31" s="18">
        <f>IF(65&gt;=DeliverStart,ExpPayrollPerUnit*TotalUnits/12*BP$8*BP$12,0)</f>
        <v/>
      </c>
      <c r="BQ31" s="18">
        <f>IF(66&gt;=DeliverStart,ExpPayrollPerUnit*TotalUnits/12*BQ$8*BQ$12,0)</f>
        <v/>
      </c>
      <c r="BR31" s="18">
        <f>IF(67&gt;=DeliverStart,ExpPayrollPerUnit*TotalUnits/12*BR$8*BR$12,0)</f>
        <v/>
      </c>
      <c r="BS31" s="18">
        <f>IF(68&gt;=DeliverStart,ExpPayrollPerUnit*TotalUnits/12*BS$8*BS$12,0)</f>
        <v/>
      </c>
      <c r="BT31" s="18">
        <f>IF(69&gt;=DeliverStart,ExpPayrollPerUnit*TotalUnits/12*BT$8*BT$12,0)</f>
        <v/>
      </c>
      <c r="BU31" s="18">
        <f>IF(70&gt;=DeliverStart,ExpPayrollPerUnit*TotalUnits/12*BU$8*BU$12,0)</f>
        <v/>
      </c>
      <c r="BV31" s="18">
        <f>IF(71&gt;=DeliverStart,ExpPayrollPerUnit*TotalUnits/12*BV$8*BV$12,0)</f>
        <v/>
      </c>
      <c r="BW31" s="18">
        <f>IF(72&gt;=DeliverStart,ExpPayrollPerUnit*TotalUnits/12*BW$8*BW$12,0)</f>
        <v/>
      </c>
      <c r="BX31" s="18">
        <f>IF(73&gt;=DeliverStart,ExpPayrollPerUnit*TotalUnits/12*BX$8*BX$12,0)</f>
        <v/>
      </c>
      <c r="BY31" s="18">
        <f>IF(74&gt;=DeliverStart,ExpPayrollPerUnit*TotalUnits/12*BY$8*BY$12,0)</f>
        <v/>
      </c>
      <c r="BZ31" s="18">
        <f>IF(75&gt;=DeliverStart,ExpPayrollPerUnit*TotalUnits/12*BZ$8*BZ$12,0)</f>
        <v/>
      </c>
      <c r="CA31" s="18">
        <f>IF(76&gt;=DeliverStart,ExpPayrollPerUnit*TotalUnits/12*CA$8*CA$12,0)</f>
        <v/>
      </c>
      <c r="CB31" s="18">
        <f>IF(77&gt;=DeliverStart,ExpPayrollPerUnit*TotalUnits/12*CB$8*CB$12,0)</f>
        <v/>
      </c>
      <c r="CC31" s="18">
        <f>IF(78&gt;=DeliverStart,ExpPayrollPerUnit*TotalUnits/12*CC$8*CC$12,0)</f>
        <v/>
      </c>
      <c r="CD31" s="18">
        <f>IF(79&gt;=DeliverStart,ExpPayrollPerUnit*TotalUnits/12*CD$8*CD$12,0)</f>
        <v/>
      </c>
      <c r="CE31" s="18">
        <f>IF(80&gt;=DeliverStart,ExpPayrollPerUnit*TotalUnits/12*CE$8*CE$12,0)</f>
        <v/>
      </c>
      <c r="CF31" s="18">
        <f>IF(81&gt;=DeliverStart,ExpPayrollPerUnit*TotalUnits/12*CF$8*CF$12,0)</f>
        <v/>
      </c>
      <c r="CG31" s="18">
        <f>IF(82&gt;=DeliverStart,ExpPayrollPerUnit*TotalUnits/12*CG$8*CG$12,0)</f>
        <v/>
      </c>
      <c r="CH31" s="18">
        <f>IF(83&gt;=DeliverStart,ExpPayrollPerUnit*TotalUnits/12*CH$8*CH$12,0)</f>
        <v/>
      </c>
      <c r="CI31" s="18">
        <f>IF(84&gt;=DeliverStart,ExpPayrollPerUnit*TotalUnits/12*CI$8*CI$12,0)</f>
        <v/>
      </c>
      <c r="CJ31" s="18">
        <f>IF(85&gt;=DeliverStart,ExpPayrollPerUnit*TotalUnits/12*CJ$8*CJ$12,0)</f>
        <v/>
      </c>
      <c r="CK31" s="18">
        <f>IF(86&gt;=DeliverStart,ExpPayrollPerUnit*TotalUnits/12*CK$8*CK$12,0)</f>
        <v/>
      </c>
      <c r="CL31" s="18">
        <f>IF(87&gt;=DeliverStart,ExpPayrollPerUnit*TotalUnits/12*CL$8*CL$12,0)</f>
        <v/>
      </c>
      <c r="CM31" s="18">
        <f>IF(88&gt;=DeliverStart,ExpPayrollPerUnit*TotalUnits/12*CM$8*CM$12,0)</f>
        <v/>
      </c>
      <c r="CN31" s="18">
        <f>IF(89&gt;=DeliverStart,ExpPayrollPerUnit*TotalUnits/12*CN$8*CN$12,0)</f>
        <v/>
      </c>
      <c r="CO31" s="18">
        <f>IF(90&gt;=DeliverStart,ExpPayrollPerUnit*TotalUnits/12*CO$8*CO$12,0)</f>
        <v/>
      </c>
      <c r="CP31" s="18">
        <f>IF(91&gt;=DeliverStart,ExpPayrollPerUnit*TotalUnits/12*CP$8*CP$12,0)</f>
        <v/>
      </c>
      <c r="CQ31" s="18">
        <f>IF(92&gt;=DeliverStart,ExpPayrollPerUnit*TotalUnits/12*CQ$8*CQ$12,0)</f>
        <v/>
      </c>
      <c r="CR31" s="18">
        <f>IF(93&gt;=DeliverStart,ExpPayrollPerUnit*TotalUnits/12*CR$8*CR$12,0)</f>
        <v/>
      </c>
      <c r="CS31" s="18">
        <f>IF(94&gt;=DeliverStart,ExpPayrollPerUnit*TotalUnits/12*CS$8*CS$12,0)</f>
        <v/>
      </c>
      <c r="CT31" s="18">
        <f>IF(95&gt;=DeliverStart,ExpPayrollPerUnit*TotalUnits/12*CT$8*CT$12,0)</f>
        <v/>
      </c>
      <c r="CU31" s="18">
        <f>IF(96&gt;=DeliverStart,ExpPayrollPerUnit*TotalUnits/12*CU$8*CU$12,0)</f>
        <v/>
      </c>
      <c r="CV31" s="18">
        <f>IF(97&gt;=DeliverStart,ExpPayrollPerUnit*TotalUnits/12*CV$8*CV$12,0)</f>
        <v/>
      </c>
      <c r="CW31" s="18">
        <f>IF(98&gt;=DeliverStart,ExpPayrollPerUnit*TotalUnits/12*CW$8*CW$12,0)</f>
        <v/>
      </c>
      <c r="CX31" s="18">
        <f>IF(99&gt;=DeliverStart,ExpPayrollPerUnit*TotalUnits/12*CX$8*CX$12,0)</f>
        <v/>
      </c>
      <c r="CY31" s="18">
        <f>IF(100&gt;=DeliverStart,ExpPayrollPerUnit*TotalUnits/12*CY$8*CY$12,0)</f>
        <v/>
      </c>
      <c r="CZ31" s="18">
        <f>IF(101&gt;=DeliverStart,ExpPayrollPerUnit*TotalUnits/12*CZ$8*CZ$12,0)</f>
        <v/>
      </c>
      <c r="DA31" s="18">
        <f>IF(102&gt;=DeliverStart,ExpPayrollPerUnit*TotalUnits/12*DA$8*DA$12,0)</f>
        <v/>
      </c>
      <c r="DB31" s="18">
        <f>IF(103&gt;=DeliverStart,ExpPayrollPerUnit*TotalUnits/12*DB$8*DB$12,0)</f>
        <v/>
      </c>
      <c r="DC31" s="18">
        <f>IF(104&gt;=DeliverStart,ExpPayrollPerUnit*TotalUnits/12*DC$8*DC$12,0)</f>
        <v/>
      </c>
      <c r="DD31" s="18">
        <f>IF(105&gt;=DeliverStart,ExpPayrollPerUnit*TotalUnits/12*DD$8*DD$12,0)</f>
        <v/>
      </c>
      <c r="DE31" s="18">
        <f>IF(106&gt;=DeliverStart,ExpPayrollPerUnit*TotalUnits/12*DE$8*DE$12,0)</f>
        <v/>
      </c>
      <c r="DF31" s="18">
        <f>IF(107&gt;=DeliverStart,ExpPayrollPerUnit*TotalUnits/12*DF$8*DF$12,0)</f>
        <v/>
      </c>
      <c r="DG31" s="18">
        <f>IF(108&gt;=DeliverStart,ExpPayrollPerUnit*TotalUnits/12*DG$8*DG$12,0)</f>
        <v/>
      </c>
      <c r="DH31" s="18">
        <f>IF(109&gt;=DeliverStart,ExpPayrollPerUnit*TotalUnits/12*DH$8*DH$12,0)</f>
        <v/>
      </c>
      <c r="DI31" s="18">
        <f>IF(110&gt;=DeliverStart,ExpPayrollPerUnit*TotalUnits/12*DI$8*DI$12,0)</f>
        <v/>
      </c>
      <c r="DJ31" s="18">
        <f>IF(111&gt;=DeliverStart,ExpPayrollPerUnit*TotalUnits/12*DJ$8*DJ$12,0)</f>
        <v/>
      </c>
      <c r="DK31" s="18">
        <f>IF(112&gt;=DeliverStart,ExpPayrollPerUnit*TotalUnits/12*DK$8*DK$12,0)</f>
        <v/>
      </c>
      <c r="DL31" s="18">
        <f>IF(113&gt;=DeliverStart,ExpPayrollPerUnit*TotalUnits/12*DL$8*DL$12,0)</f>
        <v/>
      </c>
      <c r="DM31" s="18">
        <f>IF(114&gt;=DeliverStart,ExpPayrollPerUnit*TotalUnits/12*DM$8*DM$12,0)</f>
        <v/>
      </c>
      <c r="DN31" s="18">
        <f>IF(115&gt;=DeliverStart,ExpPayrollPerUnit*TotalUnits/12*DN$8*DN$12,0)</f>
        <v/>
      </c>
      <c r="DO31" s="18">
        <f>IF(116&gt;=DeliverStart,ExpPayrollPerUnit*TotalUnits/12*DO$8*DO$12,0)</f>
        <v/>
      </c>
      <c r="DP31" s="18">
        <f>IF(117&gt;=DeliverStart,ExpPayrollPerUnit*TotalUnits/12*DP$8*DP$12,0)</f>
        <v/>
      </c>
      <c r="DQ31" s="18">
        <f>IF(118&gt;=DeliverStart,ExpPayrollPerUnit*TotalUnits/12*DQ$8*DQ$12,0)</f>
        <v/>
      </c>
      <c r="DR31" s="18">
        <f>IF(119&gt;=DeliverStart,ExpPayrollPerUnit*TotalUnits/12*DR$8*DR$12,0)</f>
        <v/>
      </c>
      <c r="DS31" s="18">
        <f>IF(120&gt;=DeliverStart,ExpPayrollPerUnit*TotalUnits/12*DS$8*DS$12,0)</f>
        <v/>
      </c>
      <c r="DT31" s="18">
        <f>IF(121&gt;=DeliverStart,ExpPayrollPerUnit*TotalUnits/12*DT$8*DT$12,0)</f>
        <v/>
      </c>
      <c r="DU31" s="18">
        <f>IF(122&gt;=DeliverStart,ExpPayrollPerUnit*TotalUnits/12*DU$8*DU$12,0)</f>
        <v/>
      </c>
      <c r="DV31" s="18">
        <f>IF(123&gt;=DeliverStart,ExpPayrollPerUnit*TotalUnits/12*DV$8*DV$12,0)</f>
        <v/>
      </c>
      <c r="DW31" s="18">
        <f>IF(124&gt;=DeliverStart,ExpPayrollPerUnit*TotalUnits/12*DW$8*DW$12,0)</f>
        <v/>
      </c>
      <c r="DX31" s="18">
        <f>IF(125&gt;=DeliverStart,ExpPayrollPerUnit*TotalUnits/12*DX$8*DX$12,0)</f>
        <v/>
      </c>
      <c r="DY31" s="18">
        <f>IF(126&gt;=DeliverStart,ExpPayrollPerUnit*TotalUnits/12*DY$8*DY$12,0)</f>
        <v/>
      </c>
      <c r="DZ31" s="18">
        <f>IF(127&gt;=DeliverStart,ExpPayrollPerUnit*TotalUnits/12*DZ$8*DZ$12,0)</f>
        <v/>
      </c>
      <c r="EA31" s="18">
        <f>IF(128&gt;=DeliverStart,ExpPayrollPerUnit*TotalUnits/12*EA$8*EA$12,0)</f>
        <v/>
      </c>
      <c r="EB31" s="18">
        <f>IF(129&gt;=DeliverStart,ExpPayrollPerUnit*TotalUnits/12*EB$8*EB$12,0)</f>
        <v/>
      </c>
      <c r="EC31" s="18">
        <f>IF(130&gt;=DeliverStart,ExpPayrollPerUnit*TotalUnits/12*EC$8*EC$12,0)</f>
        <v/>
      </c>
      <c r="ED31" s="18">
        <f>IF(131&gt;=DeliverStart,ExpPayrollPerUnit*TotalUnits/12*ED$8*ED$12,0)</f>
        <v/>
      </c>
      <c r="EE31" s="18">
        <f>IF(132&gt;=DeliverStart,ExpPayrollPerUnit*TotalUnits/12*EE$8*EE$12,0)</f>
        <v/>
      </c>
      <c r="EF31" s="18">
        <f>IF(133&gt;=DeliverStart,ExpPayrollPerUnit*TotalUnits/12*EF$8*EF$12,0)</f>
        <v/>
      </c>
      <c r="EG31" s="18">
        <f>IF(134&gt;=DeliverStart,ExpPayrollPerUnit*TotalUnits/12*EG$8*EG$12,0)</f>
        <v/>
      </c>
      <c r="EH31" s="18">
        <f>IF(135&gt;=DeliverStart,ExpPayrollPerUnit*TotalUnits/12*EH$8*EH$12,0)</f>
        <v/>
      </c>
      <c r="EI31" s="18">
        <f>IF(136&gt;=DeliverStart,ExpPayrollPerUnit*TotalUnits/12*EI$8*EI$12,0)</f>
        <v/>
      </c>
      <c r="EJ31" s="18">
        <f>IF(137&gt;=DeliverStart,ExpPayrollPerUnit*TotalUnits/12*EJ$8*EJ$12,0)</f>
        <v/>
      </c>
      <c r="EK31" s="18">
        <f>IF(138&gt;=DeliverStart,ExpPayrollPerUnit*TotalUnits/12*EK$8*EK$12,0)</f>
        <v/>
      </c>
      <c r="EL31" s="18">
        <f>IF(139&gt;=DeliverStart,ExpPayrollPerUnit*TotalUnits/12*EL$8*EL$12,0)</f>
        <v/>
      </c>
      <c r="EM31" s="18">
        <f>IF(140&gt;=DeliverStart,ExpPayrollPerUnit*TotalUnits/12*EM$8*EM$12,0)</f>
        <v/>
      </c>
      <c r="EN31" s="18">
        <f>IF(141&gt;=DeliverStart,ExpPayrollPerUnit*TotalUnits/12*EN$8*EN$12,0)</f>
        <v/>
      </c>
      <c r="EO31" s="18">
        <f>IF(142&gt;=DeliverStart,ExpPayrollPerUnit*TotalUnits/12*EO$8*EO$12,0)</f>
        <v/>
      </c>
      <c r="EP31" s="18">
        <f>IF(143&gt;=DeliverStart,ExpPayrollPerUnit*TotalUnits/12*EP$8*EP$12,0)</f>
        <v/>
      </c>
      <c r="EQ31" s="18">
        <f>IF(144&gt;=DeliverStart,ExpPayrollPerUnit*TotalUnits/12*EQ$8*EQ$12,0)</f>
        <v/>
      </c>
      <c r="ER31" s="18">
        <f>IF(145&gt;=DeliverStart,ExpPayrollPerUnit*TotalUnits/12*ER$8*ER$12,0)</f>
        <v/>
      </c>
      <c r="ES31" s="18">
        <f>IF(146&gt;=DeliverStart,ExpPayrollPerUnit*TotalUnits/12*ES$8*ES$12,0)</f>
        <v/>
      </c>
      <c r="ET31" s="18">
        <f>IF(147&gt;=DeliverStart,ExpPayrollPerUnit*TotalUnits/12*ET$8*ET$12,0)</f>
        <v/>
      </c>
      <c r="EU31" s="18">
        <f>IF(148&gt;=DeliverStart,ExpPayrollPerUnit*TotalUnits/12*EU$8*EU$12,0)</f>
        <v/>
      </c>
      <c r="EV31" s="18">
        <f>IF(149&gt;=DeliverStart,ExpPayrollPerUnit*TotalUnits/12*EV$8*EV$12,0)</f>
        <v/>
      </c>
      <c r="EW31" s="18">
        <f>IF(150&gt;=DeliverStart,ExpPayrollPerUnit*TotalUnits/12*EW$8*EW$12,0)</f>
        <v/>
      </c>
      <c r="EX31" s="18">
        <f>IF(151&gt;=DeliverStart,ExpPayrollPerUnit*TotalUnits/12*EX$8*EX$12,0)</f>
        <v/>
      </c>
      <c r="EY31" s="18">
        <f>IF(152&gt;=DeliverStart,ExpPayrollPerUnit*TotalUnits/12*EY$8*EY$12,0)</f>
        <v/>
      </c>
      <c r="EZ31" s="18">
        <f>IF(153&gt;=DeliverStart,ExpPayrollPerUnit*TotalUnits/12*EZ$8*EZ$12,0)</f>
        <v/>
      </c>
      <c r="FA31" s="18">
        <f>IF(154&gt;=DeliverStart,ExpPayrollPerUnit*TotalUnits/12*FA$8*FA$12,0)</f>
        <v/>
      </c>
      <c r="FB31" s="18">
        <f>IF(155&gt;=DeliverStart,ExpPayrollPerUnit*TotalUnits/12*FB$8*FB$12,0)</f>
        <v/>
      </c>
      <c r="FC31" s="18">
        <f>IF(156&gt;=DeliverStart,ExpPayrollPerUnit*TotalUnits/12*FC$8*FC$12,0)</f>
        <v/>
      </c>
      <c r="FD31" s="18">
        <f>IF(157&gt;=DeliverStart,ExpPayrollPerUnit*TotalUnits/12*FD$8*FD$12,0)</f>
        <v/>
      </c>
      <c r="FE31" s="18">
        <f>IF(158&gt;=DeliverStart,ExpPayrollPerUnit*TotalUnits/12*FE$8*FE$12,0)</f>
        <v/>
      </c>
      <c r="FF31" s="18">
        <f>IF(159&gt;=DeliverStart,ExpPayrollPerUnit*TotalUnits/12*FF$8*FF$12,0)</f>
        <v/>
      </c>
      <c r="FG31" s="18">
        <f>IF(160&gt;=DeliverStart,ExpPayrollPerUnit*TotalUnits/12*FG$8*FG$12,0)</f>
        <v/>
      </c>
      <c r="FH31" s="18">
        <f>IF(161&gt;=DeliverStart,ExpPayrollPerUnit*TotalUnits/12*FH$8*FH$12,0)</f>
        <v/>
      </c>
      <c r="FI31" s="18">
        <f>IF(162&gt;=DeliverStart,ExpPayrollPerUnit*TotalUnits/12*FI$8*FI$12,0)</f>
        <v/>
      </c>
      <c r="FJ31" s="18">
        <f>IF(163&gt;=DeliverStart,ExpPayrollPerUnit*TotalUnits/12*FJ$8*FJ$12,0)</f>
        <v/>
      </c>
      <c r="FK31" s="18">
        <f>IF(164&gt;=DeliverStart,ExpPayrollPerUnit*TotalUnits/12*FK$8*FK$12,0)</f>
        <v/>
      </c>
      <c r="FL31" s="18">
        <f>IF(165&gt;=DeliverStart,ExpPayrollPerUnit*TotalUnits/12*FL$8*FL$12,0)</f>
        <v/>
      </c>
      <c r="FM31" s="18">
        <f>IF(166&gt;=DeliverStart,ExpPayrollPerUnit*TotalUnits/12*FM$8*FM$12,0)</f>
        <v/>
      </c>
      <c r="FN31" s="18">
        <f>IF(167&gt;=DeliverStart,ExpPayrollPerUnit*TotalUnits/12*FN$8*FN$12,0)</f>
        <v/>
      </c>
      <c r="FO31" s="18">
        <f>IF(168&gt;=DeliverStart,ExpPayrollPerUnit*TotalUnits/12*FO$8*FO$12,0)</f>
        <v/>
      </c>
      <c r="FP31" s="18">
        <f>IF(169&gt;=DeliverStart,ExpPayrollPerUnit*TotalUnits/12*FP$8*FP$12,0)</f>
        <v/>
      </c>
      <c r="FQ31" s="18">
        <f>IF(170&gt;=DeliverStart,ExpPayrollPerUnit*TotalUnits/12*FQ$8*FQ$12,0)</f>
        <v/>
      </c>
      <c r="FR31" s="18">
        <f>IF(171&gt;=DeliverStart,ExpPayrollPerUnit*TotalUnits/12*FR$8*FR$12,0)</f>
        <v/>
      </c>
      <c r="FS31" s="18">
        <f>IF(172&gt;=DeliverStart,ExpPayrollPerUnit*TotalUnits/12*FS$8*FS$12,0)</f>
        <v/>
      </c>
      <c r="FT31" s="18">
        <f>IF(173&gt;=DeliverStart,ExpPayrollPerUnit*TotalUnits/12*FT$8*FT$12,0)</f>
        <v/>
      </c>
      <c r="FU31" s="18">
        <f>IF(174&gt;=DeliverStart,ExpPayrollPerUnit*TotalUnits/12*FU$8*FU$12,0)</f>
        <v/>
      </c>
      <c r="FV31" s="18">
        <f>IF(175&gt;=DeliverStart,ExpPayrollPerUnit*TotalUnits/12*FV$8*FV$12,0)</f>
        <v/>
      </c>
      <c r="FW31" s="18">
        <f>IF(176&gt;=DeliverStart,ExpPayrollPerUnit*TotalUnits/12*FW$8*FW$12,0)</f>
        <v/>
      </c>
      <c r="FX31" s="18">
        <f>IF(177&gt;=DeliverStart,ExpPayrollPerUnit*TotalUnits/12*FX$8*FX$12,0)</f>
        <v/>
      </c>
      <c r="FY31" s="18">
        <f>IF(178&gt;=DeliverStart,ExpPayrollPerUnit*TotalUnits/12*FY$8*FY$12,0)</f>
        <v/>
      </c>
      <c r="FZ31" s="18">
        <f>IF(179&gt;=DeliverStart,ExpPayrollPerUnit*TotalUnits/12*FZ$8*FZ$12,0)</f>
        <v/>
      </c>
      <c r="GA31" s="18">
        <f>IF(180&gt;=DeliverStart,ExpPayrollPerUnit*TotalUnits/12*GA$8*GA$12,0)</f>
        <v/>
      </c>
      <c r="GB31" s="18">
        <f>IF(181&gt;=DeliverStart,ExpPayrollPerUnit*TotalUnits/12*GB$8*GB$12,0)</f>
        <v/>
      </c>
      <c r="GC31" s="18">
        <f>IF(182&gt;=DeliverStart,ExpPayrollPerUnit*TotalUnits/12*GC$8*GC$12,0)</f>
        <v/>
      </c>
      <c r="GD31" s="18">
        <f>IF(183&gt;=DeliverStart,ExpPayrollPerUnit*TotalUnits/12*GD$8*GD$12,0)</f>
        <v/>
      </c>
      <c r="GE31" s="18">
        <f>IF(184&gt;=DeliverStart,ExpPayrollPerUnit*TotalUnits/12*GE$8*GE$12,0)</f>
        <v/>
      </c>
      <c r="GF31" s="18">
        <f>IF(185&gt;=DeliverStart,ExpPayrollPerUnit*TotalUnits/12*GF$8*GF$12,0)</f>
        <v/>
      </c>
      <c r="GG31" s="18">
        <f>IF(186&gt;=DeliverStart,ExpPayrollPerUnit*TotalUnits/12*GG$8*GG$12,0)</f>
        <v/>
      </c>
      <c r="GH31" s="18">
        <f>IF(187&gt;=DeliverStart,ExpPayrollPerUnit*TotalUnits/12*GH$8*GH$12,0)</f>
        <v/>
      </c>
      <c r="GI31" s="18">
        <f>IF(188&gt;=DeliverStart,ExpPayrollPerUnit*TotalUnits/12*GI$8*GI$12,0)</f>
        <v/>
      </c>
      <c r="GJ31" s="18">
        <f>IF(189&gt;=DeliverStart,ExpPayrollPerUnit*TotalUnits/12*GJ$8*GJ$12,0)</f>
        <v/>
      </c>
      <c r="GK31" s="18">
        <f>IF(190&gt;=DeliverStart,ExpPayrollPerUnit*TotalUnits/12*GK$8*GK$12,0)</f>
        <v/>
      </c>
      <c r="GL31" s="18">
        <f>IF(191&gt;=DeliverStart,ExpPayrollPerUnit*TotalUnits/12*GL$8*GL$12,0)</f>
        <v/>
      </c>
      <c r="GM31" s="18">
        <f>IF(192&gt;=DeliverStart,ExpPayrollPerUnit*TotalUnits/12*GM$8*GM$12,0)</f>
        <v/>
      </c>
      <c r="GN31" s="18">
        <f>IF(193&gt;=DeliverStart,ExpPayrollPerUnit*TotalUnits/12*GN$8*GN$12,0)</f>
        <v/>
      </c>
      <c r="GO31" s="18">
        <f>IF(194&gt;=DeliverStart,ExpPayrollPerUnit*TotalUnits/12*GO$8*GO$12,0)</f>
        <v/>
      </c>
      <c r="GP31" s="18">
        <f>IF(195&gt;=DeliverStart,ExpPayrollPerUnit*TotalUnits/12*GP$8*GP$12,0)</f>
        <v/>
      </c>
      <c r="GQ31" s="18">
        <f>IF(196&gt;=DeliverStart,ExpPayrollPerUnit*TotalUnits/12*GQ$8*GQ$12,0)</f>
        <v/>
      </c>
      <c r="GR31" s="18">
        <f>IF(197&gt;=DeliverStart,ExpPayrollPerUnit*TotalUnits/12*GR$8*GR$12,0)</f>
        <v/>
      </c>
      <c r="GS31" s="18">
        <f>IF(198&gt;=DeliverStart,ExpPayrollPerUnit*TotalUnits/12*GS$8*GS$12,0)</f>
        <v/>
      </c>
      <c r="GT31" s="18">
        <f>IF(199&gt;=DeliverStart,ExpPayrollPerUnit*TotalUnits/12*GT$8*GT$12,0)</f>
        <v/>
      </c>
      <c r="GU31" s="18">
        <f>IF(200&gt;=DeliverStart,ExpPayrollPerUnit*TotalUnits/12*GU$8*GU$12,0)</f>
        <v/>
      </c>
      <c r="GV31" s="18">
        <f>IF(201&gt;=DeliverStart,ExpPayrollPerUnit*TotalUnits/12*GV$8*GV$12,0)</f>
        <v/>
      </c>
      <c r="GW31" s="18">
        <f>IF(202&gt;=DeliverStart,ExpPayrollPerUnit*TotalUnits/12*GW$8*GW$12,0)</f>
        <v/>
      </c>
      <c r="GX31" s="18">
        <f>IF(203&gt;=DeliverStart,ExpPayrollPerUnit*TotalUnits/12*GX$8*GX$12,0)</f>
        <v/>
      </c>
      <c r="GY31" s="18">
        <f>IF(204&gt;=DeliverStart,ExpPayrollPerUnit*TotalUnits/12*GY$8*GY$12,0)</f>
        <v/>
      </c>
      <c r="GZ31" s="18">
        <f>IF(205&gt;=DeliverStart,ExpPayrollPerUnit*TotalUnits/12*GZ$8*GZ$12,0)</f>
        <v/>
      </c>
      <c r="HA31" s="18">
        <f>IF(206&gt;=DeliverStart,ExpPayrollPerUnit*TotalUnits/12*HA$8*HA$12,0)</f>
        <v/>
      </c>
      <c r="HB31" s="18">
        <f>IF(207&gt;=DeliverStart,ExpPayrollPerUnit*TotalUnits/12*HB$8*HB$12,0)</f>
        <v/>
      </c>
      <c r="HC31" s="18">
        <f>IF(208&gt;=DeliverStart,ExpPayrollPerUnit*TotalUnits/12*HC$8*HC$12,0)</f>
        <v/>
      </c>
      <c r="HD31" s="18">
        <f>IF(209&gt;=DeliverStart,ExpPayrollPerUnit*TotalUnits/12*HD$8*HD$12,0)</f>
        <v/>
      </c>
      <c r="HE31" s="18">
        <f>IF(210&gt;=DeliverStart,ExpPayrollPerUnit*TotalUnits/12*HE$8*HE$12,0)</f>
        <v/>
      </c>
      <c r="HF31" s="18">
        <f>IF(211&gt;=DeliverStart,ExpPayrollPerUnit*TotalUnits/12*HF$8*HF$12,0)</f>
        <v/>
      </c>
      <c r="HG31" s="18">
        <f>IF(212&gt;=DeliverStart,ExpPayrollPerUnit*TotalUnits/12*HG$8*HG$12,0)</f>
        <v/>
      </c>
      <c r="HH31" s="18">
        <f>IF(213&gt;=DeliverStart,ExpPayrollPerUnit*TotalUnits/12*HH$8*HH$12,0)</f>
        <v/>
      </c>
      <c r="HI31" s="18">
        <f>IF(214&gt;=DeliverStart,ExpPayrollPerUnit*TotalUnits/12*HI$8*HI$12,0)</f>
        <v/>
      </c>
      <c r="HJ31" s="18">
        <f>IF(215&gt;=DeliverStart,ExpPayrollPerUnit*TotalUnits/12*HJ$8*HJ$12,0)</f>
        <v/>
      </c>
      <c r="HK31" s="18">
        <f>IF(216&gt;=DeliverStart,ExpPayrollPerUnit*TotalUnits/12*HK$8*HK$12,0)</f>
        <v/>
      </c>
      <c r="HL31" s="18">
        <f>IF(217&gt;=DeliverStart,ExpPayrollPerUnit*TotalUnits/12*HL$8*HL$12,0)</f>
        <v/>
      </c>
      <c r="HM31" s="18">
        <f>IF(218&gt;=DeliverStart,ExpPayrollPerUnit*TotalUnits/12*HM$8*HM$12,0)</f>
        <v/>
      </c>
      <c r="HN31" s="18">
        <f>IF(219&gt;=DeliverStart,ExpPayrollPerUnit*TotalUnits/12*HN$8*HN$12,0)</f>
        <v/>
      </c>
      <c r="HO31" s="18">
        <f>IF(220&gt;=DeliverStart,ExpPayrollPerUnit*TotalUnits/12*HO$8*HO$12,0)</f>
        <v/>
      </c>
      <c r="HP31" s="18">
        <f>IF(221&gt;=DeliverStart,ExpPayrollPerUnit*TotalUnits/12*HP$8*HP$12,0)</f>
        <v/>
      </c>
      <c r="HQ31" s="18">
        <f>IF(222&gt;=DeliverStart,ExpPayrollPerUnit*TotalUnits/12*HQ$8*HQ$12,0)</f>
        <v/>
      </c>
      <c r="HR31" s="18">
        <f>IF(223&gt;=DeliverStart,ExpPayrollPerUnit*TotalUnits/12*HR$8*HR$12,0)</f>
        <v/>
      </c>
      <c r="HS31" s="18">
        <f>IF(224&gt;=DeliverStart,ExpPayrollPerUnit*TotalUnits/12*HS$8*HS$12,0)</f>
        <v/>
      </c>
      <c r="HT31" s="18">
        <f>IF(225&gt;=DeliverStart,ExpPayrollPerUnit*TotalUnits/12*HT$8*HT$12,0)</f>
        <v/>
      </c>
      <c r="HU31" s="18">
        <f>IF(226&gt;=DeliverStart,ExpPayrollPerUnit*TotalUnits/12*HU$8*HU$12,0)</f>
        <v/>
      </c>
      <c r="HV31" s="18">
        <f>IF(227&gt;=DeliverStart,ExpPayrollPerUnit*TotalUnits/12*HV$8*HV$12,0)</f>
        <v/>
      </c>
      <c r="HW31" s="18">
        <f>IF(228&gt;=DeliverStart,ExpPayrollPerUnit*TotalUnits/12*HW$8*HW$12,0)</f>
        <v/>
      </c>
      <c r="HX31" s="18">
        <f>IF(229&gt;=DeliverStart,ExpPayrollPerUnit*TotalUnits/12*HX$8*HX$12,0)</f>
        <v/>
      </c>
      <c r="HY31" s="18">
        <f>IF(230&gt;=DeliverStart,ExpPayrollPerUnit*TotalUnits/12*HY$8*HY$12,0)</f>
        <v/>
      </c>
      <c r="HZ31" s="18">
        <f>IF(231&gt;=DeliverStart,ExpPayrollPerUnit*TotalUnits/12*HZ$8*HZ$12,0)</f>
        <v/>
      </c>
      <c r="IA31" s="18">
        <f>IF(232&gt;=DeliverStart,ExpPayrollPerUnit*TotalUnits/12*IA$8*IA$12,0)</f>
        <v/>
      </c>
      <c r="IB31" s="18">
        <f>IF(233&gt;=DeliverStart,ExpPayrollPerUnit*TotalUnits/12*IB$8*IB$12,0)</f>
        <v/>
      </c>
      <c r="IC31" s="18">
        <f>IF(234&gt;=DeliverStart,ExpPayrollPerUnit*TotalUnits/12*IC$8*IC$12,0)</f>
        <v/>
      </c>
      <c r="ID31" s="18">
        <f>IF(235&gt;=DeliverStart,ExpPayrollPerUnit*TotalUnits/12*ID$8*ID$12,0)</f>
        <v/>
      </c>
      <c r="IE31" s="18">
        <f>IF(236&gt;=DeliverStart,ExpPayrollPerUnit*TotalUnits/12*IE$8*IE$12,0)</f>
        <v/>
      </c>
      <c r="IF31" s="18">
        <f>IF(237&gt;=DeliverStart,ExpPayrollPerUnit*TotalUnits/12*IF$8*IF$12,0)</f>
        <v/>
      </c>
      <c r="IG31" s="18">
        <f>IF(238&gt;=DeliverStart,ExpPayrollPerUnit*TotalUnits/12*IG$8*IG$12,0)</f>
        <v/>
      </c>
      <c r="IH31" s="18">
        <f>IF(239&gt;=DeliverStart,ExpPayrollPerUnit*TotalUnits/12*IH$8*IH$12,0)</f>
        <v/>
      </c>
      <c r="II31" s="18">
        <f>IF(240&gt;=DeliverStart,ExpPayrollPerUnit*TotalUnits/12*II$8*II$12,0)</f>
        <v/>
      </c>
      <c r="IJ31" s="18">
        <f>IF(241&gt;=DeliverStart,ExpPayrollPerUnit*TotalUnits/12*IJ$8*IJ$12,0)</f>
        <v/>
      </c>
      <c r="IK31" s="18">
        <f>IF(242&gt;=DeliverStart,ExpPayrollPerUnit*TotalUnits/12*IK$8*IK$12,0)</f>
        <v/>
      </c>
      <c r="IL31" s="18">
        <f>IF(243&gt;=DeliverStart,ExpPayrollPerUnit*TotalUnits/12*IL$8*IL$12,0)</f>
        <v/>
      </c>
      <c r="IM31" s="18">
        <f>IF(244&gt;=DeliverStart,ExpPayrollPerUnit*TotalUnits/12*IM$8*IM$12,0)</f>
        <v/>
      </c>
      <c r="IN31" s="18">
        <f>IF(245&gt;=DeliverStart,ExpPayrollPerUnit*TotalUnits/12*IN$8*IN$12,0)</f>
        <v/>
      </c>
      <c r="IO31" s="18">
        <f>IF(246&gt;=DeliverStart,ExpPayrollPerUnit*TotalUnits/12*IO$8*IO$12,0)</f>
        <v/>
      </c>
      <c r="IP31" s="18">
        <f>IF(247&gt;=DeliverStart,ExpPayrollPerUnit*TotalUnits/12*IP$8*IP$12,0)</f>
        <v/>
      </c>
      <c r="IQ31" s="18">
        <f>IF(248&gt;=DeliverStart,ExpPayrollPerUnit*TotalUnits/12*IQ$8*IQ$12,0)</f>
        <v/>
      </c>
      <c r="IR31" s="18">
        <f>IF(249&gt;=DeliverStart,ExpPayrollPerUnit*TotalUnits/12*IR$8*IR$12,0)</f>
        <v/>
      </c>
      <c r="IS31" s="18">
        <f>IF(250&gt;=DeliverStart,ExpPayrollPerUnit*TotalUnits/12*IS$8*IS$12,0)</f>
        <v/>
      </c>
      <c r="IT31" s="18">
        <f>IF(251&gt;=DeliverStart,ExpPayrollPerUnit*TotalUnits/12*IT$8*IT$12,0)</f>
        <v/>
      </c>
      <c r="IU31" s="18">
        <f>IF(252&gt;=DeliverStart,ExpPayrollPerUnit*TotalUnits/12*IU$8*IU$12,0)</f>
        <v/>
      </c>
      <c r="IV31" s="18">
        <f>IF(253&gt;=DeliverStart,ExpPayrollPerUnit*TotalUnits/12*IV$8*IV$12,0)</f>
        <v/>
      </c>
      <c r="IW31" s="18">
        <f>IF(254&gt;=DeliverStart,ExpPayrollPerUnit*TotalUnits/12*IW$8*IW$12,0)</f>
        <v/>
      </c>
      <c r="IX31" s="18">
        <f>IF(255&gt;=DeliverStart,ExpPayrollPerUnit*TotalUnits/12*IX$8*IX$12,0)</f>
        <v/>
      </c>
      <c r="IY31" s="18">
        <f>IF(256&gt;=DeliverStart,ExpPayrollPerUnit*TotalUnits/12*IY$8*IY$12,0)</f>
        <v/>
      </c>
      <c r="IZ31" s="18">
        <f>IF(257&gt;=DeliverStart,ExpPayrollPerUnit*TotalUnits/12*IZ$8*IZ$12,0)</f>
        <v/>
      </c>
      <c r="JA31" s="18">
        <f>IF(258&gt;=DeliverStart,ExpPayrollPerUnit*TotalUnits/12*JA$8*JA$12,0)</f>
        <v/>
      </c>
      <c r="JB31" s="18">
        <f>IF(259&gt;=DeliverStart,ExpPayrollPerUnit*TotalUnits/12*JB$8*JB$12,0)</f>
        <v/>
      </c>
      <c r="JC31" s="18">
        <f>IF(260&gt;=DeliverStart,ExpPayrollPerUnit*TotalUnits/12*JC$8*JC$12,0)</f>
        <v/>
      </c>
      <c r="JD31" s="18">
        <f>IF(261&gt;=DeliverStart,ExpPayrollPerUnit*TotalUnits/12*JD$8*JD$12,0)</f>
        <v/>
      </c>
      <c r="JE31" s="18">
        <f>IF(262&gt;=DeliverStart,ExpPayrollPerUnit*TotalUnits/12*JE$8*JE$12,0)</f>
        <v/>
      </c>
      <c r="JF31" s="18">
        <f>IF(263&gt;=DeliverStart,ExpPayrollPerUnit*TotalUnits/12*JF$8*JF$12,0)</f>
        <v/>
      </c>
      <c r="JG31" s="18">
        <f>IF(264&gt;=DeliverStart,ExpPayrollPerUnit*TotalUnits/12*JG$8*JG$12,0)</f>
        <v/>
      </c>
      <c r="JH31" s="18">
        <f>IF(265&gt;=DeliverStart,ExpPayrollPerUnit*TotalUnits/12*JH$8*JH$12,0)</f>
        <v/>
      </c>
      <c r="JI31" s="18">
        <f>IF(266&gt;=DeliverStart,ExpPayrollPerUnit*TotalUnits/12*JI$8*JI$12,0)</f>
        <v/>
      </c>
      <c r="JJ31" s="18">
        <f>IF(267&gt;=DeliverStart,ExpPayrollPerUnit*TotalUnits/12*JJ$8*JJ$12,0)</f>
        <v/>
      </c>
      <c r="JK31" s="18">
        <f>IF(268&gt;=DeliverStart,ExpPayrollPerUnit*TotalUnits/12*JK$8*JK$12,0)</f>
        <v/>
      </c>
      <c r="JL31" s="18">
        <f>IF(269&gt;=DeliverStart,ExpPayrollPerUnit*TotalUnits/12*JL$8*JL$12,0)</f>
        <v/>
      </c>
      <c r="JM31" s="18">
        <f>IF(270&gt;=DeliverStart,ExpPayrollPerUnit*TotalUnits/12*JM$8*JM$12,0)</f>
        <v/>
      </c>
      <c r="JN31" s="18">
        <f>IF(271&gt;=DeliverStart,ExpPayrollPerUnit*TotalUnits/12*JN$8*JN$12,0)</f>
        <v/>
      </c>
      <c r="JO31" s="18">
        <f>IF(272&gt;=DeliverStart,ExpPayrollPerUnit*TotalUnits/12*JO$8*JO$12,0)</f>
        <v/>
      </c>
      <c r="JP31" s="18">
        <f>IF(273&gt;=DeliverStart,ExpPayrollPerUnit*TotalUnits/12*JP$8*JP$12,0)</f>
        <v/>
      </c>
      <c r="JQ31" s="18">
        <f>IF(274&gt;=DeliverStart,ExpPayrollPerUnit*TotalUnits/12*JQ$8*JQ$12,0)</f>
        <v/>
      </c>
      <c r="JR31" s="18">
        <f>IF(275&gt;=DeliverStart,ExpPayrollPerUnit*TotalUnits/12*JR$8*JR$12,0)</f>
        <v/>
      </c>
      <c r="JS31" s="18">
        <f>IF(276&gt;=DeliverStart,ExpPayrollPerUnit*TotalUnits/12*JS$8*JS$12,0)</f>
        <v/>
      </c>
      <c r="JT31" s="18">
        <f>IF(277&gt;=DeliverStart,ExpPayrollPerUnit*TotalUnits/12*JT$8*JT$12,0)</f>
        <v/>
      </c>
      <c r="JU31" s="18">
        <f>IF(278&gt;=DeliverStart,ExpPayrollPerUnit*TotalUnits/12*JU$8*JU$12,0)</f>
        <v/>
      </c>
      <c r="JV31" s="18">
        <f>IF(279&gt;=DeliverStart,ExpPayrollPerUnit*TotalUnits/12*JV$8*JV$12,0)</f>
        <v/>
      </c>
      <c r="JW31" s="18">
        <f>IF(280&gt;=DeliverStart,ExpPayrollPerUnit*TotalUnits/12*JW$8*JW$12,0)</f>
        <v/>
      </c>
      <c r="JX31" s="18">
        <f>IF(281&gt;=DeliverStart,ExpPayrollPerUnit*TotalUnits/12*JX$8*JX$12,0)</f>
        <v/>
      </c>
      <c r="JY31" s="18">
        <f>IF(282&gt;=DeliverStart,ExpPayrollPerUnit*TotalUnits/12*JY$8*JY$12,0)</f>
        <v/>
      </c>
      <c r="JZ31" s="18">
        <f>IF(283&gt;=DeliverStart,ExpPayrollPerUnit*TotalUnits/12*JZ$8*JZ$12,0)</f>
        <v/>
      </c>
      <c r="KA31" s="18">
        <f>IF(284&gt;=DeliverStart,ExpPayrollPerUnit*TotalUnits/12*KA$8*KA$12,0)</f>
        <v/>
      </c>
      <c r="KB31" s="18">
        <f>IF(285&gt;=DeliverStart,ExpPayrollPerUnit*TotalUnits/12*KB$8*KB$12,0)</f>
        <v/>
      </c>
      <c r="KC31" s="18">
        <f>IF(286&gt;=DeliverStart,ExpPayrollPerUnit*TotalUnits/12*KC$8*KC$12,0)</f>
        <v/>
      </c>
      <c r="KD31" s="18">
        <f>IF(287&gt;=DeliverStart,ExpPayrollPerUnit*TotalUnits/12*KD$8*KD$12,0)</f>
        <v/>
      </c>
      <c r="KE31" s="18">
        <f>IF(288&gt;=DeliverStart,ExpPayrollPerUnit*TotalUnits/12*KE$8*KE$12,0)</f>
        <v/>
      </c>
      <c r="KF31" s="18">
        <f>IF(289&gt;=DeliverStart,ExpPayrollPerUnit*TotalUnits/12*KF$8*KF$12,0)</f>
        <v/>
      </c>
      <c r="KG31" s="18">
        <f>IF(290&gt;=DeliverStart,ExpPayrollPerUnit*TotalUnits/12*KG$8*KG$12,0)</f>
        <v/>
      </c>
      <c r="KH31" s="18">
        <f>IF(291&gt;=DeliverStart,ExpPayrollPerUnit*TotalUnits/12*KH$8*KH$12,0)</f>
        <v/>
      </c>
      <c r="KI31" s="18">
        <f>IF(292&gt;=DeliverStart,ExpPayrollPerUnit*TotalUnits/12*KI$8*KI$12,0)</f>
        <v/>
      </c>
      <c r="KJ31" s="18">
        <f>IF(293&gt;=DeliverStart,ExpPayrollPerUnit*TotalUnits/12*KJ$8*KJ$12,0)</f>
        <v/>
      </c>
      <c r="KK31" s="18">
        <f>IF(294&gt;=DeliverStart,ExpPayrollPerUnit*TotalUnits/12*KK$8*KK$12,0)</f>
        <v/>
      </c>
      <c r="KL31" s="18">
        <f>IF(295&gt;=DeliverStart,ExpPayrollPerUnit*TotalUnits/12*KL$8*KL$12,0)</f>
        <v/>
      </c>
      <c r="KM31" s="18">
        <f>IF(296&gt;=DeliverStart,ExpPayrollPerUnit*TotalUnits/12*KM$8*KM$12,0)</f>
        <v/>
      </c>
      <c r="KN31" s="18">
        <f>IF(297&gt;=DeliverStart,ExpPayrollPerUnit*TotalUnits/12*KN$8*KN$12,0)</f>
        <v/>
      </c>
      <c r="KO31" s="18">
        <f>IF(298&gt;=DeliverStart,ExpPayrollPerUnit*TotalUnits/12*KO$8*KO$12,0)</f>
        <v/>
      </c>
      <c r="KP31" s="18">
        <f>IF(299&gt;=DeliverStart,ExpPayrollPerUnit*TotalUnits/12*KP$8*KP$12,0)</f>
        <v/>
      </c>
      <c r="KQ31" s="18">
        <f>IF(300&gt;=DeliverStart,ExpPayrollPerUnit*TotalUnits/12*KQ$8*KQ$12,0)</f>
        <v/>
      </c>
      <c r="KR31" s="18">
        <f>IF(301&gt;=DeliverStart,ExpPayrollPerUnit*TotalUnits/12*KR$8*KR$12,0)</f>
        <v/>
      </c>
      <c r="KS31" s="18">
        <f>IF(302&gt;=DeliverStart,ExpPayrollPerUnit*TotalUnits/12*KS$8*KS$12,0)</f>
        <v/>
      </c>
      <c r="KT31" s="18">
        <f>IF(303&gt;=DeliverStart,ExpPayrollPerUnit*TotalUnits/12*KT$8*KT$12,0)</f>
        <v/>
      </c>
      <c r="KU31" s="18">
        <f>IF(304&gt;=DeliverStart,ExpPayrollPerUnit*TotalUnits/12*KU$8*KU$12,0)</f>
        <v/>
      </c>
      <c r="KV31" s="18">
        <f>IF(305&gt;=DeliverStart,ExpPayrollPerUnit*TotalUnits/12*KV$8*KV$12,0)</f>
        <v/>
      </c>
      <c r="KW31" s="18">
        <f>IF(306&gt;=DeliverStart,ExpPayrollPerUnit*TotalUnits/12*KW$8*KW$12,0)</f>
        <v/>
      </c>
      <c r="KX31" s="18">
        <f>IF(307&gt;=DeliverStart,ExpPayrollPerUnit*TotalUnits/12*KX$8*KX$12,0)</f>
        <v/>
      </c>
      <c r="KY31" s="18">
        <f>IF(308&gt;=DeliverStart,ExpPayrollPerUnit*TotalUnits/12*KY$8*KY$12,0)</f>
        <v/>
      </c>
      <c r="KZ31" s="18">
        <f>IF(309&gt;=DeliverStart,ExpPayrollPerUnit*TotalUnits/12*KZ$8*KZ$12,0)</f>
        <v/>
      </c>
      <c r="LA31" s="18">
        <f>IF(310&gt;=DeliverStart,ExpPayrollPerUnit*TotalUnits/12*LA$8*LA$12,0)</f>
        <v/>
      </c>
      <c r="LB31" s="18">
        <f>IF(311&gt;=DeliverStart,ExpPayrollPerUnit*TotalUnits/12*LB$8*LB$12,0)</f>
        <v/>
      </c>
      <c r="LC31" s="18">
        <f>IF(312&gt;=DeliverStart,ExpPayrollPerUnit*TotalUnits/12*LC$8*LC$12,0)</f>
        <v/>
      </c>
      <c r="LD31" s="18">
        <f>IF(313&gt;=DeliverStart,ExpPayrollPerUnit*TotalUnits/12*LD$8*LD$12,0)</f>
        <v/>
      </c>
      <c r="LE31" s="18">
        <f>IF(314&gt;=DeliverStart,ExpPayrollPerUnit*TotalUnits/12*LE$8*LE$12,0)</f>
        <v/>
      </c>
      <c r="LF31" s="18">
        <f>IF(315&gt;=DeliverStart,ExpPayrollPerUnit*TotalUnits/12*LF$8*LF$12,0)</f>
        <v/>
      </c>
      <c r="LG31" s="18">
        <f>IF(316&gt;=DeliverStart,ExpPayrollPerUnit*TotalUnits/12*LG$8*LG$12,0)</f>
        <v/>
      </c>
      <c r="LH31" s="18">
        <f>IF(317&gt;=DeliverStart,ExpPayrollPerUnit*TotalUnits/12*LH$8*LH$12,0)</f>
        <v/>
      </c>
      <c r="LI31" s="18">
        <f>IF(318&gt;=DeliverStart,ExpPayrollPerUnit*TotalUnits/12*LI$8*LI$12,0)</f>
        <v/>
      </c>
      <c r="LJ31" s="18">
        <f>IF(319&gt;=DeliverStart,ExpPayrollPerUnit*TotalUnits/12*LJ$8*LJ$12,0)</f>
        <v/>
      </c>
      <c r="LK31" s="18">
        <f>IF(320&gt;=DeliverStart,ExpPayrollPerUnit*TotalUnits/12*LK$8*LK$12,0)</f>
        <v/>
      </c>
      <c r="LL31" s="18">
        <f>IF(321&gt;=DeliverStart,ExpPayrollPerUnit*TotalUnits/12*LL$8*LL$12,0)</f>
        <v/>
      </c>
      <c r="LM31" s="18">
        <f>IF(322&gt;=DeliverStart,ExpPayrollPerUnit*TotalUnits/12*LM$8*LM$12,0)</f>
        <v/>
      </c>
      <c r="LN31" s="18">
        <f>IF(323&gt;=DeliverStart,ExpPayrollPerUnit*TotalUnits/12*LN$8*LN$12,0)</f>
        <v/>
      </c>
      <c r="LO31" s="18">
        <f>IF(324&gt;=DeliverStart,ExpPayrollPerUnit*TotalUnits/12*LO$8*LO$12,0)</f>
        <v/>
      </c>
      <c r="LP31" s="18">
        <f>IF(325&gt;=DeliverStart,ExpPayrollPerUnit*TotalUnits/12*LP$8*LP$12,0)</f>
        <v/>
      </c>
      <c r="LQ31" s="18">
        <f>IF(326&gt;=DeliverStart,ExpPayrollPerUnit*TotalUnits/12*LQ$8*LQ$12,0)</f>
        <v/>
      </c>
      <c r="LR31" s="18">
        <f>IF(327&gt;=DeliverStart,ExpPayrollPerUnit*TotalUnits/12*LR$8*LR$12,0)</f>
        <v/>
      </c>
      <c r="LS31" s="18">
        <f>IF(328&gt;=DeliverStart,ExpPayrollPerUnit*TotalUnits/12*LS$8*LS$12,0)</f>
        <v/>
      </c>
      <c r="LT31" s="18">
        <f>IF(329&gt;=DeliverStart,ExpPayrollPerUnit*TotalUnits/12*LT$8*LT$12,0)</f>
        <v/>
      </c>
      <c r="LU31" s="18">
        <f>IF(330&gt;=DeliverStart,ExpPayrollPerUnit*TotalUnits/12*LU$8*LU$12,0)</f>
        <v/>
      </c>
      <c r="LV31" s="18">
        <f>IF(331&gt;=DeliverStart,ExpPayrollPerUnit*TotalUnits/12*LV$8*LV$12,0)</f>
        <v/>
      </c>
      <c r="LW31" s="18">
        <f>IF(332&gt;=DeliverStart,ExpPayrollPerUnit*TotalUnits/12*LW$8*LW$12,0)</f>
        <v/>
      </c>
      <c r="LX31" s="18">
        <f>IF(333&gt;=DeliverStart,ExpPayrollPerUnit*TotalUnits/12*LX$8*LX$12,0)</f>
        <v/>
      </c>
      <c r="LY31" s="18">
        <f>IF(334&gt;=DeliverStart,ExpPayrollPerUnit*TotalUnits/12*LY$8*LY$12,0)</f>
        <v/>
      </c>
      <c r="LZ31" s="18">
        <f>IF(335&gt;=DeliverStart,ExpPayrollPerUnit*TotalUnits/12*LZ$8*LZ$12,0)</f>
        <v/>
      </c>
      <c r="MA31" s="18">
        <f>IF(336&gt;=DeliverStart,ExpPayrollPerUnit*TotalUnits/12*MA$8*MA$12,0)</f>
        <v/>
      </c>
      <c r="MB31" s="18">
        <f>IF(337&gt;=DeliverStart,ExpPayrollPerUnit*TotalUnits/12*MB$8*MB$12,0)</f>
        <v/>
      </c>
      <c r="MC31" s="18">
        <f>IF(338&gt;=DeliverStart,ExpPayrollPerUnit*TotalUnits/12*MC$8*MC$12,0)</f>
        <v/>
      </c>
      <c r="MD31" s="18">
        <f>IF(339&gt;=DeliverStart,ExpPayrollPerUnit*TotalUnits/12*MD$8*MD$12,0)</f>
        <v/>
      </c>
      <c r="ME31" s="18">
        <f>IF(340&gt;=DeliverStart,ExpPayrollPerUnit*TotalUnits/12*ME$8*ME$12,0)</f>
        <v/>
      </c>
      <c r="MF31" s="18">
        <f>IF(341&gt;=DeliverStart,ExpPayrollPerUnit*TotalUnits/12*MF$8*MF$12,0)</f>
        <v/>
      </c>
      <c r="MG31" s="18">
        <f>IF(342&gt;=DeliverStart,ExpPayrollPerUnit*TotalUnits/12*MG$8*MG$12,0)</f>
        <v/>
      </c>
      <c r="MH31" s="18">
        <f>IF(343&gt;=DeliverStart,ExpPayrollPerUnit*TotalUnits/12*MH$8*MH$12,0)</f>
        <v/>
      </c>
      <c r="MI31" s="18">
        <f>IF(344&gt;=DeliverStart,ExpPayrollPerUnit*TotalUnits/12*MI$8*MI$12,0)</f>
        <v/>
      </c>
      <c r="MJ31" s="18">
        <f>IF(345&gt;=DeliverStart,ExpPayrollPerUnit*TotalUnits/12*MJ$8*MJ$12,0)</f>
        <v/>
      </c>
      <c r="MK31" s="18">
        <f>IF(346&gt;=DeliverStart,ExpPayrollPerUnit*TotalUnits/12*MK$8*MK$12,0)</f>
        <v/>
      </c>
      <c r="ML31" s="18">
        <f>IF(347&gt;=DeliverStart,ExpPayrollPerUnit*TotalUnits/12*ML$8*ML$12,0)</f>
        <v/>
      </c>
      <c r="MM31" s="18">
        <f>IF(348&gt;=DeliverStart,ExpPayrollPerUnit*TotalUnits/12*MM$8*MM$12,0)</f>
        <v/>
      </c>
      <c r="MN31" s="18">
        <f>IF(349&gt;=DeliverStart,ExpPayrollPerUnit*TotalUnits/12*MN$8*MN$12,0)</f>
        <v/>
      </c>
      <c r="MO31" s="18">
        <f>IF(350&gt;=DeliverStart,ExpPayrollPerUnit*TotalUnits/12*MO$8*MO$12,0)</f>
        <v/>
      </c>
      <c r="MP31" s="18">
        <f>IF(351&gt;=DeliverStart,ExpPayrollPerUnit*TotalUnits/12*MP$8*MP$12,0)</f>
        <v/>
      </c>
      <c r="MQ31" s="18">
        <f>IF(352&gt;=DeliverStart,ExpPayrollPerUnit*TotalUnits/12*MQ$8*MQ$12,0)</f>
        <v/>
      </c>
      <c r="MR31" s="18">
        <f>IF(353&gt;=DeliverStart,ExpPayrollPerUnit*TotalUnits/12*MR$8*MR$12,0)</f>
        <v/>
      </c>
      <c r="MS31" s="18">
        <f>IF(354&gt;=DeliverStart,ExpPayrollPerUnit*TotalUnits/12*MS$8*MS$12,0)</f>
        <v/>
      </c>
      <c r="MT31" s="18">
        <f>IF(355&gt;=DeliverStart,ExpPayrollPerUnit*TotalUnits/12*MT$8*MT$12,0)</f>
        <v/>
      </c>
      <c r="MU31" s="18">
        <f>IF(356&gt;=DeliverStart,ExpPayrollPerUnit*TotalUnits/12*MU$8*MU$12,0)</f>
        <v/>
      </c>
      <c r="MV31" s="18">
        <f>IF(357&gt;=DeliverStart,ExpPayrollPerUnit*TotalUnits/12*MV$8*MV$12,0)</f>
        <v/>
      </c>
      <c r="MW31" s="18">
        <f>IF(358&gt;=DeliverStart,ExpPayrollPerUnit*TotalUnits/12*MW$8*MW$12,0)</f>
        <v/>
      </c>
      <c r="MX31" s="18">
        <f>IF(359&gt;=DeliverStart,ExpPayrollPerUnit*TotalUnits/12*MX$8*MX$12,0)</f>
        <v/>
      </c>
      <c r="MY31" s="18">
        <f>IF(360&gt;=DeliverStart,ExpPayrollPerUnit*TotalUnits/12*MY$8*MY$12,0)</f>
        <v/>
      </c>
      <c r="MZ31" s="18">
        <f>IF(361&gt;=DeliverStart,ExpPayrollPerUnit*TotalUnits/12*MZ$8*MZ$12,0)</f>
        <v/>
      </c>
      <c r="NA31" s="18">
        <f>IF(362&gt;=DeliverStart,ExpPayrollPerUnit*TotalUnits/12*NA$8*NA$12,0)</f>
        <v/>
      </c>
      <c r="NB31" s="18">
        <f>IF(363&gt;=DeliverStart,ExpPayrollPerUnit*TotalUnits/12*NB$8*NB$12,0)</f>
        <v/>
      </c>
      <c r="NC31" s="18">
        <f>IF(364&gt;=DeliverStart,ExpPayrollPerUnit*TotalUnits/12*NC$8*NC$12,0)</f>
        <v/>
      </c>
      <c r="ND31" s="18">
        <f>IF(365&gt;=DeliverStart,ExpPayrollPerUnit*TotalUnits/12*ND$8*ND$12,0)</f>
        <v/>
      </c>
      <c r="NE31" s="18">
        <f>IF(366&gt;=DeliverStart,ExpPayrollPerUnit*TotalUnits/12*NE$8*NE$12,0)</f>
        <v/>
      </c>
      <c r="NF31" s="18">
        <f>IF(367&gt;=DeliverStart,ExpPayrollPerUnit*TotalUnits/12*NF$8*NF$12,0)</f>
        <v/>
      </c>
      <c r="NG31" s="18">
        <f>IF(368&gt;=DeliverStart,ExpPayrollPerUnit*TotalUnits/12*NG$8*NG$12,0)</f>
        <v/>
      </c>
      <c r="NH31" s="18">
        <f>IF(369&gt;=DeliverStart,ExpPayrollPerUnit*TotalUnits/12*NH$8*NH$12,0)</f>
        <v/>
      </c>
      <c r="NI31" s="18">
        <f>IF(370&gt;=DeliverStart,ExpPayrollPerUnit*TotalUnits/12*NI$8*NI$12,0)</f>
        <v/>
      </c>
      <c r="NJ31" s="18">
        <f>IF(371&gt;=DeliverStart,ExpPayrollPerUnit*TotalUnits/12*NJ$8*NJ$12,0)</f>
        <v/>
      </c>
      <c r="NK31" s="18">
        <f>IF(372&gt;=DeliverStart,ExpPayrollPerUnit*TotalUnits/12*NK$8*NK$12,0)</f>
        <v/>
      </c>
    </row>
    <row r="32">
      <c r="A32" s="5" t="inlineStr">
        <is>
          <t>Advertising (elevated)</t>
        </is>
      </c>
      <c r="C32" s="41">
        <f>SUM(D32:NK32)</f>
        <v/>
      </c>
      <c r="D32" s="18">
        <f>IF(1&gt;=DeliverStart,ExpAdvertisingPerUnit*TotalUnits/12*D$8*D$12,0)</f>
        <v/>
      </c>
      <c r="E32" s="18">
        <f>IF(2&gt;=DeliverStart,ExpAdvertisingPerUnit*TotalUnits/12*E$8*E$12,0)</f>
        <v/>
      </c>
      <c r="F32" s="18">
        <f>IF(3&gt;=DeliverStart,ExpAdvertisingPerUnit*TotalUnits/12*F$8*F$12,0)</f>
        <v/>
      </c>
      <c r="G32" s="18">
        <f>IF(4&gt;=DeliverStart,ExpAdvertisingPerUnit*TotalUnits/12*G$8*G$12,0)</f>
        <v/>
      </c>
      <c r="H32" s="18">
        <f>IF(5&gt;=DeliverStart,ExpAdvertisingPerUnit*TotalUnits/12*H$8*H$12,0)</f>
        <v/>
      </c>
      <c r="I32" s="18">
        <f>IF(6&gt;=DeliverStart,ExpAdvertisingPerUnit*TotalUnits/12*I$8*I$12,0)</f>
        <v/>
      </c>
      <c r="J32" s="18">
        <f>IF(7&gt;=DeliverStart,ExpAdvertisingPerUnit*TotalUnits/12*J$8*J$12,0)</f>
        <v/>
      </c>
      <c r="K32" s="18">
        <f>IF(8&gt;=DeliverStart,ExpAdvertisingPerUnit*TotalUnits/12*K$8*K$12,0)</f>
        <v/>
      </c>
      <c r="L32" s="18">
        <f>IF(9&gt;=DeliverStart,ExpAdvertisingPerUnit*TotalUnits/12*L$8*L$12,0)</f>
        <v/>
      </c>
      <c r="M32" s="18">
        <f>IF(10&gt;=DeliverStart,ExpAdvertisingPerUnit*TotalUnits/12*M$8*M$12,0)</f>
        <v/>
      </c>
      <c r="N32" s="18">
        <f>IF(11&gt;=DeliverStart,ExpAdvertisingPerUnit*TotalUnits/12*N$8*N$12,0)</f>
        <v/>
      </c>
      <c r="O32" s="18">
        <f>IF(12&gt;=DeliverStart,ExpAdvertisingPerUnit*TotalUnits/12*O$8*O$12,0)</f>
        <v/>
      </c>
      <c r="P32" s="18">
        <f>IF(13&gt;=DeliverStart,ExpAdvertisingPerUnit*TotalUnits/12*P$8*P$12,0)</f>
        <v/>
      </c>
      <c r="Q32" s="18">
        <f>IF(14&gt;=DeliverStart,ExpAdvertisingPerUnit*TotalUnits/12*Q$8*Q$12,0)</f>
        <v/>
      </c>
      <c r="R32" s="18">
        <f>IF(15&gt;=DeliverStart,ExpAdvertisingPerUnit*TotalUnits/12*R$8*R$12,0)</f>
        <v/>
      </c>
      <c r="S32" s="18">
        <f>IF(16&gt;=DeliverStart,ExpAdvertisingPerUnit*TotalUnits/12*S$8*S$12,0)</f>
        <v/>
      </c>
      <c r="T32" s="18">
        <f>IF(17&gt;=DeliverStart,ExpAdvertisingPerUnit*TotalUnits/12*T$8*T$12,0)</f>
        <v/>
      </c>
      <c r="U32" s="18">
        <f>IF(18&gt;=DeliverStart,ExpAdvertisingPerUnit*TotalUnits/12*U$8*U$12,0)</f>
        <v/>
      </c>
      <c r="V32" s="18">
        <f>IF(19&gt;=DeliverStart,ExpAdvertisingPerUnit*TotalUnits/12*V$8*V$12,0)</f>
        <v/>
      </c>
      <c r="W32" s="18">
        <f>IF(20&gt;=DeliverStart,ExpAdvertisingPerUnit*TotalUnits/12*W$8*W$12,0)</f>
        <v/>
      </c>
      <c r="X32" s="18">
        <f>IF(21&gt;=DeliverStart,ExpAdvertisingPerUnit*TotalUnits/12*X$8*X$12,0)</f>
        <v/>
      </c>
      <c r="Y32" s="18">
        <f>IF(22&gt;=DeliverStart,ExpAdvertisingPerUnit*TotalUnits/12*Y$8*Y$12,0)</f>
        <v/>
      </c>
      <c r="Z32" s="18">
        <f>IF(23&gt;=DeliverStart,ExpAdvertisingPerUnit*TotalUnits/12*Z$8*Z$12,0)</f>
        <v/>
      </c>
      <c r="AA32" s="18">
        <f>IF(24&gt;=DeliverStart,ExpAdvertisingPerUnit*TotalUnits/12*AA$8*AA$12,0)</f>
        <v/>
      </c>
      <c r="AB32" s="18">
        <f>IF(25&gt;=DeliverStart,ExpAdvertisingPerUnit*TotalUnits/12*AB$8*AB$12,0)</f>
        <v/>
      </c>
      <c r="AC32" s="18">
        <f>IF(26&gt;=DeliverStart,ExpAdvertisingPerUnit*TotalUnits/12*AC$8*AC$12,0)</f>
        <v/>
      </c>
      <c r="AD32" s="18">
        <f>IF(27&gt;=DeliverStart,ExpAdvertisingPerUnit*TotalUnits/12*AD$8*AD$12,0)</f>
        <v/>
      </c>
      <c r="AE32" s="18">
        <f>IF(28&gt;=DeliverStart,ExpAdvertisingPerUnit*TotalUnits/12*AE$8*AE$12,0)</f>
        <v/>
      </c>
      <c r="AF32" s="18">
        <f>IF(29&gt;=DeliverStart,ExpAdvertisingPerUnit*TotalUnits/12*AF$8*AF$12,0)</f>
        <v/>
      </c>
      <c r="AG32" s="18">
        <f>IF(30&gt;=DeliverStart,ExpAdvertisingPerUnit*TotalUnits/12*AG$8*AG$12,0)</f>
        <v/>
      </c>
      <c r="AH32" s="18">
        <f>IF(31&gt;=DeliverStart,ExpAdvertisingPerUnit*TotalUnits/12*AH$8*AH$12,0)</f>
        <v/>
      </c>
      <c r="AI32" s="18">
        <f>IF(32&gt;=DeliverStart,ExpAdvertisingPerUnit*TotalUnits/12*AI$8*AI$12,0)</f>
        <v/>
      </c>
      <c r="AJ32" s="18">
        <f>IF(33&gt;=DeliverStart,ExpAdvertisingPerUnit*TotalUnits/12*AJ$8*AJ$12,0)</f>
        <v/>
      </c>
      <c r="AK32" s="18">
        <f>IF(34&gt;=DeliverStart,ExpAdvertisingPerUnit*TotalUnits/12*AK$8*AK$12,0)</f>
        <v/>
      </c>
      <c r="AL32" s="18">
        <f>IF(35&gt;=DeliverStart,ExpAdvertisingPerUnit*TotalUnits/12*AL$8*AL$12,0)</f>
        <v/>
      </c>
      <c r="AM32" s="18">
        <f>IF(36&gt;=DeliverStart,ExpAdvertisingPerUnit*TotalUnits/12*AM$8*AM$12,0)</f>
        <v/>
      </c>
      <c r="AN32" s="18">
        <f>IF(37&gt;=DeliverStart,ExpAdvertisingPerUnit*TotalUnits/12*AN$8*AN$12,0)</f>
        <v/>
      </c>
      <c r="AO32" s="18">
        <f>IF(38&gt;=DeliverStart,ExpAdvertisingPerUnit*TotalUnits/12*AO$8*AO$12,0)</f>
        <v/>
      </c>
      <c r="AP32" s="18">
        <f>IF(39&gt;=DeliverStart,ExpAdvertisingPerUnit*TotalUnits/12*AP$8*AP$12,0)</f>
        <v/>
      </c>
      <c r="AQ32" s="18">
        <f>IF(40&gt;=DeliverStart,ExpAdvertisingPerUnit*TotalUnits/12*AQ$8*AQ$12,0)</f>
        <v/>
      </c>
      <c r="AR32" s="18">
        <f>IF(41&gt;=DeliverStart,ExpAdvertisingPerUnit*TotalUnits/12*AR$8*AR$12,0)</f>
        <v/>
      </c>
      <c r="AS32" s="18">
        <f>IF(42&gt;=DeliverStart,ExpAdvertisingPerUnit*TotalUnits/12*AS$8*AS$12,0)</f>
        <v/>
      </c>
      <c r="AT32" s="18">
        <f>IF(43&gt;=DeliverStart,ExpAdvertisingPerUnit*TotalUnits/12*AT$8*AT$12,0)</f>
        <v/>
      </c>
      <c r="AU32" s="18">
        <f>IF(44&gt;=DeliverStart,ExpAdvertisingPerUnit*TotalUnits/12*AU$8*AU$12,0)</f>
        <v/>
      </c>
      <c r="AV32" s="18">
        <f>IF(45&gt;=DeliverStart,ExpAdvertisingPerUnit*TotalUnits/12*AV$8*AV$12,0)</f>
        <v/>
      </c>
      <c r="AW32" s="18">
        <f>IF(46&gt;=DeliverStart,ExpAdvertisingPerUnit*TotalUnits/12*AW$8*AW$12,0)</f>
        <v/>
      </c>
      <c r="AX32" s="18">
        <f>IF(47&gt;=DeliverStart,ExpAdvertisingPerUnit*TotalUnits/12*AX$8*AX$12,0)</f>
        <v/>
      </c>
      <c r="AY32" s="18">
        <f>IF(48&gt;=DeliverStart,ExpAdvertisingPerUnit*TotalUnits/12*AY$8*AY$12,0)</f>
        <v/>
      </c>
      <c r="AZ32" s="18">
        <f>IF(49&gt;=DeliverStart,ExpAdvertisingPerUnit*TotalUnits/12*AZ$8*AZ$12,0)</f>
        <v/>
      </c>
      <c r="BA32" s="18">
        <f>IF(50&gt;=DeliverStart,ExpAdvertisingPerUnit*TotalUnits/12*BA$8*BA$12,0)</f>
        <v/>
      </c>
      <c r="BB32" s="18">
        <f>IF(51&gt;=DeliverStart,ExpAdvertisingPerUnit*TotalUnits/12*BB$8*BB$12,0)</f>
        <v/>
      </c>
      <c r="BC32" s="18">
        <f>IF(52&gt;=DeliverStart,ExpAdvertisingPerUnit*TotalUnits/12*BC$8*BC$12,0)</f>
        <v/>
      </c>
      <c r="BD32" s="18">
        <f>IF(53&gt;=DeliverStart,ExpAdvertisingPerUnit*TotalUnits/12*BD$8*BD$12,0)</f>
        <v/>
      </c>
      <c r="BE32" s="18">
        <f>IF(54&gt;=DeliverStart,ExpAdvertisingPerUnit*TotalUnits/12*BE$8*BE$12,0)</f>
        <v/>
      </c>
      <c r="BF32" s="18">
        <f>IF(55&gt;=DeliverStart,ExpAdvertisingPerUnit*TotalUnits/12*BF$8*BF$12,0)</f>
        <v/>
      </c>
      <c r="BG32" s="18">
        <f>IF(56&gt;=DeliverStart,ExpAdvertisingPerUnit*TotalUnits/12*BG$8*BG$12,0)</f>
        <v/>
      </c>
      <c r="BH32" s="18">
        <f>IF(57&gt;=DeliverStart,ExpAdvertisingPerUnit*TotalUnits/12*BH$8*BH$12,0)</f>
        <v/>
      </c>
      <c r="BI32" s="18">
        <f>IF(58&gt;=DeliverStart,ExpAdvertisingPerUnit*TotalUnits/12*BI$8*BI$12,0)</f>
        <v/>
      </c>
      <c r="BJ32" s="18">
        <f>IF(59&gt;=DeliverStart,ExpAdvertisingPerUnit*TotalUnits/12*BJ$8*BJ$12,0)</f>
        <v/>
      </c>
      <c r="BK32" s="18">
        <f>IF(60&gt;=DeliverStart,ExpAdvertisingPerUnit*TotalUnits/12*BK$8*BK$12,0)</f>
        <v/>
      </c>
      <c r="BL32" s="18">
        <f>IF(61&gt;=DeliverStart,ExpAdvertisingPerUnit*TotalUnits/12*BL$8*BL$12,0)</f>
        <v/>
      </c>
      <c r="BM32" s="18">
        <f>IF(62&gt;=DeliverStart,ExpAdvertisingPerUnit*TotalUnits/12*BM$8*BM$12,0)</f>
        <v/>
      </c>
      <c r="BN32" s="18">
        <f>IF(63&gt;=DeliverStart,ExpAdvertisingPerUnit*TotalUnits/12*BN$8*BN$12,0)</f>
        <v/>
      </c>
      <c r="BO32" s="18">
        <f>IF(64&gt;=DeliverStart,ExpAdvertisingPerUnit*TotalUnits/12*BO$8*BO$12,0)</f>
        <v/>
      </c>
      <c r="BP32" s="18">
        <f>IF(65&gt;=DeliverStart,ExpAdvertisingPerUnit*TotalUnits/12*BP$8*BP$12,0)</f>
        <v/>
      </c>
      <c r="BQ32" s="18">
        <f>IF(66&gt;=DeliverStart,ExpAdvertisingPerUnit*TotalUnits/12*BQ$8*BQ$12,0)</f>
        <v/>
      </c>
      <c r="BR32" s="18">
        <f>IF(67&gt;=DeliverStart,ExpAdvertisingPerUnit*TotalUnits/12*BR$8*BR$12,0)</f>
        <v/>
      </c>
      <c r="BS32" s="18">
        <f>IF(68&gt;=DeliverStart,ExpAdvertisingPerUnit*TotalUnits/12*BS$8*BS$12,0)</f>
        <v/>
      </c>
      <c r="BT32" s="18">
        <f>IF(69&gt;=DeliverStart,ExpAdvertisingPerUnit*TotalUnits/12*BT$8*BT$12,0)</f>
        <v/>
      </c>
      <c r="BU32" s="18">
        <f>IF(70&gt;=DeliverStart,ExpAdvertisingPerUnit*TotalUnits/12*BU$8*BU$12,0)</f>
        <v/>
      </c>
      <c r="BV32" s="18">
        <f>IF(71&gt;=DeliverStart,ExpAdvertisingPerUnit*TotalUnits/12*BV$8*BV$12,0)</f>
        <v/>
      </c>
      <c r="BW32" s="18">
        <f>IF(72&gt;=DeliverStart,ExpAdvertisingPerUnit*TotalUnits/12*BW$8*BW$12,0)</f>
        <v/>
      </c>
      <c r="BX32" s="18">
        <f>IF(73&gt;=DeliverStart,ExpAdvertisingPerUnit*TotalUnits/12*BX$8*BX$12,0)</f>
        <v/>
      </c>
      <c r="BY32" s="18">
        <f>IF(74&gt;=DeliverStart,ExpAdvertisingPerUnit*TotalUnits/12*BY$8*BY$12,0)</f>
        <v/>
      </c>
      <c r="BZ32" s="18">
        <f>IF(75&gt;=DeliverStart,ExpAdvertisingPerUnit*TotalUnits/12*BZ$8*BZ$12,0)</f>
        <v/>
      </c>
      <c r="CA32" s="18">
        <f>IF(76&gt;=DeliverStart,ExpAdvertisingPerUnit*TotalUnits/12*CA$8*CA$12,0)</f>
        <v/>
      </c>
      <c r="CB32" s="18">
        <f>IF(77&gt;=DeliverStart,ExpAdvertisingPerUnit*TotalUnits/12*CB$8*CB$12,0)</f>
        <v/>
      </c>
      <c r="CC32" s="18">
        <f>IF(78&gt;=DeliverStart,ExpAdvertisingPerUnit*TotalUnits/12*CC$8*CC$12,0)</f>
        <v/>
      </c>
      <c r="CD32" s="18">
        <f>IF(79&gt;=DeliverStart,ExpAdvertisingPerUnit*TotalUnits/12*CD$8*CD$12,0)</f>
        <v/>
      </c>
      <c r="CE32" s="18">
        <f>IF(80&gt;=DeliverStart,ExpAdvertisingPerUnit*TotalUnits/12*CE$8*CE$12,0)</f>
        <v/>
      </c>
      <c r="CF32" s="18">
        <f>IF(81&gt;=DeliverStart,ExpAdvertisingPerUnit*TotalUnits/12*CF$8*CF$12,0)</f>
        <v/>
      </c>
      <c r="CG32" s="18">
        <f>IF(82&gt;=DeliverStart,ExpAdvertisingPerUnit*TotalUnits/12*CG$8*CG$12,0)</f>
        <v/>
      </c>
      <c r="CH32" s="18">
        <f>IF(83&gt;=DeliverStart,ExpAdvertisingPerUnit*TotalUnits/12*CH$8*CH$12,0)</f>
        <v/>
      </c>
      <c r="CI32" s="18">
        <f>IF(84&gt;=DeliverStart,ExpAdvertisingPerUnit*TotalUnits/12*CI$8*CI$12,0)</f>
        <v/>
      </c>
      <c r="CJ32" s="18">
        <f>IF(85&gt;=DeliverStart,ExpAdvertisingPerUnit*TotalUnits/12*CJ$8*CJ$12,0)</f>
        <v/>
      </c>
      <c r="CK32" s="18">
        <f>IF(86&gt;=DeliverStart,ExpAdvertisingPerUnit*TotalUnits/12*CK$8*CK$12,0)</f>
        <v/>
      </c>
      <c r="CL32" s="18">
        <f>IF(87&gt;=DeliverStart,ExpAdvertisingPerUnit*TotalUnits/12*CL$8*CL$12,0)</f>
        <v/>
      </c>
      <c r="CM32" s="18">
        <f>IF(88&gt;=DeliverStart,ExpAdvertisingPerUnit*TotalUnits/12*CM$8*CM$12,0)</f>
        <v/>
      </c>
      <c r="CN32" s="18">
        <f>IF(89&gt;=DeliverStart,ExpAdvertisingPerUnit*TotalUnits/12*CN$8*CN$12,0)</f>
        <v/>
      </c>
      <c r="CO32" s="18">
        <f>IF(90&gt;=DeliverStart,ExpAdvertisingPerUnit*TotalUnits/12*CO$8*CO$12,0)</f>
        <v/>
      </c>
      <c r="CP32" s="18">
        <f>IF(91&gt;=DeliverStart,ExpAdvertisingPerUnit*TotalUnits/12*CP$8*CP$12,0)</f>
        <v/>
      </c>
      <c r="CQ32" s="18">
        <f>IF(92&gt;=DeliverStart,ExpAdvertisingPerUnit*TotalUnits/12*CQ$8*CQ$12,0)</f>
        <v/>
      </c>
      <c r="CR32" s="18">
        <f>IF(93&gt;=DeliverStart,ExpAdvertisingPerUnit*TotalUnits/12*CR$8*CR$12,0)</f>
        <v/>
      </c>
      <c r="CS32" s="18">
        <f>IF(94&gt;=DeliverStart,ExpAdvertisingPerUnit*TotalUnits/12*CS$8*CS$12,0)</f>
        <v/>
      </c>
      <c r="CT32" s="18">
        <f>IF(95&gt;=DeliverStart,ExpAdvertisingPerUnit*TotalUnits/12*CT$8*CT$12,0)</f>
        <v/>
      </c>
      <c r="CU32" s="18">
        <f>IF(96&gt;=DeliverStart,ExpAdvertisingPerUnit*TotalUnits/12*CU$8*CU$12,0)</f>
        <v/>
      </c>
      <c r="CV32" s="18">
        <f>IF(97&gt;=DeliverStart,ExpAdvertisingPerUnit*TotalUnits/12*CV$8*CV$12,0)</f>
        <v/>
      </c>
      <c r="CW32" s="18">
        <f>IF(98&gt;=DeliverStart,ExpAdvertisingPerUnit*TotalUnits/12*CW$8*CW$12,0)</f>
        <v/>
      </c>
      <c r="CX32" s="18">
        <f>IF(99&gt;=DeliverStart,ExpAdvertisingPerUnit*TotalUnits/12*CX$8*CX$12,0)</f>
        <v/>
      </c>
      <c r="CY32" s="18">
        <f>IF(100&gt;=DeliverStart,ExpAdvertisingPerUnit*TotalUnits/12*CY$8*CY$12,0)</f>
        <v/>
      </c>
      <c r="CZ32" s="18">
        <f>IF(101&gt;=DeliverStart,ExpAdvertisingPerUnit*TotalUnits/12*CZ$8*CZ$12,0)</f>
        <v/>
      </c>
      <c r="DA32" s="18">
        <f>IF(102&gt;=DeliverStart,ExpAdvertisingPerUnit*TotalUnits/12*DA$8*DA$12,0)</f>
        <v/>
      </c>
      <c r="DB32" s="18">
        <f>IF(103&gt;=DeliverStart,ExpAdvertisingPerUnit*TotalUnits/12*DB$8*DB$12,0)</f>
        <v/>
      </c>
      <c r="DC32" s="18">
        <f>IF(104&gt;=DeliverStart,ExpAdvertisingPerUnit*TotalUnits/12*DC$8*DC$12,0)</f>
        <v/>
      </c>
      <c r="DD32" s="18">
        <f>IF(105&gt;=DeliverStart,ExpAdvertisingPerUnit*TotalUnits/12*DD$8*DD$12,0)</f>
        <v/>
      </c>
      <c r="DE32" s="18">
        <f>IF(106&gt;=DeliverStart,ExpAdvertisingPerUnit*TotalUnits/12*DE$8*DE$12,0)</f>
        <v/>
      </c>
      <c r="DF32" s="18">
        <f>IF(107&gt;=DeliverStart,ExpAdvertisingPerUnit*TotalUnits/12*DF$8*DF$12,0)</f>
        <v/>
      </c>
      <c r="DG32" s="18">
        <f>IF(108&gt;=DeliverStart,ExpAdvertisingPerUnit*TotalUnits/12*DG$8*DG$12,0)</f>
        <v/>
      </c>
      <c r="DH32" s="18">
        <f>IF(109&gt;=DeliverStart,ExpAdvertisingPerUnit*TotalUnits/12*DH$8*DH$12,0)</f>
        <v/>
      </c>
      <c r="DI32" s="18">
        <f>IF(110&gt;=DeliverStart,ExpAdvertisingPerUnit*TotalUnits/12*DI$8*DI$12,0)</f>
        <v/>
      </c>
      <c r="DJ32" s="18">
        <f>IF(111&gt;=DeliverStart,ExpAdvertisingPerUnit*TotalUnits/12*DJ$8*DJ$12,0)</f>
        <v/>
      </c>
      <c r="DK32" s="18">
        <f>IF(112&gt;=DeliverStart,ExpAdvertisingPerUnit*TotalUnits/12*DK$8*DK$12,0)</f>
        <v/>
      </c>
      <c r="DL32" s="18">
        <f>IF(113&gt;=DeliverStart,ExpAdvertisingPerUnit*TotalUnits/12*DL$8*DL$12,0)</f>
        <v/>
      </c>
      <c r="DM32" s="18">
        <f>IF(114&gt;=DeliverStart,ExpAdvertisingPerUnit*TotalUnits/12*DM$8*DM$12,0)</f>
        <v/>
      </c>
      <c r="DN32" s="18">
        <f>IF(115&gt;=DeliverStart,ExpAdvertisingPerUnit*TotalUnits/12*DN$8*DN$12,0)</f>
        <v/>
      </c>
      <c r="DO32" s="18">
        <f>IF(116&gt;=DeliverStart,ExpAdvertisingPerUnit*TotalUnits/12*DO$8*DO$12,0)</f>
        <v/>
      </c>
      <c r="DP32" s="18">
        <f>IF(117&gt;=DeliverStart,ExpAdvertisingPerUnit*TotalUnits/12*DP$8*DP$12,0)</f>
        <v/>
      </c>
      <c r="DQ32" s="18">
        <f>IF(118&gt;=DeliverStart,ExpAdvertisingPerUnit*TotalUnits/12*DQ$8*DQ$12,0)</f>
        <v/>
      </c>
      <c r="DR32" s="18">
        <f>IF(119&gt;=DeliverStart,ExpAdvertisingPerUnit*TotalUnits/12*DR$8*DR$12,0)</f>
        <v/>
      </c>
      <c r="DS32" s="18">
        <f>IF(120&gt;=DeliverStart,ExpAdvertisingPerUnit*TotalUnits/12*DS$8*DS$12,0)</f>
        <v/>
      </c>
      <c r="DT32" s="18">
        <f>IF(121&gt;=DeliverStart,ExpAdvertisingPerUnit*TotalUnits/12*DT$8*DT$12,0)</f>
        <v/>
      </c>
      <c r="DU32" s="18">
        <f>IF(122&gt;=DeliverStart,ExpAdvertisingPerUnit*TotalUnits/12*DU$8*DU$12,0)</f>
        <v/>
      </c>
      <c r="DV32" s="18">
        <f>IF(123&gt;=DeliverStart,ExpAdvertisingPerUnit*TotalUnits/12*DV$8*DV$12,0)</f>
        <v/>
      </c>
      <c r="DW32" s="18">
        <f>IF(124&gt;=DeliverStart,ExpAdvertisingPerUnit*TotalUnits/12*DW$8*DW$12,0)</f>
        <v/>
      </c>
      <c r="DX32" s="18">
        <f>IF(125&gt;=DeliverStart,ExpAdvertisingPerUnit*TotalUnits/12*DX$8*DX$12,0)</f>
        <v/>
      </c>
      <c r="DY32" s="18">
        <f>IF(126&gt;=DeliverStart,ExpAdvertisingPerUnit*TotalUnits/12*DY$8*DY$12,0)</f>
        <v/>
      </c>
      <c r="DZ32" s="18">
        <f>IF(127&gt;=DeliverStart,ExpAdvertisingPerUnit*TotalUnits/12*DZ$8*DZ$12,0)</f>
        <v/>
      </c>
      <c r="EA32" s="18">
        <f>IF(128&gt;=DeliverStart,ExpAdvertisingPerUnit*TotalUnits/12*EA$8*EA$12,0)</f>
        <v/>
      </c>
      <c r="EB32" s="18">
        <f>IF(129&gt;=DeliverStart,ExpAdvertisingPerUnit*TotalUnits/12*EB$8*EB$12,0)</f>
        <v/>
      </c>
      <c r="EC32" s="18">
        <f>IF(130&gt;=DeliverStart,ExpAdvertisingPerUnit*TotalUnits/12*EC$8*EC$12,0)</f>
        <v/>
      </c>
      <c r="ED32" s="18">
        <f>IF(131&gt;=DeliverStart,ExpAdvertisingPerUnit*TotalUnits/12*ED$8*ED$12,0)</f>
        <v/>
      </c>
      <c r="EE32" s="18">
        <f>IF(132&gt;=DeliverStart,ExpAdvertisingPerUnit*TotalUnits/12*EE$8*EE$12,0)</f>
        <v/>
      </c>
      <c r="EF32" s="18">
        <f>IF(133&gt;=DeliverStart,ExpAdvertisingPerUnit*TotalUnits/12*EF$8*EF$12,0)</f>
        <v/>
      </c>
      <c r="EG32" s="18">
        <f>IF(134&gt;=DeliverStart,ExpAdvertisingPerUnit*TotalUnits/12*EG$8*EG$12,0)</f>
        <v/>
      </c>
      <c r="EH32" s="18">
        <f>IF(135&gt;=DeliverStart,ExpAdvertisingPerUnit*TotalUnits/12*EH$8*EH$12,0)</f>
        <v/>
      </c>
      <c r="EI32" s="18">
        <f>IF(136&gt;=DeliverStart,ExpAdvertisingPerUnit*TotalUnits/12*EI$8*EI$12,0)</f>
        <v/>
      </c>
      <c r="EJ32" s="18">
        <f>IF(137&gt;=DeliverStart,ExpAdvertisingPerUnit*TotalUnits/12*EJ$8*EJ$12,0)</f>
        <v/>
      </c>
      <c r="EK32" s="18">
        <f>IF(138&gt;=DeliverStart,ExpAdvertisingPerUnit*TotalUnits/12*EK$8*EK$12,0)</f>
        <v/>
      </c>
      <c r="EL32" s="18">
        <f>IF(139&gt;=DeliverStart,ExpAdvertisingPerUnit*TotalUnits/12*EL$8*EL$12,0)</f>
        <v/>
      </c>
      <c r="EM32" s="18">
        <f>IF(140&gt;=DeliverStart,ExpAdvertisingPerUnit*TotalUnits/12*EM$8*EM$12,0)</f>
        <v/>
      </c>
      <c r="EN32" s="18">
        <f>IF(141&gt;=DeliverStart,ExpAdvertisingPerUnit*TotalUnits/12*EN$8*EN$12,0)</f>
        <v/>
      </c>
      <c r="EO32" s="18">
        <f>IF(142&gt;=DeliverStart,ExpAdvertisingPerUnit*TotalUnits/12*EO$8*EO$12,0)</f>
        <v/>
      </c>
      <c r="EP32" s="18">
        <f>IF(143&gt;=DeliverStart,ExpAdvertisingPerUnit*TotalUnits/12*EP$8*EP$12,0)</f>
        <v/>
      </c>
      <c r="EQ32" s="18">
        <f>IF(144&gt;=DeliverStart,ExpAdvertisingPerUnit*TotalUnits/12*EQ$8*EQ$12,0)</f>
        <v/>
      </c>
      <c r="ER32" s="18">
        <f>IF(145&gt;=DeliverStart,ExpAdvertisingPerUnit*TotalUnits/12*ER$8*ER$12,0)</f>
        <v/>
      </c>
      <c r="ES32" s="18">
        <f>IF(146&gt;=DeliverStart,ExpAdvertisingPerUnit*TotalUnits/12*ES$8*ES$12,0)</f>
        <v/>
      </c>
      <c r="ET32" s="18">
        <f>IF(147&gt;=DeliverStart,ExpAdvertisingPerUnit*TotalUnits/12*ET$8*ET$12,0)</f>
        <v/>
      </c>
      <c r="EU32" s="18">
        <f>IF(148&gt;=DeliverStart,ExpAdvertisingPerUnit*TotalUnits/12*EU$8*EU$12,0)</f>
        <v/>
      </c>
      <c r="EV32" s="18">
        <f>IF(149&gt;=DeliverStart,ExpAdvertisingPerUnit*TotalUnits/12*EV$8*EV$12,0)</f>
        <v/>
      </c>
      <c r="EW32" s="18">
        <f>IF(150&gt;=DeliverStart,ExpAdvertisingPerUnit*TotalUnits/12*EW$8*EW$12,0)</f>
        <v/>
      </c>
      <c r="EX32" s="18">
        <f>IF(151&gt;=DeliverStart,ExpAdvertisingPerUnit*TotalUnits/12*EX$8*EX$12,0)</f>
        <v/>
      </c>
      <c r="EY32" s="18">
        <f>IF(152&gt;=DeliverStart,ExpAdvertisingPerUnit*TotalUnits/12*EY$8*EY$12,0)</f>
        <v/>
      </c>
      <c r="EZ32" s="18">
        <f>IF(153&gt;=DeliverStart,ExpAdvertisingPerUnit*TotalUnits/12*EZ$8*EZ$12,0)</f>
        <v/>
      </c>
      <c r="FA32" s="18">
        <f>IF(154&gt;=DeliverStart,ExpAdvertisingPerUnit*TotalUnits/12*FA$8*FA$12,0)</f>
        <v/>
      </c>
      <c r="FB32" s="18">
        <f>IF(155&gt;=DeliverStart,ExpAdvertisingPerUnit*TotalUnits/12*FB$8*FB$12,0)</f>
        <v/>
      </c>
      <c r="FC32" s="18">
        <f>IF(156&gt;=DeliverStart,ExpAdvertisingPerUnit*TotalUnits/12*FC$8*FC$12,0)</f>
        <v/>
      </c>
      <c r="FD32" s="18">
        <f>IF(157&gt;=DeliverStart,ExpAdvertisingPerUnit*TotalUnits/12*FD$8*FD$12,0)</f>
        <v/>
      </c>
      <c r="FE32" s="18">
        <f>IF(158&gt;=DeliverStart,ExpAdvertisingPerUnit*TotalUnits/12*FE$8*FE$12,0)</f>
        <v/>
      </c>
      <c r="FF32" s="18">
        <f>IF(159&gt;=DeliverStart,ExpAdvertisingPerUnit*TotalUnits/12*FF$8*FF$12,0)</f>
        <v/>
      </c>
      <c r="FG32" s="18">
        <f>IF(160&gt;=DeliverStart,ExpAdvertisingPerUnit*TotalUnits/12*FG$8*FG$12,0)</f>
        <v/>
      </c>
      <c r="FH32" s="18">
        <f>IF(161&gt;=DeliverStart,ExpAdvertisingPerUnit*TotalUnits/12*FH$8*FH$12,0)</f>
        <v/>
      </c>
      <c r="FI32" s="18">
        <f>IF(162&gt;=DeliverStart,ExpAdvertisingPerUnit*TotalUnits/12*FI$8*FI$12,0)</f>
        <v/>
      </c>
      <c r="FJ32" s="18">
        <f>IF(163&gt;=DeliverStart,ExpAdvertisingPerUnit*TotalUnits/12*FJ$8*FJ$12,0)</f>
        <v/>
      </c>
      <c r="FK32" s="18">
        <f>IF(164&gt;=DeliverStart,ExpAdvertisingPerUnit*TotalUnits/12*FK$8*FK$12,0)</f>
        <v/>
      </c>
      <c r="FL32" s="18">
        <f>IF(165&gt;=DeliverStart,ExpAdvertisingPerUnit*TotalUnits/12*FL$8*FL$12,0)</f>
        <v/>
      </c>
      <c r="FM32" s="18">
        <f>IF(166&gt;=DeliverStart,ExpAdvertisingPerUnit*TotalUnits/12*FM$8*FM$12,0)</f>
        <v/>
      </c>
      <c r="FN32" s="18">
        <f>IF(167&gt;=DeliverStart,ExpAdvertisingPerUnit*TotalUnits/12*FN$8*FN$12,0)</f>
        <v/>
      </c>
      <c r="FO32" s="18">
        <f>IF(168&gt;=DeliverStart,ExpAdvertisingPerUnit*TotalUnits/12*FO$8*FO$12,0)</f>
        <v/>
      </c>
      <c r="FP32" s="18">
        <f>IF(169&gt;=DeliverStart,ExpAdvertisingPerUnit*TotalUnits/12*FP$8*FP$12,0)</f>
        <v/>
      </c>
      <c r="FQ32" s="18">
        <f>IF(170&gt;=DeliverStart,ExpAdvertisingPerUnit*TotalUnits/12*FQ$8*FQ$12,0)</f>
        <v/>
      </c>
      <c r="FR32" s="18">
        <f>IF(171&gt;=DeliverStart,ExpAdvertisingPerUnit*TotalUnits/12*FR$8*FR$12,0)</f>
        <v/>
      </c>
      <c r="FS32" s="18">
        <f>IF(172&gt;=DeliverStart,ExpAdvertisingPerUnit*TotalUnits/12*FS$8*FS$12,0)</f>
        <v/>
      </c>
      <c r="FT32" s="18">
        <f>IF(173&gt;=DeliverStart,ExpAdvertisingPerUnit*TotalUnits/12*FT$8*FT$12,0)</f>
        <v/>
      </c>
      <c r="FU32" s="18">
        <f>IF(174&gt;=DeliverStart,ExpAdvertisingPerUnit*TotalUnits/12*FU$8*FU$12,0)</f>
        <v/>
      </c>
      <c r="FV32" s="18">
        <f>IF(175&gt;=DeliverStart,ExpAdvertisingPerUnit*TotalUnits/12*FV$8*FV$12,0)</f>
        <v/>
      </c>
      <c r="FW32" s="18">
        <f>IF(176&gt;=DeliverStart,ExpAdvertisingPerUnit*TotalUnits/12*FW$8*FW$12,0)</f>
        <v/>
      </c>
      <c r="FX32" s="18">
        <f>IF(177&gt;=DeliverStart,ExpAdvertisingPerUnit*TotalUnits/12*FX$8*FX$12,0)</f>
        <v/>
      </c>
      <c r="FY32" s="18">
        <f>IF(178&gt;=DeliverStart,ExpAdvertisingPerUnit*TotalUnits/12*FY$8*FY$12,0)</f>
        <v/>
      </c>
      <c r="FZ32" s="18">
        <f>IF(179&gt;=DeliverStart,ExpAdvertisingPerUnit*TotalUnits/12*FZ$8*FZ$12,0)</f>
        <v/>
      </c>
      <c r="GA32" s="18">
        <f>IF(180&gt;=DeliverStart,ExpAdvertisingPerUnit*TotalUnits/12*GA$8*GA$12,0)</f>
        <v/>
      </c>
      <c r="GB32" s="18">
        <f>IF(181&gt;=DeliverStart,ExpAdvertisingPerUnit*TotalUnits/12*GB$8*GB$12,0)</f>
        <v/>
      </c>
      <c r="GC32" s="18">
        <f>IF(182&gt;=DeliverStart,ExpAdvertisingPerUnit*TotalUnits/12*GC$8*GC$12,0)</f>
        <v/>
      </c>
      <c r="GD32" s="18">
        <f>IF(183&gt;=DeliverStart,ExpAdvertisingPerUnit*TotalUnits/12*GD$8*GD$12,0)</f>
        <v/>
      </c>
      <c r="GE32" s="18">
        <f>IF(184&gt;=DeliverStart,ExpAdvertisingPerUnit*TotalUnits/12*GE$8*GE$12,0)</f>
        <v/>
      </c>
      <c r="GF32" s="18">
        <f>IF(185&gt;=DeliverStart,ExpAdvertisingPerUnit*TotalUnits/12*GF$8*GF$12,0)</f>
        <v/>
      </c>
      <c r="GG32" s="18">
        <f>IF(186&gt;=DeliverStart,ExpAdvertisingPerUnit*TotalUnits/12*GG$8*GG$12,0)</f>
        <v/>
      </c>
      <c r="GH32" s="18">
        <f>IF(187&gt;=DeliverStart,ExpAdvertisingPerUnit*TotalUnits/12*GH$8*GH$12,0)</f>
        <v/>
      </c>
      <c r="GI32" s="18">
        <f>IF(188&gt;=DeliverStart,ExpAdvertisingPerUnit*TotalUnits/12*GI$8*GI$12,0)</f>
        <v/>
      </c>
      <c r="GJ32" s="18">
        <f>IF(189&gt;=DeliverStart,ExpAdvertisingPerUnit*TotalUnits/12*GJ$8*GJ$12,0)</f>
        <v/>
      </c>
      <c r="GK32" s="18">
        <f>IF(190&gt;=DeliverStart,ExpAdvertisingPerUnit*TotalUnits/12*GK$8*GK$12,0)</f>
        <v/>
      </c>
      <c r="GL32" s="18">
        <f>IF(191&gt;=DeliverStart,ExpAdvertisingPerUnit*TotalUnits/12*GL$8*GL$12,0)</f>
        <v/>
      </c>
      <c r="GM32" s="18">
        <f>IF(192&gt;=DeliverStart,ExpAdvertisingPerUnit*TotalUnits/12*GM$8*GM$12,0)</f>
        <v/>
      </c>
      <c r="GN32" s="18">
        <f>IF(193&gt;=DeliverStart,ExpAdvertisingPerUnit*TotalUnits/12*GN$8*GN$12,0)</f>
        <v/>
      </c>
      <c r="GO32" s="18">
        <f>IF(194&gt;=DeliverStart,ExpAdvertisingPerUnit*TotalUnits/12*GO$8*GO$12,0)</f>
        <v/>
      </c>
      <c r="GP32" s="18">
        <f>IF(195&gt;=DeliverStart,ExpAdvertisingPerUnit*TotalUnits/12*GP$8*GP$12,0)</f>
        <v/>
      </c>
      <c r="GQ32" s="18">
        <f>IF(196&gt;=DeliverStart,ExpAdvertisingPerUnit*TotalUnits/12*GQ$8*GQ$12,0)</f>
        <v/>
      </c>
      <c r="GR32" s="18">
        <f>IF(197&gt;=DeliverStart,ExpAdvertisingPerUnit*TotalUnits/12*GR$8*GR$12,0)</f>
        <v/>
      </c>
      <c r="GS32" s="18">
        <f>IF(198&gt;=DeliverStart,ExpAdvertisingPerUnit*TotalUnits/12*GS$8*GS$12,0)</f>
        <v/>
      </c>
      <c r="GT32" s="18">
        <f>IF(199&gt;=DeliverStart,ExpAdvertisingPerUnit*TotalUnits/12*GT$8*GT$12,0)</f>
        <v/>
      </c>
      <c r="GU32" s="18">
        <f>IF(200&gt;=DeliverStart,ExpAdvertisingPerUnit*TotalUnits/12*GU$8*GU$12,0)</f>
        <v/>
      </c>
      <c r="GV32" s="18">
        <f>IF(201&gt;=DeliverStart,ExpAdvertisingPerUnit*TotalUnits/12*GV$8*GV$12,0)</f>
        <v/>
      </c>
      <c r="GW32" s="18">
        <f>IF(202&gt;=DeliverStart,ExpAdvertisingPerUnit*TotalUnits/12*GW$8*GW$12,0)</f>
        <v/>
      </c>
      <c r="GX32" s="18">
        <f>IF(203&gt;=DeliverStart,ExpAdvertisingPerUnit*TotalUnits/12*GX$8*GX$12,0)</f>
        <v/>
      </c>
      <c r="GY32" s="18">
        <f>IF(204&gt;=DeliverStart,ExpAdvertisingPerUnit*TotalUnits/12*GY$8*GY$12,0)</f>
        <v/>
      </c>
      <c r="GZ32" s="18">
        <f>IF(205&gt;=DeliverStart,ExpAdvertisingPerUnit*TotalUnits/12*GZ$8*GZ$12,0)</f>
        <v/>
      </c>
      <c r="HA32" s="18">
        <f>IF(206&gt;=DeliverStart,ExpAdvertisingPerUnit*TotalUnits/12*HA$8*HA$12,0)</f>
        <v/>
      </c>
      <c r="HB32" s="18">
        <f>IF(207&gt;=DeliverStart,ExpAdvertisingPerUnit*TotalUnits/12*HB$8*HB$12,0)</f>
        <v/>
      </c>
      <c r="HC32" s="18">
        <f>IF(208&gt;=DeliverStart,ExpAdvertisingPerUnit*TotalUnits/12*HC$8*HC$12,0)</f>
        <v/>
      </c>
      <c r="HD32" s="18">
        <f>IF(209&gt;=DeliverStart,ExpAdvertisingPerUnit*TotalUnits/12*HD$8*HD$12,0)</f>
        <v/>
      </c>
      <c r="HE32" s="18">
        <f>IF(210&gt;=DeliverStart,ExpAdvertisingPerUnit*TotalUnits/12*HE$8*HE$12,0)</f>
        <v/>
      </c>
      <c r="HF32" s="18">
        <f>IF(211&gt;=DeliverStart,ExpAdvertisingPerUnit*TotalUnits/12*HF$8*HF$12,0)</f>
        <v/>
      </c>
      <c r="HG32" s="18">
        <f>IF(212&gt;=DeliverStart,ExpAdvertisingPerUnit*TotalUnits/12*HG$8*HG$12,0)</f>
        <v/>
      </c>
      <c r="HH32" s="18">
        <f>IF(213&gt;=DeliverStart,ExpAdvertisingPerUnit*TotalUnits/12*HH$8*HH$12,0)</f>
        <v/>
      </c>
      <c r="HI32" s="18">
        <f>IF(214&gt;=DeliverStart,ExpAdvertisingPerUnit*TotalUnits/12*HI$8*HI$12,0)</f>
        <v/>
      </c>
      <c r="HJ32" s="18">
        <f>IF(215&gt;=DeliverStart,ExpAdvertisingPerUnit*TotalUnits/12*HJ$8*HJ$12,0)</f>
        <v/>
      </c>
      <c r="HK32" s="18">
        <f>IF(216&gt;=DeliverStart,ExpAdvertisingPerUnit*TotalUnits/12*HK$8*HK$12,0)</f>
        <v/>
      </c>
      <c r="HL32" s="18">
        <f>IF(217&gt;=DeliverStart,ExpAdvertisingPerUnit*TotalUnits/12*HL$8*HL$12,0)</f>
        <v/>
      </c>
      <c r="HM32" s="18">
        <f>IF(218&gt;=DeliverStart,ExpAdvertisingPerUnit*TotalUnits/12*HM$8*HM$12,0)</f>
        <v/>
      </c>
      <c r="HN32" s="18">
        <f>IF(219&gt;=DeliverStart,ExpAdvertisingPerUnit*TotalUnits/12*HN$8*HN$12,0)</f>
        <v/>
      </c>
      <c r="HO32" s="18">
        <f>IF(220&gt;=DeliverStart,ExpAdvertisingPerUnit*TotalUnits/12*HO$8*HO$12,0)</f>
        <v/>
      </c>
      <c r="HP32" s="18">
        <f>IF(221&gt;=DeliverStart,ExpAdvertisingPerUnit*TotalUnits/12*HP$8*HP$12,0)</f>
        <v/>
      </c>
      <c r="HQ32" s="18">
        <f>IF(222&gt;=DeliverStart,ExpAdvertisingPerUnit*TotalUnits/12*HQ$8*HQ$12,0)</f>
        <v/>
      </c>
      <c r="HR32" s="18">
        <f>IF(223&gt;=DeliverStart,ExpAdvertisingPerUnit*TotalUnits/12*HR$8*HR$12,0)</f>
        <v/>
      </c>
      <c r="HS32" s="18">
        <f>IF(224&gt;=DeliverStart,ExpAdvertisingPerUnit*TotalUnits/12*HS$8*HS$12,0)</f>
        <v/>
      </c>
      <c r="HT32" s="18">
        <f>IF(225&gt;=DeliverStart,ExpAdvertisingPerUnit*TotalUnits/12*HT$8*HT$12,0)</f>
        <v/>
      </c>
      <c r="HU32" s="18">
        <f>IF(226&gt;=DeliverStart,ExpAdvertisingPerUnit*TotalUnits/12*HU$8*HU$12,0)</f>
        <v/>
      </c>
      <c r="HV32" s="18">
        <f>IF(227&gt;=DeliverStart,ExpAdvertisingPerUnit*TotalUnits/12*HV$8*HV$12,0)</f>
        <v/>
      </c>
      <c r="HW32" s="18">
        <f>IF(228&gt;=DeliverStart,ExpAdvertisingPerUnit*TotalUnits/12*HW$8*HW$12,0)</f>
        <v/>
      </c>
      <c r="HX32" s="18">
        <f>IF(229&gt;=DeliverStart,ExpAdvertisingPerUnit*TotalUnits/12*HX$8*HX$12,0)</f>
        <v/>
      </c>
      <c r="HY32" s="18">
        <f>IF(230&gt;=DeliverStart,ExpAdvertisingPerUnit*TotalUnits/12*HY$8*HY$12,0)</f>
        <v/>
      </c>
      <c r="HZ32" s="18">
        <f>IF(231&gt;=DeliverStart,ExpAdvertisingPerUnit*TotalUnits/12*HZ$8*HZ$12,0)</f>
        <v/>
      </c>
      <c r="IA32" s="18">
        <f>IF(232&gt;=DeliverStart,ExpAdvertisingPerUnit*TotalUnits/12*IA$8*IA$12,0)</f>
        <v/>
      </c>
      <c r="IB32" s="18">
        <f>IF(233&gt;=DeliverStart,ExpAdvertisingPerUnit*TotalUnits/12*IB$8*IB$12,0)</f>
        <v/>
      </c>
      <c r="IC32" s="18">
        <f>IF(234&gt;=DeliverStart,ExpAdvertisingPerUnit*TotalUnits/12*IC$8*IC$12,0)</f>
        <v/>
      </c>
      <c r="ID32" s="18">
        <f>IF(235&gt;=DeliverStart,ExpAdvertisingPerUnit*TotalUnits/12*ID$8*ID$12,0)</f>
        <v/>
      </c>
      <c r="IE32" s="18">
        <f>IF(236&gt;=DeliverStart,ExpAdvertisingPerUnit*TotalUnits/12*IE$8*IE$12,0)</f>
        <v/>
      </c>
      <c r="IF32" s="18">
        <f>IF(237&gt;=DeliverStart,ExpAdvertisingPerUnit*TotalUnits/12*IF$8*IF$12,0)</f>
        <v/>
      </c>
      <c r="IG32" s="18">
        <f>IF(238&gt;=DeliverStart,ExpAdvertisingPerUnit*TotalUnits/12*IG$8*IG$12,0)</f>
        <v/>
      </c>
      <c r="IH32" s="18">
        <f>IF(239&gt;=DeliverStart,ExpAdvertisingPerUnit*TotalUnits/12*IH$8*IH$12,0)</f>
        <v/>
      </c>
      <c r="II32" s="18">
        <f>IF(240&gt;=DeliverStart,ExpAdvertisingPerUnit*TotalUnits/12*II$8*II$12,0)</f>
        <v/>
      </c>
      <c r="IJ32" s="18">
        <f>IF(241&gt;=DeliverStart,ExpAdvertisingPerUnit*TotalUnits/12*IJ$8*IJ$12,0)</f>
        <v/>
      </c>
      <c r="IK32" s="18">
        <f>IF(242&gt;=DeliverStart,ExpAdvertisingPerUnit*TotalUnits/12*IK$8*IK$12,0)</f>
        <v/>
      </c>
      <c r="IL32" s="18">
        <f>IF(243&gt;=DeliverStart,ExpAdvertisingPerUnit*TotalUnits/12*IL$8*IL$12,0)</f>
        <v/>
      </c>
      <c r="IM32" s="18">
        <f>IF(244&gt;=DeliverStart,ExpAdvertisingPerUnit*TotalUnits/12*IM$8*IM$12,0)</f>
        <v/>
      </c>
      <c r="IN32" s="18">
        <f>IF(245&gt;=DeliverStart,ExpAdvertisingPerUnit*TotalUnits/12*IN$8*IN$12,0)</f>
        <v/>
      </c>
      <c r="IO32" s="18">
        <f>IF(246&gt;=DeliverStart,ExpAdvertisingPerUnit*TotalUnits/12*IO$8*IO$12,0)</f>
        <v/>
      </c>
      <c r="IP32" s="18">
        <f>IF(247&gt;=DeliverStart,ExpAdvertisingPerUnit*TotalUnits/12*IP$8*IP$12,0)</f>
        <v/>
      </c>
      <c r="IQ32" s="18">
        <f>IF(248&gt;=DeliverStart,ExpAdvertisingPerUnit*TotalUnits/12*IQ$8*IQ$12,0)</f>
        <v/>
      </c>
      <c r="IR32" s="18">
        <f>IF(249&gt;=DeliverStart,ExpAdvertisingPerUnit*TotalUnits/12*IR$8*IR$12,0)</f>
        <v/>
      </c>
      <c r="IS32" s="18">
        <f>IF(250&gt;=DeliverStart,ExpAdvertisingPerUnit*TotalUnits/12*IS$8*IS$12,0)</f>
        <v/>
      </c>
      <c r="IT32" s="18">
        <f>IF(251&gt;=DeliverStart,ExpAdvertisingPerUnit*TotalUnits/12*IT$8*IT$12,0)</f>
        <v/>
      </c>
      <c r="IU32" s="18">
        <f>IF(252&gt;=DeliverStart,ExpAdvertisingPerUnit*TotalUnits/12*IU$8*IU$12,0)</f>
        <v/>
      </c>
      <c r="IV32" s="18">
        <f>IF(253&gt;=DeliverStart,ExpAdvertisingPerUnit*TotalUnits/12*IV$8*IV$12,0)</f>
        <v/>
      </c>
      <c r="IW32" s="18">
        <f>IF(254&gt;=DeliverStart,ExpAdvertisingPerUnit*TotalUnits/12*IW$8*IW$12,0)</f>
        <v/>
      </c>
      <c r="IX32" s="18">
        <f>IF(255&gt;=DeliverStart,ExpAdvertisingPerUnit*TotalUnits/12*IX$8*IX$12,0)</f>
        <v/>
      </c>
      <c r="IY32" s="18">
        <f>IF(256&gt;=DeliverStart,ExpAdvertisingPerUnit*TotalUnits/12*IY$8*IY$12,0)</f>
        <v/>
      </c>
      <c r="IZ32" s="18">
        <f>IF(257&gt;=DeliverStart,ExpAdvertisingPerUnit*TotalUnits/12*IZ$8*IZ$12,0)</f>
        <v/>
      </c>
      <c r="JA32" s="18">
        <f>IF(258&gt;=DeliverStart,ExpAdvertisingPerUnit*TotalUnits/12*JA$8*JA$12,0)</f>
        <v/>
      </c>
      <c r="JB32" s="18">
        <f>IF(259&gt;=DeliverStart,ExpAdvertisingPerUnit*TotalUnits/12*JB$8*JB$12,0)</f>
        <v/>
      </c>
      <c r="JC32" s="18">
        <f>IF(260&gt;=DeliverStart,ExpAdvertisingPerUnit*TotalUnits/12*JC$8*JC$12,0)</f>
        <v/>
      </c>
      <c r="JD32" s="18">
        <f>IF(261&gt;=DeliverStart,ExpAdvertisingPerUnit*TotalUnits/12*JD$8*JD$12,0)</f>
        <v/>
      </c>
      <c r="JE32" s="18">
        <f>IF(262&gt;=DeliverStart,ExpAdvertisingPerUnit*TotalUnits/12*JE$8*JE$12,0)</f>
        <v/>
      </c>
      <c r="JF32" s="18">
        <f>IF(263&gt;=DeliverStart,ExpAdvertisingPerUnit*TotalUnits/12*JF$8*JF$12,0)</f>
        <v/>
      </c>
      <c r="JG32" s="18">
        <f>IF(264&gt;=DeliverStart,ExpAdvertisingPerUnit*TotalUnits/12*JG$8*JG$12,0)</f>
        <v/>
      </c>
      <c r="JH32" s="18">
        <f>IF(265&gt;=DeliverStart,ExpAdvertisingPerUnit*TotalUnits/12*JH$8*JH$12,0)</f>
        <v/>
      </c>
      <c r="JI32" s="18">
        <f>IF(266&gt;=DeliverStart,ExpAdvertisingPerUnit*TotalUnits/12*JI$8*JI$12,0)</f>
        <v/>
      </c>
      <c r="JJ32" s="18">
        <f>IF(267&gt;=DeliverStart,ExpAdvertisingPerUnit*TotalUnits/12*JJ$8*JJ$12,0)</f>
        <v/>
      </c>
      <c r="JK32" s="18">
        <f>IF(268&gt;=DeliverStart,ExpAdvertisingPerUnit*TotalUnits/12*JK$8*JK$12,0)</f>
        <v/>
      </c>
      <c r="JL32" s="18">
        <f>IF(269&gt;=DeliverStart,ExpAdvertisingPerUnit*TotalUnits/12*JL$8*JL$12,0)</f>
        <v/>
      </c>
      <c r="JM32" s="18">
        <f>IF(270&gt;=DeliverStart,ExpAdvertisingPerUnit*TotalUnits/12*JM$8*JM$12,0)</f>
        <v/>
      </c>
      <c r="JN32" s="18">
        <f>IF(271&gt;=DeliverStart,ExpAdvertisingPerUnit*TotalUnits/12*JN$8*JN$12,0)</f>
        <v/>
      </c>
      <c r="JO32" s="18">
        <f>IF(272&gt;=DeliverStart,ExpAdvertisingPerUnit*TotalUnits/12*JO$8*JO$12,0)</f>
        <v/>
      </c>
      <c r="JP32" s="18">
        <f>IF(273&gt;=DeliverStart,ExpAdvertisingPerUnit*TotalUnits/12*JP$8*JP$12,0)</f>
        <v/>
      </c>
      <c r="JQ32" s="18">
        <f>IF(274&gt;=DeliverStart,ExpAdvertisingPerUnit*TotalUnits/12*JQ$8*JQ$12,0)</f>
        <v/>
      </c>
      <c r="JR32" s="18">
        <f>IF(275&gt;=DeliverStart,ExpAdvertisingPerUnit*TotalUnits/12*JR$8*JR$12,0)</f>
        <v/>
      </c>
      <c r="JS32" s="18">
        <f>IF(276&gt;=DeliverStart,ExpAdvertisingPerUnit*TotalUnits/12*JS$8*JS$12,0)</f>
        <v/>
      </c>
      <c r="JT32" s="18">
        <f>IF(277&gt;=DeliverStart,ExpAdvertisingPerUnit*TotalUnits/12*JT$8*JT$12,0)</f>
        <v/>
      </c>
      <c r="JU32" s="18">
        <f>IF(278&gt;=DeliverStart,ExpAdvertisingPerUnit*TotalUnits/12*JU$8*JU$12,0)</f>
        <v/>
      </c>
      <c r="JV32" s="18">
        <f>IF(279&gt;=DeliverStart,ExpAdvertisingPerUnit*TotalUnits/12*JV$8*JV$12,0)</f>
        <v/>
      </c>
      <c r="JW32" s="18">
        <f>IF(280&gt;=DeliverStart,ExpAdvertisingPerUnit*TotalUnits/12*JW$8*JW$12,0)</f>
        <v/>
      </c>
      <c r="JX32" s="18">
        <f>IF(281&gt;=DeliverStart,ExpAdvertisingPerUnit*TotalUnits/12*JX$8*JX$12,0)</f>
        <v/>
      </c>
      <c r="JY32" s="18">
        <f>IF(282&gt;=DeliverStart,ExpAdvertisingPerUnit*TotalUnits/12*JY$8*JY$12,0)</f>
        <v/>
      </c>
      <c r="JZ32" s="18">
        <f>IF(283&gt;=DeliverStart,ExpAdvertisingPerUnit*TotalUnits/12*JZ$8*JZ$12,0)</f>
        <v/>
      </c>
      <c r="KA32" s="18">
        <f>IF(284&gt;=DeliverStart,ExpAdvertisingPerUnit*TotalUnits/12*KA$8*KA$12,0)</f>
        <v/>
      </c>
      <c r="KB32" s="18">
        <f>IF(285&gt;=DeliverStart,ExpAdvertisingPerUnit*TotalUnits/12*KB$8*KB$12,0)</f>
        <v/>
      </c>
      <c r="KC32" s="18">
        <f>IF(286&gt;=DeliverStart,ExpAdvertisingPerUnit*TotalUnits/12*KC$8*KC$12,0)</f>
        <v/>
      </c>
      <c r="KD32" s="18">
        <f>IF(287&gt;=DeliverStart,ExpAdvertisingPerUnit*TotalUnits/12*KD$8*KD$12,0)</f>
        <v/>
      </c>
      <c r="KE32" s="18">
        <f>IF(288&gt;=DeliverStart,ExpAdvertisingPerUnit*TotalUnits/12*KE$8*KE$12,0)</f>
        <v/>
      </c>
      <c r="KF32" s="18">
        <f>IF(289&gt;=DeliverStart,ExpAdvertisingPerUnit*TotalUnits/12*KF$8*KF$12,0)</f>
        <v/>
      </c>
      <c r="KG32" s="18">
        <f>IF(290&gt;=DeliverStart,ExpAdvertisingPerUnit*TotalUnits/12*KG$8*KG$12,0)</f>
        <v/>
      </c>
      <c r="KH32" s="18">
        <f>IF(291&gt;=DeliverStart,ExpAdvertisingPerUnit*TotalUnits/12*KH$8*KH$12,0)</f>
        <v/>
      </c>
      <c r="KI32" s="18">
        <f>IF(292&gt;=DeliverStart,ExpAdvertisingPerUnit*TotalUnits/12*KI$8*KI$12,0)</f>
        <v/>
      </c>
      <c r="KJ32" s="18">
        <f>IF(293&gt;=DeliverStart,ExpAdvertisingPerUnit*TotalUnits/12*KJ$8*KJ$12,0)</f>
        <v/>
      </c>
      <c r="KK32" s="18">
        <f>IF(294&gt;=DeliverStart,ExpAdvertisingPerUnit*TotalUnits/12*KK$8*KK$12,0)</f>
        <v/>
      </c>
      <c r="KL32" s="18">
        <f>IF(295&gt;=DeliverStart,ExpAdvertisingPerUnit*TotalUnits/12*KL$8*KL$12,0)</f>
        <v/>
      </c>
      <c r="KM32" s="18">
        <f>IF(296&gt;=DeliverStart,ExpAdvertisingPerUnit*TotalUnits/12*KM$8*KM$12,0)</f>
        <v/>
      </c>
      <c r="KN32" s="18">
        <f>IF(297&gt;=DeliverStart,ExpAdvertisingPerUnit*TotalUnits/12*KN$8*KN$12,0)</f>
        <v/>
      </c>
      <c r="KO32" s="18">
        <f>IF(298&gt;=DeliverStart,ExpAdvertisingPerUnit*TotalUnits/12*KO$8*KO$12,0)</f>
        <v/>
      </c>
      <c r="KP32" s="18">
        <f>IF(299&gt;=DeliverStart,ExpAdvertisingPerUnit*TotalUnits/12*KP$8*KP$12,0)</f>
        <v/>
      </c>
      <c r="KQ32" s="18">
        <f>IF(300&gt;=DeliverStart,ExpAdvertisingPerUnit*TotalUnits/12*KQ$8*KQ$12,0)</f>
        <v/>
      </c>
      <c r="KR32" s="18">
        <f>IF(301&gt;=DeliverStart,ExpAdvertisingPerUnit*TotalUnits/12*KR$8*KR$12,0)</f>
        <v/>
      </c>
      <c r="KS32" s="18">
        <f>IF(302&gt;=DeliverStart,ExpAdvertisingPerUnit*TotalUnits/12*KS$8*KS$12,0)</f>
        <v/>
      </c>
      <c r="KT32" s="18">
        <f>IF(303&gt;=DeliverStart,ExpAdvertisingPerUnit*TotalUnits/12*KT$8*KT$12,0)</f>
        <v/>
      </c>
      <c r="KU32" s="18">
        <f>IF(304&gt;=DeliverStart,ExpAdvertisingPerUnit*TotalUnits/12*KU$8*KU$12,0)</f>
        <v/>
      </c>
      <c r="KV32" s="18">
        <f>IF(305&gt;=DeliverStart,ExpAdvertisingPerUnit*TotalUnits/12*KV$8*KV$12,0)</f>
        <v/>
      </c>
      <c r="KW32" s="18">
        <f>IF(306&gt;=DeliverStart,ExpAdvertisingPerUnit*TotalUnits/12*KW$8*KW$12,0)</f>
        <v/>
      </c>
      <c r="KX32" s="18">
        <f>IF(307&gt;=DeliverStart,ExpAdvertisingPerUnit*TotalUnits/12*KX$8*KX$12,0)</f>
        <v/>
      </c>
      <c r="KY32" s="18">
        <f>IF(308&gt;=DeliverStart,ExpAdvertisingPerUnit*TotalUnits/12*KY$8*KY$12,0)</f>
        <v/>
      </c>
      <c r="KZ32" s="18">
        <f>IF(309&gt;=DeliverStart,ExpAdvertisingPerUnit*TotalUnits/12*KZ$8*KZ$12,0)</f>
        <v/>
      </c>
      <c r="LA32" s="18">
        <f>IF(310&gt;=DeliverStart,ExpAdvertisingPerUnit*TotalUnits/12*LA$8*LA$12,0)</f>
        <v/>
      </c>
      <c r="LB32" s="18">
        <f>IF(311&gt;=DeliverStart,ExpAdvertisingPerUnit*TotalUnits/12*LB$8*LB$12,0)</f>
        <v/>
      </c>
      <c r="LC32" s="18">
        <f>IF(312&gt;=DeliverStart,ExpAdvertisingPerUnit*TotalUnits/12*LC$8*LC$12,0)</f>
        <v/>
      </c>
      <c r="LD32" s="18">
        <f>IF(313&gt;=DeliverStart,ExpAdvertisingPerUnit*TotalUnits/12*LD$8*LD$12,0)</f>
        <v/>
      </c>
      <c r="LE32" s="18">
        <f>IF(314&gt;=DeliverStart,ExpAdvertisingPerUnit*TotalUnits/12*LE$8*LE$12,0)</f>
        <v/>
      </c>
      <c r="LF32" s="18">
        <f>IF(315&gt;=DeliverStart,ExpAdvertisingPerUnit*TotalUnits/12*LF$8*LF$12,0)</f>
        <v/>
      </c>
      <c r="LG32" s="18">
        <f>IF(316&gt;=DeliverStart,ExpAdvertisingPerUnit*TotalUnits/12*LG$8*LG$12,0)</f>
        <v/>
      </c>
      <c r="LH32" s="18">
        <f>IF(317&gt;=DeliverStart,ExpAdvertisingPerUnit*TotalUnits/12*LH$8*LH$12,0)</f>
        <v/>
      </c>
      <c r="LI32" s="18">
        <f>IF(318&gt;=DeliverStart,ExpAdvertisingPerUnit*TotalUnits/12*LI$8*LI$12,0)</f>
        <v/>
      </c>
      <c r="LJ32" s="18">
        <f>IF(319&gt;=DeliverStart,ExpAdvertisingPerUnit*TotalUnits/12*LJ$8*LJ$12,0)</f>
        <v/>
      </c>
      <c r="LK32" s="18">
        <f>IF(320&gt;=DeliverStart,ExpAdvertisingPerUnit*TotalUnits/12*LK$8*LK$12,0)</f>
        <v/>
      </c>
      <c r="LL32" s="18">
        <f>IF(321&gt;=DeliverStart,ExpAdvertisingPerUnit*TotalUnits/12*LL$8*LL$12,0)</f>
        <v/>
      </c>
      <c r="LM32" s="18">
        <f>IF(322&gt;=DeliverStart,ExpAdvertisingPerUnit*TotalUnits/12*LM$8*LM$12,0)</f>
        <v/>
      </c>
      <c r="LN32" s="18">
        <f>IF(323&gt;=DeliverStart,ExpAdvertisingPerUnit*TotalUnits/12*LN$8*LN$12,0)</f>
        <v/>
      </c>
      <c r="LO32" s="18">
        <f>IF(324&gt;=DeliverStart,ExpAdvertisingPerUnit*TotalUnits/12*LO$8*LO$12,0)</f>
        <v/>
      </c>
      <c r="LP32" s="18">
        <f>IF(325&gt;=DeliverStart,ExpAdvertisingPerUnit*TotalUnits/12*LP$8*LP$12,0)</f>
        <v/>
      </c>
      <c r="LQ32" s="18">
        <f>IF(326&gt;=DeliverStart,ExpAdvertisingPerUnit*TotalUnits/12*LQ$8*LQ$12,0)</f>
        <v/>
      </c>
      <c r="LR32" s="18">
        <f>IF(327&gt;=DeliverStart,ExpAdvertisingPerUnit*TotalUnits/12*LR$8*LR$12,0)</f>
        <v/>
      </c>
      <c r="LS32" s="18">
        <f>IF(328&gt;=DeliverStart,ExpAdvertisingPerUnit*TotalUnits/12*LS$8*LS$12,0)</f>
        <v/>
      </c>
      <c r="LT32" s="18">
        <f>IF(329&gt;=DeliverStart,ExpAdvertisingPerUnit*TotalUnits/12*LT$8*LT$12,0)</f>
        <v/>
      </c>
      <c r="LU32" s="18">
        <f>IF(330&gt;=DeliverStart,ExpAdvertisingPerUnit*TotalUnits/12*LU$8*LU$12,0)</f>
        <v/>
      </c>
      <c r="LV32" s="18">
        <f>IF(331&gt;=DeliverStart,ExpAdvertisingPerUnit*TotalUnits/12*LV$8*LV$12,0)</f>
        <v/>
      </c>
      <c r="LW32" s="18">
        <f>IF(332&gt;=DeliverStart,ExpAdvertisingPerUnit*TotalUnits/12*LW$8*LW$12,0)</f>
        <v/>
      </c>
      <c r="LX32" s="18">
        <f>IF(333&gt;=DeliverStart,ExpAdvertisingPerUnit*TotalUnits/12*LX$8*LX$12,0)</f>
        <v/>
      </c>
      <c r="LY32" s="18">
        <f>IF(334&gt;=DeliverStart,ExpAdvertisingPerUnit*TotalUnits/12*LY$8*LY$12,0)</f>
        <v/>
      </c>
      <c r="LZ32" s="18">
        <f>IF(335&gt;=DeliverStart,ExpAdvertisingPerUnit*TotalUnits/12*LZ$8*LZ$12,0)</f>
        <v/>
      </c>
      <c r="MA32" s="18">
        <f>IF(336&gt;=DeliverStart,ExpAdvertisingPerUnit*TotalUnits/12*MA$8*MA$12,0)</f>
        <v/>
      </c>
      <c r="MB32" s="18">
        <f>IF(337&gt;=DeliverStart,ExpAdvertisingPerUnit*TotalUnits/12*MB$8*MB$12,0)</f>
        <v/>
      </c>
      <c r="MC32" s="18">
        <f>IF(338&gt;=DeliverStart,ExpAdvertisingPerUnit*TotalUnits/12*MC$8*MC$12,0)</f>
        <v/>
      </c>
      <c r="MD32" s="18">
        <f>IF(339&gt;=DeliverStart,ExpAdvertisingPerUnit*TotalUnits/12*MD$8*MD$12,0)</f>
        <v/>
      </c>
      <c r="ME32" s="18">
        <f>IF(340&gt;=DeliverStart,ExpAdvertisingPerUnit*TotalUnits/12*ME$8*ME$12,0)</f>
        <v/>
      </c>
      <c r="MF32" s="18">
        <f>IF(341&gt;=DeliverStart,ExpAdvertisingPerUnit*TotalUnits/12*MF$8*MF$12,0)</f>
        <v/>
      </c>
      <c r="MG32" s="18">
        <f>IF(342&gt;=DeliverStart,ExpAdvertisingPerUnit*TotalUnits/12*MG$8*MG$12,0)</f>
        <v/>
      </c>
      <c r="MH32" s="18">
        <f>IF(343&gt;=DeliverStart,ExpAdvertisingPerUnit*TotalUnits/12*MH$8*MH$12,0)</f>
        <v/>
      </c>
      <c r="MI32" s="18">
        <f>IF(344&gt;=DeliverStart,ExpAdvertisingPerUnit*TotalUnits/12*MI$8*MI$12,0)</f>
        <v/>
      </c>
      <c r="MJ32" s="18">
        <f>IF(345&gt;=DeliverStart,ExpAdvertisingPerUnit*TotalUnits/12*MJ$8*MJ$12,0)</f>
        <v/>
      </c>
      <c r="MK32" s="18">
        <f>IF(346&gt;=DeliverStart,ExpAdvertisingPerUnit*TotalUnits/12*MK$8*MK$12,0)</f>
        <v/>
      </c>
      <c r="ML32" s="18">
        <f>IF(347&gt;=DeliverStart,ExpAdvertisingPerUnit*TotalUnits/12*ML$8*ML$12,0)</f>
        <v/>
      </c>
      <c r="MM32" s="18">
        <f>IF(348&gt;=DeliverStart,ExpAdvertisingPerUnit*TotalUnits/12*MM$8*MM$12,0)</f>
        <v/>
      </c>
      <c r="MN32" s="18">
        <f>IF(349&gt;=DeliverStart,ExpAdvertisingPerUnit*TotalUnits/12*MN$8*MN$12,0)</f>
        <v/>
      </c>
      <c r="MO32" s="18">
        <f>IF(350&gt;=DeliverStart,ExpAdvertisingPerUnit*TotalUnits/12*MO$8*MO$12,0)</f>
        <v/>
      </c>
      <c r="MP32" s="18">
        <f>IF(351&gt;=DeliverStart,ExpAdvertisingPerUnit*TotalUnits/12*MP$8*MP$12,0)</f>
        <v/>
      </c>
      <c r="MQ32" s="18">
        <f>IF(352&gt;=DeliverStart,ExpAdvertisingPerUnit*TotalUnits/12*MQ$8*MQ$12,0)</f>
        <v/>
      </c>
      <c r="MR32" s="18">
        <f>IF(353&gt;=DeliverStart,ExpAdvertisingPerUnit*TotalUnits/12*MR$8*MR$12,0)</f>
        <v/>
      </c>
      <c r="MS32" s="18">
        <f>IF(354&gt;=DeliverStart,ExpAdvertisingPerUnit*TotalUnits/12*MS$8*MS$12,0)</f>
        <v/>
      </c>
      <c r="MT32" s="18">
        <f>IF(355&gt;=DeliverStart,ExpAdvertisingPerUnit*TotalUnits/12*MT$8*MT$12,0)</f>
        <v/>
      </c>
      <c r="MU32" s="18">
        <f>IF(356&gt;=DeliverStart,ExpAdvertisingPerUnit*TotalUnits/12*MU$8*MU$12,0)</f>
        <v/>
      </c>
      <c r="MV32" s="18">
        <f>IF(357&gt;=DeliverStart,ExpAdvertisingPerUnit*TotalUnits/12*MV$8*MV$12,0)</f>
        <v/>
      </c>
      <c r="MW32" s="18">
        <f>IF(358&gt;=DeliverStart,ExpAdvertisingPerUnit*TotalUnits/12*MW$8*MW$12,0)</f>
        <v/>
      </c>
      <c r="MX32" s="18">
        <f>IF(359&gt;=DeliverStart,ExpAdvertisingPerUnit*TotalUnits/12*MX$8*MX$12,0)</f>
        <v/>
      </c>
      <c r="MY32" s="18">
        <f>IF(360&gt;=DeliverStart,ExpAdvertisingPerUnit*TotalUnits/12*MY$8*MY$12,0)</f>
        <v/>
      </c>
      <c r="MZ32" s="18">
        <f>IF(361&gt;=DeliverStart,ExpAdvertisingPerUnit*TotalUnits/12*MZ$8*MZ$12,0)</f>
        <v/>
      </c>
      <c r="NA32" s="18">
        <f>IF(362&gt;=DeliverStart,ExpAdvertisingPerUnit*TotalUnits/12*NA$8*NA$12,0)</f>
        <v/>
      </c>
      <c r="NB32" s="18">
        <f>IF(363&gt;=DeliverStart,ExpAdvertisingPerUnit*TotalUnits/12*NB$8*NB$12,0)</f>
        <v/>
      </c>
      <c r="NC32" s="18">
        <f>IF(364&gt;=DeliverStart,ExpAdvertisingPerUnit*TotalUnits/12*NC$8*NC$12,0)</f>
        <v/>
      </c>
      <c r="ND32" s="18">
        <f>IF(365&gt;=DeliverStart,ExpAdvertisingPerUnit*TotalUnits/12*ND$8*ND$12,0)</f>
        <v/>
      </c>
      <c r="NE32" s="18">
        <f>IF(366&gt;=DeliverStart,ExpAdvertisingPerUnit*TotalUnits/12*NE$8*NE$12,0)</f>
        <v/>
      </c>
      <c r="NF32" s="18">
        <f>IF(367&gt;=DeliverStart,ExpAdvertisingPerUnit*TotalUnits/12*NF$8*NF$12,0)</f>
        <v/>
      </c>
      <c r="NG32" s="18">
        <f>IF(368&gt;=DeliverStart,ExpAdvertisingPerUnit*TotalUnits/12*NG$8*NG$12,0)</f>
        <v/>
      </c>
      <c r="NH32" s="18">
        <f>IF(369&gt;=DeliverStart,ExpAdvertisingPerUnit*TotalUnits/12*NH$8*NH$12,0)</f>
        <v/>
      </c>
      <c r="NI32" s="18">
        <f>IF(370&gt;=DeliverStart,ExpAdvertisingPerUnit*TotalUnits/12*NI$8*NI$12,0)</f>
        <v/>
      </c>
      <c r="NJ32" s="18">
        <f>IF(371&gt;=DeliverStart,ExpAdvertisingPerUnit*TotalUnits/12*NJ$8*NJ$12,0)</f>
        <v/>
      </c>
      <c r="NK32" s="18">
        <f>IF(372&gt;=DeliverStart,ExpAdvertisingPerUnit*TotalUnits/12*NK$8*NK$12,0)</f>
        <v/>
      </c>
    </row>
    <row r="33">
      <c r="A33" s="5" t="inlineStr">
        <is>
          <t>Management Fee</t>
        </is>
      </c>
      <c r="C33" s="41">
        <f>SUM(D33:NK33)</f>
        <v/>
      </c>
      <c r="D33" s="18">
        <f>IF(1&gt;=DeliverStart,MgmtFeePct*D$23,0)</f>
        <v/>
      </c>
      <c r="E33" s="18">
        <f>IF(2&gt;=DeliverStart,MgmtFeePct*E$23,0)</f>
        <v/>
      </c>
      <c r="F33" s="18">
        <f>IF(3&gt;=DeliverStart,MgmtFeePct*F$23,0)</f>
        <v/>
      </c>
      <c r="G33" s="18">
        <f>IF(4&gt;=DeliverStart,MgmtFeePct*G$23,0)</f>
        <v/>
      </c>
      <c r="H33" s="18">
        <f>IF(5&gt;=DeliverStart,MgmtFeePct*H$23,0)</f>
        <v/>
      </c>
      <c r="I33" s="18">
        <f>IF(6&gt;=DeliverStart,MgmtFeePct*I$23,0)</f>
        <v/>
      </c>
      <c r="J33" s="18">
        <f>IF(7&gt;=DeliverStart,MgmtFeePct*J$23,0)</f>
        <v/>
      </c>
      <c r="K33" s="18">
        <f>IF(8&gt;=DeliverStart,MgmtFeePct*K$23,0)</f>
        <v/>
      </c>
      <c r="L33" s="18">
        <f>IF(9&gt;=DeliverStart,MgmtFeePct*L$23,0)</f>
        <v/>
      </c>
      <c r="M33" s="18">
        <f>IF(10&gt;=DeliverStart,MgmtFeePct*M$23,0)</f>
        <v/>
      </c>
      <c r="N33" s="18">
        <f>IF(11&gt;=DeliverStart,MgmtFeePct*N$23,0)</f>
        <v/>
      </c>
      <c r="O33" s="18">
        <f>IF(12&gt;=DeliverStart,MgmtFeePct*O$23,0)</f>
        <v/>
      </c>
      <c r="P33" s="18">
        <f>IF(13&gt;=DeliverStart,MgmtFeePct*P$23,0)</f>
        <v/>
      </c>
      <c r="Q33" s="18">
        <f>IF(14&gt;=DeliverStart,MgmtFeePct*Q$23,0)</f>
        <v/>
      </c>
      <c r="R33" s="18">
        <f>IF(15&gt;=DeliverStart,MgmtFeePct*R$23,0)</f>
        <v/>
      </c>
      <c r="S33" s="18">
        <f>IF(16&gt;=DeliverStart,MgmtFeePct*S$23,0)</f>
        <v/>
      </c>
      <c r="T33" s="18">
        <f>IF(17&gt;=DeliverStart,MgmtFeePct*T$23,0)</f>
        <v/>
      </c>
      <c r="U33" s="18">
        <f>IF(18&gt;=DeliverStart,MgmtFeePct*U$23,0)</f>
        <v/>
      </c>
      <c r="V33" s="18">
        <f>IF(19&gt;=DeliverStart,MgmtFeePct*V$23,0)</f>
        <v/>
      </c>
      <c r="W33" s="18">
        <f>IF(20&gt;=DeliverStart,MgmtFeePct*W$23,0)</f>
        <v/>
      </c>
      <c r="X33" s="18">
        <f>IF(21&gt;=DeliverStart,MgmtFeePct*X$23,0)</f>
        <v/>
      </c>
      <c r="Y33" s="18">
        <f>IF(22&gt;=DeliverStart,MgmtFeePct*Y$23,0)</f>
        <v/>
      </c>
      <c r="Z33" s="18">
        <f>IF(23&gt;=DeliverStart,MgmtFeePct*Z$23,0)</f>
        <v/>
      </c>
      <c r="AA33" s="18">
        <f>IF(24&gt;=DeliverStart,MgmtFeePct*AA$23,0)</f>
        <v/>
      </c>
      <c r="AB33" s="18">
        <f>IF(25&gt;=DeliverStart,MgmtFeePct*AB$23,0)</f>
        <v/>
      </c>
      <c r="AC33" s="18">
        <f>IF(26&gt;=DeliverStart,MgmtFeePct*AC$23,0)</f>
        <v/>
      </c>
      <c r="AD33" s="18">
        <f>IF(27&gt;=DeliverStart,MgmtFeePct*AD$23,0)</f>
        <v/>
      </c>
      <c r="AE33" s="18">
        <f>IF(28&gt;=DeliverStart,MgmtFeePct*AE$23,0)</f>
        <v/>
      </c>
      <c r="AF33" s="18">
        <f>IF(29&gt;=DeliverStart,MgmtFeePct*AF$23,0)</f>
        <v/>
      </c>
      <c r="AG33" s="18">
        <f>IF(30&gt;=DeliverStart,MgmtFeePct*AG$23,0)</f>
        <v/>
      </c>
      <c r="AH33" s="18">
        <f>IF(31&gt;=DeliverStart,MgmtFeePct*AH$23,0)</f>
        <v/>
      </c>
      <c r="AI33" s="18">
        <f>IF(32&gt;=DeliverStart,MgmtFeePct*AI$23,0)</f>
        <v/>
      </c>
      <c r="AJ33" s="18">
        <f>IF(33&gt;=DeliverStart,MgmtFeePct*AJ$23,0)</f>
        <v/>
      </c>
      <c r="AK33" s="18">
        <f>IF(34&gt;=DeliverStart,MgmtFeePct*AK$23,0)</f>
        <v/>
      </c>
      <c r="AL33" s="18">
        <f>IF(35&gt;=DeliverStart,MgmtFeePct*AL$23,0)</f>
        <v/>
      </c>
      <c r="AM33" s="18">
        <f>IF(36&gt;=DeliverStart,MgmtFeePct*AM$23,0)</f>
        <v/>
      </c>
      <c r="AN33" s="18">
        <f>IF(37&gt;=DeliverStart,MgmtFeePct*AN$23,0)</f>
        <v/>
      </c>
      <c r="AO33" s="18">
        <f>IF(38&gt;=DeliverStart,MgmtFeePct*AO$23,0)</f>
        <v/>
      </c>
      <c r="AP33" s="18">
        <f>IF(39&gt;=DeliverStart,MgmtFeePct*AP$23,0)</f>
        <v/>
      </c>
      <c r="AQ33" s="18">
        <f>IF(40&gt;=DeliverStart,MgmtFeePct*AQ$23,0)</f>
        <v/>
      </c>
      <c r="AR33" s="18">
        <f>IF(41&gt;=DeliverStart,MgmtFeePct*AR$23,0)</f>
        <v/>
      </c>
      <c r="AS33" s="18">
        <f>IF(42&gt;=DeliverStart,MgmtFeePct*AS$23,0)</f>
        <v/>
      </c>
      <c r="AT33" s="18">
        <f>IF(43&gt;=DeliverStart,MgmtFeePct*AT$23,0)</f>
        <v/>
      </c>
      <c r="AU33" s="18">
        <f>IF(44&gt;=DeliverStart,MgmtFeePct*AU$23,0)</f>
        <v/>
      </c>
      <c r="AV33" s="18">
        <f>IF(45&gt;=DeliverStart,MgmtFeePct*AV$23,0)</f>
        <v/>
      </c>
      <c r="AW33" s="18">
        <f>IF(46&gt;=DeliverStart,MgmtFeePct*AW$23,0)</f>
        <v/>
      </c>
      <c r="AX33" s="18">
        <f>IF(47&gt;=DeliverStart,MgmtFeePct*AX$23,0)</f>
        <v/>
      </c>
      <c r="AY33" s="18">
        <f>IF(48&gt;=DeliverStart,MgmtFeePct*AY$23,0)</f>
        <v/>
      </c>
      <c r="AZ33" s="18">
        <f>IF(49&gt;=DeliverStart,MgmtFeePct*AZ$23,0)</f>
        <v/>
      </c>
      <c r="BA33" s="18">
        <f>IF(50&gt;=DeliverStart,MgmtFeePct*BA$23,0)</f>
        <v/>
      </c>
      <c r="BB33" s="18">
        <f>IF(51&gt;=DeliverStart,MgmtFeePct*BB$23,0)</f>
        <v/>
      </c>
      <c r="BC33" s="18">
        <f>IF(52&gt;=DeliverStart,MgmtFeePct*BC$23,0)</f>
        <v/>
      </c>
      <c r="BD33" s="18">
        <f>IF(53&gt;=DeliverStart,MgmtFeePct*BD$23,0)</f>
        <v/>
      </c>
      <c r="BE33" s="18">
        <f>IF(54&gt;=DeliverStart,MgmtFeePct*BE$23,0)</f>
        <v/>
      </c>
      <c r="BF33" s="18">
        <f>IF(55&gt;=DeliverStart,MgmtFeePct*BF$23,0)</f>
        <v/>
      </c>
      <c r="BG33" s="18">
        <f>IF(56&gt;=DeliverStart,MgmtFeePct*BG$23,0)</f>
        <v/>
      </c>
      <c r="BH33" s="18">
        <f>IF(57&gt;=DeliverStart,MgmtFeePct*BH$23,0)</f>
        <v/>
      </c>
      <c r="BI33" s="18">
        <f>IF(58&gt;=DeliverStart,MgmtFeePct*BI$23,0)</f>
        <v/>
      </c>
      <c r="BJ33" s="18">
        <f>IF(59&gt;=DeliverStart,MgmtFeePct*BJ$23,0)</f>
        <v/>
      </c>
      <c r="BK33" s="18">
        <f>IF(60&gt;=DeliverStart,MgmtFeePct*BK$23,0)</f>
        <v/>
      </c>
      <c r="BL33" s="18">
        <f>IF(61&gt;=DeliverStart,MgmtFeePct*BL$23,0)</f>
        <v/>
      </c>
      <c r="BM33" s="18">
        <f>IF(62&gt;=DeliverStart,MgmtFeePct*BM$23,0)</f>
        <v/>
      </c>
      <c r="BN33" s="18">
        <f>IF(63&gt;=DeliverStart,MgmtFeePct*BN$23,0)</f>
        <v/>
      </c>
      <c r="BO33" s="18">
        <f>IF(64&gt;=DeliverStart,MgmtFeePct*BO$23,0)</f>
        <v/>
      </c>
      <c r="BP33" s="18">
        <f>IF(65&gt;=DeliverStart,MgmtFeePct*BP$23,0)</f>
        <v/>
      </c>
      <c r="BQ33" s="18">
        <f>IF(66&gt;=DeliverStart,MgmtFeePct*BQ$23,0)</f>
        <v/>
      </c>
      <c r="BR33" s="18">
        <f>IF(67&gt;=DeliverStart,MgmtFeePct*BR$23,0)</f>
        <v/>
      </c>
      <c r="BS33" s="18">
        <f>IF(68&gt;=DeliverStart,MgmtFeePct*BS$23,0)</f>
        <v/>
      </c>
      <c r="BT33" s="18">
        <f>IF(69&gt;=DeliverStart,MgmtFeePct*BT$23,0)</f>
        <v/>
      </c>
      <c r="BU33" s="18">
        <f>IF(70&gt;=DeliverStart,MgmtFeePct*BU$23,0)</f>
        <v/>
      </c>
      <c r="BV33" s="18">
        <f>IF(71&gt;=DeliverStart,MgmtFeePct*BV$23,0)</f>
        <v/>
      </c>
      <c r="BW33" s="18">
        <f>IF(72&gt;=DeliverStart,MgmtFeePct*BW$23,0)</f>
        <v/>
      </c>
      <c r="BX33" s="18">
        <f>IF(73&gt;=DeliverStart,MgmtFeePct*BX$23,0)</f>
        <v/>
      </c>
      <c r="BY33" s="18">
        <f>IF(74&gt;=DeliverStart,MgmtFeePct*BY$23,0)</f>
        <v/>
      </c>
      <c r="BZ33" s="18">
        <f>IF(75&gt;=DeliverStart,MgmtFeePct*BZ$23,0)</f>
        <v/>
      </c>
      <c r="CA33" s="18">
        <f>IF(76&gt;=DeliverStart,MgmtFeePct*CA$23,0)</f>
        <v/>
      </c>
      <c r="CB33" s="18">
        <f>IF(77&gt;=DeliverStart,MgmtFeePct*CB$23,0)</f>
        <v/>
      </c>
      <c r="CC33" s="18">
        <f>IF(78&gt;=DeliverStart,MgmtFeePct*CC$23,0)</f>
        <v/>
      </c>
      <c r="CD33" s="18">
        <f>IF(79&gt;=DeliverStart,MgmtFeePct*CD$23,0)</f>
        <v/>
      </c>
      <c r="CE33" s="18">
        <f>IF(80&gt;=DeliverStart,MgmtFeePct*CE$23,0)</f>
        <v/>
      </c>
      <c r="CF33" s="18">
        <f>IF(81&gt;=DeliverStart,MgmtFeePct*CF$23,0)</f>
        <v/>
      </c>
      <c r="CG33" s="18">
        <f>IF(82&gt;=DeliverStart,MgmtFeePct*CG$23,0)</f>
        <v/>
      </c>
      <c r="CH33" s="18">
        <f>IF(83&gt;=DeliverStart,MgmtFeePct*CH$23,0)</f>
        <v/>
      </c>
      <c r="CI33" s="18">
        <f>IF(84&gt;=DeliverStart,MgmtFeePct*CI$23,0)</f>
        <v/>
      </c>
      <c r="CJ33" s="18">
        <f>IF(85&gt;=DeliverStart,MgmtFeePct*CJ$23,0)</f>
        <v/>
      </c>
      <c r="CK33" s="18">
        <f>IF(86&gt;=DeliverStart,MgmtFeePct*CK$23,0)</f>
        <v/>
      </c>
      <c r="CL33" s="18">
        <f>IF(87&gt;=DeliverStart,MgmtFeePct*CL$23,0)</f>
        <v/>
      </c>
      <c r="CM33" s="18">
        <f>IF(88&gt;=DeliverStart,MgmtFeePct*CM$23,0)</f>
        <v/>
      </c>
      <c r="CN33" s="18">
        <f>IF(89&gt;=DeliverStart,MgmtFeePct*CN$23,0)</f>
        <v/>
      </c>
      <c r="CO33" s="18">
        <f>IF(90&gt;=DeliverStart,MgmtFeePct*CO$23,0)</f>
        <v/>
      </c>
      <c r="CP33" s="18">
        <f>IF(91&gt;=DeliverStart,MgmtFeePct*CP$23,0)</f>
        <v/>
      </c>
      <c r="CQ33" s="18">
        <f>IF(92&gt;=DeliverStart,MgmtFeePct*CQ$23,0)</f>
        <v/>
      </c>
      <c r="CR33" s="18">
        <f>IF(93&gt;=DeliverStart,MgmtFeePct*CR$23,0)</f>
        <v/>
      </c>
      <c r="CS33" s="18">
        <f>IF(94&gt;=DeliverStart,MgmtFeePct*CS$23,0)</f>
        <v/>
      </c>
      <c r="CT33" s="18">
        <f>IF(95&gt;=DeliverStart,MgmtFeePct*CT$23,0)</f>
        <v/>
      </c>
      <c r="CU33" s="18">
        <f>IF(96&gt;=DeliverStart,MgmtFeePct*CU$23,0)</f>
        <v/>
      </c>
      <c r="CV33" s="18">
        <f>IF(97&gt;=DeliverStart,MgmtFeePct*CV$23,0)</f>
        <v/>
      </c>
      <c r="CW33" s="18">
        <f>IF(98&gt;=DeliverStart,MgmtFeePct*CW$23,0)</f>
        <v/>
      </c>
      <c r="CX33" s="18">
        <f>IF(99&gt;=DeliverStart,MgmtFeePct*CX$23,0)</f>
        <v/>
      </c>
      <c r="CY33" s="18">
        <f>IF(100&gt;=DeliverStart,MgmtFeePct*CY$23,0)</f>
        <v/>
      </c>
      <c r="CZ33" s="18">
        <f>IF(101&gt;=DeliverStart,MgmtFeePct*CZ$23,0)</f>
        <v/>
      </c>
      <c r="DA33" s="18">
        <f>IF(102&gt;=DeliverStart,MgmtFeePct*DA$23,0)</f>
        <v/>
      </c>
      <c r="DB33" s="18">
        <f>IF(103&gt;=DeliverStart,MgmtFeePct*DB$23,0)</f>
        <v/>
      </c>
      <c r="DC33" s="18">
        <f>IF(104&gt;=DeliverStart,MgmtFeePct*DC$23,0)</f>
        <v/>
      </c>
      <c r="DD33" s="18">
        <f>IF(105&gt;=DeliverStart,MgmtFeePct*DD$23,0)</f>
        <v/>
      </c>
      <c r="DE33" s="18">
        <f>IF(106&gt;=DeliverStart,MgmtFeePct*DE$23,0)</f>
        <v/>
      </c>
      <c r="DF33" s="18">
        <f>IF(107&gt;=DeliverStart,MgmtFeePct*DF$23,0)</f>
        <v/>
      </c>
      <c r="DG33" s="18">
        <f>IF(108&gt;=DeliverStart,MgmtFeePct*DG$23,0)</f>
        <v/>
      </c>
      <c r="DH33" s="18">
        <f>IF(109&gt;=DeliverStart,MgmtFeePct*DH$23,0)</f>
        <v/>
      </c>
      <c r="DI33" s="18">
        <f>IF(110&gt;=DeliverStart,MgmtFeePct*DI$23,0)</f>
        <v/>
      </c>
      <c r="DJ33" s="18">
        <f>IF(111&gt;=DeliverStart,MgmtFeePct*DJ$23,0)</f>
        <v/>
      </c>
      <c r="DK33" s="18">
        <f>IF(112&gt;=DeliverStart,MgmtFeePct*DK$23,0)</f>
        <v/>
      </c>
      <c r="DL33" s="18">
        <f>IF(113&gt;=DeliverStart,MgmtFeePct*DL$23,0)</f>
        <v/>
      </c>
      <c r="DM33" s="18">
        <f>IF(114&gt;=DeliverStart,MgmtFeePct*DM$23,0)</f>
        <v/>
      </c>
      <c r="DN33" s="18">
        <f>IF(115&gt;=DeliverStart,MgmtFeePct*DN$23,0)</f>
        <v/>
      </c>
      <c r="DO33" s="18">
        <f>IF(116&gt;=DeliverStart,MgmtFeePct*DO$23,0)</f>
        <v/>
      </c>
      <c r="DP33" s="18">
        <f>IF(117&gt;=DeliverStart,MgmtFeePct*DP$23,0)</f>
        <v/>
      </c>
      <c r="DQ33" s="18">
        <f>IF(118&gt;=DeliverStart,MgmtFeePct*DQ$23,0)</f>
        <v/>
      </c>
      <c r="DR33" s="18">
        <f>IF(119&gt;=DeliverStart,MgmtFeePct*DR$23,0)</f>
        <v/>
      </c>
      <c r="DS33" s="18">
        <f>IF(120&gt;=DeliverStart,MgmtFeePct*DS$23,0)</f>
        <v/>
      </c>
      <c r="DT33" s="18">
        <f>IF(121&gt;=DeliverStart,MgmtFeePct*DT$23,0)</f>
        <v/>
      </c>
      <c r="DU33" s="18">
        <f>IF(122&gt;=DeliverStart,MgmtFeePct*DU$23,0)</f>
        <v/>
      </c>
      <c r="DV33" s="18">
        <f>IF(123&gt;=DeliverStart,MgmtFeePct*DV$23,0)</f>
        <v/>
      </c>
      <c r="DW33" s="18">
        <f>IF(124&gt;=DeliverStart,MgmtFeePct*DW$23,0)</f>
        <v/>
      </c>
      <c r="DX33" s="18">
        <f>IF(125&gt;=DeliverStart,MgmtFeePct*DX$23,0)</f>
        <v/>
      </c>
      <c r="DY33" s="18">
        <f>IF(126&gt;=DeliverStart,MgmtFeePct*DY$23,0)</f>
        <v/>
      </c>
      <c r="DZ33" s="18">
        <f>IF(127&gt;=DeliverStart,MgmtFeePct*DZ$23,0)</f>
        <v/>
      </c>
      <c r="EA33" s="18">
        <f>IF(128&gt;=DeliverStart,MgmtFeePct*EA$23,0)</f>
        <v/>
      </c>
      <c r="EB33" s="18">
        <f>IF(129&gt;=DeliverStart,MgmtFeePct*EB$23,0)</f>
        <v/>
      </c>
      <c r="EC33" s="18">
        <f>IF(130&gt;=DeliverStart,MgmtFeePct*EC$23,0)</f>
        <v/>
      </c>
      <c r="ED33" s="18">
        <f>IF(131&gt;=DeliverStart,MgmtFeePct*ED$23,0)</f>
        <v/>
      </c>
      <c r="EE33" s="18">
        <f>IF(132&gt;=DeliverStart,MgmtFeePct*EE$23,0)</f>
        <v/>
      </c>
      <c r="EF33" s="18">
        <f>IF(133&gt;=DeliverStart,MgmtFeePct*EF$23,0)</f>
        <v/>
      </c>
      <c r="EG33" s="18">
        <f>IF(134&gt;=DeliverStart,MgmtFeePct*EG$23,0)</f>
        <v/>
      </c>
      <c r="EH33" s="18">
        <f>IF(135&gt;=DeliverStart,MgmtFeePct*EH$23,0)</f>
        <v/>
      </c>
      <c r="EI33" s="18">
        <f>IF(136&gt;=DeliverStart,MgmtFeePct*EI$23,0)</f>
        <v/>
      </c>
      <c r="EJ33" s="18">
        <f>IF(137&gt;=DeliverStart,MgmtFeePct*EJ$23,0)</f>
        <v/>
      </c>
      <c r="EK33" s="18">
        <f>IF(138&gt;=DeliverStart,MgmtFeePct*EK$23,0)</f>
        <v/>
      </c>
      <c r="EL33" s="18">
        <f>IF(139&gt;=DeliverStart,MgmtFeePct*EL$23,0)</f>
        <v/>
      </c>
      <c r="EM33" s="18">
        <f>IF(140&gt;=DeliverStart,MgmtFeePct*EM$23,0)</f>
        <v/>
      </c>
      <c r="EN33" s="18">
        <f>IF(141&gt;=DeliverStart,MgmtFeePct*EN$23,0)</f>
        <v/>
      </c>
      <c r="EO33" s="18">
        <f>IF(142&gt;=DeliverStart,MgmtFeePct*EO$23,0)</f>
        <v/>
      </c>
      <c r="EP33" s="18">
        <f>IF(143&gt;=DeliverStart,MgmtFeePct*EP$23,0)</f>
        <v/>
      </c>
      <c r="EQ33" s="18">
        <f>IF(144&gt;=DeliverStart,MgmtFeePct*EQ$23,0)</f>
        <v/>
      </c>
      <c r="ER33" s="18">
        <f>IF(145&gt;=DeliverStart,MgmtFeePct*ER$23,0)</f>
        <v/>
      </c>
      <c r="ES33" s="18">
        <f>IF(146&gt;=DeliverStart,MgmtFeePct*ES$23,0)</f>
        <v/>
      </c>
      <c r="ET33" s="18">
        <f>IF(147&gt;=DeliverStart,MgmtFeePct*ET$23,0)</f>
        <v/>
      </c>
      <c r="EU33" s="18">
        <f>IF(148&gt;=DeliverStart,MgmtFeePct*EU$23,0)</f>
        <v/>
      </c>
      <c r="EV33" s="18">
        <f>IF(149&gt;=DeliverStart,MgmtFeePct*EV$23,0)</f>
        <v/>
      </c>
      <c r="EW33" s="18">
        <f>IF(150&gt;=DeliverStart,MgmtFeePct*EW$23,0)</f>
        <v/>
      </c>
      <c r="EX33" s="18">
        <f>IF(151&gt;=DeliverStart,MgmtFeePct*EX$23,0)</f>
        <v/>
      </c>
      <c r="EY33" s="18">
        <f>IF(152&gt;=DeliverStart,MgmtFeePct*EY$23,0)</f>
        <v/>
      </c>
      <c r="EZ33" s="18">
        <f>IF(153&gt;=DeliverStart,MgmtFeePct*EZ$23,0)</f>
        <v/>
      </c>
      <c r="FA33" s="18">
        <f>IF(154&gt;=DeliverStart,MgmtFeePct*FA$23,0)</f>
        <v/>
      </c>
      <c r="FB33" s="18">
        <f>IF(155&gt;=DeliverStart,MgmtFeePct*FB$23,0)</f>
        <v/>
      </c>
      <c r="FC33" s="18">
        <f>IF(156&gt;=DeliverStart,MgmtFeePct*FC$23,0)</f>
        <v/>
      </c>
      <c r="FD33" s="18">
        <f>IF(157&gt;=DeliverStart,MgmtFeePct*FD$23,0)</f>
        <v/>
      </c>
      <c r="FE33" s="18">
        <f>IF(158&gt;=DeliverStart,MgmtFeePct*FE$23,0)</f>
        <v/>
      </c>
      <c r="FF33" s="18">
        <f>IF(159&gt;=DeliverStart,MgmtFeePct*FF$23,0)</f>
        <v/>
      </c>
      <c r="FG33" s="18">
        <f>IF(160&gt;=DeliverStart,MgmtFeePct*FG$23,0)</f>
        <v/>
      </c>
      <c r="FH33" s="18">
        <f>IF(161&gt;=DeliverStart,MgmtFeePct*FH$23,0)</f>
        <v/>
      </c>
      <c r="FI33" s="18">
        <f>IF(162&gt;=DeliverStart,MgmtFeePct*FI$23,0)</f>
        <v/>
      </c>
      <c r="FJ33" s="18">
        <f>IF(163&gt;=DeliverStart,MgmtFeePct*FJ$23,0)</f>
        <v/>
      </c>
      <c r="FK33" s="18">
        <f>IF(164&gt;=DeliverStart,MgmtFeePct*FK$23,0)</f>
        <v/>
      </c>
      <c r="FL33" s="18">
        <f>IF(165&gt;=DeliverStart,MgmtFeePct*FL$23,0)</f>
        <v/>
      </c>
      <c r="FM33" s="18">
        <f>IF(166&gt;=DeliverStart,MgmtFeePct*FM$23,0)</f>
        <v/>
      </c>
      <c r="FN33" s="18">
        <f>IF(167&gt;=DeliverStart,MgmtFeePct*FN$23,0)</f>
        <v/>
      </c>
      <c r="FO33" s="18">
        <f>IF(168&gt;=DeliverStart,MgmtFeePct*FO$23,0)</f>
        <v/>
      </c>
      <c r="FP33" s="18">
        <f>IF(169&gt;=DeliverStart,MgmtFeePct*FP$23,0)</f>
        <v/>
      </c>
      <c r="FQ33" s="18">
        <f>IF(170&gt;=DeliverStart,MgmtFeePct*FQ$23,0)</f>
        <v/>
      </c>
      <c r="FR33" s="18">
        <f>IF(171&gt;=DeliverStart,MgmtFeePct*FR$23,0)</f>
        <v/>
      </c>
      <c r="FS33" s="18">
        <f>IF(172&gt;=DeliverStart,MgmtFeePct*FS$23,0)</f>
        <v/>
      </c>
      <c r="FT33" s="18">
        <f>IF(173&gt;=DeliverStart,MgmtFeePct*FT$23,0)</f>
        <v/>
      </c>
      <c r="FU33" s="18">
        <f>IF(174&gt;=DeliverStart,MgmtFeePct*FU$23,0)</f>
        <v/>
      </c>
      <c r="FV33" s="18">
        <f>IF(175&gt;=DeliverStart,MgmtFeePct*FV$23,0)</f>
        <v/>
      </c>
      <c r="FW33" s="18">
        <f>IF(176&gt;=DeliverStart,MgmtFeePct*FW$23,0)</f>
        <v/>
      </c>
      <c r="FX33" s="18">
        <f>IF(177&gt;=DeliverStart,MgmtFeePct*FX$23,0)</f>
        <v/>
      </c>
      <c r="FY33" s="18">
        <f>IF(178&gt;=DeliverStart,MgmtFeePct*FY$23,0)</f>
        <v/>
      </c>
      <c r="FZ33" s="18">
        <f>IF(179&gt;=DeliverStart,MgmtFeePct*FZ$23,0)</f>
        <v/>
      </c>
      <c r="GA33" s="18">
        <f>IF(180&gt;=DeliverStart,MgmtFeePct*GA$23,0)</f>
        <v/>
      </c>
      <c r="GB33" s="18">
        <f>IF(181&gt;=DeliverStart,MgmtFeePct*GB$23,0)</f>
        <v/>
      </c>
      <c r="GC33" s="18">
        <f>IF(182&gt;=DeliverStart,MgmtFeePct*GC$23,0)</f>
        <v/>
      </c>
      <c r="GD33" s="18">
        <f>IF(183&gt;=DeliverStart,MgmtFeePct*GD$23,0)</f>
        <v/>
      </c>
      <c r="GE33" s="18">
        <f>IF(184&gt;=DeliverStart,MgmtFeePct*GE$23,0)</f>
        <v/>
      </c>
      <c r="GF33" s="18">
        <f>IF(185&gt;=DeliverStart,MgmtFeePct*GF$23,0)</f>
        <v/>
      </c>
      <c r="GG33" s="18">
        <f>IF(186&gt;=DeliverStart,MgmtFeePct*GG$23,0)</f>
        <v/>
      </c>
      <c r="GH33" s="18">
        <f>IF(187&gt;=DeliverStart,MgmtFeePct*GH$23,0)</f>
        <v/>
      </c>
      <c r="GI33" s="18">
        <f>IF(188&gt;=DeliverStart,MgmtFeePct*GI$23,0)</f>
        <v/>
      </c>
      <c r="GJ33" s="18">
        <f>IF(189&gt;=DeliverStart,MgmtFeePct*GJ$23,0)</f>
        <v/>
      </c>
      <c r="GK33" s="18">
        <f>IF(190&gt;=DeliverStart,MgmtFeePct*GK$23,0)</f>
        <v/>
      </c>
      <c r="GL33" s="18">
        <f>IF(191&gt;=DeliverStart,MgmtFeePct*GL$23,0)</f>
        <v/>
      </c>
      <c r="GM33" s="18">
        <f>IF(192&gt;=DeliverStart,MgmtFeePct*GM$23,0)</f>
        <v/>
      </c>
      <c r="GN33" s="18">
        <f>IF(193&gt;=DeliverStart,MgmtFeePct*GN$23,0)</f>
        <v/>
      </c>
      <c r="GO33" s="18">
        <f>IF(194&gt;=DeliverStart,MgmtFeePct*GO$23,0)</f>
        <v/>
      </c>
      <c r="GP33" s="18">
        <f>IF(195&gt;=DeliverStart,MgmtFeePct*GP$23,0)</f>
        <v/>
      </c>
      <c r="GQ33" s="18">
        <f>IF(196&gt;=DeliverStart,MgmtFeePct*GQ$23,0)</f>
        <v/>
      </c>
      <c r="GR33" s="18">
        <f>IF(197&gt;=DeliverStart,MgmtFeePct*GR$23,0)</f>
        <v/>
      </c>
      <c r="GS33" s="18">
        <f>IF(198&gt;=DeliverStart,MgmtFeePct*GS$23,0)</f>
        <v/>
      </c>
      <c r="GT33" s="18">
        <f>IF(199&gt;=DeliverStart,MgmtFeePct*GT$23,0)</f>
        <v/>
      </c>
      <c r="GU33" s="18">
        <f>IF(200&gt;=DeliverStart,MgmtFeePct*GU$23,0)</f>
        <v/>
      </c>
      <c r="GV33" s="18">
        <f>IF(201&gt;=DeliverStart,MgmtFeePct*GV$23,0)</f>
        <v/>
      </c>
      <c r="GW33" s="18">
        <f>IF(202&gt;=DeliverStart,MgmtFeePct*GW$23,0)</f>
        <v/>
      </c>
      <c r="GX33" s="18">
        <f>IF(203&gt;=DeliverStart,MgmtFeePct*GX$23,0)</f>
        <v/>
      </c>
      <c r="GY33" s="18">
        <f>IF(204&gt;=DeliverStart,MgmtFeePct*GY$23,0)</f>
        <v/>
      </c>
      <c r="GZ33" s="18">
        <f>IF(205&gt;=DeliverStart,MgmtFeePct*GZ$23,0)</f>
        <v/>
      </c>
      <c r="HA33" s="18">
        <f>IF(206&gt;=DeliverStart,MgmtFeePct*HA$23,0)</f>
        <v/>
      </c>
      <c r="HB33" s="18">
        <f>IF(207&gt;=DeliverStart,MgmtFeePct*HB$23,0)</f>
        <v/>
      </c>
      <c r="HC33" s="18">
        <f>IF(208&gt;=DeliverStart,MgmtFeePct*HC$23,0)</f>
        <v/>
      </c>
      <c r="HD33" s="18">
        <f>IF(209&gt;=DeliverStart,MgmtFeePct*HD$23,0)</f>
        <v/>
      </c>
      <c r="HE33" s="18">
        <f>IF(210&gt;=DeliverStart,MgmtFeePct*HE$23,0)</f>
        <v/>
      </c>
      <c r="HF33" s="18">
        <f>IF(211&gt;=DeliverStart,MgmtFeePct*HF$23,0)</f>
        <v/>
      </c>
      <c r="HG33" s="18">
        <f>IF(212&gt;=DeliverStart,MgmtFeePct*HG$23,0)</f>
        <v/>
      </c>
      <c r="HH33" s="18">
        <f>IF(213&gt;=DeliverStart,MgmtFeePct*HH$23,0)</f>
        <v/>
      </c>
      <c r="HI33" s="18">
        <f>IF(214&gt;=DeliverStart,MgmtFeePct*HI$23,0)</f>
        <v/>
      </c>
      <c r="HJ33" s="18">
        <f>IF(215&gt;=DeliverStart,MgmtFeePct*HJ$23,0)</f>
        <v/>
      </c>
      <c r="HK33" s="18">
        <f>IF(216&gt;=DeliverStart,MgmtFeePct*HK$23,0)</f>
        <v/>
      </c>
      <c r="HL33" s="18">
        <f>IF(217&gt;=DeliverStart,MgmtFeePct*HL$23,0)</f>
        <v/>
      </c>
      <c r="HM33" s="18">
        <f>IF(218&gt;=DeliverStart,MgmtFeePct*HM$23,0)</f>
        <v/>
      </c>
      <c r="HN33" s="18">
        <f>IF(219&gt;=DeliverStart,MgmtFeePct*HN$23,0)</f>
        <v/>
      </c>
      <c r="HO33" s="18">
        <f>IF(220&gt;=DeliverStart,MgmtFeePct*HO$23,0)</f>
        <v/>
      </c>
      <c r="HP33" s="18">
        <f>IF(221&gt;=DeliverStart,MgmtFeePct*HP$23,0)</f>
        <v/>
      </c>
      <c r="HQ33" s="18">
        <f>IF(222&gt;=DeliverStart,MgmtFeePct*HQ$23,0)</f>
        <v/>
      </c>
      <c r="HR33" s="18">
        <f>IF(223&gt;=DeliverStart,MgmtFeePct*HR$23,0)</f>
        <v/>
      </c>
      <c r="HS33" s="18">
        <f>IF(224&gt;=DeliverStart,MgmtFeePct*HS$23,0)</f>
        <v/>
      </c>
      <c r="HT33" s="18">
        <f>IF(225&gt;=DeliverStart,MgmtFeePct*HT$23,0)</f>
        <v/>
      </c>
      <c r="HU33" s="18">
        <f>IF(226&gt;=DeliverStart,MgmtFeePct*HU$23,0)</f>
        <v/>
      </c>
      <c r="HV33" s="18">
        <f>IF(227&gt;=DeliverStart,MgmtFeePct*HV$23,0)</f>
        <v/>
      </c>
      <c r="HW33" s="18">
        <f>IF(228&gt;=DeliverStart,MgmtFeePct*HW$23,0)</f>
        <v/>
      </c>
      <c r="HX33" s="18">
        <f>IF(229&gt;=DeliverStart,MgmtFeePct*HX$23,0)</f>
        <v/>
      </c>
      <c r="HY33" s="18">
        <f>IF(230&gt;=DeliverStart,MgmtFeePct*HY$23,0)</f>
        <v/>
      </c>
      <c r="HZ33" s="18">
        <f>IF(231&gt;=DeliverStart,MgmtFeePct*HZ$23,0)</f>
        <v/>
      </c>
      <c r="IA33" s="18">
        <f>IF(232&gt;=DeliverStart,MgmtFeePct*IA$23,0)</f>
        <v/>
      </c>
      <c r="IB33" s="18">
        <f>IF(233&gt;=DeliverStart,MgmtFeePct*IB$23,0)</f>
        <v/>
      </c>
      <c r="IC33" s="18">
        <f>IF(234&gt;=DeliverStart,MgmtFeePct*IC$23,0)</f>
        <v/>
      </c>
      <c r="ID33" s="18">
        <f>IF(235&gt;=DeliverStart,MgmtFeePct*ID$23,0)</f>
        <v/>
      </c>
      <c r="IE33" s="18">
        <f>IF(236&gt;=DeliverStart,MgmtFeePct*IE$23,0)</f>
        <v/>
      </c>
      <c r="IF33" s="18">
        <f>IF(237&gt;=DeliverStart,MgmtFeePct*IF$23,0)</f>
        <v/>
      </c>
      <c r="IG33" s="18">
        <f>IF(238&gt;=DeliverStart,MgmtFeePct*IG$23,0)</f>
        <v/>
      </c>
      <c r="IH33" s="18">
        <f>IF(239&gt;=DeliverStart,MgmtFeePct*IH$23,0)</f>
        <v/>
      </c>
      <c r="II33" s="18">
        <f>IF(240&gt;=DeliverStart,MgmtFeePct*II$23,0)</f>
        <v/>
      </c>
      <c r="IJ33" s="18">
        <f>IF(241&gt;=DeliverStart,MgmtFeePct*IJ$23,0)</f>
        <v/>
      </c>
      <c r="IK33" s="18">
        <f>IF(242&gt;=DeliverStart,MgmtFeePct*IK$23,0)</f>
        <v/>
      </c>
      <c r="IL33" s="18">
        <f>IF(243&gt;=DeliverStart,MgmtFeePct*IL$23,0)</f>
        <v/>
      </c>
      <c r="IM33" s="18">
        <f>IF(244&gt;=DeliverStart,MgmtFeePct*IM$23,0)</f>
        <v/>
      </c>
      <c r="IN33" s="18">
        <f>IF(245&gt;=DeliverStart,MgmtFeePct*IN$23,0)</f>
        <v/>
      </c>
      <c r="IO33" s="18">
        <f>IF(246&gt;=DeliverStart,MgmtFeePct*IO$23,0)</f>
        <v/>
      </c>
      <c r="IP33" s="18">
        <f>IF(247&gt;=DeliverStart,MgmtFeePct*IP$23,0)</f>
        <v/>
      </c>
      <c r="IQ33" s="18">
        <f>IF(248&gt;=DeliverStart,MgmtFeePct*IQ$23,0)</f>
        <v/>
      </c>
      <c r="IR33" s="18">
        <f>IF(249&gt;=DeliverStart,MgmtFeePct*IR$23,0)</f>
        <v/>
      </c>
      <c r="IS33" s="18">
        <f>IF(250&gt;=DeliverStart,MgmtFeePct*IS$23,0)</f>
        <v/>
      </c>
      <c r="IT33" s="18">
        <f>IF(251&gt;=DeliverStart,MgmtFeePct*IT$23,0)</f>
        <v/>
      </c>
      <c r="IU33" s="18">
        <f>IF(252&gt;=DeliverStart,MgmtFeePct*IU$23,0)</f>
        <v/>
      </c>
      <c r="IV33" s="18">
        <f>IF(253&gt;=DeliverStart,MgmtFeePct*IV$23,0)</f>
        <v/>
      </c>
      <c r="IW33" s="18">
        <f>IF(254&gt;=DeliverStart,MgmtFeePct*IW$23,0)</f>
        <v/>
      </c>
      <c r="IX33" s="18">
        <f>IF(255&gt;=DeliverStart,MgmtFeePct*IX$23,0)</f>
        <v/>
      </c>
      <c r="IY33" s="18">
        <f>IF(256&gt;=DeliverStart,MgmtFeePct*IY$23,0)</f>
        <v/>
      </c>
      <c r="IZ33" s="18">
        <f>IF(257&gt;=DeliverStart,MgmtFeePct*IZ$23,0)</f>
        <v/>
      </c>
      <c r="JA33" s="18">
        <f>IF(258&gt;=DeliverStart,MgmtFeePct*JA$23,0)</f>
        <v/>
      </c>
      <c r="JB33" s="18">
        <f>IF(259&gt;=DeliverStart,MgmtFeePct*JB$23,0)</f>
        <v/>
      </c>
      <c r="JC33" s="18">
        <f>IF(260&gt;=DeliverStart,MgmtFeePct*JC$23,0)</f>
        <v/>
      </c>
      <c r="JD33" s="18">
        <f>IF(261&gt;=DeliverStart,MgmtFeePct*JD$23,0)</f>
        <v/>
      </c>
      <c r="JE33" s="18">
        <f>IF(262&gt;=DeliverStart,MgmtFeePct*JE$23,0)</f>
        <v/>
      </c>
      <c r="JF33" s="18">
        <f>IF(263&gt;=DeliverStart,MgmtFeePct*JF$23,0)</f>
        <v/>
      </c>
      <c r="JG33" s="18">
        <f>IF(264&gt;=DeliverStart,MgmtFeePct*JG$23,0)</f>
        <v/>
      </c>
      <c r="JH33" s="18">
        <f>IF(265&gt;=DeliverStart,MgmtFeePct*JH$23,0)</f>
        <v/>
      </c>
      <c r="JI33" s="18">
        <f>IF(266&gt;=DeliverStart,MgmtFeePct*JI$23,0)</f>
        <v/>
      </c>
      <c r="JJ33" s="18">
        <f>IF(267&gt;=DeliverStart,MgmtFeePct*JJ$23,0)</f>
        <v/>
      </c>
      <c r="JK33" s="18">
        <f>IF(268&gt;=DeliverStart,MgmtFeePct*JK$23,0)</f>
        <v/>
      </c>
      <c r="JL33" s="18">
        <f>IF(269&gt;=DeliverStart,MgmtFeePct*JL$23,0)</f>
        <v/>
      </c>
      <c r="JM33" s="18">
        <f>IF(270&gt;=DeliverStart,MgmtFeePct*JM$23,0)</f>
        <v/>
      </c>
      <c r="JN33" s="18">
        <f>IF(271&gt;=DeliverStart,MgmtFeePct*JN$23,0)</f>
        <v/>
      </c>
      <c r="JO33" s="18">
        <f>IF(272&gt;=DeliverStart,MgmtFeePct*JO$23,0)</f>
        <v/>
      </c>
      <c r="JP33" s="18">
        <f>IF(273&gt;=DeliverStart,MgmtFeePct*JP$23,0)</f>
        <v/>
      </c>
      <c r="JQ33" s="18">
        <f>IF(274&gt;=DeliverStart,MgmtFeePct*JQ$23,0)</f>
        <v/>
      </c>
      <c r="JR33" s="18">
        <f>IF(275&gt;=DeliverStart,MgmtFeePct*JR$23,0)</f>
        <v/>
      </c>
      <c r="JS33" s="18">
        <f>IF(276&gt;=DeliverStart,MgmtFeePct*JS$23,0)</f>
        <v/>
      </c>
      <c r="JT33" s="18">
        <f>IF(277&gt;=DeliverStart,MgmtFeePct*JT$23,0)</f>
        <v/>
      </c>
      <c r="JU33" s="18">
        <f>IF(278&gt;=DeliverStart,MgmtFeePct*JU$23,0)</f>
        <v/>
      </c>
      <c r="JV33" s="18">
        <f>IF(279&gt;=DeliverStart,MgmtFeePct*JV$23,0)</f>
        <v/>
      </c>
      <c r="JW33" s="18">
        <f>IF(280&gt;=DeliverStart,MgmtFeePct*JW$23,0)</f>
        <v/>
      </c>
      <c r="JX33" s="18">
        <f>IF(281&gt;=DeliverStart,MgmtFeePct*JX$23,0)</f>
        <v/>
      </c>
      <c r="JY33" s="18">
        <f>IF(282&gt;=DeliverStart,MgmtFeePct*JY$23,0)</f>
        <v/>
      </c>
      <c r="JZ33" s="18">
        <f>IF(283&gt;=DeliverStart,MgmtFeePct*JZ$23,0)</f>
        <v/>
      </c>
      <c r="KA33" s="18">
        <f>IF(284&gt;=DeliverStart,MgmtFeePct*KA$23,0)</f>
        <v/>
      </c>
      <c r="KB33" s="18">
        <f>IF(285&gt;=DeliverStart,MgmtFeePct*KB$23,0)</f>
        <v/>
      </c>
      <c r="KC33" s="18">
        <f>IF(286&gt;=DeliverStart,MgmtFeePct*KC$23,0)</f>
        <v/>
      </c>
      <c r="KD33" s="18">
        <f>IF(287&gt;=DeliverStart,MgmtFeePct*KD$23,0)</f>
        <v/>
      </c>
      <c r="KE33" s="18">
        <f>IF(288&gt;=DeliverStart,MgmtFeePct*KE$23,0)</f>
        <v/>
      </c>
      <c r="KF33" s="18">
        <f>IF(289&gt;=DeliverStart,MgmtFeePct*KF$23,0)</f>
        <v/>
      </c>
      <c r="KG33" s="18">
        <f>IF(290&gt;=DeliverStart,MgmtFeePct*KG$23,0)</f>
        <v/>
      </c>
      <c r="KH33" s="18">
        <f>IF(291&gt;=DeliverStart,MgmtFeePct*KH$23,0)</f>
        <v/>
      </c>
      <c r="KI33" s="18">
        <f>IF(292&gt;=DeliverStart,MgmtFeePct*KI$23,0)</f>
        <v/>
      </c>
      <c r="KJ33" s="18">
        <f>IF(293&gt;=DeliverStart,MgmtFeePct*KJ$23,0)</f>
        <v/>
      </c>
      <c r="KK33" s="18">
        <f>IF(294&gt;=DeliverStart,MgmtFeePct*KK$23,0)</f>
        <v/>
      </c>
      <c r="KL33" s="18">
        <f>IF(295&gt;=DeliverStart,MgmtFeePct*KL$23,0)</f>
        <v/>
      </c>
      <c r="KM33" s="18">
        <f>IF(296&gt;=DeliverStart,MgmtFeePct*KM$23,0)</f>
        <v/>
      </c>
      <c r="KN33" s="18">
        <f>IF(297&gt;=DeliverStart,MgmtFeePct*KN$23,0)</f>
        <v/>
      </c>
      <c r="KO33" s="18">
        <f>IF(298&gt;=DeliverStart,MgmtFeePct*KO$23,0)</f>
        <v/>
      </c>
      <c r="KP33" s="18">
        <f>IF(299&gt;=DeliverStart,MgmtFeePct*KP$23,0)</f>
        <v/>
      </c>
      <c r="KQ33" s="18">
        <f>IF(300&gt;=DeliverStart,MgmtFeePct*KQ$23,0)</f>
        <v/>
      </c>
      <c r="KR33" s="18">
        <f>IF(301&gt;=DeliverStart,MgmtFeePct*KR$23,0)</f>
        <v/>
      </c>
      <c r="KS33" s="18">
        <f>IF(302&gt;=DeliverStart,MgmtFeePct*KS$23,0)</f>
        <v/>
      </c>
      <c r="KT33" s="18">
        <f>IF(303&gt;=DeliverStart,MgmtFeePct*KT$23,0)</f>
        <v/>
      </c>
      <c r="KU33" s="18">
        <f>IF(304&gt;=DeliverStart,MgmtFeePct*KU$23,0)</f>
        <v/>
      </c>
      <c r="KV33" s="18">
        <f>IF(305&gt;=DeliverStart,MgmtFeePct*KV$23,0)</f>
        <v/>
      </c>
      <c r="KW33" s="18">
        <f>IF(306&gt;=DeliverStart,MgmtFeePct*KW$23,0)</f>
        <v/>
      </c>
      <c r="KX33" s="18">
        <f>IF(307&gt;=DeliverStart,MgmtFeePct*KX$23,0)</f>
        <v/>
      </c>
      <c r="KY33" s="18">
        <f>IF(308&gt;=DeliverStart,MgmtFeePct*KY$23,0)</f>
        <v/>
      </c>
      <c r="KZ33" s="18">
        <f>IF(309&gt;=DeliverStart,MgmtFeePct*KZ$23,0)</f>
        <v/>
      </c>
      <c r="LA33" s="18">
        <f>IF(310&gt;=DeliverStart,MgmtFeePct*LA$23,0)</f>
        <v/>
      </c>
      <c r="LB33" s="18">
        <f>IF(311&gt;=DeliverStart,MgmtFeePct*LB$23,0)</f>
        <v/>
      </c>
      <c r="LC33" s="18">
        <f>IF(312&gt;=DeliverStart,MgmtFeePct*LC$23,0)</f>
        <v/>
      </c>
      <c r="LD33" s="18">
        <f>IF(313&gt;=DeliverStart,MgmtFeePct*LD$23,0)</f>
        <v/>
      </c>
      <c r="LE33" s="18">
        <f>IF(314&gt;=DeliverStart,MgmtFeePct*LE$23,0)</f>
        <v/>
      </c>
      <c r="LF33" s="18">
        <f>IF(315&gt;=DeliverStart,MgmtFeePct*LF$23,0)</f>
        <v/>
      </c>
      <c r="LG33" s="18">
        <f>IF(316&gt;=DeliverStart,MgmtFeePct*LG$23,0)</f>
        <v/>
      </c>
      <c r="LH33" s="18">
        <f>IF(317&gt;=DeliverStart,MgmtFeePct*LH$23,0)</f>
        <v/>
      </c>
      <c r="LI33" s="18">
        <f>IF(318&gt;=DeliverStart,MgmtFeePct*LI$23,0)</f>
        <v/>
      </c>
      <c r="LJ33" s="18">
        <f>IF(319&gt;=DeliverStart,MgmtFeePct*LJ$23,0)</f>
        <v/>
      </c>
      <c r="LK33" s="18">
        <f>IF(320&gt;=DeliverStart,MgmtFeePct*LK$23,0)</f>
        <v/>
      </c>
      <c r="LL33" s="18">
        <f>IF(321&gt;=DeliverStart,MgmtFeePct*LL$23,0)</f>
        <v/>
      </c>
      <c r="LM33" s="18">
        <f>IF(322&gt;=DeliverStart,MgmtFeePct*LM$23,0)</f>
        <v/>
      </c>
      <c r="LN33" s="18">
        <f>IF(323&gt;=DeliverStart,MgmtFeePct*LN$23,0)</f>
        <v/>
      </c>
      <c r="LO33" s="18">
        <f>IF(324&gt;=DeliverStart,MgmtFeePct*LO$23,0)</f>
        <v/>
      </c>
      <c r="LP33" s="18">
        <f>IF(325&gt;=DeliverStart,MgmtFeePct*LP$23,0)</f>
        <v/>
      </c>
      <c r="LQ33" s="18">
        <f>IF(326&gt;=DeliverStart,MgmtFeePct*LQ$23,0)</f>
        <v/>
      </c>
      <c r="LR33" s="18">
        <f>IF(327&gt;=DeliverStart,MgmtFeePct*LR$23,0)</f>
        <v/>
      </c>
      <c r="LS33" s="18">
        <f>IF(328&gt;=DeliverStart,MgmtFeePct*LS$23,0)</f>
        <v/>
      </c>
      <c r="LT33" s="18">
        <f>IF(329&gt;=DeliverStart,MgmtFeePct*LT$23,0)</f>
        <v/>
      </c>
      <c r="LU33" s="18">
        <f>IF(330&gt;=DeliverStart,MgmtFeePct*LU$23,0)</f>
        <v/>
      </c>
      <c r="LV33" s="18">
        <f>IF(331&gt;=DeliverStart,MgmtFeePct*LV$23,0)</f>
        <v/>
      </c>
      <c r="LW33" s="18">
        <f>IF(332&gt;=DeliverStart,MgmtFeePct*LW$23,0)</f>
        <v/>
      </c>
      <c r="LX33" s="18">
        <f>IF(333&gt;=DeliverStart,MgmtFeePct*LX$23,0)</f>
        <v/>
      </c>
      <c r="LY33" s="18">
        <f>IF(334&gt;=DeliverStart,MgmtFeePct*LY$23,0)</f>
        <v/>
      </c>
      <c r="LZ33" s="18">
        <f>IF(335&gt;=DeliverStart,MgmtFeePct*LZ$23,0)</f>
        <v/>
      </c>
      <c r="MA33" s="18">
        <f>IF(336&gt;=DeliverStart,MgmtFeePct*MA$23,0)</f>
        <v/>
      </c>
      <c r="MB33" s="18">
        <f>IF(337&gt;=DeliverStart,MgmtFeePct*MB$23,0)</f>
        <v/>
      </c>
      <c r="MC33" s="18">
        <f>IF(338&gt;=DeliverStart,MgmtFeePct*MC$23,0)</f>
        <v/>
      </c>
      <c r="MD33" s="18">
        <f>IF(339&gt;=DeliverStart,MgmtFeePct*MD$23,0)</f>
        <v/>
      </c>
      <c r="ME33" s="18">
        <f>IF(340&gt;=DeliverStart,MgmtFeePct*ME$23,0)</f>
        <v/>
      </c>
      <c r="MF33" s="18">
        <f>IF(341&gt;=DeliverStart,MgmtFeePct*MF$23,0)</f>
        <v/>
      </c>
      <c r="MG33" s="18">
        <f>IF(342&gt;=DeliverStart,MgmtFeePct*MG$23,0)</f>
        <v/>
      </c>
      <c r="MH33" s="18">
        <f>IF(343&gt;=DeliverStart,MgmtFeePct*MH$23,0)</f>
        <v/>
      </c>
      <c r="MI33" s="18">
        <f>IF(344&gt;=DeliverStart,MgmtFeePct*MI$23,0)</f>
        <v/>
      </c>
      <c r="MJ33" s="18">
        <f>IF(345&gt;=DeliverStart,MgmtFeePct*MJ$23,0)</f>
        <v/>
      </c>
      <c r="MK33" s="18">
        <f>IF(346&gt;=DeliverStart,MgmtFeePct*MK$23,0)</f>
        <v/>
      </c>
      <c r="ML33" s="18">
        <f>IF(347&gt;=DeliverStart,MgmtFeePct*ML$23,0)</f>
        <v/>
      </c>
      <c r="MM33" s="18">
        <f>IF(348&gt;=DeliverStart,MgmtFeePct*MM$23,0)</f>
        <v/>
      </c>
      <c r="MN33" s="18">
        <f>IF(349&gt;=DeliverStart,MgmtFeePct*MN$23,0)</f>
        <v/>
      </c>
      <c r="MO33" s="18">
        <f>IF(350&gt;=DeliverStart,MgmtFeePct*MO$23,0)</f>
        <v/>
      </c>
      <c r="MP33" s="18">
        <f>IF(351&gt;=DeliverStart,MgmtFeePct*MP$23,0)</f>
        <v/>
      </c>
      <c r="MQ33" s="18">
        <f>IF(352&gt;=DeliverStart,MgmtFeePct*MQ$23,0)</f>
        <v/>
      </c>
      <c r="MR33" s="18">
        <f>IF(353&gt;=DeliverStart,MgmtFeePct*MR$23,0)</f>
        <v/>
      </c>
      <c r="MS33" s="18">
        <f>IF(354&gt;=DeliverStart,MgmtFeePct*MS$23,0)</f>
        <v/>
      </c>
      <c r="MT33" s="18">
        <f>IF(355&gt;=DeliverStart,MgmtFeePct*MT$23,0)</f>
        <v/>
      </c>
      <c r="MU33" s="18">
        <f>IF(356&gt;=DeliverStart,MgmtFeePct*MU$23,0)</f>
        <v/>
      </c>
      <c r="MV33" s="18">
        <f>IF(357&gt;=DeliverStart,MgmtFeePct*MV$23,0)</f>
        <v/>
      </c>
      <c r="MW33" s="18">
        <f>IF(358&gt;=DeliverStart,MgmtFeePct*MW$23,0)</f>
        <v/>
      </c>
      <c r="MX33" s="18">
        <f>IF(359&gt;=DeliverStart,MgmtFeePct*MX$23,0)</f>
        <v/>
      </c>
      <c r="MY33" s="18">
        <f>IF(360&gt;=DeliverStart,MgmtFeePct*MY$23,0)</f>
        <v/>
      </c>
      <c r="MZ33" s="18">
        <f>IF(361&gt;=DeliverStart,MgmtFeePct*MZ$23,0)</f>
        <v/>
      </c>
      <c r="NA33" s="18">
        <f>IF(362&gt;=DeliverStart,MgmtFeePct*NA$23,0)</f>
        <v/>
      </c>
      <c r="NB33" s="18">
        <f>IF(363&gt;=DeliverStart,MgmtFeePct*NB$23,0)</f>
        <v/>
      </c>
      <c r="NC33" s="18">
        <f>IF(364&gt;=DeliverStart,MgmtFeePct*NC$23,0)</f>
        <v/>
      </c>
      <c r="ND33" s="18">
        <f>IF(365&gt;=DeliverStart,MgmtFeePct*ND$23,0)</f>
        <v/>
      </c>
      <c r="NE33" s="18">
        <f>IF(366&gt;=DeliverStart,MgmtFeePct*NE$23,0)</f>
        <v/>
      </c>
      <c r="NF33" s="18">
        <f>IF(367&gt;=DeliverStart,MgmtFeePct*NF$23,0)</f>
        <v/>
      </c>
      <c r="NG33" s="18">
        <f>IF(368&gt;=DeliverStart,MgmtFeePct*NG$23,0)</f>
        <v/>
      </c>
      <c r="NH33" s="18">
        <f>IF(369&gt;=DeliverStart,MgmtFeePct*NH$23,0)</f>
        <v/>
      </c>
      <c r="NI33" s="18">
        <f>IF(370&gt;=DeliverStart,MgmtFeePct*NI$23,0)</f>
        <v/>
      </c>
      <c r="NJ33" s="18">
        <f>IF(371&gt;=DeliverStart,MgmtFeePct*NJ$23,0)</f>
        <v/>
      </c>
      <c r="NK33" s="18">
        <f>IF(372&gt;=DeliverStart,MgmtFeePct*NK$23,0)</f>
        <v/>
      </c>
    </row>
    <row r="34">
      <c r="A34" s="21" t="inlineStr">
        <is>
          <t>OpEx before Property Tax</t>
        </is>
      </c>
      <c r="C34" s="41">
        <f>SUM(D34:NK34)</f>
        <v/>
      </c>
      <c r="D34" s="43">
        <f>D$25+D$26+D$27+D$28+D$29+D$30+D$31+D$32+D$33</f>
        <v/>
      </c>
      <c r="E34" s="43">
        <f>E$25+E$26+E$27+E$28+E$29+E$30+E$31+E$32+E$33</f>
        <v/>
      </c>
      <c r="F34" s="43">
        <f>F$25+F$26+F$27+F$28+F$29+F$30+F$31+F$32+F$33</f>
        <v/>
      </c>
      <c r="G34" s="43">
        <f>G$25+G$26+G$27+G$28+G$29+G$30+G$31+G$32+G$33</f>
        <v/>
      </c>
      <c r="H34" s="43">
        <f>H$25+H$26+H$27+H$28+H$29+H$30+H$31+H$32+H$33</f>
        <v/>
      </c>
      <c r="I34" s="43">
        <f>I$25+I$26+I$27+I$28+I$29+I$30+I$31+I$32+I$33</f>
        <v/>
      </c>
      <c r="J34" s="43">
        <f>J$25+J$26+J$27+J$28+J$29+J$30+J$31+J$32+J$33</f>
        <v/>
      </c>
      <c r="K34" s="43">
        <f>K$25+K$26+K$27+K$28+K$29+K$30+K$31+K$32+K$33</f>
        <v/>
      </c>
      <c r="L34" s="43">
        <f>L$25+L$26+L$27+L$28+L$29+L$30+L$31+L$32+L$33</f>
        <v/>
      </c>
      <c r="M34" s="43">
        <f>M$25+M$26+M$27+M$28+M$29+M$30+M$31+M$32+M$33</f>
        <v/>
      </c>
      <c r="N34" s="43">
        <f>N$25+N$26+N$27+N$28+N$29+N$30+N$31+N$32+N$33</f>
        <v/>
      </c>
      <c r="O34" s="43">
        <f>O$25+O$26+O$27+O$28+O$29+O$30+O$31+O$32+O$33</f>
        <v/>
      </c>
      <c r="P34" s="43">
        <f>P$25+P$26+P$27+P$28+P$29+P$30+P$31+P$32+P$33</f>
        <v/>
      </c>
      <c r="Q34" s="43">
        <f>Q$25+Q$26+Q$27+Q$28+Q$29+Q$30+Q$31+Q$32+Q$33</f>
        <v/>
      </c>
      <c r="R34" s="43">
        <f>R$25+R$26+R$27+R$28+R$29+R$30+R$31+R$32+R$33</f>
        <v/>
      </c>
      <c r="S34" s="43">
        <f>S$25+S$26+S$27+S$28+S$29+S$30+S$31+S$32+S$33</f>
        <v/>
      </c>
      <c r="T34" s="43">
        <f>T$25+T$26+T$27+T$28+T$29+T$30+T$31+T$32+T$33</f>
        <v/>
      </c>
      <c r="U34" s="43">
        <f>U$25+U$26+U$27+U$28+U$29+U$30+U$31+U$32+U$33</f>
        <v/>
      </c>
      <c r="V34" s="43">
        <f>V$25+V$26+V$27+V$28+V$29+V$30+V$31+V$32+V$33</f>
        <v/>
      </c>
      <c r="W34" s="43">
        <f>W$25+W$26+W$27+W$28+W$29+W$30+W$31+W$32+W$33</f>
        <v/>
      </c>
      <c r="X34" s="43">
        <f>X$25+X$26+X$27+X$28+X$29+X$30+X$31+X$32+X$33</f>
        <v/>
      </c>
      <c r="Y34" s="43">
        <f>Y$25+Y$26+Y$27+Y$28+Y$29+Y$30+Y$31+Y$32+Y$33</f>
        <v/>
      </c>
      <c r="Z34" s="43">
        <f>Z$25+Z$26+Z$27+Z$28+Z$29+Z$30+Z$31+Z$32+Z$33</f>
        <v/>
      </c>
      <c r="AA34" s="43">
        <f>AA$25+AA$26+AA$27+AA$28+AA$29+AA$30+AA$31+AA$32+AA$33</f>
        <v/>
      </c>
      <c r="AB34" s="43">
        <f>AB$25+AB$26+AB$27+AB$28+AB$29+AB$30+AB$31+AB$32+AB$33</f>
        <v/>
      </c>
      <c r="AC34" s="43">
        <f>AC$25+AC$26+AC$27+AC$28+AC$29+AC$30+AC$31+AC$32+AC$33</f>
        <v/>
      </c>
      <c r="AD34" s="43">
        <f>AD$25+AD$26+AD$27+AD$28+AD$29+AD$30+AD$31+AD$32+AD$33</f>
        <v/>
      </c>
      <c r="AE34" s="43">
        <f>AE$25+AE$26+AE$27+AE$28+AE$29+AE$30+AE$31+AE$32+AE$33</f>
        <v/>
      </c>
      <c r="AF34" s="43">
        <f>AF$25+AF$26+AF$27+AF$28+AF$29+AF$30+AF$31+AF$32+AF$33</f>
        <v/>
      </c>
      <c r="AG34" s="43">
        <f>AG$25+AG$26+AG$27+AG$28+AG$29+AG$30+AG$31+AG$32+AG$33</f>
        <v/>
      </c>
      <c r="AH34" s="43">
        <f>AH$25+AH$26+AH$27+AH$28+AH$29+AH$30+AH$31+AH$32+AH$33</f>
        <v/>
      </c>
      <c r="AI34" s="43">
        <f>AI$25+AI$26+AI$27+AI$28+AI$29+AI$30+AI$31+AI$32+AI$33</f>
        <v/>
      </c>
      <c r="AJ34" s="43">
        <f>AJ$25+AJ$26+AJ$27+AJ$28+AJ$29+AJ$30+AJ$31+AJ$32+AJ$33</f>
        <v/>
      </c>
      <c r="AK34" s="43">
        <f>AK$25+AK$26+AK$27+AK$28+AK$29+AK$30+AK$31+AK$32+AK$33</f>
        <v/>
      </c>
      <c r="AL34" s="43">
        <f>AL$25+AL$26+AL$27+AL$28+AL$29+AL$30+AL$31+AL$32+AL$33</f>
        <v/>
      </c>
      <c r="AM34" s="43">
        <f>AM$25+AM$26+AM$27+AM$28+AM$29+AM$30+AM$31+AM$32+AM$33</f>
        <v/>
      </c>
      <c r="AN34" s="43">
        <f>AN$25+AN$26+AN$27+AN$28+AN$29+AN$30+AN$31+AN$32+AN$33</f>
        <v/>
      </c>
      <c r="AO34" s="43">
        <f>AO$25+AO$26+AO$27+AO$28+AO$29+AO$30+AO$31+AO$32+AO$33</f>
        <v/>
      </c>
      <c r="AP34" s="43">
        <f>AP$25+AP$26+AP$27+AP$28+AP$29+AP$30+AP$31+AP$32+AP$33</f>
        <v/>
      </c>
      <c r="AQ34" s="43">
        <f>AQ$25+AQ$26+AQ$27+AQ$28+AQ$29+AQ$30+AQ$31+AQ$32+AQ$33</f>
        <v/>
      </c>
      <c r="AR34" s="43">
        <f>AR$25+AR$26+AR$27+AR$28+AR$29+AR$30+AR$31+AR$32+AR$33</f>
        <v/>
      </c>
      <c r="AS34" s="43">
        <f>AS$25+AS$26+AS$27+AS$28+AS$29+AS$30+AS$31+AS$32+AS$33</f>
        <v/>
      </c>
      <c r="AT34" s="43">
        <f>AT$25+AT$26+AT$27+AT$28+AT$29+AT$30+AT$31+AT$32+AT$33</f>
        <v/>
      </c>
      <c r="AU34" s="43">
        <f>AU$25+AU$26+AU$27+AU$28+AU$29+AU$30+AU$31+AU$32+AU$33</f>
        <v/>
      </c>
      <c r="AV34" s="43">
        <f>AV$25+AV$26+AV$27+AV$28+AV$29+AV$30+AV$31+AV$32+AV$33</f>
        <v/>
      </c>
      <c r="AW34" s="43">
        <f>AW$25+AW$26+AW$27+AW$28+AW$29+AW$30+AW$31+AW$32+AW$33</f>
        <v/>
      </c>
      <c r="AX34" s="43">
        <f>AX$25+AX$26+AX$27+AX$28+AX$29+AX$30+AX$31+AX$32+AX$33</f>
        <v/>
      </c>
      <c r="AY34" s="43">
        <f>AY$25+AY$26+AY$27+AY$28+AY$29+AY$30+AY$31+AY$32+AY$33</f>
        <v/>
      </c>
      <c r="AZ34" s="43">
        <f>AZ$25+AZ$26+AZ$27+AZ$28+AZ$29+AZ$30+AZ$31+AZ$32+AZ$33</f>
        <v/>
      </c>
      <c r="BA34" s="43">
        <f>BA$25+BA$26+BA$27+BA$28+BA$29+BA$30+BA$31+BA$32+BA$33</f>
        <v/>
      </c>
      <c r="BB34" s="43">
        <f>BB$25+BB$26+BB$27+BB$28+BB$29+BB$30+BB$31+BB$32+BB$33</f>
        <v/>
      </c>
      <c r="BC34" s="43">
        <f>BC$25+BC$26+BC$27+BC$28+BC$29+BC$30+BC$31+BC$32+BC$33</f>
        <v/>
      </c>
      <c r="BD34" s="43">
        <f>BD$25+BD$26+BD$27+BD$28+BD$29+BD$30+BD$31+BD$32+BD$33</f>
        <v/>
      </c>
      <c r="BE34" s="43">
        <f>BE$25+BE$26+BE$27+BE$28+BE$29+BE$30+BE$31+BE$32+BE$33</f>
        <v/>
      </c>
      <c r="BF34" s="43">
        <f>BF$25+BF$26+BF$27+BF$28+BF$29+BF$30+BF$31+BF$32+BF$33</f>
        <v/>
      </c>
      <c r="BG34" s="43">
        <f>BG$25+BG$26+BG$27+BG$28+BG$29+BG$30+BG$31+BG$32+BG$33</f>
        <v/>
      </c>
      <c r="BH34" s="43">
        <f>BH$25+BH$26+BH$27+BH$28+BH$29+BH$30+BH$31+BH$32+BH$33</f>
        <v/>
      </c>
      <c r="BI34" s="43">
        <f>BI$25+BI$26+BI$27+BI$28+BI$29+BI$30+BI$31+BI$32+BI$33</f>
        <v/>
      </c>
      <c r="BJ34" s="43">
        <f>BJ$25+BJ$26+BJ$27+BJ$28+BJ$29+BJ$30+BJ$31+BJ$32+BJ$33</f>
        <v/>
      </c>
      <c r="BK34" s="43">
        <f>BK$25+BK$26+BK$27+BK$28+BK$29+BK$30+BK$31+BK$32+BK$33</f>
        <v/>
      </c>
      <c r="BL34" s="43">
        <f>BL$25+BL$26+BL$27+BL$28+BL$29+BL$30+BL$31+BL$32+BL$33</f>
        <v/>
      </c>
      <c r="BM34" s="43">
        <f>BM$25+BM$26+BM$27+BM$28+BM$29+BM$30+BM$31+BM$32+BM$33</f>
        <v/>
      </c>
      <c r="BN34" s="43">
        <f>BN$25+BN$26+BN$27+BN$28+BN$29+BN$30+BN$31+BN$32+BN$33</f>
        <v/>
      </c>
      <c r="BO34" s="43">
        <f>BO$25+BO$26+BO$27+BO$28+BO$29+BO$30+BO$31+BO$32+BO$33</f>
        <v/>
      </c>
      <c r="BP34" s="43">
        <f>BP$25+BP$26+BP$27+BP$28+BP$29+BP$30+BP$31+BP$32+BP$33</f>
        <v/>
      </c>
      <c r="BQ34" s="43">
        <f>BQ$25+BQ$26+BQ$27+BQ$28+BQ$29+BQ$30+BQ$31+BQ$32+BQ$33</f>
        <v/>
      </c>
      <c r="BR34" s="43">
        <f>BR$25+BR$26+BR$27+BR$28+BR$29+BR$30+BR$31+BR$32+BR$33</f>
        <v/>
      </c>
      <c r="BS34" s="43">
        <f>BS$25+BS$26+BS$27+BS$28+BS$29+BS$30+BS$31+BS$32+BS$33</f>
        <v/>
      </c>
      <c r="BT34" s="43">
        <f>BT$25+BT$26+BT$27+BT$28+BT$29+BT$30+BT$31+BT$32+BT$33</f>
        <v/>
      </c>
      <c r="BU34" s="43">
        <f>BU$25+BU$26+BU$27+BU$28+BU$29+BU$30+BU$31+BU$32+BU$33</f>
        <v/>
      </c>
      <c r="BV34" s="43">
        <f>BV$25+BV$26+BV$27+BV$28+BV$29+BV$30+BV$31+BV$32+BV$33</f>
        <v/>
      </c>
      <c r="BW34" s="43">
        <f>BW$25+BW$26+BW$27+BW$28+BW$29+BW$30+BW$31+BW$32+BW$33</f>
        <v/>
      </c>
      <c r="BX34" s="43">
        <f>BX$25+BX$26+BX$27+BX$28+BX$29+BX$30+BX$31+BX$32+BX$33</f>
        <v/>
      </c>
      <c r="BY34" s="43">
        <f>BY$25+BY$26+BY$27+BY$28+BY$29+BY$30+BY$31+BY$32+BY$33</f>
        <v/>
      </c>
      <c r="BZ34" s="43">
        <f>BZ$25+BZ$26+BZ$27+BZ$28+BZ$29+BZ$30+BZ$31+BZ$32+BZ$33</f>
        <v/>
      </c>
      <c r="CA34" s="43">
        <f>CA$25+CA$26+CA$27+CA$28+CA$29+CA$30+CA$31+CA$32+CA$33</f>
        <v/>
      </c>
      <c r="CB34" s="43">
        <f>CB$25+CB$26+CB$27+CB$28+CB$29+CB$30+CB$31+CB$32+CB$33</f>
        <v/>
      </c>
      <c r="CC34" s="43">
        <f>CC$25+CC$26+CC$27+CC$28+CC$29+CC$30+CC$31+CC$32+CC$33</f>
        <v/>
      </c>
      <c r="CD34" s="43">
        <f>CD$25+CD$26+CD$27+CD$28+CD$29+CD$30+CD$31+CD$32+CD$33</f>
        <v/>
      </c>
      <c r="CE34" s="43">
        <f>CE$25+CE$26+CE$27+CE$28+CE$29+CE$30+CE$31+CE$32+CE$33</f>
        <v/>
      </c>
      <c r="CF34" s="43">
        <f>CF$25+CF$26+CF$27+CF$28+CF$29+CF$30+CF$31+CF$32+CF$33</f>
        <v/>
      </c>
      <c r="CG34" s="43">
        <f>CG$25+CG$26+CG$27+CG$28+CG$29+CG$30+CG$31+CG$32+CG$33</f>
        <v/>
      </c>
      <c r="CH34" s="43">
        <f>CH$25+CH$26+CH$27+CH$28+CH$29+CH$30+CH$31+CH$32+CH$33</f>
        <v/>
      </c>
      <c r="CI34" s="43">
        <f>CI$25+CI$26+CI$27+CI$28+CI$29+CI$30+CI$31+CI$32+CI$33</f>
        <v/>
      </c>
      <c r="CJ34" s="43">
        <f>CJ$25+CJ$26+CJ$27+CJ$28+CJ$29+CJ$30+CJ$31+CJ$32+CJ$33</f>
        <v/>
      </c>
      <c r="CK34" s="43">
        <f>CK$25+CK$26+CK$27+CK$28+CK$29+CK$30+CK$31+CK$32+CK$33</f>
        <v/>
      </c>
      <c r="CL34" s="43">
        <f>CL$25+CL$26+CL$27+CL$28+CL$29+CL$30+CL$31+CL$32+CL$33</f>
        <v/>
      </c>
      <c r="CM34" s="43">
        <f>CM$25+CM$26+CM$27+CM$28+CM$29+CM$30+CM$31+CM$32+CM$33</f>
        <v/>
      </c>
      <c r="CN34" s="43">
        <f>CN$25+CN$26+CN$27+CN$28+CN$29+CN$30+CN$31+CN$32+CN$33</f>
        <v/>
      </c>
      <c r="CO34" s="43">
        <f>CO$25+CO$26+CO$27+CO$28+CO$29+CO$30+CO$31+CO$32+CO$33</f>
        <v/>
      </c>
      <c r="CP34" s="43">
        <f>CP$25+CP$26+CP$27+CP$28+CP$29+CP$30+CP$31+CP$32+CP$33</f>
        <v/>
      </c>
      <c r="CQ34" s="43">
        <f>CQ$25+CQ$26+CQ$27+CQ$28+CQ$29+CQ$30+CQ$31+CQ$32+CQ$33</f>
        <v/>
      </c>
      <c r="CR34" s="43">
        <f>CR$25+CR$26+CR$27+CR$28+CR$29+CR$30+CR$31+CR$32+CR$33</f>
        <v/>
      </c>
      <c r="CS34" s="43">
        <f>CS$25+CS$26+CS$27+CS$28+CS$29+CS$30+CS$31+CS$32+CS$33</f>
        <v/>
      </c>
      <c r="CT34" s="43">
        <f>CT$25+CT$26+CT$27+CT$28+CT$29+CT$30+CT$31+CT$32+CT$33</f>
        <v/>
      </c>
      <c r="CU34" s="43">
        <f>CU$25+CU$26+CU$27+CU$28+CU$29+CU$30+CU$31+CU$32+CU$33</f>
        <v/>
      </c>
      <c r="CV34" s="43">
        <f>CV$25+CV$26+CV$27+CV$28+CV$29+CV$30+CV$31+CV$32+CV$33</f>
        <v/>
      </c>
      <c r="CW34" s="43">
        <f>CW$25+CW$26+CW$27+CW$28+CW$29+CW$30+CW$31+CW$32+CW$33</f>
        <v/>
      </c>
      <c r="CX34" s="43">
        <f>CX$25+CX$26+CX$27+CX$28+CX$29+CX$30+CX$31+CX$32+CX$33</f>
        <v/>
      </c>
      <c r="CY34" s="43">
        <f>CY$25+CY$26+CY$27+CY$28+CY$29+CY$30+CY$31+CY$32+CY$33</f>
        <v/>
      </c>
      <c r="CZ34" s="43">
        <f>CZ$25+CZ$26+CZ$27+CZ$28+CZ$29+CZ$30+CZ$31+CZ$32+CZ$33</f>
        <v/>
      </c>
      <c r="DA34" s="43">
        <f>DA$25+DA$26+DA$27+DA$28+DA$29+DA$30+DA$31+DA$32+DA$33</f>
        <v/>
      </c>
      <c r="DB34" s="43">
        <f>DB$25+DB$26+DB$27+DB$28+DB$29+DB$30+DB$31+DB$32+DB$33</f>
        <v/>
      </c>
      <c r="DC34" s="43">
        <f>DC$25+DC$26+DC$27+DC$28+DC$29+DC$30+DC$31+DC$32+DC$33</f>
        <v/>
      </c>
      <c r="DD34" s="43">
        <f>DD$25+DD$26+DD$27+DD$28+DD$29+DD$30+DD$31+DD$32+DD$33</f>
        <v/>
      </c>
      <c r="DE34" s="43">
        <f>DE$25+DE$26+DE$27+DE$28+DE$29+DE$30+DE$31+DE$32+DE$33</f>
        <v/>
      </c>
      <c r="DF34" s="43">
        <f>DF$25+DF$26+DF$27+DF$28+DF$29+DF$30+DF$31+DF$32+DF$33</f>
        <v/>
      </c>
      <c r="DG34" s="43">
        <f>DG$25+DG$26+DG$27+DG$28+DG$29+DG$30+DG$31+DG$32+DG$33</f>
        <v/>
      </c>
      <c r="DH34" s="43">
        <f>DH$25+DH$26+DH$27+DH$28+DH$29+DH$30+DH$31+DH$32+DH$33</f>
        <v/>
      </c>
      <c r="DI34" s="43">
        <f>DI$25+DI$26+DI$27+DI$28+DI$29+DI$30+DI$31+DI$32+DI$33</f>
        <v/>
      </c>
      <c r="DJ34" s="43">
        <f>DJ$25+DJ$26+DJ$27+DJ$28+DJ$29+DJ$30+DJ$31+DJ$32+DJ$33</f>
        <v/>
      </c>
      <c r="DK34" s="43">
        <f>DK$25+DK$26+DK$27+DK$28+DK$29+DK$30+DK$31+DK$32+DK$33</f>
        <v/>
      </c>
      <c r="DL34" s="43">
        <f>DL$25+DL$26+DL$27+DL$28+DL$29+DL$30+DL$31+DL$32+DL$33</f>
        <v/>
      </c>
      <c r="DM34" s="43">
        <f>DM$25+DM$26+DM$27+DM$28+DM$29+DM$30+DM$31+DM$32+DM$33</f>
        <v/>
      </c>
      <c r="DN34" s="43">
        <f>DN$25+DN$26+DN$27+DN$28+DN$29+DN$30+DN$31+DN$32+DN$33</f>
        <v/>
      </c>
      <c r="DO34" s="43">
        <f>DO$25+DO$26+DO$27+DO$28+DO$29+DO$30+DO$31+DO$32+DO$33</f>
        <v/>
      </c>
      <c r="DP34" s="43">
        <f>DP$25+DP$26+DP$27+DP$28+DP$29+DP$30+DP$31+DP$32+DP$33</f>
        <v/>
      </c>
      <c r="DQ34" s="43">
        <f>DQ$25+DQ$26+DQ$27+DQ$28+DQ$29+DQ$30+DQ$31+DQ$32+DQ$33</f>
        <v/>
      </c>
      <c r="DR34" s="43">
        <f>DR$25+DR$26+DR$27+DR$28+DR$29+DR$30+DR$31+DR$32+DR$33</f>
        <v/>
      </c>
      <c r="DS34" s="43">
        <f>DS$25+DS$26+DS$27+DS$28+DS$29+DS$30+DS$31+DS$32+DS$33</f>
        <v/>
      </c>
      <c r="DT34" s="43">
        <f>DT$25+DT$26+DT$27+DT$28+DT$29+DT$30+DT$31+DT$32+DT$33</f>
        <v/>
      </c>
      <c r="DU34" s="43">
        <f>DU$25+DU$26+DU$27+DU$28+DU$29+DU$30+DU$31+DU$32+DU$33</f>
        <v/>
      </c>
      <c r="DV34" s="43">
        <f>DV$25+DV$26+DV$27+DV$28+DV$29+DV$30+DV$31+DV$32+DV$33</f>
        <v/>
      </c>
      <c r="DW34" s="43">
        <f>DW$25+DW$26+DW$27+DW$28+DW$29+DW$30+DW$31+DW$32+DW$33</f>
        <v/>
      </c>
      <c r="DX34" s="43">
        <f>DX$25+DX$26+DX$27+DX$28+DX$29+DX$30+DX$31+DX$32+DX$33</f>
        <v/>
      </c>
      <c r="DY34" s="43">
        <f>DY$25+DY$26+DY$27+DY$28+DY$29+DY$30+DY$31+DY$32+DY$33</f>
        <v/>
      </c>
      <c r="DZ34" s="43">
        <f>DZ$25+DZ$26+DZ$27+DZ$28+DZ$29+DZ$30+DZ$31+DZ$32+DZ$33</f>
        <v/>
      </c>
      <c r="EA34" s="43">
        <f>EA$25+EA$26+EA$27+EA$28+EA$29+EA$30+EA$31+EA$32+EA$33</f>
        <v/>
      </c>
      <c r="EB34" s="43">
        <f>EB$25+EB$26+EB$27+EB$28+EB$29+EB$30+EB$31+EB$32+EB$33</f>
        <v/>
      </c>
      <c r="EC34" s="43">
        <f>EC$25+EC$26+EC$27+EC$28+EC$29+EC$30+EC$31+EC$32+EC$33</f>
        <v/>
      </c>
      <c r="ED34" s="43">
        <f>ED$25+ED$26+ED$27+ED$28+ED$29+ED$30+ED$31+ED$32+ED$33</f>
        <v/>
      </c>
      <c r="EE34" s="43">
        <f>EE$25+EE$26+EE$27+EE$28+EE$29+EE$30+EE$31+EE$32+EE$33</f>
        <v/>
      </c>
      <c r="EF34" s="43">
        <f>EF$25+EF$26+EF$27+EF$28+EF$29+EF$30+EF$31+EF$32+EF$33</f>
        <v/>
      </c>
      <c r="EG34" s="43">
        <f>EG$25+EG$26+EG$27+EG$28+EG$29+EG$30+EG$31+EG$32+EG$33</f>
        <v/>
      </c>
      <c r="EH34" s="43">
        <f>EH$25+EH$26+EH$27+EH$28+EH$29+EH$30+EH$31+EH$32+EH$33</f>
        <v/>
      </c>
      <c r="EI34" s="43">
        <f>EI$25+EI$26+EI$27+EI$28+EI$29+EI$30+EI$31+EI$32+EI$33</f>
        <v/>
      </c>
      <c r="EJ34" s="43">
        <f>EJ$25+EJ$26+EJ$27+EJ$28+EJ$29+EJ$30+EJ$31+EJ$32+EJ$33</f>
        <v/>
      </c>
      <c r="EK34" s="43">
        <f>EK$25+EK$26+EK$27+EK$28+EK$29+EK$30+EK$31+EK$32+EK$33</f>
        <v/>
      </c>
      <c r="EL34" s="43">
        <f>EL$25+EL$26+EL$27+EL$28+EL$29+EL$30+EL$31+EL$32+EL$33</f>
        <v/>
      </c>
      <c r="EM34" s="43">
        <f>EM$25+EM$26+EM$27+EM$28+EM$29+EM$30+EM$31+EM$32+EM$33</f>
        <v/>
      </c>
      <c r="EN34" s="43">
        <f>EN$25+EN$26+EN$27+EN$28+EN$29+EN$30+EN$31+EN$32+EN$33</f>
        <v/>
      </c>
      <c r="EO34" s="43">
        <f>EO$25+EO$26+EO$27+EO$28+EO$29+EO$30+EO$31+EO$32+EO$33</f>
        <v/>
      </c>
      <c r="EP34" s="43">
        <f>EP$25+EP$26+EP$27+EP$28+EP$29+EP$30+EP$31+EP$32+EP$33</f>
        <v/>
      </c>
      <c r="EQ34" s="43">
        <f>EQ$25+EQ$26+EQ$27+EQ$28+EQ$29+EQ$30+EQ$31+EQ$32+EQ$33</f>
        <v/>
      </c>
      <c r="ER34" s="43">
        <f>ER$25+ER$26+ER$27+ER$28+ER$29+ER$30+ER$31+ER$32+ER$33</f>
        <v/>
      </c>
      <c r="ES34" s="43">
        <f>ES$25+ES$26+ES$27+ES$28+ES$29+ES$30+ES$31+ES$32+ES$33</f>
        <v/>
      </c>
      <c r="ET34" s="43">
        <f>ET$25+ET$26+ET$27+ET$28+ET$29+ET$30+ET$31+ET$32+ET$33</f>
        <v/>
      </c>
      <c r="EU34" s="43">
        <f>EU$25+EU$26+EU$27+EU$28+EU$29+EU$30+EU$31+EU$32+EU$33</f>
        <v/>
      </c>
      <c r="EV34" s="43">
        <f>EV$25+EV$26+EV$27+EV$28+EV$29+EV$30+EV$31+EV$32+EV$33</f>
        <v/>
      </c>
      <c r="EW34" s="43">
        <f>EW$25+EW$26+EW$27+EW$28+EW$29+EW$30+EW$31+EW$32+EW$33</f>
        <v/>
      </c>
      <c r="EX34" s="43">
        <f>EX$25+EX$26+EX$27+EX$28+EX$29+EX$30+EX$31+EX$32+EX$33</f>
        <v/>
      </c>
      <c r="EY34" s="43">
        <f>EY$25+EY$26+EY$27+EY$28+EY$29+EY$30+EY$31+EY$32+EY$33</f>
        <v/>
      </c>
      <c r="EZ34" s="43">
        <f>EZ$25+EZ$26+EZ$27+EZ$28+EZ$29+EZ$30+EZ$31+EZ$32+EZ$33</f>
        <v/>
      </c>
      <c r="FA34" s="43">
        <f>FA$25+FA$26+FA$27+FA$28+FA$29+FA$30+FA$31+FA$32+FA$33</f>
        <v/>
      </c>
      <c r="FB34" s="43">
        <f>FB$25+FB$26+FB$27+FB$28+FB$29+FB$30+FB$31+FB$32+FB$33</f>
        <v/>
      </c>
      <c r="FC34" s="43">
        <f>FC$25+FC$26+FC$27+FC$28+FC$29+FC$30+FC$31+FC$32+FC$33</f>
        <v/>
      </c>
      <c r="FD34" s="43">
        <f>FD$25+FD$26+FD$27+FD$28+FD$29+FD$30+FD$31+FD$32+FD$33</f>
        <v/>
      </c>
      <c r="FE34" s="43">
        <f>FE$25+FE$26+FE$27+FE$28+FE$29+FE$30+FE$31+FE$32+FE$33</f>
        <v/>
      </c>
      <c r="FF34" s="43">
        <f>FF$25+FF$26+FF$27+FF$28+FF$29+FF$30+FF$31+FF$32+FF$33</f>
        <v/>
      </c>
      <c r="FG34" s="43">
        <f>FG$25+FG$26+FG$27+FG$28+FG$29+FG$30+FG$31+FG$32+FG$33</f>
        <v/>
      </c>
      <c r="FH34" s="43">
        <f>FH$25+FH$26+FH$27+FH$28+FH$29+FH$30+FH$31+FH$32+FH$33</f>
        <v/>
      </c>
      <c r="FI34" s="43">
        <f>FI$25+FI$26+FI$27+FI$28+FI$29+FI$30+FI$31+FI$32+FI$33</f>
        <v/>
      </c>
      <c r="FJ34" s="43">
        <f>FJ$25+FJ$26+FJ$27+FJ$28+FJ$29+FJ$30+FJ$31+FJ$32+FJ$33</f>
        <v/>
      </c>
      <c r="FK34" s="43">
        <f>FK$25+FK$26+FK$27+FK$28+FK$29+FK$30+FK$31+FK$32+FK$33</f>
        <v/>
      </c>
      <c r="FL34" s="43">
        <f>FL$25+FL$26+FL$27+FL$28+FL$29+FL$30+FL$31+FL$32+FL$33</f>
        <v/>
      </c>
      <c r="FM34" s="43">
        <f>FM$25+FM$26+FM$27+FM$28+FM$29+FM$30+FM$31+FM$32+FM$33</f>
        <v/>
      </c>
      <c r="FN34" s="43">
        <f>FN$25+FN$26+FN$27+FN$28+FN$29+FN$30+FN$31+FN$32+FN$33</f>
        <v/>
      </c>
      <c r="FO34" s="43">
        <f>FO$25+FO$26+FO$27+FO$28+FO$29+FO$30+FO$31+FO$32+FO$33</f>
        <v/>
      </c>
      <c r="FP34" s="43">
        <f>FP$25+FP$26+FP$27+FP$28+FP$29+FP$30+FP$31+FP$32+FP$33</f>
        <v/>
      </c>
      <c r="FQ34" s="43">
        <f>FQ$25+FQ$26+FQ$27+FQ$28+FQ$29+FQ$30+FQ$31+FQ$32+FQ$33</f>
        <v/>
      </c>
      <c r="FR34" s="43">
        <f>FR$25+FR$26+FR$27+FR$28+FR$29+FR$30+FR$31+FR$32+FR$33</f>
        <v/>
      </c>
      <c r="FS34" s="43">
        <f>FS$25+FS$26+FS$27+FS$28+FS$29+FS$30+FS$31+FS$32+FS$33</f>
        <v/>
      </c>
      <c r="FT34" s="43">
        <f>FT$25+FT$26+FT$27+FT$28+FT$29+FT$30+FT$31+FT$32+FT$33</f>
        <v/>
      </c>
      <c r="FU34" s="43">
        <f>FU$25+FU$26+FU$27+FU$28+FU$29+FU$30+FU$31+FU$32+FU$33</f>
        <v/>
      </c>
      <c r="FV34" s="43">
        <f>FV$25+FV$26+FV$27+FV$28+FV$29+FV$30+FV$31+FV$32+FV$33</f>
        <v/>
      </c>
      <c r="FW34" s="43">
        <f>FW$25+FW$26+FW$27+FW$28+FW$29+FW$30+FW$31+FW$32+FW$33</f>
        <v/>
      </c>
      <c r="FX34" s="43">
        <f>FX$25+FX$26+FX$27+FX$28+FX$29+FX$30+FX$31+FX$32+FX$33</f>
        <v/>
      </c>
      <c r="FY34" s="43">
        <f>FY$25+FY$26+FY$27+FY$28+FY$29+FY$30+FY$31+FY$32+FY$33</f>
        <v/>
      </c>
      <c r="FZ34" s="43">
        <f>FZ$25+FZ$26+FZ$27+FZ$28+FZ$29+FZ$30+FZ$31+FZ$32+FZ$33</f>
        <v/>
      </c>
      <c r="GA34" s="43">
        <f>GA$25+GA$26+GA$27+GA$28+GA$29+GA$30+GA$31+GA$32+GA$33</f>
        <v/>
      </c>
      <c r="GB34" s="43">
        <f>GB$25+GB$26+GB$27+GB$28+GB$29+GB$30+GB$31+GB$32+GB$33</f>
        <v/>
      </c>
      <c r="GC34" s="43">
        <f>GC$25+GC$26+GC$27+GC$28+GC$29+GC$30+GC$31+GC$32+GC$33</f>
        <v/>
      </c>
      <c r="GD34" s="43">
        <f>GD$25+GD$26+GD$27+GD$28+GD$29+GD$30+GD$31+GD$32+GD$33</f>
        <v/>
      </c>
      <c r="GE34" s="43">
        <f>GE$25+GE$26+GE$27+GE$28+GE$29+GE$30+GE$31+GE$32+GE$33</f>
        <v/>
      </c>
      <c r="GF34" s="43">
        <f>GF$25+GF$26+GF$27+GF$28+GF$29+GF$30+GF$31+GF$32+GF$33</f>
        <v/>
      </c>
      <c r="GG34" s="43">
        <f>GG$25+GG$26+GG$27+GG$28+GG$29+GG$30+GG$31+GG$32+GG$33</f>
        <v/>
      </c>
      <c r="GH34" s="43">
        <f>GH$25+GH$26+GH$27+GH$28+GH$29+GH$30+GH$31+GH$32+GH$33</f>
        <v/>
      </c>
      <c r="GI34" s="43">
        <f>GI$25+GI$26+GI$27+GI$28+GI$29+GI$30+GI$31+GI$32+GI$33</f>
        <v/>
      </c>
      <c r="GJ34" s="43">
        <f>GJ$25+GJ$26+GJ$27+GJ$28+GJ$29+GJ$30+GJ$31+GJ$32+GJ$33</f>
        <v/>
      </c>
      <c r="GK34" s="43">
        <f>GK$25+GK$26+GK$27+GK$28+GK$29+GK$30+GK$31+GK$32+GK$33</f>
        <v/>
      </c>
      <c r="GL34" s="43">
        <f>GL$25+GL$26+GL$27+GL$28+GL$29+GL$30+GL$31+GL$32+GL$33</f>
        <v/>
      </c>
      <c r="GM34" s="43">
        <f>GM$25+GM$26+GM$27+GM$28+GM$29+GM$30+GM$31+GM$32+GM$33</f>
        <v/>
      </c>
      <c r="GN34" s="43">
        <f>GN$25+GN$26+GN$27+GN$28+GN$29+GN$30+GN$31+GN$32+GN$33</f>
        <v/>
      </c>
      <c r="GO34" s="43">
        <f>GO$25+GO$26+GO$27+GO$28+GO$29+GO$30+GO$31+GO$32+GO$33</f>
        <v/>
      </c>
      <c r="GP34" s="43">
        <f>GP$25+GP$26+GP$27+GP$28+GP$29+GP$30+GP$31+GP$32+GP$33</f>
        <v/>
      </c>
      <c r="GQ34" s="43">
        <f>GQ$25+GQ$26+GQ$27+GQ$28+GQ$29+GQ$30+GQ$31+GQ$32+GQ$33</f>
        <v/>
      </c>
      <c r="GR34" s="43">
        <f>GR$25+GR$26+GR$27+GR$28+GR$29+GR$30+GR$31+GR$32+GR$33</f>
        <v/>
      </c>
      <c r="GS34" s="43">
        <f>GS$25+GS$26+GS$27+GS$28+GS$29+GS$30+GS$31+GS$32+GS$33</f>
        <v/>
      </c>
      <c r="GT34" s="43">
        <f>GT$25+GT$26+GT$27+GT$28+GT$29+GT$30+GT$31+GT$32+GT$33</f>
        <v/>
      </c>
      <c r="GU34" s="43">
        <f>GU$25+GU$26+GU$27+GU$28+GU$29+GU$30+GU$31+GU$32+GU$33</f>
        <v/>
      </c>
      <c r="GV34" s="43">
        <f>GV$25+GV$26+GV$27+GV$28+GV$29+GV$30+GV$31+GV$32+GV$33</f>
        <v/>
      </c>
      <c r="GW34" s="43">
        <f>GW$25+GW$26+GW$27+GW$28+GW$29+GW$30+GW$31+GW$32+GW$33</f>
        <v/>
      </c>
      <c r="GX34" s="43">
        <f>GX$25+GX$26+GX$27+GX$28+GX$29+GX$30+GX$31+GX$32+GX$33</f>
        <v/>
      </c>
      <c r="GY34" s="43">
        <f>GY$25+GY$26+GY$27+GY$28+GY$29+GY$30+GY$31+GY$32+GY$33</f>
        <v/>
      </c>
      <c r="GZ34" s="43">
        <f>GZ$25+GZ$26+GZ$27+GZ$28+GZ$29+GZ$30+GZ$31+GZ$32+GZ$33</f>
        <v/>
      </c>
      <c r="HA34" s="43">
        <f>HA$25+HA$26+HA$27+HA$28+HA$29+HA$30+HA$31+HA$32+HA$33</f>
        <v/>
      </c>
      <c r="HB34" s="43">
        <f>HB$25+HB$26+HB$27+HB$28+HB$29+HB$30+HB$31+HB$32+HB$33</f>
        <v/>
      </c>
      <c r="HC34" s="43">
        <f>HC$25+HC$26+HC$27+HC$28+HC$29+HC$30+HC$31+HC$32+HC$33</f>
        <v/>
      </c>
      <c r="HD34" s="43">
        <f>HD$25+HD$26+HD$27+HD$28+HD$29+HD$30+HD$31+HD$32+HD$33</f>
        <v/>
      </c>
      <c r="HE34" s="43">
        <f>HE$25+HE$26+HE$27+HE$28+HE$29+HE$30+HE$31+HE$32+HE$33</f>
        <v/>
      </c>
      <c r="HF34" s="43">
        <f>HF$25+HF$26+HF$27+HF$28+HF$29+HF$30+HF$31+HF$32+HF$33</f>
        <v/>
      </c>
      <c r="HG34" s="43">
        <f>HG$25+HG$26+HG$27+HG$28+HG$29+HG$30+HG$31+HG$32+HG$33</f>
        <v/>
      </c>
      <c r="HH34" s="43">
        <f>HH$25+HH$26+HH$27+HH$28+HH$29+HH$30+HH$31+HH$32+HH$33</f>
        <v/>
      </c>
      <c r="HI34" s="43">
        <f>HI$25+HI$26+HI$27+HI$28+HI$29+HI$30+HI$31+HI$32+HI$33</f>
        <v/>
      </c>
      <c r="HJ34" s="43">
        <f>HJ$25+HJ$26+HJ$27+HJ$28+HJ$29+HJ$30+HJ$31+HJ$32+HJ$33</f>
        <v/>
      </c>
      <c r="HK34" s="43">
        <f>HK$25+HK$26+HK$27+HK$28+HK$29+HK$30+HK$31+HK$32+HK$33</f>
        <v/>
      </c>
      <c r="HL34" s="43">
        <f>HL$25+HL$26+HL$27+HL$28+HL$29+HL$30+HL$31+HL$32+HL$33</f>
        <v/>
      </c>
      <c r="HM34" s="43">
        <f>HM$25+HM$26+HM$27+HM$28+HM$29+HM$30+HM$31+HM$32+HM$33</f>
        <v/>
      </c>
      <c r="HN34" s="43">
        <f>HN$25+HN$26+HN$27+HN$28+HN$29+HN$30+HN$31+HN$32+HN$33</f>
        <v/>
      </c>
      <c r="HO34" s="43">
        <f>HO$25+HO$26+HO$27+HO$28+HO$29+HO$30+HO$31+HO$32+HO$33</f>
        <v/>
      </c>
      <c r="HP34" s="43">
        <f>HP$25+HP$26+HP$27+HP$28+HP$29+HP$30+HP$31+HP$32+HP$33</f>
        <v/>
      </c>
      <c r="HQ34" s="43">
        <f>HQ$25+HQ$26+HQ$27+HQ$28+HQ$29+HQ$30+HQ$31+HQ$32+HQ$33</f>
        <v/>
      </c>
      <c r="HR34" s="43">
        <f>HR$25+HR$26+HR$27+HR$28+HR$29+HR$30+HR$31+HR$32+HR$33</f>
        <v/>
      </c>
      <c r="HS34" s="43">
        <f>HS$25+HS$26+HS$27+HS$28+HS$29+HS$30+HS$31+HS$32+HS$33</f>
        <v/>
      </c>
      <c r="HT34" s="43">
        <f>HT$25+HT$26+HT$27+HT$28+HT$29+HT$30+HT$31+HT$32+HT$33</f>
        <v/>
      </c>
      <c r="HU34" s="43">
        <f>HU$25+HU$26+HU$27+HU$28+HU$29+HU$30+HU$31+HU$32+HU$33</f>
        <v/>
      </c>
      <c r="HV34" s="43">
        <f>HV$25+HV$26+HV$27+HV$28+HV$29+HV$30+HV$31+HV$32+HV$33</f>
        <v/>
      </c>
      <c r="HW34" s="43">
        <f>HW$25+HW$26+HW$27+HW$28+HW$29+HW$30+HW$31+HW$32+HW$33</f>
        <v/>
      </c>
      <c r="HX34" s="43">
        <f>HX$25+HX$26+HX$27+HX$28+HX$29+HX$30+HX$31+HX$32+HX$33</f>
        <v/>
      </c>
      <c r="HY34" s="43">
        <f>HY$25+HY$26+HY$27+HY$28+HY$29+HY$30+HY$31+HY$32+HY$33</f>
        <v/>
      </c>
      <c r="HZ34" s="43">
        <f>HZ$25+HZ$26+HZ$27+HZ$28+HZ$29+HZ$30+HZ$31+HZ$32+HZ$33</f>
        <v/>
      </c>
      <c r="IA34" s="43">
        <f>IA$25+IA$26+IA$27+IA$28+IA$29+IA$30+IA$31+IA$32+IA$33</f>
        <v/>
      </c>
      <c r="IB34" s="43">
        <f>IB$25+IB$26+IB$27+IB$28+IB$29+IB$30+IB$31+IB$32+IB$33</f>
        <v/>
      </c>
      <c r="IC34" s="43">
        <f>IC$25+IC$26+IC$27+IC$28+IC$29+IC$30+IC$31+IC$32+IC$33</f>
        <v/>
      </c>
      <c r="ID34" s="43">
        <f>ID$25+ID$26+ID$27+ID$28+ID$29+ID$30+ID$31+ID$32+ID$33</f>
        <v/>
      </c>
      <c r="IE34" s="43">
        <f>IE$25+IE$26+IE$27+IE$28+IE$29+IE$30+IE$31+IE$32+IE$33</f>
        <v/>
      </c>
      <c r="IF34" s="43">
        <f>IF$25+IF$26+IF$27+IF$28+IF$29+IF$30+IF$31+IF$32+IF$33</f>
        <v/>
      </c>
      <c r="IG34" s="43">
        <f>IG$25+IG$26+IG$27+IG$28+IG$29+IG$30+IG$31+IG$32+IG$33</f>
        <v/>
      </c>
      <c r="IH34" s="43">
        <f>IH$25+IH$26+IH$27+IH$28+IH$29+IH$30+IH$31+IH$32+IH$33</f>
        <v/>
      </c>
      <c r="II34" s="43">
        <f>II$25+II$26+II$27+II$28+II$29+II$30+II$31+II$32+II$33</f>
        <v/>
      </c>
      <c r="IJ34" s="43">
        <f>IJ$25+IJ$26+IJ$27+IJ$28+IJ$29+IJ$30+IJ$31+IJ$32+IJ$33</f>
        <v/>
      </c>
      <c r="IK34" s="43">
        <f>IK$25+IK$26+IK$27+IK$28+IK$29+IK$30+IK$31+IK$32+IK$33</f>
        <v/>
      </c>
      <c r="IL34" s="43">
        <f>IL$25+IL$26+IL$27+IL$28+IL$29+IL$30+IL$31+IL$32+IL$33</f>
        <v/>
      </c>
      <c r="IM34" s="43">
        <f>IM$25+IM$26+IM$27+IM$28+IM$29+IM$30+IM$31+IM$32+IM$33</f>
        <v/>
      </c>
      <c r="IN34" s="43">
        <f>IN$25+IN$26+IN$27+IN$28+IN$29+IN$30+IN$31+IN$32+IN$33</f>
        <v/>
      </c>
      <c r="IO34" s="43">
        <f>IO$25+IO$26+IO$27+IO$28+IO$29+IO$30+IO$31+IO$32+IO$33</f>
        <v/>
      </c>
      <c r="IP34" s="43">
        <f>IP$25+IP$26+IP$27+IP$28+IP$29+IP$30+IP$31+IP$32+IP$33</f>
        <v/>
      </c>
      <c r="IQ34" s="43">
        <f>IQ$25+IQ$26+IQ$27+IQ$28+IQ$29+IQ$30+IQ$31+IQ$32+IQ$33</f>
        <v/>
      </c>
      <c r="IR34" s="43">
        <f>IR$25+IR$26+IR$27+IR$28+IR$29+IR$30+IR$31+IR$32+IR$33</f>
        <v/>
      </c>
      <c r="IS34" s="43">
        <f>IS$25+IS$26+IS$27+IS$28+IS$29+IS$30+IS$31+IS$32+IS$33</f>
        <v/>
      </c>
      <c r="IT34" s="43">
        <f>IT$25+IT$26+IT$27+IT$28+IT$29+IT$30+IT$31+IT$32+IT$33</f>
        <v/>
      </c>
      <c r="IU34" s="43">
        <f>IU$25+IU$26+IU$27+IU$28+IU$29+IU$30+IU$31+IU$32+IU$33</f>
        <v/>
      </c>
      <c r="IV34" s="43">
        <f>IV$25+IV$26+IV$27+IV$28+IV$29+IV$30+IV$31+IV$32+IV$33</f>
        <v/>
      </c>
      <c r="IW34" s="43">
        <f>IW$25+IW$26+IW$27+IW$28+IW$29+IW$30+IW$31+IW$32+IW$33</f>
        <v/>
      </c>
      <c r="IX34" s="43">
        <f>IX$25+IX$26+IX$27+IX$28+IX$29+IX$30+IX$31+IX$32+IX$33</f>
        <v/>
      </c>
      <c r="IY34" s="43">
        <f>IY$25+IY$26+IY$27+IY$28+IY$29+IY$30+IY$31+IY$32+IY$33</f>
        <v/>
      </c>
      <c r="IZ34" s="43">
        <f>IZ$25+IZ$26+IZ$27+IZ$28+IZ$29+IZ$30+IZ$31+IZ$32+IZ$33</f>
        <v/>
      </c>
      <c r="JA34" s="43">
        <f>JA$25+JA$26+JA$27+JA$28+JA$29+JA$30+JA$31+JA$32+JA$33</f>
        <v/>
      </c>
      <c r="JB34" s="43">
        <f>JB$25+JB$26+JB$27+JB$28+JB$29+JB$30+JB$31+JB$32+JB$33</f>
        <v/>
      </c>
      <c r="JC34" s="43">
        <f>JC$25+JC$26+JC$27+JC$28+JC$29+JC$30+JC$31+JC$32+JC$33</f>
        <v/>
      </c>
      <c r="JD34" s="43">
        <f>JD$25+JD$26+JD$27+JD$28+JD$29+JD$30+JD$31+JD$32+JD$33</f>
        <v/>
      </c>
      <c r="JE34" s="43">
        <f>JE$25+JE$26+JE$27+JE$28+JE$29+JE$30+JE$31+JE$32+JE$33</f>
        <v/>
      </c>
      <c r="JF34" s="43">
        <f>JF$25+JF$26+JF$27+JF$28+JF$29+JF$30+JF$31+JF$32+JF$33</f>
        <v/>
      </c>
      <c r="JG34" s="43">
        <f>JG$25+JG$26+JG$27+JG$28+JG$29+JG$30+JG$31+JG$32+JG$33</f>
        <v/>
      </c>
      <c r="JH34" s="43">
        <f>JH$25+JH$26+JH$27+JH$28+JH$29+JH$30+JH$31+JH$32+JH$33</f>
        <v/>
      </c>
      <c r="JI34" s="43">
        <f>JI$25+JI$26+JI$27+JI$28+JI$29+JI$30+JI$31+JI$32+JI$33</f>
        <v/>
      </c>
      <c r="JJ34" s="43">
        <f>JJ$25+JJ$26+JJ$27+JJ$28+JJ$29+JJ$30+JJ$31+JJ$32+JJ$33</f>
        <v/>
      </c>
      <c r="JK34" s="43">
        <f>JK$25+JK$26+JK$27+JK$28+JK$29+JK$30+JK$31+JK$32+JK$33</f>
        <v/>
      </c>
      <c r="JL34" s="43">
        <f>JL$25+JL$26+JL$27+JL$28+JL$29+JL$30+JL$31+JL$32+JL$33</f>
        <v/>
      </c>
      <c r="JM34" s="43">
        <f>JM$25+JM$26+JM$27+JM$28+JM$29+JM$30+JM$31+JM$32+JM$33</f>
        <v/>
      </c>
      <c r="JN34" s="43">
        <f>JN$25+JN$26+JN$27+JN$28+JN$29+JN$30+JN$31+JN$32+JN$33</f>
        <v/>
      </c>
      <c r="JO34" s="43">
        <f>JO$25+JO$26+JO$27+JO$28+JO$29+JO$30+JO$31+JO$32+JO$33</f>
        <v/>
      </c>
      <c r="JP34" s="43">
        <f>JP$25+JP$26+JP$27+JP$28+JP$29+JP$30+JP$31+JP$32+JP$33</f>
        <v/>
      </c>
      <c r="JQ34" s="43">
        <f>JQ$25+JQ$26+JQ$27+JQ$28+JQ$29+JQ$30+JQ$31+JQ$32+JQ$33</f>
        <v/>
      </c>
      <c r="JR34" s="43">
        <f>JR$25+JR$26+JR$27+JR$28+JR$29+JR$30+JR$31+JR$32+JR$33</f>
        <v/>
      </c>
      <c r="JS34" s="43">
        <f>JS$25+JS$26+JS$27+JS$28+JS$29+JS$30+JS$31+JS$32+JS$33</f>
        <v/>
      </c>
      <c r="JT34" s="43">
        <f>JT$25+JT$26+JT$27+JT$28+JT$29+JT$30+JT$31+JT$32+JT$33</f>
        <v/>
      </c>
      <c r="JU34" s="43">
        <f>JU$25+JU$26+JU$27+JU$28+JU$29+JU$30+JU$31+JU$32+JU$33</f>
        <v/>
      </c>
      <c r="JV34" s="43">
        <f>JV$25+JV$26+JV$27+JV$28+JV$29+JV$30+JV$31+JV$32+JV$33</f>
        <v/>
      </c>
      <c r="JW34" s="43">
        <f>JW$25+JW$26+JW$27+JW$28+JW$29+JW$30+JW$31+JW$32+JW$33</f>
        <v/>
      </c>
      <c r="JX34" s="43">
        <f>JX$25+JX$26+JX$27+JX$28+JX$29+JX$30+JX$31+JX$32+JX$33</f>
        <v/>
      </c>
      <c r="JY34" s="43">
        <f>JY$25+JY$26+JY$27+JY$28+JY$29+JY$30+JY$31+JY$32+JY$33</f>
        <v/>
      </c>
      <c r="JZ34" s="43">
        <f>JZ$25+JZ$26+JZ$27+JZ$28+JZ$29+JZ$30+JZ$31+JZ$32+JZ$33</f>
        <v/>
      </c>
      <c r="KA34" s="43">
        <f>KA$25+KA$26+KA$27+KA$28+KA$29+KA$30+KA$31+KA$32+KA$33</f>
        <v/>
      </c>
      <c r="KB34" s="43">
        <f>KB$25+KB$26+KB$27+KB$28+KB$29+KB$30+KB$31+KB$32+KB$33</f>
        <v/>
      </c>
      <c r="KC34" s="43">
        <f>KC$25+KC$26+KC$27+KC$28+KC$29+KC$30+KC$31+KC$32+KC$33</f>
        <v/>
      </c>
      <c r="KD34" s="43">
        <f>KD$25+KD$26+KD$27+KD$28+KD$29+KD$30+KD$31+KD$32+KD$33</f>
        <v/>
      </c>
      <c r="KE34" s="43">
        <f>KE$25+KE$26+KE$27+KE$28+KE$29+KE$30+KE$31+KE$32+KE$33</f>
        <v/>
      </c>
      <c r="KF34" s="43">
        <f>KF$25+KF$26+KF$27+KF$28+KF$29+KF$30+KF$31+KF$32+KF$33</f>
        <v/>
      </c>
      <c r="KG34" s="43">
        <f>KG$25+KG$26+KG$27+KG$28+KG$29+KG$30+KG$31+KG$32+KG$33</f>
        <v/>
      </c>
      <c r="KH34" s="43">
        <f>KH$25+KH$26+KH$27+KH$28+KH$29+KH$30+KH$31+KH$32+KH$33</f>
        <v/>
      </c>
      <c r="KI34" s="43">
        <f>KI$25+KI$26+KI$27+KI$28+KI$29+KI$30+KI$31+KI$32+KI$33</f>
        <v/>
      </c>
      <c r="KJ34" s="43">
        <f>KJ$25+KJ$26+KJ$27+KJ$28+KJ$29+KJ$30+KJ$31+KJ$32+KJ$33</f>
        <v/>
      </c>
      <c r="KK34" s="43">
        <f>KK$25+KK$26+KK$27+KK$28+KK$29+KK$30+KK$31+KK$32+KK$33</f>
        <v/>
      </c>
      <c r="KL34" s="43">
        <f>KL$25+KL$26+KL$27+KL$28+KL$29+KL$30+KL$31+KL$32+KL$33</f>
        <v/>
      </c>
      <c r="KM34" s="43">
        <f>KM$25+KM$26+KM$27+KM$28+KM$29+KM$30+KM$31+KM$32+KM$33</f>
        <v/>
      </c>
      <c r="KN34" s="43">
        <f>KN$25+KN$26+KN$27+KN$28+KN$29+KN$30+KN$31+KN$32+KN$33</f>
        <v/>
      </c>
      <c r="KO34" s="43">
        <f>KO$25+KO$26+KO$27+KO$28+KO$29+KO$30+KO$31+KO$32+KO$33</f>
        <v/>
      </c>
      <c r="KP34" s="43">
        <f>KP$25+KP$26+KP$27+KP$28+KP$29+KP$30+KP$31+KP$32+KP$33</f>
        <v/>
      </c>
      <c r="KQ34" s="43">
        <f>KQ$25+KQ$26+KQ$27+KQ$28+KQ$29+KQ$30+KQ$31+KQ$32+KQ$33</f>
        <v/>
      </c>
      <c r="KR34" s="43">
        <f>KR$25+KR$26+KR$27+KR$28+KR$29+KR$30+KR$31+KR$32+KR$33</f>
        <v/>
      </c>
      <c r="KS34" s="43">
        <f>KS$25+KS$26+KS$27+KS$28+KS$29+KS$30+KS$31+KS$32+KS$33</f>
        <v/>
      </c>
      <c r="KT34" s="43">
        <f>KT$25+KT$26+KT$27+KT$28+KT$29+KT$30+KT$31+KT$32+KT$33</f>
        <v/>
      </c>
      <c r="KU34" s="43">
        <f>KU$25+KU$26+KU$27+KU$28+KU$29+KU$30+KU$31+KU$32+KU$33</f>
        <v/>
      </c>
      <c r="KV34" s="43">
        <f>KV$25+KV$26+KV$27+KV$28+KV$29+KV$30+KV$31+KV$32+KV$33</f>
        <v/>
      </c>
      <c r="KW34" s="43">
        <f>KW$25+KW$26+KW$27+KW$28+KW$29+KW$30+KW$31+KW$32+KW$33</f>
        <v/>
      </c>
      <c r="KX34" s="43">
        <f>KX$25+KX$26+KX$27+KX$28+KX$29+KX$30+KX$31+KX$32+KX$33</f>
        <v/>
      </c>
      <c r="KY34" s="43">
        <f>KY$25+KY$26+KY$27+KY$28+KY$29+KY$30+KY$31+KY$32+KY$33</f>
        <v/>
      </c>
      <c r="KZ34" s="43">
        <f>KZ$25+KZ$26+KZ$27+KZ$28+KZ$29+KZ$30+KZ$31+KZ$32+KZ$33</f>
        <v/>
      </c>
      <c r="LA34" s="43">
        <f>LA$25+LA$26+LA$27+LA$28+LA$29+LA$30+LA$31+LA$32+LA$33</f>
        <v/>
      </c>
      <c r="LB34" s="43">
        <f>LB$25+LB$26+LB$27+LB$28+LB$29+LB$30+LB$31+LB$32+LB$33</f>
        <v/>
      </c>
      <c r="LC34" s="43">
        <f>LC$25+LC$26+LC$27+LC$28+LC$29+LC$30+LC$31+LC$32+LC$33</f>
        <v/>
      </c>
      <c r="LD34" s="43">
        <f>LD$25+LD$26+LD$27+LD$28+LD$29+LD$30+LD$31+LD$32+LD$33</f>
        <v/>
      </c>
      <c r="LE34" s="43">
        <f>LE$25+LE$26+LE$27+LE$28+LE$29+LE$30+LE$31+LE$32+LE$33</f>
        <v/>
      </c>
      <c r="LF34" s="43">
        <f>LF$25+LF$26+LF$27+LF$28+LF$29+LF$30+LF$31+LF$32+LF$33</f>
        <v/>
      </c>
      <c r="LG34" s="43">
        <f>LG$25+LG$26+LG$27+LG$28+LG$29+LG$30+LG$31+LG$32+LG$33</f>
        <v/>
      </c>
      <c r="LH34" s="43">
        <f>LH$25+LH$26+LH$27+LH$28+LH$29+LH$30+LH$31+LH$32+LH$33</f>
        <v/>
      </c>
      <c r="LI34" s="43">
        <f>LI$25+LI$26+LI$27+LI$28+LI$29+LI$30+LI$31+LI$32+LI$33</f>
        <v/>
      </c>
      <c r="LJ34" s="43">
        <f>LJ$25+LJ$26+LJ$27+LJ$28+LJ$29+LJ$30+LJ$31+LJ$32+LJ$33</f>
        <v/>
      </c>
      <c r="LK34" s="43">
        <f>LK$25+LK$26+LK$27+LK$28+LK$29+LK$30+LK$31+LK$32+LK$33</f>
        <v/>
      </c>
      <c r="LL34" s="43">
        <f>LL$25+LL$26+LL$27+LL$28+LL$29+LL$30+LL$31+LL$32+LL$33</f>
        <v/>
      </c>
      <c r="LM34" s="43">
        <f>LM$25+LM$26+LM$27+LM$28+LM$29+LM$30+LM$31+LM$32+LM$33</f>
        <v/>
      </c>
      <c r="LN34" s="43">
        <f>LN$25+LN$26+LN$27+LN$28+LN$29+LN$30+LN$31+LN$32+LN$33</f>
        <v/>
      </c>
      <c r="LO34" s="43">
        <f>LO$25+LO$26+LO$27+LO$28+LO$29+LO$30+LO$31+LO$32+LO$33</f>
        <v/>
      </c>
      <c r="LP34" s="43">
        <f>LP$25+LP$26+LP$27+LP$28+LP$29+LP$30+LP$31+LP$32+LP$33</f>
        <v/>
      </c>
      <c r="LQ34" s="43">
        <f>LQ$25+LQ$26+LQ$27+LQ$28+LQ$29+LQ$30+LQ$31+LQ$32+LQ$33</f>
        <v/>
      </c>
      <c r="LR34" s="43">
        <f>LR$25+LR$26+LR$27+LR$28+LR$29+LR$30+LR$31+LR$32+LR$33</f>
        <v/>
      </c>
      <c r="LS34" s="43">
        <f>LS$25+LS$26+LS$27+LS$28+LS$29+LS$30+LS$31+LS$32+LS$33</f>
        <v/>
      </c>
      <c r="LT34" s="43">
        <f>LT$25+LT$26+LT$27+LT$28+LT$29+LT$30+LT$31+LT$32+LT$33</f>
        <v/>
      </c>
      <c r="LU34" s="43">
        <f>LU$25+LU$26+LU$27+LU$28+LU$29+LU$30+LU$31+LU$32+LU$33</f>
        <v/>
      </c>
      <c r="LV34" s="43">
        <f>LV$25+LV$26+LV$27+LV$28+LV$29+LV$30+LV$31+LV$32+LV$33</f>
        <v/>
      </c>
      <c r="LW34" s="43">
        <f>LW$25+LW$26+LW$27+LW$28+LW$29+LW$30+LW$31+LW$32+LW$33</f>
        <v/>
      </c>
      <c r="LX34" s="43">
        <f>LX$25+LX$26+LX$27+LX$28+LX$29+LX$30+LX$31+LX$32+LX$33</f>
        <v/>
      </c>
      <c r="LY34" s="43">
        <f>LY$25+LY$26+LY$27+LY$28+LY$29+LY$30+LY$31+LY$32+LY$33</f>
        <v/>
      </c>
      <c r="LZ34" s="43">
        <f>LZ$25+LZ$26+LZ$27+LZ$28+LZ$29+LZ$30+LZ$31+LZ$32+LZ$33</f>
        <v/>
      </c>
      <c r="MA34" s="43">
        <f>MA$25+MA$26+MA$27+MA$28+MA$29+MA$30+MA$31+MA$32+MA$33</f>
        <v/>
      </c>
      <c r="MB34" s="43">
        <f>MB$25+MB$26+MB$27+MB$28+MB$29+MB$30+MB$31+MB$32+MB$33</f>
        <v/>
      </c>
      <c r="MC34" s="43">
        <f>MC$25+MC$26+MC$27+MC$28+MC$29+MC$30+MC$31+MC$32+MC$33</f>
        <v/>
      </c>
      <c r="MD34" s="43">
        <f>MD$25+MD$26+MD$27+MD$28+MD$29+MD$30+MD$31+MD$32+MD$33</f>
        <v/>
      </c>
      <c r="ME34" s="43">
        <f>ME$25+ME$26+ME$27+ME$28+ME$29+ME$30+ME$31+ME$32+ME$33</f>
        <v/>
      </c>
      <c r="MF34" s="43">
        <f>MF$25+MF$26+MF$27+MF$28+MF$29+MF$30+MF$31+MF$32+MF$33</f>
        <v/>
      </c>
      <c r="MG34" s="43">
        <f>MG$25+MG$26+MG$27+MG$28+MG$29+MG$30+MG$31+MG$32+MG$33</f>
        <v/>
      </c>
      <c r="MH34" s="43">
        <f>MH$25+MH$26+MH$27+MH$28+MH$29+MH$30+MH$31+MH$32+MH$33</f>
        <v/>
      </c>
      <c r="MI34" s="43">
        <f>MI$25+MI$26+MI$27+MI$28+MI$29+MI$30+MI$31+MI$32+MI$33</f>
        <v/>
      </c>
      <c r="MJ34" s="43">
        <f>MJ$25+MJ$26+MJ$27+MJ$28+MJ$29+MJ$30+MJ$31+MJ$32+MJ$33</f>
        <v/>
      </c>
      <c r="MK34" s="43">
        <f>MK$25+MK$26+MK$27+MK$28+MK$29+MK$30+MK$31+MK$32+MK$33</f>
        <v/>
      </c>
      <c r="ML34" s="43">
        <f>ML$25+ML$26+ML$27+ML$28+ML$29+ML$30+ML$31+ML$32+ML$33</f>
        <v/>
      </c>
      <c r="MM34" s="43">
        <f>MM$25+MM$26+MM$27+MM$28+MM$29+MM$30+MM$31+MM$32+MM$33</f>
        <v/>
      </c>
      <c r="MN34" s="43">
        <f>MN$25+MN$26+MN$27+MN$28+MN$29+MN$30+MN$31+MN$32+MN$33</f>
        <v/>
      </c>
      <c r="MO34" s="43">
        <f>MO$25+MO$26+MO$27+MO$28+MO$29+MO$30+MO$31+MO$32+MO$33</f>
        <v/>
      </c>
      <c r="MP34" s="43">
        <f>MP$25+MP$26+MP$27+MP$28+MP$29+MP$30+MP$31+MP$32+MP$33</f>
        <v/>
      </c>
      <c r="MQ34" s="43">
        <f>MQ$25+MQ$26+MQ$27+MQ$28+MQ$29+MQ$30+MQ$31+MQ$32+MQ$33</f>
        <v/>
      </c>
      <c r="MR34" s="43">
        <f>MR$25+MR$26+MR$27+MR$28+MR$29+MR$30+MR$31+MR$32+MR$33</f>
        <v/>
      </c>
      <c r="MS34" s="43">
        <f>MS$25+MS$26+MS$27+MS$28+MS$29+MS$30+MS$31+MS$32+MS$33</f>
        <v/>
      </c>
      <c r="MT34" s="43">
        <f>MT$25+MT$26+MT$27+MT$28+MT$29+MT$30+MT$31+MT$32+MT$33</f>
        <v/>
      </c>
      <c r="MU34" s="43">
        <f>MU$25+MU$26+MU$27+MU$28+MU$29+MU$30+MU$31+MU$32+MU$33</f>
        <v/>
      </c>
      <c r="MV34" s="43">
        <f>MV$25+MV$26+MV$27+MV$28+MV$29+MV$30+MV$31+MV$32+MV$33</f>
        <v/>
      </c>
      <c r="MW34" s="43">
        <f>MW$25+MW$26+MW$27+MW$28+MW$29+MW$30+MW$31+MW$32+MW$33</f>
        <v/>
      </c>
      <c r="MX34" s="43">
        <f>MX$25+MX$26+MX$27+MX$28+MX$29+MX$30+MX$31+MX$32+MX$33</f>
        <v/>
      </c>
      <c r="MY34" s="43">
        <f>MY$25+MY$26+MY$27+MY$28+MY$29+MY$30+MY$31+MY$32+MY$33</f>
        <v/>
      </c>
      <c r="MZ34" s="43">
        <f>MZ$25+MZ$26+MZ$27+MZ$28+MZ$29+MZ$30+MZ$31+MZ$32+MZ$33</f>
        <v/>
      </c>
      <c r="NA34" s="43">
        <f>NA$25+NA$26+NA$27+NA$28+NA$29+NA$30+NA$31+NA$32+NA$33</f>
        <v/>
      </c>
      <c r="NB34" s="43">
        <f>NB$25+NB$26+NB$27+NB$28+NB$29+NB$30+NB$31+NB$32+NB$33</f>
        <v/>
      </c>
      <c r="NC34" s="43">
        <f>NC$25+NC$26+NC$27+NC$28+NC$29+NC$30+NC$31+NC$32+NC$33</f>
        <v/>
      </c>
      <c r="ND34" s="43">
        <f>ND$25+ND$26+ND$27+ND$28+ND$29+ND$30+ND$31+ND$32+ND$33</f>
        <v/>
      </c>
      <c r="NE34" s="43">
        <f>NE$25+NE$26+NE$27+NE$28+NE$29+NE$30+NE$31+NE$32+NE$33</f>
        <v/>
      </c>
      <c r="NF34" s="43">
        <f>NF$25+NF$26+NF$27+NF$28+NF$29+NF$30+NF$31+NF$32+NF$33</f>
        <v/>
      </c>
      <c r="NG34" s="43">
        <f>NG$25+NG$26+NG$27+NG$28+NG$29+NG$30+NG$31+NG$32+NG$33</f>
        <v/>
      </c>
      <c r="NH34" s="43">
        <f>NH$25+NH$26+NH$27+NH$28+NH$29+NH$30+NH$31+NH$32+NH$33</f>
        <v/>
      </c>
      <c r="NI34" s="43">
        <f>NI$25+NI$26+NI$27+NI$28+NI$29+NI$30+NI$31+NI$32+NI$33</f>
        <v/>
      </c>
      <c r="NJ34" s="43">
        <f>NJ$25+NJ$26+NJ$27+NJ$28+NJ$29+NJ$30+NJ$31+NJ$32+NJ$33</f>
        <v/>
      </c>
      <c r="NK34" s="43">
        <f>NK$25+NK$26+NK$27+NK$28+NK$29+NK$30+NK$31+NK$32+NK$33</f>
        <v/>
      </c>
    </row>
    <row r="35">
      <c r="A35" s="21" t="inlineStr">
        <is>
          <t>NOI before Property Tax</t>
        </is>
      </c>
      <c r="C35" s="41">
        <f>SUM(D35:NK35)</f>
        <v/>
      </c>
      <c r="D35" s="43">
        <f>D$23-D$34</f>
        <v/>
      </c>
      <c r="E35" s="43">
        <f>E$23-E$34</f>
        <v/>
      </c>
      <c r="F35" s="43">
        <f>F$23-F$34</f>
        <v/>
      </c>
      <c r="G35" s="43">
        <f>G$23-G$34</f>
        <v/>
      </c>
      <c r="H35" s="43">
        <f>H$23-H$34</f>
        <v/>
      </c>
      <c r="I35" s="43">
        <f>I$23-I$34</f>
        <v/>
      </c>
      <c r="J35" s="43">
        <f>J$23-J$34</f>
        <v/>
      </c>
      <c r="K35" s="43">
        <f>K$23-K$34</f>
        <v/>
      </c>
      <c r="L35" s="43">
        <f>L$23-L$34</f>
        <v/>
      </c>
      <c r="M35" s="43">
        <f>M$23-M$34</f>
        <v/>
      </c>
      <c r="N35" s="43">
        <f>N$23-N$34</f>
        <v/>
      </c>
      <c r="O35" s="43">
        <f>O$23-O$34</f>
        <v/>
      </c>
      <c r="P35" s="43">
        <f>P$23-P$34</f>
        <v/>
      </c>
      <c r="Q35" s="43">
        <f>Q$23-Q$34</f>
        <v/>
      </c>
      <c r="R35" s="43">
        <f>R$23-R$34</f>
        <v/>
      </c>
      <c r="S35" s="43">
        <f>S$23-S$34</f>
        <v/>
      </c>
      <c r="T35" s="43">
        <f>T$23-T$34</f>
        <v/>
      </c>
      <c r="U35" s="43">
        <f>U$23-U$34</f>
        <v/>
      </c>
      <c r="V35" s="43">
        <f>V$23-V$34</f>
        <v/>
      </c>
      <c r="W35" s="43">
        <f>W$23-W$34</f>
        <v/>
      </c>
      <c r="X35" s="43">
        <f>X$23-X$34</f>
        <v/>
      </c>
      <c r="Y35" s="43">
        <f>Y$23-Y$34</f>
        <v/>
      </c>
      <c r="Z35" s="43">
        <f>Z$23-Z$34</f>
        <v/>
      </c>
      <c r="AA35" s="43">
        <f>AA$23-AA$34</f>
        <v/>
      </c>
      <c r="AB35" s="43">
        <f>AB$23-AB$34</f>
        <v/>
      </c>
      <c r="AC35" s="43">
        <f>AC$23-AC$34</f>
        <v/>
      </c>
      <c r="AD35" s="43">
        <f>AD$23-AD$34</f>
        <v/>
      </c>
      <c r="AE35" s="43">
        <f>AE$23-AE$34</f>
        <v/>
      </c>
      <c r="AF35" s="43">
        <f>AF$23-AF$34</f>
        <v/>
      </c>
      <c r="AG35" s="43">
        <f>AG$23-AG$34</f>
        <v/>
      </c>
      <c r="AH35" s="43">
        <f>AH$23-AH$34</f>
        <v/>
      </c>
      <c r="AI35" s="43">
        <f>AI$23-AI$34</f>
        <v/>
      </c>
      <c r="AJ35" s="43">
        <f>AJ$23-AJ$34</f>
        <v/>
      </c>
      <c r="AK35" s="43">
        <f>AK$23-AK$34</f>
        <v/>
      </c>
      <c r="AL35" s="43">
        <f>AL$23-AL$34</f>
        <v/>
      </c>
      <c r="AM35" s="43">
        <f>AM$23-AM$34</f>
        <v/>
      </c>
      <c r="AN35" s="43">
        <f>AN$23-AN$34</f>
        <v/>
      </c>
      <c r="AO35" s="43">
        <f>AO$23-AO$34</f>
        <v/>
      </c>
      <c r="AP35" s="43">
        <f>AP$23-AP$34</f>
        <v/>
      </c>
      <c r="AQ35" s="43">
        <f>AQ$23-AQ$34</f>
        <v/>
      </c>
      <c r="AR35" s="43">
        <f>AR$23-AR$34</f>
        <v/>
      </c>
      <c r="AS35" s="43">
        <f>AS$23-AS$34</f>
        <v/>
      </c>
      <c r="AT35" s="43">
        <f>AT$23-AT$34</f>
        <v/>
      </c>
      <c r="AU35" s="43">
        <f>AU$23-AU$34</f>
        <v/>
      </c>
      <c r="AV35" s="43">
        <f>AV$23-AV$34</f>
        <v/>
      </c>
      <c r="AW35" s="43">
        <f>AW$23-AW$34</f>
        <v/>
      </c>
      <c r="AX35" s="43">
        <f>AX$23-AX$34</f>
        <v/>
      </c>
      <c r="AY35" s="43">
        <f>AY$23-AY$34</f>
        <v/>
      </c>
      <c r="AZ35" s="43">
        <f>AZ$23-AZ$34</f>
        <v/>
      </c>
      <c r="BA35" s="43">
        <f>BA$23-BA$34</f>
        <v/>
      </c>
      <c r="BB35" s="43">
        <f>BB$23-BB$34</f>
        <v/>
      </c>
      <c r="BC35" s="43">
        <f>BC$23-BC$34</f>
        <v/>
      </c>
      <c r="BD35" s="43">
        <f>BD$23-BD$34</f>
        <v/>
      </c>
      <c r="BE35" s="43">
        <f>BE$23-BE$34</f>
        <v/>
      </c>
      <c r="BF35" s="43">
        <f>BF$23-BF$34</f>
        <v/>
      </c>
      <c r="BG35" s="43">
        <f>BG$23-BG$34</f>
        <v/>
      </c>
      <c r="BH35" s="43">
        <f>BH$23-BH$34</f>
        <v/>
      </c>
      <c r="BI35" s="43">
        <f>BI$23-BI$34</f>
        <v/>
      </c>
      <c r="BJ35" s="43">
        <f>BJ$23-BJ$34</f>
        <v/>
      </c>
      <c r="BK35" s="43">
        <f>BK$23-BK$34</f>
        <v/>
      </c>
      <c r="BL35" s="43">
        <f>BL$23-BL$34</f>
        <v/>
      </c>
      <c r="BM35" s="43">
        <f>BM$23-BM$34</f>
        <v/>
      </c>
      <c r="BN35" s="43">
        <f>BN$23-BN$34</f>
        <v/>
      </c>
      <c r="BO35" s="43">
        <f>BO$23-BO$34</f>
        <v/>
      </c>
      <c r="BP35" s="43">
        <f>BP$23-BP$34</f>
        <v/>
      </c>
      <c r="BQ35" s="43">
        <f>BQ$23-BQ$34</f>
        <v/>
      </c>
      <c r="BR35" s="43">
        <f>BR$23-BR$34</f>
        <v/>
      </c>
      <c r="BS35" s="43">
        <f>BS$23-BS$34</f>
        <v/>
      </c>
      <c r="BT35" s="43">
        <f>BT$23-BT$34</f>
        <v/>
      </c>
      <c r="BU35" s="43">
        <f>BU$23-BU$34</f>
        <v/>
      </c>
      <c r="BV35" s="43">
        <f>BV$23-BV$34</f>
        <v/>
      </c>
      <c r="BW35" s="43">
        <f>BW$23-BW$34</f>
        <v/>
      </c>
      <c r="BX35" s="43">
        <f>BX$23-BX$34</f>
        <v/>
      </c>
      <c r="BY35" s="43">
        <f>BY$23-BY$34</f>
        <v/>
      </c>
      <c r="BZ35" s="43">
        <f>BZ$23-BZ$34</f>
        <v/>
      </c>
      <c r="CA35" s="43">
        <f>CA$23-CA$34</f>
        <v/>
      </c>
      <c r="CB35" s="43">
        <f>CB$23-CB$34</f>
        <v/>
      </c>
      <c r="CC35" s="43">
        <f>CC$23-CC$34</f>
        <v/>
      </c>
      <c r="CD35" s="43">
        <f>CD$23-CD$34</f>
        <v/>
      </c>
      <c r="CE35" s="43">
        <f>CE$23-CE$34</f>
        <v/>
      </c>
      <c r="CF35" s="43">
        <f>CF$23-CF$34</f>
        <v/>
      </c>
      <c r="CG35" s="43">
        <f>CG$23-CG$34</f>
        <v/>
      </c>
      <c r="CH35" s="43">
        <f>CH$23-CH$34</f>
        <v/>
      </c>
      <c r="CI35" s="43">
        <f>CI$23-CI$34</f>
        <v/>
      </c>
      <c r="CJ35" s="43">
        <f>CJ$23-CJ$34</f>
        <v/>
      </c>
      <c r="CK35" s="43">
        <f>CK$23-CK$34</f>
        <v/>
      </c>
      <c r="CL35" s="43">
        <f>CL$23-CL$34</f>
        <v/>
      </c>
      <c r="CM35" s="43">
        <f>CM$23-CM$34</f>
        <v/>
      </c>
      <c r="CN35" s="43">
        <f>CN$23-CN$34</f>
        <v/>
      </c>
      <c r="CO35" s="43">
        <f>CO$23-CO$34</f>
        <v/>
      </c>
      <c r="CP35" s="43">
        <f>CP$23-CP$34</f>
        <v/>
      </c>
      <c r="CQ35" s="43">
        <f>CQ$23-CQ$34</f>
        <v/>
      </c>
      <c r="CR35" s="43">
        <f>CR$23-CR$34</f>
        <v/>
      </c>
      <c r="CS35" s="43">
        <f>CS$23-CS$34</f>
        <v/>
      </c>
      <c r="CT35" s="43">
        <f>CT$23-CT$34</f>
        <v/>
      </c>
      <c r="CU35" s="43">
        <f>CU$23-CU$34</f>
        <v/>
      </c>
      <c r="CV35" s="43">
        <f>CV$23-CV$34</f>
        <v/>
      </c>
      <c r="CW35" s="43">
        <f>CW$23-CW$34</f>
        <v/>
      </c>
      <c r="CX35" s="43">
        <f>CX$23-CX$34</f>
        <v/>
      </c>
      <c r="CY35" s="43">
        <f>CY$23-CY$34</f>
        <v/>
      </c>
      <c r="CZ35" s="43">
        <f>CZ$23-CZ$34</f>
        <v/>
      </c>
      <c r="DA35" s="43">
        <f>DA$23-DA$34</f>
        <v/>
      </c>
      <c r="DB35" s="43">
        <f>DB$23-DB$34</f>
        <v/>
      </c>
      <c r="DC35" s="43">
        <f>DC$23-DC$34</f>
        <v/>
      </c>
      <c r="DD35" s="43">
        <f>DD$23-DD$34</f>
        <v/>
      </c>
      <c r="DE35" s="43">
        <f>DE$23-DE$34</f>
        <v/>
      </c>
      <c r="DF35" s="43">
        <f>DF$23-DF$34</f>
        <v/>
      </c>
      <c r="DG35" s="43">
        <f>DG$23-DG$34</f>
        <v/>
      </c>
      <c r="DH35" s="43">
        <f>DH$23-DH$34</f>
        <v/>
      </c>
      <c r="DI35" s="43">
        <f>DI$23-DI$34</f>
        <v/>
      </c>
      <c r="DJ35" s="43">
        <f>DJ$23-DJ$34</f>
        <v/>
      </c>
      <c r="DK35" s="43">
        <f>DK$23-DK$34</f>
        <v/>
      </c>
      <c r="DL35" s="43">
        <f>DL$23-DL$34</f>
        <v/>
      </c>
      <c r="DM35" s="43">
        <f>DM$23-DM$34</f>
        <v/>
      </c>
      <c r="DN35" s="43">
        <f>DN$23-DN$34</f>
        <v/>
      </c>
      <c r="DO35" s="43">
        <f>DO$23-DO$34</f>
        <v/>
      </c>
      <c r="DP35" s="43">
        <f>DP$23-DP$34</f>
        <v/>
      </c>
      <c r="DQ35" s="43">
        <f>DQ$23-DQ$34</f>
        <v/>
      </c>
      <c r="DR35" s="43">
        <f>DR$23-DR$34</f>
        <v/>
      </c>
      <c r="DS35" s="43">
        <f>DS$23-DS$34</f>
        <v/>
      </c>
      <c r="DT35" s="43">
        <f>DT$23-DT$34</f>
        <v/>
      </c>
      <c r="DU35" s="43">
        <f>DU$23-DU$34</f>
        <v/>
      </c>
      <c r="DV35" s="43">
        <f>DV$23-DV$34</f>
        <v/>
      </c>
      <c r="DW35" s="43">
        <f>DW$23-DW$34</f>
        <v/>
      </c>
      <c r="DX35" s="43">
        <f>DX$23-DX$34</f>
        <v/>
      </c>
      <c r="DY35" s="43">
        <f>DY$23-DY$34</f>
        <v/>
      </c>
      <c r="DZ35" s="43">
        <f>DZ$23-DZ$34</f>
        <v/>
      </c>
      <c r="EA35" s="43">
        <f>EA$23-EA$34</f>
        <v/>
      </c>
      <c r="EB35" s="43">
        <f>EB$23-EB$34</f>
        <v/>
      </c>
      <c r="EC35" s="43">
        <f>EC$23-EC$34</f>
        <v/>
      </c>
      <c r="ED35" s="43">
        <f>ED$23-ED$34</f>
        <v/>
      </c>
      <c r="EE35" s="43">
        <f>EE$23-EE$34</f>
        <v/>
      </c>
      <c r="EF35" s="43">
        <f>EF$23-EF$34</f>
        <v/>
      </c>
      <c r="EG35" s="43">
        <f>EG$23-EG$34</f>
        <v/>
      </c>
      <c r="EH35" s="43">
        <f>EH$23-EH$34</f>
        <v/>
      </c>
      <c r="EI35" s="43">
        <f>EI$23-EI$34</f>
        <v/>
      </c>
      <c r="EJ35" s="43">
        <f>EJ$23-EJ$34</f>
        <v/>
      </c>
      <c r="EK35" s="43">
        <f>EK$23-EK$34</f>
        <v/>
      </c>
      <c r="EL35" s="43">
        <f>EL$23-EL$34</f>
        <v/>
      </c>
      <c r="EM35" s="43">
        <f>EM$23-EM$34</f>
        <v/>
      </c>
      <c r="EN35" s="43">
        <f>EN$23-EN$34</f>
        <v/>
      </c>
      <c r="EO35" s="43">
        <f>EO$23-EO$34</f>
        <v/>
      </c>
      <c r="EP35" s="43">
        <f>EP$23-EP$34</f>
        <v/>
      </c>
      <c r="EQ35" s="43">
        <f>EQ$23-EQ$34</f>
        <v/>
      </c>
      <c r="ER35" s="43">
        <f>ER$23-ER$34</f>
        <v/>
      </c>
      <c r="ES35" s="43">
        <f>ES$23-ES$34</f>
        <v/>
      </c>
      <c r="ET35" s="43">
        <f>ET$23-ET$34</f>
        <v/>
      </c>
      <c r="EU35" s="43">
        <f>EU$23-EU$34</f>
        <v/>
      </c>
      <c r="EV35" s="43">
        <f>EV$23-EV$34</f>
        <v/>
      </c>
      <c r="EW35" s="43">
        <f>EW$23-EW$34</f>
        <v/>
      </c>
      <c r="EX35" s="43">
        <f>EX$23-EX$34</f>
        <v/>
      </c>
      <c r="EY35" s="43">
        <f>EY$23-EY$34</f>
        <v/>
      </c>
      <c r="EZ35" s="43">
        <f>EZ$23-EZ$34</f>
        <v/>
      </c>
      <c r="FA35" s="43">
        <f>FA$23-FA$34</f>
        <v/>
      </c>
      <c r="FB35" s="43">
        <f>FB$23-FB$34</f>
        <v/>
      </c>
      <c r="FC35" s="43">
        <f>FC$23-FC$34</f>
        <v/>
      </c>
      <c r="FD35" s="43">
        <f>FD$23-FD$34</f>
        <v/>
      </c>
      <c r="FE35" s="43">
        <f>FE$23-FE$34</f>
        <v/>
      </c>
      <c r="FF35" s="43">
        <f>FF$23-FF$34</f>
        <v/>
      </c>
      <c r="FG35" s="43">
        <f>FG$23-FG$34</f>
        <v/>
      </c>
      <c r="FH35" s="43">
        <f>FH$23-FH$34</f>
        <v/>
      </c>
      <c r="FI35" s="43">
        <f>FI$23-FI$34</f>
        <v/>
      </c>
      <c r="FJ35" s="43">
        <f>FJ$23-FJ$34</f>
        <v/>
      </c>
      <c r="FK35" s="43">
        <f>FK$23-FK$34</f>
        <v/>
      </c>
      <c r="FL35" s="43">
        <f>FL$23-FL$34</f>
        <v/>
      </c>
      <c r="FM35" s="43">
        <f>FM$23-FM$34</f>
        <v/>
      </c>
      <c r="FN35" s="43">
        <f>FN$23-FN$34</f>
        <v/>
      </c>
      <c r="FO35" s="43">
        <f>FO$23-FO$34</f>
        <v/>
      </c>
      <c r="FP35" s="43">
        <f>FP$23-FP$34</f>
        <v/>
      </c>
      <c r="FQ35" s="43">
        <f>FQ$23-FQ$34</f>
        <v/>
      </c>
      <c r="FR35" s="43">
        <f>FR$23-FR$34</f>
        <v/>
      </c>
      <c r="FS35" s="43">
        <f>FS$23-FS$34</f>
        <v/>
      </c>
      <c r="FT35" s="43">
        <f>FT$23-FT$34</f>
        <v/>
      </c>
      <c r="FU35" s="43">
        <f>FU$23-FU$34</f>
        <v/>
      </c>
      <c r="FV35" s="43">
        <f>FV$23-FV$34</f>
        <v/>
      </c>
      <c r="FW35" s="43">
        <f>FW$23-FW$34</f>
        <v/>
      </c>
      <c r="FX35" s="43">
        <f>FX$23-FX$34</f>
        <v/>
      </c>
      <c r="FY35" s="43">
        <f>FY$23-FY$34</f>
        <v/>
      </c>
      <c r="FZ35" s="43">
        <f>FZ$23-FZ$34</f>
        <v/>
      </c>
      <c r="GA35" s="43">
        <f>GA$23-GA$34</f>
        <v/>
      </c>
      <c r="GB35" s="43">
        <f>GB$23-GB$34</f>
        <v/>
      </c>
      <c r="GC35" s="43">
        <f>GC$23-GC$34</f>
        <v/>
      </c>
      <c r="GD35" s="43">
        <f>GD$23-GD$34</f>
        <v/>
      </c>
      <c r="GE35" s="43">
        <f>GE$23-GE$34</f>
        <v/>
      </c>
      <c r="GF35" s="43">
        <f>GF$23-GF$34</f>
        <v/>
      </c>
      <c r="GG35" s="43">
        <f>GG$23-GG$34</f>
        <v/>
      </c>
      <c r="GH35" s="43">
        <f>GH$23-GH$34</f>
        <v/>
      </c>
      <c r="GI35" s="43">
        <f>GI$23-GI$34</f>
        <v/>
      </c>
      <c r="GJ35" s="43">
        <f>GJ$23-GJ$34</f>
        <v/>
      </c>
      <c r="GK35" s="43">
        <f>GK$23-GK$34</f>
        <v/>
      </c>
      <c r="GL35" s="43">
        <f>GL$23-GL$34</f>
        <v/>
      </c>
      <c r="GM35" s="43">
        <f>GM$23-GM$34</f>
        <v/>
      </c>
      <c r="GN35" s="43">
        <f>GN$23-GN$34</f>
        <v/>
      </c>
      <c r="GO35" s="43">
        <f>GO$23-GO$34</f>
        <v/>
      </c>
      <c r="GP35" s="43">
        <f>GP$23-GP$34</f>
        <v/>
      </c>
      <c r="GQ35" s="43">
        <f>GQ$23-GQ$34</f>
        <v/>
      </c>
      <c r="GR35" s="43">
        <f>GR$23-GR$34</f>
        <v/>
      </c>
      <c r="GS35" s="43">
        <f>GS$23-GS$34</f>
        <v/>
      </c>
      <c r="GT35" s="43">
        <f>GT$23-GT$34</f>
        <v/>
      </c>
      <c r="GU35" s="43">
        <f>GU$23-GU$34</f>
        <v/>
      </c>
      <c r="GV35" s="43">
        <f>GV$23-GV$34</f>
        <v/>
      </c>
      <c r="GW35" s="43">
        <f>GW$23-GW$34</f>
        <v/>
      </c>
      <c r="GX35" s="43">
        <f>GX$23-GX$34</f>
        <v/>
      </c>
      <c r="GY35" s="43">
        <f>GY$23-GY$34</f>
        <v/>
      </c>
      <c r="GZ35" s="43">
        <f>GZ$23-GZ$34</f>
        <v/>
      </c>
      <c r="HA35" s="43">
        <f>HA$23-HA$34</f>
        <v/>
      </c>
      <c r="HB35" s="43">
        <f>HB$23-HB$34</f>
        <v/>
      </c>
      <c r="HC35" s="43">
        <f>HC$23-HC$34</f>
        <v/>
      </c>
      <c r="HD35" s="43">
        <f>HD$23-HD$34</f>
        <v/>
      </c>
      <c r="HE35" s="43">
        <f>HE$23-HE$34</f>
        <v/>
      </c>
      <c r="HF35" s="43">
        <f>HF$23-HF$34</f>
        <v/>
      </c>
      <c r="HG35" s="43">
        <f>HG$23-HG$34</f>
        <v/>
      </c>
      <c r="HH35" s="43">
        <f>HH$23-HH$34</f>
        <v/>
      </c>
      <c r="HI35" s="43">
        <f>HI$23-HI$34</f>
        <v/>
      </c>
      <c r="HJ35" s="43">
        <f>HJ$23-HJ$34</f>
        <v/>
      </c>
      <c r="HK35" s="43">
        <f>HK$23-HK$34</f>
        <v/>
      </c>
      <c r="HL35" s="43">
        <f>HL$23-HL$34</f>
        <v/>
      </c>
      <c r="HM35" s="43">
        <f>HM$23-HM$34</f>
        <v/>
      </c>
      <c r="HN35" s="43">
        <f>HN$23-HN$34</f>
        <v/>
      </c>
      <c r="HO35" s="43">
        <f>HO$23-HO$34</f>
        <v/>
      </c>
      <c r="HP35" s="43">
        <f>HP$23-HP$34</f>
        <v/>
      </c>
      <c r="HQ35" s="43">
        <f>HQ$23-HQ$34</f>
        <v/>
      </c>
      <c r="HR35" s="43">
        <f>HR$23-HR$34</f>
        <v/>
      </c>
      <c r="HS35" s="43">
        <f>HS$23-HS$34</f>
        <v/>
      </c>
      <c r="HT35" s="43">
        <f>HT$23-HT$34</f>
        <v/>
      </c>
      <c r="HU35" s="43">
        <f>HU$23-HU$34</f>
        <v/>
      </c>
      <c r="HV35" s="43">
        <f>HV$23-HV$34</f>
        <v/>
      </c>
      <c r="HW35" s="43">
        <f>HW$23-HW$34</f>
        <v/>
      </c>
      <c r="HX35" s="43">
        <f>HX$23-HX$34</f>
        <v/>
      </c>
      <c r="HY35" s="43">
        <f>HY$23-HY$34</f>
        <v/>
      </c>
      <c r="HZ35" s="43">
        <f>HZ$23-HZ$34</f>
        <v/>
      </c>
      <c r="IA35" s="43">
        <f>IA$23-IA$34</f>
        <v/>
      </c>
      <c r="IB35" s="43">
        <f>IB$23-IB$34</f>
        <v/>
      </c>
      <c r="IC35" s="43">
        <f>IC$23-IC$34</f>
        <v/>
      </c>
      <c r="ID35" s="43">
        <f>ID$23-ID$34</f>
        <v/>
      </c>
      <c r="IE35" s="43">
        <f>IE$23-IE$34</f>
        <v/>
      </c>
      <c r="IF35" s="43">
        <f>IF$23-IF$34</f>
        <v/>
      </c>
      <c r="IG35" s="43">
        <f>IG$23-IG$34</f>
        <v/>
      </c>
      <c r="IH35" s="43">
        <f>IH$23-IH$34</f>
        <v/>
      </c>
      <c r="II35" s="43">
        <f>II$23-II$34</f>
        <v/>
      </c>
      <c r="IJ35" s="43">
        <f>IJ$23-IJ$34</f>
        <v/>
      </c>
      <c r="IK35" s="43">
        <f>IK$23-IK$34</f>
        <v/>
      </c>
      <c r="IL35" s="43">
        <f>IL$23-IL$34</f>
        <v/>
      </c>
      <c r="IM35" s="43">
        <f>IM$23-IM$34</f>
        <v/>
      </c>
      <c r="IN35" s="43">
        <f>IN$23-IN$34</f>
        <v/>
      </c>
      <c r="IO35" s="43">
        <f>IO$23-IO$34</f>
        <v/>
      </c>
      <c r="IP35" s="43">
        <f>IP$23-IP$34</f>
        <v/>
      </c>
      <c r="IQ35" s="43">
        <f>IQ$23-IQ$34</f>
        <v/>
      </c>
      <c r="IR35" s="43">
        <f>IR$23-IR$34</f>
        <v/>
      </c>
      <c r="IS35" s="43">
        <f>IS$23-IS$34</f>
        <v/>
      </c>
      <c r="IT35" s="43">
        <f>IT$23-IT$34</f>
        <v/>
      </c>
      <c r="IU35" s="43">
        <f>IU$23-IU$34</f>
        <v/>
      </c>
      <c r="IV35" s="43">
        <f>IV$23-IV$34</f>
        <v/>
      </c>
      <c r="IW35" s="43">
        <f>IW$23-IW$34</f>
        <v/>
      </c>
      <c r="IX35" s="43">
        <f>IX$23-IX$34</f>
        <v/>
      </c>
      <c r="IY35" s="43">
        <f>IY$23-IY$34</f>
        <v/>
      </c>
      <c r="IZ35" s="43">
        <f>IZ$23-IZ$34</f>
        <v/>
      </c>
      <c r="JA35" s="43">
        <f>JA$23-JA$34</f>
        <v/>
      </c>
      <c r="JB35" s="43">
        <f>JB$23-JB$34</f>
        <v/>
      </c>
      <c r="JC35" s="43">
        <f>JC$23-JC$34</f>
        <v/>
      </c>
      <c r="JD35" s="43">
        <f>JD$23-JD$34</f>
        <v/>
      </c>
      <c r="JE35" s="43">
        <f>JE$23-JE$34</f>
        <v/>
      </c>
      <c r="JF35" s="43">
        <f>JF$23-JF$34</f>
        <v/>
      </c>
      <c r="JG35" s="43">
        <f>JG$23-JG$34</f>
        <v/>
      </c>
      <c r="JH35" s="43">
        <f>JH$23-JH$34</f>
        <v/>
      </c>
      <c r="JI35" s="43">
        <f>JI$23-JI$34</f>
        <v/>
      </c>
      <c r="JJ35" s="43">
        <f>JJ$23-JJ$34</f>
        <v/>
      </c>
      <c r="JK35" s="43">
        <f>JK$23-JK$34</f>
        <v/>
      </c>
      <c r="JL35" s="43">
        <f>JL$23-JL$34</f>
        <v/>
      </c>
      <c r="JM35" s="43">
        <f>JM$23-JM$34</f>
        <v/>
      </c>
      <c r="JN35" s="43">
        <f>JN$23-JN$34</f>
        <v/>
      </c>
      <c r="JO35" s="43">
        <f>JO$23-JO$34</f>
        <v/>
      </c>
      <c r="JP35" s="43">
        <f>JP$23-JP$34</f>
        <v/>
      </c>
      <c r="JQ35" s="43">
        <f>JQ$23-JQ$34</f>
        <v/>
      </c>
      <c r="JR35" s="43">
        <f>JR$23-JR$34</f>
        <v/>
      </c>
      <c r="JS35" s="43">
        <f>JS$23-JS$34</f>
        <v/>
      </c>
      <c r="JT35" s="43">
        <f>JT$23-JT$34</f>
        <v/>
      </c>
      <c r="JU35" s="43">
        <f>JU$23-JU$34</f>
        <v/>
      </c>
      <c r="JV35" s="43">
        <f>JV$23-JV$34</f>
        <v/>
      </c>
      <c r="JW35" s="43">
        <f>JW$23-JW$34</f>
        <v/>
      </c>
      <c r="JX35" s="43">
        <f>JX$23-JX$34</f>
        <v/>
      </c>
      <c r="JY35" s="43">
        <f>JY$23-JY$34</f>
        <v/>
      </c>
      <c r="JZ35" s="43">
        <f>JZ$23-JZ$34</f>
        <v/>
      </c>
      <c r="KA35" s="43">
        <f>KA$23-KA$34</f>
        <v/>
      </c>
      <c r="KB35" s="43">
        <f>KB$23-KB$34</f>
        <v/>
      </c>
      <c r="KC35" s="43">
        <f>KC$23-KC$34</f>
        <v/>
      </c>
      <c r="KD35" s="43">
        <f>KD$23-KD$34</f>
        <v/>
      </c>
      <c r="KE35" s="43">
        <f>KE$23-KE$34</f>
        <v/>
      </c>
      <c r="KF35" s="43">
        <f>KF$23-KF$34</f>
        <v/>
      </c>
      <c r="KG35" s="43">
        <f>KG$23-KG$34</f>
        <v/>
      </c>
      <c r="KH35" s="43">
        <f>KH$23-KH$34</f>
        <v/>
      </c>
      <c r="KI35" s="43">
        <f>KI$23-KI$34</f>
        <v/>
      </c>
      <c r="KJ35" s="43">
        <f>KJ$23-KJ$34</f>
        <v/>
      </c>
      <c r="KK35" s="43">
        <f>KK$23-KK$34</f>
        <v/>
      </c>
      <c r="KL35" s="43">
        <f>KL$23-KL$34</f>
        <v/>
      </c>
      <c r="KM35" s="43">
        <f>KM$23-KM$34</f>
        <v/>
      </c>
      <c r="KN35" s="43">
        <f>KN$23-KN$34</f>
        <v/>
      </c>
      <c r="KO35" s="43">
        <f>KO$23-KO$34</f>
        <v/>
      </c>
      <c r="KP35" s="43">
        <f>KP$23-KP$34</f>
        <v/>
      </c>
      <c r="KQ35" s="43">
        <f>KQ$23-KQ$34</f>
        <v/>
      </c>
      <c r="KR35" s="43">
        <f>KR$23-KR$34</f>
        <v/>
      </c>
      <c r="KS35" s="43">
        <f>KS$23-KS$34</f>
        <v/>
      </c>
      <c r="KT35" s="43">
        <f>KT$23-KT$34</f>
        <v/>
      </c>
      <c r="KU35" s="43">
        <f>KU$23-KU$34</f>
        <v/>
      </c>
      <c r="KV35" s="43">
        <f>KV$23-KV$34</f>
        <v/>
      </c>
      <c r="KW35" s="43">
        <f>KW$23-KW$34</f>
        <v/>
      </c>
      <c r="KX35" s="43">
        <f>KX$23-KX$34</f>
        <v/>
      </c>
      <c r="KY35" s="43">
        <f>KY$23-KY$34</f>
        <v/>
      </c>
      <c r="KZ35" s="43">
        <f>KZ$23-KZ$34</f>
        <v/>
      </c>
      <c r="LA35" s="43">
        <f>LA$23-LA$34</f>
        <v/>
      </c>
      <c r="LB35" s="43">
        <f>LB$23-LB$34</f>
        <v/>
      </c>
      <c r="LC35" s="43">
        <f>LC$23-LC$34</f>
        <v/>
      </c>
      <c r="LD35" s="43">
        <f>LD$23-LD$34</f>
        <v/>
      </c>
      <c r="LE35" s="43">
        <f>LE$23-LE$34</f>
        <v/>
      </c>
      <c r="LF35" s="43">
        <f>LF$23-LF$34</f>
        <v/>
      </c>
      <c r="LG35" s="43">
        <f>LG$23-LG$34</f>
        <v/>
      </c>
      <c r="LH35" s="43">
        <f>LH$23-LH$34</f>
        <v/>
      </c>
      <c r="LI35" s="43">
        <f>LI$23-LI$34</f>
        <v/>
      </c>
      <c r="LJ35" s="43">
        <f>LJ$23-LJ$34</f>
        <v/>
      </c>
      <c r="LK35" s="43">
        <f>LK$23-LK$34</f>
        <v/>
      </c>
      <c r="LL35" s="43">
        <f>LL$23-LL$34</f>
        <v/>
      </c>
      <c r="LM35" s="43">
        <f>LM$23-LM$34</f>
        <v/>
      </c>
      <c r="LN35" s="43">
        <f>LN$23-LN$34</f>
        <v/>
      </c>
      <c r="LO35" s="43">
        <f>LO$23-LO$34</f>
        <v/>
      </c>
      <c r="LP35" s="43">
        <f>LP$23-LP$34</f>
        <v/>
      </c>
      <c r="LQ35" s="43">
        <f>LQ$23-LQ$34</f>
        <v/>
      </c>
      <c r="LR35" s="43">
        <f>LR$23-LR$34</f>
        <v/>
      </c>
      <c r="LS35" s="43">
        <f>LS$23-LS$34</f>
        <v/>
      </c>
      <c r="LT35" s="43">
        <f>LT$23-LT$34</f>
        <v/>
      </c>
      <c r="LU35" s="43">
        <f>LU$23-LU$34</f>
        <v/>
      </c>
      <c r="LV35" s="43">
        <f>LV$23-LV$34</f>
        <v/>
      </c>
      <c r="LW35" s="43">
        <f>LW$23-LW$34</f>
        <v/>
      </c>
      <c r="LX35" s="43">
        <f>LX$23-LX$34</f>
        <v/>
      </c>
      <c r="LY35" s="43">
        <f>LY$23-LY$34</f>
        <v/>
      </c>
      <c r="LZ35" s="43">
        <f>LZ$23-LZ$34</f>
        <v/>
      </c>
      <c r="MA35" s="43">
        <f>MA$23-MA$34</f>
        <v/>
      </c>
      <c r="MB35" s="43">
        <f>MB$23-MB$34</f>
        <v/>
      </c>
      <c r="MC35" s="43">
        <f>MC$23-MC$34</f>
        <v/>
      </c>
      <c r="MD35" s="43">
        <f>MD$23-MD$34</f>
        <v/>
      </c>
      <c r="ME35" s="43">
        <f>ME$23-ME$34</f>
        <v/>
      </c>
      <c r="MF35" s="43">
        <f>MF$23-MF$34</f>
        <v/>
      </c>
      <c r="MG35" s="43">
        <f>MG$23-MG$34</f>
        <v/>
      </c>
      <c r="MH35" s="43">
        <f>MH$23-MH$34</f>
        <v/>
      </c>
      <c r="MI35" s="43">
        <f>MI$23-MI$34</f>
        <v/>
      </c>
      <c r="MJ35" s="43">
        <f>MJ$23-MJ$34</f>
        <v/>
      </c>
      <c r="MK35" s="43">
        <f>MK$23-MK$34</f>
        <v/>
      </c>
      <c r="ML35" s="43">
        <f>ML$23-ML$34</f>
        <v/>
      </c>
      <c r="MM35" s="43">
        <f>MM$23-MM$34</f>
        <v/>
      </c>
      <c r="MN35" s="43">
        <f>MN$23-MN$34</f>
        <v/>
      </c>
      <c r="MO35" s="43">
        <f>MO$23-MO$34</f>
        <v/>
      </c>
      <c r="MP35" s="43">
        <f>MP$23-MP$34</f>
        <v/>
      </c>
      <c r="MQ35" s="43">
        <f>MQ$23-MQ$34</f>
        <v/>
      </c>
      <c r="MR35" s="43">
        <f>MR$23-MR$34</f>
        <v/>
      </c>
      <c r="MS35" s="43">
        <f>MS$23-MS$34</f>
        <v/>
      </c>
      <c r="MT35" s="43">
        <f>MT$23-MT$34</f>
        <v/>
      </c>
      <c r="MU35" s="43">
        <f>MU$23-MU$34</f>
        <v/>
      </c>
      <c r="MV35" s="43">
        <f>MV$23-MV$34</f>
        <v/>
      </c>
      <c r="MW35" s="43">
        <f>MW$23-MW$34</f>
        <v/>
      </c>
      <c r="MX35" s="43">
        <f>MX$23-MX$34</f>
        <v/>
      </c>
      <c r="MY35" s="43">
        <f>MY$23-MY$34</f>
        <v/>
      </c>
      <c r="MZ35" s="43">
        <f>MZ$23-MZ$34</f>
        <v/>
      </c>
      <c r="NA35" s="43">
        <f>NA$23-NA$34</f>
        <v/>
      </c>
      <c r="NB35" s="43">
        <f>NB$23-NB$34</f>
        <v/>
      </c>
      <c r="NC35" s="43">
        <f>NC$23-NC$34</f>
        <v/>
      </c>
      <c r="ND35" s="43">
        <f>ND$23-ND$34</f>
        <v/>
      </c>
      <c r="NE35" s="43">
        <f>NE$23-NE$34</f>
        <v/>
      </c>
      <c r="NF35" s="43">
        <f>NF$23-NF$34</f>
        <v/>
      </c>
      <c r="NG35" s="43">
        <f>NG$23-NG$34</f>
        <v/>
      </c>
      <c r="NH35" s="43">
        <f>NH$23-NH$34</f>
        <v/>
      </c>
      <c r="NI35" s="43">
        <f>NI$23-NI$34</f>
        <v/>
      </c>
      <c r="NJ35" s="43">
        <f>NJ$23-NJ$34</f>
        <v/>
      </c>
      <c r="NK35" s="43">
        <f>NK$23-NK$34</f>
        <v/>
      </c>
    </row>
    <row r="36">
      <c r="A36" s="5" t="inlineStr">
        <is>
          <t>Property Tax</t>
        </is>
      </c>
      <c r="C36" s="41">
        <f>SUM(D36:NK36)</f>
        <v/>
      </c>
      <c r="D36" s="18">
        <f>IF(1&lt;StabMonth,0,IF(TaxMethodValue&gt;=1,TaxYear1*(1+GrowthTax)^(MAX(0,(1-StabMonth)/12))/12,MAX(0,D$35*12)/EntryCapRate*(TaxLevyPct*TaxAssessmentPct*TaxValueAdjFactor)/12))</f>
        <v/>
      </c>
      <c r="E36" s="18">
        <f>IF(2&lt;StabMonth,0,IF(TaxMethodValue&gt;=1,TaxYear1*(1+GrowthTax)^(MAX(0,(2-StabMonth)/12))/12,MAX(0,E$35*12)/EntryCapRate*(TaxLevyPct*TaxAssessmentPct*TaxValueAdjFactor)/12))</f>
        <v/>
      </c>
      <c r="F36" s="18">
        <f>IF(3&lt;StabMonth,0,IF(TaxMethodValue&gt;=1,TaxYear1*(1+GrowthTax)^(MAX(0,(3-StabMonth)/12))/12,MAX(0,F$35*12)/EntryCapRate*(TaxLevyPct*TaxAssessmentPct*TaxValueAdjFactor)/12))</f>
        <v/>
      </c>
      <c r="G36" s="18">
        <f>IF(4&lt;StabMonth,0,IF(TaxMethodValue&gt;=1,TaxYear1*(1+GrowthTax)^(MAX(0,(4-StabMonth)/12))/12,MAX(0,G$35*12)/EntryCapRate*(TaxLevyPct*TaxAssessmentPct*TaxValueAdjFactor)/12))</f>
        <v/>
      </c>
      <c r="H36" s="18">
        <f>IF(5&lt;StabMonth,0,IF(TaxMethodValue&gt;=1,TaxYear1*(1+GrowthTax)^(MAX(0,(5-StabMonth)/12))/12,MAX(0,H$35*12)/EntryCapRate*(TaxLevyPct*TaxAssessmentPct*TaxValueAdjFactor)/12))</f>
        <v/>
      </c>
      <c r="I36" s="18">
        <f>IF(6&lt;StabMonth,0,IF(TaxMethodValue&gt;=1,TaxYear1*(1+GrowthTax)^(MAX(0,(6-StabMonth)/12))/12,MAX(0,I$35*12)/EntryCapRate*(TaxLevyPct*TaxAssessmentPct*TaxValueAdjFactor)/12))</f>
        <v/>
      </c>
      <c r="J36" s="18">
        <f>IF(7&lt;StabMonth,0,IF(TaxMethodValue&gt;=1,TaxYear1*(1+GrowthTax)^(MAX(0,(7-StabMonth)/12))/12,MAX(0,J$35*12)/EntryCapRate*(TaxLevyPct*TaxAssessmentPct*TaxValueAdjFactor)/12))</f>
        <v/>
      </c>
      <c r="K36" s="18">
        <f>IF(8&lt;StabMonth,0,IF(TaxMethodValue&gt;=1,TaxYear1*(1+GrowthTax)^(MAX(0,(8-StabMonth)/12))/12,MAX(0,K$35*12)/EntryCapRate*(TaxLevyPct*TaxAssessmentPct*TaxValueAdjFactor)/12))</f>
        <v/>
      </c>
      <c r="L36" s="18">
        <f>IF(9&lt;StabMonth,0,IF(TaxMethodValue&gt;=1,TaxYear1*(1+GrowthTax)^(MAX(0,(9-StabMonth)/12))/12,MAX(0,L$35*12)/EntryCapRate*(TaxLevyPct*TaxAssessmentPct*TaxValueAdjFactor)/12))</f>
        <v/>
      </c>
      <c r="M36" s="18">
        <f>IF(10&lt;StabMonth,0,IF(TaxMethodValue&gt;=1,TaxYear1*(1+GrowthTax)^(MAX(0,(10-StabMonth)/12))/12,MAX(0,M$35*12)/EntryCapRate*(TaxLevyPct*TaxAssessmentPct*TaxValueAdjFactor)/12))</f>
        <v/>
      </c>
      <c r="N36" s="18">
        <f>IF(11&lt;StabMonth,0,IF(TaxMethodValue&gt;=1,TaxYear1*(1+GrowthTax)^(MAX(0,(11-StabMonth)/12))/12,MAX(0,N$35*12)/EntryCapRate*(TaxLevyPct*TaxAssessmentPct*TaxValueAdjFactor)/12))</f>
        <v/>
      </c>
      <c r="O36" s="18">
        <f>IF(12&lt;StabMonth,0,IF(TaxMethodValue&gt;=1,TaxYear1*(1+GrowthTax)^(MAX(0,(12-StabMonth)/12))/12,MAX(0,O$35*12)/EntryCapRate*(TaxLevyPct*TaxAssessmentPct*TaxValueAdjFactor)/12))</f>
        <v/>
      </c>
      <c r="P36" s="18">
        <f>IF(13&lt;StabMonth,0,IF(TaxMethodValue&gt;=1,TaxYear1*(1+GrowthTax)^(MAX(0,(13-StabMonth)/12))/12,MAX(0,P$35*12)/EntryCapRate*(TaxLevyPct*TaxAssessmentPct*TaxValueAdjFactor)/12))</f>
        <v/>
      </c>
      <c r="Q36" s="18">
        <f>IF(14&lt;StabMonth,0,IF(TaxMethodValue&gt;=1,TaxYear1*(1+GrowthTax)^(MAX(0,(14-StabMonth)/12))/12,MAX(0,Q$35*12)/EntryCapRate*(TaxLevyPct*TaxAssessmentPct*TaxValueAdjFactor)/12))</f>
        <v/>
      </c>
      <c r="R36" s="18">
        <f>IF(15&lt;StabMonth,0,IF(TaxMethodValue&gt;=1,TaxYear1*(1+GrowthTax)^(MAX(0,(15-StabMonth)/12))/12,MAX(0,R$35*12)/EntryCapRate*(TaxLevyPct*TaxAssessmentPct*TaxValueAdjFactor)/12))</f>
        <v/>
      </c>
      <c r="S36" s="18">
        <f>IF(16&lt;StabMonth,0,IF(TaxMethodValue&gt;=1,TaxYear1*(1+GrowthTax)^(MAX(0,(16-StabMonth)/12))/12,MAX(0,S$35*12)/EntryCapRate*(TaxLevyPct*TaxAssessmentPct*TaxValueAdjFactor)/12))</f>
        <v/>
      </c>
      <c r="T36" s="18">
        <f>IF(17&lt;StabMonth,0,IF(TaxMethodValue&gt;=1,TaxYear1*(1+GrowthTax)^(MAX(0,(17-StabMonth)/12))/12,MAX(0,T$35*12)/EntryCapRate*(TaxLevyPct*TaxAssessmentPct*TaxValueAdjFactor)/12))</f>
        <v/>
      </c>
      <c r="U36" s="18">
        <f>IF(18&lt;StabMonth,0,IF(TaxMethodValue&gt;=1,TaxYear1*(1+GrowthTax)^(MAX(0,(18-StabMonth)/12))/12,MAX(0,U$35*12)/EntryCapRate*(TaxLevyPct*TaxAssessmentPct*TaxValueAdjFactor)/12))</f>
        <v/>
      </c>
      <c r="V36" s="18">
        <f>IF(19&lt;StabMonth,0,IF(TaxMethodValue&gt;=1,TaxYear1*(1+GrowthTax)^(MAX(0,(19-StabMonth)/12))/12,MAX(0,V$35*12)/EntryCapRate*(TaxLevyPct*TaxAssessmentPct*TaxValueAdjFactor)/12))</f>
        <v/>
      </c>
      <c r="W36" s="18">
        <f>IF(20&lt;StabMonth,0,IF(TaxMethodValue&gt;=1,TaxYear1*(1+GrowthTax)^(MAX(0,(20-StabMonth)/12))/12,MAX(0,W$35*12)/EntryCapRate*(TaxLevyPct*TaxAssessmentPct*TaxValueAdjFactor)/12))</f>
        <v/>
      </c>
      <c r="X36" s="18">
        <f>IF(21&lt;StabMonth,0,IF(TaxMethodValue&gt;=1,TaxYear1*(1+GrowthTax)^(MAX(0,(21-StabMonth)/12))/12,MAX(0,X$35*12)/EntryCapRate*(TaxLevyPct*TaxAssessmentPct*TaxValueAdjFactor)/12))</f>
        <v/>
      </c>
      <c r="Y36" s="18">
        <f>IF(22&lt;StabMonth,0,IF(TaxMethodValue&gt;=1,TaxYear1*(1+GrowthTax)^(MAX(0,(22-StabMonth)/12))/12,MAX(0,Y$35*12)/EntryCapRate*(TaxLevyPct*TaxAssessmentPct*TaxValueAdjFactor)/12))</f>
        <v/>
      </c>
      <c r="Z36" s="18">
        <f>IF(23&lt;StabMonth,0,IF(TaxMethodValue&gt;=1,TaxYear1*(1+GrowthTax)^(MAX(0,(23-StabMonth)/12))/12,MAX(0,Z$35*12)/EntryCapRate*(TaxLevyPct*TaxAssessmentPct*TaxValueAdjFactor)/12))</f>
        <v/>
      </c>
      <c r="AA36" s="18">
        <f>IF(24&lt;StabMonth,0,IF(TaxMethodValue&gt;=1,TaxYear1*(1+GrowthTax)^(MAX(0,(24-StabMonth)/12))/12,MAX(0,AA$35*12)/EntryCapRate*(TaxLevyPct*TaxAssessmentPct*TaxValueAdjFactor)/12))</f>
        <v/>
      </c>
      <c r="AB36" s="18">
        <f>IF(25&lt;StabMonth,0,IF(TaxMethodValue&gt;=1,TaxYear1*(1+GrowthTax)^(MAX(0,(25-StabMonth)/12))/12,MAX(0,AB$35*12)/EntryCapRate*(TaxLevyPct*TaxAssessmentPct*TaxValueAdjFactor)/12))</f>
        <v/>
      </c>
      <c r="AC36" s="18">
        <f>IF(26&lt;StabMonth,0,IF(TaxMethodValue&gt;=1,TaxYear1*(1+GrowthTax)^(MAX(0,(26-StabMonth)/12))/12,MAX(0,AC$35*12)/EntryCapRate*(TaxLevyPct*TaxAssessmentPct*TaxValueAdjFactor)/12))</f>
        <v/>
      </c>
      <c r="AD36" s="18">
        <f>IF(27&lt;StabMonth,0,IF(TaxMethodValue&gt;=1,TaxYear1*(1+GrowthTax)^(MAX(0,(27-StabMonth)/12))/12,MAX(0,AD$35*12)/EntryCapRate*(TaxLevyPct*TaxAssessmentPct*TaxValueAdjFactor)/12))</f>
        <v/>
      </c>
      <c r="AE36" s="18">
        <f>IF(28&lt;StabMonth,0,IF(TaxMethodValue&gt;=1,TaxYear1*(1+GrowthTax)^(MAX(0,(28-StabMonth)/12))/12,MAX(0,AE$35*12)/EntryCapRate*(TaxLevyPct*TaxAssessmentPct*TaxValueAdjFactor)/12))</f>
        <v/>
      </c>
      <c r="AF36" s="18">
        <f>IF(29&lt;StabMonth,0,IF(TaxMethodValue&gt;=1,TaxYear1*(1+GrowthTax)^(MAX(0,(29-StabMonth)/12))/12,MAX(0,AF$35*12)/EntryCapRate*(TaxLevyPct*TaxAssessmentPct*TaxValueAdjFactor)/12))</f>
        <v/>
      </c>
      <c r="AG36" s="18">
        <f>IF(30&lt;StabMonth,0,IF(TaxMethodValue&gt;=1,TaxYear1*(1+GrowthTax)^(MAX(0,(30-StabMonth)/12))/12,MAX(0,AG$35*12)/EntryCapRate*(TaxLevyPct*TaxAssessmentPct*TaxValueAdjFactor)/12))</f>
        <v/>
      </c>
      <c r="AH36" s="18">
        <f>IF(31&lt;StabMonth,0,IF(TaxMethodValue&gt;=1,TaxYear1*(1+GrowthTax)^(MAX(0,(31-StabMonth)/12))/12,MAX(0,AH$35*12)/EntryCapRate*(TaxLevyPct*TaxAssessmentPct*TaxValueAdjFactor)/12))</f>
        <v/>
      </c>
      <c r="AI36" s="18">
        <f>IF(32&lt;StabMonth,0,IF(TaxMethodValue&gt;=1,TaxYear1*(1+GrowthTax)^(MAX(0,(32-StabMonth)/12))/12,MAX(0,AI$35*12)/EntryCapRate*(TaxLevyPct*TaxAssessmentPct*TaxValueAdjFactor)/12))</f>
        <v/>
      </c>
      <c r="AJ36" s="18">
        <f>IF(33&lt;StabMonth,0,IF(TaxMethodValue&gt;=1,TaxYear1*(1+GrowthTax)^(MAX(0,(33-StabMonth)/12))/12,MAX(0,AJ$35*12)/EntryCapRate*(TaxLevyPct*TaxAssessmentPct*TaxValueAdjFactor)/12))</f>
        <v/>
      </c>
      <c r="AK36" s="18">
        <f>IF(34&lt;StabMonth,0,IF(TaxMethodValue&gt;=1,TaxYear1*(1+GrowthTax)^(MAX(0,(34-StabMonth)/12))/12,MAX(0,AK$35*12)/EntryCapRate*(TaxLevyPct*TaxAssessmentPct*TaxValueAdjFactor)/12))</f>
        <v/>
      </c>
      <c r="AL36" s="18">
        <f>IF(35&lt;StabMonth,0,IF(TaxMethodValue&gt;=1,TaxYear1*(1+GrowthTax)^(MAX(0,(35-StabMonth)/12))/12,MAX(0,AL$35*12)/EntryCapRate*(TaxLevyPct*TaxAssessmentPct*TaxValueAdjFactor)/12))</f>
        <v/>
      </c>
      <c r="AM36" s="18">
        <f>IF(36&lt;StabMonth,0,IF(TaxMethodValue&gt;=1,TaxYear1*(1+GrowthTax)^(MAX(0,(36-StabMonth)/12))/12,MAX(0,AM$35*12)/EntryCapRate*(TaxLevyPct*TaxAssessmentPct*TaxValueAdjFactor)/12))</f>
        <v/>
      </c>
      <c r="AN36" s="18">
        <f>IF(37&lt;StabMonth,0,IF(TaxMethodValue&gt;=1,TaxYear1*(1+GrowthTax)^(MAX(0,(37-StabMonth)/12))/12,MAX(0,AN$35*12)/EntryCapRate*(TaxLevyPct*TaxAssessmentPct*TaxValueAdjFactor)/12))</f>
        <v/>
      </c>
      <c r="AO36" s="18">
        <f>IF(38&lt;StabMonth,0,IF(TaxMethodValue&gt;=1,TaxYear1*(1+GrowthTax)^(MAX(0,(38-StabMonth)/12))/12,MAX(0,AO$35*12)/EntryCapRate*(TaxLevyPct*TaxAssessmentPct*TaxValueAdjFactor)/12))</f>
        <v/>
      </c>
      <c r="AP36" s="18">
        <f>IF(39&lt;StabMonth,0,IF(TaxMethodValue&gt;=1,TaxYear1*(1+GrowthTax)^(MAX(0,(39-StabMonth)/12))/12,MAX(0,AP$35*12)/EntryCapRate*(TaxLevyPct*TaxAssessmentPct*TaxValueAdjFactor)/12))</f>
        <v/>
      </c>
      <c r="AQ36" s="18">
        <f>IF(40&lt;StabMonth,0,IF(TaxMethodValue&gt;=1,TaxYear1*(1+GrowthTax)^(MAX(0,(40-StabMonth)/12))/12,MAX(0,AQ$35*12)/EntryCapRate*(TaxLevyPct*TaxAssessmentPct*TaxValueAdjFactor)/12))</f>
        <v/>
      </c>
      <c r="AR36" s="18">
        <f>IF(41&lt;StabMonth,0,IF(TaxMethodValue&gt;=1,TaxYear1*(1+GrowthTax)^(MAX(0,(41-StabMonth)/12))/12,MAX(0,AR$35*12)/EntryCapRate*(TaxLevyPct*TaxAssessmentPct*TaxValueAdjFactor)/12))</f>
        <v/>
      </c>
      <c r="AS36" s="18">
        <f>IF(42&lt;StabMonth,0,IF(TaxMethodValue&gt;=1,TaxYear1*(1+GrowthTax)^(MAX(0,(42-StabMonth)/12))/12,MAX(0,AS$35*12)/EntryCapRate*(TaxLevyPct*TaxAssessmentPct*TaxValueAdjFactor)/12))</f>
        <v/>
      </c>
      <c r="AT36" s="18">
        <f>IF(43&lt;StabMonth,0,IF(TaxMethodValue&gt;=1,TaxYear1*(1+GrowthTax)^(MAX(0,(43-StabMonth)/12))/12,MAX(0,AT$35*12)/EntryCapRate*(TaxLevyPct*TaxAssessmentPct*TaxValueAdjFactor)/12))</f>
        <v/>
      </c>
      <c r="AU36" s="18">
        <f>IF(44&lt;StabMonth,0,IF(TaxMethodValue&gt;=1,TaxYear1*(1+GrowthTax)^(MAX(0,(44-StabMonth)/12))/12,MAX(0,AU$35*12)/EntryCapRate*(TaxLevyPct*TaxAssessmentPct*TaxValueAdjFactor)/12))</f>
        <v/>
      </c>
      <c r="AV36" s="18">
        <f>IF(45&lt;StabMonth,0,IF(TaxMethodValue&gt;=1,TaxYear1*(1+GrowthTax)^(MAX(0,(45-StabMonth)/12))/12,MAX(0,AV$35*12)/EntryCapRate*(TaxLevyPct*TaxAssessmentPct*TaxValueAdjFactor)/12))</f>
        <v/>
      </c>
      <c r="AW36" s="18">
        <f>IF(46&lt;StabMonth,0,IF(TaxMethodValue&gt;=1,TaxYear1*(1+GrowthTax)^(MAX(0,(46-StabMonth)/12))/12,MAX(0,AW$35*12)/EntryCapRate*(TaxLevyPct*TaxAssessmentPct*TaxValueAdjFactor)/12))</f>
        <v/>
      </c>
      <c r="AX36" s="18">
        <f>IF(47&lt;StabMonth,0,IF(TaxMethodValue&gt;=1,TaxYear1*(1+GrowthTax)^(MAX(0,(47-StabMonth)/12))/12,MAX(0,AX$35*12)/EntryCapRate*(TaxLevyPct*TaxAssessmentPct*TaxValueAdjFactor)/12))</f>
        <v/>
      </c>
      <c r="AY36" s="18">
        <f>IF(48&lt;StabMonth,0,IF(TaxMethodValue&gt;=1,TaxYear1*(1+GrowthTax)^(MAX(0,(48-StabMonth)/12))/12,MAX(0,AY$35*12)/EntryCapRate*(TaxLevyPct*TaxAssessmentPct*TaxValueAdjFactor)/12))</f>
        <v/>
      </c>
      <c r="AZ36" s="18">
        <f>IF(49&lt;StabMonth,0,IF(TaxMethodValue&gt;=1,TaxYear1*(1+GrowthTax)^(MAX(0,(49-StabMonth)/12))/12,MAX(0,AZ$35*12)/EntryCapRate*(TaxLevyPct*TaxAssessmentPct*TaxValueAdjFactor)/12))</f>
        <v/>
      </c>
      <c r="BA36" s="18">
        <f>IF(50&lt;StabMonth,0,IF(TaxMethodValue&gt;=1,TaxYear1*(1+GrowthTax)^(MAX(0,(50-StabMonth)/12))/12,MAX(0,BA$35*12)/EntryCapRate*(TaxLevyPct*TaxAssessmentPct*TaxValueAdjFactor)/12))</f>
        <v/>
      </c>
      <c r="BB36" s="18">
        <f>IF(51&lt;StabMonth,0,IF(TaxMethodValue&gt;=1,TaxYear1*(1+GrowthTax)^(MAX(0,(51-StabMonth)/12))/12,MAX(0,BB$35*12)/EntryCapRate*(TaxLevyPct*TaxAssessmentPct*TaxValueAdjFactor)/12))</f>
        <v/>
      </c>
      <c r="BC36" s="18">
        <f>IF(52&lt;StabMonth,0,IF(TaxMethodValue&gt;=1,TaxYear1*(1+GrowthTax)^(MAX(0,(52-StabMonth)/12))/12,MAX(0,BC$35*12)/EntryCapRate*(TaxLevyPct*TaxAssessmentPct*TaxValueAdjFactor)/12))</f>
        <v/>
      </c>
      <c r="BD36" s="18">
        <f>IF(53&lt;StabMonth,0,IF(TaxMethodValue&gt;=1,TaxYear1*(1+GrowthTax)^(MAX(0,(53-StabMonth)/12))/12,MAX(0,BD$35*12)/EntryCapRate*(TaxLevyPct*TaxAssessmentPct*TaxValueAdjFactor)/12))</f>
        <v/>
      </c>
      <c r="BE36" s="18">
        <f>IF(54&lt;StabMonth,0,IF(TaxMethodValue&gt;=1,TaxYear1*(1+GrowthTax)^(MAX(0,(54-StabMonth)/12))/12,MAX(0,BE$35*12)/EntryCapRate*(TaxLevyPct*TaxAssessmentPct*TaxValueAdjFactor)/12))</f>
        <v/>
      </c>
      <c r="BF36" s="18">
        <f>IF(55&lt;StabMonth,0,IF(TaxMethodValue&gt;=1,TaxYear1*(1+GrowthTax)^(MAX(0,(55-StabMonth)/12))/12,MAX(0,BF$35*12)/EntryCapRate*(TaxLevyPct*TaxAssessmentPct*TaxValueAdjFactor)/12))</f>
        <v/>
      </c>
      <c r="BG36" s="18">
        <f>IF(56&lt;StabMonth,0,IF(TaxMethodValue&gt;=1,TaxYear1*(1+GrowthTax)^(MAX(0,(56-StabMonth)/12))/12,MAX(0,BG$35*12)/EntryCapRate*(TaxLevyPct*TaxAssessmentPct*TaxValueAdjFactor)/12))</f>
        <v/>
      </c>
      <c r="BH36" s="18">
        <f>IF(57&lt;StabMonth,0,IF(TaxMethodValue&gt;=1,TaxYear1*(1+GrowthTax)^(MAX(0,(57-StabMonth)/12))/12,MAX(0,BH$35*12)/EntryCapRate*(TaxLevyPct*TaxAssessmentPct*TaxValueAdjFactor)/12))</f>
        <v/>
      </c>
      <c r="BI36" s="18">
        <f>IF(58&lt;StabMonth,0,IF(TaxMethodValue&gt;=1,TaxYear1*(1+GrowthTax)^(MAX(0,(58-StabMonth)/12))/12,MAX(0,BI$35*12)/EntryCapRate*(TaxLevyPct*TaxAssessmentPct*TaxValueAdjFactor)/12))</f>
        <v/>
      </c>
      <c r="BJ36" s="18">
        <f>IF(59&lt;StabMonth,0,IF(TaxMethodValue&gt;=1,TaxYear1*(1+GrowthTax)^(MAX(0,(59-StabMonth)/12))/12,MAX(0,BJ$35*12)/EntryCapRate*(TaxLevyPct*TaxAssessmentPct*TaxValueAdjFactor)/12))</f>
        <v/>
      </c>
      <c r="BK36" s="18">
        <f>IF(60&lt;StabMonth,0,IF(TaxMethodValue&gt;=1,TaxYear1*(1+GrowthTax)^(MAX(0,(60-StabMonth)/12))/12,MAX(0,BK$35*12)/EntryCapRate*(TaxLevyPct*TaxAssessmentPct*TaxValueAdjFactor)/12))</f>
        <v/>
      </c>
      <c r="BL36" s="18">
        <f>IF(61&lt;StabMonth,0,IF(TaxMethodValue&gt;=1,TaxYear1*(1+GrowthTax)^(MAX(0,(61-StabMonth)/12))/12,MAX(0,BL$35*12)/EntryCapRate*(TaxLevyPct*TaxAssessmentPct*TaxValueAdjFactor)/12))</f>
        <v/>
      </c>
      <c r="BM36" s="18">
        <f>IF(62&lt;StabMonth,0,IF(TaxMethodValue&gt;=1,TaxYear1*(1+GrowthTax)^(MAX(0,(62-StabMonth)/12))/12,MAX(0,BM$35*12)/EntryCapRate*(TaxLevyPct*TaxAssessmentPct*TaxValueAdjFactor)/12))</f>
        <v/>
      </c>
      <c r="BN36" s="18">
        <f>IF(63&lt;StabMonth,0,IF(TaxMethodValue&gt;=1,TaxYear1*(1+GrowthTax)^(MAX(0,(63-StabMonth)/12))/12,MAX(0,BN$35*12)/EntryCapRate*(TaxLevyPct*TaxAssessmentPct*TaxValueAdjFactor)/12))</f>
        <v/>
      </c>
      <c r="BO36" s="18">
        <f>IF(64&lt;StabMonth,0,IF(TaxMethodValue&gt;=1,TaxYear1*(1+GrowthTax)^(MAX(0,(64-StabMonth)/12))/12,MAX(0,BO$35*12)/EntryCapRate*(TaxLevyPct*TaxAssessmentPct*TaxValueAdjFactor)/12))</f>
        <v/>
      </c>
      <c r="BP36" s="18">
        <f>IF(65&lt;StabMonth,0,IF(TaxMethodValue&gt;=1,TaxYear1*(1+GrowthTax)^(MAX(0,(65-StabMonth)/12))/12,MAX(0,BP$35*12)/EntryCapRate*(TaxLevyPct*TaxAssessmentPct*TaxValueAdjFactor)/12))</f>
        <v/>
      </c>
      <c r="BQ36" s="18">
        <f>IF(66&lt;StabMonth,0,IF(TaxMethodValue&gt;=1,TaxYear1*(1+GrowthTax)^(MAX(0,(66-StabMonth)/12))/12,MAX(0,BQ$35*12)/EntryCapRate*(TaxLevyPct*TaxAssessmentPct*TaxValueAdjFactor)/12))</f>
        <v/>
      </c>
      <c r="BR36" s="18">
        <f>IF(67&lt;StabMonth,0,IF(TaxMethodValue&gt;=1,TaxYear1*(1+GrowthTax)^(MAX(0,(67-StabMonth)/12))/12,MAX(0,BR$35*12)/EntryCapRate*(TaxLevyPct*TaxAssessmentPct*TaxValueAdjFactor)/12))</f>
        <v/>
      </c>
      <c r="BS36" s="18">
        <f>IF(68&lt;StabMonth,0,IF(TaxMethodValue&gt;=1,TaxYear1*(1+GrowthTax)^(MAX(0,(68-StabMonth)/12))/12,MAX(0,BS$35*12)/EntryCapRate*(TaxLevyPct*TaxAssessmentPct*TaxValueAdjFactor)/12))</f>
        <v/>
      </c>
      <c r="BT36" s="18">
        <f>IF(69&lt;StabMonth,0,IF(TaxMethodValue&gt;=1,TaxYear1*(1+GrowthTax)^(MAX(0,(69-StabMonth)/12))/12,MAX(0,BT$35*12)/EntryCapRate*(TaxLevyPct*TaxAssessmentPct*TaxValueAdjFactor)/12))</f>
        <v/>
      </c>
      <c r="BU36" s="18">
        <f>IF(70&lt;StabMonth,0,IF(TaxMethodValue&gt;=1,TaxYear1*(1+GrowthTax)^(MAX(0,(70-StabMonth)/12))/12,MAX(0,BU$35*12)/EntryCapRate*(TaxLevyPct*TaxAssessmentPct*TaxValueAdjFactor)/12))</f>
        <v/>
      </c>
      <c r="BV36" s="18">
        <f>IF(71&lt;StabMonth,0,IF(TaxMethodValue&gt;=1,TaxYear1*(1+GrowthTax)^(MAX(0,(71-StabMonth)/12))/12,MAX(0,BV$35*12)/EntryCapRate*(TaxLevyPct*TaxAssessmentPct*TaxValueAdjFactor)/12))</f>
        <v/>
      </c>
      <c r="BW36" s="18">
        <f>IF(72&lt;StabMonth,0,IF(TaxMethodValue&gt;=1,TaxYear1*(1+GrowthTax)^(MAX(0,(72-StabMonth)/12))/12,MAX(0,BW$35*12)/EntryCapRate*(TaxLevyPct*TaxAssessmentPct*TaxValueAdjFactor)/12))</f>
        <v/>
      </c>
      <c r="BX36" s="18">
        <f>IF(73&lt;StabMonth,0,IF(TaxMethodValue&gt;=1,TaxYear1*(1+GrowthTax)^(MAX(0,(73-StabMonth)/12))/12,MAX(0,BX$35*12)/EntryCapRate*(TaxLevyPct*TaxAssessmentPct*TaxValueAdjFactor)/12))</f>
        <v/>
      </c>
      <c r="BY36" s="18">
        <f>IF(74&lt;StabMonth,0,IF(TaxMethodValue&gt;=1,TaxYear1*(1+GrowthTax)^(MAX(0,(74-StabMonth)/12))/12,MAX(0,BY$35*12)/EntryCapRate*(TaxLevyPct*TaxAssessmentPct*TaxValueAdjFactor)/12))</f>
        <v/>
      </c>
      <c r="BZ36" s="18">
        <f>IF(75&lt;StabMonth,0,IF(TaxMethodValue&gt;=1,TaxYear1*(1+GrowthTax)^(MAX(0,(75-StabMonth)/12))/12,MAX(0,BZ$35*12)/EntryCapRate*(TaxLevyPct*TaxAssessmentPct*TaxValueAdjFactor)/12))</f>
        <v/>
      </c>
      <c r="CA36" s="18">
        <f>IF(76&lt;StabMonth,0,IF(TaxMethodValue&gt;=1,TaxYear1*(1+GrowthTax)^(MAX(0,(76-StabMonth)/12))/12,MAX(0,CA$35*12)/EntryCapRate*(TaxLevyPct*TaxAssessmentPct*TaxValueAdjFactor)/12))</f>
        <v/>
      </c>
      <c r="CB36" s="18">
        <f>IF(77&lt;StabMonth,0,IF(TaxMethodValue&gt;=1,TaxYear1*(1+GrowthTax)^(MAX(0,(77-StabMonth)/12))/12,MAX(0,CB$35*12)/EntryCapRate*(TaxLevyPct*TaxAssessmentPct*TaxValueAdjFactor)/12))</f>
        <v/>
      </c>
      <c r="CC36" s="18">
        <f>IF(78&lt;StabMonth,0,IF(TaxMethodValue&gt;=1,TaxYear1*(1+GrowthTax)^(MAX(0,(78-StabMonth)/12))/12,MAX(0,CC$35*12)/EntryCapRate*(TaxLevyPct*TaxAssessmentPct*TaxValueAdjFactor)/12))</f>
        <v/>
      </c>
      <c r="CD36" s="18">
        <f>IF(79&lt;StabMonth,0,IF(TaxMethodValue&gt;=1,TaxYear1*(1+GrowthTax)^(MAX(0,(79-StabMonth)/12))/12,MAX(0,CD$35*12)/EntryCapRate*(TaxLevyPct*TaxAssessmentPct*TaxValueAdjFactor)/12))</f>
        <v/>
      </c>
      <c r="CE36" s="18">
        <f>IF(80&lt;StabMonth,0,IF(TaxMethodValue&gt;=1,TaxYear1*(1+GrowthTax)^(MAX(0,(80-StabMonth)/12))/12,MAX(0,CE$35*12)/EntryCapRate*(TaxLevyPct*TaxAssessmentPct*TaxValueAdjFactor)/12))</f>
        <v/>
      </c>
      <c r="CF36" s="18">
        <f>IF(81&lt;StabMonth,0,IF(TaxMethodValue&gt;=1,TaxYear1*(1+GrowthTax)^(MAX(0,(81-StabMonth)/12))/12,MAX(0,CF$35*12)/EntryCapRate*(TaxLevyPct*TaxAssessmentPct*TaxValueAdjFactor)/12))</f>
        <v/>
      </c>
      <c r="CG36" s="18">
        <f>IF(82&lt;StabMonth,0,IF(TaxMethodValue&gt;=1,TaxYear1*(1+GrowthTax)^(MAX(0,(82-StabMonth)/12))/12,MAX(0,CG$35*12)/EntryCapRate*(TaxLevyPct*TaxAssessmentPct*TaxValueAdjFactor)/12))</f>
        <v/>
      </c>
      <c r="CH36" s="18">
        <f>IF(83&lt;StabMonth,0,IF(TaxMethodValue&gt;=1,TaxYear1*(1+GrowthTax)^(MAX(0,(83-StabMonth)/12))/12,MAX(0,CH$35*12)/EntryCapRate*(TaxLevyPct*TaxAssessmentPct*TaxValueAdjFactor)/12))</f>
        <v/>
      </c>
      <c r="CI36" s="18">
        <f>IF(84&lt;StabMonth,0,IF(TaxMethodValue&gt;=1,TaxYear1*(1+GrowthTax)^(MAX(0,(84-StabMonth)/12))/12,MAX(0,CI$35*12)/EntryCapRate*(TaxLevyPct*TaxAssessmentPct*TaxValueAdjFactor)/12))</f>
        <v/>
      </c>
      <c r="CJ36" s="18">
        <f>IF(85&lt;StabMonth,0,IF(TaxMethodValue&gt;=1,TaxYear1*(1+GrowthTax)^(MAX(0,(85-StabMonth)/12))/12,MAX(0,CJ$35*12)/EntryCapRate*(TaxLevyPct*TaxAssessmentPct*TaxValueAdjFactor)/12))</f>
        <v/>
      </c>
      <c r="CK36" s="18">
        <f>IF(86&lt;StabMonth,0,IF(TaxMethodValue&gt;=1,TaxYear1*(1+GrowthTax)^(MAX(0,(86-StabMonth)/12))/12,MAX(0,CK$35*12)/EntryCapRate*(TaxLevyPct*TaxAssessmentPct*TaxValueAdjFactor)/12))</f>
        <v/>
      </c>
      <c r="CL36" s="18">
        <f>IF(87&lt;StabMonth,0,IF(TaxMethodValue&gt;=1,TaxYear1*(1+GrowthTax)^(MAX(0,(87-StabMonth)/12))/12,MAX(0,CL$35*12)/EntryCapRate*(TaxLevyPct*TaxAssessmentPct*TaxValueAdjFactor)/12))</f>
        <v/>
      </c>
      <c r="CM36" s="18">
        <f>IF(88&lt;StabMonth,0,IF(TaxMethodValue&gt;=1,TaxYear1*(1+GrowthTax)^(MAX(0,(88-StabMonth)/12))/12,MAX(0,CM$35*12)/EntryCapRate*(TaxLevyPct*TaxAssessmentPct*TaxValueAdjFactor)/12))</f>
        <v/>
      </c>
      <c r="CN36" s="18">
        <f>IF(89&lt;StabMonth,0,IF(TaxMethodValue&gt;=1,TaxYear1*(1+GrowthTax)^(MAX(0,(89-StabMonth)/12))/12,MAX(0,CN$35*12)/EntryCapRate*(TaxLevyPct*TaxAssessmentPct*TaxValueAdjFactor)/12))</f>
        <v/>
      </c>
      <c r="CO36" s="18">
        <f>IF(90&lt;StabMonth,0,IF(TaxMethodValue&gt;=1,TaxYear1*(1+GrowthTax)^(MAX(0,(90-StabMonth)/12))/12,MAX(0,CO$35*12)/EntryCapRate*(TaxLevyPct*TaxAssessmentPct*TaxValueAdjFactor)/12))</f>
        <v/>
      </c>
      <c r="CP36" s="18">
        <f>IF(91&lt;StabMonth,0,IF(TaxMethodValue&gt;=1,TaxYear1*(1+GrowthTax)^(MAX(0,(91-StabMonth)/12))/12,MAX(0,CP$35*12)/EntryCapRate*(TaxLevyPct*TaxAssessmentPct*TaxValueAdjFactor)/12))</f>
        <v/>
      </c>
      <c r="CQ36" s="18">
        <f>IF(92&lt;StabMonth,0,IF(TaxMethodValue&gt;=1,TaxYear1*(1+GrowthTax)^(MAX(0,(92-StabMonth)/12))/12,MAX(0,CQ$35*12)/EntryCapRate*(TaxLevyPct*TaxAssessmentPct*TaxValueAdjFactor)/12))</f>
        <v/>
      </c>
      <c r="CR36" s="18">
        <f>IF(93&lt;StabMonth,0,IF(TaxMethodValue&gt;=1,TaxYear1*(1+GrowthTax)^(MAX(0,(93-StabMonth)/12))/12,MAX(0,CR$35*12)/EntryCapRate*(TaxLevyPct*TaxAssessmentPct*TaxValueAdjFactor)/12))</f>
        <v/>
      </c>
      <c r="CS36" s="18">
        <f>IF(94&lt;StabMonth,0,IF(TaxMethodValue&gt;=1,TaxYear1*(1+GrowthTax)^(MAX(0,(94-StabMonth)/12))/12,MAX(0,CS$35*12)/EntryCapRate*(TaxLevyPct*TaxAssessmentPct*TaxValueAdjFactor)/12))</f>
        <v/>
      </c>
      <c r="CT36" s="18">
        <f>IF(95&lt;StabMonth,0,IF(TaxMethodValue&gt;=1,TaxYear1*(1+GrowthTax)^(MAX(0,(95-StabMonth)/12))/12,MAX(0,CT$35*12)/EntryCapRate*(TaxLevyPct*TaxAssessmentPct*TaxValueAdjFactor)/12))</f>
        <v/>
      </c>
      <c r="CU36" s="18">
        <f>IF(96&lt;StabMonth,0,IF(TaxMethodValue&gt;=1,TaxYear1*(1+GrowthTax)^(MAX(0,(96-StabMonth)/12))/12,MAX(0,CU$35*12)/EntryCapRate*(TaxLevyPct*TaxAssessmentPct*TaxValueAdjFactor)/12))</f>
        <v/>
      </c>
      <c r="CV36" s="18">
        <f>IF(97&lt;StabMonth,0,IF(TaxMethodValue&gt;=1,TaxYear1*(1+GrowthTax)^(MAX(0,(97-StabMonth)/12))/12,MAX(0,CV$35*12)/EntryCapRate*(TaxLevyPct*TaxAssessmentPct*TaxValueAdjFactor)/12))</f>
        <v/>
      </c>
      <c r="CW36" s="18">
        <f>IF(98&lt;StabMonth,0,IF(TaxMethodValue&gt;=1,TaxYear1*(1+GrowthTax)^(MAX(0,(98-StabMonth)/12))/12,MAX(0,CW$35*12)/EntryCapRate*(TaxLevyPct*TaxAssessmentPct*TaxValueAdjFactor)/12))</f>
        <v/>
      </c>
      <c r="CX36" s="18">
        <f>IF(99&lt;StabMonth,0,IF(TaxMethodValue&gt;=1,TaxYear1*(1+GrowthTax)^(MAX(0,(99-StabMonth)/12))/12,MAX(0,CX$35*12)/EntryCapRate*(TaxLevyPct*TaxAssessmentPct*TaxValueAdjFactor)/12))</f>
        <v/>
      </c>
      <c r="CY36" s="18">
        <f>IF(100&lt;StabMonth,0,IF(TaxMethodValue&gt;=1,TaxYear1*(1+GrowthTax)^(MAX(0,(100-StabMonth)/12))/12,MAX(0,CY$35*12)/EntryCapRate*(TaxLevyPct*TaxAssessmentPct*TaxValueAdjFactor)/12))</f>
        <v/>
      </c>
      <c r="CZ36" s="18">
        <f>IF(101&lt;StabMonth,0,IF(TaxMethodValue&gt;=1,TaxYear1*(1+GrowthTax)^(MAX(0,(101-StabMonth)/12))/12,MAX(0,CZ$35*12)/EntryCapRate*(TaxLevyPct*TaxAssessmentPct*TaxValueAdjFactor)/12))</f>
        <v/>
      </c>
      <c r="DA36" s="18">
        <f>IF(102&lt;StabMonth,0,IF(TaxMethodValue&gt;=1,TaxYear1*(1+GrowthTax)^(MAX(0,(102-StabMonth)/12))/12,MAX(0,DA$35*12)/EntryCapRate*(TaxLevyPct*TaxAssessmentPct*TaxValueAdjFactor)/12))</f>
        <v/>
      </c>
      <c r="DB36" s="18">
        <f>IF(103&lt;StabMonth,0,IF(TaxMethodValue&gt;=1,TaxYear1*(1+GrowthTax)^(MAX(0,(103-StabMonth)/12))/12,MAX(0,DB$35*12)/EntryCapRate*(TaxLevyPct*TaxAssessmentPct*TaxValueAdjFactor)/12))</f>
        <v/>
      </c>
      <c r="DC36" s="18">
        <f>IF(104&lt;StabMonth,0,IF(TaxMethodValue&gt;=1,TaxYear1*(1+GrowthTax)^(MAX(0,(104-StabMonth)/12))/12,MAX(0,DC$35*12)/EntryCapRate*(TaxLevyPct*TaxAssessmentPct*TaxValueAdjFactor)/12))</f>
        <v/>
      </c>
      <c r="DD36" s="18">
        <f>IF(105&lt;StabMonth,0,IF(TaxMethodValue&gt;=1,TaxYear1*(1+GrowthTax)^(MAX(0,(105-StabMonth)/12))/12,MAX(0,DD$35*12)/EntryCapRate*(TaxLevyPct*TaxAssessmentPct*TaxValueAdjFactor)/12))</f>
        <v/>
      </c>
      <c r="DE36" s="18">
        <f>IF(106&lt;StabMonth,0,IF(TaxMethodValue&gt;=1,TaxYear1*(1+GrowthTax)^(MAX(0,(106-StabMonth)/12))/12,MAX(0,DE$35*12)/EntryCapRate*(TaxLevyPct*TaxAssessmentPct*TaxValueAdjFactor)/12))</f>
        <v/>
      </c>
      <c r="DF36" s="18">
        <f>IF(107&lt;StabMonth,0,IF(TaxMethodValue&gt;=1,TaxYear1*(1+GrowthTax)^(MAX(0,(107-StabMonth)/12))/12,MAX(0,DF$35*12)/EntryCapRate*(TaxLevyPct*TaxAssessmentPct*TaxValueAdjFactor)/12))</f>
        <v/>
      </c>
      <c r="DG36" s="18">
        <f>IF(108&lt;StabMonth,0,IF(TaxMethodValue&gt;=1,TaxYear1*(1+GrowthTax)^(MAX(0,(108-StabMonth)/12))/12,MAX(0,DG$35*12)/EntryCapRate*(TaxLevyPct*TaxAssessmentPct*TaxValueAdjFactor)/12))</f>
        <v/>
      </c>
      <c r="DH36" s="18">
        <f>IF(109&lt;StabMonth,0,IF(TaxMethodValue&gt;=1,TaxYear1*(1+GrowthTax)^(MAX(0,(109-StabMonth)/12))/12,MAX(0,DH$35*12)/EntryCapRate*(TaxLevyPct*TaxAssessmentPct*TaxValueAdjFactor)/12))</f>
        <v/>
      </c>
      <c r="DI36" s="18">
        <f>IF(110&lt;StabMonth,0,IF(TaxMethodValue&gt;=1,TaxYear1*(1+GrowthTax)^(MAX(0,(110-StabMonth)/12))/12,MAX(0,DI$35*12)/EntryCapRate*(TaxLevyPct*TaxAssessmentPct*TaxValueAdjFactor)/12))</f>
        <v/>
      </c>
      <c r="DJ36" s="18">
        <f>IF(111&lt;StabMonth,0,IF(TaxMethodValue&gt;=1,TaxYear1*(1+GrowthTax)^(MAX(0,(111-StabMonth)/12))/12,MAX(0,DJ$35*12)/EntryCapRate*(TaxLevyPct*TaxAssessmentPct*TaxValueAdjFactor)/12))</f>
        <v/>
      </c>
      <c r="DK36" s="18">
        <f>IF(112&lt;StabMonth,0,IF(TaxMethodValue&gt;=1,TaxYear1*(1+GrowthTax)^(MAX(0,(112-StabMonth)/12))/12,MAX(0,DK$35*12)/EntryCapRate*(TaxLevyPct*TaxAssessmentPct*TaxValueAdjFactor)/12))</f>
        <v/>
      </c>
      <c r="DL36" s="18">
        <f>IF(113&lt;StabMonth,0,IF(TaxMethodValue&gt;=1,TaxYear1*(1+GrowthTax)^(MAX(0,(113-StabMonth)/12))/12,MAX(0,DL$35*12)/EntryCapRate*(TaxLevyPct*TaxAssessmentPct*TaxValueAdjFactor)/12))</f>
        <v/>
      </c>
      <c r="DM36" s="18">
        <f>IF(114&lt;StabMonth,0,IF(TaxMethodValue&gt;=1,TaxYear1*(1+GrowthTax)^(MAX(0,(114-StabMonth)/12))/12,MAX(0,DM$35*12)/EntryCapRate*(TaxLevyPct*TaxAssessmentPct*TaxValueAdjFactor)/12))</f>
        <v/>
      </c>
      <c r="DN36" s="18">
        <f>IF(115&lt;StabMonth,0,IF(TaxMethodValue&gt;=1,TaxYear1*(1+GrowthTax)^(MAX(0,(115-StabMonth)/12))/12,MAX(0,DN$35*12)/EntryCapRate*(TaxLevyPct*TaxAssessmentPct*TaxValueAdjFactor)/12))</f>
        <v/>
      </c>
      <c r="DO36" s="18">
        <f>IF(116&lt;StabMonth,0,IF(TaxMethodValue&gt;=1,TaxYear1*(1+GrowthTax)^(MAX(0,(116-StabMonth)/12))/12,MAX(0,DO$35*12)/EntryCapRate*(TaxLevyPct*TaxAssessmentPct*TaxValueAdjFactor)/12))</f>
        <v/>
      </c>
      <c r="DP36" s="18">
        <f>IF(117&lt;StabMonth,0,IF(TaxMethodValue&gt;=1,TaxYear1*(1+GrowthTax)^(MAX(0,(117-StabMonth)/12))/12,MAX(0,DP$35*12)/EntryCapRate*(TaxLevyPct*TaxAssessmentPct*TaxValueAdjFactor)/12))</f>
        <v/>
      </c>
      <c r="DQ36" s="18">
        <f>IF(118&lt;StabMonth,0,IF(TaxMethodValue&gt;=1,TaxYear1*(1+GrowthTax)^(MAX(0,(118-StabMonth)/12))/12,MAX(0,DQ$35*12)/EntryCapRate*(TaxLevyPct*TaxAssessmentPct*TaxValueAdjFactor)/12))</f>
        <v/>
      </c>
      <c r="DR36" s="18">
        <f>IF(119&lt;StabMonth,0,IF(TaxMethodValue&gt;=1,TaxYear1*(1+GrowthTax)^(MAX(0,(119-StabMonth)/12))/12,MAX(0,DR$35*12)/EntryCapRate*(TaxLevyPct*TaxAssessmentPct*TaxValueAdjFactor)/12))</f>
        <v/>
      </c>
      <c r="DS36" s="18">
        <f>IF(120&lt;StabMonth,0,IF(TaxMethodValue&gt;=1,TaxYear1*(1+GrowthTax)^(MAX(0,(120-StabMonth)/12))/12,MAX(0,DS$35*12)/EntryCapRate*(TaxLevyPct*TaxAssessmentPct*TaxValueAdjFactor)/12))</f>
        <v/>
      </c>
      <c r="DT36" s="18">
        <f>IF(121&lt;StabMonth,0,IF(TaxMethodValue&gt;=1,TaxYear1*(1+GrowthTax)^(MAX(0,(121-StabMonth)/12))/12,MAX(0,DT$35*12)/EntryCapRate*(TaxLevyPct*TaxAssessmentPct*TaxValueAdjFactor)/12))</f>
        <v/>
      </c>
      <c r="DU36" s="18">
        <f>IF(122&lt;StabMonth,0,IF(TaxMethodValue&gt;=1,TaxYear1*(1+GrowthTax)^(MAX(0,(122-StabMonth)/12))/12,MAX(0,DU$35*12)/EntryCapRate*(TaxLevyPct*TaxAssessmentPct*TaxValueAdjFactor)/12))</f>
        <v/>
      </c>
      <c r="DV36" s="18">
        <f>IF(123&lt;StabMonth,0,IF(TaxMethodValue&gt;=1,TaxYear1*(1+GrowthTax)^(MAX(0,(123-StabMonth)/12))/12,MAX(0,DV$35*12)/EntryCapRate*(TaxLevyPct*TaxAssessmentPct*TaxValueAdjFactor)/12))</f>
        <v/>
      </c>
      <c r="DW36" s="18">
        <f>IF(124&lt;StabMonth,0,IF(TaxMethodValue&gt;=1,TaxYear1*(1+GrowthTax)^(MAX(0,(124-StabMonth)/12))/12,MAX(0,DW$35*12)/EntryCapRate*(TaxLevyPct*TaxAssessmentPct*TaxValueAdjFactor)/12))</f>
        <v/>
      </c>
      <c r="DX36" s="18">
        <f>IF(125&lt;StabMonth,0,IF(TaxMethodValue&gt;=1,TaxYear1*(1+GrowthTax)^(MAX(0,(125-StabMonth)/12))/12,MAX(0,DX$35*12)/EntryCapRate*(TaxLevyPct*TaxAssessmentPct*TaxValueAdjFactor)/12))</f>
        <v/>
      </c>
      <c r="DY36" s="18">
        <f>IF(126&lt;StabMonth,0,IF(TaxMethodValue&gt;=1,TaxYear1*(1+GrowthTax)^(MAX(0,(126-StabMonth)/12))/12,MAX(0,DY$35*12)/EntryCapRate*(TaxLevyPct*TaxAssessmentPct*TaxValueAdjFactor)/12))</f>
        <v/>
      </c>
      <c r="DZ36" s="18">
        <f>IF(127&lt;StabMonth,0,IF(TaxMethodValue&gt;=1,TaxYear1*(1+GrowthTax)^(MAX(0,(127-StabMonth)/12))/12,MAX(0,DZ$35*12)/EntryCapRate*(TaxLevyPct*TaxAssessmentPct*TaxValueAdjFactor)/12))</f>
        <v/>
      </c>
      <c r="EA36" s="18">
        <f>IF(128&lt;StabMonth,0,IF(TaxMethodValue&gt;=1,TaxYear1*(1+GrowthTax)^(MAX(0,(128-StabMonth)/12))/12,MAX(0,EA$35*12)/EntryCapRate*(TaxLevyPct*TaxAssessmentPct*TaxValueAdjFactor)/12))</f>
        <v/>
      </c>
      <c r="EB36" s="18">
        <f>IF(129&lt;StabMonth,0,IF(TaxMethodValue&gt;=1,TaxYear1*(1+GrowthTax)^(MAX(0,(129-StabMonth)/12))/12,MAX(0,EB$35*12)/EntryCapRate*(TaxLevyPct*TaxAssessmentPct*TaxValueAdjFactor)/12))</f>
        <v/>
      </c>
      <c r="EC36" s="18">
        <f>IF(130&lt;StabMonth,0,IF(TaxMethodValue&gt;=1,TaxYear1*(1+GrowthTax)^(MAX(0,(130-StabMonth)/12))/12,MAX(0,EC$35*12)/EntryCapRate*(TaxLevyPct*TaxAssessmentPct*TaxValueAdjFactor)/12))</f>
        <v/>
      </c>
      <c r="ED36" s="18">
        <f>IF(131&lt;StabMonth,0,IF(TaxMethodValue&gt;=1,TaxYear1*(1+GrowthTax)^(MAX(0,(131-StabMonth)/12))/12,MAX(0,ED$35*12)/EntryCapRate*(TaxLevyPct*TaxAssessmentPct*TaxValueAdjFactor)/12))</f>
        <v/>
      </c>
      <c r="EE36" s="18">
        <f>IF(132&lt;StabMonth,0,IF(TaxMethodValue&gt;=1,TaxYear1*(1+GrowthTax)^(MAX(0,(132-StabMonth)/12))/12,MAX(0,EE$35*12)/EntryCapRate*(TaxLevyPct*TaxAssessmentPct*TaxValueAdjFactor)/12))</f>
        <v/>
      </c>
      <c r="EF36" s="18">
        <f>IF(133&lt;StabMonth,0,IF(TaxMethodValue&gt;=1,TaxYear1*(1+GrowthTax)^(MAX(0,(133-StabMonth)/12))/12,MAX(0,EF$35*12)/EntryCapRate*(TaxLevyPct*TaxAssessmentPct*TaxValueAdjFactor)/12))</f>
        <v/>
      </c>
      <c r="EG36" s="18">
        <f>IF(134&lt;StabMonth,0,IF(TaxMethodValue&gt;=1,TaxYear1*(1+GrowthTax)^(MAX(0,(134-StabMonth)/12))/12,MAX(0,EG$35*12)/EntryCapRate*(TaxLevyPct*TaxAssessmentPct*TaxValueAdjFactor)/12))</f>
        <v/>
      </c>
      <c r="EH36" s="18">
        <f>IF(135&lt;StabMonth,0,IF(TaxMethodValue&gt;=1,TaxYear1*(1+GrowthTax)^(MAX(0,(135-StabMonth)/12))/12,MAX(0,EH$35*12)/EntryCapRate*(TaxLevyPct*TaxAssessmentPct*TaxValueAdjFactor)/12))</f>
        <v/>
      </c>
      <c r="EI36" s="18">
        <f>IF(136&lt;StabMonth,0,IF(TaxMethodValue&gt;=1,TaxYear1*(1+GrowthTax)^(MAX(0,(136-StabMonth)/12))/12,MAX(0,EI$35*12)/EntryCapRate*(TaxLevyPct*TaxAssessmentPct*TaxValueAdjFactor)/12))</f>
        <v/>
      </c>
      <c r="EJ36" s="18">
        <f>IF(137&lt;StabMonth,0,IF(TaxMethodValue&gt;=1,TaxYear1*(1+GrowthTax)^(MAX(0,(137-StabMonth)/12))/12,MAX(0,EJ$35*12)/EntryCapRate*(TaxLevyPct*TaxAssessmentPct*TaxValueAdjFactor)/12))</f>
        <v/>
      </c>
      <c r="EK36" s="18">
        <f>IF(138&lt;StabMonth,0,IF(TaxMethodValue&gt;=1,TaxYear1*(1+GrowthTax)^(MAX(0,(138-StabMonth)/12))/12,MAX(0,EK$35*12)/EntryCapRate*(TaxLevyPct*TaxAssessmentPct*TaxValueAdjFactor)/12))</f>
        <v/>
      </c>
      <c r="EL36" s="18">
        <f>IF(139&lt;StabMonth,0,IF(TaxMethodValue&gt;=1,TaxYear1*(1+GrowthTax)^(MAX(0,(139-StabMonth)/12))/12,MAX(0,EL$35*12)/EntryCapRate*(TaxLevyPct*TaxAssessmentPct*TaxValueAdjFactor)/12))</f>
        <v/>
      </c>
      <c r="EM36" s="18">
        <f>IF(140&lt;StabMonth,0,IF(TaxMethodValue&gt;=1,TaxYear1*(1+GrowthTax)^(MAX(0,(140-StabMonth)/12))/12,MAX(0,EM$35*12)/EntryCapRate*(TaxLevyPct*TaxAssessmentPct*TaxValueAdjFactor)/12))</f>
        <v/>
      </c>
      <c r="EN36" s="18">
        <f>IF(141&lt;StabMonth,0,IF(TaxMethodValue&gt;=1,TaxYear1*(1+GrowthTax)^(MAX(0,(141-StabMonth)/12))/12,MAX(0,EN$35*12)/EntryCapRate*(TaxLevyPct*TaxAssessmentPct*TaxValueAdjFactor)/12))</f>
        <v/>
      </c>
      <c r="EO36" s="18">
        <f>IF(142&lt;StabMonth,0,IF(TaxMethodValue&gt;=1,TaxYear1*(1+GrowthTax)^(MAX(0,(142-StabMonth)/12))/12,MAX(0,EO$35*12)/EntryCapRate*(TaxLevyPct*TaxAssessmentPct*TaxValueAdjFactor)/12))</f>
        <v/>
      </c>
      <c r="EP36" s="18">
        <f>IF(143&lt;StabMonth,0,IF(TaxMethodValue&gt;=1,TaxYear1*(1+GrowthTax)^(MAX(0,(143-StabMonth)/12))/12,MAX(0,EP$35*12)/EntryCapRate*(TaxLevyPct*TaxAssessmentPct*TaxValueAdjFactor)/12))</f>
        <v/>
      </c>
      <c r="EQ36" s="18">
        <f>IF(144&lt;StabMonth,0,IF(TaxMethodValue&gt;=1,TaxYear1*(1+GrowthTax)^(MAX(0,(144-StabMonth)/12))/12,MAX(0,EQ$35*12)/EntryCapRate*(TaxLevyPct*TaxAssessmentPct*TaxValueAdjFactor)/12))</f>
        <v/>
      </c>
      <c r="ER36" s="18">
        <f>IF(145&lt;StabMonth,0,IF(TaxMethodValue&gt;=1,TaxYear1*(1+GrowthTax)^(MAX(0,(145-StabMonth)/12))/12,MAX(0,ER$35*12)/EntryCapRate*(TaxLevyPct*TaxAssessmentPct*TaxValueAdjFactor)/12))</f>
        <v/>
      </c>
      <c r="ES36" s="18">
        <f>IF(146&lt;StabMonth,0,IF(TaxMethodValue&gt;=1,TaxYear1*(1+GrowthTax)^(MAX(0,(146-StabMonth)/12))/12,MAX(0,ES$35*12)/EntryCapRate*(TaxLevyPct*TaxAssessmentPct*TaxValueAdjFactor)/12))</f>
        <v/>
      </c>
      <c r="ET36" s="18">
        <f>IF(147&lt;StabMonth,0,IF(TaxMethodValue&gt;=1,TaxYear1*(1+GrowthTax)^(MAX(0,(147-StabMonth)/12))/12,MAX(0,ET$35*12)/EntryCapRate*(TaxLevyPct*TaxAssessmentPct*TaxValueAdjFactor)/12))</f>
        <v/>
      </c>
      <c r="EU36" s="18">
        <f>IF(148&lt;StabMonth,0,IF(TaxMethodValue&gt;=1,TaxYear1*(1+GrowthTax)^(MAX(0,(148-StabMonth)/12))/12,MAX(0,EU$35*12)/EntryCapRate*(TaxLevyPct*TaxAssessmentPct*TaxValueAdjFactor)/12))</f>
        <v/>
      </c>
      <c r="EV36" s="18">
        <f>IF(149&lt;StabMonth,0,IF(TaxMethodValue&gt;=1,TaxYear1*(1+GrowthTax)^(MAX(0,(149-StabMonth)/12))/12,MAX(0,EV$35*12)/EntryCapRate*(TaxLevyPct*TaxAssessmentPct*TaxValueAdjFactor)/12))</f>
        <v/>
      </c>
      <c r="EW36" s="18">
        <f>IF(150&lt;StabMonth,0,IF(TaxMethodValue&gt;=1,TaxYear1*(1+GrowthTax)^(MAX(0,(150-StabMonth)/12))/12,MAX(0,EW$35*12)/EntryCapRate*(TaxLevyPct*TaxAssessmentPct*TaxValueAdjFactor)/12))</f>
        <v/>
      </c>
      <c r="EX36" s="18">
        <f>IF(151&lt;StabMonth,0,IF(TaxMethodValue&gt;=1,TaxYear1*(1+GrowthTax)^(MAX(0,(151-StabMonth)/12))/12,MAX(0,EX$35*12)/EntryCapRate*(TaxLevyPct*TaxAssessmentPct*TaxValueAdjFactor)/12))</f>
        <v/>
      </c>
      <c r="EY36" s="18">
        <f>IF(152&lt;StabMonth,0,IF(TaxMethodValue&gt;=1,TaxYear1*(1+GrowthTax)^(MAX(0,(152-StabMonth)/12))/12,MAX(0,EY$35*12)/EntryCapRate*(TaxLevyPct*TaxAssessmentPct*TaxValueAdjFactor)/12))</f>
        <v/>
      </c>
      <c r="EZ36" s="18">
        <f>IF(153&lt;StabMonth,0,IF(TaxMethodValue&gt;=1,TaxYear1*(1+GrowthTax)^(MAX(0,(153-StabMonth)/12))/12,MAX(0,EZ$35*12)/EntryCapRate*(TaxLevyPct*TaxAssessmentPct*TaxValueAdjFactor)/12))</f>
        <v/>
      </c>
      <c r="FA36" s="18">
        <f>IF(154&lt;StabMonth,0,IF(TaxMethodValue&gt;=1,TaxYear1*(1+GrowthTax)^(MAX(0,(154-StabMonth)/12))/12,MAX(0,FA$35*12)/EntryCapRate*(TaxLevyPct*TaxAssessmentPct*TaxValueAdjFactor)/12))</f>
        <v/>
      </c>
      <c r="FB36" s="18">
        <f>IF(155&lt;StabMonth,0,IF(TaxMethodValue&gt;=1,TaxYear1*(1+GrowthTax)^(MAX(0,(155-StabMonth)/12))/12,MAX(0,FB$35*12)/EntryCapRate*(TaxLevyPct*TaxAssessmentPct*TaxValueAdjFactor)/12))</f>
        <v/>
      </c>
      <c r="FC36" s="18">
        <f>IF(156&lt;StabMonth,0,IF(TaxMethodValue&gt;=1,TaxYear1*(1+GrowthTax)^(MAX(0,(156-StabMonth)/12))/12,MAX(0,FC$35*12)/EntryCapRate*(TaxLevyPct*TaxAssessmentPct*TaxValueAdjFactor)/12))</f>
        <v/>
      </c>
      <c r="FD36" s="18">
        <f>IF(157&lt;StabMonth,0,IF(TaxMethodValue&gt;=1,TaxYear1*(1+GrowthTax)^(MAX(0,(157-StabMonth)/12))/12,MAX(0,FD$35*12)/EntryCapRate*(TaxLevyPct*TaxAssessmentPct*TaxValueAdjFactor)/12))</f>
        <v/>
      </c>
      <c r="FE36" s="18">
        <f>IF(158&lt;StabMonth,0,IF(TaxMethodValue&gt;=1,TaxYear1*(1+GrowthTax)^(MAX(0,(158-StabMonth)/12))/12,MAX(0,FE$35*12)/EntryCapRate*(TaxLevyPct*TaxAssessmentPct*TaxValueAdjFactor)/12))</f>
        <v/>
      </c>
      <c r="FF36" s="18">
        <f>IF(159&lt;StabMonth,0,IF(TaxMethodValue&gt;=1,TaxYear1*(1+GrowthTax)^(MAX(0,(159-StabMonth)/12))/12,MAX(0,FF$35*12)/EntryCapRate*(TaxLevyPct*TaxAssessmentPct*TaxValueAdjFactor)/12))</f>
        <v/>
      </c>
      <c r="FG36" s="18">
        <f>IF(160&lt;StabMonth,0,IF(TaxMethodValue&gt;=1,TaxYear1*(1+GrowthTax)^(MAX(0,(160-StabMonth)/12))/12,MAX(0,FG$35*12)/EntryCapRate*(TaxLevyPct*TaxAssessmentPct*TaxValueAdjFactor)/12))</f>
        <v/>
      </c>
      <c r="FH36" s="18">
        <f>IF(161&lt;StabMonth,0,IF(TaxMethodValue&gt;=1,TaxYear1*(1+GrowthTax)^(MAX(0,(161-StabMonth)/12))/12,MAX(0,FH$35*12)/EntryCapRate*(TaxLevyPct*TaxAssessmentPct*TaxValueAdjFactor)/12))</f>
        <v/>
      </c>
      <c r="FI36" s="18">
        <f>IF(162&lt;StabMonth,0,IF(TaxMethodValue&gt;=1,TaxYear1*(1+GrowthTax)^(MAX(0,(162-StabMonth)/12))/12,MAX(0,FI$35*12)/EntryCapRate*(TaxLevyPct*TaxAssessmentPct*TaxValueAdjFactor)/12))</f>
        <v/>
      </c>
      <c r="FJ36" s="18">
        <f>IF(163&lt;StabMonth,0,IF(TaxMethodValue&gt;=1,TaxYear1*(1+GrowthTax)^(MAX(0,(163-StabMonth)/12))/12,MAX(0,FJ$35*12)/EntryCapRate*(TaxLevyPct*TaxAssessmentPct*TaxValueAdjFactor)/12))</f>
        <v/>
      </c>
      <c r="FK36" s="18">
        <f>IF(164&lt;StabMonth,0,IF(TaxMethodValue&gt;=1,TaxYear1*(1+GrowthTax)^(MAX(0,(164-StabMonth)/12))/12,MAX(0,FK$35*12)/EntryCapRate*(TaxLevyPct*TaxAssessmentPct*TaxValueAdjFactor)/12))</f>
        <v/>
      </c>
      <c r="FL36" s="18">
        <f>IF(165&lt;StabMonth,0,IF(TaxMethodValue&gt;=1,TaxYear1*(1+GrowthTax)^(MAX(0,(165-StabMonth)/12))/12,MAX(0,FL$35*12)/EntryCapRate*(TaxLevyPct*TaxAssessmentPct*TaxValueAdjFactor)/12))</f>
        <v/>
      </c>
      <c r="FM36" s="18">
        <f>IF(166&lt;StabMonth,0,IF(TaxMethodValue&gt;=1,TaxYear1*(1+GrowthTax)^(MAX(0,(166-StabMonth)/12))/12,MAX(0,FM$35*12)/EntryCapRate*(TaxLevyPct*TaxAssessmentPct*TaxValueAdjFactor)/12))</f>
        <v/>
      </c>
      <c r="FN36" s="18">
        <f>IF(167&lt;StabMonth,0,IF(TaxMethodValue&gt;=1,TaxYear1*(1+GrowthTax)^(MAX(0,(167-StabMonth)/12))/12,MAX(0,FN$35*12)/EntryCapRate*(TaxLevyPct*TaxAssessmentPct*TaxValueAdjFactor)/12))</f>
        <v/>
      </c>
      <c r="FO36" s="18">
        <f>IF(168&lt;StabMonth,0,IF(TaxMethodValue&gt;=1,TaxYear1*(1+GrowthTax)^(MAX(0,(168-StabMonth)/12))/12,MAX(0,FO$35*12)/EntryCapRate*(TaxLevyPct*TaxAssessmentPct*TaxValueAdjFactor)/12))</f>
        <v/>
      </c>
      <c r="FP36" s="18">
        <f>IF(169&lt;StabMonth,0,IF(TaxMethodValue&gt;=1,TaxYear1*(1+GrowthTax)^(MAX(0,(169-StabMonth)/12))/12,MAX(0,FP$35*12)/EntryCapRate*(TaxLevyPct*TaxAssessmentPct*TaxValueAdjFactor)/12))</f>
        <v/>
      </c>
      <c r="FQ36" s="18">
        <f>IF(170&lt;StabMonth,0,IF(TaxMethodValue&gt;=1,TaxYear1*(1+GrowthTax)^(MAX(0,(170-StabMonth)/12))/12,MAX(0,FQ$35*12)/EntryCapRate*(TaxLevyPct*TaxAssessmentPct*TaxValueAdjFactor)/12))</f>
        <v/>
      </c>
      <c r="FR36" s="18">
        <f>IF(171&lt;StabMonth,0,IF(TaxMethodValue&gt;=1,TaxYear1*(1+GrowthTax)^(MAX(0,(171-StabMonth)/12))/12,MAX(0,FR$35*12)/EntryCapRate*(TaxLevyPct*TaxAssessmentPct*TaxValueAdjFactor)/12))</f>
        <v/>
      </c>
      <c r="FS36" s="18">
        <f>IF(172&lt;StabMonth,0,IF(TaxMethodValue&gt;=1,TaxYear1*(1+GrowthTax)^(MAX(0,(172-StabMonth)/12))/12,MAX(0,FS$35*12)/EntryCapRate*(TaxLevyPct*TaxAssessmentPct*TaxValueAdjFactor)/12))</f>
        <v/>
      </c>
      <c r="FT36" s="18">
        <f>IF(173&lt;StabMonth,0,IF(TaxMethodValue&gt;=1,TaxYear1*(1+GrowthTax)^(MAX(0,(173-StabMonth)/12))/12,MAX(0,FT$35*12)/EntryCapRate*(TaxLevyPct*TaxAssessmentPct*TaxValueAdjFactor)/12))</f>
        <v/>
      </c>
      <c r="FU36" s="18">
        <f>IF(174&lt;StabMonth,0,IF(TaxMethodValue&gt;=1,TaxYear1*(1+GrowthTax)^(MAX(0,(174-StabMonth)/12))/12,MAX(0,FU$35*12)/EntryCapRate*(TaxLevyPct*TaxAssessmentPct*TaxValueAdjFactor)/12))</f>
        <v/>
      </c>
      <c r="FV36" s="18">
        <f>IF(175&lt;StabMonth,0,IF(TaxMethodValue&gt;=1,TaxYear1*(1+GrowthTax)^(MAX(0,(175-StabMonth)/12))/12,MAX(0,FV$35*12)/EntryCapRate*(TaxLevyPct*TaxAssessmentPct*TaxValueAdjFactor)/12))</f>
        <v/>
      </c>
      <c r="FW36" s="18">
        <f>IF(176&lt;StabMonth,0,IF(TaxMethodValue&gt;=1,TaxYear1*(1+GrowthTax)^(MAX(0,(176-StabMonth)/12))/12,MAX(0,FW$35*12)/EntryCapRate*(TaxLevyPct*TaxAssessmentPct*TaxValueAdjFactor)/12))</f>
        <v/>
      </c>
      <c r="FX36" s="18">
        <f>IF(177&lt;StabMonth,0,IF(TaxMethodValue&gt;=1,TaxYear1*(1+GrowthTax)^(MAX(0,(177-StabMonth)/12))/12,MAX(0,FX$35*12)/EntryCapRate*(TaxLevyPct*TaxAssessmentPct*TaxValueAdjFactor)/12))</f>
        <v/>
      </c>
      <c r="FY36" s="18">
        <f>IF(178&lt;StabMonth,0,IF(TaxMethodValue&gt;=1,TaxYear1*(1+GrowthTax)^(MAX(0,(178-StabMonth)/12))/12,MAX(0,FY$35*12)/EntryCapRate*(TaxLevyPct*TaxAssessmentPct*TaxValueAdjFactor)/12))</f>
        <v/>
      </c>
      <c r="FZ36" s="18">
        <f>IF(179&lt;StabMonth,0,IF(TaxMethodValue&gt;=1,TaxYear1*(1+GrowthTax)^(MAX(0,(179-StabMonth)/12))/12,MAX(0,FZ$35*12)/EntryCapRate*(TaxLevyPct*TaxAssessmentPct*TaxValueAdjFactor)/12))</f>
        <v/>
      </c>
      <c r="GA36" s="18">
        <f>IF(180&lt;StabMonth,0,IF(TaxMethodValue&gt;=1,TaxYear1*(1+GrowthTax)^(MAX(0,(180-StabMonth)/12))/12,MAX(0,GA$35*12)/EntryCapRate*(TaxLevyPct*TaxAssessmentPct*TaxValueAdjFactor)/12))</f>
        <v/>
      </c>
      <c r="GB36" s="18">
        <f>IF(181&lt;StabMonth,0,IF(TaxMethodValue&gt;=1,TaxYear1*(1+GrowthTax)^(MAX(0,(181-StabMonth)/12))/12,MAX(0,GB$35*12)/EntryCapRate*(TaxLevyPct*TaxAssessmentPct*TaxValueAdjFactor)/12))</f>
        <v/>
      </c>
      <c r="GC36" s="18">
        <f>IF(182&lt;StabMonth,0,IF(TaxMethodValue&gt;=1,TaxYear1*(1+GrowthTax)^(MAX(0,(182-StabMonth)/12))/12,MAX(0,GC$35*12)/EntryCapRate*(TaxLevyPct*TaxAssessmentPct*TaxValueAdjFactor)/12))</f>
        <v/>
      </c>
      <c r="GD36" s="18">
        <f>IF(183&lt;StabMonth,0,IF(TaxMethodValue&gt;=1,TaxYear1*(1+GrowthTax)^(MAX(0,(183-StabMonth)/12))/12,MAX(0,GD$35*12)/EntryCapRate*(TaxLevyPct*TaxAssessmentPct*TaxValueAdjFactor)/12))</f>
        <v/>
      </c>
      <c r="GE36" s="18">
        <f>IF(184&lt;StabMonth,0,IF(TaxMethodValue&gt;=1,TaxYear1*(1+GrowthTax)^(MAX(0,(184-StabMonth)/12))/12,MAX(0,GE$35*12)/EntryCapRate*(TaxLevyPct*TaxAssessmentPct*TaxValueAdjFactor)/12))</f>
        <v/>
      </c>
      <c r="GF36" s="18">
        <f>IF(185&lt;StabMonth,0,IF(TaxMethodValue&gt;=1,TaxYear1*(1+GrowthTax)^(MAX(0,(185-StabMonth)/12))/12,MAX(0,GF$35*12)/EntryCapRate*(TaxLevyPct*TaxAssessmentPct*TaxValueAdjFactor)/12))</f>
        <v/>
      </c>
      <c r="GG36" s="18">
        <f>IF(186&lt;StabMonth,0,IF(TaxMethodValue&gt;=1,TaxYear1*(1+GrowthTax)^(MAX(0,(186-StabMonth)/12))/12,MAX(0,GG$35*12)/EntryCapRate*(TaxLevyPct*TaxAssessmentPct*TaxValueAdjFactor)/12))</f>
        <v/>
      </c>
      <c r="GH36" s="18">
        <f>IF(187&lt;StabMonth,0,IF(TaxMethodValue&gt;=1,TaxYear1*(1+GrowthTax)^(MAX(0,(187-StabMonth)/12))/12,MAX(0,GH$35*12)/EntryCapRate*(TaxLevyPct*TaxAssessmentPct*TaxValueAdjFactor)/12))</f>
        <v/>
      </c>
      <c r="GI36" s="18">
        <f>IF(188&lt;StabMonth,0,IF(TaxMethodValue&gt;=1,TaxYear1*(1+GrowthTax)^(MAX(0,(188-StabMonth)/12))/12,MAX(0,GI$35*12)/EntryCapRate*(TaxLevyPct*TaxAssessmentPct*TaxValueAdjFactor)/12))</f>
        <v/>
      </c>
      <c r="GJ36" s="18">
        <f>IF(189&lt;StabMonth,0,IF(TaxMethodValue&gt;=1,TaxYear1*(1+GrowthTax)^(MAX(0,(189-StabMonth)/12))/12,MAX(0,GJ$35*12)/EntryCapRate*(TaxLevyPct*TaxAssessmentPct*TaxValueAdjFactor)/12))</f>
        <v/>
      </c>
      <c r="GK36" s="18">
        <f>IF(190&lt;StabMonth,0,IF(TaxMethodValue&gt;=1,TaxYear1*(1+GrowthTax)^(MAX(0,(190-StabMonth)/12))/12,MAX(0,GK$35*12)/EntryCapRate*(TaxLevyPct*TaxAssessmentPct*TaxValueAdjFactor)/12))</f>
        <v/>
      </c>
      <c r="GL36" s="18">
        <f>IF(191&lt;StabMonth,0,IF(TaxMethodValue&gt;=1,TaxYear1*(1+GrowthTax)^(MAX(0,(191-StabMonth)/12))/12,MAX(0,GL$35*12)/EntryCapRate*(TaxLevyPct*TaxAssessmentPct*TaxValueAdjFactor)/12))</f>
        <v/>
      </c>
      <c r="GM36" s="18">
        <f>IF(192&lt;StabMonth,0,IF(TaxMethodValue&gt;=1,TaxYear1*(1+GrowthTax)^(MAX(0,(192-StabMonth)/12))/12,MAX(0,GM$35*12)/EntryCapRate*(TaxLevyPct*TaxAssessmentPct*TaxValueAdjFactor)/12))</f>
        <v/>
      </c>
      <c r="GN36" s="18">
        <f>IF(193&lt;StabMonth,0,IF(TaxMethodValue&gt;=1,TaxYear1*(1+GrowthTax)^(MAX(0,(193-StabMonth)/12))/12,MAX(0,GN$35*12)/EntryCapRate*(TaxLevyPct*TaxAssessmentPct*TaxValueAdjFactor)/12))</f>
        <v/>
      </c>
      <c r="GO36" s="18">
        <f>IF(194&lt;StabMonth,0,IF(TaxMethodValue&gt;=1,TaxYear1*(1+GrowthTax)^(MAX(0,(194-StabMonth)/12))/12,MAX(0,GO$35*12)/EntryCapRate*(TaxLevyPct*TaxAssessmentPct*TaxValueAdjFactor)/12))</f>
        <v/>
      </c>
      <c r="GP36" s="18">
        <f>IF(195&lt;StabMonth,0,IF(TaxMethodValue&gt;=1,TaxYear1*(1+GrowthTax)^(MAX(0,(195-StabMonth)/12))/12,MAX(0,GP$35*12)/EntryCapRate*(TaxLevyPct*TaxAssessmentPct*TaxValueAdjFactor)/12))</f>
        <v/>
      </c>
      <c r="GQ36" s="18">
        <f>IF(196&lt;StabMonth,0,IF(TaxMethodValue&gt;=1,TaxYear1*(1+GrowthTax)^(MAX(0,(196-StabMonth)/12))/12,MAX(0,GQ$35*12)/EntryCapRate*(TaxLevyPct*TaxAssessmentPct*TaxValueAdjFactor)/12))</f>
        <v/>
      </c>
      <c r="GR36" s="18">
        <f>IF(197&lt;StabMonth,0,IF(TaxMethodValue&gt;=1,TaxYear1*(1+GrowthTax)^(MAX(0,(197-StabMonth)/12))/12,MAX(0,GR$35*12)/EntryCapRate*(TaxLevyPct*TaxAssessmentPct*TaxValueAdjFactor)/12))</f>
        <v/>
      </c>
      <c r="GS36" s="18">
        <f>IF(198&lt;StabMonth,0,IF(TaxMethodValue&gt;=1,TaxYear1*(1+GrowthTax)^(MAX(0,(198-StabMonth)/12))/12,MAX(0,GS$35*12)/EntryCapRate*(TaxLevyPct*TaxAssessmentPct*TaxValueAdjFactor)/12))</f>
        <v/>
      </c>
      <c r="GT36" s="18">
        <f>IF(199&lt;StabMonth,0,IF(TaxMethodValue&gt;=1,TaxYear1*(1+GrowthTax)^(MAX(0,(199-StabMonth)/12))/12,MAX(0,GT$35*12)/EntryCapRate*(TaxLevyPct*TaxAssessmentPct*TaxValueAdjFactor)/12))</f>
        <v/>
      </c>
      <c r="GU36" s="18">
        <f>IF(200&lt;StabMonth,0,IF(TaxMethodValue&gt;=1,TaxYear1*(1+GrowthTax)^(MAX(0,(200-StabMonth)/12))/12,MAX(0,GU$35*12)/EntryCapRate*(TaxLevyPct*TaxAssessmentPct*TaxValueAdjFactor)/12))</f>
        <v/>
      </c>
      <c r="GV36" s="18">
        <f>IF(201&lt;StabMonth,0,IF(TaxMethodValue&gt;=1,TaxYear1*(1+GrowthTax)^(MAX(0,(201-StabMonth)/12))/12,MAX(0,GV$35*12)/EntryCapRate*(TaxLevyPct*TaxAssessmentPct*TaxValueAdjFactor)/12))</f>
        <v/>
      </c>
      <c r="GW36" s="18">
        <f>IF(202&lt;StabMonth,0,IF(TaxMethodValue&gt;=1,TaxYear1*(1+GrowthTax)^(MAX(0,(202-StabMonth)/12))/12,MAX(0,GW$35*12)/EntryCapRate*(TaxLevyPct*TaxAssessmentPct*TaxValueAdjFactor)/12))</f>
        <v/>
      </c>
      <c r="GX36" s="18">
        <f>IF(203&lt;StabMonth,0,IF(TaxMethodValue&gt;=1,TaxYear1*(1+GrowthTax)^(MAX(0,(203-StabMonth)/12))/12,MAX(0,GX$35*12)/EntryCapRate*(TaxLevyPct*TaxAssessmentPct*TaxValueAdjFactor)/12))</f>
        <v/>
      </c>
      <c r="GY36" s="18">
        <f>IF(204&lt;StabMonth,0,IF(TaxMethodValue&gt;=1,TaxYear1*(1+GrowthTax)^(MAX(0,(204-StabMonth)/12))/12,MAX(0,GY$35*12)/EntryCapRate*(TaxLevyPct*TaxAssessmentPct*TaxValueAdjFactor)/12))</f>
        <v/>
      </c>
      <c r="GZ36" s="18">
        <f>IF(205&lt;StabMonth,0,IF(TaxMethodValue&gt;=1,TaxYear1*(1+GrowthTax)^(MAX(0,(205-StabMonth)/12))/12,MAX(0,GZ$35*12)/EntryCapRate*(TaxLevyPct*TaxAssessmentPct*TaxValueAdjFactor)/12))</f>
        <v/>
      </c>
      <c r="HA36" s="18">
        <f>IF(206&lt;StabMonth,0,IF(TaxMethodValue&gt;=1,TaxYear1*(1+GrowthTax)^(MAX(0,(206-StabMonth)/12))/12,MAX(0,HA$35*12)/EntryCapRate*(TaxLevyPct*TaxAssessmentPct*TaxValueAdjFactor)/12))</f>
        <v/>
      </c>
      <c r="HB36" s="18">
        <f>IF(207&lt;StabMonth,0,IF(TaxMethodValue&gt;=1,TaxYear1*(1+GrowthTax)^(MAX(0,(207-StabMonth)/12))/12,MAX(0,HB$35*12)/EntryCapRate*(TaxLevyPct*TaxAssessmentPct*TaxValueAdjFactor)/12))</f>
        <v/>
      </c>
      <c r="HC36" s="18">
        <f>IF(208&lt;StabMonth,0,IF(TaxMethodValue&gt;=1,TaxYear1*(1+GrowthTax)^(MAX(0,(208-StabMonth)/12))/12,MAX(0,HC$35*12)/EntryCapRate*(TaxLevyPct*TaxAssessmentPct*TaxValueAdjFactor)/12))</f>
        <v/>
      </c>
      <c r="HD36" s="18">
        <f>IF(209&lt;StabMonth,0,IF(TaxMethodValue&gt;=1,TaxYear1*(1+GrowthTax)^(MAX(0,(209-StabMonth)/12))/12,MAX(0,HD$35*12)/EntryCapRate*(TaxLevyPct*TaxAssessmentPct*TaxValueAdjFactor)/12))</f>
        <v/>
      </c>
      <c r="HE36" s="18">
        <f>IF(210&lt;StabMonth,0,IF(TaxMethodValue&gt;=1,TaxYear1*(1+GrowthTax)^(MAX(0,(210-StabMonth)/12))/12,MAX(0,HE$35*12)/EntryCapRate*(TaxLevyPct*TaxAssessmentPct*TaxValueAdjFactor)/12))</f>
        <v/>
      </c>
      <c r="HF36" s="18">
        <f>IF(211&lt;StabMonth,0,IF(TaxMethodValue&gt;=1,TaxYear1*(1+GrowthTax)^(MAX(0,(211-StabMonth)/12))/12,MAX(0,HF$35*12)/EntryCapRate*(TaxLevyPct*TaxAssessmentPct*TaxValueAdjFactor)/12))</f>
        <v/>
      </c>
      <c r="HG36" s="18">
        <f>IF(212&lt;StabMonth,0,IF(TaxMethodValue&gt;=1,TaxYear1*(1+GrowthTax)^(MAX(0,(212-StabMonth)/12))/12,MAX(0,HG$35*12)/EntryCapRate*(TaxLevyPct*TaxAssessmentPct*TaxValueAdjFactor)/12))</f>
        <v/>
      </c>
      <c r="HH36" s="18">
        <f>IF(213&lt;StabMonth,0,IF(TaxMethodValue&gt;=1,TaxYear1*(1+GrowthTax)^(MAX(0,(213-StabMonth)/12))/12,MAX(0,HH$35*12)/EntryCapRate*(TaxLevyPct*TaxAssessmentPct*TaxValueAdjFactor)/12))</f>
        <v/>
      </c>
      <c r="HI36" s="18">
        <f>IF(214&lt;StabMonth,0,IF(TaxMethodValue&gt;=1,TaxYear1*(1+GrowthTax)^(MAX(0,(214-StabMonth)/12))/12,MAX(0,HI$35*12)/EntryCapRate*(TaxLevyPct*TaxAssessmentPct*TaxValueAdjFactor)/12))</f>
        <v/>
      </c>
      <c r="HJ36" s="18">
        <f>IF(215&lt;StabMonth,0,IF(TaxMethodValue&gt;=1,TaxYear1*(1+GrowthTax)^(MAX(0,(215-StabMonth)/12))/12,MAX(0,HJ$35*12)/EntryCapRate*(TaxLevyPct*TaxAssessmentPct*TaxValueAdjFactor)/12))</f>
        <v/>
      </c>
      <c r="HK36" s="18">
        <f>IF(216&lt;StabMonth,0,IF(TaxMethodValue&gt;=1,TaxYear1*(1+GrowthTax)^(MAX(0,(216-StabMonth)/12))/12,MAX(0,HK$35*12)/EntryCapRate*(TaxLevyPct*TaxAssessmentPct*TaxValueAdjFactor)/12))</f>
        <v/>
      </c>
      <c r="HL36" s="18">
        <f>IF(217&lt;StabMonth,0,IF(TaxMethodValue&gt;=1,TaxYear1*(1+GrowthTax)^(MAX(0,(217-StabMonth)/12))/12,MAX(0,HL$35*12)/EntryCapRate*(TaxLevyPct*TaxAssessmentPct*TaxValueAdjFactor)/12))</f>
        <v/>
      </c>
      <c r="HM36" s="18">
        <f>IF(218&lt;StabMonth,0,IF(TaxMethodValue&gt;=1,TaxYear1*(1+GrowthTax)^(MAX(0,(218-StabMonth)/12))/12,MAX(0,HM$35*12)/EntryCapRate*(TaxLevyPct*TaxAssessmentPct*TaxValueAdjFactor)/12))</f>
        <v/>
      </c>
      <c r="HN36" s="18">
        <f>IF(219&lt;StabMonth,0,IF(TaxMethodValue&gt;=1,TaxYear1*(1+GrowthTax)^(MAX(0,(219-StabMonth)/12))/12,MAX(0,HN$35*12)/EntryCapRate*(TaxLevyPct*TaxAssessmentPct*TaxValueAdjFactor)/12))</f>
        <v/>
      </c>
      <c r="HO36" s="18">
        <f>IF(220&lt;StabMonth,0,IF(TaxMethodValue&gt;=1,TaxYear1*(1+GrowthTax)^(MAX(0,(220-StabMonth)/12))/12,MAX(0,HO$35*12)/EntryCapRate*(TaxLevyPct*TaxAssessmentPct*TaxValueAdjFactor)/12))</f>
        <v/>
      </c>
      <c r="HP36" s="18">
        <f>IF(221&lt;StabMonth,0,IF(TaxMethodValue&gt;=1,TaxYear1*(1+GrowthTax)^(MAX(0,(221-StabMonth)/12))/12,MAX(0,HP$35*12)/EntryCapRate*(TaxLevyPct*TaxAssessmentPct*TaxValueAdjFactor)/12))</f>
        <v/>
      </c>
      <c r="HQ36" s="18">
        <f>IF(222&lt;StabMonth,0,IF(TaxMethodValue&gt;=1,TaxYear1*(1+GrowthTax)^(MAX(0,(222-StabMonth)/12))/12,MAX(0,HQ$35*12)/EntryCapRate*(TaxLevyPct*TaxAssessmentPct*TaxValueAdjFactor)/12))</f>
        <v/>
      </c>
      <c r="HR36" s="18">
        <f>IF(223&lt;StabMonth,0,IF(TaxMethodValue&gt;=1,TaxYear1*(1+GrowthTax)^(MAX(0,(223-StabMonth)/12))/12,MAX(0,HR$35*12)/EntryCapRate*(TaxLevyPct*TaxAssessmentPct*TaxValueAdjFactor)/12))</f>
        <v/>
      </c>
      <c r="HS36" s="18">
        <f>IF(224&lt;StabMonth,0,IF(TaxMethodValue&gt;=1,TaxYear1*(1+GrowthTax)^(MAX(0,(224-StabMonth)/12))/12,MAX(0,HS$35*12)/EntryCapRate*(TaxLevyPct*TaxAssessmentPct*TaxValueAdjFactor)/12))</f>
        <v/>
      </c>
      <c r="HT36" s="18">
        <f>IF(225&lt;StabMonth,0,IF(TaxMethodValue&gt;=1,TaxYear1*(1+GrowthTax)^(MAX(0,(225-StabMonth)/12))/12,MAX(0,HT$35*12)/EntryCapRate*(TaxLevyPct*TaxAssessmentPct*TaxValueAdjFactor)/12))</f>
        <v/>
      </c>
      <c r="HU36" s="18">
        <f>IF(226&lt;StabMonth,0,IF(TaxMethodValue&gt;=1,TaxYear1*(1+GrowthTax)^(MAX(0,(226-StabMonth)/12))/12,MAX(0,HU$35*12)/EntryCapRate*(TaxLevyPct*TaxAssessmentPct*TaxValueAdjFactor)/12))</f>
        <v/>
      </c>
      <c r="HV36" s="18">
        <f>IF(227&lt;StabMonth,0,IF(TaxMethodValue&gt;=1,TaxYear1*(1+GrowthTax)^(MAX(0,(227-StabMonth)/12))/12,MAX(0,HV$35*12)/EntryCapRate*(TaxLevyPct*TaxAssessmentPct*TaxValueAdjFactor)/12))</f>
        <v/>
      </c>
      <c r="HW36" s="18">
        <f>IF(228&lt;StabMonth,0,IF(TaxMethodValue&gt;=1,TaxYear1*(1+GrowthTax)^(MAX(0,(228-StabMonth)/12))/12,MAX(0,HW$35*12)/EntryCapRate*(TaxLevyPct*TaxAssessmentPct*TaxValueAdjFactor)/12))</f>
        <v/>
      </c>
      <c r="HX36" s="18">
        <f>IF(229&lt;StabMonth,0,IF(TaxMethodValue&gt;=1,TaxYear1*(1+GrowthTax)^(MAX(0,(229-StabMonth)/12))/12,MAX(0,HX$35*12)/EntryCapRate*(TaxLevyPct*TaxAssessmentPct*TaxValueAdjFactor)/12))</f>
        <v/>
      </c>
      <c r="HY36" s="18">
        <f>IF(230&lt;StabMonth,0,IF(TaxMethodValue&gt;=1,TaxYear1*(1+GrowthTax)^(MAX(0,(230-StabMonth)/12))/12,MAX(0,HY$35*12)/EntryCapRate*(TaxLevyPct*TaxAssessmentPct*TaxValueAdjFactor)/12))</f>
        <v/>
      </c>
      <c r="HZ36" s="18">
        <f>IF(231&lt;StabMonth,0,IF(TaxMethodValue&gt;=1,TaxYear1*(1+GrowthTax)^(MAX(0,(231-StabMonth)/12))/12,MAX(0,HZ$35*12)/EntryCapRate*(TaxLevyPct*TaxAssessmentPct*TaxValueAdjFactor)/12))</f>
        <v/>
      </c>
      <c r="IA36" s="18">
        <f>IF(232&lt;StabMonth,0,IF(TaxMethodValue&gt;=1,TaxYear1*(1+GrowthTax)^(MAX(0,(232-StabMonth)/12))/12,MAX(0,IA$35*12)/EntryCapRate*(TaxLevyPct*TaxAssessmentPct*TaxValueAdjFactor)/12))</f>
        <v/>
      </c>
      <c r="IB36" s="18">
        <f>IF(233&lt;StabMonth,0,IF(TaxMethodValue&gt;=1,TaxYear1*(1+GrowthTax)^(MAX(0,(233-StabMonth)/12))/12,MAX(0,IB$35*12)/EntryCapRate*(TaxLevyPct*TaxAssessmentPct*TaxValueAdjFactor)/12))</f>
        <v/>
      </c>
      <c r="IC36" s="18">
        <f>IF(234&lt;StabMonth,0,IF(TaxMethodValue&gt;=1,TaxYear1*(1+GrowthTax)^(MAX(0,(234-StabMonth)/12))/12,MAX(0,IC$35*12)/EntryCapRate*(TaxLevyPct*TaxAssessmentPct*TaxValueAdjFactor)/12))</f>
        <v/>
      </c>
      <c r="ID36" s="18">
        <f>IF(235&lt;StabMonth,0,IF(TaxMethodValue&gt;=1,TaxYear1*(1+GrowthTax)^(MAX(0,(235-StabMonth)/12))/12,MAX(0,ID$35*12)/EntryCapRate*(TaxLevyPct*TaxAssessmentPct*TaxValueAdjFactor)/12))</f>
        <v/>
      </c>
      <c r="IE36" s="18">
        <f>IF(236&lt;StabMonth,0,IF(TaxMethodValue&gt;=1,TaxYear1*(1+GrowthTax)^(MAX(0,(236-StabMonth)/12))/12,MAX(0,IE$35*12)/EntryCapRate*(TaxLevyPct*TaxAssessmentPct*TaxValueAdjFactor)/12))</f>
        <v/>
      </c>
      <c r="IF36" s="18">
        <f>IF(237&lt;StabMonth,0,IF(TaxMethodValue&gt;=1,TaxYear1*(1+GrowthTax)^(MAX(0,(237-StabMonth)/12))/12,MAX(0,IF$35*12)/EntryCapRate*(TaxLevyPct*TaxAssessmentPct*TaxValueAdjFactor)/12))</f>
        <v/>
      </c>
      <c r="IG36" s="18">
        <f>IF(238&lt;StabMonth,0,IF(TaxMethodValue&gt;=1,TaxYear1*(1+GrowthTax)^(MAX(0,(238-StabMonth)/12))/12,MAX(0,IG$35*12)/EntryCapRate*(TaxLevyPct*TaxAssessmentPct*TaxValueAdjFactor)/12))</f>
        <v/>
      </c>
      <c r="IH36" s="18">
        <f>IF(239&lt;StabMonth,0,IF(TaxMethodValue&gt;=1,TaxYear1*(1+GrowthTax)^(MAX(0,(239-StabMonth)/12))/12,MAX(0,IH$35*12)/EntryCapRate*(TaxLevyPct*TaxAssessmentPct*TaxValueAdjFactor)/12))</f>
        <v/>
      </c>
      <c r="II36" s="18">
        <f>IF(240&lt;StabMonth,0,IF(TaxMethodValue&gt;=1,TaxYear1*(1+GrowthTax)^(MAX(0,(240-StabMonth)/12))/12,MAX(0,II$35*12)/EntryCapRate*(TaxLevyPct*TaxAssessmentPct*TaxValueAdjFactor)/12))</f>
        <v/>
      </c>
      <c r="IJ36" s="18">
        <f>IF(241&lt;StabMonth,0,IF(TaxMethodValue&gt;=1,TaxYear1*(1+GrowthTax)^(MAX(0,(241-StabMonth)/12))/12,MAX(0,IJ$35*12)/EntryCapRate*(TaxLevyPct*TaxAssessmentPct*TaxValueAdjFactor)/12))</f>
        <v/>
      </c>
      <c r="IK36" s="18">
        <f>IF(242&lt;StabMonth,0,IF(TaxMethodValue&gt;=1,TaxYear1*(1+GrowthTax)^(MAX(0,(242-StabMonth)/12))/12,MAX(0,IK$35*12)/EntryCapRate*(TaxLevyPct*TaxAssessmentPct*TaxValueAdjFactor)/12))</f>
        <v/>
      </c>
      <c r="IL36" s="18">
        <f>IF(243&lt;StabMonth,0,IF(TaxMethodValue&gt;=1,TaxYear1*(1+GrowthTax)^(MAX(0,(243-StabMonth)/12))/12,MAX(0,IL$35*12)/EntryCapRate*(TaxLevyPct*TaxAssessmentPct*TaxValueAdjFactor)/12))</f>
        <v/>
      </c>
      <c r="IM36" s="18">
        <f>IF(244&lt;StabMonth,0,IF(TaxMethodValue&gt;=1,TaxYear1*(1+GrowthTax)^(MAX(0,(244-StabMonth)/12))/12,MAX(0,IM$35*12)/EntryCapRate*(TaxLevyPct*TaxAssessmentPct*TaxValueAdjFactor)/12))</f>
        <v/>
      </c>
      <c r="IN36" s="18">
        <f>IF(245&lt;StabMonth,0,IF(TaxMethodValue&gt;=1,TaxYear1*(1+GrowthTax)^(MAX(0,(245-StabMonth)/12))/12,MAX(0,IN$35*12)/EntryCapRate*(TaxLevyPct*TaxAssessmentPct*TaxValueAdjFactor)/12))</f>
        <v/>
      </c>
      <c r="IO36" s="18">
        <f>IF(246&lt;StabMonth,0,IF(TaxMethodValue&gt;=1,TaxYear1*(1+GrowthTax)^(MAX(0,(246-StabMonth)/12))/12,MAX(0,IO$35*12)/EntryCapRate*(TaxLevyPct*TaxAssessmentPct*TaxValueAdjFactor)/12))</f>
        <v/>
      </c>
      <c r="IP36" s="18">
        <f>IF(247&lt;StabMonth,0,IF(TaxMethodValue&gt;=1,TaxYear1*(1+GrowthTax)^(MAX(0,(247-StabMonth)/12))/12,MAX(0,IP$35*12)/EntryCapRate*(TaxLevyPct*TaxAssessmentPct*TaxValueAdjFactor)/12))</f>
        <v/>
      </c>
      <c r="IQ36" s="18">
        <f>IF(248&lt;StabMonth,0,IF(TaxMethodValue&gt;=1,TaxYear1*(1+GrowthTax)^(MAX(0,(248-StabMonth)/12))/12,MAX(0,IQ$35*12)/EntryCapRate*(TaxLevyPct*TaxAssessmentPct*TaxValueAdjFactor)/12))</f>
        <v/>
      </c>
      <c r="IR36" s="18">
        <f>IF(249&lt;StabMonth,0,IF(TaxMethodValue&gt;=1,TaxYear1*(1+GrowthTax)^(MAX(0,(249-StabMonth)/12))/12,MAX(0,IR$35*12)/EntryCapRate*(TaxLevyPct*TaxAssessmentPct*TaxValueAdjFactor)/12))</f>
        <v/>
      </c>
      <c r="IS36" s="18">
        <f>IF(250&lt;StabMonth,0,IF(TaxMethodValue&gt;=1,TaxYear1*(1+GrowthTax)^(MAX(0,(250-StabMonth)/12))/12,MAX(0,IS$35*12)/EntryCapRate*(TaxLevyPct*TaxAssessmentPct*TaxValueAdjFactor)/12))</f>
        <v/>
      </c>
      <c r="IT36" s="18">
        <f>IF(251&lt;StabMonth,0,IF(TaxMethodValue&gt;=1,TaxYear1*(1+GrowthTax)^(MAX(0,(251-StabMonth)/12))/12,MAX(0,IT$35*12)/EntryCapRate*(TaxLevyPct*TaxAssessmentPct*TaxValueAdjFactor)/12))</f>
        <v/>
      </c>
      <c r="IU36" s="18">
        <f>IF(252&lt;StabMonth,0,IF(TaxMethodValue&gt;=1,TaxYear1*(1+GrowthTax)^(MAX(0,(252-StabMonth)/12))/12,MAX(0,IU$35*12)/EntryCapRate*(TaxLevyPct*TaxAssessmentPct*TaxValueAdjFactor)/12))</f>
        <v/>
      </c>
      <c r="IV36" s="18">
        <f>IF(253&lt;StabMonth,0,IF(TaxMethodValue&gt;=1,TaxYear1*(1+GrowthTax)^(MAX(0,(253-StabMonth)/12))/12,MAX(0,IV$35*12)/EntryCapRate*(TaxLevyPct*TaxAssessmentPct*TaxValueAdjFactor)/12))</f>
        <v/>
      </c>
      <c r="IW36" s="18">
        <f>IF(254&lt;StabMonth,0,IF(TaxMethodValue&gt;=1,TaxYear1*(1+GrowthTax)^(MAX(0,(254-StabMonth)/12))/12,MAX(0,IW$35*12)/EntryCapRate*(TaxLevyPct*TaxAssessmentPct*TaxValueAdjFactor)/12))</f>
        <v/>
      </c>
      <c r="IX36" s="18">
        <f>IF(255&lt;StabMonth,0,IF(TaxMethodValue&gt;=1,TaxYear1*(1+GrowthTax)^(MAX(0,(255-StabMonth)/12))/12,MAX(0,IX$35*12)/EntryCapRate*(TaxLevyPct*TaxAssessmentPct*TaxValueAdjFactor)/12))</f>
        <v/>
      </c>
      <c r="IY36" s="18">
        <f>IF(256&lt;StabMonth,0,IF(TaxMethodValue&gt;=1,TaxYear1*(1+GrowthTax)^(MAX(0,(256-StabMonth)/12))/12,MAX(0,IY$35*12)/EntryCapRate*(TaxLevyPct*TaxAssessmentPct*TaxValueAdjFactor)/12))</f>
        <v/>
      </c>
      <c r="IZ36" s="18">
        <f>IF(257&lt;StabMonth,0,IF(TaxMethodValue&gt;=1,TaxYear1*(1+GrowthTax)^(MAX(0,(257-StabMonth)/12))/12,MAX(0,IZ$35*12)/EntryCapRate*(TaxLevyPct*TaxAssessmentPct*TaxValueAdjFactor)/12))</f>
        <v/>
      </c>
      <c r="JA36" s="18">
        <f>IF(258&lt;StabMonth,0,IF(TaxMethodValue&gt;=1,TaxYear1*(1+GrowthTax)^(MAX(0,(258-StabMonth)/12))/12,MAX(0,JA$35*12)/EntryCapRate*(TaxLevyPct*TaxAssessmentPct*TaxValueAdjFactor)/12))</f>
        <v/>
      </c>
      <c r="JB36" s="18">
        <f>IF(259&lt;StabMonth,0,IF(TaxMethodValue&gt;=1,TaxYear1*(1+GrowthTax)^(MAX(0,(259-StabMonth)/12))/12,MAX(0,JB$35*12)/EntryCapRate*(TaxLevyPct*TaxAssessmentPct*TaxValueAdjFactor)/12))</f>
        <v/>
      </c>
      <c r="JC36" s="18">
        <f>IF(260&lt;StabMonth,0,IF(TaxMethodValue&gt;=1,TaxYear1*(1+GrowthTax)^(MAX(0,(260-StabMonth)/12))/12,MAX(0,JC$35*12)/EntryCapRate*(TaxLevyPct*TaxAssessmentPct*TaxValueAdjFactor)/12))</f>
        <v/>
      </c>
      <c r="JD36" s="18">
        <f>IF(261&lt;StabMonth,0,IF(TaxMethodValue&gt;=1,TaxYear1*(1+GrowthTax)^(MAX(0,(261-StabMonth)/12))/12,MAX(0,JD$35*12)/EntryCapRate*(TaxLevyPct*TaxAssessmentPct*TaxValueAdjFactor)/12))</f>
        <v/>
      </c>
      <c r="JE36" s="18">
        <f>IF(262&lt;StabMonth,0,IF(TaxMethodValue&gt;=1,TaxYear1*(1+GrowthTax)^(MAX(0,(262-StabMonth)/12))/12,MAX(0,JE$35*12)/EntryCapRate*(TaxLevyPct*TaxAssessmentPct*TaxValueAdjFactor)/12))</f>
        <v/>
      </c>
      <c r="JF36" s="18">
        <f>IF(263&lt;StabMonth,0,IF(TaxMethodValue&gt;=1,TaxYear1*(1+GrowthTax)^(MAX(0,(263-StabMonth)/12))/12,MAX(0,JF$35*12)/EntryCapRate*(TaxLevyPct*TaxAssessmentPct*TaxValueAdjFactor)/12))</f>
        <v/>
      </c>
      <c r="JG36" s="18">
        <f>IF(264&lt;StabMonth,0,IF(TaxMethodValue&gt;=1,TaxYear1*(1+GrowthTax)^(MAX(0,(264-StabMonth)/12))/12,MAX(0,JG$35*12)/EntryCapRate*(TaxLevyPct*TaxAssessmentPct*TaxValueAdjFactor)/12))</f>
        <v/>
      </c>
      <c r="JH36" s="18">
        <f>IF(265&lt;StabMonth,0,IF(TaxMethodValue&gt;=1,TaxYear1*(1+GrowthTax)^(MAX(0,(265-StabMonth)/12))/12,MAX(0,JH$35*12)/EntryCapRate*(TaxLevyPct*TaxAssessmentPct*TaxValueAdjFactor)/12))</f>
        <v/>
      </c>
      <c r="JI36" s="18">
        <f>IF(266&lt;StabMonth,0,IF(TaxMethodValue&gt;=1,TaxYear1*(1+GrowthTax)^(MAX(0,(266-StabMonth)/12))/12,MAX(0,JI$35*12)/EntryCapRate*(TaxLevyPct*TaxAssessmentPct*TaxValueAdjFactor)/12))</f>
        <v/>
      </c>
      <c r="JJ36" s="18">
        <f>IF(267&lt;StabMonth,0,IF(TaxMethodValue&gt;=1,TaxYear1*(1+GrowthTax)^(MAX(0,(267-StabMonth)/12))/12,MAX(0,JJ$35*12)/EntryCapRate*(TaxLevyPct*TaxAssessmentPct*TaxValueAdjFactor)/12))</f>
        <v/>
      </c>
      <c r="JK36" s="18">
        <f>IF(268&lt;StabMonth,0,IF(TaxMethodValue&gt;=1,TaxYear1*(1+GrowthTax)^(MAX(0,(268-StabMonth)/12))/12,MAX(0,JK$35*12)/EntryCapRate*(TaxLevyPct*TaxAssessmentPct*TaxValueAdjFactor)/12))</f>
        <v/>
      </c>
      <c r="JL36" s="18">
        <f>IF(269&lt;StabMonth,0,IF(TaxMethodValue&gt;=1,TaxYear1*(1+GrowthTax)^(MAX(0,(269-StabMonth)/12))/12,MAX(0,JL$35*12)/EntryCapRate*(TaxLevyPct*TaxAssessmentPct*TaxValueAdjFactor)/12))</f>
        <v/>
      </c>
      <c r="JM36" s="18">
        <f>IF(270&lt;StabMonth,0,IF(TaxMethodValue&gt;=1,TaxYear1*(1+GrowthTax)^(MAX(0,(270-StabMonth)/12))/12,MAX(0,JM$35*12)/EntryCapRate*(TaxLevyPct*TaxAssessmentPct*TaxValueAdjFactor)/12))</f>
        <v/>
      </c>
      <c r="JN36" s="18">
        <f>IF(271&lt;StabMonth,0,IF(TaxMethodValue&gt;=1,TaxYear1*(1+GrowthTax)^(MAX(0,(271-StabMonth)/12))/12,MAX(0,JN$35*12)/EntryCapRate*(TaxLevyPct*TaxAssessmentPct*TaxValueAdjFactor)/12))</f>
        <v/>
      </c>
      <c r="JO36" s="18">
        <f>IF(272&lt;StabMonth,0,IF(TaxMethodValue&gt;=1,TaxYear1*(1+GrowthTax)^(MAX(0,(272-StabMonth)/12))/12,MAX(0,JO$35*12)/EntryCapRate*(TaxLevyPct*TaxAssessmentPct*TaxValueAdjFactor)/12))</f>
        <v/>
      </c>
      <c r="JP36" s="18">
        <f>IF(273&lt;StabMonth,0,IF(TaxMethodValue&gt;=1,TaxYear1*(1+GrowthTax)^(MAX(0,(273-StabMonth)/12))/12,MAX(0,JP$35*12)/EntryCapRate*(TaxLevyPct*TaxAssessmentPct*TaxValueAdjFactor)/12))</f>
        <v/>
      </c>
      <c r="JQ36" s="18">
        <f>IF(274&lt;StabMonth,0,IF(TaxMethodValue&gt;=1,TaxYear1*(1+GrowthTax)^(MAX(0,(274-StabMonth)/12))/12,MAX(0,JQ$35*12)/EntryCapRate*(TaxLevyPct*TaxAssessmentPct*TaxValueAdjFactor)/12))</f>
        <v/>
      </c>
      <c r="JR36" s="18">
        <f>IF(275&lt;StabMonth,0,IF(TaxMethodValue&gt;=1,TaxYear1*(1+GrowthTax)^(MAX(0,(275-StabMonth)/12))/12,MAX(0,JR$35*12)/EntryCapRate*(TaxLevyPct*TaxAssessmentPct*TaxValueAdjFactor)/12))</f>
        <v/>
      </c>
      <c r="JS36" s="18">
        <f>IF(276&lt;StabMonth,0,IF(TaxMethodValue&gt;=1,TaxYear1*(1+GrowthTax)^(MAX(0,(276-StabMonth)/12))/12,MAX(0,JS$35*12)/EntryCapRate*(TaxLevyPct*TaxAssessmentPct*TaxValueAdjFactor)/12))</f>
        <v/>
      </c>
      <c r="JT36" s="18">
        <f>IF(277&lt;StabMonth,0,IF(TaxMethodValue&gt;=1,TaxYear1*(1+GrowthTax)^(MAX(0,(277-StabMonth)/12))/12,MAX(0,JT$35*12)/EntryCapRate*(TaxLevyPct*TaxAssessmentPct*TaxValueAdjFactor)/12))</f>
        <v/>
      </c>
      <c r="JU36" s="18">
        <f>IF(278&lt;StabMonth,0,IF(TaxMethodValue&gt;=1,TaxYear1*(1+GrowthTax)^(MAX(0,(278-StabMonth)/12))/12,MAX(0,JU$35*12)/EntryCapRate*(TaxLevyPct*TaxAssessmentPct*TaxValueAdjFactor)/12))</f>
        <v/>
      </c>
      <c r="JV36" s="18">
        <f>IF(279&lt;StabMonth,0,IF(TaxMethodValue&gt;=1,TaxYear1*(1+GrowthTax)^(MAX(0,(279-StabMonth)/12))/12,MAX(0,JV$35*12)/EntryCapRate*(TaxLevyPct*TaxAssessmentPct*TaxValueAdjFactor)/12))</f>
        <v/>
      </c>
      <c r="JW36" s="18">
        <f>IF(280&lt;StabMonth,0,IF(TaxMethodValue&gt;=1,TaxYear1*(1+GrowthTax)^(MAX(0,(280-StabMonth)/12))/12,MAX(0,JW$35*12)/EntryCapRate*(TaxLevyPct*TaxAssessmentPct*TaxValueAdjFactor)/12))</f>
        <v/>
      </c>
      <c r="JX36" s="18">
        <f>IF(281&lt;StabMonth,0,IF(TaxMethodValue&gt;=1,TaxYear1*(1+GrowthTax)^(MAX(0,(281-StabMonth)/12))/12,MAX(0,JX$35*12)/EntryCapRate*(TaxLevyPct*TaxAssessmentPct*TaxValueAdjFactor)/12))</f>
        <v/>
      </c>
      <c r="JY36" s="18">
        <f>IF(282&lt;StabMonth,0,IF(TaxMethodValue&gt;=1,TaxYear1*(1+GrowthTax)^(MAX(0,(282-StabMonth)/12))/12,MAX(0,JY$35*12)/EntryCapRate*(TaxLevyPct*TaxAssessmentPct*TaxValueAdjFactor)/12))</f>
        <v/>
      </c>
      <c r="JZ36" s="18">
        <f>IF(283&lt;StabMonth,0,IF(TaxMethodValue&gt;=1,TaxYear1*(1+GrowthTax)^(MAX(0,(283-StabMonth)/12))/12,MAX(0,JZ$35*12)/EntryCapRate*(TaxLevyPct*TaxAssessmentPct*TaxValueAdjFactor)/12))</f>
        <v/>
      </c>
      <c r="KA36" s="18">
        <f>IF(284&lt;StabMonth,0,IF(TaxMethodValue&gt;=1,TaxYear1*(1+GrowthTax)^(MAX(0,(284-StabMonth)/12))/12,MAX(0,KA$35*12)/EntryCapRate*(TaxLevyPct*TaxAssessmentPct*TaxValueAdjFactor)/12))</f>
        <v/>
      </c>
      <c r="KB36" s="18">
        <f>IF(285&lt;StabMonth,0,IF(TaxMethodValue&gt;=1,TaxYear1*(1+GrowthTax)^(MAX(0,(285-StabMonth)/12))/12,MAX(0,KB$35*12)/EntryCapRate*(TaxLevyPct*TaxAssessmentPct*TaxValueAdjFactor)/12))</f>
        <v/>
      </c>
      <c r="KC36" s="18">
        <f>IF(286&lt;StabMonth,0,IF(TaxMethodValue&gt;=1,TaxYear1*(1+GrowthTax)^(MAX(0,(286-StabMonth)/12))/12,MAX(0,KC$35*12)/EntryCapRate*(TaxLevyPct*TaxAssessmentPct*TaxValueAdjFactor)/12))</f>
        <v/>
      </c>
      <c r="KD36" s="18">
        <f>IF(287&lt;StabMonth,0,IF(TaxMethodValue&gt;=1,TaxYear1*(1+GrowthTax)^(MAX(0,(287-StabMonth)/12))/12,MAX(0,KD$35*12)/EntryCapRate*(TaxLevyPct*TaxAssessmentPct*TaxValueAdjFactor)/12))</f>
        <v/>
      </c>
      <c r="KE36" s="18">
        <f>IF(288&lt;StabMonth,0,IF(TaxMethodValue&gt;=1,TaxYear1*(1+GrowthTax)^(MAX(0,(288-StabMonth)/12))/12,MAX(0,KE$35*12)/EntryCapRate*(TaxLevyPct*TaxAssessmentPct*TaxValueAdjFactor)/12))</f>
        <v/>
      </c>
      <c r="KF36" s="18">
        <f>IF(289&lt;StabMonth,0,IF(TaxMethodValue&gt;=1,TaxYear1*(1+GrowthTax)^(MAX(0,(289-StabMonth)/12))/12,MAX(0,KF$35*12)/EntryCapRate*(TaxLevyPct*TaxAssessmentPct*TaxValueAdjFactor)/12))</f>
        <v/>
      </c>
      <c r="KG36" s="18">
        <f>IF(290&lt;StabMonth,0,IF(TaxMethodValue&gt;=1,TaxYear1*(1+GrowthTax)^(MAX(0,(290-StabMonth)/12))/12,MAX(0,KG$35*12)/EntryCapRate*(TaxLevyPct*TaxAssessmentPct*TaxValueAdjFactor)/12))</f>
        <v/>
      </c>
      <c r="KH36" s="18">
        <f>IF(291&lt;StabMonth,0,IF(TaxMethodValue&gt;=1,TaxYear1*(1+GrowthTax)^(MAX(0,(291-StabMonth)/12))/12,MAX(0,KH$35*12)/EntryCapRate*(TaxLevyPct*TaxAssessmentPct*TaxValueAdjFactor)/12))</f>
        <v/>
      </c>
      <c r="KI36" s="18">
        <f>IF(292&lt;StabMonth,0,IF(TaxMethodValue&gt;=1,TaxYear1*(1+GrowthTax)^(MAX(0,(292-StabMonth)/12))/12,MAX(0,KI$35*12)/EntryCapRate*(TaxLevyPct*TaxAssessmentPct*TaxValueAdjFactor)/12))</f>
        <v/>
      </c>
      <c r="KJ36" s="18">
        <f>IF(293&lt;StabMonth,0,IF(TaxMethodValue&gt;=1,TaxYear1*(1+GrowthTax)^(MAX(0,(293-StabMonth)/12))/12,MAX(0,KJ$35*12)/EntryCapRate*(TaxLevyPct*TaxAssessmentPct*TaxValueAdjFactor)/12))</f>
        <v/>
      </c>
      <c r="KK36" s="18">
        <f>IF(294&lt;StabMonth,0,IF(TaxMethodValue&gt;=1,TaxYear1*(1+GrowthTax)^(MAX(0,(294-StabMonth)/12))/12,MAX(0,KK$35*12)/EntryCapRate*(TaxLevyPct*TaxAssessmentPct*TaxValueAdjFactor)/12))</f>
        <v/>
      </c>
      <c r="KL36" s="18">
        <f>IF(295&lt;StabMonth,0,IF(TaxMethodValue&gt;=1,TaxYear1*(1+GrowthTax)^(MAX(0,(295-StabMonth)/12))/12,MAX(0,KL$35*12)/EntryCapRate*(TaxLevyPct*TaxAssessmentPct*TaxValueAdjFactor)/12))</f>
        <v/>
      </c>
      <c r="KM36" s="18">
        <f>IF(296&lt;StabMonth,0,IF(TaxMethodValue&gt;=1,TaxYear1*(1+GrowthTax)^(MAX(0,(296-StabMonth)/12))/12,MAX(0,KM$35*12)/EntryCapRate*(TaxLevyPct*TaxAssessmentPct*TaxValueAdjFactor)/12))</f>
        <v/>
      </c>
      <c r="KN36" s="18">
        <f>IF(297&lt;StabMonth,0,IF(TaxMethodValue&gt;=1,TaxYear1*(1+GrowthTax)^(MAX(0,(297-StabMonth)/12))/12,MAX(0,KN$35*12)/EntryCapRate*(TaxLevyPct*TaxAssessmentPct*TaxValueAdjFactor)/12))</f>
        <v/>
      </c>
      <c r="KO36" s="18">
        <f>IF(298&lt;StabMonth,0,IF(TaxMethodValue&gt;=1,TaxYear1*(1+GrowthTax)^(MAX(0,(298-StabMonth)/12))/12,MAX(0,KO$35*12)/EntryCapRate*(TaxLevyPct*TaxAssessmentPct*TaxValueAdjFactor)/12))</f>
        <v/>
      </c>
      <c r="KP36" s="18">
        <f>IF(299&lt;StabMonth,0,IF(TaxMethodValue&gt;=1,TaxYear1*(1+GrowthTax)^(MAX(0,(299-StabMonth)/12))/12,MAX(0,KP$35*12)/EntryCapRate*(TaxLevyPct*TaxAssessmentPct*TaxValueAdjFactor)/12))</f>
        <v/>
      </c>
      <c r="KQ36" s="18">
        <f>IF(300&lt;StabMonth,0,IF(TaxMethodValue&gt;=1,TaxYear1*(1+GrowthTax)^(MAX(0,(300-StabMonth)/12))/12,MAX(0,KQ$35*12)/EntryCapRate*(TaxLevyPct*TaxAssessmentPct*TaxValueAdjFactor)/12))</f>
        <v/>
      </c>
      <c r="KR36" s="18">
        <f>IF(301&lt;StabMonth,0,IF(TaxMethodValue&gt;=1,TaxYear1*(1+GrowthTax)^(MAX(0,(301-StabMonth)/12))/12,MAX(0,KR$35*12)/EntryCapRate*(TaxLevyPct*TaxAssessmentPct*TaxValueAdjFactor)/12))</f>
        <v/>
      </c>
      <c r="KS36" s="18">
        <f>IF(302&lt;StabMonth,0,IF(TaxMethodValue&gt;=1,TaxYear1*(1+GrowthTax)^(MAX(0,(302-StabMonth)/12))/12,MAX(0,KS$35*12)/EntryCapRate*(TaxLevyPct*TaxAssessmentPct*TaxValueAdjFactor)/12))</f>
        <v/>
      </c>
      <c r="KT36" s="18">
        <f>IF(303&lt;StabMonth,0,IF(TaxMethodValue&gt;=1,TaxYear1*(1+GrowthTax)^(MAX(0,(303-StabMonth)/12))/12,MAX(0,KT$35*12)/EntryCapRate*(TaxLevyPct*TaxAssessmentPct*TaxValueAdjFactor)/12))</f>
        <v/>
      </c>
      <c r="KU36" s="18">
        <f>IF(304&lt;StabMonth,0,IF(TaxMethodValue&gt;=1,TaxYear1*(1+GrowthTax)^(MAX(0,(304-StabMonth)/12))/12,MAX(0,KU$35*12)/EntryCapRate*(TaxLevyPct*TaxAssessmentPct*TaxValueAdjFactor)/12))</f>
        <v/>
      </c>
      <c r="KV36" s="18">
        <f>IF(305&lt;StabMonth,0,IF(TaxMethodValue&gt;=1,TaxYear1*(1+GrowthTax)^(MAX(0,(305-StabMonth)/12))/12,MAX(0,KV$35*12)/EntryCapRate*(TaxLevyPct*TaxAssessmentPct*TaxValueAdjFactor)/12))</f>
        <v/>
      </c>
      <c r="KW36" s="18">
        <f>IF(306&lt;StabMonth,0,IF(TaxMethodValue&gt;=1,TaxYear1*(1+GrowthTax)^(MAX(0,(306-StabMonth)/12))/12,MAX(0,KW$35*12)/EntryCapRate*(TaxLevyPct*TaxAssessmentPct*TaxValueAdjFactor)/12))</f>
        <v/>
      </c>
      <c r="KX36" s="18">
        <f>IF(307&lt;StabMonth,0,IF(TaxMethodValue&gt;=1,TaxYear1*(1+GrowthTax)^(MAX(0,(307-StabMonth)/12))/12,MAX(0,KX$35*12)/EntryCapRate*(TaxLevyPct*TaxAssessmentPct*TaxValueAdjFactor)/12))</f>
        <v/>
      </c>
      <c r="KY36" s="18">
        <f>IF(308&lt;StabMonth,0,IF(TaxMethodValue&gt;=1,TaxYear1*(1+GrowthTax)^(MAX(0,(308-StabMonth)/12))/12,MAX(0,KY$35*12)/EntryCapRate*(TaxLevyPct*TaxAssessmentPct*TaxValueAdjFactor)/12))</f>
        <v/>
      </c>
      <c r="KZ36" s="18">
        <f>IF(309&lt;StabMonth,0,IF(TaxMethodValue&gt;=1,TaxYear1*(1+GrowthTax)^(MAX(0,(309-StabMonth)/12))/12,MAX(0,KZ$35*12)/EntryCapRate*(TaxLevyPct*TaxAssessmentPct*TaxValueAdjFactor)/12))</f>
        <v/>
      </c>
      <c r="LA36" s="18">
        <f>IF(310&lt;StabMonth,0,IF(TaxMethodValue&gt;=1,TaxYear1*(1+GrowthTax)^(MAX(0,(310-StabMonth)/12))/12,MAX(0,LA$35*12)/EntryCapRate*(TaxLevyPct*TaxAssessmentPct*TaxValueAdjFactor)/12))</f>
        <v/>
      </c>
      <c r="LB36" s="18">
        <f>IF(311&lt;StabMonth,0,IF(TaxMethodValue&gt;=1,TaxYear1*(1+GrowthTax)^(MAX(0,(311-StabMonth)/12))/12,MAX(0,LB$35*12)/EntryCapRate*(TaxLevyPct*TaxAssessmentPct*TaxValueAdjFactor)/12))</f>
        <v/>
      </c>
      <c r="LC36" s="18">
        <f>IF(312&lt;StabMonth,0,IF(TaxMethodValue&gt;=1,TaxYear1*(1+GrowthTax)^(MAX(0,(312-StabMonth)/12))/12,MAX(0,LC$35*12)/EntryCapRate*(TaxLevyPct*TaxAssessmentPct*TaxValueAdjFactor)/12))</f>
        <v/>
      </c>
      <c r="LD36" s="18">
        <f>IF(313&lt;StabMonth,0,IF(TaxMethodValue&gt;=1,TaxYear1*(1+GrowthTax)^(MAX(0,(313-StabMonth)/12))/12,MAX(0,LD$35*12)/EntryCapRate*(TaxLevyPct*TaxAssessmentPct*TaxValueAdjFactor)/12))</f>
        <v/>
      </c>
      <c r="LE36" s="18">
        <f>IF(314&lt;StabMonth,0,IF(TaxMethodValue&gt;=1,TaxYear1*(1+GrowthTax)^(MAX(0,(314-StabMonth)/12))/12,MAX(0,LE$35*12)/EntryCapRate*(TaxLevyPct*TaxAssessmentPct*TaxValueAdjFactor)/12))</f>
        <v/>
      </c>
      <c r="LF36" s="18">
        <f>IF(315&lt;StabMonth,0,IF(TaxMethodValue&gt;=1,TaxYear1*(1+GrowthTax)^(MAX(0,(315-StabMonth)/12))/12,MAX(0,LF$35*12)/EntryCapRate*(TaxLevyPct*TaxAssessmentPct*TaxValueAdjFactor)/12))</f>
        <v/>
      </c>
      <c r="LG36" s="18">
        <f>IF(316&lt;StabMonth,0,IF(TaxMethodValue&gt;=1,TaxYear1*(1+GrowthTax)^(MAX(0,(316-StabMonth)/12))/12,MAX(0,LG$35*12)/EntryCapRate*(TaxLevyPct*TaxAssessmentPct*TaxValueAdjFactor)/12))</f>
        <v/>
      </c>
      <c r="LH36" s="18">
        <f>IF(317&lt;StabMonth,0,IF(TaxMethodValue&gt;=1,TaxYear1*(1+GrowthTax)^(MAX(0,(317-StabMonth)/12))/12,MAX(0,LH$35*12)/EntryCapRate*(TaxLevyPct*TaxAssessmentPct*TaxValueAdjFactor)/12))</f>
        <v/>
      </c>
      <c r="LI36" s="18">
        <f>IF(318&lt;StabMonth,0,IF(TaxMethodValue&gt;=1,TaxYear1*(1+GrowthTax)^(MAX(0,(318-StabMonth)/12))/12,MAX(0,LI$35*12)/EntryCapRate*(TaxLevyPct*TaxAssessmentPct*TaxValueAdjFactor)/12))</f>
        <v/>
      </c>
      <c r="LJ36" s="18">
        <f>IF(319&lt;StabMonth,0,IF(TaxMethodValue&gt;=1,TaxYear1*(1+GrowthTax)^(MAX(0,(319-StabMonth)/12))/12,MAX(0,LJ$35*12)/EntryCapRate*(TaxLevyPct*TaxAssessmentPct*TaxValueAdjFactor)/12))</f>
        <v/>
      </c>
      <c r="LK36" s="18">
        <f>IF(320&lt;StabMonth,0,IF(TaxMethodValue&gt;=1,TaxYear1*(1+GrowthTax)^(MAX(0,(320-StabMonth)/12))/12,MAX(0,LK$35*12)/EntryCapRate*(TaxLevyPct*TaxAssessmentPct*TaxValueAdjFactor)/12))</f>
        <v/>
      </c>
      <c r="LL36" s="18">
        <f>IF(321&lt;StabMonth,0,IF(TaxMethodValue&gt;=1,TaxYear1*(1+GrowthTax)^(MAX(0,(321-StabMonth)/12))/12,MAX(0,LL$35*12)/EntryCapRate*(TaxLevyPct*TaxAssessmentPct*TaxValueAdjFactor)/12))</f>
        <v/>
      </c>
      <c r="LM36" s="18">
        <f>IF(322&lt;StabMonth,0,IF(TaxMethodValue&gt;=1,TaxYear1*(1+GrowthTax)^(MAX(0,(322-StabMonth)/12))/12,MAX(0,LM$35*12)/EntryCapRate*(TaxLevyPct*TaxAssessmentPct*TaxValueAdjFactor)/12))</f>
        <v/>
      </c>
      <c r="LN36" s="18">
        <f>IF(323&lt;StabMonth,0,IF(TaxMethodValue&gt;=1,TaxYear1*(1+GrowthTax)^(MAX(0,(323-StabMonth)/12))/12,MAX(0,LN$35*12)/EntryCapRate*(TaxLevyPct*TaxAssessmentPct*TaxValueAdjFactor)/12))</f>
        <v/>
      </c>
      <c r="LO36" s="18">
        <f>IF(324&lt;StabMonth,0,IF(TaxMethodValue&gt;=1,TaxYear1*(1+GrowthTax)^(MAX(0,(324-StabMonth)/12))/12,MAX(0,LO$35*12)/EntryCapRate*(TaxLevyPct*TaxAssessmentPct*TaxValueAdjFactor)/12))</f>
        <v/>
      </c>
      <c r="LP36" s="18">
        <f>IF(325&lt;StabMonth,0,IF(TaxMethodValue&gt;=1,TaxYear1*(1+GrowthTax)^(MAX(0,(325-StabMonth)/12))/12,MAX(0,LP$35*12)/EntryCapRate*(TaxLevyPct*TaxAssessmentPct*TaxValueAdjFactor)/12))</f>
        <v/>
      </c>
      <c r="LQ36" s="18">
        <f>IF(326&lt;StabMonth,0,IF(TaxMethodValue&gt;=1,TaxYear1*(1+GrowthTax)^(MAX(0,(326-StabMonth)/12))/12,MAX(0,LQ$35*12)/EntryCapRate*(TaxLevyPct*TaxAssessmentPct*TaxValueAdjFactor)/12))</f>
        <v/>
      </c>
      <c r="LR36" s="18">
        <f>IF(327&lt;StabMonth,0,IF(TaxMethodValue&gt;=1,TaxYear1*(1+GrowthTax)^(MAX(0,(327-StabMonth)/12))/12,MAX(0,LR$35*12)/EntryCapRate*(TaxLevyPct*TaxAssessmentPct*TaxValueAdjFactor)/12))</f>
        <v/>
      </c>
      <c r="LS36" s="18">
        <f>IF(328&lt;StabMonth,0,IF(TaxMethodValue&gt;=1,TaxYear1*(1+GrowthTax)^(MAX(0,(328-StabMonth)/12))/12,MAX(0,LS$35*12)/EntryCapRate*(TaxLevyPct*TaxAssessmentPct*TaxValueAdjFactor)/12))</f>
        <v/>
      </c>
      <c r="LT36" s="18">
        <f>IF(329&lt;StabMonth,0,IF(TaxMethodValue&gt;=1,TaxYear1*(1+GrowthTax)^(MAX(0,(329-StabMonth)/12))/12,MAX(0,LT$35*12)/EntryCapRate*(TaxLevyPct*TaxAssessmentPct*TaxValueAdjFactor)/12))</f>
        <v/>
      </c>
      <c r="LU36" s="18">
        <f>IF(330&lt;StabMonth,0,IF(TaxMethodValue&gt;=1,TaxYear1*(1+GrowthTax)^(MAX(0,(330-StabMonth)/12))/12,MAX(0,LU$35*12)/EntryCapRate*(TaxLevyPct*TaxAssessmentPct*TaxValueAdjFactor)/12))</f>
        <v/>
      </c>
      <c r="LV36" s="18">
        <f>IF(331&lt;StabMonth,0,IF(TaxMethodValue&gt;=1,TaxYear1*(1+GrowthTax)^(MAX(0,(331-StabMonth)/12))/12,MAX(0,LV$35*12)/EntryCapRate*(TaxLevyPct*TaxAssessmentPct*TaxValueAdjFactor)/12))</f>
        <v/>
      </c>
      <c r="LW36" s="18">
        <f>IF(332&lt;StabMonth,0,IF(TaxMethodValue&gt;=1,TaxYear1*(1+GrowthTax)^(MAX(0,(332-StabMonth)/12))/12,MAX(0,LW$35*12)/EntryCapRate*(TaxLevyPct*TaxAssessmentPct*TaxValueAdjFactor)/12))</f>
        <v/>
      </c>
      <c r="LX36" s="18">
        <f>IF(333&lt;StabMonth,0,IF(TaxMethodValue&gt;=1,TaxYear1*(1+GrowthTax)^(MAX(0,(333-StabMonth)/12))/12,MAX(0,LX$35*12)/EntryCapRate*(TaxLevyPct*TaxAssessmentPct*TaxValueAdjFactor)/12))</f>
        <v/>
      </c>
      <c r="LY36" s="18">
        <f>IF(334&lt;StabMonth,0,IF(TaxMethodValue&gt;=1,TaxYear1*(1+GrowthTax)^(MAX(0,(334-StabMonth)/12))/12,MAX(0,LY$35*12)/EntryCapRate*(TaxLevyPct*TaxAssessmentPct*TaxValueAdjFactor)/12))</f>
        <v/>
      </c>
      <c r="LZ36" s="18">
        <f>IF(335&lt;StabMonth,0,IF(TaxMethodValue&gt;=1,TaxYear1*(1+GrowthTax)^(MAX(0,(335-StabMonth)/12))/12,MAX(0,LZ$35*12)/EntryCapRate*(TaxLevyPct*TaxAssessmentPct*TaxValueAdjFactor)/12))</f>
        <v/>
      </c>
      <c r="MA36" s="18">
        <f>IF(336&lt;StabMonth,0,IF(TaxMethodValue&gt;=1,TaxYear1*(1+GrowthTax)^(MAX(0,(336-StabMonth)/12))/12,MAX(0,MA$35*12)/EntryCapRate*(TaxLevyPct*TaxAssessmentPct*TaxValueAdjFactor)/12))</f>
        <v/>
      </c>
      <c r="MB36" s="18">
        <f>IF(337&lt;StabMonth,0,IF(TaxMethodValue&gt;=1,TaxYear1*(1+GrowthTax)^(MAX(0,(337-StabMonth)/12))/12,MAX(0,MB$35*12)/EntryCapRate*(TaxLevyPct*TaxAssessmentPct*TaxValueAdjFactor)/12))</f>
        <v/>
      </c>
      <c r="MC36" s="18">
        <f>IF(338&lt;StabMonth,0,IF(TaxMethodValue&gt;=1,TaxYear1*(1+GrowthTax)^(MAX(0,(338-StabMonth)/12))/12,MAX(0,MC$35*12)/EntryCapRate*(TaxLevyPct*TaxAssessmentPct*TaxValueAdjFactor)/12))</f>
        <v/>
      </c>
      <c r="MD36" s="18">
        <f>IF(339&lt;StabMonth,0,IF(TaxMethodValue&gt;=1,TaxYear1*(1+GrowthTax)^(MAX(0,(339-StabMonth)/12))/12,MAX(0,MD$35*12)/EntryCapRate*(TaxLevyPct*TaxAssessmentPct*TaxValueAdjFactor)/12))</f>
        <v/>
      </c>
      <c r="ME36" s="18">
        <f>IF(340&lt;StabMonth,0,IF(TaxMethodValue&gt;=1,TaxYear1*(1+GrowthTax)^(MAX(0,(340-StabMonth)/12))/12,MAX(0,ME$35*12)/EntryCapRate*(TaxLevyPct*TaxAssessmentPct*TaxValueAdjFactor)/12))</f>
        <v/>
      </c>
      <c r="MF36" s="18">
        <f>IF(341&lt;StabMonth,0,IF(TaxMethodValue&gt;=1,TaxYear1*(1+GrowthTax)^(MAX(0,(341-StabMonth)/12))/12,MAX(0,MF$35*12)/EntryCapRate*(TaxLevyPct*TaxAssessmentPct*TaxValueAdjFactor)/12))</f>
        <v/>
      </c>
      <c r="MG36" s="18">
        <f>IF(342&lt;StabMonth,0,IF(TaxMethodValue&gt;=1,TaxYear1*(1+GrowthTax)^(MAX(0,(342-StabMonth)/12))/12,MAX(0,MG$35*12)/EntryCapRate*(TaxLevyPct*TaxAssessmentPct*TaxValueAdjFactor)/12))</f>
        <v/>
      </c>
      <c r="MH36" s="18">
        <f>IF(343&lt;StabMonth,0,IF(TaxMethodValue&gt;=1,TaxYear1*(1+GrowthTax)^(MAX(0,(343-StabMonth)/12))/12,MAX(0,MH$35*12)/EntryCapRate*(TaxLevyPct*TaxAssessmentPct*TaxValueAdjFactor)/12))</f>
        <v/>
      </c>
      <c r="MI36" s="18">
        <f>IF(344&lt;StabMonth,0,IF(TaxMethodValue&gt;=1,TaxYear1*(1+GrowthTax)^(MAX(0,(344-StabMonth)/12))/12,MAX(0,MI$35*12)/EntryCapRate*(TaxLevyPct*TaxAssessmentPct*TaxValueAdjFactor)/12))</f>
        <v/>
      </c>
      <c r="MJ36" s="18">
        <f>IF(345&lt;StabMonth,0,IF(TaxMethodValue&gt;=1,TaxYear1*(1+GrowthTax)^(MAX(0,(345-StabMonth)/12))/12,MAX(0,MJ$35*12)/EntryCapRate*(TaxLevyPct*TaxAssessmentPct*TaxValueAdjFactor)/12))</f>
        <v/>
      </c>
      <c r="MK36" s="18">
        <f>IF(346&lt;StabMonth,0,IF(TaxMethodValue&gt;=1,TaxYear1*(1+GrowthTax)^(MAX(0,(346-StabMonth)/12))/12,MAX(0,MK$35*12)/EntryCapRate*(TaxLevyPct*TaxAssessmentPct*TaxValueAdjFactor)/12))</f>
        <v/>
      </c>
      <c r="ML36" s="18">
        <f>IF(347&lt;StabMonth,0,IF(TaxMethodValue&gt;=1,TaxYear1*(1+GrowthTax)^(MAX(0,(347-StabMonth)/12))/12,MAX(0,ML$35*12)/EntryCapRate*(TaxLevyPct*TaxAssessmentPct*TaxValueAdjFactor)/12))</f>
        <v/>
      </c>
      <c r="MM36" s="18">
        <f>IF(348&lt;StabMonth,0,IF(TaxMethodValue&gt;=1,TaxYear1*(1+GrowthTax)^(MAX(0,(348-StabMonth)/12))/12,MAX(0,MM$35*12)/EntryCapRate*(TaxLevyPct*TaxAssessmentPct*TaxValueAdjFactor)/12))</f>
        <v/>
      </c>
      <c r="MN36" s="18">
        <f>IF(349&lt;StabMonth,0,IF(TaxMethodValue&gt;=1,TaxYear1*(1+GrowthTax)^(MAX(0,(349-StabMonth)/12))/12,MAX(0,MN$35*12)/EntryCapRate*(TaxLevyPct*TaxAssessmentPct*TaxValueAdjFactor)/12))</f>
        <v/>
      </c>
      <c r="MO36" s="18">
        <f>IF(350&lt;StabMonth,0,IF(TaxMethodValue&gt;=1,TaxYear1*(1+GrowthTax)^(MAX(0,(350-StabMonth)/12))/12,MAX(0,MO$35*12)/EntryCapRate*(TaxLevyPct*TaxAssessmentPct*TaxValueAdjFactor)/12))</f>
        <v/>
      </c>
      <c r="MP36" s="18">
        <f>IF(351&lt;StabMonth,0,IF(TaxMethodValue&gt;=1,TaxYear1*(1+GrowthTax)^(MAX(0,(351-StabMonth)/12))/12,MAX(0,MP$35*12)/EntryCapRate*(TaxLevyPct*TaxAssessmentPct*TaxValueAdjFactor)/12))</f>
        <v/>
      </c>
      <c r="MQ36" s="18">
        <f>IF(352&lt;StabMonth,0,IF(TaxMethodValue&gt;=1,TaxYear1*(1+GrowthTax)^(MAX(0,(352-StabMonth)/12))/12,MAX(0,MQ$35*12)/EntryCapRate*(TaxLevyPct*TaxAssessmentPct*TaxValueAdjFactor)/12))</f>
        <v/>
      </c>
      <c r="MR36" s="18">
        <f>IF(353&lt;StabMonth,0,IF(TaxMethodValue&gt;=1,TaxYear1*(1+GrowthTax)^(MAX(0,(353-StabMonth)/12))/12,MAX(0,MR$35*12)/EntryCapRate*(TaxLevyPct*TaxAssessmentPct*TaxValueAdjFactor)/12))</f>
        <v/>
      </c>
      <c r="MS36" s="18">
        <f>IF(354&lt;StabMonth,0,IF(TaxMethodValue&gt;=1,TaxYear1*(1+GrowthTax)^(MAX(0,(354-StabMonth)/12))/12,MAX(0,MS$35*12)/EntryCapRate*(TaxLevyPct*TaxAssessmentPct*TaxValueAdjFactor)/12))</f>
        <v/>
      </c>
      <c r="MT36" s="18">
        <f>IF(355&lt;StabMonth,0,IF(TaxMethodValue&gt;=1,TaxYear1*(1+GrowthTax)^(MAX(0,(355-StabMonth)/12))/12,MAX(0,MT$35*12)/EntryCapRate*(TaxLevyPct*TaxAssessmentPct*TaxValueAdjFactor)/12))</f>
        <v/>
      </c>
      <c r="MU36" s="18">
        <f>IF(356&lt;StabMonth,0,IF(TaxMethodValue&gt;=1,TaxYear1*(1+GrowthTax)^(MAX(0,(356-StabMonth)/12))/12,MAX(0,MU$35*12)/EntryCapRate*(TaxLevyPct*TaxAssessmentPct*TaxValueAdjFactor)/12))</f>
        <v/>
      </c>
      <c r="MV36" s="18">
        <f>IF(357&lt;StabMonth,0,IF(TaxMethodValue&gt;=1,TaxYear1*(1+GrowthTax)^(MAX(0,(357-StabMonth)/12))/12,MAX(0,MV$35*12)/EntryCapRate*(TaxLevyPct*TaxAssessmentPct*TaxValueAdjFactor)/12))</f>
        <v/>
      </c>
      <c r="MW36" s="18">
        <f>IF(358&lt;StabMonth,0,IF(TaxMethodValue&gt;=1,TaxYear1*(1+GrowthTax)^(MAX(0,(358-StabMonth)/12))/12,MAX(0,MW$35*12)/EntryCapRate*(TaxLevyPct*TaxAssessmentPct*TaxValueAdjFactor)/12))</f>
        <v/>
      </c>
      <c r="MX36" s="18">
        <f>IF(359&lt;StabMonth,0,IF(TaxMethodValue&gt;=1,TaxYear1*(1+GrowthTax)^(MAX(0,(359-StabMonth)/12))/12,MAX(0,MX$35*12)/EntryCapRate*(TaxLevyPct*TaxAssessmentPct*TaxValueAdjFactor)/12))</f>
        <v/>
      </c>
      <c r="MY36" s="18">
        <f>IF(360&lt;StabMonth,0,IF(TaxMethodValue&gt;=1,TaxYear1*(1+GrowthTax)^(MAX(0,(360-StabMonth)/12))/12,MAX(0,MY$35*12)/EntryCapRate*(TaxLevyPct*TaxAssessmentPct*TaxValueAdjFactor)/12))</f>
        <v/>
      </c>
      <c r="MZ36" s="18">
        <f>IF(361&lt;StabMonth,0,IF(TaxMethodValue&gt;=1,TaxYear1*(1+GrowthTax)^(MAX(0,(361-StabMonth)/12))/12,MAX(0,MZ$35*12)/EntryCapRate*(TaxLevyPct*TaxAssessmentPct*TaxValueAdjFactor)/12))</f>
        <v/>
      </c>
      <c r="NA36" s="18">
        <f>IF(362&lt;StabMonth,0,IF(TaxMethodValue&gt;=1,TaxYear1*(1+GrowthTax)^(MAX(0,(362-StabMonth)/12))/12,MAX(0,NA$35*12)/EntryCapRate*(TaxLevyPct*TaxAssessmentPct*TaxValueAdjFactor)/12))</f>
        <v/>
      </c>
      <c r="NB36" s="18">
        <f>IF(363&lt;StabMonth,0,IF(TaxMethodValue&gt;=1,TaxYear1*(1+GrowthTax)^(MAX(0,(363-StabMonth)/12))/12,MAX(0,NB$35*12)/EntryCapRate*(TaxLevyPct*TaxAssessmentPct*TaxValueAdjFactor)/12))</f>
        <v/>
      </c>
      <c r="NC36" s="18">
        <f>IF(364&lt;StabMonth,0,IF(TaxMethodValue&gt;=1,TaxYear1*(1+GrowthTax)^(MAX(0,(364-StabMonth)/12))/12,MAX(0,NC$35*12)/EntryCapRate*(TaxLevyPct*TaxAssessmentPct*TaxValueAdjFactor)/12))</f>
        <v/>
      </c>
      <c r="ND36" s="18">
        <f>IF(365&lt;StabMonth,0,IF(TaxMethodValue&gt;=1,TaxYear1*(1+GrowthTax)^(MAX(0,(365-StabMonth)/12))/12,MAX(0,ND$35*12)/EntryCapRate*(TaxLevyPct*TaxAssessmentPct*TaxValueAdjFactor)/12))</f>
        <v/>
      </c>
      <c r="NE36" s="18">
        <f>IF(366&lt;StabMonth,0,IF(TaxMethodValue&gt;=1,TaxYear1*(1+GrowthTax)^(MAX(0,(366-StabMonth)/12))/12,MAX(0,NE$35*12)/EntryCapRate*(TaxLevyPct*TaxAssessmentPct*TaxValueAdjFactor)/12))</f>
        <v/>
      </c>
      <c r="NF36" s="18">
        <f>IF(367&lt;StabMonth,0,IF(TaxMethodValue&gt;=1,TaxYear1*(1+GrowthTax)^(MAX(0,(367-StabMonth)/12))/12,MAX(0,NF$35*12)/EntryCapRate*(TaxLevyPct*TaxAssessmentPct*TaxValueAdjFactor)/12))</f>
        <v/>
      </c>
      <c r="NG36" s="18">
        <f>IF(368&lt;StabMonth,0,IF(TaxMethodValue&gt;=1,TaxYear1*(1+GrowthTax)^(MAX(0,(368-StabMonth)/12))/12,MAX(0,NG$35*12)/EntryCapRate*(TaxLevyPct*TaxAssessmentPct*TaxValueAdjFactor)/12))</f>
        <v/>
      </c>
      <c r="NH36" s="18">
        <f>IF(369&lt;StabMonth,0,IF(TaxMethodValue&gt;=1,TaxYear1*(1+GrowthTax)^(MAX(0,(369-StabMonth)/12))/12,MAX(0,NH$35*12)/EntryCapRate*(TaxLevyPct*TaxAssessmentPct*TaxValueAdjFactor)/12))</f>
        <v/>
      </c>
      <c r="NI36" s="18">
        <f>IF(370&lt;StabMonth,0,IF(TaxMethodValue&gt;=1,TaxYear1*(1+GrowthTax)^(MAX(0,(370-StabMonth)/12))/12,MAX(0,NI$35*12)/EntryCapRate*(TaxLevyPct*TaxAssessmentPct*TaxValueAdjFactor)/12))</f>
        <v/>
      </c>
      <c r="NJ36" s="18">
        <f>IF(371&lt;StabMonth,0,IF(TaxMethodValue&gt;=1,TaxYear1*(1+GrowthTax)^(MAX(0,(371-StabMonth)/12))/12,MAX(0,NJ$35*12)/EntryCapRate*(TaxLevyPct*TaxAssessmentPct*TaxValueAdjFactor)/12))</f>
        <v/>
      </c>
      <c r="NK36" s="18">
        <f>IF(372&lt;StabMonth,0,IF(TaxMethodValue&gt;=1,TaxYear1*(1+GrowthTax)^(MAX(0,(372-StabMonth)/12))/12,MAX(0,NK$35*12)/EntryCapRate*(TaxLevyPct*TaxAssessmentPct*TaxValueAdjFactor)/12))</f>
        <v/>
      </c>
    </row>
    <row r="37">
      <c r="A37" s="21" t="inlineStr">
        <is>
          <t>Total Operating Expenses</t>
        </is>
      </c>
      <c r="C37" s="41">
        <f>SUM(D37:NK37)</f>
        <v/>
      </c>
      <c r="D37" s="43">
        <f>D$34+D$36</f>
        <v/>
      </c>
      <c r="E37" s="43">
        <f>E$34+E$36</f>
        <v/>
      </c>
      <c r="F37" s="43">
        <f>F$34+F$36</f>
        <v/>
      </c>
      <c r="G37" s="43">
        <f>G$34+G$36</f>
        <v/>
      </c>
      <c r="H37" s="43">
        <f>H$34+H$36</f>
        <v/>
      </c>
      <c r="I37" s="43">
        <f>I$34+I$36</f>
        <v/>
      </c>
      <c r="J37" s="43">
        <f>J$34+J$36</f>
        <v/>
      </c>
      <c r="K37" s="43">
        <f>K$34+K$36</f>
        <v/>
      </c>
      <c r="L37" s="43">
        <f>L$34+L$36</f>
        <v/>
      </c>
      <c r="M37" s="43">
        <f>M$34+M$36</f>
        <v/>
      </c>
      <c r="N37" s="43">
        <f>N$34+N$36</f>
        <v/>
      </c>
      <c r="O37" s="43">
        <f>O$34+O$36</f>
        <v/>
      </c>
      <c r="P37" s="43">
        <f>P$34+P$36</f>
        <v/>
      </c>
      <c r="Q37" s="43">
        <f>Q$34+Q$36</f>
        <v/>
      </c>
      <c r="R37" s="43">
        <f>R$34+R$36</f>
        <v/>
      </c>
      <c r="S37" s="43">
        <f>S$34+S$36</f>
        <v/>
      </c>
      <c r="T37" s="43">
        <f>T$34+T$36</f>
        <v/>
      </c>
      <c r="U37" s="43">
        <f>U$34+U$36</f>
        <v/>
      </c>
      <c r="V37" s="43">
        <f>V$34+V$36</f>
        <v/>
      </c>
      <c r="W37" s="43">
        <f>W$34+W$36</f>
        <v/>
      </c>
      <c r="X37" s="43">
        <f>X$34+X$36</f>
        <v/>
      </c>
      <c r="Y37" s="43">
        <f>Y$34+Y$36</f>
        <v/>
      </c>
      <c r="Z37" s="43">
        <f>Z$34+Z$36</f>
        <v/>
      </c>
      <c r="AA37" s="43">
        <f>AA$34+AA$36</f>
        <v/>
      </c>
      <c r="AB37" s="43">
        <f>AB$34+AB$36</f>
        <v/>
      </c>
      <c r="AC37" s="43">
        <f>AC$34+AC$36</f>
        <v/>
      </c>
      <c r="AD37" s="43">
        <f>AD$34+AD$36</f>
        <v/>
      </c>
      <c r="AE37" s="43">
        <f>AE$34+AE$36</f>
        <v/>
      </c>
      <c r="AF37" s="43">
        <f>AF$34+AF$36</f>
        <v/>
      </c>
      <c r="AG37" s="43">
        <f>AG$34+AG$36</f>
        <v/>
      </c>
      <c r="AH37" s="43">
        <f>AH$34+AH$36</f>
        <v/>
      </c>
      <c r="AI37" s="43">
        <f>AI$34+AI$36</f>
        <v/>
      </c>
      <c r="AJ37" s="43">
        <f>AJ$34+AJ$36</f>
        <v/>
      </c>
      <c r="AK37" s="43">
        <f>AK$34+AK$36</f>
        <v/>
      </c>
      <c r="AL37" s="43">
        <f>AL$34+AL$36</f>
        <v/>
      </c>
      <c r="AM37" s="43">
        <f>AM$34+AM$36</f>
        <v/>
      </c>
      <c r="AN37" s="43">
        <f>AN$34+AN$36</f>
        <v/>
      </c>
      <c r="AO37" s="43">
        <f>AO$34+AO$36</f>
        <v/>
      </c>
      <c r="AP37" s="43">
        <f>AP$34+AP$36</f>
        <v/>
      </c>
      <c r="AQ37" s="43">
        <f>AQ$34+AQ$36</f>
        <v/>
      </c>
      <c r="AR37" s="43">
        <f>AR$34+AR$36</f>
        <v/>
      </c>
      <c r="AS37" s="43">
        <f>AS$34+AS$36</f>
        <v/>
      </c>
      <c r="AT37" s="43">
        <f>AT$34+AT$36</f>
        <v/>
      </c>
      <c r="AU37" s="43">
        <f>AU$34+AU$36</f>
        <v/>
      </c>
      <c r="AV37" s="43">
        <f>AV$34+AV$36</f>
        <v/>
      </c>
      <c r="AW37" s="43">
        <f>AW$34+AW$36</f>
        <v/>
      </c>
      <c r="AX37" s="43">
        <f>AX$34+AX$36</f>
        <v/>
      </c>
      <c r="AY37" s="43">
        <f>AY$34+AY$36</f>
        <v/>
      </c>
      <c r="AZ37" s="43">
        <f>AZ$34+AZ$36</f>
        <v/>
      </c>
      <c r="BA37" s="43">
        <f>BA$34+BA$36</f>
        <v/>
      </c>
      <c r="BB37" s="43">
        <f>BB$34+BB$36</f>
        <v/>
      </c>
      <c r="BC37" s="43">
        <f>BC$34+BC$36</f>
        <v/>
      </c>
      <c r="BD37" s="43">
        <f>BD$34+BD$36</f>
        <v/>
      </c>
      <c r="BE37" s="43">
        <f>BE$34+BE$36</f>
        <v/>
      </c>
      <c r="BF37" s="43">
        <f>BF$34+BF$36</f>
        <v/>
      </c>
      <c r="BG37" s="43">
        <f>BG$34+BG$36</f>
        <v/>
      </c>
      <c r="BH37" s="43">
        <f>BH$34+BH$36</f>
        <v/>
      </c>
      <c r="BI37" s="43">
        <f>BI$34+BI$36</f>
        <v/>
      </c>
      <c r="BJ37" s="43">
        <f>BJ$34+BJ$36</f>
        <v/>
      </c>
      <c r="BK37" s="43">
        <f>BK$34+BK$36</f>
        <v/>
      </c>
      <c r="BL37" s="43">
        <f>BL$34+BL$36</f>
        <v/>
      </c>
      <c r="BM37" s="43">
        <f>BM$34+BM$36</f>
        <v/>
      </c>
      <c r="BN37" s="43">
        <f>BN$34+BN$36</f>
        <v/>
      </c>
      <c r="BO37" s="43">
        <f>BO$34+BO$36</f>
        <v/>
      </c>
      <c r="BP37" s="43">
        <f>BP$34+BP$36</f>
        <v/>
      </c>
      <c r="BQ37" s="43">
        <f>BQ$34+BQ$36</f>
        <v/>
      </c>
      <c r="BR37" s="43">
        <f>BR$34+BR$36</f>
        <v/>
      </c>
      <c r="BS37" s="43">
        <f>BS$34+BS$36</f>
        <v/>
      </c>
      <c r="BT37" s="43">
        <f>BT$34+BT$36</f>
        <v/>
      </c>
      <c r="BU37" s="43">
        <f>BU$34+BU$36</f>
        <v/>
      </c>
      <c r="BV37" s="43">
        <f>BV$34+BV$36</f>
        <v/>
      </c>
      <c r="BW37" s="43">
        <f>BW$34+BW$36</f>
        <v/>
      </c>
      <c r="BX37" s="43">
        <f>BX$34+BX$36</f>
        <v/>
      </c>
      <c r="BY37" s="43">
        <f>BY$34+BY$36</f>
        <v/>
      </c>
      <c r="BZ37" s="43">
        <f>BZ$34+BZ$36</f>
        <v/>
      </c>
      <c r="CA37" s="43">
        <f>CA$34+CA$36</f>
        <v/>
      </c>
      <c r="CB37" s="43">
        <f>CB$34+CB$36</f>
        <v/>
      </c>
      <c r="CC37" s="43">
        <f>CC$34+CC$36</f>
        <v/>
      </c>
      <c r="CD37" s="43">
        <f>CD$34+CD$36</f>
        <v/>
      </c>
      <c r="CE37" s="43">
        <f>CE$34+CE$36</f>
        <v/>
      </c>
      <c r="CF37" s="43">
        <f>CF$34+CF$36</f>
        <v/>
      </c>
      <c r="CG37" s="43">
        <f>CG$34+CG$36</f>
        <v/>
      </c>
      <c r="CH37" s="43">
        <f>CH$34+CH$36</f>
        <v/>
      </c>
      <c r="CI37" s="43">
        <f>CI$34+CI$36</f>
        <v/>
      </c>
      <c r="CJ37" s="43">
        <f>CJ$34+CJ$36</f>
        <v/>
      </c>
      <c r="CK37" s="43">
        <f>CK$34+CK$36</f>
        <v/>
      </c>
      <c r="CL37" s="43">
        <f>CL$34+CL$36</f>
        <v/>
      </c>
      <c r="CM37" s="43">
        <f>CM$34+CM$36</f>
        <v/>
      </c>
      <c r="CN37" s="43">
        <f>CN$34+CN$36</f>
        <v/>
      </c>
      <c r="CO37" s="43">
        <f>CO$34+CO$36</f>
        <v/>
      </c>
      <c r="CP37" s="43">
        <f>CP$34+CP$36</f>
        <v/>
      </c>
      <c r="CQ37" s="43">
        <f>CQ$34+CQ$36</f>
        <v/>
      </c>
      <c r="CR37" s="43">
        <f>CR$34+CR$36</f>
        <v/>
      </c>
      <c r="CS37" s="43">
        <f>CS$34+CS$36</f>
        <v/>
      </c>
      <c r="CT37" s="43">
        <f>CT$34+CT$36</f>
        <v/>
      </c>
      <c r="CU37" s="43">
        <f>CU$34+CU$36</f>
        <v/>
      </c>
      <c r="CV37" s="43">
        <f>CV$34+CV$36</f>
        <v/>
      </c>
      <c r="CW37" s="43">
        <f>CW$34+CW$36</f>
        <v/>
      </c>
      <c r="CX37" s="43">
        <f>CX$34+CX$36</f>
        <v/>
      </c>
      <c r="CY37" s="43">
        <f>CY$34+CY$36</f>
        <v/>
      </c>
      <c r="CZ37" s="43">
        <f>CZ$34+CZ$36</f>
        <v/>
      </c>
      <c r="DA37" s="43">
        <f>DA$34+DA$36</f>
        <v/>
      </c>
      <c r="DB37" s="43">
        <f>DB$34+DB$36</f>
        <v/>
      </c>
      <c r="DC37" s="43">
        <f>DC$34+DC$36</f>
        <v/>
      </c>
      <c r="DD37" s="43">
        <f>DD$34+DD$36</f>
        <v/>
      </c>
      <c r="DE37" s="43">
        <f>DE$34+DE$36</f>
        <v/>
      </c>
      <c r="DF37" s="43">
        <f>DF$34+DF$36</f>
        <v/>
      </c>
      <c r="DG37" s="43">
        <f>DG$34+DG$36</f>
        <v/>
      </c>
      <c r="DH37" s="43">
        <f>DH$34+DH$36</f>
        <v/>
      </c>
      <c r="DI37" s="43">
        <f>DI$34+DI$36</f>
        <v/>
      </c>
      <c r="DJ37" s="43">
        <f>DJ$34+DJ$36</f>
        <v/>
      </c>
      <c r="DK37" s="43">
        <f>DK$34+DK$36</f>
        <v/>
      </c>
      <c r="DL37" s="43">
        <f>DL$34+DL$36</f>
        <v/>
      </c>
      <c r="DM37" s="43">
        <f>DM$34+DM$36</f>
        <v/>
      </c>
      <c r="DN37" s="43">
        <f>DN$34+DN$36</f>
        <v/>
      </c>
      <c r="DO37" s="43">
        <f>DO$34+DO$36</f>
        <v/>
      </c>
      <c r="DP37" s="43">
        <f>DP$34+DP$36</f>
        <v/>
      </c>
      <c r="DQ37" s="43">
        <f>DQ$34+DQ$36</f>
        <v/>
      </c>
      <c r="DR37" s="43">
        <f>DR$34+DR$36</f>
        <v/>
      </c>
      <c r="DS37" s="43">
        <f>DS$34+DS$36</f>
        <v/>
      </c>
      <c r="DT37" s="43">
        <f>DT$34+DT$36</f>
        <v/>
      </c>
      <c r="DU37" s="43">
        <f>DU$34+DU$36</f>
        <v/>
      </c>
      <c r="DV37" s="43">
        <f>DV$34+DV$36</f>
        <v/>
      </c>
      <c r="DW37" s="43">
        <f>DW$34+DW$36</f>
        <v/>
      </c>
      <c r="DX37" s="43">
        <f>DX$34+DX$36</f>
        <v/>
      </c>
      <c r="DY37" s="43">
        <f>DY$34+DY$36</f>
        <v/>
      </c>
      <c r="DZ37" s="43">
        <f>DZ$34+DZ$36</f>
        <v/>
      </c>
      <c r="EA37" s="43">
        <f>EA$34+EA$36</f>
        <v/>
      </c>
      <c r="EB37" s="43">
        <f>EB$34+EB$36</f>
        <v/>
      </c>
      <c r="EC37" s="43">
        <f>EC$34+EC$36</f>
        <v/>
      </c>
      <c r="ED37" s="43">
        <f>ED$34+ED$36</f>
        <v/>
      </c>
      <c r="EE37" s="43">
        <f>EE$34+EE$36</f>
        <v/>
      </c>
      <c r="EF37" s="43">
        <f>EF$34+EF$36</f>
        <v/>
      </c>
      <c r="EG37" s="43">
        <f>EG$34+EG$36</f>
        <v/>
      </c>
      <c r="EH37" s="43">
        <f>EH$34+EH$36</f>
        <v/>
      </c>
      <c r="EI37" s="43">
        <f>EI$34+EI$36</f>
        <v/>
      </c>
      <c r="EJ37" s="43">
        <f>EJ$34+EJ$36</f>
        <v/>
      </c>
      <c r="EK37" s="43">
        <f>EK$34+EK$36</f>
        <v/>
      </c>
      <c r="EL37" s="43">
        <f>EL$34+EL$36</f>
        <v/>
      </c>
      <c r="EM37" s="43">
        <f>EM$34+EM$36</f>
        <v/>
      </c>
      <c r="EN37" s="43">
        <f>EN$34+EN$36</f>
        <v/>
      </c>
      <c r="EO37" s="43">
        <f>EO$34+EO$36</f>
        <v/>
      </c>
      <c r="EP37" s="43">
        <f>EP$34+EP$36</f>
        <v/>
      </c>
      <c r="EQ37" s="43">
        <f>EQ$34+EQ$36</f>
        <v/>
      </c>
      <c r="ER37" s="43">
        <f>ER$34+ER$36</f>
        <v/>
      </c>
      <c r="ES37" s="43">
        <f>ES$34+ES$36</f>
        <v/>
      </c>
      <c r="ET37" s="43">
        <f>ET$34+ET$36</f>
        <v/>
      </c>
      <c r="EU37" s="43">
        <f>EU$34+EU$36</f>
        <v/>
      </c>
      <c r="EV37" s="43">
        <f>EV$34+EV$36</f>
        <v/>
      </c>
      <c r="EW37" s="43">
        <f>EW$34+EW$36</f>
        <v/>
      </c>
      <c r="EX37" s="43">
        <f>EX$34+EX$36</f>
        <v/>
      </c>
      <c r="EY37" s="43">
        <f>EY$34+EY$36</f>
        <v/>
      </c>
      <c r="EZ37" s="43">
        <f>EZ$34+EZ$36</f>
        <v/>
      </c>
      <c r="FA37" s="43">
        <f>FA$34+FA$36</f>
        <v/>
      </c>
      <c r="FB37" s="43">
        <f>FB$34+FB$36</f>
        <v/>
      </c>
      <c r="FC37" s="43">
        <f>FC$34+FC$36</f>
        <v/>
      </c>
      <c r="FD37" s="43">
        <f>FD$34+FD$36</f>
        <v/>
      </c>
      <c r="FE37" s="43">
        <f>FE$34+FE$36</f>
        <v/>
      </c>
      <c r="FF37" s="43">
        <f>FF$34+FF$36</f>
        <v/>
      </c>
      <c r="FG37" s="43">
        <f>FG$34+FG$36</f>
        <v/>
      </c>
      <c r="FH37" s="43">
        <f>FH$34+FH$36</f>
        <v/>
      </c>
      <c r="FI37" s="43">
        <f>FI$34+FI$36</f>
        <v/>
      </c>
      <c r="FJ37" s="43">
        <f>FJ$34+FJ$36</f>
        <v/>
      </c>
      <c r="FK37" s="43">
        <f>FK$34+FK$36</f>
        <v/>
      </c>
      <c r="FL37" s="43">
        <f>FL$34+FL$36</f>
        <v/>
      </c>
      <c r="FM37" s="43">
        <f>FM$34+FM$36</f>
        <v/>
      </c>
      <c r="FN37" s="43">
        <f>FN$34+FN$36</f>
        <v/>
      </c>
      <c r="FO37" s="43">
        <f>FO$34+FO$36</f>
        <v/>
      </c>
      <c r="FP37" s="43">
        <f>FP$34+FP$36</f>
        <v/>
      </c>
      <c r="FQ37" s="43">
        <f>FQ$34+FQ$36</f>
        <v/>
      </c>
      <c r="FR37" s="43">
        <f>FR$34+FR$36</f>
        <v/>
      </c>
      <c r="FS37" s="43">
        <f>FS$34+FS$36</f>
        <v/>
      </c>
      <c r="FT37" s="43">
        <f>FT$34+FT$36</f>
        <v/>
      </c>
      <c r="FU37" s="43">
        <f>FU$34+FU$36</f>
        <v/>
      </c>
      <c r="FV37" s="43">
        <f>FV$34+FV$36</f>
        <v/>
      </c>
      <c r="FW37" s="43">
        <f>FW$34+FW$36</f>
        <v/>
      </c>
      <c r="FX37" s="43">
        <f>FX$34+FX$36</f>
        <v/>
      </c>
      <c r="FY37" s="43">
        <f>FY$34+FY$36</f>
        <v/>
      </c>
      <c r="FZ37" s="43">
        <f>FZ$34+FZ$36</f>
        <v/>
      </c>
      <c r="GA37" s="43">
        <f>GA$34+GA$36</f>
        <v/>
      </c>
      <c r="GB37" s="43">
        <f>GB$34+GB$36</f>
        <v/>
      </c>
      <c r="GC37" s="43">
        <f>GC$34+GC$36</f>
        <v/>
      </c>
      <c r="GD37" s="43">
        <f>GD$34+GD$36</f>
        <v/>
      </c>
      <c r="GE37" s="43">
        <f>GE$34+GE$36</f>
        <v/>
      </c>
      <c r="GF37" s="43">
        <f>GF$34+GF$36</f>
        <v/>
      </c>
      <c r="GG37" s="43">
        <f>GG$34+GG$36</f>
        <v/>
      </c>
      <c r="GH37" s="43">
        <f>GH$34+GH$36</f>
        <v/>
      </c>
      <c r="GI37" s="43">
        <f>GI$34+GI$36</f>
        <v/>
      </c>
      <c r="GJ37" s="43">
        <f>GJ$34+GJ$36</f>
        <v/>
      </c>
      <c r="GK37" s="43">
        <f>GK$34+GK$36</f>
        <v/>
      </c>
      <c r="GL37" s="43">
        <f>GL$34+GL$36</f>
        <v/>
      </c>
      <c r="GM37" s="43">
        <f>GM$34+GM$36</f>
        <v/>
      </c>
      <c r="GN37" s="43">
        <f>GN$34+GN$36</f>
        <v/>
      </c>
      <c r="GO37" s="43">
        <f>GO$34+GO$36</f>
        <v/>
      </c>
      <c r="GP37" s="43">
        <f>GP$34+GP$36</f>
        <v/>
      </c>
      <c r="GQ37" s="43">
        <f>GQ$34+GQ$36</f>
        <v/>
      </c>
      <c r="GR37" s="43">
        <f>GR$34+GR$36</f>
        <v/>
      </c>
      <c r="GS37" s="43">
        <f>GS$34+GS$36</f>
        <v/>
      </c>
      <c r="GT37" s="43">
        <f>GT$34+GT$36</f>
        <v/>
      </c>
      <c r="GU37" s="43">
        <f>GU$34+GU$36</f>
        <v/>
      </c>
      <c r="GV37" s="43">
        <f>GV$34+GV$36</f>
        <v/>
      </c>
      <c r="GW37" s="43">
        <f>GW$34+GW$36</f>
        <v/>
      </c>
      <c r="GX37" s="43">
        <f>GX$34+GX$36</f>
        <v/>
      </c>
      <c r="GY37" s="43">
        <f>GY$34+GY$36</f>
        <v/>
      </c>
      <c r="GZ37" s="43">
        <f>GZ$34+GZ$36</f>
        <v/>
      </c>
      <c r="HA37" s="43">
        <f>HA$34+HA$36</f>
        <v/>
      </c>
      <c r="HB37" s="43">
        <f>HB$34+HB$36</f>
        <v/>
      </c>
      <c r="HC37" s="43">
        <f>HC$34+HC$36</f>
        <v/>
      </c>
      <c r="HD37" s="43">
        <f>HD$34+HD$36</f>
        <v/>
      </c>
      <c r="HE37" s="43">
        <f>HE$34+HE$36</f>
        <v/>
      </c>
      <c r="HF37" s="43">
        <f>HF$34+HF$36</f>
        <v/>
      </c>
      <c r="HG37" s="43">
        <f>HG$34+HG$36</f>
        <v/>
      </c>
      <c r="HH37" s="43">
        <f>HH$34+HH$36</f>
        <v/>
      </c>
      <c r="HI37" s="43">
        <f>HI$34+HI$36</f>
        <v/>
      </c>
      <c r="HJ37" s="43">
        <f>HJ$34+HJ$36</f>
        <v/>
      </c>
      <c r="HK37" s="43">
        <f>HK$34+HK$36</f>
        <v/>
      </c>
      <c r="HL37" s="43">
        <f>HL$34+HL$36</f>
        <v/>
      </c>
      <c r="HM37" s="43">
        <f>HM$34+HM$36</f>
        <v/>
      </c>
      <c r="HN37" s="43">
        <f>HN$34+HN$36</f>
        <v/>
      </c>
      <c r="HO37" s="43">
        <f>HO$34+HO$36</f>
        <v/>
      </c>
      <c r="HP37" s="43">
        <f>HP$34+HP$36</f>
        <v/>
      </c>
      <c r="HQ37" s="43">
        <f>HQ$34+HQ$36</f>
        <v/>
      </c>
      <c r="HR37" s="43">
        <f>HR$34+HR$36</f>
        <v/>
      </c>
      <c r="HS37" s="43">
        <f>HS$34+HS$36</f>
        <v/>
      </c>
      <c r="HT37" s="43">
        <f>HT$34+HT$36</f>
        <v/>
      </c>
      <c r="HU37" s="43">
        <f>HU$34+HU$36</f>
        <v/>
      </c>
      <c r="HV37" s="43">
        <f>HV$34+HV$36</f>
        <v/>
      </c>
      <c r="HW37" s="43">
        <f>HW$34+HW$36</f>
        <v/>
      </c>
      <c r="HX37" s="43">
        <f>HX$34+HX$36</f>
        <v/>
      </c>
      <c r="HY37" s="43">
        <f>HY$34+HY$36</f>
        <v/>
      </c>
      <c r="HZ37" s="43">
        <f>HZ$34+HZ$36</f>
        <v/>
      </c>
      <c r="IA37" s="43">
        <f>IA$34+IA$36</f>
        <v/>
      </c>
      <c r="IB37" s="43">
        <f>IB$34+IB$36</f>
        <v/>
      </c>
      <c r="IC37" s="43">
        <f>IC$34+IC$36</f>
        <v/>
      </c>
      <c r="ID37" s="43">
        <f>ID$34+ID$36</f>
        <v/>
      </c>
      <c r="IE37" s="43">
        <f>IE$34+IE$36</f>
        <v/>
      </c>
      <c r="IF37" s="43">
        <f>IF$34+IF$36</f>
        <v/>
      </c>
      <c r="IG37" s="43">
        <f>IG$34+IG$36</f>
        <v/>
      </c>
      <c r="IH37" s="43">
        <f>IH$34+IH$36</f>
        <v/>
      </c>
      <c r="II37" s="43">
        <f>II$34+II$36</f>
        <v/>
      </c>
      <c r="IJ37" s="43">
        <f>IJ$34+IJ$36</f>
        <v/>
      </c>
      <c r="IK37" s="43">
        <f>IK$34+IK$36</f>
        <v/>
      </c>
      <c r="IL37" s="43">
        <f>IL$34+IL$36</f>
        <v/>
      </c>
      <c r="IM37" s="43">
        <f>IM$34+IM$36</f>
        <v/>
      </c>
      <c r="IN37" s="43">
        <f>IN$34+IN$36</f>
        <v/>
      </c>
      <c r="IO37" s="43">
        <f>IO$34+IO$36</f>
        <v/>
      </c>
      <c r="IP37" s="43">
        <f>IP$34+IP$36</f>
        <v/>
      </c>
      <c r="IQ37" s="43">
        <f>IQ$34+IQ$36</f>
        <v/>
      </c>
      <c r="IR37" s="43">
        <f>IR$34+IR$36</f>
        <v/>
      </c>
      <c r="IS37" s="43">
        <f>IS$34+IS$36</f>
        <v/>
      </c>
      <c r="IT37" s="43">
        <f>IT$34+IT$36</f>
        <v/>
      </c>
      <c r="IU37" s="43">
        <f>IU$34+IU$36</f>
        <v/>
      </c>
      <c r="IV37" s="43">
        <f>IV$34+IV$36</f>
        <v/>
      </c>
      <c r="IW37" s="43">
        <f>IW$34+IW$36</f>
        <v/>
      </c>
      <c r="IX37" s="43">
        <f>IX$34+IX$36</f>
        <v/>
      </c>
      <c r="IY37" s="43">
        <f>IY$34+IY$36</f>
        <v/>
      </c>
      <c r="IZ37" s="43">
        <f>IZ$34+IZ$36</f>
        <v/>
      </c>
      <c r="JA37" s="43">
        <f>JA$34+JA$36</f>
        <v/>
      </c>
      <c r="JB37" s="43">
        <f>JB$34+JB$36</f>
        <v/>
      </c>
      <c r="JC37" s="43">
        <f>JC$34+JC$36</f>
        <v/>
      </c>
      <c r="JD37" s="43">
        <f>JD$34+JD$36</f>
        <v/>
      </c>
      <c r="JE37" s="43">
        <f>JE$34+JE$36</f>
        <v/>
      </c>
      <c r="JF37" s="43">
        <f>JF$34+JF$36</f>
        <v/>
      </c>
      <c r="JG37" s="43">
        <f>JG$34+JG$36</f>
        <v/>
      </c>
      <c r="JH37" s="43">
        <f>JH$34+JH$36</f>
        <v/>
      </c>
      <c r="JI37" s="43">
        <f>JI$34+JI$36</f>
        <v/>
      </c>
      <c r="JJ37" s="43">
        <f>JJ$34+JJ$36</f>
        <v/>
      </c>
      <c r="JK37" s="43">
        <f>JK$34+JK$36</f>
        <v/>
      </c>
      <c r="JL37" s="43">
        <f>JL$34+JL$36</f>
        <v/>
      </c>
      <c r="JM37" s="43">
        <f>JM$34+JM$36</f>
        <v/>
      </c>
      <c r="JN37" s="43">
        <f>JN$34+JN$36</f>
        <v/>
      </c>
      <c r="JO37" s="43">
        <f>JO$34+JO$36</f>
        <v/>
      </c>
      <c r="JP37" s="43">
        <f>JP$34+JP$36</f>
        <v/>
      </c>
      <c r="JQ37" s="43">
        <f>JQ$34+JQ$36</f>
        <v/>
      </c>
      <c r="JR37" s="43">
        <f>JR$34+JR$36</f>
        <v/>
      </c>
      <c r="JS37" s="43">
        <f>JS$34+JS$36</f>
        <v/>
      </c>
      <c r="JT37" s="43">
        <f>JT$34+JT$36</f>
        <v/>
      </c>
      <c r="JU37" s="43">
        <f>JU$34+JU$36</f>
        <v/>
      </c>
      <c r="JV37" s="43">
        <f>JV$34+JV$36</f>
        <v/>
      </c>
      <c r="JW37" s="43">
        <f>JW$34+JW$36</f>
        <v/>
      </c>
      <c r="JX37" s="43">
        <f>JX$34+JX$36</f>
        <v/>
      </c>
      <c r="JY37" s="43">
        <f>JY$34+JY$36</f>
        <v/>
      </c>
      <c r="JZ37" s="43">
        <f>JZ$34+JZ$36</f>
        <v/>
      </c>
      <c r="KA37" s="43">
        <f>KA$34+KA$36</f>
        <v/>
      </c>
      <c r="KB37" s="43">
        <f>KB$34+KB$36</f>
        <v/>
      </c>
      <c r="KC37" s="43">
        <f>KC$34+KC$36</f>
        <v/>
      </c>
      <c r="KD37" s="43">
        <f>KD$34+KD$36</f>
        <v/>
      </c>
      <c r="KE37" s="43">
        <f>KE$34+KE$36</f>
        <v/>
      </c>
      <c r="KF37" s="43">
        <f>KF$34+KF$36</f>
        <v/>
      </c>
      <c r="KG37" s="43">
        <f>KG$34+KG$36</f>
        <v/>
      </c>
      <c r="KH37" s="43">
        <f>KH$34+KH$36</f>
        <v/>
      </c>
      <c r="KI37" s="43">
        <f>KI$34+KI$36</f>
        <v/>
      </c>
      <c r="KJ37" s="43">
        <f>KJ$34+KJ$36</f>
        <v/>
      </c>
      <c r="KK37" s="43">
        <f>KK$34+KK$36</f>
        <v/>
      </c>
      <c r="KL37" s="43">
        <f>KL$34+KL$36</f>
        <v/>
      </c>
      <c r="KM37" s="43">
        <f>KM$34+KM$36</f>
        <v/>
      </c>
      <c r="KN37" s="43">
        <f>KN$34+KN$36</f>
        <v/>
      </c>
      <c r="KO37" s="43">
        <f>KO$34+KO$36</f>
        <v/>
      </c>
      <c r="KP37" s="43">
        <f>KP$34+KP$36</f>
        <v/>
      </c>
      <c r="KQ37" s="43">
        <f>KQ$34+KQ$36</f>
        <v/>
      </c>
      <c r="KR37" s="43">
        <f>KR$34+KR$36</f>
        <v/>
      </c>
      <c r="KS37" s="43">
        <f>KS$34+KS$36</f>
        <v/>
      </c>
      <c r="KT37" s="43">
        <f>KT$34+KT$36</f>
        <v/>
      </c>
      <c r="KU37" s="43">
        <f>KU$34+KU$36</f>
        <v/>
      </c>
      <c r="KV37" s="43">
        <f>KV$34+KV$36</f>
        <v/>
      </c>
      <c r="KW37" s="43">
        <f>KW$34+KW$36</f>
        <v/>
      </c>
      <c r="KX37" s="43">
        <f>KX$34+KX$36</f>
        <v/>
      </c>
      <c r="KY37" s="43">
        <f>KY$34+KY$36</f>
        <v/>
      </c>
      <c r="KZ37" s="43">
        <f>KZ$34+KZ$36</f>
        <v/>
      </c>
      <c r="LA37" s="43">
        <f>LA$34+LA$36</f>
        <v/>
      </c>
      <c r="LB37" s="43">
        <f>LB$34+LB$36</f>
        <v/>
      </c>
      <c r="LC37" s="43">
        <f>LC$34+LC$36</f>
        <v/>
      </c>
      <c r="LD37" s="43">
        <f>LD$34+LD$36</f>
        <v/>
      </c>
      <c r="LE37" s="43">
        <f>LE$34+LE$36</f>
        <v/>
      </c>
      <c r="LF37" s="43">
        <f>LF$34+LF$36</f>
        <v/>
      </c>
      <c r="LG37" s="43">
        <f>LG$34+LG$36</f>
        <v/>
      </c>
      <c r="LH37" s="43">
        <f>LH$34+LH$36</f>
        <v/>
      </c>
      <c r="LI37" s="43">
        <f>LI$34+LI$36</f>
        <v/>
      </c>
      <c r="LJ37" s="43">
        <f>LJ$34+LJ$36</f>
        <v/>
      </c>
      <c r="LK37" s="43">
        <f>LK$34+LK$36</f>
        <v/>
      </c>
      <c r="LL37" s="43">
        <f>LL$34+LL$36</f>
        <v/>
      </c>
      <c r="LM37" s="43">
        <f>LM$34+LM$36</f>
        <v/>
      </c>
      <c r="LN37" s="43">
        <f>LN$34+LN$36</f>
        <v/>
      </c>
      <c r="LO37" s="43">
        <f>LO$34+LO$36</f>
        <v/>
      </c>
      <c r="LP37" s="43">
        <f>LP$34+LP$36</f>
        <v/>
      </c>
      <c r="LQ37" s="43">
        <f>LQ$34+LQ$36</f>
        <v/>
      </c>
      <c r="LR37" s="43">
        <f>LR$34+LR$36</f>
        <v/>
      </c>
      <c r="LS37" s="43">
        <f>LS$34+LS$36</f>
        <v/>
      </c>
      <c r="LT37" s="43">
        <f>LT$34+LT$36</f>
        <v/>
      </c>
      <c r="LU37" s="43">
        <f>LU$34+LU$36</f>
        <v/>
      </c>
      <c r="LV37" s="43">
        <f>LV$34+LV$36</f>
        <v/>
      </c>
      <c r="LW37" s="43">
        <f>LW$34+LW$36</f>
        <v/>
      </c>
      <c r="LX37" s="43">
        <f>LX$34+LX$36</f>
        <v/>
      </c>
      <c r="LY37" s="43">
        <f>LY$34+LY$36</f>
        <v/>
      </c>
      <c r="LZ37" s="43">
        <f>LZ$34+LZ$36</f>
        <v/>
      </c>
      <c r="MA37" s="43">
        <f>MA$34+MA$36</f>
        <v/>
      </c>
      <c r="MB37" s="43">
        <f>MB$34+MB$36</f>
        <v/>
      </c>
      <c r="MC37" s="43">
        <f>MC$34+MC$36</f>
        <v/>
      </c>
      <c r="MD37" s="43">
        <f>MD$34+MD$36</f>
        <v/>
      </c>
      <c r="ME37" s="43">
        <f>ME$34+ME$36</f>
        <v/>
      </c>
      <c r="MF37" s="43">
        <f>MF$34+MF$36</f>
        <v/>
      </c>
      <c r="MG37" s="43">
        <f>MG$34+MG$36</f>
        <v/>
      </c>
      <c r="MH37" s="43">
        <f>MH$34+MH$36</f>
        <v/>
      </c>
      <c r="MI37" s="43">
        <f>MI$34+MI$36</f>
        <v/>
      </c>
      <c r="MJ37" s="43">
        <f>MJ$34+MJ$36</f>
        <v/>
      </c>
      <c r="MK37" s="43">
        <f>MK$34+MK$36</f>
        <v/>
      </c>
      <c r="ML37" s="43">
        <f>ML$34+ML$36</f>
        <v/>
      </c>
      <c r="MM37" s="43">
        <f>MM$34+MM$36</f>
        <v/>
      </c>
      <c r="MN37" s="43">
        <f>MN$34+MN$36</f>
        <v/>
      </c>
      <c r="MO37" s="43">
        <f>MO$34+MO$36</f>
        <v/>
      </c>
      <c r="MP37" s="43">
        <f>MP$34+MP$36</f>
        <v/>
      </c>
      <c r="MQ37" s="43">
        <f>MQ$34+MQ$36</f>
        <v/>
      </c>
      <c r="MR37" s="43">
        <f>MR$34+MR$36</f>
        <v/>
      </c>
      <c r="MS37" s="43">
        <f>MS$34+MS$36</f>
        <v/>
      </c>
      <c r="MT37" s="43">
        <f>MT$34+MT$36</f>
        <v/>
      </c>
      <c r="MU37" s="43">
        <f>MU$34+MU$36</f>
        <v/>
      </c>
      <c r="MV37" s="43">
        <f>MV$34+MV$36</f>
        <v/>
      </c>
      <c r="MW37" s="43">
        <f>MW$34+MW$36</f>
        <v/>
      </c>
      <c r="MX37" s="43">
        <f>MX$34+MX$36</f>
        <v/>
      </c>
      <c r="MY37" s="43">
        <f>MY$34+MY$36</f>
        <v/>
      </c>
      <c r="MZ37" s="43">
        <f>MZ$34+MZ$36</f>
        <v/>
      </c>
      <c r="NA37" s="43">
        <f>NA$34+NA$36</f>
        <v/>
      </c>
      <c r="NB37" s="43">
        <f>NB$34+NB$36</f>
        <v/>
      </c>
      <c r="NC37" s="43">
        <f>NC$34+NC$36</f>
        <v/>
      </c>
      <c r="ND37" s="43">
        <f>ND$34+ND$36</f>
        <v/>
      </c>
      <c r="NE37" s="43">
        <f>NE$34+NE$36</f>
        <v/>
      </c>
      <c r="NF37" s="43">
        <f>NF$34+NF$36</f>
        <v/>
      </c>
      <c r="NG37" s="43">
        <f>NG$34+NG$36</f>
        <v/>
      </c>
      <c r="NH37" s="43">
        <f>NH$34+NH$36</f>
        <v/>
      </c>
      <c r="NI37" s="43">
        <f>NI$34+NI$36</f>
        <v/>
      </c>
      <c r="NJ37" s="43">
        <f>NJ$34+NJ$36</f>
        <v/>
      </c>
      <c r="NK37" s="43">
        <f>NK$34+NK$36</f>
        <v/>
      </c>
    </row>
    <row r="38">
      <c r="A38" s="21" t="inlineStr">
        <is>
          <t>Net Operating Income</t>
        </is>
      </c>
      <c r="C38" s="41">
        <f>SUM(D38:NK38)</f>
        <v/>
      </c>
      <c r="D38" s="43">
        <f>D$35-D$36</f>
        <v/>
      </c>
      <c r="E38" s="43">
        <f>E$35-E$36</f>
        <v/>
      </c>
      <c r="F38" s="43">
        <f>F$35-F$36</f>
        <v/>
      </c>
      <c r="G38" s="43">
        <f>G$35-G$36</f>
        <v/>
      </c>
      <c r="H38" s="43">
        <f>H$35-H$36</f>
        <v/>
      </c>
      <c r="I38" s="43">
        <f>I$35-I$36</f>
        <v/>
      </c>
      <c r="J38" s="43">
        <f>J$35-J$36</f>
        <v/>
      </c>
      <c r="K38" s="43">
        <f>K$35-K$36</f>
        <v/>
      </c>
      <c r="L38" s="43">
        <f>L$35-L$36</f>
        <v/>
      </c>
      <c r="M38" s="43">
        <f>M$35-M$36</f>
        <v/>
      </c>
      <c r="N38" s="43">
        <f>N$35-N$36</f>
        <v/>
      </c>
      <c r="O38" s="43">
        <f>O$35-O$36</f>
        <v/>
      </c>
      <c r="P38" s="43">
        <f>P$35-P$36</f>
        <v/>
      </c>
      <c r="Q38" s="43">
        <f>Q$35-Q$36</f>
        <v/>
      </c>
      <c r="R38" s="43">
        <f>R$35-R$36</f>
        <v/>
      </c>
      <c r="S38" s="43">
        <f>S$35-S$36</f>
        <v/>
      </c>
      <c r="T38" s="43">
        <f>T$35-T$36</f>
        <v/>
      </c>
      <c r="U38" s="43">
        <f>U$35-U$36</f>
        <v/>
      </c>
      <c r="V38" s="43">
        <f>V$35-V$36</f>
        <v/>
      </c>
      <c r="W38" s="43">
        <f>W$35-W$36</f>
        <v/>
      </c>
      <c r="X38" s="43">
        <f>X$35-X$36</f>
        <v/>
      </c>
      <c r="Y38" s="43">
        <f>Y$35-Y$36</f>
        <v/>
      </c>
      <c r="Z38" s="43">
        <f>Z$35-Z$36</f>
        <v/>
      </c>
      <c r="AA38" s="43">
        <f>AA$35-AA$36</f>
        <v/>
      </c>
      <c r="AB38" s="43">
        <f>AB$35-AB$36</f>
        <v/>
      </c>
      <c r="AC38" s="43">
        <f>AC$35-AC$36</f>
        <v/>
      </c>
      <c r="AD38" s="43">
        <f>AD$35-AD$36</f>
        <v/>
      </c>
      <c r="AE38" s="43">
        <f>AE$35-AE$36</f>
        <v/>
      </c>
      <c r="AF38" s="43">
        <f>AF$35-AF$36</f>
        <v/>
      </c>
      <c r="AG38" s="43">
        <f>AG$35-AG$36</f>
        <v/>
      </c>
      <c r="AH38" s="43">
        <f>AH$35-AH$36</f>
        <v/>
      </c>
      <c r="AI38" s="43">
        <f>AI$35-AI$36</f>
        <v/>
      </c>
      <c r="AJ38" s="43">
        <f>AJ$35-AJ$36</f>
        <v/>
      </c>
      <c r="AK38" s="43">
        <f>AK$35-AK$36</f>
        <v/>
      </c>
      <c r="AL38" s="43">
        <f>AL$35-AL$36</f>
        <v/>
      </c>
      <c r="AM38" s="43">
        <f>AM$35-AM$36</f>
        <v/>
      </c>
      <c r="AN38" s="43">
        <f>AN$35-AN$36</f>
        <v/>
      </c>
      <c r="AO38" s="43">
        <f>AO$35-AO$36</f>
        <v/>
      </c>
      <c r="AP38" s="43">
        <f>AP$35-AP$36</f>
        <v/>
      </c>
      <c r="AQ38" s="43">
        <f>AQ$35-AQ$36</f>
        <v/>
      </c>
      <c r="AR38" s="43">
        <f>AR$35-AR$36</f>
        <v/>
      </c>
      <c r="AS38" s="43">
        <f>AS$35-AS$36</f>
        <v/>
      </c>
      <c r="AT38" s="43">
        <f>AT$35-AT$36</f>
        <v/>
      </c>
      <c r="AU38" s="43">
        <f>AU$35-AU$36</f>
        <v/>
      </c>
      <c r="AV38" s="43">
        <f>AV$35-AV$36</f>
        <v/>
      </c>
      <c r="AW38" s="43">
        <f>AW$35-AW$36</f>
        <v/>
      </c>
      <c r="AX38" s="43">
        <f>AX$35-AX$36</f>
        <v/>
      </c>
      <c r="AY38" s="43">
        <f>AY$35-AY$36</f>
        <v/>
      </c>
      <c r="AZ38" s="43">
        <f>AZ$35-AZ$36</f>
        <v/>
      </c>
      <c r="BA38" s="43">
        <f>BA$35-BA$36</f>
        <v/>
      </c>
      <c r="BB38" s="43">
        <f>BB$35-BB$36</f>
        <v/>
      </c>
      <c r="BC38" s="43">
        <f>BC$35-BC$36</f>
        <v/>
      </c>
      <c r="BD38" s="43">
        <f>BD$35-BD$36</f>
        <v/>
      </c>
      <c r="BE38" s="43">
        <f>BE$35-BE$36</f>
        <v/>
      </c>
      <c r="BF38" s="43">
        <f>BF$35-BF$36</f>
        <v/>
      </c>
      <c r="BG38" s="43">
        <f>BG$35-BG$36</f>
        <v/>
      </c>
      <c r="BH38" s="43">
        <f>BH$35-BH$36</f>
        <v/>
      </c>
      <c r="BI38" s="43">
        <f>BI$35-BI$36</f>
        <v/>
      </c>
      <c r="BJ38" s="43">
        <f>BJ$35-BJ$36</f>
        <v/>
      </c>
      <c r="BK38" s="43">
        <f>BK$35-BK$36</f>
        <v/>
      </c>
      <c r="BL38" s="43">
        <f>BL$35-BL$36</f>
        <v/>
      </c>
      <c r="BM38" s="43">
        <f>BM$35-BM$36</f>
        <v/>
      </c>
      <c r="BN38" s="43">
        <f>BN$35-BN$36</f>
        <v/>
      </c>
      <c r="BO38" s="43">
        <f>BO$35-BO$36</f>
        <v/>
      </c>
      <c r="BP38" s="43">
        <f>BP$35-BP$36</f>
        <v/>
      </c>
      <c r="BQ38" s="43">
        <f>BQ$35-BQ$36</f>
        <v/>
      </c>
      <c r="BR38" s="43">
        <f>BR$35-BR$36</f>
        <v/>
      </c>
      <c r="BS38" s="43">
        <f>BS$35-BS$36</f>
        <v/>
      </c>
      <c r="BT38" s="43">
        <f>BT$35-BT$36</f>
        <v/>
      </c>
      <c r="BU38" s="43">
        <f>BU$35-BU$36</f>
        <v/>
      </c>
      <c r="BV38" s="43">
        <f>BV$35-BV$36</f>
        <v/>
      </c>
      <c r="BW38" s="43">
        <f>BW$35-BW$36</f>
        <v/>
      </c>
      <c r="BX38" s="43">
        <f>BX$35-BX$36</f>
        <v/>
      </c>
      <c r="BY38" s="43">
        <f>BY$35-BY$36</f>
        <v/>
      </c>
      <c r="BZ38" s="43">
        <f>BZ$35-BZ$36</f>
        <v/>
      </c>
      <c r="CA38" s="43">
        <f>CA$35-CA$36</f>
        <v/>
      </c>
      <c r="CB38" s="43">
        <f>CB$35-CB$36</f>
        <v/>
      </c>
      <c r="CC38" s="43">
        <f>CC$35-CC$36</f>
        <v/>
      </c>
      <c r="CD38" s="43">
        <f>CD$35-CD$36</f>
        <v/>
      </c>
      <c r="CE38" s="43">
        <f>CE$35-CE$36</f>
        <v/>
      </c>
      <c r="CF38" s="43">
        <f>CF$35-CF$36</f>
        <v/>
      </c>
      <c r="CG38" s="43">
        <f>CG$35-CG$36</f>
        <v/>
      </c>
      <c r="CH38" s="43">
        <f>CH$35-CH$36</f>
        <v/>
      </c>
      <c r="CI38" s="43">
        <f>CI$35-CI$36</f>
        <v/>
      </c>
      <c r="CJ38" s="43">
        <f>CJ$35-CJ$36</f>
        <v/>
      </c>
      <c r="CK38" s="43">
        <f>CK$35-CK$36</f>
        <v/>
      </c>
      <c r="CL38" s="43">
        <f>CL$35-CL$36</f>
        <v/>
      </c>
      <c r="CM38" s="43">
        <f>CM$35-CM$36</f>
        <v/>
      </c>
      <c r="CN38" s="43">
        <f>CN$35-CN$36</f>
        <v/>
      </c>
      <c r="CO38" s="43">
        <f>CO$35-CO$36</f>
        <v/>
      </c>
      <c r="CP38" s="43">
        <f>CP$35-CP$36</f>
        <v/>
      </c>
      <c r="CQ38" s="43">
        <f>CQ$35-CQ$36</f>
        <v/>
      </c>
      <c r="CR38" s="43">
        <f>CR$35-CR$36</f>
        <v/>
      </c>
      <c r="CS38" s="43">
        <f>CS$35-CS$36</f>
        <v/>
      </c>
      <c r="CT38" s="43">
        <f>CT$35-CT$36</f>
        <v/>
      </c>
      <c r="CU38" s="43">
        <f>CU$35-CU$36</f>
        <v/>
      </c>
      <c r="CV38" s="43">
        <f>CV$35-CV$36</f>
        <v/>
      </c>
      <c r="CW38" s="43">
        <f>CW$35-CW$36</f>
        <v/>
      </c>
      <c r="CX38" s="43">
        <f>CX$35-CX$36</f>
        <v/>
      </c>
      <c r="CY38" s="43">
        <f>CY$35-CY$36</f>
        <v/>
      </c>
      <c r="CZ38" s="43">
        <f>CZ$35-CZ$36</f>
        <v/>
      </c>
      <c r="DA38" s="43">
        <f>DA$35-DA$36</f>
        <v/>
      </c>
      <c r="DB38" s="43">
        <f>DB$35-DB$36</f>
        <v/>
      </c>
      <c r="DC38" s="43">
        <f>DC$35-DC$36</f>
        <v/>
      </c>
      <c r="DD38" s="43">
        <f>DD$35-DD$36</f>
        <v/>
      </c>
      <c r="DE38" s="43">
        <f>DE$35-DE$36</f>
        <v/>
      </c>
      <c r="DF38" s="43">
        <f>DF$35-DF$36</f>
        <v/>
      </c>
      <c r="DG38" s="43">
        <f>DG$35-DG$36</f>
        <v/>
      </c>
      <c r="DH38" s="43">
        <f>DH$35-DH$36</f>
        <v/>
      </c>
      <c r="DI38" s="43">
        <f>DI$35-DI$36</f>
        <v/>
      </c>
      <c r="DJ38" s="43">
        <f>DJ$35-DJ$36</f>
        <v/>
      </c>
      <c r="DK38" s="43">
        <f>DK$35-DK$36</f>
        <v/>
      </c>
      <c r="DL38" s="43">
        <f>DL$35-DL$36</f>
        <v/>
      </c>
      <c r="DM38" s="43">
        <f>DM$35-DM$36</f>
        <v/>
      </c>
      <c r="DN38" s="43">
        <f>DN$35-DN$36</f>
        <v/>
      </c>
      <c r="DO38" s="43">
        <f>DO$35-DO$36</f>
        <v/>
      </c>
      <c r="DP38" s="43">
        <f>DP$35-DP$36</f>
        <v/>
      </c>
      <c r="DQ38" s="43">
        <f>DQ$35-DQ$36</f>
        <v/>
      </c>
      <c r="DR38" s="43">
        <f>DR$35-DR$36</f>
        <v/>
      </c>
      <c r="DS38" s="43">
        <f>DS$35-DS$36</f>
        <v/>
      </c>
      <c r="DT38" s="43">
        <f>DT$35-DT$36</f>
        <v/>
      </c>
      <c r="DU38" s="43">
        <f>DU$35-DU$36</f>
        <v/>
      </c>
      <c r="DV38" s="43">
        <f>DV$35-DV$36</f>
        <v/>
      </c>
      <c r="DW38" s="43">
        <f>DW$35-DW$36</f>
        <v/>
      </c>
      <c r="DX38" s="43">
        <f>DX$35-DX$36</f>
        <v/>
      </c>
      <c r="DY38" s="43">
        <f>DY$35-DY$36</f>
        <v/>
      </c>
      <c r="DZ38" s="43">
        <f>DZ$35-DZ$36</f>
        <v/>
      </c>
      <c r="EA38" s="43">
        <f>EA$35-EA$36</f>
        <v/>
      </c>
      <c r="EB38" s="43">
        <f>EB$35-EB$36</f>
        <v/>
      </c>
      <c r="EC38" s="43">
        <f>EC$35-EC$36</f>
        <v/>
      </c>
      <c r="ED38" s="43">
        <f>ED$35-ED$36</f>
        <v/>
      </c>
      <c r="EE38" s="43">
        <f>EE$35-EE$36</f>
        <v/>
      </c>
      <c r="EF38" s="43">
        <f>EF$35-EF$36</f>
        <v/>
      </c>
      <c r="EG38" s="43">
        <f>EG$35-EG$36</f>
        <v/>
      </c>
      <c r="EH38" s="43">
        <f>EH$35-EH$36</f>
        <v/>
      </c>
      <c r="EI38" s="43">
        <f>EI$35-EI$36</f>
        <v/>
      </c>
      <c r="EJ38" s="43">
        <f>EJ$35-EJ$36</f>
        <v/>
      </c>
      <c r="EK38" s="43">
        <f>EK$35-EK$36</f>
        <v/>
      </c>
      <c r="EL38" s="43">
        <f>EL$35-EL$36</f>
        <v/>
      </c>
      <c r="EM38" s="43">
        <f>EM$35-EM$36</f>
        <v/>
      </c>
      <c r="EN38" s="43">
        <f>EN$35-EN$36</f>
        <v/>
      </c>
      <c r="EO38" s="43">
        <f>EO$35-EO$36</f>
        <v/>
      </c>
      <c r="EP38" s="43">
        <f>EP$35-EP$36</f>
        <v/>
      </c>
      <c r="EQ38" s="43">
        <f>EQ$35-EQ$36</f>
        <v/>
      </c>
      <c r="ER38" s="43">
        <f>ER$35-ER$36</f>
        <v/>
      </c>
      <c r="ES38" s="43">
        <f>ES$35-ES$36</f>
        <v/>
      </c>
      <c r="ET38" s="43">
        <f>ET$35-ET$36</f>
        <v/>
      </c>
      <c r="EU38" s="43">
        <f>EU$35-EU$36</f>
        <v/>
      </c>
      <c r="EV38" s="43">
        <f>EV$35-EV$36</f>
        <v/>
      </c>
      <c r="EW38" s="43">
        <f>EW$35-EW$36</f>
        <v/>
      </c>
      <c r="EX38" s="43">
        <f>EX$35-EX$36</f>
        <v/>
      </c>
      <c r="EY38" s="43">
        <f>EY$35-EY$36</f>
        <v/>
      </c>
      <c r="EZ38" s="43">
        <f>EZ$35-EZ$36</f>
        <v/>
      </c>
      <c r="FA38" s="43">
        <f>FA$35-FA$36</f>
        <v/>
      </c>
      <c r="FB38" s="43">
        <f>FB$35-FB$36</f>
        <v/>
      </c>
      <c r="FC38" s="43">
        <f>FC$35-FC$36</f>
        <v/>
      </c>
      <c r="FD38" s="43">
        <f>FD$35-FD$36</f>
        <v/>
      </c>
      <c r="FE38" s="43">
        <f>FE$35-FE$36</f>
        <v/>
      </c>
      <c r="FF38" s="43">
        <f>FF$35-FF$36</f>
        <v/>
      </c>
      <c r="FG38" s="43">
        <f>FG$35-FG$36</f>
        <v/>
      </c>
      <c r="FH38" s="43">
        <f>FH$35-FH$36</f>
        <v/>
      </c>
      <c r="FI38" s="43">
        <f>FI$35-FI$36</f>
        <v/>
      </c>
      <c r="FJ38" s="43">
        <f>FJ$35-FJ$36</f>
        <v/>
      </c>
      <c r="FK38" s="43">
        <f>FK$35-FK$36</f>
        <v/>
      </c>
      <c r="FL38" s="43">
        <f>FL$35-FL$36</f>
        <v/>
      </c>
      <c r="FM38" s="43">
        <f>FM$35-FM$36</f>
        <v/>
      </c>
      <c r="FN38" s="43">
        <f>FN$35-FN$36</f>
        <v/>
      </c>
      <c r="FO38" s="43">
        <f>FO$35-FO$36</f>
        <v/>
      </c>
      <c r="FP38" s="43">
        <f>FP$35-FP$36</f>
        <v/>
      </c>
      <c r="FQ38" s="43">
        <f>FQ$35-FQ$36</f>
        <v/>
      </c>
      <c r="FR38" s="43">
        <f>FR$35-FR$36</f>
        <v/>
      </c>
      <c r="FS38" s="43">
        <f>FS$35-FS$36</f>
        <v/>
      </c>
      <c r="FT38" s="43">
        <f>FT$35-FT$36</f>
        <v/>
      </c>
      <c r="FU38" s="43">
        <f>FU$35-FU$36</f>
        <v/>
      </c>
      <c r="FV38" s="43">
        <f>FV$35-FV$36</f>
        <v/>
      </c>
      <c r="FW38" s="43">
        <f>FW$35-FW$36</f>
        <v/>
      </c>
      <c r="FX38" s="43">
        <f>FX$35-FX$36</f>
        <v/>
      </c>
      <c r="FY38" s="43">
        <f>FY$35-FY$36</f>
        <v/>
      </c>
      <c r="FZ38" s="43">
        <f>FZ$35-FZ$36</f>
        <v/>
      </c>
      <c r="GA38" s="43">
        <f>GA$35-GA$36</f>
        <v/>
      </c>
      <c r="GB38" s="43">
        <f>GB$35-GB$36</f>
        <v/>
      </c>
      <c r="GC38" s="43">
        <f>GC$35-GC$36</f>
        <v/>
      </c>
      <c r="GD38" s="43">
        <f>GD$35-GD$36</f>
        <v/>
      </c>
      <c r="GE38" s="43">
        <f>GE$35-GE$36</f>
        <v/>
      </c>
      <c r="GF38" s="43">
        <f>GF$35-GF$36</f>
        <v/>
      </c>
      <c r="GG38" s="43">
        <f>GG$35-GG$36</f>
        <v/>
      </c>
      <c r="GH38" s="43">
        <f>GH$35-GH$36</f>
        <v/>
      </c>
      <c r="GI38" s="43">
        <f>GI$35-GI$36</f>
        <v/>
      </c>
      <c r="GJ38" s="43">
        <f>GJ$35-GJ$36</f>
        <v/>
      </c>
      <c r="GK38" s="43">
        <f>GK$35-GK$36</f>
        <v/>
      </c>
      <c r="GL38" s="43">
        <f>GL$35-GL$36</f>
        <v/>
      </c>
      <c r="GM38" s="43">
        <f>GM$35-GM$36</f>
        <v/>
      </c>
      <c r="GN38" s="43">
        <f>GN$35-GN$36</f>
        <v/>
      </c>
      <c r="GO38" s="43">
        <f>GO$35-GO$36</f>
        <v/>
      </c>
      <c r="GP38" s="43">
        <f>GP$35-GP$36</f>
        <v/>
      </c>
      <c r="GQ38" s="43">
        <f>GQ$35-GQ$36</f>
        <v/>
      </c>
      <c r="GR38" s="43">
        <f>GR$35-GR$36</f>
        <v/>
      </c>
      <c r="GS38" s="43">
        <f>GS$35-GS$36</f>
        <v/>
      </c>
      <c r="GT38" s="43">
        <f>GT$35-GT$36</f>
        <v/>
      </c>
      <c r="GU38" s="43">
        <f>GU$35-GU$36</f>
        <v/>
      </c>
      <c r="GV38" s="43">
        <f>GV$35-GV$36</f>
        <v/>
      </c>
      <c r="GW38" s="43">
        <f>GW$35-GW$36</f>
        <v/>
      </c>
      <c r="GX38" s="43">
        <f>GX$35-GX$36</f>
        <v/>
      </c>
      <c r="GY38" s="43">
        <f>GY$35-GY$36</f>
        <v/>
      </c>
      <c r="GZ38" s="43">
        <f>GZ$35-GZ$36</f>
        <v/>
      </c>
      <c r="HA38" s="43">
        <f>HA$35-HA$36</f>
        <v/>
      </c>
      <c r="HB38" s="43">
        <f>HB$35-HB$36</f>
        <v/>
      </c>
      <c r="HC38" s="43">
        <f>HC$35-HC$36</f>
        <v/>
      </c>
      <c r="HD38" s="43">
        <f>HD$35-HD$36</f>
        <v/>
      </c>
      <c r="HE38" s="43">
        <f>HE$35-HE$36</f>
        <v/>
      </c>
      <c r="HF38" s="43">
        <f>HF$35-HF$36</f>
        <v/>
      </c>
      <c r="HG38" s="43">
        <f>HG$35-HG$36</f>
        <v/>
      </c>
      <c r="HH38" s="43">
        <f>HH$35-HH$36</f>
        <v/>
      </c>
      <c r="HI38" s="43">
        <f>HI$35-HI$36</f>
        <v/>
      </c>
      <c r="HJ38" s="43">
        <f>HJ$35-HJ$36</f>
        <v/>
      </c>
      <c r="HK38" s="43">
        <f>HK$35-HK$36</f>
        <v/>
      </c>
      <c r="HL38" s="43">
        <f>HL$35-HL$36</f>
        <v/>
      </c>
      <c r="HM38" s="43">
        <f>HM$35-HM$36</f>
        <v/>
      </c>
      <c r="HN38" s="43">
        <f>HN$35-HN$36</f>
        <v/>
      </c>
      <c r="HO38" s="43">
        <f>HO$35-HO$36</f>
        <v/>
      </c>
      <c r="HP38" s="43">
        <f>HP$35-HP$36</f>
        <v/>
      </c>
      <c r="HQ38" s="43">
        <f>HQ$35-HQ$36</f>
        <v/>
      </c>
      <c r="HR38" s="43">
        <f>HR$35-HR$36</f>
        <v/>
      </c>
      <c r="HS38" s="43">
        <f>HS$35-HS$36</f>
        <v/>
      </c>
      <c r="HT38" s="43">
        <f>HT$35-HT$36</f>
        <v/>
      </c>
      <c r="HU38" s="43">
        <f>HU$35-HU$36</f>
        <v/>
      </c>
      <c r="HV38" s="43">
        <f>HV$35-HV$36</f>
        <v/>
      </c>
      <c r="HW38" s="43">
        <f>HW$35-HW$36</f>
        <v/>
      </c>
      <c r="HX38" s="43">
        <f>HX$35-HX$36</f>
        <v/>
      </c>
      <c r="HY38" s="43">
        <f>HY$35-HY$36</f>
        <v/>
      </c>
      <c r="HZ38" s="43">
        <f>HZ$35-HZ$36</f>
        <v/>
      </c>
      <c r="IA38" s="43">
        <f>IA$35-IA$36</f>
        <v/>
      </c>
      <c r="IB38" s="43">
        <f>IB$35-IB$36</f>
        <v/>
      </c>
      <c r="IC38" s="43">
        <f>IC$35-IC$36</f>
        <v/>
      </c>
      <c r="ID38" s="43">
        <f>ID$35-ID$36</f>
        <v/>
      </c>
      <c r="IE38" s="43">
        <f>IE$35-IE$36</f>
        <v/>
      </c>
      <c r="IF38" s="43">
        <f>IF$35-IF$36</f>
        <v/>
      </c>
      <c r="IG38" s="43">
        <f>IG$35-IG$36</f>
        <v/>
      </c>
      <c r="IH38" s="43">
        <f>IH$35-IH$36</f>
        <v/>
      </c>
      <c r="II38" s="43">
        <f>II$35-II$36</f>
        <v/>
      </c>
      <c r="IJ38" s="43">
        <f>IJ$35-IJ$36</f>
        <v/>
      </c>
      <c r="IK38" s="43">
        <f>IK$35-IK$36</f>
        <v/>
      </c>
      <c r="IL38" s="43">
        <f>IL$35-IL$36</f>
        <v/>
      </c>
      <c r="IM38" s="43">
        <f>IM$35-IM$36</f>
        <v/>
      </c>
      <c r="IN38" s="43">
        <f>IN$35-IN$36</f>
        <v/>
      </c>
      <c r="IO38" s="43">
        <f>IO$35-IO$36</f>
        <v/>
      </c>
      <c r="IP38" s="43">
        <f>IP$35-IP$36</f>
        <v/>
      </c>
      <c r="IQ38" s="43">
        <f>IQ$35-IQ$36</f>
        <v/>
      </c>
      <c r="IR38" s="43">
        <f>IR$35-IR$36</f>
        <v/>
      </c>
      <c r="IS38" s="43">
        <f>IS$35-IS$36</f>
        <v/>
      </c>
      <c r="IT38" s="43">
        <f>IT$35-IT$36</f>
        <v/>
      </c>
      <c r="IU38" s="43">
        <f>IU$35-IU$36</f>
        <v/>
      </c>
      <c r="IV38" s="43">
        <f>IV$35-IV$36</f>
        <v/>
      </c>
      <c r="IW38" s="43">
        <f>IW$35-IW$36</f>
        <v/>
      </c>
      <c r="IX38" s="43">
        <f>IX$35-IX$36</f>
        <v/>
      </c>
      <c r="IY38" s="43">
        <f>IY$35-IY$36</f>
        <v/>
      </c>
      <c r="IZ38" s="43">
        <f>IZ$35-IZ$36</f>
        <v/>
      </c>
      <c r="JA38" s="43">
        <f>JA$35-JA$36</f>
        <v/>
      </c>
      <c r="JB38" s="43">
        <f>JB$35-JB$36</f>
        <v/>
      </c>
      <c r="JC38" s="43">
        <f>JC$35-JC$36</f>
        <v/>
      </c>
      <c r="JD38" s="43">
        <f>JD$35-JD$36</f>
        <v/>
      </c>
      <c r="JE38" s="43">
        <f>JE$35-JE$36</f>
        <v/>
      </c>
      <c r="JF38" s="43">
        <f>JF$35-JF$36</f>
        <v/>
      </c>
      <c r="JG38" s="43">
        <f>JG$35-JG$36</f>
        <v/>
      </c>
      <c r="JH38" s="43">
        <f>JH$35-JH$36</f>
        <v/>
      </c>
      <c r="JI38" s="43">
        <f>JI$35-JI$36</f>
        <v/>
      </c>
      <c r="JJ38" s="43">
        <f>JJ$35-JJ$36</f>
        <v/>
      </c>
      <c r="JK38" s="43">
        <f>JK$35-JK$36</f>
        <v/>
      </c>
      <c r="JL38" s="43">
        <f>JL$35-JL$36</f>
        <v/>
      </c>
      <c r="JM38" s="43">
        <f>JM$35-JM$36</f>
        <v/>
      </c>
      <c r="JN38" s="43">
        <f>JN$35-JN$36</f>
        <v/>
      </c>
      <c r="JO38" s="43">
        <f>JO$35-JO$36</f>
        <v/>
      </c>
      <c r="JP38" s="43">
        <f>JP$35-JP$36</f>
        <v/>
      </c>
      <c r="JQ38" s="43">
        <f>JQ$35-JQ$36</f>
        <v/>
      </c>
      <c r="JR38" s="43">
        <f>JR$35-JR$36</f>
        <v/>
      </c>
      <c r="JS38" s="43">
        <f>JS$35-JS$36</f>
        <v/>
      </c>
      <c r="JT38" s="43">
        <f>JT$35-JT$36</f>
        <v/>
      </c>
      <c r="JU38" s="43">
        <f>JU$35-JU$36</f>
        <v/>
      </c>
      <c r="JV38" s="43">
        <f>JV$35-JV$36</f>
        <v/>
      </c>
      <c r="JW38" s="43">
        <f>JW$35-JW$36</f>
        <v/>
      </c>
      <c r="JX38" s="43">
        <f>JX$35-JX$36</f>
        <v/>
      </c>
      <c r="JY38" s="43">
        <f>JY$35-JY$36</f>
        <v/>
      </c>
      <c r="JZ38" s="43">
        <f>JZ$35-JZ$36</f>
        <v/>
      </c>
      <c r="KA38" s="43">
        <f>KA$35-KA$36</f>
        <v/>
      </c>
      <c r="KB38" s="43">
        <f>KB$35-KB$36</f>
        <v/>
      </c>
      <c r="KC38" s="43">
        <f>KC$35-KC$36</f>
        <v/>
      </c>
      <c r="KD38" s="43">
        <f>KD$35-KD$36</f>
        <v/>
      </c>
      <c r="KE38" s="43">
        <f>KE$35-KE$36</f>
        <v/>
      </c>
      <c r="KF38" s="43">
        <f>KF$35-KF$36</f>
        <v/>
      </c>
      <c r="KG38" s="43">
        <f>KG$35-KG$36</f>
        <v/>
      </c>
      <c r="KH38" s="43">
        <f>KH$35-KH$36</f>
        <v/>
      </c>
      <c r="KI38" s="43">
        <f>KI$35-KI$36</f>
        <v/>
      </c>
      <c r="KJ38" s="43">
        <f>KJ$35-KJ$36</f>
        <v/>
      </c>
      <c r="KK38" s="43">
        <f>KK$35-KK$36</f>
        <v/>
      </c>
      <c r="KL38" s="43">
        <f>KL$35-KL$36</f>
        <v/>
      </c>
      <c r="KM38" s="43">
        <f>KM$35-KM$36</f>
        <v/>
      </c>
      <c r="KN38" s="43">
        <f>KN$35-KN$36</f>
        <v/>
      </c>
      <c r="KO38" s="43">
        <f>KO$35-KO$36</f>
        <v/>
      </c>
      <c r="KP38" s="43">
        <f>KP$35-KP$36</f>
        <v/>
      </c>
      <c r="KQ38" s="43">
        <f>KQ$35-KQ$36</f>
        <v/>
      </c>
      <c r="KR38" s="43">
        <f>KR$35-KR$36</f>
        <v/>
      </c>
      <c r="KS38" s="43">
        <f>KS$35-KS$36</f>
        <v/>
      </c>
      <c r="KT38" s="43">
        <f>KT$35-KT$36</f>
        <v/>
      </c>
      <c r="KU38" s="43">
        <f>KU$35-KU$36</f>
        <v/>
      </c>
      <c r="KV38" s="43">
        <f>KV$35-KV$36</f>
        <v/>
      </c>
      <c r="KW38" s="43">
        <f>KW$35-KW$36</f>
        <v/>
      </c>
      <c r="KX38" s="43">
        <f>KX$35-KX$36</f>
        <v/>
      </c>
      <c r="KY38" s="43">
        <f>KY$35-KY$36</f>
        <v/>
      </c>
      <c r="KZ38" s="43">
        <f>KZ$35-KZ$36</f>
        <v/>
      </c>
      <c r="LA38" s="43">
        <f>LA$35-LA$36</f>
        <v/>
      </c>
      <c r="LB38" s="43">
        <f>LB$35-LB$36</f>
        <v/>
      </c>
      <c r="LC38" s="43">
        <f>LC$35-LC$36</f>
        <v/>
      </c>
      <c r="LD38" s="43">
        <f>LD$35-LD$36</f>
        <v/>
      </c>
      <c r="LE38" s="43">
        <f>LE$35-LE$36</f>
        <v/>
      </c>
      <c r="LF38" s="43">
        <f>LF$35-LF$36</f>
        <v/>
      </c>
      <c r="LG38" s="43">
        <f>LG$35-LG$36</f>
        <v/>
      </c>
      <c r="LH38" s="43">
        <f>LH$35-LH$36</f>
        <v/>
      </c>
      <c r="LI38" s="43">
        <f>LI$35-LI$36</f>
        <v/>
      </c>
      <c r="LJ38" s="43">
        <f>LJ$35-LJ$36</f>
        <v/>
      </c>
      <c r="LK38" s="43">
        <f>LK$35-LK$36</f>
        <v/>
      </c>
      <c r="LL38" s="43">
        <f>LL$35-LL$36</f>
        <v/>
      </c>
      <c r="LM38" s="43">
        <f>LM$35-LM$36</f>
        <v/>
      </c>
      <c r="LN38" s="43">
        <f>LN$35-LN$36</f>
        <v/>
      </c>
      <c r="LO38" s="43">
        <f>LO$35-LO$36</f>
        <v/>
      </c>
      <c r="LP38" s="43">
        <f>LP$35-LP$36</f>
        <v/>
      </c>
      <c r="LQ38" s="43">
        <f>LQ$35-LQ$36</f>
        <v/>
      </c>
      <c r="LR38" s="43">
        <f>LR$35-LR$36</f>
        <v/>
      </c>
      <c r="LS38" s="43">
        <f>LS$35-LS$36</f>
        <v/>
      </c>
      <c r="LT38" s="43">
        <f>LT$35-LT$36</f>
        <v/>
      </c>
      <c r="LU38" s="43">
        <f>LU$35-LU$36</f>
        <v/>
      </c>
      <c r="LV38" s="43">
        <f>LV$35-LV$36</f>
        <v/>
      </c>
      <c r="LW38" s="43">
        <f>LW$35-LW$36</f>
        <v/>
      </c>
      <c r="LX38" s="43">
        <f>LX$35-LX$36</f>
        <v/>
      </c>
      <c r="LY38" s="43">
        <f>LY$35-LY$36</f>
        <v/>
      </c>
      <c r="LZ38" s="43">
        <f>LZ$35-LZ$36</f>
        <v/>
      </c>
      <c r="MA38" s="43">
        <f>MA$35-MA$36</f>
        <v/>
      </c>
      <c r="MB38" s="43">
        <f>MB$35-MB$36</f>
        <v/>
      </c>
      <c r="MC38" s="43">
        <f>MC$35-MC$36</f>
        <v/>
      </c>
      <c r="MD38" s="43">
        <f>MD$35-MD$36</f>
        <v/>
      </c>
      <c r="ME38" s="43">
        <f>ME$35-ME$36</f>
        <v/>
      </c>
      <c r="MF38" s="43">
        <f>MF$35-MF$36</f>
        <v/>
      </c>
      <c r="MG38" s="43">
        <f>MG$35-MG$36</f>
        <v/>
      </c>
      <c r="MH38" s="43">
        <f>MH$35-MH$36</f>
        <v/>
      </c>
      <c r="MI38" s="43">
        <f>MI$35-MI$36</f>
        <v/>
      </c>
      <c r="MJ38" s="43">
        <f>MJ$35-MJ$36</f>
        <v/>
      </c>
      <c r="MK38" s="43">
        <f>MK$35-MK$36</f>
        <v/>
      </c>
      <c r="ML38" s="43">
        <f>ML$35-ML$36</f>
        <v/>
      </c>
      <c r="MM38" s="43">
        <f>MM$35-MM$36</f>
        <v/>
      </c>
      <c r="MN38" s="43">
        <f>MN$35-MN$36</f>
        <v/>
      </c>
      <c r="MO38" s="43">
        <f>MO$35-MO$36</f>
        <v/>
      </c>
      <c r="MP38" s="43">
        <f>MP$35-MP$36</f>
        <v/>
      </c>
      <c r="MQ38" s="43">
        <f>MQ$35-MQ$36</f>
        <v/>
      </c>
      <c r="MR38" s="43">
        <f>MR$35-MR$36</f>
        <v/>
      </c>
      <c r="MS38" s="43">
        <f>MS$35-MS$36</f>
        <v/>
      </c>
      <c r="MT38" s="43">
        <f>MT$35-MT$36</f>
        <v/>
      </c>
      <c r="MU38" s="43">
        <f>MU$35-MU$36</f>
        <v/>
      </c>
      <c r="MV38" s="43">
        <f>MV$35-MV$36</f>
        <v/>
      </c>
      <c r="MW38" s="43">
        <f>MW$35-MW$36</f>
        <v/>
      </c>
      <c r="MX38" s="43">
        <f>MX$35-MX$36</f>
        <v/>
      </c>
      <c r="MY38" s="43">
        <f>MY$35-MY$36</f>
        <v/>
      </c>
      <c r="MZ38" s="43">
        <f>MZ$35-MZ$36</f>
        <v/>
      </c>
      <c r="NA38" s="43">
        <f>NA$35-NA$36</f>
        <v/>
      </c>
      <c r="NB38" s="43">
        <f>NB$35-NB$36</f>
        <v/>
      </c>
      <c r="NC38" s="43">
        <f>NC$35-NC$36</f>
        <v/>
      </c>
      <c r="ND38" s="43">
        <f>ND$35-ND$36</f>
        <v/>
      </c>
      <c r="NE38" s="43">
        <f>NE$35-NE$36</f>
        <v/>
      </c>
      <c r="NF38" s="43">
        <f>NF$35-NF$36</f>
        <v/>
      </c>
      <c r="NG38" s="43">
        <f>NG$35-NG$36</f>
        <v/>
      </c>
      <c r="NH38" s="43">
        <f>NH$35-NH$36</f>
        <v/>
      </c>
      <c r="NI38" s="43">
        <f>NI$35-NI$36</f>
        <v/>
      </c>
      <c r="NJ38" s="43">
        <f>NJ$35-NJ$36</f>
        <v/>
      </c>
      <c r="NK38" s="43">
        <f>NK$35-NK$36</f>
        <v/>
      </c>
    </row>
    <row r="39">
      <c r="A39" s="3" t="inlineStr">
        <is>
          <t>Below-NOI Items</t>
        </is>
      </c>
      <c r="B39" s="4" t="n"/>
      <c r="C39" s="4" t="n"/>
    </row>
    <row r="40">
      <c r="A40" s="5" t="inlineStr">
        <is>
          <t>Capital Reserves + Tax Prep + Asset Mgmt Fee</t>
        </is>
      </c>
      <c r="C40" s="41">
        <f>SUM(D40:NK40)</f>
        <v/>
      </c>
      <c r="D40" s="18">
        <f>IF(1&gt;=DeliverStart,CapReservePerUnit*TotalUnits/12+TaxPrepPerUnit*TotalUnits/12+AssetMgmtFeePct*D$23,0)</f>
        <v/>
      </c>
      <c r="E40" s="18">
        <f>IF(2&gt;=DeliverStart,CapReservePerUnit*TotalUnits/12+TaxPrepPerUnit*TotalUnits/12+AssetMgmtFeePct*E$23,0)</f>
        <v/>
      </c>
      <c r="F40" s="18">
        <f>IF(3&gt;=DeliverStart,CapReservePerUnit*TotalUnits/12+TaxPrepPerUnit*TotalUnits/12+AssetMgmtFeePct*F$23,0)</f>
        <v/>
      </c>
      <c r="G40" s="18">
        <f>IF(4&gt;=DeliverStart,CapReservePerUnit*TotalUnits/12+TaxPrepPerUnit*TotalUnits/12+AssetMgmtFeePct*G$23,0)</f>
        <v/>
      </c>
      <c r="H40" s="18">
        <f>IF(5&gt;=DeliverStart,CapReservePerUnit*TotalUnits/12+TaxPrepPerUnit*TotalUnits/12+AssetMgmtFeePct*H$23,0)</f>
        <v/>
      </c>
      <c r="I40" s="18">
        <f>IF(6&gt;=DeliverStart,CapReservePerUnit*TotalUnits/12+TaxPrepPerUnit*TotalUnits/12+AssetMgmtFeePct*I$23,0)</f>
        <v/>
      </c>
      <c r="J40" s="18">
        <f>IF(7&gt;=DeliverStart,CapReservePerUnit*TotalUnits/12+TaxPrepPerUnit*TotalUnits/12+AssetMgmtFeePct*J$23,0)</f>
        <v/>
      </c>
      <c r="K40" s="18">
        <f>IF(8&gt;=DeliverStart,CapReservePerUnit*TotalUnits/12+TaxPrepPerUnit*TotalUnits/12+AssetMgmtFeePct*K$23,0)</f>
        <v/>
      </c>
      <c r="L40" s="18">
        <f>IF(9&gt;=DeliverStart,CapReservePerUnit*TotalUnits/12+TaxPrepPerUnit*TotalUnits/12+AssetMgmtFeePct*L$23,0)</f>
        <v/>
      </c>
      <c r="M40" s="18">
        <f>IF(10&gt;=DeliverStart,CapReservePerUnit*TotalUnits/12+TaxPrepPerUnit*TotalUnits/12+AssetMgmtFeePct*M$23,0)</f>
        <v/>
      </c>
      <c r="N40" s="18">
        <f>IF(11&gt;=DeliverStart,CapReservePerUnit*TotalUnits/12+TaxPrepPerUnit*TotalUnits/12+AssetMgmtFeePct*N$23,0)</f>
        <v/>
      </c>
      <c r="O40" s="18">
        <f>IF(12&gt;=DeliverStart,CapReservePerUnit*TotalUnits/12+TaxPrepPerUnit*TotalUnits/12+AssetMgmtFeePct*O$23,0)</f>
        <v/>
      </c>
      <c r="P40" s="18">
        <f>IF(13&gt;=DeliverStart,CapReservePerUnit*TotalUnits/12+TaxPrepPerUnit*TotalUnits/12+AssetMgmtFeePct*P$23,0)</f>
        <v/>
      </c>
      <c r="Q40" s="18">
        <f>IF(14&gt;=DeliverStart,CapReservePerUnit*TotalUnits/12+TaxPrepPerUnit*TotalUnits/12+AssetMgmtFeePct*Q$23,0)</f>
        <v/>
      </c>
      <c r="R40" s="18">
        <f>IF(15&gt;=DeliverStart,CapReservePerUnit*TotalUnits/12+TaxPrepPerUnit*TotalUnits/12+AssetMgmtFeePct*R$23,0)</f>
        <v/>
      </c>
      <c r="S40" s="18">
        <f>IF(16&gt;=DeliverStart,CapReservePerUnit*TotalUnits/12+TaxPrepPerUnit*TotalUnits/12+AssetMgmtFeePct*S$23,0)</f>
        <v/>
      </c>
      <c r="T40" s="18">
        <f>IF(17&gt;=DeliverStart,CapReservePerUnit*TotalUnits/12+TaxPrepPerUnit*TotalUnits/12+AssetMgmtFeePct*T$23,0)</f>
        <v/>
      </c>
      <c r="U40" s="18">
        <f>IF(18&gt;=DeliverStart,CapReservePerUnit*TotalUnits/12+TaxPrepPerUnit*TotalUnits/12+AssetMgmtFeePct*U$23,0)</f>
        <v/>
      </c>
      <c r="V40" s="18">
        <f>IF(19&gt;=DeliverStart,CapReservePerUnit*TotalUnits/12+TaxPrepPerUnit*TotalUnits/12+AssetMgmtFeePct*V$23,0)</f>
        <v/>
      </c>
      <c r="W40" s="18">
        <f>IF(20&gt;=DeliverStart,CapReservePerUnit*TotalUnits/12+TaxPrepPerUnit*TotalUnits/12+AssetMgmtFeePct*W$23,0)</f>
        <v/>
      </c>
      <c r="X40" s="18">
        <f>IF(21&gt;=DeliverStart,CapReservePerUnit*TotalUnits/12+TaxPrepPerUnit*TotalUnits/12+AssetMgmtFeePct*X$23,0)</f>
        <v/>
      </c>
      <c r="Y40" s="18">
        <f>IF(22&gt;=DeliverStart,CapReservePerUnit*TotalUnits/12+TaxPrepPerUnit*TotalUnits/12+AssetMgmtFeePct*Y$23,0)</f>
        <v/>
      </c>
      <c r="Z40" s="18">
        <f>IF(23&gt;=DeliverStart,CapReservePerUnit*TotalUnits/12+TaxPrepPerUnit*TotalUnits/12+AssetMgmtFeePct*Z$23,0)</f>
        <v/>
      </c>
      <c r="AA40" s="18">
        <f>IF(24&gt;=DeliverStart,CapReservePerUnit*TotalUnits/12+TaxPrepPerUnit*TotalUnits/12+AssetMgmtFeePct*AA$23,0)</f>
        <v/>
      </c>
      <c r="AB40" s="18">
        <f>IF(25&gt;=DeliverStart,CapReservePerUnit*TotalUnits/12+TaxPrepPerUnit*TotalUnits/12+AssetMgmtFeePct*AB$23,0)</f>
        <v/>
      </c>
      <c r="AC40" s="18">
        <f>IF(26&gt;=DeliverStart,CapReservePerUnit*TotalUnits/12+TaxPrepPerUnit*TotalUnits/12+AssetMgmtFeePct*AC$23,0)</f>
        <v/>
      </c>
      <c r="AD40" s="18">
        <f>IF(27&gt;=DeliverStart,CapReservePerUnit*TotalUnits/12+TaxPrepPerUnit*TotalUnits/12+AssetMgmtFeePct*AD$23,0)</f>
        <v/>
      </c>
      <c r="AE40" s="18">
        <f>IF(28&gt;=DeliverStart,CapReservePerUnit*TotalUnits/12+TaxPrepPerUnit*TotalUnits/12+AssetMgmtFeePct*AE$23,0)</f>
        <v/>
      </c>
      <c r="AF40" s="18">
        <f>IF(29&gt;=DeliverStart,CapReservePerUnit*TotalUnits/12+TaxPrepPerUnit*TotalUnits/12+AssetMgmtFeePct*AF$23,0)</f>
        <v/>
      </c>
      <c r="AG40" s="18">
        <f>IF(30&gt;=DeliverStart,CapReservePerUnit*TotalUnits/12+TaxPrepPerUnit*TotalUnits/12+AssetMgmtFeePct*AG$23,0)</f>
        <v/>
      </c>
      <c r="AH40" s="18">
        <f>IF(31&gt;=DeliverStart,CapReservePerUnit*TotalUnits/12+TaxPrepPerUnit*TotalUnits/12+AssetMgmtFeePct*AH$23,0)</f>
        <v/>
      </c>
      <c r="AI40" s="18">
        <f>IF(32&gt;=DeliverStart,CapReservePerUnit*TotalUnits/12+TaxPrepPerUnit*TotalUnits/12+AssetMgmtFeePct*AI$23,0)</f>
        <v/>
      </c>
      <c r="AJ40" s="18">
        <f>IF(33&gt;=DeliverStart,CapReservePerUnit*TotalUnits/12+TaxPrepPerUnit*TotalUnits/12+AssetMgmtFeePct*AJ$23,0)</f>
        <v/>
      </c>
      <c r="AK40" s="18">
        <f>IF(34&gt;=DeliverStart,CapReservePerUnit*TotalUnits/12+TaxPrepPerUnit*TotalUnits/12+AssetMgmtFeePct*AK$23,0)</f>
        <v/>
      </c>
      <c r="AL40" s="18">
        <f>IF(35&gt;=DeliverStart,CapReservePerUnit*TotalUnits/12+TaxPrepPerUnit*TotalUnits/12+AssetMgmtFeePct*AL$23,0)</f>
        <v/>
      </c>
      <c r="AM40" s="18">
        <f>IF(36&gt;=DeliverStart,CapReservePerUnit*TotalUnits/12+TaxPrepPerUnit*TotalUnits/12+AssetMgmtFeePct*AM$23,0)</f>
        <v/>
      </c>
      <c r="AN40" s="18">
        <f>IF(37&gt;=DeliverStart,CapReservePerUnit*TotalUnits/12+TaxPrepPerUnit*TotalUnits/12+AssetMgmtFeePct*AN$23,0)</f>
        <v/>
      </c>
      <c r="AO40" s="18">
        <f>IF(38&gt;=DeliverStart,CapReservePerUnit*TotalUnits/12+TaxPrepPerUnit*TotalUnits/12+AssetMgmtFeePct*AO$23,0)</f>
        <v/>
      </c>
      <c r="AP40" s="18">
        <f>IF(39&gt;=DeliverStart,CapReservePerUnit*TotalUnits/12+TaxPrepPerUnit*TotalUnits/12+AssetMgmtFeePct*AP$23,0)</f>
        <v/>
      </c>
      <c r="AQ40" s="18">
        <f>IF(40&gt;=DeliverStart,CapReservePerUnit*TotalUnits/12+TaxPrepPerUnit*TotalUnits/12+AssetMgmtFeePct*AQ$23,0)</f>
        <v/>
      </c>
      <c r="AR40" s="18">
        <f>IF(41&gt;=DeliverStart,CapReservePerUnit*TotalUnits/12+TaxPrepPerUnit*TotalUnits/12+AssetMgmtFeePct*AR$23,0)</f>
        <v/>
      </c>
      <c r="AS40" s="18">
        <f>IF(42&gt;=DeliverStart,CapReservePerUnit*TotalUnits/12+TaxPrepPerUnit*TotalUnits/12+AssetMgmtFeePct*AS$23,0)</f>
        <v/>
      </c>
      <c r="AT40" s="18">
        <f>IF(43&gt;=DeliverStart,CapReservePerUnit*TotalUnits/12+TaxPrepPerUnit*TotalUnits/12+AssetMgmtFeePct*AT$23,0)</f>
        <v/>
      </c>
      <c r="AU40" s="18">
        <f>IF(44&gt;=DeliverStart,CapReservePerUnit*TotalUnits/12+TaxPrepPerUnit*TotalUnits/12+AssetMgmtFeePct*AU$23,0)</f>
        <v/>
      </c>
      <c r="AV40" s="18">
        <f>IF(45&gt;=DeliverStart,CapReservePerUnit*TotalUnits/12+TaxPrepPerUnit*TotalUnits/12+AssetMgmtFeePct*AV$23,0)</f>
        <v/>
      </c>
      <c r="AW40" s="18">
        <f>IF(46&gt;=DeliverStart,CapReservePerUnit*TotalUnits/12+TaxPrepPerUnit*TotalUnits/12+AssetMgmtFeePct*AW$23,0)</f>
        <v/>
      </c>
      <c r="AX40" s="18">
        <f>IF(47&gt;=DeliverStart,CapReservePerUnit*TotalUnits/12+TaxPrepPerUnit*TotalUnits/12+AssetMgmtFeePct*AX$23,0)</f>
        <v/>
      </c>
      <c r="AY40" s="18">
        <f>IF(48&gt;=DeliverStart,CapReservePerUnit*TotalUnits/12+TaxPrepPerUnit*TotalUnits/12+AssetMgmtFeePct*AY$23,0)</f>
        <v/>
      </c>
      <c r="AZ40" s="18">
        <f>IF(49&gt;=DeliverStart,CapReservePerUnit*TotalUnits/12+TaxPrepPerUnit*TotalUnits/12+AssetMgmtFeePct*AZ$23,0)</f>
        <v/>
      </c>
      <c r="BA40" s="18">
        <f>IF(50&gt;=DeliverStart,CapReservePerUnit*TotalUnits/12+TaxPrepPerUnit*TotalUnits/12+AssetMgmtFeePct*BA$23,0)</f>
        <v/>
      </c>
      <c r="BB40" s="18">
        <f>IF(51&gt;=DeliverStart,CapReservePerUnit*TotalUnits/12+TaxPrepPerUnit*TotalUnits/12+AssetMgmtFeePct*BB$23,0)</f>
        <v/>
      </c>
      <c r="BC40" s="18">
        <f>IF(52&gt;=DeliverStart,CapReservePerUnit*TotalUnits/12+TaxPrepPerUnit*TotalUnits/12+AssetMgmtFeePct*BC$23,0)</f>
        <v/>
      </c>
      <c r="BD40" s="18">
        <f>IF(53&gt;=DeliverStart,CapReservePerUnit*TotalUnits/12+TaxPrepPerUnit*TotalUnits/12+AssetMgmtFeePct*BD$23,0)</f>
        <v/>
      </c>
      <c r="BE40" s="18">
        <f>IF(54&gt;=DeliverStart,CapReservePerUnit*TotalUnits/12+TaxPrepPerUnit*TotalUnits/12+AssetMgmtFeePct*BE$23,0)</f>
        <v/>
      </c>
      <c r="BF40" s="18">
        <f>IF(55&gt;=DeliverStart,CapReservePerUnit*TotalUnits/12+TaxPrepPerUnit*TotalUnits/12+AssetMgmtFeePct*BF$23,0)</f>
        <v/>
      </c>
      <c r="BG40" s="18">
        <f>IF(56&gt;=DeliverStart,CapReservePerUnit*TotalUnits/12+TaxPrepPerUnit*TotalUnits/12+AssetMgmtFeePct*BG$23,0)</f>
        <v/>
      </c>
      <c r="BH40" s="18">
        <f>IF(57&gt;=DeliverStart,CapReservePerUnit*TotalUnits/12+TaxPrepPerUnit*TotalUnits/12+AssetMgmtFeePct*BH$23,0)</f>
        <v/>
      </c>
      <c r="BI40" s="18">
        <f>IF(58&gt;=DeliverStart,CapReservePerUnit*TotalUnits/12+TaxPrepPerUnit*TotalUnits/12+AssetMgmtFeePct*BI$23,0)</f>
        <v/>
      </c>
      <c r="BJ40" s="18">
        <f>IF(59&gt;=DeliverStart,CapReservePerUnit*TotalUnits/12+TaxPrepPerUnit*TotalUnits/12+AssetMgmtFeePct*BJ$23,0)</f>
        <v/>
      </c>
      <c r="BK40" s="18">
        <f>IF(60&gt;=DeliverStart,CapReservePerUnit*TotalUnits/12+TaxPrepPerUnit*TotalUnits/12+AssetMgmtFeePct*BK$23,0)</f>
        <v/>
      </c>
      <c r="BL40" s="18">
        <f>IF(61&gt;=DeliverStart,CapReservePerUnit*TotalUnits/12+TaxPrepPerUnit*TotalUnits/12+AssetMgmtFeePct*BL$23,0)</f>
        <v/>
      </c>
      <c r="BM40" s="18">
        <f>IF(62&gt;=DeliverStart,CapReservePerUnit*TotalUnits/12+TaxPrepPerUnit*TotalUnits/12+AssetMgmtFeePct*BM$23,0)</f>
        <v/>
      </c>
      <c r="BN40" s="18">
        <f>IF(63&gt;=DeliverStart,CapReservePerUnit*TotalUnits/12+TaxPrepPerUnit*TotalUnits/12+AssetMgmtFeePct*BN$23,0)</f>
        <v/>
      </c>
      <c r="BO40" s="18">
        <f>IF(64&gt;=DeliverStart,CapReservePerUnit*TotalUnits/12+TaxPrepPerUnit*TotalUnits/12+AssetMgmtFeePct*BO$23,0)</f>
        <v/>
      </c>
      <c r="BP40" s="18">
        <f>IF(65&gt;=DeliverStart,CapReservePerUnit*TotalUnits/12+TaxPrepPerUnit*TotalUnits/12+AssetMgmtFeePct*BP$23,0)</f>
        <v/>
      </c>
      <c r="BQ40" s="18">
        <f>IF(66&gt;=DeliverStart,CapReservePerUnit*TotalUnits/12+TaxPrepPerUnit*TotalUnits/12+AssetMgmtFeePct*BQ$23,0)</f>
        <v/>
      </c>
      <c r="BR40" s="18">
        <f>IF(67&gt;=DeliverStart,CapReservePerUnit*TotalUnits/12+TaxPrepPerUnit*TotalUnits/12+AssetMgmtFeePct*BR$23,0)</f>
        <v/>
      </c>
      <c r="BS40" s="18">
        <f>IF(68&gt;=DeliverStart,CapReservePerUnit*TotalUnits/12+TaxPrepPerUnit*TotalUnits/12+AssetMgmtFeePct*BS$23,0)</f>
        <v/>
      </c>
      <c r="BT40" s="18">
        <f>IF(69&gt;=DeliverStart,CapReservePerUnit*TotalUnits/12+TaxPrepPerUnit*TotalUnits/12+AssetMgmtFeePct*BT$23,0)</f>
        <v/>
      </c>
      <c r="BU40" s="18">
        <f>IF(70&gt;=DeliverStart,CapReservePerUnit*TotalUnits/12+TaxPrepPerUnit*TotalUnits/12+AssetMgmtFeePct*BU$23,0)</f>
        <v/>
      </c>
      <c r="BV40" s="18">
        <f>IF(71&gt;=DeliverStart,CapReservePerUnit*TotalUnits/12+TaxPrepPerUnit*TotalUnits/12+AssetMgmtFeePct*BV$23,0)</f>
        <v/>
      </c>
      <c r="BW40" s="18">
        <f>IF(72&gt;=DeliverStart,CapReservePerUnit*TotalUnits/12+TaxPrepPerUnit*TotalUnits/12+AssetMgmtFeePct*BW$23,0)</f>
        <v/>
      </c>
      <c r="BX40" s="18">
        <f>IF(73&gt;=DeliverStart,CapReservePerUnit*TotalUnits/12+TaxPrepPerUnit*TotalUnits/12+AssetMgmtFeePct*BX$23,0)</f>
        <v/>
      </c>
      <c r="BY40" s="18">
        <f>IF(74&gt;=DeliverStart,CapReservePerUnit*TotalUnits/12+TaxPrepPerUnit*TotalUnits/12+AssetMgmtFeePct*BY$23,0)</f>
        <v/>
      </c>
      <c r="BZ40" s="18">
        <f>IF(75&gt;=DeliverStart,CapReservePerUnit*TotalUnits/12+TaxPrepPerUnit*TotalUnits/12+AssetMgmtFeePct*BZ$23,0)</f>
        <v/>
      </c>
      <c r="CA40" s="18">
        <f>IF(76&gt;=DeliverStart,CapReservePerUnit*TotalUnits/12+TaxPrepPerUnit*TotalUnits/12+AssetMgmtFeePct*CA$23,0)</f>
        <v/>
      </c>
      <c r="CB40" s="18">
        <f>IF(77&gt;=DeliverStart,CapReservePerUnit*TotalUnits/12+TaxPrepPerUnit*TotalUnits/12+AssetMgmtFeePct*CB$23,0)</f>
        <v/>
      </c>
      <c r="CC40" s="18">
        <f>IF(78&gt;=DeliverStart,CapReservePerUnit*TotalUnits/12+TaxPrepPerUnit*TotalUnits/12+AssetMgmtFeePct*CC$23,0)</f>
        <v/>
      </c>
      <c r="CD40" s="18">
        <f>IF(79&gt;=DeliverStart,CapReservePerUnit*TotalUnits/12+TaxPrepPerUnit*TotalUnits/12+AssetMgmtFeePct*CD$23,0)</f>
        <v/>
      </c>
      <c r="CE40" s="18">
        <f>IF(80&gt;=DeliverStart,CapReservePerUnit*TotalUnits/12+TaxPrepPerUnit*TotalUnits/12+AssetMgmtFeePct*CE$23,0)</f>
        <v/>
      </c>
      <c r="CF40" s="18">
        <f>IF(81&gt;=DeliverStart,CapReservePerUnit*TotalUnits/12+TaxPrepPerUnit*TotalUnits/12+AssetMgmtFeePct*CF$23,0)</f>
        <v/>
      </c>
      <c r="CG40" s="18">
        <f>IF(82&gt;=DeliverStart,CapReservePerUnit*TotalUnits/12+TaxPrepPerUnit*TotalUnits/12+AssetMgmtFeePct*CG$23,0)</f>
        <v/>
      </c>
      <c r="CH40" s="18">
        <f>IF(83&gt;=DeliverStart,CapReservePerUnit*TotalUnits/12+TaxPrepPerUnit*TotalUnits/12+AssetMgmtFeePct*CH$23,0)</f>
        <v/>
      </c>
      <c r="CI40" s="18">
        <f>IF(84&gt;=DeliverStart,CapReservePerUnit*TotalUnits/12+TaxPrepPerUnit*TotalUnits/12+AssetMgmtFeePct*CI$23,0)</f>
        <v/>
      </c>
      <c r="CJ40" s="18">
        <f>IF(85&gt;=DeliverStart,CapReservePerUnit*TotalUnits/12+TaxPrepPerUnit*TotalUnits/12+AssetMgmtFeePct*CJ$23,0)</f>
        <v/>
      </c>
      <c r="CK40" s="18">
        <f>IF(86&gt;=DeliverStart,CapReservePerUnit*TotalUnits/12+TaxPrepPerUnit*TotalUnits/12+AssetMgmtFeePct*CK$23,0)</f>
        <v/>
      </c>
      <c r="CL40" s="18">
        <f>IF(87&gt;=DeliverStart,CapReservePerUnit*TotalUnits/12+TaxPrepPerUnit*TotalUnits/12+AssetMgmtFeePct*CL$23,0)</f>
        <v/>
      </c>
      <c r="CM40" s="18">
        <f>IF(88&gt;=DeliverStart,CapReservePerUnit*TotalUnits/12+TaxPrepPerUnit*TotalUnits/12+AssetMgmtFeePct*CM$23,0)</f>
        <v/>
      </c>
      <c r="CN40" s="18">
        <f>IF(89&gt;=DeliverStart,CapReservePerUnit*TotalUnits/12+TaxPrepPerUnit*TotalUnits/12+AssetMgmtFeePct*CN$23,0)</f>
        <v/>
      </c>
      <c r="CO40" s="18">
        <f>IF(90&gt;=DeliverStart,CapReservePerUnit*TotalUnits/12+TaxPrepPerUnit*TotalUnits/12+AssetMgmtFeePct*CO$23,0)</f>
        <v/>
      </c>
      <c r="CP40" s="18">
        <f>IF(91&gt;=DeliverStart,CapReservePerUnit*TotalUnits/12+TaxPrepPerUnit*TotalUnits/12+AssetMgmtFeePct*CP$23,0)</f>
        <v/>
      </c>
      <c r="CQ40" s="18">
        <f>IF(92&gt;=DeliverStart,CapReservePerUnit*TotalUnits/12+TaxPrepPerUnit*TotalUnits/12+AssetMgmtFeePct*CQ$23,0)</f>
        <v/>
      </c>
      <c r="CR40" s="18">
        <f>IF(93&gt;=DeliverStart,CapReservePerUnit*TotalUnits/12+TaxPrepPerUnit*TotalUnits/12+AssetMgmtFeePct*CR$23,0)</f>
        <v/>
      </c>
      <c r="CS40" s="18">
        <f>IF(94&gt;=DeliverStart,CapReservePerUnit*TotalUnits/12+TaxPrepPerUnit*TotalUnits/12+AssetMgmtFeePct*CS$23,0)</f>
        <v/>
      </c>
      <c r="CT40" s="18">
        <f>IF(95&gt;=DeliverStart,CapReservePerUnit*TotalUnits/12+TaxPrepPerUnit*TotalUnits/12+AssetMgmtFeePct*CT$23,0)</f>
        <v/>
      </c>
      <c r="CU40" s="18">
        <f>IF(96&gt;=DeliverStart,CapReservePerUnit*TotalUnits/12+TaxPrepPerUnit*TotalUnits/12+AssetMgmtFeePct*CU$23,0)</f>
        <v/>
      </c>
      <c r="CV40" s="18">
        <f>IF(97&gt;=DeliverStart,CapReservePerUnit*TotalUnits/12+TaxPrepPerUnit*TotalUnits/12+AssetMgmtFeePct*CV$23,0)</f>
        <v/>
      </c>
      <c r="CW40" s="18">
        <f>IF(98&gt;=DeliverStart,CapReservePerUnit*TotalUnits/12+TaxPrepPerUnit*TotalUnits/12+AssetMgmtFeePct*CW$23,0)</f>
        <v/>
      </c>
      <c r="CX40" s="18">
        <f>IF(99&gt;=DeliverStart,CapReservePerUnit*TotalUnits/12+TaxPrepPerUnit*TotalUnits/12+AssetMgmtFeePct*CX$23,0)</f>
        <v/>
      </c>
      <c r="CY40" s="18">
        <f>IF(100&gt;=DeliverStart,CapReservePerUnit*TotalUnits/12+TaxPrepPerUnit*TotalUnits/12+AssetMgmtFeePct*CY$23,0)</f>
        <v/>
      </c>
      <c r="CZ40" s="18">
        <f>IF(101&gt;=DeliverStart,CapReservePerUnit*TotalUnits/12+TaxPrepPerUnit*TotalUnits/12+AssetMgmtFeePct*CZ$23,0)</f>
        <v/>
      </c>
      <c r="DA40" s="18">
        <f>IF(102&gt;=DeliverStart,CapReservePerUnit*TotalUnits/12+TaxPrepPerUnit*TotalUnits/12+AssetMgmtFeePct*DA$23,0)</f>
        <v/>
      </c>
      <c r="DB40" s="18">
        <f>IF(103&gt;=DeliverStart,CapReservePerUnit*TotalUnits/12+TaxPrepPerUnit*TotalUnits/12+AssetMgmtFeePct*DB$23,0)</f>
        <v/>
      </c>
      <c r="DC40" s="18">
        <f>IF(104&gt;=DeliverStart,CapReservePerUnit*TotalUnits/12+TaxPrepPerUnit*TotalUnits/12+AssetMgmtFeePct*DC$23,0)</f>
        <v/>
      </c>
      <c r="DD40" s="18">
        <f>IF(105&gt;=DeliverStart,CapReservePerUnit*TotalUnits/12+TaxPrepPerUnit*TotalUnits/12+AssetMgmtFeePct*DD$23,0)</f>
        <v/>
      </c>
      <c r="DE40" s="18">
        <f>IF(106&gt;=DeliverStart,CapReservePerUnit*TotalUnits/12+TaxPrepPerUnit*TotalUnits/12+AssetMgmtFeePct*DE$23,0)</f>
        <v/>
      </c>
      <c r="DF40" s="18">
        <f>IF(107&gt;=DeliverStart,CapReservePerUnit*TotalUnits/12+TaxPrepPerUnit*TotalUnits/12+AssetMgmtFeePct*DF$23,0)</f>
        <v/>
      </c>
      <c r="DG40" s="18">
        <f>IF(108&gt;=DeliverStart,CapReservePerUnit*TotalUnits/12+TaxPrepPerUnit*TotalUnits/12+AssetMgmtFeePct*DG$23,0)</f>
        <v/>
      </c>
      <c r="DH40" s="18">
        <f>IF(109&gt;=DeliverStart,CapReservePerUnit*TotalUnits/12+TaxPrepPerUnit*TotalUnits/12+AssetMgmtFeePct*DH$23,0)</f>
        <v/>
      </c>
      <c r="DI40" s="18">
        <f>IF(110&gt;=DeliverStart,CapReservePerUnit*TotalUnits/12+TaxPrepPerUnit*TotalUnits/12+AssetMgmtFeePct*DI$23,0)</f>
        <v/>
      </c>
      <c r="DJ40" s="18">
        <f>IF(111&gt;=DeliverStart,CapReservePerUnit*TotalUnits/12+TaxPrepPerUnit*TotalUnits/12+AssetMgmtFeePct*DJ$23,0)</f>
        <v/>
      </c>
      <c r="DK40" s="18">
        <f>IF(112&gt;=DeliverStart,CapReservePerUnit*TotalUnits/12+TaxPrepPerUnit*TotalUnits/12+AssetMgmtFeePct*DK$23,0)</f>
        <v/>
      </c>
      <c r="DL40" s="18">
        <f>IF(113&gt;=DeliverStart,CapReservePerUnit*TotalUnits/12+TaxPrepPerUnit*TotalUnits/12+AssetMgmtFeePct*DL$23,0)</f>
        <v/>
      </c>
      <c r="DM40" s="18">
        <f>IF(114&gt;=DeliverStart,CapReservePerUnit*TotalUnits/12+TaxPrepPerUnit*TotalUnits/12+AssetMgmtFeePct*DM$23,0)</f>
        <v/>
      </c>
      <c r="DN40" s="18">
        <f>IF(115&gt;=DeliverStart,CapReservePerUnit*TotalUnits/12+TaxPrepPerUnit*TotalUnits/12+AssetMgmtFeePct*DN$23,0)</f>
        <v/>
      </c>
      <c r="DO40" s="18">
        <f>IF(116&gt;=DeliverStart,CapReservePerUnit*TotalUnits/12+TaxPrepPerUnit*TotalUnits/12+AssetMgmtFeePct*DO$23,0)</f>
        <v/>
      </c>
      <c r="DP40" s="18">
        <f>IF(117&gt;=DeliverStart,CapReservePerUnit*TotalUnits/12+TaxPrepPerUnit*TotalUnits/12+AssetMgmtFeePct*DP$23,0)</f>
        <v/>
      </c>
      <c r="DQ40" s="18">
        <f>IF(118&gt;=DeliverStart,CapReservePerUnit*TotalUnits/12+TaxPrepPerUnit*TotalUnits/12+AssetMgmtFeePct*DQ$23,0)</f>
        <v/>
      </c>
      <c r="DR40" s="18">
        <f>IF(119&gt;=DeliverStart,CapReservePerUnit*TotalUnits/12+TaxPrepPerUnit*TotalUnits/12+AssetMgmtFeePct*DR$23,0)</f>
        <v/>
      </c>
      <c r="DS40" s="18">
        <f>IF(120&gt;=DeliverStart,CapReservePerUnit*TotalUnits/12+TaxPrepPerUnit*TotalUnits/12+AssetMgmtFeePct*DS$23,0)</f>
        <v/>
      </c>
      <c r="DT40" s="18">
        <f>IF(121&gt;=DeliverStart,CapReservePerUnit*TotalUnits/12+TaxPrepPerUnit*TotalUnits/12+AssetMgmtFeePct*DT$23,0)</f>
        <v/>
      </c>
      <c r="DU40" s="18">
        <f>IF(122&gt;=DeliverStart,CapReservePerUnit*TotalUnits/12+TaxPrepPerUnit*TotalUnits/12+AssetMgmtFeePct*DU$23,0)</f>
        <v/>
      </c>
      <c r="DV40" s="18">
        <f>IF(123&gt;=DeliverStart,CapReservePerUnit*TotalUnits/12+TaxPrepPerUnit*TotalUnits/12+AssetMgmtFeePct*DV$23,0)</f>
        <v/>
      </c>
      <c r="DW40" s="18">
        <f>IF(124&gt;=DeliverStart,CapReservePerUnit*TotalUnits/12+TaxPrepPerUnit*TotalUnits/12+AssetMgmtFeePct*DW$23,0)</f>
        <v/>
      </c>
      <c r="DX40" s="18">
        <f>IF(125&gt;=DeliverStart,CapReservePerUnit*TotalUnits/12+TaxPrepPerUnit*TotalUnits/12+AssetMgmtFeePct*DX$23,0)</f>
        <v/>
      </c>
      <c r="DY40" s="18">
        <f>IF(126&gt;=DeliverStart,CapReservePerUnit*TotalUnits/12+TaxPrepPerUnit*TotalUnits/12+AssetMgmtFeePct*DY$23,0)</f>
        <v/>
      </c>
      <c r="DZ40" s="18">
        <f>IF(127&gt;=DeliverStart,CapReservePerUnit*TotalUnits/12+TaxPrepPerUnit*TotalUnits/12+AssetMgmtFeePct*DZ$23,0)</f>
        <v/>
      </c>
      <c r="EA40" s="18">
        <f>IF(128&gt;=DeliverStart,CapReservePerUnit*TotalUnits/12+TaxPrepPerUnit*TotalUnits/12+AssetMgmtFeePct*EA$23,0)</f>
        <v/>
      </c>
      <c r="EB40" s="18">
        <f>IF(129&gt;=DeliverStart,CapReservePerUnit*TotalUnits/12+TaxPrepPerUnit*TotalUnits/12+AssetMgmtFeePct*EB$23,0)</f>
        <v/>
      </c>
      <c r="EC40" s="18">
        <f>IF(130&gt;=DeliverStart,CapReservePerUnit*TotalUnits/12+TaxPrepPerUnit*TotalUnits/12+AssetMgmtFeePct*EC$23,0)</f>
        <v/>
      </c>
      <c r="ED40" s="18">
        <f>IF(131&gt;=DeliverStart,CapReservePerUnit*TotalUnits/12+TaxPrepPerUnit*TotalUnits/12+AssetMgmtFeePct*ED$23,0)</f>
        <v/>
      </c>
      <c r="EE40" s="18">
        <f>IF(132&gt;=DeliverStart,CapReservePerUnit*TotalUnits/12+TaxPrepPerUnit*TotalUnits/12+AssetMgmtFeePct*EE$23,0)</f>
        <v/>
      </c>
      <c r="EF40" s="18">
        <f>IF(133&gt;=DeliverStart,CapReservePerUnit*TotalUnits/12+TaxPrepPerUnit*TotalUnits/12+AssetMgmtFeePct*EF$23,0)</f>
        <v/>
      </c>
      <c r="EG40" s="18">
        <f>IF(134&gt;=DeliverStart,CapReservePerUnit*TotalUnits/12+TaxPrepPerUnit*TotalUnits/12+AssetMgmtFeePct*EG$23,0)</f>
        <v/>
      </c>
      <c r="EH40" s="18">
        <f>IF(135&gt;=DeliverStart,CapReservePerUnit*TotalUnits/12+TaxPrepPerUnit*TotalUnits/12+AssetMgmtFeePct*EH$23,0)</f>
        <v/>
      </c>
      <c r="EI40" s="18">
        <f>IF(136&gt;=DeliverStart,CapReservePerUnit*TotalUnits/12+TaxPrepPerUnit*TotalUnits/12+AssetMgmtFeePct*EI$23,0)</f>
        <v/>
      </c>
      <c r="EJ40" s="18">
        <f>IF(137&gt;=DeliverStart,CapReservePerUnit*TotalUnits/12+TaxPrepPerUnit*TotalUnits/12+AssetMgmtFeePct*EJ$23,0)</f>
        <v/>
      </c>
      <c r="EK40" s="18">
        <f>IF(138&gt;=DeliverStart,CapReservePerUnit*TotalUnits/12+TaxPrepPerUnit*TotalUnits/12+AssetMgmtFeePct*EK$23,0)</f>
        <v/>
      </c>
      <c r="EL40" s="18">
        <f>IF(139&gt;=DeliverStart,CapReservePerUnit*TotalUnits/12+TaxPrepPerUnit*TotalUnits/12+AssetMgmtFeePct*EL$23,0)</f>
        <v/>
      </c>
      <c r="EM40" s="18">
        <f>IF(140&gt;=DeliverStart,CapReservePerUnit*TotalUnits/12+TaxPrepPerUnit*TotalUnits/12+AssetMgmtFeePct*EM$23,0)</f>
        <v/>
      </c>
      <c r="EN40" s="18">
        <f>IF(141&gt;=DeliverStart,CapReservePerUnit*TotalUnits/12+TaxPrepPerUnit*TotalUnits/12+AssetMgmtFeePct*EN$23,0)</f>
        <v/>
      </c>
      <c r="EO40" s="18">
        <f>IF(142&gt;=DeliverStart,CapReservePerUnit*TotalUnits/12+TaxPrepPerUnit*TotalUnits/12+AssetMgmtFeePct*EO$23,0)</f>
        <v/>
      </c>
      <c r="EP40" s="18">
        <f>IF(143&gt;=DeliverStart,CapReservePerUnit*TotalUnits/12+TaxPrepPerUnit*TotalUnits/12+AssetMgmtFeePct*EP$23,0)</f>
        <v/>
      </c>
      <c r="EQ40" s="18">
        <f>IF(144&gt;=DeliverStart,CapReservePerUnit*TotalUnits/12+TaxPrepPerUnit*TotalUnits/12+AssetMgmtFeePct*EQ$23,0)</f>
        <v/>
      </c>
      <c r="ER40" s="18">
        <f>IF(145&gt;=DeliverStart,CapReservePerUnit*TotalUnits/12+TaxPrepPerUnit*TotalUnits/12+AssetMgmtFeePct*ER$23,0)</f>
        <v/>
      </c>
      <c r="ES40" s="18">
        <f>IF(146&gt;=DeliverStart,CapReservePerUnit*TotalUnits/12+TaxPrepPerUnit*TotalUnits/12+AssetMgmtFeePct*ES$23,0)</f>
        <v/>
      </c>
      <c r="ET40" s="18">
        <f>IF(147&gt;=DeliverStart,CapReservePerUnit*TotalUnits/12+TaxPrepPerUnit*TotalUnits/12+AssetMgmtFeePct*ET$23,0)</f>
        <v/>
      </c>
      <c r="EU40" s="18">
        <f>IF(148&gt;=DeliverStart,CapReservePerUnit*TotalUnits/12+TaxPrepPerUnit*TotalUnits/12+AssetMgmtFeePct*EU$23,0)</f>
        <v/>
      </c>
      <c r="EV40" s="18">
        <f>IF(149&gt;=DeliverStart,CapReservePerUnit*TotalUnits/12+TaxPrepPerUnit*TotalUnits/12+AssetMgmtFeePct*EV$23,0)</f>
        <v/>
      </c>
      <c r="EW40" s="18">
        <f>IF(150&gt;=DeliverStart,CapReservePerUnit*TotalUnits/12+TaxPrepPerUnit*TotalUnits/12+AssetMgmtFeePct*EW$23,0)</f>
        <v/>
      </c>
      <c r="EX40" s="18">
        <f>IF(151&gt;=DeliverStart,CapReservePerUnit*TotalUnits/12+TaxPrepPerUnit*TotalUnits/12+AssetMgmtFeePct*EX$23,0)</f>
        <v/>
      </c>
      <c r="EY40" s="18">
        <f>IF(152&gt;=DeliverStart,CapReservePerUnit*TotalUnits/12+TaxPrepPerUnit*TotalUnits/12+AssetMgmtFeePct*EY$23,0)</f>
        <v/>
      </c>
      <c r="EZ40" s="18">
        <f>IF(153&gt;=DeliverStart,CapReservePerUnit*TotalUnits/12+TaxPrepPerUnit*TotalUnits/12+AssetMgmtFeePct*EZ$23,0)</f>
        <v/>
      </c>
      <c r="FA40" s="18">
        <f>IF(154&gt;=DeliverStart,CapReservePerUnit*TotalUnits/12+TaxPrepPerUnit*TotalUnits/12+AssetMgmtFeePct*FA$23,0)</f>
        <v/>
      </c>
      <c r="FB40" s="18">
        <f>IF(155&gt;=DeliverStart,CapReservePerUnit*TotalUnits/12+TaxPrepPerUnit*TotalUnits/12+AssetMgmtFeePct*FB$23,0)</f>
        <v/>
      </c>
      <c r="FC40" s="18">
        <f>IF(156&gt;=DeliverStart,CapReservePerUnit*TotalUnits/12+TaxPrepPerUnit*TotalUnits/12+AssetMgmtFeePct*FC$23,0)</f>
        <v/>
      </c>
      <c r="FD40" s="18">
        <f>IF(157&gt;=DeliverStart,CapReservePerUnit*TotalUnits/12+TaxPrepPerUnit*TotalUnits/12+AssetMgmtFeePct*FD$23,0)</f>
        <v/>
      </c>
      <c r="FE40" s="18">
        <f>IF(158&gt;=DeliverStart,CapReservePerUnit*TotalUnits/12+TaxPrepPerUnit*TotalUnits/12+AssetMgmtFeePct*FE$23,0)</f>
        <v/>
      </c>
      <c r="FF40" s="18">
        <f>IF(159&gt;=DeliverStart,CapReservePerUnit*TotalUnits/12+TaxPrepPerUnit*TotalUnits/12+AssetMgmtFeePct*FF$23,0)</f>
        <v/>
      </c>
      <c r="FG40" s="18">
        <f>IF(160&gt;=DeliverStart,CapReservePerUnit*TotalUnits/12+TaxPrepPerUnit*TotalUnits/12+AssetMgmtFeePct*FG$23,0)</f>
        <v/>
      </c>
      <c r="FH40" s="18">
        <f>IF(161&gt;=DeliverStart,CapReservePerUnit*TotalUnits/12+TaxPrepPerUnit*TotalUnits/12+AssetMgmtFeePct*FH$23,0)</f>
        <v/>
      </c>
      <c r="FI40" s="18">
        <f>IF(162&gt;=DeliverStart,CapReservePerUnit*TotalUnits/12+TaxPrepPerUnit*TotalUnits/12+AssetMgmtFeePct*FI$23,0)</f>
        <v/>
      </c>
      <c r="FJ40" s="18">
        <f>IF(163&gt;=DeliverStart,CapReservePerUnit*TotalUnits/12+TaxPrepPerUnit*TotalUnits/12+AssetMgmtFeePct*FJ$23,0)</f>
        <v/>
      </c>
      <c r="FK40" s="18">
        <f>IF(164&gt;=DeliverStart,CapReservePerUnit*TotalUnits/12+TaxPrepPerUnit*TotalUnits/12+AssetMgmtFeePct*FK$23,0)</f>
        <v/>
      </c>
      <c r="FL40" s="18">
        <f>IF(165&gt;=DeliverStart,CapReservePerUnit*TotalUnits/12+TaxPrepPerUnit*TotalUnits/12+AssetMgmtFeePct*FL$23,0)</f>
        <v/>
      </c>
      <c r="FM40" s="18">
        <f>IF(166&gt;=DeliverStart,CapReservePerUnit*TotalUnits/12+TaxPrepPerUnit*TotalUnits/12+AssetMgmtFeePct*FM$23,0)</f>
        <v/>
      </c>
      <c r="FN40" s="18">
        <f>IF(167&gt;=DeliverStart,CapReservePerUnit*TotalUnits/12+TaxPrepPerUnit*TotalUnits/12+AssetMgmtFeePct*FN$23,0)</f>
        <v/>
      </c>
      <c r="FO40" s="18">
        <f>IF(168&gt;=DeliverStart,CapReservePerUnit*TotalUnits/12+TaxPrepPerUnit*TotalUnits/12+AssetMgmtFeePct*FO$23,0)</f>
        <v/>
      </c>
      <c r="FP40" s="18">
        <f>IF(169&gt;=DeliverStart,CapReservePerUnit*TotalUnits/12+TaxPrepPerUnit*TotalUnits/12+AssetMgmtFeePct*FP$23,0)</f>
        <v/>
      </c>
      <c r="FQ40" s="18">
        <f>IF(170&gt;=DeliverStart,CapReservePerUnit*TotalUnits/12+TaxPrepPerUnit*TotalUnits/12+AssetMgmtFeePct*FQ$23,0)</f>
        <v/>
      </c>
      <c r="FR40" s="18">
        <f>IF(171&gt;=DeliverStart,CapReservePerUnit*TotalUnits/12+TaxPrepPerUnit*TotalUnits/12+AssetMgmtFeePct*FR$23,0)</f>
        <v/>
      </c>
      <c r="FS40" s="18">
        <f>IF(172&gt;=DeliverStart,CapReservePerUnit*TotalUnits/12+TaxPrepPerUnit*TotalUnits/12+AssetMgmtFeePct*FS$23,0)</f>
        <v/>
      </c>
      <c r="FT40" s="18">
        <f>IF(173&gt;=DeliverStart,CapReservePerUnit*TotalUnits/12+TaxPrepPerUnit*TotalUnits/12+AssetMgmtFeePct*FT$23,0)</f>
        <v/>
      </c>
      <c r="FU40" s="18">
        <f>IF(174&gt;=DeliverStart,CapReservePerUnit*TotalUnits/12+TaxPrepPerUnit*TotalUnits/12+AssetMgmtFeePct*FU$23,0)</f>
        <v/>
      </c>
      <c r="FV40" s="18">
        <f>IF(175&gt;=DeliverStart,CapReservePerUnit*TotalUnits/12+TaxPrepPerUnit*TotalUnits/12+AssetMgmtFeePct*FV$23,0)</f>
        <v/>
      </c>
      <c r="FW40" s="18">
        <f>IF(176&gt;=DeliverStart,CapReservePerUnit*TotalUnits/12+TaxPrepPerUnit*TotalUnits/12+AssetMgmtFeePct*FW$23,0)</f>
        <v/>
      </c>
      <c r="FX40" s="18">
        <f>IF(177&gt;=DeliverStart,CapReservePerUnit*TotalUnits/12+TaxPrepPerUnit*TotalUnits/12+AssetMgmtFeePct*FX$23,0)</f>
        <v/>
      </c>
      <c r="FY40" s="18">
        <f>IF(178&gt;=DeliverStart,CapReservePerUnit*TotalUnits/12+TaxPrepPerUnit*TotalUnits/12+AssetMgmtFeePct*FY$23,0)</f>
        <v/>
      </c>
      <c r="FZ40" s="18">
        <f>IF(179&gt;=DeliverStart,CapReservePerUnit*TotalUnits/12+TaxPrepPerUnit*TotalUnits/12+AssetMgmtFeePct*FZ$23,0)</f>
        <v/>
      </c>
      <c r="GA40" s="18">
        <f>IF(180&gt;=DeliverStart,CapReservePerUnit*TotalUnits/12+TaxPrepPerUnit*TotalUnits/12+AssetMgmtFeePct*GA$23,0)</f>
        <v/>
      </c>
      <c r="GB40" s="18">
        <f>IF(181&gt;=DeliverStart,CapReservePerUnit*TotalUnits/12+TaxPrepPerUnit*TotalUnits/12+AssetMgmtFeePct*GB$23,0)</f>
        <v/>
      </c>
      <c r="GC40" s="18">
        <f>IF(182&gt;=DeliverStart,CapReservePerUnit*TotalUnits/12+TaxPrepPerUnit*TotalUnits/12+AssetMgmtFeePct*GC$23,0)</f>
        <v/>
      </c>
      <c r="GD40" s="18">
        <f>IF(183&gt;=DeliverStart,CapReservePerUnit*TotalUnits/12+TaxPrepPerUnit*TotalUnits/12+AssetMgmtFeePct*GD$23,0)</f>
        <v/>
      </c>
      <c r="GE40" s="18">
        <f>IF(184&gt;=DeliverStart,CapReservePerUnit*TotalUnits/12+TaxPrepPerUnit*TotalUnits/12+AssetMgmtFeePct*GE$23,0)</f>
        <v/>
      </c>
      <c r="GF40" s="18">
        <f>IF(185&gt;=DeliverStart,CapReservePerUnit*TotalUnits/12+TaxPrepPerUnit*TotalUnits/12+AssetMgmtFeePct*GF$23,0)</f>
        <v/>
      </c>
      <c r="GG40" s="18">
        <f>IF(186&gt;=DeliverStart,CapReservePerUnit*TotalUnits/12+TaxPrepPerUnit*TotalUnits/12+AssetMgmtFeePct*GG$23,0)</f>
        <v/>
      </c>
      <c r="GH40" s="18">
        <f>IF(187&gt;=DeliverStart,CapReservePerUnit*TotalUnits/12+TaxPrepPerUnit*TotalUnits/12+AssetMgmtFeePct*GH$23,0)</f>
        <v/>
      </c>
      <c r="GI40" s="18">
        <f>IF(188&gt;=DeliverStart,CapReservePerUnit*TotalUnits/12+TaxPrepPerUnit*TotalUnits/12+AssetMgmtFeePct*GI$23,0)</f>
        <v/>
      </c>
      <c r="GJ40" s="18">
        <f>IF(189&gt;=DeliverStart,CapReservePerUnit*TotalUnits/12+TaxPrepPerUnit*TotalUnits/12+AssetMgmtFeePct*GJ$23,0)</f>
        <v/>
      </c>
      <c r="GK40" s="18">
        <f>IF(190&gt;=DeliverStart,CapReservePerUnit*TotalUnits/12+TaxPrepPerUnit*TotalUnits/12+AssetMgmtFeePct*GK$23,0)</f>
        <v/>
      </c>
      <c r="GL40" s="18">
        <f>IF(191&gt;=DeliverStart,CapReservePerUnit*TotalUnits/12+TaxPrepPerUnit*TotalUnits/12+AssetMgmtFeePct*GL$23,0)</f>
        <v/>
      </c>
      <c r="GM40" s="18">
        <f>IF(192&gt;=DeliverStart,CapReservePerUnit*TotalUnits/12+TaxPrepPerUnit*TotalUnits/12+AssetMgmtFeePct*GM$23,0)</f>
        <v/>
      </c>
      <c r="GN40" s="18">
        <f>IF(193&gt;=DeliverStart,CapReservePerUnit*TotalUnits/12+TaxPrepPerUnit*TotalUnits/12+AssetMgmtFeePct*GN$23,0)</f>
        <v/>
      </c>
      <c r="GO40" s="18">
        <f>IF(194&gt;=DeliverStart,CapReservePerUnit*TotalUnits/12+TaxPrepPerUnit*TotalUnits/12+AssetMgmtFeePct*GO$23,0)</f>
        <v/>
      </c>
      <c r="GP40" s="18">
        <f>IF(195&gt;=DeliverStart,CapReservePerUnit*TotalUnits/12+TaxPrepPerUnit*TotalUnits/12+AssetMgmtFeePct*GP$23,0)</f>
        <v/>
      </c>
      <c r="GQ40" s="18">
        <f>IF(196&gt;=DeliverStart,CapReservePerUnit*TotalUnits/12+TaxPrepPerUnit*TotalUnits/12+AssetMgmtFeePct*GQ$23,0)</f>
        <v/>
      </c>
      <c r="GR40" s="18">
        <f>IF(197&gt;=DeliverStart,CapReservePerUnit*TotalUnits/12+TaxPrepPerUnit*TotalUnits/12+AssetMgmtFeePct*GR$23,0)</f>
        <v/>
      </c>
      <c r="GS40" s="18">
        <f>IF(198&gt;=DeliverStart,CapReservePerUnit*TotalUnits/12+TaxPrepPerUnit*TotalUnits/12+AssetMgmtFeePct*GS$23,0)</f>
        <v/>
      </c>
      <c r="GT40" s="18">
        <f>IF(199&gt;=DeliverStart,CapReservePerUnit*TotalUnits/12+TaxPrepPerUnit*TotalUnits/12+AssetMgmtFeePct*GT$23,0)</f>
        <v/>
      </c>
      <c r="GU40" s="18">
        <f>IF(200&gt;=DeliverStart,CapReservePerUnit*TotalUnits/12+TaxPrepPerUnit*TotalUnits/12+AssetMgmtFeePct*GU$23,0)</f>
        <v/>
      </c>
      <c r="GV40" s="18">
        <f>IF(201&gt;=DeliverStart,CapReservePerUnit*TotalUnits/12+TaxPrepPerUnit*TotalUnits/12+AssetMgmtFeePct*GV$23,0)</f>
        <v/>
      </c>
      <c r="GW40" s="18">
        <f>IF(202&gt;=DeliverStart,CapReservePerUnit*TotalUnits/12+TaxPrepPerUnit*TotalUnits/12+AssetMgmtFeePct*GW$23,0)</f>
        <v/>
      </c>
      <c r="GX40" s="18">
        <f>IF(203&gt;=DeliverStart,CapReservePerUnit*TotalUnits/12+TaxPrepPerUnit*TotalUnits/12+AssetMgmtFeePct*GX$23,0)</f>
        <v/>
      </c>
      <c r="GY40" s="18">
        <f>IF(204&gt;=DeliverStart,CapReservePerUnit*TotalUnits/12+TaxPrepPerUnit*TotalUnits/12+AssetMgmtFeePct*GY$23,0)</f>
        <v/>
      </c>
      <c r="GZ40" s="18">
        <f>IF(205&gt;=DeliverStart,CapReservePerUnit*TotalUnits/12+TaxPrepPerUnit*TotalUnits/12+AssetMgmtFeePct*GZ$23,0)</f>
        <v/>
      </c>
      <c r="HA40" s="18">
        <f>IF(206&gt;=DeliverStart,CapReservePerUnit*TotalUnits/12+TaxPrepPerUnit*TotalUnits/12+AssetMgmtFeePct*HA$23,0)</f>
        <v/>
      </c>
      <c r="HB40" s="18">
        <f>IF(207&gt;=DeliverStart,CapReservePerUnit*TotalUnits/12+TaxPrepPerUnit*TotalUnits/12+AssetMgmtFeePct*HB$23,0)</f>
        <v/>
      </c>
      <c r="HC40" s="18">
        <f>IF(208&gt;=DeliverStart,CapReservePerUnit*TotalUnits/12+TaxPrepPerUnit*TotalUnits/12+AssetMgmtFeePct*HC$23,0)</f>
        <v/>
      </c>
      <c r="HD40" s="18">
        <f>IF(209&gt;=DeliverStart,CapReservePerUnit*TotalUnits/12+TaxPrepPerUnit*TotalUnits/12+AssetMgmtFeePct*HD$23,0)</f>
        <v/>
      </c>
      <c r="HE40" s="18">
        <f>IF(210&gt;=DeliverStart,CapReservePerUnit*TotalUnits/12+TaxPrepPerUnit*TotalUnits/12+AssetMgmtFeePct*HE$23,0)</f>
        <v/>
      </c>
      <c r="HF40" s="18">
        <f>IF(211&gt;=DeliverStart,CapReservePerUnit*TotalUnits/12+TaxPrepPerUnit*TotalUnits/12+AssetMgmtFeePct*HF$23,0)</f>
        <v/>
      </c>
      <c r="HG40" s="18">
        <f>IF(212&gt;=DeliverStart,CapReservePerUnit*TotalUnits/12+TaxPrepPerUnit*TotalUnits/12+AssetMgmtFeePct*HG$23,0)</f>
        <v/>
      </c>
      <c r="HH40" s="18">
        <f>IF(213&gt;=DeliverStart,CapReservePerUnit*TotalUnits/12+TaxPrepPerUnit*TotalUnits/12+AssetMgmtFeePct*HH$23,0)</f>
        <v/>
      </c>
      <c r="HI40" s="18">
        <f>IF(214&gt;=DeliverStart,CapReservePerUnit*TotalUnits/12+TaxPrepPerUnit*TotalUnits/12+AssetMgmtFeePct*HI$23,0)</f>
        <v/>
      </c>
      <c r="HJ40" s="18">
        <f>IF(215&gt;=DeliverStart,CapReservePerUnit*TotalUnits/12+TaxPrepPerUnit*TotalUnits/12+AssetMgmtFeePct*HJ$23,0)</f>
        <v/>
      </c>
      <c r="HK40" s="18">
        <f>IF(216&gt;=DeliverStart,CapReservePerUnit*TotalUnits/12+TaxPrepPerUnit*TotalUnits/12+AssetMgmtFeePct*HK$23,0)</f>
        <v/>
      </c>
      <c r="HL40" s="18">
        <f>IF(217&gt;=DeliverStart,CapReservePerUnit*TotalUnits/12+TaxPrepPerUnit*TotalUnits/12+AssetMgmtFeePct*HL$23,0)</f>
        <v/>
      </c>
      <c r="HM40" s="18">
        <f>IF(218&gt;=DeliverStart,CapReservePerUnit*TotalUnits/12+TaxPrepPerUnit*TotalUnits/12+AssetMgmtFeePct*HM$23,0)</f>
        <v/>
      </c>
      <c r="HN40" s="18">
        <f>IF(219&gt;=DeliverStart,CapReservePerUnit*TotalUnits/12+TaxPrepPerUnit*TotalUnits/12+AssetMgmtFeePct*HN$23,0)</f>
        <v/>
      </c>
      <c r="HO40" s="18">
        <f>IF(220&gt;=DeliverStart,CapReservePerUnit*TotalUnits/12+TaxPrepPerUnit*TotalUnits/12+AssetMgmtFeePct*HO$23,0)</f>
        <v/>
      </c>
      <c r="HP40" s="18">
        <f>IF(221&gt;=DeliverStart,CapReservePerUnit*TotalUnits/12+TaxPrepPerUnit*TotalUnits/12+AssetMgmtFeePct*HP$23,0)</f>
        <v/>
      </c>
      <c r="HQ40" s="18">
        <f>IF(222&gt;=DeliverStart,CapReservePerUnit*TotalUnits/12+TaxPrepPerUnit*TotalUnits/12+AssetMgmtFeePct*HQ$23,0)</f>
        <v/>
      </c>
      <c r="HR40" s="18">
        <f>IF(223&gt;=DeliverStart,CapReservePerUnit*TotalUnits/12+TaxPrepPerUnit*TotalUnits/12+AssetMgmtFeePct*HR$23,0)</f>
        <v/>
      </c>
      <c r="HS40" s="18">
        <f>IF(224&gt;=DeliverStart,CapReservePerUnit*TotalUnits/12+TaxPrepPerUnit*TotalUnits/12+AssetMgmtFeePct*HS$23,0)</f>
        <v/>
      </c>
      <c r="HT40" s="18">
        <f>IF(225&gt;=DeliverStart,CapReservePerUnit*TotalUnits/12+TaxPrepPerUnit*TotalUnits/12+AssetMgmtFeePct*HT$23,0)</f>
        <v/>
      </c>
      <c r="HU40" s="18">
        <f>IF(226&gt;=DeliverStart,CapReservePerUnit*TotalUnits/12+TaxPrepPerUnit*TotalUnits/12+AssetMgmtFeePct*HU$23,0)</f>
        <v/>
      </c>
      <c r="HV40" s="18">
        <f>IF(227&gt;=DeliverStart,CapReservePerUnit*TotalUnits/12+TaxPrepPerUnit*TotalUnits/12+AssetMgmtFeePct*HV$23,0)</f>
        <v/>
      </c>
      <c r="HW40" s="18">
        <f>IF(228&gt;=DeliverStart,CapReservePerUnit*TotalUnits/12+TaxPrepPerUnit*TotalUnits/12+AssetMgmtFeePct*HW$23,0)</f>
        <v/>
      </c>
      <c r="HX40" s="18">
        <f>IF(229&gt;=DeliverStart,CapReservePerUnit*TotalUnits/12+TaxPrepPerUnit*TotalUnits/12+AssetMgmtFeePct*HX$23,0)</f>
        <v/>
      </c>
      <c r="HY40" s="18">
        <f>IF(230&gt;=DeliverStart,CapReservePerUnit*TotalUnits/12+TaxPrepPerUnit*TotalUnits/12+AssetMgmtFeePct*HY$23,0)</f>
        <v/>
      </c>
      <c r="HZ40" s="18">
        <f>IF(231&gt;=DeliverStart,CapReservePerUnit*TotalUnits/12+TaxPrepPerUnit*TotalUnits/12+AssetMgmtFeePct*HZ$23,0)</f>
        <v/>
      </c>
      <c r="IA40" s="18">
        <f>IF(232&gt;=DeliverStart,CapReservePerUnit*TotalUnits/12+TaxPrepPerUnit*TotalUnits/12+AssetMgmtFeePct*IA$23,0)</f>
        <v/>
      </c>
      <c r="IB40" s="18">
        <f>IF(233&gt;=DeliverStart,CapReservePerUnit*TotalUnits/12+TaxPrepPerUnit*TotalUnits/12+AssetMgmtFeePct*IB$23,0)</f>
        <v/>
      </c>
      <c r="IC40" s="18">
        <f>IF(234&gt;=DeliverStart,CapReservePerUnit*TotalUnits/12+TaxPrepPerUnit*TotalUnits/12+AssetMgmtFeePct*IC$23,0)</f>
        <v/>
      </c>
      <c r="ID40" s="18">
        <f>IF(235&gt;=DeliverStart,CapReservePerUnit*TotalUnits/12+TaxPrepPerUnit*TotalUnits/12+AssetMgmtFeePct*ID$23,0)</f>
        <v/>
      </c>
      <c r="IE40" s="18">
        <f>IF(236&gt;=DeliverStart,CapReservePerUnit*TotalUnits/12+TaxPrepPerUnit*TotalUnits/12+AssetMgmtFeePct*IE$23,0)</f>
        <v/>
      </c>
      <c r="IF40" s="18">
        <f>IF(237&gt;=DeliverStart,CapReservePerUnit*TotalUnits/12+TaxPrepPerUnit*TotalUnits/12+AssetMgmtFeePct*IF$23,0)</f>
        <v/>
      </c>
      <c r="IG40" s="18">
        <f>IF(238&gt;=DeliverStart,CapReservePerUnit*TotalUnits/12+TaxPrepPerUnit*TotalUnits/12+AssetMgmtFeePct*IG$23,0)</f>
        <v/>
      </c>
      <c r="IH40" s="18">
        <f>IF(239&gt;=DeliverStart,CapReservePerUnit*TotalUnits/12+TaxPrepPerUnit*TotalUnits/12+AssetMgmtFeePct*IH$23,0)</f>
        <v/>
      </c>
      <c r="II40" s="18">
        <f>IF(240&gt;=DeliverStart,CapReservePerUnit*TotalUnits/12+TaxPrepPerUnit*TotalUnits/12+AssetMgmtFeePct*II$23,0)</f>
        <v/>
      </c>
      <c r="IJ40" s="18">
        <f>IF(241&gt;=DeliverStart,CapReservePerUnit*TotalUnits/12+TaxPrepPerUnit*TotalUnits/12+AssetMgmtFeePct*IJ$23,0)</f>
        <v/>
      </c>
      <c r="IK40" s="18">
        <f>IF(242&gt;=DeliverStart,CapReservePerUnit*TotalUnits/12+TaxPrepPerUnit*TotalUnits/12+AssetMgmtFeePct*IK$23,0)</f>
        <v/>
      </c>
      <c r="IL40" s="18">
        <f>IF(243&gt;=DeliverStart,CapReservePerUnit*TotalUnits/12+TaxPrepPerUnit*TotalUnits/12+AssetMgmtFeePct*IL$23,0)</f>
        <v/>
      </c>
      <c r="IM40" s="18">
        <f>IF(244&gt;=DeliverStart,CapReservePerUnit*TotalUnits/12+TaxPrepPerUnit*TotalUnits/12+AssetMgmtFeePct*IM$23,0)</f>
        <v/>
      </c>
      <c r="IN40" s="18">
        <f>IF(245&gt;=DeliverStart,CapReservePerUnit*TotalUnits/12+TaxPrepPerUnit*TotalUnits/12+AssetMgmtFeePct*IN$23,0)</f>
        <v/>
      </c>
      <c r="IO40" s="18">
        <f>IF(246&gt;=DeliverStart,CapReservePerUnit*TotalUnits/12+TaxPrepPerUnit*TotalUnits/12+AssetMgmtFeePct*IO$23,0)</f>
        <v/>
      </c>
      <c r="IP40" s="18">
        <f>IF(247&gt;=DeliverStart,CapReservePerUnit*TotalUnits/12+TaxPrepPerUnit*TotalUnits/12+AssetMgmtFeePct*IP$23,0)</f>
        <v/>
      </c>
      <c r="IQ40" s="18">
        <f>IF(248&gt;=DeliverStart,CapReservePerUnit*TotalUnits/12+TaxPrepPerUnit*TotalUnits/12+AssetMgmtFeePct*IQ$23,0)</f>
        <v/>
      </c>
      <c r="IR40" s="18">
        <f>IF(249&gt;=DeliverStart,CapReservePerUnit*TotalUnits/12+TaxPrepPerUnit*TotalUnits/12+AssetMgmtFeePct*IR$23,0)</f>
        <v/>
      </c>
      <c r="IS40" s="18">
        <f>IF(250&gt;=DeliverStart,CapReservePerUnit*TotalUnits/12+TaxPrepPerUnit*TotalUnits/12+AssetMgmtFeePct*IS$23,0)</f>
        <v/>
      </c>
      <c r="IT40" s="18">
        <f>IF(251&gt;=DeliverStart,CapReservePerUnit*TotalUnits/12+TaxPrepPerUnit*TotalUnits/12+AssetMgmtFeePct*IT$23,0)</f>
        <v/>
      </c>
      <c r="IU40" s="18">
        <f>IF(252&gt;=DeliverStart,CapReservePerUnit*TotalUnits/12+TaxPrepPerUnit*TotalUnits/12+AssetMgmtFeePct*IU$23,0)</f>
        <v/>
      </c>
      <c r="IV40" s="18">
        <f>IF(253&gt;=DeliverStart,CapReservePerUnit*TotalUnits/12+TaxPrepPerUnit*TotalUnits/12+AssetMgmtFeePct*IV$23,0)</f>
        <v/>
      </c>
      <c r="IW40" s="18">
        <f>IF(254&gt;=DeliverStart,CapReservePerUnit*TotalUnits/12+TaxPrepPerUnit*TotalUnits/12+AssetMgmtFeePct*IW$23,0)</f>
        <v/>
      </c>
      <c r="IX40" s="18">
        <f>IF(255&gt;=DeliverStart,CapReservePerUnit*TotalUnits/12+TaxPrepPerUnit*TotalUnits/12+AssetMgmtFeePct*IX$23,0)</f>
        <v/>
      </c>
      <c r="IY40" s="18">
        <f>IF(256&gt;=DeliverStart,CapReservePerUnit*TotalUnits/12+TaxPrepPerUnit*TotalUnits/12+AssetMgmtFeePct*IY$23,0)</f>
        <v/>
      </c>
      <c r="IZ40" s="18">
        <f>IF(257&gt;=DeliverStart,CapReservePerUnit*TotalUnits/12+TaxPrepPerUnit*TotalUnits/12+AssetMgmtFeePct*IZ$23,0)</f>
        <v/>
      </c>
      <c r="JA40" s="18">
        <f>IF(258&gt;=DeliverStart,CapReservePerUnit*TotalUnits/12+TaxPrepPerUnit*TotalUnits/12+AssetMgmtFeePct*JA$23,0)</f>
        <v/>
      </c>
      <c r="JB40" s="18">
        <f>IF(259&gt;=DeliverStart,CapReservePerUnit*TotalUnits/12+TaxPrepPerUnit*TotalUnits/12+AssetMgmtFeePct*JB$23,0)</f>
        <v/>
      </c>
      <c r="JC40" s="18">
        <f>IF(260&gt;=DeliverStart,CapReservePerUnit*TotalUnits/12+TaxPrepPerUnit*TotalUnits/12+AssetMgmtFeePct*JC$23,0)</f>
        <v/>
      </c>
      <c r="JD40" s="18">
        <f>IF(261&gt;=DeliverStart,CapReservePerUnit*TotalUnits/12+TaxPrepPerUnit*TotalUnits/12+AssetMgmtFeePct*JD$23,0)</f>
        <v/>
      </c>
      <c r="JE40" s="18">
        <f>IF(262&gt;=DeliverStart,CapReservePerUnit*TotalUnits/12+TaxPrepPerUnit*TotalUnits/12+AssetMgmtFeePct*JE$23,0)</f>
        <v/>
      </c>
      <c r="JF40" s="18">
        <f>IF(263&gt;=DeliverStart,CapReservePerUnit*TotalUnits/12+TaxPrepPerUnit*TotalUnits/12+AssetMgmtFeePct*JF$23,0)</f>
        <v/>
      </c>
      <c r="JG40" s="18">
        <f>IF(264&gt;=DeliverStart,CapReservePerUnit*TotalUnits/12+TaxPrepPerUnit*TotalUnits/12+AssetMgmtFeePct*JG$23,0)</f>
        <v/>
      </c>
      <c r="JH40" s="18">
        <f>IF(265&gt;=DeliverStart,CapReservePerUnit*TotalUnits/12+TaxPrepPerUnit*TotalUnits/12+AssetMgmtFeePct*JH$23,0)</f>
        <v/>
      </c>
      <c r="JI40" s="18">
        <f>IF(266&gt;=DeliverStart,CapReservePerUnit*TotalUnits/12+TaxPrepPerUnit*TotalUnits/12+AssetMgmtFeePct*JI$23,0)</f>
        <v/>
      </c>
      <c r="JJ40" s="18">
        <f>IF(267&gt;=DeliverStart,CapReservePerUnit*TotalUnits/12+TaxPrepPerUnit*TotalUnits/12+AssetMgmtFeePct*JJ$23,0)</f>
        <v/>
      </c>
      <c r="JK40" s="18">
        <f>IF(268&gt;=DeliverStart,CapReservePerUnit*TotalUnits/12+TaxPrepPerUnit*TotalUnits/12+AssetMgmtFeePct*JK$23,0)</f>
        <v/>
      </c>
      <c r="JL40" s="18">
        <f>IF(269&gt;=DeliverStart,CapReservePerUnit*TotalUnits/12+TaxPrepPerUnit*TotalUnits/12+AssetMgmtFeePct*JL$23,0)</f>
        <v/>
      </c>
      <c r="JM40" s="18">
        <f>IF(270&gt;=DeliverStart,CapReservePerUnit*TotalUnits/12+TaxPrepPerUnit*TotalUnits/12+AssetMgmtFeePct*JM$23,0)</f>
        <v/>
      </c>
      <c r="JN40" s="18">
        <f>IF(271&gt;=DeliverStart,CapReservePerUnit*TotalUnits/12+TaxPrepPerUnit*TotalUnits/12+AssetMgmtFeePct*JN$23,0)</f>
        <v/>
      </c>
      <c r="JO40" s="18">
        <f>IF(272&gt;=DeliverStart,CapReservePerUnit*TotalUnits/12+TaxPrepPerUnit*TotalUnits/12+AssetMgmtFeePct*JO$23,0)</f>
        <v/>
      </c>
      <c r="JP40" s="18">
        <f>IF(273&gt;=DeliverStart,CapReservePerUnit*TotalUnits/12+TaxPrepPerUnit*TotalUnits/12+AssetMgmtFeePct*JP$23,0)</f>
        <v/>
      </c>
      <c r="JQ40" s="18">
        <f>IF(274&gt;=DeliverStart,CapReservePerUnit*TotalUnits/12+TaxPrepPerUnit*TotalUnits/12+AssetMgmtFeePct*JQ$23,0)</f>
        <v/>
      </c>
      <c r="JR40" s="18">
        <f>IF(275&gt;=DeliverStart,CapReservePerUnit*TotalUnits/12+TaxPrepPerUnit*TotalUnits/12+AssetMgmtFeePct*JR$23,0)</f>
        <v/>
      </c>
      <c r="JS40" s="18">
        <f>IF(276&gt;=DeliverStart,CapReservePerUnit*TotalUnits/12+TaxPrepPerUnit*TotalUnits/12+AssetMgmtFeePct*JS$23,0)</f>
        <v/>
      </c>
      <c r="JT40" s="18">
        <f>IF(277&gt;=DeliverStart,CapReservePerUnit*TotalUnits/12+TaxPrepPerUnit*TotalUnits/12+AssetMgmtFeePct*JT$23,0)</f>
        <v/>
      </c>
      <c r="JU40" s="18">
        <f>IF(278&gt;=DeliverStart,CapReservePerUnit*TotalUnits/12+TaxPrepPerUnit*TotalUnits/12+AssetMgmtFeePct*JU$23,0)</f>
        <v/>
      </c>
      <c r="JV40" s="18">
        <f>IF(279&gt;=DeliverStart,CapReservePerUnit*TotalUnits/12+TaxPrepPerUnit*TotalUnits/12+AssetMgmtFeePct*JV$23,0)</f>
        <v/>
      </c>
      <c r="JW40" s="18">
        <f>IF(280&gt;=DeliverStart,CapReservePerUnit*TotalUnits/12+TaxPrepPerUnit*TotalUnits/12+AssetMgmtFeePct*JW$23,0)</f>
        <v/>
      </c>
      <c r="JX40" s="18">
        <f>IF(281&gt;=DeliverStart,CapReservePerUnit*TotalUnits/12+TaxPrepPerUnit*TotalUnits/12+AssetMgmtFeePct*JX$23,0)</f>
        <v/>
      </c>
      <c r="JY40" s="18">
        <f>IF(282&gt;=DeliverStart,CapReservePerUnit*TotalUnits/12+TaxPrepPerUnit*TotalUnits/12+AssetMgmtFeePct*JY$23,0)</f>
        <v/>
      </c>
      <c r="JZ40" s="18">
        <f>IF(283&gt;=DeliverStart,CapReservePerUnit*TotalUnits/12+TaxPrepPerUnit*TotalUnits/12+AssetMgmtFeePct*JZ$23,0)</f>
        <v/>
      </c>
      <c r="KA40" s="18">
        <f>IF(284&gt;=DeliverStart,CapReservePerUnit*TotalUnits/12+TaxPrepPerUnit*TotalUnits/12+AssetMgmtFeePct*KA$23,0)</f>
        <v/>
      </c>
      <c r="KB40" s="18">
        <f>IF(285&gt;=DeliverStart,CapReservePerUnit*TotalUnits/12+TaxPrepPerUnit*TotalUnits/12+AssetMgmtFeePct*KB$23,0)</f>
        <v/>
      </c>
      <c r="KC40" s="18">
        <f>IF(286&gt;=DeliverStart,CapReservePerUnit*TotalUnits/12+TaxPrepPerUnit*TotalUnits/12+AssetMgmtFeePct*KC$23,0)</f>
        <v/>
      </c>
      <c r="KD40" s="18">
        <f>IF(287&gt;=DeliverStart,CapReservePerUnit*TotalUnits/12+TaxPrepPerUnit*TotalUnits/12+AssetMgmtFeePct*KD$23,0)</f>
        <v/>
      </c>
      <c r="KE40" s="18">
        <f>IF(288&gt;=DeliverStart,CapReservePerUnit*TotalUnits/12+TaxPrepPerUnit*TotalUnits/12+AssetMgmtFeePct*KE$23,0)</f>
        <v/>
      </c>
      <c r="KF40" s="18">
        <f>IF(289&gt;=DeliverStart,CapReservePerUnit*TotalUnits/12+TaxPrepPerUnit*TotalUnits/12+AssetMgmtFeePct*KF$23,0)</f>
        <v/>
      </c>
      <c r="KG40" s="18">
        <f>IF(290&gt;=DeliverStart,CapReservePerUnit*TotalUnits/12+TaxPrepPerUnit*TotalUnits/12+AssetMgmtFeePct*KG$23,0)</f>
        <v/>
      </c>
      <c r="KH40" s="18">
        <f>IF(291&gt;=DeliverStart,CapReservePerUnit*TotalUnits/12+TaxPrepPerUnit*TotalUnits/12+AssetMgmtFeePct*KH$23,0)</f>
        <v/>
      </c>
      <c r="KI40" s="18">
        <f>IF(292&gt;=DeliverStart,CapReservePerUnit*TotalUnits/12+TaxPrepPerUnit*TotalUnits/12+AssetMgmtFeePct*KI$23,0)</f>
        <v/>
      </c>
      <c r="KJ40" s="18">
        <f>IF(293&gt;=DeliverStart,CapReservePerUnit*TotalUnits/12+TaxPrepPerUnit*TotalUnits/12+AssetMgmtFeePct*KJ$23,0)</f>
        <v/>
      </c>
      <c r="KK40" s="18">
        <f>IF(294&gt;=DeliverStart,CapReservePerUnit*TotalUnits/12+TaxPrepPerUnit*TotalUnits/12+AssetMgmtFeePct*KK$23,0)</f>
        <v/>
      </c>
      <c r="KL40" s="18">
        <f>IF(295&gt;=DeliverStart,CapReservePerUnit*TotalUnits/12+TaxPrepPerUnit*TotalUnits/12+AssetMgmtFeePct*KL$23,0)</f>
        <v/>
      </c>
      <c r="KM40" s="18">
        <f>IF(296&gt;=DeliverStart,CapReservePerUnit*TotalUnits/12+TaxPrepPerUnit*TotalUnits/12+AssetMgmtFeePct*KM$23,0)</f>
        <v/>
      </c>
      <c r="KN40" s="18">
        <f>IF(297&gt;=DeliverStart,CapReservePerUnit*TotalUnits/12+TaxPrepPerUnit*TotalUnits/12+AssetMgmtFeePct*KN$23,0)</f>
        <v/>
      </c>
      <c r="KO40" s="18">
        <f>IF(298&gt;=DeliverStart,CapReservePerUnit*TotalUnits/12+TaxPrepPerUnit*TotalUnits/12+AssetMgmtFeePct*KO$23,0)</f>
        <v/>
      </c>
      <c r="KP40" s="18">
        <f>IF(299&gt;=DeliverStart,CapReservePerUnit*TotalUnits/12+TaxPrepPerUnit*TotalUnits/12+AssetMgmtFeePct*KP$23,0)</f>
        <v/>
      </c>
      <c r="KQ40" s="18">
        <f>IF(300&gt;=DeliverStart,CapReservePerUnit*TotalUnits/12+TaxPrepPerUnit*TotalUnits/12+AssetMgmtFeePct*KQ$23,0)</f>
        <v/>
      </c>
      <c r="KR40" s="18">
        <f>IF(301&gt;=DeliverStart,CapReservePerUnit*TotalUnits/12+TaxPrepPerUnit*TotalUnits/12+AssetMgmtFeePct*KR$23,0)</f>
        <v/>
      </c>
      <c r="KS40" s="18">
        <f>IF(302&gt;=DeliverStart,CapReservePerUnit*TotalUnits/12+TaxPrepPerUnit*TotalUnits/12+AssetMgmtFeePct*KS$23,0)</f>
        <v/>
      </c>
      <c r="KT40" s="18">
        <f>IF(303&gt;=DeliverStart,CapReservePerUnit*TotalUnits/12+TaxPrepPerUnit*TotalUnits/12+AssetMgmtFeePct*KT$23,0)</f>
        <v/>
      </c>
      <c r="KU40" s="18">
        <f>IF(304&gt;=DeliverStart,CapReservePerUnit*TotalUnits/12+TaxPrepPerUnit*TotalUnits/12+AssetMgmtFeePct*KU$23,0)</f>
        <v/>
      </c>
      <c r="KV40" s="18">
        <f>IF(305&gt;=DeliverStart,CapReservePerUnit*TotalUnits/12+TaxPrepPerUnit*TotalUnits/12+AssetMgmtFeePct*KV$23,0)</f>
        <v/>
      </c>
      <c r="KW40" s="18">
        <f>IF(306&gt;=DeliverStart,CapReservePerUnit*TotalUnits/12+TaxPrepPerUnit*TotalUnits/12+AssetMgmtFeePct*KW$23,0)</f>
        <v/>
      </c>
      <c r="KX40" s="18">
        <f>IF(307&gt;=DeliverStart,CapReservePerUnit*TotalUnits/12+TaxPrepPerUnit*TotalUnits/12+AssetMgmtFeePct*KX$23,0)</f>
        <v/>
      </c>
      <c r="KY40" s="18">
        <f>IF(308&gt;=DeliverStart,CapReservePerUnit*TotalUnits/12+TaxPrepPerUnit*TotalUnits/12+AssetMgmtFeePct*KY$23,0)</f>
        <v/>
      </c>
      <c r="KZ40" s="18">
        <f>IF(309&gt;=DeliverStart,CapReservePerUnit*TotalUnits/12+TaxPrepPerUnit*TotalUnits/12+AssetMgmtFeePct*KZ$23,0)</f>
        <v/>
      </c>
      <c r="LA40" s="18">
        <f>IF(310&gt;=DeliverStart,CapReservePerUnit*TotalUnits/12+TaxPrepPerUnit*TotalUnits/12+AssetMgmtFeePct*LA$23,0)</f>
        <v/>
      </c>
      <c r="LB40" s="18">
        <f>IF(311&gt;=DeliverStart,CapReservePerUnit*TotalUnits/12+TaxPrepPerUnit*TotalUnits/12+AssetMgmtFeePct*LB$23,0)</f>
        <v/>
      </c>
      <c r="LC40" s="18">
        <f>IF(312&gt;=DeliverStart,CapReservePerUnit*TotalUnits/12+TaxPrepPerUnit*TotalUnits/12+AssetMgmtFeePct*LC$23,0)</f>
        <v/>
      </c>
      <c r="LD40" s="18">
        <f>IF(313&gt;=DeliverStart,CapReservePerUnit*TotalUnits/12+TaxPrepPerUnit*TotalUnits/12+AssetMgmtFeePct*LD$23,0)</f>
        <v/>
      </c>
      <c r="LE40" s="18">
        <f>IF(314&gt;=DeliverStart,CapReservePerUnit*TotalUnits/12+TaxPrepPerUnit*TotalUnits/12+AssetMgmtFeePct*LE$23,0)</f>
        <v/>
      </c>
      <c r="LF40" s="18">
        <f>IF(315&gt;=DeliverStart,CapReservePerUnit*TotalUnits/12+TaxPrepPerUnit*TotalUnits/12+AssetMgmtFeePct*LF$23,0)</f>
        <v/>
      </c>
      <c r="LG40" s="18">
        <f>IF(316&gt;=DeliverStart,CapReservePerUnit*TotalUnits/12+TaxPrepPerUnit*TotalUnits/12+AssetMgmtFeePct*LG$23,0)</f>
        <v/>
      </c>
      <c r="LH40" s="18">
        <f>IF(317&gt;=DeliverStart,CapReservePerUnit*TotalUnits/12+TaxPrepPerUnit*TotalUnits/12+AssetMgmtFeePct*LH$23,0)</f>
        <v/>
      </c>
      <c r="LI40" s="18">
        <f>IF(318&gt;=DeliverStart,CapReservePerUnit*TotalUnits/12+TaxPrepPerUnit*TotalUnits/12+AssetMgmtFeePct*LI$23,0)</f>
        <v/>
      </c>
      <c r="LJ40" s="18">
        <f>IF(319&gt;=DeliverStart,CapReservePerUnit*TotalUnits/12+TaxPrepPerUnit*TotalUnits/12+AssetMgmtFeePct*LJ$23,0)</f>
        <v/>
      </c>
      <c r="LK40" s="18">
        <f>IF(320&gt;=DeliverStart,CapReservePerUnit*TotalUnits/12+TaxPrepPerUnit*TotalUnits/12+AssetMgmtFeePct*LK$23,0)</f>
        <v/>
      </c>
      <c r="LL40" s="18">
        <f>IF(321&gt;=DeliverStart,CapReservePerUnit*TotalUnits/12+TaxPrepPerUnit*TotalUnits/12+AssetMgmtFeePct*LL$23,0)</f>
        <v/>
      </c>
      <c r="LM40" s="18">
        <f>IF(322&gt;=DeliverStart,CapReservePerUnit*TotalUnits/12+TaxPrepPerUnit*TotalUnits/12+AssetMgmtFeePct*LM$23,0)</f>
        <v/>
      </c>
      <c r="LN40" s="18">
        <f>IF(323&gt;=DeliverStart,CapReservePerUnit*TotalUnits/12+TaxPrepPerUnit*TotalUnits/12+AssetMgmtFeePct*LN$23,0)</f>
        <v/>
      </c>
      <c r="LO40" s="18">
        <f>IF(324&gt;=DeliverStart,CapReservePerUnit*TotalUnits/12+TaxPrepPerUnit*TotalUnits/12+AssetMgmtFeePct*LO$23,0)</f>
        <v/>
      </c>
      <c r="LP40" s="18">
        <f>IF(325&gt;=DeliverStart,CapReservePerUnit*TotalUnits/12+TaxPrepPerUnit*TotalUnits/12+AssetMgmtFeePct*LP$23,0)</f>
        <v/>
      </c>
      <c r="LQ40" s="18">
        <f>IF(326&gt;=DeliverStart,CapReservePerUnit*TotalUnits/12+TaxPrepPerUnit*TotalUnits/12+AssetMgmtFeePct*LQ$23,0)</f>
        <v/>
      </c>
      <c r="LR40" s="18">
        <f>IF(327&gt;=DeliverStart,CapReservePerUnit*TotalUnits/12+TaxPrepPerUnit*TotalUnits/12+AssetMgmtFeePct*LR$23,0)</f>
        <v/>
      </c>
      <c r="LS40" s="18">
        <f>IF(328&gt;=DeliverStart,CapReservePerUnit*TotalUnits/12+TaxPrepPerUnit*TotalUnits/12+AssetMgmtFeePct*LS$23,0)</f>
        <v/>
      </c>
      <c r="LT40" s="18">
        <f>IF(329&gt;=DeliverStart,CapReservePerUnit*TotalUnits/12+TaxPrepPerUnit*TotalUnits/12+AssetMgmtFeePct*LT$23,0)</f>
        <v/>
      </c>
      <c r="LU40" s="18">
        <f>IF(330&gt;=DeliverStart,CapReservePerUnit*TotalUnits/12+TaxPrepPerUnit*TotalUnits/12+AssetMgmtFeePct*LU$23,0)</f>
        <v/>
      </c>
      <c r="LV40" s="18">
        <f>IF(331&gt;=DeliverStart,CapReservePerUnit*TotalUnits/12+TaxPrepPerUnit*TotalUnits/12+AssetMgmtFeePct*LV$23,0)</f>
        <v/>
      </c>
      <c r="LW40" s="18">
        <f>IF(332&gt;=DeliverStart,CapReservePerUnit*TotalUnits/12+TaxPrepPerUnit*TotalUnits/12+AssetMgmtFeePct*LW$23,0)</f>
        <v/>
      </c>
      <c r="LX40" s="18">
        <f>IF(333&gt;=DeliverStart,CapReservePerUnit*TotalUnits/12+TaxPrepPerUnit*TotalUnits/12+AssetMgmtFeePct*LX$23,0)</f>
        <v/>
      </c>
      <c r="LY40" s="18">
        <f>IF(334&gt;=DeliverStart,CapReservePerUnit*TotalUnits/12+TaxPrepPerUnit*TotalUnits/12+AssetMgmtFeePct*LY$23,0)</f>
        <v/>
      </c>
      <c r="LZ40" s="18">
        <f>IF(335&gt;=DeliverStart,CapReservePerUnit*TotalUnits/12+TaxPrepPerUnit*TotalUnits/12+AssetMgmtFeePct*LZ$23,0)</f>
        <v/>
      </c>
      <c r="MA40" s="18">
        <f>IF(336&gt;=DeliverStart,CapReservePerUnit*TotalUnits/12+TaxPrepPerUnit*TotalUnits/12+AssetMgmtFeePct*MA$23,0)</f>
        <v/>
      </c>
      <c r="MB40" s="18">
        <f>IF(337&gt;=DeliverStart,CapReservePerUnit*TotalUnits/12+TaxPrepPerUnit*TotalUnits/12+AssetMgmtFeePct*MB$23,0)</f>
        <v/>
      </c>
      <c r="MC40" s="18">
        <f>IF(338&gt;=DeliverStart,CapReservePerUnit*TotalUnits/12+TaxPrepPerUnit*TotalUnits/12+AssetMgmtFeePct*MC$23,0)</f>
        <v/>
      </c>
      <c r="MD40" s="18">
        <f>IF(339&gt;=DeliverStart,CapReservePerUnit*TotalUnits/12+TaxPrepPerUnit*TotalUnits/12+AssetMgmtFeePct*MD$23,0)</f>
        <v/>
      </c>
      <c r="ME40" s="18">
        <f>IF(340&gt;=DeliverStart,CapReservePerUnit*TotalUnits/12+TaxPrepPerUnit*TotalUnits/12+AssetMgmtFeePct*ME$23,0)</f>
        <v/>
      </c>
      <c r="MF40" s="18">
        <f>IF(341&gt;=DeliverStart,CapReservePerUnit*TotalUnits/12+TaxPrepPerUnit*TotalUnits/12+AssetMgmtFeePct*MF$23,0)</f>
        <v/>
      </c>
      <c r="MG40" s="18">
        <f>IF(342&gt;=DeliverStart,CapReservePerUnit*TotalUnits/12+TaxPrepPerUnit*TotalUnits/12+AssetMgmtFeePct*MG$23,0)</f>
        <v/>
      </c>
      <c r="MH40" s="18">
        <f>IF(343&gt;=DeliverStart,CapReservePerUnit*TotalUnits/12+TaxPrepPerUnit*TotalUnits/12+AssetMgmtFeePct*MH$23,0)</f>
        <v/>
      </c>
      <c r="MI40" s="18">
        <f>IF(344&gt;=DeliverStart,CapReservePerUnit*TotalUnits/12+TaxPrepPerUnit*TotalUnits/12+AssetMgmtFeePct*MI$23,0)</f>
        <v/>
      </c>
      <c r="MJ40" s="18">
        <f>IF(345&gt;=DeliverStart,CapReservePerUnit*TotalUnits/12+TaxPrepPerUnit*TotalUnits/12+AssetMgmtFeePct*MJ$23,0)</f>
        <v/>
      </c>
      <c r="MK40" s="18">
        <f>IF(346&gt;=DeliverStart,CapReservePerUnit*TotalUnits/12+TaxPrepPerUnit*TotalUnits/12+AssetMgmtFeePct*MK$23,0)</f>
        <v/>
      </c>
      <c r="ML40" s="18">
        <f>IF(347&gt;=DeliverStart,CapReservePerUnit*TotalUnits/12+TaxPrepPerUnit*TotalUnits/12+AssetMgmtFeePct*ML$23,0)</f>
        <v/>
      </c>
      <c r="MM40" s="18">
        <f>IF(348&gt;=DeliverStart,CapReservePerUnit*TotalUnits/12+TaxPrepPerUnit*TotalUnits/12+AssetMgmtFeePct*MM$23,0)</f>
        <v/>
      </c>
      <c r="MN40" s="18">
        <f>IF(349&gt;=DeliverStart,CapReservePerUnit*TotalUnits/12+TaxPrepPerUnit*TotalUnits/12+AssetMgmtFeePct*MN$23,0)</f>
        <v/>
      </c>
      <c r="MO40" s="18">
        <f>IF(350&gt;=DeliverStart,CapReservePerUnit*TotalUnits/12+TaxPrepPerUnit*TotalUnits/12+AssetMgmtFeePct*MO$23,0)</f>
        <v/>
      </c>
      <c r="MP40" s="18">
        <f>IF(351&gt;=DeliverStart,CapReservePerUnit*TotalUnits/12+TaxPrepPerUnit*TotalUnits/12+AssetMgmtFeePct*MP$23,0)</f>
        <v/>
      </c>
      <c r="MQ40" s="18">
        <f>IF(352&gt;=DeliverStart,CapReservePerUnit*TotalUnits/12+TaxPrepPerUnit*TotalUnits/12+AssetMgmtFeePct*MQ$23,0)</f>
        <v/>
      </c>
      <c r="MR40" s="18">
        <f>IF(353&gt;=DeliverStart,CapReservePerUnit*TotalUnits/12+TaxPrepPerUnit*TotalUnits/12+AssetMgmtFeePct*MR$23,0)</f>
        <v/>
      </c>
      <c r="MS40" s="18">
        <f>IF(354&gt;=DeliverStart,CapReservePerUnit*TotalUnits/12+TaxPrepPerUnit*TotalUnits/12+AssetMgmtFeePct*MS$23,0)</f>
        <v/>
      </c>
      <c r="MT40" s="18">
        <f>IF(355&gt;=DeliverStart,CapReservePerUnit*TotalUnits/12+TaxPrepPerUnit*TotalUnits/12+AssetMgmtFeePct*MT$23,0)</f>
        <v/>
      </c>
      <c r="MU40" s="18">
        <f>IF(356&gt;=DeliverStart,CapReservePerUnit*TotalUnits/12+TaxPrepPerUnit*TotalUnits/12+AssetMgmtFeePct*MU$23,0)</f>
        <v/>
      </c>
      <c r="MV40" s="18">
        <f>IF(357&gt;=DeliverStart,CapReservePerUnit*TotalUnits/12+TaxPrepPerUnit*TotalUnits/12+AssetMgmtFeePct*MV$23,0)</f>
        <v/>
      </c>
      <c r="MW40" s="18">
        <f>IF(358&gt;=DeliverStart,CapReservePerUnit*TotalUnits/12+TaxPrepPerUnit*TotalUnits/12+AssetMgmtFeePct*MW$23,0)</f>
        <v/>
      </c>
      <c r="MX40" s="18">
        <f>IF(359&gt;=DeliverStart,CapReservePerUnit*TotalUnits/12+TaxPrepPerUnit*TotalUnits/12+AssetMgmtFeePct*MX$23,0)</f>
        <v/>
      </c>
      <c r="MY40" s="18">
        <f>IF(360&gt;=DeliverStart,CapReservePerUnit*TotalUnits/12+TaxPrepPerUnit*TotalUnits/12+AssetMgmtFeePct*MY$23,0)</f>
        <v/>
      </c>
      <c r="MZ40" s="18">
        <f>IF(361&gt;=DeliverStart,CapReservePerUnit*TotalUnits/12+TaxPrepPerUnit*TotalUnits/12+AssetMgmtFeePct*MZ$23,0)</f>
        <v/>
      </c>
      <c r="NA40" s="18">
        <f>IF(362&gt;=DeliverStart,CapReservePerUnit*TotalUnits/12+TaxPrepPerUnit*TotalUnits/12+AssetMgmtFeePct*NA$23,0)</f>
        <v/>
      </c>
      <c r="NB40" s="18">
        <f>IF(363&gt;=DeliverStart,CapReservePerUnit*TotalUnits/12+TaxPrepPerUnit*TotalUnits/12+AssetMgmtFeePct*NB$23,0)</f>
        <v/>
      </c>
      <c r="NC40" s="18">
        <f>IF(364&gt;=DeliverStart,CapReservePerUnit*TotalUnits/12+TaxPrepPerUnit*TotalUnits/12+AssetMgmtFeePct*NC$23,0)</f>
        <v/>
      </c>
      <c r="ND40" s="18">
        <f>IF(365&gt;=DeliverStart,CapReservePerUnit*TotalUnits/12+TaxPrepPerUnit*TotalUnits/12+AssetMgmtFeePct*ND$23,0)</f>
        <v/>
      </c>
      <c r="NE40" s="18">
        <f>IF(366&gt;=DeliverStart,CapReservePerUnit*TotalUnits/12+TaxPrepPerUnit*TotalUnits/12+AssetMgmtFeePct*NE$23,0)</f>
        <v/>
      </c>
      <c r="NF40" s="18">
        <f>IF(367&gt;=DeliverStart,CapReservePerUnit*TotalUnits/12+TaxPrepPerUnit*TotalUnits/12+AssetMgmtFeePct*NF$23,0)</f>
        <v/>
      </c>
      <c r="NG40" s="18">
        <f>IF(368&gt;=DeliverStart,CapReservePerUnit*TotalUnits/12+TaxPrepPerUnit*TotalUnits/12+AssetMgmtFeePct*NG$23,0)</f>
        <v/>
      </c>
      <c r="NH40" s="18">
        <f>IF(369&gt;=DeliverStart,CapReservePerUnit*TotalUnits/12+TaxPrepPerUnit*TotalUnits/12+AssetMgmtFeePct*NH$23,0)</f>
        <v/>
      </c>
      <c r="NI40" s="18">
        <f>IF(370&gt;=DeliverStart,CapReservePerUnit*TotalUnits/12+TaxPrepPerUnit*TotalUnits/12+AssetMgmtFeePct*NI$23,0)</f>
        <v/>
      </c>
      <c r="NJ40" s="18">
        <f>IF(371&gt;=DeliverStart,CapReservePerUnit*TotalUnits/12+TaxPrepPerUnit*TotalUnits/12+AssetMgmtFeePct*NJ$23,0)</f>
        <v/>
      </c>
      <c r="NK40" s="18">
        <f>IF(372&gt;=DeliverStart,CapReservePerUnit*TotalUnits/12+TaxPrepPerUnit*TotalUnits/12+AssetMgmtFeePct*NK$23,0)</f>
        <v/>
      </c>
    </row>
    <row r="41">
      <c r="A41" s="3" t="inlineStr">
        <is>
          <t>Operating Cash Flow</t>
        </is>
      </c>
      <c r="B41" s="4" t="n"/>
      <c r="C41" s="4" t="n"/>
    </row>
    <row r="42">
      <c r="A42" s="5" t="inlineStr">
        <is>
          <t>Operating CF before Debt (property)</t>
        </is>
      </c>
      <c r="C42" s="41">
        <f>SUM(D42:NK42)</f>
        <v/>
      </c>
      <c r="D42" s="18">
        <f>D$38-D$40</f>
        <v/>
      </c>
      <c r="E42" s="18">
        <f>E$38-E$40</f>
        <v/>
      </c>
      <c r="F42" s="18">
        <f>F$38-F$40</f>
        <v/>
      </c>
      <c r="G42" s="18">
        <f>G$38-G$40</f>
        <v/>
      </c>
      <c r="H42" s="18">
        <f>H$38-H$40</f>
        <v/>
      </c>
      <c r="I42" s="18">
        <f>I$38-I$40</f>
        <v/>
      </c>
      <c r="J42" s="18">
        <f>J$38-J$40</f>
        <v/>
      </c>
      <c r="K42" s="18">
        <f>K$38-K$40</f>
        <v/>
      </c>
      <c r="L42" s="18">
        <f>L$38-L$40</f>
        <v/>
      </c>
      <c r="M42" s="18">
        <f>M$38-M$40</f>
        <v/>
      </c>
      <c r="N42" s="18">
        <f>N$38-N$40</f>
        <v/>
      </c>
      <c r="O42" s="18">
        <f>O$38-O$40</f>
        <v/>
      </c>
      <c r="P42" s="18">
        <f>P$38-P$40</f>
        <v/>
      </c>
      <c r="Q42" s="18">
        <f>Q$38-Q$40</f>
        <v/>
      </c>
      <c r="R42" s="18">
        <f>R$38-R$40</f>
        <v/>
      </c>
      <c r="S42" s="18">
        <f>S$38-S$40</f>
        <v/>
      </c>
      <c r="T42" s="18">
        <f>T$38-T$40</f>
        <v/>
      </c>
      <c r="U42" s="18">
        <f>U$38-U$40</f>
        <v/>
      </c>
      <c r="V42" s="18">
        <f>V$38-V$40</f>
        <v/>
      </c>
      <c r="W42" s="18">
        <f>W$38-W$40</f>
        <v/>
      </c>
      <c r="X42" s="18">
        <f>X$38-X$40</f>
        <v/>
      </c>
      <c r="Y42" s="18">
        <f>Y$38-Y$40</f>
        <v/>
      </c>
      <c r="Z42" s="18">
        <f>Z$38-Z$40</f>
        <v/>
      </c>
      <c r="AA42" s="18">
        <f>AA$38-AA$40</f>
        <v/>
      </c>
      <c r="AB42" s="18">
        <f>AB$38-AB$40</f>
        <v/>
      </c>
      <c r="AC42" s="18">
        <f>AC$38-AC$40</f>
        <v/>
      </c>
      <c r="AD42" s="18">
        <f>AD$38-AD$40</f>
        <v/>
      </c>
      <c r="AE42" s="18">
        <f>AE$38-AE$40</f>
        <v/>
      </c>
      <c r="AF42" s="18">
        <f>AF$38-AF$40</f>
        <v/>
      </c>
      <c r="AG42" s="18">
        <f>AG$38-AG$40</f>
        <v/>
      </c>
      <c r="AH42" s="18">
        <f>AH$38-AH$40</f>
        <v/>
      </c>
      <c r="AI42" s="18">
        <f>AI$38-AI$40</f>
        <v/>
      </c>
      <c r="AJ42" s="18">
        <f>AJ$38-AJ$40</f>
        <v/>
      </c>
      <c r="AK42" s="18">
        <f>AK$38-AK$40</f>
        <v/>
      </c>
      <c r="AL42" s="18">
        <f>AL$38-AL$40</f>
        <v/>
      </c>
      <c r="AM42" s="18">
        <f>AM$38-AM$40</f>
        <v/>
      </c>
      <c r="AN42" s="18">
        <f>AN$38-AN$40</f>
        <v/>
      </c>
      <c r="AO42" s="18">
        <f>AO$38-AO$40</f>
        <v/>
      </c>
      <c r="AP42" s="18">
        <f>AP$38-AP$40</f>
        <v/>
      </c>
      <c r="AQ42" s="18">
        <f>AQ$38-AQ$40</f>
        <v/>
      </c>
      <c r="AR42" s="18">
        <f>AR$38-AR$40</f>
        <v/>
      </c>
      <c r="AS42" s="18">
        <f>AS$38-AS$40</f>
        <v/>
      </c>
      <c r="AT42" s="18">
        <f>AT$38-AT$40</f>
        <v/>
      </c>
      <c r="AU42" s="18">
        <f>AU$38-AU$40</f>
        <v/>
      </c>
      <c r="AV42" s="18">
        <f>AV$38-AV$40</f>
        <v/>
      </c>
      <c r="AW42" s="18">
        <f>AW$38-AW$40</f>
        <v/>
      </c>
      <c r="AX42" s="18">
        <f>AX$38-AX$40</f>
        <v/>
      </c>
      <c r="AY42" s="18">
        <f>AY$38-AY$40</f>
        <v/>
      </c>
      <c r="AZ42" s="18">
        <f>AZ$38-AZ$40</f>
        <v/>
      </c>
      <c r="BA42" s="18">
        <f>BA$38-BA$40</f>
        <v/>
      </c>
      <c r="BB42" s="18">
        <f>BB$38-BB$40</f>
        <v/>
      </c>
      <c r="BC42" s="18">
        <f>BC$38-BC$40</f>
        <v/>
      </c>
      <c r="BD42" s="18">
        <f>BD$38-BD$40</f>
        <v/>
      </c>
      <c r="BE42" s="18">
        <f>BE$38-BE$40</f>
        <v/>
      </c>
      <c r="BF42" s="18">
        <f>BF$38-BF$40</f>
        <v/>
      </c>
      <c r="BG42" s="18">
        <f>BG$38-BG$40</f>
        <v/>
      </c>
      <c r="BH42" s="18">
        <f>BH$38-BH$40</f>
        <v/>
      </c>
      <c r="BI42" s="18">
        <f>BI$38-BI$40</f>
        <v/>
      </c>
      <c r="BJ42" s="18">
        <f>BJ$38-BJ$40</f>
        <v/>
      </c>
      <c r="BK42" s="18">
        <f>BK$38-BK$40</f>
        <v/>
      </c>
      <c r="BL42" s="18">
        <f>BL$38-BL$40</f>
        <v/>
      </c>
      <c r="BM42" s="18">
        <f>BM$38-BM$40</f>
        <v/>
      </c>
      <c r="BN42" s="18">
        <f>BN$38-BN$40</f>
        <v/>
      </c>
      <c r="BO42" s="18">
        <f>BO$38-BO$40</f>
        <v/>
      </c>
      <c r="BP42" s="18">
        <f>BP$38-BP$40</f>
        <v/>
      </c>
      <c r="BQ42" s="18">
        <f>BQ$38-BQ$40</f>
        <v/>
      </c>
      <c r="BR42" s="18">
        <f>BR$38-BR$40</f>
        <v/>
      </c>
      <c r="BS42" s="18">
        <f>BS$38-BS$40</f>
        <v/>
      </c>
      <c r="BT42" s="18">
        <f>BT$38-BT$40</f>
        <v/>
      </c>
      <c r="BU42" s="18">
        <f>BU$38-BU$40</f>
        <v/>
      </c>
      <c r="BV42" s="18">
        <f>BV$38-BV$40</f>
        <v/>
      </c>
      <c r="BW42" s="18">
        <f>BW$38-BW$40</f>
        <v/>
      </c>
      <c r="BX42" s="18">
        <f>BX$38-BX$40</f>
        <v/>
      </c>
      <c r="BY42" s="18">
        <f>BY$38-BY$40</f>
        <v/>
      </c>
      <c r="BZ42" s="18">
        <f>BZ$38-BZ$40</f>
        <v/>
      </c>
      <c r="CA42" s="18">
        <f>CA$38-CA$40</f>
        <v/>
      </c>
      <c r="CB42" s="18">
        <f>CB$38-CB$40</f>
        <v/>
      </c>
      <c r="CC42" s="18">
        <f>CC$38-CC$40</f>
        <v/>
      </c>
      <c r="CD42" s="18">
        <f>CD$38-CD$40</f>
        <v/>
      </c>
      <c r="CE42" s="18">
        <f>CE$38-CE$40</f>
        <v/>
      </c>
      <c r="CF42" s="18">
        <f>CF$38-CF$40</f>
        <v/>
      </c>
      <c r="CG42" s="18">
        <f>CG$38-CG$40</f>
        <v/>
      </c>
      <c r="CH42" s="18">
        <f>CH$38-CH$40</f>
        <v/>
      </c>
      <c r="CI42" s="18">
        <f>CI$38-CI$40</f>
        <v/>
      </c>
      <c r="CJ42" s="18">
        <f>CJ$38-CJ$40</f>
        <v/>
      </c>
      <c r="CK42" s="18">
        <f>CK$38-CK$40</f>
        <v/>
      </c>
      <c r="CL42" s="18">
        <f>CL$38-CL$40</f>
        <v/>
      </c>
      <c r="CM42" s="18">
        <f>CM$38-CM$40</f>
        <v/>
      </c>
      <c r="CN42" s="18">
        <f>CN$38-CN$40</f>
        <v/>
      </c>
      <c r="CO42" s="18">
        <f>CO$38-CO$40</f>
        <v/>
      </c>
      <c r="CP42" s="18">
        <f>CP$38-CP$40</f>
        <v/>
      </c>
      <c r="CQ42" s="18">
        <f>CQ$38-CQ$40</f>
        <v/>
      </c>
      <c r="CR42" s="18">
        <f>CR$38-CR$40</f>
        <v/>
      </c>
      <c r="CS42" s="18">
        <f>CS$38-CS$40</f>
        <v/>
      </c>
      <c r="CT42" s="18">
        <f>CT$38-CT$40</f>
        <v/>
      </c>
      <c r="CU42" s="18">
        <f>CU$38-CU$40</f>
        <v/>
      </c>
      <c r="CV42" s="18">
        <f>CV$38-CV$40</f>
        <v/>
      </c>
      <c r="CW42" s="18">
        <f>CW$38-CW$40</f>
        <v/>
      </c>
      <c r="CX42" s="18">
        <f>CX$38-CX$40</f>
        <v/>
      </c>
      <c r="CY42" s="18">
        <f>CY$38-CY$40</f>
        <v/>
      </c>
      <c r="CZ42" s="18">
        <f>CZ$38-CZ$40</f>
        <v/>
      </c>
      <c r="DA42" s="18">
        <f>DA$38-DA$40</f>
        <v/>
      </c>
      <c r="DB42" s="18">
        <f>DB$38-DB$40</f>
        <v/>
      </c>
      <c r="DC42" s="18">
        <f>DC$38-DC$40</f>
        <v/>
      </c>
      <c r="DD42" s="18">
        <f>DD$38-DD$40</f>
        <v/>
      </c>
      <c r="DE42" s="18">
        <f>DE$38-DE$40</f>
        <v/>
      </c>
      <c r="DF42" s="18">
        <f>DF$38-DF$40</f>
        <v/>
      </c>
      <c r="DG42" s="18">
        <f>DG$38-DG$40</f>
        <v/>
      </c>
      <c r="DH42" s="18">
        <f>DH$38-DH$40</f>
        <v/>
      </c>
      <c r="DI42" s="18">
        <f>DI$38-DI$40</f>
        <v/>
      </c>
      <c r="DJ42" s="18">
        <f>DJ$38-DJ$40</f>
        <v/>
      </c>
      <c r="DK42" s="18">
        <f>DK$38-DK$40</f>
        <v/>
      </c>
      <c r="DL42" s="18">
        <f>DL$38-DL$40</f>
        <v/>
      </c>
      <c r="DM42" s="18">
        <f>DM$38-DM$40</f>
        <v/>
      </c>
      <c r="DN42" s="18">
        <f>DN$38-DN$40</f>
        <v/>
      </c>
      <c r="DO42" s="18">
        <f>DO$38-DO$40</f>
        <v/>
      </c>
      <c r="DP42" s="18">
        <f>DP$38-DP$40</f>
        <v/>
      </c>
      <c r="DQ42" s="18">
        <f>DQ$38-DQ$40</f>
        <v/>
      </c>
      <c r="DR42" s="18">
        <f>DR$38-DR$40</f>
        <v/>
      </c>
      <c r="DS42" s="18">
        <f>DS$38-DS$40</f>
        <v/>
      </c>
      <c r="DT42" s="18">
        <f>DT$38-DT$40</f>
        <v/>
      </c>
      <c r="DU42" s="18">
        <f>DU$38-DU$40</f>
        <v/>
      </c>
      <c r="DV42" s="18">
        <f>DV$38-DV$40</f>
        <v/>
      </c>
      <c r="DW42" s="18">
        <f>DW$38-DW$40</f>
        <v/>
      </c>
      <c r="DX42" s="18">
        <f>DX$38-DX$40</f>
        <v/>
      </c>
      <c r="DY42" s="18">
        <f>DY$38-DY$40</f>
        <v/>
      </c>
      <c r="DZ42" s="18">
        <f>DZ$38-DZ$40</f>
        <v/>
      </c>
      <c r="EA42" s="18">
        <f>EA$38-EA$40</f>
        <v/>
      </c>
      <c r="EB42" s="18">
        <f>EB$38-EB$40</f>
        <v/>
      </c>
      <c r="EC42" s="18">
        <f>EC$38-EC$40</f>
        <v/>
      </c>
      <c r="ED42" s="18">
        <f>ED$38-ED$40</f>
        <v/>
      </c>
      <c r="EE42" s="18">
        <f>EE$38-EE$40</f>
        <v/>
      </c>
      <c r="EF42" s="18">
        <f>EF$38-EF$40</f>
        <v/>
      </c>
      <c r="EG42" s="18">
        <f>EG$38-EG$40</f>
        <v/>
      </c>
      <c r="EH42" s="18">
        <f>EH$38-EH$40</f>
        <v/>
      </c>
      <c r="EI42" s="18">
        <f>EI$38-EI$40</f>
        <v/>
      </c>
      <c r="EJ42" s="18">
        <f>EJ$38-EJ$40</f>
        <v/>
      </c>
      <c r="EK42" s="18">
        <f>EK$38-EK$40</f>
        <v/>
      </c>
      <c r="EL42" s="18">
        <f>EL$38-EL$40</f>
        <v/>
      </c>
      <c r="EM42" s="18">
        <f>EM$38-EM$40</f>
        <v/>
      </c>
      <c r="EN42" s="18">
        <f>EN$38-EN$40</f>
        <v/>
      </c>
      <c r="EO42" s="18">
        <f>EO$38-EO$40</f>
        <v/>
      </c>
      <c r="EP42" s="18">
        <f>EP$38-EP$40</f>
        <v/>
      </c>
      <c r="EQ42" s="18">
        <f>EQ$38-EQ$40</f>
        <v/>
      </c>
      <c r="ER42" s="18">
        <f>ER$38-ER$40</f>
        <v/>
      </c>
      <c r="ES42" s="18">
        <f>ES$38-ES$40</f>
        <v/>
      </c>
      <c r="ET42" s="18">
        <f>ET$38-ET$40</f>
        <v/>
      </c>
      <c r="EU42" s="18">
        <f>EU$38-EU$40</f>
        <v/>
      </c>
      <c r="EV42" s="18">
        <f>EV$38-EV$40</f>
        <v/>
      </c>
      <c r="EW42" s="18">
        <f>EW$38-EW$40</f>
        <v/>
      </c>
      <c r="EX42" s="18">
        <f>EX$38-EX$40</f>
        <v/>
      </c>
      <c r="EY42" s="18">
        <f>EY$38-EY$40</f>
        <v/>
      </c>
      <c r="EZ42" s="18">
        <f>EZ$38-EZ$40</f>
        <v/>
      </c>
      <c r="FA42" s="18">
        <f>FA$38-FA$40</f>
        <v/>
      </c>
      <c r="FB42" s="18">
        <f>FB$38-FB$40</f>
        <v/>
      </c>
      <c r="FC42" s="18">
        <f>FC$38-FC$40</f>
        <v/>
      </c>
      <c r="FD42" s="18">
        <f>FD$38-FD$40</f>
        <v/>
      </c>
      <c r="FE42" s="18">
        <f>FE$38-FE$40</f>
        <v/>
      </c>
      <c r="FF42" s="18">
        <f>FF$38-FF$40</f>
        <v/>
      </c>
      <c r="FG42" s="18">
        <f>FG$38-FG$40</f>
        <v/>
      </c>
      <c r="FH42" s="18">
        <f>FH$38-FH$40</f>
        <v/>
      </c>
      <c r="FI42" s="18">
        <f>FI$38-FI$40</f>
        <v/>
      </c>
      <c r="FJ42" s="18">
        <f>FJ$38-FJ$40</f>
        <v/>
      </c>
      <c r="FK42" s="18">
        <f>FK$38-FK$40</f>
        <v/>
      </c>
      <c r="FL42" s="18">
        <f>FL$38-FL$40</f>
        <v/>
      </c>
      <c r="FM42" s="18">
        <f>FM$38-FM$40</f>
        <v/>
      </c>
      <c r="FN42" s="18">
        <f>FN$38-FN$40</f>
        <v/>
      </c>
      <c r="FO42" s="18">
        <f>FO$38-FO$40</f>
        <v/>
      </c>
      <c r="FP42" s="18">
        <f>FP$38-FP$40</f>
        <v/>
      </c>
      <c r="FQ42" s="18">
        <f>FQ$38-FQ$40</f>
        <v/>
      </c>
      <c r="FR42" s="18">
        <f>FR$38-FR$40</f>
        <v/>
      </c>
      <c r="FS42" s="18">
        <f>FS$38-FS$40</f>
        <v/>
      </c>
      <c r="FT42" s="18">
        <f>FT$38-FT$40</f>
        <v/>
      </c>
      <c r="FU42" s="18">
        <f>FU$38-FU$40</f>
        <v/>
      </c>
      <c r="FV42" s="18">
        <f>FV$38-FV$40</f>
        <v/>
      </c>
      <c r="FW42" s="18">
        <f>FW$38-FW$40</f>
        <v/>
      </c>
      <c r="FX42" s="18">
        <f>FX$38-FX$40</f>
        <v/>
      </c>
      <c r="FY42" s="18">
        <f>FY$38-FY$40</f>
        <v/>
      </c>
      <c r="FZ42" s="18">
        <f>FZ$38-FZ$40</f>
        <v/>
      </c>
      <c r="GA42" s="18">
        <f>GA$38-GA$40</f>
        <v/>
      </c>
      <c r="GB42" s="18">
        <f>GB$38-GB$40</f>
        <v/>
      </c>
      <c r="GC42" s="18">
        <f>GC$38-GC$40</f>
        <v/>
      </c>
      <c r="GD42" s="18">
        <f>GD$38-GD$40</f>
        <v/>
      </c>
      <c r="GE42" s="18">
        <f>GE$38-GE$40</f>
        <v/>
      </c>
      <c r="GF42" s="18">
        <f>GF$38-GF$40</f>
        <v/>
      </c>
      <c r="GG42" s="18">
        <f>GG$38-GG$40</f>
        <v/>
      </c>
      <c r="GH42" s="18">
        <f>GH$38-GH$40</f>
        <v/>
      </c>
      <c r="GI42" s="18">
        <f>GI$38-GI$40</f>
        <v/>
      </c>
      <c r="GJ42" s="18">
        <f>GJ$38-GJ$40</f>
        <v/>
      </c>
      <c r="GK42" s="18">
        <f>GK$38-GK$40</f>
        <v/>
      </c>
      <c r="GL42" s="18">
        <f>GL$38-GL$40</f>
        <v/>
      </c>
      <c r="GM42" s="18">
        <f>GM$38-GM$40</f>
        <v/>
      </c>
      <c r="GN42" s="18">
        <f>GN$38-GN$40</f>
        <v/>
      </c>
      <c r="GO42" s="18">
        <f>GO$38-GO$40</f>
        <v/>
      </c>
      <c r="GP42" s="18">
        <f>GP$38-GP$40</f>
        <v/>
      </c>
      <c r="GQ42" s="18">
        <f>GQ$38-GQ$40</f>
        <v/>
      </c>
      <c r="GR42" s="18">
        <f>GR$38-GR$40</f>
        <v/>
      </c>
      <c r="GS42" s="18">
        <f>GS$38-GS$40</f>
        <v/>
      </c>
      <c r="GT42" s="18">
        <f>GT$38-GT$40</f>
        <v/>
      </c>
      <c r="GU42" s="18">
        <f>GU$38-GU$40</f>
        <v/>
      </c>
      <c r="GV42" s="18">
        <f>GV$38-GV$40</f>
        <v/>
      </c>
      <c r="GW42" s="18">
        <f>GW$38-GW$40</f>
        <v/>
      </c>
      <c r="GX42" s="18">
        <f>GX$38-GX$40</f>
        <v/>
      </c>
      <c r="GY42" s="18">
        <f>GY$38-GY$40</f>
        <v/>
      </c>
      <c r="GZ42" s="18">
        <f>GZ$38-GZ$40</f>
        <v/>
      </c>
      <c r="HA42" s="18">
        <f>HA$38-HA$40</f>
        <v/>
      </c>
      <c r="HB42" s="18">
        <f>HB$38-HB$40</f>
        <v/>
      </c>
      <c r="HC42" s="18">
        <f>HC$38-HC$40</f>
        <v/>
      </c>
      <c r="HD42" s="18">
        <f>HD$38-HD$40</f>
        <v/>
      </c>
      <c r="HE42" s="18">
        <f>HE$38-HE$40</f>
        <v/>
      </c>
      <c r="HF42" s="18">
        <f>HF$38-HF$40</f>
        <v/>
      </c>
      <c r="HG42" s="18">
        <f>HG$38-HG$40</f>
        <v/>
      </c>
      <c r="HH42" s="18">
        <f>HH$38-HH$40</f>
        <v/>
      </c>
      <c r="HI42" s="18">
        <f>HI$38-HI$40</f>
        <v/>
      </c>
      <c r="HJ42" s="18">
        <f>HJ$38-HJ$40</f>
        <v/>
      </c>
      <c r="HK42" s="18">
        <f>HK$38-HK$40</f>
        <v/>
      </c>
      <c r="HL42" s="18">
        <f>HL$38-HL$40</f>
        <v/>
      </c>
      <c r="HM42" s="18">
        <f>HM$38-HM$40</f>
        <v/>
      </c>
      <c r="HN42" s="18">
        <f>HN$38-HN$40</f>
        <v/>
      </c>
      <c r="HO42" s="18">
        <f>HO$38-HO$40</f>
        <v/>
      </c>
      <c r="HP42" s="18">
        <f>HP$38-HP$40</f>
        <v/>
      </c>
      <c r="HQ42" s="18">
        <f>HQ$38-HQ$40</f>
        <v/>
      </c>
      <c r="HR42" s="18">
        <f>HR$38-HR$40</f>
        <v/>
      </c>
      <c r="HS42" s="18">
        <f>HS$38-HS$40</f>
        <v/>
      </c>
      <c r="HT42" s="18">
        <f>HT$38-HT$40</f>
        <v/>
      </c>
      <c r="HU42" s="18">
        <f>HU$38-HU$40</f>
        <v/>
      </c>
      <c r="HV42" s="18">
        <f>HV$38-HV$40</f>
        <v/>
      </c>
      <c r="HW42" s="18">
        <f>HW$38-HW$40</f>
        <v/>
      </c>
      <c r="HX42" s="18">
        <f>HX$38-HX$40</f>
        <v/>
      </c>
      <c r="HY42" s="18">
        <f>HY$38-HY$40</f>
        <v/>
      </c>
      <c r="HZ42" s="18">
        <f>HZ$38-HZ$40</f>
        <v/>
      </c>
      <c r="IA42" s="18">
        <f>IA$38-IA$40</f>
        <v/>
      </c>
      <c r="IB42" s="18">
        <f>IB$38-IB$40</f>
        <v/>
      </c>
      <c r="IC42" s="18">
        <f>IC$38-IC$40</f>
        <v/>
      </c>
      <c r="ID42" s="18">
        <f>ID$38-ID$40</f>
        <v/>
      </c>
      <c r="IE42" s="18">
        <f>IE$38-IE$40</f>
        <v/>
      </c>
      <c r="IF42" s="18">
        <f>IF$38-IF$40</f>
        <v/>
      </c>
      <c r="IG42" s="18">
        <f>IG$38-IG$40</f>
        <v/>
      </c>
      <c r="IH42" s="18">
        <f>IH$38-IH$40</f>
        <v/>
      </c>
      <c r="II42" s="18">
        <f>II$38-II$40</f>
        <v/>
      </c>
      <c r="IJ42" s="18">
        <f>IJ$38-IJ$40</f>
        <v/>
      </c>
      <c r="IK42" s="18">
        <f>IK$38-IK$40</f>
        <v/>
      </c>
      <c r="IL42" s="18">
        <f>IL$38-IL$40</f>
        <v/>
      </c>
      <c r="IM42" s="18">
        <f>IM$38-IM$40</f>
        <v/>
      </c>
      <c r="IN42" s="18">
        <f>IN$38-IN$40</f>
        <v/>
      </c>
      <c r="IO42" s="18">
        <f>IO$38-IO$40</f>
        <v/>
      </c>
      <c r="IP42" s="18">
        <f>IP$38-IP$40</f>
        <v/>
      </c>
      <c r="IQ42" s="18">
        <f>IQ$38-IQ$40</f>
        <v/>
      </c>
      <c r="IR42" s="18">
        <f>IR$38-IR$40</f>
        <v/>
      </c>
      <c r="IS42" s="18">
        <f>IS$38-IS$40</f>
        <v/>
      </c>
      <c r="IT42" s="18">
        <f>IT$38-IT$40</f>
        <v/>
      </c>
      <c r="IU42" s="18">
        <f>IU$38-IU$40</f>
        <v/>
      </c>
      <c r="IV42" s="18">
        <f>IV$38-IV$40</f>
        <v/>
      </c>
      <c r="IW42" s="18">
        <f>IW$38-IW$40</f>
        <v/>
      </c>
      <c r="IX42" s="18">
        <f>IX$38-IX$40</f>
        <v/>
      </c>
      <c r="IY42" s="18">
        <f>IY$38-IY$40</f>
        <v/>
      </c>
      <c r="IZ42" s="18">
        <f>IZ$38-IZ$40</f>
        <v/>
      </c>
      <c r="JA42" s="18">
        <f>JA$38-JA$40</f>
        <v/>
      </c>
      <c r="JB42" s="18">
        <f>JB$38-JB$40</f>
        <v/>
      </c>
      <c r="JC42" s="18">
        <f>JC$38-JC$40</f>
        <v/>
      </c>
      <c r="JD42" s="18">
        <f>JD$38-JD$40</f>
        <v/>
      </c>
      <c r="JE42" s="18">
        <f>JE$38-JE$40</f>
        <v/>
      </c>
      <c r="JF42" s="18">
        <f>JF$38-JF$40</f>
        <v/>
      </c>
      <c r="JG42" s="18">
        <f>JG$38-JG$40</f>
        <v/>
      </c>
      <c r="JH42" s="18">
        <f>JH$38-JH$40</f>
        <v/>
      </c>
      <c r="JI42" s="18">
        <f>JI$38-JI$40</f>
        <v/>
      </c>
      <c r="JJ42" s="18">
        <f>JJ$38-JJ$40</f>
        <v/>
      </c>
      <c r="JK42" s="18">
        <f>JK$38-JK$40</f>
        <v/>
      </c>
      <c r="JL42" s="18">
        <f>JL$38-JL$40</f>
        <v/>
      </c>
      <c r="JM42" s="18">
        <f>JM$38-JM$40</f>
        <v/>
      </c>
      <c r="JN42" s="18">
        <f>JN$38-JN$40</f>
        <v/>
      </c>
      <c r="JO42" s="18">
        <f>JO$38-JO$40</f>
        <v/>
      </c>
      <c r="JP42" s="18">
        <f>JP$38-JP$40</f>
        <v/>
      </c>
      <c r="JQ42" s="18">
        <f>JQ$38-JQ$40</f>
        <v/>
      </c>
      <c r="JR42" s="18">
        <f>JR$38-JR$40</f>
        <v/>
      </c>
      <c r="JS42" s="18">
        <f>JS$38-JS$40</f>
        <v/>
      </c>
      <c r="JT42" s="18">
        <f>JT$38-JT$40</f>
        <v/>
      </c>
      <c r="JU42" s="18">
        <f>JU$38-JU$40</f>
        <v/>
      </c>
      <c r="JV42" s="18">
        <f>JV$38-JV$40</f>
        <v/>
      </c>
      <c r="JW42" s="18">
        <f>JW$38-JW$40</f>
        <v/>
      </c>
      <c r="JX42" s="18">
        <f>JX$38-JX$40</f>
        <v/>
      </c>
      <c r="JY42" s="18">
        <f>JY$38-JY$40</f>
        <v/>
      </c>
      <c r="JZ42" s="18">
        <f>JZ$38-JZ$40</f>
        <v/>
      </c>
      <c r="KA42" s="18">
        <f>KA$38-KA$40</f>
        <v/>
      </c>
      <c r="KB42" s="18">
        <f>KB$38-KB$40</f>
        <v/>
      </c>
      <c r="KC42" s="18">
        <f>KC$38-KC$40</f>
        <v/>
      </c>
      <c r="KD42" s="18">
        <f>KD$38-KD$40</f>
        <v/>
      </c>
      <c r="KE42" s="18">
        <f>KE$38-KE$40</f>
        <v/>
      </c>
      <c r="KF42" s="18">
        <f>KF$38-KF$40</f>
        <v/>
      </c>
      <c r="KG42" s="18">
        <f>KG$38-KG$40</f>
        <v/>
      </c>
      <c r="KH42" s="18">
        <f>KH$38-KH$40</f>
        <v/>
      </c>
      <c r="KI42" s="18">
        <f>KI$38-KI$40</f>
        <v/>
      </c>
      <c r="KJ42" s="18">
        <f>KJ$38-KJ$40</f>
        <v/>
      </c>
      <c r="KK42" s="18">
        <f>KK$38-KK$40</f>
        <v/>
      </c>
      <c r="KL42" s="18">
        <f>KL$38-KL$40</f>
        <v/>
      </c>
      <c r="KM42" s="18">
        <f>KM$38-KM$40</f>
        <v/>
      </c>
      <c r="KN42" s="18">
        <f>KN$38-KN$40</f>
        <v/>
      </c>
      <c r="KO42" s="18">
        <f>KO$38-KO$40</f>
        <v/>
      </c>
      <c r="KP42" s="18">
        <f>KP$38-KP$40</f>
        <v/>
      </c>
      <c r="KQ42" s="18">
        <f>KQ$38-KQ$40</f>
        <v/>
      </c>
      <c r="KR42" s="18">
        <f>KR$38-KR$40</f>
        <v/>
      </c>
      <c r="KS42" s="18">
        <f>KS$38-KS$40</f>
        <v/>
      </c>
      <c r="KT42" s="18">
        <f>KT$38-KT$40</f>
        <v/>
      </c>
      <c r="KU42" s="18">
        <f>KU$38-KU$40</f>
        <v/>
      </c>
      <c r="KV42" s="18">
        <f>KV$38-KV$40</f>
        <v/>
      </c>
      <c r="KW42" s="18">
        <f>KW$38-KW$40</f>
        <v/>
      </c>
      <c r="KX42" s="18">
        <f>KX$38-KX$40</f>
        <v/>
      </c>
      <c r="KY42" s="18">
        <f>KY$38-KY$40</f>
        <v/>
      </c>
      <c r="KZ42" s="18">
        <f>KZ$38-KZ$40</f>
        <v/>
      </c>
      <c r="LA42" s="18">
        <f>LA$38-LA$40</f>
        <v/>
      </c>
      <c r="LB42" s="18">
        <f>LB$38-LB$40</f>
        <v/>
      </c>
      <c r="LC42" s="18">
        <f>LC$38-LC$40</f>
        <v/>
      </c>
      <c r="LD42" s="18">
        <f>LD$38-LD$40</f>
        <v/>
      </c>
      <c r="LE42" s="18">
        <f>LE$38-LE$40</f>
        <v/>
      </c>
      <c r="LF42" s="18">
        <f>LF$38-LF$40</f>
        <v/>
      </c>
      <c r="LG42" s="18">
        <f>LG$38-LG$40</f>
        <v/>
      </c>
      <c r="LH42" s="18">
        <f>LH$38-LH$40</f>
        <v/>
      </c>
      <c r="LI42" s="18">
        <f>LI$38-LI$40</f>
        <v/>
      </c>
      <c r="LJ42" s="18">
        <f>LJ$38-LJ$40</f>
        <v/>
      </c>
      <c r="LK42" s="18">
        <f>LK$38-LK$40</f>
        <v/>
      </c>
      <c r="LL42" s="18">
        <f>LL$38-LL$40</f>
        <v/>
      </c>
      <c r="LM42" s="18">
        <f>LM$38-LM$40</f>
        <v/>
      </c>
      <c r="LN42" s="18">
        <f>LN$38-LN$40</f>
        <v/>
      </c>
      <c r="LO42" s="18">
        <f>LO$38-LO$40</f>
        <v/>
      </c>
      <c r="LP42" s="18">
        <f>LP$38-LP$40</f>
        <v/>
      </c>
      <c r="LQ42" s="18">
        <f>LQ$38-LQ$40</f>
        <v/>
      </c>
      <c r="LR42" s="18">
        <f>LR$38-LR$40</f>
        <v/>
      </c>
      <c r="LS42" s="18">
        <f>LS$38-LS$40</f>
        <v/>
      </c>
      <c r="LT42" s="18">
        <f>LT$38-LT$40</f>
        <v/>
      </c>
      <c r="LU42" s="18">
        <f>LU$38-LU$40</f>
        <v/>
      </c>
      <c r="LV42" s="18">
        <f>LV$38-LV$40</f>
        <v/>
      </c>
      <c r="LW42" s="18">
        <f>LW$38-LW$40</f>
        <v/>
      </c>
      <c r="LX42" s="18">
        <f>LX$38-LX$40</f>
        <v/>
      </c>
      <c r="LY42" s="18">
        <f>LY$38-LY$40</f>
        <v/>
      </c>
      <c r="LZ42" s="18">
        <f>LZ$38-LZ$40</f>
        <v/>
      </c>
      <c r="MA42" s="18">
        <f>MA$38-MA$40</f>
        <v/>
      </c>
      <c r="MB42" s="18">
        <f>MB$38-MB$40</f>
        <v/>
      </c>
      <c r="MC42" s="18">
        <f>MC$38-MC$40</f>
        <v/>
      </c>
      <c r="MD42" s="18">
        <f>MD$38-MD$40</f>
        <v/>
      </c>
      <c r="ME42" s="18">
        <f>ME$38-ME$40</f>
        <v/>
      </c>
      <c r="MF42" s="18">
        <f>MF$38-MF$40</f>
        <v/>
      </c>
      <c r="MG42" s="18">
        <f>MG$38-MG$40</f>
        <v/>
      </c>
      <c r="MH42" s="18">
        <f>MH$38-MH$40</f>
        <v/>
      </c>
      <c r="MI42" s="18">
        <f>MI$38-MI$40</f>
        <v/>
      </c>
      <c r="MJ42" s="18">
        <f>MJ$38-MJ$40</f>
        <v/>
      </c>
      <c r="MK42" s="18">
        <f>MK$38-MK$40</f>
        <v/>
      </c>
      <c r="ML42" s="18">
        <f>ML$38-ML$40</f>
        <v/>
      </c>
      <c r="MM42" s="18">
        <f>MM$38-MM$40</f>
        <v/>
      </c>
      <c r="MN42" s="18">
        <f>MN$38-MN$40</f>
        <v/>
      </c>
      <c r="MO42" s="18">
        <f>MO$38-MO$40</f>
        <v/>
      </c>
      <c r="MP42" s="18">
        <f>MP$38-MP$40</f>
        <v/>
      </c>
      <c r="MQ42" s="18">
        <f>MQ$38-MQ$40</f>
        <v/>
      </c>
      <c r="MR42" s="18">
        <f>MR$38-MR$40</f>
        <v/>
      </c>
      <c r="MS42" s="18">
        <f>MS$38-MS$40</f>
        <v/>
      </c>
      <c r="MT42" s="18">
        <f>MT$38-MT$40</f>
        <v/>
      </c>
      <c r="MU42" s="18">
        <f>MU$38-MU$40</f>
        <v/>
      </c>
      <c r="MV42" s="18">
        <f>MV$38-MV$40</f>
        <v/>
      </c>
      <c r="MW42" s="18">
        <f>MW$38-MW$40</f>
        <v/>
      </c>
      <c r="MX42" s="18">
        <f>MX$38-MX$40</f>
        <v/>
      </c>
      <c r="MY42" s="18">
        <f>MY$38-MY$40</f>
        <v/>
      </c>
      <c r="MZ42" s="18">
        <f>MZ$38-MZ$40</f>
        <v/>
      </c>
      <c r="NA42" s="18">
        <f>NA$38-NA$40</f>
        <v/>
      </c>
      <c r="NB42" s="18">
        <f>NB$38-NB$40</f>
        <v/>
      </c>
      <c r="NC42" s="18">
        <f>NC$38-NC$40</f>
        <v/>
      </c>
      <c r="ND42" s="18">
        <f>ND$38-ND$40</f>
        <v/>
      </c>
      <c r="NE42" s="18">
        <f>NE$38-NE$40</f>
        <v/>
      </c>
      <c r="NF42" s="18">
        <f>NF$38-NF$40</f>
        <v/>
      </c>
      <c r="NG42" s="18">
        <f>NG$38-NG$40</f>
        <v/>
      </c>
      <c r="NH42" s="18">
        <f>NH$38-NH$40</f>
        <v/>
      </c>
      <c r="NI42" s="18">
        <f>NI$38-NI$40</f>
        <v/>
      </c>
      <c r="NJ42" s="18">
        <f>NJ$38-NJ$40</f>
        <v/>
      </c>
      <c r="NK42" s="18">
        <f>NK$38-NK$40</f>
        <v/>
      </c>
    </row>
    <row r="43">
      <c r="A43" s="5" t="inlineStr">
        <is>
          <t>Cumulative Op CF (lease-up)</t>
        </is>
      </c>
      <c r="C43" s="43" t="n"/>
      <c r="D43" s="18">
        <f>IF(1&lt;DeliverStart,0,0+D$42)</f>
        <v/>
      </c>
      <c r="E43" s="18">
        <f>IF(2&lt;DeliverStart,0,D$43+E$42)</f>
        <v/>
      </c>
      <c r="F43" s="18">
        <f>IF(3&lt;DeliverStart,0,E$43+F$42)</f>
        <v/>
      </c>
      <c r="G43" s="18">
        <f>IF(4&lt;DeliverStart,0,F$43+G$42)</f>
        <v/>
      </c>
      <c r="H43" s="18">
        <f>IF(5&lt;DeliverStart,0,G$43+H$42)</f>
        <v/>
      </c>
      <c r="I43" s="18">
        <f>IF(6&lt;DeliverStart,0,H$43+I$42)</f>
        <v/>
      </c>
      <c r="J43" s="18">
        <f>IF(7&lt;DeliverStart,0,I$43+J$42)</f>
        <v/>
      </c>
      <c r="K43" s="18">
        <f>IF(8&lt;DeliverStart,0,J$43+K$42)</f>
        <v/>
      </c>
      <c r="L43" s="18">
        <f>IF(9&lt;DeliverStart,0,K$43+L$42)</f>
        <v/>
      </c>
      <c r="M43" s="18">
        <f>IF(10&lt;DeliverStart,0,L$43+M$42)</f>
        <v/>
      </c>
      <c r="N43" s="18">
        <f>IF(11&lt;DeliverStart,0,M$43+N$42)</f>
        <v/>
      </c>
      <c r="O43" s="18">
        <f>IF(12&lt;DeliverStart,0,N$43+O$42)</f>
        <v/>
      </c>
      <c r="P43" s="18">
        <f>IF(13&lt;DeliverStart,0,O$43+P$42)</f>
        <v/>
      </c>
      <c r="Q43" s="18">
        <f>IF(14&lt;DeliverStart,0,P$43+Q$42)</f>
        <v/>
      </c>
      <c r="R43" s="18">
        <f>IF(15&lt;DeliverStart,0,Q$43+R$42)</f>
        <v/>
      </c>
      <c r="S43" s="18">
        <f>IF(16&lt;DeliverStart,0,R$43+S$42)</f>
        <v/>
      </c>
      <c r="T43" s="18">
        <f>IF(17&lt;DeliverStart,0,S$43+T$42)</f>
        <v/>
      </c>
      <c r="U43" s="18">
        <f>IF(18&lt;DeliverStart,0,T$43+U$42)</f>
        <v/>
      </c>
      <c r="V43" s="18">
        <f>IF(19&lt;DeliverStart,0,U$43+V$42)</f>
        <v/>
      </c>
      <c r="W43" s="18">
        <f>IF(20&lt;DeliverStart,0,V$43+W$42)</f>
        <v/>
      </c>
      <c r="X43" s="18">
        <f>IF(21&lt;DeliverStart,0,W$43+X$42)</f>
        <v/>
      </c>
      <c r="Y43" s="18">
        <f>IF(22&lt;DeliverStart,0,X$43+Y$42)</f>
        <v/>
      </c>
      <c r="Z43" s="18">
        <f>IF(23&lt;DeliverStart,0,Y$43+Z$42)</f>
        <v/>
      </c>
      <c r="AA43" s="18">
        <f>IF(24&lt;DeliverStart,0,Z$43+AA$42)</f>
        <v/>
      </c>
      <c r="AB43" s="18">
        <f>IF(25&lt;DeliverStart,0,AA$43+AB$42)</f>
        <v/>
      </c>
      <c r="AC43" s="18">
        <f>IF(26&lt;DeliverStart,0,AB$43+AC$42)</f>
        <v/>
      </c>
      <c r="AD43" s="18">
        <f>IF(27&lt;DeliverStart,0,AC$43+AD$42)</f>
        <v/>
      </c>
      <c r="AE43" s="18">
        <f>IF(28&lt;DeliverStart,0,AD$43+AE$42)</f>
        <v/>
      </c>
      <c r="AF43" s="18">
        <f>IF(29&lt;DeliverStart,0,AE$43+AF$42)</f>
        <v/>
      </c>
      <c r="AG43" s="18">
        <f>IF(30&lt;DeliverStart,0,AF$43+AG$42)</f>
        <v/>
      </c>
      <c r="AH43" s="18">
        <f>IF(31&lt;DeliverStart,0,AG$43+AH$42)</f>
        <v/>
      </c>
      <c r="AI43" s="18">
        <f>IF(32&lt;DeliverStart,0,AH$43+AI$42)</f>
        <v/>
      </c>
      <c r="AJ43" s="18">
        <f>IF(33&lt;DeliverStart,0,AI$43+AJ$42)</f>
        <v/>
      </c>
      <c r="AK43" s="18">
        <f>IF(34&lt;DeliverStart,0,AJ$43+AK$42)</f>
        <v/>
      </c>
      <c r="AL43" s="18">
        <f>IF(35&lt;DeliverStart,0,AK$43+AL$42)</f>
        <v/>
      </c>
      <c r="AM43" s="18">
        <f>IF(36&lt;DeliverStart,0,AL$43+AM$42)</f>
        <v/>
      </c>
      <c r="AN43" s="18">
        <f>IF(37&lt;DeliverStart,0,AM$43+AN$42)</f>
        <v/>
      </c>
      <c r="AO43" s="18">
        <f>IF(38&lt;DeliverStart,0,AN$43+AO$42)</f>
        <v/>
      </c>
      <c r="AP43" s="18">
        <f>IF(39&lt;DeliverStart,0,AO$43+AP$42)</f>
        <v/>
      </c>
      <c r="AQ43" s="18">
        <f>IF(40&lt;DeliverStart,0,AP$43+AQ$42)</f>
        <v/>
      </c>
      <c r="AR43" s="18">
        <f>IF(41&lt;DeliverStart,0,AQ$43+AR$42)</f>
        <v/>
      </c>
      <c r="AS43" s="18">
        <f>IF(42&lt;DeliverStart,0,AR$43+AS$42)</f>
        <v/>
      </c>
      <c r="AT43" s="18">
        <f>IF(43&lt;DeliverStart,0,AS$43+AT$42)</f>
        <v/>
      </c>
      <c r="AU43" s="18">
        <f>IF(44&lt;DeliverStart,0,AT$43+AU$42)</f>
        <v/>
      </c>
      <c r="AV43" s="18">
        <f>IF(45&lt;DeliverStart,0,AU$43+AV$42)</f>
        <v/>
      </c>
      <c r="AW43" s="18">
        <f>IF(46&lt;DeliverStart,0,AV$43+AW$42)</f>
        <v/>
      </c>
      <c r="AX43" s="18">
        <f>IF(47&lt;DeliverStart,0,AW$43+AX$42)</f>
        <v/>
      </c>
      <c r="AY43" s="18">
        <f>IF(48&lt;DeliverStart,0,AX$43+AY$42)</f>
        <v/>
      </c>
      <c r="AZ43" s="18">
        <f>IF(49&lt;DeliverStart,0,AY$43+AZ$42)</f>
        <v/>
      </c>
      <c r="BA43" s="18">
        <f>IF(50&lt;DeliverStart,0,AZ$43+BA$42)</f>
        <v/>
      </c>
      <c r="BB43" s="18">
        <f>IF(51&lt;DeliverStart,0,BA$43+BB$42)</f>
        <v/>
      </c>
      <c r="BC43" s="18">
        <f>IF(52&lt;DeliverStart,0,BB$43+BC$42)</f>
        <v/>
      </c>
      <c r="BD43" s="18">
        <f>IF(53&lt;DeliverStart,0,BC$43+BD$42)</f>
        <v/>
      </c>
      <c r="BE43" s="18">
        <f>IF(54&lt;DeliverStart,0,BD$43+BE$42)</f>
        <v/>
      </c>
      <c r="BF43" s="18">
        <f>IF(55&lt;DeliverStart,0,BE$43+BF$42)</f>
        <v/>
      </c>
      <c r="BG43" s="18">
        <f>IF(56&lt;DeliverStart,0,BF$43+BG$42)</f>
        <v/>
      </c>
      <c r="BH43" s="18">
        <f>IF(57&lt;DeliverStart,0,BG$43+BH$42)</f>
        <v/>
      </c>
      <c r="BI43" s="18">
        <f>IF(58&lt;DeliverStart,0,BH$43+BI$42)</f>
        <v/>
      </c>
      <c r="BJ43" s="18">
        <f>IF(59&lt;DeliverStart,0,BI$43+BJ$42)</f>
        <v/>
      </c>
      <c r="BK43" s="18">
        <f>IF(60&lt;DeliverStart,0,BJ$43+BK$42)</f>
        <v/>
      </c>
      <c r="BL43" s="18">
        <f>IF(61&lt;DeliverStart,0,BK$43+BL$42)</f>
        <v/>
      </c>
      <c r="BM43" s="18">
        <f>IF(62&lt;DeliverStart,0,BL$43+BM$42)</f>
        <v/>
      </c>
      <c r="BN43" s="18">
        <f>IF(63&lt;DeliverStart,0,BM$43+BN$42)</f>
        <v/>
      </c>
      <c r="BO43" s="18">
        <f>IF(64&lt;DeliverStart,0,BN$43+BO$42)</f>
        <v/>
      </c>
      <c r="BP43" s="18">
        <f>IF(65&lt;DeliverStart,0,BO$43+BP$42)</f>
        <v/>
      </c>
      <c r="BQ43" s="18">
        <f>IF(66&lt;DeliverStart,0,BP$43+BQ$42)</f>
        <v/>
      </c>
      <c r="BR43" s="18">
        <f>IF(67&lt;DeliverStart,0,BQ$43+BR$42)</f>
        <v/>
      </c>
      <c r="BS43" s="18">
        <f>IF(68&lt;DeliverStart,0,BR$43+BS$42)</f>
        <v/>
      </c>
      <c r="BT43" s="18">
        <f>IF(69&lt;DeliverStart,0,BS$43+BT$42)</f>
        <v/>
      </c>
      <c r="BU43" s="18">
        <f>IF(70&lt;DeliverStart,0,BT$43+BU$42)</f>
        <v/>
      </c>
      <c r="BV43" s="18">
        <f>IF(71&lt;DeliverStart,0,BU$43+BV$42)</f>
        <v/>
      </c>
      <c r="BW43" s="18">
        <f>IF(72&lt;DeliverStart,0,BV$43+BW$42)</f>
        <v/>
      </c>
      <c r="BX43" s="18">
        <f>IF(73&lt;DeliverStart,0,BW$43+BX$42)</f>
        <v/>
      </c>
      <c r="BY43" s="18">
        <f>IF(74&lt;DeliverStart,0,BX$43+BY$42)</f>
        <v/>
      </c>
      <c r="BZ43" s="18">
        <f>IF(75&lt;DeliverStart,0,BY$43+BZ$42)</f>
        <v/>
      </c>
      <c r="CA43" s="18">
        <f>IF(76&lt;DeliverStart,0,BZ$43+CA$42)</f>
        <v/>
      </c>
      <c r="CB43" s="18">
        <f>IF(77&lt;DeliverStart,0,CA$43+CB$42)</f>
        <v/>
      </c>
      <c r="CC43" s="18">
        <f>IF(78&lt;DeliverStart,0,CB$43+CC$42)</f>
        <v/>
      </c>
      <c r="CD43" s="18">
        <f>IF(79&lt;DeliverStart,0,CC$43+CD$42)</f>
        <v/>
      </c>
      <c r="CE43" s="18">
        <f>IF(80&lt;DeliverStart,0,CD$43+CE$42)</f>
        <v/>
      </c>
      <c r="CF43" s="18">
        <f>IF(81&lt;DeliverStart,0,CE$43+CF$42)</f>
        <v/>
      </c>
      <c r="CG43" s="18">
        <f>IF(82&lt;DeliverStart,0,CF$43+CG$42)</f>
        <v/>
      </c>
      <c r="CH43" s="18">
        <f>IF(83&lt;DeliverStart,0,CG$43+CH$42)</f>
        <v/>
      </c>
      <c r="CI43" s="18">
        <f>IF(84&lt;DeliverStart,0,CH$43+CI$42)</f>
        <v/>
      </c>
      <c r="CJ43" s="18">
        <f>IF(85&lt;DeliverStart,0,CI$43+CJ$42)</f>
        <v/>
      </c>
      <c r="CK43" s="18">
        <f>IF(86&lt;DeliverStart,0,CJ$43+CK$42)</f>
        <v/>
      </c>
      <c r="CL43" s="18">
        <f>IF(87&lt;DeliverStart,0,CK$43+CL$42)</f>
        <v/>
      </c>
      <c r="CM43" s="18">
        <f>IF(88&lt;DeliverStart,0,CL$43+CM$42)</f>
        <v/>
      </c>
      <c r="CN43" s="18">
        <f>IF(89&lt;DeliverStart,0,CM$43+CN$42)</f>
        <v/>
      </c>
      <c r="CO43" s="18">
        <f>IF(90&lt;DeliverStart,0,CN$43+CO$42)</f>
        <v/>
      </c>
      <c r="CP43" s="18">
        <f>IF(91&lt;DeliverStart,0,CO$43+CP$42)</f>
        <v/>
      </c>
      <c r="CQ43" s="18">
        <f>IF(92&lt;DeliverStart,0,CP$43+CQ$42)</f>
        <v/>
      </c>
      <c r="CR43" s="18">
        <f>IF(93&lt;DeliverStart,0,CQ$43+CR$42)</f>
        <v/>
      </c>
      <c r="CS43" s="18">
        <f>IF(94&lt;DeliverStart,0,CR$43+CS$42)</f>
        <v/>
      </c>
      <c r="CT43" s="18">
        <f>IF(95&lt;DeliverStart,0,CS$43+CT$42)</f>
        <v/>
      </c>
      <c r="CU43" s="18">
        <f>IF(96&lt;DeliverStart,0,CT$43+CU$42)</f>
        <v/>
      </c>
      <c r="CV43" s="18">
        <f>IF(97&lt;DeliverStart,0,CU$43+CV$42)</f>
        <v/>
      </c>
      <c r="CW43" s="18">
        <f>IF(98&lt;DeliverStart,0,CV$43+CW$42)</f>
        <v/>
      </c>
      <c r="CX43" s="18">
        <f>IF(99&lt;DeliverStart,0,CW$43+CX$42)</f>
        <v/>
      </c>
      <c r="CY43" s="18">
        <f>IF(100&lt;DeliverStart,0,CX$43+CY$42)</f>
        <v/>
      </c>
      <c r="CZ43" s="18">
        <f>IF(101&lt;DeliverStart,0,CY$43+CZ$42)</f>
        <v/>
      </c>
      <c r="DA43" s="18">
        <f>IF(102&lt;DeliverStart,0,CZ$43+DA$42)</f>
        <v/>
      </c>
      <c r="DB43" s="18">
        <f>IF(103&lt;DeliverStart,0,DA$43+DB$42)</f>
        <v/>
      </c>
      <c r="DC43" s="18">
        <f>IF(104&lt;DeliverStart,0,DB$43+DC$42)</f>
        <v/>
      </c>
      <c r="DD43" s="18">
        <f>IF(105&lt;DeliverStart,0,DC$43+DD$42)</f>
        <v/>
      </c>
      <c r="DE43" s="18">
        <f>IF(106&lt;DeliverStart,0,DD$43+DE$42)</f>
        <v/>
      </c>
      <c r="DF43" s="18">
        <f>IF(107&lt;DeliverStart,0,DE$43+DF$42)</f>
        <v/>
      </c>
      <c r="DG43" s="18">
        <f>IF(108&lt;DeliverStart,0,DF$43+DG$42)</f>
        <v/>
      </c>
      <c r="DH43" s="18">
        <f>IF(109&lt;DeliverStart,0,DG$43+DH$42)</f>
        <v/>
      </c>
      <c r="DI43" s="18">
        <f>IF(110&lt;DeliverStart,0,DH$43+DI$42)</f>
        <v/>
      </c>
      <c r="DJ43" s="18">
        <f>IF(111&lt;DeliverStart,0,DI$43+DJ$42)</f>
        <v/>
      </c>
      <c r="DK43" s="18">
        <f>IF(112&lt;DeliverStart,0,DJ$43+DK$42)</f>
        <v/>
      </c>
      <c r="DL43" s="18">
        <f>IF(113&lt;DeliverStart,0,DK$43+DL$42)</f>
        <v/>
      </c>
      <c r="DM43" s="18">
        <f>IF(114&lt;DeliverStart,0,DL$43+DM$42)</f>
        <v/>
      </c>
      <c r="DN43" s="18">
        <f>IF(115&lt;DeliverStart,0,DM$43+DN$42)</f>
        <v/>
      </c>
      <c r="DO43" s="18">
        <f>IF(116&lt;DeliverStart,0,DN$43+DO$42)</f>
        <v/>
      </c>
      <c r="DP43" s="18">
        <f>IF(117&lt;DeliverStart,0,DO$43+DP$42)</f>
        <v/>
      </c>
      <c r="DQ43" s="18">
        <f>IF(118&lt;DeliverStart,0,DP$43+DQ$42)</f>
        <v/>
      </c>
      <c r="DR43" s="18">
        <f>IF(119&lt;DeliverStart,0,DQ$43+DR$42)</f>
        <v/>
      </c>
      <c r="DS43" s="18">
        <f>IF(120&lt;DeliverStart,0,DR$43+DS$42)</f>
        <v/>
      </c>
      <c r="DT43" s="18">
        <f>IF(121&lt;DeliverStart,0,DS$43+DT$42)</f>
        <v/>
      </c>
      <c r="DU43" s="18">
        <f>IF(122&lt;DeliverStart,0,DT$43+DU$42)</f>
        <v/>
      </c>
      <c r="DV43" s="18">
        <f>IF(123&lt;DeliverStart,0,DU$43+DV$42)</f>
        <v/>
      </c>
      <c r="DW43" s="18">
        <f>IF(124&lt;DeliverStart,0,DV$43+DW$42)</f>
        <v/>
      </c>
      <c r="DX43" s="18">
        <f>IF(125&lt;DeliverStart,0,DW$43+DX$42)</f>
        <v/>
      </c>
      <c r="DY43" s="18">
        <f>IF(126&lt;DeliverStart,0,DX$43+DY$42)</f>
        <v/>
      </c>
      <c r="DZ43" s="18">
        <f>IF(127&lt;DeliverStart,0,DY$43+DZ$42)</f>
        <v/>
      </c>
      <c r="EA43" s="18">
        <f>IF(128&lt;DeliverStart,0,DZ$43+EA$42)</f>
        <v/>
      </c>
      <c r="EB43" s="18">
        <f>IF(129&lt;DeliverStart,0,EA$43+EB$42)</f>
        <v/>
      </c>
      <c r="EC43" s="18">
        <f>IF(130&lt;DeliverStart,0,EB$43+EC$42)</f>
        <v/>
      </c>
      <c r="ED43" s="18">
        <f>IF(131&lt;DeliverStart,0,EC$43+ED$42)</f>
        <v/>
      </c>
      <c r="EE43" s="18">
        <f>IF(132&lt;DeliverStart,0,ED$43+EE$42)</f>
        <v/>
      </c>
      <c r="EF43" s="18">
        <f>IF(133&lt;DeliverStart,0,EE$43+EF$42)</f>
        <v/>
      </c>
      <c r="EG43" s="18">
        <f>IF(134&lt;DeliverStart,0,EF$43+EG$42)</f>
        <v/>
      </c>
      <c r="EH43" s="18">
        <f>IF(135&lt;DeliverStart,0,EG$43+EH$42)</f>
        <v/>
      </c>
      <c r="EI43" s="18">
        <f>IF(136&lt;DeliverStart,0,EH$43+EI$42)</f>
        <v/>
      </c>
      <c r="EJ43" s="18">
        <f>IF(137&lt;DeliverStart,0,EI$43+EJ$42)</f>
        <v/>
      </c>
      <c r="EK43" s="18">
        <f>IF(138&lt;DeliverStart,0,EJ$43+EK$42)</f>
        <v/>
      </c>
      <c r="EL43" s="18">
        <f>IF(139&lt;DeliverStart,0,EK$43+EL$42)</f>
        <v/>
      </c>
      <c r="EM43" s="18">
        <f>IF(140&lt;DeliverStart,0,EL$43+EM$42)</f>
        <v/>
      </c>
      <c r="EN43" s="18">
        <f>IF(141&lt;DeliverStart,0,EM$43+EN$42)</f>
        <v/>
      </c>
      <c r="EO43" s="18">
        <f>IF(142&lt;DeliverStart,0,EN$43+EO$42)</f>
        <v/>
      </c>
      <c r="EP43" s="18">
        <f>IF(143&lt;DeliverStart,0,EO$43+EP$42)</f>
        <v/>
      </c>
      <c r="EQ43" s="18">
        <f>IF(144&lt;DeliverStart,0,EP$43+EQ$42)</f>
        <v/>
      </c>
      <c r="ER43" s="18">
        <f>IF(145&lt;DeliverStart,0,EQ$43+ER$42)</f>
        <v/>
      </c>
      <c r="ES43" s="18">
        <f>IF(146&lt;DeliverStart,0,ER$43+ES$42)</f>
        <v/>
      </c>
      <c r="ET43" s="18">
        <f>IF(147&lt;DeliverStart,0,ES$43+ET$42)</f>
        <v/>
      </c>
      <c r="EU43" s="18">
        <f>IF(148&lt;DeliverStart,0,ET$43+EU$42)</f>
        <v/>
      </c>
      <c r="EV43" s="18">
        <f>IF(149&lt;DeliverStart,0,EU$43+EV$42)</f>
        <v/>
      </c>
      <c r="EW43" s="18">
        <f>IF(150&lt;DeliverStart,0,EV$43+EW$42)</f>
        <v/>
      </c>
      <c r="EX43" s="18">
        <f>IF(151&lt;DeliverStart,0,EW$43+EX$42)</f>
        <v/>
      </c>
      <c r="EY43" s="18">
        <f>IF(152&lt;DeliverStart,0,EX$43+EY$42)</f>
        <v/>
      </c>
      <c r="EZ43" s="18">
        <f>IF(153&lt;DeliverStart,0,EY$43+EZ$42)</f>
        <v/>
      </c>
      <c r="FA43" s="18">
        <f>IF(154&lt;DeliverStart,0,EZ$43+FA$42)</f>
        <v/>
      </c>
      <c r="FB43" s="18">
        <f>IF(155&lt;DeliverStart,0,FA$43+FB$42)</f>
        <v/>
      </c>
      <c r="FC43" s="18">
        <f>IF(156&lt;DeliverStart,0,FB$43+FC$42)</f>
        <v/>
      </c>
      <c r="FD43" s="18">
        <f>IF(157&lt;DeliverStart,0,FC$43+FD$42)</f>
        <v/>
      </c>
      <c r="FE43" s="18">
        <f>IF(158&lt;DeliverStart,0,FD$43+FE$42)</f>
        <v/>
      </c>
      <c r="FF43" s="18">
        <f>IF(159&lt;DeliverStart,0,FE$43+FF$42)</f>
        <v/>
      </c>
      <c r="FG43" s="18">
        <f>IF(160&lt;DeliverStart,0,FF$43+FG$42)</f>
        <v/>
      </c>
      <c r="FH43" s="18">
        <f>IF(161&lt;DeliverStart,0,FG$43+FH$42)</f>
        <v/>
      </c>
      <c r="FI43" s="18">
        <f>IF(162&lt;DeliverStart,0,FH$43+FI$42)</f>
        <v/>
      </c>
      <c r="FJ43" s="18">
        <f>IF(163&lt;DeliverStart,0,FI$43+FJ$42)</f>
        <v/>
      </c>
      <c r="FK43" s="18">
        <f>IF(164&lt;DeliverStart,0,FJ$43+FK$42)</f>
        <v/>
      </c>
      <c r="FL43" s="18">
        <f>IF(165&lt;DeliverStart,0,FK$43+FL$42)</f>
        <v/>
      </c>
      <c r="FM43" s="18">
        <f>IF(166&lt;DeliverStart,0,FL$43+FM$42)</f>
        <v/>
      </c>
      <c r="FN43" s="18">
        <f>IF(167&lt;DeliverStart,0,FM$43+FN$42)</f>
        <v/>
      </c>
      <c r="FO43" s="18">
        <f>IF(168&lt;DeliverStart,0,FN$43+FO$42)</f>
        <v/>
      </c>
      <c r="FP43" s="18">
        <f>IF(169&lt;DeliverStart,0,FO$43+FP$42)</f>
        <v/>
      </c>
      <c r="FQ43" s="18">
        <f>IF(170&lt;DeliverStart,0,FP$43+FQ$42)</f>
        <v/>
      </c>
      <c r="FR43" s="18">
        <f>IF(171&lt;DeliverStart,0,FQ$43+FR$42)</f>
        <v/>
      </c>
      <c r="FS43" s="18">
        <f>IF(172&lt;DeliverStart,0,FR$43+FS$42)</f>
        <v/>
      </c>
      <c r="FT43" s="18">
        <f>IF(173&lt;DeliverStart,0,FS$43+FT$42)</f>
        <v/>
      </c>
      <c r="FU43" s="18">
        <f>IF(174&lt;DeliverStart,0,FT$43+FU$42)</f>
        <v/>
      </c>
      <c r="FV43" s="18">
        <f>IF(175&lt;DeliverStart,0,FU$43+FV$42)</f>
        <v/>
      </c>
      <c r="FW43" s="18">
        <f>IF(176&lt;DeliverStart,0,FV$43+FW$42)</f>
        <v/>
      </c>
      <c r="FX43" s="18">
        <f>IF(177&lt;DeliverStart,0,FW$43+FX$42)</f>
        <v/>
      </c>
      <c r="FY43" s="18">
        <f>IF(178&lt;DeliverStart,0,FX$43+FY$42)</f>
        <v/>
      </c>
      <c r="FZ43" s="18">
        <f>IF(179&lt;DeliverStart,0,FY$43+FZ$42)</f>
        <v/>
      </c>
      <c r="GA43" s="18">
        <f>IF(180&lt;DeliverStart,0,FZ$43+GA$42)</f>
        <v/>
      </c>
      <c r="GB43" s="18">
        <f>IF(181&lt;DeliverStart,0,GA$43+GB$42)</f>
        <v/>
      </c>
      <c r="GC43" s="18">
        <f>IF(182&lt;DeliverStart,0,GB$43+GC$42)</f>
        <v/>
      </c>
      <c r="GD43" s="18">
        <f>IF(183&lt;DeliverStart,0,GC$43+GD$42)</f>
        <v/>
      </c>
      <c r="GE43" s="18">
        <f>IF(184&lt;DeliverStart,0,GD$43+GE$42)</f>
        <v/>
      </c>
      <c r="GF43" s="18">
        <f>IF(185&lt;DeliverStart,0,GE$43+GF$42)</f>
        <v/>
      </c>
      <c r="GG43" s="18">
        <f>IF(186&lt;DeliverStart,0,GF$43+GG$42)</f>
        <v/>
      </c>
      <c r="GH43" s="18">
        <f>IF(187&lt;DeliverStart,0,GG$43+GH$42)</f>
        <v/>
      </c>
      <c r="GI43" s="18">
        <f>IF(188&lt;DeliverStart,0,GH$43+GI$42)</f>
        <v/>
      </c>
      <c r="GJ43" s="18">
        <f>IF(189&lt;DeliverStart,0,GI$43+GJ$42)</f>
        <v/>
      </c>
      <c r="GK43" s="18">
        <f>IF(190&lt;DeliverStart,0,GJ$43+GK$42)</f>
        <v/>
      </c>
      <c r="GL43" s="18">
        <f>IF(191&lt;DeliverStart,0,GK$43+GL$42)</f>
        <v/>
      </c>
      <c r="GM43" s="18">
        <f>IF(192&lt;DeliverStart,0,GL$43+GM$42)</f>
        <v/>
      </c>
      <c r="GN43" s="18">
        <f>IF(193&lt;DeliverStart,0,GM$43+GN$42)</f>
        <v/>
      </c>
      <c r="GO43" s="18">
        <f>IF(194&lt;DeliverStart,0,GN$43+GO$42)</f>
        <v/>
      </c>
      <c r="GP43" s="18">
        <f>IF(195&lt;DeliverStart,0,GO$43+GP$42)</f>
        <v/>
      </c>
      <c r="GQ43" s="18">
        <f>IF(196&lt;DeliverStart,0,GP$43+GQ$42)</f>
        <v/>
      </c>
      <c r="GR43" s="18">
        <f>IF(197&lt;DeliverStart,0,GQ$43+GR$42)</f>
        <v/>
      </c>
      <c r="GS43" s="18">
        <f>IF(198&lt;DeliverStart,0,GR$43+GS$42)</f>
        <v/>
      </c>
      <c r="GT43" s="18">
        <f>IF(199&lt;DeliverStart,0,GS$43+GT$42)</f>
        <v/>
      </c>
      <c r="GU43" s="18">
        <f>IF(200&lt;DeliverStart,0,GT$43+GU$42)</f>
        <v/>
      </c>
      <c r="GV43" s="18">
        <f>IF(201&lt;DeliverStart,0,GU$43+GV$42)</f>
        <v/>
      </c>
      <c r="GW43" s="18">
        <f>IF(202&lt;DeliverStart,0,GV$43+GW$42)</f>
        <v/>
      </c>
      <c r="GX43" s="18">
        <f>IF(203&lt;DeliverStart,0,GW$43+GX$42)</f>
        <v/>
      </c>
      <c r="GY43" s="18">
        <f>IF(204&lt;DeliverStart,0,GX$43+GY$42)</f>
        <v/>
      </c>
      <c r="GZ43" s="18">
        <f>IF(205&lt;DeliverStart,0,GY$43+GZ$42)</f>
        <v/>
      </c>
      <c r="HA43" s="18">
        <f>IF(206&lt;DeliverStart,0,GZ$43+HA$42)</f>
        <v/>
      </c>
      <c r="HB43" s="18">
        <f>IF(207&lt;DeliverStart,0,HA$43+HB$42)</f>
        <v/>
      </c>
      <c r="HC43" s="18">
        <f>IF(208&lt;DeliverStart,0,HB$43+HC$42)</f>
        <v/>
      </c>
      <c r="HD43" s="18">
        <f>IF(209&lt;DeliverStart,0,HC$43+HD$42)</f>
        <v/>
      </c>
      <c r="HE43" s="18">
        <f>IF(210&lt;DeliverStart,0,HD$43+HE$42)</f>
        <v/>
      </c>
      <c r="HF43" s="18">
        <f>IF(211&lt;DeliverStart,0,HE$43+HF$42)</f>
        <v/>
      </c>
      <c r="HG43" s="18">
        <f>IF(212&lt;DeliverStart,0,HF$43+HG$42)</f>
        <v/>
      </c>
      <c r="HH43" s="18">
        <f>IF(213&lt;DeliverStart,0,HG$43+HH$42)</f>
        <v/>
      </c>
      <c r="HI43" s="18">
        <f>IF(214&lt;DeliverStart,0,HH$43+HI$42)</f>
        <v/>
      </c>
      <c r="HJ43" s="18">
        <f>IF(215&lt;DeliverStart,0,HI$43+HJ$42)</f>
        <v/>
      </c>
      <c r="HK43" s="18">
        <f>IF(216&lt;DeliverStart,0,HJ$43+HK$42)</f>
        <v/>
      </c>
      <c r="HL43" s="18">
        <f>IF(217&lt;DeliverStart,0,HK$43+HL$42)</f>
        <v/>
      </c>
      <c r="HM43" s="18">
        <f>IF(218&lt;DeliverStart,0,HL$43+HM$42)</f>
        <v/>
      </c>
      <c r="HN43" s="18">
        <f>IF(219&lt;DeliverStart,0,HM$43+HN$42)</f>
        <v/>
      </c>
      <c r="HO43" s="18">
        <f>IF(220&lt;DeliverStart,0,HN$43+HO$42)</f>
        <v/>
      </c>
      <c r="HP43" s="18">
        <f>IF(221&lt;DeliverStart,0,HO$43+HP$42)</f>
        <v/>
      </c>
      <c r="HQ43" s="18">
        <f>IF(222&lt;DeliverStart,0,HP$43+HQ$42)</f>
        <v/>
      </c>
      <c r="HR43" s="18">
        <f>IF(223&lt;DeliverStart,0,HQ$43+HR$42)</f>
        <v/>
      </c>
      <c r="HS43" s="18">
        <f>IF(224&lt;DeliverStart,0,HR$43+HS$42)</f>
        <v/>
      </c>
      <c r="HT43" s="18">
        <f>IF(225&lt;DeliverStart,0,HS$43+HT$42)</f>
        <v/>
      </c>
      <c r="HU43" s="18">
        <f>IF(226&lt;DeliverStart,0,HT$43+HU$42)</f>
        <v/>
      </c>
      <c r="HV43" s="18">
        <f>IF(227&lt;DeliverStart,0,HU$43+HV$42)</f>
        <v/>
      </c>
      <c r="HW43" s="18">
        <f>IF(228&lt;DeliverStart,0,HV$43+HW$42)</f>
        <v/>
      </c>
      <c r="HX43" s="18">
        <f>IF(229&lt;DeliverStart,0,HW$43+HX$42)</f>
        <v/>
      </c>
      <c r="HY43" s="18">
        <f>IF(230&lt;DeliverStart,0,HX$43+HY$42)</f>
        <v/>
      </c>
      <c r="HZ43" s="18">
        <f>IF(231&lt;DeliverStart,0,HY$43+HZ$42)</f>
        <v/>
      </c>
      <c r="IA43" s="18">
        <f>IF(232&lt;DeliverStart,0,HZ$43+IA$42)</f>
        <v/>
      </c>
      <c r="IB43" s="18">
        <f>IF(233&lt;DeliverStart,0,IA$43+IB$42)</f>
        <v/>
      </c>
      <c r="IC43" s="18">
        <f>IF(234&lt;DeliverStart,0,IB$43+IC$42)</f>
        <v/>
      </c>
      <c r="ID43" s="18">
        <f>IF(235&lt;DeliverStart,0,IC$43+ID$42)</f>
        <v/>
      </c>
      <c r="IE43" s="18">
        <f>IF(236&lt;DeliverStart,0,ID$43+IE$42)</f>
        <v/>
      </c>
      <c r="IF43" s="18">
        <f>IF(237&lt;DeliverStart,0,IE$43+IF$42)</f>
        <v/>
      </c>
      <c r="IG43" s="18">
        <f>IF(238&lt;DeliverStart,0,IF$43+IG$42)</f>
        <v/>
      </c>
      <c r="IH43" s="18">
        <f>IF(239&lt;DeliverStart,0,IG$43+IH$42)</f>
        <v/>
      </c>
      <c r="II43" s="18">
        <f>IF(240&lt;DeliverStart,0,IH$43+II$42)</f>
        <v/>
      </c>
      <c r="IJ43" s="18">
        <f>IF(241&lt;DeliverStart,0,II$43+IJ$42)</f>
        <v/>
      </c>
      <c r="IK43" s="18">
        <f>IF(242&lt;DeliverStart,0,IJ$43+IK$42)</f>
        <v/>
      </c>
      <c r="IL43" s="18">
        <f>IF(243&lt;DeliverStart,0,IK$43+IL$42)</f>
        <v/>
      </c>
      <c r="IM43" s="18">
        <f>IF(244&lt;DeliverStart,0,IL$43+IM$42)</f>
        <v/>
      </c>
      <c r="IN43" s="18">
        <f>IF(245&lt;DeliverStart,0,IM$43+IN$42)</f>
        <v/>
      </c>
      <c r="IO43" s="18">
        <f>IF(246&lt;DeliverStart,0,IN$43+IO$42)</f>
        <v/>
      </c>
      <c r="IP43" s="18">
        <f>IF(247&lt;DeliverStart,0,IO$43+IP$42)</f>
        <v/>
      </c>
      <c r="IQ43" s="18">
        <f>IF(248&lt;DeliverStart,0,IP$43+IQ$42)</f>
        <v/>
      </c>
      <c r="IR43" s="18">
        <f>IF(249&lt;DeliverStart,0,IQ$43+IR$42)</f>
        <v/>
      </c>
      <c r="IS43" s="18">
        <f>IF(250&lt;DeliverStart,0,IR$43+IS$42)</f>
        <v/>
      </c>
      <c r="IT43" s="18">
        <f>IF(251&lt;DeliverStart,0,IS$43+IT$42)</f>
        <v/>
      </c>
      <c r="IU43" s="18">
        <f>IF(252&lt;DeliverStart,0,IT$43+IU$42)</f>
        <v/>
      </c>
      <c r="IV43" s="18">
        <f>IF(253&lt;DeliverStart,0,IU$43+IV$42)</f>
        <v/>
      </c>
      <c r="IW43" s="18">
        <f>IF(254&lt;DeliverStart,0,IV$43+IW$42)</f>
        <v/>
      </c>
      <c r="IX43" s="18">
        <f>IF(255&lt;DeliverStart,0,IW$43+IX$42)</f>
        <v/>
      </c>
      <c r="IY43" s="18">
        <f>IF(256&lt;DeliverStart,0,IX$43+IY$42)</f>
        <v/>
      </c>
      <c r="IZ43" s="18">
        <f>IF(257&lt;DeliverStart,0,IY$43+IZ$42)</f>
        <v/>
      </c>
      <c r="JA43" s="18">
        <f>IF(258&lt;DeliverStart,0,IZ$43+JA$42)</f>
        <v/>
      </c>
      <c r="JB43" s="18">
        <f>IF(259&lt;DeliverStart,0,JA$43+JB$42)</f>
        <v/>
      </c>
      <c r="JC43" s="18">
        <f>IF(260&lt;DeliverStart,0,JB$43+JC$42)</f>
        <v/>
      </c>
      <c r="JD43" s="18">
        <f>IF(261&lt;DeliverStart,0,JC$43+JD$42)</f>
        <v/>
      </c>
      <c r="JE43" s="18">
        <f>IF(262&lt;DeliverStart,0,JD$43+JE$42)</f>
        <v/>
      </c>
      <c r="JF43" s="18">
        <f>IF(263&lt;DeliverStart,0,JE$43+JF$42)</f>
        <v/>
      </c>
      <c r="JG43" s="18">
        <f>IF(264&lt;DeliverStart,0,JF$43+JG$42)</f>
        <v/>
      </c>
      <c r="JH43" s="18">
        <f>IF(265&lt;DeliverStart,0,JG$43+JH$42)</f>
        <v/>
      </c>
      <c r="JI43" s="18">
        <f>IF(266&lt;DeliverStart,0,JH$43+JI$42)</f>
        <v/>
      </c>
      <c r="JJ43" s="18">
        <f>IF(267&lt;DeliverStart,0,JI$43+JJ$42)</f>
        <v/>
      </c>
      <c r="JK43" s="18">
        <f>IF(268&lt;DeliverStart,0,JJ$43+JK$42)</f>
        <v/>
      </c>
      <c r="JL43" s="18">
        <f>IF(269&lt;DeliverStart,0,JK$43+JL$42)</f>
        <v/>
      </c>
      <c r="JM43" s="18">
        <f>IF(270&lt;DeliverStart,0,JL$43+JM$42)</f>
        <v/>
      </c>
      <c r="JN43" s="18">
        <f>IF(271&lt;DeliverStart,0,JM$43+JN$42)</f>
        <v/>
      </c>
      <c r="JO43" s="18">
        <f>IF(272&lt;DeliverStart,0,JN$43+JO$42)</f>
        <v/>
      </c>
      <c r="JP43" s="18">
        <f>IF(273&lt;DeliverStart,0,JO$43+JP$42)</f>
        <v/>
      </c>
      <c r="JQ43" s="18">
        <f>IF(274&lt;DeliverStart,0,JP$43+JQ$42)</f>
        <v/>
      </c>
      <c r="JR43" s="18">
        <f>IF(275&lt;DeliverStart,0,JQ$43+JR$42)</f>
        <v/>
      </c>
      <c r="JS43" s="18">
        <f>IF(276&lt;DeliverStart,0,JR$43+JS$42)</f>
        <v/>
      </c>
      <c r="JT43" s="18">
        <f>IF(277&lt;DeliverStart,0,JS$43+JT$42)</f>
        <v/>
      </c>
      <c r="JU43" s="18">
        <f>IF(278&lt;DeliverStart,0,JT$43+JU$42)</f>
        <v/>
      </c>
      <c r="JV43" s="18">
        <f>IF(279&lt;DeliverStart,0,JU$43+JV$42)</f>
        <v/>
      </c>
      <c r="JW43" s="18">
        <f>IF(280&lt;DeliverStart,0,JV$43+JW$42)</f>
        <v/>
      </c>
      <c r="JX43" s="18">
        <f>IF(281&lt;DeliverStart,0,JW$43+JX$42)</f>
        <v/>
      </c>
      <c r="JY43" s="18">
        <f>IF(282&lt;DeliverStart,0,JX$43+JY$42)</f>
        <v/>
      </c>
      <c r="JZ43" s="18">
        <f>IF(283&lt;DeliverStart,0,JY$43+JZ$42)</f>
        <v/>
      </c>
      <c r="KA43" s="18">
        <f>IF(284&lt;DeliverStart,0,JZ$43+KA$42)</f>
        <v/>
      </c>
      <c r="KB43" s="18">
        <f>IF(285&lt;DeliverStart,0,KA$43+KB$42)</f>
        <v/>
      </c>
      <c r="KC43" s="18">
        <f>IF(286&lt;DeliverStart,0,KB$43+KC$42)</f>
        <v/>
      </c>
      <c r="KD43" s="18">
        <f>IF(287&lt;DeliverStart,0,KC$43+KD$42)</f>
        <v/>
      </c>
      <c r="KE43" s="18">
        <f>IF(288&lt;DeliverStart,0,KD$43+KE$42)</f>
        <v/>
      </c>
      <c r="KF43" s="18">
        <f>IF(289&lt;DeliverStart,0,KE$43+KF$42)</f>
        <v/>
      </c>
      <c r="KG43" s="18">
        <f>IF(290&lt;DeliverStart,0,KF$43+KG$42)</f>
        <v/>
      </c>
      <c r="KH43" s="18">
        <f>IF(291&lt;DeliverStart,0,KG$43+KH$42)</f>
        <v/>
      </c>
      <c r="KI43" s="18">
        <f>IF(292&lt;DeliverStart,0,KH$43+KI$42)</f>
        <v/>
      </c>
      <c r="KJ43" s="18">
        <f>IF(293&lt;DeliverStart,0,KI$43+KJ$42)</f>
        <v/>
      </c>
      <c r="KK43" s="18">
        <f>IF(294&lt;DeliverStart,0,KJ$43+KK$42)</f>
        <v/>
      </c>
      <c r="KL43" s="18">
        <f>IF(295&lt;DeliverStart,0,KK$43+KL$42)</f>
        <v/>
      </c>
      <c r="KM43" s="18">
        <f>IF(296&lt;DeliverStart,0,KL$43+KM$42)</f>
        <v/>
      </c>
      <c r="KN43" s="18">
        <f>IF(297&lt;DeliverStart,0,KM$43+KN$42)</f>
        <v/>
      </c>
      <c r="KO43" s="18">
        <f>IF(298&lt;DeliverStart,0,KN$43+KO$42)</f>
        <v/>
      </c>
      <c r="KP43" s="18">
        <f>IF(299&lt;DeliverStart,0,KO$43+KP$42)</f>
        <v/>
      </c>
      <c r="KQ43" s="18">
        <f>IF(300&lt;DeliverStart,0,KP$43+KQ$42)</f>
        <v/>
      </c>
      <c r="KR43" s="18">
        <f>IF(301&lt;DeliverStart,0,KQ$43+KR$42)</f>
        <v/>
      </c>
      <c r="KS43" s="18">
        <f>IF(302&lt;DeliverStart,0,KR$43+KS$42)</f>
        <v/>
      </c>
      <c r="KT43" s="18">
        <f>IF(303&lt;DeliverStart,0,KS$43+KT$42)</f>
        <v/>
      </c>
      <c r="KU43" s="18">
        <f>IF(304&lt;DeliverStart,0,KT$43+KU$42)</f>
        <v/>
      </c>
      <c r="KV43" s="18">
        <f>IF(305&lt;DeliverStart,0,KU$43+KV$42)</f>
        <v/>
      </c>
      <c r="KW43" s="18">
        <f>IF(306&lt;DeliverStart,0,KV$43+KW$42)</f>
        <v/>
      </c>
      <c r="KX43" s="18">
        <f>IF(307&lt;DeliverStart,0,KW$43+KX$42)</f>
        <v/>
      </c>
      <c r="KY43" s="18">
        <f>IF(308&lt;DeliverStart,0,KX$43+KY$42)</f>
        <v/>
      </c>
      <c r="KZ43" s="18">
        <f>IF(309&lt;DeliverStart,0,KY$43+KZ$42)</f>
        <v/>
      </c>
      <c r="LA43" s="18">
        <f>IF(310&lt;DeliverStart,0,KZ$43+LA$42)</f>
        <v/>
      </c>
      <c r="LB43" s="18">
        <f>IF(311&lt;DeliverStart,0,LA$43+LB$42)</f>
        <v/>
      </c>
      <c r="LC43" s="18">
        <f>IF(312&lt;DeliverStart,0,LB$43+LC$42)</f>
        <v/>
      </c>
      <c r="LD43" s="18">
        <f>IF(313&lt;DeliverStart,0,LC$43+LD$42)</f>
        <v/>
      </c>
      <c r="LE43" s="18">
        <f>IF(314&lt;DeliverStart,0,LD$43+LE$42)</f>
        <v/>
      </c>
      <c r="LF43" s="18">
        <f>IF(315&lt;DeliverStart,0,LE$43+LF$42)</f>
        <v/>
      </c>
      <c r="LG43" s="18">
        <f>IF(316&lt;DeliverStart,0,LF$43+LG$42)</f>
        <v/>
      </c>
      <c r="LH43" s="18">
        <f>IF(317&lt;DeliverStart,0,LG$43+LH$42)</f>
        <v/>
      </c>
      <c r="LI43" s="18">
        <f>IF(318&lt;DeliverStart,0,LH$43+LI$42)</f>
        <v/>
      </c>
      <c r="LJ43" s="18">
        <f>IF(319&lt;DeliverStart,0,LI$43+LJ$42)</f>
        <v/>
      </c>
      <c r="LK43" s="18">
        <f>IF(320&lt;DeliverStart,0,LJ$43+LK$42)</f>
        <v/>
      </c>
      <c r="LL43" s="18">
        <f>IF(321&lt;DeliverStart,0,LK$43+LL$42)</f>
        <v/>
      </c>
      <c r="LM43" s="18">
        <f>IF(322&lt;DeliverStart,0,LL$43+LM$42)</f>
        <v/>
      </c>
      <c r="LN43" s="18">
        <f>IF(323&lt;DeliverStart,0,LM$43+LN$42)</f>
        <v/>
      </c>
      <c r="LO43" s="18">
        <f>IF(324&lt;DeliverStart,0,LN$43+LO$42)</f>
        <v/>
      </c>
      <c r="LP43" s="18">
        <f>IF(325&lt;DeliverStart,0,LO$43+LP$42)</f>
        <v/>
      </c>
      <c r="LQ43" s="18">
        <f>IF(326&lt;DeliverStart,0,LP$43+LQ$42)</f>
        <v/>
      </c>
      <c r="LR43" s="18">
        <f>IF(327&lt;DeliverStart,0,LQ$43+LR$42)</f>
        <v/>
      </c>
      <c r="LS43" s="18">
        <f>IF(328&lt;DeliverStart,0,LR$43+LS$42)</f>
        <v/>
      </c>
      <c r="LT43" s="18">
        <f>IF(329&lt;DeliverStart,0,LS$43+LT$42)</f>
        <v/>
      </c>
      <c r="LU43" s="18">
        <f>IF(330&lt;DeliverStart,0,LT$43+LU$42)</f>
        <v/>
      </c>
      <c r="LV43" s="18">
        <f>IF(331&lt;DeliverStart,0,LU$43+LV$42)</f>
        <v/>
      </c>
      <c r="LW43" s="18">
        <f>IF(332&lt;DeliverStart,0,LV$43+LW$42)</f>
        <v/>
      </c>
      <c r="LX43" s="18">
        <f>IF(333&lt;DeliverStart,0,LW$43+LX$42)</f>
        <v/>
      </c>
      <c r="LY43" s="18">
        <f>IF(334&lt;DeliverStart,0,LX$43+LY$42)</f>
        <v/>
      </c>
      <c r="LZ43" s="18">
        <f>IF(335&lt;DeliverStart,0,LY$43+LZ$42)</f>
        <v/>
      </c>
      <c r="MA43" s="18">
        <f>IF(336&lt;DeliverStart,0,LZ$43+MA$42)</f>
        <v/>
      </c>
      <c r="MB43" s="18">
        <f>IF(337&lt;DeliverStart,0,MA$43+MB$42)</f>
        <v/>
      </c>
      <c r="MC43" s="18">
        <f>IF(338&lt;DeliverStart,0,MB$43+MC$42)</f>
        <v/>
      </c>
      <c r="MD43" s="18">
        <f>IF(339&lt;DeliverStart,0,MC$43+MD$42)</f>
        <v/>
      </c>
      <c r="ME43" s="18">
        <f>IF(340&lt;DeliverStart,0,MD$43+ME$42)</f>
        <v/>
      </c>
      <c r="MF43" s="18">
        <f>IF(341&lt;DeliverStart,0,ME$43+MF$42)</f>
        <v/>
      </c>
      <c r="MG43" s="18">
        <f>IF(342&lt;DeliverStart,0,MF$43+MG$42)</f>
        <v/>
      </c>
      <c r="MH43" s="18">
        <f>IF(343&lt;DeliverStart,0,MG$43+MH$42)</f>
        <v/>
      </c>
      <c r="MI43" s="18">
        <f>IF(344&lt;DeliverStart,0,MH$43+MI$42)</f>
        <v/>
      </c>
      <c r="MJ43" s="18">
        <f>IF(345&lt;DeliverStart,0,MI$43+MJ$42)</f>
        <v/>
      </c>
      <c r="MK43" s="18">
        <f>IF(346&lt;DeliverStart,0,MJ$43+MK$42)</f>
        <v/>
      </c>
      <c r="ML43" s="18">
        <f>IF(347&lt;DeliverStart,0,MK$43+ML$42)</f>
        <v/>
      </c>
      <c r="MM43" s="18">
        <f>IF(348&lt;DeliverStart,0,ML$43+MM$42)</f>
        <v/>
      </c>
      <c r="MN43" s="18">
        <f>IF(349&lt;DeliverStart,0,MM$43+MN$42)</f>
        <v/>
      </c>
      <c r="MO43" s="18">
        <f>IF(350&lt;DeliverStart,0,MN$43+MO$42)</f>
        <v/>
      </c>
      <c r="MP43" s="18">
        <f>IF(351&lt;DeliverStart,0,MO$43+MP$42)</f>
        <v/>
      </c>
      <c r="MQ43" s="18">
        <f>IF(352&lt;DeliverStart,0,MP$43+MQ$42)</f>
        <v/>
      </c>
      <c r="MR43" s="18">
        <f>IF(353&lt;DeliverStart,0,MQ$43+MR$42)</f>
        <v/>
      </c>
      <c r="MS43" s="18">
        <f>IF(354&lt;DeliverStart,0,MR$43+MS$42)</f>
        <v/>
      </c>
      <c r="MT43" s="18">
        <f>IF(355&lt;DeliverStart,0,MS$43+MT$42)</f>
        <v/>
      </c>
      <c r="MU43" s="18">
        <f>IF(356&lt;DeliverStart,0,MT$43+MU$42)</f>
        <v/>
      </c>
      <c r="MV43" s="18">
        <f>IF(357&lt;DeliverStart,0,MU$43+MV$42)</f>
        <v/>
      </c>
      <c r="MW43" s="18">
        <f>IF(358&lt;DeliverStart,0,MV$43+MW$42)</f>
        <v/>
      </c>
      <c r="MX43" s="18">
        <f>IF(359&lt;DeliverStart,0,MW$43+MX$42)</f>
        <v/>
      </c>
      <c r="MY43" s="18">
        <f>IF(360&lt;DeliverStart,0,MX$43+MY$42)</f>
        <v/>
      </c>
      <c r="MZ43" s="18">
        <f>IF(361&lt;DeliverStart,0,MY$43+MZ$42)</f>
        <v/>
      </c>
      <c r="NA43" s="18">
        <f>IF(362&lt;DeliverStart,0,MZ$43+NA$42)</f>
        <v/>
      </c>
      <c r="NB43" s="18">
        <f>IF(363&lt;DeliverStart,0,NA$43+NB$42)</f>
        <v/>
      </c>
      <c r="NC43" s="18">
        <f>IF(364&lt;DeliverStart,0,NB$43+NC$42)</f>
        <v/>
      </c>
      <c r="ND43" s="18">
        <f>IF(365&lt;DeliverStart,0,NC$43+ND$42)</f>
        <v/>
      </c>
      <c r="NE43" s="18">
        <f>IF(366&lt;DeliverStart,0,ND$43+NE$42)</f>
        <v/>
      </c>
      <c r="NF43" s="18">
        <f>IF(367&lt;DeliverStart,0,NE$43+NF$42)</f>
        <v/>
      </c>
      <c r="NG43" s="18">
        <f>IF(368&lt;DeliverStart,0,NF$43+NG$42)</f>
        <v/>
      </c>
      <c r="NH43" s="18">
        <f>IF(369&lt;DeliverStart,0,NG$43+NH$42)</f>
        <v/>
      </c>
      <c r="NI43" s="18">
        <f>IF(370&lt;DeliverStart,0,NH$43+NI$42)</f>
        <v/>
      </c>
      <c r="NJ43" s="18">
        <f>IF(371&lt;DeliverStart,0,NI$43+NJ$42)</f>
        <v/>
      </c>
      <c r="NK43" s="18">
        <f>IF(372&lt;DeliverStart,0,NJ$43+NK$42)</f>
        <v/>
      </c>
    </row>
    <row r="44">
      <c r="A44" s="5" t="inlineStr">
        <is>
          <t>Unlevered Operating CF (property)</t>
        </is>
      </c>
      <c r="C44" s="41">
        <f>SUM(D44:NK44)</f>
        <v/>
      </c>
      <c r="D44" s="18">
        <f>IF('Timeline'!D$41=1,D$42,0)</f>
        <v/>
      </c>
      <c r="E44" s="18">
        <f>IF('Timeline'!E$41=1,E$42,0)</f>
        <v/>
      </c>
      <c r="F44" s="18">
        <f>IF('Timeline'!F$41=1,F$42,0)</f>
        <v/>
      </c>
      <c r="G44" s="18">
        <f>IF('Timeline'!G$41=1,G$42,0)</f>
        <v/>
      </c>
      <c r="H44" s="18">
        <f>IF('Timeline'!H$41=1,H$42,0)</f>
        <v/>
      </c>
      <c r="I44" s="18">
        <f>IF('Timeline'!I$41=1,I$42,0)</f>
        <v/>
      </c>
      <c r="J44" s="18">
        <f>IF('Timeline'!J$41=1,J$42,0)</f>
        <v/>
      </c>
      <c r="K44" s="18">
        <f>IF('Timeline'!K$41=1,K$42,0)</f>
        <v/>
      </c>
      <c r="L44" s="18">
        <f>IF('Timeline'!L$41=1,L$42,0)</f>
        <v/>
      </c>
      <c r="M44" s="18">
        <f>IF('Timeline'!M$41=1,M$42,0)</f>
        <v/>
      </c>
      <c r="N44" s="18">
        <f>IF('Timeline'!N$41=1,N$42,0)</f>
        <v/>
      </c>
      <c r="O44" s="18">
        <f>IF('Timeline'!O$41=1,O$42,0)</f>
        <v/>
      </c>
      <c r="P44" s="18">
        <f>IF('Timeline'!P$41=1,P$42,0)</f>
        <v/>
      </c>
      <c r="Q44" s="18">
        <f>IF('Timeline'!Q$41=1,Q$42,0)</f>
        <v/>
      </c>
      <c r="R44" s="18">
        <f>IF('Timeline'!R$41=1,R$42,0)</f>
        <v/>
      </c>
      <c r="S44" s="18">
        <f>IF('Timeline'!S$41=1,S$42,0)</f>
        <v/>
      </c>
      <c r="T44" s="18">
        <f>IF('Timeline'!T$41=1,T$42,0)</f>
        <v/>
      </c>
      <c r="U44" s="18">
        <f>IF('Timeline'!U$41=1,U$42,0)</f>
        <v/>
      </c>
      <c r="V44" s="18">
        <f>IF('Timeline'!V$41=1,V$42,0)</f>
        <v/>
      </c>
      <c r="W44" s="18">
        <f>IF('Timeline'!W$41=1,W$42,0)</f>
        <v/>
      </c>
      <c r="X44" s="18">
        <f>IF('Timeline'!X$41=1,X$42,0)</f>
        <v/>
      </c>
      <c r="Y44" s="18">
        <f>IF('Timeline'!Y$41=1,Y$42,0)</f>
        <v/>
      </c>
      <c r="Z44" s="18">
        <f>IF('Timeline'!Z$41=1,Z$42,0)</f>
        <v/>
      </c>
      <c r="AA44" s="18">
        <f>IF('Timeline'!AA$41=1,AA$42,0)</f>
        <v/>
      </c>
      <c r="AB44" s="18">
        <f>IF('Timeline'!AB$41=1,AB$42,0)</f>
        <v/>
      </c>
      <c r="AC44" s="18">
        <f>IF('Timeline'!AC$41=1,AC$42,0)</f>
        <v/>
      </c>
      <c r="AD44" s="18">
        <f>IF('Timeline'!AD$41=1,AD$42,0)</f>
        <v/>
      </c>
      <c r="AE44" s="18">
        <f>IF('Timeline'!AE$41=1,AE$42,0)</f>
        <v/>
      </c>
      <c r="AF44" s="18">
        <f>IF('Timeline'!AF$41=1,AF$42,0)</f>
        <v/>
      </c>
      <c r="AG44" s="18">
        <f>IF('Timeline'!AG$41=1,AG$42,0)</f>
        <v/>
      </c>
      <c r="AH44" s="18">
        <f>IF('Timeline'!AH$41=1,AH$42,0)</f>
        <v/>
      </c>
      <c r="AI44" s="18">
        <f>IF('Timeline'!AI$41=1,AI$42,0)</f>
        <v/>
      </c>
      <c r="AJ44" s="18">
        <f>IF('Timeline'!AJ$41=1,AJ$42,0)</f>
        <v/>
      </c>
      <c r="AK44" s="18">
        <f>IF('Timeline'!AK$41=1,AK$42,0)</f>
        <v/>
      </c>
      <c r="AL44" s="18">
        <f>IF('Timeline'!AL$41=1,AL$42,0)</f>
        <v/>
      </c>
      <c r="AM44" s="18">
        <f>IF('Timeline'!AM$41=1,AM$42,0)</f>
        <v/>
      </c>
      <c r="AN44" s="18">
        <f>IF('Timeline'!AN$41=1,AN$42,0)</f>
        <v/>
      </c>
      <c r="AO44" s="18">
        <f>IF('Timeline'!AO$41=1,AO$42,0)</f>
        <v/>
      </c>
      <c r="AP44" s="18">
        <f>IF('Timeline'!AP$41=1,AP$42,0)</f>
        <v/>
      </c>
      <c r="AQ44" s="18">
        <f>IF('Timeline'!AQ$41=1,AQ$42,0)</f>
        <v/>
      </c>
      <c r="AR44" s="18">
        <f>IF('Timeline'!AR$41=1,AR$42,0)</f>
        <v/>
      </c>
      <c r="AS44" s="18">
        <f>IF('Timeline'!AS$41=1,AS$42,0)</f>
        <v/>
      </c>
      <c r="AT44" s="18">
        <f>IF('Timeline'!AT$41=1,AT$42,0)</f>
        <v/>
      </c>
      <c r="AU44" s="18">
        <f>IF('Timeline'!AU$41=1,AU$42,0)</f>
        <v/>
      </c>
      <c r="AV44" s="18">
        <f>IF('Timeline'!AV$41=1,AV$42,0)</f>
        <v/>
      </c>
      <c r="AW44" s="18">
        <f>IF('Timeline'!AW$41=1,AW$42,0)</f>
        <v/>
      </c>
      <c r="AX44" s="18">
        <f>IF('Timeline'!AX$41=1,AX$42,0)</f>
        <v/>
      </c>
      <c r="AY44" s="18">
        <f>IF('Timeline'!AY$41=1,AY$42,0)</f>
        <v/>
      </c>
      <c r="AZ44" s="18">
        <f>IF('Timeline'!AZ$41=1,AZ$42,0)</f>
        <v/>
      </c>
      <c r="BA44" s="18">
        <f>IF('Timeline'!BA$41=1,BA$42,0)</f>
        <v/>
      </c>
      <c r="BB44" s="18">
        <f>IF('Timeline'!BB$41=1,BB$42,0)</f>
        <v/>
      </c>
      <c r="BC44" s="18">
        <f>IF('Timeline'!BC$41=1,BC$42,0)</f>
        <v/>
      </c>
      <c r="BD44" s="18">
        <f>IF('Timeline'!BD$41=1,BD$42,0)</f>
        <v/>
      </c>
      <c r="BE44" s="18">
        <f>IF('Timeline'!BE$41=1,BE$42,0)</f>
        <v/>
      </c>
      <c r="BF44" s="18">
        <f>IF('Timeline'!BF$41=1,BF$42,0)</f>
        <v/>
      </c>
      <c r="BG44" s="18">
        <f>IF('Timeline'!BG$41=1,BG$42,0)</f>
        <v/>
      </c>
      <c r="BH44" s="18">
        <f>IF('Timeline'!BH$41=1,BH$42,0)</f>
        <v/>
      </c>
      <c r="BI44" s="18">
        <f>IF('Timeline'!BI$41=1,BI$42,0)</f>
        <v/>
      </c>
      <c r="BJ44" s="18">
        <f>IF('Timeline'!BJ$41=1,BJ$42,0)</f>
        <v/>
      </c>
      <c r="BK44" s="18">
        <f>IF('Timeline'!BK$41=1,BK$42,0)</f>
        <v/>
      </c>
      <c r="BL44" s="18">
        <f>IF('Timeline'!BL$41=1,BL$42,0)</f>
        <v/>
      </c>
      <c r="BM44" s="18">
        <f>IF('Timeline'!BM$41=1,BM$42,0)</f>
        <v/>
      </c>
      <c r="BN44" s="18">
        <f>IF('Timeline'!BN$41=1,BN$42,0)</f>
        <v/>
      </c>
      <c r="BO44" s="18">
        <f>IF('Timeline'!BO$41=1,BO$42,0)</f>
        <v/>
      </c>
      <c r="BP44" s="18">
        <f>IF('Timeline'!BP$41=1,BP$42,0)</f>
        <v/>
      </c>
      <c r="BQ44" s="18">
        <f>IF('Timeline'!BQ$41=1,BQ$42,0)</f>
        <v/>
      </c>
      <c r="BR44" s="18">
        <f>IF('Timeline'!BR$41=1,BR$42,0)</f>
        <v/>
      </c>
      <c r="BS44" s="18">
        <f>IF('Timeline'!BS$41=1,BS$42,0)</f>
        <v/>
      </c>
      <c r="BT44" s="18">
        <f>IF('Timeline'!BT$41=1,BT$42,0)</f>
        <v/>
      </c>
      <c r="BU44" s="18">
        <f>IF('Timeline'!BU$41=1,BU$42,0)</f>
        <v/>
      </c>
      <c r="BV44" s="18">
        <f>IF('Timeline'!BV$41=1,BV$42,0)</f>
        <v/>
      </c>
      <c r="BW44" s="18">
        <f>IF('Timeline'!BW$41=1,BW$42,0)</f>
        <v/>
      </c>
      <c r="BX44" s="18">
        <f>IF('Timeline'!BX$41=1,BX$42,0)</f>
        <v/>
      </c>
      <c r="BY44" s="18">
        <f>IF('Timeline'!BY$41=1,BY$42,0)</f>
        <v/>
      </c>
      <c r="BZ44" s="18">
        <f>IF('Timeline'!BZ$41=1,BZ$42,0)</f>
        <v/>
      </c>
      <c r="CA44" s="18">
        <f>IF('Timeline'!CA$41=1,CA$42,0)</f>
        <v/>
      </c>
      <c r="CB44" s="18">
        <f>IF('Timeline'!CB$41=1,CB$42,0)</f>
        <v/>
      </c>
      <c r="CC44" s="18">
        <f>IF('Timeline'!CC$41=1,CC$42,0)</f>
        <v/>
      </c>
      <c r="CD44" s="18">
        <f>IF('Timeline'!CD$41=1,CD$42,0)</f>
        <v/>
      </c>
      <c r="CE44" s="18">
        <f>IF('Timeline'!CE$41=1,CE$42,0)</f>
        <v/>
      </c>
      <c r="CF44" s="18">
        <f>IF('Timeline'!CF$41=1,CF$42,0)</f>
        <v/>
      </c>
      <c r="CG44" s="18">
        <f>IF('Timeline'!CG$41=1,CG$42,0)</f>
        <v/>
      </c>
      <c r="CH44" s="18">
        <f>IF('Timeline'!CH$41=1,CH$42,0)</f>
        <v/>
      </c>
      <c r="CI44" s="18">
        <f>IF('Timeline'!CI$41=1,CI$42,0)</f>
        <v/>
      </c>
      <c r="CJ44" s="18">
        <f>IF('Timeline'!CJ$41=1,CJ$42,0)</f>
        <v/>
      </c>
      <c r="CK44" s="18">
        <f>IF('Timeline'!CK$41=1,CK$42,0)</f>
        <v/>
      </c>
      <c r="CL44" s="18">
        <f>IF('Timeline'!CL$41=1,CL$42,0)</f>
        <v/>
      </c>
      <c r="CM44" s="18">
        <f>IF('Timeline'!CM$41=1,CM$42,0)</f>
        <v/>
      </c>
      <c r="CN44" s="18">
        <f>IF('Timeline'!CN$41=1,CN$42,0)</f>
        <v/>
      </c>
      <c r="CO44" s="18">
        <f>IF('Timeline'!CO$41=1,CO$42,0)</f>
        <v/>
      </c>
      <c r="CP44" s="18">
        <f>IF('Timeline'!CP$41=1,CP$42,0)</f>
        <v/>
      </c>
      <c r="CQ44" s="18">
        <f>IF('Timeline'!CQ$41=1,CQ$42,0)</f>
        <v/>
      </c>
      <c r="CR44" s="18">
        <f>IF('Timeline'!CR$41=1,CR$42,0)</f>
        <v/>
      </c>
      <c r="CS44" s="18">
        <f>IF('Timeline'!CS$41=1,CS$42,0)</f>
        <v/>
      </c>
      <c r="CT44" s="18">
        <f>IF('Timeline'!CT$41=1,CT$42,0)</f>
        <v/>
      </c>
      <c r="CU44" s="18">
        <f>IF('Timeline'!CU$41=1,CU$42,0)</f>
        <v/>
      </c>
      <c r="CV44" s="18">
        <f>IF('Timeline'!CV$41=1,CV$42,0)</f>
        <v/>
      </c>
      <c r="CW44" s="18">
        <f>IF('Timeline'!CW$41=1,CW$42,0)</f>
        <v/>
      </c>
      <c r="CX44" s="18">
        <f>IF('Timeline'!CX$41=1,CX$42,0)</f>
        <v/>
      </c>
      <c r="CY44" s="18">
        <f>IF('Timeline'!CY$41=1,CY$42,0)</f>
        <v/>
      </c>
      <c r="CZ44" s="18">
        <f>IF('Timeline'!CZ$41=1,CZ$42,0)</f>
        <v/>
      </c>
      <c r="DA44" s="18">
        <f>IF('Timeline'!DA$41=1,DA$42,0)</f>
        <v/>
      </c>
      <c r="DB44" s="18">
        <f>IF('Timeline'!DB$41=1,DB$42,0)</f>
        <v/>
      </c>
      <c r="DC44" s="18">
        <f>IF('Timeline'!DC$41=1,DC$42,0)</f>
        <v/>
      </c>
      <c r="DD44" s="18">
        <f>IF('Timeline'!DD$41=1,DD$42,0)</f>
        <v/>
      </c>
      <c r="DE44" s="18">
        <f>IF('Timeline'!DE$41=1,DE$42,0)</f>
        <v/>
      </c>
      <c r="DF44" s="18">
        <f>IF('Timeline'!DF$41=1,DF$42,0)</f>
        <v/>
      </c>
      <c r="DG44" s="18">
        <f>IF('Timeline'!DG$41=1,DG$42,0)</f>
        <v/>
      </c>
      <c r="DH44" s="18">
        <f>IF('Timeline'!DH$41=1,DH$42,0)</f>
        <v/>
      </c>
      <c r="DI44" s="18">
        <f>IF('Timeline'!DI$41=1,DI$42,0)</f>
        <v/>
      </c>
      <c r="DJ44" s="18">
        <f>IF('Timeline'!DJ$41=1,DJ$42,0)</f>
        <v/>
      </c>
      <c r="DK44" s="18">
        <f>IF('Timeline'!DK$41=1,DK$42,0)</f>
        <v/>
      </c>
      <c r="DL44" s="18">
        <f>IF('Timeline'!DL$41=1,DL$42,0)</f>
        <v/>
      </c>
      <c r="DM44" s="18">
        <f>IF('Timeline'!DM$41=1,DM$42,0)</f>
        <v/>
      </c>
      <c r="DN44" s="18">
        <f>IF('Timeline'!DN$41=1,DN$42,0)</f>
        <v/>
      </c>
      <c r="DO44" s="18">
        <f>IF('Timeline'!DO$41=1,DO$42,0)</f>
        <v/>
      </c>
      <c r="DP44" s="18">
        <f>IF('Timeline'!DP$41=1,DP$42,0)</f>
        <v/>
      </c>
      <c r="DQ44" s="18">
        <f>IF('Timeline'!DQ$41=1,DQ$42,0)</f>
        <v/>
      </c>
      <c r="DR44" s="18">
        <f>IF('Timeline'!DR$41=1,DR$42,0)</f>
        <v/>
      </c>
      <c r="DS44" s="18">
        <f>IF('Timeline'!DS$41=1,DS$42,0)</f>
        <v/>
      </c>
      <c r="DT44" s="18">
        <f>IF('Timeline'!DT$41=1,DT$42,0)</f>
        <v/>
      </c>
      <c r="DU44" s="18">
        <f>IF('Timeline'!DU$41=1,DU$42,0)</f>
        <v/>
      </c>
      <c r="DV44" s="18">
        <f>IF('Timeline'!DV$41=1,DV$42,0)</f>
        <v/>
      </c>
      <c r="DW44" s="18">
        <f>IF('Timeline'!DW$41=1,DW$42,0)</f>
        <v/>
      </c>
      <c r="DX44" s="18">
        <f>IF('Timeline'!DX$41=1,DX$42,0)</f>
        <v/>
      </c>
      <c r="DY44" s="18">
        <f>IF('Timeline'!DY$41=1,DY$42,0)</f>
        <v/>
      </c>
      <c r="DZ44" s="18">
        <f>IF('Timeline'!DZ$41=1,DZ$42,0)</f>
        <v/>
      </c>
      <c r="EA44" s="18">
        <f>IF('Timeline'!EA$41=1,EA$42,0)</f>
        <v/>
      </c>
      <c r="EB44" s="18">
        <f>IF('Timeline'!EB$41=1,EB$42,0)</f>
        <v/>
      </c>
      <c r="EC44" s="18">
        <f>IF('Timeline'!EC$41=1,EC$42,0)</f>
        <v/>
      </c>
      <c r="ED44" s="18">
        <f>IF('Timeline'!ED$41=1,ED$42,0)</f>
        <v/>
      </c>
      <c r="EE44" s="18">
        <f>IF('Timeline'!EE$41=1,EE$42,0)</f>
        <v/>
      </c>
      <c r="EF44" s="18">
        <f>IF('Timeline'!EF$41=1,EF$42,0)</f>
        <v/>
      </c>
      <c r="EG44" s="18">
        <f>IF('Timeline'!EG$41=1,EG$42,0)</f>
        <v/>
      </c>
      <c r="EH44" s="18">
        <f>IF('Timeline'!EH$41=1,EH$42,0)</f>
        <v/>
      </c>
      <c r="EI44" s="18">
        <f>IF('Timeline'!EI$41=1,EI$42,0)</f>
        <v/>
      </c>
      <c r="EJ44" s="18">
        <f>IF('Timeline'!EJ$41=1,EJ$42,0)</f>
        <v/>
      </c>
      <c r="EK44" s="18">
        <f>IF('Timeline'!EK$41=1,EK$42,0)</f>
        <v/>
      </c>
      <c r="EL44" s="18">
        <f>IF('Timeline'!EL$41=1,EL$42,0)</f>
        <v/>
      </c>
      <c r="EM44" s="18">
        <f>IF('Timeline'!EM$41=1,EM$42,0)</f>
        <v/>
      </c>
      <c r="EN44" s="18">
        <f>IF('Timeline'!EN$41=1,EN$42,0)</f>
        <v/>
      </c>
      <c r="EO44" s="18">
        <f>IF('Timeline'!EO$41=1,EO$42,0)</f>
        <v/>
      </c>
      <c r="EP44" s="18">
        <f>IF('Timeline'!EP$41=1,EP$42,0)</f>
        <v/>
      </c>
      <c r="EQ44" s="18">
        <f>IF('Timeline'!EQ$41=1,EQ$42,0)</f>
        <v/>
      </c>
      <c r="ER44" s="18">
        <f>IF('Timeline'!ER$41=1,ER$42,0)</f>
        <v/>
      </c>
      <c r="ES44" s="18">
        <f>IF('Timeline'!ES$41=1,ES$42,0)</f>
        <v/>
      </c>
      <c r="ET44" s="18">
        <f>IF('Timeline'!ET$41=1,ET$42,0)</f>
        <v/>
      </c>
      <c r="EU44" s="18">
        <f>IF('Timeline'!EU$41=1,EU$42,0)</f>
        <v/>
      </c>
      <c r="EV44" s="18">
        <f>IF('Timeline'!EV$41=1,EV$42,0)</f>
        <v/>
      </c>
      <c r="EW44" s="18">
        <f>IF('Timeline'!EW$41=1,EW$42,0)</f>
        <v/>
      </c>
      <c r="EX44" s="18">
        <f>IF('Timeline'!EX$41=1,EX$42,0)</f>
        <v/>
      </c>
      <c r="EY44" s="18">
        <f>IF('Timeline'!EY$41=1,EY$42,0)</f>
        <v/>
      </c>
      <c r="EZ44" s="18">
        <f>IF('Timeline'!EZ$41=1,EZ$42,0)</f>
        <v/>
      </c>
      <c r="FA44" s="18">
        <f>IF('Timeline'!FA$41=1,FA$42,0)</f>
        <v/>
      </c>
      <c r="FB44" s="18">
        <f>IF('Timeline'!FB$41=1,FB$42,0)</f>
        <v/>
      </c>
      <c r="FC44" s="18">
        <f>IF('Timeline'!FC$41=1,FC$42,0)</f>
        <v/>
      </c>
      <c r="FD44" s="18">
        <f>IF('Timeline'!FD$41=1,FD$42,0)</f>
        <v/>
      </c>
      <c r="FE44" s="18">
        <f>IF('Timeline'!FE$41=1,FE$42,0)</f>
        <v/>
      </c>
      <c r="FF44" s="18">
        <f>IF('Timeline'!FF$41=1,FF$42,0)</f>
        <v/>
      </c>
      <c r="FG44" s="18">
        <f>IF('Timeline'!FG$41=1,FG$42,0)</f>
        <v/>
      </c>
      <c r="FH44" s="18">
        <f>IF('Timeline'!FH$41=1,FH$42,0)</f>
        <v/>
      </c>
      <c r="FI44" s="18">
        <f>IF('Timeline'!FI$41=1,FI$42,0)</f>
        <v/>
      </c>
      <c r="FJ44" s="18">
        <f>IF('Timeline'!FJ$41=1,FJ$42,0)</f>
        <v/>
      </c>
      <c r="FK44" s="18">
        <f>IF('Timeline'!FK$41=1,FK$42,0)</f>
        <v/>
      </c>
      <c r="FL44" s="18">
        <f>IF('Timeline'!FL$41=1,FL$42,0)</f>
        <v/>
      </c>
      <c r="FM44" s="18">
        <f>IF('Timeline'!FM$41=1,FM$42,0)</f>
        <v/>
      </c>
      <c r="FN44" s="18">
        <f>IF('Timeline'!FN$41=1,FN$42,0)</f>
        <v/>
      </c>
      <c r="FO44" s="18">
        <f>IF('Timeline'!FO$41=1,FO$42,0)</f>
        <v/>
      </c>
      <c r="FP44" s="18">
        <f>IF('Timeline'!FP$41=1,FP$42,0)</f>
        <v/>
      </c>
      <c r="FQ44" s="18">
        <f>IF('Timeline'!FQ$41=1,FQ$42,0)</f>
        <v/>
      </c>
      <c r="FR44" s="18">
        <f>IF('Timeline'!FR$41=1,FR$42,0)</f>
        <v/>
      </c>
      <c r="FS44" s="18">
        <f>IF('Timeline'!FS$41=1,FS$42,0)</f>
        <v/>
      </c>
      <c r="FT44" s="18">
        <f>IF('Timeline'!FT$41=1,FT$42,0)</f>
        <v/>
      </c>
      <c r="FU44" s="18">
        <f>IF('Timeline'!FU$41=1,FU$42,0)</f>
        <v/>
      </c>
      <c r="FV44" s="18">
        <f>IF('Timeline'!FV$41=1,FV$42,0)</f>
        <v/>
      </c>
      <c r="FW44" s="18">
        <f>IF('Timeline'!FW$41=1,FW$42,0)</f>
        <v/>
      </c>
      <c r="FX44" s="18">
        <f>IF('Timeline'!FX$41=1,FX$42,0)</f>
        <v/>
      </c>
      <c r="FY44" s="18">
        <f>IF('Timeline'!FY$41=1,FY$42,0)</f>
        <v/>
      </c>
      <c r="FZ44" s="18">
        <f>IF('Timeline'!FZ$41=1,FZ$42,0)</f>
        <v/>
      </c>
      <c r="GA44" s="18">
        <f>IF('Timeline'!GA$41=1,GA$42,0)</f>
        <v/>
      </c>
      <c r="GB44" s="18">
        <f>IF('Timeline'!GB$41=1,GB$42,0)</f>
        <v/>
      </c>
      <c r="GC44" s="18">
        <f>IF('Timeline'!GC$41=1,GC$42,0)</f>
        <v/>
      </c>
      <c r="GD44" s="18">
        <f>IF('Timeline'!GD$41=1,GD$42,0)</f>
        <v/>
      </c>
      <c r="GE44" s="18">
        <f>IF('Timeline'!GE$41=1,GE$42,0)</f>
        <v/>
      </c>
      <c r="GF44" s="18">
        <f>IF('Timeline'!GF$41=1,GF$42,0)</f>
        <v/>
      </c>
      <c r="GG44" s="18">
        <f>IF('Timeline'!GG$41=1,GG$42,0)</f>
        <v/>
      </c>
      <c r="GH44" s="18">
        <f>IF('Timeline'!GH$41=1,GH$42,0)</f>
        <v/>
      </c>
      <c r="GI44" s="18">
        <f>IF('Timeline'!GI$41=1,GI$42,0)</f>
        <v/>
      </c>
      <c r="GJ44" s="18">
        <f>IF('Timeline'!GJ$41=1,GJ$42,0)</f>
        <v/>
      </c>
      <c r="GK44" s="18">
        <f>IF('Timeline'!GK$41=1,GK$42,0)</f>
        <v/>
      </c>
      <c r="GL44" s="18">
        <f>IF('Timeline'!GL$41=1,GL$42,0)</f>
        <v/>
      </c>
      <c r="GM44" s="18">
        <f>IF('Timeline'!GM$41=1,GM$42,0)</f>
        <v/>
      </c>
      <c r="GN44" s="18">
        <f>IF('Timeline'!GN$41=1,GN$42,0)</f>
        <v/>
      </c>
      <c r="GO44" s="18">
        <f>IF('Timeline'!GO$41=1,GO$42,0)</f>
        <v/>
      </c>
      <c r="GP44" s="18">
        <f>IF('Timeline'!GP$41=1,GP$42,0)</f>
        <v/>
      </c>
      <c r="GQ44" s="18">
        <f>IF('Timeline'!GQ$41=1,GQ$42,0)</f>
        <v/>
      </c>
      <c r="GR44" s="18">
        <f>IF('Timeline'!GR$41=1,GR$42,0)</f>
        <v/>
      </c>
      <c r="GS44" s="18">
        <f>IF('Timeline'!GS$41=1,GS$42,0)</f>
        <v/>
      </c>
      <c r="GT44" s="18">
        <f>IF('Timeline'!GT$41=1,GT$42,0)</f>
        <v/>
      </c>
      <c r="GU44" s="18">
        <f>IF('Timeline'!GU$41=1,GU$42,0)</f>
        <v/>
      </c>
      <c r="GV44" s="18">
        <f>IF('Timeline'!GV$41=1,GV$42,0)</f>
        <v/>
      </c>
      <c r="GW44" s="18">
        <f>IF('Timeline'!GW$41=1,GW$42,0)</f>
        <v/>
      </c>
      <c r="GX44" s="18">
        <f>IF('Timeline'!GX$41=1,GX$42,0)</f>
        <v/>
      </c>
      <c r="GY44" s="18">
        <f>IF('Timeline'!GY$41=1,GY$42,0)</f>
        <v/>
      </c>
      <c r="GZ44" s="18">
        <f>IF('Timeline'!GZ$41=1,GZ$42,0)</f>
        <v/>
      </c>
      <c r="HA44" s="18">
        <f>IF('Timeline'!HA$41=1,HA$42,0)</f>
        <v/>
      </c>
      <c r="HB44" s="18">
        <f>IF('Timeline'!HB$41=1,HB$42,0)</f>
        <v/>
      </c>
      <c r="HC44" s="18">
        <f>IF('Timeline'!HC$41=1,HC$42,0)</f>
        <v/>
      </c>
      <c r="HD44" s="18">
        <f>IF('Timeline'!HD$41=1,HD$42,0)</f>
        <v/>
      </c>
      <c r="HE44" s="18">
        <f>IF('Timeline'!HE$41=1,HE$42,0)</f>
        <v/>
      </c>
      <c r="HF44" s="18">
        <f>IF('Timeline'!HF$41=1,HF$42,0)</f>
        <v/>
      </c>
      <c r="HG44" s="18">
        <f>IF('Timeline'!HG$41=1,HG$42,0)</f>
        <v/>
      </c>
      <c r="HH44" s="18">
        <f>IF('Timeline'!HH$41=1,HH$42,0)</f>
        <v/>
      </c>
      <c r="HI44" s="18">
        <f>IF('Timeline'!HI$41=1,HI$42,0)</f>
        <v/>
      </c>
      <c r="HJ44" s="18">
        <f>IF('Timeline'!HJ$41=1,HJ$42,0)</f>
        <v/>
      </c>
      <c r="HK44" s="18">
        <f>IF('Timeline'!HK$41=1,HK$42,0)</f>
        <v/>
      </c>
      <c r="HL44" s="18">
        <f>IF('Timeline'!HL$41=1,HL$42,0)</f>
        <v/>
      </c>
      <c r="HM44" s="18">
        <f>IF('Timeline'!HM$41=1,HM$42,0)</f>
        <v/>
      </c>
      <c r="HN44" s="18">
        <f>IF('Timeline'!HN$41=1,HN$42,0)</f>
        <v/>
      </c>
      <c r="HO44" s="18">
        <f>IF('Timeline'!HO$41=1,HO$42,0)</f>
        <v/>
      </c>
      <c r="HP44" s="18">
        <f>IF('Timeline'!HP$41=1,HP$42,0)</f>
        <v/>
      </c>
      <c r="HQ44" s="18">
        <f>IF('Timeline'!HQ$41=1,HQ$42,0)</f>
        <v/>
      </c>
      <c r="HR44" s="18">
        <f>IF('Timeline'!HR$41=1,HR$42,0)</f>
        <v/>
      </c>
      <c r="HS44" s="18">
        <f>IF('Timeline'!HS$41=1,HS$42,0)</f>
        <v/>
      </c>
      <c r="HT44" s="18">
        <f>IF('Timeline'!HT$41=1,HT$42,0)</f>
        <v/>
      </c>
      <c r="HU44" s="18">
        <f>IF('Timeline'!HU$41=1,HU$42,0)</f>
        <v/>
      </c>
      <c r="HV44" s="18">
        <f>IF('Timeline'!HV$41=1,HV$42,0)</f>
        <v/>
      </c>
      <c r="HW44" s="18">
        <f>IF('Timeline'!HW$41=1,HW$42,0)</f>
        <v/>
      </c>
      <c r="HX44" s="18">
        <f>IF('Timeline'!HX$41=1,HX$42,0)</f>
        <v/>
      </c>
      <c r="HY44" s="18">
        <f>IF('Timeline'!HY$41=1,HY$42,0)</f>
        <v/>
      </c>
      <c r="HZ44" s="18">
        <f>IF('Timeline'!HZ$41=1,HZ$42,0)</f>
        <v/>
      </c>
      <c r="IA44" s="18">
        <f>IF('Timeline'!IA$41=1,IA$42,0)</f>
        <v/>
      </c>
      <c r="IB44" s="18">
        <f>IF('Timeline'!IB$41=1,IB$42,0)</f>
        <v/>
      </c>
      <c r="IC44" s="18">
        <f>IF('Timeline'!IC$41=1,IC$42,0)</f>
        <v/>
      </c>
      <c r="ID44" s="18">
        <f>IF('Timeline'!ID$41=1,ID$42,0)</f>
        <v/>
      </c>
      <c r="IE44" s="18">
        <f>IF('Timeline'!IE$41=1,IE$42,0)</f>
        <v/>
      </c>
      <c r="IF44" s="18">
        <f>IF('Timeline'!IF$41=1,IF$42,0)</f>
        <v/>
      </c>
      <c r="IG44" s="18">
        <f>IF('Timeline'!IG$41=1,IG$42,0)</f>
        <v/>
      </c>
      <c r="IH44" s="18">
        <f>IF('Timeline'!IH$41=1,IH$42,0)</f>
        <v/>
      </c>
      <c r="II44" s="18">
        <f>IF('Timeline'!II$41=1,II$42,0)</f>
        <v/>
      </c>
      <c r="IJ44" s="18">
        <f>IF('Timeline'!IJ$41=1,IJ$42,0)</f>
        <v/>
      </c>
      <c r="IK44" s="18">
        <f>IF('Timeline'!IK$41=1,IK$42,0)</f>
        <v/>
      </c>
      <c r="IL44" s="18">
        <f>IF('Timeline'!IL$41=1,IL$42,0)</f>
        <v/>
      </c>
      <c r="IM44" s="18">
        <f>IF('Timeline'!IM$41=1,IM$42,0)</f>
        <v/>
      </c>
      <c r="IN44" s="18">
        <f>IF('Timeline'!IN$41=1,IN$42,0)</f>
        <v/>
      </c>
      <c r="IO44" s="18">
        <f>IF('Timeline'!IO$41=1,IO$42,0)</f>
        <v/>
      </c>
      <c r="IP44" s="18">
        <f>IF('Timeline'!IP$41=1,IP$42,0)</f>
        <v/>
      </c>
      <c r="IQ44" s="18">
        <f>IF('Timeline'!IQ$41=1,IQ$42,0)</f>
        <v/>
      </c>
      <c r="IR44" s="18">
        <f>IF('Timeline'!IR$41=1,IR$42,0)</f>
        <v/>
      </c>
      <c r="IS44" s="18">
        <f>IF('Timeline'!IS$41=1,IS$42,0)</f>
        <v/>
      </c>
      <c r="IT44" s="18">
        <f>IF('Timeline'!IT$41=1,IT$42,0)</f>
        <v/>
      </c>
      <c r="IU44" s="18">
        <f>IF('Timeline'!IU$41=1,IU$42,0)</f>
        <v/>
      </c>
      <c r="IV44" s="18">
        <f>IF('Timeline'!IV$41=1,IV$42,0)</f>
        <v/>
      </c>
      <c r="IW44" s="18">
        <f>IF('Timeline'!IW$41=1,IW$42,0)</f>
        <v/>
      </c>
      <c r="IX44" s="18">
        <f>IF('Timeline'!IX$41=1,IX$42,0)</f>
        <v/>
      </c>
      <c r="IY44" s="18">
        <f>IF('Timeline'!IY$41=1,IY$42,0)</f>
        <v/>
      </c>
      <c r="IZ44" s="18">
        <f>IF('Timeline'!IZ$41=1,IZ$42,0)</f>
        <v/>
      </c>
      <c r="JA44" s="18">
        <f>IF('Timeline'!JA$41=1,JA$42,0)</f>
        <v/>
      </c>
      <c r="JB44" s="18">
        <f>IF('Timeline'!JB$41=1,JB$42,0)</f>
        <v/>
      </c>
      <c r="JC44" s="18">
        <f>IF('Timeline'!JC$41=1,JC$42,0)</f>
        <v/>
      </c>
      <c r="JD44" s="18">
        <f>IF('Timeline'!JD$41=1,JD$42,0)</f>
        <v/>
      </c>
      <c r="JE44" s="18">
        <f>IF('Timeline'!JE$41=1,JE$42,0)</f>
        <v/>
      </c>
      <c r="JF44" s="18">
        <f>IF('Timeline'!JF$41=1,JF$42,0)</f>
        <v/>
      </c>
      <c r="JG44" s="18">
        <f>IF('Timeline'!JG$41=1,JG$42,0)</f>
        <v/>
      </c>
      <c r="JH44" s="18">
        <f>IF('Timeline'!JH$41=1,JH$42,0)</f>
        <v/>
      </c>
      <c r="JI44" s="18">
        <f>IF('Timeline'!JI$41=1,JI$42,0)</f>
        <v/>
      </c>
      <c r="JJ44" s="18">
        <f>IF('Timeline'!JJ$41=1,JJ$42,0)</f>
        <v/>
      </c>
      <c r="JK44" s="18">
        <f>IF('Timeline'!JK$41=1,JK$42,0)</f>
        <v/>
      </c>
      <c r="JL44" s="18">
        <f>IF('Timeline'!JL$41=1,JL$42,0)</f>
        <v/>
      </c>
      <c r="JM44" s="18">
        <f>IF('Timeline'!JM$41=1,JM$42,0)</f>
        <v/>
      </c>
      <c r="JN44" s="18">
        <f>IF('Timeline'!JN$41=1,JN$42,0)</f>
        <v/>
      </c>
      <c r="JO44" s="18">
        <f>IF('Timeline'!JO$41=1,JO$42,0)</f>
        <v/>
      </c>
      <c r="JP44" s="18">
        <f>IF('Timeline'!JP$41=1,JP$42,0)</f>
        <v/>
      </c>
      <c r="JQ44" s="18">
        <f>IF('Timeline'!JQ$41=1,JQ$42,0)</f>
        <v/>
      </c>
      <c r="JR44" s="18">
        <f>IF('Timeline'!JR$41=1,JR$42,0)</f>
        <v/>
      </c>
      <c r="JS44" s="18">
        <f>IF('Timeline'!JS$41=1,JS$42,0)</f>
        <v/>
      </c>
      <c r="JT44" s="18">
        <f>IF('Timeline'!JT$41=1,JT$42,0)</f>
        <v/>
      </c>
      <c r="JU44" s="18">
        <f>IF('Timeline'!JU$41=1,JU$42,0)</f>
        <v/>
      </c>
      <c r="JV44" s="18">
        <f>IF('Timeline'!JV$41=1,JV$42,0)</f>
        <v/>
      </c>
      <c r="JW44" s="18">
        <f>IF('Timeline'!JW$41=1,JW$42,0)</f>
        <v/>
      </c>
      <c r="JX44" s="18">
        <f>IF('Timeline'!JX$41=1,JX$42,0)</f>
        <v/>
      </c>
      <c r="JY44" s="18">
        <f>IF('Timeline'!JY$41=1,JY$42,0)</f>
        <v/>
      </c>
      <c r="JZ44" s="18">
        <f>IF('Timeline'!JZ$41=1,JZ$42,0)</f>
        <v/>
      </c>
      <c r="KA44" s="18">
        <f>IF('Timeline'!KA$41=1,KA$42,0)</f>
        <v/>
      </c>
      <c r="KB44" s="18">
        <f>IF('Timeline'!KB$41=1,KB$42,0)</f>
        <v/>
      </c>
      <c r="KC44" s="18">
        <f>IF('Timeline'!KC$41=1,KC$42,0)</f>
        <v/>
      </c>
      <c r="KD44" s="18">
        <f>IF('Timeline'!KD$41=1,KD$42,0)</f>
        <v/>
      </c>
      <c r="KE44" s="18">
        <f>IF('Timeline'!KE$41=1,KE$42,0)</f>
        <v/>
      </c>
      <c r="KF44" s="18">
        <f>IF('Timeline'!KF$41=1,KF$42,0)</f>
        <v/>
      </c>
      <c r="KG44" s="18">
        <f>IF('Timeline'!KG$41=1,KG$42,0)</f>
        <v/>
      </c>
      <c r="KH44" s="18">
        <f>IF('Timeline'!KH$41=1,KH$42,0)</f>
        <v/>
      </c>
      <c r="KI44" s="18">
        <f>IF('Timeline'!KI$41=1,KI$42,0)</f>
        <v/>
      </c>
      <c r="KJ44" s="18">
        <f>IF('Timeline'!KJ$41=1,KJ$42,0)</f>
        <v/>
      </c>
      <c r="KK44" s="18">
        <f>IF('Timeline'!KK$41=1,KK$42,0)</f>
        <v/>
      </c>
      <c r="KL44" s="18">
        <f>IF('Timeline'!KL$41=1,KL$42,0)</f>
        <v/>
      </c>
      <c r="KM44" s="18">
        <f>IF('Timeline'!KM$41=1,KM$42,0)</f>
        <v/>
      </c>
      <c r="KN44" s="18">
        <f>IF('Timeline'!KN$41=1,KN$42,0)</f>
        <v/>
      </c>
      <c r="KO44" s="18">
        <f>IF('Timeline'!KO$41=1,KO$42,0)</f>
        <v/>
      </c>
      <c r="KP44" s="18">
        <f>IF('Timeline'!KP$41=1,KP$42,0)</f>
        <v/>
      </c>
      <c r="KQ44" s="18">
        <f>IF('Timeline'!KQ$41=1,KQ$42,0)</f>
        <v/>
      </c>
      <c r="KR44" s="18">
        <f>IF('Timeline'!KR$41=1,KR$42,0)</f>
        <v/>
      </c>
      <c r="KS44" s="18">
        <f>IF('Timeline'!KS$41=1,KS$42,0)</f>
        <v/>
      </c>
      <c r="KT44" s="18">
        <f>IF('Timeline'!KT$41=1,KT$42,0)</f>
        <v/>
      </c>
      <c r="KU44" s="18">
        <f>IF('Timeline'!KU$41=1,KU$42,0)</f>
        <v/>
      </c>
      <c r="KV44" s="18">
        <f>IF('Timeline'!KV$41=1,KV$42,0)</f>
        <v/>
      </c>
      <c r="KW44" s="18">
        <f>IF('Timeline'!KW$41=1,KW$42,0)</f>
        <v/>
      </c>
      <c r="KX44" s="18">
        <f>IF('Timeline'!KX$41=1,KX$42,0)</f>
        <v/>
      </c>
      <c r="KY44" s="18">
        <f>IF('Timeline'!KY$41=1,KY$42,0)</f>
        <v/>
      </c>
      <c r="KZ44" s="18">
        <f>IF('Timeline'!KZ$41=1,KZ$42,0)</f>
        <v/>
      </c>
      <c r="LA44" s="18">
        <f>IF('Timeline'!LA$41=1,LA$42,0)</f>
        <v/>
      </c>
      <c r="LB44" s="18">
        <f>IF('Timeline'!LB$41=1,LB$42,0)</f>
        <v/>
      </c>
      <c r="LC44" s="18">
        <f>IF('Timeline'!LC$41=1,LC$42,0)</f>
        <v/>
      </c>
      <c r="LD44" s="18">
        <f>IF('Timeline'!LD$41=1,LD$42,0)</f>
        <v/>
      </c>
      <c r="LE44" s="18">
        <f>IF('Timeline'!LE$41=1,LE$42,0)</f>
        <v/>
      </c>
      <c r="LF44" s="18">
        <f>IF('Timeline'!LF$41=1,LF$42,0)</f>
        <v/>
      </c>
      <c r="LG44" s="18">
        <f>IF('Timeline'!LG$41=1,LG$42,0)</f>
        <v/>
      </c>
      <c r="LH44" s="18">
        <f>IF('Timeline'!LH$41=1,LH$42,0)</f>
        <v/>
      </c>
      <c r="LI44" s="18">
        <f>IF('Timeline'!LI$41=1,LI$42,0)</f>
        <v/>
      </c>
      <c r="LJ44" s="18">
        <f>IF('Timeline'!LJ$41=1,LJ$42,0)</f>
        <v/>
      </c>
      <c r="LK44" s="18">
        <f>IF('Timeline'!LK$41=1,LK$42,0)</f>
        <v/>
      </c>
      <c r="LL44" s="18">
        <f>IF('Timeline'!LL$41=1,LL$42,0)</f>
        <v/>
      </c>
      <c r="LM44" s="18">
        <f>IF('Timeline'!LM$41=1,LM$42,0)</f>
        <v/>
      </c>
      <c r="LN44" s="18">
        <f>IF('Timeline'!LN$41=1,LN$42,0)</f>
        <v/>
      </c>
      <c r="LO44" s="18">
        <f>IF('Timeline'!LO$41=1,LO$42,0)</f>
        <v/>
      </c>
      <c r="LP44" s="18">
        <f>IF('Timeline'!LP$41=1,LP$42,0)</f>
        <v/>
      </c>
      <c r="LQ44" s="18">
        <f>IF('Timeline'!LQ$41=1,LQ$42,0)</f>
        <v/>
      </c>
      <c r="LR44" s="18">
        <f>IF('Timeline'!LR$41=1,LR$42,0)</f>
        <v/>
      </c>
      <c r="LS44" s="18">
        <f>IF('Timeline'!LS$41=1,LS$42,0)</f>
        <v/>
      </c>
      <c r="LT44" s="18">
        <f>IF('Timeline'!LT$41=1,LT$42,0)</f>
        <v/>
      </c>
      <c r="LU44" s="18">
        <f>IF('Timeline'!LU$41=1,LU$42,0)</f>
        <v/>
      </c>
      <c r="LV44" s="18">
        <f>IF('Timeline'!LV$41=1,LV$42,0)</f>
        <v/>
      </c>
      <c r="LW44" s="18">
        <f>IF('Timeline'!LW$41=1,LW$42,0)</f>
        <v/>
      </c>
      <c r="LX44" s="18">
        <f>IF('Timeline'!LX$41=1,LX$42,0)</f>
        <v/>
      </c>
      <c r="LY44" s="18">
        <f>IF('Timeline'!LY$41=1,LY$42,0)</f>
        <v/>
      </c>
      <c r="LZ44" s="18">
        <f>IF('Timeline'!LZ$41=1,LZ$42,0)</f>
        <v/>
      </c>
      <c r="MA44" s="18">
        <f>IF('Timeline'!MA$41=1,MA$42,0)</f>
        <v/>
      </c>
      <c r="MB44" s="18">
        <f>IF('Timeline'!MB$41=1,MB$42,0)</f>
        <v/>
      </c>
      <c r="MC44" s="18">
        <f>IF('Timeline'!MC$41=1,MC$42,0)</f>
        <v/>
      </c>
      <c r="MD44" s="18">
        <f>IF('Timeline'!MD$41=1,MD$42,0)</f>
        <v/>
      </c>
      <c r="ME44" s="18">
        <f>IF('Timeline'!ME$41=1,ME$42,0)</f>
        <v/>
      </c>
      <c r="MF44" s="18">
        <f>IF('Timeline'!MF$41=1,MF$42,0)</f>
        <v/>
      </c>
      <c r="MG44" s="18">
        <f>IF('Timeline'!MG$41=1,MG$42,0)</f>
        <v/>
      </c>
      <c r="MH44" s="18">
        <f>IF('Timeline'!MH$41=1,MH$42,0)</f>
        <v/>
      </c>
      <c r="MI44" s="18">
        <f>IF('Timeline'!MI$41=1,MI$42,0)</f>
        <v/>
      </c>
      <c r="MJ44" s="18">
        <f>IF('Timeline'!MJ$41=1,MJ$42,0)</f>
        <v/>
      </c>
      <c r="MK44" s="18">
        <f>IF('Timeline'!MK$41=1,MK$42,0)</f>
        <v/>
      </c>
      <c r="ML44" s="18">
        <f>IF('Timeline'!ML$41=1,ML$42,0)</f>
        <v/>
      </c>
      <c r="MM44" s="18">
        <f>IF('Timeline'!MM$41=1,MM$42,0)</f>
        <v/>
      </c>
      <c r="MN44" s="18">
        <f>IF('Timeline'!MN$41=1,MN$42,0)</f>
        <v/>
      </c>
      <c r="MO44" s="18">
        <f>IF('Timeline'!MO$41=1,MO$42,0)</f>
        <v/>
      </c>
      <c r="MP44" s="18">
        <f>IF('Timeline'!MP$41=1,MP$42,0)</f>
        <v/>
      </c>
      <c r="MQ44" s="18">
        <f>IF('Timeline'!MQ$41=1,MQ$42,0)</f>
        <v/>
      </c>
      <c r="MR44" s="18">
        <f>IF('Timeline'!MR$41=1,MR$42,0)</f>
        <v/>
      </c>
      <c r="MS44" s="18">
        <f>IF('Timeline'!MS$41=1,MS$42,0)</f>
        <v/>
      </c>
      <c r="MT44" s="18">
        <f>IF('Timeline'!MT$41=1,MT$42,0)</f>
        <v/>
      </c>
      <c r="MU44" s="18">
        <f>IF('Timeline'!MU$41=1,MU$42,0)</f>
        <v/>
      </c>
      <c r="MV44" s="18">
        <f>IF('Timeline'!MV$41=1,MV$42,0)</f>
        <v/>
      </c>
      <c r="MW44" s="18">
        <f>IF('Timeline'!MW$41=1,MW$42,0)</f>
        <v/>
      </c>
      <c r="MX44" s="18">
        <f>IF('Timeline'!MX$41=1,MX$42,0)</f>
        <v/>
      </c>
      <c r="MY44" s="18">
        <f>IF('Timeline'!MY$41=1,MY$42,0)</f>
        <v/>
      </c>
      <c r="MZ44" s="18">
        <f>IF('Timeline'!MZ$41=1,MZ$42,0)</f>
        <v/>
      </c>
      <c r="NA44" s="18">
        <f>IF('Timeline'!NA$41=1,NA$42,0)</f>
        <v/>
      </c>
      <c r="NB44" s="18">
        <f>IF('Timeline'!NB$41=1,NB$42,0)</f>
        <v/>
      </c>
      <c r="NC44" s="18">
        <f>IF('Timeline'!NC$41=1,NC$42,0)</f>
        <v/>
      </c>
      <c r="ND44" s="18">
        <f>IF('Timeline'!ND$41=1,ND$42,0)</f>
        <v/>
      </c>
      <c r="NE44" s="18">
        <f>IF('Timeline'!NE$41=1,NE$42,0)</f>
        <v/>
      </c>
      <c r="NF44" s="18">
        <f>IF('Timeline'!NF$41=1,NF$42,0)</f>
        <v/>
      </c>
      <c r="NG44" s="18">
        <f>IF('Timeline'!NG$41=1,NG$42,0)</f>
        <v/>
      </c>
      <c r="NH44" s="18">
        <f>IF('Timeline'!NH$41=1,NH$42,0)</f>
        <v/>
      </c>
      <c r="NI44" s="18">
        <f>IF('Timeline'!NI$41=1,NI$42,0)</f>
        <v/>
      </c>
      <c r="NJ44" s="18">
        <f>IF('Timeline'!NJ$41=1,NJ$42,0)</f>
        <v/>
      </c>
      <c r="NK44" s="18">
        <f>IF('Timeline'!NK$41=1,NK$42,0)</f>
        <v/>
      </c>
    </row>
    <row r="46">
      <c r="A46" s="15" t="inlineStr">
        <is>
          <t>Operating Aggregates &amp; Reserve</t>
        </is>
      </c>
      <c r="B46" s="23" t="n"/>
      <c r="C46" s="23" t="n"/>
    </row>
    <row r="47">
      <c r="A47" s="5" t="inlineStr">
        <is>
          <t>Stabilized NOI before Tax (fwd 12mo)</t>
        </is>
      </c>
      <c r="B47" s="30">
        <f>SUM(INDEX(D35:NK35,StabMonth):INDEX(D35:NK35,StabMonth+11))</f>
        <v/>
      </c>
    </row>
    <row r="48">
      <c r="A48" s="5" t="inlineStr">
        <is>
          <t>Stabilized NOI (fwd 12mo)</t>
        </is>
      </c>
      <c r="B48" s="30">
        <f>SUM(INDEX(D38:NK38,StabMonth):INDEX(D38:NK38,StabMonth+11))</f>
        <v/>
      </c>
    </row>
    <row r="49">
      <c r="A49" s="5" t="inlineStr">
        <is>
          <t>Year-1 NOI (fwd 12mo from delivery)</t>
        </is>
      </c>
      <c r="B49" s="30">
        <f>SUM(INDEX(D38:NK38,DeliverStart):INDEX(D38:NK38,DeliverStart+11))</f>
        <v/>
      </c>
    </row>
    <row r="50">
      <c r="A50" s="5" t="inlineStr">
        <is>
          <t>Peak Cumulative Lease-Up Shortfall</t>
        </is>
      </c>
      <c r="B50" s="30">
        <f>MIN(0,MIN(INDEX(D43:NK43,DeliverStart):INDEX(D43:NK43,StabMonth)))</f>
        <v/>
      </c>
    </row>
    <row r="51">
      <c r="A51" s="5" t="inlineStr">
        <is>
          <t>Operating Reserve (model-calculated)</t>
        </is>
      </c>
      <c r="B51" s="30">
        <f>MAX(MAX(0,-PeakShort)*OpReserveCoverage,OpReserveMinMonths*INDEX(D37:NK37,StabMonth))</f>
        <v/>
      </c>
    </row>
    <row r="53">
      <c r="A53" s="3" t="inlineStr">
        <is>
          <t>Property Tax Engine</t>
        </is>
      </c>
      <c r="B53" s="4" t="n"/>
      <c r="C53" s="4" t="n"/>
    </row>
    <row r="54">
      <c r="A54" s="5" t="inlineStr">
        <is>
          <t>Effective Tax Rate on Value (operating)</t>
        </is>
      </c>
      <c r="B54" s="54">
        <f>TaxLevyPct*TaxAssessmentPct*TaxValueAdjFactor</f>
        <v/>
      </c>
    </row>
    <row r="55">
      <c r="A55" s="5" t="inlineStr">
        <is>
          <t>Disposition-Period Tax Rate on Value</t>
        </is>
      </c>
      <c r="B55" s="54">
        <f>IF(DispoTaxRatePct&gt;0,DispoTaxRatePct,EffTaxRateOnValue)</f>
        <v/>
      </c>
    </row>
    <row r="56">
      <c r="A56" s="5" t="inlineStr">
        <is>
          <t>Stabilized Assessed Value</t>
        </is>
      </c>
      <c r="B56" s="25">
        <f>IF((EntryCapRate+EffTaxRateOnValue)=0,0,StabNOIbt/(EntryCapRate+EffTaxRateOnValue))</f>
        <v/>
      </c>
    </row>
    <row r="57">
      <c r="A57" s="5" t="inlineStr">
        <is>
          <t>Year-1 Stabilized Tax (dynamic / override)</t>
        </is>
      </c>
      <c r="B57" s="25">
        <f>IF(TaxYear1Override&gt;0,TaxYear1Override,AssessedValueStab*EffTaxRateOnValue)</f>
        <v/>
      </c>
    </row>
    <row r="58">
      <c r="A58" s="5" t="inlineStr">
        <is>
          <t>Stabilized Annual Property Tax (fwd 12mo)</t>
        </is>
      </c>
      <c r="B58" s="25">
        <f>SUM(INDEX(D36:NK36,StabMonth):INDEX(D36:NK36,StabMonth+11))</f>
        <v/>
      </c>
    </row>
    <row r="59">
      <c r="A59" s="5" t="inlineStr">
        <is>
          <t>Tax Method (1=value / 0=income)</t>
        </is>
      </c>
      <c r="B59" s="17">
        <f>TaxMethodValue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K33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8" customWidth="1" min="2" max="2"/>
    <col width="16" customWidth="1" min="3" max="3"/>
  </cols>
  <sheetData>
    <row r="1">
      <c r="A1" s="1" t="inlineStr">
        <is>
          <t>Permanent Loan / Refinance Engine</t>
        </is>
      </c>
    </row>
    <row r="3">
      <c r="A3" s="15" t="inlineStr">
        <is>
          <t>Refinance Sizing (min of LTV / Debt Yield / DSCR)</t>
        </is>
      </c>
      <c r="B3" s="23" t="n"/>
      <c r="C3" s="23" t="n"/>
    </row>
    <row r="4">
      <c r="A4" s="5" t="inlineStr">
        <is>
          <t>Refi Forward NOI (12mo)</t>
        </is>
      </c>
      <c r="B4" s="44">
        <f>RefiFlag*SUM(INDEX('Operating'!D$38:'Operating'!NK$38,MAX(1,RefiMonth)):INDEX('Operating'!D$38:'Operating'!NK$38,MAX(1,RefiMonth)+11))</f>
        <v/>
      </c>
    </row>
    <row r="5">
      <c r="A5" s="5" t="inlineStr">
        <is>
          <t>Property Value at Refi</t>
        </is>
      </c>
      <c r="B5" s="44">
        <f>IF(EntryCapRate=0,0,StabNOIrefi/EntryCapRate)</f>
        <v/>
      </c>
    </row>
    <row r="6">
      <c r="A6" s="5" t="inlineStr">
        <is>
          <t>Mortgage Constant (annual)</t>
        </is>
      </c>
      <c r="B6" s="45">
        <f>IF(PermRate=0,12/PermAmortMonths,(PermRate/12)/(1-(1+PermRate/12)^(-PermAmortMonths))*12)</f>
        <v/>
      </c>
    </row>
    <row r="7">
      <c r="A7" s="5" t="inlineStr">
        <is>
          <t>Max Loan by LTV</t>
        </is>
      </c>
      <c r="B7" s="44">
        <f>PermMaxLTV*ValueAtRefi</f>
        <v/>
      </c>
    </row>
    <row r="8">
      <c r="A8" s="5" t="inlineStr">
        <is>
          <t>Max Loan by Debt Yield</t>
        </is>
      </c>
      <c r="B8" s="44">
        <f>IF(PermMinDebtYield=0,0,StabNOIrefi/PermMinDebtYield)</f>
        <v/>
      </c>
    </row>
    <row r="9">
      <c r="A9" s="5" t="inlineStr">
        <is>
          <t>Max Loan by DSCR</t>
        </is>
      </c>
      <c r="B9" s="44">
        <f>IF(MortConst=0,0,StabNOIrefi/(PermMinDSCR*MortConst))</f>
        <v/>
      </c>
    </row>
    <row r="10">
      <c r="A10" s="5" t="inlineStr">
        <is>
          <t>Perm Loan — Max Sized</t>
        </is>
      </c>
      <c r="B10" s="44">
        <f>MIN(MaxLTVperm,MaxDYperm,MaxDSCRperm)</f>
        <v/>
      </c>
    </row>
    <row r="11">
      <c r="A11" s="5" t="inlineStr">
        <is>
          <t>Perm Loan — No-Cash-Out Need</t>
        </is>
      </c>
      <c r="B11" s="44">
        <f>ConPayoffBal/(1-PermPointsPct)</f>
        <v/>
      </c>
    </row>
    <row r="12">
      <c r="A12" s="5" t="inlineStr">
        <is>
          <t>Permanent Loan Amount</t>
        </is>
      </c>
      <c r="B12" s="44">
        <f>RefiFlag*IF(NoCashOut&gt;=1,MIN(PermSized,PermNeedNCO),PermSized)</f>
        <v/>
      </c>
    </row>
    <row r="13">
      <c r="A13" s="5" t="inlineStr">
        <is>
          <t>Permanent Loan Points</t>
        </is>
      </c>
      <c r="B13" s="44">
        <f>PermPointsPct*PermLoan</f>
        <v/>
      </c>
    </row>
    <row r="14">
      <c r="A14" s="5" t="inlineStr">
        <is>
          <t>Net Cash Distribution at Refi</t>
        </is>
      </c>
      <c r="B14" s="44">
        <f>RefiFlag*(PermLoan-ConPayoffBal-PermPoints)</f>
        <v/>
      </c>
    </row>
    <row r="15">
      <c r="A15" s="5" t="inlineStr">
        <is>
          <t>Level Monthly Payment</t>
        </is>
      </c>
      <c r="B15" s="44">
        <f>PermLoan*MortConst/12</f>
        <v/>
      </c>
    </row>
    <row r="17">
      <c r="A17" s="15" t="inlineStr">
        <is>
          <t>Permanent Sizing Tests</t>
        </is>
      </c>
      <c r="B17" s="23" t="n"/>
      <c r="C17" s="23" t="n"/>
    </row>
    <row r="18">
      <c r="A18" s="5" t="inlineStr">
        <is>
          <t>LTV at Loan</t>
        </is>
      </c>
      <c r="B18" s="46">
        <f>IF(ValueAtRefi=0,0,PermLoan/ValueAtRefi)</f>
        <v/>
      </c>
    </row>
    <row r="19">
      <c r="A19" s="5" t="inlineStr">
        <is>
          <t>Debt Yield at Loan</t>
        </is>
      </c>
      <c r="B19" s="46">
        <f>IF(PermLoan=0,0,StabNOIrefi/PermLoan)</f>
        <v/>
      </c>
    </row>
    <row r="20">
      <c r="A20" s="5" t="inlineStr">
        <is>
          <t>DSCR at Loan</t>
        </is>
      </c>
      <c r="B20" s="47">
        <f>IF(PermLoan=0,0,StabNOIrefi/(PermPmt*12))</f>
        <v/>
      </c>
    </row>
    <row r="22">
      <c r="A22" s="3" t="inlineStr">
        <is>
          <t>Monthly Amortization Schedule</t>
        </is>
      </c>
      <c r="B22" s="4" t="n"/>
      <c r="C22" s="4" t="n"/>
    </row>
    <row r="23">
      <c r="A23" s="36" t="inlineStr">
        <is>
          <t>Period →</t>
        </is>
      </c>
      <c r="C23" s="27" t="inlineStr">
        <is>
          <t>Total</t>
        </is>
      </c>
      <c r="D23" s="37" t="n">
        <v>1</v>
      </c>
      <c r="E23" s="37" t="n">
        <v>2</v>
      </c>
      <c r="F23" s="37" t="n">
        <v>3</v>
      </c>
      <c r="G23" s="37" t="n">
        <v>4</v>
      </c>
      <c r="H23" s="37" t="n">
        <v>5</v>
      </c>
      <c r="I23" s="37" t="n">
        <v>6</v>
      </c>
      <c r="J23" s="37" t="n">
        <v>7</v>
      </c>
      <c r="K23" s="37" t="n">
        <v>8</v>
      </c>
      <c r="L23" s="37" t="n">
        <v>9</v>
      </c>
      <c r="M23" s="37" t="n">
        <v>10</v>
      </c>
      <c r="N23" s="37" t="n">
        <v>11</v>
      </c>
      <c r="O23" s="37" t="n">
        <v>12</v>
      </c>
      <c r="P23" s="37" t="n">
        <v>13</v>
      </c>
      <c r="Q23" s="37" t="n">
        <v>14</v>
      </c>
      <c r="R23" s="37" t="n">
        <v>15</v>
      </c>
      <c r="S23" s="37" t="n">
        <v>16</v>
      </c>
      <c r="T23" s="37" t="n">
        <v>17</v>
      </c>
      <c r="U23" s="37" t="n">
        <v>18</v>
      </c>
      <c r="V23" s="37" t="n">
        <v>19</v>
      </c>
      <c r="W23" s="37" t="n">
        <v>20</v>
      </c>
      <c r="X23" s="37" t="n">
        <v>21</v>
      </c>
      <c r="Y23" s="37" t="n">
        <v>22</v>
      </c>
      <c r="Z23" s="37" t="n">
        <v>23</v>
      </c>
      <c r="AA23" s="37" t="n">
        <v>24</v>
      </c>
      <c r="AB23" s="37" t="n">
        <v>25</v>
      </c>
      <c r="AC23" s="37" t="n">
        <v>26</v>
      </c>
      <c r="AD23" s="37" t="n">
        <v>27</v>
      </c>
      <c r="AE23" s="37" t="n">
        <v>28</v>
      </c>
      <c r="AF23" s="37" t="n">
        <v>29</v>
      </c>
      <c r="AG23" s="37" t="n">
        <v>30</v>
      </c>
      <c r="AH23" s="37" t="n">
        <v>31</v>
      </c>
      <c r="AI23" s="37" t="n">
        <v>32</v>
      </c>
      <c r="AJ23" s="37" t="n">
        <v>33</v>
      </c>
      <c r="AK23" s="37" t="n">
        <v>34</v>
      </c>
      <c r="AL23" s="37" t="n">
        <v>35</v>
      </c>
      <c r="AM23" s="37" t="n">
        <v>36</v>
      </c>
      <c r="AN23" s="37" t="n">
        <v>37</v>
      </c>
      <c r="AO23" s="37" t="n">
        <v>38</v>
      </c>
      <c r="AP23" s="37" t="n">
        <v>39</v>
      </c>
      <c r="AQ23" s="37" t="n">
        <v>40</v>
      </c>
      <c r="AR23" s="37" t="n">
        <v>41</v>
      </c>
      <c r="AS23" s="37" t="n">
        <v>42</v>
      </c>
      <c r="AT23" s="37" t="n">
        <v>43</v>
      </c>
      <c r="AU23" s="37" t="n">
        <v>44</v>
      </c>
      <c r="AV23" s="37" t="n">
        <v>45</v>
      </c>
      <c r="AW23" s="37" t="n">
        <v>46</v>
      </c>
      <c r="AX23" s="37" t="n">
        <v>47</v>
      </c>
      <c r="AY23" s="37" t="n">
        <v>48</v>
      </c>
      <c r="AZ23" s="37" t="n">
        <v>49</v>
      </c>
      <c r="BA23" s="37" t="n">
        <v>50</v>
      </c>
      <c r="BB23" s="37" t="n">
        <v>51</v>
      </c>
      <c r="BC23" s="37" t="n">
        <v>52</v>
      </c>
      <c r="BD23" s="37" t="n">
        <v>53</v>
      </c>
      <c r="BE23" s="37" t="n">
        <v>54</v>
      </c>
      <c r="BF23" s="37" t="n">
        <v>55</v>
      </c>
      <c r="BG23" s="37" t="n">
        <v>56</v>
      </c>
      <c r="BH23" s="37" t="n">
        <v>57</v>
      </c>
      <c r="BI23" s="37" t="n">
        <v>58</v>
      </c>
      <c r="BJ23" s="37" t="n">
        <v>59</v>
      </c>
      <c r="BK23" s="37" t="n">
        <v>60</v>
      </c>
      <c r="BL23" s="37" t="n">
        <v>61</v>
      </c>
      <c r="BM23" s="37" t="n">
        <v>62</v>
      </c>
      <c r="BN23" s="37" t="n">
        <v>63</v>
      </c>
      <c r="BO23" s="37" t="n">
        <v>64</v>
      </c>
      <c r="BP23" s="37" t="n">
        <v>65</v>
      </c>
      <c r="BQ23" s="37" t="n">
        <v>66</v>
      </c>
      <c r="BR23" s="37" t="n">
        <v>67</v>
      </c>
      <c r="BS23" s="37" t="n">
        <v>68</v>
      </c>
      <c r="BT23" s="37" t="n">
        <v>69</v>
      </c>
      <c r="BU23" s="37" t="n">
        <v>70</v>
      </c>
      <c r="BV23" s="37" t="n">
        <v>71</v>
      </c>
      <c r="BW23" s="37" t="n">
        <v>72</v>
      </c>
      <c r="BX23" s="37" t="n">
        <v>73</v>
      </c>
      <c r="BY23" s="37" t="n">
        <v>74</v>
      </c>
      <c r="BZ23" s="37" t="n">
        <v>75</v>
      </c>
      <c r="CA23" s="37" t="n">
        <v>76</v>
      </c>
      <c r="CB23" s="37" t="n">
        <v>77</v>
      </c>
      <c r="CC23" s="37" t="n">
        <v>78</v>
      </c>
      <c r="CD23" s="37" t="n">
        <v>79</v>
      </c>
      <c r="CE23" s="37" t="n">
        <v>80</v>
      </c>
      <c r="CF23" s="37" t="n">
        <v>81</v>
      </c>
      <c r="CG23" s="37" t="n">
        <v>82</v>
      </c>
      <c r="CH23" s="37" t="n">
        <v>83</v>
      </c>
      <c r="CI23" s="37" t="n">
        <v>84</v>
      </c>
      <c r="CJ23" s="37" t="n">
        <v>85</v>
      </c>
      <c r="CK23" s="37" t="n">
        <v>86</v>
      </c>
      <c r="CL23" s="37" t="n">
        <v>87</v>
      </c>
      <c r="CM23" s="37" t="n">
        <v>88</v>
      </c>
      <c r="CN23" s="37" t="n">
        <v>89</v>
      </c>
      <c r="CO23" s="37" t="n">
        <v>90</v>
      </c>
      <c r="CP23" s="37" t="n">
        <v>91</v>
      </c>
      <c r="CQ23" s="37" t="n">
        <v>92</v>
      </c>
      <c r="CR23" s="37" t="n">
        <v>93</v>
      </c>
      <c r="CS23" s="37" t="n">
        <v>94</v>
      </c>
      <c r="CT23" s="37" t="n">
        <v>95</v>
      </c>
      <c r="CU23" s="37" t="n">
        <v>96</v>
      </c>
      <c r="CV23" s="37" t="n">
        <v>97</v>
      </c>
      <c r="CW23" s="37" t="n">
        <v>98</v>
      </c>
      <c r="CX23" s="37" t="n">
        <v>99</v>
      </c>
      <c r="CY23" s="37" t="n">
        <v>100</v>
      </c>
      <c r="CZ23" s="37" t="n">
        <v>101</v>
      </c>
      <c r="DA23" s="37" t="n">
        <v>102</v>
      </c>
      <c r="DB23" s="37" t="n">
        <v>103</v>
      </c>
      <c r="DC23" s="37" t="n">
        <v>104</v>
      </c>
      <c r="DD23" s="37" t="n">
        <v>105</v>
      </c>
      <c r="DE23" s="37" t="n">
        <v>106</v>
      </c>
      <c r="DF23" s="37" t="n">
        <v>107</v>
      </c>
      <c r="DG23" s="37" t="n">
        <v>108</v>
      </c>
      <c r="DH23" s="37" t="n">
        <v>109</v>
      </c>
      <c r="DI23" s="37" t="n">
        <v>110</v>
      </c>
      <c r="DJ23" s="37" t="n">
        <v>111</v>
      </c>
      <c r="DK23" s="37" t="n">
        <v>112</v>
      </c>
      <c r="DL23" s="37" t="n">
        <v>113</v>
      </c>
      <c r="DM23" s="37" t="n">
        <v>114</v>
      </c>
      <c r="DN23" s="37" t="n">
        <v>115</v>
      </c>
      <c r="DO23" s="37" t="n">
        <v>116</v>
      </c>
      <c r="DP23" s="37" t="n">
        <v>117</v>
      </c>
      <c r="DQ23" s="37" t="n">
        <v>118</v>
      </c>
      <c r="DR23" s="37" t="n">
        <v>119</v>
      </c>
      <c r="DS23" s="37" t="n">
        <v>120</v>
      </c>
      <c r="DT23" s="37" t="n">
        <v>121</v>
      </c>
      <c r="DU23" s="37" t="n">
        <v>122</v>
      </c>
      <c r="DV23" s="37" t="n">
        <v>123</v>
      </c>
      <c r="DW23" s="37" t="n">
        <v>124</v>
      </c>
      <c r="DX23" s="37" t="n">
        <v>125</v>
      </c>
      <c r="DY23" s="37" t="n">
        <v>126</v>
      </c>
      <c r="DZ23" s="37" t="n">
        <v>127</v>
      </c>
      <c r="EA23" s="37" t="n">
        <v>128</v>
      </c>
      <c r="EB23" s="37" t="n">
        <v>129</v>
      </c>
      <c r="EC23" s="37" t="n">
        <v>130</v>
      </c>
      <c r="ED23" s="37" t="n">
        <v>131</v>
      </c>
      <c r="EE23" s="37" t="n">
        <v>132</v>
      </c>
      <c r="EF23" s="37" t="n">
        <v>133</v>
      </c>
      <c r="EG23" s="37" t="n">
        <v>134</v>
      </c>
      <c r="EH23" s="37" t="n">
        <v>135</v>
      </c>
      <c r="EI23" s="37" t="n">
        <v>136</v>
      </c>
      <c r="EJ23" s="37" t="n">
        <v>137</v>
      </c>
      <c r="EK23" s="37" t="n">
        <v>138</v>
      </c>
      <c r="EL23" s="37" t="n">
        <v>139</v>
      </c>
      <c r="EM23" s="37" t="n">
        <v>140</v>
      </c>
      <c r="EN23" s="37" t="n">
        <v>141</v>
      </c>
      <c r="EO23" s="37" t="n">
        <v>142</v>
      </c>
      <c r="EP23" s="37" t="n">
        <v>143</v>
      </c>
      <c r="EQ23" s="37" t="n">
        <v>144</v>
      </c>
      <c r="ER23" s="37" t="n">
        <v>145</v>
      </c>
      <c r="ES23" s="37" t="n">
        <v>146</v>
      </c>
      <c r="ET23" s="37" t="n">
        <v>147</v>
      </c>
      <c r="EU23" s="37" t="n">
        <v>148</v>
      </c>
      <c r="EV23" s="37" t="n">
        <v>149</v>
      </c>
      <c r="EW23" s="37" t="n">
        <v>150</v>
      </c>
      <c r="EX23" s="37" t="n">
        <v>151</v>
      </c>
      <c r="EY23" s="37" t="n">
        <v>152</v>
      </c>
      <c r="EZ23" s="37" t="n">
        <v>153</v>
      </c>
      <c r="FA23" s="37" t="n">
        <v>154</v>
      </c>
      <c r="FB23" s="37" t="n">
        <v>155</v>
      </c>
      <c r="FC23" s="37" t="n">
        <v>156</v>
      </c>
      <c r="FD23" s="37" t="n">
        <v>157</v>
      </c>
      <c r="FE23" s="37" t="n">
        <v>158</v>
      </c>
      <c r="FF23" s="37" t="n">
        <v>159</v>
      </c>
      <c r="FG23" s="37" t="n">
        <v>160</v>
      </c>
      <c r="FH23" s="37" t="n">
        <v>161</v>
      </c>
      <c r="FI23" s="37" t="n">
        <v>162</v>
      </c>
      <c r="FJ23" s="37" t="n">
        <v>163</v>
      </c>
      <c r="FK23" s="37" t="n">
        <v>164</v>
      </c>
      <c r="FL23" s="37" t="n">
        <v>165</v>
      </c>
      <c r="FM23" s="37" t="n">
        <v>166</v>
      </c>
      <c r="FN23" s="37" t="n">
        <v>167</v>
      </c>
      <c r="FO23" s="37" t="n">
        <v>168</v>
      </c>
      <c r="FP23" s="37" t="n">
        <v>169</v>
      </c>
      <c r="FQ23" s="37" t="n">
        <v>170</v>
      </c>
      <c r="FR23" s="37" t="n">
        <v>171</v>
      </c>
      <c r="FS23" s="37" t="n">
        <v>172</v>
      </c>
      <c r="FT23" s="37" t="n">
        <v>173</v>
      </c>
      <c r="FU23" s="37" t="n">
        <v>174</v>
      </c>
      <c r="FV23" s="37" t="n">
        <v>175</v>
      </c>
      <c r="FW23" s="37" t="n">
        <v>176</v>
      </c>
      <c r="FX23" s="37" t="n">
        <v>177</v>
      </c>
      <c r="FY23" s="37" t="n">
        <v>178</v>
      </c>
      <c r="FZ23" s="37" t="n">
        <v>179</v>
      </c>
      <c r="GA23" s="37" t="n">
        <v>180</v>
      </c>
      <c r="GB23" s="37" t="n">
        <v>181</v>
      </c>
      <c r="GC23" s="37" t="n">
        <v>182</v>
      </c>
      <c r="GD23" s="37" t="n">
        <v>183</v>
      </c>
      <c r="GE23" s="37" t="n">
        <v>184</v>
      </c>
      <c r="GF23" s="37" t="n">
        <v>185</v>
      </c>
      <c r="GG23" s="37" t="n">
        <v>186</v>
      </c>
      <c r="GH23" s="37" t="n">
        <v>187</v>
      </c>
      <c r="GI23" s="37" t="n">
        <v>188</v>
      </c>
      <c r="GJ23" s="37" t="n">
        <v>189</v>
      </c>
      <c r="GK23" s="37" t="n">
        <v>190</v>
      </c>
      <c r="GL23" s="37" t="n">
        <v>191</v>
      </c>
      <c r="GM23" s="37" t="n">
        <v>192</v>
      </c>
      <c r="GN23" s="37" t="n">
        <v>193</v>
      </c>
      <c r="GO23" s="37" t="n">
        <v>194</v>
      </c>
      <c r="GP23" s="37" t="n">
        <v>195</v>
      </c>
      <c r="GQ23" s="37" t="n">
        <v>196</v>
      </c>
      <c r="GR23" s="37" t="n">
        <v>197</v>
      </c>
      <c r="GS23" s="37" t="n">
        <v>198</v>
      </c>
      <c r="GT23" s="37" t="n">
        <v>199</v>
      </c>
      <c r="GU23" s="37" t="n">
        <v>200</v>
      </c>
      <c r="GV23" s="37" t="n">
        <v>201</v>
      </c>
      <c r="GW23" s="37" t="n">
        <v>202</v>
      </c>
      <c r="GX23" s="37" t="n">
        <v>203</v>
      </c>
      <c r="GY23" s="37" t="n">
        <v>204</v>
      </c>
      <c r="GZ23" s="37" t="n">
        <v>205</v>
      </c>
      <c r="HA23" s="37" t="n">
        <v>206</v>
      </c>
      <c r="HB23" s="37" t="n">
        <v>207</v>
      </c>
      <c r="HC23" s="37" t="n">
        <v>208</v>
      </c>
      <c r="HD23" s="37" t="n">
        <v>209</v>
      </c>
      <c r="HE23" s="37" t="n">
        <v>210</v>
      </c>
      <c r="HF23" s="37" t="n">
        <v>211</v>
      </c>
      <c r="HG23" s="37" t="n">
        <v>212</v>
      </c>
      <c r="HH23" s="37" t="n">
        <v>213</v>
      </c>
      <c r="HI23" s="37" t="n">
        <v>214</v>
      </c>
      <c r="HJ23" s="37" t="n">
        <v>215</v>
      </c>
      <c r="HK23" s="37" t="n">
        <v>216</v>
      </c>
      <c r="HL23" s="37" t="n">
        <v>217</v>
      </c>
      <c r="HM23" s="37" t="n">
        <v>218</v>
      </c>
      <c r="HN23" s="37" t="n">
        <v>219</v>
      </c>
      <c r="HO23" s="37" t="n">
        <v>220</v>
      </c>
      <c r="HP23" s="37" t="n">
        <v>221</v>
      </c>
      <c r="HQ23" s="37" t="n">
        <v>222</v>
      </c>
      <c r="HR23" s="37" t="n">
        <v>223</v>
      </c>
      <c r="HS23" s="37" t="n">
        <v>224</v>
      </c>
      <c r="HT23" s="37" t="n">
        <v>225</v>
      </c>
      <c r="HU23" s="37" t="n">
        <v>226</v>
      </c>
      <c r="HV23" s="37" t="n">
        <v>227</v>
      </c>
      <c r="HW23" s="37" t="n">
        <v>228</v>
      </c>
      <c r="HX23" s="37" t="n">
        <v>229</v>
      </c>
      <c r="HY23" s="37" t="n">
        <v>230</v>
      </c>
      <c r="HZ23" s="37" t="n">
        <v>231</v>
      </c>
      <c r="IA23" s="37" t="n">
        <v>232</v>
      </c>
      <c r="IB23" s="37" t="n">
        <v>233</v>
      </c>
      <c r="IC23" s="37" t="n">
        <v>234</v>
      </c>
      <c r="ID23" s="37" t="n">
        <v>235</v>
      </c>
      <c r="IE23" s="37" t="n">
        <v>236</v>
      </c>
      <c r="IF23" s="37" t="n">
        <v>237</v>
      </c>
      <c r="IG23" s="37" t="n">
        <v>238</v>
      </c>
      <c r="IH23" s="37" t="n">
        <v>239</v>
      </c>
      <c r="II23" s="37" t="n">
        <v>240</v>
      </c>
      <c r="IJ23" s="37" t="n">
        <v>241</v>
      </c>
      <c r="IK23" s="37" t="n">
        <v>242</v>
      </c>
      <c r="IL23" s="37" t="n">
        <v>243</v>
      </c>
      <c r="IM23" s="37" t="n">
        <v>244</v>
      </c>
      <c r="IN23" s="37" t="n">
        <v>245</v>
      </c>
      <c r="IO23" s="37" t="n">
        <v>246</v>
      </c>
      <c r="IP23" s="37" t="n">
        <v>247</v>
      </c>
      <c r="IQ23" s="37" t="n">
        <v>248</v>
      </c>
      <c r="IR23" s="37" t="n">
        <v>249</v>
      </c>
      <c r="IS23" s="37" t="n">
        <v>250</v>
      </c>
      <c r="IT23" s="37" t="n">
        <v>251</v>
      </c>
      <c r="IU23" s="37" t="n">
        <v>252</v>
      </c>
      <c r="IV23" s="37" t="n">
        <v>253</v>
      </c>
      <c r="IW23" s="37" t="n">
        <v>254</v>
      </c>
      <c r="IX23" s="37" t="n">
        <v>255</v>
      </c>
      <c r="IY23" s="37" t="n">
        <v>256</v>
      </c>
      <c r="IZ23" s="37" t="n">
        <v>257</v>
      </c>
      <c r="JA23" s="37" t="n">
        <v>258</v>
      </c>
      <c r="JB23" s="37" t="n">
        <v>259</v>
      </c>
      <c r="JC23" s="37" t="n">
        <v>260</v>
      </c>
      <c r="JD23" s="37" t="n">
        <v>261</v>
      </c>
      <c r="JE23" s="37" t="n">
        <v>262</v>
      </c>
      <c r="JF23" s="37" t="n">
        <v>263</v>
      </c>
      <c r="JG23" s="37" t="n">
        <v>264</v>
      </c>
      <c r="JH23" s="37" t="n">
        <v>265</v>
      </c>
      <c r="JI23" s="37" t="n">
        <v>266</v>
      </c>
      <c r="JJ23" s="37" t="n">
        <v>267</v>
      </c>
      <c r="JK23" s="37" t="n">
        <v>268</v>
      </c>
      <c r="JL23" s="37" t="n">
        <v>269</v>
      </c>
      <c r="JM23" s="37" t="n">
        <v>270</v>
      </c>
      <c r="JN23" s="37" t="n">
        <v>271</v>
      </c>
      <c r="JO23" s="37" t="n">
        <v>272</v>
      </c>
      <c r="JP23" s="37" t="n">
        <v>273</v>
      </c>
      <c r="JQ23" s="37" t="n">
        <v>274</v>
      </c>
      <c r="JR23" s="37" t="n">
        <v>275</v>
      </c>
      <c r="JS23" s="37" t="n">
        <v>276</v>
      </c>
      <c r="JT23" s="37" t="n">
        <v>277</v>
      </c>
      <c r="JU23" s="37" t="n">
        <v>278</v>
      </c>
      <c r="JV23" s="37" t="n">
        <v>279</v>
      </c>
      <c r="JW23" s="37" t="n">
        <v>280</v>
      </c>
      <c r="JX23" s="37" t="n">
        <v>281</v>
      </c>
      <c r="JY23" s="37" t="n">
        <v>282</v>
      </c>
      <c r="JZ23" s="37" t="n">
        <v>283</v>
      </c>
      <c r="KA23" s="37" t="n">
        <v>284</v>
      </c>
      <c r="KB23" s="37" t="n">
        <v>285</v>
      </c>
      <c r="KC23" s="37" t="n">
        <v>286</v>
      </c>
      <c r="KD23" s="37" t="n">
        <v>287</v>
      </c>
      <c r="KE23" s="37" t="n">
        <v>288</v>
      </c>
      <c r="KF23" s="37" t="n">
        <v>289</v>
      </c>
      <c r="KG23" s="37" t="n">
        <v>290</v>
      </c>
      <c r="KH23" s="37" t="n">
        <v>291</v>
      </c>
      <c r="KI23" s="37" t="n">
        <v>292</v>
      </c>
      <c r="KJ23" s="37" t="n">
        <v>293</v>
      </c>
      <c r="KK23" s="37" t="n">
        <v>294</v>
      </c>
      <c r="KL23" s="37" t="n">
        <v>295</v>
      </c>
      <c r="KM23" s="37" t="n">
        <v>296</v>
      </c>
      <c r="KN23" s="37" t="n">
        <v>297</v>
      </c>
      <c r="KO23" s="37" t="n">
        <v>298</v>
      </c>
      <c r="KP23" s="37" t="n">
        <v>299</v>
      </c>
      <c r="KQ23" s="37" t="n">
        <v>300</v>
      </c>
      <c r="KR23" s="37" t="n">
        <v>301</v>
      </c>
      <c r="KS23" s="37" t="n">
        <v>302</v>
      </c>
      <c r="KT23" s="37" t="n">
        <v>303</v>
      </c>
      <c r="KU23" s="37" t="n">
        <v>304</v>
      </c>
      <c r="KV23" s="37" t="n">
        <v>305</v>
      </c>
      <c r="KW23" s="37" t="n">
        <v>306</v>
      </c>
      <c r="KX23" s="37" t="n">
        <v>307</v>
      </c>
      <c r="KY23" s="37" t="n">
        <v>308</v>
      </c>
      <c r="KZ23" s="37" t="n">
        <v>309</v>
      </c>
      <c r="LA23" s="37" t="n">
        <v>310</v>
      </c>
      <c r="LB23" s="37" t="n">
        <v>311</v>
      </c>
      <c r="LC23" s="37" t="n">
        <v>312</v>
      </c>
      <c r="LD23" s="37" t="n">
        <v>313</v>
      </c>
      <c r="LE23" s="37" t="n">
        <v>314</v>
      </c>
      <c r="LF23" s="37" t="n">
        <v>315</v>
      </c>
      <c r="LG23" s="37" t="n">
        <v>316</v>
      </c>
      <c r="LH23" s="37" t="n">
        <v>317</v>
      </c>
      <c r="LI23" s="37" t="n">
        <v>318</v>
      </c>
      <c r="LJ23" s="37" t="n">
        <v>319</v>
      </c>
      <c r="LK23" s="37" t="n">
        <v>320</v>
      </c>
      <c r="LL23" s="37" t="n">
        <v>321</v>
      </c>
      <c r="LM23" s="37" t="n">
        <v>322</v>
      </c>
      <c r="LN23" s="37" t="n">
        <v>323</v>
      </c>
      <c r="LO23" s="37" t="n">
        <v>324</v>
      </c>
      <c r="LP23" s="37" t="n">
        <v>325</v>
      </c>
      <c r="LQ23" s="37" t="n">
        <v>326</v>
      </c>
      <c r="LR23" s="37" t="n">
        <v>327</v>
      </c>
      <c r="LS23" s="37" t="n">
        <v>328</v>
      </c>
      <c r="LT23" s="37" t="n">
        <v>329</v>
      </c>
      <c r="LU23" s="37" t="n">
        <v>330</v>
      </c>
      <c r="LV23" s="37" t="n">
        <v>331</v>
      </c>
      <c r="LW23" s="37" t="n">
        <v>332</v>
      </c>
      <c r="LX23" s="37" t="n">
        <v>333</v>
      </c>
      <c r="LY23" s="37" t="n">
        <v>334</v>
      </c>
      <c r="LZ23" s="37" t="n">
        <v>335</v>
      </c>
      <c r="MA23" s="37" t="n">
        <v>336</v>
      </c>
      <c r="MB23" s="37" t="n">
        <v>337</v>
      </c>
      <c r="MC23" s="37" t="n">
        <v>338</v>
      </c>
      <c r="MD23" s="37" t="n">
        <v>339</v>
      </c>
      <c r="ME23" s="37" t="n">
        <v>340</v>
      </c>
      <c r="MF23" s="37" t="n">
        <v>341</v>
      </c>
      <c r="MG23" s="37" t="n">
        <v>342</v>
      </c>
      <c r="MH23" s="37" t="n">
        <v>343</v>
      </c>
      <c r="MI23" s="37" t="n">
        <v>344</v>
      </c>
      <c r="MJ23" s="37" t="n">
        <v>345</v>
      </c>
      <c r="MK23" s="37" t="n">
        <v>346</v>
      </c>
      <c r="ML23" s="37" t="n">
        <v>347</v>
      </c>
      <c r="MM23" s="37" t="n">
        <v>348</v>
      </c>
      <c r="MN23" s="37" t="n">
        <v>349</v>
      </c>
      <c r="MO23" s="37" t="n">
        <v>350</v>
      </c>
      <c r="MP23" s="37" t="n">
        <v>351</v>
      </c>
      <c r="MQ23" s="37" t="n">
        <v>352</v>
      </c>
      <c r="MR23" s="37" t="n">
        <v>353</v>
      </c>
      <c r="MS23" s="37" t="n">
        <v>354</v>
      </c>
      <c r="MT23" s="37" t="n">
        <v>355</v>
      </c>
      <c r="MU23" s="37" t="n">
        <v>356</v>
      </c>
      <c r="MV23" s="37" t="n">
        <v>357</v>
      </c>
      <c r="MW23" s="37" t="n">
        <v>358</v>
      </c>
      <c r="MX23" s="37" t="n">
        <v>359</v>
      </c>
      <c r="MY23" s="37" t="n">
        <v>360</v>
      </c>
      <c r="MZ23" s="37" t="n">
        <v>361</v>
      </c>
      <c r="NA23" s="37" t="n">
        <v>362</v>
      </c>
      <c r="NB23" s="37" t="n">
        <v>363</v>
      </c>
      <c r="NC23" s="37" t="n">
        <v>364</v>
      </c>
      <c r="ND23" s="37" t="n">
        <v>365</v>
      </c>
      <c r="NE23" s="37" t="n">
        <v>366</v>
      </c>
      <c r="NF23" s="37" t="n">
        <v>367</v>
      </c>
      <c r="NG23" s="37" t="n">
        <v>368</v>
      </c>
      <c r="NH23" s="37" t="n">
        <v>369</v>
      </c>
      <c r="NI23" s="37" t="n">
        <v>370</v>
      </c>
      <c r="NJ23" s="37" t="n">
        <v>371</v>
      </c>
      <c r="NK23" s="37" t="n">
        <v>372</v>
      </c>
    </row>
    <row r="24">
      <c r="A24" s="38" t="inlineStr">
        <is>
          <t>Month Start</t>
        </is>
      </c>
      <c r="D24" s="39">
        <f>EDATE(InceptionDate,0)</f>
        <v/>
      </c>
      <c r="E24" s="39">
        <f>EDATE(InceptionDate,1)</f>
        <v/>
      </c>
      <c r="F24" s="39">
        <f>EDATE(InceptionDate,2)</f>
        <v/>
      </c>
      <c r="G24" s="39">
        <f>EDATE(InceptionDate,3)</f>
        <v/>
      </c>
      <c r="H24" s="39">
        <f>EDATE(InceptionDate,4)</f>
        <v/>
      </c>
      <c r="I24" s="39">
        <f>EDATE(InceptionDate,5)</f>
        <v/>
      </c>
      <c r="J24" s="39">
        <f>EDATE(InceptionDate,6)</f>
        <v/>
      </c>
      <c r="K24" s="39">
        <f>EDATE(InceptionDate,7)</f>
        <v/>
      </c>
      <c r="L24" s="39">
        <f>EDATE(InceptionDate,8)</f>
        <v/>
      </c>
      <c r="M24" s="39">
        <f>EDATE(InceptionDate,9)</f>
        <v/>
      </c>
      <c r="N24" s="39">
        <f>EDATE(InceptionDate,10)</f>
        <v/>
      </c>
      <c r="O24" s="39">
        <f>EDATE(InceptionDate,11)</f>
        <v/>
      </c>
      <c r="P24" s="39">
        <f>EDATE(InceptionDate,12)</f>
        <v/>
      </c>
      <c r="Q24" s="39">
        <f>EDATE(InceptionDate,13)</f>
        <v/>
      </c>
      <c r="R24" s="39">
        <f>EDATE(InceptionDate,14)</f>
        <v/>
      </c>
      <c r="S24" s="39">
        <f>EDATE(InceptionDate,15)</f>
        <v/>
      </c>
      <c r="T24" s="39">
        <f>EDATE(InceptionDate,16)</f>
        <v/>
      </c>
      <c r="U24" s="39">
        <f>EDATE(InceptionDate,17)</f>
        <v/>
      </c>
      <c r="V24" s="39">
        <f>EDATE(InceptionDate,18)</f>
        <v/>
      </c>
      <c r="W24" s="39">
        <f>EDATE(InceptionDate,19)</f>
        <v/>
      </c>
      <c r="X24" s="39">
        <f>EDATE(InceptionDate,20)</f>
        <v/>
      </c>
      <c r="Y24" s="39">
        <f>EDATE(InceptionDate,21)</f>
        <v/>
      </c>
      <c r="Z24" s="39">
        <f>EDATE(InceptionDate,22)</f>
        <v/>
      </c>
      <c r="AA24" s="39">
        <f>EDATE(InceptionDate,23)</f>
        <v/>
      </c>
      <c r="AB24" s="39">
        <f>EDATE(InceptionDate,24)</f>
        <v/>
      </c>
      <c r="AC24" s="39">
        <f>EDATE(InceptionDate,25)</f>
        <v/>
      </c>
      <c r="AD24" s="39">
        <f>EDATE(InceptionDate,26)</f>
        <v/>
      </c>
      <c r="AE24" s="39">
        <f>EDATE(InceptionDate,27)</f>
        <v/>
      </c>
      <c r="AF24" s="39">
        <f>EDATE(InceptionDate,28)</f>
        <v/>
      </c>
      <c r="AG24" s="39">
        <f>EDATE(InceptionDate,29)</f>
        <v/>
      </c>
      <c r="AH24" s="39">
        <f>EDATE(InceptionDate,30)</f>
        <v/>
      </c>
      <c r="AI24" s="39">
        <f>EDATE(InceptionDate,31)</f>
        <v/>
      </c>
      <c r="AJ24" s="39">
        <f>EDATE(InceptionDate,32)</f>
        <v/>
      </c>
      <c r="AK24" s="39">
        <f>EDATE(InceptionDate,33)</f>
        <v/>
      </c>
      <c r="AL24" s="39">
        <f>EDATE(InceptionDate,34)</f>
        <v/>
      </c>
      <c r="AM24" s="39">
        <f>EDATE(InceptionDate,35)</f>
        <v/>
      </c>
      <c r="AN24" s="39">
        <f>EDATE(InceptionDate,36)</f>
        <v/>
      </c>
      <c r="AO24" s="39">
        <f>EDATE(InceptionDate,37)</f>
        <v/>
      </c>
      <c r="AP24" s="39">
        <f>EDATE(InceptionDate,38)</f>
        <v/>
      </c>
      <c r="AQ24" s="39">
        <f>EDATE(InceptionDate,39)</f>
        <v/>
      </c>
      <c r="AR24" s="39">
        <f>EDATE(InceptionDate,40)</f>
        <v/>
      </c>
      <c r="AS24" s="39">
        <f>EDATE(InceptionDate,41)</f>
        <v/>
      </c>
      <c r="AT24" s="39">
        <f>EDATE(InceptionDate,42)</f>
        <v/>
      </c>
      <c r="AU24" s="39">
        <f>EDATE(InceptionDate,43)</f>
        <v/>
      </c>
      <c r="AV24" s="39">
        <f>EDATE(InceptionDate,44)</f>
        <v/>
      </c>
      <c r="AW24" s="39">
        <f>EDATE(InceptionDate,45)</f>
        <v/>
      </c>
      <c r="AX24" s="39">
        <f>EDATE(InceptionDate,46)</f>
        <v/>
      </c>
      <c r="AY24" s="39">
        <f>EDATE(InceptionDate,47)</f>
        <v/>
      </c>
      <c r="AZ24" s="39">
        <f>EDATE(InceptionDate,48)</f>
        <v/>
      </c>
      <c r="BA24" s="39">
        <f>EDATE(InceptionDate,49)</f>
        <v/>
      </c>
      <c r="BB24" s="39">
        <f>EDATE(InceptionDate,50)</f>
        <v/>
      </c>
      <c r="BC24" s="39">
        <f>EDATE(InceptionDate,51)</f>
        <v/>
      </c>
      <c r="BD24" s="39">
        <f>EDATE(InceptionDate,52)</f>
        <v/>
      </c>
      <c r="BE24" s="39">
        <f>EDATE(InceptionDate,53)</f>
        <v/>
      </c>
      <c r="BF24" s="39">
        <f>EDATE(InceptionDate,54)</f>
        <v/>
      </c>
      <c r="BG24" s="39">
        <f>EDATE(InceptionDate,55)</f>
        <v/>
      </c>
      <c r="BH24" s="39">
        <f>EDATE(InceptionDate,56)</f>
        <v/>
      </c>
      <c r="BI24" s="39">
        <f>EDATE(InceptionDate,57)</f>
        <v/>
      </c>
      <c r="BJ24" s="39">
        <f>EDATE(InceptionDate,58)</f>
        <v/>
      </c>
      <c r="BK24" s="39">
        <f>EDATE(InceptionDate,59)</f>
        <v/>
      </c>
      <c r="BL24" s="39">
        <f>EDATE(InceptionDate,60)</f>
        <v/>
      </c>
      <c r="BM24" s="39">
        <f>EDATE(InceptionDate,61)</f>
        <v/>
      </c>
      <c r="BN24" s="39">
        <f>EDATE(InceptionDate,62)</f>
        <v/>
      </c>
      <c r="BO24" s="39">
        <f>EDATE(InceptionDate,63)</f>
        <v/>
      </c>
      <c r="BP24" s="39">
        <f>EDATE(InceptionDate,64)</f>
        <v/>
      </c>
      <c r="BQ24" s="39">
        <f>EDATE(InceptionDate,65)</f>
        <v/>
      </c>
      <c r="BR24" s="39">
        <f>EDATE(InceptionDate,66)</f>
        <v/>
      </c>
      <c r="BS24" s="39">
        <f>EDATE(InceptionDate,67)</f>
        <v/>
      </c>
      <c r="BT24" s="39">
        <f>EDATE(InceptionDate,68)</f>
        <v/>
      </c>
      <c r="BU24" s="39">
        <f>EDATE(InceptionDate,69)</f>
        <v/>
      </c>
      <c r="BV24" s="39">
        <f>EDATE(InceptionDate,70)</f>
        <v/>
      </c>
      <c r="BW24" s="39">
        <f>EDATE(InceptionDate,71)</f>
        <v/>
      </c>
      <c r="BX24" s="39">
        <f>EDATE(InceptionDate,72)</f>
        <v/>
      </c>
      <c r="BY24" s="39">
        <f>EDATE(InceptionDate,73)</f>
        <v/>
      </c>
      <c r="BZ24" s="39">
        <f>EDATE(InceptionDate,74)</f>
        <v/>
      </c>
      <c r="CA24" s="39">
        <f>EDATE(InceptionDate,75)</f>
        <v/>
      </c>
      <c r="CB24" s="39">
        <f>EDATE(InceptionDate,76)</f>
        <v/>
      </c>
      <c r="CC24" s="39">
        <f>EDATE(InceptionDate,77)</f>
        <v/>
      </c>
      <c r="CD24" s="39">
        <f>EDATE(InceptionDate,78)</f>
        <v/>
      </c>
      <c r="CE24" s="39">
        <f>EDATE(InceptionDate,79)</f>
        <v/>
      </c>
      <c r="CF24" s="39">
        <f>EDATE(InceptionDate,80)</f>
        <v/>
      </c>
      <c r="CG24" s="39">
        <f>EDATE(InceptionDate,81)</f>
        <v/>
      </c>
      <c r="CH24" s="39">
        <f>EDATE(InceptionDate,82)</f>
        <v/>
      </c>
      <c r="CI24" s="39">
        <f>EDATE(InceptionDate,83)</f>
        <v/>
      </c>
      <c r="CJ24" s="39">
        <f>EDATE(InceptionDate,84)</f>
        <v/>
      </c>
      <c r="CK24" s="39">
        <f>EDATE(InceptionDate,85)</f>
        <v/>
      </c>
      <c r="CL24" s="39">
        <f>EDATE(InceptionDate,86)</f>
        <v/>
      </c>
      <c r="CM24" s="39">
        <f>EDATE(InceptionDate,87)</f>
        <v/>
      </c>
      <c r="CN24" s="39">
        <f>EDATE(InceptionDate,88)</f>
        <v/>
      </c>
      <c r="CO24" s="39">
        <f>EDATE(InceptionDate,89)</f>
        <v/>
      </c>
      <c r="CP24" s="39">
        <f>EDATE(InceptionDate,90)</f>
        <v/>
      </c>
      <c r="CQ24" s="39">
        <f>EDATE(InceptionDate,91)</f>
        <v/>
      </c>
      <c r="CR24" s="39">
        <f>EDATE(InceptionDate,92)</f>
        <v/>
      </c>
      <c r="CS24" s="39">
        <f>EDATE(InceptionDate,93)</f>
        <v/>
      </c>
      <c r="CT24" s="39">
        <f>EDATE(InceptionDate,94)</f>
        <v/>
      </c>
      <c r="CU24" s="39">
        <f>EDATE(InceptionDate,95)</f>
        <v/>
      </c>
      <c r="CV24" s="39">
        <f>EDATE(InceptionDate,96)</f>
        <v/>
      </c>
      <c r="CW24" s="39">
        <f>EDATE(InceptionDate,97)</f>
        <v/>
      </c>
      <c r="CX24" s="39">
        <f>EDATE(InceptionDate,98)</f>
        <v/>
      </c>
      <c r="CY24" s="39">
        <f>EDATE(InceptionDate,99)</f>
        <v/>
      </c>
      <c r="CZ24" s="39">
        <f>EDATE(InceptionDate,100)</f>
        <v/>
      </c>
      <c r="DA24" s="39">
        <f>EDATE(InceptionDate,101)</f>
        <v/>
      </c>
      <c r="DB24" s="39">
        <f>EDATE(InceptionDate,102)</f>
        <v/>
      </c>
      <c r="DC24" s="39">
        <f>EDATE(InceptionDate,103)</f>
        <v/>
      </c>
      <c r="DD24" s="39">
        <f>EDATE(InceptionDate,104)</f>
        <v/>
      </c>
      <c r="DE24" s="39">
        <f>EDATE(InceptionDate,105)</f>
        <v/>
      </c>
      <c r="DF24" s="39">
        <f>EDATE(InceptionDate,106)</f>
        <v/>
      </c>
      <c r="DG24" s="39">
        <f>EDATE(InceptionDate,107)</f>
        <v/>
      </c>
      <c r="DH24" s="39">
        <f>EDATE(InceptionDate,108)</f>
        <v/>
      </c>
      <c r="DI24" s="39">
        <f>EDATE(InceptionDate,109)</f>
        <v/>
      </c>
      <c r="DJ24" s="39">
        <f>EDATE(InceptionDate,110)</f>
        <v/>
      </c>
      <c r="DK24" s="39">
        <f>EDATE(InceptionDate,111)</f>
        <v/>
      </c>
      <c r="DL24" s="39">
        <f>EDATE(InceptionDate,112)</f>
        <v/>
      </c>
      <c r="DM24" s="39">
        <f>EDATE(InceptionDate,113)</f>
        <v/>
      </c>
      <c r="DN24" s="39">
        <f>EDATE(InceptionDate,114)</f>
        <v/>
      </c>
      <c r="DO24" s="39">
        <f>EDATE(InceptionDate,115)</f>
        <v/>
      </c>
      <c r="DP24" s="39">
        <f>EDATE(InceptionDate,116)</f>
        <v/>
      </c>
      <c r="DQ24" s="39">
        <f>EDATE(InceptionDate,117)</f>
        <v/>
      </c>
      <c r="DR24" s="39">
        <f>EDATE(InceptionDate,118)</f>
        <v/>
      </c>
      <c r="DS24" s="39">
        <f>EDATE(InceptionDate,119)</f>
        <v/>
      </c>
      <c r="DT24" s="39">
        <f>EDATE(InceptionDate,120)</f>
        <v/>
      </c>
      <c r="DU24" s="39">
        <f>EDATE(InceptionDate,121)</f>
        <v/>
      </c>
      <c r="DV24" s="39">
        <f>EDATE(InceptionDate,122)</f>
        <v/>
      </c>
      <c r="DW24" s="39">
        <f>EDATE(InceptionDate,123)</f>
        <v/>
      </c>
      <c r="DX24" s="39">
        <f>EDATE(InceptionDate,124)</f>
        <v/>
      </c>
      <c r="DY24" s="39">
        <f>EDATE(InceptionDate,125)</f>
        <v/>
      </c>
      <c r="DZ24" s="39">
        <f>EDATE(InceptionDate,126)</f>
        <v/>
      </c>
      <c r="EA24" s="39">
        <f>EDATE(InceptionDate,127)</f>
        <v/>
      </c>
      <c r="EB24" s="39">
        <f>EDATE(InceptionDate,128)</f>
        <v/>
      </c>
      <c r="EC24" s="39">
        <f>EDATE(InceptionDate,129)</f>
        <v/>
      </c>
      <c r="ED24" s="39">
        <f>EDATE(InceptionDate,130)</f>
        <v/>
      </c>
      <c r="EE24" s="39">
        <f>EDATE(InceptionDate,131)</f>
        <v/>
      </c>
      <c r="EF24" s="39">
        <f>EDATE(InceptionDate,132)</f>
        <v/>
      </c>
      <c r="EG24" s="39">
        <f>EDATE(InceptionDate,133)</f>
        <v/>
      </c>
      <c r="EH24" s="39">
        <f>EDATE(InceptionDate,134)</f>
        <v/>
      </c>
      <c r="EI24" s="39">
        <f>EDATE(InceptionDate,135)</f>
        <v/>
      </c>
      <c r="EJ24" s="39">
        <f>EDATE(InceptionDate,136)</f>
        <v/>
      </c>
      <c r="EK24" s="39">
        <f>EDATE(InceptionDate,137)</f>
        <v/>
      </c>
      <c r="EL24" s="39">
        <f>EDATE(InceptionDate,138)</f>
        <v/>
      </c>
      <c r="EM24" s="39">
        <f>EDATE(InceptionDate,139)</f>
        <v/>
      </c>
      <c r="EN24" s="39">
        <f>EDATE(InceptionDate,140)</f>
        <v/>
      </c>
      <c r="EO24" s="39">
        <f>EDATE(InceptionDate,141)</f>
        <v/>
      </c>
      <c r="EP24" s="39">
        <f>EDATE(InceptionDate,142)</f>
        <v/>
      </c>
      <c r="EQ24" s="39">
        <f>EDATE(InceptionDate,143)</f>
        <v/>
      </c>
      <c r="ER24" s="39">
        <f>EDATE(InceptionDate,144)</f>
        <v/>
      </c>
      <c r="ES24" s="39">
        <f>EDATE(InceptionDate,145)</f>
        <v/>
      </c>
      <c r="ET24" s="39">
        <f>EDATE(InceptionDate,146)</f>
        <v/>
      </c>
      <c r="EU24" s="39">
        <f>EDATE(InceptionDate,147)</f>
        <v/>
      </c>
      <c r="EV24" s="39">
        <f>EDATE(InceptionDate,148)</f>
        <v/>
      </c>
      <c r="EW24" s="39">
        <f>EDATE(InceptionDate,149)</f>
        <v/>
      </c>
      <c r="EX24" s="39">
        <f>EDATE(InceptionDate,150)</f>
        <v/>
      </c>
      <c r="EY24" s="39">
        <f>EDATE(InceptionDate,151)</f>
        <v/>
      </c>
      <c r="EZ24" s="39">
        <f>EDATE(InceptionDate,152)</f>
        <v/>
      </c>
      <c r="FA24" s="39">
        <f>EDATE(InceptionDate,153)</f>
        <v/>
      </c>
      <c r="FB24" s="39">
        <f>EDATE(InceptionDate,154)</f>
        <v/>
      </c>
      <c r="FC24" s="39">
        <f>EDATE(InceptionDate,155)</f>
        <v/>
      </c>
      <c r="FD24" s="39">
        <f>EDATE(InceptionDate,156)</f>
        <v/>
      </c>
      <c r="FE24" s="39">
        <f>EDATE(InceptionDate,157)</f>
        <v/>
      </c>
      <c r="FF24" s="39">
        <f>EDATE(InceptionDate,158)</f>
        <v/>
      </c>
      <c r="FG24" s="39">
        <f>EDATE(InceptionDate,159)</f>
        <v/>
      </c>
      <c r="FH24" s="39">
        <f>EDATE(InceptionDate,160)</f>
        <v/>
      </c>
      <c r="FI24" s="39">
        <f>EDATE(InceptionDate,161)</f>
        <v/>
      </c>
      <c r="FJ24" s="39">
        <f>EDATE(InceptionDate,162)</f>
        <v/>
      </c>
      <c r="FK24" s="39">
        <f>EDATE(InceptionDate,163)</f>
        <v/>
      </c>
      <c r="FL24" s="39">
        <f>EDATE(InceptionDate,164)</f>
        <v/>
      </c>
      <c r="FM24" s="39">
        <f>EDATE(InceptionDate,165)</f>
        <v/>
      </c>
      <c r="FN24" s="39">
        <f>EDATE(InceptionDate,166)</f>
        <v/>
      </c>
      <c r="FO24" s="39">
        <f>EDATE(InceptionDate,167)</f>
        <v/>
      </c>
      <c r="FP24" s="39">
        <f>EDATE(InceptionDate,168)</f>
        <v/>
      </c>
      <c r="FQ24" s="39">
        <f>EDATE(InceptionDate,169)</f>
        <v/>
      </c>
      <c r="FR24" s="39">
        <f>EDATE(InceptionDate,170)</f>
        <v/>
      </c>
      <c r="FS24" s="39">
        <f>EDATE(InceptionDate,171)</f>
        <v/>
      </c>
      <c r="FT24" s="39">
        <f>EDATE(InceptionDate,172)</f>
        <v/>
      </c>
      <c r="FU24" s="39">
        <f>EDATE(InceptionDate,173)</f>
        <v/>
      </c>
      <c r="FV24" s="39">
        <f>EDATE(InceptionDate,174)</f>
        <v/>
      </c>
      <c r="FW24" s="39">
        <f>EDATE(InceptionDate,175)</f>
        <v/>
      </c>
      <c r="FX24" s="39">
        <f>EDATE(InceptionDate,176)</f>
        <v/>
      </c>
      <c r="FY24" s="39">
        <f>EDATE(InceptionDate,177)</f>
        <v/>
      </c>
      <c r="FZ24" s="39">
        <f>EDATE(InceptionDate,178)</f>
        <v/>
      </c>
      <c r="GA24" s="39">
        <f>EDATE(InceptionDate,179)</f>
        <v/>
      </c>
      <c r="GB24" s="39">
        <f>EDATE(InceptionDate,180)</f>
        <v/>
      </c>
      <c r="GC24" s="39">
        <f>EDATE(InceptionDate,181)</f>
        <v/>
      </c>
      <c r="GD24" s="39">
        <f>EDATE(InceptionDate,182)</f>
        <v/>
      </c>
      <c r="GE24" s="39">
        <f>EDATE(InceptionDate,183)</f>
        <v/>
      </c>
      <c r="GF24" s="39">
        <f>EDATE(InceptionDate,184)</f>
        <v/>
      </c>
      <c r="GG24" s="39">
        <f>EDATE(InceptionDate,185)</f>
        <v/>
      </c>
      <c r="GH24" s="39">
        <f>EDATE(InceptionDate,186)</f>
        <v/>
      </c>
      <c r="GI24" s="39">
        <f>EDATE(InceptionDate,187)</f>
        <v/>
      </c>
      <c r="GJ24" s="39">
        <f>EDATE(InceptionDate,188)</f>
        <v/>
      </c>
      <c r="GK24" s="39">
        <f>EDATE(InceptionDate,189)</f>
        <v/>
      </c>
      <c r="GL24" s="39">
        <f>EDATE(InceptionDate,190)</f>
        <v/>
      </c>
      <c r="GM24" s="39">
        <f>EDATE(InceptionDate,191)</f>
        <v/>
      </c>
      <c r="GN24" s="39">
        <f>EDATE(InceptionDate,192)</f>
        <v/>
      </c>
      <c r="GO24" s="39">
        <f>EDATE(InceptionDate,193)</f>
        <v/>
      </c>
      <c r="GP24" s="39">
        <f>EDATE(InceptionDate,194)</f>
        <v/>
      </c>
      <c r="GQ24" s="39">
        <f>EDATE(InceptionDate,195)</f>
        <v/>
      </c>
      <c r="GR24" s="39">
        <f>EDATE(InceptionDate,196)</f>
        <v/>
      </c>
      <c r="GS24" s="39">
        <f>EDATE(InceptionDate,197)</f>
        <v/>
      </c>
      <c r="GT24" s="39">
        <f>EDATE(InceptionDate,198)</f>
        <v/>
      </c>
      <c r="GU24" s="39">
        <f>EDATE(InceptionDate,199)</f>
        <v/>
      </c>
      <c r="GV24" s="39">
        <f>EDATE(InceptionDate,200)</f>
        <v/>
      </c>
      <c r="GW24" s="39">
        <f>EDATE(InceptionDate,201)</f>
        <v/>
      </c>
      <c r="GX24" s="39">
        <f>EDATE(InceptionDate,202)</f>
        <v/>
      </c>
      <c r="GY24" s="39">
        <f>EDATE(InceptionDate,203)</f>
        <v/>
      </c>
      <c r="GZ24" s="39">
        <f>EDATE(InceptionDate,204)</f>
        <v/>
      </c>
      <c r="HA24" s="39">
        <f>EDATE(InceptionDate,205)</f>
        <v/>
      </c>
      <c r="HB24" s="39">
        <f>EDATE(InceptionDate,206)</f>
        <v/>
      </c>
      <c r="HC24" s="39">
        <f>EDATE(InceptionDate,207)</f>
        <v/>
      </c>
      <c r="HD24" s="39">
        <f>EDATE(InceptionDate,208)</f>
        <v/>
      </c>
      <c r="HE24" s="39">
        <f>EDATE(InceptionDate,209)</f>
        <v/>
      </c>
      <c r="HF24" s="39">
        <f>EDATE(InceptionDate,210)</f>
        <v/>
      </c>
      <c r="HG24" s="39">
        <f>EDATE(InceptionDate,211)</f>
        <v/>
      </c>
      <c r="HH24" s="39">
        <f>EDATE(InceptionDate,212)</f>
        <v/>
      </c>
      <c r="HI24" s="39">
        <f>EDATE(InceptionDate,213)</f>
        <v/>
      </c>
      <c r="HJ24" s="39">
        <f>EDATE(InceptionDate,214)</f>
        <v/>
      </c>
      <c r="HK24" s="39">
        <f>EDATE(InceptionDate,215)</f>
        <v/>
      </c>
      <c r="HL24" s="39">
        <f>EDATE(InceptionDate,216)</f>
        <v/>
      </c>
      <c r="HM24" s="39">
        <f>EDATE(InceptionDate,217)</f>
        <v/>
      </c>
      <c r="HN24" s="39">
        <f>EDATE(InceptionDate,218)</f>
        <v/>
      </c>
      <c r="HO24" s="39">
        <f>EDATE(InceptionDate,219)</f>
        <v/>
      </c>
      <c r="HP24" s="39">
        <f>EDATE(InceptionDate,220)</f>
        <v/>
      </c>
      <c r="HQ24" s="39">
        <f>EDATE(InceptionDate,221)</f>
        <v/>
      </c>
      <c r="HR24" s="39">
        <f>EDATE(InceptionDate,222)</f>
        <v/>
      </c>
      <c r="HS24" s="39">
        <f>EDATE(InceptionDate,223)</f>
        <v/>
      </c>
      <c r="HT24" s="39">
        <f>EDATE(InceptionDate,224)</f>
        <v/>
      </c>
      <c r="HU24" s="39">
        <f>EDATE(InceptionDate,225)</f>
        <v/>
      </c>
      <c r="HV24" s="39">
        <f>EDATE(InceptionDate,226)</f>
        <v/>
      </c>
      <c r="HW24" s="39">
        <f>EDATE(InceptionDate,227)</f>
        <v/>
      </c>
      <c r="HX24" s="39">
        <f>EDATE(InceptionDate,228)</f>
        <v/>
      </c>
      <c r="HY24" s="39">
        <f>EDATE(InceptionDate,229)</f>
        <v/>
      </c>
      <c r="HZ24" s="39">
        <f>EDATE(InceptionDate,230)</f>
        <v/>
      </c>
      <c r="IA24" s="39">
        <f>EDATE(InceptionDate,231)</f>
        <v/>
      </c>
      <c r="IB24" s="39">
        <f>EDATE(InceptionDate,232)</f>
        <v/>
      </c>
      <c r="IC24" s="39">
        <f>EDATE(InceptionDate,233)</f>
        <v/>
      </c>
      <c r="ID24" s="39">
        <f>EDATE(InceptionDate,234)</f>
        <v/>
      </c>
      <c r="IE24" s="39">
        <f>EDATE(InceptionDate,235)</f>
        <v/>
      </c>
      <c r="IF24" s="39">
        <f>EDATE(InceptionDate,236)</f>
        <v/>
      </c>
      <c r="IG24" s="39">
        <f>EDATE(InceptionDate,237)</f>
        <v/>
      </c>
      <c r="IH24" s="39">
        <f>EDATE(InceptionDate,238)</f>
        <v/>
      </c>
      <c r="II24" s="39">
        <f>EDATE(InceptionDate,239)</f>
        <v/>
      </c>
      <c r="IJ24" s="39">
        <f>EDATE(InceptionDate,240)</f>
        <v/>
      </c>
      <c r="IK24" s="39">
        <f>EDATE(InceptionDate,241)</f>
        <v/>
      </c>
      <c r="IL24" s="39">
        <f>EDATE(InceptionDate,242)</f>
        <v/>
      </c>
      <c r="IM24" s="39">
        <f>EDATE(InceptionDate,243)</f>
        <v/>
      </c>
      <c r="IN24" s="39">
        <f>EDATE(InceptionDate,244)</f>
        <v/>
      </c>
      <c r="IO24" s="39">
        <f>EDATE(InceptionDate,245)</f>
        <v/>
      </c>
      <c r="IP24" s="39">
        <f>EDATE(InceptionDate,246)</f>
        <v/>
      </c>
      <c r="IQ24" s="39">
        <f>EDATE(InceptionDate,247)</f>
        <v/>
      </c>
      <c r="IR24" s="39">
        <f>EDATE(InceptionDate,248)</f>
        <v/>
      </c>
      <c r="IS24" s="39">
        <f>EDATE(InceptionDate,249)</f>
        <v/>
      </c>
      <c r="IT24" s="39">
        <f>EDATE(InceptionDate,250)</f>
        <v/>
      </c>
      <c r="IU24" s="39">
        <f>EDATE(InceptionDate,251)</f>
        <v/>
      </c>
      <c r="IV24" s="39">
        <f>EDATE(InceptionDate,252)</f>
        <v/>
      </c>
      <c r="IW24" s="39">
        <f>EDATE(InceptionDate,253)</f>
        <v/>
      </c>
      <c r="IX24" s="39">
        <f>EDATE(InceptionDate,254)</f>
        <v/>
      </c>
      <c r="IY24" s="39">
        <f>EDATE(InceptionDate,255)</f>
        <v/>
      </c>
      <c r="IZ24" s="39">
        <f>EDATE(InceptionDate,256)</f>
        <v/>
      </c>
      <c r="JA24" s="39">
        <f>EDATE(InceptionDate,257)</f>
        <v/>
      </c>
      <c r="JB24" s="39">
        <f>EDATE(InceptionDate,258)</f>
        <v/>
      </c>
      <c r="JC24" s="39">
        <f>EDATE(InceptionDate,259)</f>
        <v/>
      </c>
      <c r="JD24" s="39">
        <f>EDATE(InceptionDate,260)</f>
        <v/>
      </c>
      <c r="JE24" s="39">
        <f>EDATE(InceptionDate,261)</f>
        <v/>
      </c>
      <c r="JF24" s="39">
        <f>EDATE(InceptionDate,262)</f>
        <v/>
      </c>
      <c r="JG24" s="39">
        <f>EDATE(InceptionDate,263)</f>
        <v/>
      </c>
      <c r="JH24" s="39">
        <f>EDATE(InceptionDate,264)</f>
        <v/>
      </c>
      <c r="JI24" s="39">
        <f>EDATE(InceptionDate,265)</f>
        <v/>
      </c>
      <c r="JJ24" s="39">
        <f>EDATE(InceptionDate,266)</f>
        <v/>
      </c>
      <c r="JK24" s="39">
        <f>EDATE(InceptionDate,267)</f>
        <v/>
      </c>
      <c r="JL24" s="39">
        <f>EDATE(InceptionDate,268)</f>
        <v/>
      </c>
      <c r="JM24" s="39">
        <f>EDATE(InceptionDate,269)</f>
        <v/>
      </c>
      <c r="JN24" s="39">
        <f>EDATE(InceptionDate,270)</f>
        <v/>
      </c>
      <c r="JO24" s="39">
        <f>EDATE(InceptionDate,271)</f>
        <v/>
      </c>
      <c r="JP24" s="39">
        <f>EDATE(InceptionDate,272)</f>
        <v/>
      </c>
      <c r="JQ24" s="39">
        <f>EDATE(InceptionDate,273)</f>
        <v/>
      </c>
      <c r="JR24" s="39">
        <f>EDATE(InceptionDate,274)</f>
        <v/>
      </c>
      <c r="JS24" s="39">
        <f>EDATE(InceptionDate,275)</f>
        <v/>
      </c>
      <c r="JT24" s="39">
        <f>EDATE(InceptionDate,276)</f>
        <v/>
      </c>
      <c r="JU24" s="39">
        <f>EDATE(InceptionDate,277)</f>
        <v/>
      </c>
      <c r="JV24" s="39">
        <f>EDATE(InceptionDate,278)</f>
        <v/>
      </c>
      <c r="JW24" s="39">
        <f>EDATE(InceptionDate,279)</f>
        <v/>
      </c>
      <c r="JX24" s="39">
        <f>EDATE(InceptionDate,280)</f>
        <v/>
      </c>
      <c r="JY24" s="39">
        <f>EDATE(InceptionDate,281)</f>
        <v/>
      </c>
      <c r="JZ24" s="39">
        <f>EDATE(InceptionDate,282)</f>
        <v/>
      </c>
      <c r="KA24" s="39">
        <f>EDATE(InceptionDate,283)</f>
        <v/>
      </c>
      <c r="KB24" s="39">
        <f>EDATE(InceptionDate,284)</f>
        <v/>
      </c>
      <c r="KC24" s="39">
        <f>EDATE(InceptionDate,285)</f>
        <v/>
      </c>
      <c r="KD24" s="39">
        <f>EDATE(InceptionDate,286)</f>
        <v/>
      </c>
      <c r="KE24" s="39">
        <f>EDATE(InceptionDate,287)</f>
        <v/>
      </c>
      <c r="KF24" s="39">
        <f>EDATE(InceptionDate,288)</f>
        <v/>
      </c>
      <c r="KG24" s="39">
        <f>EDATE(InceptionDate,289)</f>
        <v/>
      </c>
      <c r="KH24" s="39">
        <f>EDATE(InceptionDate,290)</f>
        <v/>
      </c>
      <c r="KI24" s="39">
        <f>EDATE(InceptionDate,291)</f>
        <v/>
      </c>
      <c r="KJ24" s="39">
        <f>EDATE(InceptionDate,292)</f>
        <v/>
      </c>
      <c r="KK24" s="39">
        <f>EDATE(InceptionDate,293)</f>
        <v/>
      </c>
      <c r="KL24" s="39">
        <f>EDATE(InceptionDate,294)</f>
        <v/>
      </c>
      <c r="KM24" s="39">
        <f>EDATE(InceptionDate,295)</f>
        <v/>
      </c>
      <c r="KN24" s="39">
        <f>EDATE(InceptionDate,296)</f>
        <v/>
      </c>
      <c r="KO24" s="39">
        <f>EDATE(InceptionDate,297)</f>
        <v/>
      </c>
      <c r="KP24" s="39">
        <f>EDATE(InceptionDate,298)</f>
        <v/>
      </c>
      <c r="KQ24" s="39">
        <f>EDATE(InceptionDate,299)</f>
        <v/>
      </c>
      <c r="KR24" s="39">
        <f>EDATE(InceptionDate,300)</f>
        <v/>
      </c>
      <c r="KS24" s="39">
        <f>EDATE(InceptionDate,301)</f>
        <v/>
      </c>
      <c r="KT24" s="39">
        <f>EDATE(InceptionDate,302)</f>
        <v/>
      </c>
      <c r="KU24" s="39">
        <f>EDATE(InceptionDate,303)</f>
        <v/>
      </c>
      <c r="KV24" s="39">
        <f>EDATE(InceptionDate,304)</f>
        <v/>
      </c>
      <c r="KW24" s="39">
        <f>EDATE(InceptionDate,305)</f>
        <v/>
      </c>
      <c r="KX24" s="39">
        <f>EDATE(InceptionDate,306)</f>
        <v/>
      </c>
      <c r="KY24" s="39">
        <f>EDATE(InceptionDate,307)</f>
        <v/>
      </c>
      <c r="KZ24" s="39">
        <f>EDATE(InceptionDate,308)</f>
        <v/>
      </c>
      <c r="LA24" s="39">
        <f>EDATE(InceptionDate,309)</f>
        <v/>
      </c>
      <c r="LB24" s="39">
        <f>EDATE(InceptionDate,310)</f>
        <v/>
      </c>
      <c r="LC24" s="39">
        <f>EDATE(InceptionDate,311)</f>
        <v/>
      </c>
      <c r="LD24" s="39">
        <f>EDATE(InceptionDate,312)</f>
        <v/>
      </c>
      <c r="LE24" s="39">
        <f>EDATE(InceptionDate,313)</f>
        <v/>
      </c>
      <c r="LF24" s="39">
        <f>EDATE(InceptionDate,314)</f>
        <v/>
      </c>
      <c r="LG24" s="39">
        <f>EDATE(InceptionDate,315)</f>
        <v/>
      </c>
      <c r="LH24" s="39">
        <f>EDATE(InceptionDate,316)</f>
        <v/>
      </c>
      <c r="LI24" s="39">
        <f>EDATE(InceptionDate,317)</f>
        <v/>
      </c>
      <c r="LJ24" s="39">
        <f>EDATE(InceptionDate,318)</f>
        <v/>
      </c>
      <c r="LK24" s="39">
        <f>EDATE(InceptionDate,319)</f>
        <v/>
      </c>
      <c r="LL24" s="39">
        <f>EDATE(InceptionDate,320)</f>
        <v/>
      </c>
      <c r="LM24" s="39">
        <f>EDATE(InceptionDate,321)</f>
        <v/>
      </c>
      <c r="LN24" s="39">
        <f>EDATE(InceptionDate,322)</f>
        <v/>
      </c>
      <c r="LO24" s="39">
        <f>EDATE(InceptionDate,323)</f>
        <v/>
      </c>
      <c r="LP24" s="39">
        <f>EDATE(InceptionDate,324)</f>
        <v/>
      </c>
      <c r="LQ24" s="39">
        <f>EDATE(InceptionDate,325)</f>
        <v/>
      </c>
      <c r="LR24" s="39">
        <f>EDATE(InceptionDate,326)</f>
        <v/>
      </c>
      <c r="LS24" s="39">
        <f>EDATE(InceptionDate,327)</f>
        <v/>
      </c>
      <c r="LT24" s="39">
        <f>EDATE(InceptionDate,328)</f>
        <v/>
      </c>
      <c r="LU24" s="39">
        <f>EDATE(InceptionDate,329)</f>
        <v/>
      </c>
      <c r="LV24" s="39">
        <f>EDATE(InceptionDate,330)</f>
        <v/>
      </c>
      <c r="LW24" s="39">
        <f>EDATE(InceptionDate,331)</f>
        <v/>
      </c>
      <c r="LX24" s="39">
        <f>EDATE(InceptionDate,332)</f>
        <v/>
      </c>
      <c r="LY24" s="39">
        <f>EDATE(InceptionDate,333)</f>
        <v/>
      </c>
      <c r="LZ24" s="39">
        <f>EDATE(InceptionDate,334)</f>
        <v/>
      </c>
      <c r="MA24" s="39">
        <f>EDATE(InceptionDate,335)</f>
        <v/>
      </c>
      <c r="MB24" s="39">
        <f>EDATE(InceptionDate,336)</f>
        <v/>
      </c>
      <c r="MC24" s="39">
        <f>EDATE(InceptionDate,337)</f>
        <v/>
      </c>
      <c r="MD24" s="39">
        <f>EDATE(InceptionDate,338)</f>
        <v/>
      </c>
      <c r="ME24" s="39">
        <f>EDATE(InceptionDate,339)</f>
        <v/>
      </c>
      <c r="MF24" s="39">
        <f>EDATE(InceptionDate,340)</f>
        <v/>
      </c>
      <c r="MG24" s="39">
        <f>EDATE(InceptionDate,341)</f>
        <v/>
      </c>
      <c r="MH24" s="39">
        <f>EDATE(InceptionDate,342)</f>
        <v/>
      </c>
      <c r="MI24" s="39">
        <f>EDATE(InceptionDate,343)</f>
        <v/>
      </c>
      <c r="MJ24" s="39">
        <f>EDATE(InceptionDate,344)</f>
        <v/>
      </c>
      <c r="MK24" s="39">
        <f>EDATE(InceptionDate,345)</f>
        <v/>
      </c>
      <c r="ML24" s="39">
        <f>EDATE(InceptionDate,346)</f>
        <v/>
      </c>
      <c r="MM24" s="39">
        <f>EDATE(InceptionDate,347)</f>
        <v/>
      </c>
      <c r="MN24" s="39">
        <f>EDATE(InceptionDate,348)</f>
        <v/>
      </c>
      <c r="MO24" s="39">
        <f>EDATE(InceptionDate,349)</f>
        <v/>
      </c>
      <c r="MP24" s="39">
        <f>EDATE(InceptionDate,350)</f>
        <v/>
      </c>
      <c r="MQ24" s="39">
        <f>EDATE(InceptionDate,351)</f>
        <v/>
      </c>
      <c r="MR24" s="39">
        <f>EDATE(InceptionDate,352)</f>
        <v/>
      </c>
      <c r="MS24" s="39">
        <f>EDATE(InceptionDate,353)</f>
        <v/>
      </c>
      <c r="MT24" s="39">
        <f>EDATE(InceptionDate,354)</f>
        <v/>
      </c>
      <c r="MU24" s="39">
        <f>EDATE(InceptionDate,355)</f>
        <v/>
      </c>
      <c r="MV24" s="39">
        <f>EDATE(InceptionDate,356)</f>
        <v/>
      </c>
      <c r="MW24" s="39">
        <f>EDATE(InceptionDate,357)</f>
        <v/>
      </c>
      <c r="MX24" s="39">
        <f>EDATE(InceptionDate,358)</f>
        <v/>
      </c>
      <c r="MY24" s="39">
        <f>EDATE(InceptionDate,359)</f>
        <v/>
      </c>
      <c r="MZ24" s="39">
        <f>EDATE(InceptionDate,360)</f>
        <v/>
      </c>
      <c r="NA24" s="39">
        <f>EDATE(InceptionDate,361)</f>
        <v/>
      </c>
      <c r="NB24" s="39">
        <f>EDATE(InceptionDate,362)</f>
        <v/>
      </c>
      <c r="NC24" s="39">
        <f>EDATE(InceptionDate,363)</f>
        <v/>
      </c>
      <c r="ND24" s="39">
        <f>EDATE(InceptionDate,364)</f>
        <v/>
      </c>
      <c r="NE24" s="39">
        <f>EDATE(InceptionDate,365)</f>
        <v/>
      </c>
      <c r="NF24" s="39">
        <f>EDATE(InceptionDate,366)</f>
        <v/>
      </c>
      <c r="NG24" s="39">
        <f>EDATE(InceptionDate,367)</f>
        <v/>
      </c>
      <c r="NH24" s="39">
        <f>EDATE(InceptionDate,368)</f>
        <v/>
      </c>
      <c r="NI24" s="39">
        <f>EDATE(InceptionDate,369)</f>
        <v/>
      </c>
      <c r="NJ24" s="39">
        <f>EDATE(InceptionDate,370)</f>
        <v/>
      </c>
      <c r="NK24" s="39">
        <f>EDATE(InceptionDate,371)</f>
        <v/>
      </c>
    </row>
    <row r="25">
      <c r="A25" s="5" t="inlineStr">
        <is>
          <t>Days in Month</t>
        </is>
      </c>
      <c r="C25" s="40" t="n"/>
      <c r="D25" s="17">
        <f>DAY(EOMONTH(EDATE(InceptionDate,1-1),0))</f>
        <v/>
      </c>
      <c r="E25" s="17">
        <f>DAY(EOMONTH(EDATE(InceptionDate,2-1),0))</f>
        <v/>
      </c>
      <c r="F25" s="17">
        <f>DAY(EOMONTH(EDATE(InceptionDate,3-1),0))</f>
        <v/>
      </c>
      <c r="G25" s="17">
        <f>DAY(EOMONTH(EDATE(InceptionDate,4-1),0))</f>
        <v/>
      </c>
      <c r="H25" s="17">
        <f>DAY(EOMONTH(EDATE(InceptionDate,5-1),0))</f>
        <v/>
      </c>
      <c r="I25" s="17">
        <f>DAY(EOMONTH(EDATE(InceptionDate,6-1),0))</f>
        <v/>
      </c>
      <c r="J25" s="17">
        <f>DAY(EOMONTH(EDATE(InceptionDate,7-1),0))</f>
        <v/>
      </c>
      <c r="K25" s="17">
        <f>DAY(EOMONTH(EDATE(InceptionDate,8-1),0))</f>
        <v/>
      </c>
      <c r="L25" s="17">
        <f>DAY(EOMONTH(EDATE(InceptionDate,9-1),0))</f>
        <v/>
      </c>
      <c r="M25" s="17">
        <f>DAY(EOMONTH(EDATE(InceptionDate,10-1),0))</f>
        <v/>
      </c>
      <c r="N25" s="17">
        <f>DAY(EOMONTH(EDATE(InceptionDate,11-1),0))</f>
        <v/>
      </c>
      <c r="O25" s="17">
        <f>DAY(EOMONTH(EDATE(InceptionDate,12-1),0))</f>
        <v/>
      </c>
      <c r="P25" s="17">
        <f>DAY(EOMONTH(EDATE(InceptionDate,13-1),0))</f>
        <v/>
      </c>
      <c r="Q25" s="17">
        <f>DAY(EOMONTH(EDATE(InceptionDate,14-1),0))</f>
        <v/>
      </c>
      <c r="R25" s="17">
        <f>DAY(EOMONTH(EDATE(InceptionDate,15-1),0))</f>
        <v/>
      </c>
      <c r="S25" s="17">
        <f>DAY(EOMONTH(EDATE(InceptionDate,16-1),0))</f>
        <v/>
      </c>
      <c r="T25" s="17">
        <f>DAY(EOMONTH(EDATE(InceptionDate,17-1),0))</f>
        <v/>
      </c>
      <c r="U25" s="17">
        <f>DAY(EOMONTH(EDATE(InceptionDate,18-1),0))</f>
        <v/>
      </c>
      <c r="V25" s="17">
        <f>DAY(EOMONTH(EDATE(InceptionDate,19-1),0))</f>
        <v/>
      </c>
      <c r="W25" s="17">
        <f>DAY(EOMONTH(EDATE(InceptionDate,20-1),0))</f>
        <v/>
      </c>
      <c r="X25" s="17">
        <f>DAY(EOMONTH(EDATE(InceptionDate,21-1),0))</f>
        <v/>
      </c>
      <c r="Y25" s="17">
        <f>DAY(EOMONTH(EDATE(InceptionDate,22-1),0))</f>
        <v/>
      </c>
      <c r="Z25" s="17">
        <f>DAY(EOMONTH(EDATE(InceptionDate,23-1),0))</f>
        <v/>
      </c>
      <c r="AA25" s="17">
        <f>DAY(EOMONTH(EDATE(InceptionDate,24-1),0))</f>
        <v/>
      </c>
      <c r="AB25" s="17">
        <f>DAY(EOMONTH(EDATE(InceptionDate,25-1),0))</f>
        <v/>
      </c>
      <c r="AC25" s="17">
        <f>DAY(EOMONTH(EDATE(InceptionDate,26-1),0))</f>
        <v/>
      </c>
      <c r="AD25" s="17">
        <f>DAY(EOMONTH(EDATE(InceptionDate,27-1),0))</f>
        <v/>
      </c>
      <c r="AE25" s="17">
        <f>DAY(EOMONTH(EDATE(InceptionDate,28-1),0))</f>
        <v/>
      </c>
      <c r="AF25" s="17">
        <f>DAY(EOMONTH(EDATE(InceptionDate,29-1),0))</f>
        <v/>
      </c>
      <c r="AG25" s="17">
        <f>DAY(EOMONTH(EDATE(InceptionDate,30-1),0))</f>
        <v/>
      </c>
      <c r="AH25" s="17">
        <f>DAY(EOMONTH(EDATE(InceptionDate,31-1),0))</f>
        <v/>
      </c>
      <c r="AI25" s="17">
        <f>DAY(EOMONTH(EDATE(InceptionDate,32-1),0))</f>
        <v/>
      </c>
      <c r="AJ25" s="17">
        <f>DAY(EOMONTH(EDATE(InceptionDate,33-1),0))</f>
        <v/>
      </c>
      <c r="AK25" s="17">
        <f>DAY(EOMONTH(EDATE(InceptionDate,34-1),0))</f>
        <v/>
      </c>
      <c r="AL25" s="17">
        <f>DAY(EOMONTH(EDATE(InceptionDate,35-1),0))</f>
        <v/>
      </c>
      <c r="AM25" s="17">
        <f>DAY(EOMONTH(EDATE(InceptionDate,36-1),0))</f>
        <v/>
      </c>
      <c r="AN25" s="17">
        <f>DAY(EOMONTH(EDATE(InceptionDate,37-1),0))</f>
        <v/>
      </c>
      <c r="AO25" s="17">
        <f>DAY(EOMONTH(EDATE(InceptionDate,38-1),0))</f>
        <v/>
      </c>
      <c r="AP25" s="17">
        <f>DAY(EOMONTH(EDATE(InceptionDate,39-1),0))</f>
        <v/>
      </c>
      <c r="AQ25" s="17">
        <f>DAY(EOMONTH(EDATE(InceptionDate,40-1),0))</f>
        <v/>
      </c>
      <c r="AR25" s="17">
        <f>DAY(EOMONTH(EDATE(InceptionDate,41-1),0))</f>
        <v/>
      </c>
      <c r="AS25" s="17">
        <f>DAY(EOMONTH(EDATE(InceptionDate,42-1),0))</f>
        <v/>
      </c>
      <c r="AT25" s="17">
        <f>DAY(EOMONTH(EDATE(InceptionDate,43-1),0))</f>
        <v/>
      </c>
      <c r="AU25" s="17">
        <f>DAY(EOMONTH(EDATE(InceptionDate,44-1),0))</f>
        <v/>
      </c>
      <c r="AV25" s="17">
        <f>DAY(EOMONTH(EDATE(InceptionDate,45-1),0))</f>
        <v/>
      </c>
      <c r="AW25" s="17">
        <f>DAY(EOMONTH(EDATE(InceptionDate,46-1),0))</f>
        <v/>
      </c>
      <c r="AX25" s="17">
        <f>DAY(EOMONTH(EDATE(InceptionDate,47-1),0))</f>
        <v/>
      </c>
      <c r="AY25" s="17">
        <f>DAY(EOMONTH(EDATE(InceptionDate,48-1),0))</f>
        <v/>
      </c>
      <c r="AZ25" s="17">
        <f>DAY(EOMONTH(EDATE(InceptionDate,49-1),0))</f>
        <v/>
      </c>
      <c r="BA25" s="17">
        <f>DAY(EOMONTH(EDATE(InceptionDate,50-1),0))</f>
        <v/>
      </c>
      <c r="BB25" s="17">
        <f>DAY(EOMONTH(EDATE(InceptionDate,51-1),0))</f>
        <v/>
      </c>
      <c r="BC25" s="17">
        <f>DAY(EOMONTH(EDATE(InceptionDate,52-1),0))</f>
        <v/>
      </c>
      <c r="BD25" s="17">
        <f>DAY(EOMONTH(EDATE(InceptionDate,53-1),0))</f>
        <v/>
      </c>
      <c r="BE25" s="17">
        <f>DAY(EOMONTH(EDATE(InceptionDate,54-1),0))</f>
        <v/>
      </c>
      <c r="BF25" s="17">
        <f>DAY(EOMONTH(EDATE(InceptionDate,55-1),0))</f>
        <v/>
      </c>
      <c r="BG25" s="17">
        <f>DAY(EOMONTH(EDATE(InceptionDate,56-1),0))</f>
        <v/>
      </c>
      <c r="BH25" s="17">
        <f>DAY(EOMONTH(EDATE(InceptionDate,57-1),0))</f>
        <v/>
      </c>
      <c r="BI25" s="17">
        <f>DAY(EOMONTH(EDATE(InceptionDate,58-1),0))</f>
        <v/>
      </c>
      <c r="BJ25" s="17">
        <f>DAY(EOMONTH(EDATE(InceptionDate,59-1),0))</f>
        <v/>
      </c>
      <c r="BK25" s="17">
        <f>DAY(EOMONTH(EDATE(InceptionDate,60-1),0))</f>
        <v/>
      </c>
      <c r="BL25" s="17">
        <f>DAY(EOMONTH(EDATE(InceptionDate,61-1),0))</f>
        <v/>
      </c>
      <c r="BM25" s="17">
        <f>DAY(EOMONTH(EDATE(InceptionDate,62-1),0))</f>
        <v/>
      </c>
      <c r="BN25" s="17">
        <f>DAY(EOMONTH(EDATE(InceptionDate,63-1),0))</f>
        <v/>
      </c>
      <c r="BO25" s="17">
        <f>DAY(EOMONTH(EDATE(InceptionDate,64-1),0))</f>
        <v/>
      </c>
      <c r="BP25" s="17">
        <f>DAY(EOMONTH(EDATE(InceptionDate,65-1),0))</f>
        <v/>
      </c>
      <c r="BQ25" s="17">
        <f>DAY(EOMONTH(EDATE(InceptionDate,66-1),0))</f>
        <v/>
      </c>
      <c r="BR25" s="17">
        <f>DAY(EOMONTH(EDATE(InceptionDate,67-1),0))</f>
        <v/>
      </c>
      <c r="BS25" s="17">
        <f>DAY(EOMONTH(EDATE(InceptionDate,68-1),0))</f>
        <v/>
      </c>
      <c r="BT25" s="17">
        <f>DAY(EOMONTH(EDATE(InceptionDate,69-1),0))</f>
        <v/>
      </c>
      <c r="BU25" s="17">
        <f>DAY(EOMONTH(EDATE(InceptionDate,70-1),0))</f>
        <v/>
      </c>
      <c r="BV25" s="17">
        <f>DAY(EOMONTH(EDATE(InceptionDate,71-1),0))</f>
        <v/>
      </c>
      <c r="BW25" s="17">
        <f>DAY(EOMONTH(EDATE(InceptionDate,72-1),0))</f>
        <v/>
      </c>
      <c r="BX25" s="17">
        <f>DAY(EOMONTH(EDATE(InceptionDate,73-1),0))</f>
        <v/>
      </c>
      <c r="BY25" s="17">
        <f>DAY(EOMONTH(EDATE(InceptionDate,74-1),0))</f>
        <v/>
      </c>
      <c r="BZ25" s="17">
        <f>DAY(EOMONTH(EDATE(InceptionDate,75-1),0))</f>
        <v/>
      </c>
      <c r="CA25" s="17">
        <f>DAY(EOMONTH(EDATE(InceptionDate,76-1),0))</f>
        <v/>
      </c>
      <c r="CB25" s="17">
        <f>DAY(EOMONTH(EDATE(InceptionDate,77-1),0))</f>
        <v/>
      </c>
      <c r="CC25" s="17">
        <f>DAY(EOMONTH(EDATE(InceptionDate,78-1),0))</f>
        <v/>
      </c>
      <c r="CD25" s="17">
        <f>DAY(EOMONTH(EDATE(InceptionDate,79-1),0))</f>
        <v/>
      </c>
      <c r="CE25" s="17">
        <f>DAY(EOMONTH(EDATE(InceptionDate,80-1),0))</f>
        <v/>
      </c>
      <c r="CF25" s="17">
        <f>DAY(EOMONTH(EDATE(InceptionDate,81-1),0))</f>
        <v/>
      </c>
      <c r="CG25" s="17">
        <f>DAY(EOMONTH(EDATE(InceptionDate,82-1),0))</f>
        <v/>
      </c>
      <c r="CH25" s="17">
        <f>DAY(EOMONTH(EDATE(InceptionDate,83-1),0))</f>
        <v/>
      </c>
      <c r="CI25" s="17">
        <f>DAY(EOMONTH(EDATE(InceptionDate,84-1),0))</f>
        <v/>
      </c>
      <c r="CJ25" s="17">
        <f>DAY(EOMONTH(EDATE(InceptionDate,85-1),0))</f>
        <v/>
      </c>
      <c r="CK25" s="17">
        <f>DAY(EOMONTH(EDATE(InceptionDate,86-1),0))</f>
        <v/>
      </c>
      <c r="CL25" s="17">
        <f>DAY(EOMONTH(EDATE(InceptionDate,87-1),0))</f>
        <v/>
      </c>
      <c r="CM25" s="17">
        <f>DAY(EOMONTH(EDATE(InceptionDate,88-1),0))</f>
        <v/>
      </c>
      <c r="CN25" s="17">
        <f>DAY(EOMONTH(EDATE(InceptionDate,89-1),0))</f>
        <v/>
      </c>
      <c r="CO25" s="17">
        <f>DAY(EOMONTH(EDATE(InceptionDate,90-1),0))</f>
        <v/>
      </c>
      <c r="CP25" s="17">
        <f>DAY(EOMONTH(EDATE(InceptionDate,91-1),0))</f>
        <v/>
      </c>
      <c r="CQ25" s="17">
        <f>DAY(EOMONTH(EDATE(InceptionDate,92-1),0))</f>
        <v/>
      </c>
      <c r="CR25" s="17">
        <f>DAY(EOMONTH(EDATE(InceptionDate,93-1),0))</f>
        <v/>
      </c>
      <c r="CS25" s="17">
        <f>DAY(EOMONTH(EDATE(InceptionDate,94-1),0))</f>
        <v/>
      </c>
      <c r="CT25" s="17">
        <f>DAY(EOMONTH(EDATE(InceptionDate,95-1),0))</f>
        <v/>
      </c>
      <c r="CU25" s="17">
        <f>DAY(EOMONTH(EDATE(InceptionDate,96-1),0))</f>
        <v/>
      </c>
      <c r="CV25" s="17">
        <f>DAY(EOMONTH(EDATE(InceptionDate,97-1),0))</f>
        <v/>
      </c>
      <c r="CW25" s="17">
        <f>DAY(EOMONTH(EDATE(InceptionDate,98-1),0))</f>
        <v/>
      </c>
      <c r="CX25" s="17">
        <f>DAY(EOMONTH(EDATE(InceptionDate,99-1),0))</f>
        <v/>
      </c>
      <c r="CY25" s="17">
        <f>DAY(EOMONTH(EDATE(InceptionDate,100-1),0))</f>
        <v/>
      </c>
      <c r="CZ25" s="17">
        <f>DAY(EOMONTH(EDATE(InceptionDate,101-1),0))</f>
        <v/>
      </c>
      <c r="DA25" s="17">
        <f>DAY(EOMONTH(EDATE(InceptionDate,102-1),0))</f>
        <v/>
      </c>
      <c r="DB25" s="17">
        <f>DAY(EOMONTH(EDATE(InceptionDate,103-1),0))</f>
        <v/>
      </c>
      <c r="DC25" s="17">
        <f>DAY(EOMONTH(EDATE(InceptionDate,104-1),0))</f>
        <v/>
      </c>
      <c r="DD25" s="17">
        <f>DAY(EOMONTH(EDATE(InceptionDate,105-1),0))</f>
        <v/>
      </c>
      <c r="DE25" s="17">
        <f>DAY(EOMONTH(EDATE(InceptionDate,106-1),0))</f>
        <v/>
      </c>
      <c r="DF25" s="17">
        <f>DAY(EOMONTH(EDATE(InceptionDate,107-1),0))</f>
        <v/>
      </c>
      <c r="DG25" s="17">
        <f>DAY(EOMONTH(EDATE(InceptionDate,108-1),0))</f>
        <v/>
      </c>
      <c r="DH25" s="17">
        <f>DAY(EOMONTH(EDATE(InceptionDate,109-1),0))</f>
        <v/>
      </c>
      <c r="DI25" s="17">
        <f>DAY(EOMONTH(EDATE(InceptionDate,110-1),0))</f>
        <v/>
      </c>
      <c r="DJ25" s="17">
        <f>DAY(EOMONTH(EDATE(InceptionDate,111-1),0))</f>
        <v/>
      </c>
      <c r="DK25" s="17">
        <f>DAY(EOMONTH(EDATE(InceptionDate,112-1),0))</f>
        <v/>
      </c>
      <c r="DL25" s="17">
        <f>DAY(EOMONTH(EDATE(InceptionDate,113-1),0))</f>
        <v/>
      </c>
      <c r="DM25" s="17">
        <f>DAY(EOMONTH(EDATE(InceptionDate,114-1),0))</f>
        <v/>
      </c>
      <c r="DN25" s="17">
        <f>DAY(EOMONTH(EDATE(InceptionDate,115-1),0))</f>
        <v/>
      </c>
      <c r="DO25" s="17">
        <f>DAY(EOMONTH(EDATE(InceptionDate,116-1),0))</f>
        <v/>
      </c>
      <c r="DP25" s="17">
        <f>DAY(EOMONTH(EDATE(InceptionDate,117-1),0))</f>
        <v/>
      </c>
      <c r="DQ25" s="17">
        <f>DAY(EOMONTH(EDATE(InceptionDate,118-1),0))</f>
        <v/>
      </c>
      <c r="DR25" s="17">
        <f>DAY(EOMONTH(EDATE(InceptionDate,119-1),0))</f>
        <v/>
      </c>
      <c r="DS25" s="17">
        <f>DAY(EOMONTH(EDATE(InceptionDate,120-1),0))</f>
        <v/>
      </c>
      <c r="DT25" s="17">
        <f>DAY(EOMONTH(EDATE(InceptionDate,121-1),0))</f>
        <v/>
      </c>
      <c r="DU25" s="17">
        <f>DAY(EOMONTH(EDATE(InceptionDate,122-1),0))</f>
        <v/>
      </c>
      <c r="DV25" s="17">
        <f>DAY(EOMONTH(EDATE(InceptionDate,123-1),0))</f>
        <v/>
      </c>
      <c r="DW25" s="17">
        <f>DAY(EOMONTH(EDATE(InceptionDate,124-1),0))</f>
        <v/>
      </c>
      <c r="DX25" s="17">
        <f>DAY(EOMONTH(EDATE(InceptionDate,125-1),0))</f>
        <v/>
      </c>
      <c r="DY25" s="17">
        <f>DAY(EOMONTH(EDATE(InceptionDate,126-1),0))</f>
        <v/>
      </c>
      <c r="DZ25" s="17">
        <f>DAY(EOMONTH(EDATE(InceptionDate,127-1),0))</f>
        <v/>
      </c>
      <c r="EA25" s="17">
        <f>DAY(EOMONTH(EDATE(InceptionDate,128-1),0))</f>
        <v/>
      </c>
      <c r="EB25" s="17">
        <f>DAY(EOMONTH(EDATE(InceptionDate,129-1),0))</f>
        <v/>
      </c>
      <c r="EC25" s="17">
        <f>DAY(EOMONTH(EDATE(InceptionDate,130-1),0))</f>
        <v/>
      </c>
      <c r="ED25" s="17">
        <f>DAY(EOMONTH(EDATE(InceptionDate,131-1),0))</f>
        <v/>
      </c>
      <c r="EE25" s="17">
        <f>DAY(EOMONTH(EDATE(InceptionDate,132-1),0))</f>
        <v/>
      </c>
      <c r="EF25" s="17">
        <f>DAY(EOMONTH(EDATE(InceptionDate,133-1),0))</f>
        <v/>
      </c>
      <c r="EG25" s="17">
        <f>DAY(EOMONTH(EDATE(InceptionDate,134-1),0))</f>
        <v/>
      </c>
      <c r="EH25" s="17">
        <f>DAY(EOMONTH(EDATE(InceptionDate,135-1),0))</f>
        <v/>
      </c>
      <c r="EI25" s="17">
        <f>DAY(EOMONTH(EDATE(InceptionDate,136-1),0))</f>
        <v/>
      </c>
      <c r="EJ25" s="17">
        <f>DAY(EOMONTH(EDATE(InceptionDate,137-1),0))</f>
        <v/>
      </c>
      <c r="EK25" s="17">
        <f>DAY(EOMONTH(EDATE(InceptionDate,138-1),0))</f>
        <v/>
      </c>
      <c r="EL25" s="17">
        <f>DAY(EOMONTH(EDATE(InceptionDate,139-1),0))</f>
        <v/>
      </c>
      <c r="EM25" s="17">
        <f>DAY(EOMONTH(EDATE(InceptionDate,140-1),0))</f>
        <v/>
      </c>
      <c r="EN25" s="17">
        <f>DAY(EOMONTH(EDATE(InceptionDate,141-1),0))</f>
        <v/>
      </c>
      <c r="EO25" s="17">
        <f>DAY(EOMONTH(EDATE(InceptionDate,142-1),0))</f>
        <v/>
      </c>
      <c r="EP25" s="17">
        <f>DAY(EOMONTH(EDATE(InceptionDate,143-1),0))</f>
        <v/>
      </c>
      <c r="EQ25" s="17">
        <f>DAY(EOMONTH(EDATE(InceptionDate,144-1),0))</f>
        <v/>
      </c>
      <c r="ER25" s="17">
        <f>DAY(EOMONTH(EDATE(InceptionDate,145-1),0))</f>
        <v/>
      </c>
      <c r="ES25" s="17">
        <f>DAY(EOMONTH(EDATE(InceptionDate,146-1),0))</f>
        <v/>
      </c>
      <c r="ET25" s="17">
        <f>DAY(EOMONTH(EDATE(InceptionDate,147-1),0))</f>
        <v/>
      </c>
      <c r="EU25" s="17">
        <f>DAY(EOMONTH(EDATE(InceptionDate,148-1),0))</f>
        <v/>
      </c>
      <c r="EV25" s="17">
        <f>DAY(EOMONTH(EDATE(InceptionDate,149-1),0))</f>
        <v/>
      </c>
      <c r="EW25" s="17">
        <f>DAY(EOMONTH(EDATE(InceptionDate,150-1),0))</f>
        <v/>
      </c>
      <c r="EX25" s="17">
        <f>DAY(EOMONTH(EDATE(InceptionDate,151-1),0))</f>
        <v/>
      </c>
      <c r="EY25" s="17">
        <f>DAY(EOMONTH(EDATE(InceptionDate,152-1),0))</f>
        <v/>
      </c>
      <c r="EZ25" s="17">
        <f>DAY(EOMONTH(EDATE(InceptionDate,153-1),0))</f>
        <v/>
      </c>
      <c r="FA25" s="17">
        <f>DAY(EOMONTH(EDATE(InceptionDate,154-1),0))</f>
        <v/>
      </c>
      <c r="FB25" s="17">
        <f>DAY(EOMONTH(EDATE(InceptionDate,155-1),0))</f>
        <v/>
      </c>
      <c r="FC25" s="17">
        <f>DAY(EOMONTH(EDATE(InceptionDate,156-1),0))</f>
        <v/>
      </c>
      <c r="FD25" s="17">
        <f>DAY(EOMONTH(EDATE(InceptionDate,157-1),0))</f>
        <v/>
      </c>
      <c r="FE25" s="17">
        <f>DAY(EOMONTH(EDATE(InceptionDate,158-1),0))</f>
        <v/>
      </c>
      <c r="FF25" s="17">
        <f>DAY(EOMONTH(EDATE(InceptionDate,159-1),0))</f>
        <v/>
      </c>
      <c r="FG25" s="17">
        <f>DAY(EOMONTH(EDATE(InceptionDate,160-1),0))</f>
        <v/>
      </c>
      <c r="FH25" s="17">
        <f>DAY(EOMONTH(EDATE(InceptionDate,161-1),0))</f>
        <v/>
      </c>
      <c r="FI25" s="17">
        <f>DAY(EOMONTH(EDATE(InceptionDate,162-1),0))</f>
        <v/>
      </c>
      <c r="FJ25" s="17">
        <f>DAY(EOMONTH(EDATE(InceptionDate,163-1),0))</f>
        <v/>
      </c>
      <c r="FK25" s="17">
        <f>DAY(EOMONTH(EDATE(InceptionDate,164-1),0))</f>
        <v/>
      </c>
      <c r="FL25" s="17">
        <f>DAY(EOMONTH(EDATE(InceptionDate,165-1),0))</f>
        <v/>
      </c>
      <c r="FM25" s="17">
        <f>DAY(EOMONTH(EDATE(InceptionDate,166-1),0))</f>
        <v/>
      </c>
      <c r="FN25" s="17">
        <f>DAY(EOMONTH(EDATE(InceptionDate,167-1),0))</f>
        <v/>
      </c>
      <c r="FO25" s="17">
        <f>DAY(EOMONTH(EDATE(InceptionDate,168-1),0))</f>
        <v/>
      </c>
      <c r="FP25" s="17">
        <f>DAY(EOMONTH(EDATE(InceptionDate,169-1),0))</f>
        <v/>
      </c>
      <c r="FQ25" s="17">
        <f>DAY(EOMONTH(EDATE(InceptionDate,170-1),0))</f>
        <v/>
      </c>
      <c r="FR25" s="17">
        <f>DAY(EOMONTH(EDATE(InceptionDate,171-1),0))</f>
        <v/>
      </c>
      <c r="FS25" s="17">
        <f>DAY(EOMONTH(EDATE(InceptionDate,172-1),0))</f>
        <v/>
      </c>
      <c r="FT25" s="17">
        <f>DAY(EOMONTH(EDATE(InceptionDate,173-1),0))</f>
        <v/>
      </c>
      <c r="FU25" s="17">
        <f>DAY(EOMONTH(EDATE(InceptionDate,174-1),0))</f>
        <v/>
      </c>
      <c r="FV25" s="17">
        <f>DAY(EOMONTH(EDATE(InceptionDate,175-1),0))</f>
        <v/>
      </c>
      <c r="FW25" s="17">
        <f>DAY(EOMONTH(EDATE(InceptionDate,176-1),0))</f>
        <v/>
      </c>
      <c r="FX25" s="17">
        <f>DAY(EOMONTH(EDATE(InceptionDate,177-1),0))</f>
        <v/>
      </c>
      <c r="FY25" s="17">
        <f>DAY(EOMONTH(EDATE(InceptionDate,178-1),0))</f>
        <v/>
      </c>
      <c r="FZ25" s="17">
        <f>DAY(EOMONTH(EDATE(InceptionDate,179-1),0))</f>
        <v/>
      </c>
      <c r="GA25" s="17">
        <f>DAY(EOMONTH(EDATE(InceptionDate,180-1),0))</f>
        <v/>
      </c>
      <c r="GB25" s="17">
        <f>DAY(EOMONTH(EDATE(InceptionDate,181-1),0))</f>
        <v/>
      </c>
      <c r="GC25" s="17">
        <f>DAY(EOMONTH(EDATE(InceptionDate,182-1),0))</f>
        <v/>
      </c>
      <c r="GD25" s="17">
        <f>DAY(EOMONTH(EDATE(InceptionDate,183-1),0))</f>
        <v/>
      </c>
      <c r="GE25" s="17">
        <f>DAY(EOMONTH(EDATE(InceptionDate,184-1),0))</f>
        <v/>
      </c>
      <c r="GF25" s="17">
        <f>DAY(EOMONTH(EDATE(InceptionDate,185-1),0))</f>
        <v/>
      </c>
      <c r="GG25" s="17">
        <f>DAY(EOMONTH(EDATE(InceptionDate,186-1),0))</f>
        <v/>
      </c>
      <c r="GH25" s="17">
        <f>DAY(EOMONTH(EDATE(InceptionDate,187-1),0))</f>
        <v/>
      </c>
      <c r="GI25" s="17">
        <f>DAY(EOMONTH(EDATE(InceptionDate,188-1),0))</f>
        <v/>
      </c>
      <c r="GJ25" s="17">
        <f>DAY(EOMONTH(EDATE(InceptionDate,189-1),0))</f>
        <v/>
      </c>
      <c r="GK25" s="17">
        <f>DAY(EOMONTH(EDATE(InceptionDate,190-1),0))</f>
        <v/>
      </c>
      <c r="GL25" s="17">
        <f>DAY(EOMONTH(EDATE(InceptionDate,191-1),0))</f>
        <v/>
      </c>
      <c r="GM25" s="17">
        <f>DAY(EOMONTH(EDATE(InceptionDate,192-1),0))</f>
        <v/>
      </c>
      <c r="GN25" s="17">
        <f>DAY(EOMONTH(EDATE(InceptionDate,193-1),0))</f>
        <v/>
      </c>
      <c r="GO25" s="17">
        <f>DAY(EOMONTH(EDATE(InceptionDate,194-1),0))</f>
        <v/>
      </c>
      <c r="GP25" s="17">
        <f>DAY(EOMONTH(EDATE(InceptionDate,195-1),0))</f>
        <v/>
      </c>
      <c r="GQ25" s="17">
        <f>DAY(EOMONTH(EDATE(InceptionDate,196-1),0))</f>
        <v/>
      </c>
      <c r="GR25" s="17">
        <f>DAY(EOMONTH(EDATE(InceptionDate,197-1),0))</f>
        <v/>
      </c>
      <c r="GS25" s="17">
        <f>DAY(EOMONTH(EDATE(InceptionDate,198-1),0))</f>
        <v/>
      </c>
      <c r="GT25" s="17">
        <f>DAY(EOMONTH(EDATE(InceptionDate,199-1),0))</f>
        <v/>
      </c>
      <c r="GU25" s="17">
        <f>DAY(EOMONTH(EDATE(InceptionDate,200-1),0))</f>
        <v/>
      </c>
      <c r="GV25" s="17">
        <f>DAY(EOMONTH(EDATE(InceptionDate,201-1),0))</f>
        <v/>
      </c>
      <c r="GW25" s="17">
        <f>DAY(EOMONTH(EDATE(InceptionDate,202-1),0))</f>
        <v/>
      </c>
      <c r="GX25" s="17">
        <f>DAY(EOMONTH(EDATE(InceptionDate,203-1),0))</f>
        <v/>
      </c>
      <c r="GY25" s="17">
        <f>DAY(EOMONTH(EDATE(InceptionDate,204-1),0))</f>
        <v/>
      </c>
      <c r="GZ25" s="17">
        <f>DAY(EOMONTH(EDATE(InceptionDate,205-1),0))</f>
        <v/>
      </c>
      <c r="HA25" s="17">
        <f>DAY(EOMONTH(EDATE(InceptionDate,206-1),0))</f>
        <v/>
      </c>
      <c r="HB25" s="17">
        <f>DAY(EOMONTH(EDATE(InceptionDate,207-1),0))</f>
        <v/>
      </c>
      <c r="HC25" s="17">
        <f>DAY(EOMONTH(EDATE(InceptionDate,208-1),0))</f>
        <v/>
      </c>
      <c r="HD25" s="17">
        <f>DAY(EOMONTH(EDATE(InceptionDate,209-1),0))</f>
        <v/>
      </c>
      <c r="HE25" s="17">
        <f>DAY(EOMONTH(EDATE(InceptionDate,210-1),0))</f>
        <v/>
      </c>
      <c r="HF25" s="17">
        <f>DAY(EOMONTH(EDATE(InceptionDate,211-1),0))</f>
        <v/>
      </c>
      <c r="HG25" s="17">
        <f>DAY(EOMONTH(EDATE(InceptionDate,212-1),0))</f>
        <v/>
      </c>
      <c r="HH25" s="17">
        <f>DAY(EOMONTH(EDATE(InceptionDate,213-1),0))</f>
        <v/>
      </c>
      <c r="HI25" s="17">
        <f>DAY(EOMONTH(EDATE(InceptionDate,214-1),0))</f>
        <v/>
      </c>
      <c r="HJ25" s="17">
        <f>DAY(EOMONTH(EDATE(InceptionDate,215-1),0))</f>
        <v/>
      </c>
      <c r="HK25" s="17">
        <f>DAY(EOMONTH(EDATE(InceptionDate,216-1),0))</f>
        <v/>
      </c>
      <c r="HL25" s="17">
        <f>DAY(EOMONTH(EDATE(InceptionDate,217-1),0))</f>
        <v/>
      </c>
      <c r="HM25" s="17">
        <f>DAY(EOMONTH(EDATE(InceptionDate,218-1),0))</f>
        <v/>
      </c>
      <c r="HN25" s="17">
        <f>DAY(EOMONTH(EDATE(InceptionDate,219-1),0))</f>
        <v/>
      </c>
      <c r="HO25" s="17">
        <f>DAY(EOMONTH(EDATE(InceptionDate,220-1),0))</f>
        <v/>
      </c>
      <c r="HP25" s="17">
        <f>DAY(EOMONTH(EDATE(InceptionDate,221-1),0))</f>
        <v/>
      </c>
      <c r="HQ25" s="17">
        <f>DAY(EOMONTH(EDATE(InceptionDate,222-1),0))</f>
        <v/>
      </c>
      <c r="HR25" s="17">
        <f>DAY(EOMONTH(EDATE(InceptionDate,223-1),0))</f>
        <v/>
      </c>
      <c r="HS25" s="17">
        <f>DAY(EOMONTH(EDATE(InceptionDate,224-1),0))</f>
        <v/>
      </c>
      <c r="HT25" s="17">
        <f>DAY(EOMONTH(EDATE(InceptionDate,225-1),0))</f>
        <v/>
      </c>
      <c r="HU25" s="17">
        <f>DAY(EOMONTH(EDATE(InceptionDate,226-1),0))</f>
        <v/>
      </c>
      <c r="HV25" s="17">
        <f>DAY(EOMONTH(EDATE(InceptionDate,227-1),0))</f>
        <v/>
      </c>
      <c r="HW25" s="17">
        <f>DAY(EOMONTH(EDATE(InceptionDate,228-1),0))</f>
        <v/>
      </c>
      <c r="HX25" s="17">
        <f>DAY(EOMONTH(EDATE(InceptionDate,229-1),0))</f>
        <v/>
      </c>
      <c r="HY25" s="17">
        <f>DAY(EOMONTH(EDATE(InceptionDate,230-1),0))</f>
        <v/>
      </c>
      <c r="HZ25" s="17">
        <f>DAY(EOMONTH(EDATE(InceptionDate,231-1),0))</f>
        <v/>
      </c>
      <c r="IA25" s="17">
        <f>DAY(EOMONTH(EDATE(InceptionDate,232-1),0))</f>
        <v/>
      </c>
      <c r="IB25" s="17">
        <f>DAY(EOMONTH(EDATE(InceptionDate,233-1),0))</f>
        <v/>
      </c>
      <c r="IC25" s="17">
        <f>DAY(EOMONTH(EDATE(InceptionDate,234-1),0))</f>
        <v/>
      </c>
      <c r="ID25" s="17">
        <f>DAY(EOMONTH(EDATE(InceptionDate,235-1),0))</f>
        <v/>
      </c>
      <c r="IE25" s="17">
        <f>DAY(EOMONTH(EDATE(InceptionDate,236-1),0))</f>
        <v/>
      </c>
      <c r="IF25" s="17">
        <f>DAY(EOMONTH(EDATE(InceptionDate,237-1),0))</f>
        <v/>
      </c>
      <c r="IG25" s="17">
        <f>DAY(EOMONTH(EDATE(InceptionDate,238-1),0))</f>
        <v/>
      </c>
      <c r="IH25" s="17">
        <f>DAY(EOMONTH(EDATE(InceptionDate,239-1),0))</f>
        <v/>
      </c>
      <c r="II25" s="17">
        <f>DAY(EOMONTH(EDATE(InceptionDate,240-1),0))</f>
        <v/>
      </c>
      <c r="IJ25" s="17">
        <f>DAY(EOMONTH(EDATE(InceptionDate,241-1),0))</f>
        <v/>
      </c>
      <c r="IK25" s="17">
        <f>DAY(EOMONTH(EDATE(InceptionDate,242-1),0))</f>
        <v/>
      </c>
      <c r="IL25" s="17">
        <f>DAY(EOMONTH(EDATE(InceptionDate,243-1),0))</f>
        <v/>
      </c>
      <c r="IM25" s="17">
        <f>DAY(EOMONTH(EDATE(InceptionDate,244-1),0))</f>
        <v/>
      </c>
      <c r="IN25" s="17">
        <f>DAY(EOMONTH(EDATE(InceptionDate,245-1),0))</f>
        <v/>
      </c>
      <c r="IO25" s="17">
        <f>DAY(EOMONTH(EDATE(InceptionDate,246-1),0))</f>
        <v/>
      </c>
      <c r="IP25" s="17">
        <f>DAY(EOMONTH(EDATE(InceptionDate,247-1),0))</f>
        <v/>
      </c>
      <c r="IQ25" s="17">
        <f>DAY(EOMONTH(EDATE(InceptionDate,248-1),0))</f>
        <v/>
      </c>
      <c r="IR25" s="17">
        <f>DAY(EOMONTH(EDATE(InceptionDate,249-1),0))</f>
        <v/>
      </c>
      <c r="IS25" s="17">
        <f>DAY(EOMONTH(EDATE(InceptionDate,250-1),0))</f>
        <v/>
      </c>
      <c r="IT25" s="17">
        <f>DAY(EOMONTH(EDATE(InceptionDate,251-1),0))</f>
        <v/>
      </c>
      <c r="IU25" s="17">
        <f>DAY(EOMONTH(EDATE(InceptionDate,252-1),0))</f>
        <v/>
      </c>
      <c r="IV25" s="17">
        <f>DAY(EOMONTH(EDATE(InceptionDate,253-1),0))</f>
        <v/>
      </c>
      <c r="IW25" s="17">
        <f>DAY(EOMONTH(EDATE(InceptionDate,254-1),0))</f>
        <v/>
      </c>
      <c r="IX25" s="17">
        <f>DAY(EOMONTH(EDATE(InceptionDate,255-1),0))</f>
        <v/>
      </c>
      <c r="IY25" s="17">
        <f>DAY(EOMONTH(EDATE(InceptionDate,256-1),0))</f>
        <v/>
      </c>
      <c r="IZ25" s="17">
        <f>DAY(EOMONTH(EDATE(InceptionDate,257-1),0))</f>
        <v/>
      </c>
      <c r="JA25" s="17">
        <f>DAY(EOMONTH(EDATE(InceptionDate,258-1),0))</f>
        <v/>
      </c>
      <c r="JB25" s="17">
        <f>DAY(EOMONTH(EDATE(InceptionDate,259-1),0))</f>
        <v/>
      </c>
      <c r="JC25" s="17">
        <f>DAY(EOMONTH(EDATE(InceptionDate,260-1),0))</f>
        <v/>
      </c>
      <c r="JD25" s="17">
        <f>DAY(EOMONTH(EDATE(InceptionDate,261-1),0))</f>
        <v/>
      </c>
      <c r="JE25" s="17">
        <f>DAY(EOMONTH(EDATE(InceptionDate,262-1),0))</f>
        <v/>
      </c>
      <c r="JF25" s="17">
        <f>DAY(EOMONTH(EDATE(InceptionDate,263-1),0))</f>
        <v/>
      </c>
      <c r="JG25" s="17">
        <f>DAY(EOMONTH(EDATE(InceptionDate,264-1),0))</f>
        <v/>
      </c>
      <c r="JH25" s="17">
        <f>DAY(EOMONTH(EDATE(InceptionDate,265-1),0))</f>
        <v/>
      </c>
      <c r="JI25" s="17">
        <f>DAY(EOMONTH(EDATE(InceptionDate,266-1),0))</f>
        <v/>
      </c>
      <c r="JJ25" s="17">
        <f>DAY(EOMONTH(EDATE(InceptionDate,267-1),0))</f>
        <v/>
      </c>
      <c r="JK25" s="17">
        <f>DAY(EOMONTH(EDATE(InceptionDate,268-1),0))</f>
        <v/>
      </c>
      <c r="JL25" s="17">
        <f>DAY(EOMONTH(EDATE(InceptionDate,269-1),0))</f>
        <v/>
      </c>
      <c r="JM25" s="17">
        <f>DAY(EOMONTH(EDATE(InceptionDate,270-1),0))</f>
        <v/>
      </c>
      <c r="JN25" s="17">
        <f>DAY(EOMONTH(EDATE(InceptionDate,271-1),0))</f>
        <v/>
      </c>
      <c r="JO25" s="17">
        <f>DAY(EOMONTH(EDATE(InceptionDate,272-1),0))</f>
        <v/>
      </c>
      <c r="JP25" s="17">
        <f>DAY(EOMONTH(EDATE(InceptionDate,273-1),0))</f>
        <v/>
      </c>
      <c r="JQ25" s="17">
        <f>DAY(EOMONTH(EDATE(InceptionDate,274-1),0))</f>
        <v/>
      </c>
      <c r="JR25" s="17">
        <f>DAY(EOMONTH(EDATE(InceptionDate,275-1),0))</f>
        <v/>
      </c>
      <c r="JS25" s="17">
        <f>DAY(EOMONTH(EDATE(InceptionDate,276-1),0))</f>
        <v/>
      </c>
      <c r="JT25" s="17">
        <f>DAY(EOMONTH(EDATE(InceptionDate,277-1),0))</f>
        <v/>
      </c>
      <c r="JU25" s="17">
        <f>DAY(EOMONTH(EDATE(InceptionDate,278-1),0))</f>
        <v/>
      </c>
      <c r="JV25" s="17">
        <f>DAY(EOMONTH(EDATE(InceptionDate,279-1),0))</f>
        <v/>
      </c>
      <c r="JW25" s="17">
        <f>DAY(EOMONTH(EDATE(InceptionDate,280-1),0))</f>
        <v/>
      </c>
      <c r="JX25" s="17">
        <f>DAY(EOMONTH(EDATE(InceptionDate,281-1),0))</f>
        <v/>
      </c>
      <c r="JY25" s="17">
        <f>DAY(EOMONTH(EDATE(InceptionDate,282-1),0))</f>
        <v/>
      </c>
      <c r="JZ25" s="17">
        <f>DAY(EOMONTH(EDATE(InceptionDate,283-1),0))</f>
        <v/>
      </c>
      <c r="KA25" s="17">
        <f>DAY(EOMONTH(EDATE(InceptionDate,284-1),0))</f>
        <v/>
      </c>
      <c r="KB25" s="17">
        <f>DAY(EOMONTH(EDATE(InceptionDate,285-1),0))</f>
        <v/>
      </c>
      <c r="KC25" s="17">
        <f>DAY(EOMONTH(EDATE(InceptionDate,286-1),0))</f>
        <v/>
      </c>
      <c r="KD25" s="17">
        <f>DAY(EOMONTH(EDATE(InceptionDate,287-1),0))</f>
        <v/>
      </c>
      <c r="KE25" s="17">
        <f>DAY(EOMONTH(EDATE(InceptionDate,288-1),0))</f>
        <v/>
      </c>
      <c r="KF25" s="17">
        <f>DAY(EOMONTH(EDATE(InceptionDate,289-1),0))</f>
        <v/>
      </c>
      <c r="KG25" s="17">
        <f>DAY(EOMONTH(EDATE(InceptionDate,290-1),0))</f>
        <v/>
      </c>
      <c r="KH25" s="17">
        <f>DAY(EOMONTH(EDATE(InceptionDate,291-1),0))</f>
        <v/>
      </c>
      <c r="KI25" s="17">
        <f>DAY(EOMONTH(EDATE(InceptionDate,292-1),0))</f>
        <v/>
      </c>
      <c r="KJ25" s="17">
        <f>DAY(EOMONTH(EDATE(InceptionDate,293-1),0))</f>
        <v/>
      </c>
      <c r="KK25" s="17">
        <f>DAY(EOMONTH(EDATE(InceptionDate,294-1),0))</f>
        <v/>
      </c>
      <c r="KL25" s="17">
        <f>DAY(EOMONTH(EDATE(InceptionDate,295-1),0))</f>
        <v/>
      </c>
      <c r="KM25" s="17">
        <f>DAY(EOMONTH(EDATE(InceptionDate,296-1),0))</f>
        <v/>
      </c>
      <c r="KN25" s="17">
        <f>DAY(EOMONTH(EDATE(InceptionDate,297-1),0))</f>
        <v/>
      </c>
      <c r="KO25" s="17">
        <f>DAY(EOMONTH(EDATE(InceptionDate,298-1),0))</f>
        <v/>
      </c>
      <c r="KP25" s="17">
        <f>DAY(EOMONTH(EDATE(InceptionDate,299-1),0))</f>
        <v/>
      </c>
      <c r="KQ25" s="17">
        <f>DAY(EOMONTH(EDATE(InceptionDate,300-1),0))</f>
        <v/>
      </c>
      <c r="KR25" s="17">
        <f>DAY(EOMONTH(EDATE(InceptionDate,301-1),0))</f>
        <v/>
      </c>
      <c r="KS25" s="17">
        <f>DAY(EOMONTH(EDATE(InceptionDate,302-1),0))</f>
        <v/>
      </c>
      <c r="KT25" s="17">
        <f>DAY(EOMONTH(EDATE(InceptionDate,303-1),0))</f>
        <v/>
      </c>
      <c r="KU25" s="17">
        <f>DAY(EOMONTH(EDATE(InceptionDate,304-1),0))</f>
        <v/>
      </c>
      <c r="KV25" s="17">
        <f>DAY(EOMONTH(EDATE(InceptionDate,305-1),0))</f>
        <v/>
      </c>
      <c r="KW25" s="17">
        <f>DAY(EOMONTH(EDATE(InceptionDate,306-1),0))</f>
        <v/>
      </c>
      <c r="KX25" s="17">
        <f>DAY(EOMONTH(EDATE(InceptionDate,307-1),0))</f>
        <v/>
      </c>
      <c r="KY25" s="17">
        <f>DAY(EOMONTH(EDATE(InceptionDate,308-1),0))</f>
        <v/>
      </c>
      <c r="KZ25" s="17">
        <f>DAY(EOMONTH(EDATE(InceptionDate,309-1),0))</f>
        <v/>
      </c>
      <c r="LA25" s="17">
        <f>DAY(EOMONTH(EDATE(InceptionDate,310-1),0))</f>
        <v/>
      </c>
      <c r="LB25" s="17">
        <f>DAY(EOMONTH(EDATE(InceptionDate,311-1),0))</f>
        <v/>
      </c>
      <c r="LC25" s="17">
        <f>DAY(EOMONTH(EDATE(InceptionDate,312-1),0))</f>
        <v/>
      </c>
      <c r="LD25" s="17">
        <f>DAY(EOMONTH(EDATE(InceptionDate,313-1),0))</f>
        <v/>
      </c>
      <c r="LE25" s="17">
        <f>DAY(EOMONTH(EDATE(InceptionDate,314-1),0))</f>
        <v/>
      </c>
      <c r="LF25" s="17">
        <f>DAY(EOMONTH(EDATE(InceptionDate,315-1),0))</f>
        <v/>
      </c>
      <c r="LG25" s="17">
        <f>DAY(EOMONTH(EDATE(InceptionDate,316-1),0))</f>
        <v/>
      </c>
      <c r="LH25" s="17">
        <f>DAY(EOMONTH(EDATE(InceptionDate,317-1),0))</f>
        <v/>
      </c>
      <c r="LI25" s="17">
        <f>DAY(EOMONTH(EDATE(InceptionDate,318-1),0))</f>
        <v/>
      </c>
      <c r="LJ25" s="17">
        <f>DAY(EOMONTH(EDATE(InceptionDate,319-1),0))</f>
        <v/>
      </c>
      <c r="LK25" s="17">
        <f>DAY(EOMONTH(EDATE(InceptionDate,320-1),0))</f>
        <v/>
      </c>
      <c r="LL25" s="17">
        <f>DAY(EOMONTH(EDATE(InceptionDate,321-1),0))</f>
        <v/>
      </c>
      <c r="LM25" s="17">
        <f>DAY(EOMONTH(EDATE(InceptionDate,322-1),0))</f>
        <v/>
      </c>
      <c r="LN25" s="17">
        <f>DAY(EOMONTH(EDATE(InceptionDate,323-1),0))</f>
        <v/>
      </c>
      <c r="LO25" s="17">
        <f>DAY(EOMONTH(EDATE(InceptionDate,324-1),0))</f>
        <v/>
      </c>
      <c r="LP25" s="17">
        <f>DAY(EOMONTH(EDATE(InceptionDate,325-1),0))</f>
        <v/>
      </c>
      <c r="LQ25" s="17">
        <f>DAY(EOMONTH(EDATE(InceptionDate,326-1),0))</f>
        <v/>
      </c>
      <c r="LR25" s="17">
        <f>DAY(EOMONTH(EDATE(InceptionDate,327-1),0))</f>
        <v/>
      </c>
      <c r="LS25" s="17">
        <f>DAY(EOMONTH(EDATE(InceptionDate,328-1),0))</f>
        <v/>
      </c>
      <c r="LT25" s="17">
        <f>DAY(EOMONTH(EDATE(InceptionDate,329-1),0))</f>
        <v/>
      </c>
      <c r="LU25" s="17">
        <f>DAY(EOMONTH(EDATE(InceptionDate,330-1),0))</f>
        <v/>
      </c>
      <c r="LV25" s="17">
        <f>DAY(EOMONTH(EDATE(InceptionDate,331-1),0))</f>
        <v/>
      </c>
      <c r="LW25" s="17">
        <f>DAY(EOMONTH(EDATE(InceptionDate,332-1),0))</f>
        <v/>
      </c>
      <c r="LX25" s="17">
        <f>DAY(EOMONTH(EDATE(InceptionDate,333-1),0))</f>
        <v/>
      </c>
      <c r="LY25" s="17">
        <f>DAY(EOMONTH(EDATE(InceptionDate,334-1),0))</f>
        <v/>
      </c>
      <c r="LZ25" s="17">
        <f>DAY(EOMONTH(EDATE(InceptionDate,335-1),0))</f>
        <v/>
      </c>
      <c r="MA25" s="17">
        <f>DAY(EOMONTH(EDATE(InceptionDate,336-1),0))</f>
        <v/>
      </c>
      <c r="MB25" s="17">
        <f>DAY(EOMONTH(EDATE(InceptionDate,337-1),0))</f>
        <v/>
      </c>
      <c r="MC25" s="17">
        <f>DAY(EOMONTH(EDATE(InceptionDate,338-1),0))</f>
        <v/>
      </c>
      <c r="MD25" s="17">
        <f>DAY(EOMONTH(EDATE(InceptionDate,339-1),0))</f>
        <v/>
      </c>
      <c r="ME25" s="17">
        <f>DAY(EOMONTH(EDATE(InceptionDate,340-1),0))</f>
        <v/>
      </c>
      <c r="MF25" s="17">
        <f>DAY(EOMONTH(EDATE(InceptionDate,341-1),0))</f>
        <v/>
      </c>
      <c r="MG25" s="17">
        <f>DAY(EOMONTH(EDATE(InceptionDate,342-1),0))</f>
        <v/>
      </c>
      <c r="MH25" s="17">
        <f>DAY(EOMONTH(EDATE(InceptionDate,343-1),0))</f>
        <v/>
      </c>
      <c r="MI25" s="17">
        <f>DAY(EOMONTH(EDATE(InceptionDate,344-1),0))</f>
        <v/>
      </c>
      <c r="MJ25" s="17">
        <f>DAY(EOMONTH(EDATE(InceptionDate,345-1),0))</f>
        <v/>
      </c>
      <c r="MK25" s="17">
        <f>DAY(EOMONTH(EDATE(InceptionDate,346-1),0))</f>
        <v/>
      </c>
      <c r="ML25" s="17">
        <f>DAY(EOMONTH(EDATE(InceptionDate,347-1),0))</f>
        <v/>
      </c>
      <c r="MM25" s="17">
        <f>DAY(EOMONTH(EDATE(InceptionDate,348-1),0))</f>
        <v/>
      </c>
      <c r="MN25" s="17">
        <f>DAY(EOMONTH(EDATE(InceptionDate,349-1),0))</f>
        <v/>
      </c>
      <c r="MO25" s="17">
        <f>DAY(EOMONTH(EDATE(InceptionDate,350-1),0))</f>
        <v/>
      </c>
      <c r="MP25" s="17">
        <f>DAY(EOMONTH(EDATE(InceptionDate,351-1),0))</f>
        <v/>
      </c>
      <c r="MQ25" s="17">
        <f>DAY(EOMONTH(EDATE(InceptionDate,352-1),0))</f>
        <v/>
      </c>
      <c r="MR25" s="17">
        <f>DAY(EOMONTH(EDATE(InceptionDate,353-1),0))</f>
        <v/>
      </c>
      <c r="MS25" s="17">
        <f>DAY(EOMONTH(EDATE(InceptionDate,354-1),0))</f>
        <v/>
      </c>
      <c r="MT25" s="17">
        <f>DAY(EOMONTH(EDATE(InceptionDate,355-1),0))</f>
        <v/>
      </c>
      <c r="MU25" s="17">
        <f>DAY(EOMONTH(EDATE(InceptionDate,356-1),0))</f>
        <v/>
      </c>
      <c r="MV25" s="17">
        <f>DAY(EOMONTH(EDATE(InceptionDate,357-1),0))</f>
        <v/>
      </c>
      <c r="MW25" s="17">
        <f>DAY(EOMONTH(EDATE(InceptionDate,358-1),0))</f>
        <v/>
      </c>
      <c r="MX25" s="17">
        <f>DAY(EOMONTH(EDATE(InceptionDate,359-1),0))</f>
        <v/>
      </c>
      <c r="MY25" s="17">
        <f>DAY(EOMONTH(EDATE(InceptionDate,360-1),0))</f>
        <v/>
      </c>
      <c r="MZ25" s="17">
        <f>DAY(EOMONTH(EDATE(InceptionDate,361-1),0))</f>
        <v/>
      </c>
      <c r="NA25" s="17">
        <f>DAY(EOMONTH(EDATE(InceptionDate,362-1),0))</f>
        <v/>
      </c>
      <c r="NB25" s="17">
        <f>DAY(EOMONTH(EDATE(InceptionDate,363-1),0))</f>
        <v/>
      </c>
      <c r="NC25" s="17">
        <f>DAY(EOMONTH(EDATE(InceptionDate,364-1),0))</f>
        <v/>
      </c>
      <c r="ND25" s="17">
        <f>DAY(EOMONTH(EDATE(InceptionDate,365-1),0))</f>
        <v/>
      </c>
      <c r="NE25" s="17">
        <f>DAY(EOMONTH(EDATE(InceptionDate,366-1),0))</f>
        <v/>
      </c>
      <c r="NF25" s="17">
        <f>DAY(EOMONTH(EDATE(InceptionDate,367-1),0))</f>
        <v/>
      </c>
      <c r="NG25" s="17">
        <f>DAY(EOMONTH(EDATE(InceptionDate,368-1),0))</f>
        <v/>
      </c>
      <c r="NH25" s="17">
        <f>DAY(EOMONTH(EDATE(InceptionDate,369-1),0))</f>
        <v/>
      </c>
      <c r="NI25" s="17">
        <f>DAY(EOMONTH(EDATE(InceptionDate,370-1),0))</f>
        <v/>
      </c>
      <c r="NJ25" s="17">
        <f>DAY(EOMONTH(EDATE(InceptionDate,371-1),0))</f>
        <v/>
      </c>
      <c r="NK25" s="17">
        <f>DAY(EOMONTH(EDATE(InceptionDate,372-1),0))</f>
        <v/>
      </c>
    </row>
    <row r="26">
      <c r="A26" s="5" t="inlineStr">
        <is>
          <t>Monthly Interest Rate</t>
        </is>
      </c>
      <c r="C26" s="48" t="n"/>
      <c r="D26" s="49">
        <f>IF('Timeline'!D$43=1,IF(PermActual360=1,PermRate*D$25/360,PermRate/12),0)</f>
        <v/>
      </c>
      <c r="E26" s="49">
        <f>IF('Timeline'!E$43=1,IF(PermActual360=1,PermRate*E$25/360,PermRate/12),0)</f>
        <v/>
      </c>
      <c r="F26" s="49">
        <f>IF('Timeline'!F$43=1,IF(PermActual360=1,PermRate*F$25/360,PermRate/12),0)</f>
        <v/>
      </c>
      <c r="G26" s="49">
        <f>IF('Timeline'!G$43=1,IF(PermActual360=1,PermRate*G$25/360,PermRate/12),0)</f>
        <v/>
      </c>
      <c r="H26" s="49">
        <f>IF('Timeline'!H$43=1,IF(PermActual360=1,PermRate*H$25/360,PermRate/12),0)</f>
        <v/>
      </c>
      <c r="I26" s="49">
        <f>IF('Timeline'!I$43=1,IF(PermActual360=1,PermRate*I$25/360,PermRate/12),0)</f>
        <v/>
      </c>
      <c r="J26" s="49">
        <f>IF('Timeline'!J$43=1,IF(PermActual360=1,PermRate*J$25/360,PermRate/12),0)</f>
        <v/>
      </c>
      <c r="K26" s="49">
        <f>IF('Timeline'!K$43=1,IF(PermActual360=1,PermRate*K$25/360,PermRate/12),0)</f>
        <v/>
      </c>
      <c r="L26" s="49">
        <f>IF('Timeline'!L$43=1,IF(PermActual360=1,PermRate*L$25/360,PermRate/12),0)</f>
        <v/>
      </c>
      <c r="M26" s="49">
        <f>IF('Timeline'!M$43=1,IF(PermActual360=1,PermRate*M$25/360,PermRate/12),0)</f>
        <v/>
      </c>
      <c r="N26" s="49">
        <f>IF('Timeline'!N$43=1,IF(PermActual360=1,PermRate*N$25/360,PermRate/12),0)</f>
        <v/>
      </c>
      <c r="O26" s="49">
        <f>IF('Timeline'!O$43=1,IF(PermActual360=1,PermRate*O$25/360,PermRate/12),0)</f>
        <v/>
      </c>
      <c r="P26" s="49">
        <f>IF('Timeline'!P$43=1,IF(PermActual360=1,PermRate*P$25/360,PermRate/12),0)</f>
        <v/>
      </c>
      <c r="Q26" s="49">
        <f>IF('Timeline'!Q$43=1,IF(PermActual360=1,PermRate*Q$25/360,PermRate/12),0)</f>
        <v/>
      </c>
      <c r="R26" s="49">
        <f>IF('Timeline'!R$43=1,IF(PermActual360=1,PermRate*R$25/360,PermRate/12),0)</f>
        <v/>
      </c>
      <c r="S26" s="49">
        <f>IF('Timeline'!S$43=1,IF(PermActual360=1,PermRate*S$25/360,PermRate/12),0)</f>
        <v/>
      </c>
      <c r="T26" s="49">
        <f>IF('Timeline'!T$43=1,IF(PermActual360=1,PermRate*T$25/360,PermRate/12),0)</f>
        <v/>
      </c>
      <c r="U26" s="49">
        <f>IF('Timeline'!U$43=1,IF(PermActual360=1,PermRate*U$25/360,PermRate/12),0)</f>
        <v/>
      </c>
      <c r="V26" s="49">
        <f>IF('Timeline'!V$43=1,IF(PermActual360=1,PermRate*V$25/360,PermRate/12),0)</f>
        <v/>
      </c>
      <c r="W26" s="49">
        <f>IF('Timeline'!W$43=1,IF(PermActual360=1,PermRate*W$25/360,PermRate/12),0)</f>
        <v/>
      </c>
      <c r="X26" s="49">
        <f>IF('Timeline'!X$43=1,IF(PermActual360=1,PermRate*X$25/360,PermRate/12),0)</f>
        <v/>
      </c>
      <c r="Y26" s="49">
        <f>IF('Timeline'!Y$43=1,IF(PermActual360=1,PermRate*Y$25/360,PermRate/12),0)</f>
        <v/>
      </c>
      <c r="Z26" s="49">
        <f>IF('Timeline'!Z$43=1,IF(PermActual360=1,PermRate*Z$25/360,PermRate/12),0)</f>
        <v/>
      </c>
      <c r="AA26" s="49">
        <f>IF('Timeline'!AA$43=1,IF(PermActual360=1,PermRate*AA$25/360,PermRate/12),0)</f>
        <v/>
      </c>
      <c r="AB26" s="49">
        <f>IF('Timeline'!AB$43=1,IF(PermActual360=1,PermRate*AB$25/360,PermRate/12),0)</f>
        <v/>
      </c>
      <c r="AC26" s="49">
        <f>IF('Timeline'!AC$43=1,IF(PermActual360=1,PermRate*AC$25/360,PermRate/12),0)</f>
        <v/>
      </c>
      <c r="AD26" s="49">
        <f>IF('Timeline'!AD$43=1,IF(PermActual360=1,PermRate*AD$25/360,PermRate/12),0)</f>
        <v/>
      </c>
      <c r="AE26" s="49">
        <f>IF('Timeline'!AE$43=1,IF(PermActual360=1,PermRate*AE$25/360,PermRate/12),0)</f>
        <v/>
      </c>
      <c r="AF26" s="49">
        <f>IF('Timeline'!AF$43=1,IF(PermActual360=1,PermRate*AF$25/360,PermRate/12),0)</f>
        <v/>
      </c>
      <c r="AG26" s="49">
        <f>IF('Timeline'!AG$43=1,IF(PermActual360=1,PermRate*AG$25/360,PermRate/12),0)</f>
        <v/>
      </c>
      <c r="AH26" s="49">
        <f>IF('Timeline'!AH$43=1,IF(PermActual360=1,PermRate*AH$25/360,PermRate/12),0)</f>
        <v/>
      </c>
      <c r="AI26" s="49">
        <f>IF('Timeline'!AI$43=1,IF(PermActual360=1,PermRate*AI$25/360,PermRate/12),0)</f>
        <v/>
      </c>
      <c r="AJ26" s="49">
        <f>IF('Timeline'!AJ$43=1,IF(PermActual360=1,PermRate*AJ$25/360,PermRate/12),0)</f>
        <v/>
      </c>
      <c r="AK26" s="49">
        <f>IF('Timeline'!AK$43=1,IF(PermActual360=1,PermRate*AK$25/360,PermRate/12),0)</f>
        <v/>
      </c>
      <c r="AL26" s="49">
        <f>IF('Timeline'!AL$43=1,IF(PermActual360=1,PermRate*AL$25/360,PermRate/12),0)</f>
        <v/>
      </c>
      <c r="AM26" s="49">
        <f>IF('Timeline'!AM$43=1,IF(PermActual360=1,PermRate*AM$25/360,PermRate/12),0)</f>
        <v/>
      </c>
      <c r="AN26" s="49">
        <f>IF('Timeline'!AN$43=1,IF(PermActual360=1,PermRate*AN$25/360,PermRate/12),0)</f>
        <v/>
      </c>
      <c r="AO26" s="49">
        <f>IF('Timeline'!AO$43=1,IF(PermActual360=1,PermRate*AO$25/360,PermRate/12),0)</f>
        <v/>
      </c>
      <c r="AP26" s="49">
        <f>IF('Timeline'!AP$43=1,IF(PermActual360=1,PermRate*AP$25/360,PermRate/12),0)</f>
        <v/>
      </c>
      <c r="AQ26" s="49">
        <f>IF('Timeline'!AQ$43=1,IF(PermActual360=1,PermRate*AQ$25/360,PermRate/12),0)</f>
        <v/>
      </c>
      <c r="AR26" s="49">
        <f>IF('Timeline'!AR$43=1,IF(PermActual360=1,PermRate*AR$25/360,PermRate/12),0)</f>
        <v/>
      </c>
      <c r="AS26" s="49">
        <f>IF('Timeline'!AS$43=1,IF(PermActual360=1,PermRate*AS$25/360,PermRate/12),0)</f>
        <v/>
      </c>
      <c r="AT26" s="49">
        <f>IF('Timeline'!AT$43=1,IF(PermActual360=1,PermRate*AT$25/360,PermRate/12),0)</f>
        <v/>
      </c>
      <c r="AU26" s="49">
        <f>IF('Timeline'!AU$43=1,IF(PermActual360=1,PermRate*AU$25/360,PermRate/12),0)</f>
        <v/>
      </c>
      <c r="AV26" s="49">
        <f>IF('Timeline'!AV$43=1,IF(PermActual360=1,PermRate*AV$25/360,PermRate/12),0)</f>
        <v/>
      </c>
      <c r="AW26" s="49">
        <f>IF('Timeline'!AW$43=1,IF(PermActual360=1,PermRate*AW$25/360,PermRate/12),0)</f>
        <v/>
      </c>
      <c r="AX26" s="49">
        <f>IF('Timeline'!AX$43=1,IF(PermActual360=1,PermRate*AX$25/360,PermRate/12),0)</f>
        <v/>
      </c>
      <c r="AY26" s="49">
        <f>IF('Timeline'!AY$43=1,IF(PermActual360=1,PermRate*AY$25/360,PermRate/12),0)</f>
        <v/>
      </c>
      <c r="AZ26" s="49">
        <f>IF('Timeline'!AZ$43=1,IF(PermActual360=1,PermRate*AZ$25/360,PermRate/12),0)</f>
        <v/>
      </c>
      <c r="BA26" s="49">
        <f>IF('Timeline'!BA$43=1,IF(PermActual360=1,PermRate*BA$25/360,PermRate/12),0)</f>
        <v/>
      </c>
      <c r="BB26" s="49">
        <f>IF('Timeline'!BB$43=1,IF(PermActual360=1,PermRate*BB$25/360,PermRate/12),0)</f>
        <v/>
      </c>
      <c r="BC26" s="49">
        <f>IF('Timeline'!BC$43=1,IF(PermActual360=1,PermRate*BC$25/360,PermRate/12),0)</f>
        <v/>
      </c>
      <c r="BD26" s="49">
        <f>IF('Timeline'!BD$43=1,IF(PermActual360=1,PermRate*BD$25/360,PermRate/12),0)</f>
        <v/>
      </c>
      <c r="BE26" s="49">
        <f>IF('Timeline'!BE$43=1,IF(PermActual360=1,PermRate*BE$25/360,PermRate/12),0)</f>
        <v/>
      </c>
      <c r="BF26" s="49">
        <f>IF('Timeline'!BF$43=1,IF(PermActual360=1,PermRate*BF$25/360,PermRate/12),0)</f>
        <v/>
      </c>
      <c r="BG26" s="49">
        <f>IF('Timeline'!BG$43=1,IF(PermActual360=1,PermRate*BG$25/360,PermRate/12),0)</f>
        <v/>
      </c>
      <c r="BH26" s="49">
        <f>IF('Timeline'!BH$43=1,IF(PermActual360=1,PermRate*BH$25/360,PermRate/12),0)</f>
        <v/>
      </c>
      <c r="BI26" s="49">
        <f>IF('Timeline'!BI$43=1,IF(PermActual360=1,PermRate*BI$25/360,PermRate/12),0)</f>
        <v/>
      </c>
      <c r="BJ26" s="49">
        <f>IF('Timeline'!BJ$43=1,IF(PermActual360=1,PermRate*BJ$25/360,PermRate/12),0)</f>
        <v/>
      </c>
      <c r="BK26" s="49">
        <f>IF('Timeline'!BK$43=1,IF(PermActual360=1,PermRate*BK$25/360,PermRate/12),0)</f>
        <v/>
      </c>
      <c r="BL26" s="49">
        <f>IF('Timeline'!BL$43=1,IF(PermActual360=1,PermRate*BL$25/360,PermRate/12),0)</f>
        <v/>
      </c>
      <c r="BM26" s="49">
        <f>IF('Timeline'!BM$43=1,IF(PermActual360=1,PermRate*BM$25/360,PermRate/12),0)</f>
        <v/>
      </c>
      <c r="BN26" s="49">
        <f>IF('Timeline'!BN$43=1,IF(PermActual360=1,PermRate*BN$25/360,PermRate/12),0)</f>
        <v/>
      </c>
      <c r="BO26" s="49">
        <f>IF('Timeline'!BO$43=1,IF(PermActual360=1,PermRate*BO$25/360,PermRate/12),0)</f>
        <v/>
      </c>
      <c r="BP26" s="49">
        <f>IF('Timeline'!BP$43=1,IF(PermActual360=1,PermRate*BP$25/360,PermRate/12),0)</f>
        <v/>
      </c>
      <c r="BQ26" s="49">
        <f>IF('Timeline'!BQ$43=1,IF(PermActual360=1,PermRate*BQ$25/360,PermRate/12),0)</f>
        <v/>
      </c>
      <c r="BR26" s="49">
        <f>IF('Timeline'!BR$43=1,IF(PermActual360=1,PermRate*BR$25/360,PermRate/12),0)</f>
        <v/>
      </c>
      <c r="BS26" s="49">
        <f>IF('Timeline'!BS$43=1,IF(PermActual360=1,PermRate*BS$25/360,PermRate/12),0)</f>
        <v/>
      </c>
      <c r="BT26" s="49">
        <f>IF('Timeline'!BT$43=1,IF(PermActual360=1,PermRate*BT$25/360,PermRate/12),0)</f>
        <v/>
      </c>
      <c r="BU26" s="49">
        <f>IF('Timeline'!BU$43=1,IF(PermActual360=1,PermRate*BU$25/360,PermRate/12),0)</f>
        <v/>
      </c>
      <c r="BV26" s="49">
        <f>IF('Timeline'!BV$43=1,IF(PermActual360=1,PermRate*BV$25/360,PermRate/12),0)</f>
        <v/>
      </c>
      <c r="BW26" s="49">
        <f>IF('Timeline'!BW$43=1,IF(PermActual360=1,PermRate*BW$25/360,PermRate/12),0)</f>
        <v/>
      </c>
      <c r="BX26" s="49">
        <f>IF('Timeline'!BX$43=1,IF(PermActual360=1,PermRate*BX$25/360,PermRate/12),0)</f>
        <v/>
      </c>
      <c r="BY26" s="49">
        <f>IF('Timeline'!BY$43=1,IF(PermActual360=1,PermRate*BY$25/360,PermRate/12),0)</f>
        <v/>
      </c>
      <c r="BZ26" s="49">
        <f>IF('Timeline'!BZ$43=1,IF(PermActual360=1,PermRate*BZ$25/360,PermRate/12),0)</f>
        <v/>
      </c>
      <c r="CA26" s="49">
        <f>IF('Timeline'!CA$43=1,IF(PermActual360=1,PermRate*CA$25/360,PermRate/12),0)</f>
        <v/>
      </c>
      <c r="CB26" s="49">
        <f>IF('Timeline'!CB$43=1,IF(PermActual360=1,PermRate*CB$25/360,PermRate/12),0)</f>
        <v/>
      </c>
      <c r="CC26" s="49">
        <f>IF('Timeline'!CC$43=1,IF(PermActual360=1,PermRate*CC$25/360,PermRate/12),0)</f>
        <v/>
      </c>
      <c r="CD26" s="49">
        <f>IF('Timeline'!CD$43=1,IF(PermActual360=1,PermRate*CD$25/360,PermRate/12),0)</f>
        <v/>
      </c>
      <c r="CE26" s="49">
        <f>IF('Timeline'!CE$43=1,IF(PermActual360=1,PermRate*CE$25/360,PermRate/12),0)</f>
        <v/>
      </c>
      <c r="CF26" s="49">
        <f>IF('Timeline'!CF$43=1,IF(PermActual360=1,PermRate*CF$25/360,PermRate/12),0)</f>
        <v/>
      </c>
      <c r="CG26" s="49">
        <f>IF('Timeline'!CG$43=1,IF(PermActual360=1,PermRate*CG$25/360,PermRate/12),0)</f>
        <v/>
      </c>
      <c r="CH26" s="49">
        <f>IF('Timeline'!CH$43=1,IF(PermActual360=1,PermRate*CH$25/360,PermRate/12),0)</f>
        <v/>
      </c>
      <c r="CI26" s="49">
        <f>IF('Timeline'!CI$43=1,IF(PermActual360=1,PermRate*CI$25/360,PermRate/12),0)</f>
        <v/>
      </c>
      <c r="CJ26" s="49">
        <f>IF('Timeline'!CJ$43=1,IF(PermActual360=1,PermRate*CJ$25/360,PermRate/12),0)</f>
        <v/>
      </c>
      <c r="CK26" s="49">
        <f>IF('Timeline'!CK$43=1,IF(PermActual360=1,PermRate*CK$25/360,PermRate/12),0)</f>
        <v/>
      </c>
      <c r="CL26" s="49">
        <f>IF('Timeline'!CL$43=1,IF(PermActual360=1,PermRate*CL$25/360,PermRate/12),0)</f>
        <v/>
      </c>
      <c r="CM26" s="49">
        <f>IF('Timeline'!CM$43=1,IF(PermActual360=1,PermRate*CM$25/360,PermRate/12),0)</f>
        <v/>
      </c>
      <c r="CN26" s="49">
        <f>IF('Timeline'!CN$43=1,IF(PermActual360=1,PermRate*CN$25/360,PermRate/12),0)</f>
        <v/>
      </c>
      <c r="CO26" s="49">
        <f>IF('Timeline'!CO$43=1,IF(PermActual360=1,PermRate*CO$25/360,PermRate/12),0)</f>
        <v/>
      </c>
      <c r="CP26" s="49">
        <f>IF('Timeline'!CP$43=1,IF(PermActual360=1,PermRate*CP$25/360,PermRate/12),0)</f>
        <v/>
      </c>
      <c r="CQ26" s="49">
        <f>IF('Timeline'!CQ$43=1,IF(PermActual360=1,PermRate*CQ$25/360,PermRate/12),0)</f>
        <v/>
      </c>
      <c r="CR26" s="49">
        <f>IF('Timeline'!CR$43=1,IF(PermActual360=1,PermRate*CR$25/360,PermRate/12),0)</f>
        <v/>
      </c>
      <c r="CS26" s="49">
        <f>IF('Timeline'!CS$43=1,IF(PermActual360=1,PermRate*CS$25/360,PermRate/12),0)</f>
        <v/>
      </c>
      <c r="CT26" s="49">
        <f>IF('Timeline'!CT$43=1,IF(PermActual360=1,PermRate*CT$25/360,PermRate/12),0)</f>
        <v/>
      </c>
      <c r="CU26" s="49">
        <f>IF('Timeline'!CU$43=1,IF(PermActual360=1,PermRate*CU$25/360,PermRate/12),0)</f>
        <v/>
      </c>
      <c r="CV26" s="49">
        <f>IF('Timeline'!CV$43=1,IF(PermActual360=1,PermRate*CV$25/360,PermRate/12),0)</f>
        <v/>
      </c>
      <c r="CW26" s="49">
        <f>IF('Timeline'!CW$43=1,IF(PermActual360=1,PermRate*CW$25/360,PermRate/12),0)</f>
        <v/>
      </c>
      <c r="CX26" s="49">
        <f>IF('Timeline'!CX$43=1,IF(PermActual360=1,PermRate*CX$25/360,PermRate/12),0)</f>
        <v/>
      </c>
      <c r="CY26" s="49">
        <f>IF('Timeline'!CY$43=1,IF(PermActual360=1,PermRate*CY$25/360,PermRate/12),0)</f>
        <v/>
      </c>
      <c r="CZ26" s="49">
        <f>IF('Timeline'!CZ$43=1,IF(PermActual360=1,PermRate*CZ$25/360,PermRate/12),0)</f>
        <v/>
      </c>
      <c r="DA26" s="49">
        <f>IF('Timeline'!DA$43=1,IF(PermActual360=1,PermRate*DA$25/360,PermRate/12),0)</f>
        <v/>
      </c>
      <c r="DB26" s="49">
        <f>IF('Timeline'!DB$43=1,IF(PermActual360=1,PermRate*DB$25/360,PermRate/12),0)</f>
        <v/>
      </c>
      <c r="DC26" s="49">
        <f>IF('Timeline'!DC$43=1,IF(PermActual360=1,PermRate*DC$25/360,PermRate/12),0)</f>
        <v/>
      </c>
      <c r="DD26" s="49">
        <f>IF('Timeline'!DD$43=1,IF(PermActual360=1,PermRate*DD$25/360,PermRate/12),0)</f>
        <v/>
      </c>
      <c r="DE26" s="49">
        <f>IF('Timeline'!DE$43=1,IF(PermActual360=1,PermRate*DE$25/360,PermRate/12),0)</f>
        <v/>
      </c>
      <c r="DF26" s="49">
        <f>IF('Timeline'!DF$43=1,IF(PermActual360=1,PermRate*DF$25/360,PermRate/12),0)</f>
        <v/>
      </c>
      <c r="DG26" s="49">
        <f>IF('Timeline'!DG$43=1,IF(PermActual360=1,PermRate*DG$25/360,PermRate/12),0)</f>
        <v/>
      </c>
      <c r="DH26" s="49">
        <f>IF('Timeline'!DH$43=1,IF(PermActual360=1,PermRate*DH$25/360,PermRate/12),0)</f>
        <v/>
      </c>
      <c r="DI26" s="49">
        <f>IF('Timeline'!DI$43=1,IF(PermActual360=1,PermRate*DI$25/360,PermRate/12),0)</f>
        <v/>
      </c>
      <c r="DJ26" s="49">
        <f>IF('Timeline'!DJ$43=1,IF(PermActual360=1,PermRate*DJ$25/360,PermRate/12),0)</f>
        <v/>
      </c>
      <c r="DK26" s="49">
        <f>IF('Timeline'!DK$43=1,IF(PermActual360=1,PermRate*DK$25/360,PermRate/12),0)</f>
        <v/>
      </c>
      <c r="DL26" s="49">
        <f>IF('Timeline'!DL$43=1,IF(PermActual360=1,PermRate*DL$25/360,PermRate/12),0)</f>
        <v/>
      </c>
      <c r="DM26" s="49">
        <f>IF('Timeline'!DM$43=1,IF(PermActual360=1,PermRate*DM$25/360,PermRate/12),0)</f>
        <v/>
      </c>
      <c r="DN26" s="49">
        <f>IF('Timeline'!DN$43=1,IF(PermActual360=1,PermRate*DN$25/360,PermRate/12),0)</f>
        <v/>
      </c>
      <c r="DO26" s="49">
        <f>IF('Timeline'!DO$43=1,IF(PermActual360=1,PermRate*DO$25/360,PermRate/12),0)</f>
        <v/>
      </c>
      <c r="DP26" s="49">
        <f>IF('Timeline'!DP$43=1,IF(PermActual360=1,PermRate*DP$25/360,PermRate/12),0)</f>
        <v/>
      </c>
      <c r="DQ26" s="49">
        <f>IF('Timeline'!DQ$43=1,IF(PermActual360=1,PermRate*DQ$25/360,PermRate/12),0)</f>
        <v/>
      </c>
      <c r="DR26" s="49">
        <f>IF('Timeline'!DR$43=1,IF(PermActual360=1,PermRate*DR$25/360,PermRate/12),0)</f>
        <v/>
      </c>
      <c r="DS26" s="49">
        <f>IF('Timeline'!DS$43=1,IF(PermActual360=1,PermRate*DS$25/360,PermRate/12),0)</f>
        <v/>
      </c>
      <c r="DT26" s="49">
        <f>IF('Timeline'!DT$43=1,IF(PermActual360=1,PermRate*DT$25/360,PermRate/12),0)</f>
        <v/>
      </c>
      <c r="DU26" s="49">
        <f>IF('Timeline'!DU$43=1,IF(PermActual360=1,PermRate*DU$25/360,PermRate/12),0)</f>
        <v/>
      </c>
      <c r="DV26" s="49">
        <f>IF('Timeline'!DV$43=1,IF(PermActual360=1,PermRate*DV$25/360,PermRate/12),0)</f>
        <v/>
      </c>
      <c r="DW26" s="49">
        <f>IF('Timeline'!DW$43=1,IF(PermActual360=1,PermRate*DW$25/360,PermRate/12),0)</f>
        <v/>
      </c>
      <c r="DX26" s="49">
        <f>IF('Timeline'!DX$43=1,IF(PermActual360=1,PermRate*DX$25/360,PermRate/12),0)</f>
        <v/>
      </c>
      <c r="DY26" s="49">
        <f>IF('Timeline'!DY$43=1,IF(PermActual360=1,PermRate*DY$25/360,PermRate/12),0)</f>
        <v/>
      </c>
      <c r="DZ26" s="49">
        <f>IF('Timeline'!DZ$43=1,IF(PermActual360=1,PermRate*DZ$25/360,PermRate/12),0)</f>
        <v/>
      </c>
      <c r="EA26" s="49">
        <f>IF('Timeline'!EA$43=1,IF(PermActual360=1,PermRate*EA$25/360,PermRate/12),0)</f>
        <v/>
      </c>
      <c r="EB26" s="49">
        <f>IF('Timeline'!EB$43=1,IF(PermActual360=1,PermRate*EB$25/360,PermRate/12),0)</f>
        <v/>
      </c>
      <c r="EC26" s="49">
        <f>IF('Timeline'!EC$43=1,IF(PermActual360=1,PermRate*EC$25/360,PermRate/12),0)</f>
        <v/>
      </c>
      <c r="ED26" s="49">
        <f>IF('Timeline'!ED$43=1,IF(PermActual360=1,PermRate*ED$25/360,PermRate/12),0)</f>
        <v/>
      </c>
      <c r="EE26" s="49">
        <f>IF('Timeline'!EE$43=1,IF(PermActual360=1,PermRate*EE$25/360,PermRate/12),0)</f>
        <v/>
      </c>
      <c r="EF26" s="49">
        <f>IF('Timeline'!EF$43=1,IF(PermActual360=1,PermRate*EF$25/360,PermRate/12),0)</f>
        <v/>
      </c>
      <c r="EG26" s="49">
        <f>IF('Timeline'!EG$43=1,IF(PermActual360=1,PermRate*EG$25/360,PermRate/12),0)</f>
        <v/>
      </c>
      <c r="EH26" s="49">
        <f>IF('Timeline'!EH$43=1,IF(PermActual360=1,PermRate*EH$25/360,PermRate/12),0)</f>
        <v/>
      </c>
      <c r="EI26" s="49">
        <f>IF('Timeline'!EI$43=1,IF(PermActual360=1,PermRate*EI$25/360,PermRate/12),0)</f>
        <v/>
      </c>
      <c r="EJ26" s="49">
        <f>IF('Timeline'!EJ$43=1,IF(PermActual360=1,PermRate*EJ$25/360,PermRate/12),0)</f>
        <v/>
      </c>
      <c r="EK26" s="49">
        <f>IF('Timeline'!EK$43=1,IF(PermActual360=1,PermRate*EK$25/360,PermRate/12),0)</f>
        <v/>
      </c>
      <c r="EL26" s="49">
        <f>IF('Timeline'!EL$43=1,IF(PermActual360=1,PermRate*EL$25/360,PermRate/12),0)</f>
        <v/>
      </c>
      <c r="EM26" s="49">
        <f>IF('Timeline'!EM$43=1,IF(PermActual360=1,PermRate*EM$25/360,PermRate/12),0)</f>
        <v/>
      </c>
      <c r="EN26" s="49">
        <f>IF('Timeline'!EN$43=1,IF(PermActual360=1,PermRate*EN$25/360,PermRate/12),0)</f>
        <v/>
      </c>
      <c r="EO26" s="49">
        <f>IF('Timeline'!EO$43=1,IF(PermActual360=1,PermRate*EO$25/360,PermRate/12),0)</f>
        <v/>
      </c>
      <c r="EP26" s="49">
        <f>IF('Timeline'!EP$43=1,IF(PermActual360=1,PermRate*EP$25/360,PermRate/12),0)</f>
        <v/>
      </c>
      <c r="EQ26" s="49">
        <f>IF('Timeline'!EQ$43=1,IF(PermActual360=1,PermRate*EQ$25/360,PermRate/12),0)</f>
        <v/>
      </c>
      <c r="ER26" s="49">
        <f>IF('Timeline'!ER$43=1,IF(PermActual360=1,PermRate*ER$25/360,PermRate/12),0)</f>
        <v/>
      </c>
      <c r="ES26" s="49">
        <f>IF('Timeline'!ES$43=1,IF(PermActual360=1,PermRate*ES$25/360,PermRate/12),0)</f>
        <v/>
      </c>
      <c r="ET26" s="49">
        <f>IF('Timeline'!ET$43=1,IF(PermActual360=1,PermRate*ET$25/360,PermRate/12),0)</f>
        <v/>
      </c>
      <c r="EU26" s="49">
        <f>IF('Timeline'!EU$43=1,IF(PermActual360=1,PermRate*EU$25/360,PermRate/12),0)</f>
        <v/>
      </c>
      <c r="EV26" s="49">
        <f>IF('Timeline'!EV$43=1,IF(PermActual360=1,PermRate*EV$25/360,PermRate/12),0)</f>
        <v/>
      </c>
      <c r="EW26" s="49">
        <f>IF('Timeline'!EW$43=1,IF(PermActual360=1,PermRate*EW$25/360,PermRate/12),0)</f>
        <v/>
      </c>
      <c r="EX26" s="49">
        <f>IF('Timeline'!EX$43=1,IF(PermActual360=1,PermRate*EX$25/360,PermRate/12),0)</f>
        <v/>
      </c>
      <c r="EY26" s="49">
        <f>IF('Timeline'!EY$43=1,IF(PermActual360=1,PermRate*EY$25/360,PermRate/12),0)</f>
        <v/>
      </c>
      <c r="EZ26" s="49">
        <f>IF('Timeline'!EZ$43=1,IF(PermActual360=1,PermRate*EZ$25/360,PermRate/12),0)</f>
        <v/>
      </c>
      <c r="FA26" s="49">
        <f>IF('Timeline'!FA$43=1,IF(PermActual360=1,PermRate*FA$25/360,PermRate/12),0)</f>
        <v/>
      </c>
      <c r="FB26" s="49">
        <f>IF('Timeline'!FB$43=1,IF(PermActual360=1,PermRate*FB$25/360,PermRate/12),0)</f>
        <v/>
      </c>
      <c r="FC26" s="49">
        <f>IF('Timeline'!FC$43=1,IF(PermActual360=1,PermRate*FC$25/360,PermRate/12),0)</f>
        <v/>
      </c>
      <c r="FD26" s="49">
        <f>IF('Timeline'!FD$43=1,IF(PermActual360=1,PermRate*FD$25/360,PermRate/12),0)</f>
        <v/>
      </c>
      <c r="FE26" s="49">
        <f>IF('Timeline'!FE$43=1,IF(PermActual360=1,PermRate*FE$25/360,PermRate/12),0)</f>
        <v/>
      </c>
      <c r="FF26" s="49">
        <f>IF('Timeline'!FF$43=1,IF(PermActual360=1,PermRate*FF$25/360,PermRate/12),0)</f>
        <v/>
      </c>
      <c r="FG26" s="49">
        <f>IF('Timeline'!FG$43=1,IF(PermActual360=1,PermRate*FG$25/360,PermRate/12),0)</f>
        <v/>
      </c>
      <c r="FH26" s="49">
        <f>IF('Timeline'!FH$43=1,IF(PermActual360=1,PermRate*FH$25/360,PermRate/12),0)</f>
        <v/>
      </c>
      <c r="FI26" s="49">
        <f>IF('Timeline'!FI$43=1,IF(PermActual360=1,PermRate*FI$25/360,PermRate/12),0)</f>
        <v/>
      </c>
      <c r="FJ26" s="49">
        <f>IF('Timeline'!FJ$43=1,IF(PermActual360=1,PermRate*FJ$25/360,PermRate/12),0)</f>
        <v/>
      </c>
      <c r="FK26" s="49">
        <f>IF('Timeline'!FK$43=1,IF(PermActual360=1,PermRate*FK$25/360,PermRate/12),0)</f>
        <v/>
      </c>
      <c r="FL26" s="49">
        <f>IF('Timeline'!FL$43=1,IF(PermActual360=1,PermRate*FL$25/360,PermRate/12),0)</f>
        <v/>
      </c>
      <c r="FM26" s="49">
        <f>IF('Timeline'!FM$43=1,IF(PermActual360=1,PermRate*FM$25/360,PermRate/12),0)</f>
        <v/>
      </c>
      <c r="FN26" s="49">
        <f>IF('Timeline'!FN$43=1,IF(PermActual360=1,PermRate*FN$25/360,PermRate/12),0)</f>
        <v/>
      </c>
      <c r="FO26" s="49">
        <f>IF('Timeline'!FO$43=1,IF(PermActual360=1,PermRate*FO$25/360,PermRate/12),0)</f>
        <v/>
      </c>
      <c r="FP26" s="49">
        <f>IF('Timeline'!FP$43=1,IF(PermActual360=1,PermRate*FP$25/360,PermRate/12),0)</f>
        <v/>
      </c>
      <c r="FQ26" s="49">
        <f>IF('Timeline'!FQ$43=1,IF(PermActual360=1,PermRate*FQ$25/360,PermRate/12),0)</f>
        <v/>
      </c>
      <c r="FR26" s="49">
        <f>IF('Timeline'!FR$43=1,IF(PermActual360=1,PermRate*FR$25/360,PermRate/12),0)</f>
        <v/>
      </c>
      <c r="FS26" s="49">
        <f>IF('Timeline'!FS$43=1,IF(PermActual360=1,PermRate*FS$25/360,PermRate/12),0)</f>
        <v/>
      </c>
      <c r="FT26" s="49">
        <f>IF('Timeline'!FT$43=1,IF(PermActual360=1,PermRate*FT$25/360,PermRate/12),0)</f>
        <v/>
      </c>
      <c r="FU26" s="49">
        <f>IF('Timeline'!FU$43=1,IF(PermActual360=1,PermRate*FU$25/360,PermRate/12),0)</f>
        <v/>
      </c>
      <c r="FV26" s="49">
        <f>IF('Timeline'!FV$43=1,IF(PermActual360=1,PermRate*FV$25/360,PermRate/12),0)</f>
        <v/>
      </c>
      <c r="FW26" s="49">
        <f>IF('Timeline'!FW$43=1,IF(PermActual360=1,PermRate*FW$25/360,PermRate/12),0)</f>
        <v/>
      </c>
      <c r="FX26" s="49">
        <f>IF('Timeline'!FX$43=1,IF(PermActual360=1,PermRate*FX$25/360,PermRate/12),0)</f>
        <v/>
      </c>
      <c r="FY26" s="49">
        <f>IF('Timeline'!FY$43=1,IF(PermActual360=1,PermRate*FY$25/360,PermRate/12),0)</f>
        <v/>
      </c>
      <c r="FZ26" s="49">
        <f>IF('Timeline'!FZ$43=1,IF(PermActual360=1,PermRate*FZ$25/360,PermRate/12),0)</f>
        <v/>
      </c>
      <c r="GA26" s="49">
        <f>IF('Timeline'!GA$43=1,IF(PermActual360=1,PermRate*GA$25/360,PermRate/12),0)</f>
        <v/>
      </c>
      <c r="GB26" s="49">
        <f>IF('Timeline'!GB$43=1,IF(PermActual360=1,PermRate*GB$25/360,PermRate/12),0)</f>
        <v/>
      </c>
      <c r="GC26" s="49">
        <f>IF('Timeline'!GC$43=1,IF(PermActual360=1,PermRate*GC$25/360,PermRate/12),0)</f>
        <v/>
      </c>
      <c r="GD26" s="49">
        <f>IF('Timeline'!GD$43=1,IF(PermActual360=1,PermRate*GD$25/360,PermRate/12),0)</f>
        <v/>
      </c>
      <c r="GE26" s="49">
        <f>IF('Timeline'!GE$43=1,IF(PermActual360=1,PermRate*GE$25/360,PermRate/12),0)</f>
        <v/>
      </c>
      <c r="GF26" s="49">
        <f>IF('Timeline'!GF$43=1,IF(PermActual360=1,PermRate*GF$25/360,PermRate/12),0)</f>
        <v/>
      </c>
      <c r="GG26" s="49">
        <f>IF('Timeline'!GG$43=1,IF(PermActual360=1,PermRate*GG$25/360,PermRate/12),0)</f>
        <v/>
      </c>
      <c r="GH26" s="49">
        <f>IF('Timeline'!GH$43=1,IF(PermActual360=1,PermRate*GH$25/360,PermRate/12),0)</f>
        <v/>
      </c>
      <c r="GI26" s="49">
        <f>IF('Timeline'!GI$43=1,IF(PermActual360=1,PermRate*GI$25/360,PermRate/12),0)</f>
        <v/>
      </c>
      <c r="GJ26" s="49">
        <f>IF('Timeline'!GJ$43=1,IF(PermActual360=1,PermRate*GJ$25/360,PermRate/12),0)</f>
        <v/>
      </c>
      <c r="GK26" s="49">
        <f>IF('Timeline'!GK$43=1,IF(PermActual360=1,PermRate*GK$25/360,PermRate/12),0)</f>
        <v/>
      </c>
      <c r="GL26" s="49">
        <f>IF('Timeline'!GL$43=1,IF(PermActual360=1,PermRate*GL$25/360,PermRate/12),0)</f>
        <v/>
      </c>
      <c r="GM26" s="49">
        <f>IF('Timeline'!GM$43=1,IF(PermActual360=1,PermRate*GM$25/360,PermRate/12),0)</f>
        <v/>
      </c>
      <c r="GN26" s="49">
        <f>IF('Timeline'!GN$43=1,IF(PermActual360=1,PermRate*GN$25/360,PermRate/12),0)</f>
        <v/>
      </c>
      <c r="GO26" s="49">
        <f>IF('Timeline'!GO$43=1,IF(PermActual360=1,PermRate*GO$25/360,PermRate/12),0)</f>
        <v/>
      </c>
      <c r="GP26" s="49">
        <f>IF('Timeline'!GP$43=1,IF(PermActual360=1,PermRate*GP$25/360,PermRate/12),0)</f>
        <v/>
      </c>
      <c r="GQ26" s="49">
        <f>IF('Timeline'!GQ$43=1,IF(PermActual360=1,PermRate*GQ$25/360,PermRate/12),0)</f>
        <v/>
      </c>
      <c r="GR26" s="49">
        <f>IF('Timeline'!GR$43=1,IF(PermActual360=1,PermRate*GR$25/360,PermRate/12),0)</f>
        <v/>
      </c>
      <c r="GS26" s="49">
        <f>IF('Timeline'!GS$43=1,IF(PermActual360=1,PermRate*GS$25/360,PermRate/12),0)</f>
        <v/>
      </c>
      <c r="GT26" s="49">
        <f>IF('Timeline'!GT$43=1,IF(PermActual360=1,PermRate*GT$25/360,PermRate/12),0)</f>
        <v/>
      </c>
      <c r="GU26" s="49">
        <f>IF('Timeline'!GU$43=1,IF(PermActual360=1,PermRate*GU$25/360,PermRate/12),0)</f>
        <v/>
      </c>
      <c r="GV26" s="49">
        <f>IF('Timeline'!GV$43=1,IF(PermActual360=1,PermRate*GV$25/360,PermRate/12),0)</f>
        <v/>
      </c>
      <c r="GW26" s="49">
        <f>IF('Timeline'!GW$43=1,IF(PermActual360=1,PermRate*GW$25/360,PermRate/12),0)</f>
        <v/>
      </c>
      <c r="GX26" s="49">
        <f>IF('Timeline'!GX$43=1,IF(PermActual360=1,PermRate*GX$25/360,PermRate/12),0)</f>
        <v/>
      </c>
      <c r="GY26" s="49">
        <f>IF('Timeline'!GY$43=1,IF(PermActual360=1,PermRate*GY$25/360,PermRate/12),0)</f>
        <v/>
      </c>
      <c r="GZ26" s="49">
        <f>IF('Timeline'!GZ$43=1,IF(PermActual360=1,PermRate*GZ$25/360,PermRate/12),0)</f>
        <v/>
      </c>
      <c r="HA26" s="49">
        <f>IF('Timeline'!HA$43=1,IF(PermActual360=1,PermRate*HA$25/360,PermRate/12),0)</f>
        <v/>
      </c>
      <c r="HB26" s="49">
        <f>IF('Timeline'!HB$43=1,IF(PermActual360=1,PermRate*HB$25/360,PermRate/12),0)</f>
        <v/>
      </c>
      <c r="HC26" s="49">
        <f>IF('Timeline'!HC$43=1,IF(PermActual360=1,PermRate*HC$25/360,PermRate/12),0)</f>
        <v/>
      </c>
      <c r="HD26" s="49">
        <f>IF('Timeline'!HD$43=1,IF(PermActual360=1,PermRate*HD$25/360,PermRate/12),0)</f>
        <v/>
      </c>
      <c r="HE26" s="49">
        <f>IF('Timeline'!HE$43=1,IF(PermActual360=1,PermRate*HE$25/360,PermRate/12),0)</f>
        <v/>
      </c>
      <c r="HF26" s="49">
        <f>IF('Timeline'!HF$43=1,IF(PermActual360=1,PermRate*HF$25/360,PermRate/12),0)</f>
        <v/>
      </c>
      <c r="HG26" s="49">
        <f>IF('Timeline'!HG$43=1,IF(PermActual360=1,PermRate*HG$25/360,PermRate/12),0)</f>
        <v/>
      </c>
      <c r="HH26" s="49">
        <f>IF('Timeline'!HH$43=1,IF(PermActual360=1,PermRate*HH$25/360,PermRate/12),0)</f>
        <v/>
      </c>
      <c r="HI26" s="49">
        <f>IF('Timeline'!HI$43=1,IF(PermActual360=1,PermRate*HI$25/360,PermRate/12),0)</f>
        <v/>
      </c>
      <c r="HJ26" s="49">
        <f>IF('Timeline'!HJ$43=1,IF(PermActual360=1,PermRate*HJ$25/360,PermRate/12),0)</f>
        <v/>
      </c>
      <c r="HK26" s="49">
        <f>IF('Timeline'!HK$43=1,IF(PermActual360=1,PermRate*HK$25/360,PermRate/12),0)</f>
        <v/>
      </c>
      <c r="HL26" s="49">
        <f>IF('Timeline'!HL$43=1,IF(PermActual360=1,PermRate*HL$25/360,PermRate/12),0)</f>
        <v/>
      </c>
      <c r="HM26" s="49">
        <f>IF('Timeline'!HM$43=1,IF(PermActual360=1,PermRate*HM$25/360,PermRate/12),0)</f>
        <v/>
      </c>
      <c r="HN26" s="49">
        <f>IF('Timeline'!HN$43=1,IF(PermActual360=1,PermRate*HN$25/360,PermRate/12),0)</f>
        <v/>
      </c>
      <c r="HO26" s="49">
        <f>IF('Timeline'!HO$43=1,IF(PermActual360=1,PermRate*HO$25/360,PermRate/12),0)</f>
        <v/>
      </c>
      <c r="HP26" s="49">
        <f>IF('Timeline'!HP$43=1,IF(PermActual360=1,PermRate*HP$25/360,PermRate/12),0)</f>
        <v/>
      </c>
      <c r="HQ26" s="49">
        <f>IF('Timeline'!HQ$43=1,IF(PermActual360=1,PermRate*HQ$25/360,PermRate/12),0)</f>
        <v/>
      </c>
      <c r="HR26" s="49">
        <f>IF('Timeline'!HR$43=1,IF(PermActual360=1,PermRate*HR$25/360,PermRate/12),0)</f>
        <v/>
      </c>
      <c r="HS26" s="49">
        <f>IF('Timeline'!HS$43=1,IF(PermActual360=1,PermRate*HS$25/360,PermRate/12),0)</f>
        <v/>
      </c>
      <c r="HT26" s="49">
        <f>IF('Timeline'!HT$43=1,IF(PermActual360=1,PermRate*HT$25/360,PermRate/12),0)</f>
        <v/>
      </c>
      <c r="HU26" s="49">
        <f>IF('Timeline'!HU$43=1,IF(PermActual360=1,PermRate*HU$25/360,PermRate/12),0)</f>
        <v/>
      </c>
      <c r="HV26" s="49">
        <f>IF('Timeline'!HV$43=1,IF(PermActual360=1,PermRate*HV$25/360,PermRate/12),0)</f>
        <v/>
      </c>
      <c r="HW26" s="49">
        <f>IF('Timeline'!HW$43=1,IF(PermActual360=1,PermRate*HW$25/360,PermRate/12),0)</f>
        <v/>
      </c>
      <c r="HX26" s="49">
        <f>IF('Timeline'!HX$43=1,IF(PermActual360=1,PermRate*HX$25/360,PermRate/12),0)</f>
        <v/>
      </c>
      <c r="HY26" s="49">
        <f>IF('Timeline'!HY$43=1,IF(PermActual360=1,PermRate*HY$25/360,PermRate/12),0)</f>
        <v/>
      </c>
      <c r="HZ26" s="49">
        <f>IF('Timeline'!HZ$43=1,IF(PermActual360=1,PermRate*HZ$25/360,PermRate/12),0)</f>
        <v/>
      </c>
      <c r="IA26" s="49">
        <f>IF('Timeline'!IA$43=1,IF(PermActual360=1,PermRate*IA$25/360,PermRate/12),0)</f>
        <v/>
      </c>
      <c r="IB26" s="49">
        <f>IF('Timeline'!IB$43=1,IF(PermActual360=1,PermRate*IB$25/360,PermRate/12),0)</f>
        <v/>
      </c>
      <c r="IC26" s="49">
        <f>IF('Timeline'!IC$43=1,IF(PermActual360=1,PermRate*IC$25/360,PermRate/12),0)</f>
        <v/>
      </c>
      <c r="ID26" s="49">
        <f>IF('Timeline'!ID$43=1,IF(PermActual360=1,PermRate*ID$25/360,PermRate/12),0)</f>
        <v/>
      </c>
      <c r="IE26" s="49">
        <f>IF('Timeline'!IE$43=1,IF(PermActual360=1,PermRate*IE$25/360,PermRate/12),0)</f>
        <v/>
      </c>
      <c r="IF26" s="49">
        <f>IF('Timeline'!IF$43=1,IF(PermActual360=1,PermRate*IF$25/360,PermRate/12),0)</f>
        <v/>
      </c>
      <c r="IG26" s="49">
        <f>IF('Timeline'!IG$43=1,IF(PermActual360=1,PermRate*IG$25/360,PermRate/12),0)</f>
        <v/>
      </c>
      <c r="IH26" s="49">
        <f>IF('Timeline'!IH$43=1,IF(PermActual360=1,PermRate*IH$25/360,PermRate/12),0)</f>
        <v/>
      </c>
      <c r="II26" s="49">
        <f>IF('Timeline'!II$43=1,IF(PermActual360=1,PermRate*II$25/360,PermRate/12),0)</f>
        <v/>
      </c>
      <c r="IJ26" s="49">
        <f>IF('Timeline'!IJ$43=1,IF(PermActual360=1,PermRate*IJ$25/360,PermRate/12),0)</f>
        <v/>
      </c>
      <c r="IK26" s="49">
        <f>IF('Timeline'!IK$43=1,IF(PermActual360=1,PermRate*IK$25/360,PermRate/12),0)</f>
        <v/>
      </c>
      <c r="IL26" s="49">
        <f>IF('Timeline'!IL$43=1,IF(PermActual360=1,PermRate*IL$25/360,PermRate/12),0)</f>
        <v/>
      </c>
      <c r="IM26" s="49">
        <f>IF('Timeline'!IM$43=1,IF(PermActual360=1,PermRate*IM$25/360,PermRate/12),0)</f>
        <v/>
      </c>
      <c r="IN26" s="49">
        <f>IF('Timeline'!IN$43=1,IF(PermActual360=1,PermRate*IN$25/360,PermRate/12),0)</f>
        <v/>
      </c>
      <c r="IO26" s="49">
        <f>IF('Timeline'!IO$43=1,IF(PermActual360=1,PermRate*IO$25/360,PermRate/12),0)</f>
        <v/>
      </c>
      <c r="IP26" s="49">
        <f>IF('Timeline'!IP$43=1,IF(PermActual360=1,PermRate*IP$25/360,PermRate/12),0)</f>
        <v/>
      </c>
      <c r="IQ26" s="49">
        <f>IF('Timeline'!IQ$43=1,IF(PermActual360=1,PermRate*IQ$25/360,PermRate/12),0)</f>
        <v/>
      </c>
      <c r="IR26" s="49">
        <f>IF('Timeline'!IR$43=1,IF(PermActual360=1,PermRate*IR$25/360,PermRate/12),0)</f>
        <v/>
      </c>
      <c r="IS26" s="49">
        <f>IF('Timeline'!IS$43=1,IF(PermActual360=1,PermRate*IS$25/360,PermRate/12),0)</f>
        <v/>
      </c>
      <c r="IT26" s="49">
        <f>IF('Timeline'!IT$43=1,IF(PermActual360=1,PermRate*IT$25/360,PermRate/12),0)</f>
        <v/>
      </c>
      <c r="IU26" s="49">
        <f>IF('Timeline'!IU$43=1,IF(PermActual360=1,PermRate*IU$25/360,PermRate/12),0)</f>
        <v/>
      </c>
      <c r="IV26" s="49">
        <f>IF('Timeline'!IV$43=1,IF(PermActual360=1,PermRate*IV$25/360,PermRate/12),0)</f>
        <v/>
      </c>
      <c r="IW26" s="49">
        <f>IF('Timeline'!IW$43=1,IF(PermActual360=1,PermRate*IW$25/360,PermRate/12),0)</f>
        <v/>
      </c>
      <c r="IX26" s="49">
        <f>IF('Timeline'!IX$43=1,IF(PermActual360=1,PermRate*IX$25/360,PermRate/12),0)</f>
        <v/>
      </c>
      <c r="IY26" s="49">
        <f>IF('Timeline'!IY$43=1,IF(PermActual360=1,PermRate*IY$25/360,PermRate/12),0)</f>
        <v/>
      </c>
      <c r="IZ26" s="49">
        <f>IF('Timeline'!IZ$43=1,IF(PermActual360=1,PermRate*IZ$25/360,PermRate/12),0)</f>
        <v/>
      </c>
      <c r="JA26" s="49">
        <f>IF('Timeline'!JA$43=1,IF(PermActual360=1,PermRate*JA$25/360,PermRate/12),0)</f>
        <v/>
      </c>
      <c r="JB26" s="49">
        <f>IF('Timeline'!JB$43=1,IF(PermActual360=1,PermRate*JB$25/360,PermRate/12),0)</f>
        <v/>
      </c>
      <c r="JC26" s="49">
        <f>IF('Timeline'!JC$43=1,IF(PermActual360=1,PermRate*JC$25/360,PermRate/12),0)</f>
        <v/>
      </c>
      <c r="JD26" s="49">
        <f>IF('Timeline'!JD$43=1,IF(PermActual360=1,PermRate*JD$25/360,PermRate/12),0)</f>
        <v/>
      </c>
      <c r="JE26" s="49">
        <f>IF('Timeline'!JE$43=1,IF(PermActual360=1,PermRate*JE$25/360,PermRate/12),0)</f>
        <v/>
      </c>
      <c r="JF26" s="49">
        <f>IF('Timeline'!JF$43=1,IF(PermActual360=1,PermRate*JF$25/360,PermRate/12),0)</f>
        <v/>
      </c>
      <c r="JG26" s="49">
        <f>IF('Timeline'!JG$43=1,IF(PermActual360=1,PermRate*JG$25/360,PermRate/12),0)</f>
        <v/>
      </c>
      <c r="JH26" s="49">
        <f>IF('Timeline'!JH$43=1,IF(PermActual360=1,PermRate*JH$25/360,PermRate/12),0)</f>
        <v/>
      </c>
      <c r="JI26" s="49">
        <f>IF('Timeline'!JI$43=1,IF(PermActual360=1,PermRate*JI$25/360,PermRate/12),0)</f>
        <v/>
      </c>
      <c r="JJ26" s="49">
        <f>IF('Timeline'!JJ$43=1,IF(PermActual360=1,PermRate*JJ$25/360,PermRate/12),0)</f>
        <v/>
      </c>
      <c r="JK26" s="49">
        <f>IF('Timeline'!JK$43=1,IF(PermActual360=1,PermRate*JK$25/360,PermRate/12),0)</f>
        <v/>
      </c>
      <c r="JL26" s="49">
        <f>IF('Timeline'!JL$43=1,IF(PermActual360=1,PermRate*JL$25/360,PermRate/12),0)</f>
        <v/>
      </c>
      <c r="JM26" s="49">
        <f>IF('Timeline'!JM$43=1,IF(PermActual360=1,PermRate*JM$25/360,PermRate/12),0)</f>
        <v/>
      </c>
      <c r="JN26" s="49">
        <f>IF('Timeline'!JN$43=1,IF(PermActual360=1,PermRate*JN$25/360,PermRate/12),0)</f>
        <v/>
      </c>
      <c r="JO26" s="49">
        <f>IF('Timeline'!JO$43=1,IF(PermActual360=1,PermRate*JO$25/360,PermRate/12),0)</f>
        <v/>
      </c>
      <c r="JP26" s="49">
        <f>IF('Timeline'!JP$43=1,IF(PermActual360=1,PermRate*JP$25/360,PermRate/12),0)</f>
        <v/>
      </c>
      <c r="JQ26" s="49">
        <f>IF('Timeline'!JQ$43=1,IF(PermActual360=1,PermRate*JQ$25/360,PermRate/12),0)</f>
        <v/>
      </c>
      <c r="JR26" s="49">
        <f>IF('Timeline'!JR$43=1,IF(PermActual360=1,PermRate*JR$25/360,PermRate/12),0)</f>
        <v/>
      </c>
      <c r="JS26" s="49">
        <f>IF('Timeline'!JS$43=1,IF(PermActual360=1,PermRate*JS$25/360,PermRate/12),0)</f>
        <v/>
      </c>
      <c r="JT26" s="49">
        <f>IF('Timeline'!JT$43=1,IF(PermActual360=1,PermRate*JT$25/360,PermRate/12),0)</f>
        <v/>
      </c>
      <c r="JU26" s="49">
        <f>IF('Timeline'!JU$43=1,IF(PermActual360=1,PermRate*JU$25/360,PermRate/12),0)</f>
        <v/>
      </c>
      <c r="JV26" s="49">
        <f>IF('Timeline'!JV$43=1,IF(PermActual360=1,PermRate*JV$25/360,PermRate/12),0)</f>
        <v/>
      </c>
      <c r="JW26" s="49">
        <f>IF('Timeline'!JW$43=1,IF(PermActual360=1,PermRate*JW$25/360,PermRate/12),0)</f>
        <v/>
      </c>
      <c r="JX26" s="49">
        <f>IF('Timeline'!JX$43=1,IF(PermActual360=1,PermRate*JX$25/360,PermRate/12),0)</f>
        <v/>
      </c>
      <c r="JY26" s="49">
        <f>IF('Timeline'!JY$43=1,IF(PermActual360=1,PermRate*JY$25/360,PermRate/12),0)</f>
        <v/>
      </c>
      <c r="JZ26" s="49">
        <f>IF('Timeline'!JZ$43=1,IF(PermActual360=1,PermRate*JZ$25/360,PermRate/12),0)</f>
        <v/>
      </c>
      <c r="KA26" s="49">
        <f>IF('Timeline'!KA$43=1,IF(PermActual360=1,PermRate*KA$25/360,PermRate/12),0)</f>
        <v/>
      </c>
      <c r="KB26" s="49">
        <f>IF('Timeline'!KB$43=1,IF(PermActual360=1,PermRate*KB$25/360,PermRate/12),0)</f>
        <v/>
      </c>
      <c r="KC26" s="49">
        <f>IF('Timeline'!KC$43=1,IF(PermActual360=1,PermRate*KC$25/360,PermRate/12),0)</f>
        <v/>
      </c>
      <c r="KD26" s="49">
        <f>IF('Timeline'!KD$43=1,IF(PermActual360=1,PermRate*KD$25/360,PermRate/12),0)</f>
        <v/>
      </c>
      <c r="KE26" s="49">
        <f>IF('Timeline'!KE$43=1,IF(PermActual360=1,PermRate*KE$25/360,PermRate/12),0)</f>
        <v/>
      </c>
      <c r="KF26" s="49">
        <f>IF('Timeline'!KF$43=1,IF(PermActual360=1,PermRate*KF$25/360,PermRate/12),0)</f>
        <v/>
      </c>
      <c r="KG26" s="49">
        <f>IF('Timeline'!KG$43=1,IF(PermActual360=1,PermRate*KG$25/360,PermRate/12),0)</f>
        <v/>
      </c>
      <c r="KH26" s="49">
        <f>IF('Timeline'!KH$43=1,IF(PermActual360=1,PermRate*KH$25/360,PermRate/12),0)</f>
        <v/>
      </c>
      <c r="KI26" s="49">
        <f>IF('Timeline'!KI$43=1,IF(PermActual360=1,PermRate*KI$25/360,PermRate/12),0)</f>
        <v/>
      </c>
      <c r="KJ26" s="49">
        <f>IF('Timeline'!KJ$43=1,IF(PermActual360=1,PermRate*KJ$25/360,PermRate/12),0)</f>
        <v/>
      </c>
      <c r="KK26" s="49">
        <f>IF('Timeline'!KK$43=1,IF(PermActual360=1,PermRate*KK$25/360,PermRate/12),0)</f>
        <v/>
      </c>
      <c r="KL26" s="49">
        <f>IF('Timeline'!KL$43=1,IF(PermActual360=1,PermRate*KL$25/360,PermRate/12),0)</f>
        <v/>
      </c>
      <c r="KM26" s="49">
        <f>IF('Timeline'!KM$43=1,IF(PermActual360=1,PermRate*KM$25/360,PermRate/12),0)</f>
        <v/>
      </c>
      <c r="KN26" s="49">
        <f>IF('Timeline'!KN$43=1,IF(PermActual360=1,PermRate*KN$25/360,PermRate/12),0)</f>
        <v/>
      </c>
      <c r="KO26" s="49">
        <f>IF('Timeline'!KO$43=1,IF(PermActual360=1,PermRate*KO$25/360,PermRate/12),0)</f>
        <v/>
      </c>
      <c r="KP26" s="49">
        <f>IF('Timeline'!KP$43=1,IF(PermActual360=1,PermRate*KP$25/360,PermRate/12),0)</f>
        <v/>
      </c>
      <c r="KQ26" s="49">
        <f>IF('Timeline'!KQ$43=1,IF(PermActual360=1,PermRate*KQ$25/360,PermRate/12),0)</f>
        <v/>
      </c>
      <c r="KR26" s="49">
        <f>IF('Timeline'!KR$43=1,IF(PermActual360=1,PermRate*KR$25/360,PermRate/12),0)</f>
        <v/>
      </c>
      <c r="KS26" s="49">
        <f>IF('Timeline'!KS$43=1,IF(PermActual360=1,PermRate*KS$25/360,PermRate/12),0)</f>
        <v/>
      </c>
      <c r="KT26" s="49">
        <f>IF('Timeline'!KT$43=1,IF(PermActual360=1,PermRate*KT$25/360,PermRate/12),0)</f>
        <v/>
      </c>
      <c r="KU26" s="49">
        <f>IF('Timeline'!KU$43=1,IF(PermActual360=1,PermRate*KU$25/360,PermRate/12),0)</f>
        <v/>
      </c>
      <c r="KV26" s="49">
        <f>IF('Timeline'!KV$43=1,IF(PermActual360=1,PermRate*KV$25/360,PermRate/12),0)</f>
        <v/>
      </c>
      <c r="KW26" s="49">
        <f>IF('Timeline'!KW$43=1,IF(PermActual360=1,PermRate*KW$25/360,PermRate/12),0)</f>
        <v/>
      </c>
      <c r="KX26" s="49">
        <f>IF('Timeline'!KX$43=1,IF(PermActual360=1,PermRate*KX$25/360,PermRate/12),0)</f>
        <v/>
      </c>
      <c r="KY26" s="49">
        <f>IF('Timeline'!KY$43=1,IF(PermActual360=1,PermRate*KY$25/360,PermRate/12),0)</f>
        <v/>
      </c>
      <c r="KZ26" s="49">
        <f>IF('Timeline'!KZ$43=1,IF(PermActual360=1,PermRate*KZ$25/360,PermRate/12),0)</f>
        <v/>
      </c>
      <c r="LA26" s="49">
        <f>IF('Timeline'!LA$43=1,IF(PermActual360=1,PermRate*LA$25/360,PermRate/12),0)</f>
        <v/>
      </c>
      <c r="LB26" s="49">
        <f>IF('Timeline'!LB$43=1,IF(PermActual360=1,PermRate*LB$25/360,PermRate/12),0)</f>
        <v/>
      </c>
      <c r="LC26" s="49">
        <f>IF('Timeline'!LC$43=1,IF(PermActual360=1,PermRate*LC$25/360,PermRate/12),0)</f>
        <v/>
      </c>
      <c r="LD26" s="49">
        <f>IF('Timeline'!LD$43=1,IF(PermActual360=1,PermRate*LD$25/360,PermRate/12),0)</f>
        <v/>
      </c>
      <c r="LE26" s="49">
        <f>IF('Timeline'!LE$43=1,IF(PermActual360=1,PermRate*LE$25/360,PermRate/12),0)</f>
        <v/>
      </c>
      <c r="LF26" s="49">
        <f>IF('Timeline'!LF$43=1,IF(PermActual360=1,PermRate*LF$25/360,PermRate/12),0)</f>
        <v/>
      </c>
      <c r="LG26" s="49">
        <f>IF('Timeline'!LG$43=1,IF(PermActual360=1,PermRate*LG$25/360,PermRate/12),0)</f>
        <v/>
      </c>
      <c r="LH26" s="49">
        <f>IF('Timeline'!LH$43=1,IF(PermActual360=1,PermRate*LH$25/360,PermRate/12),0)</f>
        <v/>
      </c>
      <c r="LI26" s="49">
        <f>IF('Timeline'!LI$43=1,IF(PermActual360=1,PermRate*LI$25/360,PermRate/12),0)</f>
        <v/>
      </c>
      <c r="LJ26" s="49">
        <f>IF('Timeline'!LJ$43=1,IF(PermActual360=1,PermRate*LJ$25/360,PermRate/12),0)</f>
        <v/>
      </c>
      <c r="LK26" s="49">
        <f>IF('Timeline'!LK$43=1,IF(PermActual360=1,PermRate*LK$25/360,PermRate/12),0)</f>
        <v/>
      </c>
      <c r="LL26" s="49">
        <f>IF('Timeline'!LL$43=1,IF(PermActual360=1,PermRate*LL$25/360,PermRate/12),0)</f>
        <v/>
      </c>
      <c r="LM26" s="49">
        <f>IF('Timeline'!LM$43=1,IF(PermActual360=1,PermRate*LM$25/360,PermRate/12),0)</f>
        <v/>
      </c>
      <c r="LN26" s="49">
        <f>IF('Timeline'!LN$43=1,IF(PermActual360=1,PermRate*LN$25/360,PermRate/12),0)</f>
        <v/>
      </c>
      <c r="LO26" s="49">
        <f>IF('Timeline'!LO$43=1,IF(PermActual360=1,PermRate*LO$25/360,PermRate/12),0)</f>
        <v/>
      </c>
      <c r="LP26" s="49">
        <f>IF('Timeline'!LP$43=1,IF(PermActual360=1,PermRate*LP$25/360,PermRate/12),0)</f>
        <v/>
      </c>
      <c r="LQ26" s="49">
        <f>IF('Timeline'!LQ$43=1,IF(PermActual360=1,PermRate*LQ$25/360,PermRate/12),0)</f>
        <v/>
      </c>
      <c r="LR26" s="49">
        <f>IF('Timeline'!LR$43=1,IF(PermActual360=1,PermRate*LR$25/360,PermRate/12),0)</f>
        <v/>
      </c>
      <c r="LS26" s="49">
        <f>IF('Timeline'!LS$43=1,IF(PermActual360=1,PermRate*LS$25/360,PermRate/12),0)</f>
        <v/>
      </c>
      <c r="LT26" s="49">
        <f>IF('Timeline'!LT$43=1,IF(PermActual360=1,PermRate*LT$25/360,PermRate/12),0)</f>
        <v/>
      </c>
      <c r="LU26" s="49">
        <f>IF('Timeline'!LU$43=1,IF(PermActual360=1,PermRate*LU$25/360,PermRate/12),0)</f>
        <v/>
      </c>
      <c r="LV26" s="49">
        <f>IF('Timeline'!LV$43=1,IF(PermActual360=1,PermRate*LV$25/360,PermRate/12),0)</f>
        <v/>
      </c>
      <c r="LW26" s="49">
        <f>IF('Timeline'!LW$43=1,IF(PermActual360=1,PermRate*LW$25/360,PermRate/12),0)</f>
        <v/>
      </c>
      <c r="LX26" s="49">
        <f>IF('Timeline'!LX$43=1,IF(PermActual360=1,PermRate*LX$25/360,PermRate/12),0)</f>
        <v/>
      </c>
      <c r="LY26" s="49">
        <f>IF('Timeline'!LY$43=1,IF(PermActual360=1,PermRate*LY$25/360,PermRate/12),0)</f>
        <v/>
      </c>
      <c r="LZ26" s="49">
        <f>IF('Timeline'!LZ$43=1,IF(PermActual360=1,PermRate*LZ$25/360,PermRate/12),0)</f>
        <v/>
      </c>
      <c r="MA26" s="49">
        <f>IF('Timeline'!MA$43=1,IF(PermActual360=1,PermRate*MA$25/360,PermRate/12),0)</f>
        <v/>
      </c>
      <c r="MB26" s="49">
        <f>IF('Timeline'!MB$43=1,IF(PermActual360=1,PermRate*MB$25/360,PermRate/12),0)</f>
        <v/>
      </c>
      <c r="MC26" s="49">
        <f>IF('Timeline'!MC$43=1,IF(PermActual360=1,PermRate*MC$25/360,PermRate/12),0)</f>
        <v/>
      </c>
      <c r="MD26" s="49">
        <f>IF('Timeline'!MD$43=1,IF(PermActual360=1,PermRate*MD$25/360,PermRate/12),0)</f>
        <v/>
      </c>
      <c r="ME26" s="49">
        <f>IF('Timeline'!ME$43=1,IF(PermActual360=1,PermRate*ME$25/360,PermRate/12),0)</f>
        <v/>
      </c>
      <c r="MF26" s="49">
        <f>IF('Timeline'!MF$43=1,IF(PermActual360=1,PermRate*MF$25/360,PermRate/12),0)</f>
        <v/>
      </c>
      <c r="MG26" s="49">
        <f>IF('Timeline'!MG$43=1,IF(PermActual360=1,PermRate*MG$25/360,PermRate/12),0)</f>
        <v/>
      </c>
      <c r="MH26" s="49">
        <f>IF('Timeline'!MH$43=1,IF(PermActual360=1,PermRate*MH$25/360,PermRate/12),0)</f>
        <v/>
      </c>
      <c r="MI26" s="49">
        <f>IF('Timeline'!MI$43=1,IF(PermActual360=1,PermRate*MI$25/360,PermRate/12),0)</f>
        <v/>
      </c>
      <c r="MJ26" s="49">
        <f>IF('Timeline'!MJ$43=1,IF(PermActual360=1,PermRate*MJ$25/360,PermRate/12),0)</f>
        <v/>
      </c>
      <c r="MK26" s="49">
        <f>IF('Timeline'!MK$43=1,IF(PermActual360=1,PermRate*MK$25/360,PermRate/12),0)</f>
        <v/>
      </c>
      <c r="ML26" s="49">
        <f>IF('Timeline'!ML$43=1,IF(PermActual360=1,PermRate*ML$25/360,PermRate/12),0)</f>
        <v/>
      </c>
      <c r="MM26" s="49">
        <f>IF('Timeline'!MM$43=1,IF(PermActual360=1,PermRate*MM$25/360,PermRate/12),0)</f>
        <v/>
      </c>
      <c r="MN26" s="49">
        <f>IF('Timeline'!MN$43=1,IF(PermActual360=1,PermRate*MN$25/360,PermRate/12),0)</f>
        <v/>
      </c>
      <c r="MO26" s="49">
        <f>IF('Timeline'!MO$43=1,IF(PermActual360=1,PermRate*MO$25/360,PermRate/12),0)</f>
        <v/>
      </c>
      <c r="MP26" s="49">
        <f>IF('Timeline'!MP$43=1,IF(PermActual360=1,PermRate*MP$25/360,PermRate/12),0)</f>
        <v/>
      </c>
      <c r="MQ26" s="49">
        <f>IF('Timeline'!MQ$43=1,IF(PermActual360=1,PermRate*MQ$25/360,PermRate/12),0)</f>
        <v/>
      </c>
      <c r="MR26" s="49">
        <f>IF('Timeline'!MR$43=1,IF(PermActual360=1,PermRate*MR$25/360,PermRate/12),0)</f>
        <v/>
      </c>
      <c r="MS26" s="49">
        <f>IF('Timeline'!MS$43=1,IF(PermActual360=1,PermRate*MS$25/360,PermRate/12),0)</f>
        <v/>
      </c>
      <c r="MT26" s="49">
        <f>IF('Timeline'!MT$43=1,IF(PermActual360=1,PermRate*MT$25/360,PermRate/12),0)</f>
        <v/>
      </c>
      <c r="MU26" s="49">
        <f>IF('Timeline'!MU$43=1,IF(PermActual360=1,PermRate*MU$25/360,PermRate/12),0)</f>
        <v/>
      </c>
      <c r="MV26" s="49">
        <f>IF('Timeline'!MV$43=1,IF(PermActual360=1,PermRate*MV$25/360,PermRate/12),0)</f>
        <v/>
      </c>
      <c r="MW26" s="49">
        <f>IF('Timeline'!MW$43=1,IF(PermActual360=1,PermRate*MW$25/360,PermRate/12),0)</f>
        <v/>
      </c>
      <c r="MX26" s="49">
        <f>IF('Timeline'!MX$43=1,IF(PermActual360=1,PermRate*MX$25/360,PermRate/12),0)</f>
        <v/>
      </c>
      <c r="MY26" s="49">
        <f>IF('Timeline'!MY$43=1,IF(PermActual360=1,PermRate*MY$25/360,PermRate/12),0)</f>
        <v/>
      </c>
      <c r="MZ26" s="49">
        <f>IF('Timeline'!MZ$43=1,IF(PermActual360=1,PermRate*MZ$25/360,PermRate/12),0)</f>
        <v/>
      </c>
      <c r="NA26" s="49">
        <f>IF('Timeline'!NA$43=1,IF(PermActual360=1,PermRate*NA$25/360,PermRate/12),0)</f>
        <v/>
      </c>
      <c r="NB26" s="49">
        <f>IF('Timeline'!NB$43=1,IF(PermActual360=1,PermRate*NB$25/360,PermRate/12),0)</f>
        <v/>
      </c>
      <c r="NC26" s="49">
        <f>IF('Timeline'!NC$43=1,IF(PermActual360=1,PermRate*NC$25/360,PermRate/12),0)</f>
        <v/>
      </c>
      <c r="ND26" s="49">
        <f>IF('Timeline'!ND$43=1,IF(PermActual360=1,PermRate*ND$25/360,PermRate/12),0)</f>
        <v/>
      </c>
      <c r="NE26" s="49">
        <f>IF('Timeline'!NE$43=1,IF(PermActual360=1,PermRate*NE$25/360,PermRate/12),0)</f>
        <v/>
      </c>
      <c r="NF26" s="49">
        <f>IF('Timeline'!NF$43=1,IF(PermActual360=1,PermRate*NF$25/360,PermRate/12),0)</f>
        <v/>
      </c>
      <c r="NG26" s="49">
        <f>IF('Timeline'!NG$43=1,IF(PermActual360=1,PermRate*NG$25/360,PermRate/12),0)</f>
        <v/>
      </c>
      <c r="NH26" s="49">
        <f>IF('Timeline'!NH$43=1,IF(PermActual360=1,PermRate*NH$25/360,PermRate/12),0)</f>
        <v/>
      </c>
      <c r="NI26" s="49">
        <f>IF('Timeline'!NI$43=1,IF(PermActual360=1,PermRate*NI$25/360,PermRate/12),0)</f>
        <v/>
      </c>
      <c r="NJ26" s="49">
        <f>IF('Timeline'!NJ$43=1,IF(PermActual360=1,PermRate*NJ$25/360,PermRate/12),0)</f>
        <v/>
      </c>
      <c r="NK26" s="49">
        <f>IF('Timeline'!NK$43=1,IF(PermActual360=1,PermRate*NK$25/360,PermRate/12),0)</f>
        <v/>
      </c>
    </row>
    <row r="27">
      <c r="A27" s="5" t="inlineStr">
        <is>
          <t>Interest</t>
        </is>
      </c>
      <c r="C27" s="41">
        <f>SUM(D27:NK27)</f>
        <v/>
      </c>
      <c r="D27" s="18">
        <f>D$26*(0)</f>
        <v/>
      </c>
      <c r="E27" s="18">
        <f>E$26*(D$30)</f>
        <v/>
      </c>
      <c r="F27" s="18">
        <f>F$26*(E$30)</f>
        <v/>
      </c>
      <c r="G27" s="18">
        <f>G$26*(F$30)</f>
        <v/>
      </c>
      <c r="H27" s="18">
        <f>H$26*(G$30)</f>
        <v/>
      </c>
      <c r="I27" s="18">
        <f>I$26*(H$30)</f>
        <v/>
      </c>
      <c r="J27" s="18">
        <f>J$26*(I$30)</f>
        <v/>
      </c>
      <c r="K27" s="18">
        <f>K$26*(J$30)</f>
        <v/>
      </c>
      <c r="L27" s="18">
        <f>L$26*(K$30)</f>
        <v/>
      </c>
      <c r="M27" s="18">
        <f>M$26*(L$30)</f>
        <v/>
      </c>
      <c r="N27" s="18">
        <f>N$26*(M$30)</f>
        <v/>
      </c>
      <c r="O27" s="18">
        <f>O$26*(N$30)</f>
        <v/>
      </c>
      <c r="P27" s="18">
        <f>P$26*(O$30)</f>
        <v/>
      </c>
      <c r="Q27" s="18">
        <f>Q$26*(P$30)</f>
        <v/>
      </c>
      <c r="R27" s="18">
        <f>R$26*(Q$30)</f>
        <v/>
      </c>
      <c r="S27" s="18">
        <f>S$26*(R$30)</f>
        <v/>
      </c>
      <c r="T27" s="18">
        <f>T$26*(S$30)</f>
        <v/>
      </c>
      <c r="U27" s="18">
        <f>U$26*(T$30)</f>
        <v/>
      </c>
      <c r="V27" s="18">
        <f>V$26*(U$30)</f>
        <v/>
      </c>
      <c r="W27" s="18">
        <f>W$26*(V$30)</f>
        <v/>
      </c>
      <c r="X27" s="18">
        <f>X$26*(W$30)</f>
        <v/>
      </c>
      <c r="Y27" s="18">
        <f>Y$26*(X$30)</f>
        <v/>
      </c>
      <c r="Z27" s="18">
        <f>Z$26*(Y$30)</f>
        <v/>
      </c>
      <c r="AA27" s="18">
        <f>AA$26*(Z$30)</f>
        <v/>
      </c>
      <c r="AB27" s="18">
        <f>AB$26*(AA$30)</f>
        <v/>
      </c>
      <c r="AC27" s="18">
        <f>AC$26*(AB$30)</f>
        <v/>
      </c>
      <c r="AD27" s="18">
        <f>AD$26*(AC$30)</f>
        <v/>
      </c>
      <c r="AE27" s="18">
        <f>AE$26*(AD$30)</f>
        <v/>
      </c>
      <c r="AF27" s="18">
        <f>AF$26*(AE$30)</f>
        <v/>
      </c>
      <c r="AG27" s="18">
        <f>AG$26*(AF$30)</f>
        <v/>
      </c>
      <c r="AH27" s="18">
        <f>AH$26*(AG$30)</f>
        <v/>
      </c>
      <c r="AI27" s="18">
        <f>AI$26*(AH$30)</f>
        <v/>
      </c>
      <c r="AJ27" s="18">
        <f>AJ$26*(AI$30)</f>
        <v/>
      </c>
      <c r="AK27" s="18">
        <f>AK$26*(AJ$30)</f>
        <v/>
      </c>
      <c r="AL27" s="18">
        <f>AL$26*(AK$30)</f>
        <v/>
      </c>
      <c r="AM27" s="18">
        <f>AM$26*(AL$30)</f>
        <v/>
      </c>
      <c r="AN27" s="18">
        <f>AN$26*(AM$30)</f>
        <v/>
      </c>
      <c r="AO27" s="18">
        <f>AO$26*(AN$30)</f>
        <v/>
      </c>
      <c r="AP27" s="18">
        <f>AP$26*(AO$30)</f>
        <v/>
      </c>
      <c r="AQ27" s="18">
        <f>AQ$26*(AP$30)</f>
        <v/>
      </c>
      <c r="AR27" s="18">
        <f>AR$26*(AQ$30)</f>
        <v/>
      </c>
      <c r="AS27" s="18">
        <f>AS$26*(AR$30)</f>
        <v/>
      </c>
      <c r="AT27" s="18">
        <f>AT$26*(AS$30)</f>
        <v/>
      </c>
      <c r="AU27" s="18">
        <f>AU$26*(AT$30)</f>
        <v/>
      </c>
      <c r="AV27" s="18">
        <f>AV$26*(AU$30)</f>
        <v/>
      </c>
      <c r="AW27" s="18">
        <f>AW$26*(AV$30)</f>
        <v/>
      </c>
      <c r="AX27" s="18">
        <f>AX$26*(AW$30)</f>
        <v/>
      </c>
      <c r="AY27" s="18">
        <f>AY$26*(AX$30)</f>
        <v/>
      </c>
      <c r="AZ27" s="18">
        <f>AZ$26*(AY$30)</f>
        <v/>
      </c>
      <c r="BA27" s="18">
        <f>BA$26*(AZ$30)</f>
        <v/>
      </c>
      <c r="BB27" s="18">
        <f>BB$26*(BA$30)</f>
        <v/>
      </c>
      <c r="BC27" s="18">
        <f>BC$26*(BB$30)</f>
        <v/>
      </c>
      <c r="BD27" s="18">
        <f>BD$26*(BC$30)</f>
        <v/>
      </c>
      <c r="BE27" s="18">
        <f>BE$26*(BD$30)</f>
        <v/>
      </c>
      <c r="BF27" s="18">
        <f>BF$26*(BE$30)</f>
        <v/>
      </c>
      <c r="BG27" s="18">
        <f>BG$26*(BF$30)</f>
        <v/>
      </c>
      <c r="BH27" s="18">
        <f>BH$26*(BG$30)</f>
        <v/>
      </c>
      <c r="BI27" s="18">
        <f>BI$26*(BH$30)</f>
        <v/>
      </c>
      <c r="BJ27" s="18">
        <f>BJ$26*(BI$30)</f>
        <v/>
      </c>
      <c r="BK27" s="18">
        <f>BK$26*(BJ$30)</f>
        <v/>
      </c>
      <c r="BL27" s="18">
        <f>BL$26*(BK$30)</f>
        <v/>
      </c>
      <c r="BM27" s="18">
        <f>BM$26*(BL$30)</f>
        <v/>
      </c>
      <c r="BN27" s="18">
        <f>BN$26*(BM$30)</f>
        <v/>
      </c>
      <c r="BO27" s="18">
        <f>BO$26*(BN$30)</f>
        <v/>
      </c>
      <c r="BP27" s="18">
        <f>BP$26*(BO$30)</f>
        <v/>
      </c>
      <c r="BQ27" s="18">
        <f>BQ$26*(BP$30)</f>
        <v/>
      </c>
      <c r="BR27" s="18">
        <f>BR$26*(BQ$30)</f>
        <v/>
      </c>
      <c r="BS27" s="18">
        <f>BS$26*(BR$30)</f>
        <v/>
      </c>
      <c r="BT27" s="18">
        <f>BT$26*(BS$30)</f>
        <v/>
      </c>
      <c r="BU27" s="18">
        <f>BU$26*(BT$30)</f>
        <v/>
      </c>
      <c r="BV27" s="18">
        <f>BV$26*(BU$30)</f>
        <v/>
      </c>
      <c r="BW27" s="18">
        <f>BW$26*(BV$30)</f>
        <v/>
      </c>
      <c r="BX27" s="18">
        <f>BX$26*(BW$30)</f>
        <v/>
      </c>
      <c r="BY27" s="18">
        <f>BY$26*(BX$30)</f>
        <v/>
      </c>
      <c r="BZ27" s="18">
        <f>BZ$26*(BY$30)</f>
        <v/>
      </c>
      <c r="CA27" s="18">
        <f>CA$26*(BZ$30)</f>
        <v/>
      </c>
      <c r="CB27" s="18">
        <f>CB$26*(CA$30)</f>
        <v/>
      </c>
      <c r="CC27" s="18">
        <f>CC$26*(CB$30)</f>
        <v/>
      </c>
      <c r="CD27" s="18">
        <f>CD$26*(CC$30)</f>
        <v/>
      </c>
      <c r="CE27" s="18">
        <f>CE$26*(CD$30)</f>
        <v/>
      </c>
      <c r="CF27" s="18">
        <f>CF$26*(CE$30)</f>
        <v/>
      </c>
      <c r="CG27" s="18">
        <f>CG$26*(CF$30)</f>
        <v/>
      </c>
      <c r="CH27" s="18">
        <f>CH$26*(CG$30)</f>
        <v/>
      </c>
      <c r="CI27" s="18">
        <f>CI$26*(CH$30)</f>
        <v/>
      </c>
      <c r="CJ27" s="18">
        <f>CJ$26*(CI$30)</f>
        <v/>
      </c>
      <c r="CK27" s="18">
        <f>CK$26*(CJ$30)</f>
        <v/>
      </c>
      <c r="CL27" s="18">
        <f>CL$26*(CK$30)</f>
        <v/>
      </c>
      <c r="CM27" s="18">
        <f>CM$26*(CL$30)</f>
        <v/>
      </c>
      <c r="CN27" s="18">
        <f>CN$26*(CM$30)</f>
        <v/>
      </c>
      <c r="CO27" s="18">
        <f>CO$26*(CN$30)</f>
        <v/>
      </c>
      <c r="CP27" s="18">
        <f>CP$26*(CO$30)</f>
        <v/>
      </c>
      <c r="CQ27" s="18">
        <f>CQ$26*(CP$30)</f>
        <v/>
      </c>
      <c r="CR27" s="18">
        <f>CR$26*(CQ$30)</f>
        <v/>
      </c>
      <c r="CS27" s="18">
        <f>CS$26*(CR$30)</f>
        <v/>
      </c>
      <c r="CT27" s="18">
        <f>CT$26*(CS$30)</f>
        <v/>
      </c>
      <c r="CU27" s="18">
        <f>CU$26*(CT$30)</f>
        <v/>
      </c>
      <c r="CV27" s="18">
        <f>CV$26*(CU$30)</f>
        <v/>
      </c>
      <c r="CW27" s="18">
        <f>CW$26*(CV$30)</f>
        <v/>
      </c>
      <c r="CX27" s="18">
        <f>CX$26*(CW$30)</f>
        <v/>
      </c>
      <c r="CY27" s="18">
        <f>CY$26*(CX$30)</f>
        <v/>
      </c>
      <c r="CZ27" s="18">
        <f>CZ$26*(CY$30)</f>
        <v/>
      </c>
      <c r="DA27" s="18">
        <f>DA$26*(CZ$30)</f>
        <v/>
      </c>
      <c r="DB27" s="18">
        <f>DB$26*(DA$30)</f>
        <v/>
      </c>
      <c r="DC27" s="18">
        <f>DC$26*(DB$30)</f>
        <v/>
      </c>
      <c r="DD27" s="18">
        <f>DD$26*(DC$30)</f>
        <v/>
      </c>
      <c r="DE27" s="18">
        <f>DE$26*(DD$30)</f>
        <v/>
      </c>
      <c r="DF27" s="18">
        <f>DF$26*(DE$30)</f>
        <v/>
      </c>
      <c r="DG27" s="18">
        <f>DG$26*(DF$30)</f>
        <v/>
      </c>
      <c r="DH27" s="18">
        <f>DH$26*(DG$30)</f>
        <v/>
      </c>
      <c r="DI27" s="18">
        <f>DI$26*(DH$30)</f>
        <v/>
      </c>
      <c r="DJ27" s="18">
        <f>DJ$26*(DI$30)</f>
        <v/>
      </c>
      <c r="DK27" s="18">
        <f>DK$26*(DJ$30)</f>
        <v/>
      </c>
      <c r="DL27" s="18">
        <f>DL$26*(DK$30)</f>
        <v/>
      </c>
      <c r="DM27" s="18">
        <f>DM$26*(DL$30)</f>
        <v/>
      </c>
      <c r="DN27" s="18">
        <f>DN$26*(DM$30)</f>
        <v/>
      </c>
      <c r="DO27" s="18">
        <f>DO$26*(DN$30)</f>
        <v/>
      </c>
      <c r="DP27" s="18">
        <f>DP$26*(DO$30)</f>
        <v/>
      </c>
      <c r="DQ27" s="18">
        <f>DQ$26*(DP$30)</f>
        <v/>
      </c>
      <c r="DR27" s="18">
        <f>DR$26*(DQ$30)</f>
        <v/>
      </c>
      <c r="DS27" s="18">
        <f>DS$26*(DR$30)</f>
        <v/>
      </c>
      <c r="DT27" s="18">
        <f>DT$26*(DS$30)</f>
        <v/>
      </c>
      <c r="DU27" s="18">
        <f>DU$26*(DT$30)</f>
        <v/>
      </c>
      <c r="DV27" s="18">
        <f>DV$26*(DU$30)</f>
        <v/>
      </c>
      <c r="DW27" s="18">
        <f>DW$26*(DV$30)</f>
        <v/>
      </c>
      <c r="DX27" s="18">
        <f>DX$26*(DW$30)</f>
        <v/>
      </c>
      <c r="DY27" s="18">
        <f>DY$26*(DX$30)</f>
        <v/>
      </c>
      <c r="DZ27" s="18">
        <f>DZ$26*(DY$30)</f>
        <v/>
      </c>
      <c r="EA27" s="18">
        <f>EA$26*(DZ$30)</f>
        <v/>
      </c>
      <c r="EB27" s="18">
        <f>EB$26*(EA$30)</f>
        <v/>
      </c>
      <c r="EC27" s="18">
        <f>EC$26*(EB$30)</f>
        <v/>
      </c>
      <c r="ED27" s="18">
        <f>ED$26*(EC$30)</f>
        <v/>
      </c>
      <c r="EE27" s="18">
        <f>EE$26*(ED$30)</f>
        <v/>
      </c>
      <c r="EF27" s="18">
        <f>EF$26*(EE$30)</f>
        <v/>
      </c>
      <c r="EG27" s="18">
        <f>EG$26*(EF$30)</f>
        <v/>
      </c>
      <c r="EH27" s="18">
        <f>EH$26*(EG$30)</f>
        <v/>
      </c>
      <c r="EI27" s="18">
        <f>EI$26*(EH$30)</f>
        <v/>
      </c>
      <c r="EJ27" s="18">
        <f>EJ$26*(EI$30)</f>
        <v/>
      </c>
      <c r="EK27" s="18">
        <f>EK$26*(EJ$30)</f>
        <v/>
      </c>
      <c r="EL27" s="18">
        <f>EL$26*(EK$30)</f>
        <v/>
      </c>
      <c r="EM27" s="18">
        <f>EM$26*(EL$30)</f>
        <v/>
      </c>
      <c r="EN27" s="18">
        <f>EN$26*(EM$30)</f>
        <v/>
      </c>
      <c r="EO27" s="18">
        <f>EO$26*(EN$30)</f>
        <v/>
      </c>
      <c r="EP27" s="18">
        <f>EP$26*(EO$30)</f>
        <v/>
      </c>
      <c r="EQ27" s="18">
        <f>EQ$26*(EP$30)</f>
        <v/>
      </c>
      <c r="ER27" s="18">
        <f>ER$26*(EQ$30)</f>
        <v/>
      </c>
      <c r="ES27" s="18">
        <f>ES$26*(ER$30)</f>
        <v/>
      </c>
      <c r="ET27" s="18">
        <f>ET$26*(ES$30)</f>
        <v/>
      </c>
      <c r="EU27" s="18">
        <f>EU$26*(ET$30)</f>
        <v/>
      </c>
      <c r="EV27" s="18">
        <f>EV$26*(EU$30)</f>
        <v/>
      </c>
      <c r="EW27" s="18">
        <f>EW$26*(EV$30)</f>
        <v/>
      </c>
      <c r="EX27" s="18">
        <f>EX$26*(EW$30)</f>
        <v/>
      </c>
      <c r="EY27" s="18">
        <f>EY$26*(EX$30)</f>
        <v/>
      </c>
      <c r="EZ27" s="18">
        <f>EZ$26*(EY$30)</f>
        <v/>
      </c>
      <c r="FA27" s="18">
        <f>FA$26*(EZ$30)</f>
        <v/>
      </c>
      <c r="FB27" s="18">
        <f>FB$26*(FA$30)</f>
        <v/>
      </c>
      <c r="FC27" s="18">
        <f>FC$26*(FB$30)</f>
        <v/>
      </c>
      <c r="FD27" s="18">
        <f>FD$26*(FC$30)</f>
        <v/>
      </c>
      <c r="FE27" s="18">
        <f>FE$26*(FD$30)</f>
        <v/>
      </c>
      <c r="FF27" s="18">
        <f>FF$26*(FE$30)</f>
        <v/>
      </c>
      <c r="FG27" s="18">
        <f>FG$26*(FF$30)</f>
        <v/>
      </c>
      <c r="FH27" s="18">
        <f>FH$26*(FG$30)</f>
        <v/>
      </c>
      <c r="FI27" s="18">
        <f>FI$26*(FH$30)</f>
        <v/>
      </c>
      <c r="FJ27" s="18">
        <f>FJ$26*(FI$30)</f>
        <v/>
      </c>
      <c r="FK27" s="18">
        <f>FK$26*(FJ$30)</f>
        <v/>
      </c>
      <c r="FL27" s="18">
        <f>FL$26*(FK$30)</f>
        <v/>
      </c>
      <c r="FM27" s="18">
        <f>FM$26*(FL$30)</f>
        <v/>
      </c>
      <c r="FN27" s="18">
        <f>FN$26*(FM$30)</f>
        <v/>
      </c>
      <c r="FO27" s="18">
        <f>FO$26*(FN$30)</f>
        <v/>
      </c>
      <c r="FP27" s="18">
        <f>FP$26*(FO$30)</f>
        <v/>
      </c>
      <c r="FQ27" s="18">
        <f>FQ$26*(FP$30)</f>
        <v/>
      </c>
      <c r="FR27" s="18">
        <f>FR$26*(FQ$30)</f>
        <v/>
      </c>
      <c r="FS27" s="18">
        <f>FS$26*(FR$30)</f>
        <v/>
      </c>
      <c r="FT27" s="18">
        <f>FT$26*(FS$30)</f>
        <v/>
      </c>
      <c r="FU27" s="18">
        <f>FU$26*(FT$30)</f>
        <v/>
      </c>
      <c r="FV27" s="18">
        <f>FV$26*(FU$30)</f>
        <v/>
      </c>
      <c r="FW27" s="18">
        <f>FW$26*(FV$30)</f>
        <v/>
      </c>
      <c r="FX27" s="18">
        <f>FX$26*(FW$30)</f>
        <v/>
      </c>
      <c r="FY27" s="18">
        <f>FY$26*(FX$30)</f>
        <v/>
      </c>
      <c r="FZ27" s="18">
        <f>FZ$26*(FY$30)</f>
        <v/>
      </c>
      <c r="GA27" s="18">
        <f>GA$26*(FZ$30)</f>
        <v/>
      </c>
      <c r="GB27" s="18">
        <f>GB$26*(GA$30)</f>
        <v/>
      </c>
      <c r="GC27" s="18">
        <f>GC$26*(GB$30)</f>
        <v/>
      </c>
      <c r="GD27" s="18">
        <f>GD$26*(GC$30)</f>
        <v/>
      </c>
      <c r="GE27" s="18">
        <f>GE$26*(GD$30)</f>
        <v/>
      </c>
      <c r="GF27" s="18">
        <f>GF$26*(GE$30)</f>
        <v/>
      </c>
      <c r="GG27" s="18">
        <f>GG$26*(GF$30)</f>
        <v/>
      </c>
      <c r="GH27" s="18">
        <f>GH$26*(GG$30)</f>
        <v/>
      </c>
      <c r="GI27" s="18">
        <f>GI$26*(GH$30)</f>
        <v/>
      </c>
      <c r="GJ27" s="18">
        <f>GJ$26*(GI$30)</f>
        <v/>
      </c>
      <c r="GK27" s="18">
        <f>GK$26*(GJ$30)</f>
        <v/>
      </c>
      <c r="GL27" s="18">
        <f>GL$26*(GK$30)</f>
        <v/>
      </c>
      <c r="GM27" s="18">
        <f>GM$26*(GL$30)</f>
        <v/>
      </c>
      <c r="GN27" s="18">
        <f>GN$26*(GM$30)</f>
        <v/>
      </c>
      <c r="GO27" s="18">
        <f>GO$26*(GN$30)</f>
        <v/>
      </c>
      <c r="GP27" s="18">
        <f>GP$26*(GO$30)</f>
        <v/>
      </c>
      <c r="GQ27" s="18">
        <f>GQ$26*(GP$30)</f>
        <v/>
      </c>
      <c r="GR27" s="18">
        <f>GR$26*(GQ$30)</f>
        <v/>
      </c>
      <c r="GS27" s="18">
        <f>GS$26*(GR$30)</f>
        <v/>
      </c>
      <c r="GT27" s="18">
        <f>GT$26*(GS$30)</f>
        <v/>
      </c>
      <c r="GU27" s="18">
        <f>GU$26*(GT$30)</f>
        <v/>
      </c>
      <c r="GV27" s="18">
        <f>GV$26*(GU$30)</f>
        <v/>
      </c>
      <c r="GW27" s="18">
        <f>GW$26*(GV$30)</f>
        <v/>
      </c>
      <c r="GX27" s="18">
        <f>GX$26*(GW$30)</f>
        <v/>
      </c>
      <c r="GY27" s="18">
        <f>GY$26*(GX$30)</f>
        <v/>
      </c>
      <c r="GZ27" s="18">
        <f>GZ$26*(GY$30)</f>
        <v/>
      </c>
      <c r="HA27" s="18">
        <f>HA$26*(GZ$30)</f>
        <v/>
      </c>
      <c r="HB27" s="18">
        <f>HB$26*(HA$30)</f>
        <v/>
      </c>
      <c r="HC27" s="18">
        <f>HC$26*(HB$30)</f>
        <v/>
      </c>
      <c r="HD27" s="18">
        <f>HD$26*(HC$30)</f>
        <v/>
      </c>
      <c r="HE27" s="18">
        <f>HE$26*(HD$30)</f>
        <v/>
      </c>
      <c r="HF27" s="18">
        <f>HF$26*(HE$30)</f>
        <v/>
      </c>
      <c r="HG27" s="18">
        <f>HG$26*(HF$30)</f>
        <v/>
      </c>
      <c r="HH27" s="18">
        <f>HH$26*(HG$30)</f>
        <v/>
      </c>
      <c r="HI27" s="18">
        <f>HI$26*(HH$30)</f>
        <v/>
      </c>
      <c r="HJ27" s="18">
        <f>HJ$26*(HI$30)</f>
        <v/>
      </c>
      <c r="HK27" s="18">
        <f>HK$26*(HJ$30)</f>
        <v/>
      </c>
      <c r="HL27" s="18">
        <f>HL$26*(HK$30)</f>
        <v/>
      </c>
      <c r="HM27" s="18">
        <f>HM$26*(HL$30)</f>
        <v/>
      </c>
      <c r="HN27" s="18">
        <f>HN$26*(HM$30)</f>
        <v/>
      </c>
      <c r="HO27" s="18">
        <f>HO$26*(HN$30)</f>
        <v/>
      </c>
      <c r="HP27" s="18">
        <f>HP$26*(HO$30)</f>
        <v/>
      </c>
      <c r="HQ27" s="18">
        <f>HQ$26*(HP$30)</f>
        <v/>
      </c>
      <c r="HR27" s="18">
        <f>HR$26*(HQ$30)</f>
        <v/>
      </c>
      <c r="HS27" s="18">
        <f>HS$26*(HR$30)</f>
        <v/>
      </c>
      <c r="HT27" s="18">
        <f>HT$26*(HS$30)</f>
        <v/>
      </c>
      <c r="HU27" s="18">
        <f>HU$26*(HT$30)</f>
        <v/>
      </c>
      <c r="HV27" s="18">
        <f>HV$26*(HU$30)</f>
        <v/>
      </c>
      <c r="HW27" s="18">
        <f>HW$26*(HV$30)</f>
        <v/>
      </c>
      <c r="HX27" s="18">
        <f>HX$26*(HW$30)</f>
        <v/>
      </c>
      <c r="HY27" s="18">
        <f>HY$26*(HX$30)</f>
        <v/>
      </c>
      <c r="HZ27" s="18">
        <f>HZ$26*(HY$30)</f>
        <v/>
      </c>
      <c r="IA27" s="18">
        <f>IA$26*(HZ$30)</f>
        <v/>
      </c>
      <c r="IB27" s="18">
        <f>IB$26*(IA$30)</f>
        <v/>
      </c>
      <c r="IC27" s="18">
        <f>IC$26*(IB$30)</f>
        <v/>
      </c>
      <c r="ID27" s="18">
        <f>ID$26*(IC$30)</f>
        <v/>
      </c>
      <c r="IE27" s="18">
        <f>IE$26*(ID$30)</f>
        <v/>
      </c>
      <c r="IF27" s="18">
        <f>IF$26*(IE$30)</f>
        <v/>
      </c>
      <c r="IG27" s="18">
        <f>IG$26*(IF$30)</f>
        <v/>
      </c>
      <c r="IH27" s="18">
        <f>IH$26*(IG$30)</f>
        <v/>
      </c>
      <c r="II27" s="18">
        <f>II$26*(IH$30)</f>
        <v/>
      </c>
      <c r="IJ27" s="18">
        <f>IJ$26*(II$30)</f>
        <v/>
      </c>
      <c r="IK27" s="18">
        <f>IK$26*(IJ$30)</f>
        <v/>
      </c>
      <c r="IL27" s="18">
        <f>IL$26*(IK$30)</f>
        <v/>
      </c>
      <c r="IM27" s="18">
        <f>IM$26*(IL$30)</f>
        <v/>
      </c>
      <c r="IN27" s="18">
        <f>IN$26*(IM$30)</f>
        <v/>
      </c>
      <c r="IO27" s="18">
        <f>IO$26*(IN$30)</f>
        <v/>
      </c>
      <c r="IP27" s="18">
        <f>IP$26*(IO$30)</f>
        <v/>
      </c>
      <c r="IQ27" s="18">
        <f>IQ$26*(IP$30)</f>
        <v/>
      </c>
      <c r="IR27" s="18">
        <f>IR$26*(IQ$30)</f>
        <v/>
      </c>
      <c r="IS27" s="18">
        <f>IS$26*(IR$30)</f>
        <v/>
      </c>
      <c r="IT27" s="18">
        <f>IT$26*(IS$30)</f>
        <v/>
      </c>
      <c r="IU27" s="18">
        <f>IU$26*(IT$30)</f>
        <v/>
      </c>
      <c r="IV27" s="18">
        <f>IV$26*(IU$30)</f>
        <v/>
      </c>
      <c r="IW27" s="18">
        <f>IW$26*(IV$30)</f>
        <v/>
      </c>
      <c r="IX27" s="18">
        <f>IX$26*(IW$30)</f>
        <v/>
      </c>
      <c r="IY27" s="18">
        <f>IY$26*(IX$30)</f>
        <v/>
      </c>
      <c r="IZ27" s="18">
        <f>IZ$26*(IY$30)</f>
        <v/>
      </c>
      <c r="JA27" s="18">
        <f>JA$26*(IZ$30)</f>
        <v/>
      </c>
      <c r="JB27" s="18">
        <f>JB$26*(JA$30)</f>
        <v/>
      </c>
      <c r="JC27" s="18">
        <f>JC$26*(JB$30)</f>
        <v/>
      </c>
      <c r="JD27" s="18">
        <f>JD$26*(JC$30)</f>
        <v/>
      </c>
      <c r="JE27" s="18">
        <f>JE$26*(JD$30)</f>
        <v/>
      </c>
      <c r="JF27" s="18">
        <f>JF$26*(JE$30)</f>
        <v/>
      </c>
      <c r="JG27" s="18">
        <f>JG$26*(JF$30)</f>
        <v/>
      </c>
      <c r="JH27" s="18">
        <f>JH$26*(JG$30)</f>
        <v/>
      </c>
      <c r="JI27" s="18">
        <f>JI$26*(JH$30)</f>
        <v/>
      </c>
      <c r="JJ27" s="18">
        <f>JJ$26*(JI$30)</f>
        <v/>
      </c>
      <c r="JK27" s="18">
        <f>JK$26*(JJ$30)</f>
        <v/>
      </c>
      <c r="JL27" s="18">
        <f>JL$26*(JK$30)</f>
        <v/>
      </c>
      <c r="JM27" s="18">
        <f>JM$26*(JL$30)</f>
        <v/>
      </c>
      <c r="JN27" s="18">
        <f>JN$26*(JM$30)</f>
        <v/>
      </c>
      <c r="JO27" s="18">
        <f>JO$26*(JN$30)</f>
        <v/>
      </c>
      <c r="JP27" s="18">
        <f>JP$26*(JO$30)</f>
        <v/>
      </c>
      <c r="JQ27" s="18">
        <f>JQ$26*(JP$30)</f>
        <v/>
      </c>
      <c r="JR27" s="18">
        <f>JR$26*(JQ$30)</f>
        <v/>
      </c>
      <c r="JS27" s="18">
        <f>JS$26*(JR$30)</f>
        <v/>
      </c>
      <c r="JT27" s="18">
        <f>JT$26*(JS$30)</f>
        <v/>
      </c>
      <c r="JU27" s="18">
        <f>JU$26*(JT$30)</f>
        <v/>
      </c>
      <c r="JV27" s="18">
        <f>JV$26*(JU$30)</f>
        <v/>
      </c>
      <c r="JW27" s="18">
        <f>JW$26*(JV$30)</f>
        <v/>
      </c>
      <c r="JX27" s="18">
        <f>JX$26*(JW$30)</f>
        <v/>
      </c>
      <c r="JY27" s="18">
        <f>JY$26*(JX$30)</f>
        <v/>
      </c>
      <c r="JZ27" s="18">
        <f>JZ$26*(JY$30)</f>
        <v/>
      </c>
      <c r="KA27" s="18">
        <f>KA$26*(JZ$30)</f>
        <v/>
      </c>
      <c r="KB27" s="18">
        <f>KB$26*(KA$30)</f>
        <v/>
      </c>
      <c r="KC27" s="18">
        <f>KC$26*(KB$30)</f>
        <v/>
      </c>
      <c r="KD27" s="18">
        <f>KD$26*(KC$30)</f>
        <v/>
      </c>
      <c r="KE27" s="18">
        <f>KE$26*(KD$30)</f>
        <v/>
      </c>
      <c r="KF27" s="18">
        <f>KF$26*(KE$30)</f>
        <v/>
      </c>
      <c r="KG27" s="18">
        <f>KG$26*(KF$30)</f>
        <v/>
      </c>
      <c r="KH27" s="18">
        <f>KH$26*(KG$30)</f>
        <v/>
      </c>
      <c r="KI27" s="18">
        <f>KI$26*(KH$30)</f>
        <v/>
      </c>
      <c r="KJ27" s="18">
        <f>KJ$26*(KI$30)</f>
        <v/>
      </c>
      <c r="KK27" s="18">
        <f>KK$26*(KJ$30)</f>
        <v/>
      </c>
      <c r="KL27" s="18">
        <f>KL$26*(KK$30)</f>
        <v/>
      </c>
      <c r="KM27" s="18">
        <f>KM$26*(KL$30)</f>
        <v/>
      </c>
      <c r="KN27" s="18">
        <f>KN$26*(KM$30)</f>
        <v/>
      </c>
      <c r="KO27" s="18">
        <f>KO$26*(KN$30)</f>
        <v/>
      </c>
      <c r="KP27" s="18">
        <f>KP$26*(KO$30)</f>
        <v/>
      </c>
      <c r="KQ27" s="18">
        <f>KQ$26*(KP$30)</f>
        <v/>
      </c>
      <c r="KR27" s="18">
        <f>KR$26*(KQ$30)</f>
        <v/>
      </c>
      <c r="KS27" s="18">
        <f>KS$26*(KR$30)</f>
        <v/>
      </c>
      <c r="KT27" s="18">
        <f>KT$26*(KS$30)</f>
        <v/>
      </c>
      <c r="KU27" s="18">
        <f>KU$26*(KT$30)</f>
        <v/>
      </c>
      <c r="KV27" s="18">
        <f>KV$26*(KU$30)</f>
        <v/>
      </c>
      <c r="KW27" s="18">
        <f>KW$26*(KV$30)</f>
        <v/>
      </c>
      <c r="KX27" s="18">
        <f>KX$26*(KW$30)</f>
        <v/>
      </c>
      <c r="KY27" s="18">
        <f>KY$26*(KX$30)</f>
        <v/>
      </c>
      <c r="KZ27" s="18">
        <f>KZ$26*(KY$30)</f>
        <v/>
      </c>
      <c r="LA27" s="18">
        <f>LA$26*(KZ$30)</f>
        <v/>
      </c>
      <c r="LB27" s="18">
        <f>LB$26*(LA$30)</f>
        <v/>
      </c>
      <c r="LC27" s="18">
        <f>LC$26*(LB$30)</f>
        <v/>
      </c>
      <c r="LD27" s="18">
        <f>LD$26*(LC$30)</f>
        <v/>
      </c>
      <c r="LE27" s="18">
        <f>LE$26*(LD$30)</f>
        <v/>
      </c>
      <c r="LF27" s="18">
        <f>LF$26*(LE$30)</f>
        <v/>
      </c>
      <c r="LG27" s="18">
        <f>LG$26*(LF$30)</f>
        <v/>
      </c>
      <c r="LH27" s="18">
        <f>LH$26*(LG$30)</f>
        <v/>
      </c>
      <c r="LI27" s="18">
        <f>LI$26*(LH$30)</f>
        <v/>
      </c>
      <c r="LJ27" s="18">
        <f>LJ$26*(LI$30)</f>
        <v/>
      </c>
      <c r="LK27" s="18">
        <f>LK$26*(LJ$30)</f>
        <v/>
      </c>
      <c r="LL27" s="18">
        <f>LL$26*(LK$30)</f>
        <v/>
      </c>
      <c r="LM27" s="18">
        <f>LM$26*(LL$30)</f>
        <v/>
      </c>
      <c r="LN27" s="18">
        <f>LN$26*(LM$30)</f>
        <v/>
      </c>
      <c r="LO27" s="18">
        <f>LO$26*(LN$30)</f>
        <v/>
      </c>
      <c r="LP27" s="18">
        <f>LP$26*(LO$30)</f>
        <v/>
      </c>
      <c r="LQ27" s="18">
        <f>LQ$26*(LP$30)</f>
        <v/>
      </c>
      <c r="LR27" s="18">
        <f>LR$26*(LQ$30)</f>
        <v/>
      </c>
      <c r="LS27" s="18">
        <f>LS$26*(LR$30)</f>
        <v/>
      </c>
      <c r="LT27" s="18">
        <f>LT$26*(LS$30)</f>
        <v/>
      </c>
      <c r="LU27" s="18">
        <f>LU$26*(LT$30)</f>
        <v/>
      </c>
      <c r="LV27" s="18">
        <f>LV$26*(LU$30)</f>
        <v/>
      </c>
      <c r="LW27" s="18">
        <f>LW$26*(LV$30)</f>
        <v/>
      </c>
      <c r="LX27" s="18">
        <f>LX$26*(LW$30)</f>
        <v/>
      </c>
      <c r="LY27" s="18">
        <f>LY$26*(LX$30)</f>
        <v/>
      </c>
      <c r="LZ27" s="18">
        <f>LZ$26*(LY$30)</f>
        <v/>
      </c>
      <c r="MA27" s="18">
        <f>MA$26*(LZ$30)</f>
        <v/>
      </c>
      <c r="MB27" s="18">
        <f>MB$26*(MA$30)</f>
        <v/>
      </c>
      <c r="MC27" s="18">
        <f>MC$26*(MB$30)</f>
        <v/>
      </c>
      <c r="MD27" s="18">
        <f>MD$26*(MC$30)</f>
        <v/>
      </c>
      <c r="ME27" s="18">
        <f>ME$26*(MD$30)</f>
        <v/>
      </c>
      <c r="MF27" s="18">
        <f>MF$26*(ME$30)</f>
        <v/>
      </c>
      <c r="MG27" s="18">
        <f>MG$26*(MF$30)</f>
        <v/>
      </c>
      <c r="MH27" s="18">
        <f>MH$26*(MG$30)</f>
        <v/>
      </c>
      <c r="MI27" s="18">
        <f>MI$26*(MH$30)</f>
        <v/>
      </c>
      <c r="MJ27" s="18">
        <f>MJ$26*(MI$30)</f>
        <v/>
      </c>
      <c r="MK27" s="18">
        <f>MK$26*(MJ$30)</f>
        <v/>
      </c>
      <c r="ML27" s="18">
        <f>ML$26*(MK$30)</f>
        <v/>
      </c>
      <c r="MM27" s="18">
        <f>MM$26*(ML$30)</f>
        <v/>
      </c>
      <c r="MN27" s="18">
        <f>MN$26*(MM$30)</f>
        <v/>
      </c>
      <c r="MO27" s="18">
        <f>MO$26*(MN$30)</f>
        <v/>
      </c>
      <c r="MP27" s="18">
        <f>MP$26*(MO$30)</f>
        <v/>
      </c>
      <c r="MQ27" s="18">
        <f>MQ$26*(MP$30)</f>
        <v/>
      </c>
      <c r="MR27" s="18">
        <f>MR$26*(MQ$30)</f>
        <v/>
      </c>
      <c r="MS27" s="18">
        <f>MS$26*(MR$30)</f>
        <v/>
      </c>
      <c r="MT27" s="18">
        <f>MT$26*(MS$30)</f>
        <v/>
      </c>
      <c r="MU27" s="18">
        <f>MU$26*(MT$30)</f>
        <v/>
      </c>
      <c r="MV27" s="18">
        <f>MV$26*(MU$30)</f>
        <v/>
      </c>
      <c r="MW27" s="18">
        <f>MW$26*(MV$30)</f>
        <v/>
      </c>
      <c r="MX27" s="18">
        <f>MX$26*(MW$30)</f>
        <v/>
      </c>
      <c r="MY27" s="18">
        <f>MY$26*(MX$30)</f>
        <v/>
      </c>
      <c r="MZ27" s="18">
        <f>MZ$26*(MY$30)</f>
        <v/>
      </c>
      <c r="NA27" s="18">
        <f>NA$26*(MZ$30)</f>
        <v/>
      </c>
      <c r="NB27" s="18">
        <f>NB$26*(NA$30)</f>
        <v/>
      </c>
      <c r="NC27" s="18">
        <f>NC$26*(NB$30)</f>
        <v/>
      </c>
      <c r="ND27" s="18">
        <f>ND$26*(NC$30)</f>
        <v/>
      </c>
      <c r="NE27" s="18">
        <f>NE$26*(ND$30)</f>
        <v/>
      </c>
      <c r="NF27" s="18">
        <f>NF$26*(NE$30)</f>
        <v/>
      </c>
      <c r="NG27" s="18">
        <f>NG$26*(NF$30)</f>
        <v/>
      </c>
      <c r="NH27" s="18">
        <f>NH$26*(NG$30)</f>
        <v/>
      </c>
      <c r="NI27" s="18">
        <f>NI$26*(NH$30)</f>
        <v/>
      </c>
      <c r="NJ27" s="18">
        <f>NJ$26*(NI$30)</f>
        <v/>
      </c>
      <c r="NK27" s="18">
        <f>NK$26*(NJ$30)</f>
        <v/>
      </c>
    </row>
    <row r="28">
      <c r="A28" s="5" t="inlineStr">
        <is>
          <t>Principal</t>
        </is>
      </c>
      <c r="C28" s="41">
        <f>SUM(D28:NK28)</f>
        <v/>
      </c>
      <c r="D28" s="18">
        <f>IF(OR(1&lt;=RefiMonth+PermIOMonths,'Timeline'!D$43=0),0,MIN(0,PermPmt-D$27))</f>
        <v/>
      </c>
      <c r="E28" s="18">
        <f>IF(OR(2&lt;=RefiMonth+PermIOMonths,'Timeline'!E$43=0),0,MIN(D$30,PermPmt-E$27))</f>
        <v/>
      </c>
      <c r="F28" s="18">
        <f>IF(OR(3&lt;=RefiMonth+PermIOMonths,'Timeline'!F$43=0),0,MIN(E$30,PermPmt-F$27))</f>
        <v/>
      </c>
      <c r="G28" s="18">
        <f>IF(OR(4&lt;=RefiMonth+PermIOMonths,'Timeline'!G$43=0),0,MIN(F$30,PermPmt-G$27))</f>
        <v/>
      </c>
      <c r="H28" s="18">
        <f>IF(OR(5&lt;=RefiMonth+PermIOMonths,'Timeline'!H$43=0),0,MIN(G$30,PermPmt-H$27))</f>
        <v/>
      </c>
      <c r="I28" s="18">
        <f>IF(OR(6&lt;=RefiMonth+PermIOMonths,'Timeline'!I$43=0),0,MIN(H$30,PermPmt-I$27))</f>
        <v/>
      </c>
      <c r="J28" s="18">
        <f>IF(OR(7&lt;=RefiMonth+PermIOMonths,'Timeline'!J$43=0),0,MIN(I$30,PermPmt-J$27))</f>
        <v/>
      </c>
      <c r="K28" s="18">
        <f>IF(OR(8&lt;=RefiMonth+PermIOMonths,'Timeline'!K$43=0),0,MIN(J$30,PermPmt-K$27))</f>
        <v/>
      </c>
      <c r="L28" s="18">
        <f>IF(OR(9&lt;=RefiMonth+PermIOMonths,'Timeline'!L$43=0),0,MIN(K$30,PermPmt-L$27))</f>
        <v/>
      </c>
      <c r="M28" s="18">
        <f>IF(OR(10&lt;=RefiMonth+PermIOMonths,'Timeline'!M$43=0),0,MIN(L$30,PermPmt-M$27))</f>
        <v/>
      </c>
      <c r="N28" s="18">
        <f>IF(OR(11&lt;=RefiMonth+PermIOMonths,'Timeline'!N$43=0),0,MIN(M$30,PermPmt-N$27))</f>
        <v/>
      </c>
      <c r="O28" s="18">
        <f>IF(OR(12&lt;=RefiMonth+PermIOMonths,'Timeline'!O$43=0),0,MIN(N$30,PermPmt-O$27))</f>
        <v/>
      </c>
      <c r="P28" s="18">
        <f>IF(OR(13&lt;=RefiMonth+PermIOMonths,'Timeline'!P$43=0),0,MIN(O$30,PermPmt-P$27))</f>
        <v/>
      </c>
      <c r="Q28" s="18">
        <f>IF(OR(14&lt;=RefiMonth+PermIOMonths,'Timeline'!Q$43=0),0,MIN(P$30,PermPmt-Q$27))</f>
        <v/>
      </c>
      <c r="R28" s="18">
        <f>IF(OR(15&lt;=RefiMonth+PermIOMonths,'Timeline'!R$43=0),0,MIN(Q$30,PermPmt-R$27))</f>
        <v/>
      </c>
      <c r="S28" s="18">
        <f>IF(OR(16&lt;=RefiMonth+PermIOMonths,'Timeline'!S$43=0),0,MIN(R$30,PermPmt-S$27))</f>
        <v/>
      </c>
      <c r="T28" s="18">
        <f>IF(OR(17&lt;=RefiMonth+PermIOMonths,'Timeline'!T$43=0),0,MIN(S$30,PermPmt-T$27))</f>
        <v/>
      </c>
      <c r="U28" s="18">
        <f>IF(OR(18&lt;=RefiMonth+PermIOMonths,'Timeline'!U$43=0),0,MIN(T$30,PermPmt-U$27))</f>
        <v/>
      </c>
      <c r="V28" s="18">
        <f>IF(OR(19&lt;=RefiMonth+PermIOMonths,'Timeline'!V$43=0),0,MIN(U$30,PermPmt-V$27))</f>
        <v/>
      </c>
      <c r="W28" s="18">
        <f>IF(OR(20&lt;=RefiMonth+PermIOMonths,'Timeline'!W$43=0),0,MIN(V$30,PermPmt-W$27))</f>
        <v/>
      </c>
      <c r="X28" s="18">
        <f>IF(OR(21&lt;=RefiMonth+PermIOMonths,'Timeline'!X$43=0),0,MIN(W$30,PermPmt-X$27))</f>
        <v/>
      </c>
      <c r="Y28" s="18">
        <f>IF(OR(22&lt;=RefiMonth+PermIOMonths,'Timeline'!Y$43=0),0,MIN(X$30,PermPmt-Y$27))</f>
        <v/>
      </c>
      <c r="Z28" s="18">
        <f>IF(OR(23&lt;=RefiMonth+PermIOMonths,'Timeline'!Z$43=0),0,MIN(Y$30,PermPmt-Z$27))</f>
        <v/>
      </c>
      <c r="AA28" s="18">
        <f>IF(OR(24&lt;=RefiMonth+PermIOMonths,'Timeline'!AA$43=0),0,MIN(Z$30,PermPmt-AA$27))</f>
        <v/>
      </c>
      <c r="AB28" s="18">
        <f>IF(OR(25&lt;=RefiMonth+PermIOMonths,'Timeline'!AB$43=0),0,MIN(AA$30,PermPmt-AB$27))</f>
        <v/>
      </c>
      <c r="AC28" s="18">
        <f>IF(OR(26&lt;=RefiMonth+PermIOMonths,'Timeline'!AC$43=0),0,MIN(AB$30,PermPmt-AC$27))</f>
        <v/>
      </c>
      <c r="AD28" s="18">
        <f>IF(OR(27&lt;=RefiMonth+PermIOMonths,'Timeline'!AD$43=0),0,MIN(AC$30,PermPmt-AD$27))</f>
        <v/>
      </c>
      <c r="AE28" s="18">
        <f>IF(OR(28&lt;=RefiMonth+PermIOMonths,'Timeline'!AE$43=0),0,MIN(AD$30,PermPmt-AE$27))</f>
        <v/>
      </c>
      <c r="AF28" s="18">
        <f>IF(OR(29&lt;=RefiMonth+PermIOMonths,'Timeline'!AF$43=0),0,MIN(AE$30,PermPmt-AF$27))</f>
        <v/>
      </c>
      <c r="AG28" s="18">
        <f>IF(OR(30&lt;=RefiMonth+PermIOMonths,'Timeline'!AG$43=0),0,MIN(AF$30,PermPmt-AG$27))</f>
        <v/>
      </c>
      <c r="AH28" s="18">
        <f>IF(OR(31&lt;=RefiMonth+PermIOMonths,'Timeline'!AH$43=0),0,MIN(AG$30,PermPmt-AH$27))</f>
        <v/>
      </c>
      <c r="AI28" s="18">
        <f>IF(OR(32&lt;=RefiMonth+PermIOMonths,'Timeline'!AI$43=0),0,MIN(AH$30,PermPmt-AI$27))</f>
        <v/>
      </c>
      <c r="AJ28" s="18">
        <f>IF(OR(33&lt;=RefiMonth+PermIOMonths,'Timeline'!AJ$43=0),0,MIN(AI$30,PermPmt-AJ$27))</f>
        <v/>
      </c>
      <c r="AK28" s="18">
        <f>IF(OR(34&lt;=RefiMonth+PermIOMonths,'Timeline'!AK$43=0),0,MIN(AJ$30,PermPmt-AK$27))</f>
        <v/>
      </c>
      <c r="AL28" s="18">
        <f>IF(OR(35&lt;=RefiMonth+PermIOMonths,'Timeline'!AL$43=0),0,MIN(AK$30,PermPmt-AL$27))</f>
        <v/>
      </c>
      <c r="AM28" s="18">
        <f>IF(OR(36&lt;=RefiMonth+PermIOMonths,'Timeline'!AM$43=0),0,MIN(AL$30,PermPmt-AM$27))</f>
        <v/>
      </c>
      <c r="AN28" s="18">
        <f>IF(OR(37&lt;=RefiMonth+PermIOMonths,'Timeline'!AN$43=0),0,MIN(AM$30,PermPmt-AN$27))</f>
        <v/>
      </c>
      <c r="AO28" s="18">
        <f>IF(OR(38&lt;=RefiMonth+PermIOMonths,'Timeline'!AO$43=0),0,MIN(AN$30,PermPmt-AO$27))</f>
        <v/>
      </c>
      <c r="AP28" s="18">
        <f>IF(OR(39&lt;=RefiMonth+PermIOMonths,'Timeline'!AP$43=0),0,MIN(AO$30,PermPmt-AP$27))</f>
        <v/>
      </c>
      <c r="AQ28" s="18">
        <f>IF(OR(40&lt;=RefiMonth+PermIOMonths,'Timeline'!AQ$43=0),0,MIN(AP$30,PermPmt-AQ$27))</f>
        <v/>
      </c>
      <c r="AR28" s="18">
        <f>IF(OR(41&lt;=RefiMonth+PermIOMonths,'Timeline'!AR$43=0),0,MIN(AQ$30,PermPmt-AR$27))</f>
        <v/>
      </c>
      <c r="AS28" s="18">
        <f>IF(OR(42&lt;=RefiMonth+PermIOMonths,'Timeline'!AS$43=0),0,MIN(AR$30,PermPmt-AS$27))</f>
        <v/>
      </c>
      <c r="AT28" s="18">
        <f>IF(OR(43&lt;=RefiMonth+PermIOMonths,'Timeline'!AT$43=0),0,MIN(AS$30,PermPmt-AT$27))</f>
        <v/>
      </c>
      <c r="AU28" s="18">
        <f>IF(OR(44&lt;=RefiMonth+PermIOMonths,'Timeline'!AU$43=0),0,MIN(AT$30,PermPmt-AU$27))</f>
        <v/>
      </c>
      <c r="AV28" s="18">
        <f>IF(OR(45&lt;=RefiMonth+PermIOMonths,'Timeline'!AV$43=0),0,MIN(AU$30,PermPmt-AV$27))</f>
        <v/>
      </c>
      <c r="AW28" s="18">
        <f>IF(OR(46&lt;=RefiMonth+PermIOMonths,'Timeline'!AW$43=0),0,MIN(AV$30,PermPmt-AW$27))</f>
        <v/>
      </c>
      <c r="AX28" s="18">
        <f>IF(OR(47&lt;=RefiMonth+PermIOMonths,'Timeline'!AX$43=0),0,MIN(AW$30,PermPmt-AX$27))</f>
        <v/>
      </c>
      <c r="AY28" s="18">
        <f>IF(OR(48&lt;=RefiMonth+PermIOMonths,'Timeline'!AY$43=0),0,MIN(AX$30,PermPmt-AY$27))</f>
        <v/>
      </c>
      <c r="AZ28" s="18">
        <f>IF(OR(49&lt;=RefiMonth+PermIOMonths,'Timeline'!AZ$43=0),0,MIN(AY$30,PermPmt-AZ$27))</f>
        <v/>
      </c>
      <c r="BA28" s="18">
        <f>IF(OR(50&lt;=RefiMonth+PermIOMonths,'Timeline'!BA$43=0),0,MIN(AZ$30,PermPmt-BA$27))</f>
        <v/>
      </c>
      <c r="BB28" s="18">
        <f>IF(OR(51&lt;=RefiMonth+PermIOMonths,'Timeline'!BB$43=0),0,MIN(BA$30,PermPmt-BB$27))</f>
        <v/>
      </c>
      <c r="BC28" s="18">
        <f>IF(OR(52&lt;=RefiMonth+PermIOMonths,'Timeline'!BC$43=0),0,MIN(BB$30,PermPmt-BC$27))</f>
        <v/>
      </c>
      <c r="BD28" s="18">
        <f>IF(OR(53&lt;=RefiMonth+PermIOMonths,'Timeline'!BD$43=0),0,MIN(BC$30,PermPmt-BD$27))</f>
        <v/>
      </c>
      <c r="BE28" s="18">
        <f>IF(OR(54&lt;=RefiMonth+PermIOMonths,'Timeline'!BE$43=0),0,MIN(BD$30,PermPmt-BE$27))</f>
        <v/>
      </c>
      <c r="BF28" s="18">
        <f>IF(OR(55&lt;=RefiMonth+PermIOMonths,'Timeline'!BF$43=0),0,MIN(BE$30,PermPmt-BF$27))</f>
        <v/>
      </c>
      <c r="BG28" s="18">
        <f>IF(OR(56&lt;=RefiMonth+PermIOMonths,'Timeline'!BG$43=0),0,MIN(BF$30,PermPmt-BG$27))</f>
        <v/>
      </c>
      <c r="BH28" s="18">
        <f>IF(OR(57&lt;=RefiMonth+PermIOMonths,'Timeline'!BH$43=0),0,MIN(BG$30,PermPmt-BH$27))</f>
        <v/>
      </c>
      <c r="BI28" s="18">
        <f>IF(OR(58&lt;=RefiMonth+PermIOMonths,'Timeline'!BI$43=0),0,MIN(BH$30,PermPmt-BI$27))</f>
        <v/>
      </c>
      <c r="BJ28" s="18">
        <f>IF(OR(59&lt;=RefiMonth+PermIOMonths,'Timeline'!BJ$43=0),0,MIN(BI$30,PermPmt-BJ$27))</f>
        <v/>
      </c>
      <c r="BK28" s="18">
        <f>IF(OR(60&lt;=RefiMonth+PermIOMonths,'Timeline'!BK$43=0),0,MIN(BJ$30,PermPmt-BK$27))</f>
        <v/>
      </c>
      <c r="BL28" s="18">
        <f>IF(OR(61&lt;=RefiMonth+PermIOMonths,'Timeline'!BL$43=0),0,MIN(BK$30,PermPmt-BL$27))</f>
        <v/>
      </c>
      <c r="BM28" s="18">
        <f>IF(OR(62&lt;=RefiMonth+PermIOMonths,'Timeline'!BM$43=0),0,MIN(BL$30,PermPmt-BM$27))</f>
        <v/>
      </c>
      <c r="BN28" s="18">
        <f>IF(OR(63&lt;=RefiMonth+PermIOMonths,'Timeline'!BN$43=0),0,MIN(BM$30,PermPmt-BN$27))</f>
        <v/>
      </c>
      <c r="BO28" s="18">
        <f>IF(OR(64&lt;=RefiMonth+PermIOMonths,'Timeline'!BO$43=0),0,MIN(BN$30,PermPmt-BO$27))</f>
        <v/>
      </c>
      <c r="BP28" s="18">
        <f>IF(OR(65&lt;=RefiMonth+PermIOMonths,'Timeline'!BP$43=0),0,MIN(BO$30,PermPmt-BP$27))</f>
        <v/>
      </c>
      <c r="BQ28" s="18">
        <f>IF(OR(66&lt;=RefiMonth+PermIOMonths,'Timeline'!BQ$43=0),0,MIN(BP$30,PermPmt-BQ$27))</f>
        <v/>
      </c>
      <c r="BR28" s="18">
        <f>IF(OR(67&lt;=RefiMonth+PermIOMonths,'Timeline'!BR$43=0),0,MIN(BQ$30,PermPmt-BR$27))</f>
        <v/>
      </c>
      <c r="BS28" s="18">
        <f>IF(OR(68&lt;=RefiMonth+PermIOMonths,'Timeline'!BS$43=0),0,MIN(BR$30,PermPmt-BS$27))</f>
        <v/>
      </c>
      <c r="BT28" s="18">
        <f>IF(OR(69&lt;=RefiMonth+PermIOMonths,'Timeline'!BT$43=0),0,MIN(BS$30,PermPmt-BT$27))</f>
        <v/>
      </c>
      <c r="BU28" s="18">
        <f>IF(OR(70&lt;=RefiMonth+PermIOMonths,'Timeline'!BU$43=0),0,MIN(BT$30,PermPmt-BU$27))</f>
        <v/>
      </c>
      <c r="BV28" s="18">
        <f>IF(OR(71&lt;=RefiMonth+PermIOMonths,'Timeline'!BV$43=0),0,MIN(BU$30,PermPmt-BV$27))</f>
        <v/>
      </c>
      <c r="BW28" s="18">
        <f>IF(OR(72&lt;=RefiMonth+PermIOMonths,'Timeline'!BW$43=0),0,MIN(BV$30,PermPmt-BW$27))</f>
        <v/>
      </c>
      <c r="BX28" s="18">
        <f>IF(OR(73&lt;=RefiMonth+PermIOMonths,'Timeline'!BX$43=0),0,MIN(BW$30,PermPmt-BX$27))</f>
        <v/>
      </c>
      <c r="BY28" s="18">
        <f>IF(OR(74&lt;=RefiMonth+PermIOMonths,'Timeline'!BY$43=0),0,MIN(BX$30,PermPmt-BY$27))</f>
        <v/>
      </c>
      <c r="BZ28" s="18">
        <f>IF(OR(75&lt;=RefiMonth+PermIOMonths,'Timeline'!BZ$43=0),0,MIN(BY$30,PermPmt-BZ$27))</f>
        <v/>
      </c>
      <c r="CA28" s="18">
        <f>IF(OR(76&lt;=RefiMonth+PermIOMonths,'Timeline'!CA$43=0),0,MIN(BZ$30,PermPmt-CA$27))</f>
        <v/>
      </c>
      <c r="CB28" s="18">
        <f>IF(OR(77&lt;=RefiMonth+PermIOMonths,'Timeline'!CB$43=0),0,MIN(CA$30,PermPmt-CB$27))</f>
        <v/>
      </c>
      <c r="CC28" s="18">
        <f>IF(OR(78&lt;=RefiMonth+PermIOMonths,'Timeline'!CC$43=0),0,MIN(CB$30,PermPmt-CC$27))</f>
        <v/>
      </c>
      <c r="CD28" s="18">
        <f>IF(OR(79&lt;=RefiMonth+PermIOMonths,'Timeline'!CD$43=0),0,MIN(CC$30,PermPmt-CD$27))</f>
        <v/>
      </c>
      <c r="CE28" s="18">
        <f>IF(OR(80&lt;=RefiMonth+PermIOMonths,'Timeline'!CE$43=0),0,MIN(CD$30,PermPmt-CE$27))</f>
        <v/>
      </c>
      <c r="CF28" s="18">
        <f>IF(OR(81&lt;=RefiMonth+PermIOMonths,'Timeline'!CF$43=0),0,MIN(CE$30,PermPmt-CF$27))</f>
        <v/>
      </c>
      <c r="CG28" s="18">
        <f>IF(OR(82&lt;=RefiMonth+PermIOMonths,'Timeline'!CG$43=0),0,MIN(CF$30,PermPmt-CG$27))</f>
        <v/>
      </c>
      <c r="CH28" s="18">
        <f>IF(OR(83&lt;=RefiMonth+PermIOMonths,'Timeline'!CH$43=0),0,MIN(CG$30,PermPmt-CH$27))</f>
        <v/>
      </c>
      <c r="CI28" s="18">
        <f>IF(OR(84&lt;=RefiMonth+PermIOMonths,'Timeline'!CI$43=0),0,MIN(CH$30,PermPmt-CI$27))</f>
        <v/>
      </c>
      <c r="CJ28" s="18">
        <f>IF(OR(85&lt;=RefiMonth+PermIOMonths,'Timeline'!CJ$43=0),0,MIN(CI$30,PermPmt-CJ$27))</f>
        <v/>
      </c>
      <c r="CK28" s="18">
        <f>IF(OR(86&lt;=RefiMonth+PermIOMonths,'Timeline'!CK$43=0),0,MIN(CJ$30,PermPmt-CK$27))</f>
        <v/>
      </c>
      <c r="CL28" s="18">
        <f>IF(OR(87&lt;=RefiMonth+PermIOMonths,'Timeline'!CL$43=0),0,MIN(CK$30,PermPmt-CL$27))</f>
        <v/>
      </c>
      <c r="CM28" s="18">
        <f>IF(OR(88&lt;=RefiMonth+PermIOMonths,'Timeline'!CM$43=0),0,MIN(CL$30,PermPmt-CM$27))</f>
        <v/>
      </c>
      <c r="CN28" s="18">
        <f>IF(OR(89&lt;=RefiMonth+PermIOMonths,'Timeline'!CN$43=0),0,MIN(CM$30,PermPmt-CN$27))</f>
        <v/>
      </c>
      <c r="CO28" s="18">
        <f>IF(OR(90&lt;=RefiMonth+PermIOMonths,'Timeline'!CO$43=0),0,MIN(CN$30,PermPmt-CO$27))</f>
        <v/>
      </c>
      <c r="CP28" s="18">
        <f>IF(OR(91&lt;=RefiMonth+PermIOMonths,'Timeline'!CP$43=0),0,MIN(CO$30,PermPmt-CP$27))</f>
        <v/>
      </c>
      <c r="CQ28" s="18">
        <f>IF(OR(92&lt;=RefiMonth+PermIOMonths,'Timeline'!CQ$43=0),0,MIN(CP$30,PermPmt-CQ$27))</f>
        <v/>
      </c>
      <c r="CR28" s="18">
        <f>IF(OR(93&lt;=RefiMonth+PermIOMonths,'Timeline'!CR$43=0),0,MIN(CQ$30,PermPmt-CR$27))</f>
        <v/>
      </c>
      <c r="CS28" s="18">
        <f>IF(OR(94&lt;=RefiMonth+PermIOMonths,'Timeline'!CS$43=0),0,MIN(CR$30,PermPmt-CS$27))</f>
        <v/>
      </c>
      <c r="CT28" s="18">
        <f>IF(OR(95&lt;=RefiMonth+PermIOMonths,'Timeline'!CT$43=0),0,MIN(CS$30,PermPmt-CT$27))</f>
        <v/>
      </c>
      <c r="CU28" s="18">
        <f>IF(OR(96&lt;=RefiMonth+PermIOMonths,'Timeline'!CU$43=0),0,MIN(CT$30,PermPmt-CU$27))</f>
        <v/>
      </c>
      <c r="CV28" s="18">
        <f>IF(OR(97&lt;=RefiMonth+PermIOMonths,'Timeline'!CV$43=0),0,MIN(CU$30,PermPmt-CV$27))</f>
        <v/>
      </c>
      <c r="CW28" s="18">
        <f>IF(OR(98&lt;=RefiMonth+PermIOMonths,'Timeline'!CW$43=0),0,MIN(CV$30,PermPmt-CW$27))</f>
        <v/>
      </c>
      <c r="CX28" s="18">
        <f>IF(OR(99&lt;=RefiMonth+PermIOMonths,'Timeline'!CX$43=0),0,MIN(CW$30,PermPmt-CX$27))</f>
        <v/>
      </c>
      <c r="CY28" s="18">
        <f>IF(OR(100&lt;=RefiMonth+PermIOMonths,'Timeline'!CY$43=0),0,MIN(CX$30,PermPmt-CY$27))</f>
        <v/>
      </c>
      <c r="CZ28" s="18">
        <f>IF(OR(101&lt;=RefiMonth+PermIOMonths,'Timeline'!CZ$43=0),0,MIN(CY$30,PermPmt-CZ$27))</f>
        <v/>
      </c>
      <c r="DA28" s="18">
        <f>IF(OR(102&lt;=RefiMonth+PermIOMonths,'Timeline'!DA$43=0),0,MIN(CZ$30,PermPmt-DA$27))</f>
        <v/>
      </c>
      <c r="DB28" s="18">
        <f>IF(OR(103&lt;=RefiMonth+PermIOMonths,'Timeline'!DB$43=0),0,MIN(DA$30,PermPmt-DB$27))</f>
        <v/>
      </c>
      <c r="DC28" s="18">
        <f>IF(OR(104&lt;=RefiMonth+PermIOMonths,'Timeline'!DC$43=0),0,MIN(DB$30,PermPmt-DC$27))</f>
        <v/>
      </c>
      <c r="DD28" s="18">
        <f>IF(OR(105&lt;=RefiMonth+PermIOMonths,'Timeline'!DD$43=0),0,MIN(DC$30,PermPmt-DD$27))</f>
        <v/>
      </c>
      <c r="DE28" s="18">
        <f>IF(OR(106&lt;=RefiMonth+PermIOMonths,'Timeline'!DE$43=0),0,MIN(DD$30,PermPmt-DE$27))</f>
        <v/>
      </c>
      <c r="DF28" s="18">
        <f>IF(OR(107&lt;=RefiMonth+PermIOMonths,'Timeline'!DF$43=0),0,MIN(DE$30,PermPmt-DF$27))</f>
        <v/>
      </c>
      <c r="DG28" s="18">
        <f>IF(OR(108&lt;=RefiMonth+PermIOMonths,'Timeline'!DG$43=0),0,MIN(DF$30,PermPmt-DG$27))</f>
        <v/>
      </c>
      <c r="DH28" s="18">
        <f>IF(OR(109&lt;=RefiMonth+PermIOMonths,'Timeline'!DH$43=0),0,MIN(DG$30,PermPmt-DH$27))</f>
        <v/>
      </c>
      <c r="DI28" s="18">
        <f>IF(OR(110&lt;=RefiMonth+PermIOMonths,'Timeline'!DI$43=0),0,MIN(DH$30,PermPmt-DI$27))</f>
        <v/>
      </c>
      <c r="DJ28" s="18">
        <f>IF(OR(111&lt;=RefiMonth+PermIOMonths,'Timeline'!DJ$43=0),0,MIN(DI$30,PermPmt-DJ$27))</f>
        <v/>
      </c>
      <c r="DK28" s="18">
        <f>IF(OR(112&lt;=RefiMonth+PermIOMonths,'Timeline'!DK$43=0),0,MIN(DJ$30,PermPmt-DK$27))</f>
        <v/>
      </c>
      <c r="DL28" s="18">
        <f>IF(OR(113&lt;=RefiMonth+PermIOMonths,'Timeline'!DL$43=0),0,MIN(DK$30,PermPmt-DL$27))</f>
        <v/>
      </c>
      <c r="DM28" s="18">
        <f>IF(OR(114&lt;=RefiMonth+PermIOMonths,'Timeline'!DM$43=0),0,MIN(DL$30,PermPmt-DM$27))</f>
        <v/>
      </c>
      <c r="DN28" s="18">
        <f>IF(OR(115&lt;=RefiMonth+PermIOMonths,'Timeline'!DN$43=0),0,MIN(DM$30,PermPmt-DN$27))</f>
        <v/>
      </c>
      <c r="DO28" s="18">
        <f>IF(OR(116&lt;=RefiMonth+PermIOMonths,'Timeline'!DO$43=0),0,MIN(DN$30,PermPmt-DO$27))</f>
        <v/>
      </c>
      <c r="DP28" s="18">
        <f>IF(OR(117&lt;=RefiMonth+PermIOMonths,'Timeline'!DP$43=0),0,MIN(DO$30,PermPmt-DP$27))</f>
        <v/>
      </c>
      <c r="DQ28" s="18">
        <f>IF(OR(118&lt;=RefiMonth+PermIOMonths,'Timeline'!DQ$43=0),0,MIN(DP$30,PermPmt-DQ$27))</f>
        <v/>
      </c>
      <c r="DR28" s="18">
        <f>IF(OR(119&lt;=RefiMonth+PermIOMonths,'Timeline'!DR$43=0),0,MIN(DQ$30,PermPmt-DR$27))</f>
        <v/>
      </c>
      <c r="DS28" s="18">
        <f>IF(OR(120&lt;=RefiMonth+PermIOMonths,'Timeline'!DS$43=0),0,MIN(DR$30,PermPmt-DS$27))</f>
        <v/>
      </c>
      <c r="DT28" s="18">
        <f>IF(OR(121&lt;=RefiMonth+PermIOMonths,'Timeline'!DT$43=0),0,MIN(DS$30,PermPmt-DT$27))</f>
        <v/>
      </c>
      <c r="DU28" s="18">
        <f>IF(OR(122&lt;=RefiMonth+PermIOMonths,'Timeline'!DU$43=0),0,MIN(DT$30,PermPmt-DU$27))</f>
        <v/>
      </c>
      <c r="DV28" s="18">
        <f>IF(OR(123&lt;=RefiMonth+PermIOMonths,'Timeline'!DV$43=0),0,MIN(DU$30,PermPmt-DV$27))</f>
        <v/>
      </c>
      <c r="DW28" s="18">
        <f>IF(OR(124&lt;=RefiMonth+PermIOMonths,'Timeline'!DW$43=0),0,MIN(DV$30,PermPmt-DW$27))</f>
        <v/>
      </c>
      <c r="DX28" s="18">
        <f>IF(OR(125&lt;=RefiMonth+PermIOMonths,'Timeline'!DX$43=0),0,MIN(DW$30,PermPmt-DX$27))</f>
        <v/>
      </c>
      <c r="DY28" s="18">
        <f>IF(OR(126&lt;=RefiMonth+PermIOMonths,'Timeline'!DY$43=0),0,MIN(DX$30,PermPmt-DY$27))</f>
        <v/>
      </c>
      <c r="DZ28" s="18">
        <f>IF(OR(127&lt;=RefiMonth+PermIOMonths,'Timeline'!DZ$43=0),0,MIN(DY$30,PermPmt-DZ$27))</f>
        <v/>
      </c>
      <c r="EA28" s="18">
        <f>IF(OR(128&lt;=RefiMonth+PermIOMonths,'Timeline'!EA$43=0),0,MIN(DZ$30,PermPmt-EA$27))</f>
        <v/>
      </c>
      <c r="EB28" s="18">
        <f>IF(OR(129&lt;=RefiMonth+PermIOMonths,'Timeline'!EB$43=0),0,MIN(EA$30,PermPmt-EB$27))</f>
        <v/>
      </c>
      <c r="EC28" s="18">
        <f>IF(OR(130&lt;=RefiMonth+PermIOMonths,'Timeline'!EC$43=0),0,MIN(EB$30,PermPmt-EC$27))</f>
        <v/>
      </c>
      <c r="ED28" s="18">
        <f>IF(OR(131&lt;=RefiMonth+PermIOMonths,'Timeline'!ED$43=0),0,MIN(EC$30,PermPmt-ED$27))</f>
        <v/>
      </c>
      <c r="EE28" s="18">
        <f>IF(OR(132&lt;=RefiMonth+PermIOMonths,'Timeline'!EE$43=0),0,MIN(ED$30,PermPmt-EE$27))</f>
        <v/>
      </c>
      <c r="EF28" s="18">
        <f>IF(OR(133&lt;=RefiMonth+PermIOMonths,'Timeline'!EF$43=0),0,MIN(EE$30,PermPmt-EF$27))</f>
        <v/>
      </c>
      <c r="EG28" s="18">
        <f>IF(OR(134&lt;=RefiMonth+PermIOMonths,'Timeline'!EG$43=0),0,MIN(EF$30,PermPmt-EG$27))</f>
        <v/>
      </c>
      <c r="EH28" s="18">
        <f>IF(OR(135&lt;=RefiMonth+PermIOMonths,'Timeline'!EH$43=0),0,MIN(EG$30,PermPmt-EH$27))</f>
        <v/>
      </c>
      <c r="EI28" s="18">
        <f>IF(OR(136&lt;=RefiMonth+PermIOMonths,'Timeline'!EI$43=0),0,MIN(EH$30,PermPmt-EI$27))</f>
        <v/>
      </c>
      <c r="EJ28" s="18">
        <f>IF(OR(137&lt;=RefiMonth+PermIOMonths,'Timeline'!EJ$43=0),0,MIN(EI$30,PermPmt-EJ$27))</f>
        <v/>
      </c>
      <c r="EK28" s="18">
        <f>IF(OR(138&lt;=RefiMonth+PermIOMonths,'Timeline'!EK$43=0),0,MIN(EJ$30,PermPmt-EK$27))</f>
        <v/>
      </c>
      <c r="EL28" s="18">
        <f>IF(OR(139&lt;=RefiMonth+PermIOMonths,'Timeline'!EL$43=0),0,MIN(EK$30,PermPmt-EL$27))</f>
        <v/>
      </c>
      <c r="EM28" s="18">
        <f>IF(OR(140&lt;=RefiMonth+PermIOMonths,'Timeline'!EM$43=0),0,MIN(EL$30,PermPmt-EM$27))</f>
        <v/>
      </c>
      <c r="EN28" s="18">
        <f>IF(OR(141&lt;=RefiMonth+PermIOMonths,'Timeline'!EN$43=0),0,MIN(EM$30,PermPmt-EN$27))</f>
        <v/>
      </c>
      <c r="EO28" s="18">
        <f>IF(OR(142&lt;=RefiMonth+PermIOMonths,'Timeline'!EO$43=0),0,MIN(EN$30,PermPmt-EO$27))</f>
        <v/>
      </c>
      <c r="EP28" s="18">
        <f>IF(OR(143&lt;=RefiMonth+PermIOMonths,'Timeline'!EP$43=0),0,MIN(EO$30,PermPmt-EP$27))</f>
        <v/>
      </c>
      <c r="EQ28" s="18">
        <f>IF(OR(144&lt;=RefiMonth+PermIOMonths,'Timeline'!EQ$43=0),0,MIN(EP$30,PermPmt-EQ$27))</f>
        <v/>
      </c>
      <c r="ER28" s="18">
        <f>IF(OR(145&lt;=RefiMonth+PermIOMonths,'Timeline'!ER$43=0),0,MIN(EQ$30,PermPmt-ER$27))</f>
        <v/>
      </c>
      <c r="ES28" s="18">
        <f>IF(OR(146&lt;=RefiMonth+PermIOMonths,'Timeline'!ES$43=0),0,MIN(ER$30,PermPmt-ES$27))</f>
        <v/>
      </c>
      <c r="ET28" s="18">
        <f>IF(OR(147&lt;=RefiMonth+PermIOMonths,'Timeline'!ET$43=0),0,MIN(ES$30,PermPmt-ET$27))</f>
        <v/>
      </c>
      <c r="EU28" s="18">
        <f>IF(OR(148&lt;=RefiMonth+PermIOMonths,'Timeline'!EU$43=0),0,MIN(ET$30,PermPmt-EU$27))</f>
        <v/>
      </c>
      <c r="EV28" s="18">
        <f>IF(OR(149&lt;=RefiMonth+PermIOMonths,'Timeline'!EV$43=0),0,MIN(EU$30,PermPmt-EV$27))</f>
        <v/>
      </c>
      <c r="EW28" s="18">
        <f>IF(OR(150&lt;=RefiMonth+PermIOMonths,'Timeline'!EW$43=0),0,MIN(EV$30,PermPmt-EW$27))</f>
        <v/>
      </c>
      <c r="EX28" s="18">
        <f>IF(OR(151&lt;=RefiMonth+PermIOMonths,'Timeline'!EX$43=0),0,MIN(EW$30,PermPmt-EX$27))</f>
        <v/>
      </c>
      <c r="EY28" s="18">
        <f>IF(OR(152&lt;=RefiMonth+PermIOMonths,'Timeline'!EY$43=0),0,MIN(EX$30,PermPmt-EY$27))</f>
        <v/>
      </c>
      <c r="EZ28" s="18">
        <f>IF(OR(153&lt;=RefiMonth+PermIOMonths,'Timeline'!EZ$43=0),0,MIN(EY$30,PermPmt-EZ$27))</f>
        <v/>
      </c>
      <c r="FA28" s="18">
        <f>IF(OR(154&lt;=RefiMonth+PermIOMonths,'Timeline'!FA$43=0),0,MIN(EZ$30,PermPmt-FA$27))</f>
        <v/>
      </c>
      <c r="FB28" s="18">
        <f>IF(OR(155&lt;=RefiMonth+PermIOMonths,'Timeline'!FB$43=0),0,MIN(FA$30,PermPmt-FB$27))</f>
        <v/>
      </c>
      <c r="FC28" s="18">
        <f>IF(OR(156&lt;=RefiMonth+PermIOMonths,'Timeline'!FC$43=0),0,MIN(FB$30,PermPmt-FC$27))</f>
        <v/>
      </c>
      <c r="FD28" s="18">
        <f>IF(OR(157&lt;=RefiMonth+PermIOMonths,'Timeline'!FD$43=0),0,MIN(FC$30,PermPmt-FD$27))</f>
        <v/>
      </c>
      <c r="FE28" s="18">
        <f>IF(OR(158&lt;=RefiMonth+PermIOMonths,'Timeline'!FE$43=0),0,MIN(FD$30,PermPmt-FE$27))</f>
        <v/>
      </c>
      <c r="FF28" s="18">
        <f>IF(OR(159&lt;=RefiMonth+PermIOMonths,'Timeline'!FF$43=0),0,MIN(FE$30,PermPmt-FF$27))</f>
        <v/>
      </c>
      <c r="FG28" s="18">
        <f>IF(OR(160&lt;=RefiMonth+PermIOMonths,'Timeline'!FG$43=0),0,MIN(FF$30,PermPmt-FG$27))</f>
        <v/>
      </c>
      <c r="FH28" s="18">
        <f>IF(OR(161&lt;=RefiMonth+PermIOMonths,'Timeline'!FH$43=0),0,MIN(FG$30,PermPmt-FH$27))</f>
        <v/>
      </c>
      <c r="FI28" s="18">
        <f>IF(OR(162&lt;=RefiMonth+PermIOMonths,'Timeline'!FI$43=0),0,MIN(FH$30,PermPmt-FI$27))</f>
        <v/>
      </c>
      <c r="FJ28" s="18">
        <f>IF(OR(163&lt;=RefiMonth+PermIOMonths,'Timeline'!FJ$43=0),0,MIN(FI$30,PermPmt-FJ$27))</f>
        <v/>
      </c>
      <c r="FK28" s="18">
        <f>IF(OR(164&lt;=RefiMonth+PermIOMonths,'Timeline'!FK$43=0),0,MIN(FJ$30,PermPmt-FK$27))</f>
        <v/>
      </c>
      <c r="FL28" s="18">
        <f>IF(OR(165&lt;=RefiMonth+PermIOMonths,'Timeline'!FL$43=0),0,MIN(FK$30,PermPmt-FL$27))</f>
        <v/>
      </c>
      <c r="FM28" s="18">
        <f>IF(OR(166&lt;=RefiMonth+PermIOMonths,'Timeline'!FM$43=0),0,MIN(FL$30,PermPmt-FM$27))</f>
        <v/>
      </c>
      <c r="FN28" s="18">
        <f>IF(OR(167&lt;=RefiMonth+PermIOMonths,'Timeline'!FN$43=0),0,MIN(FM$30,PermPmt-FN$27))</f>
        <v/>
      </c>
      <c r="FO28" s="18">
        <f>IF(OR(168&lt;=RefiMonth+PermIOMonths,'Timeline'!FO$43=0),0,MIN(FN$30,PermPmt-FO$27))</f>
        <v/>
      </c>
      <c r="FP28" s="18">
        <f>IF(OR(169&lt;=RefiMonth+PermIOMonths,'Timeline'!FP$43=0),0,MIN(FO$30,PermPmt-FP$27))</f>
        <v/>
      </c>
      <c r="FQ28" s="18">
        <f>IF(OR(170&lt;=RefiMonth+PermIOMonths,'Timeline'!FQ$43=0),0,MIN(FP$30,PermPmt-FQ$27))</f>
        <v/>
      </c>
      <c r="FR28" s="18">
        <f>IF(OR(171&lt;=RefiMonth+PermIOMonths,'Timeline'!FR$43=0),0,MIN(FQ$30,PermPmt-FR$27))</f>
        <v/>
      </c>
      <c r="FS28" s="18">
        <f>IF(OR(172&lt;=RefiMonth+PermIOMonths,'Timeline'!FS$43=0),0,MIN(FR$30,PermPmt-FS$27))</f>
        <v/>
      </c>
      <c r="FT28" s="18">
        <f>IF(OR(173&lt;=RefiMonth+PermIOMonths,'Timeline'!FT$43=0),0,MIN(FS$30,PermPmt-FT$27))</f>
        <v/>
      </c>
      <c r="FU28" s="18">
        <f>IF(OR(174&lt;=RefiMonth+PermIOMonths,'Timeline'!FU$43=0),0,MIN(FT$30,PermPmt-FU$27))</f>
        <v/>
      </c>
      <c r="FV28" s="18">
        <f>IF(OR(175&lt;=RefiMonth+PermIOMonths,'Timeline'!FV$43=0),0,MIN(FU$30,PermPmt-FV$27))</f>
        <v/>
      </c>
      <c r="FW28" s="18">
        <f>IF(OR(176&lt;=RefiMonth+PermIOMonths,'Timeline'!FW$43=0),0,MIN(FV$30,PermPmt-FW$27))</f>
        <v/>
      </c>
      <c r="FX28" s="18">
        <f>IF(OR(177&lt;=RefiMonth+PermIOMonths,'Timeline'!FX$43=0),0,MIN(FW$30,PermPmt-FX$27))</f>
        <v/>
      </c>
      <c r="FY28" s="18">
        <f>IF(OR(178&lt;=RefiMonth+PermIOMonths,'Timeline'!FY$43=0),0,MIN(FX$30,PermPmt-FY$27))</f>
        <v/>
      </c>
      <c r="FZ28" s="18">
        <f>IF(OR(179&lt;=RefiMonth+PermIOMonths,'Timeline'!FZ$43=0),0,MIN(FY$30,PermPmt-FZ$27))</f>
        <v/>
      </c>
      <c r="GA28" s="18">
        <f>IF(OR(180&lt;=RefiMonth+PermIOMonths,'Timeline'!GA$43=0),0,MIN(FZ$30,PermPmt-GA$27))</f>
        <v/>
      </c>
      <c r="GB28" s="18">
        <f>IF(OR(181&lt;=RefiMonth+PermIOMonths,'Timeline'!GB$43=0),0,MIN(GA$30,PermPmt-GB$27))</f>
        <v/>
      </c>
      <c r="GC28" s="18">
        <f>IF(OR(182&lt;=RefiMonth+PermIOMonths,'Timeline'!GC$43=0),0,MIN(GB$30,PermPmt-GC$27))</f>
        <v/>
      </c>
      <c r="GD28" s="18">
        <f>IF(OR(183&lt;=RefiMonth+PermIOMonths,'Timeline'!GD$43=0),0,MIN(GC$30,PermPmt-GD$27))</f>
        <v/>
      </c>
      <c r="GE28" s="18">
        <f>IF(OR(184&lt;=RefiMonth+PermIOMonths,'Timeline'!GE$43=0),0,MIN(GD$30,PermPmt-GE$27))</f>
        <v/>
      </c>
      <c r="GF28" s="18">
        <f>IF(OR(185&lt;=RefiMonth+PermIOMonths,'Timeline'!GF$43=0),0,MIN(GE$30,PermPmt-GF$27))</f>
        <v/>
      </c>
      <c r="GG28" s="18">
        <f>IF(OR(186&lt;=RefiMonth+PermIOMonths,'Timeline'!GG$43=0),0,MIN(GF$30,PermPmt-GG$27))</f>
        <v/>
      </c>
      <c r="GH28" s="18">
        <f>IF(OR(187&lt;=RefiMonth+PermIOMonths,'Timeline'!GH$43=0),0,MIN(GG$30,PermPmt-GH$27))</f>
        <v/>
      </c>
      <c r="GI28" s="18">
        <f>IF(OR(188&lt;=RefiMonth+PermIOMonths,'Timeline'!GI$43=0),0,MIN(GH$30,PermPmt-GI$27))</f>
        <v/>
      </c>
      <c r="GJ28" s="18">
        <f>IF(OR(189&lt;=RefiMonth+PermIOMonths,'Timeline'!GJ$43=0),0,MIN(GI$30,PermPmt-GJ$27))</f>
        <v/>
      </c>
      <c r="GK28" s="18">
        <f>IF(OR(190&lt;=RefiMonth+PermIOMonths,'Timeline'!GK$43=0),0,MIN(GJ$30,PermPmt-GK$27))</f>
        <v/>
      </c>
      <c r="GL28" s="18">
        <f>IF(OR(191&lt;=RefiMonth+PermIOMonths,'Timeline'!GL$43=0),0,MIN(GK$30,PermPmt-GL$27))</f>
        <v/>
      </c>
      <c r="GM28" s="18">
        <f>IF(OR(192&lt;=RefiMonth+PermIOMonths,'Timeline'!GM$43=0),0,MIN(GL$30,PermPmt-GM$27))</f>
        <v/>
      </c>
      <c r="GN28" s="18">
        <f>IF(OR(193&lt;=RefiMonth+PermIOMonths,'Timeline'!GN$43=0),0,MIN(GM$30,PermPmt-GN$27))</f>
        <v/>
      </c>
      <c r="GO28" s="18">
        <f>IF(OR(194&lt;=RefiMonth+PermIOMonths,'Timeline'!GO$43=0),0,MIN(GN$30,PermPmt-GO$27))</f>
        <v/>
      </c>
      <c r="GP28" s="18">
        <f>IF(OR(195&lt;=RefiMonth+PermIOMonths,'Timeline'!GP$43=0),0,MIN(GO$30,PermPmt-GP$27))</f>
        <v/>
      </c>
      <c r="GQ28" s="18">
        <f>IF(OR(196&lt;=RefiMonth+PermIOMonths,'Timeline'!GQ$43=0),0,MIN(GP$30,PermPmt-GQ$27))</f>
        <v/>
      </c>
      <c r="GR28" s="18">
        <f>IF(OR(197&lt;=RefiMonth+PermIOMonths,'Timeline'!GR$43=0),0,MIN(GQ$30,PermPmt-GR$27))</f>
        <v/>
      </c>
      <c r="GS28" s="18">
        <f>IF(OR(198&lt;=RefiMonth+PermIOMonths,'Timeline'!GS$43=0),0,MIN(GR$30,PermPmt-GS$27))</f>
        <v/>
      </c>
      <c r="GT28" s="18">
        <f>IF(OR(199&lt;=RefiMonth+PermIOMonths,'Timeline'!GT$43=0),0,MIN(GS$30,PermPmt-GT$27))</f>
        <v/>
      </c>
      <c r="GU28" s="18">
        <f>IF(OR(200&lt;=RefiMonth+PermIOMonths,'Timeline'!GU$43=0),0,MIN(GT$30,PermPmt-GU$27))</f>
        <v/>
      </c>
      <c r="GV28" s="18">
        <f>IF(OR(201&lt;=RefiMonth+PermIOMonths,'Timeline'!GV$43=0),0,MIN(GU$30,PermPmt-GV$27))</f>
        <v/>
      </c>
      <c r="GW28" s="18">
        <f>IF(OR(202&lt;=RefiMonth+PermIOMonths,'Timeline'!GW$43=0),0,MIN(GV$30,PermPmt-GW$27))</f>
        <v/>
      </c>
      <c r="GX28" s="18">
        <f>IF(OR(203&lt;=RefiMonth+PermIOMonths,'Timeline'!GX$43=0),0,MIN(GW$30,PermPmt-GX$27))</f>
        <v/>
      </c>
      <c r="GY28" s="18">
        <f>IF(OR(204&lt;=RefiMonth+PermIOMonths,'Timeline'!GY$43=0),0,MIN(GX$30,PermPmt-GY$27))</f>
        <v/>
      </c>
      <c r="GZ28" s="18">
        <f>IF(OR(205&lt;=RefiMonth+PermIOMonths,'Timeline'!GZ$43=0),0,MIN(GY$30,PermPmt-GZ$27))</f>
        <v/>
      </c>
      <c r="HA28" s="18">
        <f>IF(OR(206&lt;=RefiMonth+PermIOMonths,'Timeline'!HA$43=0),0,MIN(GZ$30,PermPmt-HA$27))</f>
        <v/>
      </c>
      <c r="HB28" s="18">
        <f>IF(OR(207&lt;=RefiMonth+PermIOMonths,'Timeline'!HB$43=0),0,MIN(HA$30,PermPmt-HB$27))</f>
        <v/>
      </c>
      <c r="HC28" s="18">
        <f>IF(OR(208&lt;=RefiMonth+PermIOMonths,'Timeline'!HC$43=0),0,MIN(HB$30,PermPmt-HC$27))</f>
        <v/>
      </c>
      <c r="HD28" s="18">
        <f>IF(OR(209&lt;=RefiMonth+PermIOMonths,'Timeline'!HD$43=0),0,MIN(HC$30,PermPmt-HD$27))</f>
        <v/>
      </c>
      <c r="HE28" s="18">
        <f>IF(OR(210&lt;=RefiMonth+PermIOMonths,'Timeline'!HE$43=0),0,MIN(HD$30,PermPmt-HE$27))</f>
        <v/>
      </c>
      <c r="HF28" s="18">
        <f>IF(OR(211&lt;=RefiMonth+PermIOMonths,'Timeline'!HF$43=0),0,MIN(HE$30,PermPmt-HF$27))</f>
        <v/>
      </c>
      <c r="HG28" s="18">
        <f>IF(OR(212&lt;=RefiMonth+PermIOMonths,'Timeline'!HG$43=0),0,MIN(HF$30,PermPmt-HG$27))</f>
        <v/>
      </c>
      <c r="HH28" s="18">
        <f>IF(OR(213&lt;=RefiMonth+PermIOMonths,'Timeline'!HH$43=0),0,MIN(HG$30,PermPmt-HH$27))</f>
        <v/>
      </c>
      <c r="HI28" s="18">
        <f>IF(OR(214&lt;=RefiMonth+PermIOMonths,'Timeline'!HI$43=0),0,MIN(HH$30,PermPmt-HI$27))</f>
        <v/>
      </c>
      <c r="HJ28" s="18">
        <f>IF(OR(215&lt;=RefiMonth+PermIOMonths,'Timeline'!HJ$43=0),0,MIN(HI$30,PermPmt-HJ$27))</f>
        <v/>
      </c>
      <c r="HK28" s="18">
        <f>IF(OR(216&lt;=RefiMonth+PermIOMonths,'Timeline'!HK$43=0),0,MIN(HJ$30,PermPmt-HK$27))</f>
        <v/>
      </c>
      <c r="HL28" s="18">
        <f>IF(OR(217&lt;=RefiMonth+PermIOMonths,'Timeline'!HL$43=0),0,MIN(HK$30,PermPmt-HL$27))</f>
        <v/>
      </c>
      <c r="HM28" s="18">
        <f>IF(OR(218&lt;=RefiMonth+PermIOMonths,'Timeline'!HM$43=0),0,MIN(HL$30,PermPmt-HM$27))</f>
        <v/>
      </c>
      <c r="HN28" s="18">
        <f>IF(OR(219&lt;=RefiMonth+PermIOMonths,'Timeline'!HN$43=0),0,MIN(HM$30,PermPmt-HN$27))</f>
        <v/>
      </c>
      <c r="HO28" s="18">
        <f>IF(OR(220&lt;=RefiMonth+PermIOMonths,'Timeline'!HO$43=0),0,MIN(HN$30,PermPmt-HO$27))</f>
        <v/>
      </c>
      <c r="HP28" s="18">
        <f>IF(OR(221&lt;=RefiMonth+PermIOMonths,'Timeline'!HP$43=0),0,MIN(HO$30,PermPmt-HP$27))</f>
        <v/>
      </c>
      <c r="HQ28" s="18">
        <f>IF(OR(222&lt;=RefiMonth+PermIOMonths,'Timeline'!HQ$43=0),0,MIN(HP$30,PermPmt-HQ$27))</f>
        <v/>
      </c>
      <c r="HR28" s="18">
        <f>IF(OR(223&lt;=RefiMonth+PermIOMonths,'Timeline'!HR$43=0),0,MIN(HQ$30,PermPmt-HR$27))</f>
        <v/>
      </c>
      <c r="HS28" s="18">
        <f>IF(OR(224&lt;=RefiMonth+PermIOMonths,'Timeline'!HS$43=0),0,MIN(HR$30,PermPmt-HS$27))</f>
        <v/>
      </c>
      <c r="HT28" s="18">
        <f>IF(OR(225&lt;=RefiMonth+PermIOMonths,'Timeline'!HT$43=0),0,MIN(HS$30,PermPmt-HT$27))</f>
        <v/>
      </c>
      <c r="HU28" s="18">
        <f>IF(OR(226&lt;=RefiMonth+PermIOMonths,'Timeline'!HU$43=0),0,MIN(HT$30,PermPmt-HU$27))</f>
        <v/>
      </c>
      <c r="HV28" s="18">
        <f>IF(OR(227&lt;=RefiMonth+PermIOMonths,'Timeline'!HV$43=0),0,MIN(HU$30,PermPmt-HV$27))</f>
        <v/>
      </c>
      <c r="HW28" s="18">
        <f>IF(OR(228&lt;=RefiMonth+PermIOMonths,'Timeline'!HW$43=0),0,MIN(HV$30,PermPmt-HW$27))</f>
        <v/>
      </c>
      <c r="HX28" s="18">
        <f>IF(OR(229&lt;=RefiMonth+PermIOMonths,'Timeline'!HX$43=0),0,MIN(HW$30,PermPmt-HX$27))</f>
        <v/>
      </c>
      <c r="HY28" s="18">
        <f>IF(OR(230&lt;=RefiMonth+PermIOMonths,'Timeline'!HY$43=0),0,MIN(HX$30,PermPmt-HY$27))</f>
        <v/>
      </c>
      <c r="HZ28" s="18">
        <f>IF(OR(231&lt;=RefiMonth+PermIOMonths,'Timeline'!HZ$43=0),0,MIN(HY$30,PermPmt-HZ$27))</f>
        <v/>
      </c>
      <c r="IA28" s="18">
        <f>IF(OR(232&lt;=RefiMonth+PermIOMonths,'Timeline'!IA$43=0),0,MIN(HZ$30,PermPmt-IA$27))</f>
        <v/>
      </c>
      <c r="IB28" s="18">
        <f>IF(OR(233&lt;=RefiMonth+PermIOMonths,'Timeline'!IB$43=0),0,MIN(IA$30,PermPmt-IB$27))</f>
        <v/>
      </c>
      <c r="IC28" s="18">
        <f>IF(OR(234&lt;=RefiMonth+PermIOMonths,'Timeline'!IC$43=0),0,MIN(IB$30,PermPmt-IC$27))</f>
        <v/>
      </c>
      <c r="ID28" s="18">
        <f>IF(OR(235&lt;=RefiMonth+PermIOMonths,'Timeline'!ID$43=0),0,MIN(IC$30,PermPmt-ID$27))</f>
        <v/>
      </c>
      <c r="IE28" s="18">
        <f>IF(OR(236&lt;=RefiMonth+PermIOMonths,'Timeline'!IE$43=0),0,MIN(ID$30,PermPmt-IE$27))</f>
        <v/>
      </c>
      <c r="IF28" s="18">
        <f>IF(OR(237&lt;=RefiMonth+PermIOMonths,'Timeline'!IF$43=0),0,MIN(IE$30,PermPmt-IF$27))</f>
        <v/>
      </c>
      <c r="IG28" s="18">
        <f>IF(OR(238&lt;=RefiMonth+PermIOMonths,'Timeline'!IG$43=0),0,MIN(IF$30,PermPmt-IG$27))</f>
        <v/>
      </c>
      <c r="IH28" s="18">
        <f>IF(OR(239&lt;=RefiMonth+PermIOMonths,'Timeline'!IH$43=0),0,MIN(IG$30,PermPmt-IH$27))</f>
        <v/>
      </c>
      <c r="II28" s="18">
        <f>IF(OR(240&lt;=RefiMonth+PermIOMonths,'Timeline'!II$43=0),0,MIN(IH$30,PermPmt-II$27))</f>
        <v/>
      </c>
      <c r="IJ28" s="18">
        <f>IF(OR(241&lt;=RefiMonth+PermIOMonths,'Timeline'!IJ$43=0),0,MIN(II$30,PermPmt-IJ$27))</f>
        <v/>
      </c>
      <c r="IK28" s="18">
        <f>IF(OR(242&lt;=RefiMonth+PermIOMonths,'Timeline'!IK$43=0),0,MIN(IJ$30,PermPmt-IK$27))</f>
        <v/>
      </c>
      <c r="IL28" s="18">
        <f>IF(OR(243&lt;=RefiMonth+PermIOMonths,'Timeline'!IL$43=0),0,MIN(IK$30,PermPmt-IL$27))</f>
        <v/>
      </c>
      <c r="IM28" s="18">
        <f>IF(OR(244&lt;=RefiMonth+PermIOMonths,'Timeline'!IM$43=0),0,MIN(IL$30,PermPmt-IM$27))</f>
        <v/>
      </c>
      <c r="IN28" s="18">
        <f>IF(OR(245&lt;=RefiMonth+PermIOMonths,'Timeline'!IN$43=0),0,MIN(IM$30,PermPmt-IN$27))</f>
        <v/>
      </c>
      <c r="IO28" s="18">
        <f>IF(OR(246&lt;=RefiMonth+PermIOMonths,'Timeline'!IO$43=0),0,MIN(IN$30,PermPmt-IO$27))</f>
        <v/>
      </c>
      <c r="IP28" s="18">
        <f>IF(OR(247&lt;=RefiMonth+PermIOMonths,'Timeline'!IP$43=0),0,MIN(IO$30,PermPmt-IP$27))</f>
        <v/>
      </c>
      <c r="IQ28" s="18">
        <f>IF(OR(248&lt;=RefiMonth+PermIOMonths,'Timeline'!IQ$43=0),0,MIN(IP$30,PermPmt-IQ$27))</f>
        <v/>
      </c>
      <c r="IR28" s="18">
        <f>IF(OR(249&lt;=RefiMonth+PermIOMonths,'Timeline'!IR$43=0),0,MIN(IQ$30,PermPmt-IR$27))</f>
        <v/>
      </c>
      <c r="IS28" s="18">
        <f>IF(OR(250&lt;=RefiMonth+PermIOMonths,'Timeline'!IS$43=0),0,MIN(IR$30,PermPmt-IS$27))</f>
        <v/>
      </c>
      <c r="IT28" s="18">
        <f>IF(OR(251&lt;=RefiMonth+PermIOMonths,'Timeline'!IT$43=0),0,MIN(IS$30,PermPmt-IT$27))</f>
        <v/>
      </c>
      <c r="IU28" s="18">
        <f>IF(OR(252&lt;=RefiMonth+PermIOMonths,'Timeline'!IU$43=0),0,MIN(IT$30,PermPmt-IU$27))</f>
        <v/>
      </c>
      <c r="IV28" s="18">
        <f>IF(OR(253&lt;=RefiMonth+PermIOMonths,'Timeline'!IV$43=0),0,MIN(IU$30,PermPmt-IV$27))</f>
        <v/>
      </c>
      <c r="IW28" s="18">
        <f>IF(OR(254&lt;=RefiMonth+PermIOMonths,'Timeline'!IW$43=0),0,MIN(IV$30,PermPmt-IW$27))</f>
        <v/>
      </c>
      <c r="IX28" s="18">
        <f>IF(OR(255&lt;=RefiMonth+PermIOMonths,'Timeline'!IX$43=0),0,MIN(IW$30,PermPmt-IX$27))</f>
        <v/>
      </c>
      <c r="IY28" s="18">
        <f>IF(OR(256&lt;=RefiMonth+PermIOMonths,'Timeline'!IY$43=0),0,MIN(IX$30,PermPmt-IY$27))</f>
        <v/>
      </c>
      <c r="IZ28" s="18">
        <f>IF(OR(257&lt;=RefiMonth+PermIOMonths,'Timeline'!IZ$43=0),0,MIN(IY$30,PermPmt-IZ$27))</f>
        <v/>
      </c>
      <c r="JA28" s="18">
        <f>IF(OR(258&lt;=RefiMonth+PermIOMonths,'Timeline'!JA$43=0),0,MIN(IZ$30,PermPmt-JA$27))</f>
        <v/>
      </c>
      <c r="JB28" s="18">
        <f>IF(OR(259&lt;=RefiMonth+PermIOMonths,'Timeline'!JB$43=0),0,MIN(JA$30,PermPmt-JB$27))</f>
        <v/>
      </c>
      <c r="JC28" s="18">
        <f>IF(OR(260&lt;=RefiMonth+PermIOMonths,'Timeline'!JC$43=0),0,MIN(JB$30,PermPmt-JC$27))</f>
        <v/>
      </c>
      <c r="JD28" s="18">
        <f>IF(OR(261&lt;=RefiMonth+PermIOMonths,'Timeline'!JD$43=0),0,MIN(JC$30,PermPmt-JD$27))</f>
        <v/>
      </c>
      <c r="JE28" s="18">
        <f>IF(OR(262&lt;=RefiMonth+PermIOMonths,'Timeline'!JE$43=0),0,MIN(JD$30,PermPmt-JE$27))</f>
        <v/>
      </c>
      <c r="JF28" s="18">
        <f>IF(OR(263&lt;=RefiMonth+PermIOMonths,'Timeline'!JF$43=0),0,MIN(JE$30,PermPmt-JF$27))</f>
        <v/>
      </c>
      <c r="JG28" s="18">
        <f>IF(OR(264&lt;=RefiMonth+PermIOMonths,'Timeline'!JG$43=0),0,MIN(JF$30,PermPmt-JG$27))</f>
        <v/>
      </c>
      <c r="JH28" s="18">
        <f>IF(OR(265&lt;=RefiMonth+PermIOMonths,'Timeline'!JH$43=0),0,MIN(JG$30,PermPmt-JH$27))</f>
        <v/>
      </c>
      <c r="JI28" s="18">
        <f>IF(OR(266&lt;=RefiMonth+PermIOMonths,'Timeline'!JI$43=0),0,MIN(JH$30,PermPmt-JI$27))</f>
        <v/>
      </c>
      <c r="JJ28" s="18">
        <f>IF(OR(267&lt;=RefiMonth+PermIOMonths,'Timeline'!JJ$43=0),0,MIN(JI$30,PermPmt-JJ$27))</f>
        <v/>
      </c>
      <c r="JK28" s="18">
        <f>IF(OR(268&lt;=RefiMonth+PermIOMonths,'Timeline'!JK$43=0),0,MIN(JJ$30,PermPmt-JK$27))</f>
        <v/>
      </c>
      <c r="JL28" s="18">
        <f>IF(OR(269&lt;=RefiMonth+PermIOMonths,'Timeline'!JL$43=0),0,MIN(JK$30,PermPmt-JL$27))</f>
        <v/>
      </c>
      <c r="JM28" s="18">
        <f>IF(OR(270&lt;=RefiMonth+PermIOMonths,'Timeline'!JM$43=0),0,MIN(JL$30,PermPmt-JM$27))</f>
        <v/>
      </c>
      <c r="JN28" s="18">
        <f>IF(OR(271&lt;=RefiMonth+PermIOMonths,'Timeline'!JN$43=0),0,MIN(JM$30,PermPmt-JN$27))</f>
        <v/>
      </c>
      <c r="JO28" s="18">
        <f>IF(OR(272&lt;=RefiMonth+PermIOMonths,'Timeline'!JO$43=0),0,MIN(JN$30,PermPmt-JO$27))</f>
        <v/>
      </c>
      <c r="JP28" s="18">
        <f>IF(OR(273&lt;=RefiMonth+PermIOMonths,'Timeline'!JP$43=0),0,MIN(JO$30,PermPmt-JP$27))</f>
        <v/>
      </c>
      <c r="JQ28" s="18">
        <f>IF(OR(274&lt;=RefiMonth+PermIOMonths,'Timeline'!JQ$43=0),0,MIN(JP$30,PermPmt-JQ$27))</f>
        <v/>
      </c>
      <c r="JR28" s="18">
        <f>IF(OR(275&lt;=RefiMonth+PermIOMonths,'Timeline'!JR$43=0),0,MIN(JQ$30,PermPmt-JR$27))</f>
        <v/>
      </c>
      <c r="JS28" s="18">
        <f>IF(OR(276&lt;=RefiMonth+PermIOMonths,'Timeline'!JS$43=0),0,MIN(JR$30,PermPmt-JS$27))</f>
        <v/>
      </c>
      <c r="JT28" s="18">
        <f>IF(OR(277&lt;=RefiMonth+PermIOMonths,'Timeline'!JT$43=0),0,MIN(JS$30,PermPmt-JT$27))</f>
        <v/>
      </c>
      <c r="JU28" s="18">
        <f>IF(OR(278&lt;=RefiMonth+PermIOMonths,'Timeline'!JU$43=0),0,MIN(JT$30,PermPmt-JU$27))</f>
        <v/>
      </c>
      <c r="JV28" s="18">
        <f>IF(OR(279&lt;=RefiMonth+PermIOMonths,'Timeline'!JV$43=0),0,MIN(JU$30,PermPmt-JV$27))</f>
        <v/>
      </c>
      <c r="JW28" s="18">
        <f>IF(OR(280&lt;=RefiMonth+PermIOMonths,'Timeline'!JW$43=0),0,MIN(JV$30,PermPmt-JW$27))</f>
        <v/>
      </c>
      <c r="JX28" s="18">
        <f>IF(OR(281&lt;=RefiMonth+PermIOMonths,'Timeline'!JX$43=0),0,MIN(JW$30,PermPmt-JX$27))</f>
        <v/>
      </c>
      <c r="JY28" s="18">
        <f>IF(OR(282&lt;=RefiMonth+PermIOMonths,'Timeline'!JY$43=0),0,MIN(JX$30,PermPmt-JY$27))</f>
        <v/>
      </c>
      <c r="JZ28" s="18">
        <f>IF(OR(283&lt;=RefiMonth+PermIOMonths,'Timeline'!JZ$43=0),0,MIN(JY$30,PermPmt-JZ$27))</f>
        <v/>
      </c>
      <c r="KA28" s="18">
        <f>IF(OR(284&lt;=RefiMonth+PermIOMonths,'Timeline'!KA$43=0),0,MIN(JZ$30,PermPmt-KA$27))</f>
        <v/>
      </c>
      <c r="KB28" s="18">
        <f>IF(OR(285&lt;=RefiMonth+PermIOMonths,'Timeline'!KB$43=0),0,MIN(KA$30,PermPmt-KB$27))</f>
        <v/>
      </c>
      <c r="KC28" s="18">
        <f>IF(OR(286&lt;=RefiMonth+PermIOMonths,'Timeline'!KC$43=0),0,MIN(KB$30,PermPmt-KC$27))</f>
        <v/>
      </c>
      <c r="KD28" s="18">
        <f>IF(OR(287&lt;=RefiMonth+PermIOMonths,'Timeline'!KD$43=0),0,MIN(KC$30,PermPmt-KD$27))</f>
        <v/>
      </c>
      <c r="KE28" s="18">
        <f>IF(OR(288&lt;=RefiMonth+PermIOMonths,'Timeline'!KE$43=0),0,MIN(KD$30,PermPmt-KE$27))</f>
        <v/>
      </c>
      <c r="KF28" s="18">
        <f>IF(OR(289&lt;=RefiMonth+PermIOMonths,'Timeline'!KF$43=0),0,MIN(KE$30,PermPmt-KF$27))</f>
        <v/>
      </c>
      <c r="KG28" s="18">
        <f>IF(OR(290&lt;=RefiMonth+PermIOMonths,'Timeline'!KG$43=0),0,MIN(KF$30,PermPmt-KG$27))</f>
        <v/>
      </c>
      <c r="KH28" s="18">
        <f>IF(OR(291&lt;=RefiMonth+PermIOMonths,'Timeline'!KH$43=0),0,MIN(KG$30,PermPmt-KH$27))</f>
        <v/>
      </c>
      <c r="KI28" s="18">
        <f>IF(OR(292&lt;=RefiMonth+PermIOMonths,'Timeline'!KI$43=0),0,MIN(KH$30,PermPmt-KI$27))</f>
        <v/>
      </c>
      <c r="KJ28" s="18">
        <f>IF(OR(293&lt;=RefiMonth+PermIOMonths,'Timeline'!KJ$43=0),0,MIN(KI$30,PermPmt-KJ$27))</f>
        <v/>
      </c>
      <c r="KK28" s="18">
        <f>IF(OR(294&lt;=RefiMonth+PermIOMonths,'Timeline'!KK$43=0),0,MIN(KJ$30,PermPmt-KK$27))</f>
        <v/>
      </c>
      <c r="KL28" s="18">
        <f>IF(OR(295&lt;=RefiMonth+PermIOMonths,'Timeline'!KL$43=0),0,MIN(KK$30,PermPmt-KL$27))</f>
        <v/>
      </c>
      <c r="KM28" s="18">
        <f>IF(OR(296&lt;=RefiMonth+PermIOMonths,'Timeline'!KM$43=0),0,MIN(KL$30,PermPmt-KM$27))</f>
        <v/>
      </c>
      <c r="KN28" s="18">
        <f>IF(OR(297&lt;=RefiMonth+PermIOMonths,'Timeline'!KN$43=0),0,MIN(KM$30,PermPmt-KN$27))</f>
        <v/>
      </c>
      <c r="KO28" s="18">
        <f>IF(OR(298&lt;=RefiMonth+PermIOMonths,'Timeline'!KO$43=0),0,MIN(KN$30,PermPmt-KO$27))</f>
        <v/>
      </c>
      <c r="KP28" s="18">
        <f>IF(OR(299&lt;=RefiMonth+PermIOMonths,'Timeline'!KP$43=0),0,MIN(KO$30,PermPmt-KP$27))</f>
        <v/>
      </c>
      <c r="KQ28" s="18">
        <f>IF(OR(300&lt;=RefiMonth+PermIOMonths,'Timeline'!KQ$43=0),0,MIN(KP$30,PermPmt-KQ$27))</f>
        <v/>
      </c>
      <c r="KR28" s="18">
        <f>IF(OR(301&lt;=RefiMonth+PermIOMonths,'Timeline'!KR$43=0),0,MIN(KQ$30,PermPmt-KR$27))</f>
        <v/>
      </c>
      <c r="KS28" s="18">
        <f>IF(OR(302&lt;=RefiMonth+PermIOMonths,'Timeline'!KS$43=0),0,MIN(KR$30,PermPmt-KS$27))</f>
        <v/>
      </c>
      <c r="KT28" s="18">
        <f>IF(OR(303&lt;=RefiMonth+PermIOMonths,'Timeline'!KT$43=0),0,MIN(KS$30,PermPmt-KT$27))</f>
        <v/>
      </c>
      <c r="KU28" s="18">
        <f>IF(OR(304&lt;=RefiMonth+PermIOMonths,'Timeline'!KU$43=0),0,MIN(KT$30,PermPmt-KU$27))</f>
        <v/>
      </c>
      <c r="KV28" s="18">
        <f>IF(OR(305&lt;=RefiMonth+PermIOMonths,'Timeline'!KV$43=0),0,MIN(KU$30,PermPmt-KV$27))</f>
        <v/>
      </c>
      <c r="KW28" s="18">
        <f>IF(OR(306&lt;=RefiMonth+PermIOMonths,'Timeline'!KW$43=0),0,MIN(KV$30,PermPmt-KW$27))</f>
        <v/>
      </c>
      <c r="KX28" s="18">
        <f>IF(OR(307&lt;=RefiMonth+PermIOMonths,'Timeline'!KX$43=0),0,MIN(KW$30,PermPmt-KX$27))</f>
        <v/>
      </c>
      <c r="KY28" s="18">
        <f>IF(OR(308&lt;=RefiMonth+PermIOMonths,'Timeline'!KY$43=0),0,MIN(KX$30,PermPmt-KY$27))</f>
        <v/>
      </c>
      <c r="KZ28" s="18">
        <f>IF(OR(309&lt;=RefiMonth+PermIOMonths,'Timeline'!KZ$43=0),0,MIN(KY$30,PermPmt-KZ$27))</f>
        <v/>
      </c>
      <c r="LA28" s="18">
        <f>IF(OR(310&lt;=RefiMonth+PermIOMonths,'Timeline'!LA$43=0),0,MIN(KZ$30,PermPmt-LA$27))</f>
        <v/>
      </c>
      <c r="LB28" s="18">
        <f>IF(OR(311&lt;=RefiMonth+PermIOMonths,'Timeline'!LB$43=0),0,MIN(LA$30,PermPmt-LB$27))</f>
        <v/>
      </c>
      <c r="LC28" s="18">
        <f>IF(OR(312&lt;=RefiMonth+PermIOMonths,'Timeline'!LC$43=0),0,MIN(LB$30,PermPmt-LC$27))</f>
        <v/>
      </c>
      <c r="LD28" s="18">
        <f>IF(OR(313&lt;=RefiMonth+PermIOMonths,'Timeline'!LD$43=0),0,MIN(LC$30,PermPmt-LD$27))</f>
        <v/>
      </c>
      <c r="LE28" s="18">
        <f>IF(OR(314&lt;=RefiMonth+PermIOMonths,'Timeline'!LE$43=0),0,MIN(LD$30,PermPmt-LE$27))</f>
        <v/>
      </c>
      <c r="LF28" s="18">
        <f>IF(OR(315&lt;=RefiMonth+PermIOMonths,'Timeline'!LF$43=0),0,MIN(LE$30,PermPmt-LF$27))</f>
        <v/>
      </c>
      <c r="LG28" s="18">
        <f>IF(OR(316&lt;=RefiMonth+PermIOMonths,'Timeline'!LG$43=0),0,MIN(LF$30,PermPmt-LG$27))</f>
        <v/>
      </c>
      <c r="LH28" s="18">
        <f>IF(OR(317&lt;=RefiMonth+PermIOMonths,'Timeline'!LH$43=0),0,MIN(LG$30,PermPmt-LH$27))</f>
        <v/>
      </c>
      <c r="LI28" s="18">
        <f>IF(OR(318&lt;=RefiMonth+PermIOMonths,'Timeline'!LI$43=0),0,MIN(LH$30,PermPmt-LI$27))</f>
        <v/>
      </c>
      <c r="LJ28" s="18">
        <f>IF(OR(319&lt;=RefiMonth+PermIOMonths,'Timeline'!LJ$43=0),0,MIN(LI$30,PermPmt-LJ$27))</f>
        <v/>
      </c>
      <c r="LK28" s="18">
        <f>IF(OR(320&lt;=RefiMonth+PermIOMonths,'Timeline'!LK$43=0),0,MIN(LJ$30,PermPmt-LK$27))</f>
        <v/>
      </c>
      <c r="LL28" s="18">
        <f>IF(OR(321&lt;=RefiMonth+PermIOMonths,'Timeline'!LL$43=0),0,MIN(LK$30,PermPmt-LL$27))</f>
        <v/>
      </c>
      <c r="LM28" s="18">
        <f>IF(OR(322&lt;=RefiMonth+PermIOMonths,'Timeline'!LM$43=0),0,MIN(LL$30,PermPmt-LM$27))</f>
        <v/>
      </c>
      <c r="LN28" s="18">
        <f>IF(OR(323&lt;=RefiMonth+PermIOMonths,'Timeline'!LN$43=0),0,MIN(LM$30,PermPmt-LN$27))</f>
        <v/>
      </c>
      <c r="LO28" s="18">
        <f>IF(OR(324&lt;=RefiMonth+PermIOMonths,'Timeline'!LO$43=0),0,MIN(LN$30,PermPmt-LO$27))</f>
        <v/>
      </c>
      <c r="LP28" s="18">
        <f>IF(OR(325&lt;=RefiMonth+PermIOMonths,'Timeline'!LP$43=0),0,MIN(LO$30,PermPmt-LP$27))</f>
        <v/>
      </c>
      <c r="LQ28" s="18">
        <f>IF(OR(326&lt;=RefiMonth+PermIOMonths,'Timeline'!LQ$43=0),0,MIN(LP$30,PermPmt-LQ$27))</f>
        <v/>
      </c>
      <c r="LR28" s="18">
        <f>IF(OR(327&lt;=RefiMonth+PermIOMonths,'Timeline'!LR$43=0),0,MIN(LQ$30,PermPmt-LR$27))</f>
        <v/>
      </c>
      <c r="LS28" s="18">
        <f>IF(OR(328&lt;=RefiMonth+PermIOMonths,'Timeline'!LS$43=0),0,MIN(LR$30,PermPmt-LS$27))</f>
        <v/>
      </c>
      <c r="LT28" s="18">
        <f>IF(OR(329&lt;=RefiMonth+PermIOMonths,'Timeline'!LT$43=0),0,MIN(LS$30,PermPmt-LT$27))</f>
        <v/>
      </c>
      <c r="LU28" s="18">
        <f>IF(OR(330&lt;=RefiMonth+PermIOMonths,'Timeline'!LU$43=0),0,MIN(LT$30,PermPmt-LU$27))</f>
        <v/>
      </c>
      <c r="LV28" s="18">
        <f>IF(OR(331&lt;=RefiMonth+PermIOMonths,'Timeline'!LV$43=0),0,MIN(LU$30,PermPmt-LV$27))</f>
        <v/>
      </c>
      <c r="LW28" s="18">
        <f>IF(OR(332&lt;=RefiMonth+PermIOMonths,'Timeline'!LW$43=0),0,MIN(LV$30,PermPmt-LW$27))</f>
        <v/>
      </c>
      <c r="LX28" s="18">
        <f>IF(OR(333&lt;=RefiMonth+PermIOMonths,'Timeline'!LX$43=0),0,MIN(LW$30,PermPmt-LX$27))</f>
        <v/>
      </c>
      <c r="LY28" s="18">
        <f>IF(OR(334&lt;=RefiMonth+PermIOMonths,'Timeline'!LY$43=0),0,MIN(LX$30,PermPmt-LY$27))</f>
        <v/>
      </c>
      <c r="LZ28" s="18">
        <f>IF(OR(335&lt;=RefiMonth+PermIOMonths,'Timeline'!LZ$43=0),0,MIN(LY$30,PermPmt-LZ$27))</f>
        <v/>
      </c>
      <c r="MA28" s="18">
        <f>IF(OR(336&lt;=RefiMonth+PermIOMonths,'Timeline'!MA$43=0),0,MIN(LZ$30,PermPmt-MA$27))</f>
        <v/>
      </c>
      <c r="MB28" s="18">
        <f>IF(OR(337&lt;=RefiMonth+PermIOMonths,'Timeline'!MB$43=0),0,MIN(MA$30,PermPmt-MB$27))</f>
        <v/>
      </c>
      <c r="MC28" s="18">
        <f>IF(OR(338&lt;=RefiMonth+PermIOMonths,'Timeline'!MC$43=0),0,MIN(MB$30,PermPmt-MC$27))</f>
        <v/>
      </c>
      <c r="MD28" s="18">
        <f>IF(OR(339&lt;=RefiMonth+PermIOMonths,'Timeline'!MD$43=0),0,MIN(MC$30,PermPmt-MD$27))</f>
        <v/>
      </c>
      <c r="ME28" s="18">
        <f>IF(OR(340&lt;=RefiMonth+PermIOMonths,'Timeline'!ME$43=0),0,MIN(MD$30,PermPmt-ME$27))</f>
        <v/>
      </c>
      <c r="MF28" s="18">
        <f>IF(OR(341&lt;=RefiMonth+PermIOMonths,'Timeline'!MF$43=0),0,MIN(ME$30,PermPmt-MF$27))</f>
        <v/>
      </c>
      <c r="MG28" s="18">
        <f>IF(OR(342&lt;=RefiMonth+PermIOMonths,'Timeline'!MG$43=0),0,MIN(MF$30,PermPmt-MG$27))</f>
        <v/>
      </c>
      <c r="MH28" s="18">
        <f>IF(OR(343&lt;=RefiMonth+PermIOMonths,'Timeline'!MH$43=0),0,MIN(MG$30,PermPmt-MH$27))</f>
        <v/>
      </c>
      <c r="MI28" s="18">
        <f>IF(OR(344&lt;=RefiMonth+PermIOMonths,'Timeline'!MI$43=0),0,MIN(MH$30,PermPmt-MI$27))</f>
        <v/>
      </c>
      <c r="MJ28" s="18">
        <f>IF(OR(345&lt;=RefiMonth+PermIOMonths,'Timeline'!MJ$43=0),0,MIN(MI$30,PermPmt-MJ$27))</f>
        <v/>
      </c>
      <c r="MK28" s="18">
        <f>IF(OR(346&lt;=RefiMonth+PermIOMonths,'Timeline'!MK$43=0),0,MIN(MJ$30,PermPmt-MK$27))</f>
        <v/>
      </c>
      <c r="ML28" s="18">
        <f>IF(OR(347&lt;=RefiMonth+PermIOMonths,'Timeline'!ML$43=0),0,MIN(MK$30,PermPmt-ML$27))</f>
        <v/>
      </c>
      <c r="MM28" s="18">
        <f>IF(OR(348&lt;=RefiMonth+PermIOMonths,'Timeline'!MM$43=0),0,MIN(ML$30,PermPmt-MM$27))</f>
        <v/>
      </c>
      <c r="MN28" s="18">
        <f>IF(OR(349&lt;=RefiMonth+PermIOMonths,'Timeline'!MN$43=0),0,MIN(MM$30,PermPmt-MN$27))</f>
        <v/>
      </c>
      <c r="MO28" s="18">
        <f>IF(OR(350&lt;=RefiMonth+PermIOMonths,'Timeline'!MO$43=0),0,MIN(MN$30,PermPmt-MO$27))</f>
        <v/>
      </c>
      <c r="MP28" s="18">
        <f>IF(OR(351&lt;=RefiMonth+PermIOMonths,'Timeline'!MP$43=0),0,MIN(MO$30,PermPmt-MP$27))</f>
        <v/>
      </c>
      <c r="MQ28" s="18">
        <f>IF(OR(352&lt;=RefiMonth+PermIOMonths,'Timeline'!MQ$43=0),0,MIN(MP$30,PermPmt-MQ$27))</f>
        <v/>
      </c>
      <c r="MR28" s="18">
        <f>IF(OR(353&lt;=RefiMonth+PermIOMonths,'Timeline'!MR$43=0),0,MIN(MQ$30,PermPmt-MR$27))</f>
        <v/>
      </c>
      <c r="MS28" s="18">
        <f>IF(OR(354&lt;=RefiMonth+PermIOMonths,'Timeline'!MS$43=0),0,MIN(MR$30,PermPmt-MS$27))</f>
        <v/>
      </c>
      <c r="MT28" s="18">
        <f>IF(OR(355&lt;=RefiMonth+PermIOMonths,'Timeline'!MT$43=0),0,MIN(MS$30,PermPmt-MT$27))</f>
        <v/>
      </c>
      <c r="MU28" s="18">
        <f>IF(OR(356&lt;=RefiMonth+PermIOMonths,'Timeline'!MU$43=0),0,MIN(MT$30,PermPmt-MU$27))</f>
        <v/>
      </c>
      <c r="MV28" s="18">
        <f>IF(OR(357&lt;=RefiMonth+PermIOMonths,'Timeline'!MV$43=0),0,MIN(MU$30,PermPmt-MV$27))</f>
        <v/>
      </c>
      <c r="MW28" s="18">
        <f>IF(OR(358&lt;=RefiMonth+PermIOMonths,'Timeline'!MW$43=0),0,MIN(MV$30,PermPmt-MW$27))</f>
        <v/>
      </c>
      <c r="MX28" s="18">
        <f>IF(OR(359&lt;=RefiMonth+PermIOMonths,'Timeline'!MX$43=0),0,MIN(MW$30,PermPmt-MX$27))</f>
        <v/>
      </c>
      <c r="MY28" s="18">
        <f>IF(OR(360&lt;=RefiMonth+PermIOMonths,'Timeline'!MY$43=0),0,MIN(MX$30,PermPmt-MY$27))</f>
        <v/>
      </c>
      <c r="MZ28" s="18">
        <f>IF(OR(361&lt;=RefiMonth+PermIOMonths,'Timeline'!MZ$43=0),0,MIN(MY$30,PermPmt-MZ$27))</f>
        <v/>
      </c>
      <c r="NA28" s="18">
        <f>IF(OR(362&lt;=RefiMonth+PermIOMonths,'Timeline'!NA$43=0),0,MIN(MZ$30,PermPmt-NA$27))</f>
        <v/>
      </c>
      <c r="NB28" s="18">
        <f>IF(OR(363&lt;=RefiMonth+PermIOMonths,'Timeline'!NB$43=0),0,MIN(NA$30,PermPmt-NB$27))</f>
        <v/>
      </c>
      <c r="NC28" s="18">
        <f>IF(OR(364&lt;=RefiMonth+PermIOMonths,'Timeline'!NC$43=0),0,MIN(NB$30,PermPmt-NC$27))</f>
        <v/>
      </c>
      <c r="ND28" s="18">
        <f>IF(OR(365&lt;=RefiMonth+PermIOMonths,'Timeline'!ND$43=0),0,MIN(NC$30,PermPmt-ND$27))</f>
        <v/>
      </c>
      <c r="NE28" s="18">
        <f>IF(OR(366&lt;=RefiMonth+PermIOMonths,'Timeline'!NE$43=0),0,MIN(ND$30,PermPmt-NE$27))</f>
        <v/>
      </c>
      <c r="NF28" s="18">
        <f>IF(OR(367&lt;=RefiMonth+PermIOMonths,'Timeline'!NF$43=0),0,MIN(NE$30,PermPmt-NF$27))</f>
        <v/>
      </c>
      <c r="NG28" s="18">
        <f>IF(OR(368&lt;=RefiMonth+PermIOMonths,'Timeline'!NG$43=0),0,MIN(NF$30,PermPmt-NG$27))</f>
        <v/>
      </c>
      <c r="NH28" s="18">
        <f>IF(OR(369&lt;=RefiMonth+PermIOMonths,'Timeline'!NH$43=0),0,MIN(NG$30,PermPmt-NH$27))</f>
        <v/>
      </c>
      <c r="NI28" s="18">
        <f>IF(OR(370&lt;=RefiMonth+PermIOMonths,'Timeline'!NI$43=0),0,MIN(NH$30,PermPmt-NI$27))</f>
        <v/>
      </c>
      <c r="NJ28" s="18">
        <f>IF(OR(371&lt;=RefiMonth+PermIOMonths,'Timeline'!NJ$43=0),0,MIN(NI$30,PermPmt-NJ$27))</f>
        <v/>
      </c>
      <c r="NK28" s="18">
        <f>IF(OR(372&lt;=RefiMonth+PermIOMonths,'Timeline'!NK$43=0),0,MIN(NJ$30,PermPmt-NK$27))</f>
        <v/>
      </c>
    </row>
    <row r="29">
      <c r="A29" s="5" t="inlineStr">
        <is>
          <t>Debt Service</t>
        </is>
      </c>
      <c r="C29" s="41">
        <f>SUM(D29:NK29)</f>
        <v/>
      </c>
      <c r="D29" s="18">
        <f>IF('Timeline'!D$43=1,D$27+D$28,0)</f>
        <v/>
      </c>
      <c r="E29" s="18">
        <f>IF('Timeline'!E$43=1,E$27+E$28,0)</f>
        <v/>
      </c>
      <c r="F29" s="18">
        <f>IF('Timeline'!F$43=1,F$27+F$28,0)</f>
        <v/>
      </c>
      <c r="G29" s="18">
        <f>IF('Timeline'!G$43=1,G$27+G$28,0)</f>
        <v/>
      </c>
      <c r="H29" s="18">
        <f>IF('Timeline'!H$43=1,H$27+H$28,0)</f>
        <v/>
      </c>
      <c r="I29" s="18">
        <f>IF('Timeline'!I$43=1,I$27+I$28,0)</f>
        <v/>
      </c>
      <c r="J29" s="18">
        <f>IF('Timeline'!J$43=1,J$27+J$28,0)</f>
        <v/>
      </c>
      <c r="K29" s="18">
        <f>IF('Timeline'!K$43=1,K$27+K$28,0)</f>
        <v/>
      </c>
      <c r="L29" s="18">
        <f>IF('Timeline'!L$43=1,L$27+L$28,0)</f>
        <v/>
      </c>
      <c r="M29" s="18">
        <f>IF('Timeline'!M$43=1,M$27+M$28,0)</f>
        <v/>
      </c>
      <c r="N29" s="18">
        <f>IF('Timeline'!N$43=1,N$27+N$28,0)</f>
        <v/>
      </c>
      <c r="O29" s="18">
        <f>IF('Timeline'!O$43=1,O$27+O$28,0)</f>
        <v/>
      </c>
      <c r="P29" s="18">
        <f>IF('Timeline'!P$43=1,P$27+P$28,0)</f>
        <v/>
      </c>
      <c r="Q29" s="18">
        <f>IF('Timeline'!Q$43=1,Q$27+Q$28,0)</f>
        <v/>
      </c>
      <c r="R29" s="18">
        <f>IF('Timeline'!R$43=1,R$27+R$28,0)</f>
        <v/>
      </c>
      <c r="S29" s="18">
        <f>IF('Timeline'!S$43=1,S$27+S$28,0)</f>
        <v/>
      </c>
      <c r="T29" s="18">
        <f>IF('Timeline'!T$43=1,T$27+T$28,0)</f>
        <v/>
      </c>
      <c r="U29" s="18">
        <f>IF('Timeline'!U$43=1,U$27+U$28,0)</f>
        <v/>
      </c>
      <c r="V29" s="18">
        <f>IF('Timeline'!V$43=1,V$27+V$28,0)</f>
        <v/>
      </c>
      <c r="W29" s="18">
        <f>IF('Timeline'!W$43=1,W$27+W$28,0)</f>
        <v/>
      </c>
      <c r="X29" s="18">
        <f>IF('Timeline'!X$43=1,X$27+X$28,0)</f>
        <v/>
      </c>
      <c r="Y29" s="18">
        <f>IF('Timeline'!Y$43=1,Y$27+Y$28,0)</f>
        <v/>
      </c>
      <c r="Z29" s="18">
        <f>IF('Timeline'!Z$43=1,Z$27+Z$28,0)</f>
        <v/>
      </c>
      <c r="AA29" s="18">
        <f>IF('Timeline'!AA$43=1,AA$27+AA$28,0)</f>
        <v/>
      </c>
      <c r="AB29" s="18">
        <f>IF('Timeline'!AB$43=1,AB$27+AB$28,0)</f>
        <v/>
      </c>
      <c r="AC29" s="18">
        <f>IF('Timeline'!AC$43=1,AC$27+AC$28,0)</f>
        <v/>
      </c>
      <c r="AD29" s="18">
        <f>IF('Timeline'!AD$43=1,AD$27+AD$28,0)</f>
        <v/>
      </c>
      <c r="AE29" s="18">
        <f>IF('Timeline'!AE$43=1,AE$27+AE$28,0)</f>
        <v/>
      </c>
      <c r="AF29" s="18">
        <f>IF('Timeline'!AF$43=1,AF$27+AF$28,0)</f>
        <v/>
      </c>
      <c r="AG29" s="18">
        <f>IF('Timeline'!AG$43=1,AG$27+AG$28,0)</f>
        <v/>
      </c>
      <c r="AH29" s="18">
        <f>IF('Timeline'!AH$43=1,AH$27+AH$28,0)</f>
        <v/>
      </c>
      <c r="AI29" s="18">
        <f>IF('Timeline'!AI$43=1,AI$27+AI$28,0)</f>
        <v/>
      </c>
      <c r="AJ29" s="18">
        <f>IF('Timeline'!AJ$43=1,AJ$27+AJ$28,0)</f>
        <v/>
      </c>
      <c r="AK29" s="18">
        <f>IF('Timeline'!AK$43=1,AK$27+AK$28,0)</f>
        <v/>
      </c>
      <c r="AL29" s="18">
        <f>IF('Timeline'!AL$43=1,AL$27+AL$28,0)</f>
        <v/>
      </c>
      <c r="AM29" s="18">
        <f>IF('Timeline'!AM$43=1,AM$27+AM$28,0)</f>
        <v/>
      </c>
      <c r="AN29" s="18">
        <f>IF('Timeline'!AN$43=1,AN$27+AN$28,0)</f>
        <v/>
      </c>
      <c r="AO29" s="18">
        <f>IF('Timeline'!AO$43=1,AO$27+AO$28,0)</f>
        <v/>
      </c>
      <c r="AP29" s="18">
        <f>IF('Timeline'!AP$43=1,AP$27+AP$28,0)</f>
        <v/>
      </c>
      <c r="AQ29" s="18">
        <f>IF('Timeline'!AQ$43=1,AQ$27+AQ$28,0)</f>
        <v/>
      </c>
      <c r="AR29" s="18">
        <f>IF('Timeline'!AR$43=1,AR$27+AR$28,0)</f>
        <v/>
      </c>
      <c r="AS29" s="18">
        <f>IF('Timeline'!AS$43=1,AS$27+AS$28,0)</f>
        <v/>
      </c>
      <c r="AT29" s="18">
        <f>IF('Timeline'!AT$43=1,AT$27+AT$28,0)</f>
        <v/>
      </c>
      <c r="AU29" s="18">
        <f>IF('Timeline'!AU$43=1,AU$27+AU$28,0)</f>
        <v/>
      </c>
      <c r="AV29" s="18">
        <f>IF('Timeline'!AV$43=1,AV$27+AV$28,0)</f>
        <v/>
      </c>
      <c r="AW29" s="18">
        <f>IF('Timeline'!AW$43=1,AW$27+AW$28,0)</f>
        <v/>
      </c>
      <c r="AX29" s="18">
        <f>IF('Timeline'!AX$43=1,AX$27+AX$28,0)</f>
        <v/>
      </c>
      <c r="AY29" s="18">
        <f>IF('Timeline'!AY$43=1,AY$27+AY$28,0)</f>
        <v/>
      </c>
      <c r="AZ29" s="18">
        <f>IF('Timeline'!AZ$43=1,AZ$27+AZ$28,0)</f>
        <v/>
      </c>
      <c r="BA29" s="18">
        <f>IF('Timeline'!BA$43=1,BA$27+BA$28,0)</f>
        <v/>
      </c>
      <c r="BB29" s="18">
        <f>IF('Timeline'!BB$43=1,BB$27+BB$28,0)</f>
        <v/>
      </c>
      <c r="BC29" s="18">
        <f>IF('Timeline'!BC$43=1,BC$27+BC$28,0)</f>
        <v/>
      </c>
      <c r="BD29" s="18">
        <f>IF('Timeline'!BD$43=1,BD$27+BD$28,0)</f>
        <v/>
      </c>
      <c r="BE29" s="18">
        <f>IF('Timeline'!BE$43=1,BE$27+BE$28,0)</f>
        <v/>
      </c>
      <c r="BF29" s="18">
        <f>IF('Timeline'!BF$43=1,BF$27+BF$28,0)</f>
        <v/>
      </c>
      <c r="BG29" s="18">
        <f>IF('Timeline'!BG$43=1,BG$27+BG$28,0)</f>
        <v/>
      </c>
      <c r="BH29" s="18">
        <f>IF('Timeline'!BH$43=1,BH$27+BH$28,0)</f>
        <v/>
      </c>
      <c r="BI29" s="18">
        <f>IF('Timeline'!BI$43=1,BI$27+BI$28,0)</f>
        <v/>
      </c>
      <c r="BJ29" s="18">
        <f>IF('Timeline'!BJ$43=1,BJ$27+BJ$28,0)</f>
        <v/>
      </c>
      <c r="BK29" s="18">
        <f>IF('Timeline'!BK$43=1,BK$27+BK$28,0)</f>
        <v/>
      </c>
      <c r="BL29" s="18">
        <f>IF('Timeline'!BL$43=1,BL$27+BL$28,0)</f>
        <v/>
      </c>
      <c r="BM29" s="18">
        <f>IF('Timeline'!BM$43=1,BM$27+BM$28,0)</f>
        <v/>
      </c>
      <c r="BN29" s="18">
        <f>IF('Timeline'!BN$43=1,BN$27+BN$28,0)</f>
        <v/>
      </c>
      <c r="BO29" s="18">
        <f>IF('Timeline'!BO$43=1,BO$27+BO$28,0)</f>
        <v/>
      </c>
      <c r="BP29" s="18">
        <f>IF('Timeline'!BP$43=1,BP$27+BP$28,0)</f>
        <v/>
      </c>
      <c r="BQ29" s="18">
        <f>IF('Timeline'!BQ$43=1,BQ$27+BQ$28,0)</f>
        <v/>
      </c>
      <c r="BR29" s="18">
        <f>IF('Timeline'!BR$43=1,BR$27+BR$28,0)</f>
        <v/>
      </c>
      <c r="BS29" s="18">
        <f>IF('Timeline'!BS$43=1,BS$27+BS$28,0)</f>
        <v/>
      </c>
      <c r="BT29" s="18">
        <f>IF('Timeline'!BT$43=1,BT$27+BT$28,0)</f>
        <v/>
      </c>
      <c r="BU29" s="18">
        <f>IF('Timeline'!BU$43=1,BU$27+BU$28,0)</f>
        <v/>
      </c>
      <c r="BV29" s="18">
        <f>IF('Timeline'!BV$43=1,BV$27+BV$28,0)</f>
        <v/>
      </c>
      <c r="BW29" s="18">
        <f>IF('Timeline'!BW$43=1,BW$27+BW$28,0)</f>
        <v/>
      </c>
      <c r="BX29" s="18">
        <f>IF('Timeline'!BX$43=1,BX$27+BX$28,0)</f>
        <v/>
      </c>
      <c r="BY29" s="18">
        <f>IF('Timeline'!BY$43=1,BY$27+BY$28,0)</f>
        <v/>
      </c>
      <c r="BZ29" s="18">
        <f>IF('Timeline'!BZ$43=1,BZ$27+BZ$28,0)</f>
        <v/>
      </c>
      <c r="CA29" s="18">
        <f>IF('Timeline'!CA$43=1,CA$27+CA$28,0)</f>
        <v/>
      </c>
      <c r="CB29" s="18">
        <f>IF('Timeline'!CB$43=1,CB$27+CB$28,0)</f>
        <v/>
      </c>
      <c r="CC29" s="18">
        <f>IF('Timeline'!CC$43=1,CC$27+CC$28,0)</f>
        <v/>
      </c>
      <c r="CD29" s="18">
        <f>IF('Timeline'!CD$43=1,CD$27+CD$28,0)</f>
        <v/>
      </c>
      <c r="CE29" s="18">
        <f>IF('Timeline'!CE$43=1,CE$27+CE$28,0)</f>
        <v/>
      </c>
      <c r="CF29" s="18">
        <f>IF('Timeline'!CF$43=1,CF$27+CF$28,0)</f>
        <v/>
      </c>
      <c r="CG29" s="18">
        <f>IF('Timeline'!CG$43=1,CG$27+CG$28,0)</f>
        <v/>
      </c>
      <c r="CH29" s="18">
        <f>IF('Timeline'!CH$43=1,CH$27+CH$28,0)</f>
        <v/>
      </c>
      <c r="CI29" s="18">
        <f>IF('Timeline'!CI$43=1,CI$27+CI$28,0)</f>
        <v/>
      </c>
      <c r="CJ29" s="18">
        <f>IF('Timeline'!CJ$43=1,CJ$27+CJ$28,0)</f>
        <v/>
      </c>
      <c r="CK29" s="18">
        <f>IF('Timeline'!CK$43=1,CK$27+CK$28,0)</f>
        <v/>
      </c>
      <c r="CL29" s="18">
        <f>IF('Timeline'!CL$43=1,CL$27+CL$28,0)</f>
        <v/>
      </c>
      <c r="CM29" s="18">
        <f>IF('Timeline'!CM$43=1,CM$27+CM$28,0)</f>
        <v/>
      </c>
      <c r="CN29" s="18">
        <f>IF('Timeline'!CN$43=1,CN$27+CN$28,0)</f>
        <v/>
      </c>
      <c r="CO29" s="18">
        <f>IF('Timeline'!CO$43=1,CO$27+CO$28,0)</f>
        <v/>
      </c>
      <c r="CP29" s="18">
        <f>IF('Timeline'!CP$43=1,CP$27+CP$28,0)</f>
        <v/>
      </c>
      <c r="CQ29" s="18">
        <f>IF('Timeline'!CQ$43=1,CQ$27+CQ$28,0)</f>
        <v/>
      </c>
      <c r="CR29" s="18">
        <f>IF('Timeline'!CR$43=1,CR$27+CR$28,0)</f>
        <v/>
      </c>
      <c r="CS29" s="18">
        <f>IF('Timeline'!CS$43=1,CS$27+CS$28,0)</f>
        <v/>
      </c>
      <c r="CT29" s="18">
        <f>IF('Timeline'!CT$43=1,CT$27+CT$28,0)</f>
        <v/>
      </c>
      <c r="CU29" s="18">
        <f>IF('Timeline'!CU$43=1,CU$27+CU$28,0)</f>
        <v/>
      </c>
      <c r="CV29" s="18">
        <f>IF('Timeline'!CV$43=1,CV$27+CV$28,0)</f>
        <v/>
      </c>
      <c r="CW29" s="18">
        <f>IF('Timeline'!CW$43=1,CW$27+CW$28,0)</f>
        <v/>
      </c>
      <c r="CX29" s="18">
        <f>IF('Timeline'!CX$43=1,CX$27+CX$28,0)</f>
        <v/>
      </c>
      <c r="CY29" s="18">
        <f>IF('Timeline'!CY$43=1,CY$27+CY$28,0)</f>
        <v/>
      </c>
      <c r="CZ29" s="18">
        <f>IF('Timeline'!CZ$43=1,CZ$27+CZ$28,0)</f>
        <v/>
      </c>
      <c r="DA29" s="18">
        <f>IF('Timeline'!DA$43=1,DA$27+DA$28,0)</f>
        <v/>
      </c>
      <c r="DB29" s="18">
        <f>IF('Timeline'!DB$43=1,DB$27+DB$28,0)</f>
        <v/>
      </c>
      <c r="DC29" s="18">
        <f>IF('Timeline'!DC$43=1,DC$27+DC$28,0)</f>
        <v/>
      </c>
      <c r="DD29" s="18">
        <f>IF('Timeline'!DD$43=1,DD$27+DD$28,0)</f>
        <v/>
      </c>
      <c r="DE29" s="18">
        <f>IF('Timeline'!DE$43=1,DE$27+DE$28,0)</f>
        <v/>
      </c>
      <c r="DF29" s="18">
        <f>IF('Timeline'!DF$43=1,DF$27+DF$28,0)</f>
        <v/>
      </c>
      <c r="DG29" s="18">
        <f>IF('Timeline'!DG$43=1,DG$27+DG$28,0)</f>
        <v/>
      </c>
      <c r="DH29" s="18">
        <f>IF('Timeline'!DH$43=1,DH$27+DH$28,0)</f>
        <v/>
      </c>
      <c r="DI29" s="18">
        <f>IF('Timeline'!DI$43=1,DI$27+DI$28,0)</f>
        <v/>
      </c>
      <c r="DJ29" s="18">
        <f>IF('Timeline'!DJ$43=1,DJ$27+DJ$28,0)</f>
        <v/>
      </c>
      <c r="DK29" s="18">
        <f>IF('Timeline'!DK$43=1,DK$27+DK$28,0)</f>
        <v/>
      </c>
      <c r="DL29" s="18">
        <f>IF('Timeline'!DL$43=1,DL$27+DL$28,0)</f>
        <v/>
      </c>
      <c r="DM29" s="18">
        <f>IF('Timeline'!DM$43=1,DM$27+DM$28,0)</f>
        <v/>
      </c>
      <c r="DN29" s="18">
        <f>IF('Timeline'!DN$43=1,DN$27+DN$28,0)</f>
        <v/>
      </c>
      <c r="DO29" s="18">
        <f>IF('Timeline'!DO$43=1,DO$27+DO$28,0)</f>
        <v/>
      </c>
      <c r="DP29" s="18">
        <f>IF('Timeline'!DP$43=1,DP$27+DP$28,0)</f>
        <v/>
      </c>
      <c r="DQ29" s="18">
        <f>IF('Timeline'!DQ$43=1,DQ$27+DQ$28,0)</f>
        <v/>
      </c>
      <c r="DR29" s="18">
        <f>IF('Timeline'!DR$43=1,DR$27+DR$28,0)</f>
        <v/>
      </c>
      <c r="DS29" s="18">
        <f>IF('Timeline'!DS$43=1,DS$27+DS$28,0)</f>
        <v/>
      </c>
      <c r="DT29" s="18">
        <f>IF('Timeline'!DT$43=1,DT$27+DT$28,0)</f>
        <v/>
      </c>
      <c r="DU29" s="18">
        <f>IF('Timeline'!DU$43=1,DU$27+DU$28,0)</f>
        <v/>
      </c>
      <c r="DV29" s="18">
        <f>IF('Timeline'!DV$43=1,DV$27+DV$28,0)</f>
        <v/>
      </c>
      <c r="DW29" s="18">
        <f>IF('Timeline'!DW$43=1,DW$27+DW$28,0)</f>
        <v/>
      </c>
      <c r="DX29" s="18">
        <f>IF('Timeline'!DX$43=1,DX$27+DX$28,0)</f>
        <v/>
      </c>
      <c r="DY29" s="18">
        <f>IF('Timeline'!DY$43=1,DY$27+DY$28,0)</f>
        <v/>
      </c>
      <c r="DZ29" s="18">
        <f>IF('Timeline'!DZ$43=1,DZ$27+DZ$28,0)</f>
        <v/>
      </c>
      <c r="EA29" s="18">
        <f>IF('Timeline'!EA$43=1,EA$27+EA$28,0)</f>
        <v/>
      </c>
      <c r="EB29" s="18">
        <f>IF('Timeline'!EB$43=1,EB$27+EB$28,0)</f>
        <v/>
      </c>
      <c r="EC29" s="18">
        <f>IF('Timeline'!EC$43=1,EC$27+EC$28,0)</f>
        <v/>
      </c>
      <c r="ED29" s="18">
        <f>IF('Timeline'!ED$43=1,ED$27+ED$28,0)</f>
        <v/>
      </c>
      <c r="EE29" s="18">
        <f>IF('Timeline'!EE$43=1,EE$27+EE$28,0)</f>
        <v/>
      </c>
      <c r="EF29" s="18">
        <f>IF('Timeline'!EF$43=1,EF$27+EF$28,0)</f>
        <v/>
      </c>
      <c r="EG29" s="18">
        <f>IF('Timeline'!EG$43=1,EG$27+EG$28,0)</f>
        <v/>
      </c>
      <c r="EH29" s="18">
        <f>IF('Timeline'!EH$43=1,EH$27+EH$28,0)</f>
        <v/>
      </c>
      <c r="EI29" s="18">
        <f>IF('Timeline'!EI$43=1,EI$27+EI$28,0)</f>
        <v/>
      </c>
      <c r="EJ29" s="18">
        <f>IF('Timeline'!EJ$43=1,EJ$27+EJ$28,0)</f>
        <v/>
      </c>
      <c r="EK29" s="18">
        <f>IF('Timeline'!EK$43=1,EK$27+EK$28,0)</f>
        <v/>
      </c>
      <c r="EL29" s="18">
        <f>IF('Timeline'!EL$43=1,EL$27+EL$28,0)</f>
        <v/>
      </c>
      <c r="EM29" s="18">
        <f>IF('Timeline'!EM$43=1,EM$27+EM$28,0)</f>
        <v/>
      </c>
      <c r="EN29" s="18">
        <f>IF('Timeline'!EN$43=1,EN$27+EN$28,0)</f>
        <v/>
      </c>
      <c r="EO29" s="18">
        <f>IF('Timeline'!EO$43=1,EO$27+EO$28,0)</f>
        <v/>
      </c>
      <c r="EP29" s="18">
        <f>IF('Timeline'!EP$43=1,EP$27+EP$28,0)</f>
        <v/>
      </c>
      <c r="EQ29" s="18">
        <f>IF('Timeline'!EQ$43=1,EQ$27+EQ$28,0)</f>
        <v/>
      </c>
      <c r="ER29" s="18">
        <f>IF('Timeline'!ER$43=1,ER$27+ER$28,0)</f>
        <v/>
      </c>
      <c r="ES29" s="18">
        <f>IF('Timeline'!ES$43=1,ES$27+ES$28,0)</f>
        <v/>
      </c>
      <c r="ET29" s="18">
        <f>IF('Timeline'!ET$43=1,ET$27+ET$28,0)</f>
        <v/>
      </c>
      <c r="EU29" s="18">
        <f>IF('Timeline'!EU$43=1,EU$27+EU$28,0)</f>
        <v/>
      </c>
      <c r="EV29" s="18">
        <f>IF('Timeline'!EV$43=1,EV$27+EV$28,0)</f>
        <v/>
      </c>
      <c r="EW29" s="18">
        <f>IF('Timeline'!EW$43=1,EW$27+EW$28,0)</f>
        <v/>
      </c>
      <c r="EX29" s="18">
        <f>IF('Timeline'!EX$43=1,EX$27+EX$28,0)</f>
        <v/>
      </c>
      <c r="EY29" s="18">
        <f>IF('Timeline'!EY$43=1,EY$27+EY$28,0)</f>
        <v/>
      </c>
      <c r="EZ29" s="18">
        <f>IF('Timeline'!EZ$43=1,EZ$27+EZ$28,0)</f>
        <v/>
      </c>
      <c r="FA29" s="18">
        <f>IF('Timeline'!FA$43=1,FA$27+FA$28,0)</f>
        <v/>
      </c>
      <c r="FB29" s="18">
        <f>IF('Timeline'!FB$43=1,FB$27+FB$28,0)</f>
        <v/>
      </c>
      <c r="FC29" s="18">
        <f>IF('Timeline'!FC$43=1,FC$27+FC$28,0)</f>
        <v/>
      </c>
      <c r="FD29" s="18">
        <f>IF('Timeline'!FD$43=1,FD$27+FD$28,0)</f>
        <v/>
      </c>
      <c r="FE29" s="18">
        <f>IF('Timeline'!FE$43=1,FE$27+FE$28,0)</f>
        <v/>
      </c>
      <c r="FF29" s="18">
        <f>IF('Timeline'!FF$43=1,FF$27+FF$28,0)</f>
        <v/>
      </c>
      <c r="FG29" s="18">
        <f>IF('Timeline'!FG$43=1,FG$27+FG$28,0)</f>
        <v/>
      </c>
      <c r="FH29" s="18">
        <f>IF('Timeline'!FH$43=1,FH$27+FH$28,0)</f>
        <v/>
      </c>
      <c r="FI29" s="18">
        <f>IF('Timeline'!FI$43=1,FI$27+FI$28,0)</f>
        <v/>
      </c>
      <c r="FJ29" s="18">
        <f>IF('Timeline'!FJ$43=1,FJ$27+FJ$28,0)</f>
        <v/>
      </c>
      <c r="FK29" s="18">
        <f>IF('Timeline'!FK$43=1,FK$27+FK$28,0)</f>
        <v/>
      </c>
      <c r="FL29" s="18">
        <f>IF('Timeline'!FL$43=1,FL$27+FL$28,0)</f>
        <v/>
      </c>
      <c r="FM29" s="18">
        <f>IF('Timeline'!FM$43=1,FM$27+FM$28,0)</f>
        <v/>
      </c>
      <c r="FN29" s="18">
        <f>IF('Timeline'!FN$43=1,FN$27+FN$28,0)</f>
        <v/>
      </c>
      <c r="FO29" s="18">
        <f>IF('Timeline'!FO$43=1,FO$27+FO$28,0)</f>
        <v/>
      </c>
      <c r="FP29" s="18">
        <f>IF('Timeline'!FP$43=1,FP$27+FP$28,0)</f>
        <v/>
      </c>
      <c r="FQ29" s="18">
        <f>IF('Timeline'!FQ$43=1,FQ$27+FQ$28,0)</f>
        <v/>
      </c>
      <c r="FR29" s="18">
        <f>IF('Timeline'!FR$43=1,FR$27+FR$28,0)</f>
        <v/>
      </c>
      <c r="FS29" s="18">
        <f>IF('Timeline'!FS$43=1,FS$27+FS$28,0)</f>
        <v/>
      </c>
      <c r="FT29" s="18">
        <f>IF('Timeline'!FT$43=1,FT$27+FT$28,0)</f>
        <v/>
      </c>
      <c r="FU29" s="18">
        <f>IF('Timeline'!FU$43=1,FU$27+FU$28,0)</f>
        <v/>
      </c>
      <c r="FV29" s="18">
        <f>IF('Timeline'!FV$43=1,FV$27+FV$28,0)</f>
        <v/>
      </c>
      <c r="FW29" s="18">
        <f>IF('Timeline'!FW$43=1,FW$27+FW$28,0)</f>
        <v/>
      </c>
      <c r="FX29" s="18">
        <f>IF('Timeline'!FX$43=1,FX$27+FX$28,0)</f>
        <v/>
      </c>
      <c r="FY29" s="18">
        <f>IF('Timeline'!FY$43=1,FY$27+FY$28,0)</f>
        <v/>
      </c>
      <c r="FZ29" s="18">
        <f>IF('Timeline'!FZ$43=1,FZ$27+FZ$28,0)</f>
        <v/>
      </c>
      <c r="GA29" s="18">
        <f>IF('Timeline'!GA$43=1,GA$27+GA$28,0)</f>
        <v/>
      </c>
      <c r="GB29" s="18">
        <f>IF('Timeline'!GB$43=1,GB$27+GB$28,0)</f>
        <v/>
      </c>
      <c r="GC29" s="18">
        <f>IF('Timeline'!GC$43=1,GC$27+GC$28,0)</f>
        <v/>
      </c>
      <c r="GD29" s="18">
        <f>IF('Timeline'!GD$43=1,GD$27+GD$28,0)</f>
        <v/>
      </c>
      <c r="GE29" s="18">
        <f>IF('Timeline'!GE$43=1,GE$27+GE$28,0)</f>
        <v/>
      </c>
      <c r="GF29" s="18">
        <f>IF('Timeline'!GF$43=1,GF$27+GF$28,0)</f>
        <v/>
      </c>
      <c r="GG29" s="18">
        <f>IF('Timeline'!GG$43=1,GG$27+GG$28,0)</f>
        <v/>
      </c>
      <c r="GH29" s="18">
        <f>IF('Timeline'!GH$43=1,GH$27+GH$28,0)</f>
        <v/>
      </c>
      <c r="GI29" s="18">
        <f>IF('Timeline'!GI$43=1,GI$27+GI$28,0)</f>
        <v/>
      </c>
      <c r="GJ29" s="18">
        <f>IF('Timeline'!GJ$43=1,GJ$27+GJ$28,0)</f>
        <v/>
      </c>
      <c r="GK29" s="18">
        <f>IF('Timeline'!GK$43=1,GK$27+GK$28,0)</f>
        <v/>
      </c>
      <c r="GL29" s="18">
        <f>IF('Timeline'!GL$43=1,GL$27+GL$28,0)</f>
        <v/>
      </c>
      <c r="GM29" s="18">
        <f>IF('Timeline'!GM$43=1,GM$27+GM$28,0)</f>
        <v/>
      </c>
      <c r="GN29" s="18">
        <f>IF('Timeline'!GN$43=1,GN$27+GN$28,0)</f>
        <v/>
      </c>
      <c r="GO29" s="18">
        <f>IF('Timeline'!GO$43=1,GO$27+GO$28,0)</f>
        <v/>
      </c>
      <c r="GP29" s="18">
        <f>IF('Timeline'!GP$43=1,GP$27+GP$28,0)</f>
        <v/>
      </c>
      <c r="GQ29" s="18">
        <f>IF('Timeline'!GQ$43=1,GQ$27+GQ$28,0)</f>
        <v/>
      </c>
      <c r="GR29" s="18">
        <f>IF('Timeline'!GR$43=1,GR$27+GR$28,0)</f>
        <v/>
      </c>
      <c r="GS29" s="18">
        <f>IF('Timeline'!GS$43=1,GS$27+GS$28,0)</f>
        <v/>
      </c>
      <c r="GT29" s="18">
        <f>IF('Timeline'!GT$43=1,GT$27+GT$28,0)</f>
        <v/>
      </c>
      <c r="GU29" s="18">
        <f>IF('Timeline'!GU$43=1,GU$27+GU$28,0)</f>
        <v/>
      </c>
      <c r="GV29" s="18">
        <f>IF('Timeline'!GV$43=1,GV$27+GV$28,0)</f>
        <v/>
      </c>
      <c r="GW29" s="18">
        <f>IF('Timeline'!GW$43=1,GW$27+GW$28,0)</f>
        <v/>
      </c>
      <c r="GX29" s="18">
        <f>IF('Timeline'!GX$43=1,GX$27+GX$28,0)</f>
        <v/>
      </c>
      <c r="GY29" s="18">
        <f>IF('Timeline'!GY$43=1,GY$27+GY$28,0)</f>
        <v/>
      </c>
      <c r="GZ29" s="18">
        <f>IF('Timeline'!GZ$43=1,GZ$27+GZ$28,0)</f>
        <v/>
      </c>
      <c r="HA29" s="18">
        <f>IF('Timeline'!HA$43=1,HA$27+HA$28,0)</f>
        <v/>
      </c>
      <c r="HB29" s="18">
        <f>IF('Timeline'!HB$43=1,HB$27+HB$28,0)</f>
        <v/>
      </c>
      <c r="HC29" s="18">
        <f>IF('Timeline'!HC$43=1,HC$27+HC$28,0)</f>
        <v/>
      </c>
      <c r="HD29" s="18">
        <f>IF('Timeline'!HD$43=1,HD$27+HD$28,0)</f>
        <v/>
      </c>
      <c r="HE29" s="18">
        <f>IF('Timeline'!HE$43=1,HE$27+HE$28,0)</f>
        <v/>
      </c>
      <c r="HF29" s="18">
        <f>IF('Timeline'!HF$43=1,HF$27+HF$28,0)</f>
        <v/>
      </c>
      <c r="HG29" s="18">
        <f>IF('Timeline'!HG$43=1,HG$27+HG$28,0)</f>
        <v/>
      </c>
      <c r="HH29" s="18">
        <f>IF('Timeline'!HH$43=1,HH$27+HH$28,0)</f>
        <v/>
      </c>
      <c r="HI29" s="18">
        <f>IF('Timeline'!HI$43=1,HI$27+HI$28,0)</f>
        <v/>
      </c>
      <c r="HJ29" s="18">
        <f>IF('Timeline'!HJ$43=1,HJ$27+HJ$28,0)</f>
        <v/>
      </c>
      <c r="HK29" s="18">
        <f>IF('Timeline'!HK$43=1,HK$27+HK$28,0)</f>
        <v/>
      </c>
      <c r="HL29" s="18">
        <f>IF('Timeline'!HL$43=1,HL$27+HL$28,0)</f>
        <v/>
      </c>
      <c r="HM29" s="18">
        <f>IF('Timeline'!HM$43=1,HM$27+HM$28,0)</f>
        <v/>
      </c>
      <c r="HN29" s="18">
        <f>IF('Timeline'!HN$43=1,HN$27+HN$28,0)</f>
        <v/>
      </c>
      <c r="HO29" s="18">
        <f>IF('Timeline'!HO$43=1,HO$27+HO$28,0)</f>
        <v/>
      </c>
      <c r="HP29" s="18">
        <f>IF('Timeline'!HP$43=1,HP$27+HP$28,0)</f>
        <v/>
      </c>
      <c r="HQ29" s="18">
        <f>IF('Timeline'!HQ$43=1,HQ$27+HQ$28,0)</f>
        <v/>
      </c>
      <c r="HR29" s="18">
        <f>IF('Timeline'!HR$43=1,HR$27+HR$28,0)</f>
        <v/>
      </c>
      <c r="HS29" s="18">
        <f>IF('Timeline'!HS$43=1,HS$27+HS$28,0)</f>
        <v/>
      </c>
      <c r="HT29" s="18">
        <f>IF('Timeline'!HT$43=1,HT$27+HT$28,0)</f>
        <v/>
      </c>
      <c r="HU29" s="18">
        <f>IF('Timeline'!HU$43=1,HU$27+HU$28,0)</f>
        <v/>
      </c>
      <c r="HV29" s="18">
        <f>IF('Timeline'!HV$43=1,HV$27+HV$28,0)</f>
        <v/>
      </c>
      <c r="HW29" s="18">
        <f>IF('Timeline'!HW$43=1,HW$27+HW$28,0)</f>
        <v/>
      </c>
      <c r="HX29" s="18">
        <f>IF('Timeline'!HX$43=1,HX$27+HX$28,0)</f>
        <v/>
      </c>
      <c r="HY29" s="18">
        <f>IF('Timeline'!HY$43=1,HY$27+HY$28,0)</f>
        <v/>
      </c>
      <c r="HZ29" s="18">
        <f>IF('Timeline'!HZ$43=1,HZ$27+HZ$28,0)</f>
        <v/>
      </c>
      <c r="IA29" s="18">
        <f>IF('Timeline'!IA$43=1,IA$27+IA$28,0)</f>
        <v/>
      </c>
      <c r="IB29" s="18">
        <f>IF('Timeline'!IB$43=1,IB$27+IB$28,0)</f>
        <v/>
      </c>
      <c r="IC29" s="18">
        <f>IF('Timeline'!IC$43=1,IC$27+IC$28,0)</f>
        <v/>
      </c>
      <c r="ID29" s="18">
        <f>IF('Timeline'!ID$43=1,ID$27+ID$28,0)</f>
        <v/>
      </c>
      <c r="IE29" s="18">
        <f>IF('Timeline'!IE$43=1,IE$27+IE$28,0)</f>
        <v/>
      </c>
      <c r="IF29" s="18">
        <f>IF('Timeline'!IF$43=1,IF$27+IF$28,0)</f>
        <v/>
      </c>
      <c r="IG29" s="18">
        <f>IF('Timeline'!IG$43=1,IG$27+IG$28,0)</f>
        <v/>
      </c>
      <c r="IH29" s="18">
        <f>IF('Timeline'!IH$43=1,IH$27+IH$28,0)</f>
        <v/>
      </c>
      <c r="II29" s="18">
        <f>IF('Timeline'!II$43=1,II$27+II$28,0)</f>
        <v/>
      </c>
      <c r="IJ29" s="18">
        <f>IF('Timeline'!IJ$43=1,IJ$27+IJ$28,0)</f>
        <v/>
      </c>
      <c r="IK29" s="18">
        <f>IF('Timeline'!IK$43=1,IK$27+IK$28,0)</f>
        <v/>
      </c>
      <c r="IL29" s="18">
        <f>IF('Timeline'!IL$43=1,IL$27+IL$28,0)</f>
        <v/>
      </c>
      <c r="IM29" s="18">
        <f>IF('Timeline'!IM$43=1,IM$27+IM$28,0)</f>
        <v/>
      </c>
      <c r="IN29" s="18">
        <f>IF('Timeline'!IN$43=1,IN$27+IN$28,0)</f>
        <v/>
      </c>
      <c r="IO29" s="18">
        <f>IF('Timeline'!IO$43=1,IO$27+IO$28,0)</f>
        <v/>
      </c>
      <c r="IP29" s="18">
        <f>IF('Timeline'!IP$43=1,IP$27+IP$28,0)</f>
        <v/>
      </c>
      <c r="IQ29" s="18">
        <f>IF('Timeline'!IQ$43=1,IQ$27+IQ$28,0)</f>
        <v/>
      </c>
      <c r="IR29" s="18">
        <f>IF('Timeline'!IR$43=1,IR$27+IR$28,0)</f>
        <v/>
      </c>
      <c r="IS29" s="18">
        <f>IF('Timeline'!IS$43=1,IS$27+IS$28,0)</f>
        <v/>
      </c>
      <c r="IT29" s="18">
        <f>IF('Timeline'!IT$43=1,IT$27+IT$28,0)</f>
        <v/>
      </c>
      <c r="IU29" s="18">
        <f>IF('Timeline'!IU$43=1,IU$27+IU$28,0)</f>
        <v/>
      </c>
      <c r="IV29" s="18">
        <f>IF('Timeline'!IV$43=1,IV$27+IV$28,0)</f>
        <v/>
      </c>
      <c r="IW29" s="18">
        <f>IF('Timeline'!IW$43=1,IW$27+IW$28,0)</f>
        <v/>
      </c>
      <c r="IX29" s="18">
        <f>IF('Timeline'!IX$43=1,IX$27+IX$28,0)</f>
        <v/>
      </c>
      <c r="IY29" s="18">
        <f>IF('Timeline'!IY$43=1,IY$27+IY$28,0)</f>
        <v/>
      </c>
      <c r="IZ29" s="18">
        <f>IF('Timeline'!IZ$43=1,IZ$27+IZ$28,0)</f>
        <v/>
      </c>
      <c r="JA29" s="18">
        <f>IF('Timeline'!JA$43=1,JA$27+JA$28,0)</f>
        <v/>
      </c>
      <c r="JB29" s="18">
        <f>IF('Timeline'!JB$43=1,JB$27+JB$28,0)</f>
        <v/>
      </c>
      <c r="JC29" s="18">
        <f>IF('Timeline'!JC$43=1,JC$27+JC$28,0)</f>
        <v/>
      </c>
      <c r="JD29" s="18">
        <f>IF('Timeline'!JD$43=1,JD$27+JD$28,0)</f>
        <v/>
      </c>
      <c r="JE29" s="18">
        <f>IF('Timeline'!JE$43=1,JE$27+JE$28,0)</f>
        <v/>
      </c>
      <c r="JF29" s="18">
        <f>IF('Timeline'!JF$43=1,JF$27+JF$28,0)</f>
        <v/>
      </c>
      <c r="JG29" s="18">
        <f>IF('Timeline'!JG$43=1,JG$27+JG$28,0)</f>
        <v/>
      </c>
      <c r="JH29" s="18">
        <f>IF('Timeline'!JH$43=1,JH$27+JH$28,0)</f>
        <v/>
      </c>
      <c r="JI29" s="18">
        <f>IF('Timeline'!JI$43=1,JI$27+JI$28,0)</f>
        <v/>
      </c>
      <c r="JJ29" s="18">
        <f>IF('Timeline'!JJ$43=1,JJ$27+JJ$28,0)</f>
        <v/>
      </c>
      <c r="JK29" s="18">
        <f>IF('Timeline'!JK$43=1,JK$27+JK$28,0)</f>
        <v/>
      </c>
      <c r="JL29" s="18">
        <f>IF('Timeline'!JL$43=1,JL$27+JL$28,0)</f>
        <v/>
      </c>
      <c r="JM29" s="18">
        <f>IF('Timeline'!JM$43=1,JM$27+JM$28,0)</f>
        <v/>
      </c>
      <c r="JN29" s="18">
        <f>IF('Timeline'!JN$43=1,JN$27+JN$28,0)</f>
        <v/>
      </c>
      <c r="JO29" s="18">
        <f>IF('Timeline'!JO$43=1,JO$27+JO$28,0)</f>
        <v/>
      </c>
      <c r="JP29" s="18">
        <f>IF('Timeline'!JP$43=1,JP$27+JP$28,0)</f>
        <v/>
      </c>
      <c r="JQ29" s="18">
        <f>IF('Timeline'!JQ$43=1,JQ$27+JQ$28,0)</f>
        <v/>
      </c>
      <c r="JR29" s="18">
        <f>IF('Timeline'!JR$43=1,JR$27+JR$28,0)</f>
        <v/>
      </c>
      <c r="JS29" s="18">
        <f>IF('Timeline'!JS$43=1,JS$27+JS$28,0)</f>
        <v/>
      </c>
      <c r="JT29" s="18">
        <f>IF('Timeline'!JT$43=1,JT$27+JT$28,0)</f>
        <v/>
      </c>
      <c r="JU29" s="18">
        <f>IF('Timeline'!JU$43=1,JU$27+JU$28,0)</f>
        <v/>
      </c>
      <c r="JV29" s="18">
        <f>IF('Timeline'!JV$43=1,JV$27+JV$28,0)</f>
        <v/>
      </c>
      <c r="JW29" s="18">
        <f>IF('Timeline'!JW$43=1,JW$27+JW$28,0)</f>
        <v/>
      </c>
      <c r="JX29" s="18">
        <f>IF('Timeline'!JX$43=1,JX$27+JX$28,0)</f>
        <v/>
      </c>
      <c r="JY29" s="18">
        <f>IF('Timeline'!JY$43=1,JY$27+JY$28,0)</f>
        <v/>
      </c>
      <c r="JZ29" s="18">
        <f>IF('Timeline'!JZ$43=1,JZ$27+JZ$28,0)</f>
        <v/>
      </c>
      <c r="KA29" s="18">
        <f>IF('Timeline'!KA$43=1,KA$27+KA$28,0)</f>
        <v/>
      </c>
      <c r="KB29" s="18">
        <f>IF('Timeline'!KB$43=1,KB$27+KB$28,0)</f>
        <v/>
      </c>
      <c r="KC29" s="18">
        <f>IF('Timeline'!KC$43=1,KC$27+KC$28,0)</f>
        <v/>
      </c>
      <c r="KD29" s="18">
        <f>IF('Timeline'!KD$43=1,KD$27+KD$28,0)</f>
        <v/>
      </c>
      <c r="KE29" s="18">
        <f>IF('Timeline'!KE$43=1,KE$27+KE$28,0)</f>
        <v/>
      </c>
      <c r="KF29" s="18">
        <f>IF('Timeline'!KF$43=1,KF$27+KF$28,0)</f>
        <v/>
      </c>
      <c r="KG29" s="18">
        <f>IF('Timeline'!KG$43=1,KG$27+KG$28,0)</f>
        <v/>
      </c>
      <c r="KH29" s="18">
        <f>IF('Timeline'!KH$43=1,KH$27+KH$28,0)</f>
        <v/>
      </c>
      <c r="KI29" s="18">
        <f>IF('Timeline'!KI$43=1,KI$27+KI$28,0)</f>
        <v/>
      </c>
      <c r="KJ29" s="18">
        <f>IF('Timeline'!KJ$43=1,KJ$27+KJ$28,0)</f>
        <v/>
      </c>
      <c r="KK29" s="18">
        <f>IF('Timeline'!KK$43=1,KK$27+KK$28,0)</f>
        <v/>
      </c>
      <c r="KL29" s="18">
        <f>IF('Timeline'!KL$43=1,KL$27+KL$28,0)</f>
        <v/>
      </c>
      <c r="KM29" s="18">
        <f>IF('Timeline'!KM$43=1,KM$27+KM$28,0)</f>
        <v/>
      </c>
      <c r="KN29" s="18">
        <f>IF('Timeline'!KN$43=1,KN$27+KN$28,0)</f>
        <v/>
      </c>
      <c r="KO29" s="18">
        <f>IF('Timeline'!KO$43=1,KO$27+KO$28,0)</f>
        <v/>
      </c>
      <c r="KP29" s="18">
        <f>IF('Timeline'!KP$43=1,KP$27+KP$28,0)</f>
        <v/>
      </c>
      <c r="KQ29" s="18">
        <f>IF('Timeline'!KQ$43=1,KQ$27+KQ$28,0)</f>
        <v/>
      </c>
      <c r="KR29" s="18">
        <f>IF('Timeline'!KR$43=1,KR$27+KR$28,0)</f>
        <v/>
      </c>
      <c r="KS29" s="18">
        <f>IF('Timeline'!KS$43=1,KS$27+KS$28,0)</f>
        <v/>
      </c>
      <c r="KT29" s="18">
        <f>IF('Timeline'!KT$43=1,KT$27+KT$28,0)</f>
        <v/>
      </c>
      <c r="KU29" s="18">
        <f>IF('Timeline'!KU$43=1,KU$27+KU$28,0)</f>
        <v/>
      </c>
      <c r="KV29" s="18">
        <f>IF('Timeline'!KV$43=1,KV$27+KV$28,0)</f>
        <v/>
      </c>
      <c r="KW29" s="18">
        <f>IF('Timeline'!KW$43=1,KW$27+KW$28,0)</f>
        <v/>
      </c>
      <c r="KX29" s="18">
        <f>IF('Timeline'!KX$43=1,KX$27+KX$28,0)</f>
        <v/>
      </c>
      <c r="KY29" s="18">
        <f>IF('Timeline'!KY$43=1,KY$27+KY$28,0)</f>
        <v/>
      </c>
      <c r="KZ29" s="18">
        <f>IF('Timeline'!KZ$43=1,KZ$27+KZ$28,0)</f>
        <v/>
      </c>
      <c r="LA29" s="18">
        <f>IF('Timeline'!LA$43=1,LA$27+LA$28,0)</f>
        <v/>
      </c>
      <c r="LB29" s="18">
        <f>IF('Timeline'!LB$43=1,LB$27+LB$28,0)</f>
        <v/>
      </c>
      <c r="LC29" s="18">
        <f>IF('Timeline'!LC$43=1,LC$27+LC$28,0)</f>
        <v/>
      </c>
      <c r="LD29" s="18">
        <f>IF('Timeline'!LD$43=1,LD$27+LD$28,0)</f>
        <v/>
      </c>
      <c r="LE29" s="18">
        <f>IF('Timeline'!LE$43=1,LE$27+LE$28,0)</f>
        <v/>
      </c>
      <c r="LF29" s="18">
        <f>IF('Timeline'!LF$43=1,LF$27+LF$28,0)</f>
        <v/>
      </c>
      <c r="LG29" s="18">
        <f>IF('Timeline'!LG$43=1,LG$27+LG$28,0)</f>
        <v/>
      </c>
      <c r="LH29" s="18">
        <f>IF('Timeline'!LH$43=1,LH$27+LH$28,0)</f>
        <v/>
      </c>
      <c r="LI29" s="18">
        <f>IF('Timeline'!LI$43=1,LI$27+LI$28,0)</f>
        <v/>
      </c>
      <c r="LJ29" s="18">
        <f>IF('Timeline'!LJ$43=1,LJ$27+LJ$28,0)</f>
        <v/>
      </c>
      <c r="LK29" s="18">
        <f>IF('Timeline'!LK$43=1,LK$27+LK$28,0)</f>
        <v/>
      </c>
      <c r="LL29" s="18">
        <f>IF('Timeline'!LL$43=1,LL$27+LL$28,0)</f>
        <v/>
      </c>
      <c r="LM29" s="18">
        <f>IF('Timeline'!LM$43=1,LM$27+LM$28,0)</f>
        <v/>
      </c>
      <c r="LN29" s="18">
        <f>IF('Timeline'!LN$43=1,LN$27+LN$28,0)</f>
        <v/>
      </c>
      <c r="LO29" s="18">
        <f>IF('Timeline'!LO$43=1,LO$27+LO$28,0)</f>
        <v/>
      </c>
      <c r="LP29" s="18">
        <f>IF('Timeline'!LP$43=1,LP$27+LP$28,0)</f>
        <v/>
      </c>
      <c r="LQ29" s="18">
        <f>IF('Timeline'!LQ$43=1,LQ$27+LQ$28,0)</f>
        <v/>
      </c>
      <c r="LR29" s="18">
        <f>IF('Timeline'!LR$43=1,LR$27+LR$28,0)</f>
        <v/>
      </c>
      <c r="LS29" s="18">
        <f>IF('Timeline'!LS$43=1,LS$27+LS$28,0)</f>
        <v/>
      </c>
      <c r="LT29" s="18">
        <f>IF('Timeline'!LT$43=1,LT$27+LT$28,0)</f>
        <v/>
      </c>
      <c r="LU29" s="18">
        <f>IF('Timeline'!LU$43=1,LU$27+LU$28,0)</f>
        <v/>
      </c>
      <c r="LV29" s="18">
        <f>IF('Timeline'!LV$43=1,LV$27+LV$28,0)</f>
        <v/>
      </c>
      <c r="LW29" s="18">
        <f>IF('Timeline'!LW$43=1,LW$27+LW$28,0)</f>
        <v/>
      </c>
      <c r="LX29" s="18">
        <f>IF('Timeline'!LX$43=1,LX$27+LX$28,0)</f>
        <v/>
      </c>
      <c r="LY29" s="18">
        <f>IF('Timeline'!LY$43=1,LY$27+LY$28,0)</f>
        <v/>
      </c>
      <c r="LZ29" s="18">
        <f>IF('Timeline'!LZ$43=1,LZ$27+LZ$28,0)</f>
        <v/>
      </c>
      <c r="MA29" s="18">
        <f>IF('Timeline'!MA$43=1,MA$27+MA$28,0)</f>
        <v/>
      </c>
      <c r="MB29" s="18">
        <f>IF('Timeline'!MB$43=1,MB$27+MB$28,0)</f>
        <v/>
      </c>
      <c r="MC29" s="18">
        <f>IF('Timeline'!MC$43=1,MC$27+MC$28,0)</f>
        <v/>
      </c>
      <c r="MD29" s="18">
        <f>IF('Timeline'!MD$43=1,MD$27+MD$28,0)</f>
        <v/>
      </c>
      <c r="ME29" s="18">
        <f>IF('Timeline'!ME$43=1,ME$27+ME$28,0)</f>
        <v/>
      </c>
      <c r="MF29" s="18">
        <f>IF('Timeline'!MF$43=1,MF$27+MF$28,0)</f>
        <v/>
      </c>
      <c r="MG29" s="18">
        <f>IF('Timeline'!MG$43=1,MG$27+MG$28,0)</f>
        <v/>
      </c>
      <c r="MH29" s="18">
        <f>IF('Timeline'!MH$43=1,MH$27+MH$28,0)</f>
        <v/>
      </c>
      <c r="MI29" s="18">
        <f>IF('Timeline'!MI$43=1,MI$27+MI$28,0)</f>
        <v/>
      </c>
      <c r="MJ29" s="18">
        <f>IF('Timeline'!MJ$43=1,MJ$27+MJ$28,0)</f>
        <v/>
      </c>
      <c r="MK29" s="18">
        <f>IF('Timeline'!MK$43=1,MK$27+MK$28,0)</f>
        <v/>
      </c>
      <c r="ML29" s="18">
        <f>IF('Timeline'!ML$43=1,ML$27+ML$28,0)</f>
        <v/>
      </c>
      <c r="MM29" s="18">
        <f>IF('Timeline'!MM$43=1,MM$27+MM$28,0)</f>
        <v/>
      </c>
      <c r="MN29" s="18">
        <f>IF('Timeline'!MN$43=1,MN$27+MN$28,0)</f>
        <v/>
      </c>
      <c r="MO29" s="18">
        <f>IF('Timeline'!MO$43=1,MO$27+MO$28,0)</f>
        <v/>
      </c>
      <c r="MP29" s="18">
        <f>IF('Timeline'!MP$43=1,MP$27+MP$28,0)</f>
        <v/>
      </c>
      <c r="MQ29" s="18">
        <f>IF('Timeline'!MQ$43=1,MQ$27+MQ$28,0)</f>
        <v/>
      </c>
      <c r="MR29" s="18">
        <f>IF('Timeline'!MR$43=1,MR$27+MR$28,0)</f>
        <v/>
      </c>
      <c r="MS29" s="18">
        <f>IF('Timeline'!MS$43=1,MS$27+MS$28,0)</f>
        <v/>
      </c>
      <c r="MT29" s="18">
        <f>IF('Timeline'!MT$43=1,MT$27+MT$28,0)</f>
        <v/>
      </c>
      <c r="MU29" s="18">
        <f>IF('Timeline'!MU$43=1,MU$27+MU$28,0)</f>
        <v/>
      </c>
      <c r="MV29" s="18">
        <f>IF('Timeline'!MV$43=1,MV$27+MV$28,0)</f>
        <v/>
      </c>
      <c r="MW29" s="18">
        <f>IF('Timeline'!MW$43=1,MW$27+MW$28,0)</f>
        <v/>
      </c>
      <c r="MX29" s="18">
        <f>IF('Timeline'!MX$43=1,MX$27+MX$28,0)</f>
        <v/>
      </c>
      <c r="MY29" s="18">
        <f>IF('Timeline'!MY$43=1,MY$27+MY$28,0)</f>
        <v/>
      </c>
      <c r="MZ29" s="18">
        <f>IF('Timeline'!MZ$43=1,MZ$27+MZ$28,0)</f>
        <v/>
      </c>
      <c r="NA29" s="18">
        <f>IF('Timeline'!NA$43=1,NA$27+NA$28,0)</f>
        <v/>
      </c>
      <c r="NB29" s="18">
        <f>IF('Timeline'!NB$43=1,NB$27+NB$28,0)</f>
        <v/>
      </c>
      <c r="NC29" s="18">
        <f>IF('Timeline'!NC$43=1,NC$27+NC$28,0)</f>
        <v/>
      </c>
      <c r="ND29" s="18">
        <f>IF('Timeline'!ND$43=1,ND$27+ND$28,0)</f>
        <v/>
      </c>
      <c r="NE29" s="18">
        <f>IF('Timeline'!NE$43=1,NE$27+NE$28,0)</f>
        <v/>
      </c>
      <c r="NF29" s="18">
        <f>IF('Timeline'!NF$43=1,NF$27+NF$28,0)</f>
        <v/>
      </c>
      <c r="NG29" s="18">
        <f>IF('Timeline'!NG$43=1,NG$27+NG$28,0)</f>
        <v/>
      </c>
      <c r="NH29" s="18">
        <f>IF('Timeline'!NH$43=1,NH$27+NH$28,0)</f>
        <v/>
      </c>
      <c r="NI29" s="18">
        <f>IF('Timeline'!NI$43=1,NI$27+NI$28,0)</f>
        <v/>
      </c>
      <c r="NJ29" s="18">
        <f>IF('Timeline'!NJ$43=1,NJ$27+NJ$28,0)</f>
        <v/>
      </c>
      <c r="NK29" s="18">
        <f>IF('Timeline'!NK$43=1,NK$27+NK$28,0)</f>
        <v/>
      </c>
    </row>
    <row r="30">
      <c r="A30" s="5" t="inlineStr">
        <is>
          <t>Permanent Loan Balance</t>
        </is>
      </c>
      <c r="C30" s="43" t="n"/>
      <c r="D30" s="18">
        <f>IF(RefiFlag=0,0,IF(1&lt;RefiMonth,0,IF(1=RefiMonth,PermLoan,IF(1&gt;DispoMonth,0,0-D$28))))</f>
        <v/>
      </c>
      <c r="E30" s="18">
        <f>IF(RefiFlag=0,0,IF(2&lt;RefiMonth,0,IF(2=RefiMonth,PermLoan,IF(2&gt;DispoMonth,0,D$30-E$28))))</f>
        <v/>
      </c>
      <c r="F30" s="18">
        <f>IF(RefiFlag=0,0,IF(3&lt;RefiMonth,0,IF(3=RefiMonth,PermLoan,IF(3&gt;DispoMonth,0,E$30-F$28))))</f>
        <v/>
      </c>
      <c r="G30" s="18">
        <f>IF(RefiFlag=0,0,IF(4&lt;RefiMonth,0,IF(4=RefiMonth,PermLoan,IF(4&gt;DispoMonth,0,F$30-G$28))))</f>
        <v/>
      </c>
      <c r="H30" s="18">
        <f>IF(RefiFlag=0,0,IF(5&lt;RefiMonth,0,IF(5=RefiMonth,PermLoan,IF(5&gt;DispoMonth,0,G$30-H$28))))</f>
        <v/>
      </c>
      <c r="I30" s="18">
        <f>IF(RefiFlag=0,0,IF(6&lt;RefiMonth,0,IF(6=RefiMonth,PermLoan,IF(6&gt;DispoMonth,0,H$30-I$28))))</f>
        <v/>
      </c>
      <c r="J30" s="18">
        <f>IF(RefiFlag=0,0,IF(7&lt;RefiMonth,0,IF(7=RefiMonth,PermLoan,IF(7&gt;DispoMonth,0,I$30-J$28))))</f>
        <v/>
      </c>
      <c r="K30" s="18">
        <f>IF(RefiFlag=0,0,IF(8&lt;RefiMonth,0,IF(8=RefiMonth,PermLoan,IF(8&gt;DispoMonth,0,J$30-K$28))))</f>
        <v/>
      </c>
      <c r="L30" s="18">
        <f>IF(RefiFlag=0,0,IF(9&lt;RefiMonth,0,IF(9=RefiMonth,PermLoan,IF(9&gt;DispoMonth,0,K$30-L$28))))</f>
        <v/>
      </c>
      <c r="M30" s="18">
        <f>IF(RefiFlag=0,0,IF(10&lt;RefiMonth,0,IF(10=RefiMonth,PermLoan,IF(10&gt;DispoMonth,0,L$30-M$28))))</f>
        <v/>
      </c>
      <c r="N30" s="18">
        <f>IF(RefiFlag=0,0,IF(11&lt;RefiMonth,0,IF(11=RefiMonth,PermLoan,IF(11&gt;DispoMonth,0,M$30-N$28))))</f>
        <v/>
      </c>
      <c r="O30" s="18">
        <f>IF(RefiFlag=0,0,IF(12&lt;RefiMonth,0,IF(12=RefiMonth,PermLoan,IF(12&gt;DispoMonth,0,N$30-O$28))))</f>
        <v/>
      </c>
      <c r="P30" s="18">
        <f>IF(RefiFlag=0,0,IF(13&lt;RefiMonth,0,IF(13=RefiMonth,PermLoan,IF(13&gt;DispoMonth,0,O$30-P$28))))</f>
        <v/>
      </c>
      <c r="Q30" s="18">
        <f>IF(RefiFlag=0,0,IF(14&lt;RefiMonth,0,IF(14=RefiMonth,PermLoan,IF(14&gt;DispoMonth,0,P$30-Q$28))))</f>
        <v/>
      </c>
      <c r="R30" s="18">
        <f>IF(RefiFlag=0,0,IF(15&lt;RefiMonth,0,IF(15=RefiMonth,PermLoan,IF(15&gt;DispoMonth,0,Q$30-R$28))))</f>
        <v/>
      </c>
      <c r="S30" s="18">
        <f>IF(RefiFlag=0,0,IF(16&lt;RefiMonth,0,IF(16=RefiMonth,PermLoan,IF(16&gt;DispoMonth,0,R$30-S$28))))</f>
        <v/>
      </c>
      <c r="T30" s="18">
        <f>IF(RefiFlag=0,0,IF(17&lt;RefiMonth,0,IF(17=RefiMonth,PermLoan,IF(17&gt;DispoMonth,0,S$30-T$28))))</f>
        <v/>
      </c>
      <c r="U30" s="18">
        <f>IF(RefiFlag=0,0,IF(18&lt;RefiMonth,0,IF(18=RefiMonth,PermLoan,IF(18&gt;DispoMonth,0,T$30-U$28))))</f>
        <v/>
      </c>
      <c r="V30" s="18">
        <f>IF(RefiFlag=0,0,IF(19&lt;RefiMonth,0,IF(19=RefiMonth,PermLoan,IF(19&gt;DispoMonth,0,U$30-V$28))))</f>
        <v/>
      </c>
      <c r="W30" s="18">
        <f>IF(RefiFlag=0,0,IF(20&lt;RefiMonth,0,IF(20=RefiMonth,PermLoan,IF(20&gt;DispoMonth,0,V$30-W$28))))</f>
        <v/>
      </c>
      <c r="X30" s="18">
        <f>IF(RefiFlag=0,0,IF(21&lt;RefiMonth,0,IF(21=RefiMonth,PermLoan,IF(21&gt;DispoMonth,0,W$30-X$28))))</f>
        <v/>
      </c>
      <c r="Y30" s="18">
        <f>IF(RefiFlag=0,0,IF(22&lt;RefiMonth,0,IF(22=RefiMonth,PermLoan,IF(22&gt;DispoMonth,0,X$30-Y$28))))</f>
        <v/>
      </c>
      <c r="Z30" s="18">
        <f>IF(RefiFlag=0,0,IF(23&lt;RefiMonth,0,IF(23=RefiMonth,PermLoan,IF(23&gt;DispoMonth,0,Y$30-Z$28))))</f>
        <v/>
      </c>
      <c r="AA30" s="18">
        <f>IF(RefiFlag=0,0,IF(24&lt;RefiMonth,0,IF(24=RefiMonth,PermLoan,IF(24&gt;DispoMonth,0,Z$30-AA$28))))</f>
        <v/>
      </c>
      <c r="AB30" s="18">
        <f>IF(RefiFlag=0,0,IF(25&lt;RefiMonth,0,IF(25=RefiMonth,PermLoan,IF(25&gt;DispoMonth,0,AA$30-AB$28))))</f>
        <v/>
      </c>
      <c r="AC30" s="18">
        <f>IF(RefiFlag=0,0,IF(26&lt;RefiMonth,0,IF(26=RefiMonth,PermLoan,IF(26&gt;DispoMonth,0,AB$30-AC$28))))</f>
        <v/>
      </c>
      <c r="AD30" s="18">
        <f>IF(RefiFlag=0,0,IF(27&lt;RefiMonth,0,IF(27=RefiMonth,PermLoan,IF(27&gt;DispoMonth,0,AC$30-AD$28))))</f>
        <v/>
      </c>
      <c r="AE30" s="18">
        <f>IF(RefiFlag=0,0,IF(28&lt;RefiMonth,0,IF(28=RefiMonth,PermLoan,IF(28&gt;DispoMonth,0,AD$30-AE$28))))</f>
        <v/>
      </c>
      <c r="AF30" s="18">
        <f>IF(RefiFlag=0,0,IF(29&lt;RefiMonth,0,IF(29=RefiMonth,PermLoan,IF(29&gt;DispoMonth,0,AE$30-AF$28))))</f>
        <v/>
      </c>
      <c r="AG30" s="18">
        <f>IF(RefiFlag=0,0,IF(30&lt;RefiMonth,0,IF(30=RefiMonth,PermLoan,IF(30&gt;DispoMonth,0,AF$30-AG$28))))</f>
        <v/>
      </c>
      <c r="AH30" s="18">
        <f>IF(RefiFlag=0,0,IF(31&lt;RefiMonth,0,IF(31=RefiMonth,PermLoan,IF(31&gt;DispoMonth,0,AG$30-AH$28))))</f>
        <v/>
      </c>
      <c r="AI30" s="18">
        <f>IF(RefiFlag=0,0,IF(32&lt;RefiMonth,0,IF(32=RefiMonth,PermLoan,IF(32&gt;DispoMonth,0,AH$30-AI$28))))</f>
        <v/>
      </c>
      <c r="AJ30" s="18">
        <f>IF(RefiFlag=0,0,IF(33&lt;RefiMonth,0,IF(33=RefiMonth,PermLoan,IF(33&gt;DispoMonth,0,AI$30-AJ$28))))</f>
        <v/>
      </c>
      <c r="AK30" s="18">
        <f>IF(RefiFlag=0,0,IF(34&lt;RefiMonth,0,IF(34=RefiMonth,PermLoan,IF(34&gt;DispoMonth,0,AJ$30-AK$28))))</f>
        <v/>
      </c>
      <c r="AL30" s="18">
        <f>IF(RefiFlag=0,0,IF(35&lt;RefiMonth,0,IF(35=RefiMonth,PermLoan,IF(35&gt;DispoMonth,0,AK$30-AL$28))))</f>
        <v/>
      </c>
      <c r="AM30" s="18">
        <f>IF(RefiFlag=0,0,IF(36&lt;RefiMonth,0,IF(36=RefiMonth,PermLoan,IF(36&gt;DispoMonth,0,AL$30-AM$28))))</f>
        <v/>
      </c>
      <c r="AN30" s="18">
        <f>IF(RefiFlag=0,0,IF(37&lt;RefiMonth,0,IF(37=RefiMonth,PermLoan,IF(37&gt;DispoMonth,0,AM$30-AN$28))))</f>
        <v/>
      </c>
      <c r="AO30" s="18">
        <f>IF(RefiFlag=0,0,IF(38&lt;RefiMonth,0,IF(38=RefiMonth,PermLoan,IF(38&gt;DispoMonth,0,AN$30-AO$28))))</f>
        <v/>
      </c>
      <c r="AP30" s="18">
        <f>IF(RefiFlag=0,0,IF(39&lt;RefiMonth,0,IF(39=RefiMonth,PermLoan,IF(39&gt;DispoMonth,0,AO$30-AP$28))))</f>
        <v/>
      </c>
      <c r="AQ30" s="18">
        <f>IF(RefiFlag=0,0,IF(40&lt;RefiMonth,0,IF(40=RefiMonth,PermLoan,IF(40&gt;DispoMonth,0,AP$30-AQ$28))))</f>
        <v/>
      </c>
      <c r="AR30" s="18">
        <f>IF(RefiFlag=0,0,IF(41&lt;RefiMonth,0,IF(41=RefiMonth,PermLoan,IF(41&gt;DispoMonth,0,AQ$30-AR$28))))</f>
        <v/>
      </c>
      <c r="AS30" s="18">
        <f>IF(RefiFlag=0,0,IF(42&lt;RefiMonth,0,IF(42=RefiMonth,PermLoan,IF(42&gt;DispoMonth,0,AR$30-AS$28))))</f>
        <v/>
      </c>
      <c r="AT30" s="18">
        <f>IF(RefiFlag=0,0,IF(43&lt;RefiMonth,0,IF(43=RefiMonth,PermLoan,IF(43&gt;DispoMonth,0,AS$30-AT$28))))</f>
        <v/>
      </c>
      <c r="AU30" s="18">
        <f>IF(RefiFlag=0,0,IF(44&lt;RefiMonth,0,IF(44=RefiMonth,PermLoan,IF(44&gt;DispoMonth,0,AT$30-AU$28))))</f>
        <v/>
      </c>
      <c r="AV30" s="18">
        <f>IF(RefiFlag=0,0,IF(45&lt;RefiMonth,0,IF(45=RefiMonth,PermLoan,IF(45&gt;DispoMonth,0,AU$30-AV$28))))</f>
        <v/>
      </c>
      <c r="AW30" s="18">
        <f>IF(RefiFlag=0,0,IF(46&lt;RefiMonth,0,IF(46=RefiMonth,PermLoan,IF(46&gt;DispoMonth,0,AV$30-AW$28))))</f>
        <v/>
      </c>
      <c r="AX30" s="18">
        <f>IF(RefiFlag=0,0,IF(47&lt;RefiMonth,0,IF(47=RefiMonth,PermLoan,IF(47&gt;DispoMonth,0,AW$30-AX$28))))</f>
        <v/>
      </c>
      <c r="AY30" s="18">
        <f>IF(RefiFlag=0,0,IF(48&lt;RefiMonth,0,IF(48=RefiMonth,PermLoan,IF(48&gt;DispoMonth,0,AX$30-AY$28))))</f>
        <v/>
      </c>
      <c r="AZ30" s="18">
        <f>IF(RefiFlag=0,0,IF(49&lt;RefiMonth,0,IF(49=RefiMonth,PermLoan,IF(49&gt;DispoMonth,0,AY$30-AZ$28))))</f>
        <v/>
      </c>
      <c r="BA30" s="18">
        <f>IF(RefiFlag=0,0,IF(50&lt;RefiMonth,0,IF(50=RefiMonth,PermLoan,IF(50&gt;DispoMonth,0,AZ$30-BA$28))))</f>
        <v/>
      </c>
      <c r="BB30" s="18">
        <f>IF(RefiFlag=0,0,IF(51&lt;RefiMonth,0,IF(51=RefiMonth,PermLoan,IF(51&gt;DispoMonth,0,BA$30-BB$28))))</f>
        <v/>
      </c>
      <c r="BC30" s="18">
        <f>IF(RefiFlag=0,0,IF(52&lt;RefiMonth,0,IF(52=RefiMonth,PermLoan,IF(52&gt;DispoMonth,0,BB$30-BC$28))))</f>
        <v/>
      </c>
      <c r="BD30" s="18">
        <f>IF(RefiFlag=0,0,IF(53&lt;RefiMonth,0,IF(53=RefiMonth,PermLoan,IF(53&gt;DispoMonth,0,BC$30-BD$28))))</f>
        <v/>
      </c>
      <c r="BE30" s="18">
        <f>IF(RefiFlag=0,0,IF(54&lt;RefiMonth,0,IF(54=RefiMonth,PermLoan,IF(54&gt;DispoMonth,0,BD$30-BE$28))))</f>
        <v/>
      </c>
      <c r="BF30" s="18">
        <f>IF(RefiFlag=0,0,IF(55&lt;RefiMonth,0,IF(55=RefiMonth,PermLoan,IF(55&gt;DispoMonth,0,BE$30-BF$28))))</f>
        <v/>
      </c>
      <c r="BG30" s="18">
        <f>IF(RefiFlag=0,0,IF(56&lt;RefiMonth,0,IF(56=RefiMonth,PermLoan,IF(56&gt;DispoMonth,0,BF$30-BG$28))))</f>
        <v/>
      </c>
      <c r="BH30" s="18">
        <f>IF(RefiFlag=0,0,IF(57&lt;RefiMonth,0,IF(57=RefiMonth,PermLoan,IF(57&gt;DispoMonth,0,BG$30-BH$28))))</f>
        <v/>
      </c>
      <c r="BI30" s="18">
        <f>IF(RefiFlag=0,0,IF(58&lt;RefiMonth,0,IF(58=RefiMonth,PermLoan,IF(58&gt;DispoMonth,0,BH$30-BI$28))))</f>
        <v/>
      </c>
      <c r="BJ30" s="18">
        <f>IF(RefiFlag=0,0,IF(59&lt;RefiMonth,0,IF(59=RefiMonth,PermLoan,IF(59&gt;DispoMonth,0,BI$30-BJ$28))))</f>
        <v/>
      </c>
      <c r="BK30" s="18">
        <f>IF(RefiFlag=0,0,IF(60&lt;RefiMonth,0,IF(60=RefiMonth,PermLoan,IF(60&gt;DispoMonth,0,BJ$30-BK$28))))</f>
        <v/>
      </c>
      <c r="BL30" s="18">
        <f>IF(RefiFlag=0,0,IF(61&lt;RefiMonth,0,IF(61=RefiMonth,PermLoan,IF(61&gt;DispoMonth,0,BK$30-BL$28))))</f>
        <v/>
      </c>
      <c r="BM30" s="18">
        <f>IF(RefiFlag=0,0,IF(62&lt;RefiMonth,0,IF(62=RefiMonth,PermLoan,IF(62&gt;DispoMonth,0,BL$30-BM$28))))</f>
        <v/>
      </c>
      <c r="BN30" s="18">
        <f>IF(RefiFlag=0,0,IF(63&lt;RefiMonth,0,IF(63=RefiMonth,PermLoan,IF(63&gt;DispoMonth,0,BM$30-BN$28))))</f>
        <v/>
      </c>
      <c r="BO30" s="18">
        <f>IF(RefiFlag=0,0,IF(64&lt;RefiMonth,0,IF(64=RefiMonth,PermLoan,IF(64&gt;DispoMonth,0,BN$30-BO$28))))</f>
        <v/>
      </c>
      <c r="BP30" s="18">
        <f>IF(RefiFlag=0,0,IF(65&lt;RefiMonth,0,IF(65=RefiMonth,PermLoan,IF(65&gt;DispoMonth,0,BO$30-BP$28))))</f>
        <v/>
      </c>
      <c r="BQ30" s="18">
        <f>IF(RefiFlag=0,0,IF(66&lt;RefiMonth,0,IF(66=RefiMonth,PermLoan,IF(66&gt;DispoMonth,0,BP$30-BQ$28))))</f>
        <v/>
      </c>
      <c r="BR30" s="18">
        <f>IF(RefiFlag=0,0,IF(67&lt;RefiMonth,0,IF(67=RefiMonth,PermLoan,IF(67&gt;DispoMonth,0,BQ$30-BR$28))))</f>
        <v/>
      </c>
      <c r="BS30" s="18">
        <f>IF(RefiFlag=0,0,IF(68&lt;RefiMonth,0,IF(68=RefiMonth,PermLoan,IF(68&gt;DispoMonth,0,BR$30-BS$28))))</f>
        <v/>
      </c>
      <c r="BT30" s="18">
        <f>IF(RefiFlag=0,0,IF(69&lt;RefiMonth,0,IF(69=RefiMonth,PermLoan,IF(69&gt;DispoMonth,0,BS$30-BT$28))))</f>
        <v/>
      </c>
      <c r="BU30" s="18">
        <f>IF(RefiFlag=0,0,IF(70&lt;RefiMonth,0,IF(70=RefiMonth,PermLoan,IF(70&gt;DispoMonth,0,BT$30-BU$28))))</f>
        <v/>
      </c>
      <c r="BV30" s="18">
        <f>IF(RefiFlag=0,0,IF(71&lt;RefiMonth,0,IF(71=RefiMonth,PermLoan,IF(71&gt;DispoMonth,0,BU$30-BV$28))))</f>
        <v/>
      </c>
      <c r="BW30" s="18">
        <f>IF(RefiFlag=0,0,IF(72&lt;RefiMonth,0,IF(72=RefiMonth,PermLoan,IF(72&gt;DispoMonth,0,BV$30-BW$28))))</f>
        <v/>
      </c>
      <c r="BX30" s="18">
        <f>IF(RefiFlag=0,0,IF(73&lt;RefiMonth,0,IF(73=RefiMonth,PermLoan,IF(73&gt;DispoMonth,0,BW$30-BX$28))))</f>
        <v/>
      </c>
      <c r="BY30" s="18">
        <f>IF(RefiFlag=0,0,IF(74&lt;RefiMonth,0,IF(74=RefiMonth,PermLoan,IF(74&gt;DispoMonth,0,BX$30-BY$28))))</f>
        <v/>
      </c>
      <c r="BZ30" s="18">
        <f>IF(RefiFlag=0,0,IF(75&lt;RefiMonth,0,IF(75=RefiMonth,PermLoan,IF(75&gt;DispoMonth,0,BY$30-BZ$28))))</f>
        <v/>
      </c>
      <c r="CA30" s="18">
        <f>IF(RefiFlag=0,0,IF(76&lt;RefiMonth,0,IF(76=RefiMonth,PermLoan,IF(76&gt;DispoMonth,0,BZ$30-CA$28))))</f>
        <v/>
      </c>
      <c r="CB30" s="18">
        <f>IF(RefiFlag=0,0,IF(77&lt;RefiMonth,0,IF(77=RefiMonth,PermLoan,IF(77&gt;DispoMonth,0,CA$30-CB$28))))</f>
        <v/>
      </c>
      <c r="CC30" s="18">
        <f>IF(RefiFlag=0,0,IF(78&lt;RefiMonth,0,IF(78=RefiMonth,PermLoan,IF(78&gt;DispoMonth,0,CB$30-CC$28))))</f>
        <v/>
      </c>
      <c r="CD30" s="18">
        <f>IF(RefiFlag=0,0,IF(79&lt;RefiMonth,0,IF(79=RefiMonth,PermLoan,IF(79&gt;DispoMonth,0,CC$30-CD$28))))</f>
        <v/>
      </c>
      <c r="CE30" s="18">
        <f>IF(RefiFlag=0,0,IF(80&lt;RefiMonth,0,IF(80=RefiMonth,PermLoan,IF(80&gt;DispoMonth,0,CD$30-CE$28))))</f>
        <v/>
      </c>
      <c r="CF30" s="18">
        <f>IF(RefiFlag=0,0,IF(81&lt;RefiMonth,0,IF(81=RefiMonth,PermLoan,IF(81&gt;DispoMonth,0,CE$30-CF$28))))</f>
        <v/>
      </c>
      <c r="CG30" s="18">
        <f>IF(RefiFlag=0,0,IF(82&lt;RefiMonth,0,IF(82=RefiMonth,PermLoan,IF(82&gt;DispoMonth,0,CF$30-CG$28))))</f>
        <v/>
      </c>
      <c r="CH30" s="18">
        <f>IF(RefiFlag=0,0,IF(83&lt;RefiMonth,0,IF(83=RefiMonth,PermLoan,IF(83&gt;DispoMonth,0,CG$30-CH$28))))</f>
        <v/>
      </c>
      <c r="CI30" s="18">
        <f>IF(RefiFlag=0,0,IF(84&lt;RefiMonth,0,IF(84=RefiMonth,PermLoan,IF(84&gt;DispoMonth,0,CH$30-CI$28))))</f>
        <v/>
      </c>
      <c r="CJ30" s="18">
        <f>IF(RefiFlag=0,0,IF(85&lt;RefiMonth,0,IF(85=RefiMonth,PermLoan,IF(85&gt;DispoMonth,0,CI$30-CJ$28))))</f>
        <v/>
      </c>
      <c r="CK30" s="18">
        <f>IF(RefiFlag=0,0,IF(86&lt;RefiMonth,0,IF(86=RefiMonth,PermLoan,IF(86&gt;DispoMonth,0,CJ$30-CK$28))))</f>
        <v/>
      </c>
      <c r="CL30" s="18">
        <f>IF(RefiFlag=0,0,IF(87&lt;RefiMonth,0,IF(87=RefiMonth,PermLoan,IF(87&gt;DispoMonth,0,CK$30-CL$28))))</f>
        <v/>
      </c>
      <c r="CM30" s="18">
        <f>IF(RefiFlag=0,0,IF(88&lt;RefiMonth,0,IF(88=RefiMonth,PermLoan,IF(88&gt;DispoMonth,0,CL$30-CM$28))))</f>
        <v/>
      </c>
      <c r="CN30" s="18">
        <f>IF(RefiFlag=0,0,IF(89&lt;RefiMonth,0,IF(89=RefiMonth,PermLoan,IF(89&gt;DispoMonth,0,CM$30-CN$28))))</f>
        <v/>
      </c>
      <c r="CO30" s="18">
        <f>IF(RefiFlag=0,0,IF(90&lt;RefiMonth,0,IF(90=RefiMonth,PermLoan,IF(90&gt;DispoMonth,0,CN$30-CO$28))))</f>
        <v/>
      </c>
      <c r="CP30" s="18">
        <f>IF(RefiFlag=0,0,IF(91&lt;RefiMonth,0,IF(91=RefiMonth,PermLoan,IF(91&gt;DispoMonth,0,CO$30-CP$28))))</f>
        <v/>
      </c>
      <c r="CQ30" s="18">
        <f>IF(RefiFlag=0,0,IF(92&lt;RefiMonth,0,IF(92=RefiMonth,PermLoan,IF(92&gt;DispoMonth,0,CP$30-CQ$28))))</f>
        <v/>
      </c>
      <c r="CR30" s="18">
        <f>IF(RefiFlag=0,0,IF(93&lt;RefiMonth,0,IF(93=RefiMonth,PermLoan,IF(93&gt;DispoMonth,0,CQ$30-CR$28))))</f>
        <v/>
      </c>
      <c r="CS30" s="18">
        <f>IF(RefiFlag=0,0,IF(94&lt;RefiMonth,0,IF(94=RefiMonth,PermLoan,IF(94&gt;DispoMonth,0,CR$30-CS$28))))</f>
        <v/>
      </c>
      <c r="CT30" s="18">
        <f>IF(RefiFlag=0,0,IF(95&lt;RefiMonth,0,IF(95=RefiMonth,PermLoan,IF(95&gt;DispoMonth,0,CS$30-CT$28))))</f>
        <v/>
      </c>
      <c r="CU30" s="18">
        <f>IF(RefiFlag=0,0,IF(96&lt;RefiMonth,0,IF(96=RefiMonth,PermLoan,IF(96&gt;DispoMonth,0,CT$30-CU$28))))</f>
        <v/>
      </c>
      <c r="CV30" s="18">
        <f>IF(RefiFlag=0,0,IF(97&lt;RefiMonth,0,IF(97=RefiMonth,PermLoan,IF(97&gt;DispoMonth,0,CU$30-CV$28))))</f>
        <v/>
      </c>
      <c r="CW30" s="18">
        <f>IF(RefiFlag=0,0,IF(98&lt;RefiMonth,0,IF(98=RefiMonth,PermLoan,IF(98&gt;DispoMonth,0,CV$30-CW$28))))</f>
        <v/>
      </c>
      <c r="CX30" s="18">
        <f>IF(RefiFlag=0,0,IF(99&lt;RefiMonth,0,IF(99=RefiMonth,PermLoan,IF(99&gt;DispoMonth,0,CW$30-CX$28))))</f>
        <v/>
      </c>
      <c r="CY30" s="18">
        <f>IF(RefiFlag=0,0,IF(100&lt;RefiMonth,0,IF(100=RefiMonth,PermLoan,IF(100&gt;DispoMonth,0,CX$30-CY$28))))</f>
        <v/>
      </c>
      <c r="CZ30" s="18">
        <f>IF(RefiFlag=0,0,IF(101&lt;RefiMonth,0,IF(101=RefiMonth,PermLoan,IF(101&gt;DispoMonth,0,CY$30-CZ$28))))</f>
        <v/>
      </c>
      <c r="DA30" s="18">
        <f>IF(RefiFlag=0,0,IF(102&lt;RefiMonth,0,IF(102=RefiMonth,PermLoan,IF(102&gt;DispoMonth,0,CZ$30-DA$28))))</f>
        <v/>
      </c>
      <c r="DB30" s="18">
        <f>IF(RefiFlag=0,0,IF(103&lt;RefiMonth,0,IF(103=RefiMonth,PermLoan,IF(103&gt;DispoMonth,0,DA$30-DB$28))))</f>
        <v/>
      </c>
      <c r="DC30" s="18">
        <f>IF(RefiFlag=0,0,IF(104&lt;RefiMonth,0,IF(104=RefiMonth,PermLoan,IF(104&gt;DispoMonth,0,DB$30-DC$28))))</f>
        <v/>
      </c>
      <c r="DD30" s="18">
        <f>IF(RefiFlag=0,0,IF(105&lt;RefiMonth,0,IF(105=RefiMonth,PermLoan,IF(105&gt;DispoMonth,0,DC$30-DD$28))))</f>
        <v/>
      </c>
      <c r="DE30" s="18">
        <f>IF(RefiFlag=0,0,IF(106&lt;RefiMonth,0,IF(106=RefiMonth,PermLoan,IF(106&gt;DispoMonth,0,DD$30-DE$28))))</f>
        <v/>
      </c>
      <c r="DF30" s="18">
        <f>IF(RefiFlag=0,0,IF(107&lt;RefiMonth,0,IF(107=RefiMonth,PermLoan,IF(107&gt;DispoMonth,0,DE$30-DF$28))))</f>
        <v/>
      </c>
      <c r="DG30" s="18">
        <f>IF(RefiFlag=0,0,IF(108&lt;RefiMonth,0,IF(108=RefiMonth,PermLoan,IF(108&gt;DispoMonth,0,DF$30-DG$28))))</f>
        <v/>
      </c>
      <c r="DH30" s="18">
        <f>IF(RefiFlag=0,0,IF(109&lt;RefiMonth,0,IF(109=RefiMonth,PermLoan,IF(109&gt;DispoMonth,0,DG$30-DH$28))))</f>
        <v/>
      </c>
      <c r="DI30" s="18">
        <f>IF(RefiFlag=0,0,IF(110&lt;RefiMonth,0,IF(110=RefiMonth,PermLoan,IF(110&gt;DispoMonth,0,DH$30-DI$28))))</f>
        <v/>
      </c>
      <c r="DJ30" s="18">
        <f>IF(RefiFlag=0,0,IF(111&lt;RefiMonth,0,IF(111=RefiMonth,PermLoan,IF(111&gt;DispoMonth,0,DI$30-DJ$28))))</f>
        <v/>
      </c>
      <c r="DK30" s="18">
        <f>IF(RefiFlag=0,0,IF(112&lt;RefiMonth,0,IF(112=RefiMonth,PermLoan,IF(112&gt;DispoMonth,0,DJ$30-DK$28))))</f>
        <v/>
      </c>
      <c r="DL30" s="18">
        <f>IF(RefiFlag=0,0,IF(113&lt;RefiMonth,0,IF(113=RefiMonth,PermLoan,IF(113&gt;DispoMonth,0,DK$30-DL$28))))</f>
        <v/>
      </c>
      <c r="DM30" s="18">
        <f>IF(RefiFlag=0,0,IF(114&lt;RefiMonth,0,IF(114=RefiMonth,PermLoan,IF(114&gt;DispoMonth,0,DL$30-DM$28))))</f>
        <v/>
      </c>
      <c r="DN30" s="18">
        <f>IF(RefiFlag=0,0,IF(115&lt;RefiMonth,0,IF(115=RefiMonth,PermLoan,IF(115&gt;DispoMonth,0,DM$30-DN$28))))</f>
        <v/>
      </c>
      <c r="DO30" s="18">
        <f>IF(RefiFlag=0,0,IF(116&lt;RefiMonth,0,IF(116=RefiMonth,PermLoan,IF(116&gt;DispoMonth,0,DN$30-DO$28))))</f>
        <v/>
      </c>
      <c r="DP30" s="18">
        <f>IF(RefiFlag=0,0,IF(117&lt;RefiMonth,0,IF(117=RefiMonth,PermLoan,IF(117&gt;DispoMonth,0,DO$30-DP$28))))</f>
        <v/>
      </c>
      <c r="DQ30" s="18">
        <f>IF(RefiFlag=0,0,IF(118&lt;RefiMonth,0,IF(118=RefiMonth,PermLoan,IF(118&gt;DispoMonth,0,DP$30-DQ$28))))</f>
        <v/>
      </c>
      <c r="DR30" s="18">
        <f>IF(RefiFlag=0,0,IF(119&lt;RefiMonth,0,IF(119=RefiMonth,PermLoan,IF(119&gt;DispoMonth,0,DQ$30-DR$28))))</f>
        <v/>
      </c>
      <c r="DS30" s="18">
        <f>IF(RefiFlag=0,0,IF(120&lt;RefiMonth,0,IF(120=RefiMonth,PermLoan,IF(120&gt;DispoMonth,0,DR$30-DS$28))))</f>
        <v/>
      </c>
      <c r="DT30" s="18">
        <f>IF(RefiFlag=0,0,IF(121&lt;RefiMonth,0,IF(121=RefiMonth,PermLoan,IF(121&gt;DispoMonth,0,DS$30-DT$28))))</f>
        <v/>
      </c>
      <c r="DU30" s="18">
        <f>IF(RefiFlag=0,0,IF(122&lt;RefiMonth,0,IF(122=RefiMonth,PermLoan,IF(122&gt;DispoMonth,0,DT$30-DU$28))))</f>
        <v/>
      </c>
      <c r="DV30" s="18">
        <f>IF(RefiFlag=0,0,IF(123&lt;RefiMonth,0,IF(123=RefiMonth,PermLoan,IF(123&gt;DispoMonth,0,DU$30-DV$28))))</f>
        <v/>
      </c>
      <c r="DW30" s="18">
        <f>IF(RefiFlag=0,0,IF(124&lt;RefiMonth,0,IF(124=RefiMonth,PermLoan,IF(124&gt;DispoMonth,0,DV$30-DW$28))))</f>
        <v/>
      </c>
      <c r="DX30" s="18">
        <f>IF(RefiFlag=0,0,IF(125&lt;RefiMonth,0,IF(125=RefiMonth,PermLoan,IF(125&gt;DispoMonth,0,DW$30-DX$28))))</f>
        <v/>
      </c>
      <c r="DY30" s="18">
        <f>IF(RefiFlag=0,0,IF(126&lt;RefiMonth,0,IF(126=RefiMonth,PermLoan,IF(126&gt;DispoMonth,0,DX$30-DY$28))))</f>
        <v/>
      </c>
      <c r="DZ30" s="18">
        <f>IF(RefiFlag=0,0,IF(127&lt;RefiMonth,0,IF(127=RefiMonth,PermLoan,IF(127&gt;DispoMonth,0,DY$30-DZ$28))))</f>
        <v/>
      </c>
      <c r="EA30" s="18">
        <f>IF(RefiFlag=0,0,IF(128&lt;RefiMonth,0,IF(128=RefiMonth,PermLoan,IF(128&gt;DispoMonth,0,DZ$30-EA$28))))</f>
        <v/>
      </c>
      <c r="EB30" s="18">
        <f>IF(RefiFlag=0,0,IF(129&lt;RefiMonth,0,IF(129=RefiMonth,PermLoan,IF(129&gt;DispoMonth,0,EA$30-EB$28))))</f>
        <v/>
      </c>
      <c r="EC30" s="18">
        <f>IF(RefiFlag=0,0,IF(130&lt;RefiMonth,0,IF(130=RefiMonth,PermLoan,IF(130&gt;DispoMonth,0,EB$30-EC$28))))</f>
        <v/>
      </c>
      <c r="ED30" s="18">
        <f>IF(RefiFlag=0,0,IF(131&lt;RefiMonth,0,IF(131=RefiMonth,PermLoan,IF(131&gt;DispoMonth,0,EC$30-ED$28))))</f>
        <v/>
      </c>
      <c r="EE30" s="18">
        <f>IF(RefiFlag=0,0,IF(132&lt;RefiMonth,0,IF(132=RefiMonth,PermLoan,IF(132&gt;DispoMonth,0,ED$30-EE$28))))</f>
        <v/>
      </c>
      <c r="EF30" s="18">
        <f>IF(RefiFlag=0,0,IF(133&lt;RefiMonth,0,IF(133=RefiMonth,PermLoan,IF(133&gt;DispoMonth,0,EE$30-EF$28))))</f>
        <v/>
      </c>
      <c r="EG30" s="18">
        <f>IF(RefiFlag=0,0,IF(134&lt;RefiMonth,0,IF(134=RefiMonth,PermLoan,IF(134&gt;DispoMonth,0,EF$30-EG$28))))</f>
        <v/>
      </c>
      <c r="EH30" s="18">
        <f>IF(RefiFlag=0,0,IF(135&lt;RefiMonth,0,IF(135=RefiMonth,PermLoan,IF(135&gt;DispoMonth,0,EG$30-EH$28))))</f>
        <v/>
      </c>
      <c r="EI30" s="18">
        <f>IF(RefiFlag=0,0,IF(136&lt;RefiMonth,0,IF(136=RefiMonth,PermLoan,IF(136&gt;DispoMonth,0,EH$30-EI$28))))</f>
        <v/>
      </c>
      <c r="EJ30" s="18">
        <f>IF(RefiFlag=0,0,IF(137&lt;RefiMonth,0,IF(137=RefiMonth,PermLoan,IF(137&gt;DispoMonth,0,EI$30-EJ$28))))</f>
        <v/>
      </c>
      <c r="EK30" s="18">
        <f>IF(RefiFlag=0,0,IF(138&lt;RefiMonth,0,IF(138=RefiMonth,PermLoan,IF(138&gt;DispoMonth,0,EJ$30-EK$28))))</f>
        <v/>
      </c>
      <c r="EL30" s="18">
        <f>IF(RefiFlag=0,0,IF(139&lt;RefiMonth,0,IF(139=RefiMonth,PermLoan,IF(139&gt;DispoMonth,0,EK$30-EL$28))))</f>
        <v/>
      </c>
      <c r="EM30" s="18">
        <f>IF(RefiFlag=0,0,IF(140&lt;RefiMonth,0,IF(140=RefiMonth,PermLoan,IF(140&gt;DispoMonth,0,EL$30-EM$28))))</f>
        <v/>
      </c>
      <c r="EN30" s="18">
        <f>IF(RefiFlag=0,0,IF(141&lt;RefiMonth,0,IF(141=RefiMonth,PermLoan,IF(141&gt;DispoMonth,0,EM$30-EN$28))))</f>
        <v/>
      </c>
      <c r="EO30" s="18">
        <f>IF(RefiFlag=0,0,IF(142&lt;RefiMonth,0,IF(142=RefiMonth,PermLoan,IF(142&gt;DispoMonth,0,EN$30-EO$28))))</f>
        <v/>
      </c>
      <c r="EP30" s="18">
        <f>IF(RefiFlag=0,0,IF(143&lt;RefiMonth,0,IF(143=RefiMonth,PermLoan,IF(143&gt;DispoMonth,0,EO$30-EP$28))))</f>
        <v/>
      </c>
      <c r="EQ30" s="18">
        <f>IF(RefiFlag=0,0,IF(144&lt;RefiMonth,0,IF(144=RefiMonth,PermLoan,IF(144&gt;DispoMonth,0,EP$30-EQ$28))))</f>
        <v/>
      </c>
      <c r="ER30" s="18">
        <f>IF(RefiFlag=0,0,IF(145&lt;RefiMonth,0,IF(145=RefiMonth,PermLoan,IF(145&gt;DispoMonth,0,EQ$30-ER$28))))</f>
        <v/>
      </c>
      <c r="ES30" s="18">
        <f>IF(RefiFlag=0,0,IF(146&lt;RefiMonth,0,IF(146=RefiMonth,PermLoan,IF(146&gt;DispoMonth,0,ER$30-ES$28))))</f>
        <v/>
      </c>
      <c r="ET30" s="18">
        <f>IF(RefiFlag=0,0,IF(147&lt;RefiMonth,0,IF(147=RefiMonth,PermLoan,IF(147&gt;DispoMonth,0,ES$30-ET$28))))</f>
        <v/>
      </c>
      <c r="EU30" s="18">
        <f>IF(RefiFlag=0,0,IF(148&lt;RefiMonth,0,IF(148=RefiMonth,PermLoan,IF(148&gt;DispoMonth,0,ET$30-EU$28))))</f>
        <v/>
      </c>
      <c r="EV30" s="18">
        <f>IF(RefiFlag=0,0,IF(149&lt;RefiMonth,0,IF(149=RefiMonth,PermLoan,IF(149&gt;DispoMonth,0,EU$30-EV$28))))</f>
        <v/>
      </c>
      <c r="EW30" s="18">
        <f>IF(RefiFlag=0,0,IF(150&lt;RefiMonth,0,IF(150=RefiMonth,PermLoan,IF(150&gt;DispoMonth,0,EV$30-EW$28))))</f>
        <v/>
      </c>
      <c r="EX30" s="18">
        <f>IF(RefiFlag=0,0,IF(151&lt;RefiMonth,0,IF(151=RefiMonth,PermLoan,IF(151&gt;DispoMonth,0,EW$30-EX$28))))</f>
        <v/>
      </c>
      <c r="EY30" s="18">
        <f>IF(RefiFlag=0,0,IF(152&lt;RefiMonth,0,IF(152=RefiMonth,PermLoan,IF(152&gt;DispoMonth,0,EX$30-EY$28))))</f>
        <v/>
      </c>
      <c r="EZ30" s="18">
        <f>IF(RefiFlag=0,0,IF(153&lt;RefiMonth,0,IF(153=RefiMonth,PermLoan,IF(153&gt;DispoMonth,0,EY$30-EZ$28))))</f>
        <v/>
      </c>
      <c r="FA30" s="18">
        <f>IF(RefiFlag=0,0,IF(154&lt;RefiMonth,0,IF(154=RefiMonth,PermLoan,IF(154&gt;DispoMonth,0,EZ$30-FA$28))))</f>
        <v/>
      </c>
      <c r="FB30" s="18">
        <f>IF(RefiFlag=0,0,IF(155&lt;RefiMonth,0,IF(155=RefiMonth,PermLoan,IF(155&gt;DispoMonth,0,FA$30-FB$28))))</f>
        <v/>
      </c>
      <c r="FC30" s="18">
        <f>IF(RefiFlag=0,0,IF(156&lt;RefiMonth,0,IF(156=RefiMonth,PermLoan,IF(156&gt;DispoMonth,0,FB$30-FC$28))))</f>
        <v/>
      </c>
      <c r="FD30" s="18">
        <f>IF(RefiFlag=0,0,IF(157&lt;RefiMonth,0,IF(157=RefiMonth,PermLoan,IF(157&gt;DispoMonth,0,FC$30-FD$28))))</f>
        <v/>
      </c>
      <c r="FE30" s="18">
        <f>IF(RefiFlag=0,0,IF(158&lt;RefiMonth,0,IF(158=RefiMonth,PermLoan,IF(158&gt;DispoMonth,0,FD$30-FE$28))))</f>
        <v/>
      </c>
      <c r="FF30" s="18">
        <f>IF(RefiFlag=0,0,IF(159&lt;RefiMonth,0,IF(159=RefiMonth,PermLoan,IF(159&gt;DispoMonth,0,FE$30-FF$28))))</f>
        <v/>
      </c>
      <c r="FG30" s="18">
        <f>IF(RefiFlag=0,0,IF(160&lt;RefiMonth,0,IF(160=RefiMonth,PermLoan,IF(160&gt;DispoMonth,0,FF$30-FG$28))))</f>
        <v/>
      </c>
      <c r="FH30" s="18">
        <f>IF(RefiFlag=0,0,IF(161&lt;RefiMonth,0,IF(161=RefiMonth,PermLoan,IF(161&gt;DispoMonth,0,FG$30-FH$28))))</f>
        <v/>
      </c>
      <c r="FI30" s="18">
        <f>IF(RefiFlag=0,0,IF(162&lt;RefiMonth,0,IF(162=RefiMonth,PermLoan,IF(162&gt;DispoMonth,0,FH$30-FI$28))))</f>
        <v/>
      </c>
      <c r="FJ30" s="18">
        <f>IF(RefiFlag=0,0,IF(163&lt;RefiMonth,0,IF(163=RefiMonth,PermLoan,IF(163&gt;DispoMonth,0,FI$30-FJ$28))))</f>
        <v/>
      </c>
      <c r="FK30" s="18">
        <f>IF(RefiFlag=0,0,IF(164&lt;RefiMonth,0,IF(164=RefiMonth,PermLoan,IF(164&gt;DispoMonth,0,FJ$30-FK$28))))</f>
        <v/>
      </c>
      <c r="FL30" s="18">
        <f>IF(RefiFlag=0,0,IF(165&lt;RefiMonth,0,IF(165=RefiMonth,PermLoan,IF(165&gt;DispoMonth,0,FK$30-FL$28))))</f>
        <v/>
      </c>
      <c r="FM30" s="18">
        <f>IF(RefiFlag=0,0,IF(166&lt;RefiMonth,0,IF(166=RefiMonth,PermLoan,IF(166&gt;DispoMonth,0,FL$30-FM$28))))</f>
        <v/>
      </c>
      <c r="FN30" s="18">
        <f>IF(RefiFlag=0,0,IF(167&lt;RefiMonth,0,IF(167=RefiMonth,PermLoan,IF(167&gt;DispoMonth,0,FM$30-FN$28))))</f>
        <v/>
      </c>
      <c r="FO30" s="18">
        <f>IF(RefiFlag=0,0,IF(168&lt;RefiMonth,0,IF(168=RefiMonth,PermLoan,IF(168&gt;DispoMonth,0,FN$30-FO$28))))</f>
        <v/>
      </c>
      <c r="FP30" s="18">
        <f>IF(RefiFlag=0,0,IF(169&lt;RefiMonth,0,IF(169=RefiMonth,PermLoan,IF(169&gt;DispoMonth,0,FO$30-FP$28))))</f>
        <v/>
      </c>
      <c r="FQ30" s="18">
        <f>IF(RefiFlag=0,0,IF(170&lt;RefiMonth,0,IF(170=RefiMonth,PermLoan,IF(170&gt;DispoMonth,0,FP$30-FQ$28))))</f>
        <v/>
      </c>
      <c r="FR30" s="18">
        <f>IF(RefiFlag=0,0,IF(171&lt;RefiMonth,0,IF(171=RefiMonth,PermLoan,IF(171&gt;DispoMonth,0,FQ$30-FR$28))))</f>
        <v/>
      </c>
      <c r="FS30" s="18">
        <f>IF(RefiFlag=0,0,IF(172&lt;RefiMonth,0,IF(172=RefiMonth,PermLoan,IF(172&gt;DispoMonth,0,FR$30-FS$28))))</f>
        <v/>
      </c>
      <c r="FT30" s="18">
        <f>IF(RefiFlag=0,0,IF(173&lt;RefiMonth,0,IF(173=RefiMonth,PermLoan,IF(173&gt;DispoMonth,0,FS$30-FT$28))))</f>
        <v/>
      </c>
      <c r="FU30" s="18">
        <f>IF(RefiFlag=0,0,IF(174&lt;RefiMonth,0,IF(174=RefiMonth,PermLoan,IF(174&gt;DispoMonth,0,FT$30-FU$28))))</f>
        <v/>
      </c>
      <c r="FV30" s="18">
        <f>IF(RefiFlag=0,0,IF(175&lt;RefiMonth,0,IF(175=RefiMonth,PermLoan,IF(175&gt;DispoMonth,0,FU$30-FV$28))))</f>
        <v/>
      </c>
      <c r="FW30" s="18">
        <f>IF(RefiFlag=0,0,IF(176&lt;RefiMonth,0,IF(176=RefiMonth,PermLoan,IF(176&gt;DispoMonth,0,FV$30-FW$28))))</f>
        <v/>
      </c>
      <c r="FX30" s="18">
        <f>IF(RefiFlag=0,0,IF(177&lt;RefiMonth,0,IF(177=RefiMonth,PermLoan,IF(177&gt;DispoMonth,0,FW$30-FX$28))))</f>
        <v/>
      </c>
      <c r="FY30" s="18">
        <f>IF(RefiFlag=0,0,IF(178&lt;RefiMonth,0,IF(178=RefiMonth,PermLoan,IF(178&gt;DispoMonth,0,FX$30-FY$28))))</f>
        <v/>
      </c>
      <c r="FZ30" s="18">
        <f>IF(RefiFlag=0,0,IF(179&lt;RefiMonth,0,IF(179=RefiMonth,PermLoan,IF(179&gt;DispoMonth,0,FY$30-FZ$28))))</f>
        <v/>
      </c>
      <c r="GA30" s="18">
        <f>IF(RefiFlag=0,0,IF(180&lt;RefiMonth,0,IF(180=RefiMonth,PermLoan,IF(180&gt;DispoMonth,0,FZ$30-GA$28))))</f>
        <v/>
      </c>
      <c r="GB30" s="18">
        <f>IF(RefiFlag=0,0,IF(181&lt;RefiMonth,0,IF(181=RefiMonth,PermLoan,IF(181&gt;DispoMonth,0,GA$30-GB$28))))</f>
        <v/>
      </c>
      <c r="GC30" s="18">
        <f>IF(RefiFlag=0,0,IF(182&lt;RefiMonth,0,IF(182=RefiMonth,PermLoan,IF(182&gt;DispoMonth,0,GB$30-GC$28))))</f>
        <v/>
      </c>
      <c r="GD30" s="18">
        <f>IF(RefiFlag=0,0,IF(183&lt;RefiMonth,0,IF(183=RefiMonth,PermLoan,IF(183&gt;DispoMonth,0,GC$30-GD$28))))</f>
        <v/>
      </c>
      <c r="GE30" s="18">
        <f>IF(RefiFlag=0,0,IF(184&lt;RefiMonth,0,IF(184=RefiMonth,PermLoan,IF(184&gt;DispoMonth,0,GD$30-GE$28))))</f>
        <v/>
      </c>
      <c r="GF30" s="18">
        <f>IF(RefiFlag=0,0,IF(185&lt;RefiMonth,0,IF(185=RefiMonth,PermLoan,IF(185&gt;DispoMonth,0,GE$30-GF$28))))</f>
        <v/>
      </c>
      <c r="GG30" s="18">
        <f>IF(RefiFlag=0,0,IF(186&lt;RefiMonth,0,IF(186=RefiMonth,PermLoan,IF(186&gt;DispoMonth,0,GF$30-GG$28))))</f>
        <v/>
      </c>
      <c r="GH30" s="18">
        <f>IF(RefiFlag=0,0,IF(187&lt;RefiMonth,0,IF(187=RefiMonth,PermLoan,IF(187&gt;DispoMonth,0,GG$30-GH$28))))</f>
        <v/>
      </c>
      <c r="GI30" s="18">
        <f>IF(RefiFlag=0,0,IF(188&lt;RefiMonth,0,IF(188=RefiMonth,PermLoan,IF(188&gt;DispoMonth,0,GH$30-GI$28))))</f>
        <v/>
      </c>
      <c r="GJ30" s="18">
        <f>IF(RefiFlag=0,0,IF(189&lt;RefiMonth,0,IF(189=RefiMonth,PermLoan,IF(189&gt;DispoMonth,0,GI$30-GJ$28))))</f>
        <v/>
      </c>
      <c r="GK30" s="18">
        <f>IF(RefiFlag=0,0,IF(190&lt;RefiMonth,0,IF(190=RefiMonth,PermLoan,IF(190&gt;DispoMonth,0,GJ$30-GK$28))))</f>
        <v/>
      </c>
      <c r="GL30" s="18">
        <f>IF(RefiFlag=0,0,IF(191&lt;RefiMonth,0,IF(191=RefiMonth,PermLoan,IF(191&gt;DispoMonth,0,GK$30-GL$28))))</f>
        <v/>
      </c>
      <c r="GM30" s="18">
        <f>IF(RefiFlag=0,0,IF(192&lt;RefiMonth,0,IF(192=RefiMonth,PermLoan,IF(192&gt;DispoMonth,0,GL$30-GM$28))))</f>
        <v/>
      </c>
      <c r="GN30" s="18">
        <f>IF(RefiFlag=0,0,IF(193&lt;RefiMonth,0,IF(193=RefiMonth,PermLoan,IF(193&gt;DispoMonth,0,GM$30-GN$28))))</f>
        <v/>
      </c>
      <c r="GO30" s="18">
        <f>IF(RefiFlag=0,0,IF(194&lt;RefiMonth,0,IF(194=RefiMonth,PermLoan,IF(194&gt;DispoMonth,0,GN$30-GO$28))))</f>
        <v/>
      </c>
      <c r="GP30" s="18">
        <f>IF(RefiFlag=0,0,IF(195&lt;RefiMonth,0,IF(195=RefiMonth,PermLoan,IF(195&gt;DispoMonth,0,GO$30-GP$28))))</f>
        <v/>
      </c>
      <c r="GQ30" s="18">
        <f>IF(RefiFlag=0,0,IF(196&lt;RefiMonth,0,IF(196=RefiMonth,PermLoan,IF(196&gt;DispoMonth,0,GP$30-GQ$28))))</f>
        <v/>
      </c>
      <c r="GR30" s="18">
        <f>IF(RefiFlag=0,0,IF(197&lt;RefiMonth,0,IF(197=RefiMonth,PermLoan,IF(197&gt;DispoMonth,0,GQ$30-GR$28))))</f>
        <v/>
      </c>
      <c r="GS30" s="18">
        <f>IF(RefiFlag=0,0,IF(198&lt;RefiMonth,0,IF(198=RefiMonth,PermLoan,IF(198&gt;DispoMonth,0,GR$30-GS$28))))</f>
        <v/>
      </c>
      <c r="GT30" s="18">
        <f>IF(RefiFlag=0,0,IF(199&lt;RefiMonth,0,IF(199=RefiMonth,PermLoan,IF(199&gt;DispoMonth,0,GS$30-GT$28))))</f>
        <v/>
      </c>
      <c r="GU30" s="18">
        <f>IF(RefiFlag=0,0,IF(200&lt;RefiMonth,0,IF(200=RefiMonth,PermLoan,IF(200&gt;DispoMonth,0,GT$30-GU$28))))</f>
        <v/>
      </c>
      <c r="GV30" s="18">
        <f>IF(RefiFlag=0,0,IF(201&lt;RefiMonth,0,IF(201=RefiMonth,PermLoan,IF(201&gt;DispoMonth,0,GU$30-GV$28))))</f>
        <v/>
      </c>
      <c r="GW30" s="18">
        <f>IF(RefiFlag=0,0,IF(202&lt;RefiMonth,0,IF(202=RefiMonth,PermLoan,IF(202&gt;DispoMonth,0,GV$30-GW$28))))</f>
        <v/>
      </c>
      <c r="GX30" s="18">
        <f>IF(RefiFlag=0,0,IF(203&lt;RefiMonth,0,IF(203=RefiMonth,PermLoan,IF(203&gt;DispoMonth,0,GW$30-GX$28))))</f>
        <v/>
      </c>
      <c r="GY30" s="18">
        <f>IF(RefiFlag=0,0,IF(204&lt;RefiMonth,0,IF(204=RefiMonth,PermLoan,IF(204&gt;DispoMonth,0,GX$30-GY$28))))</f>
        <v/>
      </c>
      <c r="GZ30" s="18">
        <f>IF(RefiFlag=0,0,IF(205&lt;RefiMonth,0,IF(205=RefiMonth,PermLoan,IF(205&gt;DispoMonth,0,GY$30-GZ$28))))</f>
        <v/>
      </c>
      <c r="HA30" s="18">
        <f>IF(RefiFlag=0,0,IF(206&lt;RefiMonth,0,IF(206=RefiMonth,PermLoan,IF(206&gt;DispoMonth,0,GZ$30-HA$28))))</f>
        <v/>
      </c>
      <c r="HB30" s="18">
        <f>IF(RefiFlag=0,0,IF(207&lt;RefiMonth,0,IF(207=RefiMonth,PermLoan,IF(207&gt;DispoMonth,0,HA$30-HB$28))))</f>
        <v/>
      </c>
      <c r="HC30" s="18">
        <f>IF(RefiFlag=0,0,IF(208&lt;RefiMonth,0,IF(208=RefiMonth,PermLoan,IF(208&gt;DispoMonth,0,HB$30-HC$28))))</f>
        <v/>
      </c>
      <c r="HD30" s="18">
        <f>IF(RefiFlag=0,0,IF(209&lt;RefiMonth,0,IF(209=RefiMonth,PermLoan,IF(209&gt;DispoMonth,0,HC$30-HD$28))))</f>
        <v/>
      </c>
      <c r="HE30" s="18">
        <f>IF(RefiFlag=0,0,IF(210&lt;RefiMonth,0,IF(210=RefiMonth,PermLoan,IF(210&gt;DispoMonth,0,HD$30-HE$28))))</f>
        <v/>
      </c>
      <c r="HF30" s="18">
        <f>IF(RefiFlag=0,0,IF(211&lt;RefiMonth,0,IF(211=RefiMonth,PermLoan,IF(211&gt;DispoMonth,0,HE$30-HF$28))))</f>
        <v/>
      </c>
      <c r="HG30" s="18">
        <f>IF(RefiFlag=0,0,IF(212&lt;RefiMonth,0,IF(212=RefiMonth,PermLoan,IF(212&gt;DispoMonth,0,HF$30-HG$28))))</f>
        <v/>
      </c>
      <c r="HH30" s="18">
        <f>IF(RefiFlag=0,0,IF(213&lt;RefiMonth,0,IF(213=RefiMonth,PermLoan,IF(213&gt;DispoMonth,0,HG$30-HH$28))))</f>
        <v/>
      </c>
      <c r="HI30" s="18">
        <f>IF(RefiFlag=0,0,IF(214&lt;RefiMonth,0,IF(214=RefiMonth,PermLoan,IF(214&gt;DispoMonth,0,HH$30-HI$28))))</f>
        <v/>
      </c>
      <c r="HJ30" s="18">
        <f>IF(RefiFlag=0,0,IF(215&lt;RefiMonth,0,IF(215=RefiMonth,PermLoan,IF(215&gt;DispoMonth,0,HI$30-HJ$28))))</f>
        <v/>
      </c>
      <c r="HK30" s="18">
        <f>IF(RefiFlag=0,0,IF(216&lt;RefiMonth,0,IF(216=RefiMonth,PermLoan,IF(216&gt;DispoMonth,0,HJ$30-HK$28))))</f>
        <v/>
      </c>
      <c r="HL30" s="18">
        <f>IF(RefiFlag=0,0,IF(217&lt;RefiMonth,0,IF(217=RefiMonth,PermLoan,IF(217&gt;DispoMonth,0,HK$30-HL$28))))</f>
        <v/>
      </c>
      <c r="HM30" s="18">
        <f>IF(RefiFlag=0,0,IF(218&lt;RefiMonth,0,IF(218=RefiMonth,PermLoan,IF(218&gt;DispoMonth,0,HL$30-HM$28))))</f>
        <v/>
      </c>
      <c r="HN30" s="18">
        <f>IF(RefiFlag=0,0,IF(219&lt;RefiMonth,0,IF(219=RefiMonth,PermLoan,IF(219&gt;DispoMonth,0,HM$30-HN$28))))</f>
        <v/>
      </c>
      <c r="HO30" s="18">
        <f>IF(RefiFlag=0,0,IF(220&lt;RefiMonth,0,IF(220=RefiMonth,PermLoan,IF(220&gt;DispoMonth,0,HN$30-HO$28))))</f>
        <v/>
      </c>
      <c r="HP30" s="18">
        <f>IF(RefiFlag=0,0,IF(221&lt;RefiMonth,0,IF(221=RefiMonth,PermLoan,IF(221&gt;DispoMonth,0,HO$30-HP$28))))</f>
        <v/>
      </c>
      <c r="HQ30" s="18">
        <f>IF(RefiFlag=0,0,IF(222&lt;RefiMonth,0,IF(222=RefiMonth,PermLoan,IF(222&gt;DispoMonth,0,HP$30-HQ$28))))</f>
        <v/>
      </c>
      <c r="HR30" s="18">
        <f>IF(RefiFlag=0,0,IF(223&lt;RefiMonth,0,IF(223=RefiMonth,PermLoan,IF(223&gt;DispoMonth,0,HQ$30-HR$28))))</f>
        <v/>
      </c>
      <c r="HS30" s="18">
        <f>IF(RefiFlag=0,0,IF(224&lt;RefiMonth,0,IF(224=RefiMonth,PermLoan,IF(224&gt;DispoMonth,0,HR$30-HS$28))))</f>
        <v/>
      </c>
      <c r="HT30" s="18">
        <f>IF(RefiFlag=0,0,IF(225&lt;RefiMonth,0,IF(225=RefiMonth,PermLoan,IF(225&gt;DispoMonth,0,HS$30-HT$28))))</f>
        <v/>
      </c>
      <c r="HU30" s="18">
        <f>IF(RefiFlag=0,0,IF(226&lt;RefiMonth,0,IF(226=RefiMonth,PermLoan,IF(226&gt;DispoMonth,0,HT$30-HU$28))))</f>
        <v/>
      </c>
      <c r="HV30" s="18">
        <f>IF(RefiFlag=0,0,IF(227&lt;RefiMonth,0,IF(227=RefiMonth,PermLoan,IF(227&gt;DispoMonth,0,HU$30-HV$28))))</f>
        <v/>
      </c>
      <c r="HW30" s="18">
        <f>IF(RefiFlag=0,0,IF(228&lt;RefiMonth,0,IF(228=RefiMonth,PermLoan,IF(228&gt;DispoMonth,0,HV$30-HW$28))))</f>
        <v/>
      </c>
      <c r="HX30" s="18">
        <f>IF(RefiFlag=0,0,IF(229&lt;RefiMonth,0,IF(229=RefiMonth,PermLoan,IF(229&gt;DispoMonth,0,HW$30-HX$28))))</f>
        <v/>
      </c>
      <c r="HY30" s="18">
        <f>IF(RefiFlag=0,0,IF(230&lt;RefiMonth,0,IF(230=RefiMonth,PermLoan,IF(230&gt;DispoMonth,0,HX$30-HY$28))))</f>
        <v/>
      </c>
      <c r="HZ30" s="18">
        <f>IF(RefiFlag=0,0,IF(231&lt;RefiMonth,0,IF(231=RefiMonth,PermLoan,IF(231&gt;DispoMonth,0,HY$30-HZ$28))))</f>
        <v/>
      </c>
      <c r="IA30" s="18">
        <f>IF(RefiFlag=0,0,IF(232&lt;RefiMonth,0,IF(232=RefiMonth,PermLoan,IF(232&gt;DispoMonth,0,HZ$30-IA$28))))</f>
        <v/>
      </c>
      <c r="IB30" s="18">
        <f>IF(RefiFlag=0,0,IF(233&lt;RefiMonth,0,IF(233=RefiMonth,PermLoan,IF(233&gt;DispoMonth,0,IA$30-IB$28))))</f>
        <v/>
      </c>
      <c r="IC30" s="18">
        <f>IF(RefiFlag=0,0,IF(234&lt;RefiMonth,0,IF(234=RefiMonth,PermLoan,IF(234&gt;DispoMonth,0,IB$30-IC$28))))</f>
        <v/>
      </c>
      <c r="ID30" s="18">
        <f>IF(RefiFlag=0,0,IF(235&lt;RefiMonth,0,IF(235=RefiMonth,PermLoan,IF(235&gt;DispoMonth,0,IC$30-ID$28))))</f>
        <v/>
      </c>
      <c r="IE30" s="18">
        <f>IF(RefiFlag=0,0,IF(236&lt;RefiMonth,0,IF(236=RefiMonth,PermLoan,IF(236&gt;DispoMonth,0,ID$30-IE$28))))</f>
        <v/>
      </c>
      <c r="IF30" s="18">
        <f>IF(RefiFlag=0,0,IF(237&lt;RefiMonth,0,IF(237=RefiMonth,PermLoan,IF(237&gt;DispoMonth,0,IE$30-IF$28))))</f>
        <v/>
      </c>
      <c r="IG30" s="18">
        <f>IF(RefiFlag=0,0,IF(238&lt;RefiMonth,0,IF(238=RefiMonth,PermLoan,IF(238&gt;DispoMonth,0,IF$30-IG$28))))</f>
        <v/>
      </c>
      <c r="IH30" s="18">
        <f>IF(RefiFlag=0,0,IF(239&lt;RefiMonth,0,IF(239=RefiMonth,PermLoan,IF(239&gt;DispoMonth,0,IG$30-IH$28))))</f>
        <v/>
      </c>
      <c r="II30" s="18">
        <f>IF(RefiFlag=0,0,IF(240&lt;RefiMonth,0,IF(240=RefiMonth,PermLoan,IF(240&gt;DispoMonth,0,IH$30-II$28))))</f>
        <v/>
      </c>
      <c r="IJ30" s="18">
        <f>IF(RefiFlag=0,0,IF(241&lt;RefiMonth,0,IF(241=RefiMonth,PermLoan,IF(241&gt;DispoMonth,0,II$30-IJ$28))))</f>
        <v/>
      </c>
      <c r="IK30" s="18">
        <f>IF(RefiFlag=0,0,IF(242&lt;RefiMonth,0,IF(242=RefiMonth,PermLoan,IF(242&gt;DispoMonth,0,IJ$30-IK$28))))</f>
        <v/>
      </c>
      <c r="IL30" s="18">
        <f>IF(RefiFlag=0,0,IF(243&lt;RefiMonth,0,IF(243=RefiMonth,PermLoan,IF(243&gt;DispoMonth,0,IK$30-IL$28))))</f>
        <v/>
      </c>
      <c r="IM30" s="18">
        <f>IF(RefiFlag=0,0,IF(244&lt;RefiMonth,0,IF(244=RefiMonth,PermLoan,IF(244&gt;DispoMonth,0,IL$30-IM$28))))</f>
        <v/>
      </c>
      <c r="IN30" s="18">
        <f>IF(RefiFlag=0,0,IF(245&lt;RefiMonth,0,IF(245=RefiMonth,PermLoan,IF(245&gt;DispoMonth,0,IM$30-IN$28))))</f>
        <v/>
      </c>
      <c r="IO30" s="18">
        <f>IF(RefiFlag=0,0,IF(246&lt;RefiMonth,0,IF(246=RefiMonth,PermLoan,IF(246&gt;DispoMonth,0,IN$30-IO$28))))</f>
        <v/>
      </c>
      <c r="IP30" s="18">
        <f>IF(RefiFlag=0,0,IF(247&lt;RefiMonth,0,IF(247=RefiMonth,PermLoan,IF(247&gt;DispoMonth,0,IO$30-IP$28))))</f>
        <v/>
      </c>
      <c r="IQ30" s="18">
        <f>IF(RefiFlag=0,0,IF(248&lt;RefiMonth,0,IF(248=RefiMonth,PermLoan,IF(248&gt;DispoMonth,0,IP$30-IQ$28))))</f>
        <v/>
      </c>
      <c r="IR30" s="18">
        <f>IF(RefiFlag=0,0,IF(249&lt;RefiMonth,0,IF(249=RefiMonth,PermLoan,IF(249&gt;DispoMonth,0,IQ$30-IR$28))))</f>
        <v/>
      </c>
      <c r="IS30" s="18">
        <f>IF(RefiFlag=0,0,IF(250&lt;RefiMonth,0,IF(250=RefiMonth,PermLoan,IF(250&gt;DispoMonth,0,IR$30-IS$28))))</f>
        <v/>
      </c>
      <c r="IT30" s="18">
        <f>IF(RefiFlag=0,0,IF(251&lt;RefiMonth,0,IF(251=RefiMonth,PermLoan,IF(251&gt;DispoMonth,0,IS$30-IT$28))))</f>
        <v/>
      </c>
      <c r="IU30" s="18">
        <f>IF(RefiFlag=0,0,IF(252&lt;RefiMonth,0,IF(252=RefiMonth,PermLoan,IF(252&gt;DispoMonth,0,IT$30-IU$28))))</f>
        <v/>
      </c>
      <c r="IV30" s="18">
        <f>IF(RefiFlag=0,0,IF(253&lt;RefiMonth,0,IF(253=RefiMonth,PermLoan,IF(253&gt;DispoMonth,0,IU$30-IV$28))))</f>
        <v/>
      </c>
      <c r="IW30" s="18">
        <f>IF(RefiFlag=0,0,IF(254&lt;RefiMonth,0,IF(254=RefiMonth,PermLoan,IF(254&gt;DispoMonth,0,IV$30-IW$28))))</f>
        <v/>
      </c>
      <c r="IX30" s="18">
        <f>IF(RefiFlag=0,0,IF(255&lt;RefiMonth,0,IF(255=RefiMonth,PermLoan,IF(255&gt;DispoMonth,0,IW$30-IX$28))))</f>
        <v/>
      </c>
      <c r="IY30" s="18">
        <f>IF(RefiFlag=0,0,IF(256&lt;RefiMonth,0,IF(256=RefiMonth,PermLoan,IF(256&gt;DispoMonth,0,IX$30-IY$28))))</f>
        <v/>
      </c>
      <c r="IZ30" s="18">
        <f>IF(RefiFlag=0,0,IF(257&lt;RefiMonth,0,IF(257=RefiMonth,PermLoan,IF(257&gt;DispoMonth,0,IY$30-IZ$28))))</f>
        <v/>
      </c>
      <c r="JA30" s="18">
        <f>IF(RefiFlag=0,0,IF(258&lt;RefiMonth,0,IF(258=RefiMonth,PermLoan,IF(258&gt;DispoMonth,0,IZ$30-JA$28))))</f>
        <v/>
      </c>
      <c r="JB30" s="18">
        <f>IF(RefiFlag=0,0,IF(259&lt;RefiMonth,0,IF(259=RefiMonth,PermLoan,IF(259&gt;DispoMonth,0,JA$30-JB$28))))</f>
        <v/>
      </c>
      <c r="JC30" s="18">
        <f>IF(RefiFlag=0,0,IF(260&lt;RefiMonth,0,IF(260=RefiMonth,PermLoan,IF(260&gt;DispoMonth,0,JB$30-JC$28))))</f>
        <v/>
      </c>
      <c r="JD30" s="18">
        <f>IF(RefiFlag=0,0,IF(261&lt;RefiMonth,0,IF(261=RefiMonth,PermLoan,IF(261&gt;DispoMonth,0,JC$30-JD$28))))</f>
        <v/>
      </c>
      <c r="JE30" s="18">
        <f>IF(RefiFlag=0,0,IF(262&lt;RefiMonth,0,IF(262=RefiMonth,PermLoan,IF(262&gt;DispoMonth,0,JD$30-JE$28))))</f>
        <v/>
      </c>
      <c r="JF30" s="18">
        <f>IF(RefiFlag=0,0,IF(263&lt;RefiMonth,0,IF(263=RefiMonth,PermLoan,IF(263&gt;DispoMonth,0,JE$30-JF$28))))</f>
        <v/>
      </c>
      <c r="JG30" s="18">
        <f>IF(RefiFlag=0,0,IF(264&lt;RefiMonth,0,IF(264=RefiMonth,PermLoan,IF(264&gt;DispoMonth,0,JF$30-JG$28))))</f>
        <v/>
      </c>
      <c r="JH30" s="18">
        <f>IF(RefiFlag=0,0,IF(265&lt;RefiMonth,0,IF(265=RefiMonth,PermLoan,IF(265&gt;DispoMonth,0,JG$30-JH$28))))</f>
        <v/>
      </c>
      <c r="JI30" s="18">
        <f>IF(RefiFlag=0,0,IF(266&lt;RefiMonth,0,IF(266=RefiMonth,PermLoan,IF(266&gt;DispoMonth,0,JH$30-JI$28))))</f>
        <v/>
      </c>
      <c r="JJ30" s="18">
        <f>IF(RefiFlag=0,0,IF(267&lt;RefiMonth,0,IF(267=RefiMonth,PermLoan,IF(267&gt;DispoMonth,0,JI$30-JJ$28))))</f>
        <v/>
      </c>
      <c r="JK30" s="18">
        <f>IF(RefiFlag=0,0,IF(268&lt;RefiMonth,0,IF(268=RefiMonth,PermLoan,IF(268&gt;DispoMonth,0,JJ$30-JK$28))))</f>
        <v/>
      </c>
      <c r="JL30" s="18">
        <f>IF(RefiFlag=0,0,IF(269&lt;RefiMonth,0,IF(269=RefiMonth,PermLoan,IF(269&gt;DispoMonth,0,JK$30-JL$28))))</f>
        <v/>
      </c>
      <c r="JM30" s="18">
        <f>IF(RefiFlag=0,0,IF(270&lt;RefiMonth,0,IF(270=RefiMonth,PermLoan,IF(270&gt;DispoMonth,0,JL$30-JM$28))))</f>
        <v/>
      </c>
      <c r="JN30" s="18">
        <f>IF(RefiFlag=0,0,IF(271&lt;RefiMonth,0,IF(271=RefiMonth,PermLoan,IF(271&gt;DispoMonth,0,JM$30-JN$28))))</f>
        <v/>
      </c>
      <c r="JO30" s="18">
        <f>IF(RefiFlag=0,0,IF(272&lt;RefiMonth,0,IF(272=RefiMonth,PermLoan,IF(272&gt;DispoMonth,0,JN$30-JO$28))))</f>
        <v/>
      </c>
      <c r="JP30" s="18">
        <f>IF(RefiFlag=0,0,IF(273&lt;RefiMonth,0,IF(273=RefiMonth,PermLoan,IF(273&gt;DispoMonth,0,JO$30-JP$28))))</f>
        <v/>
      </c>
      <c r="JQ30" s="18">
        <f>IF(RefiFlag=0,0,IF(274&lt;RefiMonth,0,IF(274=RefiMonth,PermLoan,IF(274&gt;DispoMonth,0,JP$30-JQ$28))))</f>
        <v/>
      </c>
      <c r="JR30" s="18">
        <f>IF(RefiFlag=0,0,IF(275&lt;RefiMonth,0,IF(275=RefiMonth,PermLoan,IF(275&gt;DispoMonth,0,JQ$30-JR$28))))</f>
        <v/>
      </c>
      <c r="JS30" s="18">
        <f>IF(RefiFlag=0,0,IF(276&lt;RefiMonth,0,IF(276=RefiMonth,PermLoan,IF(276&gt;DispoMonth,0,JR$30-JS$28))))</f>
        <v/>
      </c>
      <c r="JT30" s="18">
        <f>IF(RefiFlag=0,0,IF(277&lt;RefiMonth,0,IF(277=RefiMonth,PermLoan,IF(277&gt;DispoMonth,0,JS$30-JT$28))))</f>
        <v/>
      </c>
      <c r="JU30" s="18">
        <f>IF(RefiFlag=0,0,IF(278&lt;RefiMonth,0,IF(278=RefiMonth,PermLoan,IF(278&gt;DispoMonth,0,JT$30-JU$28))))</f>
        <v/>
      </c>
      <c r="JV30" s="18">
        <f>IF(RefiFlag=0,0,IF(279&lt;RefiMonth,0,IF(279=RefiMonth,PermLoan,IF(279&gt;DispoMonth,0,JU$30-JV$28))))</f>
        <v/>
      </c>
      <c r="JW30" s="18">
        <f>IF(RefiFlag=0,0,IF(280&lt;RefiMonth,0,IF(280=RefiMonth,PermLoan,IF(280&gt;DispoMonth,0,JV$30-JW$28))))</f>
        <v/>
      </c>
      <c r="JX30" s="18">
        <f>IF(RefiFlag=0,0,IF(281&lt;RefiMonth,0,IF(281=RefiMonth,PermLoan,IF(281&gt;DispoMonth,0,JW$30-JX$28))))</f>
        <v/>
      </c>
      <c r="JY30" s="18">
        <f>IF(RefiFlag=0,0,IF(282&lt;RefiMonth,0,IF(282=RefiMonth,PermLoan,IF(282&gt;DispoMonth,0,JX$30-JY$28))))</f>
        <v/>
      </c>
      <c r="JZ30" s="18">
        <f>IF(RefiFlag=0,0,IF(283&lt;RefiMonth,0,IF(283=RefiMonth,PermLoan,IF(283&gt;DispoMonth,0,JY$30-JZ$28))))</f>
        <v/>
      </c>
      <c r="KA30" s="18">
        <f>IF(RefiFlag=0,0,IF(284&lt;RefiMonth,0,IF(284=RefiMonth,PermLoan,IF(284&gt;DispoMonth,0,JZ$30-KA$28))))</f>
        <v/>
      </c>
      <c r="KB30" s="18">
        <f>IF(RefiFlag=0,0,IF(285&lt;RefiMonth,0,IF(285=RefiMonth,PermLoan,IF(285&gt;DispoMonth,0,KA$30-KB$28))))</f>
        <v/>
      </c>
      <c r="KC30" s="18">
        <f>IF(RefiFlag=0,0,IF(286&lt;RefiMonth,0,IF(286=RefiMonth,PermLoan,IF(286&gt;DispoMonth,0,KB$30-KC$28))))</f>
        <v/>
      </c>
      <c r="KD30" s="18">
        <f>IF(RefiFlag=0,0,IF(287&lt;RefiMonth,0,IF(287=RefiMonth,PermLoan,IF(287&gt;DispoMonth,0,KC$30-KD$28))))</f>
        <v/>
      </c>
      <c r="KE30" s="18">
        <f>IF(RefiFlag=0,0,IF(288&lt;RefiMonth,0,IF(288=RefiMonth,PermLoan,IF(288&gt;DispoMonth,0,KD$30-KE$28))))</f>
        <v/>
      </c>
      <c r="KF30" s="18">
        <f>IF(RefiFlag=0,0,IF(289&lt;RefiMonth,0,IF(289=RefiMonth,PermLoan,IF(289&gt;DispoMonth,0,KE$30-KF$28))))</f>
        <v/>
      </c>
      <c r="KG30" s="18">
        <f>IF(RefiFlag=0,0,IF(290&lt;RefiMonth,0,IF(290=RefiMonth,PermLoan,IF(290&gt;DispoMonth,0,KF$30-KG$28))))</f>
        <v/>
      </c>
      <c r="KH30" s="18">
        <f>IF(RefiFlag=0,0,IF(291&lt;RefiMonth,0,IF(291=RefiMonth,PermLoan,IF(291&gt;DispoMonth,0,KG$30-KH$28))))</f>
        <v/>
      </c>
      <c r="KI30" s="18">
        <f>IF(RefiFlag=0,0,IF(292&lt;RefiMonth,0,IF(292=RefiMonth,PermLoan,IF(292&gt;DispoMonth,0,KH$30-KI$28))))</f>
        <v/>
      </c>
      <c r="KJ30" s="18">
        <f>IF(RefiFlag=0,0,IF(293&lt;RefiMonth,0,IF(293=RefiMonth,PermLoan,IF(293&gt;DispoMonth,0,KI$30-KJ$28))))</f>
        <v/>
      </c>
      <c r="KK30" s="18">
        <f>IF(RefiFlag=0,0,IF(294&lt;RefiMonth,0,IF(294=RefiMonth,PermLoan,IF(294&gt;DispoMonth,0,KJ$30-KK$28))))</f>
        <v/>
      </c>
      <c r="KL30" s="18">
        <f>IF(RefiFlag=0,0,IF(295&lt;RefiMonth,0,IF(295=RefiMonth,PermLoan,IF(295&gt;DispoMonth,0,KK$30-KL$28))))</f>
        <v/>
      </c>
      <c r="KM30" s="18">
        <f>IF(RefiFlag=0,0,IF(296&lt;RefiMonth,0,IF(296=RefiMonth,PermLoan,IF(296&gt;DispoMonth,0,KL$30-KM$28))))</f>
        <v/>
      </c>
      <c r="KN30" s="18">
        <f>IF(RefiFlag=0,0,IF(297&lt;RefiMonth,0,IF(297=RefiMonth,PermLoan,IF(297&gt;DispoMonth,0,KM$30-KN$28))))</f>
        <v/>
      </c>
      <c r="KO30" s="18">
        <f>IF(RefiFlag=0,0,IF(298&lt;RefiMonth,0,IF(298=RefiMonth,PermLoan,IF(298&gt;DispoMonth,0,KN$30-KO$28))))</f>
        <v/>
      </c>
      <c r="KP30" s="18">
        <f>IF(RefiFlag=0,0,IF(299&lt;RefiMonth,0,IF(299=RefiMonth,PermLoan,IF(299&gt;DispoMonth,0,KO$30-KP$28))))</f>
        <v/>
      </c>
      <c r="KQ30" s="18">
        <f>IF(RefiFlag=0,0,IF(300&lt;RefiMonth,0,IF(300=RefiMonth,PermLoan,IF(300&gt;DispoMonth,0,KP$30-KQ$28))))</f>
        <v/>
      </c>
      <c r="KR30" s="18">
        <f>IF(RefiFlag=0,0,IF(301&lt;RefiMonth,0,IF(301=RefiMonth,PermLoan,IF(301&gt;DispoMonth,0,KQ$30-KR$28))))</f>
        <v/>
      </c>
      <c r="KS30" s="18">
        <f>IF(RefiFlag=0,0,IF(302&lt;RefiMonth,0,IF(302=RefiMonth,PermLoan,IF(302&gt;DispoMonth,0,KR$30-KS$28))))</f>
        <v/>
      </c>
      <c r="KT30" s="18">
        <f>IF(RefiFlag=0,0,IF(303&lt;RefiMonth,0,IF(303=RefiMonth,PermLoan,IF(303&gt;DispoMonth,0,KS$30-KT$28))))</f>
        <v/>
      </c>
      <c r="KU30" s="18">
        <f>IF(RefiFlag=0,0,IF(304&lt;RefiMonth,0,IF(304=RefiMonth,PermLoan,IF(304&gt;DispoMonth,0,KT$30-KU$28))))</f>
        <v/>
      </c>
      <c r="KV30" s="18">
        <f>IF(RefiFlag=0,0,IF(305&lt;RefiMonth,0,IF(305=RefiMonth,PermLoan,IF(305&gt;DispoMonth,0,KU$30-KV$28))))</f>
        <v/>
      </c>
      <c r="KW30" s="18">
        <f>IF(RefiFlag=0,0,IF(306&lt;RefiMonth,0,IF(306=RefiMonth,PermLoan,IF(306&gt;DispoMonth,0,KV$30-KW$28))))</f>
        <v/>
      </c>
      <c r="KX30" s="18">
        <f>IF(RefiFlag=0,0,IF(307&lt;RefiMonth,0,IF(307=RefiMonth,PermLoan,IF(307&gt;DispoMonth,0,KW$30-KX$28))))</f>
        <v/>
      </c>
      <c r="KY30" s="18">
        <f>IF(RefiFlag=0,0,IF(308&lt;RefiMonth,0,IF(308=RefiMonth,PermLoan,IF(308&gt;DispoMonth,0,KX$30-KY$28))))</f>
        <v/>
      </c>
      <c r="KZ30" s="18">
        <f>IF(RefiFlag=0,0,IF(309&lt;RefiMonth,0,IF(309=RefiMonth,PermLoan,IF(309&gt;DispoMonth,0,KY$30-KZ$28))))</f>
        <v/>
      </c>
      <c r="LA30" s="18">
        <f>IF(RefiFlag=0,0,IF(310&lt;RefiMonth,0,IF(310=RefiMonth,PermLoan,IF(310&gt;DispoMonth,0,KZ$30-LA$28))))</f>
        <v/>
      </c>
      <c r="LB30" s="18">
        <f>IF(RefiFlag=0,0,IF(311&lt;RefiMonth,0,IF(311=RefiMonth,PermLoan,IF(311&gt;DispoMonth,0,LA$30-LB$28))))</f>
        <v/>
      </c>
      <c r="LC30" s="18">
        <f>IF(RefiFlag=0,0,IF(312&lt;RefiMonth,0,IF(312=RefiMonth,PermLoan,IF(312&gt;DispoMonth,0,LB$30-LC$28))))</f>
        <v/>
      </c>
      <c r="LD30" s="18">
        <f>IF(RefiFlag=0,0,IF(313&lt;RefiMonth,0,IF(313=RefiMonth,PermLoan,IF(313&gt;DispoMonth,0,LC$30-LD$28))))</f>
        <v/>
      </c>
      <c r="LE30" s="18">
        <f>IF(RefiFlag=0,0,IF(314&lt;RefiMonth,0,IF(314=RefiMonth,PermLoan,IF(314&gt;DispoMonth,0,LD$30-LE$28))))</f>
        <v/>
      </c>
      <c r="LF30" s="18">
        <f>IF(RefiFlag=0,0,IF(315&lt;RefiMonth,0,IF(315=RefiMonth,PermLoan,IF(315&gt;DispoMonth,0,LE$30-LF$28))))</f>
        <v/>
      </c>
      <c r="LG30" s="18">
        <f>IF(RefiFlag=0,0,IF(316&lt;RefiMonth,0,IF(316=RefiMonth,PermLoan,IF(316&gt;DispoMonth,0,LF$30-LG$28))))</f>
        <v/>
      </c>
      <c r="LH30" s="18">
        <f>IF(RefiFlag=0,0,IF(317&lt;RefiMonth,0,IF(317=RefiMonth,PermLoan,IF(317&gt;DispoMonth,0,LG$30-LH$28))))</f>
        <v/>
      </c>
      <c r="LI30" s="18">
        <f>IF(RefiFlag=0,0,IF(318&lt;RefiMonth,0,IF(318=RefiMonth,PermLoan,IF(318&gt;DispoMonth,0,LH$30-LI$28))))</f>
        <v/>
      </c>
      <c r="LJ30" s="18">
        <f>IF(RefiFlag=0,0,IF(319&lt;RefiMonth,0,IF(319=RefiMonth,PermLoan,IF(319&gt;DispoMonth,0,LI$30-LJ$28))))</f>
        <v/>
      </c>
      <c r="LK30" s="18">
        <f>IF(RefiFlag=0,0,IF(320&lt;RefiMonth,0,IF(320=RefiMonth,PermLoan,IF(320&gt;DispoMonth,0,LJ$30-LK$28))))</f>
        <v/>
      </c>
      <c r="LL30" s="18">
        <f>IF(RefiFlag=0,0,IF(321&lt;RefiMonth,0,IF(321=RefiMonth,PermLoan,IF(321&gt;DispoMonth,0,LK$30-LL$28))))</f>
        <v/>
      </c>
      <c r="LM30" s="18">
        <f>IF(RefiFlag=0,0,IF(322&lt;RefiMonth,0,IF(322=RefiMonth,PermLoan,IF(322&gt;DispoMonth,0,LL$30-LM$28))))</f>
        <v/>
      </c>
      <c r="LN30" s="18">
        <f>IF(RefiFlag=0,0,IF(323&lt;RefiMonth,0,IF(323=RefiMonth,PermLoan,IF(323&gt;DispoMonth,0,LM$30-LN$28))))</f>
        <v/>
      </c>
      <c r="LO30" s="18">
        <f>IF(RefiFlag=0,0,IF(324&lt;RefiMonth,0,IF(324=RefiMonth,PermLoan,IF(324&gt;DispoMonth,0,LN$30-LO$28))))</f>
        <v/>
      </c>
      <c r="LP30" s="18">
        <f>IF(RefiFlag=0,0,IF(325&lt;RefiMonth,0,IF(325=RefiMonth,PermLoan,IF(325&gt;DispoMonth,0,LO$30-LP$28))))</f>
        <v/>
      </c>
      <c r="LQ30" s="18">
        <f>IF(RefiFlag=0,0,IF(326&lt;RefiMonth,0,IF(326=RefiMonth,PermLoan,IF(326&gt;DispoMonth,0,LP$30-LQ$28))))</f>
        <v/>
      </c>
      <c r="LR30" s="18">
        <f>IF(RefiFlag=0,0,IF(327&lt;RefiMonth,0,IF(327=RefiMonth,PermLoan,IF(327&gt;DispoMonth,0,LQ$30-LR$28))))</f>
        <v/>
      </c>
      <c r="LS30" s="18">
        <f>IF(RefiFlag=0,0,IF(328&lt;RefiMonth,0,IF(328=RefiMonth,PermLoan,IF(328&gt;DispoMonth,0,LR$30-LS$28))))</f>
        <v/>
      </c>
      <c r="LT30" s="18">
        <f>IF(RefiFlag=0,0,IF(329&lt;RefiMonth,0,IF(329=RefiMonth,PermLoan,IF(329&gt;DispoMonth,0,LS$30-LT$28))))</f>
        <v/>
      </c>
      <c r="LU30" s="18">
        <f>IF(RefiFlag=0,0,IF(330&lt;RefiMonth,0,IF(330=RefiMonth,PermLoan,IF(330&gt;DispoMonth,0,LT$30-LU$28))))</f>
        <v/>
      </c>
      <c r="LV30" s="18">
        <f>IF(RefiFlag=0,0,IF(331&lt;RefiMonth,0,IF(331=RefiMonth,PermLoan,IF(331&gt;DispoMonth,0,LU$30-LV$28))))</f>
        <v/>
      </c>
      <c r="LW30" s="18">
        <f>IF(RefiFlag=0,0,IF(332&lt;RefiMonth,0,IF(332=RefiMonth,PermLoan,IF(332&gt;DispoMonth,0,LV$30-LW$28))))</f>
        <v/>
      </c>
      <c r="LX30" s="18">
        <f>IF(RefiFlag=0,0,IF(333&lt;RefiMonth,0,IF(333=RefiMonth,PermLoan,IF(333&gt;DispoMonth,0,LW$30-LX$28))))</f>
        <v/>
      </c>
      <c r="LY30" s="18">
        <f>IF(RefiFlag=0,0,IF(334&lt;RefiMonth,0,IF(334=RefiMonth,PermLoan,IF(334&gt;DispoMonth,0,LX$30-LY$28))))</f>
        <v/>
      </c>
      <c r="LZ30" s="18">
        <f>IF(RefiFlag=0,0,IF(335&lt;RefiMonth,0,IF(335=RefiMonth,PermLoan,IF(335&gt;DispoMonth,0,LY$30-LZ$28))))</f>
        <v/>
      </c>
      <c r="MA30" s="18">
        <f>IF(RefiFlag=0,0,IF(336&lt;RefiMonth,0,IF(336=RefiMonth,PermLoan,IF(336&gt;DispoMonth,0,LZ$30-MA$28))))</f>
        <v/>
      </c>
      <c r="MB30" s="18">
        <f>IF(RefiFlag=0,0,IF(337&lt;RefiMonth,0,IF(337=RefiMonth,PermLoan,IF(337&gt;DispoMonth,0,MA$30-MB$28))))</f>
        <v/>
      </c>
      <c r="MC30" s="18">
        <f>IF(RefiFlag=0,0,IF(338&lt;RefiMonth,0,IF(338=RefiMonth,PermLoan,IF(338&gt;DispoMonth,0,MB$30-MC$28))))</f>
        <v/>
      </c>
      <c r="MD30" s="18">
        <f>IF(RefiFlag=0,0,IF(339&lt;RefiMonth,0,IF(339=RefiMonth,PermLoan,IF(339&gt;DispoMonth,0,MC$30-MD$28))))</f>
        <v/>
      </c>
      <c r="ME30" s="18">
        <f>IF(RefiFlag=0,0,IF(340&lt;RefiMonth,0,IF(340=RefiMonth,PermLoan,IF(340&gt;DispoMonth,0,MD$30-ME$28))))</f>
        <v/>
      </c>
      <c r="MF30" s="18">
        <f>IF(RefiFlag=0,0,IF(341&lt;RefiMonth,0,IF(341=RefiMonth,PermLoan,IF(341&gt;DispoMonth,0,ME$30-MF$28))))</f>
        <v/>
      </c>
      <c r="MG30" s="18">
        <f>IF(RefiFlag=0,0,IF(342&lt;RefiMonth,0,IF(342=RefiMonth,PermLoan,IF(342&gt;DispoMonth,0,MF$30-MG$28))))</f>
        <v/>
      </c>
      <c r="MH30" s="18">
        <f>IF(RefiFlag=0,0,IF(343&lt;RefiMonth,0,IF(343=RefiMonth,PermLoan,IF(343&gt;DispoMonth,0,MG$30-MH$28))))</f>
        <v/>
      </c>
      <c r="MI30" s="18">
        <f>IF(RefiFlag=0,0,IF(344&lt;RefiMonth,0,IF(344=RefiMonth,PermLoan,IF(344&gt;DispoMonth,0,MH$30-MI$28))))</f>
        <v/>
      </c>
      <c r="MJ30" s="18">
        <f>IF(RefiFlag=0,0,IF(345&lt;RefiMonth,0,IF(345=RefiMonth,PermLoan,IF(345&gt;DispoMonth,0,MI$30-MJ$28))))</f>
        <v/>
      </c>
      <c r="MK30" s="18">
        <f>IF(RefiFlag=0,0,IF(346&lt;RefiMonth,0,IF(346=RefiMonth,PermLoan,IF(346&gt;DispoMonth,0,MJ$30-MK$28))))</f>
        <v/>
      </c>
      <c r="ML30" s="18">
        <f>IF(RefiFlag=0,0,IF(347&lt;RefiMonth,0,IF(347=RefiMonth,PermLoan,IF(347&gt;DispoMonth,0,MK$30-ML$28))))</f>
        <v/>
      </c>
      <c r="MM30" s="18">
        <f>IF(RefiFlag=0,0,IF(348&lt;RefiMonth,0,IF(348=RefiMonth,PermLoan,IF(348&gt;DispoMonth,0,ML$30-MM$28))))</f>
        <v/>
      </c>
      <c r="MN30" s="18">
        <f>IF(RefiFlag=0,0,IF(349&lt;RefiMonth,0,IF(349=RefiMonth,PermLoan,IF(349&gt;DispoMonth,0,MM$30-MN$28))))</f>
        <v/>
      </c>
      <c r="MO30" s="18">
        <f>IF(RefiFlag=0,0,IF(350&lt;RefiMonth,0,IF(350=RefiMonth,PermLoan,IF(350&gt;DispoMonth,0,MN$30-MO$28))))</f>
        <v/>
      </c>
      <c r="MP30" s="18">
        <f>IF(RefiFlag=0,0,IF(351&lt;RefiMonth,0,IF(351=RefiMonth,PermLoan,IF(351&gt;DispoMonth,0,MO$30-MP$28))))</f>
        <v/>
      </c>
      <c r="MQ30" s="18">
        <f>IF(RefiFlag=0,0,IF(352&lt;RefiMonth,0,IF(352=RefiMonth,PermLoan,IF(352&gt;DispoMonth,0,MP$30-MQ$28))))</f>
        <v/>
      </c>
      <c r="MR30" s="18">
        <f>IF(RefiFlag=0,0,IF(353&lt;RefiMonth,0,IF(353=RefiMonth,PermLoan,IF(353&gt;DispoMonth,0,MQ$30-MR$28))))</f>
        <v/>
      </c>
      <c r="MS30" s="18">
        <f>IF(RefiFlag=0,0,IF(354&lt;RefiMonth,0,IF(354=RefiMonth,PermLoan,IF(354&gt;DispoMonth,0,MR$30-MS$28))))</f>
        <v/>
      </c>
      <c r="MT30" s="18">
        <f>IF(RefiFlag=0,0,IF(355&lt;RefiMonth,0,IF(355=RefiMonth,PermLoan,IF(355&gt;DispoMonth,0,MS$30-MT$28))))</f>
        <v/>
      </c>
      <c r="MU30" s="18">
        <f>IF(RefiFlag=0,0,IF(356&lt;RefiMonth,0,IF(356=RefiMonth,PermLoan,IF(356&gt;DispoMonth,0,MT$30-MU$28))))</f>
        <v/>
      </c>
      <c r="MV30" s="18">
        <f>IF(RefiFlag=0,0,IF(357&lt;RefiMonth,0,IF(357=RefiMonth,PermLoan,IF(357&gt;DispoMonth,0,MU$30-MV$28))))</f>
        <v/>
      </c>
      <c r="MW30" s="18">
        <f>IF(RefiFlag=0,0,IF(358&lt;RefiMonth,0,IF(358=RefiMonth,PermLoan,IF(358&gt;DispoMonth,0,MV$30-MW$28))))</f>
        <v/>
      </c>
      <c r="MX30" s="18">
        <f>IF(RefiFlag=0,0,IF(359&lt;RefiMonth,0,IF(359=RefiMonth,PermLoan,IF(359&gt;DispoMonth,0,MW$30-MX$28))))</f>
        <v/>
      </c>
      <c r="MY30" s="18">
        <f>IF(RefiFlag=0,0,IF(360&lt;RefiMonth,0,IF(360=RefiMonth,PermLoan,IF(360&gt;DispoMonth,0,MX$30-MY$28))))</f>
        <v/>
      </c>
      <c r="MZ30" s="18">
        <f>IF(RefiFlag=0,0,IF(361&lt;RefiMonth,0,IF(361=RefiMonth,PermLoan,IF(361&gt;DispoMonth,0,MY$30-MZ$28))))</f>
        <v/>
      </c>
      <c r="NA30" s="18">
        <f>IF(RefiFlag=0,0,IF(362&lt;RefiMonth,0,IF(362=RefiMonth,PermLoan,IF(362&gt;DispoMonth,0,MZ$30-NA$28))))</f>
        <v/>
      </c>
      <c r="NB30" s="18">
        <f>IF(RefiFlag=0,0,IF(363&lt;RefiMonth,0,IF(363=RefiMonth,PermLoan,IF(363&gt;DispoMonth,0,NA$30-NB$28))))</f>
        <v/>
      </c>
      <c r="NC30" s="18">
        <f>IF(RefiFlag=0,0,IF(364&lt;RefiMonth,0,IF(364=RefiMonth,PermLoan,IF(364&gt;DispoMonth,0,NB$30-NC$28))))</f>
        <v/>
      </c>
      <c r="ND30" s="18">
        <f>IF(RefiFlag=0,0,IF(365&lt;RefiMonth,0,IF(365=RefiMonth,PermLoan,IF(365&gt;DispoMonth,0,NC$30-ND$28))))</f>
        <v/>
      </c>
      <c r="NE30" s="18">
        <f>IF(RefiFlag=0,0,IF(366&lt;RefiMonth,0,IF(366=RefiMonth,PermLoan,IF(366&gt;DispoMonth,0,ND$30-NE$28))))</f>
        <v/>
      </c>
      <c r="NF30" s="18">
        <f>IF(RefiFlag=0,0,IF(367&lt;RefiMonth,0,IF(367=RefiMonth,PermLoan,IF(367&gt;DispoMonth,0,NE$30-NF$28))))</f>
        <v/>
      </c>
      <c r="NG30" s="18">
        <f>IF(RefiFlag=0,0,IF(368&lt;RefiMonth,0,IF(368=RefiMonth,PermLoan,IF(368&gt;DispoMonth,0,NF$30-NG$28))))</f>
        <v/>
      </c>
      <c r="NH30" s="18">
        <f>IF(RefiFlag=0,0,IF(369&lt;RefiMonth,0,IF(369=RefiMonth,PermLoan,IF(369&gt;DispoMonth,0,NG$30-NH$28))))</f>
        <v/>
      </c>
      <c r="NI30" s="18">
        <f>IF(RefiFlag=0,0,IF(370&lt;RefiMonth,0,IF(370=RefiMonth,PermLoan,IF(370&gt;DispoMonth,0,NH$30-NI$28))))</f>
        <v/>
      </c>
      <c r="NJ30" s="18">
        <f>IF(RefiFlag=0,0,IF(371&lt;RefiMonth,0,IF(371=RefiMonth,PermLoan,IF(371&gt;DispoMonth,0,NI$30-NJ$28))))</f>
        <v/>
      </c>
      <c r="NK30" s="18">
        <f>IF(RefiFlag=0,0,IF(372&lt;RefiMonth,0,IF(372=RefiMonth,PermLoan,IF(372&gt;DispoMonth,0,NJ$30-NK$28))))</f>
        <v/>
      </c>
    </row>
    <row r="32">
      <c r="A32" s="5" t="inlineStr">
        <is>
          <t>Permanent Loan Payoff at Disposition</t>
        </is>
      </c>
      <c r="B32" s="30">
        <f>RefiFlag*INDEX(D30:NK30,DispoMonth)</f>
        <v/>
      </c>
    </row>
    <row r="33">
      <c r="A33" s="5" t="inlineStr">
        <is>
          <t>Refi sources − uses (must reconcile)</t>
        </is>
      </c>
      <c r="B33" s="18">
        <f>RefiFlag*(PermLoan-PermPoints-RefiCashOut-ConPayoffBal)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2026-07-02T18:20:03Z</dcterms:created>
  <dcterms:modified xsi:type="dcterms:W3CDTF">2026-07-02T18:20:07Z</dcterms:modified>
</cp:coreProperties>
</file>