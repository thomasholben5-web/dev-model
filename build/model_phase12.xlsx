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'LeaseUp'!$B$13</definedName>
    <definedName name="Chk_UnitsDelivered">'LeaseUp'!$B$14</definedName>
    <definedName name="StabNOIbt">'Operating'!$B$47</definedName>
    <definedName name="StabNOI">'Operating'!$B$48</definedName>
    <definedName name="Year1NOI">'Operating'!$B$49</definedName>
    <definedName name="PeakShort">'Operating'!$B$50</definedName>
    <definedName name="OpReserve">'Operating'!$B$51</definedName>
    <definedName name="EffTaxRateOnValue">'Operating'!$B$54</definedName>
    <definedName name="DispoEffTaxRate">'Operating'!$B$55</definedName>
    <definedName name="AssessedValueStab">'Operating'!$B$56</definedName>
    <definedName name="TaxYear1">'Operating'!$B$57</definedName>
    <definedName name="StabTaxAnnual">'Operating'!$B$58</definedName>
    <definedName name="Chk_TaxMethod">'Operating'!$B$59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'Operating'!$B$62</definedName>
    <definedName name="SumUnlevOps">'Operating'!$B$63</definedName>
    <definedName name="SumNOI">'Operating'!$B$64</definedName>
    <definedName name="FwdNOIbt">'Disposition'!$B$4</definedName>
    <definedName name="FwdNOIafter">'Disposition'!$B$5</definedName>
    <definedName name="FwdEGI">'Disposition'!$B$6</definedName>
    <definedName name="FwdRetail">'Disposition'!$B$7</definedName>
    <definedName name="RetailShare">'Disposition'!$B$8</definedName>
    <definedName name="BlendedExitCap">'Disposition'!$B$9</definedName>
    <definedName name="ExitValue">'Disposition'!$B$10</definedName>
    <definedName name="GrossSale">'Disposition'!$B$13</definedName>
    <definedName name="BrokerCost">'Disposition'!$B$14</definedName>
    <definedName name="SalesTaxAmt">'Disposition'!$B$15</definedName>
    <definedName name="SponsorDispoFee">'Disposition'!$B$16</definedName>
    <definedName name="TaxProration">'Disposition'!$B$17</definedName>
    <definedName name="ActivePayoff">'Disposition'!$B$18</definedName>
    <definedName name="NetSale">'Disposition'!$B$19</definedName>
    <definedName name="NetSaleUnlev">'Disposition'!$B$20</definedName>
    <definedName name="Chk_LoanRetired">'Disposition'!$B$24</definedName>
    <definedName name="Chk_Reassess">'Disposition'!$B$25</definedName>
    <definedName name="LevEquityIn">'CashFlow'!$B$10</definedName>
    <definedName name="LevDistros">'CashFlow'!$B$11</definedName>
    <definedName name="LevNetProfit">'CashFlow'!$B$12</definedName>
    <definedName name="UnlevInvested">'CashFlow'!$B$13</definedName>
    <definedName name="UnlevDistros">'CashFlow'!$B$14</definedName>
    <definedName name="UnlevNetProfit">'CashFlow'!$B$15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  <numFmt numFmtId="173" formatCode="0.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38" t="inlineStr">
        <is>
          <t>Month Start</t>
        </is>
      </c>
      <c r="D7" s="39">
        <f>EDATE(InceptionDate,0)</f>
        <v/>
      </c>
      <c r="E7" s="39">
        <f>EDATE(InceptionDate,1)</f>
        <v/>
      </c>
      <c r="F7" s="39">
        <f>EDATE(InceptionDate,2)</f>
        <v/>
      </c>
      <c r="G7" s="39">
        <f>EDATE(InceptionDate,3)</f>
        <v/>
      </c>
      <c r="H7" s="39">
        <f>EDATE(InceptionDate,4)</f>
        <v/>
      </c>
      <c r="I7" s="39">
        <f>EDATE(InceptionDate,5)</f>
        <v/>
      </c>
      <c r="J7" s="39">
        <f>EDATE(InceptionDate,6)</f>
        <v/>
      </c>
      <c r="K7" s="39">
        <f>EDATE(InceptionDate,7)</f>
        <v/>
      </c>
      <c r="L7" s="39">
        <f>EDATE(InceptionDate,8)</f>
        <v/>
      </c>
      <c r="M7" s="39">
        <f>EDATE(InceptionDate,9)</f>
        <v/>
      </c>
      <c r="N7" s="39">
        <f>EDATE(InceptionDate,10)</f>
        <v/>
      </c>
      <c r="O7" s="39">
        <f>EDATE(InceptionDate,11)</f>
        <v/>
      </c>
      <c r="P7" s="39">
        <f>EDATE(InceptionDate,12)</f>
        <v/>
      </c>
      <c r="Q7" s="39">
        <f>EDATE(InceptionDate,13)</f>
        <v/>
      </c>
      <c r="R7" s="39">
        <f>EDATE(InceptionDate,14)</f>
        <v/>
      </c>
      <c r="S7" s="39">
        <f>EDATE(InceptionDate,15)</f>
        <v/>
      </c>
      <c r="T7" s="39">
        <f>EDATE(InceptionDate,16)</f>
        <v/>
      </c>
      <c r="U7" s="39">
        <f>EDATE(InceptionDate,17)</f>
        <v/>
      </c>
      <c r="V7" s="39">
        <f>EDATE(InceptionDate,18)</f>
        <v/>
      </c>
      <c r="W7" s="39">
        <f>EDATE(InceptionDate,19)</f>
        <v/>
      </c>
      <c r="X7" s="39">
        <f>EDATE(InceptionDate,20)</f>
        <v/>
      </c>
      <c r="Y7" s="39">
        <f>EDATE(InceptionDate,21)</f>
        <v/>
      </c>
      <c r="Z7" s="39">
        <f>EDATE(InceptionDate,22)</f>
        <v/>
      </c>
      <c r="AA7" s="39">
        <f>EDATE(InceptionDate,23)</f>
        <v/>
      </c>
      <c r="AB7" s="39">
        <f>EDATE(InceptionDate,24)</f>
        <v/>
      </c>
      <c r="AC7" s="39">
        <f>EDATE(InceptionDate,25)</f>
        <v/>
      </c>
      <c r="AD7" s="39">
        <f>EDATE(InceptionDate,26)</f>
        <v/>
      </c>
      <c r="AE7" s="39">
        <f>EDATE(InceptionDate,27)</f>
        <v/>
      </c>
      <c r="AF7" s="39">
        <f>EDATE(InceptionDate,28)</f>
        <v/>
      </c>
      <c r="AG7" s="39">
        <f>EDATE(InceptionDate,29)</f>
        <v/>
      </c>
      <c r="AH7" s="39">
        <f>EDATE(InceptionDate,30)</f>
        <v/>
      </c>
      <c r="AI7" s="39">
        <f>EDATE(InceptionDate,31)</f>
        <v/>
      </c>
      <c r="AJ7" s="39">
        <f>EDATE(InceptionDate,32)</f>
        <v/>
      </c>
      <c r="AK7" s="39">
        <f>EDATE(InceptionDate,33)</f>
        <v/>
      </c>
      <c r="AL7" s="39">
        <f>EDATE(InceptionDate,34)</f>
        <v/>
      </c>
      <c r="AM7" s="39">
        <f>EDATE(InceptionDate,35)</f>
        <v/>
      </c>
      <c r="AN7" s="39">
        <f>EDATE(InceptionDate,36)</f>
        <v/>
      </c>
      <c r="AO7" s="39">
        <f>EDATE(InceptionDate,37)</f>
        <v/>
      </c>
      <c r="AP7" s="39">
        <f>EDATE(InceptionDate,38)</f>
        <v/>
      </c>
      <c r="AQ7" s="39">
        <f>EDATE(InceptionDate,39)</f>
        <v/>
      </c>
      <c r="AR7" s="39">
        <f>EDATE(InceptionDate,40)</f>
        <v/>
      </c>
      <c r="AS7" s="39">
        <f>EDATE(InceptionDate,41)</f>
        <v/>
      </c>
      <c r="AT7" s="39">
        <f>EDATE(InceptionDate,42)</f>
        <v/>
      </c>
      <c r="AU7" s="39">
        <f>EDATE(InceptionDate,43)</f>
        <v/>
      </c>
      <c r="AV7" s="39">
        <f>EDATE(InceptionDate,44)</f>
        <v/>
      </c>
      <c r="AW7" s="39">
        <f>EDATE(InceptionDate,45)</f>
        <v/>
      </c>
      <c r="AX7" s="39">
        <f>EDATE(InceptionDate,46)</f>
        <v/>
      </c>
      <c r="AY7" s="39">
        <f>EDATE(InceptionDate,47)</f>
        <v/>
      </c>
      <c r="AZ7" s="39">
        <f>EDATE(InceptionDate,48)</f>
        <v/>
      </c>
      <c r="BA7" s="39">
        <f>EDATE(InceptionDate,49)</f>
        <v/>
      </c>
      <c r="BB7" s="39">
        <f>EDATE(InceptionDate,50)</f>
        <v/>
      </c>
      <c r="BC7" s="39">
        <f>EDATE(InceptionDate,51)</f>
        <v/>
      </c>
      <c r="BD7" s="39">
        <f>EDATE(InceptionDate,52)</f>
        <v/>
      </c>
      <c r="BE7" s="39">
        <f>EDATE(InceptionDate,53)</f>
        <v/>
      </c>
      <c r="BF7" s="39">
        <f>EDATE(InceptionDate,54)</f>
        <v/>
      </c>
      <c r="BG7" s="39">
        <f>EDATE(InceptionDate,55)</f>
        <v/>
      </c>
      <c r="BH7" s="39">
        <f>EDATE(InceptionDate,56)</f>
        <v/>
      </c>
      <c r="BI7" s="39">
        <f>EDATE(InceptionDate,57)</f>
        <v/>
      </c>
      <c r="BJ7" s="39">
        <f>EDATE(InceptionDate,58)</f>
        <v/>
      </c>
      <c r="BK7" s="39">
        <f>EDATE(InceptionDate,59)</f>
        <v/>
      </c>
      <c r="BL7" s="39">
        <f>EDATE(InceptionDate,60)</f>
        <v/>
      </c>
      <c r="BM7" s="39">
        <f>EDATE(InceptionDate,61)</f>
        <v/>
      </c>
      <c r="BN7" s="39">
        <f>EDATE(InceptionDate,62)</f>
        <v/>
      </c>
      <c r="BO7" s="39">
        <f>EDATE(InceptionDate,63)</f>
        <v/>
      </c>
      <c r="BP7" s="39">
        <f>EDATE(InceptionDate,64)</f>
        <v/>
      </c>
      <c r="BQ7" s="39">
        <f>EDATE(InceptionDate,65)</f>
        <v/>
      </c>
      <c r="BR7" s="39">
        <f>EDATE(InceptionDate,66)</f>
        <v/>
      </c>
      <c r="BS7" s="39">
        <f>EDATE(InceptionDate,67)</f>
        <v/>
      </c>
      <c r="BT7" s="39">
        <f>EDATE(InceptionDate,68)</f>
        <v/>
      </c>
      <c r="BU7" s="39">
        <f>EDATE(InceptionDate,69)</f>
        <v/>
      </c>
      <c r="BV7" s="39">
        <f>EDATE(InceptionDate,70)</f>
        <v/>
      </c>
      <c r="BW7" s="39">
        <f>EDATE(InceptionDate,71)</f>
        <v/>
      </c>
      <c r="BX7" s="39">
        <f>EDATE(InceptionDate,72)</f>
        <v/>
      </c>
      <c r="BY7" s="39">
        <f>EDATE(InceptionDate,73)</f>
        <v/>
      </c>
      <c r="BZ7" s="39">
        <f>EDATE(InceptionDate,74)</f>
        <v/>
      </c>
      <c r="CA7" s="39">
        <f>EDATE(InceptionDate,75)</f>
        <v/>
      </c>
      <c r="CB7" s="39">
        <f>EDATE(InceptionDate,76)</f>
        <v/>
      </c>
      <c r="CC7" s="39">
        <f>EDATE(InceptionDate,77)</f>
        <v/>
      </c>
      <c r="CD7" s="39">
        <f>EDATE(InceptionDate,78)</f>
        <v/>
      </c>
      <c r="CE7" s="39">
        <f>EDATE(InceptionDate,79)</f>
        <v/>
      </c>
      <c r="CF7" s="39">
        <f>EDATE(InceptionDate,80)</f>
        <v/>
      </c>
      <c r="CG7" s="39">
        <f>EDATE(InceptionDate,81)</f>
        <v/>
      </c>
      <c r="CH7" s="39">
        <f>EDATE(InceptionDate,82)</f>
        <v/>
      </c>
      <c r="CI7" s="39">
        <f>EDATE(InceptionDate,83)</f>
        <v/>
      </c>
      <c r="CJ7" s="39">
        <f>EDATE(InceptionDate,84)</f>
        <v/>
      </c>
      <c r="CK7" s="39">
        <f>EDATE(InceptionDate,85)</f>
        <v/>
      </c>
      <c r="CL7" s="39">
        <f>EDATE(InceptionDate,86)</f>
        <v/>
      </c>
      <c r="CM7" s="39">
        <f>EDATE(InceptionDate,87)</f>
        <v/>
      </c>
      <c r="CN7" s="39">
        <f>EDATE(InceptionDate,88)</f>
        <v/>
      </c>
      <c r="CO7" s="39">
        <f>EDATE(InceptionDate,89)</f>
        <v/>
      </c>
      <c r="CP7" s="39">
        <f>EDATE(InceptionDate,90)</f>
        <v/>
      </c>
      <c r="CQ7" s="39">
        <f>EDATE(InceptionDate,91)</f>
        <v/>
      </c>
      <c r="CR7" s="39">
        <f>EDATE(InceptionDate,92)</f>
        <v/>
      </c>
      <c r="CS7" s="39">
        <f>EDATE(InceptionDate,93)</f>
        <v/>
      </c>
      <c r="CT7" s="39">
        <f>EDATE(InceptionDate,94)</f>
        <v/>
      </c>
      <c r="CU7" s="39">
        <f>EDATE(InceptionDate,95)</f>
        <v/>
      </c>
      <c r="CV7" s="39">
        <f>EDATE(InceptionDate,96)</f>
        <v/>
      </c>
      <c r="CW7" s="39">
        <f>EDATE(InceptionDate,97)</f>
        <v/>
      </c>
      <c r="CX7" s="39">
        <f>EDATE(InceptionDate,98)</f>
        <v/>
      </c>
      <c r="CY7" s="39">
        <f>EDATE(InceptionDate,99)</f>
        <v/>
      </c>
      <c r="CZ7" s="39">
        <f>EDATE(InceptionDate,100)</f>
        <v/>
      </c>
      <c r="DA7" s="39">
        <f>EDATE(InceptionDate,101)</f>
        <v/>
      </c>
      <c r="DB7" s="39">
        <f>EDATE(InceptionDate,102)</f>
        <v/>
      </c>
      <c r="DC7" s="39">
        <f>EDATE(InceptionDate,103)</f>
        <v/>
      </c>
      <c r="DD7" s="39">
        <f>EDATE(InceptionDate,104)</f>
        <v/>
      </c>
      <c r="DE7" s="39">
        <f>EDATE(InceptionDate,105)</f>
        <v/>
      </c>
      <c r="DF7" s="39">
        <f>EDATE(InceptionDate,106)</f>
        <v/>
      </c>
      <c r="DG7" s="39">
        <f>EDATE(InceptionDate,107)</f>
        <v/>
      </c>
      <c r="DH7" s="39">
        <f>EDATE(InceptionDate,108)</f>
        <v/>
      </c>
      <c r="DI7" s="39">
        <f>EDATE(InceptionDate,109)</f>
        <v/>
      </c>
      <c r="DJ7" s="39">
        <f>EDATE(InceptionDate,110)</f>
        <v/>
      </c>
      <c r="DK7" s="39">
        <f>EDATE(InceptionDate,111)</f>
        <v/>
      </c>
      <c r="DL7" s="39">
        <f>EDATE(InceptionDate,112)</f>
        <v/>
      </c>
      <c r="DM7" s="39">
        <f>EDATE(InceptionDate,113)</f>
        <v/>
      </c>
      <c r="DN7" s="39">
        <f>EDATE(InceptionDate,114)</f>
        <v/>
      </c>
      <c r="DO7" s="39">
        <f>EDATE(InceptionDate,115)</f>
        <v/>
      </c>
      <c r="DP7" s="39">
        <f>EDATE(InceptionDate,116)</f>
        <v/>
      </c>
      <c r="DQ7" s="39">
        <f>EDATE(InceptionDate,117)</f>
        <v/>
      </c>
      <c r="DR7" s="39">
        <f>EDATE(InceptionDate,118)</f>
        <v/>
      </c>
      <c r="DS7" s="39">
        <f>EDATE(InceptionDate,119)</f>
        <v/>
      </c>
      <c r="DT7" s="39">
        <f>EDATE(InceptionDate,120)</f>
        <v/>
      </c>
      <c r="DU7" s="39">
        <f>EDATE(InceptionDate,121)</f>
        <v/>
      </c>
      <c r="DV7" s="39">
        <f>EDATE(InceptionDate,122)</f>
        <v/>
      </c>
      <c r="DW7" s="39">
        <f>EDATE(InceptionDate,123)</f>
        <v/>
      </c>
      <c r="DX7" s="39">
        <f>EDATE(InceptionDate,124)</f>
        <v/>
      </c>
      <c r="DY7" s="39">
        <f>EDATE(InceptionDate,125)</f>
        <v/>
      </c>
      <c r="DZ7" s="39">
        <f>EDATE(InceptionDate,126)</f>
        <v/>
      </c>
      <c r="EA7" s="39">
        <f>EDATE(InceptionDate,127)</f>
        <v/>
      </c>
      <c r="EB7" s="39">
        <f>EDATE(InceptionDate,128)</f>
        <v/>
      </c>
      <c r="EC7" s="39">
        <f>EDATE(InceptionDate,129)</f>
        <v/>
      </c>
      <c r="ED7" s="39">
        <f>EDATE(InceptionDate,130)</f>
        <v/>
      </c>
      <c r="EE7" s="39">
        <f>EDATE(InceptionDate,131)</f>
        <v/>
      </c>
      <c r="EF7" s="39">
        <f>EDATE(InceptionDate,132)</f>
        <v/>
      </c>
      <c r="EG7" s="39">
        <f>EDATE(InceptionDate,133)</f>
        <v/>
      </c>
      <c r="EH7" s="39">
        <f>EDATE(InceptionDate,134)</f>
        <v/>
      </c>
      <c r="EI7" s="39">
        <f>EDATE(InceptionDate,135)</f>
        <v/>
      </c>
      <c r="EJ7" s="39">
        <f>EDATE(InceptionDate,136)</f>
        <v/>
      </c>
      <c r="EK7" s="39">
        <f>EDATE(InceptionDate,137)</f>
        <v/>
      </c>
      <c r="EL7" s="39">
        <f>EDATE(InceptionDate,138)</f>
        <v/>
      </c>
      <c r="EM7" s="39">
        <f>EDATE(InceptionDate,139)</f>
        <v/>
      </c>
      <c r="EN7" s="39">
        <f>EDATE(InceptionDate,140)</f>
        <v/>
      </c>
      <c r="EO7" s="39">
        <f>EDATE(InceptionDate,141)</f>
        <v/>
      </c>
      <c r="EP7" s="39">
        <f>EDATE(InceptionDate,142)</f>
        <v/>
      </c>
      <c r="EQ7" s="39">
        <f>EDATE(InceptionDate,143)</f>
        <v/>
      </c>
      <c r="ER7" s="39">
        <f>EDATE(InceptionDate,144)</f>
        <v/>
      </c>
      <c r="ES7" s="39">
        <f>EDATE(InceptionDate,145)</f>
        <v/>
      </c>
      <c r="ET7" s="39">
        <f>EDATE(InceptionDate,146)</f>
        <v/>
      </c>
      <c r="EU7" s="39">
        <f>EDATE(InceptionDate,147)</f>
        <v/>
      </c>
      <c r="EV7" s="39">
        <f>EDATE(InceptionDate,148)</f>
        <v/>
      </c>
      <c r="EW7" s="39">
        <f>EDATE(InceptionDate,149)</f>
        <v/>
      </c>
      <c r="EX7" s="39">
        <f>EDATE(InceptionDate,150)</f>
        <v/>
      </c>
      <c r="EY7" s="39">
        <f>EDATE(InceptionDate,151)</f>
        <v/>
      </c>
      <c r="EZ7" s="39">
        <f>EDATE(InceptionDate,152)</f>
        <v/>
      </c>
      <c r="FA7" s="39">
        <f>EDATE(InceptionDate,153)</f>
        <v/>
      </c>
      <c r="FB7" s="39">
        <f>EDATE(InceptionDate,154)</f>
        <v/>
      </c>
      <c r="FC7" s="39">
        <f>EDATE(InceptionDate,155)</f>
        <v/>
      </c>
      <c r="FD7" s="39">
        <f>EDATE(InceptionDate,156)</f>
        <v/>
      </c>
      <c r="FE7" s="39">
        <f>EDATE(InceptionDate,157)</f>
        <v/>
      </c>
      <c r="FF7" s="39">
        <f>EDATE(InceptionDate,158)</f>
        <v/>
      </c>
      <c r="FG7" s="39">
        <f>EDATE(InceptionDate,159)</f>
        <v/>
      </c>
      <c r="FH7" s="39">
        <f>EDATE(InceptionDate,160)</f>
        <v/>
      </c>
      <c r="FI7" s="39">
        <f>EDATE(InceptionDate,161)</f>
        <v/>
      </c>
      <c r="FJ7" s="39">
        <f>EDATE(InceptionDate,162)</f>
        <v/>
      </c>
      <c r="FK7" s="39">
        <f>EDATE(InceptionDate,163)</f>
        <v/>
      </c>
      <c r="FL7" s="39">
        <f>EDATE(InceptionDate,164)</f>
        <v/>
      </c>
      <c r="FM7" s="39">
        <f>EDATE(InceptionDate,165)</f>
        <v/>
      </c>
      <c r="FN7" s="39">
        <f>EDATE(InceptionDate,166)</f>
        <v/>
      </c>
      <c r="FO7" s="39">
        <f>EDATE(InceptionDate,167)</f>
        <v/>
      </c>
      <c r="FP7" s="39">
        <f>EDATE(InceptionDate,168)</f>
        <v/>
      </c>
      <c r="FQ7" s="39">
        <f>EDATE(InceptionDate,169)</f>
        <v/>
      </c>
      <c r="FR7" s="39">
        <f>EDATE(InceptionDate,170)</f>
        <v/>
      </c>
      <c r="FS7" s="39">
        <f>EDATE(InceptionDate,171)</f>
        <v/>
      </c>
      <c r="FT7" s="39">
        <f>EDATE(InceptionDate,172)</f>
        <v/>
      </c>
      <c r="FU7" s="39">
        <f>EDATE(InceptionDate,173)</f>
        <v/>
      </c>
      <c r="FV7" s="39">
        <f>EDATE(InceptionDate,174)</f>
        <v/>
      </c>
      <c r="FW7" s="39">
        <f>EDATE(InceptionDate,175)</f>
        <v/>
      </c>
      <c r="FX7" s="39">
        <f>EDATE(InceptionDate,176)</f>
        <v/>
      </c>
      <c r="FY7" s="39">
        <f>EDATE(InceptionDate,177)</f>
        <v/>
      </c>
      <c r="FZ7" s="39">
        <f>EDATE(InceptionDate,178)</f>
        <v/>
      </c>
      <c r="GA7" s="39">
        <f>EDATE(InceptionDate,179)</f>
        <v/>
      </c>
      <c r="GB7" s="39">
        <f>EDATE(InceptionDate,180)</f>
        <v/>
      </c>
      <c r="GC7" s="39">
        <f>EDATE(InceptionDate,181)</f>
        <v/>
      </c>
      <c r="GD7" s="39">
        <f>EDATE(InceptionDate,182)</f>
        <v/>
      </c>
      <c r="GE7" s="39">
        <f>EDATE(InceptionDate,183)</f>
        <v/>
      </c>
      <c r="GF7" s="39">
        <f>EDATE(InceptionDate,184)</f>
        <v/>
      </c>
      <c r="GG7" s="39">
        <f>EDATE(InceptionDate,185)</f>
        <v/>
      </c>
      <c r="GH7" s="39">
        <f>EDATE(InceptionDate,186)</f>
        <v/>
      </c>
      <c r="GI7" s="39">
        <f>EDATE(InceptionDate,187)</f>
        <v/>
      </c>
      <c r="GJ7" s="39">
        <f>EDATE(InceptionDate,188)</f>
        <v/>
      </c>
      <c r="GK7" s="39">
        <f>EDATE(InceptionDate,189)</f>
        <v/>
      </c>
      <c r="GL7" s="39">
        <f>EDATE(InceptionDate,190)</f>
        <v/>
      </c>
      <c r="GM7" s="39">
        <f>EDATE(InceptionDate,191)</f>
        <v/>
      </c>
      <c r="GN7" s="39">
        <f>EDATE(InceptionDate,192)</f>
        <v/>
      </c>
      <c r="GO7" s="39">
        <f>EDATE(InceptionDate,193)</f>
        <v/>
      </c>
      <c r="GP7" s="39">
        <f>EDATE(InceptionDate,194)</f>
        <v/>
      </c>
      <c r="GQ7" s="39">
        <f>EDATE(InceptionDate,195)</f>
        <v/>
      </c>
      <c r="GR7" s="39">
        <f>EDATE(InceptionDate,196)</f>
        <v/>
      </c>
      <c r="GS7" s="39">
        <f>EDATE(InceptionDate,197)</f>
        <v/>
      </c>
      <c r="GT7" s="39">
        <f>EDATE(InceptionDate,198)</f>
        <v/>
      </c>
      <c r="GU7" s="39">
        <f>EDATE(InceptionDate,199)</f>
        <v/>
      </c>
      <c r="GV7" s="39">
        <f>EDATE(InceptionDate,200)</f>
        <v/>
      </c>
      <c r="GW7" s="39">
        <f>EDATE(InceptionDate,201)</f>
        <v/>
      </c>
      <c r="GX7" s="39">
        <f>EDATE(InceptionDate,202)</f>
        <v/>
      </c>
      <c r="GY7" s="39">
        <f>EDATE(InceptionDate,203)</f>
        <v/>
      </c>
      <c r="GZ7" s="39">
        <f>EDATE(InceptionDate,204)</f>
        <v/>
      </c>
      <c r="HA7" s="39">
        <f>EDATE(InceptionDate,205)</f>
        <v/>
      </c>
      <c r="HB7" s="39">
        <f>EDATE(InceptionDate,206)</f>
        <v/>
      </c>
      <c r="HC7" s="39">
        <f>EDATE(InceptionDate,207)</f>
        <v/>
      </c>
      <c r="HD7" s="39">
        <f>EDATE(InceptionDate,208)</f>
        <v/>
      </c>
      <c r="HE7" s="39">
        <f>EDATE(InceptionDate,209)</f>
        <v/>
      </c>
      <c r="HF7" s="39">
        <f>EDATE(InceptionDate,210)</f>
        <v/>
      </c>
      <c r="HG7" s="39">
        <f>EDATE(InceptionDate,211)</f>
        <v/>
      </c>
      <c r="HH7" s="39">
        <f>EDATE(InceptionDate,212)</f>
        <v/>
      </c>
      <c r="HI7" s="39">
        <f>EDATE(InceptionDate,213)</f>
        <v/>
      </c>
      <c r="HJ7" s="39">
        <f>EDATE(InceptionDate,214)</f>
        <v/>
      </c>
      <c r="HK7" s="39">
        <f>EDATE(InceptionDate,215)</f>
        <v/>
      </c>
      <c r="HL7" s="39">
        <f>EDATE(InceptionDate,216)</f>
        <v/>
      </c>
      <c r="HM7" s="39">
        <f>EDATE(InceptionDate,217)</f>
        <v/>
      </c>
      <c r="HN7" s="39">
        <f>EDATE(InceptionDate,218)</f>
        <v/>
      </c>
      <c r="HO7" s="39">
        <f>EDATE(InceptionDate,219)</f>
        <v/>
      </c>
      <c r="HP7" s="39">
        <f>EDATE(InceptionDate,220)</f>
        <v/>
      </c>
      <c r="HQ7" s="39">
        <f>EDATE(InceptionDate,221)</f>
        <v/>
      </c>
      <c r="HR7" s="39">
        <f>EDATE(InceptionDate,222)</f>
        <v/>
      </c>
      <c r="HS7" s="39">
        <f>EDATE(InceptionDate,223)</f>
        <v/>
      </c>
      <c r="HT7" s="39">
        <f>EDATE(InceptionDate,224)</f>
        <v/>
      </c>
      <c r="HU7" s="39">
        <f>EDATE(InceptionDate,225)</f>
        <v/>
      </c>
      <c r="HV7" s="39">
        <f>EDATE(InceptionDate,226)</f>
        <v/>
      </c>
      <c r="HW7" s="39">
        <f>EDATE(InceptionDate,227)</f>
        <v/>
      </c>
      <c r="HX7" s="39">
        <f>EDATE(InceptionDate,228)</f>
        <v/>
      </c>
      <c r="HY7" s="39">
        <f>EDATE(InceptionDate,229)</f>
        <v/>
      </c>
      <c r="HZ7" s="39">
        <f>EDATE(InceptionDate,230)</f>
        <v/>
      </c>
      <c r="IA7" s="39">
        <f>EDATE(InceptionDate,231)</f>
        <v/>
      </c>
      <c r="IB7" s="39">
        <f>EDATE(InceptionDate,232)</f>
        <v/>
      </c>
      <c r="IC7" s="39">
        <f>EDATE(InceptionDate,233)</f>
        <v/>
      </c>
      <c r="ID7" s="39">
        <f>EDATE(InceptionDate,234)</f>
        <v/>
      </c>
      <c r="IE7" s="39">
        <f>EDATE(InceptionDate,235)</f>
        <v/>
      </c>
      <c r="IF7" s="39">
        <f>EDATE(InceptionDate,236)</f>
        <v/>
      </c>
      <c r="IG7" s="39">
        <f>EDATE(InceptionDate,237)</f>
        <v/>
      </c>
      <c r="IH7" s="39">
        <f>EDATE(InceptionDate,238)</f>
        <v/>
      </c>
      <c r="II7" s="39">
        <f>EDATE(InceptionDate,239)</f>
        <v/>
      </c>
      <c r="IJ7" s="39">
        <f>EDATE(InceptionDate,240)</f>
        <v/>
      </c>
      <c r="IK7" s="39">
        <f>EDATE(InceptionDate,241)</f>
        <v/>
      </c>
      <c r="IL7" s="39">
        <f>EDATE(InceptionDate,242)</f>
        <v/>
      </c>
      <c r="IM7" s="39">
        <f>EDATE(InceptionDate,243)</f>
        <v/>
      </c>
      <c r="IN7" s="39">
        <f>EDATE(InceptionDate,244)</f>
        <v/>
      </c>
      <c r="IO7" s="39">
        <f>EDATE(InceptionDate,245)</f>
        <v/>
      </c>
      <c r="IP7" s="39">
        <f>EDATE(InceptionDate,246)</f>
        <v/>
      </c>
      <c r="IQ7" s="39">
        <f>EDATE(InceptionDate,247)</f>
        <v/>
      </c>
      <c r="IR7" s="39">
        <f>EDATE(InceptionDate,248)</f>
        <v/>
      </c>
      <c r="IS7" s="39">
        <f>EDATE(InceptionDate,249)</f>
        <v/>
      </c>
      <c r="IT7" s="39">
        <f>EDATE(InceptionDate,250)</f>
        <v/>
      </c>
      <c r="IU7" s="39">
        <f>EDATE(InceptionDate,251)</f>
        <v/>
      </c>
      <c r="IV7" s="39">
        <f>EDATE(InceptionDate,252)</f>
        <v/>
      </c>
      <c r="IW7" s="39">
        <f>EDATE(InceptionDate,253)</f>
        <v/>
      </c>
      <c r="IX7" s="39">
        <f>EDATE(InceptionDate,254)</f>
        <v/>
      </c>
      <c r="IY7" s="39">
        <f>EDATE(InceptionDate,255)</f>
        <v/>
      </c>
      <c r="IZ7" s="39">
        <f>EDATE(InceptionDate,256)</f>
        <v/>
      </c>
      <c r="JA7" s="39">
        <f>EDATE(InceptionDate,257)</f>
        <v/>
      </c>
      <c r="JB7" s="39">
        <f>EDATE(InceptionDate,258)</f>
        <v/>
      </c>
      <c r="JC7" s="39">
        <f>EDATE(InceptionDate,259)</f>
        <v/>
      </c>
      <c r="JD7" s="39">
        <f>EDATE(InceptionDate,260)</f>
        <v/>
      </c>
      <c r="JE7" s="39">
        <f>EDATE(InceptionDate,261)</f>
        <v/>
      </c>
      <c r="JF7" s="39">
        <f>EDATE(InceptionDate,262)</f>
        <v/>
      </c>
      <c r="JG7" s="39">
        <f>EDATE(InceptionDate,263)</f>
        <v/>
      </c>
      <c r="JH7" s="39">
        <f>EDATE(InceptionDate,264)</f>
        <v/>
      </c>
      <c r="JI7" s="39">
        <f>EDATE(InceptionDate,265)</f>
        <v/>
      </c>
      <c r="JJ7" s="39">
        <f>EDATE(InceptionDate,266)</f>
        <v/>
      </c>
      <c r="JK7" s="39">
        <f>EDATE(InceptionDate,267)</f>
        <v/>
      </c>
      <c r="JL7" s="39">
        <f>EDATE(InceptionDate,268)</f>
        <v/>
      </c>
      <c r="JM7" s="39">
        <f>EDATE(InceptionDate,269)</f>
        <v/>
      </c>
      <c r="JN7" s="39">
        <f>EDATE(InceptionDate,270)</f>
        <v/>
      </c>
      <c r="JO7" s="39">
        <f>EDATE(InceptionDate,271)</f>
        <v/>
      </c>
      <c r="JP7" s="39">
        <f>EDATE(InceptionDate,272)</f>
        <v/>
      </c>
      <c r="JQ7" s="39">
        <f>EDATE(InceptionDate,273)</f>
        <v/>
      </c>
      <c r="JR7" s="39">
        <f>EDATE(InceptionDate,274)</f>
        <v/>
      </c>
      <c r="JS7" s="39">
        <f>EDATE(InceptionDate,275)</f>
        <v/>
      </c>
      <c r="JT7" s="39">
        <f>EDATE(InceptionDate,276)</f>
        <v/>
      </c>
      <c r="JU7" s="39">
        <f>EDATE(InceptionDate,277)</f>
        <v/>
      </c>
      <c r="JV7" s="39">
        <f>EDATE(InceptionDate,278)</f>
        <v/>
      </c>
      <c r="JW7" s="39">
        <f>EDATE(InceptionDate,279)</f>
        <v/>
      </c>
      <c r="JX7" s="39">
        <f>EDATE(InceptionDate,280)</f>
        <v/>
      </c>
      <c r="JY7" s="39">
        <f>EDATE(InceptionDate,281)</f>
        <v/>
      </c>
      <c r="JZ7" s="39">
        <f>EDATE(InceptionDate,282)</f>
        <v/>
      </c>
      <c r="KA7" s="39">
        <f>EDATE(InceptionDate,283)</f>
        <v/>
      </c>
      <c r="KB7" s="39">
        <f>EDATE(InceptionDate,284)</f>
        <v/>
      </c>
      <c r="KC7" s="39">
        <f>EDATE(InceptionDate,285)</f>
        <v/>
      </c>
      <c r="KD7" s="39">
        <f>EDATE(InceptionDate,286)</f>
        <v/>
      </c>
      <c r="KE7" s="39">
        <f>EDATE(InceptionDate,287)</f>
        <v/>
      </c>
      <c r="KF7" s="39">
        <f>EDATE(InceptionDate,288)</f>
        <v/>
      </c>
      <c r="KG7" s="39">
        <f>EDATE(InceptionDate,289)</f>
        <v/>
      </c>
      <c r="KH7" s="39">
        <f>EDATE(InceptionDate,290)</f>
        <v/>
      </c>
      <c r="KI7" s="39">
        <f>EDATE(InceptionDate,291)</f>
        <v/>
      </c>
      <c r="KJ7" s="39">
        <f>EDATE(InceptionDate,292)</f>
        <v/>
      </c>
      <c r="KK7" s="39">
        <f>EDATE(InceptionDate,293)</f>
        <v/>
      </c>
      <c r="KL7" s="39">
        <f>EDATE(InceptionDate,294)</f>
        <v/>
      </c>
      <c r="KM7" s="39">
        <f>EDATE(InceptionDate,295)</f>
        <v/>
      </c>
      <c r="KN7" s="39">
        <f>EDATE(InceptionDate,296)</f>
        <v/>
      </c>
      <c r="KO7" s="39">
        <f>EDATE(InceptionDate,297)</f>
        <v/>
      </c>
      <c r="KP7" s="39">
        <f>EDATE(InceptionDate,298)</f>
        <v/>
      </c>
      <c r="KQ7" s="39">
        <f>EDATE(InceptionDate,299)</f>
        <v/>
      </c>
      <c r="KR7" s="39">
        <f>EDATE(InceptionDate,300)</f>
        <v/>
      </c>
      <c r="KS7" s="39">
        <f>EDATE(InceptionDate,301)</f>
        <v/>
      </c>
      <c r="KT7" s="39">
        <f>EDATE(InceptionDate,302)</f>
        <v/>
      </c>
      <c r="KU7" s="39">
        <f>EDATE(InceptionDate,303)</f>
        <v/>
      </c>
      <c r="KV7" s="39">
        <f>EDATE(InceptionDate,304)</f>
        <v/>
      </c>
      <c r="KW7" s="39">
        <f>EDATE(InceptionDate,305)</f>
        <v/>
      </c>
      <c r="KX7" s="39">
        <f>EDATE(InceptionDate,306)</f>
        <v/>
      </c>
      <c r="KY7" s="39">
        <f>EDATE(InceptionDate,307)</f>
        <v/>
      </c>
      <c r="KZ7" s="39">
        <f>EDATE(InceptionDate,308)</f>
        <v/>
      </c>
      <c r="LA7" s="39">
        <f>EDATE(InceptionDate,309)</f>
        <v/>
      </c>
      <c r="LB7" s="39">
        <f>EDATE(InceptionDate,310)</f>
        <v/>
      </c>
      <c r="LC7" s="39">
        <f>EDATE(InceptionDate,311)</f>
        <v/>
      </c>
      <c r="LD7" s="39">
        <f>EDATE(InceptionDate,312)</f>
        <v/>
      </c>
      <c r="LE7" s="39">
        <f>EDATE(InceptionDate,313)</f>
        <v/>
      </c>
      <c r="LF7" s="39">
        <f>EDATE(InceptionDate,314)</f>
        <v/>
      </c>
      <c r="LG7" s="39">
        <f>EDATE(InceptionDate,315)</f>
        <v/>
      </c>
      <c r="LH7" s="39">
        <f>EDATE(InceptionDate,316)</f>
        <v/>
      </c>
      <c r="LI7" s="39">
        <f>EDATE(InceptionDate,317)</f>
        <v/>
      </c>
      <c r="LJ7" s="39">
        <f>EDATE(InceptionDate,318)</f>
        <v/>
      </c>
      <c r="LK7" s="39">
        <f>EDATE(InceptionDate,319)</f>
        <v/>
      </c>
      <c r="LL7" s="39">
        <f>EDATE(InceptionDate,320)</f>
        <v/>
      </c>
      <c r="LM7" s="39">
        <f>EDATE(InceptionDate,321)</f>
        <v/>
      </c>
      <c r="LN7" s="39">
        <f>EDATE(InceptionDate,322)</f>
        <v/>
      </c>
      <c r="LO7" s="39">
        <f>EDATE(InceptionDate,323)</f>
        <v/>
      </c>
      <c r="LP7" s="39">
        <f>EDATE(InceptionDate,324)</f>
        <v/>
      </c>
      <c r="LQ7" s="39">
        <f>EDATE(InceptionDate,325)</f>
        <v/>
      </c>
      <c r="LR7" s="39">
        <f>EDATE(InceptionDate,326)</f>
        <v/>
      </c>
      <c r="LS7" s="39">
        <f>EDATE(InceptionDate,327)</f>
        <v/>
      </c>
      <c r="LT7" s="39">
        <f>EDATE(InceptionDate,328)</f>
        <v/>
      </c>
      <c r="LU7" s="39">
        <f>EDATE(InceptionDate,329)</f>
        <v/>
      </c>
      <c r="LV7" s="39">
        <f>EDATE(InceptionDate,330)</f>
        <v/>
      </c>
      <c r="LW7" s="39">
        <f>EDATE(InceptionDate,331)</f>
        <v/>
      </c>
      <c r="LX7" s="39">
        <f>EDATE(InceptionDate,332)</f>
        <v/>
      </c>
      <c r="LY7" s="39">
        <f>EDATE(InceptionDate,333)</f>
        <v/>
      </c>
      <c r="LZ7" s="39">
        <f>EDATE(InceptionDate,334)</f>
        <v/>
      </c>
      <c r="MA7" s="39">
        <f>EDATE(InceptionDate,335)</f>
        <v/>
      </c>
      <c r="MB7" s="39">
        <f>EDATE(InceptionDate,336)</f>
        <v/>
      </c>
      <c r="MC7" s="39">
        <f>EDATE(InceptionDate,337)</f>
        <v/>
      </c>
      <c r="MD7" s="39">
        <f>EDATE(InceptionDate,338)</f>
        <v/>
      </c>
      <c r="ME7" s="39">
        <f>EDATE(InceptionDate,339)</f>
        <v/>
      </c>
      <c r="MF7" s="39">
        <f>EDATE(InceptionDate,340)</f>
        <v/>
      </c>
      <c r="MG7" s="39">
        <f>EDATE(InceptionDate,341)</f>
        <v/>
      </c>
      <c r="MH7" s="39">
        <f>EDATE(InceptionDate,342)</f>
        <v/>
      </c>
      <c r="MI7" s="39">
        <f>EDATE(InceptionDate,343)</f>
        <v/>
      </c>
      <c r="MJ7" s="39">
        <f>EDATE(InceptionDate,344)</f>
        <v/>
      </c>
      <c r="MK7" s="39">
        <f>EDATE(InceptionDate,345)</f>
        <v/>
      </c>
      <c r="ML7" s="39">
        <f>EDATE(InceptionDate,346)</f>
        <v/>
      </c>
      <c r="MM7" s="39">
        <f>EDATE(InceptionDate,347)</f>
        <v/>
      </c>
      <c r="MN7" s="39">
        <f>EDATE(InceptionDate,348)</f>
        <v/>
      </c>
      <c r="MO7" s="39">
        <f>EDATE(InceptionDate,349)</f>
        <v/>
      </c>
      <c r="MP7" s="39">
        <f>EDATE(InceptionDate,350)</f>
        <v/>
      </c>
      <c r="MQ7" s="39">
        <f>EDATE(InceptionDate,351)</f>
        <v/>
      </c>
      <c r="MR7" s="39">
        <f>EDATE(InceptionDate,352)</f>
        <v/>
      </c>
      <c r="MS7" s="39">
        <f>EDATE(InceptionDate,353)</f>
        <v/>
      </c>
      <c r="MT7" s="39">
        <f>EDATE(InceptionDate,354)</f>
        <v/>
      </c>
      <c r="MU7" s="39">
        <f>EDATE(InceptionDate,355)</f>
        <v/>
      </c>
      <c r="MV7" s="39">
        <f>EDATE(InceptionDate,356)</f>
        <v/>
      </c>
      <c r="MW7" s="39">
        <f>EDATE(InceptionDate,357)</f>
        <v/>
      </c>
      <c r="MX7" s="39">
        <f>EDATE(InceptionDate,358)</f>
        <v/>
      </c>
      <c r="MY7" s="39">
        <f>EDATE(InceptionDate,359)</f>
        <v/>
      </c>
      <c r="MZ7" s="39">
        <f>EDATE(InceptionDate,360)</f>
        <v/>
      </c>
      <c r="NA7" s="39">
        <f>EDATE(InceptionDate,361)</f>
        <v/>
      </c>
      <c r="NB7" s="39">
        <f>EDATE(InceptionDate,362)</f>
        <v/>
      </c>
      <c r="NC7" s="39">
        <f>EDATE(InceptionDate,363)</f>
        <v/>
      </c>
      <c r="ND7" s="39">
        <f>EDATE(InceptionDate,364)</f>
        <v/>
      </c>
      <c r="NE7" s="39">
        <f>EDATE(InceptionDate,365)</f>
        <v/>
      </c>
      <c r="NF7" s="39">
        <f>EDATE(InceptionDate,366)</f>
        <v/>
      </c>
      <c r="NG7" s="39">
        <f>EDATE(InceptionDate,367)</f>
        <v/>
      </c>
      <c r="NH7" s="39">
        <f>EDATE(InceptionDate,368)</f>
        <v/>
      </c>
      <c r="NI7" s="39">
        <f>EDATE(InceptionDate,369)</f>
        <v/>
      </c>
      <c r="NJ7" s="39">
        <f>EDATE(InceptionDate,370)</f>
        <v/>
      </c>
      <c r="NK7" s="39">
        <f>EDATE(InceptionDate,371)</f>
        <v/>
      </c>
    </row>
    <row r="8">
      <c r="A8" s="5" t="inlineStr">
        <is>
          <t>Cumulative Units Delivered</t>
        </is>
      </c>
      <c r="C8" s="40" t="n"/>
      <c r="D8" s="17">
        <f>IF(1&lt;DeliverStart,0,MIN(TotalUnits,(1-DeliverStart+1)*UnitsDeliveredPerMo))</f>
        <v/>
      </c>
      <c r="E8" s="17">
        <f>IF(2&lt;DeliverStart,0,MIN(TotalUnits,(2-DeliverStart+1)*UnitsDeliveredPerMo))</f>
        <v/>
      </c>
      <c r="F8" s="17">
        <f>IF(3&lt;DeliverStart,0,MIN(TotalUnits,(3-DeliverStart+1)*UnitsDeliveredPerMo))</f>
        <v/>
      </c>
      <c r="G8" s="17">
        <f>IF(4&lt;DeliverStart,0,MIN(TotalUnits,(4-DeliverStart+1)*UnitsDeliveredPerMo))</f>
        <v/>
      </c>
      <c r="H8" s="17">
        <f>IF(5&lt;DeliverStart,0,MIN(TotalUnits,(5-DeliverStart+1)*UnitsDeliveredPerMo))</f>
        <v/>
      </c>
      <c r="I8" s="17">
        <f>IF(6&lt;DeliverStart,0,MIN(TotalUnits,(6-DeliverStart+1)*UnitsDeliveredPerMo))</f>
        <v/>
      </c>
      <c r="J8" s="17">
        <f>IF(7&lt;DeliverStart,0,MIN(TotalUnits,(7-DeliverStart+1)*UnitsDeliveredPerMo))</f>
        <v/>
      </c>
      <c r="K8" s="17">
        <f>IF(8&lt;DeliverStart,0,MIN(TotalUnits,(8-DeliverStart+1)*UnitsDeliveredPerMo))</f>
        <v/>
      </c>
      <c r="L8" s="17">
        <f>IF(9&lt;DeliverStart,0,MIN(TotalUnits,(9-DeliverStart+1)*UnitsDeliveredPerMo))</f>
        <v/>
      </c>
      <c r="M8" s="17">
        <f>IF(10&lt;DeliverStart,0,MIN(TotalUnits,(10-DeliverStart+1)*UnitsDeliveredPerMo))</f>
        <v/>
      </c>
      <c r="N8" s="17">
        <f>IF(11&lt;DeliverStart,0,MIN(TotalUnits,(11-DeliverStart+1)*UnitsDeliveredPerMo))</f>
        <v/>
      </c>
      <c r="O8" s="17">
        <f>IF(12&lt;DeliverStart,0,MIN(TotalUnits,(12-DeliverStart+1)*UnitsDeliveredPerMo))</f>
        <v/>
      </c>
      <c r="P8" s="17">
        <f>IF(13&lt;DeliverStart,0,MIN(TotalUnits,(13-DeliverStart+1)*UnitsDeliveredPerMo))</f>
        <v/>
      </c>
      <c r="Q8" s="17">
        <f>IF(14&lt;DeliverStart,0,MIN(TotalUnits,(14-DeliverStart+1)*UnitsDeliveredPerMo))</f>
        <v/>
      </c>
      <c r="R8" s="17">
        <f>IF(15&lt;DeliverStart,0,MIN(TotalUnits,(15-DeliverStart+1)*UnitsDeliveredPerMo))</f>
        <v/>
      </c>
      <c r="S8" s="17">
        <f>IF(16&lt;DeliverStart,0,MIN(TotalUnits,(16-DeliverStart+1)*UnitsDeliveredPerMo))</f>
        <v/>
      </c>
      <c r="T8" s="17">
        <f>IF(17&lt;DeliverStart,0,MIN(TotalUnits,(17-DeliverStart+1)*UnitsDeliveredPerMo))</f>
        <v/>
      </c>
      <c r="U8" s="17">
        <f>IF(18&lt;DeliverStart,0,MIN(TotalUnits,(18-DeliverStart+1)*UnitsDeliveredPerMo))</f>
        <v/>
      </c>
      <c r="V8" s="17">
        <f>IF(19&lt;DeliverStart,0,MIN(TotalUnits,(19-DeliverStart+1)*UnitsDeliveredPerMo))</f>
        <v/>
      </c>
      <c r="W8" s="17">
        <f>IF(20&lt;DeliverStart,0,MIN(TotalUnits,(20-DeliverStart+1)*UnitsDeliveredPerMo))</f>
        <v/>
      </c>
      <c r="X8" s="17">
        <f>IF(21&lt;DeliverStart,0,MIN(TotalUnits,(21-DeliverStart+1)*UnitsDeliveredPerMo))</f>
        <v/>
      </c>
      <c r="Y8" s="17">
        <f>IF(22&lt;DeliverStart,0,MIN(TotalUnits,(22-DeliverStart+1)*UnitsDeliveredPerMo))</f>
        <v/>
      </c>
      <c r="Z8" s="17">
        <f>IF(23&lt;DeliverStart,0,MIN(TotalUnits,(23-DeliverStart+1)*UnitsDeliveredPerMo))</f>
        <v/>
      </c>
      <c r="AA8" s="17">
        <f>IF(24&lt;DeliverStart,0,MIN(TotalUnits,(24-DeliverStart+1)*UnitsDeliveredPerMo))</f>
        <v/>
      </c>
      <c r="AB8" s="17">
        <f>IF(25&lt;DeliverStart,0,MIN(TotalUnits,(25-DeliverStart+1)*UnitsDeliveredPerMo))</f>
        <v/>
      </c>
      <c r="AC8" s="17">
        <f>IF(26&lt;DeliverStart,0,MIN(TotalUnits,(26-DeliverStart+1)*UnitsDeliveredPerMo))</f>
        <v/>
      </c>
      <c r="AD8" s="17">
        <f>IF(27&lt;DeliverStart,0,MIN(TotalUnits,(27-DeliverStart+1)*UnitsDeliveredPerMo))</f>
        <v/>
      </c>
      <c r="AE8" s="17">
        <f>IF(28&lt;DeliverStart,0,MIN(TotalUnits,(28-DeliverStart+1)*UnitsDeliveredPerMo))</f>
        <v/>
      </c>
      <c r="AF8" s="17">
        <f>IF(29&lt;DeliverStart,0,MIN(TotalUnits,(29-DeliverStart+1)*UnitsDeliveredPerMo))</f>
        <v/>
      </c>
      <c r="AG8" s="17">
        <f>IF(30&lt;DeliverStart,0,MIN(TotalUnits,(30-DeliverStart+1)*UnitsDeliveredPerMo))</f>
        <v/>
      </c>
      <c r="AH8" s="17">
        <f>IF(31&lt;DeliverStart,0,MIN(TotalUnits,(31-DeliverStart+1)*UnitsDeliveredPerMo))</f>
        <v/>
      </c>
      <c r="AI8" s="17">
        <f>IF(32&lt;DeliverStart,0,MIN(TotalUnits,(32-DeliverStart+1)*UnitsDeliveredPerMo))</f>
        <v/>
      </c>
      <c r="AJ8" s="17">
        <f>IF(33&lt;DeliverStart,0,MIN(TotalUnits,(33-DeliverStart+1)*UnitsDeliveredPerMo))</f>
        <v/>
      </c>
      <c r="AK8" s="17">
        <f>IF(34&lt;DeliverStart,0,MIN(TotalUnits,(34-DeliverStart+1)*UnitsDeliveredPerMo))</f>
        <v/>
      </c>
      <c r="AL8" s="17">
        <f>IF(35&lt;DeliverStart,0,MIN(TotalUnits,(35-DeliverStart+1)*UnitsDeliveredPerMo))</f>
        <v/>
      </c>
      <c r="AM8" s="17">
        <f>IF(36&lt;DeliverStart,0,MIN(TotalUnits,(36-DeliverStart+1)*UnitsDeliveredPerMo))</f>
        <v/>
      </c>
      <c r="AN8" s="17">
        <f>IF(37&lt;DeliverStart,0,MIN(TotalUnits,(37-DeliverStart+1)*UnitsDeliveredPerMo))</f>
        <v/>
      </c>
      <c r="AO8" s="17">
        <f>IF(38&lt;DeliverStart,0,MIN(TotalUnits,(38-DeliverStart+1)*UnitsDeliveredPerMo))</f>
        <v/>
      </c>
      <c r="AP8" s="17">
        <f>IF(39&lt;DeliverStart,0,MIN(TotalUnits,(39-DeliverStart+1)*UnitsDeliveredPerMo))</f>
        <v/>
      </c>
      <c r="AQ8" s="17">
        <f>IF(40&lt;DeliverStart,0,MIN(TotalUnits,(40-DeliverStart+1)*UnitsDeliveredPerMo))</f>
        <v/>
      </c>
      <c r="AR8" s="17">
        <f>IF(41&lt;DeliverStart,0,MIN(TotalUnits,(41-DeliverStart+1)*UnitsDeliveredPerMo))</f>
        <v/>
      </c>
      <c r="AS8" s="17">
        <f>IF(42&lt;DeliverStart,0,MIN(TotalUnits,(42-DeliverStart+1)*UnitsDeliveredPerMo))</f>
        <v/>
      </c>
      <c r="AT8" s="17">
        <f>IF(43&lt;DeliverStart,0,MIN(TotalUnits,(43-DeliverStart+1)*UnitsDeliveredPerMo))</f>
        <v/>
      </c>
      <c r="AU8" s="17">
        <f>IF(44&lt;DeliverStart,0,MIN(TotalUnits,(44-DeliverStart+1)*UnitsDeliveredPerMo))</f>
        <v/>
      </c>
      <c r="AV8" s="17">
        <f>IF(45&lt;DeliverStart,0,MIN(TotalUnits,(45-DeliverStart+1)*UnitsDeliveredPerMo))</f>
        <v/>
      </c>
      <c r="AW8" s="17">
        <f>IF(46&lt;DeliverStart,0,MIN(TotalUnits,(46-DeliverStart+1)*UnitsDeliveredPerMo))</f>
        <v/>
      </c>
      <c r="AX8" s="17">
        <f>IF(47&lt;DeliverStart,0,MIN(TotalUnits,(47-DeliverStart+1)*UnitsDeliveredPerMo))</f>
        <v/>
      </c>
      <c r="AY8" s="17">
        <f>IF(48&lt;DeliverStart,0,MIN(TotalUnits,(48-DeliverStart+1)*UnitsDeliveredPerMo))</f>
        <v/>
      </c>
      <c r="AZ8" s="17">
        <f>IF(49&lt;DeliverStart,0,MIN(TotalUnits,(49-DeliverStart+1)*UnitsDeliveredPerMo))</f>
        <v/>
      </c>
      <c r="BA8" s="17">
        <f>IF(50&lt;DeliverStart,0,MIN(TotalUnits,(50-DeliverStart+1)*UnitsDeliveredPerMo))</f>
        <v/>
      </c>
      <c r="BB8" s="17">
        <f>IF(51&lt;DeliverStart,0,MIN(TotalUnits,(51-DeliverStart+1)*UnitsDeliveredPerMo))</f>
        <v/>
      </c>
      <c r="BC8" s="17">
        <f>IF(52&lt;DeliverStart,0,MIN(TotalUnits,(52-DeliverStart+1)*UnitsDeliveredPerMo))</f>
        <v/>
      </c>
      <c r="BD8" s="17">
        <f>IF(53&lt;DeliverStart,0,MIN(TotalUnits,(53-DeliverStart+1)*UnitsDeliveredPerMo))</f>
        <v/>
      </c>
      <c r="BE8" s="17">
        <f>IF(54&lt;DeliverStart,0,MIN(TotalUnits,(54-DeliverStart+1)*UnitsDeliveredPerMo))</f>
        <v/>
      </c>
      <c r="BF8" s="17">
        <f>IF(55&lt;DeliverStart,0,MIN(TotalUnits,(55-DeliverStart+1)*UnitsDeliveredPerMo))</f>
        <v/>
      </c>
      <c r="BG8" s="17">
        <f>IF(56&lt;DeliverStart,0,MIN(TotalUnits,(56-DeliverStart+1)*UnitsDeliveredPerMo))</f>
        <v/>
      </c>
      <c r="BH8" s="17">
        <f>IF(57&lt;DeliverStart,0,MIN(TotalUnits,(57-DeliverStart+1)*UnitsDeliveredPerMo))</f>
        <v/>
      </c>
      <c r="BI8" s="17">
        <f>IF(58&lt;DeliverStart,0,MIN(TotalUnits,(58-DeliverStart+1)*UnitsDeliveredPerMo))</f>
        <v/>
      </c>
      <c r="BJ8" s="17">
        <f>IF(59&lt;DeliverStart,0,MIN(TotalUnits,(59-DeliverStart+1)*UnitsDeliveredPerMo))</f>
        <v/>
      </c>
      <c r="BK8" s="17">
        <f>IF(60&lt;DeliverStart,0,MIN(TotalUnits,(60-DeliverStart+1)*UnitsDeliveredPerMo))</f>
        <v/>
      </c>
      <c r="BL8" s="17">
        <f>IF(61&lt;DeliverStart,0,MIN(TotalUnits,(61-DeliverStart+1)*UnitsDeliveredPerMo))</f>
        <v/>
      </c>
      <c r="BM8" s="17">
        <f>IF(62&lt;DeliverStart,0,MIN(TotalUnits,(62-DeliverStart+1)*UnitsDeliveredPerMo))</f>
        <v/>
      </c>
      <c r="BN8" s="17">
        <f>IF(63&lt;DeliverStart,0,MIN(TotalUnits,(63-DeliverStart+1)*UnitsDeliveredPerMo))</f>
        <v/>
      </c>
      <c r="BO8" s="17">
        <f>IF(64&lt;DeliverStart,0,MIN(TotalUnits,(64-DeliverStart+1)*UnitsDeliveredPerMo))</f>
        <v/>
      </c>
      <c r="BP8" s="17">
        <f>IF(65&lt;DeliverStart,0,MIN(TotalUnits,(65-DeliverStart+1)*UnitsDeliveredPerMo))</f>
        <v/>
      </c>
      <c r="BQ8" s="17">
        <f>IF(66&lt;DeliverStart,0,MIN(TotalUnits,(66-DeliverStart+1)*UnitsDeliveredPerMo))</f>
        <v/>
      </c>
      <c r="BR8" s="17">
        <f>IF(67&lt;DeliverStart,0,MIN(TotalUnits,(67-DeliverStart+1)*UnitsDeliveredPerMo))</f>
        <v/>
      </c>
      <c r="BS8" s="17">
        <f>IF(68&lt;DeliverStart,0,MIN(TotalUnits,(68-DeliverStart+1)*UnitsDeliveredPerMo))</f>
        <v/>
      </c>
      <c r="BT8" s="17">
        <f>IF(69&lt;DeliverStart,0,MIN(TotalUnits,(69-DeliverStart+1)*UnitsDeliveredPerMo))</f>
        <v/>
      </c>
      <c r="BU8" s="17">
        <f>IF(70&lt;DeliverStart,0,MIN(TotalUnits,(70-DeliverStart+1)*UnitsDeliveredPerMo))</f>
        <v/>
      </c>
      <c r="BV8" s="17">
        <f>IF(71&lt;DeliverStart,0,MIN(TotalUnits,(71-DeliverStart+1)*UnitsDeliveredPerMo))</f>
        <v/>
      </c>
      <c r="BW8" s="17">
        <f>IF(72&lt;DeliverStart,0,MIN(TotalUnits,(72-DeliverStart+1)*UnitsDeliveredPerMo))</f>
        <v/>
      </c>
      <c r="BX8" s="17">
        <f>IF(73&lt;DeliverStart,0,MIN(TotalUnits,(73-DeliverStart+1)*UnitsDeliveredPerMo))</f>
        <v/>
      </c>
      <c r="BY8" s="17">
        <f>IF(74&lt;DeliverStart,0,MIN(TotalUnits,(74-DeliverStart+1)*UnitsDeliveredPerMo))</f>
        <v/>
      </c>
      <c r="BZ8" s="17">
        <f>IF(75&lt;DeliverStart,0,MIN(TotalUnits,(75-DeliverStart+1)*UnitsDeliveredPerMo))</f>
        <v/>
      </c>
      <c r="CA8" s="17">
        <f>IF(76&lt;DeliverStart,0,MIN(TotalUnits,(76-DeliverStart+1)*UnitsDeliveredPerMo))</f>
        <v/>
      </c>
      <c r="CB8" s="17">
        <f>IF(77&lt;DeliverStart,0,MIN(TotalUnits,(77-DeliverStart+1)*UnitsDeliveredPerMo))</f>
        <v/>
      </c>
      <c r="CC8" s="17">
        <f>IF(78&lt;DeliverStart,0,MIN(TotalUnits,(78-DeliverStart+1)*UnitsDeliveredPerMo))</f>
        <v/>
      </c>
      <c r="CD8" s="17">
        <f>IF(79&lt;DeliverStart,0,MIN(TotalUnits,(79-DeliverStart+1)*UnitsDeliveredPerMo))</f>
        <v/>
      </c>
      <c r="CE8" s="17">
        <f>IF(80&lt;DeliverStart,0,MIN(TotalUnits,(80-DeliverStart+1)*UnitsDeliveredPerMo))</f>
        <v/>
      </c>
      <c r="CF8" s="17">
        <f>IF(81&lt;DeliverStart,0,MIN(TotalUnits,(81-DeliverStart+1)*UnitsDeliveredPerMo))</f>
        <v/>
      </c>
      <c r="CG8" s="17">
        <f>IF(82&lt;DeliverStart,0,MIN(TotalUnits,(82-DeliverStart+1)*UnitsDeliveredPerMo))</f>
        <v/>
      </c>
      <c r="CH8" s="17">
        <f>IF(83&lt;DeliverStart,0,MIN(TotalUnits,(83-DeliverStart+1)*UnitsDeliveredPerMo))</f>
        <v/>
      </c>
      <c r="CI8" s="17">
        <f>IF(84&lt;DeliverStart,0,MIN(TotalUnits,(84-DeliverStart+1)*UnitsDeliveredPerMo))</f>
        <v/>
      </c>
      <c r="CJ8" s="17">
        <f>IF(85&lt;DeliverStart,0,MIN(TotalUnits,(85-DeliverStart+1)*UnitsDeliveredPerMo))</f>
        <v/>
      </c>
      <c r="CK8" s="17">
        <f>IF(86&lt;DeliverStart,0,MIN(TotalUnits,(86-DeliverStart+1)*UnitsDeliveredPerMo))</f>
        <v/>
      </c>
      <c r="CL8" s="17">
        <f>IF(87&lt;DeliverStart,0,MIN(TotalUnits,(87-DeliverStart+1)*UnitsDeliveredPerMo))</f>
        <v/>
      </c>
      <c r="CM8" s="17">
        <f>IF(88&lt;DeliverStart,0,MIN(TotalUnits,(88-DeliverStart+1)*UnitsDeliveredPerMo))</f>
        <v/>
      </c>
      <c r="CN8" s="17">
        <f>IF(89&lt;DeliverStart,0,MIN(TotalUnits,(89-DeliverStart+1)*UnitsDeliveredPerMo))</f>
        <v/>
      </c>
      <c r="CO8" s="17">
        <f>IF(90&lt;DeliverStart,0,MIN(TotalUnits,(90-DeliverStart+1)*UnitsDeliveredPerMo))</f>
        <v/>
      </c>
      <c r="CP8" s="17">
        <f>IF(91&lt;DeliverStart,0,MIN(TotalUnits,(91-DeliverStart+1)*UnitsDeliveredPerMo))</f>
        <v/>
      </c>
      <c r="CQ8" s="17">
        <f>IF(92&lt;DeliverStart,0,MIN(TotalUnits,(92-DeliverStart+1)*UnitsDeliveredPerMo))</f>
        <v/>
      </c>
      <c r="CR8" s="17">
        <f>IF(93&lt;DeliverStart,0,MIN(TotalUnits,(93-DeliverStart+1)*UnitsDeliveredPerMo))</f>
        <v/>
      </c>
      <c r="CS8" s="17">
        <f>IF(94&lt;DeliverStart,0,MIN(TotalUnits,(94-DeliverStart+1)*UnitsDeliveredPerMo))</f>
        <v/>
      </c>
      <c r="CT8" s="17">
        <f>IF(95&lt;DeliverStart,0,MIN(TotalUnits,(95-DeliverStart+1)*UnitsDeliveredPerMo))</f>
        <v/>
      </c>
      <c r="CU8" s="17">
        <f>IF(96&lt;DeliverStart,0,MIN(TotalUnits,(96-DeliverStart+1)*UnitsDeliveredPerMo))</f>
        <v/>
      </c>
      <c r="CV8" s="17">
        <f>IF(97&lt;DeliverStart,0,MIN(TotalUnits,(97-DeliverStart+1)*UnitsDeliveredPerMo))</f>
        <v/>
      </c>
      <c r="CW8" s="17">
        <f>IF(98&lt;DeliverStart,0,MIN(TotalUnits,(98-DeliverStart+1)*UnitsDeliveredPerMo))</f>
        <v/>
      </c>
      <c r="CX8" s="17">
        <f>IF(99&lt;DeliverStart,0,MIN(TotalUnits,(99-DeliverStart+1)*UnitsDeliveredPerMo))</f>
        <v/>
      </c>
      <c r="CY8" s="17">
        <f>IF(100&lt;DeliverStart,0,MIN(TotalUnits,(100-DeliverStart+1)*UnitsDeliveredPerMo))</f>
        <v/>
      </c>
      <c r="CZ8" s="17">
        <f>IF(101&lt;DeliverStart,0,MIN(TotalUnits,(101-DeliverStart+1)*UnitsDeliveredPerMo))</f>
        <v/>
      </c>
      <c r="DA8" s="17">
        <f>IF(102&lt;DeliverStart,0,MIN(TotalUnits,(102-DeliverStart+1)*UnitsDeliveredPerMo))</f>
        <v/>
      </c>
      <c r="DB8" s="17">
        <f>IF(103&lt;DeliverStart,0,MIN(TotalUnits,(103-DeliverStart+1)*UnitsDeliveredPerMo))</f>
        <v/>
      </c>
      <c r="DC8" s="17">
        <f>IF(104&lt;DeliverStart,0,MIN(TotalUnits,(104-DeliverStart+1)*UnitsDeliveredPerMo))</f>
        <v/>
      </c>
      <c r="DD8" s="17">
        <f>IF(105&lt;DeliverStart,0,MIN(TotalUnits,(105-DeliverStart+1)*UnitsDeliveredPerMo))</f>
        <v/>
      </c>
      <c r="DE8" s="17">
        <f>IF(106&lt;DeliverStart,0,MIN(TotalUnits,(106-DeliverStart+1)*UnitsDeliveredPerMo))</f>
        <v/>
      </c>
      <c r="DF8" s="17">
        <f>IF(107&lt;DeliverStart,0,MIN(TotalUnits,(107-DeliverStart+1)*UnitsDeliveredPerMo))</f>
        <v/>
      </c>
      <c r="DG8" s="17">
        <f>IF(108&lt;DeliverStart,0,MIN(TotalUnits,(108-DeliverStart+1)*UnitsDeliveredPerMo))</f>
        <v/>
      </c>
      <c r="DH8" s="17">
        <f>IF(109&lt;DeliverStart,0,MIN(TotalUnits,(109-DeliverStart+1)*UnitsDeliveredPerMo))</f>
        <v/>
      </c>
      <c r="DI8" s="17">
        <f>IF(110&lt;DeliverStart,0,MIN(TotalUnits,(110-DeliverStart+1)*UnitsDeliveredPerMo))</f>
        <v/>
      </c>
      <c r="DJ8" s="17">
        <f>IF(111&lt;DeliverStart,0,MIN(TotalUnits,(111-DeliverStart+1)*UnitsDeliveredPerMo))</f>
        <v/>
      </c>
      <c r="DK8" s="17">
        <f>IF(112&lt;DeliverStart,0,MIN(TotalUnits,(112-DeliverStart+1)*UnitsDeliveredPerMo))</f>
        <v/>
      </c>
      <c r="DL8" s="17">
        <f>IF(113&lt;DeliverStart,0,MIN(TotalUnits,(113-DeliverStart+1)*UnitsDeliveredPerMo))</f>
        <v/>
      </c>
      <c r="DM8" s="17">
        <f>IF(114&lt;DeliverStart,0,MIN(TotalUnits,(114-DeliverStart+1)*UnitsDeliveredPerMo))</f>
        <v/>
      </c>
      <c r="DN8" s="17">
        <f>IF(115&lt;DeliverStart,0,MIN(TotalUnits,(115-DeliverStart+1)*UnitsDeliveredPerMo))</f>
        <v/>
      </c>
      <c r="DO8" s="17">
        <f>IF(116&lt;DeliverStart,0,MIN(TotalUnits,(116-DeliverStart+1)*UnitsDeliveredPerMo))</f>
        <v/>
      </c>
      <c r="DP8" s="17">
        <f>IF(117&lt;DeliverStart,0,MIN(TotalUnits,(117-DeliverStart+1)*UnitsDeliveredPerMo))</f>
        <v/>
      </c>
      <c r="DQ8" s="17">
        <f>IF(118&lt;DeliverStart,0,MIN(TotalUnits,(118-DeliverStart+1)*UnitsDeliveredPerMo))</f>
        <v/>
      </c>
      <c r="DR8" s="17">
        <f>IF(119&lt;DeliverStart,0,MIN(TotalUnits,(119-DeliverStart+1)*UnitsDeliveredPerMo))</f>
        <v/>
      </c>
      <c r="DS8" s="17">
        <f>IF(120&lt;DeliverStart,0,MIN(TotalUnits,(120-DeliverStart+1)*UnitsDeliveredPerMo))</f>
        <v/>
      </c>
      <c r="DT8" s="17">
        <f>IF(121&lt;DeliverStart,0,MIN(TotalUnits,(121-DeliverStart+1)*UnitsDeliveredPerMo))</f>
        <v/>
      </c>
      <c r="DU8" s="17">
        <f>IF(122&lt;DeliverStart,0,MIN(TotalUnits,(122-DeliverStart+1)*UnitsDeliveredPerMo))</f>
        <v/>
      </c>
      <c r="DV8" s="17">
        <f>IF(123&lt;DeliverStart,0,MIN(TotalUnits,(123-DeliverStart+1)*UnitsDeliveredPerMo))</f>
        <v/>
      </c>
      <c r="DW8" s="17">
        <f>IF(124&lt;DeliverStart,0,MIN(TotalUnits,(124-DeliverStart+1)*UnitsDeliveredPerMo))</f>
        <v/>
      </c>
      <c r="DX8" s="17">
        <f>IF(125&lt;DeliverStart,0,MIN(TotalUnits,(125-DeliverStart+1)*UnitsDeliveredPerMo))</f>
        <v/>
      </c>
      <c r="DY8" s="17">
        <f>IF(126&lt;DeliverStart,0,MIN(TotalUnits,(126-DeliverStart+1)*UnitsDeliveredPerMo))</f>
        <v/>
      </c>
      <c r="DZ8" s="17">
        <f>IF(127&lt;DeliverStart,0,MIN(TotalUnits,(127-DeliverStart+1)*UnitsDeliveredPerMo))</f>
        <v/>
      </c>
      <c r="EA8" s="17">
        <f>IF(128&lt;DeliverStart,0,MIN(TotalUnits,(128-DeliverStart+1)*UnitsDeliveredPerMo))</f>
        <v/>
      </c>
      <c r="EB8" s="17">
        <f>IF(129&lt;DeliverStart,0,MIN(TotalUnits,(129-DeliverStart+1)*UnitsDeliveredPerMo))</f>
        <v/>
      </c>
      <c r="EC8" s="17">
        <f>IF(130&lt;DeliverStart,0,MIN(TotalUnits,(130-DeliverStart+1)*UnitsDeliveredPerMo))</f>
        <v/>
      </c>
      <c r="ED8" s="17">
        <f>IF(131&lt;DeliverStart,0,MIN(TotalUnits,(131-DeliverStart+1)*UnitsDeliveredPerMo))</f>
        <v/>
      </c>
      <c r="EE8" s="17">
        <f>IF(132&lt;DeliverStart,0,MIN(TotalUnits,(132-DeliverStart+1)*UnitsDeliveredPerMo))</f>
        <v/>
      </c>
      <c r="EF8" s="17">
        <f>IF(133&lt;DeliverStart,0,MIN(TotalUnits,(133-DeliverStart+1)*UnitsDeliveredPerMo))</f>
        <v/>
      </c>
      <c r="EG8" s="17">
        <f>IF(134&lt;DeliverStart,0,MIN(TotalUnits,(134-DeliverStart+1)*UnitsDeliveredPerMo))</f>
        <v/>
      </c>
      <c r="EH8" s="17">
        <f>IF(135&lt;DeliverStart,0,MIN(TotalUnits,(135-DeliverStart+1)*UnitsDeliveredPerMo))</f>
        <v/>
      </c>
      <c r="EI8" s="17">
        <f>IF(136&lt;DeliverStart,0,MIN(TotalUnits,(136-DeliverStart+1)*UnitsDeliveredPerMo))</f>
        <v/>
      </c>
      <c r="EJ8" s="17">
        <f>IF(137&lt;DeliverStart,0,MIN(TotalUnits,(137-DeliverStart+1)*UnitsDeliveredPerMo))</f>
        <v/>
      </c>
      <c r="EK8" s="17">
        <f>IF(138&lt;DeliverStart,0,MIN(TotalUnits,(138-DeliverStart+1)*UnitsDeliveredPerMo))</f>
        <v/>
      </c>
      <c r="EL8" s="17">
        <f>IF(139&lt;DeliverStart,0,MIN(TotalUnits,(139-DeliverStart+1)*UnitsDeliveredPerMo))</f>
        <v/>
      </c>
      <c r="EM8" s="17">
        <f>IF(140&lt;DeliverStart,0,MIN(TotalUnits,(140-DeliverStart+1)*UnitsDeliveredPerMo))</f>
        <v/>
      </c>
      <c r="EN8" s="17">
        <f>IF(141&lt;DeliverStart,0,MIN(TotalUnits,(141-DeliverStart+1)*UnitsDeliveredPerMo))</f>
        <v/>
      </c>
      <c r="EO8" s="17">
        <f>IF(142&lt;DeliverStart,0,MIN(TotalUnits,(142-DeliverStart+1)*UnitsDeliveredPerMo))</f>
        <v/>
      </c>
      <c r="EP8" s="17">
        <f>IF(143&lt;DeliverStart,0,MIN(TotalUnits,(143-DeliverStart+1)*UnitsDeliveredPerMo))</f>
        <v/>
      </c>
      <c r="EQ8" s="17">
        <f>IF(144&lt;DeliverStart,0,MIN(TotalUnits,(144-DeliverStart+1)*UnitsDeliveredPerMo))</f>
        <v/>
      </c>
      <c r="ER8" s="17">
        <f>IF(145&lt;DeliverStart,0,MIN(TotalUnits,(145-DeliverStart+1)*UnitsDeliveredPerMo))</f>
        <v/>
      </c>
      <c r="ES8" s="17">
        <f>IF(146&lt;DeliverStart,0,MIN(TotalUnits,(146-DeliverStart+1)*UnitsDeliveredPerMo))</f>
        <v/>
      </c>
      <c r="ET8" s="17">
        <f>IF(147&lt;DeliverStart,0,MIN(TotalUnits,(147-DeliverStart+1)*UnitsDeliveredPerMo))</f>
        <v/>
      </c>
      <c r="EU8" s="17">
        <f>IF(148&lt;DeliverStart,0,MIN(TotalUnits,(148-DeliverStart+1)*UnitsDeliveredPerMo))</f>
        <v/>
      </c>
      <c r="EV8" s="17">
        <f>IF(149&lt;DeliverStart,0,MIN(TotalUnits,(149-DeliverStart+1)*UnitsDeliveredPerMo))</f>
        <v/>
      </c>
      <c r="EW8" s="17">
        <f>IF(150&lt;DeliverStart,0,MIN(TotalUnits,(150-DeliverStart+1)*UnitsDeliveredPerMo))</f>
        <v/>
      </c>
      <c r="EX8" s="17">
        <f>IF(151&lt;DeliverStart,0,MIN(TotalUnits,(151-DeliverStart+1)*UnitsDeliveredPerMo))</f>
        <v/>
      </c>
      <c r="EY8" s="17">
        <f>IF(152&lt;DeliverStart,0,MIN(TotalUnits,(152-DeliverStart+1)*UnitsDeliveredPerMo))</f>
        <v/>
      </c>
      <c r="EZ8" s="17">
        <f>IF(153&lt;DeliverStart,0,MIN(TotalUnits,(153-DeliverStart+1)*UnitsDeliveredPerMo))</f>
        <v/>
      </c>
      <c r="FA8" s="17">
        <f>IF(154&lt;DeliverStart,0,MIN(TotalUnits,(154-DeliverStart+1)*UnitsDeliveredPerMo))</f>
        <v/>
      </c>
      <c r="FB8" s="17">
        <f>IF(155&lt;DeliverStart,0,MIN(TotalUnits,(155-DeliverStart+1)*UnitsDeliveredPerMo))</f>
        <v/>
      </c>
      <c r="FC8" s="17">
        <f>IF(156&lt;DeliverStart,0,MIN(TotalUnits,(156-DeliverStart+1)*UnitsDeliveredPerMo))</f>
        <v/>
      </c>
      <c r="FD8" s="17">
        <f>IF(157&lt;DeliverStart,0,MIN(TotalUnits,(157-DeliverStart+1)*UnitsDeliveredPerMo))</f>
        <v/>
      </c>
      <c r="FE8" s="17">
        <f>IF(158&lt;DeliverStart,0,MIN(TotalUnits,(158-DeliverStart+1)*UnitsDeliveredPerMo))</f>
        <v/>
      </c>
      <c r="FF8" s="17">
        <f>IF(159&lt;DeliverStart,0,MIN(TotalUnits,(159-DeliverStart+1)*UnitsDeliveredPerMo))</f>
        <v/>
      </c>
      <c r="FG8" s="17">
        <f>IF(160&lt;DeliverStart,0,MIN(TotalUnits,(160-DeliverStart+1)*UnitsDeliveredPerMo))</f>
        <v/>
      </c>
      <c r="FH8" s="17">
        <f>IF(161&lt;DeliverStart,0,MIN(TotalUnits,(161-DeliverStart+1)*UnitsDeliveredPerMo))</f>
        <v/>
      </c>
      <c r="FI8" s="17">
        <f>IF(162&lt;DeliverStart,0,MIN(TotalUnits,(162-DeliverStart+1)*UnitsDeliveredPerMo))</f>
        <v/>
      </c>
      <c r="FJ8" s="17">
        <f>IF(163&lt;DeliverStart,0,MIN(TotalUnits,(163-DeliverStart+1)*UnitsDeliveredPerMo))</f>
        <v/>
      </c>
      <c r="FK8" s="17">
        <f>IF(164&lt;DeliverStart,0,MIN(TotalUnits,(164-DeliverStart+1)*UnitsDeliveredPerMo))</f>
        <v/>
      </c>
      <c r="FL8" s="17">
        <f>IF(165&lt;DeliverStart,0,MIN(TotalUnits,(165-DeliverStart+1)*UnitsDeliveredPerMo))</f>
        <v/>
      </c>
      <c r="FM8" s="17">
        <f>IF(166&lt;DeliverStart,0,MIN(TotalUnits,(166-DeliverStart+1)*UnitsDeliveredPerMo))</f>
        <v/>
      </c>
      <c r="FN8" s="17">
        <f>IF(167&lt;DeliverStart,0,MIN(TotalUnits,(167-DeliverStart+1)*UnitsDeliveredPerMo))</f>
        <v/>
      </c>
      <c r="FO8" s="17">
        <f>IF(168&lt;DeliverStart,0,MIN(TotalUnits,(168-DeliverStart+1)*UnitsDeliveredPerMo))</f>
        <v/>
      </c>
      <c r="FP8" s="17">
        <f>IF(169&lt;DeliverStart,0,MIN(TotalUnits,(169-DeliverStart+1)*UnitsDeliveredPerMo))</f>
        <v/>
      </c>
      <c r="FQ8" s="17">
        <f>IF(170&lt;DeliverStart,0,MIN(TotalUnits,(170-DeliverStart+1)*UnitsDeliveredPerMo))</f>
        <v/>
      </c>
      <c r="FR8" s="17">
        <f>IF(171&lt;DeliverStart,0,MIN(TotalUnits,(171-DeliverStart+1)*UnitsDeliveredPerMo))</f>
        <v/>
      </c>
      <c r="FS8" s="17">
        <f>IF(172&lt;DeliverStart,0,MIN(TotalUnits,(172-DeliverStart+1)*UnitsDeliveredPerMo))</f>
        <v/>
      </c>
      <c r="FT8" s="17">
        <f>IF(173&lt;DeliverStart,0,MIN(TotalUnits,(173-DeliverStart+1)*UnitsDeliveredPerMo))</f>
        <v/>
      </c>
      <c r="FU8" s="17">
        <f>IF(174&lt;DeliverStart,0,MIN(TotalUnits,(174-DeliverStart+1)*UnitsDeliveredPerMo))</f>
        <v/>
      </c>
      <c r="FV8" s="17">
        <f>IF(175&lt;DeliverStart,0,MIN(TotalUnits,(175-DeliverStart+1)*UnitsDeliveredPerMo))</f>
        <v/>
      </c>
      <c r="FW8" s="17">
        <f>IF(176&lt;DeliverStart,0,MIN(TotalUnits,(176-DeliverStart+1)*UnitsDeliveredPerMo))</f>
        <v/>
      </c>
      <c r="FX8" s="17">
        <f>IF(177&lt;DeliverStart,0,MIN(TotalUnits,(177-DeliverStart+1)*UnitsDeliveredPerMo))</f>
        <v/>
      </c>
      <c r="FY8" s="17">
        <f>IF(178&lt;DeliverStart,0,MIN(TotalUnits,(178-DeliverStart+1)*UnitsDeliveredPerMo))</f>
        <v/>
      </c>
      <c r="FZ8" s="17">
        <f>IF(179&lt;DeliverStart,0,MIN(TotalUnits,(179-DeliverStart+1)*UnitsDeliveredPerMo))</f>
        <v/>
      </c>
      <c r="GA8" s="17">
        <f>IF(180&lt;DeliverStart,0,MIN(TotalUnits,(180-DeliverStart+1)*UnitsDeliveredPerMo))</f>
        <v/>
      </c>
      <c r="GB8" s="17">
        <f>IF(181&lt;DeliverStart,0,MIN(TotalUnits,(181-DeliverStart+1)*UnitsDeliveredPerMo))</f>
        <v/>
      </c>
      <c r="GC8" s="17">
        <f>IF(182&lt;DeliverStart,0,MIN(TotalUnits,(182-DeliverStart+1)*UnitsDeliveredPerMo))</f>
        <v/>
      </c>
      <c r="GD8" s="17">
        <f>IF(183&lt;DeliverStart,0,MIN(TotalUnits,(183-DeliverStart+1)*UnitsDeliveredPerMo))</f>
        <v/>
      </c>
      <c r="GE8" s="17">
        <f>IF(184&lt;DeliverStart,0,MIN(TotalUnits,(184-DeliverStart+1)*UnitsDeliveredPerMo))</f>
        <v/>
      </c>
      <c r="GF8" s="17">
        <f>IF(185&lt;DeliverStart,0,MIN(TotalUnits,(185-DeliverStart+1)*UnitsDeliveredPerMo))</f>
        <v/>
      </c>
      <c r="GG8" s="17">
        <f>IF(186&lt;DeliverStart,0,MIN(TotalUnits,(186-DeliverStart+1)*UnitsDeliveredPerMo))</f>
        <v/>
      </c>
      <c r="GH8" s="17">
        <f>IF(187&lt;DeliverStart,0,MIN(TotalUnits,(187-DeliverStart+1)*UnitsDeliveredPerMo))</f>
        <v/>
      </c>
      <c r="GI8" s="17">
        <f>IF(188&lt;DeliverStart,0,MIN(TotalUnits,(188-DeliverStart+1)*UnitsDeliveredPerMo))</f>
        <v/>
      </c>
      <c r="GJ8" s="17">
        <f>IF(189&lt;DeliverStart,0,MIN(TotalUnits,(189-DeliverStart+1)*UnitsDeliveredPerMo))</f>
        <v/>
      </c>
      <c r="GK8" s="17">
        <f>IF(190&lt;DeliverStart,0,MIN(TotalUnits,(190-DeliverStart+1)*UnitsDeliveredPerMo))</f>
        <v/>
      </c>
      <c r="GL8" s="17">
        <f>IF(191&lt;DeliverStart,0,MIN(TotalUnits,(191-DeliverStart+1)*UnitsDeliveredPerMo))</f>
        <v/>
      </c>
      <c r="GM8" s="17">
        <f>IF(192&lt;DeliverStart,0,MIN(TotalUnits,(192-DeliverStart+1)*UnitsDeliveredPerMo))</f>
        <v/>
      </c>
      <c r="GN8" s="17">
        <f>IF(193&lt;DeliverStart,0,MIN(TotalUnits,(193-DeliverStart+1)*UnitsDeliveredPerMo))</f>
        <v/>
      </c>
      <c r="GO8" s="17">
        <f>IF(194&lt;DeliverStart,0,MIN(TotalUnits,(194-DeliverStart+1)*UnitsDeliveredPerMo))</f>
        <v/>
      </c>
      <c r="GP8" s="17">
        <f>IF(195&lt;DeliverStart,0,MIN(TotalUnits,(195-DeliverStart+1)*UnitsDeliveredPerMo))</f>
        <v/>
      </c>
      <c r="GQ8" s="17">
        <f>IF(196&lt;DeliverStart,0,MIN(TotalUnits,(196-DeliverStart+1)*UnitsDeliveredPerMo))</f>
        <v/>
      </c>
      <c r="GR8" s="17">
        <f>IF(197&lt;DeliverStart,0,MIN(TotalUnits,(197-DeliverStart+1)*UnitsDeliveredPerMo))</f>
        <v/>
      </c>
      <c r="GS8" s="17">
        <f>IF(198&lt;DeliverStart,0,MIN(TotalUnits,(198-DeliverStart+1)*UnitsDeliveredPerMo))</f>
        <v/>
      </c>
      <c r="GT8" s="17">
        <f>IF(199&lt;DeliverStart,0,MIN(TotalUnits,(199-DeliverStart+1)*UnitsDeliveredPerMo))</f>
        <v/>
      </c>
      <c r="GU8" s="17">
        <f>IF(200&lt;DeliverStart,0,MIN(TotalUnits,(200-DeliverStart+1)*UnitsDeliveredPerMo))</f>
        <v/>
      </c>
      <c r="GV8" s="17">
        <f>IF(201&lt;DeliverStart,0,MIN(TotalUnits,(201-DeliverStart+1)*UnitsDeliveredPerMo))</f>
        <v/>
      </c>
      <c r="GW8" s="17">
        <f>IF(202&lt;DeliverStart,0,MIN(TotalUnits,(202-DeliverStart+1)*UnitsDeliveredPerMo))</f>
        <v/>
      </c>
      <c r="GX8" s="17">
        <f>IF(203&lt;DeliverStart,0,MIN(TotalUnits,(203-DeliverStart+1)*UnitsDeliveredPerMo))</f>
        <v/>
      </c>
      <c r="GY8" s="17">
        <f>IF(204&lt;DeliverStart,0,MIN(TotalUnits,(204-DeliverStart+1)*UnitsDeliveredPerMo))</f>
        <v/>
      </c>
      <c r="GZ8" s="17">
        <f>IF(205&lt;DeliverStart,0,MIN(TotalUnits,(205-DeliverStart+1)*UnitsDeliveredPerMo))</f>
        <v/>
      </c>
      <c r="HA8" s="17">
        <f>IF(206&lt;DeliverStart,0,MIN(TotalUnits,(206-DeliverStart+1)*UnitsDeliveredPerMo))</f>
        <v/>
      </c>
      <c r="HB8" s="17">
        <f>IF(207&lt;DeliverStart,0,MIN(TotalUnits,(207-DeliverStart+1)*UnitsDeliveredPerMo))</f>
        <v/>
      </c>
      <c r="HC8" s="17">
        <f>IF(208&lt;DeliverStart,0,MIN(TotalUnits,(208-DeliverStart+1)*UnitsDeliveredPerMo))</f>
        <v/>
      </c>
      <c r="HD8" s="17">
        <f>IF(209&lt;DeliverStart,0,MIN(TotalUnits,(209-DeliverStart+1)*UnitsDeliveredPerMo))</f>
        <v/>
      </c>
      <c r="HE8" s="17">
        <f>IF(210&lt;DeliverStart,0,MIN(TotalUnits,(210-DeliverStart+1)*UnitsDeliveredPerMo))</f>
        <v/>
      </c>
      <c r="HF8" s="17">
        <f>IF(211&lt;DeliverStart,0,MIN(TotalUnits,(211-DeliverStart+1)*UnitsDeliveredPerMo))</f>
        <v/>
      </c>
      <c r="HG8" s="17">
        <f>IF(212&lt;DeliverStart,0,MIN(TotalUnits,(212-DeliverStart+1)*UnitsDeliveredPerMo))</f>
        <v/>
      </c>
      <c r="HH8" s="17">
        <f>IF(213&lt;DeliverStart,0,MIN(TotalUnits,(213-DeliverStart+1)*UnitsDeliveredPerMo))</f>
        <v/>
      </c>
      <c r="HI8" s="17">
        <f>IF(214&lt;DeliverStart,0,MIN(TotalUnits,(214-DeliverStart+1)*UnitsDeliveredPerMo))</f>
        <v/>
      </c>
      <c r="HJ8" s="17">
        <f>IF(215&lt;DeliverStart,0,MIN(TotalUnits,(215-DeliverStart+1)*UnitsDeliveredPerMo))</f>
        <v/>
      </c>
      <c r="HK8" s="17">
        <f>IF(216&lt;DeliverStart,0,MIN(TotalUnits,(216-DeliverStart+1)*UnitsDeliveredPerMo))</f>
        <v/>
      </c>
      <c r="HL8" s="17">
        <f>IF(217&lt;DeliverStart,0,MIN(TotalUnits,(217-DeliverStart+1)*UnitsDeliveredPerMo))</f>
        <v/>
      </c>
      <c r="HM8" s="17">
        <f>IF(218&lt;DeliverStart,0,MIN(TotalUnits,(218-DeliverStart+1)*UnitsDeliveredPerMo))</f>
        <v/>
      </c>
      <c r="HN8" s="17">
        <f>IF(219&lt;DeliverStart,0,MIN(TotalUnits,(219-DeliverStart+1)*UnitsDeliveredPerMo))</f>
        <v/>
      </c>
      <c r="HO8" s="17">
        <f>IF(220&lt;DeliverStart,0,MIN(TotalUnits,(220-DeliverStart+1)*UnitsDeliveredPerMo))</f>
        <v/>
      </c>
      <c r="HP8" s="17">
        <f>IF(221&lt;DeliverStart,0,MIN(TotalUnits,(221-DeliverStart+1)*UnitsDeliveredPerMo))</f>
        <v/>
      </c>
      <c r="HQ8" s="17">
        <f>IF(222&lt;DeliverStart,0,MIN(TotalUnits,(222-DeliverStart+1)*UnitsDeliveredPerMo))</f>
        <v/>
      </c>
      <c r="HR8" s="17">
        <f>IF(223&lt;DeliverStart,0,MIN(TotalUnits,(223-DeliverStart+1)*UnitsDeliveredPerMo))</f>
        <v/>
      </c>
      <c r="HS8" s="17">
        <f>IF(224&lt;DeliverStart,0,MIN(TotalUnits,(224-DeliverStart+1)*UnitsDeliveredPerMo))</f>
        <v/>
      </c>
      <c r="HT8" s="17">
        <f>IF(225&lt;DeliverStart,0,MIN(TotalUnits,(225-DeliverStart+1)*UnitsDeliveredPerMo))</f>
        <v/>
      </c>
      <c r="HU8" s="17">
        <f>IF(226&lt;DeliverStart,0,MIN(TotalUnits,(226-DeliverStart+1)*UnitsDeliveredPerMo))</f>
        <v/>
      </c>
      <c r="HV8" s="17">
        <f>IF(227&lt;DeliverStart,0,MIN(TotalUnits,(227-DeliverStart+1)*UnitsDeliveredPerMo))</f>
        <v/>
      </c>
      <c r="HW8" s="17">
        <f>IF(228&lt;DeliverStart,0,MIN(TotalUnits,(228-DeliverStart+1)*UnitsDeliveredPerMo))</f>
        <v/>
      </c>
      <c r="HX8" s="17">
        <f>IF(229&lt;DeliverStart,0,MIN(TotalUnits,(229-DeliverStart+1)*UnitsDeliveredPerMo))</f>
        <v/>
      </c>
      <c r="HY8" s="17">
        <f>IF(230&lt;DeliverStart,0,MIN(TotalUnits,(230-DeliverStart+1)*UnitsDeliveredPerMo))</f>
        <v/>
      </c>
      <c r="HZ8" s="17">
        <f>IF(231&lt;DeliverStart,0,MIN(TotalUnits,(231-DeliverStart+1)*UnitsDeliveredPerMo))</f>
        <v/>
      </c>
      <c r="IA8" s="17">
        <f>IF(232&lt;DeliverStart,0,MIN(TotalUnits,(232-DeliverStart+1)*UnitsDeliveredPerMo))</f>
        <v/>
      </c>
      <c r="IB8" s="17">
        <f>IF(233&lt;DeliverStart,0,MIN(TotalUnits,(233-DeliverStart+1)*UnitsDeliveredPerMo))</f>
        <v/>
      </c>
      <c r="IC8" s="17">
        <f>IF(234&lt;DeliverStart,0,MIN(TotalUnits,(234-DeliverStart+1)*UnitsDeliveredPerMo))</f>
        <v/>
      </c>
      <c r="ID8" s="17">
        <f>IF(235&lt;DeliverStart,0,MIN(TotalUnits,(235-DeliverStart+1)*UnitsDeliveredPerMo))</f>
        <v/>
      </c>
      <c r="IE8" s="17">
        <f>IF(236&lt;DeliverStart,0,MIN(TotalUnits,(236-DeliverStart+1)*UnitsDeliveredPerMo))</f>
        <v/>
      </c>
      <c r="IF8" s="17">
        <f>IF(237&lt;DeliverStart,0,MIN(TotalUnits,(237-DeliverStart+1)*UnitsDeliveredPerMo))</f>
        <v/>
      </c>
      <c r="IG8" s="17">
        <f>IF(238&lt;DeliverStart,0,MIN(TotalUnits,(238-DeliverStart+1)*UnitsDeliveredPerMo))</f>
        <v/>
      </c>
      <c r="IH8" s="17">
        <f>IF(239&lt;DeliverStart,0,MIN(TotalUnits,(239-DeliverStart+1)*UnitsDeliveredPerMo))</f>
        <v/>
      </c>
      <c r="II8" s="17">
        <f>IF(240&lt;DeliverStart,0,MIN(TotalUnits,(240-DeliverStart+1)*UnitsDeliveredPerMo))</f>
        <v/>
      </c>
      <c r="IJ8" s="17">
        <f>IF(241&lt;DeliverStart,0,MIN(TotalUnits,(241-DeliverStart+1)*UnitsDeliveredPerMo))</f>
        <v/>
      </c>
      <c r="IK8" s="17">
        <f>IF(242&lt;DeliverStart,0,MIN(TotalUnits,(242-DeliverStart+1)*UnitsDeliveredPerMo))</f>
        <v/>
      </c>
      <c r="IL8" s="17">
        <f>IF(243&lt;DeliverStart,0,MIN(TotalUnits,(243-DeliverStart+1)*UnitsDeliveredPerMo))</f>
        <v/>
      </c>
      <c r="IM8" s="17">
        <f>IF(244&lt;DeliverStart,0,MIN(TotalUnits,(244-DeliverStart+1)*UnitsDeliveredPerMo))</f>
        <v/>
      </c>
      <c r="IN8" s="17">
        <f>IF(245&lt;DeliverStart,0,MIN(TotalUnits,(245-DeliverStart+1)*UnitsDeliveredPerMo))</f>
        <v/>
      </c>
      <c r="IO8" s="17">
        <f>IF(246&lt;DeliverStart,0,MIN(TotalUnits,(246-DeliverStart+1)*UnitsDeliveredPerMo))</f>
        <v/>
      </c>
      <c r="IP8" s="17">
        <f>IF(247&lt;DeliverStart,0,MIN(TotalUnits,(247-DeliverStart+1)*UnitsDeliveredPerMo))</f>
        <v/>
      </c>
      <c r="IQ8" s="17">
        <f>IF(248&lt;DeliverStart,0,MIN(TotalUnits,(248-DeliverStart+1)*UnitsDeliveredPerMo))</f>
        <v/>
      </c>
      <c r="IR8" s="17">
        <f>IF(249&lt;DeliverStart,0,MIN(TotalUnits,(249-DeliverStart+1)*UnitsDeliveredPerMo))</f>
        <v/>
      </c>
      <c r="IS8" s="17">
        <f>IF(250&lt;DeliverStart,0,MIN(TotalUnits,(250-DeliverStart+1)*UnitsDeliveredPerMo))</f>
        <v/>
      </c>
      <c r="IT8" s="17">
        <f>IF(251&lt;DeliverStart,0,MIN(TotalUnits,(251-DeliverStart+1)*UnitsDeliveredPerMo))</f>
        <v/>
      </c>
      <c r="IU8" s="17">
        <f>IF(252&lt;DeliverStart,0,MIN(TotalUnits,(252-DeliverStart+1)*UnitsDeliveredPerMo))</f>
        <v/>
      </c>
      <c r="IV8" s="17">
        <f>IF(253&lt;DeliverStart,0,MIN(TotalUnits,(253-DeliverStart+1)*UnitsDeliveredPerMo))</f>
        <v/>
      </c>
      <c r="IW8" s="17">
        <f>IF(254&lt;DeliverStart,0,MIN(TotalUnits,(254-DeliverStart+1)*UnitsDeliveredPerMo))</f>
        <v/>
      </c>
      <c r="IX8" s="17">
        <f>IF(255&lt;DeliverStart,0,MIN(TotalUnits,(255-DeliverStart+1)*UnitsDeliveredPerMo))</f>
        <v/>
      </c>
      <c r="IY8" s="17">
        <f>IF(256&lt;DeliverStart,0,MIN(TotalUnits,(256-DeliverStart+1)*UnitsDeliveredPerMo))</f>
        <v/>
      </c>
      <c r="IZ8" s="17">
        <f>IF(257&lt;DeliverStart,0,MIN(TotalUnits,(257-DeliverStart+1)*UnitsDeliveredPerMo))</f>
        <v/>
      </c>
      <c r="JA8" s="17">
        <f>IF(258&lt;DeliverStart,0,MIN(TotalUnits,(258-DeliverStart+1)*UnitsDeliveredPerMo))</f>
        <v/>
      </c>
      <c r="JB8" s="17">
        <f>IF(259&lt;DeliverStart,0,MIN(TotalUnits,(259-DeliverStart+1)*UnitsDeliveredPerMo))</f>
        <v/>
      </c>
      <c r="JC8" s="17">
        <f>IF(260&lt;DeliverStart,0,MIN(TotalUnits,(260-DeliverStart+1)*UnitsDeliveredPerMo))</f>
        <v/>
      </c>
      <c r="JD8" s="17">
        <f>IF(261&lt;DeliverStart,0,MIN(TotalUnits,(261-DeliverStart+1)*UnitsDeliveredPerMo))</f>
        <v/>
      </c>
      <c r="JE8" s="17">
        <f>IF(262&lt;DeliverStart,0,MIN(TotalUnits,(262-DeliverStart+1)*UnitsDeliveredPerMo))</f>
        <v/>
      </c>
      <c r="JF8" s="17">
        <f>IF(263&lt;DeliverStart,0,MIN(TotalUnits,(263-DeliverStart+1)*UnitsDeliveredPerMo))</f>
        <v/>
      </c>
      <c r="JG8" s="17">
        <f>IF(264&lt;DeliverStart,0,MIN(TotalUnits,(264-DeliverStart+1)*UnitsDeliveredPerMo))</f>
        <v/>
      </c>
      <c r="JH8" s="17">
        <f>IF(265&lt;DeliverStart,0,MIN(TotalUnits,(265-DeliverStart+1)*UnitsDeliveredPerMo))</f>
        <v/>
      </c>
      <c r="JI8" s="17">
        <f>IF(266&lt;DeliverStart,0,MIN(TotalUnits,(266-DeliverStart+1)*UnitsDeliveredPerMo))</f>
        <v/>
      </c>
      <c r="JJ8" s="17">
        <f>IF(267&lt;DeliverStart,0,MIN(TotalUnits,(267-DeliverStart+1)*UnitsDeliveredPerMo))</f>
        <v/>
      </c>
      <c r="JK8" s="17">
        <f>IF(268&lt;DeliverStart,0,MIN(TotalUnits,(268-DeliverStart+1)*UnitsDeliveredPerMo))</f>
        <v/>
      </c>
      <c r="JL8" s="17">
        <f>IF(269&lt;DeliverStart,0,MIN(TotalUnits,(269-DeliverStart+1)*UnitsDeliveredPerMo))</f>
        <v/>
      </c>
      <c r="JM8" s="17">
        <f>IF(270&lt;DeliverStart,0,MIN(TotalUnits,(270-DeliverStart+1)*UnitsDeliveredPerMo))</f>
        <v/>
      </c>
      <c r="JN8" s="17">
        <f>IF(271&lt;DeliverStart,0,MIN(TotalUnits,(271-DeliverStart+1)*UnitsDeliveredPerMo))</f>
        <v/>
      </c>
      <c r="JO8" s="17">
        <f>IF(272&lt;DeliverStart,0,MIN(TotalUnits,(272-DeliverStart+1)*UnitsDeliveredPerMo))</f>
        <v/>
      </c>
      <c r="JP8" s="17">
        <f>IF(273&lt;DeliverStart,0,MIN(TotalUnits,(273-DeliverStart+1)*UnitsDeliveredPerMo))</f>
        <v/>
      </c>
      <c r="JQ8" s="17">
        <f>IF(274&lt;DeliverStart,0,MIN(TotalUnits,(274-DeliverStart+1)*UnitsDeliveredPerMo))</f>
        <v/>
      </c>
      <c r="JR8" s="17">
        <f>IF(275&lt;DeliverStart,0,MIN(TotalUnits,(275-DeliverStart+1)*UnitsDeliveredPerMo))</f>
        <v/>
      </c>
      <c r="JS8" s="17">
        <f>IF(276&lt;DeliverStart,0,MIN(TotalUnits,(276-DeliverStart+1)*UnitsDeliveredPerMo))</f>
        <v/>
      </c>
      <c r="JT8" s="17">
        <f>IF(277&lt;DeliverStart,0,MIN(TotalUnits,(277-DeliverStart+1)*UnitsDeliveredPerMo))</f>
        <v/>
      </c>
      <c r="JU8" s="17">
        <f>IF(278&lt;DeliverStart,0,MIN(TotalUnits,(278-DeliverStart+1)*UnitsDeliveredPerMo))</f>
        <v/>
      </c>
      <c r="JV8" s="17">
        <f>IF(279&lt;DeliverStart,0,MIN(TotalUnits,(279-DeliverStart+1)*UnitsDeliveredPerMo))</f>
        <v/>
      </c>
      <c r="JW8" s="17">
        <f>IF(280&lt;DeliverStart,0,MIN(TotalUnits,(280-DeliverStart+1)*UnitsDeliveredPerMo))</f>
        <v/>
      </c>
      <c r="JX8" s="17">
        <f>IF(281&lt;DeliverStart,0,MIN(TotalUnits,(281-DeliverStart+1)*UnitsDeliveredPerMo))</f>
        <v/>
      </c>
      <c r="JY8" s="17">
        <f>IF(282&lt;DeliverStart,0,MIN(TotalUnits,(282-DeliverStart+1)*UnitsDeliveredPerMo))</f>
        <v/>
      </c>
      <c r="JZ8" s="17">
        <f>IF(283&lt;DeliverStart,0,MIN(TotalUnits,(283-DeliverStart+1)*UnitsDeliveredPerMo))</f>
        <v/>
      </c>
      <c r="KA8" s="17">
        <f>IF(284&lt;DeliverStart,0,MIN(TotalUnits,(284-DeliverStart+1)*UnitsDeliveredPerMo))</f>
        <v/>
      </c>
      <c r="KB8" s="17">
        <f>IF(285&lt;DeliverStart,0,MIN(TotalUnits,(285-DeliverStart+1)*UnitsDeliveredPerMo))</f>
        <v/>
      </c>
      <c r="KC8" s="17">
        <f>IF(286&lt;DeliverStart,0,MIN(TotalUnits,(286-DeliverStart+1)*UnitsDeliveredPerMo))</f>
        <v/>
      </c>
      <c r="KD8" s="17">
        <f>IF(287&lt;DeliverStart,0,MIN(TotalUnits,(287-DeliverStart+1)*UnitsDeliveredPerMo))</f>
        <v/>
      </c>
      <c r="KE8" s="17">
        <f>IF(288&lt;DeliverStart,0,MIN(TotalUnits,(288-DeliverStart+1)*UnitsDeliveredPerMo))</f>
        <v/>
      </c>
      <c r="KF8" s="17">
        <f>IF(289&lt;DeliverStart,0,MIN(TotalUnits,(289-DeliverStart+1)*UnitsDeliveredPerMo))</f>
        <v/>
      </c>
      <c r="KG8" s="17">
        <f>IF(290&lt;DeliverStart,0,MIN(TotalUnits,(290-DeliverStart+1)*UnitsDeliveredPerMo))</f>
        <v/>
      </c>
      <c r="KH8" s="17">
        <f>IF(291&lt;DeliverStart,0,MIN(TotalUnits,(291-DeliverStart+1)*UnitsDeliveredPerMo))</f>
        <v/>
      </c>
      <c r="KI8" s="17">
        <f>IF(292&lt;DeliverStart,0,MIN(TotalUnits,(292-DeliverStart+1)*UnitsDeliveredPerMo))</f>
        <v/>
      </c>
      <c r="KJ8" s="17">
        <f>IF(293&lt;DeliverStart,0,MIN(TotalUnits,(293-DeliverStart+1)*UnitsDeliveredPerMo))</f>
        <v/>
      </c>
      <c r="KK8" s="17">
        <f>IF(294&lt;DeliverStart,0,MIN(TotalUnits,(294-DeliverStart+1)*UnitsDeliveredPerMo))</f>
        <v/>
      </c>
      <c r="KL8" s="17">
        <f>IF(295&lt;DeliverStart,0,MIN(TotalUnits,(295-DeliverStart+1)*UnitsDeliveredPerMo))</f>
        <v/>
      </c>
      <c r="KM8" s="17">
        <f>IF(296&lt;DeliverStart,0,MIN(TotalUnits,(296-DeliverStart+1)*UnitsDeliveredPerMo))</f>
        <v/>
      </c>
      <c r="KN8" s="17">
        <f>IF(297&lt;DeliverStart,0,MIN(TotalUnits,(297-DeliverStart+1)*UnitsDeliveredPerMo))</f>
        <v/>
      </c>
      <c r="KO8" s="17">
        <f>IF(298&lt;DeliverStart,0,MIN(TotalUnits,(298-DeliverStart+1)*UnitsDeliveredPerMo))</f>
        <v/>
      </c>
      <c r="KP8" s="17">
        <f>IF(299&lt;DeliverStart,0,MIN(TotalUnits,(299-DeliverStart+1)*UnitsDeliveredPerMo))</f>
        <v/>
      </c>
      <c r="KQ8" s="17">
        <f>IF(300&lt;DeliverStart,0,MIN(TotalUnits,(300-DeliverStart+1)*UnitsDeliveredPerMo))</f>
        <v/>
      </c>
      <c r="KR8" s="17">
        <f>IF(301&lt;DeliverStart,0,MIN(TotalUnits,(301-DeliverStart+1)*UnitsDeliveredPerMo))</f>
        <v/>
      </c>
      <c r="KS8" s="17">
        <f>IF(302&lt;DeliverStart,0,MIN(TotalUnits,(302-DeliverStart+1)*UnitsDeliveredPerMo))</f>
        <v/>
      </c>
      <c r="KT8" s="17">
        <f>IF(303&lt;DeliverStart,0,MIN(TotalUnits,(303-DeliverStart+1)*UnitsDeliveredPerMo))</f>
        <v/>
      </c>
      <c r="KU8" s="17">
        <f>IF(304&lt;DeliverStart,0,MIN(TotalUnits,(304-DeliverStart+1)*UnitsDeliveredPerMo))</f>
        <v/>
      </c>
      <c r="KV8" s="17">
        <f>IF(305&lt;DeliverStart,0,MIN(TotalUnits,(305-DeliverStart+1)*UnitsDeliveredPerMo))</f>
        <v/>
      </c>
      <c r="KW8" s="17">
        <f>IF(306&lt;DeliverStart,0,MIN(TotalUnits,(306-DeliverStart+1)*UnitsDeliveredPerMo))</f>
        <v/>
      </c>
      <c r="KX8" s="17">
        <f>IF(307&lt;DeliverStart,0,MIN(TotalUnits,(307-DeliverStart+1)*UnitsDeliveredPerMo))</f>
        <v/>
      </c>
      <c r="KY8" s="17">
        <f>IF(308&lt;DeliverStart,0,MIN(TotalUnits,(308-DeliverStart+1)*UnitsDeliveredPerMo))</f>
        <v/>
      </c>
      <c r="KZ8" s="17">
        <f>IF(309&lt;DeliverStart,0,MIN(TotalUnits,(309-DeliverStart+1)*UnitsDeliveredPerMo))</f>
        <v/>
      </c>
      <c r="LA8" s="17">
        <f>IF(310&lt;DeliverStart,0,MIN(TotalUnits,(310-DeliverStart+1)*UnitsDeliveredPerMo))</f>
        <v/>
      </c>
      <c r="LB8" s="17">
        <f>IF(311&lt;DeliverStart,0,MIN(TotalUnits,(311-DeliverStart+1)*UnitsDeliveredPerMo))</f>
        <v/>
      </c>
      <c r="LC8" s="17">
        <f>IF(312&lt;DeliverStart,0,MIN(TotalUnits,(312-DeliverStart+1)*UnitsDeliveredPerMo))</f>
        <v/>
      </c>
      <c r="LD8" s="17">
        <f>IF(313&lt;DeliverStart,0,MIN(TotalUnits,(313-DeliverStart+1)*UnitsDeliveredPerMo))</f>
        <v/>
      </c>
      <c r="LE8" s="17">
        <f>IF(314&lt;DeliverStart,0,MIN(TotalUnits,(314-DeliverStart+1)*UnitsDeliveredPerMo))</f>
        <v/>
      </c>
      <c r="LF8" s="17">
        <f>IF(315&lt;DeliverStart,0,MIN(TotalUnits,(315-DeliverStart+1)*UnitsDeliveredPerMo))</f>
        <v/>
      </c>
      <c r="LG8" s="17">
        <f>IF(316&lt;DeliverStart,0,MIN(TotalUnits,(316-DeliverStart+1)*UnitsDeliveredPerMo))</f>
        <v/>
      </c>
      <c r="LH8" s="17">
        <f>IF(317&lt;DeliverStart,0,MIN(TotalUnits,(317-DeliverStart+1)*UnitsDeliveredPerMo))</f>
        <v/>
      </c>
      <c r="LI8" s="17">
        <f>IF(318&lt;DeliverStart,0,MIN(TotalUnits,(318-DeliverStart+1)*UnitsDeliveredPerMo))</f>
        <v/>
      </c>
      <c r="LJ8" s="17">
        <f>IF(319&lt;DeliverStart,0,MIN(TotalUnits,(319-DeliverStart+1)*UnitsDeliveredPerMo))</f>
        <v/>
      </c>
      <c r="LK8" s="17">
        <f>IF(320&lt;DeliverStart,0,MIN(TotalUnits,(320-DeliverStart+1)*UnitsDeliveredPerMo))</f>
        <v/>
      </c>
      <c r="LL8" s="17">
        <f>IF(321&lt;DeliverStart,0,MIN(TotalUnits,(321-DeliverStart+1)*UnitsDeliveredPerMo))</f>
        <v/>
      </c>
      <c r="LM8" s="17">
        <f>IF(322&lt;DeliverStart,0,MIN(TotalUnits,(322-DeliverStart+1)*UnitsDeliveredPerMo))</f>
        <v/>
      </c>
      <c r="LN8" s="17">
        <f>IF(323&lt;DeliverStart,0,MIN(TotalUnits,(323-DeliverStart+1)*UnitsDeliveredPerMo))</f>
        <v/>
      </c>
      <c r="LO8" s="17">
        <f>IF(324&lt;DeliverStart,0,MIN(TotalUnits,(324-DeliverStart+1)*UnitsDeliveredPerMo))</f>
        <v/>
      </c>
      <c r="LP8" s="17">
        <f>IF(325&lt;DeliverStart,0,MIN(TotalUnits,(325-DeliverStart+1)*UnitsDeliveredPerMo))</f>
        <v/>
      </c>
      <c r="LQ8" s="17">
        <f>IF(326&lt;DeliverStart,0,MIN(TotalUnits,(326-DeliverStart+1)*UnitsDeliveredPerMo))</f>
        <v/>
      </c>
      <c r="LR8" s="17">
        <f>IF(327&lt;DeliverStart,0,MIN(TotalUnits,(327-DeliverStart+1)*UnitsDeliveredPerMo))</f>
        <v/>
      </c>
      <c r="LS8" s="17">
        <f>IF(328&lt;DeliverStart,0,MIN(TotalUnits,(328-DeliverStart+1)*UnitsDeliveredPerMo))</f>
        <v/>
      </c>
      <c r="LT8" s="17">
        <f>IF(329&lt;DeliverStart,0,MIN(TotalUnits,(329-DeliverStart+1)*UnitsDeliveredPerMo))</f>
        <v/>
      </c>
      <c r="LU8" s="17">
        <f>IF(330&lt;DeliverStart,0,MIN(TotalUnits,(330-DeliverStart+1)*UnitsDeliveredPerMo))</f>
        <v/>
      </c>
      <c r="LV8" s="17">
        <f>IF(331&lt;DeliverStart,0,MIN(TotalUnits,(331-DeliverStart+1)*UnitsDeliveredPerMo))</f>
        <v/>
      </c>
      <c r="LW8" s="17">
        <f>IF(332&lt;DeliverStart,0,MIN(TotalUnits,(332-DeliverStart+1)*UnitsDeliveredPerMo))</f>
        <v/>
      </c>
      <c r="LX8" s="17">
        <f>IF(333&lt;DeliverStart,0,MIN(TotalUnits,(333-DeliverStart+1)*UnitsDeliveredPerMo))</f>
        <v/>
      </c>
      <c r="LY8" s="17">
        <f>IF(334&lt;DeliverStart,0,MIN(TotalUnits,(334-DeliverStart+1)*UnitsDeliveredPerMo))</f>
        <v/>
      </c>
      <c r="LZ8" s="17">
        <f>IF(335&lt;DeliverStart,0,MIN(TotalUnits,(335-DeliverStart+1)*UnitsDeliveredPerMo))</f>
        <v/>
      </c>
      <c r="MA8" s="17">
        <f>IF(336&lt;DeliverStart,0,MIN(TotalUnits,(336-DeliverStart+1)*UnitsDeliveredPerMo))</f>
        <v/>
      </c>
      <c r="MB8" s="17">
        <f>IF(337&lt;DeliverStart,0,MIN(TotalUnits,(337-DeliverStart+1)*UnitsDeliveredPerMo))</f>
        <v/>
      </c>
      <c r="MC8" s="17">
        <f>IF(338&lt;DeliverStart,0,MIN(TotalUnits,(338-DeliverStart+1)*UnitsDeliveredPerMo))</f>
        <v/>
      </c>
      <c r="MD8" s="17">
        <f>IF(339&lt;DeliverStart,0,MIN(TotalUnits,(339-DeliverStart+1)*UnitsDeliveredPerMo))</f>
        <v/>
      </c>
      <c r="ME8" s="17">
        <f>IF(340&lt;DeliverStart,0,MIN(TotalUnits,(340-DeliverStart+1)*UnitsDeliveredPerMo))</f>
        <v/>
      </c>
      <c r="MF8" s="17">
        <f>IF(341&lt;DeliverStart,0,MIN(TotalUnits,(341-DeliverStart+1)*UnitsDeliveredPerMo))</f>
        <v/>
      </c>
      <c r="MG8" s="17">
        <f>IF(342&lt;DeliverStart,0,MIN(TotalUnits,(342-DeliverStart+1)*UnitsDeliveredPerMo))</f>
        <v/>
      </c>
      <c r="MH8" s="17">
        <f>IF(343&lt;DeliverStart,0,MIN(TotalUnits,(343-DeliverStart+1)*UnitsDeliveredPerMo))</f>
        <v/>
      </c>
      <c r="MI8" s="17">
        <f>IF(344&lt;DeliverStart,0,MIN(TotalUnits,(344-DeliverStart+1)*UnitsDeliveredPerMo))</f>
        <v/>
      </c>
      <c r="MJ8" s="17">
        <f>IF(345&lt;DeliverStart,0,MIN(TotalUnits,(345-DeliverStart+1)*UnitsDeliveredPerMo))</f>
        <v/>
      </c>
      <c r="MK8" s="17">
        <f>IF(346&lt;DeliverStart,0,MIN(TotalUnits,(346-DeliverStart+1)*UnitsDeliveredPerMo))</f>
        <v/>
      </c>
      <c r="ML8" s="17">
        <f>IF(347&lt;DeliverStart,0,MIN(TotalUnits,(347-DeliverStart+1)*UnitsDeliveredPerMo))</f>
        <v/>
      </c>
      <c r="MM8" s="17">
        <f>IF(348&lt;DeliverStart,0,MIN(TotalUnits,(348-DeliverStart+1)*UnitsDeliveredPerMo))</f>
        <v/>
      </c>
      <c r="MN8" s="17">
        <f>IF(349&lt;DeliverStart,0,MIN(TotalUnits,(349-DeliverStart+1)*UnitsDeliveredPerMo))</f>
        <v/>
      </c>
      <c r="MO8" s="17">
        <f>IF(350&lt;DeliverStart,0,MIN(TotalUnits,(350-DeliverStart+1)*UnitsDeliveredPerMo))</f>
        <v/>
      </c>
      <c r="MP8" s="17">
        <f>IF(351&lt;DeliverStart,0,MIN(TotalUnits,(351-DeliverStart+1)*UnitsDeliveredPerMo))</f>
        <v/>
      </c>
      <c r="MQ8" s="17">
        <f>IF(352&lt;DeliverStart,0,MIN(TotalUnits,(352-DeliverStart+1)*UnitsDeliveredPerMo))</f>
        <v/>
      </c>
      <c r="MR8" s="17">
        <f>IF(353&lt;DeliverStart,0,MIN(TotalUnits,(353-DeliverStart+1)*UnitsDeliveredPerMo))</f>
        <v/>
      </c>
      <c r="MS8" s="17">
        <f>IF(354&lt;DeliverStart,0,MIN(TotalUnits,(354-DeliverStart+1)*UnitsDeliveredPerMo))</f>
        <v/>
      </c>
      <c r="MT8" s="17">
        <f>IF(355&lt;DeliverStart,0,MIN(TotalUnits,(355-DeliverStart+1)*UnitsDeliveredPerMo))</f>
        <v/>
      </c>
      <c r="MU8" s="17">
        <f>IF(356&lt;DeliverStart,0,MIN(TotalUnits,(356-DeliverStart+1)*UnitsDeliveredPerMo))</f>
        <v/>
      </c>
      <c r="MV8" s="17">
        <f>IF(357&lt;DeliverStart,0,MIN(TotalUnits,(357-DeliverStart+1)*UnitsDeliveredPerMo))</f>
        <v/>
      </c>
      <c r="MW8" s="17">
        <f>IF(358&lt;DeliverStart,0,MIN(TotalUnits,(358-DeliverStart+1)*UnitsDeliveredPerMo))</f>
        <v/>
      </c>
      <c r="MX8" s="17">
        <f>IF(359&lt;DeliverStart,0,MIN(TotalUnits,(359-DeliverStart+1)*UnitsDeliveredPerMo))</f>
        <v/>
      </c>
      <c r="MY8" s="17">
        <f>IF(360&lt;DeliverStart,0,MIN(TotalUnits,(360-DeliverStart+1)*UnitsDeliveredPerMo))</f>
        <v/>
      </c>
      <c r="MZ8" s="17">
        <f>IF(361&lt;DeliverStart,0,MIN(TotalUnits,(361-DeliverStart+1)*UnitsDeliveredPerMo))</f>
        <v/>
      </c>
      <c r="NA8" s="17">
        <f>IF(362&lt;DeliverStart,0,MIN(TotalUnits,(362-DeliverStart+1)*UnitsDeliveredPerMo))</f>
        <v/>
      </c>
      <c r="NB8" s="17">
        <f>IF(363&lt;DeliverStart,0,MIN(TotalUnits,(363-DeliverStart+1)*UnitsDeliveredPerMo))</f>
        <v/>
      </c>
      <c r="NC8" s="17">
        <f>IF(364&lt;DeliverStart,0,MIN(TotalUnits,(364-DeliverStart+1)*UnitsDeliveredPerMo))</f>
        <v/>
      </c>
      <c r="ND8" s="17">
        <f>IF(365&lt;DeliverStart,0,MIN(TotalUnits,(365-DeliverStart+1)*UnitsDeliveredPerMo))</f>
        <v/>
      </c>
      <c r="NE8" s="17">
        <f>IF(366&lt;DeliverStart,0,MIN(TotalUnits,(366-DeliverStart+1)*UnitsDeliveredPerMo))</f>
        <v/>
      </c>
      <c r="NF8" s="17">
        <f>IF(367&lt;DeliverStart,0,MIN(TotalUnits,(367-DeliverStart+1)*UnitsDeliveredPerMo))</f>
        <v/>
      </c>
      <c r="NG8" s="17">
        <f>IF(368&lt;DeliverStart,0,MIN(TotalUnits,(368-DeliverStart+1)*UnitsDeliveredPerMo))</f>
        <v/>
      </c>
      <c r="NH8" s="17">
        <f>IF(369&lt;DeliverStart,0,MIN(TotalUnits,(369-DeliverStart+1)*UnitsDeliveredPerMo))</f>
        <v/>
      </c>
      <c r="NI8" s="17">
        <f>IF(370&lt;DeliverStart,0,MIN(TotalUnits,(370-DeliverStart+1)*UnitsDeliveredPerMo))</f>
        <v/>
      </c>
      <c r="NJ8" s="17">
        <f>IF(371&lt;DeliverStart,0,MIN(TotalUnits,(371-DeliverStart+1)*UnitsDeliveredPerMo))</f>
        <v/>
      </c>
      <c r="NK8" s="17">
        <f>IF(372&lt;DeliverStart,0,MIN(TotalUnits,(372-DeliverStart+1)*UnitsDeliveredPerMo))</f>
        <v/>
      </c>
    </row>
    <row r="9">
      <c r="A9" s="5" t="inlineStr">
        <is>
          <t>Cumulative Units Leased</t>
        </is>
      </c>
      <c r="C9" s="40" t="n"/>
      <c r="D9" s="17">
        <f>IF(1&lt;DeliverStart,0,MIN(StabLeasedTarget,D$8,(1-DeliverStart+1)*UnitsLeasedPerMo))</f>
        <v/>
      </c>
      <c r="E9" s="17">
        <f>IF(2&lt;DeliverStart,0,MIN(StabLeasedTarget,E$8,(2-DeliverStart+1)*UnitsLeasedPerMo))</f>
        <v/>
      </c>
      <c r="F9" s="17">
        <f>IF(3&lt;DeliverStart,0,MIN(StabLeasedTarget,F$8,(3-DeliverStart+1)*UnitsLeasedPerMo))</f>
        <v/>
      </c>
      <c r="G9" s="17">
        <f>IF(4&lt;DeliverStart,0,MIN(StabLeasedTarget,G$8,(4-DeliverStart+1)*UnitsLeasedPerMo))</f>
        <v/>
      </c>
      <c r="H9" s="17">
        <f>IF(5&lt;DeliverStart,0,MIN(StabLeasedTarget,H$8,(5-DeliverStart+1)*UnitsLeasedPerMo))</f>
        <v/>
      </c>
      <c r="I9" s="17">
        <f>IF(6&lt;DeliverStart,0,MIN(StabLeasedTarget,I$8,(6-DeliverStart+1)*UnitsLeasedPerMo))</f>
        <v/>
      </c>
      <c r="J9" s="17">
        <f>IF(7&lt;DeliverStart,0,MIN(StabLeasedTarget,J$8,(7-DeliverStart+1)*UnitsLeasedPerMo))</f>
        <v/>
      </c>
      <c r="K9" s="17">
        <f>IF(8&lt;DeliverStart,0,MIN(StabLeasedTarget,K$8,(8-DeliverStart+1)*UnitsLeasedPerMo))</f>
        <v/>
      </c>
      <c r="L9" s="17">
        <f>IF(9&lt;DeliverStart,0,MIN(StabLeasedTarget,L$8,(9-DeliverStart+1)*UnitsLeasedPerMo))</f>
        <v/>
      </c>
      <c r="M9" s="17">
        <f>IF(10&lt;DeliverStart,0,MIN(StabLeasedTarget,M$8,(10-DeliverStart+1)*UnitsLeasedPerMo))</f>
        <v/>
      </c>
      <c r="N9" s="17">
        <f>IF(11&lt;DeliverStart,0,MIN(StabLeasedTarget,N$8,(11-DeliverStart+1)*UnitsLeasedPerMo))</f>
        <v/>
      </c>
      <c r="O9" s="17">
        <f>IF(12&lt;DeliverStart,0,MIN(StabLeasedTarget,O$8,(12-DeliverStart+1)*UnitsLeasedPerMo))</f>
        <v/>
      </c>
      <c r="P9" s="17">
        <f>IF(13&lt;DeliverStart,0,MIN(StabLeasedTarget,P$8,(13-DeliverStart+1)*UnitsLeasedPerMo))</f>
        <v/>
      </c>
      <c r="Q9" s="17">
        <f>IF(14&lt;DeliverStart,0,MIN(StabLeasedTarget,Q$8,(14-DeliverStart+1)*UnitsLeasedPerMo))</f>
        <v/>
      </c>
      <c r="R9" s="17">
        <f>IF(15&lt;DeliverStart,0,MIN(StabLeasedTarget,R$8,(15-DeliverStart+1)*UnitsLeasedPerMo))</f>
        <v/>
      </c>
      <c r="S9" s="17">
        <f>IF(16&lt;DeliverStart,0,MIN(StabLeasedTarget,S$8,(16-DeliverStart+1)*UnitsLeasedPerMo))</f>
        <v/>
      </c>
      <c r="T9" s="17">
        <f>IF(17&lt;DeliverStart,0,MIN(StabLeasedTarget,T$8,(17-DeliverStart+1)*UnitsLeasedPerMo))</f>
        <v/>
      </c>
      <c r="U9" s="17">
        <f>IF(18&lt;DeliverStart,0,MIN(StabLeasedTarget,U$8,(18-DeliverStart+1)*UnitsLeasedPerMo))</f>
        <v/>
      </c>
      <c r="V9" s="17">
        <f>IF(19&lt;DeliverStart,0,MIN(StabLeasedTarget,V$8,(19-DeliverStart+1)*UnitsLeasedPerMo))</f>
        <v/>
      </c>
      <c r="W9" s="17">
        <f>IF(20&lt;DeliverStart,0,MIN(StabLeasedTarget,W$8,(20-DeliverStart+1)*UnitsLeasedPerMo))</f>
        <v/>
      </c>
      <c r="X9" s="17">
        <f>IF(21&lt;DeliverStart,0,MIN(StabLeasedTarget,X$8,(21-DeliverStart+1)*UnitsLeasedPerMo))</f>
        <v/>
      </c>
      <c r="Y9" s="17">
        <f>IF(22&lt;DeliverStart,0,MIN(StabLeasedTarget,Y$8,(22-DeliverStart+1)*UnitsLeasedPerMo))</f>
        <v/>
      </c>
      <c r="Z9" s="17">
        <f>IF(23&lt;DeliverStart,0,MIN(StabLeasedTarget,Z$8,(23-DeliverStart+1)*UnitsLeasedPerMo))</f>
        <v/>
      </c>
      <c r="AA9" s="17">
        <f>IF(24&lt;DeliverStart,0,MIN(StabLeasedTarget,AA$8,(24-DeliverStart+1)*UnitsLeasedPerMo))</f>
        <v/>
      </c>
      <c r="AB9" s="17">
        <f>IF(25&lt;DeliverStart,0,MIN(StabLeasedTarget,AB$8,(25-DeliverStart+1)*UnitsLeasedPerMo))</f>
        <v/>
      </c>
      <c r="AC9" s="17">
        <f>IF(26&lt;DeliverStart,0,MIN(StabLeasedTarget,AC$8,(26-DeliverStart+1)*UnitsLeasedPerMo))</f>
        <v/>
      </c>
      <c r="AD9" s="17">
        <f>IF(27&lt;DeliverStart,0,MIN(StabLeasedTarget,AD$8,(27-DeliverStart+1)*UnitsLeasedPerMo))</f>
        <v/>
      </c>
      <c r="AE9" s="17">
        <f>IF(28&lt;DeliverStart,0,MIN(StabLeasedTarget,AE$8,(28-DeliverStart+1)*UnitsLeasedPerMo))</f>
        <v/>
      </c>
      <c r="AF9" s="17">
        <f>IF(29&lt;DeliverStart,0,MIN(StabLeasedTarget,AF$8,(29-DeliverStart+1)*UnitsLeasedPerMo))</f>
        <v/>
      </c>
      <c r="AG9" s="17">
        <f>IF(30&lt;DeliverStart,0,MIN(StabLeasedTarget,AG$8,(30-DeliverStart+1)*UnitsLeasedPerMo))</f>
        <v/>
      </c>
      <c r="AH9" s="17">
        <f>IF(31&lt;DeliverStart,0,MIN(StabLeasedTarget,AH$8,(31-DeliverStart+1)*UnitsLeasedPerMo))</f>
        <v/>
      </c>
      <c r="AI9" s="17">
        <f>IF(32&lt;DeliverStart,0,MIN(StabLeasedTarget,AI$8,(32-DeliverStart+1)*UnitsLeasedPerMo))</f>
        <v/>
      </c>
      <c r="AJ9" s="17">
        <f>IF(33&lt;DeliverStart,0,MIN(StabLeasedTarget,AJ$8,(33-DeliverStart+1)*UnitsLeasedPerMo))</f>
        <v/>
      </c>
      <c r="AK9" s="17">
        <f>IF(34&lt;DeliverStart,0,MIN(StabLeasedTarget,AK$8,(34-DeliverStart+1)*UnitsLeasedPerMo))</f>
        <v/>
      </c>
      <c r="AL9" s="17">
        <f>IF(35&lt;DeliverStart,0,MIN(StabLeasedTarget,AL$8,(35-DeliverStart+1)*UnitsLeasedPerMo))</f>
        <v/>
      </c>
      <c r="AM9" s="17">
        <f>IF(36&lt;DeliverStart,0,MIN(StabLeasedTarget,AM$8,(36-DeliverStart+1)*UnitsLeasedPerMo))</f>
        <v/>
      </c>
      <c r="AN9" s="17">
        <f>IF(37&lt;DeliverStart,0,MIN(StabLeasedTarget,AN$8,(37-DeliverStart+1)*UnitsLeasedPerMo))</f>
        <v/>
      </c>
      <c r="AO9" s="17">
        <f>IF(38&lt;DeliverStart,0,MIN(StabLeasedTarget,AO$8,(38-DeliverStart+1)*UnitsLeasedPerMo))</f>
        <v/>
      </c>
      <c r="AP9" s="17">
        <f>IF(39&lt;DeliverStart,0,MIN(StabLeasedTarget,AP$8,(39-DeliverStart+1)*UnitsLeasedPerMo))</f>
        <v/>
      </c>
      <c r="AQ9" s="17">
        <f>IF(40&lt;DeliverStart,0,MIN(StabLeasedTarget,AQ$8,(40-DeliverStart+1)*UnitsLeasedPerMo))</f>
        <v/>
      </c>
      <c r="AR9" s="17">
        <f>IF(41&lt;DeliverStart,0,MIN(StabLeasedTarget,AR$8,(41-DeliverStart+1)*UnitsLeasedPerMo))</f>
        <v/>
      </c>
      <c r="AS9" s="17">
        <f>IF(42&lt;DeliverStart,0,MIN(StabLeasedTarget,AS$8,(42-DeliverStart+1)*UnitsLeasedPerMo))</f>
        <v/>
      </c>
      <c r="AT9" s="17">
        <f>IF(43&lt;DeliverStart,0,MIN(StabLeasedTarget,AT$8,(43-DeliverStart+1)*UnitsLeasedPerMo))</f>
        <v/>
      </c>
      <c r="AU9" s="17">
        <f>IF(44&lt;DeliverStart,0,MIN(StabLeasedTarget,AU$8,(44-DeliverStart+1)*UnitsLeasedPerMo))</f>
        <v/>
      </c>
      <c r="AV9" s="17">
        <f>IF(45&lt;DeliverStart,0,MIN(StabLeasedTarget,AV$8,(45-DeliverStart+1)*UnitsLeasedPerMo))</f>
        <v/>
      </c>
      <c r="AW9" s="17">
        <f>IF(46&lt;DeliverStart,0,MIN(StabLeasedTarget,AW$8,(46-DeliverStart+1)*UnitsLeasedPerMo))</f>
        <v/>
      </c>
      <c r="AX9" s="17">
        <f>IF(47&lt;DeliverStart,0,MIN(StabLeasedTarget,AX$8,(47-DeliverStart+1)*UnitsLeasedPerMo))</f>
        <v/>
      </c>
      <c r="AY9" s="17">
        <f>IF(48&lt;DeliverStart,0,MIN(StabLeasedTarget,AY$8,(48-DeliverStart+1)*UnitsLeasedPerMo))</f>
        <v/>
      </c>
      <c r="AZ9" s="17">
        <f>IF(49&lt;DeliverStart,0,MIN(StabLeasedTarget,AZ$8,(49-DeliverStart+1)*UnitsLeasedPerMo))</f>
        <v/>
      </c>
      <c r="BA9" s="17">
        <f>IF(50&lt;DeliverStart,0,MIN(StabLeasedTarget,BA$8,(50-DeliverStart+1)*UnitsLeasedPerMo))</f>
        <v/>
      </c>
      <c r="BB9" s="17">
        <f>IF(51&lt;DeliverStart,0,MIN(StabLeasedTarget,BB$8,(51-DeliverStart+1)*UnitsLeasedPerMo))</f>
        <v/>
      </c>
      <c r="BC9" s="17">
        <f>IF(52&lt;DeliverStart,0,MIN(StabLeasedTarget,BC$8,(52-DeliverStart+1)*UnitsLeasedPerMo))</f>
        <v/>
      </c>
      <c r="BD9" s="17">
        <f>IF(53&lt;DeliverStart,0,MIN(StabLeasedTarget,BD$8,(53-DeliverStart+1)*UnitsLeasedPerMo))</f>
        <v/>
      </c>
      <c r="BE9" s="17">
        <f>IF(54&lt;DeliverStart,0,MIN(StabLeasedTarget,BE$8,(54-DeliverStart+1)*UnitsLeasedPerMo))</f>
        <v/>
      </c>
      <c r="BF9" s="17">
        <f>IF(55&lt;DeliverStart,0,MIN(StabLeasedTarget,BF$8,(55-DeliverStart+1)*UnitsLeasedPerMo))</f>
        <v/>
      </c>
      <c r="BG9" s="17">
        <f>IF(56&lt;DeliverStart,0,MIN(StabLeasedTarget,BG$8,(56-DeliverStart+1)*UnitsLeasedPerMo))</f>
        <v/>
      </c>
      <c r="BH9" s="17">
        <f>IF(57&lt;DeliverStart,0,MIN(StabLeasedTarget,BH$8,(57-DeliverStart+1)*UnitsLeasedPerMo))</f>
        <v/>
      </c>
      <c r="BI9" s="17">
        <f>IF(58&lt;DeliverStart,0,MIN(StabLeasedTarget,BI$8,(58-DeliverStart+1)*UnitsLeasedPerMo))</f>
        <v/>
      </c>
      <c r="BJ9" s="17">
        <f>IF(59&lt;DeliverStart,0,MIN(StabLeasedTarget,BJ$8,(59-DeliverStart+1)*UnitsLeasedPerMo))</f>
        <v/>
      </c>
      <c r="BK9" s="17">
        <f>IF(60&lt;DeliverStart,0,MIN(StabLeasedTarget,BK$8,(60-DeliverStart+1)*UnitsLeasedPerMo))</f>
        <v/>
      </c>
      <c r="BL9" s="17">
        <f>IF(61&lt;DeliverStart,0,MIN(StabLeasedTarget,BL$8,(61-DeliverStart+1)*UnitsLeasedPerMo))</f>
        <v/>
      </c>
      <c r="BM9" s="17">
        <f>IF(62&lt;DeliverStart,0,MIN(StabLeasedTarget,BM$8,(62-DeliverStart+1)*UnitsLeasedPerMo))</f>
        <v/>
      </c>
      <c r="BN9" s="17">
        <f>IF(63&lt;DeliverStart,0,MIN(StabLeasedTarget,BN$8,(63-DeliverStart+1)*UnitsLeasedPerMo))</f>
        <v/>
      </c>
      <c r="BO9" s="17">
        <f>IF(64&lt;DeliverStart,0,MIN(StabLeasedTarget,BO$8,(64-DeliverStart+1)*UnitsLeasedPerMo))</f>
        <v/>
      </c>
      <c r="BP9" s="17">
        <f>IF(65&lt;DeliverStart,0,MIN(StabLeasedTarget,BP$8,(65-DeliverStart+1)*UnitsLeasedPerMo))</f>
        <v/>
      </c>
      <c r="BQ9" s="17">
        <f>IF(66&lt;DeliverStart,0,MIN(StabLeasedTarget,BQ$8,(66-DeliverStart+1)*UnitsLeasedPerMo))</f>
        <v/>
      </c>
      <c r="BR9" s="17">
        <f>IF(67&lt;DeliverStart,0,MIN(StabLeasedTarget,BR$8,(67-DeliverStart+1)*UnitsLeasedPerMo))</f>
        <v/>
      </c>
      <c r="BS9" s="17">
        <f>IF(68&lt;DeliverStart,0,MIN(StabLeasedTarget,BS$8,(68-DeliverStart+1)*UnitsLeasedPerMo))</f>
        <v/>
      </c>
      <c r="BT9" s="17">
        <f>IF(69&lt;DeliverStart,0,MIN(StabLeasedTarget,BT$8,(69-DeliverStart+1)*UnitsLeasedPerMo))</f>
        <v/>
      </c>
      <c r="BU9" s="17">
        <f>IF(70&lt;DeliverStart,0,MIN(StabLeasedTarget,BU$8,(70-DeliverStart+1)*UnitsLeasedPerMo))</f>
        <v/>
      </c>
      <c r="BV9" s="17">
        <f>IF(71&lt;DeliverStart,0,MIN(StabLeasedTarget,BV$8,(71-DeliverStart+1)*UnitsLeasedPerMo))</f>
        <v/>
      </c>
      <c r="BW9" s="17">
        <f>IF(72&lt;DeliverStart,0,MIN(StabLeasedTarget,BW$8,(72-DeliverStart+1)*UnitsLeasedPerMo))</f>
        <v/>
      </c>
      <c r="BX9" s="17">
        <f>IF(73&lt;DeliverStart,0,MIN(StabLeasedTarget,BX$8,(73-DeliverStart+1)*UnitsLeasedPerMo))</f>
        <v/>
      </c>
      <c r="BY9" s="17">
        <f>IF(74&lt;DeliverStart,0,MIN(StabLeasedTarget,BY$8,(74-DeliverStart+1)*UnitsLeasedPerMo))</f>
        <v/>
      </c>
      <c r="BZ9" s="17">
        <f>IF(75&lt;DeliverStart,0,MIN(StabLeasedTarget,BZ$8,(75-DeliverStart+1)*UnitsLeasedPerMo))</f>
        <v/>
      </c>
      <c r="CA9" s="17">
        <f>IF(76&lt;DeliverStart,0,MIN(StabLeasedTarget,CA$8,(76-DeliverStart+1)*UnitsLeasedPerMo))</f>
        <v/>
      </c>
      <c r="CB9" s="17">
        <f>IF(77&lt;DeliverStart,0,MIN(StabLeasedTarget,CB$8,(77-DeliverStart+1)*UnitsLeasedPerMo))</f>
        <v/>
      </c>
      <c r="CC9" s="17">
        <f>IF(78&lt;DeliverStart,0,MIN(StabLeasedTarget,CC$8,(78-DeliverStart+1)*UnitsLeasedPerMo))</f>
        <v/>
      </c>
      <c r="CD9" s="17">
        <f>IF(79&lt;DeliverStart,0,MIN(StabLeasedTarget,CD$8,(79-DeliverStart+1)*UnitsLeasedPerMo))</f>
        <v/>
      </c>
      <c r="CE9" s="17">
        <f>IF(80&lt;DeliverStart,0,MIN(StabLeasedTarget,CE$8,(80-DeliverStart+1)*UnitsLeasedPerMo))</f>
        <v/>
      </c>
      <c r="CF9" s="17">
        <f>IF(81&lt;DeliverStart,0,MIN(StabLeasedTarget,CF$8,(81-DeliverStart+1)*UnitsLeasedPerMo))</f>
        <v/>
      </c>
      <c r="CG9" s="17">
        <f>IF(82&lt;DeliverStart,0,MIN(StabLeasedTarget,CG$8,(82-DeliverStart+1)*UnitsLeasedPerMo))</f>
        <v/>
      </c>
      <c r="CH9" s="17">
        <f>IF(83&lt;DeliverStart,0,MIN(StabLeasedTarget,CH$8,(83-DeliverStart+1)*UnitsLeasedPerMo))</f>
        <v/>
      </c>
      <c r="CI9" s="17">
        <f>IF(84&lt;DeliverStart,0,MIN(StabLeasedTarget,CI$8,(84-DeliverStart+1)*UnitsLeasedPerMo))</f>
        <v/>
      </c>
      <c r="CJ9" s="17">
        <f>IF(85&lt;DeliverStart,0,MIN(StabLeasedTarget,CJ$8,(85-DeliverStart+1)*UnitsLeasedPerMo))</f>
        <v/>
      </c>
      <c r="CK9" s="17">
        <f>IF(86&lt;DeliverStart,0,MIN(StabLeasedTarget,CK$8,(86-DeliverStart+1)*UnitsLeasedPerMo))</f>
        <v/>
      </c>
      <c r="CL9" s="17">
        <f>IF(87&lt;DeliverStart,0,MIN(StabLeasedTarget,CL$8,(87-DeliverStart+1)*UnitsLeasedPerMo))</f>
        <v/>
      </c>
      <c r="CM9" s="17">
        <f>IF(88&lt;DeliverStart,0,MIN(StabLeasedTarget,CM$8,(88-DeliverStart+1)*UnitsLeasedPerMo))</f>
        <v/>
      </c>
      <c r="CN9" s="17">
        <f>IF(89&lt;DeliverStart,0,MIN(StabLeasedTarget,CN$8,(89-DeliverStart+1)*UnitsLeasedPerMo))</f>
        <v/>
      </c>
      <c r="CO9" s="17">
        <f>IF(90&lt;DeliverStart,0,MIN(StabLeasedTarget,CO$8,(90-DeliverStart+1)*UnitsLeasedPerMo))</f>
        <v/>
      </c>
      <c r="CP9" s="17">
        <f>IF(91&lt;DeliverStart,0,MIN(StabLeasedTarget,CP$8,(91-DeliverStart+1)*UnitsLeasedPerMo))</f>
        <v/>
      </c>
      <c r="CQ9" s="17">
        <f>IF(92&lt;DeliverStart,0,MIN(StabLeasedTarget,CQ$8,(92-DeliverStart+1)*UnitsLeasedPerMo))</f>
        <v/>
      </c>
      <c r="CR9" s="17">
        <f>IF(93&lt;DeliverStart,0,MIN(StabLeasedTarget,CR$8,(93-DeliverStart+1)*UnitsLeasedPerMo))</f>
        <v/>
      </c>
      <c r="CS9" s="17">
        <f>IF(94&lt;DeliverStart,0,MIN(StabLeasedTarget,CS$8,(94-DeliverStart+1)*UnitsLeasedPerMo))</f>
        <v/>
      </c>
      <c r="CT9" s="17">
        <f>IF(95&lt;DeliverStart,0,MIN(StabLeasedTarget,CT$8,(95-DeliverStart+1)*UnitsLeasedPerMo))</f>
        <v/>
      </c>
      <c r="CU9" s="17">
        <f>IF(96&lt;DeliverStart,0,MIN(StabLeasedTarget,CU$8,(96-DeliverStart+1)*UnitsLeasedPerMo))</f>
        <v/>
      </c>
      <c r="CV9" s="17">
        <f>IF(97&lt;DeliverStart,0,MIN(StabLeasedTarget,CV$8,(97-DeliverStart+1)*UnitsLeasedPerMo))</f>
        <v/>
      </c>
      <c r="CW9" s="17">
        <f>IF(98&lt;DeliverStart,0,MIN(StabLeasedTarget,CW$8,(98-DeliverStart+1)*UnitsLeasedPerMo))</f>
        <v/>
      </c>
      <c r="CX9" s="17">
        <f>IF(99&lt;DeliverStart,0,MIN(StabLeasedTarget,CX$8,(99-DeliverStart+1)*UnitsLeasedPerMo))</f>
        <v/>
      </c>
      <c r="CY9" s="17">
        <f>IF(100&lt;DeliverStart,0,MIN(StabLeasedTarget,CY$8,(100-DeliverStart+1)*UnitsLeasedPerMo))</f>
        <v/>
      </c>
      <c r="CZ9" s="17">
        <f>IF(101&lt;DeliverStart,0,MIN(StabLeasedTarget,CZ$8,(101-DeliverStart+1)*UnitsLeasedPerMo))</f>
        <v/>
      </c>
      <c r="DA9" s="17">
        <f>IF(102&lt;DeliverStart,0,MIN(StabLeasedTarget,DA$8,(102-DeliverStart+1)*UnitsLeasedPerMo))</f>
        <v/>
      </c>
      <c r="DB9" s="17">
        <f>IF(103&lt;DeliverStart,0,MIN(StabLeasedTarget,DB$8,(103-DeliverStart+1)*UnitsLeasedPerMo))</f>
        <v/>
      </c>
      <c r="DC9" s="17">
        <f>IF(104&lt;DeliverStart,0,MIN(StabLeasedTarget,DC$8,(104-DeliverStart+1)*UnitsLeasedPerMo))</f>
        <v/>
      </c>
      <c r="DD9" s="17">
        <f>IF(105&lt;DeliverStart,0,MIN(StabLeasedTarget,DD$8,(105-DeliverStart+1)*UnitsLeasedPerMo))</f>
        <v/>
      </c>
      <c r="DE9" s="17">
        <f>IF(106&lt;DeliverStart,0,MIN(StabLeasedTarget,DE$8,(106-DeliverStart+1)*UnitsLeasedPerMo))</f>
        <v/>
      </c>
      <c r="DF9" s="17">
        <f>IF(107&lt;DeliverStart,0,MIN(StabLeasedTarget,DF$8,(107-DeliverStart+1)*UnitsLeasedPerMo))</f>
        <v/>
      </c>
      <c r="DG9" s="17">
        <f>IF(108&lt;DeliverStart,0,MIN(StabLeasedTarget,DG$8,(108-DeliverStart+1)*UnitsLeasedPerMo))</f>
        <v/>
      </c>
      <c r="DH9" s="17">
        <f>IF(109&lt;DeliverStart,0,MIN(StabLeasedTarget,DH$8,(109-DeliverStart+1)*UnitsLeasedPerMo))</f>
        <v/>
      </c>
      <c r="DI9" s="17">
        <f>IF(110&lt;DeliverStart,0,MIN(StabLeasedTarget,DI$8,(110-DeliverStart+1)*UnitsLeasedPerMo))</f>
        <v/>
      </c>
      <c r="DJ9" s="17">
        <f>IF(111&lt;DeliverStart,0,MIN(StabLeasedTarget,DJ$8,(111-DeliverStart+1)*UnitsLeasedPerMo))</f>
        <v/>
      </c>
      <c r="DK9" s="17">
        <f>IF(112&lt;DeliverStart,0,MIN(StabLeasedTarget,DK$8,(112-DeliverStart+1)*UnitsLeasedPerMo))</f>
        <v/>
      </c>
      <c r="DL9" s="17">
        <f>IF(113&lt;DeliverStart,0,MIN(StabLeasedTarget,DL$8,(113-DeliverStart+1)*UnitsLeasedPerMo))</f>
        <v/>
      </c>
      <c r="DM9" s="17">
        <f>IF(114&lt;DeliverStart,0,MIN(StabLeasedTarget,DM$8,(114-DeliverStart+1)*UnitsLeasedPerMo))</f>
        <v/>
      </c>
      <c r="DN9" s="17">
        <f>IF(115&lt;DeliverStart,0,MIN(StabLeasedTarget,DN$8,(115-DeliverStart+1)*UnitsLeasedPerMo))</f>
        <v/>
      </c>
      <c r="DO9" s="17">
        <f>IF(116&lt;DeliverStart,0,MIN(StabLeasedTarget,DO$8,(116-DeliverStart+1)*UnitsLeasedPerMo))</f>
        <v/>
      </c>
      <c r="DP9" s="17">
        <f>IF(117&lt;DeliverStart,0,MIN(StabLeasedTarget,DP$8,(117-DeliverStart+1)*UnitsLeasedPerMo))</f>
        <v/>
      </c>
      <c r="DQ9" s="17">
        <f>IF(118&lt;DeliverStart,0,MIN(StabLeasedTarget,DQ$8,(118-DeliverStart+1)*UnitsLeasedPerMo))</f>
        <v/>
      </c>
      <c r="DR9" s="17">
        <f>IF(119&lt;DeliverStart,0,MIN(StabLeasedTarget,DR$8,(119-DeliverStart+1)*UnitsLeasedPerMo))</f>
        <v/>
      </c>
      <c r="DS9" s="17">
        <f>IF(120&lt;DeliverStart,0,MIN(StabLeasedTarget,DS$8,(120-DeliverStart+1)*UnitsLeasedPerMo))</f>
        <v/>
      </c>
      <c r="DT9" s="17">
        <f>IF(121&lt;DeliverStart,0,MIN(StabLeasedTarget,DT$8,(121-DeliverStart+1)*UnitsLeasedPerMo))</f>
        <v/>
      </c>
      <c r="DU9" s="17">
        <f>IF(122&lt;DeliverStart,0,MIN(StabLeasedTarget,DU$8,(122-DeliverStart+1)*UnitsLeasedPerMo))</f>
        <v/>
      </c>
      <c r="DV9" s="17">
        <f>IF(123&lt;DeliverStart,0,MIN(StabLeasedTarget,DV$8,(123-DeliverStart+1)*UnitsLeasedPerMo))</f>
        <v/>
      </c>
      <c r="DW9" s="17">
        <f>IF(124&lt;DeliverStart,0,MIN(StabLeasedTarget,DW$8,(124-DeliverStart+1)*UnitsLeasedPerMo))</f>
        <v/>
      </c>
      <c r="DX9" s="17">
        <f>IF(125&lt;DeliverStart,0,MIN(StabLeasedTarget,DX$8,(125-DeliverStart+1)*UnitsLeasedPerMo))</f>
        <v/>
      </c>
      <c r="DY9" s="17">
        <f>IF(126&lt;DeliverStart,0,MIN(StabLeasedTarget,DY$8,(126-DeliverStart+1)*UnitsLeasedPerMo))</f>
        <v/>
      </c>
      <c r="DZ9" s="17">
        <f>IF(127&lt;DeliverStart,0,MIN(StabLeasedTarget,DZ$8,(127-DeliverStart+1)*UnitsLeasedPerMo))</f>
        <v/>
      </c>
      <c r="EA9" s="17">
        <f>IF(128&lt;DeliverStart,0,MIN(StabLeasedTarget,EA$8,(128-DeliverStart+1)*UnitsLeasedPerMo))</f>
        <v/>
      </c>
      <c r="EB9" s="17">
        <f>IF(129&lt;DeliverStart,0,MIN(StabLeasedTarget,EB$8,(129-DeliverStart+1)*UnitsLeasedPerMo))</f>
        <v/>
      </c>
      <c r="EC9" s="17">
        <f>IF(130&lt;DeliverStart,0,MIN(StabLeasedTarget,EC$8,(130-DeliverStart+1)*UnitsLeasedPerMo))</f>
        <v/>
      </c>
      <c r="ED9" s="17">
        <f>IF(131&lt;DeliverStart,0,MIN(StabLeasedTarget,ED$8,(131-DeliverStart+1)*UnitsLeasedPerMo))</f>
        <v/>
      </c>
      <c r="EE9" s="17">
        <f>IF(132&lt;DeliverStart,0,MIN(StabLeasedTarget,EE$8,(132-DeliverStart+1)*UnitsLeasedPerMo))</f>
        <v/>
      </c>
      <c r="EF9" s="17">
        <f>IF(133&lt;DeliverStart,0,MIN(StabLeasedTarget,EF$8,(133-DeliverStart+1)*UnitsLeasedPerMo))</f>
        <v/>
      </c>
      <c r="EG9" s="17">
        <f>IF(134&lt;DeliverStart,0,MIN(StabLeasedTarget,EG$8,(134-DeliverStart+1)*UnitsLeasedPerMo))</f>
        <v/>
      </c>
      <c r="EH9" s="17">
        <f>IF(135&lt;DeliverStart,0,MIN(StabLeasedTarget,EH$8,(135-DeliverStart+1)*UnitsLeasedPerMo))</f>
        <v/>
      </c>
      <c r="EI9" s="17">
        <f>IF(136&lt;DeliverStart,0,MIN(StabLeasedTarget,EI$8,(136-DeliverStart+1)*UnitsLeasedPerMo))</f>
        <v/>
      </c>
      <c r="EJ9" s="17">
        <f>IF(137&lt;DeliverStart,0,MIN(StabLeasedTarget,EJ$8,(137-DeliverStart+1)*UnitsLeasedPerMo))</f>
        <v/>
      </c>
      <c r="EK9" s="17">
        <f>IF(138&lt;DeliverStart,0,MIN(StabLeasedTarget,EK$8,(138-DeliverStart+1)*UnitsLeasedPerMo))</f>
        <v/>
      </c>
      <c r="EL9" s="17">
        <f>IF(139&lt;DeliverStart,0,MIN(StabLeasedTarget,EL$8,(139-DeliverStart+1)*UnitsLeasedPerMo))</f>
        <v/>
      </c>
      <c r="EM9" s="17">
        <f>IF(140&lt;DeliverStart,0,MIN(StabLeasedTarget,EM$8,(140-DeliverStart+1)*UnitsLeasedPerMo))</f>
        <v/>
      </c>
      <c r="EN9" s="17">
        <f>IF(141&lt;DeliverStart,0,MIN(StabLeasedTarget,EN$8,(141-DeliverStart+1)*UnitsLeasedPerMo))</f>
        <v/>
      </c>
      <c r="EO9" s="17">
        <f>IF(142&lt;DeliverStart,0,MIN(StabLeasedTarget,EO$8,(142-DeliverStart+1)*UnitsLeasedPerMo))</f>
        <v/>
      </c>
      <c r="EP9" s="17">
        <f>IF(143&lt;DeliverStart,0,MIN(StabLeasedTarget,EP$8,(143-DeliverStart+1)*UnitsLeasedPerMo))</f>
        <v/>
      </c>
      <c r="EQ9" s="17">
        <f>IF(144&lt;DeliverStart,0,MIN(StabLeasedTarget,EQ$8,(144-DeliverStart+1)*UnitsLeasedPerMo))</f>
        <v/>
      </c>
      <c r="ER9" s="17">
        <f>IF(145&lt;DeliverStart,0,MIN(StabLeasedTarget,ER$8,(145-DeliverStart+1)*UnitsLeasedPerMo))</f>
        <v/>
      </c>
      <c r="ES9" s="17">
        <f>IF(146&lt;DeliverStart,0,MIN(StabLeasedTarget,ES$8,(146-DeliverStart+1)*UnitsLeasedPerMo))</f>
        <v/>
      </c>
      <c r="ET9" s="17">
        <f>IF(147&lt;DeliverStart,0,MIN(StabLeasedTarget,ET$8,(147-DeliverStart+1)*UnitsLeasedPerMo))</f>
        <v/>
      </c>
      <c r="EU9" s="17">
        <f>IF(148&lt;DeliverStart,0,MIN(StabLeasedTarget,EU$8,(148-DeliverStart+1)*UnitsLeasedPerMo))</f>
        <v/>
      </c>
      <c r="EV9" s="17">
        <f>IF(149&lt;DeliverStart,0,MIN(StabLeasedTarget,EV$8,(149-DeliverStart+1)*UnitsLeasedPerMo))</f>
        <v/>
      </c>
      <c r="EW9" s="17">
        <f>IF(150&lt;DeliverStart,0,MIN(StabLeasedTarget,EW$8,(150-DeliverStart+1)*UnitsLeasedPerMo))</f>
        <v/>
      </c>
      <c r="EX9" s="17">
        <f>IF(151&lt;DeliverStart,0,MIN(StabLeasedTarget,EX$8,(151-DeliverStart+1)*UnitsLeasedPerMo))</f>
        <v/>
      </c>
      <c r="EY9" s="17">
        <f>IF(152&lt;DeliverStart,0,MIN(StabLeasedTarget,EY$8,(152-DeliverStart+1)*UnitsLeasedPerMo))</f>
        <v/>
      </c>
      <c r="EZ9" s="17">
        <f>IF(153&lt;DeliverStart,0,MIN(StabLeasedTarget,EZ$8,(153-DeliverStart+1)*UnitsLeasedPerMo))</f>
        <v/>
      </c>
      <c r="FA9" s="17">
        <f>IF(154&lt;DeliverStart,0,MIN(StabLeasedTarget,FA$8,(154-DeliverStart+1)*UnitsLeasedPerMo))</f>
        <v/>
      </c>
      <c r="FB9" s="17">
        <f>IF(155&lt;DeliverStart,0,MIN(StabLeasedTarget,FB$8,(155-DeliverStart+1)*UnitsLeasedPerMo))</f>
        <v/>
      </c>
      <c r="FC9" s="17">
        <f>IF(156&lt;DeliverStart,0,MIN(StabLeasedTarget,FC$8,(156-DeliverStart+1)*UnitsLeasedPerMo))</f>
        <v/>
      </c>
      <c r="FD9" s="17">
        <f>IF(157&lt;DeliverStart,0,MIN(StabLeasedTarget,FD$8,(157-DeliverStart+1)*UnitsLeasedPerMo))</f>
        <v/>
      </c>
      <c r="FE9" s="17">
        <f>IF(158&lt;DeliverStart,0,MIN(StabLeasedTarget,FE$8,(158-DeliverStart+1)*UnitsLeasedPerMo))</f>
        <v/>
      </c>
      <c r="FF9" s="17">
        <f>IF(159&lt;DeliverStart,0,MIN(StabLeasedTarget,FF$8,(159-DeliverStart+1)*UnitsLeasedPerMo))</f>
        <v/>
      </c>
      <c r="FG9" s="17">
        <f>IF(160&lt;DeliverStart,0,MIN(StabLeasedTarget,FG$8,(160-DeliverStart+1)*UnitsLeasedPerMo))</f>
        <v/>
      </c>
      <c r="FH9" s="17">
        <f>IF(161&lt;DeliverStart,0,MIN(StabLeasedTarget,FH$8,(161-DeliverStart+1)*UnitsLeasedPerMo))</f>
        <v/>
      </c>
      <c r="FI9" s="17">
        <f>IF(162&lt;DeliverStart,0,MIN(StabLeasedTarget,FI$8,(162-DeliverStart+1)*UnitsLeasedPerMo))</f>
        <v/>
      </c>
      <c r="FJ9" s="17">
        <f>IF(163&lt;DeliverStart,0,MIN(StabLeasedTarget,FJ$8,(163-DeliverStart+1)*UnitsLeasedPerMo))</f>
        <v/>
      </c>
      <c r="FK9" s="17">
        <f>IF(164&lt;DeliverStart,0,MIN(StabLeasedTarget,FK$8,(164-DeliverStart+1)*UnitsLeasedPerMo))</f>
        <v/>
      </c>
      <c r="FL9" s="17">
        <f>IF(165&lt;DeliverStart,0,MIN(StabLeasedTarget,FL$8,(165-DeliverStart+1)*UnitsLeasedPerMo))</f>
        <v/>
      </c>
      <c r="FM9" s="17">
        <f>IF(166&lt;DeliverStart,0,MIN(StabLeasedTarget,FM$8,(166-DeliverStart+1)*UnitsLeasedPerMo))</f>
        <v/>
      </c>
      <c r="FN9" s="17">
        <f>IF(167&lt;DeliverStart,0,MIN(StabLeasedTarget,FN$8,(167-DeliverStart+1)*UnitsLeasedPerMo))</f>
        <v/>
      </c>
      <c r="FO9" s="17">
        <f>IF(168&lt;DeliverStart,0,MIN(StabLeasedTarget,FO$8,(168-DeliverStart+1)*UnitsLeasedPerMo))</f>
        <v/>
      </c>
      <c r="FP9" s="17">
        <f>IF(169&lt;DeliverStart,0,MIN(StabLeasedTarget,FP$8,(169-DeliverStart+1)*UnitsLeasedPerMo))</f>
        <v/>
      </c>
      <c r="FQ9" s="17">
        <f>IF(170&lt;DeliverStart,0,MIN(StabLeasedTarget,FQ$8,(170-DeliverStart+1)*UnitsLeasedPerMo))</f>
        <v/>
      </c>
      <c r="FR9" s="17">
        <f>IF(171&lt;DeliverStart,0,MIN(StabLeasedTarget,FR$8,(171-DeliverStart+1)*UnitsLeasedPerMo))</f>
        <v/>
      </c>
      <c r="FS9" s="17">
        <f>IF(172&lt;DeliverStart,0,MIN(StabLeasedTarget,FS$8,(172-DeliverStart+1)*UnitsLeasedPerMo))</f>
        <v/>
      </c>
      <c r="FT9" s="17">
        <f>IF(173&lt;DeliverStart,0,MIN(StabLeasedTarget,FT$8,(173-DeliverStart+1)*UnitsLeasedPerMo))</f>
        <v/>
      </c>
      <c r="FU9" s="17">
        <f>IF(174&lt;DeliverStart,0,MIN(StabLeasedTarget,FU$8,(174-DeliverStart+1)*UnitsLeasedPerMo))</f>
        <v/>
      </c>
      <c r="FV9" s="17">
        <f>IF(175&lt;DeliverStart,0,MIN(StabLeasedTarget,FV$8,(175-DeliverStart+1)*UnitsLeasedPerMo))</f>
        <v/>
      </c>
      <c r="FW9" s="17">
        <f>IF(176&lt;DeliverStart,0,MIN(StabLeasedTarget,FW$8,(176-DeliverStart+1)*UnitsLeasedPerMo))</f>
        <v/>
      </c>
      <c r="FX9" s="17">
        <f>IF(177&lt;DeliverStart,0,MIN(StabLeasedTarget,FX$8,(177-DeliverStart+1)*UnitsLeasedPerMo))</f>
        <v/>
      </c>
      <c r="FY9" s="17">
        <f>IF(178&lt;DeliverStart,0,MIN(StabLeasedTarget,FY$8,(178-DeliverStart+1)*UnitsLeasedPerMo))</f>
        <v/>
      </c>
      <c r="FZ9" s="17">
        <f>IF(179&lt;DeliverStart,0,MIN(StabLeasedTarget,FZ$8,(179-DeliverStart+1)*UnitsLeasedPerMo))</f>
        <v/>
      </c>
      <c r="GA9" s="17">
        <f>IF(180&lt;DeliverStart,0,MIN(StabLeasedTarget,GA$8,(180-DeliverStart+1)*UnitsLeasedPerMo))</f>
        <v/>
      </c>
      <c r="GB9" s="17">
        <f>IF(181&lt;DeliverStart,0,MIN(StabLeasedTarget,GB$8,(181-DeliverStart+1)*UnitsLeasedPerMo))</f>
        <v/>
      </c>
      <c r="GC9" s="17">
        <f>IF(182&lt;DeliverStart,0,MIN(StabLeasedTarget,GC$8,(182-DeliverStart+1)*UnitsLeasedPerMo))</f>
        <v/>
      </c>
      <c r="GD9" s="17">
        <f>IF(183&lt;DeliverStart,0,MIN(StabLeasedTarget,GD$8,(183-DeliverStart+1)*UnitsLeasedPerMo))</f>
        <v/>
      </c>
      <c r="GE9" s="17">
        <f>IF(184&lt;DeliverStart,0,MIN(StabLeasedTarget,GE$8,(184-DeliverStart+1)*UnitsLeasedPerMo))</f>
        <v/>
      </c>
      <c r="GF9" s="17">
        <f>IF(185&lt;DeliverStart,0,MIN(StabLeasedTarget,GF$8,(185-DeliverStart+1)*UnitsLeasedPerMo))</f>
        <v/>
      </c>
      <c r="GG9" s="17">
        <f>IF(186&lt;DeliverStart,0,MIN(StabLeasedTarget,GG$8,(186-DeliverStart+1)*UnitsLeasedPerMo))</f>
        <v/>
      </c>
      <c r="GH9" s="17">
        <f>IF(187&lt;DeliverStart,0,MIN(StabLeasedTarget,GH$8,(187-DeliverStart+1)*UnitsLeasedPerMo))</f>
        <v/>
      </c>
      <c r="GI9" s="17">
        <f>IF(188&lt;DeliverStart,0,MIN(StabLeasedTarget,GI$8,(188-DeliverStart+1)*UnitsLeasedPerMo))</f>
        <v/>
      </c>
      <c r="GJ9" s="17">
        <f>IF(189&lt;DeliverStart,0,MIN(StabLeasedTarget,GJ$8,(189-DeliverStart+1)*UnitsLeasedPerMo))</f>
        <v/>
      </c>
      <c r="GK9" s="17">
        <f>IF(190&lt;DeliverStart,0,MIN(StabLeasedTarget,GK$8,(190-DeliverStart+1)*UnitsLeasedPerMo))</f>
        <v/>
      </c>
      <c r="GL9" s="17">
        <f>IF(191&lt;DeliverStart,0,MIN(StabLeasedTarget,GL$8,(191-DeliverStart+1)*UnitsLeasedPerMo))</f>
        <v/>
      </c>
      <c r="GM9" s="17">
        <f>IF(192&lt;DeliverStart,0,MIN(StabLeasedTarget,GM$8,(192-DeliverStart+1)*UnitsLeasedPerMo))</f>
        <v/>
      </c>
      <c r="GN9" s="17">
        <f>IF(193&lt;DeliverStart,0,MIN(StabLeasedTarget,GN$8,(193-DeliverStart+1)*UnitsLeasedPerMo))</f>
        <v/>
      </c>
      <c r="GO9" s="17">
        <f>IF(194&lt;DeliverStart,0,MIN(StabLeasedTarget,GO$8,(194-DeliverStart+1)*UnitsLeasedPerMo))</f>
        <v/>
      </c>
      <c r="GP9" s="17">
        <f>IF(195&lt;DeliverStart,0,MIN(StabLeasedTarget,GP$8,(195-DeliverStart+1)*UnitsLeasedPerMo))</f>
        <v/>
      </c>
      <c r="GQ9" s="17">
        <f>IF(196&lt;DeliverStart,0,MIN(StabLeasedTarget,GQ$8,(196-DeliverStart+1)*UnitsLeasedPerMo))</f>
        <v/>
      </c>
      <c r="GR9" s="17">
        <f>IF(197&lt;DeliverStart,0,MIN(StabLeasedTarget,GR$8,(197-DeliverStart+1)*UnitsLeasedPerMo))</f>
        <v/>
      </c>
      <c r="GS9" s="17">
        <f>IF(198&lt;DeliverStart,0,MIN(StabLeasedTarget,GS$8,(198-DeliverStart+1)*UnitsLeasedPerMo))</f>
        <v/>
      </c>
      <c r="GT9" s="17">
        <f>IF(199&lt;DeliverStart,0,MIN(StabLeasedTarget,GT$8,(199-DeliverStart+1)*UnitsLeasedPerMo))</f>
        <v/>
      </c>
      <c r="GU9" s="17">
        <f>IF(200&lt;DeliverStart,0,MIN(StabLeasedTarget,GU$8,(200-DeliverStart+1)*UnitsLeasedPerMo))</f>
        <v/>
      </c>
      <c r="GV9" s="17">
        <f>IF(201&lt;DeliverStart,0,MIN(StabLeasedTarget,GV$8,(201-DeliverStart+1)*UnitsLeasedPerMo))</f>
        <v/>
      </c>
      <c r="GW9" s="17">
        <f>IF(202&lt;DeliverStart,0,MIN(StabLeasedTarget,GW$8,(202-DeliverStart+1)*UnitsLeasedPerMo))</f>
        <v/>
      </c>
      <c r="GX9" s="17">
        <f>IF(203&lt;DeliverStart,0,MIN(StabLeasedTarget,GX$8,(203-DeliverStart+1)*UnitsLeasedPerMo))</f>
        <v/>
      </c>
      <c r="GY9" s="17">
        <f>IF(204&lt;DeliverStart,0,MIN(StabLeasedTarget,GY$8,(204-DeliverStart+1)*UnitsLeasedPerMo))</f>
        <v/>
      </c>
      <c r="GZ9" s="17">
        <f>IF(205&lt;DeliverStart,0,MIN(StabLeasedTarget,GZ$8,(205-DeliverStart+1)*UnitsLeasedPerMo))</f>
        <v/>
      </c>
      <c r="HA9" s="17">
        <f>IF(206&lt;DeliverStart,0,MIN(StabLeasedTarget,HA$8,(206-DeliverStart+1)*UnitsLeasedPerMo))</f>
        <v/>
      </c>
      <c r="HB9" s="17">
        <f>IF(207&lt;DeliverStart,0,MIN(StabLeasedTarget,HB$8,(207-DeliverStart+1)*UnitsLeasedPerMo))</f>
        <v/>
      </c>
      <c r="HC9" s="17">
        <f>IF(208&lt;DeliverStart,0,MIN(StabLeasedTarget,HC$8,(208-DeliverStart+1)*UnitsLeasedPerMo))</f>
        <v/>
      </c>
      <c r="HD9" s="17">
        <f>IF(209&lt;DeliverStart,0,MIN(StabLeasedTarget,HD$8,(209-DeliverStart+1)*UnitsLeasedPerMo))</f>
        <v/>
      </c>
      <c r="HE9" s="17">
        <f>IF(210&lt;DeliverStart,0,MIN(StabLeasedTarget,HE$8,(210-DeliverStart+1)*UnitsLeasedPerMo))</f>
        <v/>
      </c>
      <c r="HF9" s="17">
        <f>IF(211&lt;DeliverStart,0,MIN(StabLeasedTarget,HF$8,(211-DeliverStart+1)*UnitsLeasedPerMo))</f>
        <v/>
      </c>
      <c r="HG9" s="17">
        <f>IF(212&lt;DeliverStart,0,MIN(StabLeasedTarget,HG$8,(212-DeliverStart+1)*UnitsLeasedPerMo))</f>
        <v/>
      </c>
      <c r="HH9" s="17">
        <f>IF(213&lt;DeliverStart,0,MIN(StabLeasedTarget,HH$8,(213-DeliverStart+1)*UnitsLeasedPerMo))</f>
        <v/>
      </c>
      <c r="HI9" s="17">
        <f>IF(214&lt;DeliverStart,0,MIN(StabLeasedTarget,HI$8,(214-DeliverStart+1)*UnitsLeasedPerMo))</f>
        <v/>
      </c>
      <c r="HJ9" s="17">
        <f>IF(215&lt;DeliverStart,0,MIN(StabLeasedTarget,HJ$8,(215-DeliverStart+1)*UnitsLeasedPerMo))</f>
        <v/>
      </c>
      <c r="HK9" s="17">
        <f>IF(216&lt;DeliverStart,0,MIN(StabLeasedTarget,HK$8,(216-DeliverStart+1)*UnitsLeasedPerMo))</f>
        <v/>
      </c>
      <c r="HL9" s="17">
        <f>IF(217&lt;DeliverStart,0,MIN(StabLeasedTarget,HL$8,(217-DeliverStart+1)*UnitsLeasedPerMo))</f>
        <v/>
      </c>
      <c r="HM9" s="17">
        <f>IF(218&lt;DeliverStart,0,MIN(StabLeasedTarget,HM$8,(218-DeliverStart+1)*UnitsLeasedPerMo))</f>
        <v/>
      </c>
      <c r="HN9" s="17">
        <f>IF(219&lt;DeliverStart,0,MIN(StabLeasedTarget,HN$8,(219-DeliverStart+1)*UnitsLeasedPerMo))</f>
        <v/>
      </c>
      <c r="HO9" s="17">
        <f>IF(220&lt;DeliverStart,0,MIN(StabLeasedTarget,HO$8,(220-DeliverStart+1)*UnitsLeasedPerMo))</f>
        <v/>
      </c>
      <c r="HP9" s="17">
        <f>IF(221&lt;DeliverStart,0,MIN(StabLeasedTarget,HP$8,(221-DeliverStart+1)*UnitsLeasedPerMo))</f>
        <v/>
      </c>
      <c r="HQ9" s="17">
        <f>IF(222&lt;DeliverStart,0,MIN(StabLeasedTarget,HQ$8,(222-DeliverStart+1)*UnitsLeasedPerMo))</f>
        <v/>
      </c>
      <c r="HR9" s="17">
        <f>IF(223&lt;DeliverStart,0,MIN(StabLeasedTarget,HR$8,(223-DeliverStart+1)*UnitsLeasedPerMo))</f>
        <v/>
      </c>
      <c r="HS9" s="17">
        <f>IF(224&lt;DeliverStart,0,MIN(StabLeasedTarget,HS$8,(224-DeliverStart+1)*UnitsLeasedPerMo))</f>
        <v/>
      </c>
      <c r="HT9" s="17">
        <f>IF(225&lt;DeliverStart,0,MIN(StabLeasedTarget,HT$8,(225-DeliverStart+1)*UnitsLeasedPerMo))</f>
        <v/>
      </c>
      <c r="HU9" s="17">
        <f>IF(226&lt;DeliverStart,0,MIN(StabLeasedTarget,HU$8,(226-DeliverStart+1)*UnitsLeasedPerMo))</f>
        <v/>
      </c>
      <c r="HV9" s="17">
        <f>IF(227&lt;DeliverStart,0,MIN(StabLeasedTarget,HV$8,(227-DeliverStart+1)*UnitsLeasedPerMo))</f>
        <v/>
      </c>
      <c r="HW9" s="17">
        <f>IF(228&lt;DeliverStart,0,MIN(StabLeasedTarget,HW$8,(228-DeliverStart+1)*UnitsLeasedPerMo))</f>
        <v/>
      </c>
      <c r="HX9" s="17">
        <f>IF(229&lt;DeliverStart,0,MIN(StabLeasedTarget,HX$8,(229-DeliverStart+1)*UnitsLeasedPerMo))</f>
        <v/>
      </c>
      <c r="HY9" s="17">
        <f>IF(230&lt;DeliverStart,0,MIN(StabLeasedTarget,HY$8,(230-DeliverStart+1)*UnitsLeasedPerMo))</f>
        <v/>
      </c>
      <c r="HZ9" s="17">
        <f>IF(231&lt;DeliverStart,0,MIN(StabLeasedTarget,HZ$8,(231-DeliverStart+1)*UnitsLeasedPerMo))</f>
        <v/>
      </c>
      <c r="IA9" s="17">
        <f>IF(232&lt;DeliverStart,0,MIN(StabLeasedTarget,IA$8,(232-DeliverStart+1)*UnitsLeasedPerMo))</f>
        <v/>
      </c>
      <c r="IB9" s="17">
        <f>IF(233&lt;DeliverStart,0,MIN(StabLeasedTarget,IB$8,(233-DeliverStart+1)*UnitsLeasedPerMo))</f>
        <v/>
      </c>
      <c r="IC9" s="17">
        <f>IF(234&lt;DeliverStart,0,MIN(StabLeasedTarget,IC$8,(234-DeliverStart+1)*UnitsLeasedPerMo))</f>
        <v/>
      </c>
      <c r="ID9" s="17">
        <f>IF(235&lt;DeliverStart,0,MIN(StabLeasedTarget,ID$8,(235-DeliverStart+1)*UnitsLeasedPerMo))</f>
        <v/>
      </c>
      <c r="IE9" s="17">
        <f>IF(236&lt;DeliverStart,0,MIN(StabLeasedTarget,IE$8,(236-DeliverStart+1)*UnitsLeasedPerMo))</f>
        <v/>
      </c>
      <c r="IF9" s="17">
        <f>IF(237&lt;DeliverStart,0,MIN(StabLeasedTarget,IF$8,(237-DeliverStart+1)*UnitsLeasedPerMo))</f>
        <v/>
      </c>
      <c r="IG9" s="17">
        <f>IF(238&lt;DeliverStart,0,MIN(StabLeasedTarget,IG$8,(238-DeliverStart+1)*UnitsLeasedPerMo))</f>
        <v/>
      </c>
      <c r="IH9" s="17">
        <f>IF(239&lt;DeliverStart,0,MIN(StabLeasedTarget,IH$8,(239-DeliverStart+1)*UnitsLeasedPerMo))</f>
        <v/>
      </c>
      <c r="II9" s="17">
        <f>IF(240&lt;DeliverStart,0,MIN(StabLeasedTarget,II$8,(240-DeliverStart+1)*UnitsLeasedPerMo))</f>
        <v/>
      </c>
      <c r="IJ9" s="17">
        <f>IF(241&lt;DeliverStart,0,MIN(StabLeasedTarget,IJ$8,(241-DeliverStart+1)*UnitsLeasedPerMo))</f>
        <v/>
      </c>
      <c r="IK9" s="17">
        <f>IF(242&lt;DeliverStart,0,MIN(StabLeasedTarget,IK$8,(242-DeliverStart+1)*UnitsLeasedPerMo))</f>
        <v/>
      </c>
      <c r="IL9" s="17">
        <f>IF(243&lt;DeliverStart,0,MIN(StabLeasedTarget,IL$8,(243-DeliverStart+1)*UnitsLeasedPerMo))</f>
        <v/>
      </c>
      <c r="IM9" s="17">
        <f>IF(244&lt;DeliverStart,0,MIN(StabLeasedTarget,IM$8,(244-DeliverStart+1)*UnitsLeasedPerMo))</f>
        <v/>
      </c>
      <c r="IN9" s="17">
        <f>IF(245&lt;DeliverStart,0,MIN(StabLeasedTarget,IN$8,(245-DeliverStart+1)*UnitsLeasedPerMo))</f>
        <v/>
      </c>
      <c r="IO9" s="17">
        <f>IF(246&lt;DeliverStart,0,MIN(StabLeasedTarget,IO$8,(246-DeliverStart+1)*UnitsLeasedPerMo))</f>
        <v/>
      </c>
      <c r="IP9" s="17">
        <f>IF(247&lt;DeliverStart,0,MIN(StabLeasedTarget,IP$8,(247-DeliverStart+1)*UnitsLeasedPerMo))</f>
        <v/>
      </c>
      <c r="IQ9" s="17">
        <f>IF(248&lt;DeliverStart,0,MIN(StabLeasedTarget,IQ$8,(248-DeliverStart+1)*UnitsLeasedPerMo))</f>
        <v/>
      </c>
      <c r="IR9" s="17">
        <f>IF(249&lt;DeliverStart,0,MIN(StabLeasedTarget,IR$8,(249-DeliverStart+1)*UnitsLeasedPerMo))</f>
        <v/>
      </c>
      <c r="IS9" s="17">
        <f>IF(250&lt;DeliverStart,0,MIN(StabLeasedTarget,IS$8,(250-DeliverStart+1)*UnitsLeasedPerMo))</f>
        <v/>
      </c>
      <c r="IT9" s="17">
        <f>IF(251&lt;DeliverStart,0,MIN(StabLeasedTarget,IT$8,(251-DeliverStart+1)*UnitsLeasedPerMo))</f>
        <v/>
      </c>
      <c r="IU9" s="17">
        <f>IF(252&lt;DeliverStart,0,MIN(StabLeasedTarget,IU$8,(252-DeliverStart+1)*UnitsLeasedPerMo))</f>
        <v/>
      </c>
      <c r="IV9" s="17">
        <f>IF(253&lt;DeliverStart,0,MIN(StabLeasedTarget,IV$8,(253-DeliverStart+1)*UnitsLeasedPerMo))</f>
        <v/>
      </c>
      <c r="IW9" s="17">
        <f>IF(254&lt;DeliverStart,0,MIN(StabLeasedTarget,IW$8,(254-DeliverStart+1)*UnitsLeasedPerMo))</f>
        <v/>
      </c>
      <c r="IX9" s="17">
        <f>IF(255&lt;DeliverStart,0,MIN(StabLeasedTarget,IX$8,(255-DeliverStart+1)*UnitsLeasedPerMo))</f>
        <v/>
      </c>
      <c r="IY9" s="17">
        <f>IF(256&lt;DeliverStart,0,MIN(StabLeasedTarget,IY$8,(256-DeliverStart+1)*UnitsLeasedPerMo))</f>
        <v/>
      </c>
      <c r="IZ9" s="17">
        <f>IF(257&lt;DeliverStart,0,MIN(StabLeasedTarget,IZ$8,(257-DeliverStart+1)*UnitsLeasedPerMo))</f>
        <v/>
      </c>
      <c r="JA9" s="17">
        <f>IF(258&lt;DeliverStart,0,MIN(StabLeasedTarget,JA$8,(258-DeliverStart+1)*UnitsLeasedPerMo))</f>
        <v/>
      </c>
      <c r="JB9" s="17">
        <f>IF(259&lt;DeliverStart,0,MIN(StabLeasedTarget,JB$8,(259-DeliverStart+1)*UnitsLeasedPerMo))</f>
        <v/>
      </c>
      <c r="JC9" s="17">
        <f>IF(260&lt;DeliverStart,0,MIN(StabLeasedTarget,JC$8,(260-DeliverStart+1)*UnitsLeasedPerMo))</f>
        <v/>
      </c>
      <c r="JD9" s="17">
        <f>IF(261&lt;DeliverStart,0,MIN(StabLeasedTarget,JD$8,(261-DeliverStart+1)*UnitsLeasedPerMo))</f>
        <v/>
      </c>
      <c r="JE9" s="17">
        <f>IF(262&lt;DeliverStart,0,MIN(StabLeasedTarget,JE$8,(262-DeliverStart+1)*UnitsLeasedPerMo))</f>
        <v/>
      </c>
      <c r="JF9" s="17">
        <f>IF(263&lt;DeliverStart,0,MIN(StabLeasedTarget,JF$8,(263-DeliverStart+1)*UnitsLeasedPerMo))</f>
        <v/>
      </c>
      <c r="JG9" s="17">
        <f>IF(264&lt;DeliverStart,0,MIN(StabLeasedTarget,JG$8,(264-DeliverStart+1)*UnitsLeasedPerMo))</f>
        <v/>
      </c>
      <c r="JH9" s="17">
        <f>IF(265&lt;DeliverStart,0,MIN(StabLeasedTarget,JH$8,(265-DeliverStart+1)*UnitsLeasedPerMo))</f>
        <v/>
      </c>
      <c r="JI9" s="17">
        <f>IF(266&lt;DeliverStart,0,MIN(StabLeasedTarget,JI$8,(266-DeliverStart+1)*UnitsLeasedPerMo))</f>
        <v/>
      </c>
      <c r="JJ9" s="17">
        <f>IF(267&lt;DeliverStart,0,MIN(StabLeasedTarget,JJ$8,(267-DeliverStart+1)*UnitsLeasedPerMo))</f>
        <v/>
      </c>
      <c r="JK9" s="17">
        <f>IF(268&lt;DeliverStart,0,MIN(StabLeasedTarget,JK$8,(268-DeliverStart+1)*UnitsLeasedPerMo))</f>
        <v/>
      </c>
      <c r="JL9" s="17">
        <f>IF(269&lt;DeliverStart,0,MIN(StabLeasedTarget,JL$8,(269-DeliverStart+1)*UnitsLeasedPerMo))</f>
        <v/>
      </c>
      <c r="JM9" s="17">
        <f>IF(270&lt;DeliverStart,0,MIN(StabLeasedTarget,JM$8,(270-DeliverStart+1)*UnitsLeasedPerMo))</f>
        <v/>
      </c>
      <c r="JN9" s="17">
        <f>IF(271&lt;DeliverStart,0,MIN(StabLeasedTarget,JN$8,(271-DeliverStart+1)*UnitsLeasedPerMo))</f>
        <v/>
      </c>
      <c r="JO9" s="17">
        <f>IF(272&lt;DeliverStart,0,MIN(StabLeasedTarget,JO$8,(272-DeliverStart+1)*UnitsLeasedPerMo))</f>
        <v/>
      </c>
      <c r="JP9" s="17">
        <f>IF(273&lt;DeliverStart,0,MIN(StabLeasedTarget,JP$8,(273-DeliverStart+1)*UnitsLeasedPerMo))</f>
        <v/>
      </c>
      <c r="JQ9" s="17">
        <f>IF(274&lt;DeliverStart,0,MIN(StabLeasedTarget,JQ$8,(274-DeliverStart+1)*UnitsLeasedPerMo))</f>
        <v/>
      </c>
      <c r="JR9" s="17">
        <f>IF(275&lt;DeliverStart,0,MIN(StabLeasedTarget,JR$8,(275-DeliverStart+1)*UnitsLeasedPerMo))</f>
        <v/>
      </c>
      <c r="JS9" s="17">
        <f>IF(276&lt;DeliverStart,0,MIN(StabLeasedTarget,JS$8,(276-DeliverStart+1)*UnitsLeasedPerMo))</f>
        <v/>
      </c>
      <c r="JT9" s="17">
        <f>IF(277&lt;DeliverStart,0,MIN(StabLeasedTarget,JT$8,(277-DeliverStart+1)*UnitsLeasedPerMo))</f>
        <v/>
      </c>
      <c r="JU9" s="17">
        <f>IF(278&lt;DeliverStart,0,MIN(StabLeasedTarget,JU$8,(278-DeliverStart+1)*UnitsLeasedPerMo))</f>
        <v/>
      </c>
      <c r="JV9" s="17">
        <f>IF(279&lt;DeliverStart,0,MIN(StabLeasedTarget,JV$8,(279-DeliverStart+1)*UnitsLeasedPerMo))</f>
        <v/>
      </c>
      <c r="JW9" s="17">
        <f>IF(280&lt;DeliverStart,0,MIN(StabLeasedTarget,JW$8,(280-DeliverStart+1)*UnitsLeasedPerMo))</f>
        <v/>
      </c>
      <c r="JX9" s="17">
        <f>IF(281&lt;DeliverStart,0,MIN(StabLeasedTarget,JX$8,(281-DeliverStart+1)*UnitsLeasedPerMo))</f>
        <v/>
      </c>
      <c r="JY9" s="17">
        <f>IF(282&lt;DeliverStart,0,MIN(StabLeasedTarget,JY$8,(282-DeliverStart+1)*UnitsLeasedPerMo))</f>
        <v/>
      </c>
      <c r="JZ9" s="17">
        <f>IF(283&lt;DeliverStart,0,MIN(StabLeasedTarget,JZ$8,(283-DeliverStart+1)*UnitsLeasedPerMo))</f>
        <v/>
      </c>
      <c r="KA9" s="17">
        <f>IF(284&lt;DeliverStart,0,MIN(StabLeasedTarget,KA$8,(284-DeliverStart+1)*UnitsLeasedPerMo))</f>
        <v/>
      </c>
      <c r="KB9" s="17">
        <f>IF(285&lt;DeliverStart,0,MIN(StabLeasedTarget,KB$8,(285-DeliverStart+1)*UnitsLeasedPerMo))</f>
        <v/>
      </c>
      <c r="KC9" s="17">
        <f>IF(286&lt;DeliverStart,0,MIN(StabLeasedTarget,KC$8,(286-DeliverStart+1)*UnitsLeasedPerMo))</f>
        <v/>
      </c>
      <c r="KD9" s="17">
        <f>IF(287&lt;DeliverStart,0,MIN(StabLeasedTarget,KD$8,(287-DeliverStart+1)*UnitsLeasedPerMo))</f>
        <v/>
      </c>
      <c r="KE9" s="17">
        <f>IF(288&lt;DeliverStart,0,MIN(StabLeasedTarget,KE$8,(288-DeliverStart+1)*UnitsLeasedPerMo))</f>
        <v/>
      </c>
      <c r="KF9" s="17">
        <f>IF(289&lt;DeliverStart,0,MIN(StabLeasedTarget,KF$8,(289-DeliverStart+1)*UnitsLeasedPerMo))</f>
        <v/>
      </c>
      <c r="KG9" s="17">
        <f>IF(290&lt;DeliverStart,0,MIN(StabLeasedTarget,KG$8,(290-DeliverStart+1)*UnitsLeasedPerMo))</f>
        <v/>
      </c>
      <c r="KH9" s="17">
        <f>IF(291&lt;DeliverStart,0,MIN(StabLeasedTarget,KH$8,(291-DeliverStart+1)*UnitsLeasedPerMo))</f>
        <v/>
      </c>
      <c r="KI9" s="17">
        <f>IF(292&lt;DeliverStart,0,MIN(StabLeasedTarget,KI$8,(292-DeliverStart+1)*UnitsLeasedPerMo))</f>
        <v/>
      </c>
      <c r="KJ9" s="17">
        <f>IF(293&lt;DeliverStart,0,MIN(StabLeasedTarget,KJ$8,(293-DeliverStart+1)*UnitsLeasedPerMo))</f>
        <v/>
      </c>
      <c r="KK9" s="17">
        <f>IF(294&lt;DeliverStart,0,MIN(StabLeasedTarget,KK$8,(294-DeliverStart+1)*UnitsLeasedPerMo))</f>
        <v/>
      </c>
      <c r="KL9" s="17">
        <f>IF(295&lt;DeliverStart,0,MIN(StabLeasedTarget,KL$8,(295-DeliverStart+1)*UnitsLeasedPerMo))</f>
        <v/>
      </c>
      <c r="KM9" s="17">
        <f>IF(296&lt;DeliverStart,0,MIN(StabLeasedTarget,KM$8,(296-DeliverStart+1)*UnitsLeasedPerMo))</f>
        <v/>
      </c>
      <c r="KN9" s="17">
        <f>IF(297&lt;DeliverStart,0,MIN(StabLeasedTarget,KN$8,(297-DeliverStart+1)*UnitsLeasedPerMo))</f>
        <v/>
      </c>
      <c r="KO9" s="17">
        <f>IF(298&lt;DeliverStart,0,MIN(StabLeasedTarget,KO$8,(298-DeliverStart+1)*UnitsLeasedPerMo))</f>
        <v/>
      </c>
      <c r="KP9" s="17">
        <f>IF(299&lt;DeliverStart,0,MIN(StabLeasedTarget,KP$8,(299-DeliverStart+1)*UnitsLeasedPerMo))</f>
        <v/>
      </c>
      <c r="KQ9" s="17">
        <f>IF(300&lt;DeliverStart,0,MIN(StabLeasedTarget,KQ$8,(300-DeliverStart+1)*UnitsLeasedPerMo))</f>
        <v/>
      </c>
      <c r="KR9" s="17">
        <f>IF(301&lt;DeliverStart,0,MIN(StabLeasedTarget,KR$8,(301-DeliverStart+1)*UnitsLeasedPerMo))</f>
        <v/>
      </c>
      <c r="KS9" s="17">
        <f>IF(302&lt;DeliverStart,0,MIN(StabLeasedTarget,KS$8,(302-DeliverStart+1)*UnitsLeasedPerMo))</f>
        <v/>
      </c>
      <c r="KT9" s="17">
        <f>IF(303&lt;DeliverStart,0,MIN(StabLeasedTarget,KT$8,(303-DeliverStart+1)*UnitsLeasedPerMo))</f>
        <v/>
      </c>
      <c r="KU9" s="17">
        <f>IF(304&lt;DeliverStart,0,MIN(StabLeasedTarget,KU$8,(304-DeliverStart+1)*UnitsLeasedPerMo))</f>
        <v/>
      </c>
      <c r="KV9" s="17">
        <f>IF(305&lt;DeliverStart,0,MIN(StabLeasedTarget,KV$8,(305-DeliverStart+1)*UnitsLeasedPerMo))</f>
        <v/>
      </c>
      <c r="KW9" s="17">
        <f>IF(306&lt;DeliverStart,0,MIN(StabLeasedTarget,KW$8,(306-DeliverStart+1)*UnitsLeasedPerMo))</f>
        <v/>
      </c>
      <c r="KX9" s="17">
        <f>IF(307&lt;DeliverStart,0,MIN(StabLeasedTarget,KX$8,(307-DeliverStart+1)*UnitsLeasedPerMo))</f>
        <v/>
      </c>
      <c r="KY9" s="17">
        <f>IF(308&lt;DeliverStart,0,MIN(StabLeasedTarget,KY$8,(308-DeliverStart+1)*UnitsLeasedPerMo))</f>
        <v/>
      </c>
      <c r="KZ9" s="17">
        <f>IF(309&lt;DeliverStart,0,MIN(StabLeasedTarget,KZ$8,(309-DeliverStart+1)*UnitsLeasedPerMo))</f>
        <v/>
      </c>
      <c r="LA9" s="17">
        <f>IF(310&lt;DeliverStart,0,MIN(StabLeasedTarget,LA$8,(310-DeliverStart+1)*UnitsLeasedPerMo))</f>
        <v/>
      </c>
      <c r="LB9" s="17">
        <f>IF(311&lt;DeliverStart,0,MIN(StabLeasedTarget,LB$8,(311-DeliverStart+1)*UnitsLeasedPerMo))</f>
        <v/>
      </c>
      <c r="LC9" s="17">
        <f>IF(312&lt;DeliverStart,0,MIN(StabLeasedTarget,LC$8,(312-DeliverStart+1)*UnitsLeasedPerMo))</f>
        <v/>
      </c>
      <c r="LD9" s="17">
        <f>IF(313&lt;DeliverStart,0,MIN(StabLeasedTarget,LD$8,(313-DeliverStart+1)*UnitsLeasedPerMo))</f>
        <v/>
      </c>
      <c r="LE9" s="17">
        <f>IF(314&lt;DeliverStart,0,MIN(StabLeasedTarget,LE$8,(314-DeliverStart+1)*UnitsLeasedPerMo))</f>
        <v/>
      </c>
      <c r="LF9" s="17">
        <f>IF(315&lt;DeliverStart,0,MIN(StabLeasedTarget,LF$8,(315-DeliverStart+1)*UnitsLeasedPerMo))</f>
        <v/>
      </c>
      <c r="LG9" s="17">
        <f>IF(316&lt;DeliverStart,0,MIN(StabLeasedTarget,LG$8,(316-DeliverStart+1)*UnitsLeasedPerMo))</f>
        <v/>
      </c>
      <c r="LH9" s="17">
        <f>IF(317&lt;DeliverStart,0,MIN(StabLeasedTarget,LH$8,(317-DeliverStart+1)*UnitsLeasedPerMo))</f>
        <v/>
      </c>
      <c r="LI9" s="17">
        <f>IF(318&lt;DeliverStart,0,MIN(StabLeasedTarget,LI$8,(318-DeliverStart+1)*UnitsLeasedPerMo))</f>
        <v/>
      </c>
      <c r="LJ9" s="17">
        <f>IF(319&lt;DeliverStart,0,MIN(StabLeasedTarget,LJ$8,(319-DeliverStart+1)*UnitsLeasedPerMo))</f>
        <v/>
      </c>
      <c r="LK9" s="17">
        <f>IF(320&lt;DeliverStart,0,MIN(StabLeasedTarget,LK$8,(320-DeliverStart+1)*UnitsLeasedPerMo))</f>
        <v/>
      </c>
      <c r="LL9" s="17">
        <f>IF(321&lt;DeliverStart,0,MIN(StabLeasedTarget,LL$8,(321-DeliverStart+1)*UnitsLeasedPerMo))</f>
        <v/>
      </c>
      <c r="LM9" s="17">
        <f>IF(322&lt;DeliverStart,0,MIN(StabLeasedTarget,LM$8,(322-DeliverStart+1)*UnitsLeasedPerMo))</f>
        <v/>
      </c>
      <c r="LN9" s="17">
        <f>IF(323&lt;DeliverStart,0,MIN(StabLeasedTarget,LN$8,(323-DeliverStart+1)*UnitsLeasedPerMo))</f>
        <v/>
      </c>
      <c r="LO9" s="17">
        <f>IF(324&lt;DeliverStart,0,MIN(StabLeasedTarget,LO$8,(324-DeliverStart+1)*UnitsLeasedPerMo))</f>
        <v/>
      </c>
      <c r="LP9" s="17">
        <f>IF(325&lt;DeliverStart,0,MIN(StabLeasedTarget,LP$8,(325-DeliverStart+1)*UnitsLeasedPerMo))</f>
        <v/>
      </c>
      <c r="LQ9" s="17">
        <f>IF(326&lt;DeliverStart,0,MIN(StabLeasedTarget,LQ$8,(326-DeliverStart+1)*UnitsLeasedPerMo))</f>
        <v/>
      </c>
      <c r="LR9" s="17">
        <f>IF(327&lt;DeliverStart,0,MIN(StabLeasedTarget,LR$8,(327-DeliverStart+1)*UnitsLeasedPerMo))</f>
        <v/>
      </c>
      <c r="LS9" s="17">
        <f>IF(328&lt;DeliverStart,0,MIN(StabLeasedTarget,LS$8,(328-DeliverStart+1)*UnitsLeasedPerMo))</f>
        <v/>
      </c>
      <c r="LT9" s="17">
        <f>IF(329&lt;DeliverStart,0,MIN(StabLeasedTarget,LT$8,(329-DeliverStart+1)*UnitsLeasedPerMo))</f>
        <v/>
      </c>
      <c r="LU9" s="17">
        <f>IF(330&lt;DeliverStart,0,MIN(StabLeasedTarget,LU$8,(330-DeliverStart+1)*UnitsLeasedPerMo))</f>
        <v/>
      </c>
      <c r="LV9" s="17">
        <f>IF(331&lt;DeliverStart,0,MIN(StabLeasedTarget,LV$8,(331-DeliverStart+1)*UnitsLeasedPerMo))</f>
        <v/>
      </c>
      <c r="LW9" s="17">
        <f>IF(332&lt;DeliverStart,0,MIN(StabLeasedTarget,LW$8,(332-DeliverStart+1)*UnitsLeasedPerMo))</f>
        <v/>
      </c>
      <c r="LX9" s="17">
        <f>IF(333&lt;DeliverStart,0,MIN(StabLeasedTarget,LX$8,(333-DeliverStart+1)*UnitsLeasedPerMo))</f>
        <v/>
      </c>
      <c r="LY9" s="17">
        <f>IF(334&lt;DeliverStart,0,MIN(StabLeasedTarget,LY$8,(334-DeliverStart+1)*UnitsLeasedPerMo))</f>
        <v/>
      </c>
      <c r="LZ9" s="17">
        <f>IF(335&lt;DeliverStart,0,MIN(StabLeasedTarget,LZ$8,(335-DeliverStart+1)*UnitsLeasedPerMo))</f>
        <v/>
      </c>
      <c r="MA9" s="17">
        <f>IF(336&lt;DeliverStart,0,MIN(StabLeasedTarget,MA$8,(336-DeliverStart+1)*UnitsLeasedPerMo))</f>
        <v/>
      </c>
      <c r="MB9" s="17">
        <f>IF(337&lt;DeliverStart,0,MIN(StabLeasedTarget,MB$8,(337-DeliverStart+1)*UnitsLeasedPerMo))</f>
        <v/>
      </c>
      <c r="MC9" s="17">
        <f>IF(338&lt;DeliverStart,0,MIN(StabLeasedTarget,MC$8,(338-DeliverStart+1)*UnitsLeasedPerMo))</f>
        <v/>
      </c>
      <c r="MD9" s="17">
        <f>IF(339&lt;DeliverStart,0,MIN(StabLeasedTarget,MD$8,(339-DeliverStart+1)*UnitsLeasedPerMo))</f>
        <v/>
      </c>
      <c r="ME9" s="17">
        <f>IF(340&lt;DeliverStart,0,MIN(StabLeasedTarget,ME$8,(340-DeliverStart+1)*UnitsLeasedPerMo))</f>
        <v/>
      </c>
      <c r="MF9" s="17">
        <f>IF(341&lt;DeliverStart,0,MIN(StabLeasedTarget,MF$8,(341-DeliverStart+1)*UnitsLeasedPerMo))</f>
        <v/>
      </c>
      <c r="MG9" s="17">
        <f>IF(342&lt;DeliverStart,0,MIN(StabLeasedTarget,MG$8,(342-DeliverStart+1)*UnitsLeasedPerMo))</f>
        <v/>
      </c>
      <c r="MH9" s="17">
        <f>IF(343&lt;DeliverStart,0,MIN(StabLeasedTarget,MH$8,(343-DeliverStart+1)*UnitsLeasedPerMo))</f>
        <v/>
      </c>
      <c r="MI9" s="17">
        <f>IF(344&lt;DeliverStart,0,MIN(StabLeasedTarget,MI$8,(344-DeliverStart+1)*UnitsLeasedPerMo))</f>
        <v/>
      </c>
      <c r="MJ9" s="17">
        <f>IF(345&lt;DeliverStart,0,MIN(StabLeasedTarget,MJ$8,(345-DeliverStart+1)*UnitsLeasedPerMo))</f>
        <v/>
      </c>
      <c r="MK9" s="17">
        <f>IF(346&lt;DeliverStart,0,MIN(StabLeasedTarget,MK$8,(346-DeliverStart+1)*UnitsLeasedPerMo))</f>
        <v/>
      </c>
      <c r="ML9" s="17">
        <f>IF(347&lt;DeliverStart,0,MIN(StabLeasedTarget,ML$8,(347-DeliverStart+1)*UnitsLeasedPerMo))</f>
        <v/>
      </c>
      <c r="MM9" s="17">
        <f>IF(348&lt;DeliverStart,0,MIN(StabLeasedTarget,MM$8,(348-DeliverStart+1)*UnitsLeasedPerMo))</f>
        <v/>
      </c>
      <c r="MN9" s="17">
        <f>IF(349&lt;DeliverStart,0,MIN(StabLeasedTarget,MN$8,(349-DeliverStart+1)*UnitsLeasedPerMo))</f>
        <v/>
      </c>
      <c r="MO9" s="17">
        <f>IF(350&lt;DeliverStart,0,MIN(StabLeasedTarget,MO$8,(350-DeliverStart+1)*UnitsLeasedPerMo))</f>
        <v/>
      </c>
      <c r="MP9" s="17">
        <f>IF(351&lt;DeliverStart,0,MIN(StabLeasedTarget,MP$8,(351-DeliverStart+1)*UnitsLeasedPerMo))</f>
        <v/>
      </c>
      <c r="MQ9" s="17">
        <f>IF(352&lt;DeliverStart,0,MIN(StabLeasedTarget,MQ$8,(352-DeliverStart+1)*UnitsLeasedPerMo))</f>
        <v/>
      </c>
      <c r="MR9" s="17">
        <f>IF(353&lt;DeliverStart,0,MIN(StabLeasedTarget,MR$8,(353-DeliverStart+1)*UnitsLeasedPerMo))</f>
        <v/>
      </c>
      <c r="MS9" s="17">
        <f>IF(354&lt;DeliverStart,0,MIN(StabLeasedTarget,MS$8,(354-DeliverStart+1)*UnitsLeasedPerMo))</f>
        <v/>
      </c>
      <c r="MT9" s="17">
        <f>IF(355&lt;DeliverStart,0,MIN(StabLeasedTarget,MT$8,(355-DeliverStart+1)*UnitsLeasedPerMo))</f>
        <v/>
      </c>
      <c r="MU9" s="17">
        <f>IF(356&lt;DeliverStart,0,MIN(StabLeasedTarget,MU$8,(356-DeliverStart+1)*UnitsLeasedPerMo))</f>
        <v/>
      </c>
      <c r="MV9" s="17">
        <f>IF(357&lt;DeliverStart,0,MIN(StabLeasedTarget,MV$8,(357-DeliverStart+1)*UnitsLeasedPerMo))</f>
        <v/>
      </c>
      <c r="MW9" s="17">
        <f>IF(358&lt;DeliverStart,0,MIN(StabLeasedTarget,MW$8,(358-DeliverStart+1)*UnitsLeasedPerMo))</f>
        <v/>
      </c>
      <c r="MX9" s="17">
        <f>IF(359&lt;DeliverStart,0,MIN(StabLeasedTarget,MX$8,(359-DeliverStart+1)*UnitsLeasedPerMo))</f>
        <v/>
      </c>
      <c r="MY9" s="17">
        <f>IF(360&lt;DeliverStart,0,MIN(StabLeasedTarget,MY$8,(360-DeliverStart+1)*UnitsLeasedPerMo))</f>
        <v/>
      </c>
      <c r="MZ9" s="17">
        <f>IF(361&lt;DeliverStart,0,MIN(StabLeasedTarget,MZ$8,(361-DeliverStart+1)*UnitsLeasedPerMo))</f>
        <v/>
      </c>
      <c r="NA9" s="17">
        <f>IF(362&lt;DeliverStart,0,MIN(StabLeasedTarget,NA$8,(362-DeliverStart+1)*UnitsLeasedPerMo))</f>
        <v/>
      </c>
      <c r="NB9" s="17">
        <f>IF(363&lt;DeliverStart,0,MIN(StabLeasedTarget,NB$8,(363-DeliverStart+1)*UnitsLeasedPerMo))</f>
        <v/>
      </c>
      <c r="NC9" s="17">
        <f>IF(364&lt;DeliverStart,0,MIN(StabLeasedTarget,NC$8,(364-DeliverStart+1)*UnitsLeasedPerMo))</f>
        <v/>
      </c>
      <c r="ND9" s="17">
        <f>IF(365&lt;DeliverStart,0,MIN(StabLeasedTarget,ND$8,(365-DeliverStart+1)*UnitsLeasedPerMo))</f>
        <v/>
      </c>
      <c r="NE9" s="17">
        <f>IF(366&lt;DeliverStart,0,MIN(StabLeasedTarget,NE$8,(366-DeliverStart+1)*UnitsLeasedPerMo))</f>
        <v/>
      </c>
      <c r="NF9" s="17">
        <f>IF(367&lt;DeliverStart,0,MIN(StabLeasedTarget,NF$8,(367-DeliverStart+1)*UnitsLeasedPerMo))</f>
        <v/>
      </c>
      <c r="NG9" s="17">
        <f>IF(368&lt;DeliverStart,0,MIN(StabLeasedTarget,NG$8,(368-DeliverStart+1)*UnitsLeasedPerMo))</f>
        <v/>
      </c>
      <c r="NH9" s="17">
        <f>IF(369&lt;DeliverStart,0,MIN(StabLeasedTarget,NH$8,(369-DeliverStart+1)*UnitsLeasedPerMo))</f>
        <v/>
      </c>
      <c r="NI9" s="17">
        <f>IF(370&lt;DeliverStart,0,MIN(StabLeasedTarget,NI$8,(370-DeliverStart+1)*UnitsLeasedPerMo))</f>
        <v/>
      </c>
      <c r="NJ9" s="17">
        <f>IF(371&lt;DeliverStart,0,MIN(StabLeasedTarget,NJ$8,(371-DeliverStart+1)*UnitsLeasedPerMo))</f>
        <v/>
      </c>
      <c r="NK9" s="17">
        <f>IF(372&lt;DeliverStart,0,MIN(StabLeasedTarget,NK$8,(372-DeliverStart+1)*UnitsLeasedPerMo))</f>
        <v/>
      </c>
    </row>
    <row r="10">
      <c r="A10" s="5" t="inlineStr">
        <is>
          <t>Physical Occupancy</t>
        </is>
      </c>
      <c r="C10" s="51" t="n"/>
      <c r="D10" s="20">
        <f>IF(TotalUnits=0,0,D$9/TotalUnits)</f>
        <v/>
      </c>
      <c r="E10" s="20">
        <f>IF(TotalUnits=0,0,E$9/TotalUnits)</f>
        <v/>
      </c>
      <c r="F10" s="20">
        <f>IF(TotalUnits=0,0,F$9/TotalUnits)</f>
        <v/>
      </c>
      <c r="G10" s="20">
        <f>IF(TotalUnits=0,0,G$9/TotalUnits)</f>
        <v/>
      </c>
      <c r="H10" s="20">
        <f>IF(TotalUnits=0,0,H$9/TotalUnits)</f>
        <v/>
      </c>
      <c r="I10" s="20">
        <f>IF(TotalUnits=0,0,I$9/TotalUnits)</f>
        <v/>
      </c>
      <c r="J10" s="20">
        <f>IF(TotalUnits=0,0,J$9/TotalUnits)</f>
        <v/>
      </c>
      <c r="K10" s="20">
        <f>IF(TotalUnits=0,0,K$9/TotalUnits)</f>
        <v/>
      </c>
      <c r="L10" s="20">
        <f>IF(TotalUnits=0,0,L$9/TotalUnits)</f>
        <v/>
      </c>
      <c r="M10" s="20">
        <f>IF(TotalUnits=0,0,M$9/TotalUnits)</f>
        <v/>
      </c>
      <c r="N10" s="20">
        <f>IF(TotalUnits=0,0,N$9/TotalUnits)</f>
        <v/>
      </c>
      <c r="O10" s="20">
        <f>IF(TotalUnits=0,0,O$9/TotalUnits)</f>
        <v/>
      </c>
      <c r="P10" s="20">
        <f>IF(TotalUnits=0,0,P$9/TotalUnits)</f>
        <v/>
      </c>
      <c r="Q10" s="20">
        <f>IF(TotalUnits=0,0,Q$9/TotalUnits)</f>
        <v/>
      </c>
      <c r="R10" s="20">
        <f>IF(TotalUnits=0,0,R$9/TotalUnits)</f>
        <v/>
      </c>
      <c r="S10" s="20">
        <f>IF(TotalUnits=0,0,S$9/TotalUnits)</f>
        <v/>
      </c>
      <c r="T10" s="20">
        <f>IF(TotalUnits=0,0,T$9/TotalUnits)</f>
        <v/>
      </c>
      <c r="U10" s="20">
        <f>IF(TotalUnits=0,0,U$9/TotalUnits)</f>
        <v/>
      </c>
      <c r="V10" s="20">
        <f>IF(TotalUnits=0,0,V$9/TotalUnits)</f>
        <v/>
      </c>
      <c r="W10" s="20">
        <f>IF(TotalUnits=0,0,W$9/TotalUnits)</f>
        <v/>
      </c>
      <c r="X10" s="20">
        <f>IF(TotalUnits=0,0,X$9/TotalUnits)</f>
        <v/>
      </c>
      <c r="Y10" s="20">
        <f>IF(TotalUnits=0,0,Y$9/TotalUnits)</f>
        <v/>
      </c>
      <c r="Z10" s="20">
        <f>IF(TotalUnits=0,0,Z$9/TotalUnits)</f>
        <v/>
      </c>
      <c r="AA10" s="20">
        <f>IF(TotalUnits=0,0,AA$9/TotalUnits)</f>
        <v/>
      </c>
      <c r="AB10" s="20">
        <f>IF(TotalUnits=0,0,AB$9/TotalUnits)</f>
        <v/>
      </c>
      <c r="AC10" s="20">
        <f>IF(TotalUnits=0,0,AC$9/TotalUnits)</f>
        <v/>
      </c>
      <c r="AD10" s="20">
        <f>IF(TotalUnits=0,0,AD$9/TotalUnits)</f>
        <v/>
      </c>
      <c r="AE10" s="20">
        <f>IF(TotalUnits=0,0,AE$9/TotalUnits)</f>
        <v/>
      </c>
      <c r="AF10" s="20">
        <f>IF(TotalUnits=0,0,AF$9/TotalUnits)</f>
        <v/>
      </c>
      <c r="AG10" s="20">
        <f>IF(TotalUnits=0,0,AG$9/TotalUnits)</f>
        <v/>
      </c>
      <c r="AH10" s="20">
        <f>IF(TotalUnits=0,0,AH$9/TotalUnits)</f>
        <v/>
      </c>
      <c r="AI10" s="20">
        <f>IF(TotalUnits=0,0,AI$9/TotalUnits)</f>
        <v/>
      </c>
      <c r="AJ10" s="20">
        <f>IF(TotalUnits=0,0,AJ$9/TotalUnits)</f>
        <v/>
      </c>
      <c r="AK10" s="20">
        <f>IF(TotalUnits=0,0,AK$9/TotalUnits)</f>
        <v/>
      </c>
      <c r="AL10" s="20">
        <f>IF(TotalUnits=0,0,AL$9/TotalUnits)</f>
        <v/>
      </c>
      <c r="AM10" s="20">
        <f>IF(TotalUnits=0,0,AM$9/TotalUnits)</f>
        <v/>
      </c>
      <c r="AN10" s="20">
        <f>IF(TotalUnits=0,0,AN$9/TotalUnits)</f>
        <v/>
      </c>
      <c r="AO10" s="20">
        <f>IF(TotalUnits=0,0,AO$9/TotalUnits)</f>
        <v/>
      </c>
      <c r="AP10" s="20">
        <f>IF(TotalUnits=0,0,AP$9/TotalUnits)</f>
        <v/>
      </c>
      <c r="AQ10" s="20">
        <f>IF(TotalUnits=0,0,AQ$9/TotalUnits)</f>
        <v/>
      </c>
      <c r="AR10" s="20">
        <f>IF(TotalUnits=0,0,AR$9/TotalUnits)</f>
        <v/>
      </c>
      <c r="AS10" s="20">
        <f>IF(TotalUnits=0,0,AS$9/TotalUnits)</f>
        <v/>
      </c>
      <c r="AT10" s="20">
        <f>IF(TotalUnits=0,0,AT$9/TotalUnits)</f>
        <v/>
      </c>
      <c r="AU10" s="20">
        <f>IF(TotalUnits=0,0,AU$9/TotalUnits)</f>
        <v/>
      </c>
      <c r="AV10" s="20">
        <f>IF(TotalUnits=0,0,AV$9/TotalUnits)</f>
        <v/>
      </c>
      <c r="AW10" s="20">
        <f>IF(TotalUnits=0,0,AW$9/TotalUnits)</f>
        <v/>
      </c>
      <c r="AX10" s="20">
        <f>IF(TotalUnits=0,0,AX$9/TotalUnits)</f>
        <v/>
      </c>
      <c r="AY10" s="20">
        <f>IF(TotalUnits=0,0,AY$9/TotalUnits)</f>
        <v/>
      </c>
      <c r="AZ10" s="20">
        <f>IF(TotalUnits=0,0,AZ$9/TotalUnits)</f>
        <v/>
      </c>
      <c r="BA10" s="20">
        <f>IF(TotalUnits=0,0,BA$9/TotalUnits)</f>
        <v/>
      </c>
      <c r="BB10" s="20">
        <f>IF(TotalUnits=0,0,BB$9/TotalUnits)</f>
        <v/>
      </c>
      <c r="BC10" s="20">
        <f>IF(TotalUnits=0,0,BC$9/TotalUnits)</f>
        <v/>
      </c>
      <c r="BD10" s="20">
        <f>IF(TotalUnits=0,0,BD$9/TotalUnits)</f>
        <v/>
      </c>
      <c r="BE10" s="20">
        <f>IF(TotalUnits=0,0,BE$9/TotalUnits)</f>
        <v/>
      </c>
      <c r="BF10" s="20">
        <f>IF(TotalUnits=0,0,BF$9/TotalUnits)</f>
        <v/>
      </c>
      <c r="BG10" s="20">
        <f>IF(TotalUnits=0,0,BG$9/TotalUnits)</f>
        <v/>
      </c>
      <c r="BH10" s="20">
        <f>IF(TotalUnits=0,0,BH$9/TotalUnits)</f>
        <v/>
      </c>
      <c r="BI10" s="20">
        <f>IF(TotalUnits=0,0,BI$9/TotalUnits)</f>
        <v/>
      </c>
      <c r="BJ10" s="20">
        <f>IF(TotalUnits=0,0,BJ$9/TotalUnits)</f>
        <v/>
      </c>
      <c r="BK10" s="20">
        <f>IF(TotalUnits=0,0,BK$9/TotalUnits)</f>
        <v/>
      </c>
      <c r="BL10" s="20">
        <f>IF(TotalUnits=0,0,BL$9/TotalUnits)</f>
        <v/>
      </c>
      <c r="BM10" s="20">
        <f>IF(TotalUnits=0,0,BM$9/TotalUnits)</f>
        <v/>
      </c>
      <c r="BN10" s="20">
        <f>IF(TotalUnits=0,0,BN$9/TotalUnits)</f>
        <v/>
      </c>
      <c r="BO10" s="20">
        <f>IF(TotalUnits=0,0,BO$9/TotalUnits)</f>
        <v/>
      </c>
      <c r="BP10" s="20">
        <f>IF(TotalUnits=0,0,BP$9/TotalUnits)</f>
        <v/>
      </c>
      <c r="BQ10" s="20">
        <f>IF(TotalUnits=0,0,BQ$9/TotalUnits)</f>
        <v/>
      </c>
      <c r="BR10" s="20">
        <f>IF(TotalUnits=0,0,BR$9/TotalUnits)</f>
        <v/>
      </c>
      <c r="BS10" s="20">
        <f>IF(TotalUnits=0,0,BS$9/TotalUnits)</f>
        <v/>
      </c>
      <c r="BT10" s="20">
        <f>IF(TotalUnits=0,0,BT$9/TotalUnits)</f>
        <v/>
      </c>
      <c r="BU10" s="20">
        <f>IF(TotalUnits=0,0,BU$9/TotalUnits)</f>
        <v/>
      </c>
      <c r="BV10" s="20">
        <f>IF(TotalUnits=0,0,BV$9/TotalUnits)</f>
        <v/>
      </c>
      <c r="BW10" s="20">
        <f>IF(TotalUnits=0,0,BW$9/TotalUnits)</f>
        <v/>
      </c>
      <c r="BX10" s="20">
        <f>IF(TotalUnits=0,0,BX$9/TotalUnits)</f>
        <v/>
      </c>
      <c r="BY10" s="20">
        <f>IF(TotalUnits=0,0,BY$9/TotalUnits)</f>
        <v/>
      </c>
      <c r="BZ10" s="20">
        <f>IF(TotalUnits=0,0,BZ$9/TotalUnits)</f>
        <v/>
      </c>
      <c r="CA10" s="20">
        <f>IF(TotalUnits=0,0,CA$9/TotalUnits)</f>
        <v/>
      </c>
      <c r="CB10" s="20">
        <f>IF(TotalUnits=0,0,CB$9/TotalUnits)</f>
        <v/>
      </c>
      <c r="CC10" s="20">
        <f>IF(TotalUnits=0,0,CC$9/TotalUnits)</f>
        <v/>
      </c>
      <c r="CD10" s="20">
        <f>IF(TotalUnits=0,0,CD$9/TotalUnits)</f>
        <v/>
      </c>
      <c r="CE10" s="20">
        <f>IF(TotalUnits=0,0,CE$9/TotalUnits)</f>
        <v/>
      </c>
      <c r="CF10" s="20">
        <f>IF(TotalUnits=0,0,CF$9/TotalUnits)</f>
        <v/>
      </c>
      <c r="CG10" s="20">
        <f>IF(TotalUnits=0,0,CG$9/TotalUnits)</f>
        <v/>
      </c>
      <c r="CH10" s="20">
        <f>IF(TotalUnits=0,0,CH$9/TotalUnits)</f>
        <v/>
      </c>
      <c r="CI10" s="20">
        <f>IF(TotalUnits=0,0,CI$9/TotalUnits)</f>
        <v/>
      </c>
      <c r="CJ10" s="20">
        <f>IF(TotalUnits=0,0,CJ$9/TotalUnits)</f>
        <v/>
      </c>
      <c r="CK10" s="20">
        <f>IF(TotalUnits=0,0,CK$9/TotalUnits)</f>
        <v/>
      </c>
      <c r="CL10" s="20">
        <f>IF(TotalUnits=0,0,CL$9/TotalUnits)</f>
        <v/>
      </c>
      <c r="CM10" s="20">
        <f>IF(TotalUnits=0,0,CM$9/TotalUnits)</f>
        <v/>
      </c>
      <c r="CN10" s="20">
        <f>IF(TotalUnits=0,0,CN$9/TotalUnits)</f>
        <v/>
      </c>
      <c r="CO10" s="20">
        <f>IF(TotalUnits=0,0,CO$9/TotalUnits)</f>
        <v/>
      </c>
      <c r="CP10" s="20">
        <f>IF(TotalUnits=0,0,CP$9/TotalUnits)</f>
        <v/>
      </c>
      <c r="CQ10" s="20">
        <f>IF(TotalUnits=0,0,CQ$9/TotalUnits)</f>
        <v/>
      </c>
      <c r="CR10" s="20">
        <f>IF(TotalUnits=0,0,CR$9/TotalUnits)</f>
        <v/>
      </c>
      <c r="CS10" s="20">
        <f>IF(TotalUnits=0,0,CS$9/TotalUnits)</f>
        <v/>
      </c>
      <c r="CT10" s="20">
        <f>IF(TotalUnits=0,0,CT$9/TotalUnits)</f>
        <v/>
      </c>
      <c r="CU10" s="20">
        <f>IF(TotalUnits=0,0,CU$9/TotalUnits)</f>
        <v/>
      </c>
      <c r="CV10" s="20">
        <f>IF(TotalUnits=0,0,CV$9/TotalUnits)</f>
        <v/>
      </c>
      <c r="CW10" s="20">
        <f>IF(TotalUnits=0,0,CW$9/TotalUnits)</f>
        <v/>
      </c>
      <c r="CX10" s="20">
        <f>IF(TotalUnits=0,0,CX$9/TotalUnits)</f>
        <v/>
      </c>
      <c r="CY10" s="20">
        <f>IF(TotalUnits=0,0,CY$9/TotalUnits)</f>
        <v/>
      </c>
      <c r="CZ10" s="20">
        <f>IF(TotalUnits=0,0,CZ$9/TotalUnits)</f>
        <v/>
      </c>
      <c r="DA10" s="20">
        <f>IF(TotalUnits=0,0,DA$9/TotalUnits)</f>
        <v/>
      </c>
      <c r="DB10" s="20">
        <f>IF(TotalUnits=0,0,DB$9/TotalUnits)</f>
        <v/>
      </c>
      <c r="DC10" s="20">
        <f>IF(TotalUnits=0,0,DC$9/TotalUnits)</f>
        <v/>
      </c>
      <c r="DD10" s="20">
        <f>IF(TotalUnits=0,0,DD$9/TotalUnits)</f>
        <v/>
      </c>
      <c r="DE10" s="20">
        <f>IF(TotalUnits=0,0,DE$9/TotalUnits)</f>
        <v/>
      </c>
      <c r="DF10" s="20">
        <f>IF(TotalUnits=0,0,DF$9/TotalUnits)</f>
        <v/>
      </c>
      <c r="DG10" s="20">
        <f>IF(TotalUnits=0,0,DG$9/TotalUnits)</f>
        <v/>
      </c>
      <c r="DH10" s="20">
        <f>IF(TotalUnits=0,0,DH$9/TotalUnits)</f>
        <v/>
      </c>
      <c r="DI10" s="20">
        <f>IF(TotalUnits=0,0,DI$9/TotalUnits)</f>
        <v/>
      </c>
      <c r="DJ10" s="20">
        <f>IF(TotalUnits=0,0,DJ$9/TotalUnits)</f>
        <v/>
      </c>
      <c r="DK10" s="20">
        <f>IF(TotalUnits=0,0,DK$9/TotalUnits)</f>
        <v/>
      </c>
      <c r="DL10" s="20">
        <f>IF(TotalUnits=0,0,DL$9/TotalUnits)</f>
        <v/>
      </c>
      <c r="DM10" s="20">
        <f>IF(TotalUnits=0,0,DM$9/TotalUnits)</f>
        <v/>
      </c>
      <c r="DN10" s="20">
        <f>IF(TotalUnits=0,0,DN$9/TotalUnits)</f>
        <v/>
      </c>
      <c r="DO10" s="20">
        <f>IF(TotalUnits=0,0,DO$9/TotalUnits)</f>
        <v/>
      </c>
      <c r="DP10" s="20">
        <f>IF(TotalUnits=0,0,DP$9/TotalUnits)</f>
        <v/>
      </c>
      <c r="DQ10" s="20">
        <f>IF(TotalUnits=0,0,DQ$9/TotalUnits)</f>
        <v/>
      </c>
      <c r="DR10" s="20">
        <f>IF(TotalUnits=0,0,DR$9/TotalUnits)</f>
        <v/>
      </c>
      <c r="DS10" s="20">
        <f>IF(TotalUnits=0,0,DS$9/TotalUnits)</f>
        <v/>
      </c>
      <c r="DT10" s="20">
        <f>IF(TotalUnits=0,0,DT$9/TotalUnits)</f>
        <v/>
      </c>
      <c r="DU10" s="20">
        <f>IF(TotalUnits=0,0,DU$9/TotalUnits)</f>
        <v/>
      </c>
      <c r="DV10" s="20">
        <f>IF(TotalUnits=0,0,DV$9/TotalUnits)</f>
        <v/>
      </c>
      <c r="DW10" s="20">
        <f>IF(TotalUnits=0,0,DW$9/TotalUnits)</f>
        <v/>
      </c>
      <c r="DX10" s="20">
        <f>IF(TotalUnits=0,0,DX$9/TotalUnits)</f>
        <v/>
      </c>
      <c r="DY10" s="20">
        <f>IF(TotalUnits=0,0,DY$9/TotalUnits)</f>
        <v/>
      </c>
      <c r="DZ10" s="20">
        <f>IF(TotalUnits=0,0,DZ$9/TotalUnits)</f>
        <v/>
      </c>
      <c r="EA10" s="20">
        <f>IF(TotalUnits=0,0,EA$9/TotalUnits)</f>
        <v/>
      </c>
      <c r="EB10" s="20">
        <f>IF(TotalUnits=0,0,EB$9/TotalUnits)</f>
        <v/>
      </c>
      <c r="EC10" s="20">
        <f>IF(TotalUnits=0,0,EC$9/TotalUnits)</f>
        <v/>
      </c>
      <c r="ED10" s="20">
        <f>IF(TotalUnits=0,0,ED$9/TotalUnits)</f>
        <v/>
      </c>
      <c r="EE10" s="20">
        <f>IF(TotalUnits=0,0,EE$9/TotalUnits)</f>
        <v/>
      </c>
      <c r="EF10" s="20">
        <f>IF(TotalUnits=0,0,EF$9/TotalUnits)</f>
        <v/>
      </c>
      <c r="EG10" s="20">
        <f>IF(TotalUnits=0,0,EG$9/TotalUnits)</f>
        <v/>
      </c>
      <c r="EH10" s="20">
        <f>IF(TotalUnits=0,0,EH$9/TotalUnits)</f>
        <v/>
      </c>
      <c r="EI10" s="20">
        <f>IF(TotalUnits=0,0,EI$9/TotalUnits)</f>
        <v/>
      </c>
      <c r="EJ10" s="20">
        <f>IF(TotalUnits=0,0,EJ$9/TotalUnits)</f>
        <v/>
      </c>
      <c r="EK10" s="20">
        <f>IF(TotalUnits=0,0,EK$9/TotalUnits)</f>
        <v/>
      </c>
      <c r="EL10" s="20">
        <f>IF(TotalUnits=0,0,EL$9/TotalUnits)</f>
        <v/>
      </c>
      <c r="EM10" s="20">
        <f>IF(TotalUnits=0,0,EM$9/TotalUnits)</f>
        <v/>
      </c>
      <c r="EN10" s="20">
        <f>IF(TotalUnits=0,0,EN$9/TotalUnits)</f>
        <v/>
      </c>
      <c r="EO10" s="20">
        <f>IF(TotalUnits=0,0,EO$9/TotalUnits)</f>
        <v/>
      </c>
      <c r="EP10" s="20">
        <f>IF(TotalUnits=0,0,EP$9/TotalUnits)</f>
        <v/>
      </c>
      <c r="EQ10" s="20">
        <f>IF(TotalUnits=0,0,EQ$9/TotalUnits)</f>
        <v/>
      </c>
      <c r="ER10" s="20">
        <f>IF(TotalUnits=0,0,ER$9/TotalUnits)</f>
        <v/>
      </c>
      <c r="ES10" s="20">
        <f>IF(TotalUnits=0,0,ES$9/TotalUnits)</f>
        <v/>
      </c>
      <c r="ET10" s="20">
        <f>IF(TotalUnits=0,0,ET$9/TotalUnits)</f>
        <v/>
      </c>
      <c r="EU10" s="20">
        <f>IF(TotalUnits=0,0,EU$9/TotalUnits)</f>
        <v/>
      </c>
      <c r="EV10" s="20">
        <f>IF(TotalUnits=0,0,EV$9/TotalUnits)</f>
        <v/>
      </c>
      <c r="EW10" s="20">
        <f>IF(TotalUnits=0,0,EW$9/TotalUnits)</f>
        <v/>
      </c>
      <c r="EX10" s="20">
        <f>IF(TotalUnits=0,0,EX$9/TotalUnits)</f>
        <v/>
      </c>
      <c r="EY10" s="20">
        <f>IF(TotalUnits=0,0,EY$9/TotalUnits)</f>
        <v/>
      </c>
      <c r="EZ10" s="20">
        <f>IF(TotalUnits=0,0,EZ$9/TotalUnits)</f>
        <v/>
      </c>
      <c r="FA10" s="20">
        <f>IF(TotalUnits=0,0,FA$9/TotalUnits)</f>
        <v/>
      </c>
      <c r="FB10" s="20">
        <f>IF(TotalUnits=0,0,FB$9/TotalUnits)</f>
        <v/>
      </c>
      <c r="FC10" s="20">
        <f>IF(TotalUnits=0,0,FC$9/TotalUnits)</f>
        <v/>
      </c>
      <c r="FD10" s="20">
        <f>IF(TotalUnits=0,0,FD$9/TotalUnits)</f>
        <v/>
      </c>
      <c r="FE10" s="20">
        <f>IF(TotalUnits=0,0,FE$9/TotalUnits)</f>
        <v/>
      </c>
      <c r="FF10" s="20">
        <f>IF(TotalUnits=0,0,FF$9/TotalUnits)</f>
        <v/>
      </c>
      <c r="FG10" s="20">
        <f>IF(TotalUnits=0,0,FG$9/TotalUnits)</f>
        <v/>
      </c>
      <c r="FH10" s="20">
        <f>IF(TotalUnits=0,0,FH$9/TotalUnits)</f>
        <v/>
      </c>
      <c r="FI10" s="20">
        <f>IF(TotalUnits=0,0,FI$9/TotalUnits)</f>
        <v/>
      </c>
      <c r="FJ10" s="20">
        <f>IF(TotalUnits=0,0,FJ$9/TotalUnits)</f>
        <v/>
      </c>
      <c r="FK10" s="20">
        <f>IF(TotalUnits=0,0,FK$9/TotalUnits)</f>
        <v/>
      </c>
      <c r="FL10" s="20">
        <f>IF(TotalUnits=0,0,FL$9/TotalUnits)</f>
        <v/>
      </c>
      <c r="FM10" s="20">
        <f>IF(TotalUnits=0,0,FM$9/TotalUnits)</f>
        <v/>
      </c>
      <c r="FN10" s="20">
        <f>IF(TotalUnits=0,0,FN$9/TotalUnits)</f>
        <v/>
      </c>
      <c r="FO10" s="20">
        <f>IF(TotalUnits=0,0,FO$9/TotalUnits)</f>
        <v/>
      </c>
      <c r="FP10" s="20">
        <f>IF(TotalUnits=0,0,FP$9/TotalUnits)</f>
        <v/>
      </c>
      <c r="FQ10" s="20">
        <f>IF(TotalUnits=0,0,FQ$9/TotalUnits)</f>
        <v/>
      </c>
      <c r="FR10" s="20">
        <f>IF(TotalUnits=0,0,FR$9/TotalUnits)</f>
        <v/>
      </c>
      <c r="FS10" s="20">
        <f>IF(TotalUnits=0,0,FS$9/TotalUnits)</f>
        <v/>
      </c>
      <c r="FT10" s="20">
        <f>IF(TotalUnits=0,0,FT$9/TotalUnits)</f>
        <v/>
      </c>
      <c r="FU10" s="20">
        <f>IF(TotalUnits=0,0,FU$9/TotalUnits)</f>
        <v/>
      </c>
      <c r="FV10" s="20">
        <f>IF(TotalUnits=0,0,FV$9/TotalUnits)</f>
        <v/>
      </c>
      <c r="FW10" s="20">
        <f>IF(TotalUnits=0,0,FW$9/TotalUnits)</f>
        <v/>
      </c>
      <c r="FX10" s="20">
        <f>IF(TotalUnits=0,0,FX$9/TotalUnits)</f>
        <v/>
      </c>
      <c r="FY10" s="20">
        <f>IF(TotalUnits=0,0,FY$9/TotalUnits)</f>
        <v/>
      </c>
      <c r="FZ10" s="20">
        <f>IF(TotalUnits=0,0,FZ$9/TotalUnits)</f>
        <v/>
      </c>
      <c r="GA10" s="20">
        <f>IF(TotalUnits=0,0,GA$9/TotalUnits)</f>
        <v/>
      </c>
      <c r="GB10" s="20">
        <f>IF(TotalUnits=0,0,GB$9/TotalUnits)</f>
        <v/>
      </c>
      <c r="GC10" s="20">
        <f>IF(TotalUnits=0,0,GC$9/TotalUnits)</f>
        <v/>
      </c>
      <c r="GD10" s="20">
        <f>IF(TotalUnits=0,0,GD$9/TotalUnits)</f>
        <v/>
      </c>
      <c r="GE10" s="20">
        <f>IF(TotalUnits=0,0,GE$9/TotalUnits)</f>
        <v/>
      </c>
      <c r="GF10" s="20">
        <f>IF(TotalUnits=0,0,GF$9/TotalUnits)</f>
        <v/>
      </c>
      <c r="GG10" s="20">
        <f>IF(TotalUnits=0,0,GG$9/TotalUnits)</f>
        <v/>
      </c>
      <c r="GH10" s="20">
        <f>IF(TotalUnits=0,0,GH$9/TotalUnits)</f>
        <v/>
      </c>
      <c r="GI10" s="20">
        <f>IF(TotalUnits=0,0,GI$9/TotalUnits)</f>
        <v/>
      </c>
      <c r="GJ10" s="20">
        <f>IF(TotalUnits=0,0,GJ$9/TotalUnits)</f>
        <v/>
      </c>
      <c r="GK10" s="20">
        <f>IF(TotalUnits=0,0,GK$9/TotalUnits)</f>
        <v/>
      </c>
      <c r="GL10" s="20">
        <f>IF(TotalUnits=0,0,GL$9/TotalUnits)</f>
        <v/>
      </c>
      <c r="GM10" s="20">
        <f>IF(TotalUnits=0,0,GM$9/TotalUnits)</f>
        <v/>
      </c>
      <c r="GN10" s="20">
        <f>IF(TotalUnits=0,0,GN$9/TotalUnits)</f>
        <v/>
      </c>
      <c r="GO10" s="20">
        <f>IF(TotalUnits=0,0,GO$9/TotalUnits)</f>
        <v/>
      </c>
      <c r="GP10" s="20">
        <f>IF(TotalUnits=0,0,GP$9/TotalUnits)</f>
        <v/>
      </c>
      <c r="GQ10" s="20">
        <f>IF(TotalUnits=0,0,GQ$9/TotalUnits)</f>
        <v/>
      </c>
      <c r="GR10" s="20">
        <f>IF(TotalUnits=0,0,GR$9/TotalUnits)</f>
        <v/>
      </c>
      <c r="GS10" s="20">
        <f>IF(TotalUnits=0,0,GS$9/TotalUnits)</f>
        <v/>
      </c>
      <c r="GT10" s="20">
        <f>IF(TotalUnits=0,0,GT$9/TotalUnits)</f>
        <v/>
      </c>
      <c r="GU10" s="20">
        <f>IF(TotalUnits=0,0,GU$9/TotalUnits)</f>
        <v/>
      </c>
      <c r="GV10" s="20">
        <f>IF(TotalUnits=0,0,GV$9/TotalUnits)</f>
        <v/>
      </c>
      <c r="GW10" s="20">
        <f>IF(TotalUnits=0,0,GW$9/TotalUnits)</f>
        <v/>
      </c>
      <c r="GX10" s="20">
        <f>IF(TotalUnits=0,0,GX$9/TotalUnits)</f>
        <v/>
      </c>
      <c r="GY10" s="20">
        <f>IF(TotalUnits=0,0,GY$9/TotalUnits)</f>
        <v/>
      </c>
      <c r="GZ10" s="20">
        <f>IF(TotalUnits=0,0,GZ$9/TotalUnits)</f>
        <v/>
      </c>
      <c r="HA10" s="20">
        <f>IF(TotalUnits=0,0,HA$9/TotalUnits)</f>
        <v/>
      </c>
      <c r="HB10" s="20">
        <f>IF(TotalUnits=0,0,HB$9/TotalUnits)</f>
        <v/>
      </c>
      <c r="HC10" s="20">
        <f>IF(TotalUnits=0,0,HC$9/TotalUnits)</f>
        <v/>
      </c>
      <c r="HD10" s="20">
        <f>IF(TotalUnits=0,0,HD$9/TotalUnits)</f>
        <v/>
      </c>
      <c r="HE10" s="20">
        <f>IF(TotalUnits=0,0,HE$9/TotalUnits)</f>
        <v/>
      </c>
      <c r="HF10" s="20">
        <f>IF(TotalUnits=0,0,HF$9/TotalUnits)</f>
        <v/>
      </c>
      <c r="HG10" s="20">
        <f>IF(TotalUnits=0,0,HG$9/TotalUnits)</f>
        <v/>
      </c>
      <c r="HH10" s="20">
        <f>IF(TotalUnits=0,0,HH$9/TotalUnits)</f>
        <v/>
      </c>
      <c r="HI10" s="20">
        <f>IF(TotalUnits=0,0,HI$9/TotalUnits)</f>
        <v/>
      </c>
      <c r="HJ10" s="20">
        <f>IF(TotalUnits=0,0,HJ$9/TotalUnits)</f>
        <v/>
      </c>
      <c r="HK10" s="20">
        <f>IF(TotalUnits=0,0,HK$9/TotalUnits)</f>
        <v/>
      </c>
      <c r="HL10" s="20">
        <f>IF(TotalUnits=0,0,HL$9/TotalUnits)</f>
        <v/>
      </c>
      <c r="HM10" s="20">
        <f>IF(TotalUnits=0,0,HM$9/TotalUnits)</f>
        <v/>
      </c>
      <c r="HN10" s="20">
        <f>IF(TotalUnits=0,0,HN$9/TotalUnits)</f>
        <v/>
      </c>
      <c r="HO10" s="20">
        <f>IF(TotalUnits=0,0,HO$9/TotalUnits)</f>
        <v/>
      </c>
      <c r="HP10" s="20">
        <f>IF(TotalUnits=0,0,HP$9/TotalUnits)</f>
        <v/>
      </c>
      <c r="HQ10" s="20">
        <f>IF(TotalUnits=0,0,HQ$9/TotalUnits)</f>
        <v/>
      </c>
      <c r="HR10" s="20">
        <f>IF(TotalUnits=0,0,HR$9/TotalUnits)</f>
        <v/>
      </c>
      <c r="HS10" s="20">
        <f>IF(TotalUnits=0,0,HS$9/TotalUnits)</f>
        <v/>
      </c>
      <c r="HT10" s="20">
        <f>IF(TotalUnits=0,0,HT$9/TotalUnits)</f>
        <v/>
      </c>
      <c r="HU10" s="20">
        <f>IF(TotalUnits=0,0,HU$9/TotalUnits)</f>
        <v/>
      </c>
      <c r="HV10" s="20">
        <f>IF(TotalUnits=0,0,HV$9/TotalUnits)</f>
        <v/>
      </c>
      <c r="HW10" s="20">
        <f>IF(TotalUnits=0,0,HW$9/TotalUnits)</f>
        <v/>
      </c>
      <c r="HX10" s="20">
        <f>IF(TotalUnits=0,0,HX$9/TotalUnits)</f>
        <v/>
      </c>
      <c r="HY10" s="20">
        <f>IF(TotalUnits=0,0,HY$9/TotalUnits)</f>
        <v/>
      </c>
      <c r="HZ10" s="20">
        <f>IF(TotalUnits=0,0,HZ$9/TotalUnits)</f>
        <v/>
      </c>
      <c r="IA10" s="20">
        <f>IF(TotalUnits=0,0,IA$9/TotalUnits)</f>
        <v/>
      </c>
      <c r="IB10" s="20">
        <f>IF(TotalUnits=0,0,IB$9/TotalUnits)</f>
        <v/>
      </c>
      <c r="IC10" s="20">
        <f>IF(TotalUnits=0,0,IC$9/TotalUnits)</f>
        <v/>
      </c>
      <c r="ID10" s="20">
        <f>IF(TotalUnits=0,0,ID$9/TotalUnits)</f>
        <v/>
      </c>
      <c r="IE10" s="20">
        <f>IF(TotalUnits=0,0,IE$9/TotalUnits)</f>
        <v/>
      </c>
      <c r="IF10" s="20">
        <f>IF(TotalUnits=0,0,IF$9/TotalUnits)</f>
        <v/>
      </c>
      <c r="IG10" s="20">
        <f>IF(TotalUnits=0,0,IG$9/TotalUnits)</f>
        <v/>
      </c>
      <c r="IH10" s="20">
        <f>IF(TotalUnits=0,0,IH$9/TotalUnits)</f>
        <v/>
      </c>
      <c r="II10" s="20">
        <f>IF(TotalUnits=0,0,II$9/TotalUnits)</f>
        <v/>
      </c>
      <c r="IJ10" s="20">
        <f>IF(TotalUnits=0,0,IJ$9/TotalUnits)</f>
        <v/>
      </c>
      <c r="IK10" s="20">
        <f>IF(TotalUnits=0,0,IK$9/TotalUnits)</f>
        <v/>
      </c>
      <c r="IL10" s="20">
        <f>IF(TotalUnits=0,0,IL$9/TotalUnits)</f>
        <v/>
      </c>
      <c r="IM10" s="20">
        <f>IF(TotalUnits=0,0,IM$9/TotalUnits)</f>
        <v/>
      </c>
      <c r="IN10" s="20">
        <f>IF(TotalUnits=0,0,IN$9/TotalUnits)</f>
        <v/>
      </c>
      <c r="IO10" s="20">
        <f>IF(TotalUnits=0,0,IO$9/TotalUnits)</f>
        <v/>
      </c>
      <c r="IP10" s="20">
        <f>IF(TotalUnits=0,0,IP$9/TotalUnits)</f>
        <v/>
      </c>
      <c r="IQ10" s="20">
        <f>IF(TotalUnits=0,0,IQ$9/TotalUnits)</f>
        <v/>
      </c>
      <c r="IR10" s="20">
        <f>IF(TotalUnits=0,0,IR$9/TotalUnits)</f>
        <v/>
      </c>
      <c r="IS10" s="20">
        <f>IF(TotalUnits=0,0,IS$9/TotalUnits)</f>
        <v/>
      </c>
      <c r="IT10" s="20">
        <f>IF(TotalUnits=0,0,IT$9/TotalUnits)</f>
        <v/>
      </c>
      <c r="IU10" s="20">
        <f>IF(TotalUnits=0,0,IU$9/TotalUnits)</f>
        <v/>
      </c>
      <c r="IV10" s="20">
        <f>IF(TotalUnits=0,0,IV$9/TotalUnits)</f>
        <v/>
      </c>
      <c r="IW10" s="20">
        <f>IF(TotalUnits=0,0,IW$9/TotalUnits)</f>
        <v/>
      </c>
      <c r="IX10" s="20">
        <f>IF(TotalUnits=0,0,IX$9/TotalUnits)</f>
        <v/>
      </c>
      <c r="IY10" s="20">
        <f>IF(TotalUnits=0,0,IY$9/TotalUnits)</f>
        <v/>
      </c>
      <c r="IZ10" s="20">
        <f>IF(TotalUnits=0,0,IZ$9/TotalUnits)</f>
        <v/>
      </c>
      <c r="JA10" s="20">
        <f>IF(TotalUnits=0,0,JA$9/TotalUnits)</f>
        <v/>
      </c>
      <c r="JB10" s="20">
        <f>IF(TotalUnits=0,0,JB$9/TotalUnits)</f>
        <v/>
      </c>
      <c r="JC10" s="20">
        <f>IF(TotalUnits=0,0,JC$9/TotalUnits)</f>
        <v/>
      </c>
      <c r="JD10" s="20">
        <f>IF(TotalUnits=0,0,JD$9/TotalUnits)</f>
        <v/>
      </c>
      <c r="JE10" s="20">
        <f>IF(TotalUnits=0,0,JE$9/TotalUnits)</f>
        <v/>
      </c>
      <c r="JF10" s="20">
        <f>IF(TotalUnits=0,0,JF$9/TotalUnits)</f>
        <v/>
      </c>
      <c r="JG10" s="20">
        <f>IF(TotalUnits=0,0,JG$9/TotalUnits)</f>
        <v/>
      </c>
      <c r="JH10" s="20">
        <f>IF(TotalUnits=0,0,JH$9/TotalUnits)</f>
        <v/>
      </c>
      <c r="JI10" s="20">
        <f>IF(TotalUnits=0,0,JI$9/TotalUnits)</f>
        <v/>
      </c>
      <c r="JJ10" s="20">
        <f>IF(TotalUnits=0,0,JJ$9/TotalUnits)</f>
        <v/>
      </c>
      <c r="JK10" s="20">
        <f>IF(TotalUnits=0,0,JK$9/TotalUnits)</f>
        <v/>
      </c>
      <c r="JL10" s="20">
        <f>IF(TotalUnits=0,0,JL$9/TotalUnits)</f>
        <v/>
      </c>
      <c r="JM10" s="20">
        <f>IF(TotalUnits=0,0,JM$9/TotalUnits)</f>
        <v/>
      </c>
      <c r="JN10" s="20">
        <f>IF(TotalUnits=0,0,JN$9/TotalUnits)</f>
        <v/>
      </c>
      <c r="JO10" s="20">
        <f>IF(TotalUnits=0,0,JO$9/TotalUnits)</f>
        <v/>
      </c>
      <c r="JP10" s="20">
        <f>IF(TotalUnits=0,0,JP$9/TotalUnits)</f>
        <v/>
      </c>
      <c r="JQ10" s="20">
        <f>IF(TotalUnits=0,0,JQ$9/TotalUnits)</f>
        <v/>
      </c>
      <c r="JR10" s="20">
        <f>IF(TotalUnits=0,0,JR$9/TotalUnits)</f>
        <v/>
      </c>
      <c r="JS10" s="20">
        <f>IF(TotalUnits=0,0,JS$9/TotalUnits)</f>
        <v/>
      </c>
      <c r="JT10" s="20">
        <f>IF(TotalUnits=0,0,JT$9/TotalUnits)</f>
        <v/>
      </c>
      <c r="JU10" s="20">
        <f>IF(TotalUnits=0,0,JU$9/TotalUnits)</f>
        <v/>
      </c>
      <c r="JV10" s="20">
        <f>IF(TotalUnits=0,0,JV$9/TotalUnits)</f>
        <v/>
      </c>
      <c r="JW10" s="20">
        <f>IF(TotalUnits=0,0,JW$9/TotalUnits)</f>
        <v/>
      </c>
      <c r="JX10" s="20">
        <f>IF(TotalUnits=0,0,JX$9/TotalUnits)</f>
        <v/>
      </c>
      <c r="JY10" s="20">
        <f>IF(TotalUnits=0,0,JY$9/TotalUnits)</f>
        <v/>
      </c>
      <c r="JZ10" s="20">
        <f>IF(TotalUnits=0,0,JZ$9/TotalUnits)</f>
        <v/>
      </c>
      <c r="KA10" s="20">
        <f>IF(TotalUnits=0,0,KA$9/TotalUnits)</f>
        <v/>
      </c>
      <c r="KB10" s="20">
        <f>IF(TotalUnits=0,0,KB$9/TotalUnits)</f>
        <v/>
      </c>
      <c r="KC10" s="20">
        <f>IF(TotalUnits=0,0,KC$9/TotalUnits)</f>
        <v/>
      </c>
      <c r="KD10" s="20">
        <f>IF(TotalUnits=0,0,KD$9/TotalUnits)</f>
        <v/>
      </c>
      <c r="KE10" s="20">
        <f>IF(TotalUnits=0,0,KE$9/TotalUnits)</f>
        <v/>
      </c>
      <c r="KF10" s="20">
        <f>IF(TotalUnits=0,0,KF$9/TotalUnits)</f>
        <v/>
      </c>
      <c r="KG10" s="20">
        <f>IF(TotalUnits=0,0,KG$9/TotalUnits)</f>
        <v/>
      </c>
      <c r="KH10" s="20">
        <f>IF(TotalUnits=0,0,KH$9/TotalUnits)</f>
        <v/>
      </c>
      <c r="KI10" s="20">
        <f>IF(TotalUnits=0,0,KI$9/TotalUnits)</f>
        <v/>
      </c>
      <c r="KJ10" s="20">
        <f>IF(TotalUnits=0,0,KJ$9/TotalUnits)</f>
        <v/>
      </c>
      <c r="KK10" s="20">
        <f>IF(TotalUnits=0,0,KK$9/TotalUnits)</f>
        <v/>
      </c>
      <c r="KL10" s="20">
        <f>IF(TotalUnits=0,0,KL$9/TotalUnits)</f>
        <v/>
      </c>
      <c r="KM10" s="20">
        <f>IF(TotalUnits=0,0,KM$9/TotalUnits)</f>
        <v/>
      </c>
      <c r="KN10" s="20">
        <f>IF(TotalUnits=0,0,KN$9/TotalUnits)</f>
        <v/>
      </c>
      <c r="KO10" s="20">
        <f>IF(TotalUnits=0,0,KO$9/TotalUnits)</f>
        <v/>
      </c>
      <c r="KP10" s="20">
        <f>IF(TotalUnits=0,0,KP$9/TotalUnits)</f>
        <v/>
      </c>
      <c r="KQ10" s="20">
        <f>IF(TotalUnits=0,0,KQ$9/TotalUnits)</f>
        <v/>
      </c>
      <c r="KR10" s="20">
        <f>IF(TotalUnits=0,0,KR$9/TotalUnits)</f>
        <v/>
      </c>
      <c r="KS10" s="20">
        <f>IF(TotalUnits=0,0,KS$9/TotalUnits)</f>
        <v/>
      </c>
      <c r="KT10" s="20">
        <f>IF(TotalUnits=0,0,KT$9/TotalUnits)</f>
        <v/>
      </c>
      <c r="KU10" s="20">
        <f>IF(TotalUnits=0,0,KU$9/TotalUnits)</f>
        <v/>
      </c>
      <c r="KV10" s="20">
        <f>IF(TotalUnits=0,0,KV$9/TotalUnits)</f>
        <v/>
      </c>
      <c r="KW10" s="20">
        <f>IF(TotalUnits=0,0,KW$9/TotalUnits)</f>
        <v/>
      </c>
      <c r="KX10" s="20">
        <f>IF(TotalUnits=0,0,KX$9/TotalUnits)</f>
        <v/>
      </c>
      <c r="KY10" s="20">
        <f>IF(TotalUnits=0,0,KY$9/TotalUnits)</f>
        <v/>
      </c>
      <c r="KZ10" s="20">
        <f>IF(TotalUnits=0,0,KZ$9/TotalUnits)</f>
        <v/>
      </c>
      <c r="LA10" s="20">
        <f>IF(TotalUnits=0,0,LA$9/TotalUnits)</f>
        <v/>
      </c>
      <c r="LB10" s="20">
        <f>IF(TotalUnits=0,0,LB$9/TotalUnits)</f>
        <v/>
      </c>
      <c r="LC10" s="20">
        <f>IF(TotalUnits=0,0,LC$9/TotalUnits)</f>
        <v/>
      </c>
      <c r="LD10" s="20">
        <f>IF(TotalUnits=0,0,LD$9/TotalUnits)</f>
        <v/>
      </c>
      <c r="LE10" s="20">
        <f>IF(TotalUnits=0,0,LE$9/TotalUnits)</f>
        <v/>
      </c>
      <c r="LF10" s="20">
        <f>IF(TotalUnits=0,0,LF$9/TotalUnits)</f>
        <v/>
      </c>
      <c r="LG10" s="20">
        <f>IF(TotalUnits=0,0,LG$9/TotalUnits)</f>
        <v/>
      </c>
      <c r="LH10" s="20">
        <f>IF(TotalUnits=0,0,LH$9/TotalUnits)</f>
        <v/>
      </c>
      <c r="LI10" s="20">
        <f>IF(TotalUnits=0,0,LI$9/TotalUnits)</f>
        <v/>
      </c>
      <c r="LJ10" s="20">
        <f>IF(TotalUnits=0,0,LJ$9/TotalUnits)</f>
        <v/>
      </c>
      <c r="LK10" s="20">
        <f>IF(TotalUnits=0,0,LK$9/TotalUnits)</f>
        <v/>
      </c>
      <c r="LL10" s="20">
        <f>IF(TotalUnits=0,0,LL$9/TotalUnits)</f>
        <v/>
      </c>
      <c r="LM10" s="20">
        <f>IF(TotalUnits=0,0,LM$9/TotalUnits)</f>
        <v/>
      </c>
      <c r="LN10" s="20">
        <f>IF(TotalUnits=0,0,LN$9/TotalUnits)</f>
        <v/>
      </c>
      <c r="LO10" s="20">
        <f>IF(TotalUnits=0,0,LO$9/TotalUnits)</f>
        <v/>
      </c>
      <c r="LP10" s="20">
        <f>IF(TotalUnits=0,0,LP$9/TotalUnits)</f>
        <v/>
      </c>
      <c r="LQ10" s="20">
        <f>IF(TotalUnits=0,0,LQ$9/TotalUnits)</f>
        <v/>
      </c>
      <c r="LR10" s="20">
        <f>IF(TotalUnits=0,0,LR$9/TotalUnits)</f>
        <v/>
      </c>
      <c r="LS10" s="20">
        <f>IF(TotalUnits=0,0,LS$9/TotalUnits)</f>
        <v/>
      </c>
      <c r="LT10" s="20">
        <f>IF(TotalUnits=0,0,LT$9/TotalUnits)</f>
        <v/>
      </c>
      <c r="LU10" s="20">
        <f>IF(TotalUnits=0,0,LU$9/TotalUnits)</f>
        <v/>
      </c>
      <c r="LV10" s="20">
        <f>IF(TotalUnits=0,0,LV$9/TotalUnits)</f>
        <v/>
      </c>
      <c r="LW10" s="20">
        <f>IF(TotalUnits=0,0,LW$9/TotalUnits)</f>
        <v/>
      </c>
      <c r="LX10" s="20">
        <f>IF(TotalUnits=0,0,LX$9/TotalUnits)</f>
        <v/>
      </c>
      <c r="LY10" s="20">
        <f>IF(TotalUnits=0,0,LY$9/TotalUnits)</f>
        <v/>
      </c>
      <c r="LZ10" s="20">
        <f>IF(TotalUnits=0,0,LZ$9/TotalUnits)</f>
        <v/>
      </c>
      <c r="MA10" s="20">
        <f>IF(TotalUnits=0,0,MA$9/TotalUnits)</f>
        <v/>
      </c>
      <c r="MB10" s="20">
        <f>IF(TotalUnits=0,0,MB$9/TotalUnits)</f>
        <v/>
      </c>
      <c r="MC10" s="20">
        <f>IF(TotalUnits=0,0,MC$9/TotalUnits)</f>
        <v/>
      </c>
      <c r="MD10" s="20">
        <f>IF(TotalUnits=0,0,MD$9/TotalUnits)</f>
        <v/>
      </c>
      <c r="ME10" s="20">
        <f>IF(TotalUnits=0,0,ME$9/TotalUnits)</f>
        <v/>
      </c>
      <c r="MF10" s="20">
        <f>IF(TotalUnits=0,0,MF$9/TotalUnits)</f>
        <v/>
      </c>
      <c r="MG10" s="20">
        <f>IF(TotalUnits=0,0,MG$9/TotalUnits)</f>
        <v/>
      </c>
      <c r="MH10" s="20">
        <f>IF(TotalUnits=0,0,MH$9/TotalUnits)</f>
        <v/>
      </c>
      <c r="MI10" s="20">
        <f>IF(TotalUnits=0,0,MI$9/TotalUnits)</f>
        <v/>
      </c>
      <c r="MJ10" s="20">
        <f>IF(TotalUnits=0,0,MJ$9/TotalUnits)</f>
        <v/>
      </c>
      <c r="MK10" s="20">
        <f>IF(TotalUnits=0,0,MK$9/TotalUnits)</f>
        <v/>
      </c>
      <c r="ML10" s="20">
        <f>IF(TotalUnits=0,0,ML$9/TotalUnits)</f>
        <v/>
      </c>
      <c r="MM10" s="20">
        <f>IF(TotalUnits=0,0,MM$9/TotalUnits)</f>
        <v/>
      </c>
      <c r="MN10" s="20">
        <f>IF(TotalUnits=0,0,MN$9/TotalUnits)</f>
        <v/>
      </c>
      <c r="MO10" s="20">
        <f>IF(TotalUnits=0,0,MO$9/TotalUnits)</f>
        <v/>
      </c>
      <c r="MP10" s="20">
        <f>IF(TotalUnits=0,0,MP$9/TotalUnits)</f>
        <v/>
      </c>
      <c r="MQ10" s="20">
        <f>IF(TotalUnits=0,0,MQ$9/TotalUnits)</f>
        <v/>
      </c>
      <c r="MR10" s="20">
        <f>IF(TotalUnits=0,0,MR$9/TotalUnits)</f>
        <v/>
      </c>
      <c r="MS10" s="20">
        <f>IF(TotalUnits=0,0,MS$9/TotalUnits)</f>
        <v/>
      </c>
      <c r="MT10" s="20">
        <f>IF(TotalUnits=0,0,MT$9/TotalUnits)</f>
        <v/>
      </c>
      <c r="MU10" s="20">
        <f>IF(TotalUnits=0,0,MU$9/TotalUnits)</f>
        <v/>
      </c>
      <c r="MV10" s="20">
        <f>IF(TotalUnits=0,0,MV$9/TotalUnits)</f>
        <v/>
      </c>
      <c r="MW10" s="20">
        <f>IF(TotalUnits=0,0,MW$9/TotalUnits)</f>
        <v/>
      </c>
      <c r="MX10" s="20">
        <f>IF(TotalUnits=0,0,MX$9/TotalUnits)</f>
        <v/>
      </c>
      <c r="MY10" s="20">
        <f>IF(TotalUnits=0,0,MY$9/TotalUnits)</f>
        <v/>
      </c>
      <c r="MZ10" s="20">
        <f>IF(TotalUnits=0,0,MZ$9/TotalUnits)</f>
        <v/>
      </c>
      <c r="NA10" s="20">
        <f>IF(TotalUnits=0,0,NA$9/TotalUnits)</f>
        <v/>
      </c>
      <c r="NB10" s="20">
        <f>IF(TotalUnits=0,0,NB$9/TotalUnits)</f>
        <v/>
      </c>
      <c r="NC10" s="20">
        <f>IF(TotalUnits=0,0,NC$9/TotalUnits)</f>
        <v/>
      </c>
      <c r="ND10" s="20">
        <f>IF(TotalUnits=0,0,ND$9/TotalUnits)</f>
        <v/>
      </c>
      <c r="NE10" s="20">
        <f>IF(TotalUnits=0,0,NE$9/TotalUnits)</f>
        <v/>
      </c>
      <c r="NF10" s="20">
        <f>IF(TotalUnits=0,0,NF$9/TotalUnits)</f>
        <v/>
      </c>
      <c r="NG10" s="20">
        <f>IF(TotalUnits=0,0,NG$9/TotalUnits)</f>
        <v/>
      </c>
      <c r="NH10" s="20">
        <f>IF(TotalUnits=0,0,NH$9/TotalUnits)</f>
        <v/>
      </c>
      <c r="NI10" s="20">
        <f>IF(TotalUnits=0,0,NI$9/TotalUnits)</f>
        <v/>
      </c>
      <c r="NJ10" s="20">
        <f>IF(TotalUnits=0,0,NJ$9/TotalUnits)</f>
        <v/>
      </c>
      <c r="NK10" s="20">
        <f>IF(TotalUnits=0,0,NK$9/TotalUnits)</f>
        <v/>
      </c>
    </row>
    <row r="12">
      <c r="A12" s="15" t="inlineStr">
        <is>
          <t>Lease-Up Reconciliation</t>
        </is>
      </c>
      <c r="B12" s="23" t="n"/>
      <c r="C12" s="23" t="n"/>
    </row>
    <row r="13">
      <c r="A13" s="5" t="inlineStr">
        <is>
          <t>Occupancy at Stabilization − target</t>
        </is>
      </c>
      <c r="B13" s="17">
        <f>INDEX(D9:NK9,StabMonth)-StabLeasedTarget</f>
        <v/>
      </c>
    </row>
    <row r="14">
      <c r="A14" s="5" t="inlineStr">
        <is>
          <t>Units delivered at Stabilization</t>
        </is>
      </c>
      <c r="B14" s="17">
        <f>INDEX(D8:NK8,StabMonth)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6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3" t="inlineStr">
        <is>
          <t>Growth &amp; Lease-Up Factors</t>
        </is>
      </c>
      <c r="B5" s="4" t="n"/>
      <c r="C5" s="4" t="n"/>
    </row>
    <row r="6">
      <c r="A6" s="5" t="inlineStr">
        <is>
          <t>Growth Factor — Rent</t>
        </is>
      </c>
      <c r="C6" s="52" t="n"/>
      <c r="D6" s="53">
        <f>(1+GrowthRent)^(MAX(0,1-GrowthStartMonth)/12)</f>
        <v/>
      </c>
      <c r="E6" s="53">
        <f>(1+GrowthRent)^(MAX(0,2-GrowthStartMonth)/12)</f>
        <v/>
      </c>
      <c r="F6" s="53">
        <f>(1+GrowthRent)^(MAX(0,3-GrowthStartMonth)/12)</f>
        <v/>
      </c>
      <c r="G6" s="53">
        <f>(1+GrowthRent)^(MAX(0,4-GrowthStartMonth)/12)</f>
        <v/>
      </c>
      <c r="H6" s="53">
        <f>(1+GrowthRent)^(MAX(0,5-GrowthStartMonth)/12)</f>
        <v/>
      </c>
      <c r="I6" s="53">
        <f>(1+GrowthRent)^(MAX(0,6-GrowthStartMonth)/12)</f>
        <v/>
      </c>
      <c r="J6" s="53">
        <f>(1+GrowthRent)^(MAX(0,7-GrowthStartMonth)/12)</f>
        <v/>
      </c>
      <c r="K6" s="53">
        <f>(1+GrowthRent)^(MAX(0,8-GrowthStartMonth)/12)</f>
        <v/>
      </c>
      <c r="L6" s="53">
        <f>(1+GrowthRent)^(MAX(0,9-GrowthStartMonth)/12)</f>
        <v/>
      </c>
      <c r="M6" s="53">
        <f>(1+GrowthRent)^(MAX(0,10-GrowthStartMonth)/12)</f>
        <v/>
      </c>
      <c r="N6" s="53">
        <f>(1+GrowthRent)^(MAX(0,11-GrowthStartMonth)/12)</f>
        <v/>
      </c>
      <c r="O6" s="53">
        <f>(1+GrowthRent)^(MAX(0,12-GrowthStartMonth)/12)</f>
        <v/>
      </c>
      <c r="P6" s="53">
        <f>(1+GrowthRent)^(MAX(0,13-GrowthStartMonth)/12)</f>
        <v/>
      </c>
      <c r="Q6" s="53">
        <f>(1+GrowthRent)^(MAX(0,14-GrowthStartMonth)/12)</f>
        <v/>
      </c>
      <c r="R6" s="53">
        <f>(1+GrowthRent)^(MAX(0,15-GrowthStartMonth)/12)</f>
        <v/>
      </c>
      <c r="S6" s="53">
        <f>(1+GrowthRent)^(MAX(0,16-GrowthStartMonth)/12)</f>
        <v/>
      </c>
      <c r="T6" s="53">
        <f>(1+GrowthRent)^(MAX(0,17-GrowthStartMonth)/12)</f>
        <v/>
      </c>
      <c r="U6" s="53">
        <f>(1+GrowthRent)^(MAX(0,18-GrowthStartMonth)/12)</f>
        <v/>
      </c>
      <c r="V6" s="53">
        <f>(1+GrowthRent)^(MAX(0,19-GrowthStartMonth)/12)</f>
        <v/>
      </c>
      <c r="W6" s="53">
        <f>(1+GrowthRent)^(MAX(0,20-GrowthStartMonth)/12)</f>
        <v/>
      </c>
      <c r="X6" s="53">
        <f>(1+GrowthRent)^(MAX(0,21-GrowthStartMonth)/12)</f>
        <v/>
      </c>
      <c r="Y6" s="53">
        <f>(1+GrowthRent)^(MAX(0,22-GrowthStartMonth)/12)</f>
        <v/>
      </c>
      <c r="Z6" s="53">
        <f>(1+GrowthRent)^(MAX(0,23-GrowthStartMonth)/12)</f>
        <v/>
      </c>
      <c r="AA6" s="53">
        <f>(1+GrowthRent)^(MAX(0,24-GrowthStartMonth)/12)</f>
        <v/>
      </c>
      <c r="AB6" s="53">
        <f>(1+GrowthRent)^(MAX(0,25-GrowthStartMonth)/12)</f>
        <v/>
      </c>
      <c r="AC6" s="53">
        <f>(1+GrowthRent)^(MAX(0,26-GrowthStartMonth)/12)</f>
        <v/>
      </c>
      <c r="AD6" s="53">
        <f>(1+GrowthRent)^(MAX(0,27-GrowthStartMonth)/12)</f>
        <v/>
      </c>
      <c r="AE6" s="53">
        <f>(1+GrowthRent)^(MAX(0,28-GrowthStartMonth)/12)</f>
        <v/>
      </c>
      <c r="AF6" s="53">
        <f>(1+GrowthRent)^(MAX(0,29-GrowthStartMonth)/12)</f>
        <v/>
      </c>
      <c r="AG6" s="53">
        <f>(1+GrowthRent)^(MAX(0,30-GrowthStartMonth)/12)</f>
        <v/>
      </c>
      <c r="AH6" s="53">
        <f>(1+GrowthRent)^(MAX(0,31-GrowthStartMonth)/12)</f>
        <v/>
      </c>
      <c r="AI6" s="53">
        <f>(1+GrowthRent)^(MAX(0,32-GrowthStartMonth)/12)</f>
        <v/>
      </c>
      <c r="AJ6" s="53">
        <f>(1+GrowthRent)^(MAX(0,33-GrowthStartMonth)/12)</f>
        <v/>
      </c>
      <c r="AK6" s="53">
        <f>(1+GrowthRent)^(MAX(0,34-GrowthStartMonth)/12)</f>
        <v/>
      </c>
      <c r="AL6" s="53">
        <f>(1+GrowthRent)^(MAX(0,35-GrowthStartMonth)/12)</f>
        <v/>
      </c>
      <c r="AM6" s="53">
        <f>(1+GrowthRent)^(MAX(0,36-GrowthStartMonth)/12)</f>
        <v/>
      </c>
      <c r="AN6" s="53">
        <f>(1+GrowthRent)^(MAX(0,37-GrowthStartMonth)/12)</f>
        <v/>
      </c>
      <c r="AO6" s="53">
        <f>(1+GrowthRent)^(MAX(0,38-GrowthStartMonth)/12)</f>
        <v/>
      </c>
      <c r="AP6" s="53">
        <f>(1+GrowthRent)^(MAX(0,39-GrowthStartMonth)/12)</f>
        <v/>
      </c>
      <c r="AQ6" s="53">
        <f>(1+GrowthRent)^(MAX(0,40-GrowthStartMonth)/12)</f>
        <v/>
      </c>
      <c r="AR6" s="53">
        <f>(1+GrowthRent)^(MAX(0,41-GrowthStartMonth)/12)</f>
        <v/>
      </c>
      <c r="AS6" s="53">
        <f>(1+GrowthRent)^(MAX(0,42-GrowthStartMonth)/12)</f>
        <v/>
      </c>
      <c r="AT6" s="53">
        <f>(1+GrowthRent)^(MAX(0,43-GrowthStartMonth)/12)</f>
        <v/>
      </c>
      <c r="AU6" s="53">
        <f>(1+GrowthRent)^(MAX(0,44-GrowthStartMonth)/12)</f>
        <v/>
      </c>
      <c r="AV6" s="53">
        <f>(1+GrowthRent)^(MAX(0,45-GrowthStartMonth)/12)</f>
        <v/>
      </c>
      <c r="AW6" s="53">
        <f>(1+GrowthRent)^(MAX(0,46-GrowthStartMonth)/12)</f>
        <v/>
      </c>
      <c r="AX6" s="53">
        <f>(1+GrowthRent)^(MAX(0,47-GrowthStartMonth)/12)</f>
        <v/>
      </c>
      <c r="AY6" s="53">
        <f>(1+GrowthRent)^(MAX(0,48-GrowthStartMonth)/12)</f>
        <v/>
      </c>
      <c r="AZ6" s="53">
        <f>(1+GrowthRent)^(MAX(0,49-GrowthStartMonth)/12)</f>
        <v/>
      </c>
      <c r="BA6" s="53">
        <f>(1+GrowthRent)^(MAX(0,50-GrowthStartMonth)/12)</f>
        <v/>
      </c>
      <c r="BB6" s="53">
        <f>(1+GrowthRent)^(MAX(0,51-GrowthStartMonth)/12)</f>
        <v/>
      </c>
      <c r="BC6" s="53">
        <f>(1+GrowthRent)^(MAX(0,52-GrowthStartMonth)/12)</f>
        <v/>
      </c>
      <c r="BD6" s="53">
        <f>(1+GrowthRent)^(MAX(0,53-GrowthStartMonth)/12)</f>
        <v/>
      </c>
      <c r="BE6" s="53">
        <f>(1+GrowthRent)^(MAX(0,54-GrowthStartMonth)/12)</f>
        <v/>
      </c>
      <c r="BF6" s="53">
        <f>(1+GrowthRent)^(MAX(0,55-GrowthStartMonth)/12)</f>
        <v/>
      </c>
      <c r="BG6" s="53">
        <f>(1+GrowthRent)^(MAX(0,56-GrowthStartMonth)/12)</f>
        <v/>
      </c>
      <c r="BH6" s="53">
        <f>(1+GrowthRent)^(MAX(0,57-GrowthStartMonth)/12)</f>
        <v/>
      </c>
      <c r="BI6" s="53">
        <f>(1+GrowthRent)^(MAX(0,58-GrowthStartMonth)/12)</f>
        <v/>
      </c>
      <c r="BJ6" s="53">
        <f>(1+GrowthRent)^(MAX(0,59-GrowthStartMonth)/12)</f>
        <v/>
      </c>
      <c r="BK6" s="53">
        <f>(1+GrowthRent)^(MAX(0,60-GrowthStartMonth)/12)</f>
        <v/>
      </c>
      <c r="BL6" s="53">
        <f>(1+GrowthRent)^(MAX(0,61-GrowthStartMonth)/12)</f>
        <v/>
      </c>
      <c r="BM6" s="53">
        <f>(1+GrowthRent)^(MAX(0,62-GrowthStartMonth)/12)</f>
        <v/>
      </c>
      <c r="BN6" s="53">
        <f>(1+GrowthRent)^(MAX(0,63-GrowthStartMonth)/12)</f>
        <v/>
      </c>
      <c r="BO6" s="53">
        <f>(1+GrowthRent)^(MAX(0,64-GrowthStartMonth)/12)</f>
        <v/>
      </c>
      <c r="BP6" s="53">
        <f>(1+GrowthRent)^(MAX(0,65-GrowthStartMonth)/12)</f>
        <v/>
      </c>
      <c r="BQ6" s="53">
        <f>(1+GrowthRent)^(MAX(0,66-GrowthStartMonth)/12)</f>
        <v/>
      </c>
      <c r="BR6" s="53">
        <f>(1+GrowthRent)^(MAX(0,67-GrowthStartMonth)/12)</f>
        <v/>
      </c>
      <c r="BS6" s="53">
        <f>(1+GrowthRent)^(MAX(0,68-GrowthStartMonth)/12)</f>
        <v/>
      </c>
      <c r="BT6" s="53">
        <f>(1+GrowthRent)^(MAX(0,69-GrowthStartMonth)/12)</f>
        <v/>
      </c>
      <c r="BU6" s="53">
        <f>(1+GrowthRent)^(MAX(0,70-GrowthStartMonth)/12)</f>
        <v/>
      </c>
      <c r="BV6" s="53">
        <f>(1+GrowthRent)^(MAX(0,71-GrowthStartMonth)/12)</f>
        <v/>
      </c>
      <c r="BW6" s="53">
        <f>(1+GrowthRent)^(MAX(0,72-GrowthStartMonth)/12)</f>
        <v/>
      </c>
      <c r="BX6" s="53">
        <f>(1+GrowthRent)^(MAX(0,73-GrowthStartMonth)/12)</f>
        <v/>
      </c>
      <c r="BY6" s="53">
        <f>(1+GrowthRent)^(MAX(0,74-GrowthStartMonth)/12)</f>
        <v/>
      </c>
      <c r="BZ6" s="53">
        <f>(1+GrowthRent)^(MAX(0,75-GrowthStartMonth)/12)</f>
        <v/>
      </c>
      <c r="CA6" s="53">
        <f>(1+GrowthRent)^(MAX(0,76-GrowthStartMonth)/12)</f>
        <v/>
      </c>
      <c r="CB6" s="53">
        <f>(1+GrowthRent)^(MAX(0,77-GrowthStartMonth)/12)</f>
        <v/>
      </c>
      <c r="CC6" s="53">
        <f>(1+GrowthRent)^(MAX(0,78-GrowthStartMonth)/12)</f>
        <v/>
      </c>
      <c r="CD6" s="53">
        <f>(1+GrowthRent)^(MAX(0,79-GrowthStartMonth)/12)</f>
        <v/>
      </c>
      <c r="CE6" s="53">
        <f>(1+GrowthRent)^(MAX(0,80-GrowthStartMonth)/12)</f>
        <v/>
      </c>
      <c r="CF6" s="53">
        <f>(1+GrowthRent)^(MAX(0,81-GrowthStartMonth)/12)</f>
        <v/>
      </c>
      <c r="CG6" s="53">
        <f>(1+GrowthRent)^(MAX(0,82-GrowthStartMonth)/12)</f>
        <v/>
      </c>
      <c r="CH6" s="53">
        <f>(1+GrowthRent)^(MAX(0,83-GrowthStartMonth)/12)</f>
        <v/>
      </c>
      <c r="CI6" s="53">
        <f>(1+GrowthRent)^(MAX(0,84-GrowthStartMonth)/12)</f>
        <v/>
      </c>
      <c r="CJ6" s="53">
        <f>(1+GrowthRent)^(MAX(0,85-GrowthStartMonth)/12)</f>
        <v/>
      </c>
      <c r="CK6" s="53">
        <f>(1+GrowthRent)^(MAX(0,86-GrowthStartMonth)/12)</f>
        <v/>
      </c>
      <c r="CL6" s="53">
        <f>(1+GrowthRent)^(MAX(0,87-GrowthStartMonth)/12)</f>
        <v/>
      </c>
      <c r="CM6" s="53">
        <f>(1+GrowthRent)^(MAX(0,88-GrowthStartMonth)/12)</f>
        <v/>
      </c>
      <c r="CN6" s="53">
        <f>(1+GrowthRent)^(MAX(0,89-GrowthStartMonth)/12)</f>
        <v/>
      </c>
      <c r="CO6" s="53">
        <f>(1+GrowthRent)^(MAX(0,90-GrowthStartMonth)/12)</f>
        <v/>
      </c>
      <c r="CP6" s="53">
        <f>(1+GrowthRent)^(MAX(0,91-GrowthStartMonth)/12)</f>
        <v/>
      </c>
      <c r="CQ6" s="53">
        <f>(1+GrowthRent)^(MAX(0,92-GrowthStartMonth)/12)</f>
        <v/>
      </c>
      <c r="CR6" s="53">
        <f>(1+GrowthRent)^(MAX(0,93-GrowthStartMonth)/12)</f>
        <v/>
      </c>
      <c r="CS6" s="53">
        <f>(1+GrowthRent)^(MAX(0,94-GrowthStartMonth)/12)</f>
        <v/>
      </c>
      <c r="CT6" s="53">
        <f>(1+GrowthRent)^(MAX(0,95-GrowthStartMonth)/12)</f>
        <v/>
      </c>
      <c r="CU6" s="53">
        <f>(1+GrowthRent)^(MAX(0,96-GrowthStartMonth)/12)</f>
        <v/>
      </c>
      <c r="CV6" s="53">
        <f>(1+GrowthRent)^(MAX(0,97-GrowthStartMonth)/12)</f>
        <v/>
      </c>
      <c r="CW6" s="53">
        <f>(1+GrowthRent)^(MAX(0,98-GrowthStartMonth)/12)</f>
        <v/>
      </c>
      <c r="CX6" s="53">
        <f>(1+GrowthRent)^(MAX(0,99-GrowthStartMonth)/12)</f>
        <v/>
      </c>
      <c r="CY6" s="53">
        <f>(1+GrowthRent)^(MAX(0,100-GrowthStartMonth)/12)</f>
        <v/>
      </c>
      <c r="CZ6" s="53">
        <f>(1+GrowthRent)^(MAX(0,101-GrowthStartMonth)/12)</f>
        <v/>
      </c>
      <c r="DA6" s="53">
        <f>(1+GrowthRent)^(MAX(0,102-GrowthStartMonth)/12)</f>
        <v/>
      </c>
      <c r="DB6" s="53">
        <f>(1+GrowthRent)^(MAX(0,103-GrowthStartMonth)/12)</f>
        <v/>
      </c>
      <c r="DC6" s="53">
        <f>(1+GrowthRent)^(MAX(0,104-GrowthStartMonth)/12)</f>
        <v/>
      </c>
      <c r="DD6" s="53">
        <f>(1+GrowthRent)^(MAX(0,105-GrowthStartMonth)/12)</f>
        <v/>
      </c>
      <c r="DE6" s="53">
        <f>(1+GrowthRent)^(MAX(0,106-GrowthStartMonth)/12)</f>
        <v/>
      </c>
      <c r="DF6" s="53">
        <f>(1+GrowthRent)^(MAX(0,107-GrowthStartMonth)/12)</f>
        <v/>
      </c>
      <c r="DG6" s="53">
        <f>(1+GrowthRent)^(MAX(0,108-GrowthStartMonth)/12)</f>
        <v/>
      </c>
      <c r="DH6" s="53">
        <f>(1+GrowthRent)^(MAX(0,109-GrowthStartMonth)/12)</f>
        <v/>
      </c>
      <c r="DI6" s="53">
        <f>(1+GrowthRent)^(MAX(0,110-GrowthStartMonth)/12)</f>
        <v/>
      </c>
      <c r="DJ6" s="53">
        <f>(1+GrowthRent)^(MAX(0,111-GrowthStartMonth)/12)</f>
        <v/>
      </c>
      <c r="DK6" s="53">
        <f>(1+GrowthRent)^(MAX(0,112-GrowthStartMonth)/12)</f>
        <v/>
      </c>
      <c r="DL6" s="53">
        <f>(1+GrowthRent)^(MAX(0,113-GrowthStartMonth)/12)</f>
        <v/>
      </c>
      <c r="DM6" s="53">
        <f>(1+GrowthRent)^(MAX(0,114-GrowthStartMonth)/12)</f>
        <v/>
      </c>
      <c r="DN6" s="53">
        <f>(1+GrowthRent)^(MAX(0,115-GrowthStartMonth)/12)</f>
        <v/>
      </c>
      <c r="DO6" s="53">
        <f>(1+GrowthRent)^(MAX(0,116-GrowthStartMonth)/12)</f>
        <v/>
      </c>
      <c r="DP6" s="53">
        <f>(1+GrowthRent)^(MAX(0,117-GrowthStartMonth)/12)</f>
        <v/>
      </c>
      <c r="DQ6" s="53">
        <f>(1+GrowthRent)^(MAX(0,118-GrowthStartMonth)/12)</f>
        <v/>
      </c>
      <c r="DR6" s="53">
        <f>(1+GrowthRent)^(MAX(0,119-GrowthStartMonth)/12)</f>
        <v/>
      </c>
      <c r="DS6" s="53">
        <f>(1+GrowthRent)^(MAX(0,120-GrowthStartMonth)/12)</f>
        <v/>
      </c>
      <c r="DT6" s="53">
        <f>(1+GrowthRent)^(MAX(0,121-GrowthStartMonth)/12)</f>
        <v/>
      </c>
      <c r="DU6" s="53">
        <f>(1+GrowthRent)^(MAX(0,122-GrowthStartMonth)/12)</f>
        <v/>
      </c>
      <c r="DV6" s="53">
        <f>(1+GrowthRent)^(MAX(0,123-GrowthStartMonth)/12)</f>
        <v/>
      </c>
      <c r="DW6" s="53">
        <f>(1+GrowthRent)^(MAX(0,124-GrowthStartMonth)/12)</f>
        <v/>
      </c>
      <c r="DX6" s="53">
        <f>(1+GrowthRent)^(MAX(0,125-GrowthStartMonth)/12)</f>
        <v/>
      </c>
      <c r="DY6" s="53">
        <f>(1+GrowthRent)^(MAX(0,126-GrowthStartMonth)/12)</f>
        <v/>
      </c>
      <c r="DZ6" s="53">
        <f>(1+GrowthRent)^(MAX(0,127-GrowthStartMonth)/12)</f>
        <v/>
      </c>
      <c r="EA6" s="53">
        <f>(1+GrowthRent)^(MAX(0,128-GrowthStartMonth)/12)</f>
        <v/>
      </c>
      <c r="EB6" s="53">
        <f>(1+GrowthRent)^(MAX(0,129-GrowthStartMonth)/12)</f>
        <v/>
      </c>
      <c r="EC6" s="53">
        <f>(1+GrowthRent)^(MAX(0,130-GrowthStartMonth)/12)</f>
        <v/>
      </c>
      <c r="ED6" s="53">
        <f>(1+GrowthRent)^(MAX(0,131-GrowthStartMonth)/12)</f>
        <v/>
      </c>
      <c r="EE6" s="53">
        <f>(1+GrowthRent)^(MAX(0,132-GrowthStartMonth)/12)</f>
        <v/>
      </c>
      <c r="EF6" s="53">
        <f>(1+GrowthRent)^(MAX(0,133-GrowthStartMonth)/12)</f>
        <v/>
      </c>
      <c r="EG6" s="53">
        <f>(1+GrowthRent)^(MAX(0,134-GrowthStartMonth)/12)</f>
        <v/>
      </c>
      <c r="EH6" s="53">
        <f>(1+GrowthRent)^(MAX(0,135-GrowthStartMonth)/12)</f>
        <v/>
      </c>
      <c r="EI6" s="53">
        <f>(1+GrowthRent)^(MAX(0,136-GrowthStartMonth)/12)</f>
        <v/>
      </c>
      <c r="EJ6" s="53">
        <f>(1+GrowthRent)^(MAX(0,137-GrowthStartMonth)/12)</f>
        <v/>
      </c>
      <c r="EK6" s="53">
        <f>(1+GrowthRent)^(MAX(0,138-GrowthStartMonth)/12)</f>
        <v/>
      </c>
      <c r="EL6" s="53">
        <f>(1+GrowthRent)^(MAX(0,139-GrowthStartMonth)/12)</f>
        <v/>
      </c>
      <c r="EM6" s="53">
        <f>(1+GrowthRent)^(MAX(0,140-GrowthStartMonth)/12)</f>
        <v/>
      </c>
      <c r="EN6" s="53">
        <f>(1+GrowthRent)^(MAX(0,141-GrowthStartMonth)/12)</f>
        <v/>
      </c>
      <c r="EO6" s="53">
        <f>(1+GrowthRent)^(MAX(0,142-GrowthStartMonth)/12)</f>
        <v/>
      </c>
      <c r="EP6" s="53">
        <f>(1+GrowthRent)^(MAX(0,143-GrowthStartMonth)/12)</f>
        <v/>
      </c>
      <c r="EQ6" s="53">
        <f>(1+GrowthRent)^(MAX(0,144-GrowthStartMonth)/12)</f>
        <v/>
      </c>
      <c r="ER6" s="53">
        <f>(1+GrowthRent)^(MAX(0,145-GrowthStartMonth)/12)</f>
        <v/>
      </c>
      <c r="ES6" s="53">
        <f>(1+GrowthRent)^(MAX(0,146-GrowthStartMonth)/12)</f>
        <v/>
      </c>
      <c r="ET6" s="53">
        <f>(1+GrowthRent)^(MAX(0,147-GrowthStartMonth)/12)</f>
        <v/>
      </c>
      <c r="EU6" s="53">
        <f>(1+GrowthRent)^(MAX(0,148-GrowthStartMonth)/12)</f>
        <v/>
      </c>
      <c r="EV6" s="53">
        <f>(1+GrowthRent)^(MAX(0,149-GrowthStartMonth)/12)</f>
        <v/>
      </c>
      <c r="EW6" s="53">
        <f>(1+GrowthRent)^(MAX(0,150-GrowthStartMonth)/12)</f>
        <v/>
      </c>
      <c r="EX6" s="53">
        <f>(1+GrowthRent)^(MAX(0,151-GrowthStartMonth)/12)</f>
        <v/>
      </c>
      <c r="EY6" s="53">
        <f>(1+GrowthRent)^(MAX(0,152-GrowthStartMonth)/12)</f>
        <v/>
      </c>
      <c r="EZ6" s="53">
        <f>(1+GrowthRent)^(MAX(0,153-GrowthStartMonth)/12)</f>
        <v/>
      </c>
      <c r="FA6" s="53">
        <f>(1+GrowthRent)^(MAX(0,154-GrowthStartMonth)/12)</f>
        <v/>
      </c>
      <c r="FB6" s="53">
        <f>(1+GrowthRent)^(MAX(0,155-GrowthStartMonth)/12)</f>
        <v/>
      </c>
      <c r="FC6" s="53">
        <f>(1+GrowthRent)^(MAX(0,156-GrowthStartMonth)/12)</f>
        <v/>
      </c>
      <c r="FD6" s="53">
        <f>(1+GrowthRent)^(MAX(0,157-GrowthStartMonth)/12)</f>
        <v/>
      </c>
      <c r="FE6" s="53">
        <f>(1+GrowthRent)^(MAX(0,158-GrowthStartMonth)/12)</f>
        <v/>
      </c>
      <c r="FF6" s="53">
        <f>(1+GrowthRent)^(MAX(0,159-GrowthStartMonth)/12)</f>
        <v/>
      </c>
      <c r="FG6" s="53">
        <f>(1+GrowthRent)^(MAX(0,160-GrowthStartMonth)/12)</f>
        <v/>
      </c>
      <c r="FH6" s="53">
        <f>(1+GrowthRent)^(MAX(0,161-GrowthStartMonth)/12)</f>
        <v/>
      </c>
      <c r="FI6" s="53">
        <f>(1+GrowthRent)^(MAX(0,162-GrowthStartMonth)/12)</f>
        <v/>
      </c>
      <c r="FJ6" s="53">
        <f>(1+GrowthRent)^(MAX(0,163-GrowthStartMonth)/12)</f>
        <v/>
      </c>
      <c r="FK6" s="53">
        <f>(1+GrowthRent)^(MAX(0,164-GrowthStartMonth)/12)</f>
        <v/>
      </c>
      <c r="FL6" s="53">
        <f>(1+GrowthRent)^(MAX(0,165-GrowthStartMonth)/12)</f>
        <v/>
      </c>
      <c r="FM6" s="53">
        <f>(1+GrowthRent)^(MAX(0,166-GrowthStartMonth)/12)</f>
        <v/>
      </c>
      <c r="FN6" s="53">
        <f>(1+GrowthRent)^(MAX(0,167-GrowthStartMonth)/12)</f>
        <v/>
      </c>
      <c r="FO6" s="53">
        <f>(1+GrowthRent)^(MAX(0,168-GrowthStartMonth)/12)</f>
        <v/>
      </c>
      <c r="FP6" s="53">
        <f>(1+GrowthRent)^(MAX(0,169-GrowthStartMonth)/12)</f>
        <v/>
      </c>
      <c r="FQ6" s="53">
        <f>(1+GrowthRent)^(MAX(0,170-GrowthStartMonth)/12)</f>
        <v/>
      </c>
      <c r="FR6" s="53">
        <f>(1+GrowthRent)^(MAX(0,171-GrowthStartMonth)/12)</f>
        <v/>
      </c>
      <c r="FS6" s="53">
        <f>(1+GrowthRent)^(MAX(0,172-GrowthStartMonth)/12)</f>
        <v/>
      </c>
      <c r="FT6" s="53">
        <f>(1+GrowthRent)^(MAX(0,173-GrowthStartMonth)/12)</f>
        <v/>
      </c>
      <c r="FU6" s="53">
        <f>(1+GrowthRent)^(MAX(0,174-GrowthStartMonth)/12)</f>
        <v/>
      </c>
      <c r="FV6" s="53">
        <f>(1+GrowthRent)^(MAX(0,175-GrowthStartMonth)/12)</f>
        <v/>
      </c>
      <c r="FW6" s="53">
        <f>(1+GrowthRent)^(MAX(0,176-GrowthStartMonth)/12)</f>
        <v/>
      </c>
      <c r="FX6" s="53">
        <f>(1+GrowthRent)^(MAX(0,177-GrowthStartMonth)/12)</f>
        <v/>
      </c>
      <c r="FY6" s="53">
        <f>(1+GrowthRent)^(MAX(0,178-GrowthStartMonth)/12)</f>
        <v/>
      </c>
      <c r="FZ6" s="53">
        <f>(1+GrowthRent)^(MAX(0,179-GrowthStartMonth)/12)</f>
        <v/>
      </c>
      <c r="GA6" s="53">
        <f>(1+GrowthRent)^(MAX(0,180-GrowthStartMonth)/12)</f>
        <v/>
      </c>
      <c r="GB6" s="53">
        <f>(1+GrowthRent)^(MAX(0,181-GrowthStartMonth)/12)</f>
        <v/>
      </c>
      <c r="GC6" s="53">
        <f>(1+GrowthRent)^(MAX(0,182-GrowthStartMonth)/12)</f>
        <v/>
      </c>
      <c r="GD6" s="53">
        <f>(1+GrowthRent)^(MAX(0,183-GrowthStartMonth)/12)</f>
        <v/>
      </c>
      <c r="GE6" s="53">
        <f>(1+GrowthRent)^(MAX(0,184-GrowthStartMonth)/12)</f>
        <v/>
      </c>
      <c r="GF6" s="53">
        <f>(1+GrowthRent)^(MAX(0,185-GrowthStartMonth)/12)</f>
        <v/>
      </c>
      <c r="GG6" s="53">
        <f>(1+GrowthRent)^(MAX(0,186-GrowthStartMonth)/12)</f>
        <v/>
      </c>
      <c r="GH6" s="53">
        <f>(1+GrowthRent)^(MAX(0,187-GrowthStartMonth)/12)</f>
        <v/>
      </c>
      <c r="GI6" s="53">
        <f>(1+GrowthRent)^(MAX(0,188-GrowthStartMonth)/12)</f>
        <v/>
      </c>
      <c r="GJ6" s="53">
        <f>(1+GrowthRent)^(MAX(0,189-GrowthStartMonth)/12)</f>
        <v/>
      </c>
      <c r="GK6" s="53">
        <f>(1+GrowthRent)^(MAX(0,190-GrowthStartMonth)/12)</f>
        <v/>
      </c>
      <c r="GL6" s="53">
        <f>(1+GrowthRent)^(MAX(0,191-GrowthStartMonth)/12)</f>
        <v/>
      </c>
      <c r="GM6" s="53">
        <f>(1+GrowthRent)^(MAX(0,192-GrowthStartMonth)/12)</f>
        <v/>
      </c>
      <c r="GN6" s="53">
        <f>(1+GrowthRent)^(MAX(0,193-GrowthStartMonth)/12)</f>
        <v/>
      </c>
      <c r="GO6" s="53">
        <f>(1+GrowthRent)^(MAX(0,194-GrowthStartMonth)/12)</f>
        <v/>
      </c>
      <c r="GP6" s="53">
        <f>(1+GrowthRent)^(MAX(0,195-GrowthStartMonth)/12)</f>
        <v/>
      </c>
      <c r="GQ6" s="53">
        <f>(1+GrowthRent)^(MAX(0,196-GrowthStartMonth)/12)</f>
        <v/>
      </c>
      <c r="GR6" s="53">
        <f>(1+GrowthRent)^(MAX(0,197-GrowthStartMonth)/12)</f>
        <v/>
      </c>
      <c r="GS6" s="53">
        <f>(1+GrowthRent)^(MAX(0,198-GrowthStartMonth)/12)</f>
        <v/>
      </c>
      <c r="GT6" s="53">
        <f>(1+GrowthRent)^(MAX(0,199-GrowthStartMonth)/12)</f>
        <v/>
      </c>
      <c r="GU6" s="53">
        <f>(1+GrowthRent)^(MAX(0,200-GrowthStartMonth)/12)</f>
        <v/>
      </c>
      <c r="GV6" s="53">
        <f>(1+GrowthRent)^(MAX(0,201-GrowthStartMonth)/12)</f>
        <v/>
      </c>
      <c r="GW6" s="53">
        <f>(1+GrowthRent)^(MAX(0,202-GrowthStartMonth)/12)</f>
        <v/>
      </c>
      <c r="GX6" s="53">
        <f>(1+GrowthRent)^(MAX(0,203-GrowthStartMonth)/12)</f>
        <v/>
      </c>
      <c r="GY6" s="53">
        <f>(1+GrowthRent)^(MAX(0,204-GrowthStartMonth)/12)</f>
        <v/>
      </c>
      <c r="GZ6" s="53">
        <f>(1+GrowthRent)^(MAX(0,205-GrowthStartMonth)/12)</f>
        <v/>
      </c>
      <c r="HA6" s="53">
        <f>(1+GrowthRent)^(MAX(0,206-GrowthStartMonth)/12)</f>
        <v/>
      </c>
      <c r="HB6" s="53">
        <f>(1+GrowthRent)^(MAX(0,207-GrowthStartMonth)/12)</f>
        <v/>
      </c>
      <c r="HC6" s="53">
        <f>(1+GrowthRent)^(MAX(0,208-GrowthStartMonth)/12)</f>
        <v/>
      </c>
      <c r="HD6" s="53">
        <f>(1+GrowthRent)^(MAX(0,209-GrowthStartMonth)/12)</f>
        <v/>
      </c>
      <c r="HE6" s="53">
        <f>(1+GrowthRent)^(MAX(0,210-GrowthStartMonth)/12)</f>
        <v/>
      </c>
      <c r="HF6" s="53">
        <f>(1+GrowthRent)^(MAX(0,211-GrowthStartMonth)/12)</f>
        <v/>
      </c>
      <c r="HG6" s="53">
        <f>(1+GrowthRent)^(MAX(0,212-GrowthStartMonth)/12)</f>
        <v/>
      </c>
      <c r="HH6" s="53">
        <f>(1+GrowthRent)^(MAX(0,213-GrowthStartMonth)/12)</f>
        <v/>
      </c>
      <c r="HI6" s="53">
        <f>(1+GrowthRent)^(MAX(0,214-GrowthStartMonth)/12)</f>
        <v/>
      </c>
      <c r="HJ6" s="53">
        <f>(1+GrowthRent)^(MAX(0,215-GrowthStartMonth)/12)</f>
        <v/>
      </c>
      <c r="HK6" s="53">
        <f>(1+GrowthRent)^(MAX(0,216-GrowthStartMonth)/12)</f>
        <v/>
      </c>
      <c r="HL6" s="53">
        <f>(1+GrowthRent)^(MAX(0,217-GrowthStartMonth)/12)</f>
        <v/>
      </c>
      <c r="HM6" s="53">
        <f>(1+GrowthRent)^(MAX(0,218-GrowthStartMonth)/12)</f>
        <v/>
      </c>
      <c r="HN6" s="53">
        <f>(1+GrowthRent)^(MAX(0,219-GrowthStartMonth)/12)</f>
        <v/>
      </c>
      <c r="HO6" s="53">
        <f>(1+GrowthRent)^(MAX(0,220-GrowthStartMonth)/12)</f>
        <v/>
      </c>
      <c r="HP6" s="53">
        <f>(1+GrowthRent)^(MAX(0,221-GrowthStartMonth)/12)</f>
        <v/>
      </c>
      <c r="HQ6" s="53">
        <f>(1+GrowthRent)^(MAX(0,222-GrowthStartMonth)/12)</f>
        <v/>
      </c>
      <c r="HR6" s="53">
        <f>(1+GrowthRent)^(MAX(0,223-GrowthStartMonth)/12)</f>
        <v/>
      </c>
      <c r="HS6" s="53">
        <f>(1+GrowthRent)^(MAX(0,224-GrowthStartMonth)/12)</f>
        <v/>
      </c>
      <c r="HT6" s="53">
        <f>(1+GrowthRent)^(MAX(0,225-GrowthStartMonth)/12)</f>
        <v/>
      </c>
      <c r="HU6" s="53">
        <f>(1+GrowthRent)^(MAX(0,226-GrowthStartMonth)/12)</f>
        <v/>
      </c>
      <c r="HV6" s="53">
        <f>(1+GrowthRent)^(MAX(0,227-GrowthStartMonth)/12)</f>
        <v/>
      </c>
      <c r="HW6" s="53">
        <f>(1+GrowthRent)^(MAX(0,228-GrowthStartMonth)/12)</f>
        <v/>
      </c>
      <c r="HX6" s="53">
        <f>(1+GrowthRent)^(MAX(0,229-GrowthStartMonth)/12)</f>
        <v/>
      </c>
      <c r="HY6" s="53">
        <f>(1+GrowthRent)^(MAX(0,230-GrowthStartMonth)/12)</f>
        <v/>
      </c>
      <c r="HZ6" s="53">
        <f>(1+GrowthRent)^(MAX(0,231-GrowthStartMonth)/12)</f>
        <v/>
      </c>
      <c r="IA6" s="53">
        <f>(1+GrowthRent)^(MAX(0,232-GrowthStartMonth)/12)</f>
        <v/>
      </c>
      <c r="IB6" s="53">
        <f>(1+GrowthRent)^(MAX(0,233-GrowthStartMonth)/12)</f>
        <v/>
      </c>
      <c r="IC6" s="53">
        <f>(1+GrowthRent)^(MAX(0,234-GrowthStartMonth)/12)</f>
        <v/>
      </c>
      <c r="ID6" s="53">
        <f>(1+GrowthRent)^(MAX(0,235-GrowthStartMonth)/12)</f>
        <v/>
      </c>
      <c r="IE6" s="53">
        <f>(1+GrowthRent)^(MAX(0,236-GrowthStartMonth)/12)</f>
        <v/>
      </c>
      <c r="IF6" s="53">
        <f>(1+GrowthRent)^(MAX(0,237-GrowthStartMonth)/12)</f>
        <v/>
      </c>
      <c r="IG6" s="53">
        <f>(1+GrowthRent)^(MAX(0,238-GrowthStartMonth)/12)</f>
        <v/>
      </c>
      <c r="IH6" s="53">
        <f>(1+GrowthRent)^(MAX(0,239-GrowthStartMonth)/12)</f>
        <v/>
      </c>
      <c r="II6" s="53">
        <f>(1+GrowthRent)^(MAX(0,240-GrowthStartMonth)/12)</f>
        <v/>
      </c>
      <c r="IJ6" s="53">
        <f>(1+GrowthRent)^(MAX(0,241-GrowthStartMonth)/12)</f>
        <v/>
      </c>
      <c r="IK6" s="53">
        <f>(1+GrowthRent)^(MAX(0,242-GrowthStartMonth)/12)</f>
        <v/>
      </c>
      <c r="IL6" s="53">
        <f>(1+GrowthRent)^(MAX(0,243-GrowthStartMonth)/12)</f>
        <v/>
      </c>
      <c r="IM6" s="53">
        <f>(1+GrowthRent)^(MAX(0,244-GrowthStartMonth)/12)</f>
        <v/>
      </c>
      <c r="IN6" s="53">
        <f>(1+GrowthRent)^(MAX(0,245-GrowthStartMonth)/12)</f>
        <v/>
      </c>
      <c r="IO6" s="53">
        <f>(1+GrowthRent)^(MAX(0,246-GrowthStartMonth)/12)</f>
        <v/>
      </c>
      <c r="IP6" s="53">
        <f>(1+GrowthRent)^(MAX(0,247-GrowthStartMonth)/12)</f>
        <v/>
      </c>
      <c r="IQ6" s="53">
        <f>(1+GrowthRent)^(MAX(0,248-GrowthStartMonth)/12)</f>
        <v/>
      </c>
      <c r="IR6" s="53">
        <f>(1+GrowthRent)^(MAX(0,249-GrowthStartMonth)/12)</f>
        <v/>
      </c>
      <c r="IS6" s="53">
        <f>(1+GrowthRent)^(MAX(0,250-GrowthStartMonth)/12)</f>
        <v/>
      </c>
      <c r="IT6" s="53">
        <f>(1+GrowthRent)^(MAX(0,251-GrowthStartMonth)/12)</f>
        <v/>
      </c>
      <c r="IU6" s="53">
        <f>(1+GrowthRent)^(MAX(0,252-GrowthStartMonth)/12)</f>
        <v/>
      </c>
      <c r="IV6" s="53">
        <f>(1+GrowthRent)^(MAX(0,253-GrowthStartMonth)/12)</f>
        <v/>
      </c>
      <c r="IW6" s="53">
        <f>(1+GrowthRent)^(MAX(0,254-GrowthStartMonth)/12)</f>
        <v/>
      </c>
      <c r="IX6" s="53">
        <f>(1+GrowthRent)^(MAX(0,255-GrowthStartMonth)/12)</f>
        <v/>
      </c>
      <c r="IY6" s="53">
        <f>(1+GrowthRent)^(MAX(0,256-GrowthStartMonth)/12)</f>
        <v/>
      </c>
      <c r="IZ6" s="53">
        <f>(1+GrowthRent)^(MAX(0,257-GrowthStartMonth)/12)</f>
        <v/>
      </c>
      <c r="JA6" s="53">
        <f>(1+GrowthRent)^(MAX(0,258-GrowthStartMonth)/12)</f>
        <v/>
      </c>
      <c r="JB6" s="53">
        <f>(1+GrowthRent)^(MAX(0,259-GrowthStartMonth)/12)</f>
        <v/>
      </c>
      <c r="JC6" s="53">
        <f>(1+GrowthRent)^(MAX(0,260-GrowthStartMonth)/12)</f>
        <v/>
      </c>
      <c r="JD6" s="53">
        <f>(1+GrowthRent)^(MAX(0,261-GrowthStartMonth)/12)</f>
        <v/>
      </c>
      <c r="JE6" s="53">
        <f>(1+GrowthRent)^(MAX(0,262-GrowthStartMonth)/12)</f>
        <v/>
      </c>
      <c r="JF6" s="53">
        <f>(1+GrowthRent)^(MAX(0,263-GrowthStartMonth)/12)</f>
        <v/>
      </c>
      <c r="JG6" s="53">
        <f>(1+GrowthRent)^(MAX(0,264-GrowthStartMonth)/12)</f>
        <v/>
      </c>
      <c r="JH6" s="53">
        <f>(1+GrowthRent)^(MAX(0,265-GrowthStartMonth)/12)</f>
        <v/>
      </c>
      <c r="JI6" s="53">
        <f>(1+GrowthRent)^(MAX(0,266-GrowthStartMonth)/12)</f>
        <v/>
      </c>
      <c r="JJ6" s="53">
        <f>(1+GrowthRent)^(MAX(0,267-GrowthStartMonth)/12)</f>
        <v/>
      </c>
      <c r="JK6" s="53">
        <f>(1+GrowthRent)^(MAX(0,268-GrowthStartMonth)/12)</f>
        <v/>
      </c>
      <c r="JL6" s="53">
        <f>(1+GrowthRent)^(MAX(0,269-GrowthStartMonth)/12)</f>
        <v/>
      </c>
      <c r="JM6" s="53">
        <f>(1+GrowthRent)^(MAX(0,270-GrowthStartMonth)/12)</f>
        <v/>
      </c>
      <c r="JN6" s="53">
        <f>(1+GrowthRent)^(MAX(0,271-GrowthStartMonth)/12)</f>
        <v/>
      </c>
      <c r="JO6" s="53">
        <f>(1+GrowthRent)^(MAX(0,272-GrowthStartMonth)/12)</f>
        <v/>
      </c>
      <c r="JP6" s="53">
        <f>(1+GrowthRent)^(MAX(0,273-GrowthStartMonth)/12)</f>
        <v/>
      </c>
      <c r="JQ6" s="53">
        <f>(1+GrowthRent)^(MAX(0,274-GrowthStartMonth)/12)</f>
        <v/>
      </c>
      <c r="JR6" s="53">
        <f>(1+GrowthRent)^(MAX(0,275-GrowthStartMonth)/12)</f>
        <v/>
      </c>
      <c r="JS6" s="53">
        <f>(1+GrowthRent)^(MAX(0,276-GrowthStartMonth)/12)</f>
        <v/>
      </c>
      <c r="JT6" s="53">
        <f>(1+GrowthRent)^(MAX(0,277-GrowthStartMonth)/12)</f>
        <v/>
      </c>
      <c r="JU6" s="53">
        <f>(1+GrowthRent)^(MAX(0,278-GrowthStartMonth)/12)</f>
        <v/>
      </c>
      <c r="JV6" s="53">
        <f>(1+GrowthRent)^(MAX(0,279-GrowthStartMonth)/12)</f>
        <v/>
      </c>
      <c r="JW6" s="53">
        <f>(1+GrowthRent)^(MAX(0,280-GrowthStartMonth)/12)</f>
        <v/>
      </c>
      <c r="JX6" s="53">
        <f>(1+GrowthRent)^(MAX(0,281-GrowthStartMonth)/12)</f>
        <v/>
      </c>
      <c r="JY6" s="53">
        <f>(1+GrowthRent)^(MAX(0,282-GrowthStartMonth)/12)</f>
        <v/>
      </c>
      <c r="JZ6" s="53">
        <f>(1+GrowthRent)^(MAX(0,283-GrowthStartMonth)/12)</f>
        <v/>
      </c>
      <c r="KA6" s="53">
        <f>(1+GrowthRent)^(MAX(0,284-GrowthStartMonth)/12)</f>
        <v/>
      </c>
      <c r="KB6" s="53">
        <f>(1+GrowthRent)^(MAX(0,285-GrowthStartMonth)/12)</f>
        <v/>
      </c>
      <c r="KC6" s="53">
        <f>(1+GrowthRent)^(MAX(0,286-GrowthStartMonth)/12)</f>
        <v/>
      </c>
      <c r="KD6" s="53">
        <f>(1+GrowthRent)^(MAX(0,287-GrowthStartMonth)/12)</f>
        <v/>
      </c>
      <c r="KE6" s="53">
        <f>(1+GrowthRent)^(MAX(0,288-GrowthStartMonth)/12)</f>
        <v/>
      </c>
      <c r="KF6" s="53">
        <f>(1+GrowthRent)^(MAX(0,289-GrowthStartMonth)/12)</f>
        <v/>
      </c>
      <c r="KG6" s="53">
        <f>(1+GrowthRent)^(MAX(0,290-GrowthStartMonth)/12)</f>
        <v/>
      </c>
      <c r="KH6" s="53">
        <f>(1+GrowthRent)^(MAX(0,291-GrowthStartMonth)/12)</f>
        <v/>
      </c>
      <c r="KI6" s="53">
        <f>(1+GrowthRent)^(MAX(0,292-GrowthStartMonth)/12)</f>
        <v/>
      </c>
      <c r="KJ6" s="53">
        <f>(1+GrowthRent)^(MAX(0,293-GrowthStartMonth)/12)</f>
        <v/>
      </c>
      <c r="KK6" s="53">
        <f>(1+GrowthRent)^(MAX(0,294-GrowthStartMonth)/12)</f>
        <v/>
      </c>
      <c r="KL6" s="53">
        <f>(1+GrowthRent)^(MAX(0,295-GrowthStartMonth)/12)</f>
        <v/>
      </c>
      <c r="KM6" s="53">
        <f>(1+GrowthRent)^(MAX(0,296-GrowthStartMonth)/12)</f>
        <v/>
      </c>
      <c r="KN6" s="53">
        <f>(1+GrowthRent)^(MAX(0,297-GrowthStartMonth)/12)</f>
        <v/>
      </c>
      <c r="KO6" s="53">
        <f>(1+GrowthRent)^(MAX(0,298-GrowthStartMonth)/12)</f>
        <v/>
      </c>
      <c r="KP6" s="53">
        <f>(1+GrowthRent)^(MAX(0,299-GrowthStartMonth)/12)</f>
        <v/>
      </c>
      <c r="KQ6" s="53">
        <f>(1+GrowthRent)^(MAX(0,300-GrowthStartMonth)/12)</f>
        <v/>
      </c>
      <c r="KR6" s="53">
        <f>(1+GrowthRent)^(MAX(0,301-GrowthStartMonth)/12)</f>
        <v/>
      </c>
      <c r="KS6" s="53">
        <f>(1+GrowthRent)^(MAX(0,302-GrowthStartMonth)/12)</f>
        <v/>
      </c>
      <c r="KT6" s="53">
        <f>(1+GrowthRent)^(MAX(0,303-GrowthStartMonth)/12)</f>
        <v/>
      </c>
      <c r="KU6" s="53">
        <f>(1+GrowthRent)^(MAX(0,304-GrowthStartMonth)/12)</f>
        <v/>
      </c>
      <c r="KV6" s="53">
        <f>(1+GrowthRent)^(MAX(0,305-GrowthStartMonth)/12)</f>
        <v/>
      </c>
      <c r="KW6" s="53">
        <f>(1+GrowthRent)^(MAX(0,306-GrowthStartMonth)/12)</f>
        <v/>
      </c>
      <c r="KX6" s="53">
        <f>(1+GrowthRent)^(MAX(0,307-GrowthStartMonth)/12)</f>
        <v/>
      </c>
      <c r="KY6" s="53">
        <f>(1+GrowthRent)^(MAX(0,308-GrowthStartMonth)/12)</f>
        <v/>
      </c>
      <c r="KZ6" s="53">
        <f>(1+GrowthRent)^(MAX(0,309-GrowthStartMonth)/12)</f>
        <v/>
      </c>
      <c r="LA6" s="53">
        <f>(1+GrowthRent)^(MAX(0,310-GrowthStartMonth)/12)</f>
        <v/>
      </c>
      <c r="LB6" s="53">
        <f>(1+GrowthRent)^(MAX(0,311-GrowthStartMonth)/12)</f>
        <v/>
      </c>
      <c r="LC6" s="53">
        <f>(1+GrowthRent)^(MAX(0,312-GrowthStartMonth)/12)</f>
        <v/>
      </c>
      <c r="LD6" s="53">
        <f>(1+GrowthRent)^(MAX(0,313-GrowthStartMonth)/12)</f>
        <v/>
      </c>
      <c r="LE6" s="53">
        <f>(1+GrowthRent)^(MAX(0,314-GrowthStartMonth)/12)</f>
        <v/>
      </c>
      <c r="LF6" s="53">
        <f>(1+GrowthRent)^(MAX(0,315-GrowthStartMonth)/12)</f>
        <v/>
      </c>
      <c r="LG6" s="53">
        <f>(1+GrowthRent)^(MAX(0,316-GrowthStartMonth)/12)</f>
        <v/>
      </c>
      <c r="LH6" s="53">
        <f>(1+GrowthRent)^(MAX(0,317-GrowthStartMonth)/12)</f>
        <v/>
      </c>
      <c r="LI6" s="53">
        <f>(1+GrowthRent)^(MAX(0,318-GrowthStartMonth)/12)</f>
        <v/>
      </c>
      <c r="LJ6" s="53">
        <f>(1+GrowthRent)^(MAX(0,319-GrowthStartMonth)/12)</f>
        <v/>
      </c>
      <c r="LK6" s="53">
        <f>(1+GrowthRent)^(MAX(0,320-GrowthStartMonth)/12)</f>
        <v/>
      </c>
      <c r="LL6" s="53">
        <f>(1+GrowthRent)^(MAX(0,321-GrowthStartMonth)/12)</f>
        <v/>
      </c>
      <c r="LM6" s="53">
        <f>(1+GrowthRent)^(MAX(0,322-GrowthStartMonth)/12)</f>
        <v/>
      </c>
      <c r="LN6" s="53">
        <f>(1+GrowthRent)^(MAX(0,323-GrowthStartMonth)/12)</f>
        <v/>
      </c>
      <c r="LO6" s="53">
        <f>(1+GrowthRent)^(MAX(0,324-GrowthStartMonth)/12)</f>
        <v/>
      </c>
      <c r="LP6" s="53">
        <f>(1+GrowthRent)^(MAX(0,325-GrowthStartMonth)/12)</f>
        <v/>
      </c>
      <c r="LQ6" s="53">
        <f>(1+GrowthRent)^(MAX(0,326-GrowthStartMonth)/12)</f>
        <v/>
      </c>
      <c r="LR6" s="53">
        <f>(1+GrowthRent)^(MAX(0,327-GrowthStartMonth)/12)</f>
        <v/>
      </c>
      <c r="LS6" s="53">
        <f>(1+GrowthRent)^(MAX(0,328-GrowthStartMonth)/12)</f>
        <v/>
      </c>
      <c r="LT6" s="53">
        <f>(1+GrowthRent)^(MAX(0,329-GrowthStartMonth)/12)</f>
        <v/>
      </c>
      <c r="LU6" s="53">
        <f>(1+GrowthRent)^(MAX(0,330-GrowthStartMonth)/12)</f>
        <v/>
      </c>
      <c r="LV6" s="53">
        <f>(1+GrowthRent)^(MAX(0,331-GrowthStartMonth)/12)</f>
        <v/>
      </c>
      <c r="LW6" s="53">
        <f>(1+GrowthRent)^(MAX(0,332-GrowthStartMonth)/12)</f>
        <v/>
      </c>
      <c r="LX6" s="53">
        <f>(1+GrowthRent)^(MAX(0,333-GrowthStartMonth)/12)</f>
        <v/>
      </c>
      <c r="LY6" s="53">
        <f>(1+GrowthRent)^(MAX(0,334-GrowthStartMonth)/12)</f>
        <v/>
      </c>
      <c r="LZ6" s="53">
        <f>(1+GrowthRent)^(MAX(0,335-GrowthStartMonth)/12)</f>
        <v/>
      </c>
      <c r="MA6" s="53">
        <f>(1+GrowthRent)^(MAX(0,336-GrowthStartMonth)/12)</f>
        <v/>
      </c>
      <c r="MB6" s="53">
        <f>(1+GrowthRent)^(MAX(0,337-GrowthStartMonth)/12)</f>
        <v/>
      </c>
      <c r="MC6" s="53">
        <f>(1+GrowthRent)^(MAX(0,338-GrowthStartMonth)/12)</f>
        <v/>
      </c>
      <c r="MD6" s="53">
        <f>(1+GrowthRent)^(MAX(0,339-GrowthStartMonth)/12)</f>
        <v/>
      </c>
      <c r="ME6" s="53">
        <f>(1+GrowthRent)^(MAX(0,340-GrowthStartMonth)/12)</f>
        <v/>
      </c>
      <c r="MF6" s="53">
        <f>(1+GrowthRent)^(MAX(0,341-GrowthStartMonth)/12)</f>
        <v/>
      </c>
      <c r="MG6" s="53">
        <f>(1+GrowthRent)^(MAX(0,342-GrowthStartMonth)/12)</f>
        <v/>
      </c>
      <c r="MH6" s="53">
        <f>(1+GrowthRent)^(MAX(0,343-GrowthStartMonth)/12)</f>
        <v/>
      </c>
      <c r="MI6" s="53">
        <f>(1+GrowthRent)^(MAX(0,344-GrowthStartMonth)/12)</f>
        <v/>
      </c>
      <c r="MJ6" s="53">
        <f>(1+GrowthRent)^(MAX(0,345-GrowthStartMonth)/12)</f>
        <v/>
      </c>
      <c r="MK6" s="53">
        <f>(1+GrowthRent)^(MAX(0,346-GrowthStartMonth)/12)</f>
        <v/>
      </c>
      <c r="ML6" s="53">
        <f>(1+GrowthRent)^(MAX(0,347-GrowthStartMonth)/12)</f>
        <v/>
      </c>
      <c r="MM6" s="53">
        <f>(1+GrowthRent)^(MAX(0,348-GrowthStartMonth)/12)</f>
        <v/>
      </c>
      <c r="MN6" s="53">
        <f>(1+GrowthRent)^(MAX(0,349-GrowthStartMonth)/12)</f>
        <v/>
      </c>
      <c r="MO6" s="53">
        <f>(1+GrowthRent)^(MAX(0,350-GrowthStartMonth)/12)</f>
        <v/>
      </c>
      <c r="MP6" s="53">
        <f>(1+GrowthRent)^(MAX(0,351-GrowthStartMonth)/12)</f>
        <v/>
      </c>
      <c r="MQ6" s="53">
        <f>(1+GrowthRent)^(MAX(0,352-GrowthStartMonth)/12)</f>
        <v/>
      </c>
      <c r="MR6" s="53">
        <f>(1+GrowthRent)^(MAX(0,353-GrowthStartMonth)/12)</f>
        <v/>
      </c>
      <c r="MS6" s="53">
        <f>(1+GrowthRent)^(MAX(0,354-GrowthStartMonth)/12)</f>
        <v/>
      </c>
      <c r="MT6" s="53">
        <f>(1+GrowthRent)^(MAX(0,355-GrowthStartMonth)/12)</f>
        <v/>
      </c>
      <c r="MU6" s="53">
        <f>(1+GrowthRent)^(MAX(0,356-GrowthStartMonth)/12)</f>
        <v/>
      </c>
      <c r="MV6" s="53">
        <f>(1+GrowthRent)^(MAX(0,357-GrowthStartMonth)/12)</f>
        <v/>
      </c>
      <c r="MW6" s="53">
        <f>(1+GrowthRent)^(MAX(0,358-GrowthStartMonth)/12)</f>
        <v/>
      </c>
      <c r="MX6" s="53">
        <f>(1+GrowthRent)^(MAX(0,359-GrowthStartMonth)/12)</f>
        <v/>
      </c>
      <c r="MY6" s="53">
        <f>(1+GrowthRent)^(MAX(0,360-GrowthStartMonth)/12)</f>
        <v/>
      </c>
      <c r="MZ6" s="53">
        <f>(1+GrowthRent)^(MAX(0,361-GrowthStartMonth)/12)</f>
        <v/>
      </c>
      <c r="NA6" s="53">
        <f>(1+GrowthRent)^(MAX(0,362-GrowthStartMonth)/12)</f>
        <v/>
      </c>
      <c r="NB6" s="53">
        <f>(1+GrowthRent)^(MAX(0,363-GrowthStartMonth)/12)</f>
        <v/>
      </c>
      <c r="NC6" s="53">
        <f>(1+GrowthRent)^(MAX(0,364-GrowthStartMonth)/12)</f>
        <v/>
      </c>
      <c r="ND6" s="53">
        <f>(1+GrowthRent)^(MAX(0,365-GrowthStartMonth)/12)</f>
        <v/>
      </c>
      <c r="NE6" s="53">
        <f>(1+GrowthRent)^(MAX(0,366-GrowthStartMonth)/12)</f>
        <v/>
      </c>
      <c r="NF6" s="53">
        <f>(1+GrowthRent)^(MAX(0,367-GrowthStartMonth)/12)</f>
        <v/>
      </c>
      <c r="NG6" s="53">
        <f>(1+GrowthRent)^(MAX(0,368-GrowthStartMonth)/12)</f>
        <v/>
      </c>
      <c r="NH6" s="53">
        <f>(1+GrowthRent)^(MAX(0,369-GrowthStartMonth)/12)</f>
        <v/>
      </c>
      <c r="NI6" s="53">
        <f>(1+GrowthRent)^(MAX(0,370-GrowthStartMonth)/12)</f>
        <v/>
      </c>
      <c r="NJ6" s="53">
        <f>(1+GrowthRent)^(MAX(0,371-GrowthStartMonth)/12)</f>
        <v/>
      </c>
      <c r="NK6" s="53">
        <f>(1+GrowthRent)^(MAX(0,372-GrowthStartMonth)/12)</f>
        <v/>
      </c>
    </row>
    <row r="7">
      <c r="A7" s="5" t="inlineStr">
        <is>
          <t>Growth Factor — Low-Income Rent</t>
        </is>
      </c>
      <c r="C7" s="52" t="n"/>
      <c r="D7" s="53">
        <f>(1+GrowthLowIncRent)^(MAX(0,1-GrowthStartMonth)/12)</f>
        <v/>
      </c>
      <c r="E7" s="53">
        <f>(1+GrowthLowIncRent)^(MAX(0,2-GrowthStartMonth)/12)</f>
        <v/>
      </c>
      <c r="F7" s="53">
        <f>(1+GrowthLowIncRent)^(MAX(0,3-GrowthStartMonth)/12)</f>
        <v/>
      </c>
      <c r="G7" s="53">
        <f>(1+GrowthLowIncRent)^(MAX(0,4-GrowthStartMonth)/12)</f>
        <v/>
      </c>
      <c r="H7" s="53">
        <f>(1+GrowthLowIncRent)^(MAX(0,5-GrowthStartMonth)/12)</f>
        <v/>
      </c>
      <c r="I7" s="53">
        <f>(1+GrowthLowIncRent)^(MAX(0,6-GrowthStartMonth)/12)</f>
        <v/>
      </c>
      <c r="J7" s="53">
        <f>(1+GrowthLowIncRent)^(MAX(0,7-GrowthStartMonth)/12)</f>
        <v/>
      </c>
      <c r="K7" s="53">
        <f>(1+GrowthLowIncRent)^(MAX(0,8-GrowthStartMonth)/12)</f>
        <v/>
      </c>
      <c r="L7" s="53">
        <f>(1+GrowthLowIncRent)^(MAX(0,9-GrowthStartMonth)/12)</f>
        <v/>
      </c>
      <c r="M7" s="53">
        <f>(1+GrowthLowIncRent)^(MAX(0,10-GrowthStartMonth)/12)</f>
        <v/>
      </c>
      <c r="N7" s="53">
        <f>(1+GrowthLowIncRent)^(MAX(0,11-GrowthStartMonth)/12)</f>
        <v/>
      </c>
      <c r="O7" s="53">
        <f>(1+GrowthLowIncRent)^(MAX(0,12-GrowthStartMonth)/12)</f>
        <v/>
      </c>
      <c r="P7" s="53">
        <f>(1+GrowthLowIncRent)^(MAX(0,13-GrowthStartMonth)/12)</f>
        <v/>
      </c>
      <c r="Q7" s="53">
        <f>(1+GrowthLowIncRent)^(MAX(0,14-GrowthStartMonth)/12)</f>
        <v/>
      </c>
      <c r="R7" s="53">
        <f>(1+GrowthLowIncRent)^(MAX(0,15-GrowthStartMonth)/12)</f>
        <v/>
      </c>
      <c r="S7" s="53">
        <f>(1+GrowthLowIncRent)^(MAX(0,16-GrowthStartMonth)/12)</f>
        <v/>
      </c>
      <c r="T7" s="53">
        <f>(1+GrowthLowIncRent)^(MAX(0,17-GrowthStartMonth)/12)</f>
        <v/>
      </c>
      <c r="U7" s="53">
        <f>(1+GrowthLowIncRent)^(MAX(0,18-GrowthStartMonth)/12)</f>
        <v/>
      </c>
      <c r="V7" s="53">
        <f>(1+GrowthLowIncRent)^(MAX(0,19-GrowthStartMonth)/12)</f>
        <v/>
      </c>
      <c r="W7" s="53">
        <f>(1+GrowthLowIncRent)^(MAX(0,20-GrowthStartMonth)/12)</f>
        <v/>
      </c>
      <c r="X7" s="53">
        <f>(1+GrowthLowIncRent)^(MAX(0,21-GrowthStartMonth)/12)</f>
        <v/>
      </c>
      <c r="Y7" s="53">
        <f>(1+GrowthLowIncRent)^(MAX(0,22-GrowthStartMonth)/12)</f>
        <v/>
      </c>
      <c r="Z7" s="53">
        <f>(1+GrowthLowIncRent)^(MAX(0,23-GrowthStartMonth)/12)</f>
        <v/>
      </c>
      <c r="AA7" s="53">
        <f>(1+GrowthLowIncRent)^(MAX(0,24-GrowthStartMonth)/12)</f>
        <v/>
      </c>
      <c r="AB7" s="53">
        <f>(1+GrowthLowIncRent)^(MAX(0,25-GrowthStartMonth)/12)</f>
        <v/>
      </c>
      <c r="AC7" s="53">
        <f>(1+GrowthLowIncRent)^(MAX(0,26-GrowthStartMonth)/12)</f>
        <v/>
      </c>
      <c r="AD7" s="53">
        <f>(1+GrowthLowIncRent)^(MAX(0,27-GrowthStartMonth)/12)</f>
        <v/>
      </c>
      <c r="AE7" s="53">
        <f>(1+GrowthLowIncRent)^(MAX(0,28-GrowthStartMonth)/12)</f>
        <v/>
      </c>
      <c r="AF7" s="53">
        <f>(1+GrowthLowIncRent)^(MAX(0,29-GrowthStartMonth)/12)</f>
        <v/>
      </c>
      <c r="AG7" s="53">
        <f>(1+GrowthLowIncRent)^(MAX(0,30-GrowthStartMonth)/12)</f>
        <v/>
      </c>
      <c r="AH7" s="53">
        <f>(1+GrowthLowIncRent)^(MAX(0,31-GrowthStartMonth)/12)</f>
        <v/>
      </c>
      <c r="AI7" s="53">
        <f>(1+GrowthLowIncRent)^(MAX(0,32-GrowthStartMonth)/12)</f>
        <v/>
      </c>
      <c r="AJ7" s="53">
        <f>(1+GrowthLowIncRent)^(MAX(0,33-GrowthStartMonth)/12)</f>
        <v/>
      </c>
      <c r="AK7" s="53">
        <f>(1+GrowthLowIncRent)^(MAX(0,34-GrowthStartMonth)/12)</f>
        <v/>
      </c>
      <c r="AL7" s="53">
        <f>(1+GrowthLowIncRent)^(MAX(0,35-GrowthStartMonth)/12)</f>
        <v/>
      </c>
      <c r="AM7" s="53">
        <f>(1+GrowthLowIncRent)^(MAX(0,36-GrowthStartMonth)/12)</f>
        <v/>
      </c>
      <c r="AN7" s="53">
        <f>(1+GrowthLowIncRent)^(MAX(0,37-GrowthStartMonth)/12)</f>
        <v/>
      </c>
      <c r="AO7" s="53">
        <f>(1+GrowthLowIncRent)^(MAX(0,38-GrowthStartMonth)/12)</f>
        <v/>
      </c>
      <c r="AP7" s="53">
        <f>(1+GrowthLowIncRent)^(MAX(0,39-GrowthStartMonth)/12)</f>
        <v/>
      </c>
      <c r="AQ7" s="53">
        <f>(1+GrowthLowIncRent)^(MAX(0,40-GrowthStartMonth)/12)</f>
        <v/>
      </c>
      <c r="AR7" s="53">
        <f>(1+GrowthLowIncRent)^(MAX(0,41-GrowthStartMonth)/12)</f>
        <v/>
      </c>
      <c r="AS7" s="53">
        <f>(1+GrowthLowIncRent)^(MAX(0,42-GrowthStartMonth)/12)</f>
        <v/>
      </c>
      <c r="AT7" s="53">
        <f>(1+GrowthLowIncRent)^(MAX(0,43-GrowthStartMonth)/12)</f>
        <v/>
      </c>
      <c r="AU7" s="53">
        <f>(1+GrowthLowIncRent)^(MAX(0,44-GrowthStartMonth)/12)</f>
        <v/>
      </c>
      <c r="AV7" s="53">
        <f>(1+GrowthLowIncRent)^(MAX(0,45-GrowthStartMonth)/12)</f>
        <v/>
      </c>
      <c r="AW7" s="53">
        <f>(1+GrowthLowIncRent)^(MAX(0,46-GrowthStartMonth)/12)</f>
        <v/>
      </c>
      <c r="AX7" s="53">
        <f>(1+GrowthLowIncRent)^(MAX(0,47-GrowthStartMonth)/12)</f>
        <v/>
      </c>
      <c r="AY7" s="53">
        <f>(1+GrowthLowIncRent)^(MAX(0,48-GrowthStartMonth)/12)</f>
        <v/>
      </c>
      <c r="AZ7" s="53">
        <f>(1+GrowthLowIncRent)^(MAX(0,49-GrowthStartMonth)/12)</f>
        <v/>
      </c>
      <c r="BA7" s="53">
        <f>(1+GrowthLowIncRent)^(MAX(0,50-GrowthStartMonth)/12)</f>
        <v/>
      </c>
      <c r="BB7" s="53">
        <f>(1+GrowthLowIncRent)^(MAX(0,51-GrowthStartMonth)/12)</f>
        <v/>
      </c>
      <c r="BC7" s="53">
        <f>(1+GrowthLowIncRent)^(MAX(0,52-GrowthStartMonth)/12)</f>
        <v/>
      </c>
      <c r="BD7" s="53">
        <f>(1+GrowthLowIncRent)^(MAX(0,53-GrowthStartMonth)/12)</f>
        <v/>
      </c>
      <c r="BE7" s="53">
        <f>(1+GrowthLowIncRent)^(MAX(0,54-GrowthStartMonth)/12)</f>
        <v/>
      </c>
      <c r="BF7" s="53">
        <f>(1+GrowthLowIncRent)^(MAX(0,55-GrowthStartMonth)/12)</f>
        <v/>
      </c>
      <c r="BG7" s="53">
        <f>(1+GrowthLowIncRent)^(MAX(0,56-GrowthStartMonth)/12)</f>
        <v/>
      </c>
      <c r="BH7" s="53">
        <f>(1+GrowthLowIncRent)^(MAX(0,57-GrowthStartMonth)/12)</f>
        <v/>
      </c>
      <c r="BI7" s="53">
        <f>(1+GrowthLowIncRent)^(MAX(0,58-GrowthStartMonth)/12)</f>
        <v/>
      </c>
      <c r="BJ7" s="53">
        <f>(1+GrowthLowIncRent)^(MAX(0,59-GrowthStartMonth)/12)</f>
        <v/>
      </c>
      <c r="BK7" s="53">
        <f>(1+GrowthLowIncRent)^(MAX(0,60-GrowthStartMonth)/12)</f>
        <v/>
      </c>
      <c r="BL7" s="53">
        <f>(1+GrowthLowIncRent)^(MAX(0,61-GrowthStartMonth)/12)</f>
        <v/>
      </c>
      <c r="BM7" s="53">
        <f>(1+GrowthLowIncRent)^(MAX(0,62-GrowthStartMonth)/12)</f>
        <v/>
      </c>
      <c r="BN7" s="53">
        <f>(1+GrowthLowIncRent)^(MAX(0,63-GrowthStartMonth)/12)</f>
        <v/>
      </c>
      <c r="BO7" s="53">
        <f>(1+GrowthLowIncRent)^(MAX(0,64-GrowthStartMonth)/12)</f>
        <v/>
      </c>
      <c r="BP7" s="53">
        <f>(1+GrowthLowIncRent)^(MAX(0,65-GrowthStartMonth)/12)</f>
        <v/>
      </c>
      <c r="BQ7" s="53">
        <f>(1+GrowthLowIncRent)^(MAX(0,66-GrowthStartMonth)/12)</f>
        <v/>
      </c>
      <c r="BR7" s="53">
        <f>(1+GrowthLowIncRent)^(MAX(0,67-GrowthStartMonth)/12)</f>
        <v/>
      </c>
      <c r="BS7" s="53">
        <f>(1+GrowthLowIncRent)^(MAX(0,68-GrowthStartMonth)/12)</f>
        <v/>
      </c>
      <c r="BT7" s="53">
        <f>(1+GrowthLowIncRent)^(MAX(0,69-GrowthStartMonth)/12)</f>
        <v/>
      </c>
      <c r="BU7" s="53">
        <f>(1+GrowthLowIncRent)^(MAX(0,70-GrowthStartMonth)/12)</f>
        <v/>
      </c>
      <c r="BV7" s="53">
        <f>(1+GrowthLowIncRent)^(MAX(0,71-GrowthStartMonth)/12)</f>
        <v/>
      </c>
      <c r="BW7" s="53">
        <f>(1+GrowthLowIncRent)^(MAX(0,72-GrowthStartMonth)/12)</f>
        <v/>
      </c>
      <c r="BX7" s="53">
        <f>(1+GrowthLowIncRent)^(MAX(0,73-GrowthStartMonth)/12)</f>
        <v/>
      </c>
      <c r="BY7" s="53">
        <f>(1+GrowthLowIncRent)^(MAX(0,74-GrowthStartMonth)/12)</f>
        <v/>
      </c>
      <c r="BZ7" s="53">
        <f>(1+GrowthLowIncRent)^(MAX(0,75-GrowthStartMonth)/12)</f>
        <v/>
      </c>
      <c r="CA7" s="53">
        <f>(1+GrowthLowIncRent)^(MAX(0,76-GrowthStartMonth)/12)</f>
        <v/>
      </c>
      <c r="CB7" s="53">
        <f>(1+GrowthLowIncRent)^(MAX(0,77-GrowthStartMonth)/12)</f>
        <v/>
      </c>
      <c r="CC7" s="53">
        <f>(1+GrowthLowIncRent)^(MAX(0,78-GrowthStartMonth)/12)</f>
        <v/>
      </c>
      <c r="CD7" s="53">
        <f>(1+GrowthLowIncRent)^(MAX(0,79-GrowthStartMonth)/12)</f>
        <v/>
      </c>
      <c r="CE7" s="53">
        <f>(1+GrowthLowIncRent)^(MAX(0,80-GrowthStartMonth)/12)</f>
        <v/>
      </c>
      <c r="CF7" s="53">
        <f>(1+GrowthLowIncRent)^(MAX(0,81-GrowthStartMonth)/12)</f>
        <v/>
      </c>
      <c r="CG7" s="53">
        <f>(1+GrowthLowIncRent)^(MAX(0,82-GrowthStartMonth)/12)</f>
        <v/>
      </c>
      <c r="CH7" s="53">
        <f>(1+GrowthLowIncRent)^(MAX(0,83-GrowthStartMonth)/12)</f>
        <v/>
      </c>
      <c r="CI7" s="53">
        <f>(1+GrowthLowIncRent)^(MAX(0,84-GrowthStartMonth)/12)</f>
        <v/>
      </c>
      <c r="CJ7" s="53">
        <f>(1+GrowthLowIncRent)^(MAX(0,85-GrowthStartMonth)/12)</f>
        <v/>
      </c>
      <c r="CK7" s="53">
        <f>(1+GrowthLowIncRent)^(MAX(0,86-GrowthStartMonth)/12)</f>
        <v/>
      </c>
      <c r="CL7" s="53">
        <f>(1+GrowthLowIncRent)^(MAX(0,87-GrowthStartMonth)/12)</f>
        <v/>
      </c>
      <c r="CM7" s="53">
        <f>(1+GrowthLowIncRent)^(MAX(0,88-GrowthStartMonth)/12)</f>
        <v/>
      </c>
      <c r="CN7" s="53">
        <f>(1+GrowthLowIncRent)^(MAX(0,89-GrowthStartMonth)/12)</f>
        <v/>
      </c>
      <c r="CO7" s="53">
        <f>(1+GrowthLowIncRent)^(MAX(0,90-GrowthStartMonth)/12)</f>
        <v/>
      </c>
      <c r="CP7" s="53">
        <f>(1+GrowthLowIncRent)^(MAX(0,91-GrowthStartMonth)/12)</f>
        <v/>
      </c>
      <c r="CQ7" s="53">
        <f>(1+GrowthLowIncRent)^(MAX(0,92-GrowthStartMonth)/12)</f>
        <v/>
      </c>
      <c r="CR7" s="53">
        <f>(1+GrowthLowIncRent)^(MAX(0,93-GrowthStartMonth)/12)</f>
        <v/>
      </c>
      <c r="CS7" s="53">
        <f>(1+GrowthLowIncRent)^(MAX(0,94-GrowthStartMonth)/12)</f>
        <v/>
      </c>
      <c r="CT7" s="53">
        <f>(1+GrowthLowIncRent)^(MAX(0,95-GrowthStartMonth)/12)</f>
        <v/>
      </c>
      <c r="CU7" s="53">
        <f>(1+GrowthLowIncRent)^(MAX(0,96-GrowthStartMonth)/12)</f>
        <v/>
      </c>
      <c r="CV7" s="53">
        <f>(1+GrowthLowIncRent)^(MAX(0,97-GrowthStartMonth)/12)</f>
        <v/>
      </c>
      <c r="CW7" s="53">
        <f>(1+GrowthLowIncRent)^(MAX(0,98-GrowthStartMonth)/12)</f>
        <v/>
      </c>
      <c r="CX7" s="53">
        <f>(1+GrowthLowIncRent)^(MAX(0,99-GrowthStartMonth)/12)</f>
        <v/>
      </c>
      <c r="CY7" s="53">
        <f>(1+GrowthLowIncRent)^(MAX(0,100-GrowthStartMonth)/12)</f>
        <v/>
      </c>
      <c r="CZ7" s="53">
        <f>(1+GrowthLowIncRent)^(MAX(0,101-GrowthStartMonth)/12)</f>
        <v/>
      </c>
      <c r="DA7" s="53">
        <f>(1+GrowthLowIncRent)^(MAX(0,102-GrowthStartMonth)/12)</f>
        <v/>
      </c>
      <c r="DB7" s="53">
        <f>(1+GrowthLowIncRent)^(MAX(0,103-GrowthStartMonth)/12)</f>
        <v/>
      </c>
      <c r="DC7" s="53">
        <f>(1+GrowthLowIncRent)^(MAX(0,104-GrowthStartMonth)/12)</f>
        <v/>
      </c>
      <c r="DD7" s="53">
        <f>(1+GrowthLowIncRent)^(MAX(0,105-GrowthStartMonth)/12)</f>
        <v/>
      </c>
      <c r="DE7" s="53">
        <f>(1+GrowthLowIncRent)^(MAX(0,106-GrowthStartMonth)/12)</f>
        <v/>
      </c>
      <c r="DF7" s="53">
        <f>(1+GrowthLowIncRent)^(MAX(0,107-GrowthStartMonth)/12)</f>
        <v/>
      </c>
      <c r="DG7" s="53">
        <f>(1+GrowthLowIncRent)^(MAX(0,108-GrowthStartMonth)/12)</f>
        <v/>
      </c>
      <c r="DH7" s="53">
        <f>(1+GrowthLowIncRent)^(MAX(0,109-GrowthStartMonth)/12)</f>
        <v/>
      </c>
      <c r="DI7" s="53">
        <f>(1+GrowthLowIncRent)^(MAX(0,110-GrowthStartMonth)/12)</f>
        <v/>
      </c>
      <c r="DJ7" s="53">
        <f>(1+GrowthLowIncRent)^(MAX(0,111-GrowthStartMonth)/12)</f>
        <v/>
      </c>
      <c r="DK7" s="53">
        <f>(1+GrowthLowIncRent)^(MAX(0,112-GrowthStartMonth)/12)</f>
        <v/>
      </c>
      <c r="DL7" s="53">
        <f>(1+GrowthLowIncRent)^(MAX(0,113-GrowthStartMonth)/12)</f>
        <v/>
      </c>
      <c r="DM7" s="53">
        <f>(1+GrowthLowIncRent)^(MAX(0,114-GrowthStartMonth)/12)</f>
        <v/>
      </c>
      <c r="DN7" s="53">
        <f>(1+GrowthLowIncRent)^(MAX(0,115-GrowthStartMonth)/12)</f>
        <v/>
      </c>
      <c r="DO7" s="53">
        <f>(1+GrowthLowIncRent)^(MAX(0,116-GrowthStartMonth)/12)</f>
        <v/>
      </c>
      <c r="DP7" s="53">
        <f>(1+GrowthLowIncRent)^(MAX(0,117-GrowthStartMonth)/12)</f>
        <v/>
      </c>
      <c r="DQ7" s="53">
        <f>(1+GrowthLowIncRent)^(MAX(0,118-GrowthStartMonth)/12)</f>
        <v/>
      </c>
      <c r="DR7" s="53">
        <f>(1+GrowthLowIncRent)^(MAX(0,119-GrowthStartMonth)/12)</f>
        <v/>
      </c>
      <c r="DS7" s="53">
        <f>(1+GrowthLowIncRent)^(MAX(0,120-GrowthStartMonth)/12)</f>
        <v/>
      </c>
      <c r="DT7" s="53">
        <f>(1+GrowthLowIncRent)^(MAX(0,121-GrowthStartMonth)/12)</f>
        <v/>
      </c>
      <c r="DU7" s="53">
        <f>(1+GrowthLowIncRent)^(MAX(0,122-GrowthStartMonth)/12)</f>
        <v/>
      </c>
      <c r="DV7" s="53">
        <f>(1+GrowthLowIncRent)^(MAX(0,123-GrowthStartMonth)/12)</f>
        <v/>
      </c>
      <c r="DW7" s="53">
        <f>(1+GrowthLowIncRent)^(MAX(0,124-GrowthStartMonth)/12)</f>
        <v/>
      </c>
      <c r="DX7" s="53">
        <f>(1+GrowthLowIncRent)^(MAX(0,125-GrowthStartMonth)/12)</f>
        <v/>
      </c>
      <c r="DY7" s="53">
        <f>(1+GrowthLowIncRent)^(MAX(0,126-GrowthStartMonth)/12)</f>
        <v/>
      </c>
      <c r="DZ7" s="53">
        <f>(1+GrowthLowIncRent)^(MAX(0,127-GrowthStartMonth)/12)</f>
        <v/>
      </c>
      <c r="EA7" s="53">
        <f>(1+GrowthLowIncRent)^(MAX(0,128-GrowthStartMonth)/12)</f>
        <v/>
      </c>
      <c r="EB7" s="53">
        <f>(1+GrowthLowIncRent)^(MAX(0,129-GrowthStartMonth)/12)</f>
        <v/>
      </c>
      <c r="EC7" s="53">
        <f>(1+GrowthLowIncRent)^(MAX(0,130-GrowthStartMonth)/12)</f>
        <v/>
      </c>
      <c r="ED7" s="53">
        <f>(1+GrowthLowIncRent)^(MAX(0,131-GrowthStartMonth)/12)</f>
        <v/>
      </c>
      <c r="EE7" s="53">
        <f>(1+GrowthLowIncRent)^(MAX(0,132-GrowthStartMonth)/12)</f>
        <v/>
      </c>
      <c r="EF7" s="53">
        <f>(1+GrowthLowIncRent)^(MAX(0,133-GrowthStartMonth)/12)</f>
        <v/>
      </c>
      <c r="EG7" s="53">
        <f>(1+GrowthLowIncRent)^(MAX(0,134-GrowthStartMonth)/12)</f>
        <v/>
      </c>
      <c r="EH7" s="53">
        <f>(1+GrowthLowIncRent)^(MAX(0,135-GrowthStartMonth)/12)</f>
        <v/>
      </c>
      <c r="EI7" s="53">
        <f>(1+GrowthLowIncRent)^(MAX(0,136-GrowthStartMonth)/12)</f>
        <v/>
      </c>
      <c r="EJ7" s="53">
        <f>(1+GrowthLowIncRent)^(MAX(0,137-GrowthStartMonth)/12)</f>
        <v/>
      </c>
      <c r="EK7" s="53">
        <f>(1+GrowthLowIncRent)^(MAX(0,138-GrowthStartMonth)/12)</f>
        <v/>
      </c>
      <c r="EL7" s="53">
        <f>(1+GrowthLowIncRent)^(MAX(0,139-GrowthStartMonth)/12)</f>
        <v/>
      </c>
      <c r="EM7" s="53">
        <f>(1+GrowthLowIncRent)^(MAX(0,140-GrowthStartMonth)/12)</f>
        <v/>
      </c>
      <c r="EN7" s="53">
        <f>(1+GrowthLowIncRent)^(MAX(0,141-GrowthStartMonth)/12)</f>
        <v/>
      </c>
      <c r="EO7" s="53">
        <f>(1+GrowthLowIncRent)^(MAX(0,142-GrowthStartMonth)/12)</f>
        <v/>
      </c>
      <c r="EP7" s="53">
        <f>(1+GrowthLowIncRent)^(MAX(0,143-GrowthStartMonth)/12)</f>
        <v/>
      </c>
      <c r="EQ7" s="53">
        <f>(1+GrowthLowIncRent)^(MAX(0,144-GrowthStartMonth)/12)</f>
        <v/>
      </c>
      <c r="ER7" s="53">
        <f>(1+GrowthLowIncRent)^(MAX(0,145-GrowthStartMonth)/12)</f>
        <v/>
      </c>
      <c r="ES7" s="53">
        <f>(1+GrowthLowIncRent)^(MAX(0,146-GrowthStartMonth)/12)</f>
        <v/>
      </c>
      <c r="ET7" s="53">
        <f>(1+GrowthLowIncRent)^(MAX(0,147-GrowthStartMonth)/12)</f>
        <v/>
      </c>
      <c r="EU7" s="53">
        <f>(1+GrowthLowIncRent)^(MAX(0,148-GrowthStartMonth)/12)</f>
        <v/>
      </c>
      <c r="EV7" s="53">
        <f>(1+GrowthLowIncRent)^(MAX(0,149-GrowthStartMonth)/12)</f>
        <v/>
      </c>
      <c r="EW7" s="53">
        <f>(1+GrowthLowIncRent)^(MAX(0,150-GrowthStartMonth)/12)</f>
        <v/>
      </c>
      <c r="EX7" s="53">
        <f>(1+GrowthLowIncRent)^(MAX(0,151-GrowthStartMonth)/12)</f>
        <v/>
      </c>
      <c r="EY7" s="53">
        <f>(1+GrowthLowIncRent)^(MAX(0,152-GrowthStartMonth)/12)</f>
        <v/>
      </c>
      <c r="EZ7" s="53">
        <f>(1+GrowthLowIncRent)^(MAX(0,153-GrowthStartMonth)/12)</f>
        <v/>
      </c>
      <c r="FA7" s="53">
        <f>(1+GrowthLowIncRent)^(MAX(0,154-GrowthStartMonth)/12)</f>
        <v/>
      </c>
      <c r="FB7" s="53">
        <f>(1+GrowthLowIncRent)^(MAX(0,155-GrowthStartMonth)/12)</f>
        <v/>
      </c>
      <c r="FC7" s="53">
        <f>(1+GrowthLowIncRent)^(MAX(0,156-GrowthStartMonth)/12)</f>
        <v/>
      </c>
      <c r="FD7" s="53">
        <f>(1+GrowthLowIncRent)^(MAX(0,157-GrowthStartMonth)/12)</f>
        <v/>
      </c>
      <c r="FE7" s="53">
        <f>(1+GrowthLowIncRent)^(MAX(0,158-GrowthStartMonth)/12)</f>
        <v/>
      </c>
      <c r="FF7" s="53">
        <f>(1+GrowthLowIncRent)^(MAX(0,159-GrowthStartMonth)/12)</f>
        <v/>
      </c>
      <c r="FG7" s="53">
        <f>(1+GrowthLowIncRent)^(MAX(0,160-GrowthStartMonth)/12)</f>
        <v/>
      </c>
      <c r="FH7" s="53">
        <f>(1+GrowthLowIncRent)^(MAX(0,161-GrowthStartMonth)/12)</f>
        <v/>
      </c>
      <c r="FI7" s="53">
        <f>(1+GrowthLowIncRent)^(MAX(0,162-GrowthStartMonth)/12)</f>
        <v/>
      </c>
      <c r="FJ7" s="53">
        <f>(1+GrowthLowIncRent)^(MAX(0,163-GrowthStartMonth)/12)</f>
        <v/>
      </c>
      <c r="FK7" s="53">
        <f>(1+GrowthLowIncRent)^(MAX(0,164-GrowthStartMonth)/12)</f>
        <v/>
      </c>
      <c r="FL7" s="53">
        <f>(1+GrowthLowIncRent)^(MAX(0,165-GrowthStartMonth)/12)</f>
        <v/>
      </c>
      <c r="FM7" s="53">
        <f>(1+GrowthLowIncRent)^(MAX(0,166-GrowthStartMonth)/12)</f>
        <v/>
      </c>
      <c r="FN7" s="53">
        <f>(1+GrowthLowIncRent)^(MAX(0,167-GrowthStartMonth)/12)</f>
        <v/>
      </c>
      <c r="FO7" s="53">
        <f>(1+GrowthLowIncRent)^(MAX(0,168-GrowthStartMonth)/12)</f>
        <v/>
      </c>
      <c r="FP7" s="53">
        <f>(1+GrowthLowIncRent)^(MAX(0,169-GrowthStartMonth)/12)</f>
        <v/>
      </c>
      <c r="FQ7" s="53">
        <f>(1+GrowthLowIncRent)^(MAX(0,170-GrowthStartMonth)/12)</f>
        <v/>
      </c>
      <c r="FR7" s="53">
        <f>(1+GrowthLowIncRent)^(MAX(0,171-GrowthStartMonth)/12)</f>
        <v/>
      </c>
      <c r="FS7" s="53">
        <f>(1+GrowthLowIncRent)^(MAX(0,172-GrowthStartMonth)/12)</f>
        <v/>
      </c>
      <c r="FT7" s="53">
        <f>(1+GrowthLowIncRent)^(MAX(0,173-GrowthStartMonth)/12)</f>
        <v/>
      </c>
      <c r="FU7" s="53">
        <f>(1+GrowthLowIncRent)^(MAX(0,174-GrowthStartMonth)/12)</f>
        <v/>
      </c>
      <c r="FV7" s="53">
        <f>(1+GrowthLowIncRent)^(MAX(0,175-GrowthStartMonth)/12)</f>
        <v/>
      </c>
      <c r="FW7" s="53">
        <f>(1+GrowthLowIncRent)^(MAX(0,176-GrowthStartMonth)/12)</f>
        <v/>
      </c>
      <c r="FX7" s="53">
        <f>(1+GrowthLowIncRent)^(MAX(0,177-GrowthStartMonth)/12)</f>
        <v/>
      </c>
      <c r="FY7" s="53">
        <f>(1+GrowthLowIncRent)^(MAX(0,178-GrowthStartMonth)/12)</f>
        <v/>
      </c>
      <c r="FZ7" s="53">
        <f>(1+GrowthLowIncRent)^(MAX(0,179-GrowthStartMonth)/12)</f>
        <v/>
      </c>
      <c r="GA7" s="53">
        <f>(1+GrowthLowIncRent)^(MAX(0,180-GrowthStartMonth)/12)</f>
        <v/>
      </c>
      <c r="GB7" s="53">
        <f>(1+GrowthLowIncRent)^(MAX(0,181-GrowthStartMonth)/12)</f>
        <v/>
      </c>
      <c r="GC7" s="53">
        <f>(1+GrowthLowIncRent)^(MAX(0,182-GrowthStartMonth)/12)</f>
        <v/>
      </c>
      <c r="GD7" s="53">
        <f>(1+GrowthLowIncRent)^(MAX(0,183-GrowthStartMonth)/12)</f>
        <v/>
      </c>
      <c r="GE7" s="53">
        <f>(1+GrowthLowIncRent)^(MAX(0,184-GrowthStartMonth)/12)</f>
        <v/>
      </c>
      <c r="GF7" s="53">
        <f>(1+GrowthLowIncRent)^(MAX(0,185-GrowthStartMonth)/12)</f>
        <v/>
      </c>
      <c r="GG7" s="53">
        <f>(1+GrowthLowIncRent)^(MAX(0,186-GrowthStartMonth)/12)</f>
        <v/>
      </c>
      <c r="GH7" s="53">
        <f>(1+GrowthLowIncRent)^(MAX(0,187-GrowthStartMonth)/12)</f>
        <v/>
      </c>
      <c r="GI7" s="53">
        <f>(1+GrowthLowIncRent)^(MAX(0,188-GrowthStartMonth)/12)</f>
        <v/>
      </c>
      <c r="GJ7" s="53">
        <f>(1+GrowthLowIncRent)^(MAX(0,189-GrowthStartMonth)/12)</f>
        <v/>
      </c>
      <c r="GK7" s="53">
        <f>(1+GrowthLowIncRent)^(MAX(0,190-GrowthStartMonth)/12)</f>
        <v/>
      </c>
      <c r="GL7" s="53">
        <f>(1+GrowthLowIncRent)^(MAX(0,191-GrowthStartMonth)/12)</f>
        <v/>
      </c>
      <c r="GM7" s="53">
        <f>(1+GrowthLowIncRent)^(MAX(0,192-GrowthStartMonth)/12)</f>
        <v/>
      </c>
      <c r="GN7" s="53">
        <f>(1+GrowthLowIncRent)^(MAX(0,193-GrowthStartMonth)/12)</f>
        <v/>
      </c>
      <c r="GO7" s="53">
        <f>(1+GrowthLowIncRent)^(MAX(0,194-GrowthStartMonth)/12)</f>
        <v/>
      </c>
      <c r="GP7" s="53">
        <f>(1+GrowthLowIncRent)^(MAX(0,195-GrowthStartMonth)/12)</f>
        <v/>
      </c>
      <c r="GQ7" s="53">
        <f>(1+GrowthLowIncRent)^(MAX(0,196-GrowthStartMonth)/12)</f>
        <v/>
      </c>
      <c r="GR7" s="53">
        <f>(1+GrowthLowIncRent)^(MAX(0,197-GrowthStartMonth)/12)</f>
        <v/>
      </c>
      <c r="GS7" s="53">
        <f>(1+GrowthLowIncRent)^(MAX(0,198-GrowthStartMonth)/12)</f>
        <v/>
      </c>
      <c r="GT7" s="53">
        <f>(1+GrowthLowIncRent)^(MAX(0,199-GrowthStartMonth)/12)</f>
        <v/>
      </c>
      <c r="GU7" s="53">
        <f>(1+GrowthLowIncRent)^(MAX(0,200-GrowthStartMonth)/12)</f>
        <v/>
      </c>
      <c r="GV7" s="53">
        <f>(1+GrowthLowIncRent)^(MAX(0,201-GrowthStartMonth)/12)</f>
        <v/>
      </c>
      <c r="GW7" s="53">
        <f>(1+GrowthLowIncRent)^(MAX(0,202-GrowthStartMonth)/12)</f>
        <v/>
      </c>
      <c r="GX7" s="53">
        <f>(1+GrowthLowIncRent)^(MAX(0,203-GrowthStartMonth)/12)</f>
        <v/>
      </c>
      <c r="GY7" s="53">
        <f>(1+GrowthLowIncRent)^(MAX(0,204-GrowthStartMonth)/12)</f>
        <v/>
      </c>
      <c r="GZ7" s="53">
        <f>(1+GrowthLowIncRent)^(MAX(0,205-GrowthStartMonth)/12)</f>
        <v/>
      </c>
      <c r="HA7" s="53">
        <f>(1+GrowthLowIncRent)^(MAX(0,206-GrowthStartMonth)/12)</f>
        <v/>
      </c>
      <c r="HB7" s="53">
        <f>(1+GrowthLowIncRent)^(MAX(0,207-GrowthStartMonth)/12)</f>
        <v/>
      </c>
      <c r="HC7" s="53">
        <f>(1+GrowthLowIncRent)^(MAX(0,208-GrowthStartMonth)/12)</f>
        <v/>
      </c>
      <c r="HD7" s="53">
        <f>(1+GrowthLowIncRent)^(MAX(0,209-GrowthStartMonth)/12)</f>
        <v/>
      </c>
      <c r="HE7" s="53">
        <f>(1+GrowthLowIncRent)^(MAX(0,210-GrowthStartMonth)/12)</f>
        <v/>
      </c>
      <c r="HF7" s="53">
        <f>(1+GrowthLowIncRent)^(MAX(0,211-GrowthStartMonth)/12)</f>
        <v/>
      </c>
      <c r="HG7" s="53">
        <f>(1+GrowthLowIncRent)^(MAX(0,212-GrowthStartMonth)/12)</f>
        <v/>
      </c>
      <c r="HH7" s="53">
        <f>(1+GrowthLowIncRent)^(MAX(0,213-GrowthStartMonth)/12)</f>
        <v/>
      </c>
      <c r="HI7" s="53">
        <f>(1+GrowthLowIncRent)^(MAX(0,214-GrowthStartMonth)/12)</f>
        <v/>
      </c>
      <c r="HJ7" s="53">
        <f>(1+GrowthLowIncRent)^(MAX(0,215-GrowthStartMonth)/12)</f>
        <v/>
      </c>
      <c r="HK7" s="53">
        <f>(1+GrowthLowIncRent)^(MAX(0,216-GrowthStartMonth)/12)</f>
        <v/>
      </c>
      <c r="HL7" s="53">
        <f>(1+GrowthLowIncRent)^(MAX(0,217-GrowthStartMonth)/12)</f>
        <v/>
      </c>
      <c r="HM7" s="53">
        <f>(1+GrowthLowIncRent)^(MAX(0,218-GrowthStartMonth)/12)</f>
        <v/>
      </c>
      <c r="HN7" s="53">
        <f>(1+GrowthLowIncRent)^(MAX(0,219-GrowthStartMonth)/12)</f>
        <v/>
      </c>
      <c r="HO7" s="53">
        <f>(1+GrowthLowIncRent)^(MAX(0,220-GrowthStartMonth)/12)</f>
        <v/>
      </c>
      <c r="HP7" s="53">
        <f>(1+GrowthLowIncRent)^(MAX(0,221-GrowthStartMonth)/12)</f>
        <v/>
      </c>
      <c r="HQ7" s="53">
        <f>(1+GrowthLowIncRent)^(MAX(0,222-GrowthStartMonth)/12)</f>
        <v/>
      </c>
      <c r="HR7" s="53">
        <f>(1+GrowthLowIncRent)^(MAX(0,223-GrowthStartMonth)/12)</f>
        <v/>
      </c>
      <c r="HS7" s="53">
        <f>(1+GrowthLowIncRent)^(MAX(0,224-GrowthStartMonth)/12)</f>
        <v/>
      </c>
      <c r="HT7" s="53">
        <f>(1+GrowthLowIncRent)^(MAX(0,225-GrowthStartMonth)/12)</f>
        <v/>
      </c>
      <c r="HU7" s="53">
        <f>(1+GrowthLowIncRent)^(MAX(0,226-GrowthStartMonth)/12)</f>
        <v/>
      </c>
      <c r="HV7" s="53">
        <f>(1+GrowthLowIncRent)^(MAX(0,227-GrowthStartMonth)/12)</f>
        <v/>
      </c>
      <c r="HW7" s="53">
        <f>(1+GrowthLowIncRent)^(MAX(0,228-GrowthStartMonth)/12)</f>
        <v/>
      </c>
      <c r="HX7" s="53">
        <f>(1+GrowthLowIncRent)^(MAX(0,229-GrowthStartMonth)/12)</f>
        <v/>
      </c>
      <c r="HY7" s="53">
        <f>(1+GrowthLowIncRent)^(MAX(0,230-GrowthStartMonth)/12)</f>
        <v/>
      </c>
      <c r="HZ7" s="53">
        <f>(1+GrowthLowIncRent)^(MAX(0,231-GrowthStartMonth)/12)</f>
        <v/>
      </c>
      <c r="IA7" s="53">
        <f>(1+GrowthLowIncRent)^(MAX(0,232-GrowthStartMonth)/12)</f>
        <v/>
      </c>
      <c r="IB7" s="53">
        <f>(1+GrowthLowIncRent)^(MAX(0,233-GrowthStartMonth)/12)</f>
        <v/>
      </c>
      <c r="IC7" s="53">
        <f>(1+GrowthLowIncRent)^(MAX(0,234-GrowthStartMonth)/12)</f>
        <v/>
      </c>
      <c r="ID7" s="53">
        <f>(1+GrowthLowIncRent)^(MAX(0,235-GrowthStartMonth)/12)</f>
        <v/>
      </c>
      <c r="IE7" s="53">
        <f>(1+GrowthLowIncRent)^(MAX(0,236-GrowthStartMonth)/12)</f>
        <v/>
      </c>
      <c r="IF7" s="53">
        <f>(1+GrowthLowIncRent)^(MAX(0,237-GrowthStartMonth)/12)</f>
        <v/>
      </c>
      <c r="IG7" s="53">
        <f>(1+GrowthLowIncRent)^(MAX(0,238-GrowthStartMonth)/12)</f>
        <v/>
      </c>
      <c r="IH7" s="53">
        <f>(1+GrowthLowIncRent)^(MAX(0,239-GrowthStartMonth)/12)</f>
        <v/>
      </c>
      <c r="II7" s="53">
        <f>(1+GrowthLowIncRent)^(MAX(0,240-GrowthStartMonth)/12)</f>
        <v/>
      </c>
      <c r="IJ7" s="53">
        <f>(1+GrowthLowIncRent)^(MAX(0,241-GrowthStartMonth)/12)</f>
        <v/>
      </c>
      <c r="IK7" s="53">
        <f>(1+GrowthLowIncRent)^(MAX(0,242-GrowthStartMonth)/12)</f>
        <v/>
      </c>
      <c r="IL7" s="53">
        <f>(1+GrowthLowIncRent)^(MAX(0,243-GrowthStartMonth)/12)</f>
        <v/>
      </c>
      <c r="IM7" s="53">
        <f>(1+GrowthLowIncRent)^(MAX(0,244-GrowthStartMonth)/12)</f>
        <v/>
      </c>
      <c r="IN7" s="53">
        <f>(1+GrowthLowIncRent)^(MAX(0,245-GrowthStartMonth)/12)</f>
        <v/>
      </c>
      <c r="IO7" s="53">
        <f>(1+GrowthLowIncRent)^(MAX(0,246-GrowthStartMonth)/12)</f>
        <v/>
      </c>
      <c r="IP7" s="53">
        <f>(1+GrowthLowIncRent)^(MAX(0,247-GrowthStartMonth)/12)</f>
        <v/>
      </c>
      <c r="IQ7" s="53">
        <f>(1+GrowthLowIncRent)^(MAX(0,248-GrowthStartMonth)/12)</f>
        <v/>
      </c>
      <c r="IR7" s="53">
        <f>(1+GrowthLowIncRent)^(MAX(0,249-GrowthStartMonth)/12)</f>
        <v/>
      </c>
      <c r="IS7" s="53">
        <f>(1+GrowthLowIncRent)^(MAX(0,250-GrowthStartMonth)/12)</f>
        <v/>
      </c>
      <c r="IT7" s="53">
        <f>(1+GrowthLowIncRent)^(MAX(0,251-GrowthStartMonth)/12)</f>
        <v/>
      </c>
      <c r="IU7" s="53">
        <f>(1+GrowthLowIncRent)^(MAX(0,252-GrowthStartMonth)/12)</f>
        <v/>
      </c>
      <c r="IV7" s="53">
        <f>(1+GrowthLowIncRent)^(MAX(0,253-GrowthStartMonth)/12)</f>
        <v/>
      </c>
      <c r="IW7" s="53">
        <f>(1+GrowthLowIncRent)^(MAX(0,254-GrowthStartMonth)/12)</f>
        <v/>
      </c>
      <c r="IX7" s="53">
        <f>(1+GrowthLowIncRent)^(MAX(0,255-GrowthStartMonth)/12)</f>
        <v/>
      </c>
      <c r="IY7" s="53">
        <f>(1+GrowthLowIncRent)^(MAX(0,256-GrowthStartMonth)/12)</f>
        <v/>
      </c>
      <c r="IZ7" s="53">
        <f>(1+GrowthLowIncRent)^(MAX(0,257-GrowthStartMonth)/12)</f>
        <v/>
      </c>
      <c r="JA7" s="53">
        <f>(1+GrowthLowIncRent)^(MAX(0,258-GrowthStartMonth)/12)</f>
        <v/>
      </c>
      <c r="JB7" s="53">
        <f>(1+GrowthLowIncRent)^(MAX(0,259-GrowthStartMonth)/12)</f>
        <v/>
      </c>
      <c r="JC7" s="53">
        <f>(1+GrowthLowIncRent)^(MAX(0,260-GrowthStartMonth)/12)</f>
        <v/>
      </c>
      <c r="JD7" s="53">
        <f>(1+GrowthLowIncRent)^(MAX(0,261-GrowthStartMonth)/12)</f>
        <v/>
      </c>
      <c r="JE7" s="53">
        <f>(1+GrowthLowIncRent)^(MAX(0,262-GrowthStartMonth)/12)</f>
        <v/>
      </c>
      <c r="JF7" s="53">
        <f>(1+GrowthLowIncRent)^(MAX(0,263-GrowthStartMonth)/12)</f>
        <v/>
      </c>
      <c r="JG7" s="53">
        <f>(1+GrowthLowIncRent)^(MAX(0,264-GrowthStartMonth)/12)</f>
        <v/>
      </c>
      <c r="JH7" s="53">
        <f>(1+GrowthLowIncRent)^(MAX(0,265-GrowthStartMonth)/12)</f>
        <v/>
      </c>
      <c r="JI7" s="53">
        <f>(1+GrowthLowIncRent)^(MAX(0,266-GrowthStartMonth)/12)</f>
        <v/>
      </c>
      <c r="JJ7" s="53">
        <f>(1+GrowthLowIncRent)^(MAX(0,267-GrowthStartMonth)/12)</f>
        <v/>
      </c>
      <c r="JK7" s="53">
        <f>(1+GrowthLowIncRent)^(MAX(0,268-GrowthStartMonth)/12)</f>
        <v/>
      </c>
      <c r="JL7" s="53">
        <f>(1+GrowthLowIncRent)^(MAX(0,269-GrowthStartMonth)/12)</f>
        <v/>
      </c>
      <c r="JM7" s="53">
        <f>(1+GrowthLowIncRent)^(MAX(0,270-GrowthStartMonth)/12)</f>
        <v/>
      </c>
      <c r="JN7" s="53">
        <f>(1+GrowthLowIncRent)^(MAX(0,271-GrowthStartMonth)/12)</f>
        <v/>
      </c>
      <c r="JO7" s="53">
        <f>(1+GrowthLowIncRent)^(MAX(0,272-GrowthStartMonth)/12)</f>
        <v/>
      </c>
      <c r="JP7" s="53">
        <f>(1+GrowthLowIncRent)^(MAX(0,273-GrowthStartMonth)/12)</f>
        <v/>
      </c>
      <c r="JQ7" s="53">
        <f>(1+GrowthLowIncRent)^(MAX(0,274-GrowthStartMonth)/12)</f>
        <v/>
      </c>
      <c r="JR7" s="53">
        <f>(1+GrowthLowIncRent)^(MAX(0,275-GrowthStartMonth)/12)</f>
        <v/>
      </c>
      <c r="JS7" s="53">
        <f>(1+GrowthLowIncRent)^(MAX(0,276-GrowthStartMonth)/12)</f>
        <v/>
      </c>
      <c r="JT7" s="53">
        <f>(1+GrowthLowIncRent)^(MAX(0,277-GrowthStartMonth)/12)</f>
        <v/>
      </c>
      <c r="JU7" s="53">
        <f>(1+GrowthLowIncRent)^(MAX(0,278-GrowthStartMonth)/12)</f>
        <v/>
      </c>
      <c r="JV7" s="53">
        <f>(1+GrowthLowIncRent)^(MAX(0,279-GrowthStartMonth)/12)</f>
        <v/>
      </c>
      <c r="JW7" s="53">
        <f>(1+GrowthLowIncRent)^(MAX(0,280-GrowthStartMonth)/12)</f>
        <v/>
      </c>
      <c r="JX7" s="53">
        <f>(1+GrowthLowIncRent)^(MAX(0,281-GrowthStartMonth)/12)</f>
        <v/>
      </c>
      <c r="JY7" s="53">
        <f>(1+GrowthLowIncRent)^(MAX(0,282-GrowthStartMonth)/12)</f>
        <v/>
      </c>
      <c r="JZ7" s="53">
        <f>(1+GrowthLowIncRent)^(MAX(0,283-GrowthStartMonth)/12)</f>
        <v/>
      </c>
      <c r="KA7" s="53">
        <f>(1+GrowthLowIncRent)^(MAX(0,284-GrowthStartMonth)/12)</f>
        <v/>
      </c>
      <c r="KB7" s="53">
        <f>(1+GrowthLowIncRent)^(MAX(0,285-GrowthStartMonth)/12)</f>
        <v/>
      </c>
      <c r="KC7" s="53">
        <f>(1+GrowthLowIncRent)^(MAX(0,286-GrowthStartMonth)/12)</f>
        <v/>
      </c>
      <c r="KD7" s="53">
        <f>(1+GrowthLowIncRent)^(MAX(0,287-GrowthStartMonth)/12)</f>
        <v/>
      </c>
      <c r="KE7" s="53">
        <f>(1+GrowthLowIncRent)^(MAX(0,288-GrowthStartMonth)/12)</f>
        <v/>
      </c>
      <c r="KF7" s="53">
        <f>(1+GrowthLowIncRent)^(MAX(0,289-GrowthStartMonth)/12)</f>
        <v/>
      </c>
      <c r="KG7" s="53">
        <f>(1+GrowthLowIncRent)^(MAX(0,290-GrowthStartMonth)/12)</f>
        <v/>
      </c>
      <c r="KH7" s="53">
        <f>(1+GrowthLowIncRent)^(MAX(0,291-GrowthStartMonth)/12)</f>
        <v/>
      </c>
      <c r="KI7" s="53">
        <f>(1+GrowthLowIncRent)^(MAX(0,292-GrowthStartMonth)/12)</f>
        <v/>
      </c>
      <c r="KJ7" s="53">
        <f>(1+GrowthLowIncRent)^(MAX(0,293-GrowthStartMonth)/12)</f>
        <v/>
      </c>
      <c r="KK7" s="53">
        <f>(1+GrowthLowIncRent)^(MAX(0,294-GrowthStartMonth)/12)</f>
        <v/>
      </c>
      <c r="KL7" s="53">
        <f>(1+GrowthLowIncRent)^(MAX(0,295-GrowthStartMonth)/12)</f>
        <v/>
      </c>
      <c r="KM7" s="53">
        <f>(1+GrowthLowIncRent)^(MAX(0,296-GrowthStartMonth)/12)</f>
        <v/>
      </c>
      <c r="KN7" s="53">
        <f>(1+GrowthLowIncRent)^(MAX(0,297-GrowthStartMonth)/12)</f>
        <v/>
      </c>
      <c r="KO7" s="53">
        <f>(1+GrowthLowIncRent)^(MAX(0,298-GrowthStartMonth)/12)</f>
        <v/>
      </c>
      <c r="KP7" s="53">
        <f>(1+GrowthLowIncRent)^(MAX(0,299-GrowthStartMonth)/12)</f>
        <v/>
      </c>
      <c r="KQ7" s="53">
        <f>(1+GrowthLowIncRent)^(MAX(0,300-GrowthStartMonth)/12)</f>
        <v/>
      </c>
      <c r="KR7" s="53">
        <f>(1+GrowthLowIncRent)^(MAX(0,301-GrowthStartMonth)/12)</f>
        <v/>
      </c>
      <c r="KS7" s="53">
        <f>(1+GrowthLowIncRent)^(MAX(0,302-GrowthStartMonth)/12)</f>
        <v/>
      </c>
      <c r="KT7" s="53">
        <f>(1+GrowthLowIncRent)^(MAX(0,303-GrowthStartMonth)/12)</f>
        <v/>
      </c>
      <c r="KU7" s="53">
        <f>(1+GrowthLowIncRent)^(MAX(0,304-GrowthStartMonth)/12)</f>
        <v/>
      </c>
      <c r="KV7" s="53">
        <f>(1+GrowthLowIncRent)^(MAX(0,305-GrowthStartMonth)/12)</f>
        <v/>
      </c>
      <c r="KW7" s="53">
        <f>(1+GrowthLowIncRent)^(MAX(0,306-GrowthStartMonth)/12)</f>
        <v/>
      </c>
      <c r="KX7" s="53">
        <f>(1+GrowthLowIncRent)^(MAX(0,307-GrowthStartMonth)/12)</f>
        <v/>
      </c>
      <c r="KY7" s="53">
        <f>(1+GrowthLowIncRent)^(MAX(0,308-GrowthStartMonth)/12)</f>
        <v/>
      </c>
      <c r="KZ7" s="53">
        <f>(1+GrowthLowIncRent)^(MAX(0,309-GrowthStartMonth)/12)</f>
        <v/>
      </c>
      <c r="LA7" s="53">
        <f>(1+GrowthLowIncRent)^(MAX(0,310-GrowthStartMonth)/12)</f>
        <v/>
      </c>
      <c r="LB7" s="53">
        <f>(1+GrowthLowIncRent)^(MAX(0,311-GrowthStartMonth)/12)</f>
        <v/>
      </c>
      <c r="LC7" s="53">
        <f>(1+GrowthLowIncRent)^(MAX(0,312-GrowthStartMonth)/12)</f>
        <v/>
      </c>
      <c r="LD7" s="53">
        <f>(1+GrowthLowIncRent)^(MAX(0,313-GrowthStartMonth)/12)</f>
        <v/>
      </c>
      <c r="LE7" s="53">
        <f>(1+GrowthLowIncRent)^(MAX(0,314-GrowthStartMonth)/12)</f>
        <v/>
      </c>
      <c r="LF7" s="53">
        <f>(1+GrowthLowIncRent)^(MAX(0,315-GrowthStartMonth)/12)</f>
        <v/>
      </c>
      <c r="LG7" s="53">
        <f>(1+GrowthLowIncRent)^(MAX(0,316-GrowthStartMonth)/12)</f>
        <v/>
      </c>
      <c r="LH7" s="53">
        <f>(1+GrowthLowIncRent)^(MAX(0,317-GrowthStartMonth)/12)</f>
        <v/>
      </c>
      <c r="LI7" s="53">
        <f>(1+GrowthLowIncRent)^(MAX(0,318-GrowthStartMonth)/12)</f>
        <v/>
      </c>
      <c r="LJ7" s="53">
        <f>(1+GrowthLowIncRent)^(MAX(0,319-GrowthStartMonth)/12)</f>
        <v/>
      </c>
      <c r="LK7" s="53">
        <f>(1+GrowthLowIncRent)^(MAX(0,320-GrowthStartMonth)/12)</f>
        <v/>
      </c>
      <c r="LL7" s="53">
        <f>(1+GrowthLowIncRent)^(MAX(0,321-GrowthStartMonth)/12)</f>
        <v/>
      </c>
      <c r="LM7" s="53">
        <f>(1+GrowthLowIncRent)^(MAX(0,322-GrowthStartMonth)/12)</f>
        <v/>
      </c>
      <c r="LN7" s="53">
        <f>(1+GrowthLowIncRent)^(MAX(0,323-GrowthStartMonth)/12)</f>
        <v/>
      </c>
      <c r="LO7" s="53">
        <f>(1+GrowthLowIncRent)^(MAX(0,324-GrowthStartMonth)/12)</f>
        <v/>
      </c>
      <c r="LP7" s="53">
        <f>(1+GrowthLowIncRent)^(MAX(0,325-GrowthStartMonth)/12)</f>
        <v/>
      </c>
      <c r="LQ7" s="53">
        <f>(1+GrowthLowIncRent)^(MAX(0,326-GrowthStartMonth)/12)</f>
        <v/>
      </c>
      <c r="LR7" s="53">
        <f>(1+GrowthLowIncRent)^(MAX(0,327-GrowthStartMonth)/12)</f>
        <v/>
      </c>
      <c r="LS7" s="53">
        <f>(1+GrowthLowIncRent)^(MAX(0,328-GrowthStartMonth)/12)</f>
        <v/>
      </c>
      <c r="LT7" s="53">
        <f>(1+GrowthLowIncRent)^(MAX(0,329-GrowthStartMonth)/12)</f>
        <v/>
      </c>
      <c r="LU7" s="53">
        <f>(1+GrowthLowIncRent)^(MAX(0,330-GrowthStartMonth)/12)</f>
        <v/>
      </c>
      <c r="LV7" s="53">
        <f>(1+GrowthLowIncRent)^(MAX(0,331-GrowthStartMonth)/12)</f>
        <v/>
      </c>
      <c r="LW7" s="53">
        <f>(1+GrowthLowIncRent)^(MAX(0,332-GrowthStartMonth)/12)</f>
        <v/>
      </c>
      <c r="LX7" s="53">
        <f>(1+GrowthLowIncRent)^(MAX(0,333-GrowthStartMonth)/12)</f>
        <v/>
      </c>
      <c r="LY7" s="53">
        <f>(1+GrowthLowIncRent)^(MAX(0,334-GrowthStartMonth)/12)</f>
        <v/>
      </c>
      <c r="LZ7" s="53">
        <f>(1+GrowthLowIncRent)^(MAX(0,335-GrowthStartMonth)/12)</f>
        <v/>
      </c>
      <c r="MA7" s="53">
        <f>(1+GrowthLowIncRent)^(MAX(0,336-GrowthStartMonth)/12)</f>
        <v/>
      </c>
      <c r="MB7" s="53">
        <f>(1+GrowthLowIncRent)^(MAX(0,337-GrowthStartMonth)/12)</f>
        <v/>
      </c>
      <c r="MC7" s="53">
        <f>(1+GrowthLowIncRent)^(MAX(0,338-GrowthStartMonth)/12)</f>
        <v/>
      </c>
      <c r="MD7" s="53">
        <f>(1+GrowthLowIncRent)^(MAX(0,339-GrowthStartMonth)/12)</f>
        <v/>
      </c>
      <c r="ME7" s="53">
        <f>(1+GrowthLowIncRent)^(MAX(0,340-GrowthStartMonth)/12)</f>
        <v/>
      </c>
      <c r="MF7" s="53">
        <f>(1+GrowthLowIncRent)^(MAX(0,341-GrowthStartMonth)/12)</f>
        <v/>
      </c>
      <c r="MG7" s="53">
        <f>(1+GrowthLowIncRent)^(MAX(0,342-GrowthStartMonth)/12)</f>
        <v/>
      </c>
      <c r="MH7" s="53">
        <f>(1+GrowthLowIncRent)^(MAX(0,343-GrowthStartMonth)/12)</f>
        <v/>
      </c>
      <c r="MI7" s="53">
        <f>(1+GrowthLowIncRent)^(MAX(0,344-GrowthStartMonth)/12)</f>
        <v/>
      </c>
      <c r="MJ7" s="53">
        <f>(1+GrowthLowIncRent)^(MAX(0,345-GrowthStartMonth)/12)</f>
        <v/>
      </c>
      <c r="MK7" s="53">
        <f>(1+GrowthLowIncRent)^(MAX(0,346-GrowthStartMonth)/12)</f>
        <v/>
      </c>
      <c r="ML7" s="53">
        <f>(1+GrowthLowIncRent)^(MAX(0,347-GrowthStartMonth)/12)</f>
        <v/>
      </c>
      <c r="MM7" s="53">
        <f>(1+GrowthLowIncRent)^(MAX(0,348-GrowthStartMonth)/12)</f>
        <v/>
      </c>
      <c r="MN7" s="53">
        <f>(1+GrowthLowIncRent)^(MAX(0,349-GrowthStartMonth)/12)</f>
        <v/>
      </c>
      <c r="MO7" s="53">
        <f>(1+GrowthLowIncRent)^(MAX(0,350-GrowthStartMonth)/12)</f>
        <v/>
      </c>
      <c r="MP7" s="53">
        <f>(1+GrowthLowIncRent)^(MAX(0,351-GrowthStartMonth)/12)</f>
        <v/>
      </c>
      <c r="MQ7" s="53">
        <f>(1+GrowthLowIncRent)^(MAX(0,352-GrowthStartMonth)/12)</f>
        <v/>
      </c>
      <c r="MR7" s="53">
        <f>(1+GrowthLowIncRent)^(MAX(0,353-GrowthStartMonth)/12)</f>
        <v/>
      </c>
      <c r="MS7" s="53">
        <f>(1+GrowthLowIncRent)^(MAX(0,354-GrowthStartMonth)/12)</f>
        <v/>
      </c>
      <c r="MT7" s="53">
        <f>(1+GrowthLowIncRent)^(MAX(0,355-GrowthStartMonth)/12)</f>
        <v/>
      </c>
      <c r="MU7" s="53">
        <f>(1+GrowthLowIncRent)^(MAX(0,356-GrowthStartMonth)/12)</f>
        <v/>
      </c>
      <c r="MV7" s="53">
        <f>(1+GrowthLowIncRent)^(MAX(0,357-GrowthStartMonth)/12)</f>
        <v/>
      </c>
      <c r="MW7" s="53">
        <f>(1+GrowthLowIncRent)^(MAX(0,358-GrowthStartMonth)/12)</f>
        <v/>
      </c>
      <c r="MX7" s="53">
        <f>(1+GrowthLowIncRent)^(MAX(0,359-GrowthStartMonth)/12)</f>
        <v/>
      </c>
      <c r="MY7" s="53">
        <f>(1+GrowthLowIncRent)^(MAX(0,360-GrowthStartMonth)/12)</f>
        <v/>
      </c>
      <c r="MZ7" s="53">
        <f>(1+GrowthLowIncRent)^(MAX(0,361-GrowthStartMonth)/12)</f>
        <v/>
      </c>
      <c r="NA7" s="53">
        <f>(1+GrowthLowIncRent)^(MAX(0,362-GrowthStartMonth)/12)</f>
        <v/>
      </c>
      <c r="NB7" s="53">
        <f>(1+GrowthLowIncRent)^(MAX(0,363-GrowthStartMonth)/12)</f>
        <v/>
      </c>
      <c r="NC7" s="53">
        <f>(1+GrowthLowIncRent)^(MAX(0,364-GrowthStartMonth)/12)</f>
        <v/>
      </c>
      <c r="ND7" s="53">
        <f>(1+GrowthLowIncRent)^(MAX(0,365-GrowthStartMonth)/12)</f>
        <v/>
      </c>
      <c r="NE7" s="53">
        <f>(1+GrowthLowIncRent)^(MAX(0,366-GrowthStartMonth)/12)</f>
        <v/>
      </c>
      <c r="NF7" s="53">
        <f>(1+GrowthLowIncRent)^(MAX(0,367-GrowthStartMonth)/12)</f>
        <v/>
      </c>
      <c r="NG7" s="53">
        <f>(1+GrowthLowIncRent)^(MAX(0,368-GrowthStartMonth)/12)</f>
        <v/>
      </c>
      <c r="NH7" s="53">
        <f>(1+GrowthLowIncRent)^(MAX(0,369-GrowthStartMonth)/12)</f>
        <v/>
      </c>
      <c r="NI7" s="53">
        <f>(1+GrowthLowIncRent)^(MAX(0,370-GrowthStartMonth)/12)</f>
        <v/>
      </c>
      <c r="NJ7" s="53">
        <f>(1+GrowthLowIncRent)^(MAX(0,371-GrowthStartMonth)/12)</f>
        <v/>
      </c>
      <c r="NK7" s="53">
        <f>(1+GrowthLowIncRent)^(MAX(0,372-GrowthStartMonth)/12)</f>
        <v/>
      </c>
    </row>
    <row r="8">
      <c r="A8" s="5" t="inlineStr">
        <is>
          <t>Growth Factor — Expense</t>
        </is>
      </c>
      <c r="C8" s="52" t="n"/>
      <c r="D8" s="53">
        <f>(1+GrowthExpense)^(MAX(0,1-GrowthStartMonth)/12)</f>
        <v/>
      </c>
      <c r="E8" s="53">
        <f>(1+GrowthExpense)^(MAX(0,2-GrowthStartMonth)/12)</f>
        <v/>
      </c>
      <c r="F8" s="53">
        <f>(1+GrowthExpense)^(MAX(0,3-GrowthStartMonth)/12)</f>
        <v/>
      </c>
      <c r="G8" s="53">
        <f>(1+GrowthExpense)^(MAX(0,4-GrowthStartMonth)/12)</f>
        <v/>
      </c>
      <c r="H8" s="53">
        <f>(1+GrowthExpense)^(MAX(0,5-GrowthStartMonth)/12)</f>
        <v/>
      </c>
      <c r="I8" s="53">
        <f>(1+GrowthExpense)^(MAX(0,6-GrowthStartMonth)/12)</f>
        <v/>
      </c>
      <c r="J8" s="53">
        <f>(1+GrowthExpense)^(MAX(0,7-GrowthStartMonth)/12)</f>
        <v/>
      </c>
      <c r="K8" s="53">
        <f>(1+GrowthExpense)^(MAX(0,8-GrowthStartMonth)/12)</f>
        <v/>
      </c>
      <c r="L8" s="53">
        <f>(1+GrowthExpense)^(MAX(0,9-GrowthStartMonth)/12)</f>
        <v/>
      </c>
      <c r="M8" s="53">
        <f>(1+GrowthExpense)^(MAX(0,10-GrowthStartMonth)/12)</f>
        <v/>
      </c>
      <c r="N8" s="53">
        <f>(1+GrowthExpense)^(MAX(0,11-GrowthStartMonth)/12)</f>
        <v/>
      </c>
      <c r="O8" s="53">
        <f>(1+GrowthExpense)^(MAX(0,12-GrowthStartMonth)/12)</f>
        <v/>
      </c>
      <c r="P8" s="53">
        <f>(1+GrowthExpense)^(MAX(0,13-GrowthStartMonth)/12)</f>
        <v/>
      </c>
      <c r="Q8" s="53">
        <f>(1+GrowthExpense)^(MAX(0,14-GrowthStartMonth)/12)</f>
        <v/>
      </c>
      <c r="R8" s="53">
        <f>(1+GrowthExpense)^(MAX(0,15-GrowthStartMonth)/12)</f>
        <v/>
      </c>
      <c r="S8" s="53">
        <f>(1+GrowthExpense)^(MAX(0,16-GrowthStartMonth)/12)</f>
        <v/>
      </c>
      <c r="T8" s="53">
        <f>(1+GrowthExpense)^(MAX(0,17-GrowthStartMonth)/12)</f>
        <v/>
      </c>
      <c r="U8" s="53">
        <f>(1+GrowthExpense)^(MAX(0,18-GrowthStartMonth)/12)</f>
        <v/>
      </c>
      <c r="V8" s="53">
        <f>(1+GrowthExpense)^(MAX(0,19-GrowthStartMonth)/12)</f>
        <v/>
      </c>
      <c r="W8" s="53">
        <f>(1+GrowthExpense)^(MAX(0,20-GrowthStartMonth)/12)</f>
        <v/>
      </c>
      <c r="X8" s="53">
        <f>(1+GrowthExpense)^(MAX(0,21-GrowthStartMonth)/12)</f>
        <v/>
      </c>
      <c r="Y8" s="53">
        <f>(1+GrowthExpense)^(MAX(0,22-GrowthStartMonth)/12)</f>
        <v/>
      </c>
      <c r="Z8" s="53">
        <f>(1+GrowthExpense)^(MAX(0,23-GrowthStartMonth)/12)</f>
        <v/>
      </c>
      <c r="AA8" s="53">
        <f>(1+GrowthExpense)^(MAX(0,24-GrowthStartMonth)/12)</f>
        <v/>
      </c>
      <c r="AB8" s="53">
        <f>(1+GrowthExpense)^(MAX(0,25-GrowthStartMonth)/12)</f>
        <v/>
      </c>
      <c r="AC8" s="53">
        <f>(1+GrowthExpense)^(MAX(0,26-GrowthStartMonth)/12)</f>
        <v/>
      </c>
      <c r="AD8" s="53">
        <f>(1+GrowthExpense)^(MAX(0,27-GrowthStartMonth)/12)</f>
        <v/>
      </c>
      <c r="AE8" s="53">
        <f>(1+GrowthExpense)^(MAX(0,28-GrowthStartMonth)/12)</f>
        <v/>
      </c>
      <c r="AF8" s="53">
        <f>(1+GrowthExpense)^(MAX(0,29-GrowthStartMonth)/12)</f>
        <v/>
      </c>
      <c r="AG8" s="53">
        <f>(1+GrowthExpense)^(MAX(0,30-GrowthStartMonth)/12)</f>
        <v/>
      </c>
      <c r="AH8" s="53">
        <f>(1+GrowthExpense)^(MAX(0,31-GrowthStartMonth)/12)</f>
        <v/>
      </c>
      <c r="AI8" s="53">
        <f>(1+GrowthExpense)^(MAX(0,32-GrowthStartMonth)/12)</f>
        <v/>
      </c>
      <c r="AJ8" s="53">
        <f>(1+GrowthExpense)^(MAX(0,33-GrowthStartMonth)/12)</f>
        <v/>
      </c>
      <c r="AK8" s="53">
        <f>(1+GrowthExpense)^(MAX(0,34-GrowthStartMonth)/12)</f>
        <v/>
      </c>
      <c r="AL8" s="53">
        <f>(1+GrowthExpense)^(MAX(0,35-GrowthStartMonth)/12)</f>
        <v/>
      </c>
      <c r="AM8" s="53">
        <f>(1+GrowthExpense)^(MAX(0,36-GrowthStartMonth)/12)</f>
        <v/>
      </c>
      <c r="AN8" s="53">
        <f>(1+GrowthExpense)^(MAX(0,37-GrowthStartMonth)/12)</f>
        <v/>
      </c>
      <c r="AO8" s="53">
        <f>(1+GrowthExpense)^(MAX(0,38-GrowthStartMonth)/12)</f>
        <v/>
      </c>
      <c r="AP8" s="53">
        <f>(1+GrowthExpense)^(MAX(0,39-GrowthStartMonth)/12)</f>
        <v/>
      </c>
      <c r="AQ8" s="53">
        <f>(1+GrowthExpense)^(MAX(0,40-GrowthStartMonth)/12)</f>
        <v/>
      </c>
      <c r="AR8" s="53">
        <f>(1+GrowthExpense)^(MAX(0,41-GrowthStartMonth)/12)</f>
        <v/>
      </c>
      <c r="AS8" s="53">
        <f>(1+GrowthExpense)^(MAX(0,42-GrowthStartMonth)/12)</f>
        <v/>
      </c>
      <c r="AT8" s="53">
        <f>(1+GrowthExpense)^(MAX(0,43-GrowthStartMonth)/12)</f>
        <v/>
      </c>
      <c r="AU8" s="53">
        <f>(1+GrowthExpense)^(MAX(0,44-GrowthStartMonth)/12)</f>
        <v/>
      </c>
      <c r="AV8" s="53">
        <f>(1+GrowthExpense)^(MAX(0,45-GrowthStartMonth)/12)</f>
        <v/>
      </c>
      <c r="AW8" s="53">
        <f>(1+GrowthExpense)^(MAX(0,46-GrowthStartMonth)/12)</f>
        <v/>
      </c>
      <c r="AX8" s="53">
        <f>(1+GrowthExpense)^(MAX(0,47-GrowthStartMonth)/12)</f>
        <v/>
      </c>
      <c r="AY8" s="53">
        <f>(1+GrowthExpense)^(MAX(0,48-GrowthStartMonth)/12)</f>
        <v/>
      </c>
      <c r="AZ8" s="53">
        <f>(1+GrowthExpense)^(MAX(0,49-GrowthStartMonth)/12)</f>
        <v/>
      </c>
      <c r="BA8" s="53">
        <f>(1+GrowthExpense)^(MAX(0,50-GrowthStartMonth)/12)</f>
        <v/>
      </c>
      <c r="BB8" s="53">
        <f>(1+GrowthExpense)^(MAX(0,51-GrowthStartMonth)/12)</f>
        <v/>
      </c>
      <c r="BC8" s="53">
        <f>(1+GrowthExpense)^(MAX(0,52-GrowthStartMonth)/12)</f>
        <v/>
      </c>
      <c r="BD8" s="53">
        <f>(1+GrowthExpense)^(MAX(0,53-GrowthStartMonth)/12)</f>
        <v/>
      </c>
      <c r="BE8" s="53">
        <f>(1+GrowthExpense)^(MAX(0,54-GrowthStartMonth)/12)</f>
        <v/>
      </c>
      <c r="BF8" s="53">
        <f>(1+GrowthExpense)^(MAX(0,55-GrowthStartMonth)/12)</f>
        <v/>
      </c>
      <c r="BG8" s="53">
        <f>(1+GrowthExpense)^(MAX(0,56-GrowthStartMonth)/12)</f>
        <v/>
      </c>
      <c r="BH8" s="53">
        <f>(1+GrowthExpense)^(MAX(0,57-GrowthStartMonth)/12)</f>
        <v/>
      </c>
      <c r="BI8" s="53">
        <f>(1+GrowthExpense)^(MAX(0,58-GrowthStartMonth)/12)</f>
        <v/>
      </c>
      <c r="BJ8" s="53">
        <f>(1+GrowthExpense)^(MAX(0,59-GrowthStartMonth)/12)</f>
        <v/>
      </c>
      <c r="BK8" s="53">
        <f>(1+GrowthExpense)^(MAX(0,60-GrowthStartMonth)/12)</f>
        <v/>
      </c>
      <c r="BL8" s="53">
        <f>(1+GrowthExpense)^(MAX(0,61-GrowthStartMonth)/12)</f>
        <v/>
      </c>
      <c r="BM8" s="53">
        <f>(1+GrowthExpense)^(MAX(0,62-GrowthStartMonth)/12)</f>
        <v/>
      </c>
      <c r="BN8" s="53">
        <f>(1+GrowthExpense)^(MAX(0,63-GrowthStartMonth)/12)</f>
        <v/>
      </c>
      <c r="BO8" s="53">
        <f>(1+GrowthExpense)^(MAX(0,64-GrowthStartMonth)/12)</f>
        <v/>
      </c>
      <c r="BP8" s="53">
        <f>(1+GrowthExpense)^(MAX(0,65-GrowthStartMonth)/12)</f>
        <v/>
      </c>
      <c r="BQ8" s="53">
        <f>(1+GrowthExpense)^(MAX(0,66-GrowthStartMonth)/12)</f>
        <v/>
      </c>
      <c r="BR8" s="53">
        <f>(1+GrowthExpense)^(MAX(0,67-GrowthStartMonth)/12)</f>
        <v/>
      </c>
      <c r="BS8" s="53">
        <f>(1+GrowthExpense)^(MAX(0,68-GrowthStartMonth)/12)</f>
        <v/>
      </c>
      <c r="BT8" s="53">
        <f>(1+GrowthExpense)^(MAX(0,69-GrowthStartMonth)/12)</f>
        <v/>
      </c>
      <c r="BU8" s="53">
        <f>(1+GrowthExpense)^(MAX(0,70-GrowthStartMonth)/12)</f>
        <v/>
      </c>
      <c r="BV8" s="53">
        <f>(1+GrowthExpense)^(MAX(0,71-GrowthStartMonth)/12)</f>
        <v/>
      </c>
      <c r="BW8" s="53">
        <f>(1+GrowthExpense)^(MAX(0,72-GrowthStartMonth)/12)</f>
        <v/>
      </c>
      <c r="BX8" s="53">
        <f>(1+GrowthExpense)^(MAX(0,73-GrowthStartMonth)/12)</f>
        <v/>
      </c>
      <c r="BY8" s="53">
        <f>(1+GrowthExpense)^(MAX(0,74-GrowthStartMonth)/12)</f>
        <v/>
      </c>
      <c r="BZ8" s="53">
        <f>(1+GrowthExpense)^(MAX(0,75-GrowthStartMonth)/12)</f>
        <v/>
      </c>
      <c r="CA8" s="53">
        <f>(1+GrowthExpense)^(MAX(0,76-GrowthStartMonth)/12)</f>
        <v/>
      </c>
      <c r="CB8" s="53">
        <f>(1+GrowthExpense)^(MAX(0,77-GrowthStartMonth)/12)</f>
        <v/>
      </c>
      <c r="CC8" s="53">
        <f>(1+GrowthExpense)^(MAX(0,78-GrowthStartMonth)/12)</f>
        <v/>
      </c>
      <c r="CD8" s="53">
        <f>(1+GrowthExpense)^(MAX(0,79-GrowthStartMonth)/12)</f>
        <v/>
      </c>
      <c r="CE8" s="53">
        <f>(1+GrowthExpense)^(MAX(0,80-GrowthStartMonth)/12)</f>
        <v/>
      </c>
      <c r="CF8" s="53">
        <f>(1+GrowthExpense)^(MAX(0,81-GrowthStartMonth)/12)</f>
        <v/>
      </c>
      <c r="CG8" s="53">
        <f>(1+GrowthExpense)^(MAX(0,82-GrowthStartMonth)/12)</f>
        <v/>
      </c>
      <c r="CH8" s="53">
        <f>(1+GrowthExpense)^(MAX(0,83-GrowthStartMonth)/12)</f>
        <v/>
      </c>
      <c r="CI8" s="53">
        <f>(1+GrowthExpense)^(MAX(0,84-GrowthStartMonth)/12)</f>
        <v/>
      </c>
      <c r="CJ8" s="53">
        <f>(1+GrowthExpense)^(MAX(0,85-GrowthStartMonth)/12)</f>
        <v/>
      </c>
      <c r="CK8" s="53">
        <f>(1+GrowthExpense)^(MAX(0,86-GrowthStartMonth)/12)</f>
        <v/>
      </c>
      <c r="CL8" s="53">
        <f>(1+GrowthExpense)^(MAX(0,87-GrowthStartMonth)/12)</f>
        <v/>
      </c>
      <c r="CM8" s="53">
        <f>(1+GrowthExpense)^(MAX(0,88-GrowthStartMonth)/12)</f>
        <v/>
      </c>
      <c r="CN8" s="53">
        <f>(1+GrowthExpense)^(MAX(0,89-GrowthStartMonth)/12)</f>
        <v/>
      </c>
      <c r="CO8" s="53">
        <f>(1+GrowthExpense)^(MAX(0,90-GrowthStartMonth)/12)</f>
        <v/>
      </c>
      <c r="CP8" s="53">
        <f>(1+GrowthExpense)^(MAX(0,91-GrowthStartMonth)/12)</f>
        <v/>
      </c>
      <c r="CQ8" s="53">
        <f>(1+GrowthExpense)^(MAX(0,92-GrowthStartMonth)/12)</f>
        <v/>
      </c>
      <c r="CR8" s="53">
        <f>(1+GrowthExpense)^(MAX(0,93-GrowthStartMonth)/12)</f>
        <v/>
      </c>
      <c r="CS8" s="53">
        <f>(1+GrowthExpense)^(MAX(0,94-GrowthStartMonth)/12)</f>
        <v/>
      </c>
      <c r="CT8" s="53">
        <f>(1+GrowthExpense)^(MAX(0,95-GrowthStartMonth)/12)</f>
        <v/>
      </c>
      <c r="CU8" s="53">
        <f>(1+GrowthExpense)^(MAX(0,96-GrowthStartMonth)/12)</f>
        <v/>
      </c>
      <c r="CV8" s="53">
        <f>(1+GrowthExpense)^(MAX(0,97-GrowthStartMonth)/12)</f>
        <v/>
      </c>
      <c r="CW8" s="53">
        <f>(1+GrowthExpense)^(MAX(0,98-GrowthStartMonth)/12)</f>
        <v/>
      </c>
      <c r="CX8" s="53">
        <f>(1+GrowthExpense)^(MAX(0,99-GrowthStartMonth)/12)</f>
        <v/>
      </c>
      <c r="CY8" s="53">
        <f>(1+GrowthExpense)^(MAX(0,100-GrowthStartMonth)/12)</f>
        <v/>
      </c>
      <c r="CZ8" s="53">
        <f>(1+GrowthExpense)^(MAX(0,101-GrowthStartMonth)/12)</f>
        <v/>
      </c>
      <c r="DA8" s="53">
        <f>(1+GrowthExpense)^(MAX(0,102-GrowthStartMonth)/12)</f>
        <v/>
      </c>
      <c r="DB8" s="53">
        <f>(1+GrowthExpense)^(MAX(0,103-GrowthStartMonth)/12)</f>
        <v/>
      </c>
      <c r="DC8" s="53">
        <f>(1+GrowthExpense)^(MAX(0,104-GrowthStartMonth)/12)</f>
        <v/>
      </c>
      <c r="DD8" s="53">
        <f>(1+GrowthExpense)^(MAX(0,105-GrowthStartMonth)/12)</f>
        <v/>
      </c>
      <c r="DE8" s="53">
        <f>(1+GrowthExpense)^(MAX(0,106-GrowthStartMonth)/12)</f>
        <v/>
      </c>
      <c r="DF8" s="53">
        <f>(1+GrowthExpense)^(MAX(0,107-GrowthStartMonth)/12)</f>
        <v/>
      </c>
      <c r="DG8" s="53">
        <f>(1+GrowthExpense)^(MAX(0,108-GrowthStartMonth)/12)</f>
        <v/>
      </c>
      <c r="DH8" s="53">
        <f>(1+GrowthExpense)^(MAX(0,109-GrowthStartMonth)/12)</f>
        <v/>
      </c>
      <c r="DI8" s="53">
        <f>(1+GrowthExpense)^(MAX(0,110-GrowthStartMonth)/12)</f>
        <v/>
      </c>
      <c r="DJ8" s="53">
        <f>(1+GrowthExpense)^(MAX(0,111-GrowthStartMonth)/12)</f>
        <v/>
      </c>
      <c r="DK8" s="53">
        <f>(1+GrowthExpense)^(MAX(0,112-GrowthStartMonth)/12)</f>
        <v/>
      </c>
      <c r="DL8" s="53">
        <f>(1+GrowthExpense)^(MAX(0,113-GrowthStartMonth)/12)</f>
        <v/>
      </c>
      <c r="DM8" s="53">
        <f>(1+GrowthExpense)^(MAX(0,114-GrowthStartMonth)/12)</f>
        <v/>
      </c>
      <c r="DN8" s="53">
        <f>(1+GrowthExpense)^(MAX(0,115-GrowthStartMonth)/12)</f>
        <v/>
      </c>
      <c r="DO8" s="53">
        <f>(1+GrowthExpense)^(MAX(0,116-GrowthStartMonth)/12)</f>
        <v/>
      </c>
      <c r="DP8" s="53">
        <f>(1+GrowthExpense)^(MAX(0,117-GrowthStartMonth)/12)</f>
        <v/>
      </c>
      <c r="DQ8" s="53">
        <f>(1+GrowthExpense)^(MAX(0,118-GrowthStartMonth)/12)</f>
        <v/>
      </c>
      <c r="DR8" s="53">
        <f>(1+GrowthExpense)^(MAX(0,119-GrowthStartMonth)/12)</f>
        <v/>
      </c>
      <c r="DS8" s="53">
        <f>(1+GrowthExpense)^(MAX(0,120-GrowthStartMonth)/12)</f>
        <v/>
      </c>
      <c r="DT8" s="53">
        <f>(1+GrowthExpense)^(MAX(0,121-GrowthStartMonth)/12)</f>
        <v/>
      </c>
      <c r="DU8" s="53">
        <f>(1+GrowthExpense)^(MAX(0,122-GrowthStartMonth)/12)</f>
        <v/>
      </c>
      <c r="DV8" s="53">
        <f>(1+GrowthExpense)^(MAX(0,123-GrowthStartMonth)/12)</f>
        <v/>
      </c>
      <c r="DW8" s="53">
        <f>(1+GrowthExpense)^(MAX(0,124-GrowthStartMonth)/12)</f>
        <v/>
      </c>
      <c r="DX8" s="53">
        <f>(1+GrowthExpense)^(MAX(0,125-GrowthStartMonth)/12)</f>
        <v/>
      </c>
      <c r="DY8" s="53">
        <f>(1+GrowthExpense)^(MAX(0,126-GrowthStartMonth)/12)</f>
        <v/>
      </c>
      <c r="DZ8" s="53">
        <f>(1+GrowthExpense)^(MAX(0,127-GrowthStartMonth)/12)</f>
        <v/>
      </c>
      <c r="EA8" s="53">
        <f>(1+GrowthExpense)^(MAX(0,128-GrowthStartMonth)/12)</f>
        <v/>
      </c>
      <c r="EB8" s="53">
        <f>(1+GrowthExpense)^(MAX(0,129-GrowthStartMonth)/12)</f>
        <v/>
      </c>
      <c r="EC8" s="53">
        <f>(1+GrowthExpense)^(MAX(0,130-GrowthStartMonth)/12)</f>
        <v/>
      </c>
      <c r="ED8" s="53">
        <f>(1+GrowthExpense)^(MAX(0,131-GrowthStartMonth)/12)</f>
        <v/>
      </c>
      <c r="EE8" s="53">
        <f>(1+GrowthExpense)^(MAX(0,132-GrowthStartMonth)/12)</f>
        <v/>
      </c>
      <c r="EF8" s="53">
        <f>(1+GrowthExpense)^(MAX(0,133-GrowthStartMonth)/12)</f>
        <v/>
      </c>
      <c r="EG8" s="53">
        <f>(1+GrowthExpense)^(MAX(0,134-GrowthStartMonth)/12)</f>
        <v/>
      </c>
      <c r="EH8" s="53">
        <f>(1+GrowthExpense)^(MAX(0,135-GrowthStartMonth)/12)</f>
        <v/>
      </c>
      <c r="EI8" s="53">
        <f>(1+GrowthExpense)^(MAX(0,136-GrowthStartMonth)/12)</f>
        <v/>
      </c>
      <c r="EJ8" s="53">
        <f>(1+GrowthExpense)^(MAX(0,137-GrowthStartMonth)/12)</f>
        <v/>
      </c>
      <c r="EK8" s="53">
        <f>(1+GrowthExpense)^(MAX(0,138-GrowthStartMonth)/12)</f>
        <v/>
      </c>
      <c r="EL8" s="53">
        <f>(1+GrowthExpense)^(MAX(0,139-GrowthStartMonth)/12)</f>
        <v/>
      </c>
      <c r="EM8" s="53">
        <f>(1+GrowthExpense)^(MAX(0,140-GrowthStartMonth)/12)</f>
        <v/>
      </c>
      <c r="EN8" s="53">
        <f>(1+GrowthExpense)^(MAX(0,141-GrowthStartMonth)/12)</f>
        <v/>
      </c>
      <c r="EO8" s="53">
        <f>(1+GrowthExpense)^(MAX(0,142-GrowthStartMonth)/12)</f>
        <v/>
      </c>
      <c r="EP8" s="53">
        <f>(1+GrowthExpense)^(MAX(0,143-GrowthStartMonth)/12)</f>
        <v/>
      </c>
      <c r="EQ8" s="53">
        <f>(1+GrowthExpense)^(MAX(0,144-GrowthStartMonth)/12)</f>
        <v/>
      </c>
      <c r="ER8" s="53">
        <f>(1+GrowthExpense)^(MAX(0,145-GrowthStartMonth)/12)</f>
        <v/>
      </c>
      <c r="ES8" s="53">
        <f>(1+GrowthExpense)^(MAX(0,146-GrowthStartMonth)/12)</f>
        <v/>
      </c>
      <c r="ET8" s="53">
        <f>(1+GrowthExpense)^(MAX(0,147-GrowthStartMonth)/12)</f>
        <v/>
      </c>
      <c r="EU8" s="53">
        <f>(1+GrowthExpense)^(MAX(0,148-GrowthStartMonth)/12)</f>
        <v/>
      </c>
      <c r="EV8" s="53">
        <f>(1+GrowthExpense)^(MAX(0,149-GrowthStartMonth)/12)</f>
        <v/>
      </c>
      <c r="EW8" s="53">
        <f>(1+GrowthExpense)^(MAX(0,150-GrowthStartMonth)/12)</f>
        <v/>
      </c>
      <c r="EX8" s="53">
        <f>(1+GrowthExpense)^(MAX(0,151-GrowthStartMonth)/12)</f>
        <v/>
      </c>
      <c r="EY8" s="53">
        <f>(1+GrowthExpense)^(MAX(0,152-GrowthStartMonth)/12)</f>
        <v/>
      </c>
      <c r="EZ8" s="53">
        <f>(1+GrowthExpense)^(MAX(0,153-GrowthStartMonth)/12)</f>
        <v/>
      </c>
      <c r="FA8" s="53">
        <f>(1+GrowthExpense)^(MAX(0,154-GrowthStartMonth)/12)</f>
        <v/>
      </c>
      <c r="FB8" s="53">
        <f>(1+GrowthExpense)^(MAX(0,155-GrowthStartMonth)/12)</f>
        <v/>
      </c>
      <c r="FC8" s="53">
        <f>(1+GrowthExpense)^(MAX(0,156-GrowthStartMonth)/12)</f>
        <v/>
      </c>
      <c r="FD8" s="53">
        <f>(1+GrowthExpense)^(MAX(0,157-GrowthStartMonth)/12)</f>
        <v/>
      </c>
      <c r="FE8" s="53">
        <f>(1+GrowthExpense)^(MAX(0,158-GrowthStartMonth)/12)</f>
        <v/>
      </c>
      <c r="FF8" s="53">
        <f>(1+GrowthExpense)^(MAX(0,159-GrowthStartMonth)/12)</f>
        <v/>
      </c>
      <c r="FG8" s="53">
        <f>(1+GrowthExpense)^(MAX(0,160-GrowthStartMonth)/12)</f>
        <v/>
      </c>
      <c r="FH8" s="53">
        <f>(1+GrowthExpense)^(MAX(0,161-GrowthStartMonth)/12)</f>
        <v/>
      </c>
      <c r="FI8" s="53">
        <f>(1+GrowthExpense)^(MAX(0,162-GrowthStartMonth)/12)</f>
        <v/>
      </c>
      <c r="FJ8" s="53">
        <f>(1+GrowthExpense)^(MAX(0,163-GrowthStartMonth)/12)</f>
        <v/>
      </c>
      <c r="FK8" s="53">
        <f>(1+GrowthExpense)^(MAX(0,164-GrowthStartMonth)/12)</f>
        <v/>
      </c>
      <c r="FL8" s="53">
        <f>(1+GrowthExpense)^(MAX(0,165-GrowthStartMonth)/12)</f>
        <v/>
      </c>
      <c r="FM8" s="53">
        <f>(1+GrowthExpense)^(MAX(0,166-GrowthStartMonth)/12)</f>
        <v/>
      </c>
      <c r="FN8" s="53">
        <f>(1+GrowthExpense)^(MAX(0,167-GrowthStartMonth)/12)</f>
        <v/>
      </c>
      <c r="FO8" s="53">
        <f>(1+GrowthExpense)^(MAX(0,168-GrowthStartMonth)/12)</f>
        <v/>
      </c>
      <c r="FP8" s="53">
        <f>(1+GrowthExpense)^(MAX(0,169-GrowthStartMonth)/12)</f>
        <v/>
      </c>
      <c r="FQ8" s="53">
        <f>(1+GrowthExpense)^(MAX(0,170-GrowthStartMonth)/12)</f>
        <v/>
      </c>
      <c r="FR8" s="53">
        <f>(1+GrowthExpense)^(MAX(0,171-GrowthStartMonth)/12)</f>
        <v/>
      </c>
      <c r="FS8" s="53">
        <f>(1+GrowthExpense)^(MAX(0,172-GrowthStartMonth)/12)</f>
        <v/>
      </c>
      <c r="FT8" s="53">
        <f>(1+GrowthExpense)^(MAX(0,173-GrowthStartMonth)/12)</f>
        <v/>
      </c>
      <c r="FU8" s="53">
        <f>(1+GrowthExpense)^(MAX(0,174-GrowthStartMonth)/12)</f>
        <v/>
      </c>
      <c r="FV8" s="53">
        <f>(1+GrowthExpense)^(MAX(0,175-GrowthStartMonth)/12)</f>
        <v/>
      </c>
      <c r="FW8" s="53">
        <f>(1+GrowthExpense)^(MAX(0,176-GrowthStartMonth)/12)</f>
        <v/>
      </c>
      <c r="FX8" s="53">
        <f>(1+GrowthExpense)^(MAX(0,177-GrowthStartMonth)/12)</f>
        <v/>
      </c>
      <c r="FY8" s="53">
        <f>(1+GrowthExpense)^(MAX(0,178-GrowthStartMonth)/12)</f>
        <v/>
      </c>
      <c r="FZ8" s="53">
        <f>(1+GrowthExpense)^(MAX(0,179-GrowthStartMonth)/12)</f>
        <v/>
      </c>
      <c r="GA8" s="53">
        <f>(1+GrowthExpense)^(MAX(0,180-GrowthStartMonth)/12)</f>
        <v/>
      </c>
      <c r="GB8" s="53">
        <f>(1+GrowthExpense)^(MAX(0,181-GrowthStartMonth)/12)</f>
        <v/>
      </c>
      <c r="GC8" s="53">
        <f>(1+GrowthExpense)^(MAX(0,182-GrowthStartMonth)/12)</f>
        <v/>
      </c>
      <c r="GD8" s="53">
        <f>(1+GrowthExpense)^(MAX(0,183-GrowthStartMonth)/12)</f>
        <v/>
      </c>
      <c r="GE8" s="53">
        <f>(1+GrowthExpense)^(MAX(0,184-GrowthStartMonth)/12)</f>
        <v/>
      </c>
      <c r="GF8" s="53">
        <f>(1+GrowthExpense)^(MAX(0,185-GrowthStartMonth)/12)</f>
        <v/>
      </c>
      <c r="GG8" s="53">
        <f>(1+GrowthExpense)^(MAX(0,186-GrowthStartMonth)/12)</f>
        <v/>
      </c>
      <c r="GH8" s="53">
        <f>(1+GrowthExpense)^(MAX(0,187-GrowthStartMonth)/12)</f>
        <v/>
      </c>
      <c r="GI8" s="53">
        <f>(1+GrowthExpense)^(MAX(0,188-GrowthStartMonth)/12)</f>
        <v/>
      </c>
      <c r="GJ8" s="53">
        <f>(1+GrowthExpense)^(MAX(0,189-GrowthStartMonth)/12)</f>
        <v/>
      </c>
      <c r="GK8" s="53">
        <f>(1+GrowthExpense)^(MAX(0,190-GrowthStartMonth)/12)</f>
        <v/>
      </c>
      <c r="GL8" s="53">
        <f>(1+GrowthExpense)^(MAX(0,191-GrowthStartMonth)/12)</f>
        <v/>
      </c>
      <c r="GM8" s="53">
        <f>(1+GrowthExpense)^(MAX(0,192-GrowthStartMonth)/12)</f>
        <v/>
      </c>
      <c r="GN8" s="53">
        <f>(1+GrowthExpense)^(MAX(0,193-GrowthStartMonth)/12)</f>
        <v/>
      </c>
      <c r="GO8" s="53">
        <f>(1+GrowthExpense)^(MAX(0,194-GrowthStartMonth)/12)</f>
        <v/>
      </c>
      <c r="GP8" s="53">
        <f>(1+GrowthExpense)^(MAX(0,195-GrowthStartMonth)/12)</f>
        <v/>
      </c>
      <c r="GQ8" s="53">
        <f>(1+GrowthExpense)^(MAX(0,196-GrowthStartMonth)/12)</f>
        <v/>
      </c>
      <c r="GR8" s="53">
        <f>(1+GrowthExpense)^(MAX(0,197-GrowthStartMonth)/12)</f>
        <v/>
      </c>
      <c r="GS8" s="53">
        <f>(1+GrowthExpense)^(MAX(0,198-GrowthStartMonth)/12)</f>
        <v/>
      </c>
      <c r="GT8" s="53">
        <f>(1+GrowthExpense)^(MAX(0,199-GrowthStartMonth)/12)</f>
        <v/>
      </c>
      <c r="GU8" s="53">
        <f>(1+GrowthExpense)^(MAX(0,200-GrowthStartMonth)/12)</f>
        <v/>
      </c>
      <c r="GV8" s="53">
        <f>(1+GrowthExpense)^(MAX(0,201-GrowthStartMonth)/12)</f>
        <v/>
      </c>
      <c r="GW8" s="53">
        <f>(1+GrowthExpense)^(MAX(0,202-GrowthStartMonth)/12)</f>
        <v/>
      </c>
      <c r="GX8" s="53">
        <f>(1+GrowthExpense)^(MAX(0,203-GrowthStartMonth)/12)</f>
        <v/>
      </c>
      <c r="GY8" s="53">
        <f>(1+GrowthExpense)^(MAX(0,204-GrowthStartMonth)/12)</f>
        <v/>
      </c>
      <c r="GZ8" s="53">
        <f>(1+GrowthExpense)^(MAX(0,205-GrowthStartMonth)/12)</f>
        <v/>
      </c>
      <c r="HA8" s="53">
        <f>(1+GrowthExpense)^(MAX(0,206-GrowthStartMonth)/12)</f>
        <v/>
      </c>
      <c r="HB8" s="53">
        <f>(1+GrowthExpense)^(MAX(0,207-GrowthStartMonth)/12)</f>
        <v/>
      </c>
      <c r="HC8" s="53">
        <f>(1+GrowthExpense)^(MAX(0,208-GrowthStartMonth)/12)</f>
        <v/>
      </c>
      <c r="HD8" s="53">
        <f>(1+GrowthExpense)^(MAX(0,209-GrowthStartMonth)/12)</f>
        <v/>
      </c>
      <c r="HE8" s="53">
        <f>(1+GrowthExpense)^(MAX(0,210-GrowthStartMonth)/12)</f>
        <v/>
      </c>
      <c r="HF8" s="53">
        <f>(1+GrowthExpense)^(MAX(0,211-GrowthStartMonth)/12)</f>
        <v/>
      </c>
      <c r="HG8" s="53">
        <f>(1+GrowthExpense)^(MAX(0,212-GrowthStartMonth)/12)</f>
        <v/>
      </c>
      <c r="HH8" s="53">
        <f>(1+GrowthExpense)^(MAX(0,213-GrowthStartMonth)/12)</f>
        <v/>
      </c>
      <c r="HI8" s="53">
        <f>(1+GrowthExpense)^(MAX(0,214-GrowthStartMonth)/12)</f>
        <v/>
      </c>
      <c r="HJ8" s="53">
        <f>(1+GrowthExpense)^(MAX(0,215-GrowthStartMonth)/12)</f>
        <v/>
      </c>
      <c r="HK8" s="53">
        <f>(1+GrowthExpense)^(MAX(0,216-GrowthStartMonth)/12)</f>
        <v/>
      </c>
      <c r="HL8" s="53">
        <f>(1+GrowthExpense)^(MAX(0,217-GrowthStartMonth)/12)</f>
        <v/>
      </c>
      <c r="HM8" s="53">
        <f>(1+GrowthExpense)^(MAX(0,218-GrowthStartMonth)/12)</f>
        <v/>
      </c>
      <c r="HN8" s="53">
        <f>(1+GrowthExpense)^(MAX(0,219-GrowthStartMonth)/12)</f>
        <v/>
      </c>
      <c r="HO8" s="53">
        <f>(1+GrowthExpense)^(MAX(0,220-GrowthStartMonth)/12)</f>
        <v/>
      </c>
      <c r="HP8" s="53">
        <f>(1+GrowthExpense)^(MAX(0,221-GrowthStartMonth)/12)</f>
        <v/>
      </c>
      <c r="HQ8" s="53">
        <f>(1+GrowthExpense)^(MAX(0,222-GrowthStartMonth)/12)</f>
        <v/>
      </c>
      <c r="HR8" s="53">
        <f>(1+GrowthExpense)^(MAX(0,223-GrowthStartMonth)/12)</f>
        <v/>
      </c>
      <c r="HS8" s="53">
        <f>(1+GrowthExpense)^(MAX(0,224-GrowthStartMonth)/12)</f>
        <v/>
      </c>
      <c r="HT8" s="53">
        <f>(1+GrowthExpense)^(MAX(0,225-GrowthStartMonth)/12)</f>
        <v/>
      </c>
      <c r="HU8" s="53">
        <f>(1+GrowthExpense)^(MAX(0,226-GrowthStartMonth)/12)</f>
        <v/>
      </c>
      <c r="HV8" s="53">
        <f>(1+GrowthExpense)^(MAX(0,227-GrowthStartMonth)/12)</f>
        <v/>
      </c>
      <c r="HW8" s="53">
        <f>(1+GrowthExpense)^(MAX(0,228-GrowthStartMonth)/12)</f>
        <v/>
      </c>
      <c r="HX8" s="53">
        <f>(1+GrowthExpense)^(MAX(0,229-GrowthStartMonth)/12)</f>
        <v/>
      </c>
      <c r="HY8" s="53">
        <f>(1+GrowthExpense)^(MAX(0,230-GrowthStartMonth)/12)</f>
        <v/>
      </c>
      <c r="HZ8" s="53">
        <f>(1+GrowthExpense)^(MAX(0,231-GrowthStartMonth)/12)</f>
        <v/>
      </c>
      <c r="IA8" s="53">
        <f>(1+GrowthExpense)^(MAX(0,232-GrowthStartMonth)/12)</f>
        <v/>
      </c>
      <c r="IB8" s="53">
        <f>(1+GrowthExpense)^(MAX(0,233-GrowthStartMonth)/12)</f>
        <v/>
      </c>
      <c r="IC8" s="53">
        <f>(1+GrowthExpense)^(MAX(0,234-GrowthStartMonth)/12)</f>
        <v/>
      </c>
      <c r="ID8" s="53">
        <f>(1+GrowthExpense)^(MAX(0,235-GrowthStartMonth)/12)</f>
        <v/>
      </c>
      <c r="IE8" s="53">
        <f>(1+GrowthExpense)^(MAX(0,236-GrowthStartMonth)/12)</f>
        <v/>
      </c>
      <c r="IF8" s="53">
        <f>(1+GrowthExpense)^(MAX(0,237-GrowthStartMonth)/12)</f>
        <v/>
      </c>
      <c r="IG8" s="53">
        <f>(1+GrowthExpense)^(MAX(0,238-GrowthStartMonth)/12)</f>
        <v/>
      </c>
      <c r="IH8" s="53">
        <f>(1+GrowthExpense)^(MAX(0,239-GrowthStartMonth)/12)</f>
        <v/>
      </c>
      <c r="II8" s="53">
        <f>(1+GrowthExpense)^(MAX(0,240-GrowthStartMonth)/12)</f>
        <v/>
      </c>
      <c r="IJ8" s="53">
        <f>(1+GrowthExpense)^(MAX(0,241-GrowthStartMonth)/12)</f>
        <v/>
      </c>
      <c r="IK8" s="53">
        <f>(1+GrowthExpense)^(MAX(0,242-GrowthStartMonth)/12)</f>
        <v/>
      </c>
      <c r="IL8" s="53">
        <f>(1+GrowthExpense)^(MAX(0,243-GrowthStartMonth)/12)</f>
        <v/>
      </c>
      <c r="IM8" s="53">
        <f>(1+GrowthExpense)^(MAX(0,244-GrowthStartMonth)/12)</f>
        <v/>
      </c>
      <c r="IN8" s="53">
        <f>(1+GrowthExpense)^(MAX(0,245-GrowthStartMonth)/12)</f>
        <v/>
      </c>
      <c r="IO8" s="53">
        <f>(1+GrowthExpense)^(MAX(0,246-GrowthStartMonth)/12)</f>
        <v/>
      </c>
      <c r="IP8" s="53">
        <f>(1+GrowthExpense)^(MAX(0,247-GrowthStartMonth)/12)</f>
        <v/>
      </c>
      <c r="IQ8" s="53">
        <f>(1+GrowthExpense)^(MAX(0,248-GrowthStartMonth)/12)</f>
        <v/>
      </c>
      <c r="IR8" s="53">
        <f>(1+GrowthExpense)^(MAX(0,249-GrowthStartMonth)/12)</f>
        <v/>
      </c>
      <c r="IS8" s="53">
        <f>(1+GrowthExpense)^(MAX(0,250-GrowthStartMonth)/12)</f>
        <v/>
      </c>
      <c r="IT8" s="53">
        <f>(1+GrowthExpense)^(MAX(0,251-GrowthStartMonth)/12)</f>
        <v/>
      </c>
      <c r="IU8" s="53">
        <f>(1+GrowthExpense)^(MAX(0,252-GrowthStartMonth)/12)</f>
        <v/>
      </c>
      <c r="IV8" s="53">
        <f>(1+GrowthExpense)^(MAX(0,253-GrowthStartMonth)/12)</f>
        <v/>
      </c>
      <c r="IW8" s="53">
        <f>(1+GrowthExpense)^(MAX(0,254-GrowthStartMonth)/12)</f>
        <v/>
      </c>
      <c r="IX8" s="53">
        <f>(1+GrowthExpense)^(MAX(0,255-GrowthStartMonth)/12)</f>
        <v/>
      </c>
      <c r="IY8" s="53">
        <f>(1+GrowthExpense)^(MAX(0,256-GrowthStartMonth)/12)</f>
        <v/>
      </c>
      <c r="IZ8" s="53">
        <f>(1+GrowthExpense)^(MAX(0,257-GrowthStartMonth)/12)</f>
        <v/>
      </c>
      <c r="JA8" s="53">
        <f>(1+GrowthExpense)^(MAX(0,258-GrowthStartMonth)/12)</f>
        <v/>
      </c>
      <c r="JB8" s="53">
        <f>(1+GrowthExpense)^(MAX(0,259-GrowthStartMonth)/12)</f>
        <v/>
      </c>
      <c r="JC8" s="53">
        <f>(1+GrowthExpense)^(MAX(0,260-GrowthStartMonth)/12)</f>
        <v/>
      </c>
      <c r="JD8" s="53">
        <f>(1+GrowthExpense)^(MAX(0,261-GrowthStartMonth)/12)</f>
        <v/>
      </c>
      <c r="JE8" s="53">
        <f>(1+GrowthExpense)^(MAX(0,262-GrowthStartMonth)/12)</f>
        <v/>
      </c>
      <c r="JF8" s="53">
        <f>(1+GrowthExpense)^(MAX(0,263-GrowthStartMonth)/12)</f>
        <v/>
      </c>
      <c r="JG8" s="53">
        <f>(1+GrowthExpense)^(MAX(0,264-GrowthStartMonth)/12)</f>
        <v/>
      </c>
      <c r="JH8" s="53">
        <f>(1+GrowthExpense)^(MAX(0,265-GrowthStartMonth)/12)</f>
        <v/>
      </c>
      <c r="JI8" s="53">
        <f>(1+GrowthExpense)^(MAX(0,266-GrowthStartMonth)/12)</f>
        <v/>
      </c>
      <c r="JJ8" s="53">
        <f>(1+GrowthExpense)^(MAX(0,267-GrowthStartMonth)/12)</f>
        <v/>
      </c>
      <c r="JK8" s="53">
        <f>(1+GrowthExpense)^(MAX(0,268-GrowthStartMonth)/12)</f>
        <v/>
      </c>
      <c r="JL8" s="53">
        <f>(1+GrowthExpense)^(MAX(0,269-GrowthStartMonth)/12)</f>
        <v/>
      </c>
      <c r="JM8" s="53">
        <f>(1+GrowthExpense)^(MAX(0,270-GrowthStartMonth)/12)</f>
        <v/>
      </c>
      <c r="JN8" s="53">
        <f>(1+GrowthExpense)^(MAX(0,271-GrowthStartMonth)/12)</f>
        <v/>
      </c>
      <c r="JO8" s="53">
        <f>(1+GrowthExpense)^(MAX(0,272-GrowthStartMonth)/12)</f>
        <v/>
      </c>
      <c r="JP8" s="53">
        <f>(1+GrowthExpense)^(MAX(0,273-GrowthStartMonth)/12)</f>
        <v/>
      </c>
      <c r="JQ8" s="53">
        <f>(1+GrowthExpense)^(MAX(0,274-GrowthStartMonth)/12)</f>
        <v/>
      </c>
      <c r="JR8" s="53">
        <f>(1+GrowthExpense)^(MAX(0,275-GrowthStartMonth)/12)</f>
        <v/>
      </c>
      <c r="JS8" s="53">
        <f>(1+GrowthExpense)^(MAX(0,276-GrowthStartMonth)/12)</f>
        <v/>
      </c>
      <c r="JT8" s="53">
        <f>(1+GrowthExpense)^(MAX(0,277-GrowthStartMonth)/12)</f>
        <v/>
      </c>
      <c r="JU8" s="53">
        <f>(1+GrowthExpense)^(MAX(0,278-GrowthStartMonth)/12)</f>
        <v/>
      </c>
      <c r="JV8" s="53">
        <f>(1+GrowthExpense)^(MAX(0,279-GrowthStartMonth)/12)</f>
        <v/>
      </c>
      <c r="JW8" s="53">
        <f>(1+GrowthExpense)^(MAX(0,280-GrowthStartMonth)/12)</f>
        <v/>
      </c>
      <c r="JX8" s="53">
        <f>(1+GrowthExpense)^(MAX(0,281-GrowthStartMonth)/12)</f>
        <v/>
      </c>
      <c r="JY8" s="53">
        <f>(1+GrowthExpense)^(MAX(0,282-GrowthStartMonth)/12)</f>
        <v/>
      </c>
      <c r="JZ8" s="53">
        <f>(1+GrowthExpense)^(MAX(0,283-GrowthStartMonth)/12)</f>
        <v/>
      </c>
      <c r="KA8" s="53">
        <f>(1+GrowthExpense)^(MAX(0,284-GrowthStartMonth)/12)</f>
        <v/>
      </c>
      <c r="KB8" s="53">
        <f>(1+GrowthExpense)^(MAX(0,285-GrowthStartMonth)/12)</f>
        <v/>
      </c>
      <c r="KC8" s="53">
        <f>(1+GrowthExpense)^(MAX(0,286-GrowthStartMonth)/12)</f>
        <v/>
      </c>
      <c r="KD8" s="53">
        <f>(1+GrowthExpense)^(MAX(0,287-GrowthStartMonth)/12)</f>
        <v/>
      </c>
      <c r="KE8" s="53">
        <f>(1+GrowthExpense)^(MAX(0,288-GrowthStartMonth)/12)</f>
        <v/>
      </c>
      <c r="KF8" s="53">
        <f>(1+GrowthExpense)^(MAX(0,289-GrowthStartMonth)/12)</f>
        <v/>
      </c>
      <c r="KG8" s="53">
        <f>(1+GrowthExpense)^(MAX(0,290-GrowthStartMonth)/12)</f>
        <v/>
      </c>
      <c r="KH8" s="53">
        <f>(1+GrowthExpense)^(MAX(0,291-GrowthStartMonth)/12)</f>
        <v/>
      </c>
      <c r="KI8" s="53">
        <f>(1+GrowthExpense)^(MAX(0,292-GrowthStartMonth)/12)</f>
        <v/>
      </c>
      <c r="KJ8" s="53">
        <f>(1+GrowthExpense)^(MAX(0,293-GrowthStartMonth)/12)</f>
        <v/>
      </c>
      <c r="KK8" s="53">
        <f>(1+GrowthExpense)^(MAX(0,294-GrowthStartMonth)/12)</f>
        <v/>
      </c>
      <c r="KL8" s="53">
        <f>(1+GrowthExpense)^(MAX(0,295-GrowthStartMonth)/12)</f>
        <v/>
      </c>
      <c r="KM8" s="53">
        <f>(1+GrowthExpense)^(MAX(0,296-GrowthStartMonth)/12)</f>
        <v/>
      </c>
      <c r="KN8" s="53">
        <f>(1+GrowthExpense)^(MAX(0,297-GrowthStartMonth)/12)</f>
        <v/>
      </c>
      <c r="KO8" s="53">
        <f>(1+GrowthExpense)^(MAX(0,298-GrowthStartMonth)/12)</f>
        <v/>
      </c>
      <c r="KP8" s="53">
        <f>(1+GrowthExpense)^(MAX(0,299-GrowthStartMonth)/12)</f>
        <v/>
      </c>
      <c r="KQ8" s="53">
        <f>(1+GrowthExpense)^(MAX(0,300-GrowthStartMonth)/12)</f>
        <v/>
      </c>
      <c r="KR8" s="53">
        <f>(1+GrowthExpense)^(MAX(0,301-GrowthStartMonth)/12)</f>
        <v/>
      </c>
      <c r="KS8" s="53">
        <f>(1+GrowthExpense)^(MAX(0,302-GrowthStartMonth)/12)</f>
        <v/>
      </c>
      <c r="KT8" s="53">
        <f>(1+GrowthExpense)^(MAX(0,303-GrowthStartMonth)/12)</f>
        <v/>
      </c>
      <c r="KU8" s="53">
        <f>(1+GrowthExpense)^(MAX(0,304-GrowthStartMonth)/12)</f>
        <v/>
      </c>
      <c r="KV8" s="53">
        <f>(1+GrowthExpense)^(MAX(0,305-GrowthStartMonth)/12)</f>
        <v/>
      </c>
      <c r="KW8" s="53">
        <f>(1+GrowthExpense)^(MAX(0,306-GrowthStartMonth)/12)</f>
        <v/>
      </c>
      <c r="KX8" s="53">
        <f>(1+GrowthExpense)^(MAX(0,307-GrowthStartMonth)/12)</f>
        <v/>
      </c>
      <c r="KY8" s="53">
        <f>(1+GrowthExpense)^(MAX(0,308-GrowthStartMonth)/12)</f>
        <v/>
      </c>
      <c r="KZ8" s="53">
        <f>(1+GrowthExpense)^(MAX(0,309-GrowthStartMonth)/12)</f>
        <v/>
      </c>
      <c r="LA8" s="53">
        <f>(1+GrowthExpense)^(MAX(0,310-GrowthStartMonth)/12)</f>
        <v/>
      </c>
      <c r="LB8" s="53">
        <f>(1+GrowthExpense)^(MAX(0,311-GrowthStartMonth)/12)</f>
        <v/>
      </c>
      <c r="LC8" s="53">
        <f>(1+GrowthExpense)^(MAX(0,312-GrowthStartMonth)/12)</f>
        <v/>
      </c>
      <c r="LD8" s="53">
        <f>(1+GrowthExpense)^(MAX(0,313-GrowthStartMonth)/12)</f>
        <v/>
      </c>
      <c r="LE8" s="53">
        <f>(1+GrowthExpense)^(MAX(0,314-GrowthStartMonth)/12)</f>
        <v/>
      </c>
      <c r="LF8" s="53">
        <f>(1+GrowthExpense)^(MAX(0,315-GrowthStartMonth)/12)</f>
        <v/>
      </c>
      <c r="LG8" s="53">
        <f>(1+GrowthExpense)^(MAX(0,316-GrowthStartMonth)/12)</f>
        <v/>
      </c>
      <c r="LH8" s="53">
        <f>(1+GrowthExpense)^(MAX(0,317-GrowthStartMonth)/12)</f>
        <v/>
      </c>
      <c r="LI8" s="53">
        <f>(1+GrowthExpense)^(MAX(0,318-GrowthStartMonth)/12)</f>
        <v/>
      </c>
      <c r="LJ8" s="53">
        <f>(1+GrowthExpense)^(MAX(0,319-GrowthStartMonth)/12)</f>
        <v/>
      </c>
      <c r="LK8" s="53">
        <f>(1+GrowthExpense)^(MAX(0,320-GrowthStartMonth)/12)</f>
        <v/>
      </c>
      <c r="LL8" s="53">
        <f>(1+GrowthExpense)^(MAX(0,321-GrowthStartMonth)/12)</f>
        <v/>
      </c>
      <c r="LM8" s="53">
        <f>(1+GrowthExpense)^(MAX(0,322-GrowthStartMonth)/12)</f>
        <v/>
      </c>
      <c r="LN8" s="53">
        <f>(1+GrowthExpense)^(MAX(0,323-GrowthStartMonth)/12)</f>
        <v/>
      </c>
      <c r="LO8" s="53">
        <f>(1+GrowthExpense)^(MAX(0,324-GrowthStartMonth)/12)</f>
        <v/>
      </c>
      <c r="LP8" s="53">
        <f>(1+GrowthExpense)^(MAX(0,325-GrowthStartMonth)/12)</f>
        <v/>
      </c>
      <c r="LQ8" s="53">
        <f>(1+GrowthExpense)^(MAX(0,326-GrowthStartMonth)/12)</f>
        <v/>
      </c>
      <c r="LR8" s="53">
        <f>(1+GrowthExpense)^(MAX(0,327-GrowthStartMonth)/12)</f>
        <v/>
      </c>
      <c r="LS8" s="53">
        <f>(1+GrowthExpense)^(MAX(0,328-GrowthStartMonth)/12)</f>
        <v/>
      </c>
      <c r="LT8" s="53">
        <f>(1+GrowthExpense)^(MAX(0,329-GrowthStartMonth)/12)</f>
        <v/>
      </c>
      <c r="LU8" s="53">
        <f>(1+GrowthExpense)^(MAX(0,330-GrowthStartMonth)/12)</f>
        <v/>
      </c>
      <c r="LV8" s="53">
        <f>(1+GrowthExpense)^(MAX(0,331-GrowthStartMonth)/12)</f>
        <v/>
      </c>
      <c r="LW8" s="53">
        <f>(1+GrowthExpense)^(MAX(0,332-GrowthStartMonth)/12)</f>
        <v/>
      </c>
      <c r="LX8" s="53">
        <f>(1+GrowthExpense)^(MAX(0,333-GrowthStartMonth)/12)</f>
        <v/>
      </c>
      <c r="LY8" s="53">
        <f>(1+GrowthExpense)^(MAX(0,334-GrowthStartMonth)/12)</f>
        <v/>
      </c>
      <c r="LZ8" s="53">
        <f>(1+GrowthExpense)^(MAX(0,335-GrowthStartMonth)/12)</f>
        <v/>
      </c>
      <c r="MA8" s="53">
        <f>(1+GrowthExpense)^(MAX(0,336-GrowthStartMonth)/12)</f>
        <v/>
      </c>
      <c r="MB8" s="53">
        <f>(1+GrowthExpense)^(MAX(0,337-GrowthStartMonth)/12)</f>
        <v/>
      </c>
      <c r="MC8" s="53">
        <f>(1+GrowthExpense)^(MAX(0,338-GrowthStartMonth)/12)</f>
        <v/>
      </c>
      <c r="MD8" s="53">
        <f>(1+GrowthExpense)^(MAX(0,339-GrowthStartMonth)/12)</f>
        <v/>
      </c>
      <c r="ME8" s="53">
        <f>(1+GrowthExpense)^(MAX(0,340-GrowthStartMonth)/12)</f>
        <v/>
      </c>
      <c r="MF8" s="53">
        <f>(1+GrowthExpense)^(MAX(0,341-GrowthStartMonth)/12)</f>
        <v/>
      </c>
      <c r="MG8" s="53">
        <f>(1+GrowthExpense)^(MAX(0,342-GrowthStartMonth)/12)</f>
        <v/>
      </c>
      <c r="MH8" s="53">
        <f>(1+GrowthExpense)^(MAX(0,343-GrowthStartMonth)/12)</f>
        <v/>
      </c>
      <c r="MI8" s="53">
        <f>(1+GrowthExpense)^(MAX(0,344-GrowthStartMonth)/12)</f>
        <v/>
      </c>
      <c r="MJ8" s="53">
        <f>(1+GrowthExpense)^(MAX(0,345-GrowthStartMonth)/12)</f>
        <v/>
      </c>
      <c r="MK8" s="53">
        <f>(1+GrowthExpense)^(MAX(0,346-GrowthStartMonth)/12)</f>
        <v/>
      </c>
      <c r="ML8" s="53">
        <f>(1+GrowthExpense)^(MAX(0,347-GrowthStartMonth)/12)</f>
        <v/>
      </c>
      <c r="MM8" s="53">
        <f>(1+GrowthExpense)^(MAX(0,348-GrowthStartMonth)/12)</f>
        <v/>
      </c>
      <c r="MN8" s="53">
        <f>(1+GrowthExpense)^(MAX(0,349-GrowthStartMonth)/12)</f>
        <v/>
      </c>
      <c r="MO8" s="53">
        <f>(1+GrowthExpense)^(MAX(0,350-GrowthStartMonth)/12)</f>
        <v/>
      </c>
      <c r="MP8" s="53">
        <f>(1+GrowthExpense)^(MAX(0,351-GrowthStartMonth)/12)</f>
        <v/>
      </c>
      <c r="MQ8" s="53">
        <f>(1+GrowthExpense)^(MAX(0,352-GrowthStartMonth)/12)</f>
        <v/>
      </c>
      <c r="MR8" s="53">
        <f>(1+GrowthExpense)^(MAX(0,353-GrowthStartMonth)/12)</f>
        <v/>
      </c>
      <c r="MS8" s="53">
        <f>(1+GrowthExpense)^(MAX(0,354-GrowthStartMonth)/12)</f>
        <v/>
      </c>
      <c r="MT8" s="53">
        <f>(1+GrowthExpense)^(MAX(0,355-GrowthStartMonth)/12)</f>
        <v/>
      </c>
      <c r="MU8" s="53">
        <f>(1+GrowthExpense)^(MAX(0,356-GrowthStartMonth)/12)</f>
        <v/>
      </c>
      <c r="MV8" s="53">
        <f>(1+GrowthExpense)^(MAX(0,357-GrowthStartMonth)/12)</f>
        <v/>
      </c>
      <c r="MW8" s="53">
        <f>(1+GrowthExpense)^(MAX(0,358-GrowthStartMonth)/12)</f>
        <v/>
      </c>
      <c r="MX8" s="53">
        <f>(1+GrowthExpense)^(MAX(0,359-GrowthStartMonth)/12)</f>
        <v/>
      </c>
      <c r="MY8" s="53">
        <f>(1+GrowthExpense)^(MAX(0,360-GrowthStartMonth)/12)</f>
        <v/>
      </c>
      <c r="MZ8" s="53">
        <f>(1+GrowthExpense)^(MAX(0,361-GrowthStartMonth)/12)</f>
        <v/>
      </c>
      <c r="NA8" s="53">
        <f>(1+GrowthExpense)^(MAX(0,362-GrowthStartMonth)/12)</f>
        <v/>
      </c>
      <c r="NB8" s="53">
        <f>(1+GrowthExpense)^(MAX(0,363-GrowthStartMonth)/12)</f>
        <v/>
      </c>
      <c r="NC8" s="53">
        <f>(1+GrowthExpense)^(MAX(0,364-GrowthStartMonth)/12)</f>
        <v/>
      </c>
      <c r="ND8" s="53">
        <f>(1+GrowthExpense)^(MAX(0,365-GrowthStartMonth)/12)</f>
        <v/>
      </c>
      <c r="NE8" s="53">
        <f>(1+GrowthExpense)^(MAX(0,366-GrowthStartMonth)/12)</f>
        <v/>
      </c>
      <c r="NF8" s="53">
        <f>(1+GrowthExpense)^(MAX(0,367-GrowthStartMonth)/12)</f>
        <v/>
      </c>
      <c r="NG8" s="53">
        <f>(1+GrowthExpense)^(MAX(0,368-GrowthStartMonth)/12)</f>
        <v/>
      </c>
      <c r="NH8" s="53">
        <f>(1+GrowthExpense)^(MAX(0,369-GrowthStartMonth)/12)</f>
        <v/>
      </c>
      <c r="NI8" s="53">
        <f>(1+GrowthExpense)^(MAX(0,370-GrowthStartMonth)/12)</f>
        <v/>
      </c>
      <c r="NJ8" s="53">
        <f>(1+GrowthExpense)^(MAX(0,371-GrowthStartMonth)/12)</f>
        <v/>
      </c>
      <c r="NK8" s="53">
        <f>(1+GrowthExpense)^(MAX(0,372-GrowthStartMonth)/12)</f>
        <v/>
      </c>
    </row>
    <row r="9">
      <c r="A9" s="5" t="inlineStr">
        <is>
          <t>Growth Factor — Utility</t>
        </is>
      </c>
      <c r="C9" s="52" t="n"/>
      <c r="D9" s="53">
        <f>(1+GrowthUtility)^(MAX(0,1-GrowthStartMonth)/12)</f>
        <v/>
      </c>
      <c r="E9" s="53">
        <f>(1+GrowthUtility)^(MAX(0,2-GrowthStartMonth)/12)</f>
        <v/>
      </c>
      <c r="F9" s="53">
        <f>(1+GrowthUtility)^(MAX(0,3-GrowthStartMonth)/12)</f>
        <v/>
      </c>
      <c r="G9" s="53">
        <f>(1+GrowthUtility)^(MAX(0,4-GrowthStartMonth)/12)</f>
        <v/>
      </c>
      <c r="H9" s="53">
        <f>(1+GrowthUtility)^(MAX(0,5-GrowthStartMonth)/12)</f>
        <v/>
      </c>
      <c r="I9" s="53">
        <f>(1+GrowthUtility)^(MAX(0,6-GrowthStartMonth)/12)</f>
        <v/>
      </c>
      <c r="J9" s="53">
        <f>(1+GrowthUtility)^(MAX(0,7-GrowthStartMonth)/12)</f>
        <v/>
      </c>
      <c r="K9" s="53">
        <f>(1+GrowthUtility)^(MAX(0,8-GrowthStartMonth)/12)</f>
        <v/>
      </c>
      <c r="L9" s="53">
        <f>(1+GrowthUtility)^(MAX(0,9-GrowthStartMonth)/12)</f>
        <v/>
      </c>
      <c r="M9" s="53">
        <f>(1+GrowthUtility)^(MAX(0,10-GrowthStartMonth)/12)</f>
        <v/>
      </c>
      <c r="N9" s="53">
        <f>(1+GrowthUtility)^(MAX(0,11-GrowthStartMonth)/12)</f>
        <v/>
      </c>
      <c r="O9" s="53">
        <f>(1+GrowthUtility)^(MAX(0,12-GrowthStartMonth)/12)</f>
        <v/>
      </c>
      <c r="P9" s="53">
        <f>(1+GrowthUtility)^(MAX(0,13-GrowthStartMonth)/12)</f>
        <v/>
      </c>
      <c r="Q9" s="53">
        <f>(1+GrowthUtility)^(MAX(0,14-GrowthStartMonth)/12)</f>
        <v/>
      </c>
      <c r="R9" s="53">
        <f>(1+GrowthUtility)^(MAX(0,15-GrowthStartMonth)/12)</f>
        <v/>
      </c>
      <c r="S9" s="53">
        <f>(1+GrowthUtility)^(MAX(0,16-GrowthStartMonth)/12)</f>
        <v/>
      </c>
      <c r="T9" s="53">
        <f>(1+GrowthUtility)^(MAX(0,17-GrowthStartMonth)/12)</f>
        <v/>
      </c>
      <c r="U9" s="53">
        <f>(1+GrowthUtility)^(MAX(0,18-GrowthStartMonth)/12)</f>
        <v/>
      </c>
      <c r="V9" s="53">
        <f>(1+GrowthUtility)^(MAX(0,19-GrowthStartMonth)/12)</f>
        <v/>
      </c>
      <c r="W9" s="53">
        <f>(1+GrowthUtility)^(MAX(0,20-GrowthStartMonth)/12)</f>
        <v/>
      </c>
      <c r="X9" s="53">
        <f>(1+GrowthUtility)^(MAX(0,21-GrowthStartMonth)/12)</f>
        <v/>
      </c>
      <c r="Y9" s="53">
        <f>(1+GrowthUtility)^(MAX(0,22-GrowthStartMonth)/12)</f>
        <v/>
      </c>
      <c r="Z9" s="53">
        <f>(1+GrowthUtility)^(MAX(0,23-GrowthStartMonth)/12)</f>
        <v/>
      </c>
      <c r="AA9" s="53">
        <f>(1+GrowthUtility)^(MAX(0,24-GrowthStartMonth)/12)</f>
        <v/>
      </c>
      <c r="AB9" s="53">
        <f>(1+GrowthUtility)^(MAX(0,25-GrowthStartMonth)/12)</f>
        <v/>
      </c>
      <c r="AC9" s="53">
        <f>(1+GrowthUtility)^(MAX(0,26-GrowthStartMonth)/12)</f>
        <v/>
      </c>
      <c r="AD9" s="53">
        <f>(1+GrowthUtility)^(MAX(0,27-GrowthStartMonth)/12)</f>
        <v/>
      </c>
      <c r="AE9" s="53">
        <f>(1+GrowthUtility)^(MAX(0,28-GrowthStartMonth)/12)</f>
        <v/>
      </c>
      <c r="AF9" s="53">
        <f>(1+GrowthUtility)^(MAX(0,29-GrowthStartMonth)/12)</f>
        <v/>
      </c>
      <c r="AG9" s="53">
        <f>(1+GrowthUtility)^(MAX(0,30-GrowthStartMonth)/12)</f>
        <v/>
      </c>
      <c r="AH9" s="53">
        <f>(1+GrowthUtility)^(MAX(0,31-GrowthStartMonth)/12)</f>
        <v/>
      </c>
      <c r="AI9" s="53">
        <f>(1+GrowthUtility)^(MAX(0,32-GrowthStartMonth)/12)</f>
        <v/>
      </c>
      <c r="AJ9" s="53">
        <f>(1+GrowthUtility)^(MAX(0,33-GrowthStartMonth)/12)</f>
        <v/>
      </c>
      <c r="AK9" s="53">
        <f>(1+GrowthUtility)^(MAX(0,34-GrowthStartMonth)/12)</f>
        <v/>
      </c>
      <c r="AL9" s="53">
        <f>(1+GrowthUtility)^(MAX(0,35-GrowthStartMonth)/12)</f>
        <v/>
      </c>
      <c r="AM9" s="53">
        <f>(1+GrowthUtility)^(MAX(0,36-GrowthStartMonth)/12)</f>
        <v/>
      </c>
      <c r="AN9" s="53">
        <f>(1+GrowthUtility)^(MAX(0,37-GrowthStartMonth)/12)</f>
        <v/>
      </c>
      <c r="AO9" s="53">
        <f>(1+GrowthUtility)^(MAX(0,38-GrowthStartMonth)/12)</f>
        <v/>
      </c>
      <c r="AP9" s="53">
        <f>(1+GrowthUtility)^(MAX(0,39-GrowthStartMonth)/12)</f>
        <v/>
      </c>
      <c r="AQ9" s="53">
        <f>(1+GrowthUtility)^(MAX(0,40-GrowthStartMonth)/12)</f>
        <v/>
      </c>
      <c r="AR9" s="53">
        <f>(1+GrowthUtility)^(MAX(0,41-GrowthStartMonth)/12)</f>
        <v/>
      </c>
      <c r="AS9" s="53">
        <f>(1+GrowthUtility)^(MAX(0,42-GrowthStartMonth)/12)</f>
        <v/>
      </c>
      <c r="AT9" s="53">
        <f>(1+GrowthUtility)^(MAX(0,43-GrowthStartMonth)/12)</f>
        <v/>
      </c>
      <c r="AU9" s="53">
        <f>(1+GrowthUtility)^(MAX(0,44-GrowthStartMonth)/12)</f>
        <v/>
      </c>
      <c r="AV9" s="53">
        <f>(1+GrowthUtility)^(MAX(0,45-GrowthStartMonth)/12)</f>
        <v/>
      </c>
      <c r="AW9" s="53">
        <f>(1+GrowthUtility)^(MAX(0,46-GrowthStartMonth)/12)</f>
        <v/>
      </c>
      <c r="AX9" s="53">
        <f>(1+GrowthUtility)^(MAX(0,47-GrowthStartMonth)/12)</f>
        <v/>
      </c>
      <c r="AY9" s="53">
        <f>(1+GrowthUtility)^(MAX(0,48-GrowthStartMonth)/12)</f>
        <v/>
      </c>
      <c r="AZ9" s="53">
        <f>(1+GrowthUtility)^(MAX(0,49-GrowthStartMonth)/12)</f>
        <v/>
      </c>
      <c r="BA9" s="53">
        <f>(1+GrowthUtility)^(MAX(0,50-GrowthStartMonth)/12)</f>
        <v/>
      </c>
      <c r="BB9" s="53">
        <f>(1+GrowthUtility)^(MAX(0,51-GrowthStartMonth)/12)</f>
        <v/>
      </c>
      <c r="BC9" s="53">
        <f>(1+GrowthUtility)^(MAX(0,52-GrowthStartMonth)/12)</f>
        <v/>
      </c>
      <c r="BD9" s="53">
        <f>(1+GrowthUtility)^(MAX(0,53-GrowthStartMonth)/12)</f>
        <v/>
      </c>
      <c r="BE9" s="53">
        <f>(1+GrowthUtility)^(MAX(0,54-GrowthStartMonth)/12)</f>
        <v/>
      </c>
      <c r="BF9" s="53">
        <f>(1+GrowthUtility)^(MAX(0,55-GrowthStartMonth)/12)</f>
        <v/>
      </c>
      <c r="BG9" s="53">
        <f>(1+GrowthUtility)^(MAX(0,56-GrowthStartMonth)/12)</f>
        <v/>
      </c>
      <c r="BH9" s="53">
        <f>(1+GrowthUtility)^(MAX(0,57-GrowthStartMonth)/12)</f>
        <v/>
      </c>
      <c r="BI9" s="53">
        <f>(1+GrowthUtility)^(MAX(0,58-GrowthStartMonth)/12)</f>
        <v/>
      </c>
      <c r="BJ9" s="53">
        <f>(1+GrowthUtility)^(MAX(0,59-GrowthStartMonth)/12)</f>
        <v/>
      </c>
      <c r="BK9" s="53">
        <f>(1+GrowthUtility)^(MAX(0,60-GrowthStartMonth)/12)</f>
        <v/>
      </c>
      <c r="BL9" s="53">
        <f>(1+GrowthUtility)^(MAX(0,61-GrowthStartMonth)/12)</f>
        <v/>
      </c>
      <c r="BM9" s="53">
        <f>(1+GrowthUtility)^(MAX(0,62-GrowthStartMonth)/12)</f>
        <v/>
      </c>
      <c r="BN9" s="53">
        <f>(1+GrowthUtility)^(MAX(0,63-GrowthStartMonth)/12)</f>
        <v/>
      </c>
      <c r="BO9" s="53">
        <f>(1+GrowthUtility)^(MAX(0,64-GrowthStartMonth)/12)</f>
        <v/>
      </c>
      <c r="BP9" s="53">
        <f>(1+GrowthUtility)^(MAX(0,65-GrowthStartMonth)/12)</f>
        <v/>
      </c>
      <c r="BQ9" s="53">
        <f>(1+GrowthUtility)^(MAX(0,66-GrowthStartMonth)/12)</f>
        <v/>
      </c>
      <c r="BR9" s="53">
        <f>(1+GrowthUtility)^(MAX(0,67-GrowthStartMonth)/12)</f>
        <v/>
      </c>
      <c r="BS9" s="53">
        <f>(1+GrowthUtility)^(MAX(0,68-GrowthStartMonth)/12)</f>
        <v/>
      </c>
      <c r="BT9" s="53">
        <f>(1+GrowthUtility)^(MAX(0,69-GrowthStartMonth)/12)</f>
        <v/>
      </c>
      <c r="BU9" s="53">
        <f>(1+GrowthUtility)^(MAX(0,70-GrowthStartMonth)/12)</f>
        <v/>
      </c>
      <c r="BV9" s="53">
        <f>(1+GrowthUtility)^(MAX(0,71-GrowthStartMonth)/12)</f>
        <v/>
      </c>
      <c r="BW9" s="53">
        <f>(1+GrowthUtility)^(MAX(0,72-GrowthStartMonth)/12)</f>
        <v/>
      </c>
      <c r="BX9" s="53">
        <f>(1+GrowthUtility)^(MAX(0,73-GrowthStartMonth)/12)</f>
        <v/>
      </c>
      <c r="BY9" s="53">
        <f>(1+GrowthUtility)^(MAX(0,74-GrowthStartMonth)/12)</f>
        <v/>
      </c>
      <c r="BZ9" s="53">
        <f>(1+GrowthUtility)^(MAX(0,75-GrowthStartMonth)/12)</f>
        <v/>
      </c>
      <c r="CA9" s="53">
        <f>(1+GrowthUtility)^(MAX(0,76-GrowthStartMonth)/12)</f>
        <v/>
      </c>
      <c r="CB9" s="53">
        <f>(1+GrowthUtility)^(MAX(0,77-GrowthStartMonth)/12)</f>
        <v/>
      </c>
      <c r="CC9" s="53">
        <f>(1+GrowthUtility)^(MAX(0,78-GrowthStartMonth)/12)</f>
        <v/>
      </c>
      <c r="CD9" s="53">
        <f>(1+GrowthUtility)^(MAX(0,79-GrowthStartMonth)/12)</f>
        <v/>
      </c>
      <c r="CE9" s="53">
        <f>(1+GrowthUtility)^(MAX(0,80-GrowthStartMonth)/12)</f>
        <v/>
      </c>
      <c r="CF9" s="53">
        <f>(1+GrowthUtility)^(MAX(0,81-GrowthStartMonth)/12)</f>
        <v/>
      </c>
      <c r="CG9" s="53">
        <f>(1+GrowthUtility)^(MAX(0,82-GrowthStartMonth)/12)</f>
        <v/>
      </c>
      <c r="CH9" s="53">
        <f>(1+GrowthUtility)^(MAX(0,83-GrowthStartMonth)/12)</f>
        <v/>
      </c>
      <c r="CI9" s="53">
        <f>(1+GrowthUtility)^(MAX(0,84-GrowthStartMonth)/12)</f>
        <v/>
      </c>
      <c r="CJ9" s="53">
        <f>(1+GrowthUtility)^(MAX(0,85-GrowthStartMonth)/12)</f>
        <v/>
      </c>
      <c r="CK9" s="53">
        <f>(1+GrowthUtility)^(MAX(0,86-GrowthStartMonth)/12)</f>
        <v/>
      </c>
      <c r="CL9" s="53">
        <f>(1+GrowthUtility)^(MAX(0,87-GrowthStartMonth)/12)</f>
        <v/>
      </c>
      <c r="CM9" s="53">
        <f>(1+GrowthUtility)^(MAX(0,88-GrowthStartMonth)/12)</f>
        <v/>
      </c>
      <c r="CN9" s="53">
        <f>(1+GrowthUtility)^(MAX(0,89-GrowthStartMonth)/12)</f>
        <v/>
      </c>
      <c r="CO9" s="53">
        <f>(1+GrowthUtility)^(MAX(0,90-GrowthStartMonth)/12)</f>
        <v/>
      </c>
      <c r="CP9" s="53">
        <f>(1+GrowthUtility)^(MAX(0,91-GrowthStartMonth)/12)</f>
        <v/>
      </c>
      <c r="CQ9" s="53">
        <f>(1+GrowthUtility)^(MAX(0,92-GrowthStartMonth)/12)</f>
        <v/>
      </c>
      <c r="CR9" s="53">
        <f>(1+GrowthUtility)^(MAX(0,93-GrowthStartMonth)/12)</f>
        <v/>
      </c>
      <c r="CS9" s="53">
        <f>(1+GrowthUtility)^(MAX(0,94-GrowthStartMonth)/12)</f>
        <v/>
      </c>
      <c r="CT9" s="53">
        <f>(1+GrowthUtility)^(MAX(0,95-GrowthStartMonth)/12)</f>
        <v/>
      </c>
      <c r="CU9" s="53">
        <f>(1+GrowthUtility)^(MAX(0,96-GrowthStartMonth)/12)</f>
        <v/>
      </c>
      <c r="CV9" s="53">
        <f>(1+GrowthUtility)^(MAX(0,97-GrowthStartMonth)/12)</f>
        <v/>
      </c>
      <c r="CW9" s="53">
        <f>(1+GrowthUtility)^(MAX(0,98-GrowthStartMonth)/12)</f>
        <v/>
      </c>
      <c r="CX9" s="53">
        <f>(1+GrowthUtility)^(MAX(0,99-GrowthStartMonth)/12)</f>
        <v/>
      </c>
      <c r="CY9" s="53">
        <f>(1+GrowthUtility)^(MAX(0,100-GrowthStartMonth)/12)</f>
        <v/>
      </c>
      <c r="CZ9" s="53">
        <f>(1+GrowthUtility)^(MAX(0,101-GrowthStartMonth)/12)</f>
        <v/>
      </c>
      <c r="DA9" s="53">
        <f>(1+GrowthUtility)^(MAX(0,102-GrowthStartMonth)/12)</f>
        <v/>
      </c>
      <c r="DB9" s="53">
        <f>(1+GrowthUtility)^(MAX(0,103-GrowthStartMonth)/12)</f>
        <v/>
      </c>
      <c r="DC9" s="53">
        <f>(1+GrowthUtility)^(MAX(0,104-GrowthStartMonth)/12)</f>
        <v/>
      </c>
      <c r="DD9" s="53">
        <f>(1+GrowthUtility)^(MAX(0,105-GrowthStartMonth)/12)</f>
        <v/>
      </c>
      <c r="DE9" s="53">
        <f>(1+GrowthUtility)^(MAX(0,106-GrowthStartMonth)/12)</f>
        <v/>
      </c>
      <c r="DF9" s="53">
        <f>(1+GrowthUtility)^(MAX(0,107-GrowthStartMonth)/12)</f>
        <v/>
      </c>
      <c r="DG9" s="53">
        <f>(1+GrowthUtility)^(MAX(0,108-GrowthStartMonth)/12)</f>
        <v/>
      </c>
      <c r="DH9" s="53">
        <f>(1+GrowthUtility)^(MAX(0,109-GrowthStartMonth)/12)</f>
        <v/>
      </c>
      <c r="DI9" s="53">
        <f>(1+GrowthUtility)^(MAX(0,110-GrowthStartMonth)/12)</f>
        <v/>
      </c>
      <c r="DJ9" s="53">
        <f>(1+GrowthUtility)^(MAX(0,111-GrowthStartMonth)/12)</f>
        <v/>
      </c>
      <c r="DK9" s="53">
        <f>(1+GrowthUtility)^(MAX(0,112-GrowthStartMonth)/12)</f>
        <v/>
      </c>
      <c r="DL9" s="53">
        <f>(1+GrowthUtility)^(MAX(0,113-GrowthStartMonth)/12)</f>
        <v/>
      </c>
      <c r="DM9" s="53">
        <f>(1+GrowthUtility)^(MAX(0,114-GrowthStartMonth)/12)</f>
        <v/>
      </c>
      <c r="DN9" s="53">
        <f>(1+GrowthUtility)^(MAX(0,115-GrowthStartMonth)/12)</f>
        <v/>
      </c>
      <c r="DO9" s="53">
        <f>(1+GrowthUtility)^(MAX(0,116-GrowthStartMonth)/12)</f>
        <v/>
      </c>
      <c r="DP9" s="53">
        <f>(1+GrowthUtility)^(MAX(0,117-GrowthStartMonth)/12)</f>
        <v/>
      </c>
      <c r="DQ9" s="53">
        <f>(1+GrowthUtility)^(MAX(0,118-GrowthStartMonth)/12)</f>
        <v/>
      </c>
      <c r="DR9" s="53">
        <f>(1+GrowthUtility)^(MAX(0,119-GrowthStartMonth)/12)</f>
        <v/>
      </c>
      <c r="DS9" s="53">
        <f>(1+GrowthUtility)^(MAX(0,120-GrowthStartMonth)/12)</f>
        <v/>
      </c>
      <c r="DT9" s="53">
        <f>(1+GrowthUtility)^(MAX(0,121-GrowthStartMonth)/12)</f>
        <v/>
      </c>
      <c r="DU9" s="53">
        <f>(1+GrowthUtility)^(MAX(0,122-GrowthStartMonth)/12)</f>
        <v/>
      </c>
      <c r="DV9" s="53">
        <f>(1+GrowthUtility)^(MAX(0,123-GrowthStartMonth)/12)</f>
        <v/>
      </c>
      <c r="DW9" s="53">
        <f>(1+GrowthUtility)^(MAX(0,124-GrowthStartMonth)/12)</f>
        <v/>
      </c>
      <c r="DX9" s="53">
        <f>(1+GrowthUtility)^(MAX(0,125-GrowthStartMonth)/12)</f>
        <v/>
      </c>
      <c r="DY9" s="53">
        <f>(1+GrowthUtility)^(MAX(0,126-GrowthStartMonth)/12)</f>
        <v/>
      </c>
      <c r="DZ9" s="53">
        <f>(1+GrowthUtility)^(MAX(0,127-GrowthStartMonth)/12)</f>
        <v/>
      </c>
      <c r="EA9" s="53">
        <f>(1+GrowthUtility)^(MAX(0,128-GrowthStartMonth)/12)</f>
        <v/>
      </c>
      <c r="EB9" s="53">
        <f>(1+GrowthUtility)^(MAX(0,129-GrowthStartMonth)/12)</f>
        <v/>
      </c>
      <c r="EC9" s="53">
        <f>(1+GrowthUtility)^(MAX(0,130-GrowthStartMonth)/12)</f>
        <v/>
      </c>
      <c r="ED9" s="53">
        <f>(1+GrowthUtility)^(MAX(0,131-GrowthStartMonth)/12)</f>
        <v/>
      </c>
      <c r="EE9" s="53">
        <f>(1+GrowthUtility)^(MAX(0,132-GrowthStartMonth)/12)</f>
        <v/>
      </c>
      <c r="EF9" s="53">
        <f>(1+GrowthUtility)^(MAX(0,133-GrowthStartMonth)/12)</f>
        <v/>
      </c>
      <c r="EG9" s="53">
        <f>(1+GrowthUtility)^(MAX(0,134-GrowthStartMonth)/12)</f>
        <v/>
      </c>
      <c r="EH9" s="53">
        <f>(1+GrowthUtility)^(MAX(0,135-GrowthStartMonth)/12)</f>
        <v/>
      </c>
      <c r="EI9" s="53">
        <f>(1+GrowthUtility)^(MAX(0,136-GrowthStartMonth)/12)</f>
        <v/>
      </c>
      <c r="EJ9" s="53">
        <f>(1+GrowthUtility)^(MAX(0,137-GrowthStartMonth)/12)</f>
        <v/>
      </c>
      <c r="EK9" s="53">
        <f>(1+GrowthUtility)^(MAX(0,138-GrowthStartMonth)/12)</f>
        <v/>
      </c>
      <c r="EL9" s="53">
        <f>(1+GrowthUtility)^(MAX(0,139-GrowthStartMonth)/12)</f>
        <v/>
      </c>
      <c r="EM9" s="53">
        <f>(1+GrowthUtility)^(MAX(0,140-GrowthStartMonth)/12)</f>
        <v/>
      </c>
      <c r="EN9" s="53">
        <f>(1+GrowthUtility)^(MAX(0,141-GrowthStartMonth)/12)</f>
        <v/>
      </c>
      <c r="EO9" s="53">
        <f>(1+GrowthUtility)^(MAX(0,142-GrowthStartMonth)/12)</f>
        <v/>
      </c>
      <c r="EP9" s="53">
        <f>(1+GrowthUtility)^(MAX(0,143-GrowthStartMonth)/12)</f>
        <v/>
      </c>
      <c r="EQ9" s="53">
        <f>(1+GrowthUtility)^(MAX(0,144-GrowthStartMonth)/12)</f>
        <v/>
      </c>
      <c r="ER9" s="53">
        <f>(1+GrowthUtility)^(MAX(0,145-GrowthStartMonth)/12)</f>
        <v/>
      </c>
      <c r="ES9" s="53">
        <f>(1+GrowthUtility)^(MAX(0,146-GrowthStartMonth)/12)</f>
        <v/>
      </c>
      <c r="ET9" s="53">
        <f>(1+GrowthUtility)^(MAX(0,147-GrowthStartMonth)/12)</f>
        <v/>
      </c>
      <c r="EU9" s="53">
        <f>(1+GrowthUtility)^(MAX(0,148-GrowthStartMonth)/12)</f>
        <v/>
      </c>
      <c r="EV9" s="53">
        <f>(1+GrowthUtility)^(MAX(0,149-GrowthStartMonth)/12)</f>
        <v/>
      </c>
      <c r="EW9" s="53">
        <f>(1+GrowthUtility)^(MAX(0,150-GrowthStartMonth)/12)</f>
        <v/>
      </c>
      <c r="EX9" s="53">
        <f>(1+GrowthUtility)^(MAX(0,151-GrowthStartMonth)/12)</f>
        <v/>
      </c>
      <c r="EY9" s="53">
        <f>(1+GrowthUtility)^(MAX(0,152-GrowthStartMonth)/12)</f>
        <v/>
      </c>
      <c r="EZ9" s="53">
        <f>(1+GrowthUtility)^(MAX(0,153-GrowthStartMonth)/12)</f>
        <v/>
      </c>
      <c r="FA9" s="53">
        <f>(1+GrowthUtility)^(MAX(0,154-GrowthStartMonth)/12)</f>
        <v/>
      </c>
      <c r="FB9" s="53">
        <f>(1+GrowthUtility)^(MAX(0,155-GrowthStartMonth)/12)</f>
        <v/>
      </c>
      <c r="FC9" s="53">
        <f>(1+GrowthUtility)^(MAX(0,156-GrowthStartMonth)/12)</f>
        <v/>
      </c>
      <c r="FD9" s="53">
        <f>(1+GrowthUtility)^(MAX(0,157-GrowthStartMonth)/12)</f>
        <v/>
      </c>
      <c r="FE9" s="53">
        <f>(1+GrowthUtility)^(MAX(0,158-GrowthStartMonth)/12)</f>
        <v/>
      </c>
      <c r="FF9" s="53">
        <f>(1+GrowthUtility)^(MAX(0,159-GrowthStartMonth)/12)</f>
        <v/>
      </c>
      <c r="FG9" s="53">
        <f>(1+GrowthUtility)^(MAX(0,160-GrowthStartMonth)/12)</f>
        <v/>
      </c>
      <c r="FH9" s="53">
        <f>(1+GrowthUtility)^(MAX(0,161-GrowthStartMonth)/12)</f>
        <v/>
      </c>
      <c r="FI9" s="53">
        <f>(1+GrowthUtility)^(MAX(0,162-GrowthStartMonth)/12)</f>
        <v/>
      </c>
      <c r="FJ9" s="53">
        <f>(1+GrowthUtility)^(MAX(0,163-GrowthStartMonth)/12)</f>
        <v/>
      </c>
      <c r="FK9" s="53">
        <f>(1+GrowthUtility)^(MAX(0,164-GrowthStartMonth)/12)</f>
        <v/>
      </c>
      <c r="FL9" s="53">
        <f>(1+GrowthUtility)^(MAX(0,165-GrowthStartMonth)/12)</f>
        <v/>
      </c>
      <c r="FM9" s="53">
        <f>(1+GrowthUtility)^(MAX(0,166-GrowthStartMonth)/12)</f>
        <v/>
      </c>
      <c r="FN9" s="53">
        <f>(1+GrowthUtility)^(MAX(0,167-GrowthStartMonth)/12)</f>
        <v/>
      </c>
      <c r="FO9" s="53">
        <f>(1+GrowthUtility)^(MAX(0,168-GrowthStartMonth)/12)</f>
        <v/>
      </c>
      <c r="FP9" s="53">
        <f>(1+GrowthUtility)^(MAX(0,169-GrowthStartMonth)/12)</f>
        <v/>
      </c>
      <c r="FQ9" s="53">
        <f>(1+GrowthUtility)^(MAX(0,170-GrowthStartMonth)/12)</f>
        <v/>
      </c>
      <c r="FR9" s="53">
        <f>(1+GrowthUtility)^(MAX(0,171-GrowthStartMonth)/12)</f>
        <v/>
      </c>
      <c r="FS9" s="53">
        <f>(1+GrowthUtility)^(MAX(0,172-GrowthStartMonth)/12)</f>
        <v/>
      </c>
      <c r="FT9" s="53">
        <f>(1+GrowthUtility)^(MAX(0,173-GrowthStartMonth)/12)</f>
        <v/>
      </c>
      <c r="FU9" s="53">
        <f>(1+GrowthUtility)^(MAX(0,174-GrowthStartMonth)/12)</f>
        <v/>
      </c>
      <c r="FV9" s="53">
        <f>(1+GrowthUtility)^(MAX(0,175-GrowthStartMonth)/12)</f>
        <v/>
      </c>
      <c r="FW9" s="53">
        <f>(1+GrowthUtility)^(MAX(0,176-GrowthStartMonth)/12)</f>
        <v/>
      </c>
      <c r="FX9" s="53">
        <f>(1+GrowthUtility)^(MAX(0,177-GrowthStartMonth)/12)</f>
        <v/>
      </c>
      <c r="FY9" s="53">
        <f>(1+GrowthUtility)^(MAX(0,178-GrowthStartMonth)/12)</f>
        <v/>
      </c>
      <c r="FZ9" s="53">
        <f>(1+GrowthUtility)^(MAX(0,179-GrowthStartMonth)/12)</f>
        <v/>
      </c>
      <c r="GA9" s="53">
        <f>(1+GrowthUtility)^(MAX(0,180-GrowthStartMonth)/12)</f>
        <v/>
      </c>
      <c r="GB9" s="53">
        <f>(1+GrowthUtility)^(MAX(0,181-GrowthStartMonth)/12)</f>
        <v/>
      </c>
      <c r="GC9" s="53">
        <f>(1+GrowthUtility)^(MAX(0,182-GrowthStartMonth)/12)</f>
        <v/>
      </c>
      <c r="GD9" s="53">
        <f>(1+GrowthUtility)^(MAX(0,183-GrowthStartMonth)/12)</f>
        <v/>
      </c>
      <c r="GE9" s="53">
        <f>(1+GrowthUtility)^(MAX(0,184-GrowthStartMonth)/12)</f>
        <v/>
      </c>
      <c r="GF9" s="53">
        <f>(1+GrowthUtility)^(MAX(0,185-GrowthStartMonth)/12)</f>
        <v/>
      </c>
      <c r="GG9" s="53">
        <f>(1+GrowthUtility)^(MAX(0,186-GrowthStartMonth)/12)</f>
        <v/>
      </c>
      <c r="GH9" s="53">
        <f>(1+GrowthUtility)^(MAX(0,187-GrowthStartMonth)/12)</f>
        <v/>
      </c>
      <c r="GI9" s="53">
        <f>(1+GrowthUtility)^(MAX(0,188-GrowthStartMonth)/12)</f>
        <v/>
      </c>
      <c r="GJ9" s="53">
        <f>(1+GrowthUtility)^(MAX(0,189-GrowthStartMonth)/12)</f>
        <v/>
      </c>
      <c r="GK9" s="53">
        <f>(1+GrowthUtility)^(MAX(0,190-GrowthStartMonth)/12)</f>
        <v/>
      </c>
      <c r="GL9" s="53">
        <f>(1+GrowthUtility)^(MAX(0,191-GrowthStartMonth)/12)</f>
        <v/>
      </c>
      <c r="GM9" s="53">
        <f>(1+GrowthUtility)^(MAX(0,192-GrowthStartMonth)/12)</f>
        <v/>
      </c>
      <c r="GN9" s="53">
        <f>(1+GrowthUtility)^(MAX(0,193-GrowthStartMonth)/12)</f>
        <v/>
      </c>
      <c r="GO9" s="53">
        <f>(1+GrowthUtility)^(MAX(0,194-GrowthStartMonth)/12)</f>
        <v/>
      </c>
      <c r="GP9" s="53">
        <f>(1+GrowthUtility)^(MAX(0,195-GrowthStartMonth)/12)</f>
        <v/>
      </c>
      <c r="GQ9" s="53">
        <f>(1+GrowthUtility)^(MAX(0,196-GrowthStartMonth)/12)</f>
        <v/>
      </c>
      <c r="GR9" s="53">
        <f>(1+GrowthUtility)^(MAX(0,197-GrowthStartMonth)/12)</f>
        <v/>
      </c>
      <c r="GS9" s="53">
        <f>(1+GrowthUtility)^(MAX(0,198-GrowthStartMonth)/12)</f>
        <v/>
      </c>
      <c r="GT9" s="53">
        <f>(1+GrowthUtility)^(MAX(0,199-GrowthStartMonth)/12)</f>
        <v/>
      </c>
      <c r="GU9" s="53">
        <f>(1+GrowthUtility)^(MAX(0,200-GrowthStartMonth)/12)</f>
        <v/>
      </c>
      <c r="GV9" s="53">
        <f>(1+GrowthUtility)^(MAX(0,201-GrowthStartMonth)/12)</f>
        <v/>
      </c>
      <c r="GW9" s="53">
        <f>(1+GrowthUtility)^(MAX(0,202-GrowthStartMonth)/12)</f>
        <v/>
      </c>
      <c r="GX9" s="53">
        <f>(1+GrowthUtility)^(MAX(0,203-GrowthStartMonth)/12)</f>
        <v/>
      </c>
      <c r="GY9" s="53">
        <f>(1+GrowthUtility)^(MAX(0,204-GrowthStartMonth)/12)</f>
        <v/>
      </c>
      <c r="GZ9" s="53">
        <f>(1+GrowthUtility)^(MAX(0,205-GrowthStartMonth)/12)</f>
        <v/>
      </c>
      <c r="HA9" s="53">
        <f>(1+GrowthUtility)^(MAX(0,206-GrowthStartMonth)/12)</f>
        <v/>
      </c>
      <c r="HB9" s="53">
        <f>(1+GrowthUtility)^(MAX(0,207-GrowthStartMonth)/12)</f>
        <v/>
      </c>
      <c r="HC9" s="53">
        <f>(1+GrowthUtility)^(MAX(0,208-GrowthStartMonth)/12)</f>
        <v/>
      </c>
      <c r="HD9" s="53">
        <f>(1+GrowthUtility)^(MAX(0,209-GrowthStartMonth)/12)</f>
        <v/>
      </c>
      <c r="HE9" s="53">
        <f>(1+GrowthUtility)^(MAX(0,210-GrowthStartMonth)/12)</f>
        <v/>
      </c>
      <c r="HF9" s="53">
        <f>(1+GrowthUtility)^(MAX(0,211-GrowthStartMonth)/12)</f>
        <v/>
      </c>
      <c r="HG9" s="53">
        <f>(1+GrowthUtility)^(MAX(0,212-GrowthStartMonth)/12)</f>
        <v/>
      </c>
      <c r="HH9" s="53">
        <f>(1+GrowthUtility)^(MAX(0,213-GrowthStartMonth)/12)</f>
        <v/>
      </c>
      <c r="HI9" s="53">
        <f>(1+GrowthUtility)^(MAX(0,214-GrowthStartMonth)/12)</f>
        <v/>
      </c>
      <c r="HJ9" s="53">
        <f>(1+GrowthUtility)^(MAX(0,215-GrowthStartMonth)/12)</f>
        <v/>
      </c>
      <c r="HK9" s="53">
        <f>(1+GrowthUtility)^(MAX(0,216-GrowthStartMonth)/12)</f>
        <v/>
      </c>
      <c r="HL9" s="53">
        <f>(1+GrowthUtility)^(MAX(0,217-GrowthStartMonth)/12)</f>
        <v/>
      </c>
      <c r="HM9" s="53">
        <f>(1+GrowthUtility)^(MAX(0,218-GrowthStartMonth)/12)</f>
        <v/>
      </c>
      <c r="HN9" s="53">
        <f>(1+GrowthUtility)^(MAX(0,219-GrowthStartMonth)/12)</f>
        <v/>
      </c>
      <c r="HO9" s="53">
        <f>(1+GrowthUtility)^(MAX(0,220-GrowthStartMonth)/12)</f>
        <v/>
      </c>
      <c r="HP9" s="53">
        <f>(1+GrowthUtility)^(MAX(0,221-GrowthStartMonth)/12)</f>
        <v/>
      </c>
      <c r="HQ9" s="53">
        <f>(1+GrowthUtility)^(MAX(0,222-GrowthStartMonth)/12)</f>
        <v/>
      </c>
      <c r="HR9" s="53">
        <f>(1+GrowthUtility)^(MAX(0,223-GrowthStartMonth)/12)</f>
        <v/>
      </c>
      <c r="HS9" s="53">
        <f>(1+GrowthUtility)^(MAX(0,224-GrowthStartMonth)/12)</f>
        <v/>
      </c>
      <c r="HT9" s="53">
        <f>(1+GrowthUtility)^(MAX(0,225-GrowthStartMonth)/12)</f>
        <v/>
      </c>
      <c r="HU9" s="53">
        <f>(1+GrowthUtility)^(MAX(0,226-GrowthStartMonth)/12)</f>
        <v/>
      </c>
      <c r="HV9" s="53">
        <f>(1+GrowthUtility)^(MAX(0,227-GrowthStartMonth)/12)</f>
        <v/>
      </c>
      <c r="HW9" s="53">
        <f>(1+GrowthUtility)^(MAX(0,228-GrowthStartMonth)/12)</f>
        <v/>
      </c>
      <c r="HX9" s="53">
        <f>(1+GrowthUtility)^(MAX(0,229-GrowthStartMonth)/12)</f>
        <v/>
      </c>
      <c r="HY9" s="53">
        <f>(1+GrowthUtility)^(MAX(0,230-GrowthStartMonth)/12)</f>
        <v/>
      </c>
      <c r="HZ9" s="53">
        <f>(1+GrowthUtility)^(MAX(0,231-GrowthStartMonth)/12)</f>
        <v/>
      </c>
      <c r="IA9" s="53">
        <f>(1+GrowthUtility)^(MAX(0,232-GrowthStartMonth)/12)</f>
        <v/>
      </c>
      <c r="IB9" s="53">
        <f>(1+GrowthUtility)^(MAX(0,233-GrowthStartMonth)/12)</f>
        <v/>
      </c>
      <c r="IC9" s="53">
        <f>(1+GrowthUtility)^(MAX(0,234-GrowthStartMonth)/12)</f>
        <v/>
      </c>
      <c r="ID9" s="53">
        <f>(1+GrowthUtility)^(MAX(0,235-GrowthStartMonth)/12)</f>
        <v/>
      </c>
      <c r="IE9" s="53">
        <f>(1+GrowthUtility)^(MAX(0,236-GrowthStartMonth)/12)</f>
        <v/>
      </c>
      <c r="IF9" s="53">
        <f>(1+GrowthUtility)^(MAX(0,237-GrowthStartMonth)/12)</f>
        <v/>
      </c>
      <c r="IG9" s="53">
        <f>(1+GrowthUtility)^(MAX(0,238-GrowthStartMonth)/12)</f>
        <v/>
      </c>
      <c r="IH9" s="53">
        <f>(1+GrowthUtility)^(MAX(0,239-GrowthStartMonth)/12)</f>
        <v/>
      </c>
      <c r="II9" s="53">
        <f>(1+GrowthUtility)^(MAX(0,240-GrowthStartMonth)/12)</f>
        <v/>
      </c>
      <c r="IJ9" s="53">
        <f>(1+GrowthUtility)^(MAX(0,241-GrowthStartMonth)/12)</f>
        <v/>
      </c>
      <c r="IK9" s="53">
        <f>(1+GrowthUtility)^(MAX(0,242-GrowthStartMonth)/12)</f>
        <v/>
      </c>
      <c r="IL9" s="53">
        <f>(1+GrowthUtility)^(MAX(0,243-GrowthStartMonth)/12)</f>
        <v/>
      </c>
      <c r="IM9" s="53">
        <f>(1+GrowthUtility)^(MAX(0,244-GrowthStartMonth)/12)</f>
        <v/>
      </c>
      <c r="IN9" s="53">
        <f>(1+GrowthUtility)^(MAX(0,245-GrowthStartMonth)/12)</f>
        <v/>
      </c>
      <c r="IO9" s="53">
        <f>(1+GrowthUtility)^(MAX(0,246-GrowthStartMonth)/12)</f>
        <v/>
      </c>
      <c r="IP9" s="53">
        <f>(1+GrowthUtility)^(MAX(0,247-GrowthStartMonth)/12)</f>
        <v/>
      </c>
      <c r="IQ9" s="53">
        <f>(1+GrowthUtility)^(MAX(0,248-GrowthStartMonth)/12)</f>
        <v/>
      </c>
      <c r="IR9" s="53">
        <f>(1+GrowthUtility)^(MAX(0,249-GrowthStartMonth)/12)</f>
        <v/>
      </c>
      <c r="IS9" s="53">
        <f>(1+GrowthUtility)^(MAX(0,250-GrowthStartMonth)/12)</f>
        <v/>
      </c>
      <c r="IT9" s="53">
        <f>(1+GrowthUtility)^(MAX(0,251-GrowthStartMonth)/12)</f>
        <v/>
      </c>
      <c r="IU9" s="53">
        <f>(1+GrowthUtility)^(MAX(0,252-GrowthStartMonth)/12)</f>
        <v/>
      </c>
      <c r="IV9" s="53">
        <f>(1+GrowthUtility)^(MAX(0,253-GrowthStartMonth)/12)</f>
        <v/>
      </c>
      <c r="IW9" s="53">
        <f>(1+GrowthUtility)^(MAX(0,254-GrowthStartMonth)/12)</f>
        <v/>
      </c>
      <c r="IX9" s="53">
        <f>(1+GrowthUtility)^(MAX(0,255-GrowthStartMonth)/12)</f>
        <v/>
      </c>
      <c r="IY9" s="53">
        <f>(1+GrowthUtility)^(MAX(0,256-GrowthStartMonth)/12)</f>
        <v/>
      </c>
      <c r="IZ9" s="53">
        <f>(1+GrowthUtility)^(MAX(0,257-GrowthStartMonth)/12)</f>
        <v/>
      </c>
      <c r="JA9" s="53">
        <f>(1+GrowthUtility)^(MAX(0,258-GrowthStartMonth)/12)</f>
        <v/>
      </c>
      <c r="JB9" s="53">
        <f>(1+GrowthUtility)^(MAX(0,259-GrowthStartMonth)/12)</f>
        <v/>
      </c>
      <c r="JC9" s="53">
        <f>(1+GrowthUtility)^(MAX(0,260-GrowthStartMonth)/12)</f>
        <v/>
      </c>
      <c r="JD9" s="53">
        <f>(1+GrowthUtility)^(MAX(0,261-GrowthStartMonth)/12)</f>
        <v/>
      </c>
      <c r="JE9" s="53">
        <f>(1+GrowthUtility)^(MAX(0,262-GrowthStartMonth)/12)</f>
        <v/>
      </c>
      <c r="JF9" s="53">
        <f>(1+GrowthUtility)^(MAX(0,263-GrowthStartMonth)/12)</f>
        <v/>
      </c>
      <c r="JG9" s="53">
        <f>(1+GrowthUtility)^(MAX(0,264-GrowthStartMonth)/12)</f>
        <v/>
      </c>
      <c r="JH9" s="53">
        <f>(1+GrowthUtility)^(MAX(0,265-GrowthStartMonth)/12)</f>
        <v/>
      </c>
      <c r="JI9" s="53">
        <f>(1+GrowthUtility)^(MAX(0,266-GrowthStartMonth)/12)</f>
        <v/>
      </c>
      <c r="JJ9" s="53">
        <f>(1+GrowthUtility)^(MAX(0,267-GrowthStartMonth)/12)</f>
        <v/>
      </c>
      <c r="JK9" s="53">
        <f>(1+GrowthUtility)^(MAX(0,268-GrowthStartMonth)/12)</f>
        <v/>
      </c>
      <c r="JL9" s="53">
        <f>(1+GrowthUtility)^(MAX(0,269-GrowthStartMonth)/12)</f>
        <v/>
      </c>
      <c r="JM9" s="53">
        <f>(1+GrowthUtility)^(MAX(0,270-GrowthStartMonth)/12)</f>
        <v/>
      </c>
      <c r="JN9" s="53">
        <f>(1+GrowthUtility)^(MAX(0,271-GrowthStartMonth)/12)</f>
        <v/>
      </c>
      <c r="JO9" s="53">
        <f>(1+GrowthUtility)^(MAX(0,272-GrowthStartMonth)/12)</f>
        <v/>
      </c>
      <c r="JP9" s="53">
        <f>(1+GrowthUtility)^(MAX(0,273-GrowthStartMonth)/12)</f>
        <v/>
      </c>
      <c r="JQ9" s="53">
        <f>(1+GrowthUtility)^(MAX(0,274-GrowthStartMonth)/12)</f>
        <v/>
      </c>
      <c r="JR9" s="53">
        <f>(1+GrowthUtility)^(MAX(0,275-GrowthStartMonth)/12)</f>
        <v/>
      </c>
      <c r="JS9" s="53">
        <f>(1+GrowthUtility)^(MAX(0,276-GrowthStartMonth)/12)</f>
        <v/>
      </c>
      <c r="JT9" s="53">
        <f>(1+GrowthUtility)^(MAX(0,277-GrowthStartMonth)/12)</f>
        <v/>
      </c>
      <c r="JU9" s="53">
        <f>(1+GrowthUtility)^(MAX(0,278-GrowthStartMonth)/12)</f>
        <v/>
      </c>
      <c r="JV9" s="53">
        <f>(1+GrowthUtility)^(MAX(0,279-GrowthStartMonth)/12)</f>
        <v/>
      </c>
      <c r="JW9" s="53">
        <f>(1+GrowthUtility)^(MAX(0,280-GrowthStartMonth)/12)</f>
        <v/>
      </c>
      <c r="JX9" s="53">
        <f>(1+GrowthUtility)^(MAX(0,281-GrowthStartMonth)/12)</f>
        <v/>
      </c>
      <c r="JY9" s="53">
        <f>(1+GrowthUtility)^(MAX(0,282-GrowthStartMonth)/12)</f>
        <v/>
      </c>
      <c r="JZ9" s="53">
        <f>(1+GrowthUtility)^(MAX(0,283-GrowthStartMonth)/12)</f>
        <v/>
      </c>
      <c r="KA9" s="53">
        <f>(1+GrowthUtility)^(MAX(0,284-GrowthStartMonth)/12)</f>
        <v/>
      </c>
      <c r="KB9" s="53">
        <f>(1+GrowthUtility)^(MAX(0,285-GrowthStartMonth)/12)</f>
        <v/>
      </c>
      <c r="KC9" s="53">
        <f>(1+GrowthUtility)^(MAX(0,286-GrowthStartMonth)/12)</f>
        <v/>
      </c>
      <c r="KD9" s="53">
        <f>(1+GrowthUtility)^(MAX(0,287-GrowthStartMonth)/12)</f>
        <v/>
      </c>
      <c r="KE9" s="53">
        <f>(1+GrowthUtility)^(MAX(0,288-GrowthStartMonth)/12)</f>
        <v/>
      </c>
      <c r="KF9" s="53">
        <f>(1+GrowthUtility)^(MAX(0,289-GrowthStartMonth)/12)</f>
        <v/>
      </c>
      <c r="KG9" s="53">
        <f>(1+GrowthUtility)^(MAX(0,290-GrowthStartMonth)/12)</f>
        <v/>
      </c>
      <c r="KH9" s="53">
        <f>(1+GrowthUtility)^(MAX(0,291-GrowthStartMonth)/12)</f>
        <v/>
      </c>
      <c r="KI9" s="53">
        <f>(1+GrowthUtility)^(MAX(0,292-GrowthStartMonth)/12)</f>
        <v/>
      </c>
      <c r="KJ9" s="53">
        <f>(1+GrowthUtility)^(MAX(0,293-GrowthStartMonth)/12)</f>
        <v/>
      </c>
      <c r="KK9" s="53">
        <f>(1+GrowthUtility)^(MAX(0,294-GrowthStartMonth)/12)</f>
        <v/>
      </c>
      <c r="KL9" s="53">
        <f>(1+GrowthUtility)^(MAX(0,295-GrowthStartMonth)/12)</f>
        <v/>
      </c>
      <c r="KM9" s="53">
        <f>(1+GrowthUtility)^(MAX(0,296-GrowthStartMonth)/12)</f>
        <v/>
      </c>
      <c r="KN9" s="53">
        <f>(1+GrowthUtility)^(MAX(0,297-GrowthStartMonth)/12)</f>
        <v/>
      </c>
      <c r="KO9" s="53">
        <f>(1+GrowthUtility)^(MAX(0,298-GrowthStartMonth)/12)</f>
        <v/>
      </c>
      <c r="KP9" s="53">
        <f>(1+GrowthUtility)^(MAX(0,299-GrowthStartMonth)/12)</f>
        <v/>
      </c>
      <c r="KQ9" s="53">
        <f>(1+GrowthUtility)^(MAX(0,300-GrowthStartMonth)/12)</f>
        <v/>
      </c>
      <c r="KR9" s="53">
        <f>(1+GrowthUtility)^(MAX(0,301-GrowthStartMonth)/12)</f>
        <v/>
      </c>
      <c r="KS9" s="53">
        <f>(1+GrowthUtility)^(MAX(0,302-GrowthStartMonth)/12)</f>
        <v/>
      </c>
      <c r="KT9" s="53">
        <f>(1+GrowthUtility)^(MAX(0,303-GrowthStartMonth)/12)</f>
        <v/>
      </c>
      <c r="KU9" s="53">
        <f>(1+GrowthUtility)^(MAX(0,304-GrowthStartMonth)/12)</f>
        <v/>
      </c>
      <c r="KV9" s="53">
        <f>(1+GrowthUtility)^(MAX(0,305-GrowthStartMonth)/12)</f>
        <v/>
      </c>
      <c r="KW9" s="53">
        <f>(1+GrowthUtility)^(MAX(0,306-GrowthStartMonth)/12)</f>
        <v/>
      </c>
      <c r="KX9" s="53">
        <f>(1+GrowthUtility)^(MAX(0,307-GrowthStartMonth)/12)</f>
        <v/>
      </c>
      <c r="KY9" s="53">
        <f>(1+GrowthUtility)^(MAX(0,308-GrowthStartMonth)/12)</f>
        <v/>
      </c>
      <c r="KZ9" s="53">
        <f>(1+GrowthUtility)^(MAX(0,309-GrowthStartMonth)/12)</f>
        <v/>
      </c>
      <c r="LA9" s="53">
        <f>(1+GrowthUtility)^(MAX(0,310-GrowthStartMonth)/12)</f>
        <v/>
      </c>
      <c r="LB9" s="53">
        <f>(1+GrowthUtility)^(MAX(0,311-GrowthStartMonth)/12)</f>
        <v/>
      </c>
      <c r="LC9" s="53">
        <f>(1+GrowthUtility)^(MAX(0,312-GrowthStartMonth)/12)</f>
        <v/>
      </c>
      <c r="LD9" s="53">
        <f>(1+GrowthUtility)^(MAX(0,313-GrowthStartMonth)/12)</f>
        <v/>
      </c>
      <c r="LE9" s="53">
        <f>(1+GrowthUtility)^(MAX(0,314-GrowthStartMonth)/12)</f>
        <v/>
      </c>
      <c r="LF9" s="53">
        <f>(1+GrowthUtility)^(MAX(0,315-GrowthStartMonth)/12)</f>
        <v/>
      </c>
      <c r="LG9" s="53">
        <f>(1+GrowthUtility)^(MAX(0,316-GrowthStartMonth)/12)</f>
        <v/>
      </c>
      <c r="LH9" s="53">
        <f>(1+GrowthUtility)^(MAX(0,317-GrowthStartMonth)/12)</f>
        <v/>
      </c>
      <c r="LI9" s="53">
        <f>(1+GrowthUtility)^(MAX(0,318-GrowthStartMonth)/12)</f>
        <v/>
      </c>
      <c r="LJ9" s="53">
        <f>(1+GrowthUtility)^(MAX(0,319-GrowthStartMonth)/12)</f>
        <v/>
      </c>
      <c r="LK9" s="53">
        <f>(1+GrowthUtility)^(MAX(0,320-GrowthStartMonth)/12)</f>
        <v/>
      </c>
      <c r="LL9" s="53">
        <f>(1+GrowthUtility)^(MAX(0,321-GrowthStartMonth)/12)</f>
        <v/>
      </c>
      <c r="LM9" s="53">
        <f>(1+GrowthUtility)^(MAX(0,322-GrowthStartMonth)/12)</f>
        <v/>
      </c>
      <c r="LN9" s="53">
        <f>(1+GrowthUtility)^(MAX(0,323-GrowthStartMonth)/12)</f>
        <v/>
      </c>
      <c r="LO9" s="53">
        <f>(1+GrowthUtility)^(MAX(0,324-GrowthStartMonth)/12)</f>
        <v/>
      </c>
      <c r="LP9" s="53">
        <f>(1+GrowthUtility)^(MAX(0,325-GrowthStartMonth)/12)</f>
        <v/>
      </c>
      <c r="LQ9" s="53">
        <f>(1+GrowthUtility)^(MAX(0,326-GrowthStartMonth)/12)</f>
        <v/>
      </c>
      <c r="LR9" s="53">
        <f>(1+GrowthUtility)^(MAX(0,327-GrowthStartMonth)/12)</f>
        <v/>
      </c>
      <c r="LS9" s="53">
        <f>(1+GrowthUtility)^(MAX(0,328-GrowthStartMonth)/12)</f>
        <v/>
      </c>
      <c r="LT9" s="53">
        <f>(1+GrowthUtility)^(MAX(0,329-GrowthStartMonth)/12)</f>
        <v/>
      </c>
      <c r="LU9" s="53">
        <f>(1+GrowthUtility)^(MAX(0,330-GrowthStartMonth)/12)</f>
        <v/>
      </c>
      <c r="LV9" s="53">
        <f>(1+GrowthUtility)^(MAX(0,331-GrowthStartMonth)/12)</f>
        <v/>
      </c>
      <c r="LW9" s="53">
        <f>(1+GrowthUtility)^(MAX(0,332-GrowthStartMonth)/12)</f>
        <v/>
      </c>
      <c r="LX9" s="53">
        <f>(1+GrowthUtility)^(MAX(0,333-GrowthStartMonth)/12)</f>
        <v/>
      </c>
      <c r="LY9" s="53">
        <f>(1+GrowthUtility)^(MAX(0,334-GrowthStartMonth)/12)</f>
        <v/>
      </c>
      <c r="LZ9" s="53">
        <f>(1+GrowthUtility)^(MAX(0,335-GrowthStartMonth)/12)</f>
        <v/>
      </c>
      <c r="MA9" s="53">
        <f>(1+GrowthUtility)^(MAX(0,336-GrowthStartMonth)/12)</f>
        <v/>
      </c>
      <c r="MB9" s="53">
        <f>(1+GrowthUtility)^(MAX(0,337-GrowthStartMonth)/12)</f>
        <v/>
      </c>
      <c r="MC9" s="53">
        <f>(1+GrowthUtility)^(MAX(0,338-GrowthStartMonth)/12)</f>
        <v/>
      </c>
      <c r="MD9" s="53">
        <f>(1+GrowthUtility)^(MAX(0,339-GrowthStartMonth)/12)</f>
        <v/>
      </c>
      <c r="ME9" s="53">
        <f>(1+GrowthUtility)^(MAX(0,340-GrowthStartMonth)/12)</f>
        <v/>
      </c>
      <c r="MF9" s="53">
        <f>(1+GrowthUtility)^(MAX(0,341-GrowthStartMonth)/12)</f>
        <v/>
      </c>
      <c r="MG9" s="53">
        <f>(1+GrowthUtility)^(MAX(0,342-GrowthStartMonth)/12)</f>
        <v/>
      </c>
      <c r="MH9" s="53">
        <f>(1+GrowthUtility)^(MAX(0,343-GrowthStartMonth)/12)</f>
        <v/>
      </c>
      <c r="MI9" s="53">
        <f>(1+GrowthUtility)^(MAX(0,344-GrowthStartMonth)/12)</f>
        <v/>
      </c>
      <c r="MJ9" s="53">
        <f>(1+GrowthUtility)^(MAX(0,345-GrowthStartMonth)/12)</f>
        <v/>
      </c>
      <c r="MK9" s="53">
        <f>(1+GrowthUtility)^(MAX(0,346-GrowthStartMonth)/12)</f>
        <v/>
      </c>
      <c r="ML9" s="53">
        <f>(1+GrowthUtility)^(MAX(0,347-GrowthStartMonth)/12)</f>
        <v/>
      </c>
      <c r="MM9" s="53">
        <f>(1+GrowthUtility)^(MAX(0,348-GrowthStartMonth)/12)</f>
        <v/>
      </c>
      <c r="MN9" s="53">
        <f>(1+GrowthUtility)^(MAX(0,349-GrowthStartMonth)/12)</f>
        <v/>
      </c>
      <c r="MO9" s="53">
        <f>(1+GrowthUtility)^(MAX(0,350-GrowthStartMonth)/12)</f>
        <v/>
      </c>
      <c r="MP9" s="53">
        <f>(1+GrowthUtility)^(MAX(0,351-GrowthStartMonth)/12)</f>
        <v/>
      </c>
      <c r="MQ9" s="53">
        <f>(1+GrowthUtility)^(MAX(0,352-GrowthStartMonth)/12)</f>
        <v/>
      </c>
      <c r="MR9" s="53">
        <f>(1+GrowthUtility)^(MAX(0,353-GrowthStartMonth)/12)</f>
        <v/>
      </c>
      <c r="MS9" s="53">
        <f>(1+GrowthUtility)^(MAX(0,354-GrowthStartMonth)/12)</f>
        <v/>
      </c>
      <c r="MT9" s="53">
        <f>(1+GrowthUtility)^(MAX(0,355-GrowthStartMonth)/12)</f>
        <v/>
      </c>
      <c r="MU9" s="53">
        <f>(1+GrowthUtility)^(MAX(0,356-GrowthStartMonth)/12)</f>
        <v/>
      </c>
      <c r="MV9" s="53">
        <f>(1+GrowthUtility)^(MAX(0,357-GrowthStartMonth)/12)</f>
        <v/>
      </c>
      <c r="MW9" s="53">
        <f>(1+GrowthUtility)^(MAX(0,358-GrowthStartMonth)/12)</f>
        <v/>
      </c>
      <c r="MX9" s="53">
        <f>(1+GrowthUtility)^(MAX(0,359-GrowthStartMonth)/12)</f>
        <v/>
      </c>
      <c r="MY9" s="53">
        <f>(1+GrowthUtility)^(MAX(0,360-GrowthStartMonth)/12)</f>
        <v/>
      </c>
      <c r="MZ9" s="53">
        <f>(1+GrowthUtility)^(MAX(0,361-GrowthStartMonth)/12)</f>
        <v/>
      </c>
      <c r="NA9" s="53">
        <f>(1+GrowthUtility)^(MAX(0,362-GrowthStartMonth)/12)</f>
        <v/>
      </c>
      <c r="NB9" s="53">
        <f>(1+GrowthUtility)^(MAX(0,363-GrowthStartMonth)/12)</f>
        <v/>
      </c>
      <c r="NC9" s="53">
        <f>(1+GrowthUtility)^(MAX(0,364-GrowthStartMonth)/12)</f>
        <v/>
      </c>
      <c r="ND9" s="53">
        <f>(1+GrowthUtility)^(MAX(0,365-GrowthStartMonth)/12)</f>
        <v/>
      </c>
      <c r="NE9" s="53">
        <f>(1+GrowthUtility)^(MAX(0,366-GrowthStartMonth)/12)</f>
        <v/>
      </c>
      <c r="NF9" s="53">
        <f>(1+GrowthUtility)^(MAX(0,367-GrowthStartMonth)/12)</f>
        <v/>
      </c>
      <c r="NG9" s="53">
        <f>(1+GrowthUtility)^(MAX(0,368-GrowthStartMonth)/12)</f>
        <v/>
      </c>
      <c r="NH9" s="53">
        <f>(1+GrowthUtility)^(MAX(0,369-GrowthStartMonth)/12)</f>
        <v/>
      </c>
      <c r="NI9" s="53">
        <f>(1+GrowthUtility)^(MAX(0,370-GrowthStartMonth)/12)</f>
        <v/>
      </c>
      <c r="NJ9" s="53">
        <f>(1+GrowthUtility)^(MAX(0,371-GrowthStartMonth)/12)</f>
        <v/>
      </c>
      <c r="NK9" s="53">
        <f>(1+GrowthUtility)^(MAX(0,372-GrowthStartMonth)/12)</f>
        <v/>
      </c>
    </row>
    <row r="10">
      <c r="A10" s="5" t="inlineStr">
        <is>
          <t>Growth Factor — Other Income</t>
        </is>
      </c>
      <c r="C10" s="52" t="n"/>
      <c r="D10" s="53">
        <f>(1+GrowthOther)^(MAX(0,1-GrowthStartMonth)/12)</f>
        <v/>
      </c>
      <c r="E10" s="53">
        <f>(1+GrowthOther)^(MAX(0,2-GrowthStartMonth)/12)</f>
        <v/>
      </c>
      <c r="F10" s="53">
        <f>(1+GrowthOther)^(MAX(0,3-GrowthStartMonth)/12)</f>
        <v/>
      </c>
      <c r="G10" s="53">
        <f>(1+GrowthOther)^(MAX(0,4-GrowthStartMonth)/12)</f>
        <v/>
      </c>
      <c r="H10" s="53">
        <f>(1+GrowthOther)^(MAX(0,5-GrowthStartMonth)/12)</f>
        <v/>
      </c>
      <c r="I10" s="53">
        <f>(1+GrowthOther)^(MAX(0,6-GrowthStartMonth)/12)</f>
        <v/>
      </c>
      <c r="J10" s="53">
        <f>(1+GrowthOther)^(MAX(0,7-GrowthStartMonth)/12)</f>
        <v/>
      </c>
      <c r="K10" s="53">
        <f>(1+GrowthOther)^(MAX(0,8-GrowthStartMonth)/12)</f>
        <v/>
      </c>
      <c r="L10" s="53">
        <f>(1+GrowthOther)^(MAX(0,9-GrowthStartMonth)/12)</f>
        <v/>
      </c>
      <c r="M10" s="53">
        <f>(1+GrowthOther)^(MAX(0,10-GrowthStartMonth)/12)</f>
        <v/>
      </c>
      <c r="N10" s="53">
        <f>(1+GrowthOther)^(MAX(0,11-GrowthStartMonth)/12)</f>
        <v/>
      </c>
      <c r="O10" s="53">
        <f>(1+GrowthOther)^(MAX(0,12-GrowthStartMonth)/12)</f>
        <v/>
      </c>
      <c r="P10" s="53">
        <f>(1+GrowthOther)^(MAX(0,13-GrowthStartMonth)/12)</f>
        <v/>
      </c>
      <c r="Q10" s="53">
        <f>(1+GrowthOther)^(MAX(0,14-GrowthStartMonth)/12)</f>
        <v/>
      </c>
      <c r="R10" s="53">
        <f>(1+GrowthOther)^(MAX(0,15-GrowthStartMonth)/12)</f>
        <v/>
      </c>
      <c r="S10" s="53">
        <f>(1+GrowthOther)^(MAX(0,16-GrowthStartMonth)/12)</f>
        <v/>
      </c>
      <c r="T10" s="53">
        <f>(1+GrowthOther)^(MAX(0,17-GrowthStartMonth)/12)</f>
        <v/>
      </c>
      <c r="U10" s="53">
        <f>(1+GrowthOther)^(MAX(0,18-GrowthStartMonth)/12)</f>
        <v/>
      </c>
      <c r="V10" s="53">
        <f>(1+GrowthOther)^(MAX(0,19-GrowthStartMonth)/12)</f>
        <v/>
      </c>
      <c r="W10" s="53">
        <f>(1+GrowthOther)^(MAX(0,20-GrowthStartMonth)/12)</f>
        <v/>
      </c>
      <c r="X10" s="53">
        <f>(1+GrowthOther)^(MAX(0,21-GrowthStartMonth)/12)</f>
        <v/>
      </c>
      <c r="Y10" s="53">
        <f>(1+GrowthOther)^(MAX(0,22-GrowthStartMonth)/12)</f>
        <v/>
      </c>
      <c r="Z10" s="53">
        <f>(1+GrowthOther)^(MAX(0,23-GrowthStartMonth)/12)</f>
        <v/>
      </c>
      <c r="AA10" s="53">
        <f>(1+GrowthOther)^(MAX(0,24-GrowthStartMonth)/12)</f>
        <v/>
      </c>
      <c r="AB10" s="53">
        <f>(1+GrowthOther)^(MAX(0,25-GrowthStartMonth)/12)</f>
        <v/>
      </c>
      <c r="AC10" s="53">
        <f>(1+GrowthOther)^(MAX(0,26-GrowthStartMonth)/12)</f>
        <v/>
      </c>
      <c r="AD10" s="53">
        <f>(1+GrowthOther)^(MAX(0,27-GrowthStartMonth)/12)</f>
        <v/>
      </c>
      <c r="AE10" s="53">
        <f>(1+GrowthOther)^(MAX(0,28-GrowthStartMonth)/12)</f>
        <v/>
      </c>
      <c r="AF10" s="53">
        <f>(1+GrowthOther)^(MAX(0,29-GrowthStartMonth)/12)</f>
        <v/>
      </c>
      <c r="AG10" s="53">
        <f>(1+GrowthOther)^(MAX(0,30-GrowthStartMonth)/12)</f>
        <v/>
      </c>
      <c r="AH10" s="53">
        <f>(1+GrowthOther)^(MAX(0,31-GrowthStartMonth)/12)</f>
        <v/>
      </c>
      <c r="AI10" s="53">
        <f>(1+GrowthOther)^(MAX(0,32-GrowthStartMonth)/12)</f>
        <v/>
      </c>
      <c r="AJ10" s="53">
        <f>(1+GrowthOther)^(MAX(0,33-GrowthStartMonth)/12)</f>
        <v/>
      </c>
      <c r="AK10" s="53">
        <f>(1+GrowthOther)^(MAX(0,34-GrowthStartMonth)/12)</f>
        <v/>
      </c>
      <c r="AL10" s="53">
        <f>(1+GrowthOther)^(MAX(0,35-GrowthStartMonth)/12)</f>
        <v/>
      </c>
      <c r="AM10" s="53">
        <f>(1+GrowthOther)^(MAX(0,36-GrowthStartMonth)/12)</f>
        <v/>
      </c>
      <c r="AN10" s="53">
        <f>(1+GrowthOther)^(MAX(0,37-GrowthStartMonth)/12)</f>
        <v/>
      </c>
      <c r="AO10" s="53">
        <f>(1+GrowthOther)^(MAX(0,38-GrowthStartMonth)/12)</f>
        <v/>
      </c>
      <c r="AP10" s="53">
        <f>(1+GrowthOther)^(MAX(0,39-GrowthStartMonth)/12)</f>
        <v/>
      </c>
      <c r="AQ10" s="53">
        <f>(1+GrowthOther)^(MAX(0,40-GrowthStartMonth)/12)</f>
        <v/>
      </c>
      <c r="AR10" s="53">
        <f>(1+GrowthOther)^(MAX(0,41-GrowthStartMonth)/12)</f>
        <v/>
      </c>
      <c r="AS10" s="53">
        <f>(1+GrowthOther)^(MAX(0,42-GrowthStartMonth)/12)</f>
        <v/>
      </c>
      <c r="AT10" s="53">
        <f>(1+GrowthOther)^(MAX(0,43-GrowthStartMonth)/12)</f>
        <v/>
      </c>
      <c r="AU10" s="53">
        <f>(1+GrowthOther)^(MAX(0,44-GrowthStartMonth)/12)</f>
        <v/>
      </c>
      <c r="AV10" s="53">
        <f>(1+GrowthOther)^(MAX(0,45-GrowthStartMonth)/12)</f>
        <v/>
      </c>
      <c r="AW10" s="53">
        <f>(1+GrowthOther)^(MAX(0,46-GrowthStartMonth)/12)</f>
        <v/>
      </c>
      <c r="AX10" s="53">
        <f>(1+GrowthOther)^(MAX(0,47-GrowthStartMonth)/12)</f>
        <v/>
      </c>
      <c r="AY10" s="53">
        <f>(1+GrowthOther)^(MAX(0,48-GrowthStartMonth)/12)</f>
        <v/>
      </c>
      <c r="AZ10" s="53">
        <f>(1+GrowthOther)^(MAX(0,49-GrowthStartMonth)/12)</f>
        <v/>
      </c>
      <c r="BA10" s="53">
        <f>(1+GrowthOther)^(MAX(0,50-GrowthStartMonth)/12)</f>
        <v/>
      </c>
      <c r="BB10" s="53">
        <f>(1+GrowthOther)^(MAX(0,51-GrowthStartMonth)/12)</f>
        <v/>
      </c>
      <c r="BC10" s="53">
        <f>(1+GrowthOther)^(MAX(0,52-GrowthStartMonth)/12)</f>
        <v/>
      </c>
      <c r="BD10" s="53">
        <f>(1+GrowthOther)^(MAX(0,53-GrowthStartMonth)/12)</f>
        <v/>
      </c>
      <c r="BE10" s="53">
        <f>(1+GrowthOther)^(MAX(0,54-GrowthStartMonth)/12)</f>
        <v/>
      </c>
      <c r="BF10" s="53">
        <f>(1+GrowthOther)^(MAX(0,55-GrowthStartMonth)/12)</f>
        <v/>
      </c>
      <c r="BG10" s="53">
        <f>(1+GrowthOther)^(MAX(0,56-GrowthStartMonth)/12)</f>
        <v/>
      </c>
      <c r="BH10" s="53">
        <f>(1+GrowthOther)^(MAX(0,57-GrowthStartMonth)/12)</f>
        <v/>
      </c>
      <c r="BI10" s="53">
        <f>(1+GrowthOther)^(MAX(0,58-GrowthStartMonth)/12)</f>
        <v/>
      </c>
      <c r="BJ10" s="53">
        <f>(1+GrowthOther)^(MAX(0,59-GrowthStartMonth)/12)</f>
        <v/>
      </c>
      <c r="BK10" s="53">
        <f>(1+GrowthOther)^(MAX(0,60-GrowthStartMonth)/12)</f>
        <v/>
      </c>
      <c r="BL10" s="53">
        <f>(1+GrowthOther)^(MAX(0,61-GrowthStartMonth)/12)</f>
        <v/>
      </c>
      <c r="BM10" s="53">
        <f>(1+GrowthOther)^(MAX(0,62-GrowthStartMonth)/12)</f>
        <v/>
      </c>
      <c r="BN10" s="53">
        <f>(1+GrowthOther)^(MAX(0,63-GrowthStartMonth)/12)</f>
        <v/>
      </c>
      <c r="BO10" s="53">
        <f>(1+GrowthOther)^(MAX(0,64-GrowthStartMonth)/12)</f>
        <v/>
      </c>
      <c r="BP10" s="53">
        <f>(1+GrowthOther)^(MAX(0,65-GrowthStartMonth)/12)</f>
        <v/>
      </c>
      <c r="BQ10" s="53">
        <f>(1+GrowthOther)^(MAX(0,66-GrowthStartMonth)/12)</f>
        <v/>
      </c>
      <c r="BR10" s="53">
        <f>(1+GrowthOther)^(MAX(0,67-GrowthStartMonth)/12)</f>
        <v/>
      </c>
      <c r="BS10" s="53">
        <f>(1+GrowthOther)^(MAX(0,68-GrowthStartMonth)/12)</f>
        <v/>
      </c>
      <c r="BT10" s="53">
        <f>(1+GrowthOther)^(MAX(0,69-GrowthStartMonth)/12)</f>
        <v/>
      </c>
      <c r="BU10" s="53">
        <f>(1+GrowthOther)^(MAX(0,70-GrowthStartMonth)/12)</f>
        <v/>
      </c>
      <c r="BV10" s="53">
        <f>(1+GrowthOther)^(MAX(0,71-GrowthStartMonth)/12)</f>
        <v/>
      </c>
      <c r="BW10" s="53">
        <f>(1+GrowthOther)^(MAX(0,72-GrowthStartMonth)/12)</f>
        <v/>
      </c>
      <c r="BX10" s="53">
        <f>(1+GrowthOther)^(MAX(0,73-GrowthStartMonth)/12)</f>
        <v/>
      </c>
      <c r="BY10" s="53">
        <f>(1+GrowthOther)^(MAX(0,74-GrowthStartMonth)/12)</f>
        <v/>
      </c>
      <c r="BZ10" s="53">
        <f>(1+GrowthOther)^(MAX(0,75-GrowthStartMonth)/12)</f>
        <v/>
      </c>
      <c r="CA10" s="53">
        <f>(1+GrowthOther)^(MAX(0,76-GrowthStartMonth)/12)</f>
        <v/>
      </c>
      <c r="CB10" s="53">
        <f>(1+GrowthOther)^(MAX(0,77-GrowthStartMonth)/12)</f>
        <v/>
      </c>
      <c r="CC10" s="53">
        <f>(1+GrowthOther)^(MAX(0,78-GrowthStartMonth)/12)</f>
        <v/>
      </c>
      <c r="CD10" s="53">
        <f>(1+GrowthOther)^(MAX(0,79-GrowthStartMonth)/12)</f>
        <v/>
      </c>
      <c r="CE10" s="53">
        <f>(1+GrowthOther)^(MAX(0,80-GrowthStartMonth)/12)</f>
        <v/>
      </c>
      <c r="CF10" s="53">
        <f>(1+GrowthOther)^(MAX(0,81-GrowthStartMonth)/12)</f>
        <v/>
      </c>
      <c r="CG10" s="53">
        <f>(1+GrowthOther)^(MAX(0,82-GrowthStartMonth)/12)</f>
        <v/>
      </c>
      <c r="CH10" s="53">
        <f>(1+GrowthOther)^(MAX(0,83-GrowthStartMonth)/12)</f>
        <v/>
      </c>
      <c r="CI10" s="53">
        <f>(1+GrowthOther)^(MAX(0,84-GrowthStartMonth)/12)</f>
        <v/>
      </c>
      <c r="CJ10" s="53">
        <f>(1+GrowthOther)^(MAX(0,85-GrowthStartMonth)/12)</f>
        <v/>
      </c>
      <c r="CK10" s="53">
        <f>(1+GrowthOther)^(MAX(0,86-GrowthStartMonth)/12)</f>
        <v/>
      </c>
      <c r="CL10" s="53">
        <f>(1+GrowthOther)^(MAX(0,87-GrowthStartMonth)/12)</f>
        <v/>
      </c>
      <c r="CM10" s="53">
        <f>(1+GrowthOther)^(MAX(0,88-GrowthStartMonth)/12)</f>
        <v/>
      </c>
      <c r="CN10" s="53">
        <f>(1+GrowthOther)^(MAX(0,89-GrowthStartMonth)/12)</f>
        <v/>
      </c>
      <c r="CO10" s="53">
        <f>(1+GrowthOther)^(MAX(0,90-GrowthStartMonth)/12)</f>
        <v/>
      </c>
      <c r="CP10" s="53">
        <f>(1+GrowthOther)^(MAX(0,91-GrowthStartMonth)/12)</f>
        <v/>
      </c>
      <c r="CQ10" s="53">
        <f>(1+GrowthOther)^(MAX(0,92-GrowthStartMonth)/12)</f>
        <v/>
      </c>
      <c r="CR10" s="53">
        <f>(1+GrowthOther)^(MAX(0,93-GrowthStartMonth)/12)</f>
        <v/>
      </c>
      <c r="CS10" s="53">
        <f>(1+GrowthOther)^(MAX(0,94-GrowthStartMonth)/12)</f>
        <v/>
      </c>
      <c r="CT10" s="53">
        <f>(1+GrowthOther)^(MAX(0,95-GrowthStartMonth)/12)</f>
        <v/>
      </c>
      <c r="CU10" s="53">
        <f>(1+GrowthOther)^(MAX(0,96-GrowthStartMonth)/12)</f>
        <v/>
      </c>
      <c r="CV10" s="53">
        <f>(1+GrowthOther)^(MAX(0,97-GrowthStartMonth)/12)</f>
        <v/>
      </c>
      <c r="CW10" s="53">
        <f>(1+GrowthOther)^(MAX(0,98-GrowthStartMonth)/12)</f>
        <v/>
      </c>
      <c r="CX10" s="53">
        <f>(1+GrowthOther)^(MAX(0,99-GrowthStartMonth)/12)</f>
        <v/>
      </c>
      <c r="CY10" s="53">
        <f>(1+GrowthOther)^(MAX(0,100-GrowthStartMonth)/12)</f>
        <v/>
      </c>
      <c r="CZ10" s="53">
        <f>(1+GrowthOther)^(MAX(0,101-GrowthStartMonth)/12)</f>
        <v/>
      </c>
      <c r="DA10" s="53">
        <f>(1+GrowthOther)^(MAX(0,102-GrowthStartMonth)/12)</f>
        <v/>
      </c>
      <c r="DB10" s="53">
        <f>(1+GrowthOther)^(MAX(0,103-GrowthStartMonth)/12)</f>
        <v/>
      </c>
      <c r="DC10" s="53">
        <f>(1+GrowthOther)^(MAX(0,104-GrowthStartMonth)/12)</f>
        <v/>
      </c>
      <c r="DD10" s="53">
        <f>(1+GrowthOther)^(MAX(0,105-GrowthStartMonth)/12)</f>
        <v/>
      </c>
      <c r="DE10" s="53">
        <f>(1+GrowthOther)^(MAX(0,106-GrowthStartMonth)/12)</f>
        <v/>
      </c>
      <c r="DF10" s="53">
        <f>(1+GrowthOther)^(MAX(0,107-GrowthStartMonth)/12)</f>
        <v/>
      </c>
      <c r="DG10" s="53">
        <f>(1+GrowthOther)^(MAX(0,108-GrowthStartMonth)/12)</f>
        <v/>
      </c>
      <c r="DH10" s="53">
        <f>(1+GrowthOther)^(MAX(0,109-GrowthStartMonth)/12)</f>
        <v/>
      </c>
      <c r="DI10" s="53">
        <f>(1+GrowthOther)^(MAX(0,110-GrowthStartMonth)/12)</f>
        <v/>
      </c>
      <c r="DJ10" s="53">
        <f>(1+GrowthOther)^(MAX(0,111-GrowthStartMonth)/12)</f>
        <v/>
      </c>
      <c r="DK10" s="53">
        <f>(1+GrowthOther)^(MAX(0,112-GrowthStartMonth)/12)</f>
        <v/>
      </c>
      <c r="DL10" s="53">
        <f>(1+GrowthOther)^(MAX(0,113-GrowthStartMonth)/12)</f>
        <v/>
      </c>
      <c r="DM10" s="53">
        <f>(1+GrowthOther)^(MAX(0,114-GrowthStartMonth)/12)</f>
        <v/>
      </c>
      <c r="DN10" s="53">
        <f>(1+GrowthOther)^(MAX(0,115-GrowthStartMonth)/12)</f>
        <v/>
      </c>
      <c r="DO10" s="53">
        <f>(1+GrowthOther)^(MAX(0,116-GrowthStartMonth)/12)</f>
        <v/>
      </c>
      <c r="DP10" s="53">
        <f>(1+GrowthOther)^(MAX(0,117-GrowthStartMonth)/12)</f>
        <v/>
      </c>
      <c r="DQ10" s="53">
        <f>(1+GrowthOther)^(MAX(0,118-GrowthStartMonth)/12)</f>
        <v/>
      </c>
      <c r="DR10" s="53">
        <f>(1+GrowthOther)^(MAX(0,119-GrowthStartMonth)/12)</f>
        <v/>
      </c>
      <c r="DS10" s="53">
        <f>(1+GrowthOther)^(MAX(0,120-GrowthStartMonth)/12)</f>
        <v/>
      </c>
      <c r="DT10" s="53">
        <f>(1+GrowthOther)^(MAX(0,121-GrowthStartMonth)/12)</f>
        <v/>
      </c>
      <c r="DU10" s="53">
        <f>(1+GrowthOther)^(MAX(0,122-GrowthStartMonth)/12)</f>
        <v/>
      </c>
      <c r="DV10" s="53">
        <f>(1+GrowthOther)^(MAX(0,123-GrowthStartMonth)/12)</f>
        <v/>
      </c>
      <c r="DW10" s="53">
        <f>(1+GrowthOther)^(MAX(0,124-GrowthStartMonth)/12)</f>
        <v/>
      </c>
      <c r="DX10" s="53">
        <f>(1+GrowthOther)^(MAX(0,125-GrowthStartMonth)/12)</f>
        <v/>
      </c>
      <c r="DY10" s="53">
        <f>(1+GrowthOther)^(MAX(0,126-GrowthStartMonth)/12)</f>
        <v/>
      </c>
      <c r="DZ10" s="53">
        <f>(1+GrowthOther)^(MAX(0,127-GrowthStartMonth)/12)</f>
        <v/>
      </c>
      <c r="EA10" s="53">
        <f>(1+GrowthOther)^(MAX(0,128-GrowthStartMonth)/12)</f>
        <v/>
      </c>
      <c r="EB10" s="53">
        <f>(1+GrowthOther)^(MAX(0,129-GrowthStartMonth)/12)</f>
        <v/>
      </c>
      <c r="EC10" s="53">
        <f>(1+GrowthOther)^(MAX(0,130-GrowthStartMonth)/12)</f>
        <v/>
      </c>
      <c r="ED10" s="53">
        <f>(1+GrowthOther)^(MAX(0,131-GrowthStartMonth)/12)</f>
        <v/>
      </c>
      <c r="EE10" s="53">
        <f>(1+GrowthOther)^(MAX(0,132-GrowthStartMonth)/12)</f>
        <v/>
      </c>
      <c r="EF10" s="53">
        <f>(1+GrowthOther)^(MAX(0,133-GrowthStartMonth)/12)</f>
        <v/>
      </c>
      <c r="EG10" s="53">
        <f>(1+GrowthOther)^(MAX(0,134-GrowthStartMonth)/12)</f>
        <v/>
      </c>
      <c r="EH10" s="53">
        <f>(1+GrowthOther)^(MAX(0,135-GrowthStartMonth)/12)</f>
        <v/>
      </c>
      <c r="EI10" s="53">
        <f>(1+GrowthOther)^(MAX(0,136-GrowthStartMonth)/12)</f>
        <v/>
      </c>
      <c r="EJ10" s="53">
        <f>(1+GrowthOther)^(MAX(0,137-GrowthStartMonth)/12)</f>
        <v/>
      </c>
      <c r="EK10" s="53">
        <f>(1+GrowthOther)^(MAX(0,138-GrowthStartMonth)/12)</f>
        <v/>
      </c>
      <c r="EL10" s="53">
        <f>(1+GrowthOther)^(MAX(0,139-GrowthStartMonth)/12)</f>
        <v/>
      </c>
      <c r="EM10" s="53">
        <f>(1+GrowthOther)^(MAX(0,140-GrowthStartMonth)/12)</f>
        <v/>
      </c>
      <c r="EN10" s="53">
        <f>(1+GrowthOther)^(MAX(0,141-GrowthStartMonth)/12)</f>
        <v/>
      </c>
      <c r="EO10" s="53">
        <f>(1+GrowthOther)^(MAX(0,142-GrowthStartMonth)/12)</f>
        <v/>
      </c>
      <c r="EP10" s="53">
        <f>(1+GrowthOther)^(MAX(0,143-GrowthStartMonth)/12)</f>
        <v/>
      </c>
      <c r="EQ10" s="53">
        <f>(1+GrowthOther)^(MAX(0,144-GrowthStartMonth)/12)</f>
        <v/>
      </c>
      <c r="ER10" s="53">
        <f>(1+GrowthOther)^(MAX(0,145-GrowthStartMonth)/12)</f>
        <v/>
      </c>
      <c r="ES10" s="53">
        <f>(1+GrowthOther)^(MAX(0,146-GrowthStartMonth)/12)</f>
        <v/>
      </c>
      <c r="ET10" s="53">
        <f>(1+GrowthOther)^(MAX(0,147-GrowthStartMonth)/12)</f>
        <v/>
      </c>
      <c r="EU10" s="53">
        <f>(1+GrowthOther)^(MAX(0,148-GrowthStartMonth)/12)</f>
        <v/>
      </c>
      <c r="EV10" s="53">
        <f>(1+GrowthOther)^(MAX(0,149-GrowthStartMonth)/12)</f>
        <v/>
      </c>
      <c r="EW10" s="53">
        <f>(1+GrowthOther)^(MAX(0,150-GrowthStartMonth)/12)</f>
        <v/>
      </c>
      <c r="EX10" s="53">
        <f>(1+GrowthOther)^(MAX(0,151-GrowthStartMonth)/12)</f>
        <v/>
      </c>
      <c r="EY10" s="53">
        <f>(1+GrowthOther)^(MAX(0,152-GrowthStartMonth)/12)</f>
        <v/>
      </c>
      <c r="EZ10" s="53">
        <f>(1+GrowthOther)^(MAX(0,153-GrowthStartMonth)/12)</f>
        <v/>
      </c>
      <c r="FA10" s="53">
        <f>(1+GrowthOther)^(MAX(0,154-GrowthStartMonth)/12)</f>
        <v/>
      </c>
      <c r="FB10" s="53">
        <f>(1+GrowthOther)^(MAX(0,155-GrowthStartMonth)/12)</f>
        <v/>
      </c>
      <c r="FC10" s="53">
        <f>(1+GrowthOther)^(MAX(0,156-GrowthStartMonth)/12)</f>
        <v/>
      </c>
      <c r="FD10" s="53">
        <f>(1+GrowthOther)^(MAX(0,157-GrowthStartMonth)/12)</f>
        <v/>
      </c>
      <c r="FE10" s="53">
        <f>(1+GrowthOther)^(MAX(0,158-GrowthStartMonth)/12)</f>
        <v/>
      </c>
      <c r="FF10" s="53">
        <f>(1+GrowthOther)^(MAX(0,159-GrowthStartMonth)/12)</f>
        <v/>
      </c>
      <c r="FG10" s="53">
        <f>(1+GrowthOther)^(MAX(0,160-GrowthStartMonth)/12)</f>
        <v/>
      </c>
      <c r="FH10" s="53">
        <f>(1+GrowthOther)^(MAX(0,161-GrowthStartMonth)/12)</f>
        <v/>
      </c>
      <c r="FI10" s="53">
        <f>(1+GrowthOther)^(MAX(0,162-GrowthStartMonth)/12)</f>
        <v/>
      </c>
      <c r="FJ10" s="53">
        <f>(1+GrowthOther)^(MAX(0,163-GrowthStartMonth)/12)</f>
        <v/>
      </c>
      <c r="FK10" s="53">
        <f>(1+GrowthOther)^(MAX(0,164-GrowthStartMonth)/12)</f>
        <v/>
      </c>
      <c r="FL10" s="53">
        <f>(1+GrowthOther)^(MAX(0,165-GrowthStartMonth)/12)</f>
        <v/>
      </c>
      <c r="FM10" s="53">
        <f>(1+GrowthOther)^(MAX(0,166-GrowthStartMonth)/12)</f>
        <v/>
      </c>
      <c r="FN10" s="53">
        <f>(1+GrowthOther)^(MAX(0,167-GrowthStartMonth)/12)</f>
        <v/>
      </c>
      <c r="FO10" s="53">
        <f>(1+GrowthOther)^(MAX(0,168-GrowthStartMonth)/12)</f>
        <v/>
      </c>
      <c r="FP10" s="53">
        <f>(1+GrowthOther)^(MAX(0,169-GrowthStartMonth)/12)</f>
        <v/>
      </c>
      <c r="FQ10" s="53">
        <f>(1+GrowthOther)^(MAX(0,170-GrowthStartMonth)/12)</f>
        <v/>
      </c>
      <c r="FR10" s="53">
        <f>(1+GrowthOther)^(MAX(0,171-GrowthStartMonth)/12)</f>
        <v/>
      </c>
      <c r="FS10" s="53">
        <f>(1+GrowthOther)^(MAX(0,172-GrowthStartMonth)/12)</f>
        <v/>
      </c>
      <c r="FT10" s="53">
        <f>(1+GrowthOther)^(MAX(0,173-GrowthStartMonth)/12)</f>
        <v/>
      </c>
      <c r="FU10" s="53">
        <f>(1+GrowthOther)^(MAX(0,174-GrowthStartMonth)/12)</f>
        <v/>
      </c>
      <c r="FV10" s="53">
        <f>(1+GrowthOther)^(MAX(0,175-GrowthStartMonth)/12)</f>
        <v/>
      </c>
      <c r="FW10" s="53">
        <f>(1+GrowthOther)^(MAX(0,176-GrowthStartMonth)/12)</f>
        <v/>
      </c>
      <c r="FX10" s="53">
        <f>(1+GrowthOther)^(MAX(0,177-GrowthStartMonth)/12)</f>
        <v/>
      </c>
      <c r="FY10" s="53">
        <f>(1+GrowthOther)^(MAX(0,178-GrowthStartMonth)/12)</f>
        <v/>
      </c>
      <c r="FZ10" s="53">
        <f>(1+GrowthOther)^(MAX(0,179-GrowthStartMonth)/12)</f>
        <v/>
      </c>
      <c r="GA10" s="53">
        <f>(1+GrowthOther)^(MAX(0,180-GrowthStartMonth)/12)</f>
        <v/>
      </c>
      <c r="GB10" s="53">
        <f>(1+GrowthOther)^(MAX(0,181-GrowthStartMonth)/12)</f>
        <v/>
      </c>
      <c r="GC10" s="53">
        <f>(1+GrowthOther)^(MAX(0,182-GrowthStartMonth)/12)</f>
        <v/>
      </c>
      <c r="GD10" s="53">
        <f>(1+GrowthOther)^(MAX(0,183-GrowthStartMonth)/12)</f>
        <v/>
      </c>
      <c r="GE10" s="53">
        <f>(1+GrowthOther)^(MAX(0,184-GrowthStartMonth)/12)</f>
        <v/>
      </c>
      <c r="GF10" s="53">
        <f>(1+GrowthOther)^(MAX(0,185-GrowthStartMonth)/12)</f>
        <v/>
      </c>
      <c r="GG10" s="53">
        <f>(1+GrowthOther)^(MAX(0,186-GrowthStartMonth)/12)</f>
        <v/>
      </c>
      <c r="GH10" s="53">
        <f>(1+GrowthOther)^(MAX(0,187-GrowthStartMonth)/12)</f>
        <v/>
      </c>
      <c r="GI10" s="53">
        <f>(1+GrowthOther)^(MAX(0,188-GrowthStartMonth)/12)</f>
        <v/>
      </c>
      <c r="GJ10" s="53">
        <f>(1+GrowthOther)^(MAX(0,189-GrowthStartMonth)/12)</f>
        <v/>
      </c>
      <c r="GK10" s="53">
        <f>(1+GrowthOther)^(MAX(0,190-GrowthStartMonth)/12)</f>
        <v/>
      </c>
      <c r="GL10" s="53">
        <f>(1+GrowthOther)^(MAX(0,191-GrowthStartMonth)/12)</f>
        <v/>
      </c>
      <c r="GM10" s="53">
        <f>(1+GrowthOther)^(MAX(0,192-GrowthStartMonth)/12)</f>
        <v/>
      </c>
      <c r="GN10" s="53">
        <f>(1+GrowthOther)^(MAX(0,193-GrowthStartMonth)/12)</f>
        <v/>
      </c>
      <c r="GO10" s="53">
        <f>(1+GrowthOther)^(MAX(0,194-GrowthStartMonth)/12)</f>
        <v/>
      </c>
      <c r="GP10" s="53">
        <f>(1+GrowthOther)^(MAX(0,195-GrowthStartMonth)/12)</f>
        <v/>
      </c>
      <c r="GQ10" s="53">
        <f>(1+GrowthOther)^(MAX(0,196-GrowthStartMonth)/12)</f>
        <v/>
      </c>
      <c r="GR10" s="53">
        <f>(1+GrowthOther)^(MAX(0,197-GrowthStartMonth)/12)</f>
        <v/>
      </c>
      <c r="GS10" s="53">
        <f>(1+GrowthOther)^(MAX(0,198-GrowthStartMonth)/12)</f>
        <v/>
      </c>
      <c r="GT10" s="53">
        <f>(1+GrowthOther)^(MAX(0,199-GrowthStartMonth)/12)</f>
        <v/>
      </c>
      <c r="GU10" s="53">
        <f>(1+GrowthOther)^(MAX(0,200-GrowthStartMonth)/12)</f>
        <v/>
      </c>
      <c r="GV10" s="53">
        <f>(1+GrowthOther)^(MAX(0,201-GrowthStartMonth)/12)</f>
        <v/>
      </c>
      <c r="GW10" s="53">
        <f>(1+GrowthOther)^(MAX(0,202-GrowthStartMonth)/12)</f>
        <v/>
      </c>
      <c r="GX10" s="53">
        <f>(1+GrowthOther)^(MAX(0,203-GrowthStartMonth)/12)</f>
        <v/>
      </c>
      <c r="GY10" s="53">
        <f>(1+GrowthOther)^(MAX(0,204-GrowthStartMonth)/12)</f>
        <v/>
      </c>
      <c r="GZ10" s="53">
        <f>(1+GrowthOther)^(MAX(0,205-GrowthStartMonth)/12)</f>
        <v/>
      </c>
      <c r="HA10" s="53">
        <f>(1+GrowthOther)^(MAX(0,206-GrowthStartMonth)/12)</f>
        <v/>
      </c>
      <c r="HB10" s="53">
        <f>(1+GrowthOther)^(MAX(0,207-GrowthStartMonth)/12)</f>
        <v/>
      </c>
      <c r="HC10" s="53">
        <f>(1+GrowthOther)^(MAX(0,208-GrowthStartMonth)/12)</f>
        <v/>
      </c>
      <c r="HD10" s="53">
        <f>(1+GrowthOther)^(MAX(0,209-GrowthStartMonth)/12)</f>
        <v/>
      </c>
      <c r="HE10" s="53">
        <f>(1+GrowthOther)^(MAX(0,210-GrowthStartMonth)/12)</f>
        <v/>
      </c>
      <c r="HF10" s="53">
        <f>(1+GrowthOther)^(MAX(0,211-GrowthStartMonth)/12)</f>
        <v/>
      </c>
      <c r="HG10" s="53">
        <f>(1+GrowthOther)^(MAX(0,212-GrowthStartMonth)/12)</f>
        <v/>
      </c>
      <c r="HH10" s="53">
        <f>(1+GrowthOther)^(MAX(0,213-GrowthStartMonth)/12)</f>
        <v/>
      </c>
      <c r="HI10" s="53">
        <f>(1+GrowthOther)^(MAX(0,214-GrowthStartMonth)/12)</f>
        <v/>
      </c>
      <c r="HJ10" s="53">
        <f>(1+GrowthOther)^(MAX(0,215-GrowthStartMonth)/12)</f>
        <v/>
      </c>
      <c r="HK10" s="53">
        <f>(1+GrowthOther)^(MAX(0,216-GrowthStartMonth)/12)</f>
        <v/>
      </c>
      <c r="HL10" s="53">
        <f>(1+GrowthOther)^(MAX(0,217-GrowthStartMonth)/12)</f>
        <v/>
      </c>
      <c r="HM10" s="53">
        <f>(1+GrowthOther)^(MAX(0,218-GrowthStartMonth)/12)</f>
        <v/>
      </c>
      <c r="HN10" s="53">
        <f>(1+GrowthOther)^(MAX(0,219-GrowthStartMonth)/12)</f>
        <v/>
      </c>
      <c r="HO10" s="53">
        <f>(1+GrowthOther)^(MAX(0,220-GrowthStartMonth)/12)</f>
        <v/>
      </c>
      <c r="HP10" s="53">
        <f>(1+GrowthOther)^(MAX(0,221-GrowthStartMonth)/12)</f>
        <v/>
      </c>
      <c r="HQ10" s="53">
        <f>(1+GrowthOther)^(MAX(0,222-GrowthStartMonth)/12)</f>
        <v/>
      </c>
      <c r="HR10" s="53">
        <f>(1+GrowthOther)^(MAX(0,223-GrowthStartMonth)/12)</f>
        <v/>
      </c>
      <c r="HS10" s="53">
        <f>(1+GrowthOther)^(MAX(0,224-GrowthStartMonth)/12)</f>
        <v/>
      </c>
      <c r="HT10" s="53">
        <f>(1+GrowthOther)^(MAX(0,225-GrowthStartMonth)/12)</f>
        <v/>
      </c>
      <c r="HU10" s="53">
        <f>(1+GrowthOther)^(MAX(0,226-GrowthStartMonth)/12)</f>
        <v/>
      </c>
      <c r="HV10" s="53">
        <f>(1+GrowthOther)^(MAX(0,227-GrowthStartMonth)/12)</f>
        <v/>
      </c>
      <c r="HW10" s="53">
        <f>(1+GrowthOther)^(MAX(0,228-GrowthStartMonth)/12)</f>
        <v/>
      </c>
      <c r="HX10" s="53">
        <f>(1+GrowthOther)^(MAX(0,229-GrowthStartMonth)/12)</f>
        <v/>
      </c>
      <c r="HY10" s="53">
        <f>(1+GrowthOther)^(MAX(0,230-GrowthStartMonth)/12)</f>
        <v/>
      </c>
      <c r="HZ10" s="53">
        <f>(1+GrowthOther)^(MAX(0,231-GrowthStartMonth)/12)</f>
        <v/>
      </c>
      <c r="IA10" s="53">
        <f>(1+GrowthOther)^(MAX(0,232-GrowthStartMonth)/12)</f>
        <v/>
      </c>
      <c r="IB10" s="53">
        <f>(1+GrowthOther)^(MAX(0,233-GrowthStartMonth)/12)</f>
        <v/>
      </c>
      <c r="IC10" s="53">
        <f>(1+GrowthOther)^(MAX(0,234-GrowthStartMonth)/12)</f>
        <v/>
      </c>
      <c r="ID10" s="53">
        <f>(1+GrowthOther)^(MAX(0,235-GrowthStartMonth)/12)</f>
        <v/>
      </c>
      <c r="IE10" s="53">
        <f>(1+GrowthOther)^(MAX(0,236-GrowthStartMonth)/12)</f>
        <v/>
      </c>
      <c r="IF10" s="53">
        <f>(1+GrowthOther)^(MAX(0,237-GrowthStartMonth)/12)</f>
        <v/>
      </c>
      <c r="IG10" s="53">
        <f>(1+GrowthOther)^(MAX(0,238-GrowthStartMonth)/12)</f>
        <v/>
      </c>
      <c r="IH10" s="53">
        <f>(1+GrowthOther)^(MAX(0,239-GrowthStartMonth)/12)</f>
        <v/>
      </c>
      <c r="II10" s="53">
        <f>(1+GrowthOther)^(MAX(0,240-GrowthStartMonth)/12)</f>
        <v/>
      </c>
      <c r="IJ10" s="53">
        <f>(1+GrowthOther)^(MAX(0,241-GrowthStartMonth)/12)</f>
        <v/>
      </c>
      <c r="IK10" s="53">
        <f>(1+GrowthOther)^(MAX(0,242-GrowthStartMonth)/12)</f>
        <v/>
      </c>
      <c r="IL10" s="53">
        <f>(1+GrowthOther)^(MAX(0,243-GrowthStartMonth)/12)</f>
        <v/>
      </c>
      <c r="IM10" s="53">
        <f>(1+GrowthOther)^(MAX(0,244-GrowthStartMonth)/12)</f>
        <v/>
      </c>
      <c r="IN10" s="53">
        <f>(1+GrowthOther)^(MAX(0,245-GrowthStartMonth)/12)</f>
        <v/>
      </c>
      <c r="IO10" s="53">
        <f>(1+GrowthOther)^(MAX(0,246-GrowthStartMonth)/12)</f>
        <v/>
      </c>
      <c r="IP10" s="53">
        <f>(1+GrowthOther)^(MAX(0,247-GrowthStartMonth)/12)</f>
        <v/>
      </c>
      <c r="IQ10" s="53">
        <f>(1+GrowthOther)^(MAX(0,248-GrowthStartMonth)/12)</f>
        <v/>
      </c>
      <c r="IR10" s="53">
        <f>(1+GrowthOther)^(MAX(0,249-GrowthStartMonth)/12)</f>
        <v/>
      </c>
      <c r="IS10" s="53">
        <f>(1+GrowthOther)^(MAX(0,250-GrowthStartMonth)/12)</f>
        <v/>
      </c>
      <c r="IT10" s="53">
        <f>(1+GrowthOther)^(MAX(0,251-GrowthStartMonth)/12)</f>
        <v/>
      </c>
      <c r="IU10" s="53">
        <f>(1+GrowthOther)^(MAX(0,252-GrowthStartMonth)/12)</f>
        <v/>
      </c>
      <c r="IV10" s="53">
        <f>(1+GrowthOther)^(MAX(0,253-GrowthStartMonth)/12)</f>
        <v/>
      </c>
      <c r="IW10" s="53">
        <f>(1+GrowthOther)^(MAX(0,254-GrowthStartMonth)/12)</f>
        <v/>
      </c>
      <c r="IX10" s="53">
        <f>(1+GrowthOther)^(MAX(0,255-GrowthStartMonth)/12)</f>
        <v/>
      </c>
      <c r="IY10" s="53">
        <f>(1+GrowthOther)^(MAX(0,256-GrowthStartMonth)/12)</f>
        <v/>
      </c>
      <c r="IZ10" s="53">
        <f>(1+GrowthOther)^(MAX(0,257-GrowthStartMonth)/12)</f>
        <v/>
      </c>
      <c r="JA10" s="53">
        <f>(1+GrowthOther)^(MAX(0,258-GrowthStartMonth)/12)</f>
        <v/>
      </c>
      <c r="JB10" s="53">
        <f>(1+GrowthOther)^(MAX(0,259-GrowthStartMonth)/12)</f>
        <v/>
      </c>
      <c r="JC10" s="53">
        <f>(1+GrowthOther)^(MAX(0,260-GrowthStartMonth)/12)</f>
        <v/>
      </c>
      <c r="JD10" s="53">
        <f>(1+GrowthOther)^(MAX(0,261-GrowthStartMonth)/12)</f>
        <v/>
      </c>
      <c r="JE10" s="53">
        <f>(1+GrowthOther)^(MAX(0,262-GrowthStartMonth)/12)</f>
        <v/>
      </c>
      <c r="JF10" s="53">
        <f>(1+GrowthOther)^(MAX(0,263-GrowthStartMonth)/12)</f>
        <v/>
      </c>
      <c r="JG10" s="53">
        <f>(1+GrowthOther)^(MAX(0,264-GrowthStartMonth)/12)</f>
        <v/>
      </c>
      <c r="JH10" s="53">
        <f>(1+GrowthOther)^(MAX(0,265-GrowthStartMonth)/12)</f>
        <v/>
      </c>
      <c r="JI10" s="53">
        <f>(1+GrowthOther)^(MAX(0,266-GrowthStartMonth)/12)</f>
        <v/>
      </c>
      <c r="JJ10" s="53">
        <f>(1+GrowthOther)^(MAX(0,267-GrowthStartMonth)/12)</f>
        <v/>
      </c>
      <c r="JK10" s="53">
        <f>(1+GrowthOther)^(MAX(0,268-GrowthStartMonth)/12)</f>
        <v/>
      </c>
      <c r="JL10" s="53">
        <f>(1+GrowthOther)^(MAX(0,269-GrowthStartMonth)/12)</f>
        <v/>
      </c>
      <c r="JM10" s="53">
        <f>(1+GrowthOther)^(MAX(0,270-GrowthStartMonth)/12)</f>
        <v/>
      </c>
      <c r="JN10" s="53">
        <f>(1+GrowthOther)^(MAX(0,271-GrowthStartMonth)/12)</f>
        <v/>
      </c>
      <c r="JO10" s="53">
        <f>(1+GrowthOther)^(MAX(0,272-GrowthStartMonth)/12)</f>
        <v/>
      </c>
      <c r="JP10" s="53">
        <f>(1+GrowthOther)^(MAX(0,273-GrowthStartMonth)/12)</f>
        <v/>
      </c>
      <c r="JQ10" s="53">
        <f>(1+GrowthOther)^(MAX(0,274-GrowthStartMonth)/12)</f>
        <v/>
      </c>
      <c r="JR10" s="53">
        <f>(1+GrowthOther)^(MAX(0,275-GrowthStartMonth)/12)</f>
        <v/>
      </c>
      <c r="JS10" s="53">
        <f>(1+GrowthOther)^(MAX(0,276-GrowthStartMonth)/12)</f>
        <v/>
      </c>
      <c r="JT10" s="53">
        <f>(1+GrowthOther)^(MAX(0,277-GrowthStartMonth)/12)</f>
        <v/>
      </c>
      <c r="JU10" s="53">
        <f>(1+GrowthOther)^(MAX(0,278-GrowthStartMonth)/12)</f>
        <v/>
      </c>
      <c r="JV10" s="53">
        <f>(1+GrowthOther)^(MAX(0,279-GrowthStartMonth)/12)</f>
        <v/>
      </c>
      <c r="JW10" s="53">
        <f>(1+GrowthOther)^(MAX(0,280-GrowthStartMonth)/12)</f>
        <v/>
      </c>
      <c r="JX10" s="53">
        <f>(1+GrowthOther)^(MAX(0,281-GrowthStartMonth)/12)</f>
        <v/>
      </c>
      <c r="JY10" s="53">
        <f>(1+GrowthOther)^(MAX(0,282-GrowthStartMonth)/12)</f>
        <v/>
      </c>
      <c r="JZ10" s="53">
        <f>(1+GrowthOther)^(MAX(0,283-GrowthStartMonth)/12)</f>
        <v/>
      </c>
      <c r="KA10" s="53">
        <f>(1+GrowthOther)^(MAX(0,284-GrowthStartMonth)/12)</f>
        <v/>
      </c>
      <c r="KB10" s="53">
        <f>(1+GrowthOther)^(MAX(0,285-GrowthStartMonth)/12)</f>
        <v/>
      </c>
      <c r="KC10" s="53">
        <f>(1+GrowthOther)^(MAX(0,286-GrowthStartMonth)/12)</f>
        <v/>
      </c>
      <c r="KD10" s="53">
        <f>(1+GrowthOther)^(MAX(0,287-GrowthStartMonth)/12)</f>
        <v/>
      </c>
      <c r="KE10" s="53">
        <f>(1+GrowthOther)^(MAX(0,288-GrowthStartMonth)/12)</f>
        <v/>
      </c>
      <c r="KF10" s="53">
        <f>(1+GrowthOther)^(MAX(0,289-GrowthStartMonth)/12)</f>
        <v/>
      </c>
      <c r="KG10" s="53">
        <f>(1+GrowthOther)^(MAX(0,290-GrowthStartMonth)/12)</f>
        <v/>
      </c>
      <c r="KH10" s="53">
        <f>(1+GrowthOther)^(MAX(0,291-GrowthStartMonth)/12)</f>
        <v/>
      </c>
      <c r="KI10" s="53">
        <f>(1+GrowthOther)^(MAX(0,292-GrowthStartMonth)/12)</f>
        <v/>
      </c>
      <c r="KJ10" s="53">
        <f>(1+GrowthOther)^(MAX(0,293-GrowthStartMonth)/12)</f>
        <v/>
      </c>
      <c r="KK10" s="53">
        <f>(1+GrowthOther)^(MAX(0,294-GrowthStartMonth)/12)</f>
        <v/>
      </c>
      <c r="KL10" s="53">
        <f>(1+GrowthOther)^(MAX(0,295-GrowthStartMonth)/12)</f>
        <v/>
      </c>
      <c r="KM10" s="53">
        <f>(1+GrowthOther)^(MAX(0,296-GrowthStartMonth)/12)</f>
        <v/>
      </c>
      <c r="KN10" s="53">
        <f>(1+GrowthOther)^(MAX(0,297-GrowthStartMonth)/12)</f>
        <v/>
      </c>
      <c r="KO10" s="53">
        <f>(1+GrowthOther)^(MAX(0,298-GrowthStartMonth)/12)</f>
        <v/>
      </c>
      <c r="KP10" s="53">
        <f>(1+GrowthOther)^(MAX(0,299-GrowthStartMonth)/12)</f>
        <v/>
      </c>
      <c r="KQ10" s="53">
        <f>(1+GrowthOther)^(MAX(0,300-GrowthStartMonth)/12)</f>
        <v/>
      </c>
      <c r="KR10" s="53">
        <f>(1+GrowthOther)^(MAX(0,301-GrowthStartMonth)/12)</f>
        <v/>
      </c>
      <c r="KS10" s="53">
        <f>(1+GrowthOther)^(MAX(0,302-GrowthStartMonth)/12)</f>
        <v/>
      </c>
      <c r="KT10" s="53">
        <f>(1+GrowthOther)^(MAX(0,303-GrowthStartMonth)/12)</f>
        <v/>
      </c>
      <c r="KU10" s="53">
        <f>(1+GrowthOther)^(MAX(0,304-GrowthStartMonth)/12)</f>
        <v/>
      </c>
      <c r="KV10" s="53">
        <f>(1+GrowthOther)^(MAX(0,305-GrowthStartMonth)/12)</f>
        <v/>
      </c>
      <c r="KW10" s="53">
        <f>(1+GrowthOther)^(MAX(0,306-GrowthStartMonth)/12)</f>
        <v/>
      </c>
      <c r="KX10" s="53">
        <f>(1+GrowthOther)^(MAX(0,307-GrowthStartMonth)/12)</f>
        <v/>
      </c>
      <c r="KY10" s="53">
        <f>(1+GrowthOther)^(MAX(0,308-GrowthStartMonth)/12)</f>
        <v/>
      </c>
      <c r="KZ10" s="53">
        <f>(1+GrowthOther)^(MAX(0,309-GrowthStartMonth)/12)</f>
        <v/>
      </c>
      <c r="LA10" s="53">
        <f>(1+GrowthOther)^(MAX(0,310-GrowthStartMonth)/12)</f>
        <v/>
      </c>
      <c r="LB10" s="53">
        <f>(1+GrowthOther)^(MAX(0,311-GrowthStartMonth)/12)</f>
        <v/>
      </c>
      <c r="LC10" s="53">
        <f>(1+GrowthOther)^(MAX(0,312-GrowthStartMonth)/12)</f>
        <v/>
      </c>
      <c r="LD10" s="53">
        <f>(1+GrowthOther)^(MAX(0,313-GrowthStartMonth)/12)</f>
        <v/>
      </c>
      <c r="LE10" s="53">
        <f>(1+GrowthOther)^(MAX(0,314-GrowthStartMonth)/12)</f>
        <v/>
      </c>
      <c r="LF10" s="53">
        <f>(1+GrowthOther)^(MAX(0,315-GrowthStartMonth)/12)</f>
        <v/>
      </c>
      <c r="LG10" s="53">
        <f>(1+GrowthOther)^(MAX(0,316-GrowthStartMonth)/12)</f>
        <v/>
      </c>
      <c r="LH10" s="53">
        <f>(1+GrowthOther)^(MAX(0,317-GrowthStartMonth)/12)</f>
        <v/>
      </c>
      <c r="LI10" s="53">
        <f>(1+GrowthOther)^(MAX(0,318-GrowthStartMonth)/12)</f>
        <v/>
      </c>
      <c r="LJ10" s="53">
        <f>(1+GrowthOther)^(MAX(0,319-GrowthStartMonth)/12)</f>
        <v/>
      </c>
      <c r="LK10" s="53">
        <f>(1+GrowthOther)^(MAX(0,320-GrowthStartMonth)/12)</f>
        <v/>
      </c>
      <c r="LL10" s="53">
        <f>(1+GrowthOther)^(MAX(0,321-GrowthStartMonth)/12)</f>
        <v/>
      </c>
      <c r="LM10" s="53">
        <f>(1+GrowthOther)^(MAX(0,322-GrowthStartMonth)/12)</f>
        <v/>
      </c>
      <c r="LN10" s="53">
        <f>(1+GrowthOther)^(MAX(0,323-GrowthStartMonth)/12)</f>
        <v/>
      </c>
      <c r="LO10" s="53">
        <f>(1+GrowthOther)^(MAX(0,324-GrowthStartMonth)/12)</f>
        <v/>
      </c>
      <c r="LP10" s="53">
        <f>(1+GrowthOther)^(MAX(0,325-GrowthStartMonth)/12)</f>
        <v/>
      </c>
      <c r="LQ10" s="53">
        <f>(1+GrowthOther)^(MAX(0,326-GrowthStartMonth)/12)</f>
        <v/>
      </c>
      <c r="LR10" s="53">
        <f>(1+GrowthOther)^(MAX(0,327-GrowthStartMonth)/12)</f>
        <v/>
      </c>
      <c r="LS10" s="53">
        <f>(1+GrowthOther)^(MAX(0,328-GrowthStartMonth)/12)</f>
        <v/>
      </c>
      <c r="LT10" s="53">
        <f>(1+GrowthOther)^(MAX(0,329-GrowthStartMonth)/12)</f>
        <v/>
      </c>
      <c r="LU10" s="53">
        <f>(1+GrowthOther)^(MAX(0,330-GrowthStartMonth)/12)</f>
        <v/>
      </c>
      <c r="LV10" s="53">
        <f>(1+GrowthOther)^(MAX(0,331-GrowthStartMonth)/12)</f>
        <v/>
      </c>
      <c r="LW10" s="53">
        <f>(1+GrowthOther)^(MAX(0,332-GrowthStartMonth)/12)</f>
        <v/>
      </c>
      <c r="LX10" s="53">
        <f>(1+GrowthOther)^(MAX(0,333-GrowthStartMonth)/12)</f>
        <v/>
      </c>
      <c r="LY10" s="53">
        <f>(1+GrowthOther)^(MAX(0,334-GrowthStartMonth)/12)</f>
        <v/>
      </c>
      <c r="LZ10" s="53">
        <f>(1+GrowthOther)^(MAX(0,335-GrowthStartMonth)/12)</f>
        <v/>
      </c>
      <c r="MA10" s="53">
        <f>(1+GrowthOther)^(MAX(0,336-GrowthStartMonth)/12)</f>
        <v/>
      </c>
      <c r="MB10" s="53">
        <f>(1+GrowthOther)^(MAX(0,337-GrowthStartMonth)/12)</f>
        <v/>
      </c>
      <c r="MC10" s="53">
        <f>(1+GrowthOther)^(MAX(0,338-GrowthStartMonth)/12)</f>
        <v/>
      </c>
      <c r="MD10" s="53">
        <f>(1+GrowthOther)^(MAX(0,339-GrowthStartMonth)/12)</f>
        <v/>
      </c>
      <c r="ME10" s="53">
        <f>(1+GrowthOther)^(MAX(0,340-GrowthStartMonth)/12)</f>
        <v/>
      </c>
      <c r="MF10" s="53">
        <f>(1+GrowthOther)^(MAX(0,341-GrowthStartMonth)/12)</f>
        <v/>
      </c>
      <c r="MG10" s="53">
        <f>(1+GrowthOther)^(MAX(0,342-GrowthStartMonth)/12)</f>
        <v/>
      </c>
      <c r="MH10" s="53">
        <f>(1+GrowthOther)^(MAX(0,343-GrowthStartMonth)/12)</f>
        <v/>
      </c>
      <c r="MI10" s="53">
        <f>(1+GrowthOther)^(MAX(0,344-GrowthStartMonth)/12)</f>
        <v/>
      </c>
      <c r="MJ10" s="53">
        <f>(1+GrowthOther)^(MAX(0,345-GrowthStartMonth)/12)</f>
        <v/>
      </c>
      <c r="MK10" s="53">
        <f>(1+GrowthOther)^(MAX(0,346-GrowthStartMonth)/12)</f>
        <v/>
      </c>
      <c r="ML10" s="53">
        <f>(1+GrowthOther)^(MAX(0,347-GrowthStartMonth)/12)</f>
        <v/>
      </c>
      <c r="MM10" s="53">
        <f>(1+GrowthOther)^(MAX(0,348-GrowthStartMonth)/12)</f>
        <v/>
      </c>
      <c r="MN10" s="53">
        <f>(1+GrowthOther)^(MAX(0,349-GrowthStartMonth)/12)</f>
        <v/>
      </c>
      <c r="MO10" s="53">
        <f>(1+GrowthOther)^(MAX(0,350-GrowthStartMonth)/12)</f>
        <v/>
      </c>
      <c r="MP10" s="53">
        <f>(1+GrowthOther)^(MAX(0,351-GrowthStartMonth)/12)</f>
        <v/>
      </c>
      <c r="MQ10" s="53">
        <f>(1+GrowthOther)^(MAX(0,352-GrowthStartMonth)/12)</f>
        <v/>
      </c>
      <c r="MR10" s="53">
        <f>(1+GrowthOther)^(MAX(0,353-GrowthStartMonth)/12)</f>
        <v/>
      </c>
      <c r="MS10" s="53">
        <f>(1+GrowthOther)^(MAX(0,354-GrowthStartMonth)/12)</f>
        <v/>
      </c>
      <c r="MT10" s="53">
        <f>(1+GrowthOther)^(MAX(0,355-GrowthStartMonth)/12)</f>
        <v/>
      </c>
      <c r="MU10" s="53">
        <f>(1+GrowthOther)^(MAX(0,356-GrowthStartMonth)/12)</f>
        <v/>
      </c>
      <c r="MV10" s="53">
        <f>(1+GrowthOther)^(MAX(0,357-GrowthStartMonth)/12)</f>
        <v/>
      </c>
      <c r="MW10" s="53">
        <f>(1+GrowthOther)^(MAX(0,358-GrowthStartMonth)/12)</f>
        <v/>
      </c>
      <c r="MX10" s="53">
        <f>(1+GrowthOther)^(MAX(0,359-GrowthStartMonth)/12)</f>
        <v/>
      </c>
      <c r="MY10" s="53">
        <f>(1+GrowthOther)^(MAX(0,360-GrowthStartMonth)/12)</f>
        <v/>
      </c>
      <c r="MZ10" s="53">
        <f>(1+GrowthOther)^(MAX(0,361-GrowthStartMonth)/12)</f>
        <v/>
      </c>
      <c r="NA10" s="53">
        <f>(1+GrowthOther)^(MAX(0,362-GrowthStartMonth)/12)</f>
        <v/>
      </c>
      <c r="NB10" s="53">
        <f>(1+GrowthOther)^(MAX(0,363-GrowthStartMonth)/12)</f>
        <v/>
      </c>
      <c r="NC10" s="53">
        <f>(1+GrowthOther)^(MAX(0,364-GrowthStartMonth)/12)</f>
        <v/>
      </c>
      <c r="ND10" s="53">
        <f>(1+GrowthOther)^(MAX(0,365-GrowthStartMonth)/12)</f>
        <v/>
      </c>
      <c r="NE10" s="53">
        <f>(1+GrowthOther)^(MAX(0,366-GrowthStartMonth)/12)</f>
        <v/>
      </c>
      <c r="NF10" s="53">
        <f>(1+GrowthOther)^(MAX(0,367-GrowthStartMonth)/12)</f>
        <v/>
      </c>
      <c r="NG10" s="53">
        <f>(1+GrowthOther)^(MAX(0,368-GrowthStartMonth)/12)</f>
        <v/>
      </c>
      <c r="NH10" s="53">
        <f>(1+GrowthOther)^(MAX(0,369-GrowthStartMonth)/12)</f>
        <v/>
      </c>
      <c r="NI10" s="53">
        <f>(1+GrowthOther)^(MAX(0,370-GrowthStartMonth)/12)</f>
        <v/>
      </c>
      <c r="NJ10" s="53">
        <f>(1+GrowthOther)^(MAX(0,371-GrowthStartMonth)/12)</f>
        <v/>
      </c>
      <c r="NK10" s="53">
        <f>(1+GrowthOther)^(MAX(0,372-GrowthStartMonth)/12)</f>
        <v/>
      </c>
    </row>
    <row r="11">
      <c r="A11" s="5" t="inlineStr">
        <is>
          <t>Var-Expense Ramp Factor</t>
        </is>
      </c>
      <c r="C11" s="52" t="n"/>
      <c r="D11" s="53">
        <f>IF(1&lt;DeliverStart,LeaseUpRampPct,MIN(1,LeaseUpRampPct+(1-LeaseUpRampPct)*'LeaseUp'!D$10/StabilizedOccupancy))</f>
        <v/>
      </c>
      <c r="E11" s="53">
        <f>IF(2&lt;DeliverStart,LeaseUpRampPct,MIN(1,LeaseUpRampPct+(1-LeaseUpRampPct)*'LeaseUp'!E$10/StabilizedOccupancy))</f>
        <v/>
      </c>
      <c r="F11" s="53">
        <f>IF(3&lt;DeliverStart,LeaseUpRampPct,MIN(1,LeaseUpRampPct+(1-LeaseUpRampPct)*'LeaseUp'!F$10/StabilizedOccupancy))</f>
        <v/>
      </c>
      <c r="G11" s="53">
        <f>IF(4&lt;DeliverStart,LeaseUpRampPct,MIN(1,LeaseUpRampPct+(1-LeaseUpRampPct)*'LeaseUp'!G$10/StabilizedOccupancy))</f>
        <v/>
      </c>
      <c r="H11" s="53">
        <f>IF(5&lt;DeliverStart,LeaseUpRampPct,MIN(1,LeaseUpRampPct+(1-LeaseUpRampPct)*'LeaseUp'!H$10/StabilizedOccupancy))</f>
        <v/>
      </c>
      <c r="I11" s="53">
        <f>IF(6&lt;DeliverStart,LeaseUpRampPct,MIN(1,LeaseUpRampPct+(1-LeaseUpRampPct)*'LeaseUp'!I$10/StabilizedOccupancy))</f>
        <v/>
      </c>
      <c r="J11" s="53">
        <f>IF(7&lt;DeliverStart,LeaseUpRampPct,MIN(1,LeaseUpRampPct+(1-LeaseUpRampPct)*'LeaseUp'!J$10/StabilizedOccupancy))</f>
        <v/>
      </c>
      <c r="K11" s="53">
        <f>IF(8&lt;DeliverStart,LeaseUpRampPct,MIN(1,LeaseUpRampPct+(1-LeaseUpRampPct)*'LeaseUp'!K$10/StabilizedOccupancy))</f>
        <v/>
      </c>
      <c r="L11" s="53">
        <f>IF(9&lt;DeliverStart,LeaseUpRampPct,MIN(1,LeaseUpRampPct+(1-LeaseUpRampPct)*'LeaseUp'!L$10/StabilizedOccupancy))</f>
        <v/>
      </c>
      <c r="M11" s="53">
        <f>IF(10&lt;DeliverStart,LeaseUpRampPct,MIN(1,LeaseUpRampPct+(1-LeaseUpRampPct)*'LeaseUp'!M$10/StabilizedOccupancy))</f>
        <v/>
      </c>
      <c r="N11" s="53">
        <f>IF(11&lt;DeliverStart,LeaseUpRampPct,MIN(1,LeaseUpRampPct+(1-LeaseUpRampPct)*'LeaseUp'!N$10/StabilizedOccupancy))</f>
        <v/>
      </c>
      <c r="O11" s="53">
        <f>IF(12&lt;DeliverStart,LeaseUpRampPct,MIN(1,LeaseUpRampPct+(1-LeaseUpRampPct)*'LeaseUp'!O$10/StabilizedOccupancy))</f>
        <v/>
      </c>
      <c r="P11" s="53">
        <f>IF(13&lt;DeliverStart,LeaseUpRampPct,MIN(1,LeaseUpRampPct+(1-LeaseUpRampPct)*'LeaseUp'!P$10/StabilizedOccupancy))</f>
        <v/>
      </c>
      <c r="Q11" s="53">
        <f>IF(14&lt;DeliverStart,LeaseUpRampPct,MIN(1,LeaseUpRampPct+(1-LeaseUpRampPct)*'LeaseUp'!Q$10/StabilizedOccupancy))</f>
        <v/>
      </c>
      <c r="R11" s="53">
        <f>IF(15&lt;DeliverStart,LeaseUpRampPct,MIN(1,LeaseUpRampPct+(1-LeaseUpRampPct)*'LeaseUp'!R$10/StabilizedOccupancy))</f>
        <v/>
      </c>
      <c r="S11" s="53">
        <f>IF(16&lt;DeliverStart,LeaseUpRampPct,MIN(1,LeaseUpRampPct+(1-LeaseUpRampPct)*'LeaseUp'!S$10/StabilizedOccupancy))</f>
        <v/>
      </c>
      <c r="T11" s="53">
        <f>IF(17&lt;DeliverStart,LeaseUpRampPct,MIN(1,LeaseUpRampPct+(1-LeaseUpRampPct)*'LeaseUp'!T$10/StabilizedOccupancy))</f>
        <v/>
      </c>
      <c r="U11" s="53">
        <f>IF(18&lt;DeliverStart,LeaseUpRampPct,MIN(1,LeaseUpRampPct+(1-LeaseUpRampPct)*'LeaseUp'!U$10/StabilizedOccupancy))</f>
        <v/>
      </c>
      <c r="V11" s="53">
        <f>IF(19&lt;DeliverStart,LeaseUpRampPct,MIN(1,LeaseUpRampPct+(1-LeaseUpRampPct)*'LeaseUp'!V$10/StabilizedOccupancy))</f>
        <v/>
      </c>
      <c r="W11" s="53">
        <f>IF(20&lt;DeliverStart,LeaseUpRampPct,MIN(1,LeaseUpRampPct+(1-LeaseUpRampPct)*'LeaseUp'!W$10/StabilizedOccupancy))</f>
        <v/>
      </c>
      <c r="X11" s="53">
        <f>IF(21&lt;DeliverStart,LeaseUpRampPct,MIN(1,LeaseUpRampPct+(1-LeaseUpRampPct)*'LeaseUp'!X$10/StabilizedOccupancy))</f>
        <v/>
      </c>
      <c r="Y11" s="53">
        <f>IF(22&lt;DeliverStart,LeaseUpRampPct,MIN(1,LeaseUpRampPct+(1-LeaseUpRampPct)*'LeaseUp'!Y$10/StabilizedOccupancy))</f>
        <v/>
      </c>
      <c r="Z11" s="53">
        <f>IF(23&lt;DeliverStart,LeaseUpRampPct,MIN(1,LeaseUpRampPct+(1-LeaseUpRampPct)*'LeaseUp'!Z$10/StabilizedOccupancy))</f>
        <v/>
      </c>
      <c r="AA11" s="53">
        <f>IF(24&lt;DeliverStart,LeaseUpRampPct,MIN(1,LeaseUpRampPct+(1-LeaseUpRampPct)*'LeaseUp'!AA$10/StabilizedOccupancy))</f>
        <v/>
      </c>
      <c r="AB11" s="53">
        <f>IF(25&lt;DeliverStart,LeaseUpRampPct,MIN(1,LeaseUpRampPct+(1-LeaseUpRampPct)*'LeaseUp'!AB$10/StabilizedOccupancy))</f>
        <v/>
      </c>
      <c r="AC11" s="53">
        <f>IF(26&lt;DeliverStart,LeaseUpRampPct,MIN(1,LeaseUpRampPct+(1-LeaseUpRampPct)*'LeaseUp'!AC$10/StabilizedOccupancy))</f>
        <v/>
      </c>
      <c r="AD11" s="53">
        <f>IF(27&lt;DeliverStart,LeaseUpRampPct,MIN(1,LeaseUpRampPct+(1-LeaseUpRampPct)*'LeaseUp'!AD$10/StabilizedOccupancy))</f>
        <v/>
      </c>
      <c r="AE11" s="53">
        <f>IF(28&lt;DeliverStart,LeaseUpRampPct,MIN(1,LeaseUpRampPct+(1-LeaseUpRampPct)*'LeaseUp'!AE$10/StabilizedOccupancy))</f>
        <v/>
      </c>
      <c r="AF11" s="53">
        <f>IF(29&lt;DeliverStart,LeaseUpRampPct,MIN(1,LeaseUpRampPct+(1-LeaseUpRampPct)*'LeaseUp'!AF$10/StabilizedOccupancy))</f>
        <v/>
      </c>
      <c r="AG11" s="53">
        <f>IF(30&lt;DeliverStart,LeaseUpRampPct,MIN(1,LeaseUpRampPct+(1-LeaseUpRampPct)*'LeaseUp'!AG$10/StabilizedOccupancy))</f>
        <v/>
      </c>
      <c r="AH11" s="53">
        <f>IF(31&lt;DeliverStart,LeaseUpRampPct,MIN(1,LeaseUpRampPct+(1-LeaseUpRampPct)*'LeaseUp'!AH$10/StabilizedOccupancy))</f>
        <v/>
      </c>
      <c r="AI11" s="53">
        <f>IF(32&lt;DeliverStart,LeaseUpRampPct,MIN(1,LeaseUpRampPct+(1-LeaseUpRampPct)*'LeaseUp'!AI$10/StabilizedOccupancy))</f>
        <v/>
      </c>
      <c r="AJ11" s="53">
        <f>IF(33&lt;DeliverStart,LeaseUpRampPct,MIN(1,LeaseUpRampPct+(1-LeaseUpRampPct)*'LeaseUp'!AJ$10/StabilizedOccupancy))</f>
        <v/>
      </c>
      <c r="AK11" s="53">
        <f>IF(34&lt;DeliverStart,LeaseUpRampPct,MIN(1,LeaseUpRampPct+(1-LeaseUpRampPct)*'LeaseUp'!AK$10/StabilizedOccupancy))</f>
        <v/>
      </c>
      <c r="AL11" s="53">
        <f>IF(35&lt;DeliverStart,LeaseUpRampPct,MIN(1,LeaseUpRampPct+(1-LeaseUpRampPct)*'LeaseUp'!AL$10/StabilizedOccupancy))</f>
        <v/>
      </c>
      <c r="AM11" s="53">
        <f>IF(36&lt;DeliverStart,LeaseUpRampPct,MIN(1,LeaseUpRampPct+(1-LeaseUpRampPct)*'LeaseUp'!AM$10/StabilizedOccupancy))</f>
        <v/>
      </c>
      <c r="AN11" s="53">
        <f>IF(37&lt;DeliverStart,LeaseUpRampPct,MIN(1,LeaseUpRampPct+(1-LeaseUpRampPct)*'LeaseUp'!AN$10/StabilizedOccupancy))</f>
        <v/>
      </c>
      <c r="AO11" s="53">
        <f>IF(38&lt;DeliverStart,LeaseUpRampPct,MIN(1,LeaseUpRampPct+(1-LeaseUpRampPct)*'LeaseUp'!AO$10/StabilizedOccupancy))</f>
        <v/>
      </c>
      <c r="AP11" s="53">
        <f>IF(39&lt;DeliverStart,LeaseUpRampPct,MIN(1,LeaseUpRampPct+(1-LeaseUpRampPct)*'LeaseUp'!AP$10/StabilizedOccupancy))</f>
        <v/>
      </c>
      <c r="AQ11" s="53">
        <f>IF(40&lt;DeliverStart,LeaseUpRampPct,MIN(1,LeaseUpRampPct+(1-LeaseUpRampPct)*'LeaseUp'!AQ$10/StabilizedOccupancy))</f>
        <v/>
      </c>
      <c r="AR11" s="53">
        <f>IF(41&lt;DeliverStart,LeaseUpRampPct,MIN(1,LeaseUpRampPct+(1-LeaseUpRampPct)*'LeaseUp'!AR$10/StabilizedOccupancy))</f>
        <v/>
      </c>
      <c r="AS11" s="53">
        <f>IF(42&lt;DeliverStart,LeaseUpRampPct,MIN(1,LeaseUpRampPct+(1-LeaseUpRampPct)*'LeaseUp'!AS$10/StabilizedOccupancy))</f>
        <v/>
      </c>
      <c r="AT11" s="53">
        <f>IF(43&lt;DeliverStart,LeaseUpRampPct,MIN(1,LeaseUpRampPct+(1-LeaseUpRampPct)*'LeaseUp'!AT$10/StabilizedOccupancy))</f>
        <v/>
      </c>
      <c r="AU11" s="53">
        <f>IF(44&lt;DeliverStart,LeaseUpRampPct,MIN(1,LeaseUpRampPct+(1-LeaseUpRampPct)*'LeaseUp'!AU$10/StabilizedOccupancy))</f>
        <v/>
      </c>
      <c r="AV11" s="53">
        <f>IF(45&lt;DeliverStart,LeaseUpRampPct,MIN(1,LeaseUpRampPct+(1-LeaseUpRampPct)*'LeaseUp'!AV$10/StabilizedOccupancy))</f>
        <v/>
      </c>
      <c r="AW11" s="53">
        <f>IF(46&lt;DeliverStart,LeaseUpRampPct,MIN(1,LeaseUpRampPct+(1-LeaseUpRampPct)*'LeaseUp'!AW$10/StabilizedOccupancy))</f>
        <v/>
      </c>
      <c r="AX11" s="53">
        <f>IF(47&lt;DeliverStart,LeaseUpRampPct,MIN(1,LeaseUpRampPct+(1-LeaseUpRampPct)*'LeaseUp'!AX$10/StabilizedOccupancy))</f>
        <v/>
      </c>
      <c r="AY11" s="53">
        <f>IF(48&lt;DeliverStart,LeaseUpRampPct,MIN(1,LeaseUpRampPct+(1-LeaseUpRampPct)*'LeaseUp'!AY$10/StabilizedOccupancy))</f>
        <v/>
      </c>
      <c r="AZ11" s="53">
        <f>IF(49&lt;DeliverStart,LeaseUpRampPct,MIN(1,LeaseUpRampPct+(1-LeaseUpRampPct)*'LeaseUp'!AZ$10/StabilizedOccupancy))</f>
        <v/>
      </c>
      <c r="BA11" s="53">
        <f>IF(50&lt;DeliverStart,LeaseUpRampPct,MIN(1,LeaseUpRampPct+(1-LeaseUpRampPct)*'LeaseUp'!BA$10/StabilizedOccupancy))</f>
        <v/>
      </c>
      <c r="BB11" s="53">
        <f>IF(51&lt;DeliverStart,LeaseUpRampPct,MIN(1,LeaseUpRampPct+(1-LeaseUpRampPct)*'LeaseUp'!BB$10/StabilizedOccupancy))</f>
        <v/>
      </c>
      <c r="BC11" s="53">
        <f>IF(52&lt;DeliverStart,LeaseUpRampPct,MIN(1,LeaseUpRampPct+(1-LeaseUpRampPct)*'LeaseUp'!BC$10/StabilizedOccupancy))</f>
        <v/>
      </c>
      <c r="BD11" s="53">
        <f>IF(53&lt;DeliverStart,LeaseUpRampPct,MIN(1,LeaseUpRampPct+(1-LeaseUpRampPct)*'LeaseUp'!BD$10/StabilizedOccupancy))</f>
        <v/>
      </c>
      <c r="BE11" s="53">
        <f>IF(54&lt;DeliverStart,LeaseUpRampPct,MIN(1,LeaseUpRampPct+(1-LeaseUpRampPct)*'LeaseUp'!BE$10/StabilizedOccupancy))</f>
        <v/>
      </c>
      <c r="BF11" s="53">
        <f>IF(55&lt;DeliverStart,LeaseUpRampPct,MIN(1,LeaseUpRampPct+(1-LeaseUpRampPct)*'LeaseUp'!BF$10/StabilizedOccupancy))</f>
        <v/>
      </c>
      <c r="BG11" s="53">
        <f>IF(56&lt;DeliverStart,LeaseUpRampPct,MIN(1,LeaseUpRampPct+(1-LeaseUpRampPct)*'LeaseUp'!BG$10/StabilizedOccupancy))</f>
        <v/>
      </c>
      <c r="BH11" s="53">
        <f>IF(57&lt;DeliverStart,LeaseUpRampPct,MIN(1,LeaseUpRampPct+(1-LeaseUpRampPct)*'LeaseUp'!BH$10/StabilizedOccupancy))</f>
        <v/>
      </c>
      <c r="BI11" s="53">
        <f>IF(58&lt;DeliverStart,LeaseUpRampPct,MIN(1,LeaseUpRampPct+(1-LeaseUpRampPct)*'LeaseUp'!BI$10/StabilizedOccupancy))</f>
        <v/>
      </c>
      <c r="BJ11" s="53">
        <f>IF(59&lt;DeliverStart,LeaseUpRampPct,MIN(1,LeaseUpRampPct+(1-LeaseUpRampPct)*'LeaseUp'!BJ$10/StabilizedOccupancy))</f>
        <v/>
      </c>
      <c r="BK11" s="53">
        <f>IF(60&lt;DeliverStart,LeaseUpRampPct,MIN(1,LeaseUpRampPct+(1-LeaseUpRampPct)*'LeaseUp'!BK$10/StabilizedOccupancy))</f>
        <v/>
      </c>
      <c r="BL11" s="53">
        <f>IF(61&lt;DeliverStart,LeaseUpRampPct,MIN(1,LeaseUpRampPct+(1-LeaseUpRampPct)*'LeaseUp'!BL$10/StabilizedOccupancy))</f>
        <v/>
      </c>
      <c r="BM11" s="53">
        <f>IF(62&lt;DeliverStart,LeaseUpRampPct,MIN(1,LeaseUpRampPct+(1-LeaseUpRampPct)*'LeaseUp'!BM$10/StabilizedOccupancy))</f>
        <v/>
      </c>
      <c r="BN11" s="53">
        <f>IF(63&lt;DeliverStart,LeaseUpRampPct,MIN(1,LeaseUpRampPct+(1-LeaseUpRampPct)*'LeaseUp'!BN$10/StabilizedOccupancy))</f>
        <v/>
      </c>
      <c r="BO11" s="53">
        <f>IF(64&lt;DeliverStart,LeaseUpRampPct,MIN(1,LeaseUpRampPct+(1-LeaseUpRampPct)*'LeaseUp'!BO$10/StabilizedOccupancy))</f>
        <v/>
      </c>
      <c r="BP11" s="53">
        <f>IF(65&lt;DeliverStart,LeaseUpRampPct,MIN(1,LeaseUpRampPct+(1-LeaseUpRampPct)*'LeaseUp'!BP$10/StabilizedOccupancy))</f>
        <v/>
      </c>
      <c r="BQ11" s="53">
        <f>IF(66&lt;DeliverStart,LeaseUpRampPct,MIN(1,LeaseUpRampPct+(1-LeaseUpRampPct)*'LeaseUp'!BQ$10/StabilizedOccupancy))</f>
        <v/>
      </c>
      <c r="BR11" s="53">
        <f>IF(67&lt;DeliverStart,LeaseUpRampPct,MIN(1,LeaseUpRampPct+(1-LeaseUpRampPct)*'LeaseUp'!BR$10/StabilizedOccupancy))</f>
        <v/>
      </c>
      <c r="BS11" s="53">
        <f>IF(68&lt;DeliverStart,LeaseUpRampPct,MIN(1,LeaseUpRampPct+(1-LeaseUpRampPct)*'LeaseUp'!BS$10/StabilizedOccupancy))</f>
        <v/>
      </c>
      <c r="BT11" s="53">
        <f>IF(69&lt;DeliverStart,LeaseUpRampPct,MIN(1,LeaseUpRampPct+(1-LeaseUpRampPct)*'LeaseUp'!BT$10/StabilizedOccupancy))</f>
        <v/>
      </c>
      <c r="BU11" s="53">
        <f>IF(70&lt;DeliverStart,LeaseUpRampPct,MIN(1,LeaseUpRampPct+(1-LeaseUpRampPct)*'LeaseUp'!BU$10/StabilizedOccupancy))</f>
        <v/>
      </c>
      <c r="BV11" s="53">
        <f>IF(71&lt;DeliverStart,LeaseUpRampPct,MIN(1,LeaseUpRampPct+(1-LeaseUpRampPct)*'LeaseUp'!BV$10/StabilizedOccupancy))</f>
        <v/>
      </c>
      <c r="BW11" s="53">
        <f>IF(72&lt;DeliverStart,LeaseUpRampPct,MIN(1,LeaseUpRampPct+(1-LeaseUpRampPct)*'LeaseUp'!BW$10/StabilizedOccupancy))</f>
        <v/>
      </c>
      <c r="BX11" s="53">
        <f>IF(73&lt;DeliverStart,LeaseUpRampPct,MIN(1,LeaseUpRampPct+(1-LeaseUpRampPct)*'LeaseUp'!BX$10/StabilizedOccupancy))</f>
        <v/>
      </c>
      <c r="BY11" s="53">
        <f>IF(74&lt;DeliverStart,LeaseUpRampPct,MIN(1,LeaseUpRampPct+(1-LeaseUpRampPct)*'LeaseUp'!BY$10/StabilizedOccupancy))</f>
        <v/>
      </c>
      <c r="BZ11" s="53">
        <f>IF(75&lt;DeliverStart,LeaseUpRampPct,MIN(1,LeaseUpRampPct+(1-LeaseUpRampPct)*'LeaseUp'!BZ$10/StabilizedOccupancy))</f>
        <v/>
      </c>
      <c r="CA11" s="53">
        <f>IF(76&lt;DeliverStart,LeaseUpRampPct,MIN(1,LeaseUpRampPct+(1-LeaseUpRampPct)*'LeaseUp'!CA$10/StabilizedOccupancy))</f>
        <v/>
      </c>
      <c r="CB11" s="53">
        <f>IF(77&lt;DeliverStart,LeaseUpRampPct,MIN(1,LeaseUpRampPct+(1-LeaseUpRampPct)*'LeaseUp'!CB$10/StabilizedOccupancy))</f>
        <v/>
      </c>
      <c r="CC11" s="53">
        <f>IF(78&lt;DeliverStart,LeaseUpRampPct,MIN(1,LeaseUpRampPct+(1-LeaseUpRampPct)*'LeaseUp'!CC$10/StabilizedOccupancy))</f>
        <v/>
      </c>
      <c r="CD11" s="53">
        <f>IF(79&lt;DeliverStart,LeaseUpRampPct,MIN(1,LeaseUpRampPct+(1-LeaseUpRampPct)*'LeaseUp'!CD$10/StabilizedOccupancy))</f>
        <v/>
      </c>
      <c r="CE11" s="53">
        <f>IF(80&lt;DeliverStart,LeaseUpRampPct,MIN(1,LeaseUpRampPct+(1-LeaseUpRampPct)*'LeaseUp'!CE$10/StabilizedOccupancy))</f>
        <v/>
      </c>
      <c r="CF11" s="53">
        <f>IF(81&lt;DeliverStart,LeaseUpRampPct,MIN(1,LeaseUpRampPct+(1-LeaseUpRampPct)*'LeaseUp'!CF$10/StabilizedOccupancy))</f>
        <v/>
      </c>
      <c r="CG11" s="53">
        <f>IF(82&lt;DeliverStart,LeaseUpRampPct,MIN(1,LeaseUpRampPct+(1-LeaseUpRampPct)*'LeaseUp'!CG$10/StabilizedOccupancy))</f>
        <v/>
      </c>
      <c r="CH11" s="53">
        <f>IF(83&lt;DeliverStart,LeaseUpRampPct,MIN(1,LeaseUpRampPct+(1-LeaseUpRampPct)*'LeaseUp'!CH$10/StabilizedOccupancy))</f>
        <v/>
      </c>
      <c r="CI11" s="53">
        <f>IF(84&lt;DeliverStart,LeaseUpRampPct,MIN(1,LeaseUpRampPct+(1-LeaseUpRampPct)*'LeaseUp'!CI$10/StabilizedOccupancy))</f>
        <v/>
      </c>
      <c r="CJ11" s="53">
        <f>IF(85&lt;DeliverStart,LeaseUpRampPct,MIN(1,LeaseUpRampPct+(1-LeaseUpRampPct)*'LeaseUp'!CJ$10/StabilizedOccupancy))</f>
        <v/>
      </c>
      <c r="CK11" s="53">
        <f>IF(86&lt;DeliverStart,LeaseUpRampPct,MIN(1,LeaseUpRampPct+(1-LeaseUpRampPct)*'LeaseUp'!CK$10/StabilizedOccupancy))</f>
        <v/>
      </c>
      <c r="CL11" s="53">
        <f>IF(87&lt;DeliverStart,LeaseUpRampPct,MIN(1,LeaseUpRampPct+(1-LeaseUpRampPct)*'LeaseUp'!CL$10/StabilizedOccupancy))</f>
        <v/>
      </c>
      <c r="CM11" s="53">
        <f>IF(88&lt;DeliverStart,LeaseUpRampPct,MIN(1,LeaseUpRampPct+(1-LeaseUpRampPct)*'LeaseUp'!CM$10/StabilizedOccupancy))</f>
        <v/>
      </c>
      <c r="CN11" s="53">
        <f>IF(89&lt;DeliverStart,LeaseUpRampPct,MIN(1,LeaseUpRampPct+(1-LeaseUpRampPct)*'LeaseUp'!CN$10/StabilizedOccupancy))</f>
        <v/>
      </c>
      <c r="CO11" s="53">
        <f>IF(90&lt;DeliverStart,LeaseUpRampPct,MIN(1,LeaseUpRampPct+(1-LeaseUpRampPct)*'LeaseUp'!CO$10/StabilizedOccupancy))</f>
        <v/>
      </c>
      <c r="CP11" s="53">
        <f>IF(91&lt;DeliverStart,LeaseUpRampPct,MIN(1,LeaseUpRampPct+(1-LeaseUpRampPct)*'LeaseUp'!CP$10/StabilizedOccupancy))</f>
        <v/>
      </c>
      <c r="CQ11" s="53">
        <f>IF(92&lt;DeliverStart,LeaseUpRampPct,MIN(1,LeaseUpRampPct+(1-LeaseUpRampPct)*'LeaseUp'!CQ$10/StabilizedOccupancy))</f>
        <v/>
      </c>
      <c r="CR11" s="53">
        <f>IF(93&lt;DeliverStart,LeaseUpRampPct,MIN(1,LeaseUpRampPct+(1-LeaseUpRampPct)*'LeaseUp'!CR$10/StabilizedOccupancy))</f>
        <v/>
      </c>
      <c r="CS11" s="53">
        <f>IF(94&lt;DeliverStart,LeaseUpRampPct,MIN(1,LeaseUpRampPct+(1-LeaseUpRampPct)*'LeaseUp'!CS$10/StabilizedOccupancy))</f>
        <v/>
      </c>
      <c r="CT11" s="53">
        <f>IF(95&lt;DeliverStart,LeaseUpRampPct,MIN(1,LeaseUpRampPct+(1-LeaseUpRampPct)*'LeaseUp'!CT$10/StabilizedOccupancy))</f>
        <v/>
      </c>
      <c r="CU11" s="53">
        <f>IF(96&lt;DeliverStart,LeaseUpRampPct,MIN(1,LeaseUpRampPct+(1-LeaseUpRampPct)*'LeaseUp'!CU$10/StabilizedOccupancy))</f>
        <v/>
      </c>
      <c r="CV11" s="53">
        <f>IF(97&lt;DeliverStart,LeaseUpRampPct,MIN(1,LeaseUpRampPct+(1-LeaseUpRampPct)*'LeaseUp'!CV$10/StabilizedOccupancy))</f>
        <v/>
      </c>
      <c r="CW11" s="53">
        <f>IF(98&lt;DeliverStart,LeaseUpRampPct,MIN(1,LeaseUpRampPct+(1-LeaseUpRampPct)*'LeaseUp'!CW$10/StabilizedOccupancy))</f>
        <v/>
      </c>
      <c r="CX11" s="53">
        <f>IF(99&lt;DeliverStart,LeaseUpRampPct,MIN(1,LeaseUpRampPct+(1-LeaseUpRampPct)*'LeaseUp'!CX$10/StabilizedOccupancy))</f>
        <v/>
      </c>
      <c r="CY11" s="53">
        <f>IF(100&lt;DeliverStart,LeaseUpRampPct,MIN(1,LeaseUpRampPct+(1-LeaseUpRampPct)*'LeaseUp'!CY$10/StabilizedOccupancy))</f>
        <v/>
      </c>
      <c r="CZ11" s="53">
        <f>IF(101&lt;DeliverStart,LeaseUpRampPct,MIN(1,LeaseUpRampPct+(1-LeaseUpRampPct)*'LeaseUp'!CZ$10/StabilizedOccupancy))</f>
        <v/>
      </c>
      <c r="DA11" s="53">
        <f>IF(102&lt;DeliverStart,LeaseUpRampPct,MIN(1,LeaseUpRampPct+(1-LeaseUpRampPct)*'LeaseUp'!DA$10/StabilizedOccupancy))</f>
        <v/>
      </c>
      <c r="DB11" s="53">
        <f>IF(103&lt;DeliverStart,LeaseUpRampPct,MIN(1,LeaseUpRampPct+(1-LeaseUpRampPct)*'LeaseUp'!DB$10/StabilizedOccupancy))</f>
        <v/>
      </c>
      <c r="DC11" s="53">
        <f>IF(104&lt;DeliverStart,LeaseUpRampPct,MIN(1,LeaseUpRampPct+(1-LeaseUpRampPct)*'LeaseUp'!DC$10/StabilizedOccupancy))</f>
        <v/>
      </c>
      <c r="DD11" s="53">
        <f>IF(105&lt;DeliverStart,LeaseUpRampPct,MIN(1,LeaseUpRampPct+(1-LeaseUpRampPct)*'LeaseUp'!DD$10/StabilizedOccupancy))</f>
        <v/>
      </c>
      <c r="DE11" s="53">
        <f>IF(106&lt;DeliverStart,LeaseUpRampPct,MIN(1,LeaseUpRampPct+(1-LeaseUpRampPct)*'LeaseUp'!DE$10/StabilizedOccupancy))</f>
        <v/>
      </c>
      <c r="DF11" s="53">
        <f>IF(107&lt;DeliverStart,LeaseUpRampPct,MIN(1,LeaseUpRampPct+(1-LeaseUpRampPct)*'LeaseUp'!DF$10/StabilizedOccupancy))</f>
        <v/>
      </c>
      <c r="DG11" s="53">
        <f>IF(108&lt;DeliverStart,LeaseUpRampPct,MIN(1,LeaseUpRampPct+(1-LeaseUpRampPct)*'LeaseUp'!DG$10/StabilizedOccupancy))</f>
        <v/>
      </c>
      <c r="DH11" s="53">
        <f>IF(109&lt;DeliverStart,LeaseUpRampPct,MIN(1,LeaseUpRampPct+(1-LeaseUpRampPct)*'LeaseUp'!DH$10/StabilizedOccupancy))</f>
        <v/>
      </c>
      <c r="DI11" s="53">
        <f>IF(110&lt;DeliverStart,LeaseUpRampPct,MIN(1,LeaseUpRampPct+(1-LeaseUpRampPct)*'LeaseUp'!DI$10/StabilizedOccupancy))</f>
        <v/>
      </c>
      <c r="DJ11" s="53">
        <f>IF(111&lt;DeliverStart,LeaseUpRampPct,MIN(1,LeaseUpRampPct+(1-LeaseUpRampPct)*'LeaseUp'!DJ$10/StabilizedOccupancy))</f>
        <v/>
      </c>
      <c r="DK11" s="53">
        <f>IF(112&lt;DeliverStart,LeaseUpRampPct,MIN(1,LeaseUpRampPct+(1-LeaseUpRampPct)*'LeaseUp'!DK$10/StabilizedOccupancy))</f>
        <v/>
      </c>
      <c r="DL11" s="53">
        <f>IF(113&lt;DeliverStart,LeaseUpRampPct,MIN(1,LeaseUpRampPct+(1-LeaseUpRampPct)*'LeaseUp'!DL$10/StabilizedOccupancy))</f>
        <v/>
      </c>
      <c r="DM11" s="53">
        <f>IF(114&lt;DeliverStart,LeaseUpRampPct,MIN(1,LeaseUpRampPct+(1-LeaseUpRampPct)*'LeaseUp'!DM$10/StabilizedOccupancy))</f>
        <v/>
      </c>
      <c r="DN11" s="53">
        <f>IF(115&lt;DeliverStart,LeaseUpRampPct,MIN(1,LeaseUpRampPct+(1-LeaseUpRampPct)*'LeaseUp'!DN$10/StabilizedOccupancy))</f>
        <v/>
      </c>
      <c r="DO11" s="53">
        <f>IF(116&lt;DeliverStart,LeaseUpRampPct,MIN(1,LeaseUpRampPct+(1-LeaseUpRampPct)*'LeaseUp'!DO$10/StabilizedOccupancy))</f>
        <v/>
      </c>
      <c r="DP11" s="53">
        <f>IF(117&lt;DeliverStart,LeaseUpRampPct,MIN(1,LeaseUpRampPct+(1-LeaseUpRampPct)*'LeaseUp'!DP$10/StabilizedOccupancy))</f>
        <v/>
      </c>
      <c r="DQ11" s="53">
        <f>IF(118&lt;DeliverStart,LeaseUpRampPct,MIN(1,LeaseUpRampPct+(1-LeaseUpRampPct)*'LeaseUp'!DQ$10/StabilizedOccupancy))</f>
        <v/>
      </c>
      <c r="DR11" s="53">
        <f>IF(119&lt;DeliverStart,LeaseUpRampPct,MIN(1,LeaseUpRampPct+(1-LeaseUpRampPct)*'LeaseUp'!DR$10/StabilizedOccupancy))</f>
        <v/>
      </c>
      <c r="DS11" s="53">
        <f>IF(120&lt;DeliverStart,LeaseUpRampPct,MIN(1,LeaseUpRampPct+(1-LeaseUpRampPct)*'LeaseUp'!DS$10/StabilizedOccupancy))</f>
        <v/>
      </c>
      <c r="DT11" s="53">
        <f>IF(121&lt;DeliverStart,LeaseUpRampPct,MIN(1,LeaseUpRampPct+(1-LeaseUpRampPct)*'LeaseUp'!DT$10/StabilizedOccupancy))</f>
        <v/>
      </c>
      <c r="DU11" s="53">
        <f>IF(122&lt;DeliverStart,LeaseUpRampPct,MIN(1,LeaseUpRampPct+(1-LeaseUpRampPct)*'LeaseUp'!DU$10/StabilizedOccupancy))</f>
        <v/>
      </c>
      <c r="DV11" s="53">
        <f>IF(123&lt;DeliverStart,LeaseUpRampPct,MIN(1,LeaseUpRampPct+(1-LeaseUpRampPct)*'LeaseUp'!DV$10/StabilizedOccupancy))</f>
        <v/>
      </c>
      <c r="DW11" s="53">
        <f>IF(124&lt;DeliverStart,LeaseUpRampPct,MIN(1,LeaseUpRampPct+(1-LeaseUpRampPct)*'LeaseUp'!DW$10/StabilizedOccupancy))</f>
        <v/>
      </c>
      <c r="DX11" s="53">
        <f>IF(125&lt;DeliverStart,LeaseUpRampPct,MIN(1,LeaseUpRampPct+(1-LeaseUpRampPct)*'LeaseUp'!DX$10/StabilizedOccupancy))</f>
        <v/>
      </c>
      <c r="DY11" s="53">
        <f>IF(126&lt;DeliverStart,LeaseUpRampPct,MIN(1,LeaseUpRampPct+(1-LeaseUpRampPct)*'LeaseUp'!DY$10/StabilizedOccupancy))</f>
        <v/>
      </c>
      <c r="DZ11" s="53">
        <f>IF(127&lt;DeliverStart,LeaseUpRampPct,MIN(1,LeaseUpRampPct+(1-LeaseUpRampPct)*'LeaseUp'!DZ$10/StabilizedOccupancy))</f>
        <v/>
      </c>
      <c r="EA11" s="53">
        <f>IF(128&lt;DeliverStart,LeaseUpRampPct,MIN(1,LeaseUpRampPct+(1-LeaseUpRampPct)*'LeaseUp'!EA$10/StabilizedOccupancy))</f>
        <v/>
      </c>
      <c r="EB11" s="53">
        <f>IF(129&lt;DeliverStart,LeaseUpRampPct,MIN(1,LeaseUpRampPct+(1-LeaseUpRampPct)*'LeaseUp'!EB$10/StabilizedOccupancy))</f>
        <v/>
      </c>
      <c r="EC11" s="53">
        <f>IF(130&lt;DeliverStart,LeaseUpRampPct,MIN(1,LeaseUpRampPct+(1-LeaseUpRampPct)*'LeaseUp'!EC$10/StabilizedOccupancy))</f>
        <v/>
      </c>
      <c r="ED11" s="53">
        <f>IF(131&lt;DeliverStart,LeaseUpRampPct,MIN(1,LeaseUpRampPct+(1-LeaseUpRampPct)*'LeaseUp'!ED$10/StabilizedOccupancy))</f>
        <v/>
      </c>
      <c r="EE11" s="53">
        <f>IF(132&lt;DeliverStart,LeaseUpRampPct,MIN(1,LeaseUpRampPct+(1-LeaseUpRampPct)*'LeaseUp'!EE$10/StabilizedOccupancy))</f>
        <v/>
      </c>
      <c r="EF11" s="53">
        <f>IF(133&lt;DeliverStart,LeaseUpRampPct,MIN(1,LeaseUpRampPct+(1-LeaseUpRampPct)*'LeaseUp'!EF$10/StabilizedOccupancy))</f>
        <v/>
      </c>
      <c r="EG11" s="53">
        <f>IF(134&lt;DeliverStart,LeaseUpRampPct,MIN(1,LeaseUpRampPct+(1-LeaseUpRampPct)*'LeaseUp'!EG$10/StabilizedOccupancy))</f>
        <v/>
      </c>
      <c r="EH11" s="53">
        <f>IF(135&lt;DeliverStart,LeaseUpRampPct,MIN(1,LeaseUpRampPct+(1-LeaseUpRampPct)*'LeaseUp'!EH$10/StabilizedOccupancy))</f>
        <v/>
      </c>
      <c r="EI11" s="53">
        <f>IF(136&lt;DeliverStart,LeaseUpRampPct,MIN(1,LeaseUpRampPct+(1-LeaseUpRampPct)*'LeaseUp'!EI$10/StabilizedOccupancy))</f>
        <v/>
      </c>
      <c r="EJ11" s="53">
        <f>IF(137&lt;DeliverStart,LeaseUpRampPct,MIN(1,LeaseUpRampPct+(1-LeaseUpRampPct)*'LeaseUp'!EJ$10/StabilizedOccupancy))</f>
        <v/>
      </c>
      <c r="EK11" s="53">
        <f>IF(138&lt;DeliverStart,LeaseUpRampPct,MIN(1,LeaseUpRampPct+(1-LeaseUpRampPct)*'LeaseUp'!EK$10/StabilizedOccupancy))</f>
        <v/>
      </c>
      <c r="EL11" s="53">
        <f>IF(139&lt;DeliverStart,LeaseUpRampPct,MIN(1,LeaseUpRampPct+(1-LeaseUpRampPct)*'LeaseUp'!EL$10/StabilizedOccupancy))</f>
        <v/>
      </c>
      <c r="EM11" s="53">
        <f>IF(140&lt;DeliverStart,LeaseUpRampPct,MIN(1,LeaseUpRampPct+(1-LeaseUpRampPct)*'LeaseUp'!EM$10/StabilizedOccupancy))</f>
        <v/>
      </c>
      <c r="EN11" s="53">
        <f>IF(141&lt;DeliverStart,LeaseUpRampPct,MIN(1,LeaseUpRampPct+(1-LeaseUpRampPct)*'LeaseUp'!EN$10/StabilizedOccupancy))</f>
        <v/>
      </c>
      <c r="EO11" s="53">
        <f>IF(142&lt;DeliverStart,LeaseUpRampPct,MIN(1,LeaseUpRampPct+(1-LeaseUpRampPct)*'LeaseUp'!EO$10/StabilizedOccupancy))</f>
        <v/>
      </c>
      <c r="EP11" s="53">
        <f>IF(143&lt;DeliverStart,LeaseUpRampPct,MIN(1,LeaseUpRampPct+(1-LeaseUpRampPct)*'LeaseUp'!EP$10/StabilizedOccupancy))</f>
        <v/>
      </c>
      <c r="EQ11" s="53">
        <f>IF(144&lt;DeliverStart,LeaseUpRampPct,MIN(1,LeaseUpRampPct+(1-LeaseUpRampPct)*'LeaseUp'!EQ$10/StabilizedOccupancy))</f>
        <v/>
      </c>
      <c r="ER11" s="53">
        <f>IF(145&lt;DeliverStart,LeaseUpRampPct,MIN(1,LeaseUpRampPct+(1-LeaseUpRampPct)*'LeaseUp'!ER$10/StabilizedOccupancy))</f>
        <v/>
      </c>
      <c r="ES11" s="53">
        <f>IF(146&lt;DeliverStart,LeaseUpRampPct,MIN(1,LeaseUpRampPct+(1-LeaseUpRampPct)*'LeaseUp'!ES$10/StabilizedOccupancy))</f>
        <v/>
      </c>
      <c r="ET11" s="53">
        <f>IF(147&lt;DeliverStart,LeaseUpRampPct,MIN(1,LeaseUpRampPct+(1-LeaseUpRampPct)*'LeaseUp'!ET$10/StabilizedOccupancy))</f>
        <v/>
      </c>
      <c r="EU11" s="53">
        <f>IF(148&lt;DeliverStart,LeaseUpRampPct,MIN(1,LeaseUpRampPct+(1-LeaseUpRampPct)*'LeaseUp'!EU$10/StabilizedOccupancy))</f>
        <v/>
      </c>
      <c r="EV11" s="53">
        <f>IF(149&lt;DeliverStart,LeaseUpRampPct,MIN(1,LeaseUpRampPct+(1-LeaseUpRampPct)*'LeaseUp'!EV$10/StabilizedOccupancy))</f>
        <v/>
      </c>
      <c r="EW11" s="53">
        <f>IF(150&lt;DeliverStart,LeaseUpRampPct,MIN(1,LeaseUpRampPct+(1-LeaseUpRampPct)*'LeaseUp'!EW$10/StabilizedOccupancy))</f>
        <v/>
      </c>
      <c r="EX11" s="53">
        <f>IF(151&lt;DeliverStart,LeaseUpRampPct,MIN(1,LeaseUpRampPct+(1-LeaseUpRampPct)*'LeaseUp'!EX$10/StabilizedOccupancy))</f>
        <v/>
      </c>
      <c r="EY11" s="53">
        <f>IF(152&lt;DeliverStart,LeaseUpRampPct,MIN(1,LeaseUpRampPct+(1-LeaseUpRampPct)*'LeaseUp'!EY$10/StabilizedOccupancy))</f>
        <v/>
      </c>
      <c r="EZ11" s="53">
        <f>IF(153&lt;DeliverStart,LeaseUpRampPct,MIN(1,LeaseUpRampPct+(1-LeaseUpRampPct)*'LeaseUp'!EZ$10/StabilizedOccupancy))</f>
        <v/>
      </c>
      <c r="FA11" s="53">
        <f>IF(154&lt;DeliverStart,LeaseUpRampPct,MIN(1,LeaseUpRampPct+(1-LeaseUpRampPct)*'LeaseUp'!FA$10/StabilizedOccupancy))</f>
        <v/>
      </c>
      <c r="FB11" s="53">
        <f>IF(155&lt;DeliverStart,LeaseUpRampPct,MIN(1,LeaseUpRampPct+(1-LeaseUpRampPct)*'LeaseUp'!FB$10/StabilizedOccupancy))</f>
        <v/>
      </c>
      <c r="FC11" s="53">
        <f>IF(156&lt;DeliverStart,LeaseUpRampPct,MIN(1,LeaseUpRampPct+(1-LeaseUpRampPct)*'LeaseUp'!FC$10/StabilizedOccupancy))</f>
        <v/>
      </c>
      <c r="FD11" s="53">
        <f>IF(157&lt;DeliverStart,LeaseUpRampPct,MIN(1,LeaseUpRampPct+(1-LeaseUpRampPct)*'LeaseUp'!FD$10/StabilizedOccupancy))</f>
        <v/>
      </c>
      <c r="FE11" s="53">
        <f>IF(158&lt;DeliverStart,LeaseUpRampPct,MIN(1,LeaseUpRampPct+(1-LeaseUpRampPct)*'LeaseUp'!FE$10/StabilizedOccupancy))</f>
        <v/>
      </c>
      <c r="FF11" s="53">
        <f>IF(159&lt;DeliverStart,LeaseUpRampPct,MIN(1,LeaseUpRampPct+(1-LeaseUpRampPct)*'LeaseUp'!FF$10/StabilizedOccupancy))</f>
        <v/>
      </c>
      <c r="FG11" s="53">
        <f>IF(160&lt;DeliverStart,LeaseUpRampPct,MIN(1,LeaseUpRampPct+(1-LeaseUpRampPct)*'LeaseUp'!FG$10/StabilizedOccupancy))</f>
        <v/>
      </c>
      <c r="FH11" s="53">
        <f>IF(161&lt;DeliverStart,LeaseUpRampPct,MIN(1,LeaseUpRampPct+(1-LeaseUpRampPct)*'LeaseUp'!FH$10/StabilizedOccupancy))</f>
        <v/>
      </c>
      <c r="FI11" s="53">
        <f>IF(162&lt;DeliverStart,LeaseUpRampPct,MIN(1,LeaseUpRampPct+(1-LeaseUpRampPct)*'LeaseUp'!FI$10/StabilizedOccupancy))</f>
        <v/>
      </c>
      <c r="FJ11" s="53">
        <f>IF(163&lt;DeliverStart,LeaseUpRampPct,MIN(1,LeaseUpRampPct+(1-LeaseUpRampPct)*'LeaseUp'!FJ$10/StabilizedOccupancy))</f>
        <v/>
      </c>
      <c r="FK11" s="53">
        <f>IF(164&lt;DeliverStart,LeaseUpRampPct,MIN(1,LeaseUpRampPct+(1-LeaseUpRampPct)*'LeaseUp'!FK$10/StabilizedOccupancy))</f>
        <v/>
      </c>
      <c r="FL11" s="53">
        <f>IF(165&lt;DeliverStart,LeaseUpRampPct,MIN(1,LeaseUpRampPct+(1-LeaseUpRampPct)*'LeaseUp'!FL$10/StabilizedOccupancy))</f>
        <v/>
      </c>
      <c r="FM11" s="53">
        <f>IF(166&lt;DeliverStart,LeaseUpRampPct,MIN(1,LeaseUpRampPct+(1-LeaseUpRampPct)*'LeaseUp'!FM$10/StabilizedOccupancy))</f>
        <v/>
      </c>
      <c r="FN11" s="53">
        <f>IF(167&lt;DeliverStart,LeaseUpRampPct,MIN(1,LeaseUpRampPct+(1-LeaseUpRampPct)*'LeaseUp'!FN$10/StabilizedOccupancy))</f>
        <v/>
      </c>
      <c r="FO11" s="53">
        <f>IF(168&lt;DeliverStart,LeaseUpRampPct,MIN(1,LeaseUpRampPct+(1-LeaseUpRampPct)*'LeaseUp'!FO$10/StabilizedOccupancy))</f>
        <v/>
      </c>
      <c r="FP11" s="53">
        <f>IF(169&lt;DeliverStart,LeaseUpRampPct,MIN(1,LeaseUpRampPct+(1-LeaseUpRampPct)*'LeaseUp'!FP$10/StabilizedOccupancy))</f>
        <v/>
      </c>
      <c r="FQ11" s="53">
        <f>IF(170&lt;DeliverStart,LeaseUpRampPct,MIN(1,LeaseUpRampPct+(1-LeaseUpRampPct)*'LeaseUp'!FQ$10/StabilizedOccupancy))</f>
        <v/>
      </c>
      <c r="FR11" s="53">
        <f>IF(171&lt;DeliverStart,LeaseUpRampPct,MIN(1,LeaseUpRampPct+(1-LeaseUpRampPct)*'LeaseUp'!FR$10/StabilizedOccupancy))</f>
        <v/>
      </c>
      <c r="FS11" s="53">
        <f>IF(172&lt;DeliverStart,LeaseUpRampPct,MIN(1,LeaseUpRampPct+(1-LeaseUpRampPct)*'LeaseUp'!FS$10/StabilizedOccupancy))</f>
        <v/>
      </c>
      <c r="FT11" s="53">
        <f>IF(173&lt;DeliverStart,LeaseUpRampPct,MIN(1,LeaseUpRampPct+(1-LeaseUpRampPct)*'LeaseUp'!FT$10/StabilizedOccupancy))</f>
        <v/>
      </c>
      <c r="FU11" s="53">
        <f>IF(174&lt;DeliverStart,LeaseUpRampPct,MIN(1,LeaseUpRampPct+(1-LeaseUpRampPct)*'LeaseUp'!FU$10/StabilizedOccupancy))</f>
        <v/>
      </c>
      <c r="FV11" s="53">
        <f>IF(175&lt;DeliverStart,LeaseUpRampPct,MIN(1,LeaseUpRampPct+(1-LeaseUpRampPct)*'LeaseUp'!FV$10/StabilizedOccupancy))</f>
        <v/>
      </c>
      <c r="FW11" s="53">
        <f>IF(176&lt;DeliverStart,LeaseUpRampPct,MIN(1,LeaseUpRampPct+(1-LeaseUpRampPct)*'LeaseUp'!FW$10/StabilizedOccupancy))</f>
        <v/>
      </c>
      <c r="FX11" s="53">
        <f>IF(177&lt;DeliverStart,LeaseUpRampPct,MIN(1,LeaseUpRampPct+(1-LeaseUpRampPct)*'LeaseUp'!FX$10/StabilizedOccupancy))</f>
        <v/>
      </c>
      <c r="FY11" s="53">
        <f>IF(178&lt;DeliverStart,LeaseUpRampPct,MIN(1,LeaseUpRampPct+(1-LeaseUpRampPct)*'LeaseUp'!FY$10/StabilizedOccupancy))</f>
        <v/>
      </c>
      <c r="FZ11" s="53">
        <f>IF(179&lt;DeliverStart,LeaseUpRampPct,MIN(1,LeaseUpRampPct+(1-LeaseUpRampPct)*'LeaseUp'!FZ$10/StabilizedOccupancy))</f>
        <v/>
      </c>
      <c r="GA11" s="53">
        <f>IF(180&lt;DeliverStart,LeaseUpRampPct,MIN(1,LeaseUpRampPct+(1-LeaseUpRampPct)*'LeaseUp'!GA$10/StabilizedOccupancy))</f>
        <v/>
      </c>
      <c r="GB11" s="53">
        <f>IF(181&lt;DeliverStart,LeaseUpRampPct,MIN(1,LeaseUpRampPct+(1-LeaseUpRampPct)*'LeaseUp'!GB$10/StabilizedOccupancy))</f>
        <v/>
      </c>
      <c r="GC11" s="53">
        <f>IF(182&lt;DeliverStart,LeaseUpRampPct,MIN(1,LeaseUpRampPct+(1-LeaseUpRampPct)*'LeaseUp'!GC$10/StabilizedOccupancy))</f>
        <v/>
      </c>
      <c r="GD11" s="53">
        <f>IF(183&lt;DeliverStart,LeaseUpRampPct,MIN(1,LeaseUpRampPct+(1-LeaseUpRampPct)*'LeaseUp'!GD$10/StabilizedOccupancy))</f>
        <v/>
      </c>
      <c r="GE11" s="53">
        <f>IF(184&lt;DeliverStart,LeaseUpRampPct,MIN(1,LeaseUpRampPct+(1-LeaseUpRampPct)*'LeaseUp'!GE$10/StabilizedOccupancy))</f>
        <v/>
      </c>
      <c r="GF11" s="53">
        <f>IF(185&lt;DeliverStart,LeaseUpRampPct,MIN(1,LeaseUpRampPct+(1-LeaseUpRampPct)*'LeaseUp'!GF$10/StabilizedOccupancy))</f>
        <v/>
      </c>
      <c r="GG11" s="53">
        <f>IF(186&lt;DeliverStart,LeaseUpRampPct,MIN(1,LeaseUpRampPct+(1-LeaseUpRampPct)*'LeaseUp'!GG$10/StabilizedOccupancy))</f>
        <v/>
      </c>
      <c r="GH11" s="53">
        <f>IF(187&lt;DeliverStart,LeaseUpRampPct,MIN(1,LeaseUpRampPct+(1-LeaseUpRampPct)*'LeaseUp'!GH$10/StabilizedOccupancy))</f>
        <v/>
      </c>
      <c r="GI11" s="53">
        <f>IF(188&lt;DeliverStart,LeaseUpRampPct,MIN(1,LeaseUpRampPct+(1-LeaseUpRampPct)*'LeaseUp'!GI$10/StabilizedOccupancy))</f>
        <v/>
      </c>
      <c r="GJ11" s="53">
        <f>IF(189&lt;DeliverStart,LeaseUpRampPct,MIN(1,LeaseUpRampPct+(1-LeaseUpRampPct)*'LeaseUp'!GJ$10/StabilizedOccupancy))</f>
        <v/>
      </c>
      <c r="GK11" s="53">
        <f>IF(190&lt;DeliverStart,LeaseUpRampPct,MIN(1,LeaseUpRampPct+(1-LeaseUpRampPct)*'LeaseUp'!GK$10/StabilizedOccupancy))</f>
        <v/>
      </c>
      <c r="GL11" s="53">
        <f>IF(191&lt;DeliverStart,LeaseUpRampPct,MIN(1,LeaseUpRampPct+(1-LeaseUpRampPct)*'LeaseUp'!GL$10/StabilizedOccupancy))</f>
        <v/>
      </c>
      <c r="GM11" s="53">
        <f>IF(192&lt;DeliverStart,LeaseUpRampPct,MIN(1,LeaseUpRampPct+(1-LeaseUpRampPct)*'LeaseUp'!GM$10/StabilizedOccupancy))</f>
        <v/>
      </c>
      <c r="GN11" s="53">
        <f>IF(193&lt;DeliverStart,LeaseUpRampPct,MIN(1,LeaseUpRampPct+(1-LeaseUpRampPct)*'LeaseUp'!GN$10/StabilizedOccupancy))</f>
        <v/>
      </c>
      <c r="GO11" s="53">
        <f>IF(194&lt;DeliverStart,LeaseUpRampPct,MIN(1,LeaseUpRampPct+(1-LeaseUpRampPct)*'LeaseUp'!GO$10/StabilizedOccupancy))</f>
        <v/>
      </c>
      <c r="GP11" s="53">
        <f>IF(195&lt;DeliverStart,LeaseUpRampPct,MIN(1,LeaseUpRampPct+(1-LeaseUpRampPct)*'LeaseUp'!GP$10/StabilizedOccupancy))</f>
        <v/>
      </c>
      <c r="GQ11" s="53">
        <f>IF(196&lt;DeliverStart,LeaseUpRampPct,MIN(1,LeaseUpRampPct+(1-LeaseUpRampPct)*'LeaseUp'!GQ$10/StabilizedOccupancy))</f>
        <v/>
      </c>
      <c r="GR11" s="53">
        <f>IF(197&lt;DeliverStart,LeaseUpRampPct,MIN(1,LeaseUpRampPct+(1-LeaseUpRampPct)*'LeaseUp'!GR$10/StabilizedOccupancy))</f>
        <v/>
      </c>
      <c r="GS11" s="53">
        <f>IF(198&lt;DeliverStart,LeaseUpRampPct,MIN(1,LeaseUpRampPct+(1-LeaseUpRampPct)*'LeaseUp'!GS$10/StabilizedOccupancy))</f>
        <v/>
      </c>
      <c r="GT11" s="53">
        <f>IF(199&lt;DeliverStart,LeaseUpRampPct,MIN(1,LeaseUpRampPct+(1-LeaseUpRampPct)*'LeaseUp'!GT$10/StabilizedOccupancy))</f>
        <v/>
      </c>
      <c r="GU11" s="53">
        <f>IF(200&lt;DeliverStart,LeaseUpRampPct,MIN(1,LeaseUpRampPct+(1-LeaseUpRampPct)*'LeaseUp'!GU$10/StabilizedOccupancy))</f>
        <v/>
      </c>
      <c r="GV11" s="53">
        <f>IF(201&lt;DeliverStart,LeaseUpRampPct,MIN(1,LeaseUpRampPct+(1-LeaseUpRampPct)*'LeaseUp'!GV$10/StabilizedOccupancy))</f>
        <v/>
      </c>
      <c r="GW11" s="53">
        <f>IF(202&lt;DeliverStart,LeaseUpRampPct,MIN(1,LeaseUpRampPct+(1-LeaseUpRampPct)*'LeaseUp'!GW$10/StabilizedOccupancy))</f>
        <v/>
      </c>
      <c r="GX11" s="53">
        <f>IF(203&lt;DeliverStart,LeaseUpRampPct,MIN(1,LeaseUpRampPct+(1-LeaseUpRampPct)*'LeaseUp'!GX$10/StabilizedOccupancy))</f>
        <v/>
      </c>
      <c r="GY11" s="53">
        <f>IF(204&lt;DeliverStart,LeaseUpRampPct,MIN(1,LeaseUpRampPct+(1-LeaseUpRampPct)*'LeaseUp'!GY$10/StabilizedOccupancy))</f>
        <v/>
      </c>
      <c r="GZ11" s="53">
        <f>IF(205&lt;DeliverStart,LeaseUpRampPct,MIN(1,LeaseUpRampPct+(1-LeaseUpRampPct)*'LeaseUp'!GZ$10/StabilizedOccupancy))</f>
        <v/>
      </c>
      <c r="HA11" s="53">
        <f>IF(206&lt;DeliverStart,LeaseUpRampPct,MIN(1,LeaseUpRampPct+(1-LeaseUpRampPct)*'LeaseUp'!HA$10/StabilizedOccupancy))</f>
        <v/>
      </c>
      <c r="HB11" s="53">
        <f>IF(207&lt;DeliverStart,LeaseUpRampPct,MIN(1,LeaseUpRampPct+(1-LeaseUpRampPct)*'LeaseUp'!HB$10/StabilizedOccupancy))</f>
        <v/>
      </c>
      <c r="HC11" s="53">
        <f>IF(208&lt;DeliverStart,LeaseUpRampPct,MIN(1,LeaseUpRampPct+(1-LeaseUpRampPct)*'LeaseUp'!HC$10/StabilizedOccupancy))</f>
        <v/>
      </c>
      <c r="HD11" s="53">
        <f>IF(209&lt;DeliverStart,LeaseUpRampPct,MIN(1,LeaseUpRampPct+(1-LeaseUpRampPct)*'LeaseUp'!HD$10/StabilizedOccupancy))</f>
        <v/>
      </c>
      <c r="HE11" s="53">
        <f>IF(210&lt;DeliverStart,LeaseUpRampPct,MIN(1,LeaseUpRampPct+(1-LeaseUpRampPct)*'LeaseUp'!HE$10/StabilizedOccupancy))</f>
        <v/>
      </c>
      <c r="HF11" s="53">
        <f>IF(211&lt;DeliverStart,LeaseUpRampPct,MIN(1,LeaseUpRampPct+(1-LeaseUpRampPct)*'LeaseUp'!HF$10/StabilizedOccupancy))</f>
        <v/>
      </c>
      <c r="HG11" s="53">
        <f>IF(212&lt;DeliverStart,LeaseUpRampPct,MIN(1,LeaseUpRampPct+(1-LeaseUpRampPct)*'LeaseUp'!HG$10/StabilizedOccupancy))</f>
        <v/>
      </c>
      <c r="HH11" s="53">
        <f>IF(213&lt;DeliverStart,LeaseUpRampPct,MIN(1,LeaseUpRampPct+(1-LeaseUpRampPct)*'LeaseUp'!HH$10/StabilizedOccupancy))</f>
        <v/>
      </c>
      <c r="HI11" s="53">
        <f>IF(214&lt;DeliverStart,LeaseUpRampPct,MIN(1,LeaseUpRampPct+(1-LeaseUpRampPct)*'LeaseUp'!HI$10/StabilizedOccupancy))</f>
        <v/>
      </c>
      <c r="HJ11" s="53">
        <f>IF(215&lt;DeliverStart,LeaseUpRampPct,MIN(1,LeaseUpRampPct+(1-LeaseUpRampPct)*'LeaseUp'!HJ$10/StabilizedOccupancy))</f>
        <v/>
      </c>
      <c r="HK11" s="53">
        <f>IF(216&lt;DeliverStart,LeaseUpRampPct,MIN(1,LeaseUpRampPct+(1-LeaseUpRampPct)*'LeaseUp'!HK$10/StabilizedOccupancy))</f>
        <v/>
      </c>
      <c r="HL11" s="53">
        <f>IF(217&lt;DeliverStart,LeaseUpRampPct,MIN(1,LeaseUpRampPct+(1-LeaseUpRampPct)*'LeaseUp'!HL$10/StabilizedOccupancy))</f>
        <v/>
      </c>
      <c r="HM11" s="53">
        <f>IF(218&lt;DeliverStart,LeaseUpRampPct,MIN(1,LeaseUpRampPct+(1-LeaseUpRampPct)*'LeaseUp'!HM$10/StabilizedOccupancy))</f>
        <v/>
      </c>
      <c r="HN11" s="53">
        <f>IF(219&lt;DeliverStart,LeaseUpRampPct,MIN(1,LeaseUpRampPct+(1-LeaseUpRampPct)*'LeaseUp'!HN$10/StabilizedOccupancy))</f>
        <v/>
      </c>
      <c r="HO11" s="53">
        <f>IF(220&lt;DeliverStart,LeaseUpRampPct,MIN(1,LeaseUpRampPct+(1-LeaseUpRampPct)*'LeaseUp'!HO$10/StabilizedOccupancy))</f>
        <v/>
      </c>
      <c r="HP11" s="53">
        <f>IF(221&lt;DeliverStart,LeaseUpRampPct,MIN(1,LeaseUpRampPct+(1-LeaseUpRampPct)*'LeaseUp'!HP$10/StabilizedOccupancy))</f>
        <v/>
      </c>
      <c r="HQ11" s="53">
        <f>IF(222&lt;DeliverStart,LeaseUpRampPct,MIN(1,LeaseUpRampPct+(1-LeaseUpRampPct)*'LeaseUp'!HQ$10/StabilizedOccupancy))</f>
        <v/>
      </c>
      <c r="HR11" s="53">
        <f>IF(223&lt;DeliverStart,LeaseUpRampPct,MIN(1,LeaseUpRampPct+(1-LeaseUpRampPct)*'LeaseUp'!HR$10/StabilizedOccupancy))</f>
        <v/>
      </c>
      <c r="HS11" s="53">
        <f>IF(224&lt;DeliverStart,LeaseUpRampPct,MIN(1,LeaseUpRampPct+(1-LeaseUpRampPct)*'LeaseUp'!HS$10/StabilizedOccupancy))</f>
        <v/>
      </c>
      <c r="HT11" s="53">
        <f>IF(225&lt;DeliverStart,LeaseUpRampPct,MIN(1,LeaseUpRampPct+(1-LeaseUpRampPct)*'LeaseUp'!HT$10/StabilizedOccupancy))</f>
        <v/>
      </c>
      <c r="HU11" s="53">
        <f>IF(226&lt;DeliverStart,LeaseUpRampPct,MIN(1,LeaseUpRampPct+(1-LeaseUpRampPct)*'LeaseUp'!HU$10/StabilizedOccupancy))</f>
        <v/>
      </c>
      <c r="HV11" s="53">
        <f>IF(227&lt;DeliverStart,LeaseUpRampPct,MIN(1,LeaseUpRampPct+(1-LeaseUpRampPct)*'LeaseUp'!HV$10/StabilizedOccupancy))</f>
        <v/>
      </c>
      <c r="HW11" s="53">
        <f>IF(228&lt;DeliverStart,LeaseUpRampPct,MIN(1,LeaseUpRampPct+(1-LeaseUpRampPct)*'LeaseUp'!HW$10/StabilizedOccupancy))</f>
        <v/>
      </c>
      <c r="HX11" s="53">
        <f>IF(229&lt;DeliverStart,LeaseUpRampPct,MIN(1,LeaseUpRampPct+(1-LeaseUpRampPct)*'LeaseUp'!HX$10/StabilizedOccupancy))</f>
        <v/>
      </c>
      <c r="HY11" s="53">
        <f>IF(230&lt;DeliverStart,LeaseUpRampPct,MIN(1,LeaseUpRampPct+(1-LeaseUpRampPct)*'LeaseUp'!HY$10/StabilizedOccupancy))</f>
        <v/>
      </c>
      <c r="HZ11" s="53">
        <f>IF(231&lt;DeliverStart,LeaseUpRampPct,MIN(1,LeaseUpRampPct+(1-LeaseUpRampPct)*'LeaseUp'!HZ$10/StabilizedOccupancy))</f>
        <v/>
      </c>
      <c r="IA11" s="53">
        <f>IF(232&lt;DeliverStart,LeaseUpRampPct,MIN(1,LeaseUpRampPct+(1-LeaseUpRampPct)*'LeaseUp'!IA$10/StabilizedOccupancy))</f>
        <v/>
      </c>
      <c r="IB11" s="53">
        <f>IF(233&lt;DeliverStart,LeaseUpRampPct,MIN(1,LeaseUpRampPct+(1-LeaseUpRampPct)*'LeaseUp'!IB$10/StabilizedOccupancy))</f>
        <v/>
      </c>
      <c r="IC11" s="53">
        <f>IF(234&lt;DeliverStart,LeaseUpRampPct,MIN(1,LeaseUpRampPct+(1-LeaseUpRampPct)*'LeaseUp'!IC$10/StabilizedOccupancy))</f>
        <v/>
      </c>
      <c r="ID11" s="53">
        <f>IF(235&lt;DeliverStart,LeaseUpRampPct,MIN(1,LeaseUpRampPct+(1-LeaseUpRampPct)*'LeaseUp'!ID$10/StabilizedOccupancy))</f>
        <v/>
      </c>
      <c r="IE11" s="53">
        <f>IF(236&lt;DeliverStart,LeaseUpRampPct,MIN(1,LeaseUpRampPct+(1-LeaseUpRampPct)*'LeaseUp'!IE$10/StabilizedOccupancy))</f>
        <v/>
      </c>
      <c r="IF11" s="53">
        <f>IF(237&lt;DeliverStart,LeaseUpRampPct,MIN(1,LeaseUpRampPct+(1-LeaseUpRampPct)*'LeaseUp'!IF$10/StabilizedOccupancy))</f>
        <v/>
      </c>
      <c r="IG11" s="53">
        <f>IF(238&lt;DeliverStart,LeaseUpRampPct,MIN(1,LeaseUpRampPct+(1-LeaseUpRampPct)*'LeaseUp'!IG$10/StabilizedOccupancy))</f>
        <v/>
      </c>
      <c r="IH11" s="53">
        <f>IF(239&lt;DeliverStart,LeaseUpRampPct,MIN(1,LeaseUpRampPct+(1-LeaseUpRampPct)*'LeaseUp'!IH$10/StabilizedOccupancy))</f>
        <v/>
      </c>
      <c r="II11" s="53">
        <f>IF(240&lt;DeliverStart,LeaseUpRampPct,MIN(1,LeaseUpRampPct+(1-LeaseUpRampPct)*'LeaseUp'!II$10/StabilizedOccupancy))</f>
        <v/>
      </c>
      <c r="IJ11" s="53">
        <f>IF(241&lt;DeliverStart,LeaseUpRampPct,MIN(1,LeaseUpRampPct+(1-LeaseUpRampPct)*'LeaseUp'!IJ$10/StabilizedOccupancy))</f>
        <v/>
      </c>
      <c r="IK11" s="53">
        <f>IF(242&lt;DeliverStart,LeaseUpRampPct,MIN(1,LeaseUpRampPct+(1-LeaseUpRampPct)*'LeaseUp'!IK$10/StabilizedOccupancy))</f>
        <v/>
      </c>
      <c r="IL11" s="53">
        <f>IF(243&lt;DeliverStart,LeaseUpRampPct,MIN(1,LeaseUpRampPct+(1-LeaseUpRampPct)*'LeaseUp'!IL$10/StabilizedOccupancy))</f>
        <v/>
      </c>
      <c r="IM11" s="53">
        <f>IF(244&lt;DeliverStart,LeaseUpRampPct,MIN(1,LeaseUpRampPct+(1-LeaseUpRampPct)*'LeaseUp'!IM$10/StabilizedOccupancy))</f>
        <v/>
      </c>
      <c r="IN11" s="53">
        <f>IF(245&lt;DeliverStart,LeaseUpRampPct,MIN(1,LeaseUpRampPct+(1-LeaseUpRampPct)*'LeaseUp'!IN$10/StabilizedOccupancy))</f>
        <v/>
      </c>
      <c r="IO11" s="53">
        <f>IF(246&lt;DeliverStart,LeaseUpRampPct,MIN(1,LeaseUpRampPct+(1-LeaseUpRampPct)*'LeaseUp'!IO$10/StabilizedOccupancy))</f>
        <v/>
      </c>
      <c r="IP11" s="53">
        <f>IF(247&lt;DeliverStart,LeaseUpRampPct,MIN(1,LeaseUpRampPct+(1-LeaseUpRampPct)*'LeaseUp'!IP$10/StabilizedOccupancy))</f>
        <v/>
      </c>
      <c r="IQ11" s="53">
        <f>IF(248&lt;DeliverStart,LeaseUpRampPct,MIN(1,LeaseUpRampPct+(1-LeaseUpRampPct)*'LeaseUp'!IQ$10/StabilizedOccupancy))</f>
        <v/>
      </c>
      <c r="IR11" s="53">
        <f>IF(249&lt;DeliverStart,LeaseUpRampPct,MIN(1,LeaseUpRampPct+(1-LeaseUpRampPct)*'LeaseUp'!IR$10/StabilizedOccupancy))</f>
        <v/>
      </c>
      <c r="IS11" s="53">
        <f>IF(250&lt;DeliverStart,LeaseUpRampPct,MIN(1,LeaseUpRampPct+(1-LeaseUpRampPct)*'LeaseUp'!IS$10/StabilizedOccupancy))</f>
        <v/>
      </c>
      <c r="IT11" s="53">
        <f>IF(251&lt;DeliverStart,LeaseUpRampPct,MIN(1,LeaseUpRampPct+(1-LeaseUpRampPct)*'LeaseUp'!IT$10/StabilizedOccupancy))</f>
        <v/>
      </c>
      <c r="IU11" s="53">
        <f>IF(252&lt;DeliverStart,LeaseUpRampPct,MIN(1,LeaseUpRampPct+(1-LeaseUpRampPct)*'LeaseUp'!IU$10/StabilizedOccupancy))</f>
        <v/>
      </c>
      <c r="IV11" s="53">
        <f>IF(253&lt;DeliverStart,LeaseUpRampPct,MIN(1,LeaseUpRampPct+(1-LeaseUpRampPct)*'LeaseUp'!IV$10/StabilizedOccupancy))</f>
        <v/>
      </c>
      <c r="IW11" s="53">
        <f>IF(254&lt;DeliverStart,LeaseUpRampPct,MIN(1,LeaseUpRampPct+(1-LeaseUpRampPct)*'LeaseUp'!IW$10/StabilizedOccupancy))</f>
        <v/>
      </c>
      <c r="IX11" s="53">
        <f>IF(255&lt;DeliverStart,LeaseUpRampPct,MIN(1,LeaseUpRampPct+(1-LeaseUpRampPct)*'LeaseUp'!IX$10/StabilizedOccupancy))</f>
        <v/>
      </c>
      <c r="IY11" s="53">
        <f>IF(256&lt;DeliverStart,LeaseUpRampPct,MIN(1,LeaseUpRampPct+(1-LeaseUpRampPct)*'LeaseUp'!IY$10/StabilizedOccupancy))</f>
        <v/>
      </c>
      <c r="IZ11" s="53">
        <f>IF(257&lt;DeliverStart,LeaseUpRampPct,MIN(1,LeaseUpRampPct+(1-LeaseUpRampPct)*'LeaseUp'!IZ$10/StabilizedOccupancy))</f>
        <v/>
      </c>
      <c r="JA11" s="53">
        <f>IF(258&lt;DeliverStart,LeaseUpRampPct,MIN(1,LeaseUpRampPct+(1-LeaseUpRampPct)*'LeaseUp'!JA$10/StabilizedOccupancy))</f>
        <v/>
      </c>
      <c r="JB11" s="53">
        <f>IF(259&lt;DeliverStart,LeaseUpRampPct,MIN(1,LeaseUpRampPct+(1-LeaseUpRampPct)*'LeaseUp'!JB$10/StabilizedOccupancy))</f>
        <v/>
      </c>
      <c r="JC11" s="53">
        <f>IF(260&lt;DeliverStart,LeaseUpRampPct,MIN(1,LeaseUpRampPct+(1-LeaseUpRampPct)*'LeaseUp'!JC$10/StabilizedOccupancy))</f>
        <v/>
      </c>
      <c r="JD11" s="53">
        <f>IF(261&lt;DeliverStart,LeaseUpRampPct,MIN(1,LeaseUpRampPct+(1-LeaseUpRampPct)*'LeaseUp'!JD$10/StabilizedOccupancy))</f>
        <v/>
      </c>
      <c r="JE11" s="53">
        <f>IF(262&lt;DeliverStart,LeaseUpRampPct,MIN(1,LeaseUpRampPct+(1-LeaseUpRampPct)*'LeaseUp'!JE$10/StabilizedOccupancy))</f>
        <v/>
      </c>
      <c r="JF11" s="53">
        <f>IF(263&lt;DeliverStart,LeaseUpRampPct,MIN(1,LeaseUpRampPct+(1-LeaseUpRampPct)*'LeaseUp'!JF$10/StabilizedOccupancy))</f>
        <v/>
      </c>
      <c r="JG11" s="53">
        <f>IF(264&lt;DeliverStart,LeaseUpRampPct,MIN(1,LeaseUpRampPct+(1-LeaseUpRampPct)*'LeaseUp'!JG$10/StabilizedOccupancy))</f>
        <v/>
      </c>
      <c r="JH11" s="53">
        <f>IF(265&lt;DeliverStart,LeaseUpRampPct,MIN(1,LeaseUpRampPct+(1-LeaseUpRampPct)*'LeaseUp'!JH$10/StabilizedOccupancy))</f>
        <v/>
      </c>
      <c r="JI11" s="53">
        <f>IF(266&lt;DeliverStart,LeaseUpRampPct,MIN(1,LeaseUpRampPct+(1-LeaseUpRampPct)*'LeaseUp'!JI$10/StabilizedOccupancy))</f>
        <v/>
      </c>
      <c r="JJ11" s="53">
        <f>IF(267&lt;DeliverStart,LeaseUpRampPct,MIN(1,LeaseUpRampPct+(1-LeaseUpRampPct)*'LeaseUp'!JJ$10/StabilizedOccupancy))</f>
        <v/>
      </c>
      <c r="JK11" s="53">
        <f>IF(268&lt;DeliverStart,LeaseUpRampPct,MIN(1,LeaseUpRampPct+(1-LeaseUpRampPct)*'LeaseUp'!JK$10/StabilizedOccupancy))</f>
        <v/>
      </c>
      <c r="JL11" s="53">
        <f>IF(269&lt;DeliverStart,LeaseUpRampPct,MIN(1,LeaseUpRampPct+(1-LeaseUpRampPct)*'LeaseUp'!JL$10/StabilizedOccupancy))</f>
        <v/>
      </c>
      <c r="JM11" s="53">
        <f>IF(270&lt;DeliverStart,LeaseUpRampPct,MIN(1,LeaseUpRampPct+(1-LeaseUpRampPct)*'LeaseUp'!JM$10/StabilizedOccupancy))</f>
        <v/>
      </c>
      <c r="JN11" s="53">
        <f>IF(271&lt;DeliverStart,LeaseUpRampPct,MIN(1,LeaseUpRampPct+(1-LeaseUpRampPct)*'LeaseUp'!JN$10/StabilizedOccupancy))</f>
        <v/>
      </c>
      <c r="JO11" s="53">
        <f>IF(272&lt;DeliverStart,LeaseUpRampPct,MIN(1,LeaseUpRampPct+(1-LeaseUpRampPct)*'LeaseUp'!JO$10/StabilizedOccupancy))</f>
        <v/>
      </c>
      <c r="JP11" s="53">
        <f>IF(273&lt;DeliverStart,LeaseUpRampPct,MIN(1,LeaseUpRampPct+(1-LeaseUpRampPct)*'LeaseUp'!JP$10/StabilizedOccupancy))</f>
        <v/>
      </c>
      <c r="JQ11" s="53">
        <f>IF(274&lt;DeliverStart,LeaseUpRampPct,MIN(1,LeaseUpRampPct+(1-LeaseUpRampPct)*'LeaseUp'!JQ$10/StabilizedOccupancy))</f>
        <v/>
      </c>
      <c r="JR11" s="53">
        <f>IF(275&lt;DeliverStart,LeaseUpRampPct,MIN(1,LeaseUpRampPct+(1-LeaseUpRampPct)*'LeaseUp'!JR$10/StabilizedOccupancy))</f>
        <v/>
      </c>
      <c r="JS11" s="53">
        <f>IF(276&lt;DeliverStart,LeaseUpRampPct,MIN(1,LeaseUpRampPct+(1-LeaseUpRampPct)*'LeaseUp'!JS$10/StabilizedOccupancy))</f>
        <v/>
      </c>
      <c r="JT11" s="53">
        <f>IF(277&lt;DeliverStart,LeaseUpRampPct,MIN(1,LeaseUpRampPct+(1-LeaseUpRampPct)*'LeaseUp'!JT$10/StabilizedOccupancy))</f>
        <v/>
      </c>
      <c r="JU11" s="53">
        <f>IF(278&lt;DeliverStart,LeaseUpRampPct,MIN(1,LeaseUpRampPct+(1-LeaseUpRampPct)*'LeaseUp'!JU$10/StabilizedOccupancy))</f>
        <v/>
      </c>
      <c r="JV11" s="53">
        <f>IF(279&lt;DeliverStart,LeaseUpRampPct,MIN(1,LeaseUpRampPct+(1-LeaseUpRampPct)*'LeaseUp'!JV$10/StabilizedOccupancy))</f>
        <v/>
      </c>
      <c r="JW11" s="53">
        <f>IF(280&lt;DeliverStart,LeaseUpRampPct,MIN(1,LeaseUpRampPct+(1-LeaseUpRampPct)*'LeaseUp'!JW$10/StabilizedOccupancy))</f>
        <v/>
      </c>
      <c r="JX11" s="53">
        <f>IF(281&lt;DeliverStart,LeaseUpRampPct,MIN(1,LeaseUpRampPct+(1-LeaseUpRampPct)*'LeaseUp'!JX$10/StabilizedOccupancy))</f>
        <v/>
      </c>
      <c r="JY11" s="53">
        <f>IF(282&lt;DeliverStart,LeaseUpRampPct,MIN(1,LeaseUpRampPct+(1-LeaseUpRampPct)*'LeaseUp'!JY$10/StabilizedOccupancy))</f>
        <v/>
      </c>
      <c r="JZ11" s="53">
        <f>IF(283&lt;DeliverStart,LeaseUpRampPct,MIN(1,LeaseUpRampPct+(1-LeaseUpRampPct)*'LeaseUp'!JZ$10/StabilizedOccupancy))</f>
        <v/>
      </c>
      <c r="KA11" s="53">
        <f>IF(284&lt;DeliverStart,LeaseUpRampPct,MIN(1,LeaseUpRampPct+(1-LeaseUpRampPct)*'LeaseUp'!KA$10/StabilizedOccupancy))</f>
        <v/>
      </c>
      <c r="KB11" s="53">
        <f>IF(285&lt;DeliverStart,LeaseUpRampPct,MIN(1,LeaseUpRampPct+(1-LeaseUpRampPct)*'LeaseUp'!KB$10/StabilizedOccupancy))</f>
        <v/>
      </c>
      <c r="KC11" s="53">
        <f>IF(286&lt;DeliverStart,LeaseUpRampPct,MIN(1,LeaseUpRampPct+(1-LeaseUpRampPct)*'LeaseUp'!KC$10/StabilizedOccupancy))</f>
        <v/>
      </c>
      <c r="KD11" s="53">
        <f>IF(287&lt;DeliverStart,LeaseUpRampPct,MIN(1,LeaseUpRampPct+(1-LeaseUpRampPct)*'LeaseUp'!KD$10/StabilizedOccupancy))</f>
        <v/>
      </c>
      <c r="KE11" s="53">
        <f>IF(288&lt;DeliverStart,LeaseUpRampPct,MIN(1,LeaseUpRampPct+(1-LeaseUpRampPct)*'LeaseUp'!KE$10/StabilizedOccupancy))</f>
        <v/>
      </c>
      <c r="KF11" s="53">
        <f>IF(289&lt;DeliverStart,LeaseUpRampPct,MIN(1,LeaseUpRampPct+(1-LeaseUpRampPct)*'LeaseUp'!KF$10/StabilizedOccupancy))</f>
        <v/>
      </c>
      <c r="KG11" s="53">
        <f>IF(290&lt;DeliverStart,LeaseUpRampPct,MIN(1,LeaseUpRampPct+(1-LeaseUpRampPct)*'LeaseUp'!KG$10/StabilizedOccupancy))</f>
        <v/>
      </c>
      <c r="KH11" s="53">
        <f>IF(291&lt;DeliverStart,LeaseUpRampPct,MIN(1,LeaseUpRampPct+(1-LeaseUpRampPct)*'LeaseUp'!KH$10/StabilizedOccupancy))</f>
        <v/>
      </c>
      <c r="KI11" s="53">
        <f>IF(292&lt;DeliverStart,LeaseUpRampPct,MIN(1,LeaseUpRampPct+(1-LeaseUpRampPct)*'LeaseUp'!KI$10/StabilizedOccupancy))</f>
        <v/>
      </c>
      <c r="KJ11" s="53">
        <f>IF(293&lt;DeliverStart,LeaseUpRampPct,MIN(1,LeaseUpRampPct+(1-LeaseUpRampPct)*'LeaseUp'!KJ$10/StabilizedOccupancy))</f>
        <v/>
      </c>
      <c r="KK11" s="53">
        <f>IF(294&lt;DeliverStart,LeaseUpRampPct,MIN(1,LeaseUpRampPct+(1-LeaseUpRampPct)*'LeaseUp'!KK$10/StabilizedOccupancy))</f>
        <v/>
      </c>
      <c r="KL11" s="53">
        <f>IF(295&lt;DeliverStart,LeaseUpRampPct,MIN(1,LeaseUpRampPct+(1-LeaseUpRampPct)*'LeaseUp'!KL$10/StabilizedOccupancy))</f>
        <v/>
      </c>
      <c r="KM11" s="53">
        <f>IF(296&lt;DeliverStart,LeaseUpRampPct,MIN(1,LeaseUpRampPct+(1-LeaseUpRampPct)*'LeaseUp'!KM$10/StabilizedOccupancy))</f>
        <v/>
      </c>
      <c r="KN11" s="53">
        <f>IF(297&lt;DeliverStart,LeaseUpRampPct,MIN(1,LeaseUpRampPct+(1-LeaseUpRampPct)*'LeaseUp'!KN$10/StabilizedOccupancy))</f>
        <v/>
      </c>
      <c r="KO11" s="53">
        <f>IF(298&lt;DeliverStart,LeaseUpRampPct,MIN(1,LeaseUpRampPct+(1-LeaseUpRampPct)*'LeaseUp'!KO$10/StabilizedOccupancy))</f>
        <v/>
      </c>
      <c r="KP11" s="53">
        <f>IF(299&lt;DeliverStart,LeaseUpRampPct,MIN(1,LeaseUpRampPct+(1-LeaseUpRampPct)*'LeaseUp'!KP$10/StabilizedOccupancy))</f>
        <v/>
      </c>
      <c r="KQ11" s="53">
        <f>IF(300&lt;DeliverStart,LeaseUpRampPct,MIN(1,LeaseUpRampPct+(1-LeaseUpRampPct)*'LeaseUp'!KQ$10/StabilizedOccupancy))</f>
        <v/>
      </c>
      <c r="KR11" s="53">
        <f>IF(301&lt;DeliverStart,LeaseUpRampPct,MIN(1,LeaseUpRampPct+(1-LeaseUpRampPct)*'LeaseUp'!KR$10/StabilizedOccupancy))</f>
        <v/>
      </c>
      <c r="KS11" s="53">
        <f>IF(302&lt;DeliverStart,LeaseUpRampPct,MIN(1,LeaseUpRampPct+(1-LeaseUpRampPct)*'LeaseUp'!KS$10/StabilizedOccupancy))</f>
        <v/>
      </c>
      <c r="KT11" s="53">
        <f>IF(303&lt;DeliverStart,LeaseUpRampPct,MIN(1,LeaseUpRampPct+(1-LeaseUpRampPct)*'LeaseUp'!KT$10/StabilizedOccupancy))</f>
        <v/>
      </c>
      <c r="KU11" s="53">
        <f>IF(304&lt;DeliverStart,LeaseUpRampPct,MIN(1,LeaseUpRampPct+(1-LeaseUpRampPct)*'LeaseUp'!KU$10/StabilizedOccupancy))</f>
        <v/>
      </c>
      <c r="KV11" s="53">
        <f>IF(305&lt;DeliverStart,LeaseUpRampPct,MIN(1,LeaseUpRampPct+(1-LeaseUpRampPct)*'LeaseUp'!KV$10/StabilizedOccupancy))</f>
        <v/>
      </c>
      <c r="KW11" s="53">
        <f>IF(306&lt;DeliverStart,LeaseUpRampPct,MIN(1,LeaseUpRampPct+(1-LeaseUpRampPct)*'LeaseUp'!KW$10/StabilizedOccupancy))</f>
        <v/>
      </c>
      <c r="KX11" s="53">
        <f>IF(307&lt;DeliverStart,LeaseUpRampPct,MIN(1,LeaseUpRampPct+(1-LeaseUpRampPct)*'LeaseUp'!KX$10/StabilizedOccupancy))</f>
        <v/>
      </c>
      <c r="KY11" s="53">
        <f>IF(308&lt;DeliverStart,LeaseUpRampPct,MIN(1,LeaseUpRampPct+(1-LeaseUpRampPct)*'LeaseUp'!KY$10/StabilizedOccupancy))</f>
        <v/>
      </c>
      <c r="KZ11" s="53">
        <f>IF(309&lt;DeliverStart,LeaseUpRampPct,MIN(1,LeaseUpRampPct+(1-LeaseUpRampPct)*'LeaseUp'!KZ$10/StabilizedOccupancy))</f>
        <v/>
      </c>
      <c r="LA11" s="53">
        <f>IF(310&lt;DeliverStart,LeaseUpRampPct,MIN(1,LeaseUpRampPct+(1-LeaseUpRampPct)*'LeaseUp'!LA$10/StabilizedOccupancy))</f>
        <v/>
      </c>
      <c r="LB11" s="53">
        <f>IF(311&lt;DeliverStart,LeaseUpRampPct,MIN(1,LeaseUpRampPct+(1-LeaseUpRampPct)*'LeaseUp'!LB$10/StabilizedOccupancy))</f>
        <v/>
      </c>
      <c r="LC11" s="53">
        <f>IF(312&lt;DeliverStart,LeaseUpRampPct,MIN(1,LeaseUpRampPct+(1-LeaseUpRampPct)*'LeaseUp'!LC$10/StabilizedOccupancy))</f>
        <v/>
      </c>
      <c r="LD11" s="53">
        <f>IF(313&lt;DeliverStart,LeaseUpRampPct,MIN(1,LeaseUpRampPct+(1-LeaseUpRampPct)*'LeaseUp'!LD$10/StabilizedOccupancy))</f>
        <v/>
      </c>
      <c r="LE11" s="53">
        <f>IF(314&lt;DeliverStart,LeaseUpRampPct,MIN(1,LeaseUpRampPct+(1-LeaseUpRampPct)*'LeaseUp'!LE$10/StabilizedOccupancy))</f>
        <v/>
      </c>
      <c r="LF11" s="53">
        <f>IF(315&lt;DeliverStart,LeaseUpRampPct,MIN(1,LeaseUpRampPct+(1-LeaseUpRampPct)*'LeaseUp'!LF$10/StabilizedOccupancy))</f>
        <v/>
      </c>
      <c r="LG11" s="53">
        <f>IF(316&lt;DeliverStart,LeaseUpRampPct,MIN(1,LeaseUpRampPct+(1-LeaseUpRampPct)*'LeaseUp'!LG$10/StabilizedOccupancy))</f>
        <v/>
      </c>
      <c r="LH11" s="53">
        <f>IF(317&lt;DeliverStart,LeaseUpRampPct,MIN(1,LeaseUpRampPct+(1-LeaseUpRampPct)*'LeaseUp'!LH$10/StabilizedOccupancy))</f>
        <v/>
      </c>
      <c r="LI11" s="53">
        <f>IF(318&lt;DeliverStart,LeaseUpRampPct,MIN(1,LeaseUpRampPct+(1-LeaseUpRampPct)*'LeaseUp'!LI$10/StabilizedOccupancy))</f>
        <v/>
      </c>
      <c r="LJ11" s="53">
        <f>IF(319&lt;DeliverStart,LeaseUpRampPct,MIN(1,LeaseUpRampPct+(1-LeaseUpRampPct)*'LeaseUp'!LJ$10/StabilizedOccupancy))</f>
        <v/>
      </c>
      <c r="LK11" s="53">
        <f>IF(320&lt;DeliverStart,LeaseUpRampPct,MIN(1,LeaseUpRampPct+(1-LeaseUpRampPct)*'LeaseUp'!LK$10/StabilizedOccupancy))</f>
        <v/>
      </c>
      <c r="LL11" s="53">
        <f>IF(321&lt;DeliverStart,LeaseUpRampPct,MIN(1,LeaseUpRampPct+(1-LeaseUpRampPct)*'LeaseUp'!LL$10/StabilizedOccupancy))</f>
        <v/>
      </c>
      <c r="LM11" s="53">
        <f>IF(322&lt;DeliverStart,LeaseUpRampPct,MIN(1,LeaseUpRampPct+(1-LeaseUpRampPct)*'LeaseUp'!LM$10/StabilizedOccupancy))</f>
        <v/>
      </c>
      <c r="LN11" s="53">
        <f>IF(323&lt;DeliverStart,LeaseUpRampPct,MIN(1,LeaseUpRampPct+(1-LeaseUpRampPct)*'LeaseUp'!LN$10/StabilizedOccupancy))</f>
        <v/>
      </c>
      <c r="LO11" s="53">
        <f>IF(324&lt;DeliverStart,LeaseUpRampPct,MIN(1,LeaseUpRampPct+(1-LeaseUpRampPct)*'LeaseUp'!LO$10/StabilizedOccupancy))</f>
        <v/>
      </c>
      <c r="LP11" s="53">
        <f>IF(325&lt;DeliverStart,LeaseUpRampPct,MIN(1,LeaseUpRampPct+(1-LeaseUpRampPct)*'LeaseUp'!LP$10/StabilizedOccupancy))</f>
        <v/>
      </c>
      <c r="LQ11" s="53">
        <f>IF(326&lt;DeliverStart,LeaseUpRampPct,MIN(1,LeaseUpRampPct+(1-LeaseUpRampPct)*'LeaseUp'!LQ$10/StabilizedOccupancy))</f>
        <v/>
      </c>
      <c r="LR11" s="53">
        <f>IF(327&lt;DeliverStart,LeaseUpRampPct,MIN(1,LeaseUpRampPct+(1-LeaseUpRampPct)*'LeaseUp'!LR$10/StabilizedOccupancy))</f>
        <v/>
      </c>
      <c r="LS11" s="53">
        <f>IF(328&lt;DeliverStart,LeaseUpRampPct,MIN(1,LeaseUpRampPct+(1-LeaseUpRampPct)*'LeaseUp'!LS$10/StabilizedOccupancy))</f>
        <v/>
      </c>
      <c r="LT11" s="53">
        <f>IF(329&lt;DeliverStart,LeaseUpRampPct,MIN(1,LeaseUpRampPct+(1-LeaseUpRampPct)*'LeaseUp'!LT$10/StabilizedOccupancy))</f>
        <v/>
      </c>
      <c r="LU11" s="53">
        <f>IF(330&lt;DeliverStart,LeaseUpRampPct,MIN(1,LeaseUpRampPct+(1-LeaseUpRampPct)*'LeaseUp'!LU$10/StabilizedOccupancy))</f>
        <v/>
      </c>
      <c r="LV11" s="53">
        <f>IF(331&lt;DeliverStart,LeaseUpRampPct,MIN(1,LeaseUpRampPct+(1-LeaseUpRampPct)*'LeaseUp'!LV$10/StabilizedOccupancy))</f>
        <v/>
      </c>
      <c r="LW11" s="53">
        <f>IF(332&lt;DeliverStart,LeaseUpRampPct,MIN(1,LeaseUpRampPct+(1-LeaseUpRampPct)*'LeaseUp'!LW$10/StabilizedOccupancy))</f>
        <v/>
      </c>
      <c r="LX11" s="53">
        <f>IF(333&lt;DeliverStart,LeaseUpRampPct,MIN(1,LeaseUpRampPct+(1-LeaseUpRampPct)*'LeaseUp'!LX$10/StabilizedOccupancy))</f>
        <v/>
      </c>
      <c r="LY11" s="53">
        <f>IF(334&lt;DeliverStart,LeaseUpRampPct,MIN(1,LeaseUpRampPct+(1-LeaseUpRampPct)*'LeaseUp'!LY$10/StabilizedOccupancy))</f>
        <v/>
      </c>
      <c r="LZ11" s="53">
        <f>IF(335&lt;DeliverStart,LeaseUpRampPct,MIN(1,LeaseUpRampPct+(1-LeaseUpRampPct)*'LeaseUp'!LZ$10/StabilizedOccupancy))</f>
        <v/>
      </c>
      <c r="MA11" s="53">
        <f>IF(336&lt;DeliverStart,LeaseUpRampPct,MIN(1,LeaseUpRampPct+(1-LeaseUpRampPct)*'LeaseUp'!MA$10/StabilizedOccupancy))</f>
        <v/>
      </c>
      <c r="MB11" s="53">
        <f>IF(337&lt;DeliverStart,LeaseUpRampPct,MIN(1,LeaseUpRampPct+(1-LeaseUpRampPct)*'LeaseUp'!MB$10/StabilizedOccupancy))</f>
        <v/>
      </c>
      <c r="MC11" s="53">
        <f>IF(338&lt;DeliverStart,LeaseUpRampPct,MIN(1,LeaseUpRampPct+(1-LeaseUpRampPct)*'LeaseUp'!MC$10/StabilizedOccupancy))</f>
        <v/>
      </c>
      <c r="MD11" s="53">
        <f>IF(339&lt;DeliverStart,LeaseUpRampPct,MIN(1,LeaseUpRampPct+(1-LeaseUpRampPct)*'LeaseUp'!MD$10/StabilizedOccupancy))</f>
        <v/>
      </c>
      <c r="ME11" s="53">
        <f>IF(340&lt;DeliverStart,LeaseUpRampPct,MIN(1,LeaseUpRampPct+(1-LeaseUpRampPct)*'LeaseUp'!ME$10/StabilizedOccupancy))</f>
        <v/>
      </c>
      <c r="MF11" s="53">
        <f>IF(341&lt;DeliverStart,LeaseUpRampPct,MIN(1,LeaseUpRampPct+(1-LeaseUpRampPct)*'LeaseUp'!MF$10/StabilizedOccupancy))</f>
        <v/>
      </c>
      <c r="MG11" s="53">
        <f>IF(342&lt;DeliverStart,LeaseUpRampPct,MIN(1,LeaseUpRampPct+(1-LeaseUpRampPct)*'LeaseUp'!MG$10/StabilizedOccupancy))</f>
        <v/>
      </c>
      <c r="MH11" s="53">
        <f>IF(343&lt;DeliverStart,LeaseUpRampPct,MIN(1,LeaseUpRampPct+(1-LeaseUpRampPct)*'LeaseUp'!MH$10/StabilizedOccupancy))</f>
        <v/>
      </c>
      <c r="MI11" s="53">
        <f>IF(344&lt;DeliverStart,LeaseUpRampPct,MIN(1,LeaseUpRampPct+(1-LeaseUpRampPct)*'LeaseUp'!MI$10/StabilizedOccupancy))</f>
        <v/>
      </c>
      <c r="MJ11" s="53">
        <f>IF(345&lt;DeliverStart,LeaseUpRampPct,MIN(1,LeaseUpRampPct+(1-LeaseUpRampPct)*'LeaseUp'!MJ$10/StabilizedOccupancy))</f>
        <v/>
      </c>
      <c r="MK11" s="53">
        <f>IF(346&lt;DeliverStart,LeaseUpRampPct,MIN(1,LeaseUpRampPct+(1-LeaseUpRampPct)*'LeaseUp'!MK$10/StabilizedOccupancy))</f>
        <v/>
      </c>
      <c r="ML11" s="53">
        <f>IF(347&lt;DeliverStart,LeaseUpRampPct,MIN(1,LeaseUpRampPct+(1-LeaseUpRampPct)*'LeaseUp'!ML$10/StabilizedOccupancy))</f>
        <v/>
      </c>
      <c r="MM11" s="53">
        <f>IF(348&lt;DeliverStart,LeaseUpRampPct,MIN(1,LeaseUpRampPct+(1-LeaseUpRampPct)*'LeaseUp'!MM$10/StabilizedOccupancy))</f>
        <v/>
      </c>
      <c r="MN11" s="53">
        <f>IF(349&lt;DeliverStart,LeaseUpRampPct,MIN(1,LeaseUpRampPct+(1-LeaseUpRampPct)*'LeaseUp'!MN$10/StabilizedOccupancy))</f>
        <v/>
      </c>
      <c r="MO11" s="53">
        <f>IF(350&lt;DeliverStart,LeaseUpRampPct,MIN(1,LeaseUpRampPct+(1-LeaseUpRampPct)*'LeaseUp'!MO$10/StabilizedOccupancy))</f>
        <v/>
      </c>
      <c r="MP11" s="53">
        <f>IF(351&lt;DeliverStart,LeaseUpRampPct,MIN(1,LeaseUpRampPct+(1-LeaseUpRampPct)*'LeaseUp'!MP$10/StabilizedOccupancy))</f>
        <v/>
      </c>
      <c r="MQ11" s="53">
        <f>IF(352&lt;DeliverStart,LeaseUpRampPct,MIN(1,LeaseUpRampPct+(1-LeaseUpRampPct)*'LeaseUp'!MQ$10/StabilizedOccupancy))</f>
        <v/>
      </c>
      <c r="MR11" s="53">
        <f>IF(353&lt;DeliverStart,LeaseUpRampPct,MIN(1,LeaseUpRampPct+(1-LeaseUpRampPct)*'LeaseUp'!MR$10/StabilizedOccupancy))</f>
        <v/>
      </c>
      <c r="MS11" s="53">
        <f>IF(354&lt;DeliverStart,LeaseUpRampPct,MIN(1,LeaseUpRampPct+(1-LeaseUpRampPct)*'LeaseUp'!MS$10/StabilizedOccupancy))</f>
        <v/>
      </c>
      <c r="MT11" s="53">
        <f>IF(355&lt;DeliverStart,LeaseUpRampPct,MIN(1,LeaseUpRampPct+(1-LeaseUpRampPct)*'LeaseUp'!MT$10/StabilizedOccupancy))</f>
        <v/>
      </c>
      <c r="MU11" s="53">
        <f>IF(356&lt;DeliverStart,LeaseUpRampPct,MIN(1,LeaseUpRampPct+(1-LeaseUpRampPct)*'LeaseUp'!MU$10/StabilizedOccupancy))</f>
        <v/>
      </c>
      <c r="MV11" s="53">
        <f>IF(357&lt;DeliverStart,LeaseUpRampPct,MIN(1,LeaseUpRampPct+(1-LeaseUpRampPct)*'LeaseUp'!MV$10/StabilizedOccupancy))</f>
        <v/>
      </c>
      <c r="MW11" s="53">
        <f>IF(358&lt;DeliverStart,LeaseUpRampPct,MIN(1,LeaseUpRampPct+(1-LeaseUpRampPct)*'LeaseUp'!MW$10/StabilizedOccupancy))</f>
        <v/>
      </c>
      <c r="MX11" s="53">
        <f>IF(359&lt;DeliverStart,LeaseUpRampPct,MIN(1,LeaseUpRampPct+(1-LeaseUpRampPct)*'LeaseUp'!MX$10/StabilizedOccupancy))</f>
        <v/>
      </c>
      <c r="MY11" s="53">
        <f>IF(360&lt;DeliverStart,LeaseUpRampPct,MIN(1,LeaseUpRampPct+(1-LeaseUpRampPct)*'LeaseUp'!MY$10/StabilizedOccupancy))</f>
        <v/>
      </c>
      <c r="MZ11" s="53">
        <f>IF(361&lt;DeliverStart,LeaseUpRampPct,MIN(1,LeaseUpRampPct+(1-LeaseUpRampPct)*'LeaseUp'!MZ$10/StabilizedOccupancy))</f>
        <v/>
      </c>
      <c r="NA11" s="53">
        <f>IF(362&lt;DeliverStart,LeaseUpRampPct,MIN(1,LeaseUpRampPct+(1-LeaseUpRampPct)*'LeaseUp'!NA$10/StabilizedOccupancy))</f>
        <v/>
      </c>
      <c r="NB11" s="53">
        <f>IF(363&lt;DeliverStart,LeaseUpRampPct,MIN(1,LeaseUpRampPct+(1-LeaseUpRampPct)*'LeaseUp'!NB$10/StabilizedOccupancy))</f>
        <v/>
      </c>
      <c r="NC11" s="53">
        <f>IF(364&lt;DeliverStart,LeaseUpRampPct,MIN(1,LeaseUpRampPct+(1-LeaseUpRampPct)*'LeaseUp'!NC$10/StabilizedOccupancy))</f>
        <v/>
      </c>
      <c r="ND11" s="53">
        <f>IF(365&lt;DeliverStart,LeaseUpRampPct,MIN(1,LeaseUpRampPct+(1-LeaseUpRampPct)*'LeaseUp'!ND$10/StabilizedOccupancy))</f>
        <v/>
      </c>
      <c r="NE11" s="53">
        <f>IF(366&lt;DeliverStart,LeaseUpRampPct,MIN(1,LeaseUpRampPct+(1-LeaseUpRampPct)*'LeaseUp'!NE$10/StabilizedOccupancy))</f>
        <v/>
      </c>
      <c r="NF11" s="53">
        <f>IF(367&lt;DeliverStart,LeaseUpRampPct,MIN(1,LeaseUpRampPct+(1-LeaseUpRampPct)*'LeaseUp'!NF$10/StabilizedOccupancy))</f>
        <v/>
      </c>
      <c r="NG11" s="53">
        <f>IF(368&lt;DeliverStart,LeaseUpRampPct,MIN(1,LeaseUpRampPct+(1-LeaseUpRampPct)*'LeaseUp'!NG$10/StabilizedOccupancy))</f>
        <v/>
      </c>
      <c r="NH11" s="53">
        <f>IF(369&lt;DeliverStart,LeaseUpRampPct,MIN(1,LeaseUpRampPct+(1-LeaseUpRampPct)*'LeaseUp'!NH$10/StabilizedOccupancy))</f>
        <v/>
      </c>
      <c r="NI11" s="53">
        <f>IF(370&lt;DeliverStart,LeaseUpRampPct,MIN(1,LeaseUpRampPct+(1-LeaseUpRampPct)*'LeaseUp'!NI$10/StabilizedOccupancy))</f>
        <v/>
      </c>
      <c r="NJ11" s="53">
        <f>IF(371&lt;DeliverStart,LeaseUpRampPct,MIN(1,LeaseUpRampPct+(1-LeaseUpRampPct)*'LeaseUp'!NJ$10/StabilizedOccupancy))</f>
        <v/>
      </c>
      <c r="NK11" s="53">
        <f>IF(372&lt;DeliverStart,LeaseUpRampPct,MIN(1,LeaseUpRampPct+(1-LeaseUpRampPct)*'LeaseUp'!NK$10/StabilizedOccupancy))</f>
        <v/>
      </c>
    </row>
    <row r="12">
      <c r="A12" s="5" t="inlineStr">
        <is>
          <t>Elevated-Expense Factor</t>
        </is>
      </c>
      <c r="C12" s="52" t="n"/>
      <c r="D12" s="53">
        <f>1+LeaseUpElevationPct*MAX(0,1-'LeaseUp'!D$10/StabilizedOccupancy)</f>
        <v/>
      </c>
      <c r="E12" s="53">
        <f>1+LeaseUpElevationPct*MAX(0,1-'LeaseUp'!E$10/StabilizedOccupancy)</f>
        <v/>
      </c>
      <c r="F12" s="53">
        <f>1+LeaseUpElevationPct*MAX(0,1-'LeaseUp'!F$10/StabilizedOccupancy)</f>
        <v/>
      </c>
      <c r="G12" s="53">
        <f>1+LeaseUpElevationPct*MAX(0,1-'LeaseUp'!G$10/StabilizedOccupancy)</f>
        <v/>
      </c>
      <c r="H12" s="53">
        <f>1+LeaseUpElevationPct*MAX(0,1-'LeaseUp'!H$10/StabilizedOccupancy)</f>
        <v/>
      </c>
      <c r="I12" s="53">
        <f>1+LeaseUpElevationPct*MAX(0,1-'LeaseUp'!I$10/StabilizedOccupancy)</f>
        <v/>
      </c>
      <c r="J12" s="53">
        <f>1+LeaseUpElevationPct*MAX(0,1-'LeaseUp'!J$10/StabilizedOccupancy)</f>
        <v/>
      </c>
      <c r="K12" s="53">
        <f>1+LeaseUpElevationPct*MAX(0,1-'LeaseUp'!K$10/StabilizedOccupancy)</f>
        <v/>
      </c>
      <c r="L12" s="53">
        <f>1+LeaseUpElevationPct*MAX(0,1-'LeaseUp'!L$10/StabilizedOccupancy)</f>
        <v/>
      </c>
      <c r="M12" s="53">
        <f>1+LeaseUpElevationPct*MAX(0,1-'LeaseUp'!M$10/StabilizedOccupancy)</f>
        <v/>
      </c>
      <c r="N12" s="53">
        <f>1+LeaseUpElevationPct*MAX(0,1-'LeaseUp'!N$10/StabilizedOccupancy)</f>
        <v/>
      </c>
      <c r="O12" s="53">
        <f>1+LeaseUpElevationPct*MAX(0,1-'LeaseUp'!O$10/StabilizedOccupancy)</f>
        <v/>
      </c>
      <c r="P12" s="53">
        <f>1+LeaseUpElevationPct*MAX(0,1-'LeaseUp'!P$10/StabilizedOccupancy)</f>
        <v/>
      </c>
      <c r="Q12" s="53">
        <f>1+LeaseUpElevationPct*MAX(0,1-'LeaseUp'!Q$10/StabilizedOccupancy)</f>
        <v/>
      </c>
      <c r="R12" s="53">
        <f>1+LeaseUpElevationPct*MAX(0,1-'LeaseUp'!R$10/StabilizedOccupancy)</f>
        <v/>
      </c>
      <c r="S12" s="53">
        <f>1+LeaseUpElevationPct*MAX(0,1-'LeaseUp'!S$10/StabilizedOccupancy)</f>
        <v/>
      </c>
      <c r="T12" s="53">
        <f>1+LeaseUpElevationPct*MAX(0,1-'LeaseUp'!T$10/StabilizedOccupancy)</f>
        <v/>
      </c>
      <c r="U12" s="53">
        <f>1+LeaseUpElevationPct*MAX(0,1-'LeaseUp'!U$10/StabilizedOccupancy)</f>
        <v/>
      </c>
      <c r="V12" s="53">
        <f>1+LeaseUpElevationPct*MAX(0,1-'LeaseUp'!V$10/StabilizedOccupancy)</f>
        <v/>
      </c>
      <c r="W12" s="53">
        <f>1+LeaseUpElevationPct*MAX(0,1-'LeaseUp'!W$10/StabilizedOccupancy)</f>
        <v/>
      </c>
      <c r="X12" s="53">
        <f>1+LeaseUpElevationPct*MAX(0,1-'LeaseUp'!X$10/StabilizedOccupancy)</f>
        <v/>
      </c>
      <c r="Y12" s="53">
        <f>1+LeaseUpElevationPct*MAX(0,1-'LeaseUp'!Y$10/StabilizedOccupancy)</f>
        <v/>
      </c>
      <c r="Z12" s="53">
        <f>1+LeaseUpElevationPct*MAX(0,1-'LeaseUp'!Z$10/StabilizedOccupancy)</f>
        <v/>
      </c>
      <c r="AA12" s="53">
        <f>1+LeaseUpElevationPct*MAX(0,1-'LeaseUp'!AA$10/StabilizedOccupancy)</f>
        <v/>
      </c>
      <c r="AB12" s="53">
        <f>1+LeaseUpElevationPct*MAX(0,1-'LeaseUp'!AB$10/StabilizedOccupancy)</f>
        <v/>
      </c>
      <c r="AC12" s="53">
        <f>1+LeaseUpElevationPct*MAX(0,1-'LeaseUp'!AC$10/StabilizedOccupancy)</f>
        <v/>
      </c>
      <c r="AD12" s="53">
        <f>1+LeaseUpElevationPct*MAX(0,1-'LeaseUp'!AD$10/StabilizedOccupancy)</f>
        <v/>
      </c>
      <c r="AE12" s="53">
        <f>1+LeaseUpElevationPct*MAX(0,1-'LeaseUp'!AE$10/StabilizedOccupancy)</f>
        <v/>
      </c>
      <c r="AF12" s="53">
        <f>1+LeaseUpElevationPct*MAX(0,1-'LeaseUp'!AF$10/StabilizedOccupancy)</f>
        <v/>
      </c>
      <c r="AG12" s="53">
        <f>1+LeaseUpElevationPct*MAX(0,1-'LeaseUp'!AG$10/StabilizedOccupancy)</f>
        <v/>
      </c>
      <c r="AH12" s="53">
        <f>1+LeaseUpElevationPct*MAX(0,1-'LeaseUp'!AH$10/StabilizedOccupancy)</f>
        <v/>
      </c>
      <c r="AI12" s="53">
        <f>1+LeaseUpElevationPct*MAX(0,1-'LeaseUp'!AI$10/StabilizedOccupancy)</f>
        <v/>
      </c>
      <c r="AJ12" s="53">
        <f>1+LeaseUpElevationPct*MAX(0,1-'LeaseUp'!AJ$10/StabilizedOccupancy)</f>
        <v/>
      </c>
      <c r="AK12" s="53">
        <f>1+LeaseUpElevationPct*MAX(0,1-'LeaseUp'!AK$10/StabilizedOccupancy)</f>
        <v/>
      </c>
      <c r="AL12" s="53">
        <f>1+LeaseUpElevationPct*MAX(0,1-'LeaseUp'!AL$10/StabilizedOccupancy)</f>
        <v/>
      </c>
      <c r="AM12" s="53">
        <f>1+LeaseUpElevationPct*MAX(0,1-'LeaseUp'!AM$10/StabilizedOccupancy)</f>
        <v/>
      </c>
      <c r="AN12" s="53">
        <f>1+LeaseUpElevationPct*MAX(0,1-'LeaseUp'!AN$10/StabilizedOccupancy)</f>
        <v/>
      </c>
      <c r="AO12" s="53">
        <f>1+LeaseUpElevationPct*MAX(0,1-'LeaseUp'!AO$10/StabilizedOccupancy)</f>
        <v/>
      </c>
      <c r="AP12" s="53">
        <f>1+LeaseUpElevationPct*MAX(0,1-'LeaseUp'!AP$10/StabilizedOccupancy)</f>
        <v/>
      </c>
      <c r="AQ12" s="53">
        <f>1+LeaseUpElevationPct*MAX(0,1-'LeaseUp'!AQ$10/StabilizedOccupancy)</f>
        <v/>
      </c>
      <c r="AR12" s="53">
        <f>1+LeaseUpElevationPct*MAX(0,1-'LeaseUp'!AR$10/StabilizedOccupancy)</f>
        <v/>
      </c>
      <c r="AS12" s="53">
        <f>1+LeaseUpElevationPct*MAX(0,1-'LeaseUp'!AS$10/StabilizedOccupancy)</f>
        <v/>
      </c>
      <c r="AT12" s="53">
        <f>1+LeaseUpElevationPct*MAX(0,1-'LeaseUp'!AT$10/StabilizedOccupancy)</f>
        <v/>
      </c>
      <c r="AU12" s="53">
        <f>1+LeaseUpElevationPct*MAX(0,1-'LeaseUp'!AU$10/StabilizedOccupancy)</f>
        <v/>
      </c>
      <c r="AV12" s="53">
        <f>1+LeaseUpElevationPct*MAX(0,1-'LeaseUp'!AV$10/StabilizedOccupancy)</f>
        <v/>
      </c>
      <c r="AW12" s="53">
        <f>1+LeaseUpElevationPct*MAX(0,1-'LeaseUp'!AW$10/StabilizedOccupancy)</f>
        <v/>
      </c>
      <c r="AX12" s="53">
        <f>1+LeaseUpElevationPct*MAX(0,1-'LeaseUp'!AX$10/StabilizedOccupancy)</f>
        <v/>
      </c>
      <c r="AY12" s="53">
        <f>1+LeaseUpElevationPct*MAX(0,1-'LeaseUp'!AY$10/StabilizedOccupancy)</f>
        <v/>
      </c>
      <c r="AZ12" s="53">
        <f>1+LeaseUpElevationPct*MAX(0,1-'LeaseUp'!AZ$10/StabilizedOccupancy)</f>
        <v/>
      </c>
      <c r="BA12" s="53">
        <f>1+LeaseUpElevationPct*MAX(0,1-'LeaseUp'!BA$10/StabilizedOccupancy)</f>
        <v/>
      </c>
      <c r="BB12" s="53">
        <f>1+LeaseUpElevationPct*MAX(0,1-'LeaseUp'!BB$10/StabilizedOccupancy)</f>
        <v/>
      </c>
      <c r="BC12" s="53">
        <f>1+LeaseUpElevationPct*MAX(0,1-'LeaseUp'!BC$10/StabilizedOccupancy)</f>
        <v/>
      </c>
      <c r="BD12" s="53">
        <f>1+LeaseUpElevationPct*MAX(0,1-'LeaseUp'!BD$10/StabilizedOccupancy)</f>
        <v/>
      </c>
      <c r="BE12" s="53">
        <f>1+LeaseUpElevationPct*MAX(0,1-'LeaseUp'!BE$10/StabilizedOccupancy)</f>
        <v/>
      </c>
      <c r="BF12" s="53">
        <f>1+LeaseUpElevationPct*MAX(0,1-'LeaseUp'!BF$10/StabilizedOccupancy)</f>
        <v/>
      </c>
      <c r="BG12" s="53">
        <f>1+LeaseUpElevationPct*MAX(0,1-'LeaseUp'!BG$10/StabilizedOccupancy)</f>
        <v/>
      </c>
      <c r="BH12" s="53">
        <f>1+LeaseUpElevationPct*MAX(0,1-'LeaseUp'!BH$10/StabilizedOccupancy)</f>
        <v/>
      </c>
      <c r="BI12" s="53">
        <f>1+LeaseUpElevationPct*MAX(0,1-'LeaseUp'!BI$10/StabilizedOccupancy)</f>
        <v/>
      </c>
      <c r="BJ12" s="53">
        <f>1+LeaseUpElevationPct*MAX(0,1-'LeaseUp'!BJ$10/StabilizedOccupancy)</f>
        <v/>
      </c>
      <c r="BK12" s="53">
        <f>1+LeaseUpElevationPct*MAX(0,1-'LeaseUp'!BK$10/StabilizedOccupancy)</f>
        <v/>
      </c>
      <c r="BL12" s="53">
        <f>1+LeaseUpElevationPct*MAX(0,1-'LeaseUp'!BL$10/StabilizedOccupancy)</f>
        <v/>
      </c>
      <c r="BM12" s="53">
        <f>1+LeaseUpElevationPct*MAX(0,1-'LeaseUp'!BM$10/StabilizedOccupancy)</f>
        <v/>
      </c>
      <c r="BN12" s="53">
        <f>1+LeaseUpElevationPct*MAX(0,1-'LeaseUp'!BN$10/StabilizedOccupancy)</f>
        <v/>
      </c>
      <c r="BO12" s="53">
        <f>1+LeaseUpElevationPct*MAX(0,1-'LeaseUp'!BO$10/StabilizedOccupancy)</f>
        <v/>
      </c>
      <c r="BP12" s="53">
        <f>1+LeaseUpElevationPct*MAX(0,1-'LeaseUp'!BP$10/StabilizedOccupancy)</f>
        <v/>
      </c>
      <c r="BQ12" s="53">
        <f>1+LeaseUpElevationPct*MAX(0,1-'LeaseUp'!BQ$10/StabilizedOccupancy)</f>
        <v/>
      </c>
      <c r="BR12" s="53">
        <f>1+LeaseUpElevationPct*MAX(0,1-'LeaseUp'!BR$10/StabilizedOccupancy)</f>
        <v/>
      </c>
      <c r="BS12" s="53">
        <f>1+LeaseUpElevationPct*MAX(0,1-'LeaseUp'!BS$10/StabilizedOccupancy)</f>
        <v/>
      </c>
      <c r="BT12" s="53">
        <f>1+LeaseUpElevationPct*MAX(0,1-'LeaseUp'!BT$10/StabilizedOccupancy)</f>
        <v/>
      </c>
      <c r="BU12" s="53">
        <f>1+LeaseUpElevationPct*MAX(0,1-'LeaseUp'!BU$10/StabilizedOccupancy)</f>
        <v/>
      </c>
      <c r="BV12" s="53">
        <f>1+LeaseUpElevationPct*MAX(0,1-'LeaseUp'!BV$10/StabilizedOccupancy)</f>
        <v/>
      </c>
      <c r="BW12" s="53">
        <f>1+LeaseUpElevationPct*MAX(0,1-'LeaseUp'!BW$10/StabilizedOccupancy)</f>
        <v/>
      </c>
      <c r="BX12" s="53">
        <f>1+LeaseUpElevationPct*MAX(0,1-'LeaseUp'!BX$10/StabilizedOccupancy)</f>
        <v/>
      </c>
      <c r="BY12" s="53">
        <f>1+LeaseUpElevationPct*MAX(0,1-'LeaseUp'!BY$10/StabilizedOccupancy)</f>
        <v/>
      </c>
      <c r="BZ12" s="53">
        <f>1+LeaseUpElevationPct*MAX(0,1-'LeaseUp'!BZ$10/StabilizedOccupancy)</f>
        <v/>
      </c>
      <c r="CA12" s="53">
        <f>1+LeaseUpElevationPct*MAX(0,1-'LeaseUp'!CA$10/StabilizedOccupancy)</f>
        <v/>
      </c>
      <c r="CB12" s="53">
        <f>1+LeaseUpElevationPct*MAX(0,1-'LeaseUp'!CB$10/StabilizedOccupancy)</f>
        <v/>
      </c>
      <c r="CC12" s="53">
        <f>1+LeaseUpElevationPct*MAX(0,1-'LeaseUp'!CC$10/StabilizedOccupancy)</f>
        <v/>
      </c>
      <c r="CD12" s="53">
        <f>1+LeaseUpElevationPct*MAX(0,1-'LeaseUp'!CD$10/StabilizedOccupancy)</f>
        <v/>
      </c>
      <c r="CE12" s="53">
        <f>1+LeaseUpElevationPct*MAX(0,1-'LeaseUp'!CE$10/StabilizedOccupancy)</f>
        <v/>
      </c>
      <c r="CF12" s="53">
        <f>1+LeaseUpElevationPct*MAX(0,1-'LeaseUp'!CF$10/StabilizedOccupancy)</f>
        <v/>
      </c>
      <c r="CG12" s="53">
        <f>1+LeaseUpElevationPct*MAX(0,1-'LeaseUp'!CG$10/StabilizedOccupancy)</f>
        <v/>
      </c>
      <c r="CH12" s="53">
        <f>1+LeaseUpElevationPct*MAX(0,1-'LeaseUp'!CH$10/StabilizedOccupancy)</f>
        <v/>
      </c>
      <c r="CI12" s="53">
        <f>1+LeaseUpElevationPct*MAX(0,1-'LeaseUp'!CI$10/StabilizedOccupancy)</f>
        <v/>
      </c>
      <c r="CJ12" s="53">
        <f>1+LeaseUpElevationPct*MAX(0,1-'LeaseUp'!CJ$10/StabilizedOccupancy)</f>
        <v/>
      </c>
      <c r="CK12" s="53">
        <f>1+LeaseUpElevationPct*MAX(0,1-'LeaseUp'!CK$10/StabilizedOccupancy)</f>
        <v/>
      </c>
      <c r="CL12" s="53">
        <f>1+LeaseUpElevationPct*MAX(0,1-'LeaseUp'!CL$10/StabilizedOccupancy)</f>
        <v/>
      </c>
      <c r="CM12" s="53">
        <f>1+LeaseUpElevationPct*MAX(0,1-'LeaseUp'!CM$10/StabilizedOccupancy)</f>
        <v/>
      </c>
      <c r="CN12" s="53">
        <f>1+LeaseUpElevationPct*MAX(0,1-'LeaseUp'!CN$10/StabilizedOccupancy)</f>
        <v/>
      </c>
      <c r="CO12" s="53">
        <f>1+LeaseUpElevationPct*MAX(0,1-'LeaseUp'!CO$10/StabilizedOccupancy)</f>
        <v/>
      </c>
      <c r="CP12" s="53">
        <f>1+LeaseUpElevationPct*MAX(0,1-'LeaseUp'!CP$10/StabilizedOccupancy)</f>
        <v/>
      </c>
      <c r="CQ12" s="53">
        <f>1+LeaseUpElevationPct*MAX(0,1-'LeaseUp'!CQ$10/StabilizedOccupancy)</f>
        <v/>
      </c>
      <c r="CR12" s="53">
        <f>1+LeaseUpElevationPct*MAX(0,1-'LeaseUp'!CR$10/StabilizedOccupancy)</f>
        <v/>
      </c>
      <c r="CS12" s="53">
        <f>1+LeaseUpElevationPct*MAX(0,1-'LeaseUp'!CS$10/StabilizedOccupancy)</f>
        <v/>
      </c>
      <c r="CT12" s="53">
        <f>1+LeaseUpElevationPct*MAX(0,1-'LeaseUp'!CT$10/StabilizedOccupancy)</f>
        <v/>
      </c>
      <c r="CU12" s="53">
        <f>1+LeaseUpElevationPct*MAX(0,1-'LeaseUp'!CU$10/StabilizedOccupancy)</f>
        <v/>
      </c>
      <c r="CV12" s="53">
        <f>1+LeaseUpElevationPct*MAX(0,1-'LeaseUp'!CV$10/StabilizedOccupancy)</f>
        <v/>
      </c>
      <c r="CW12" s="53">
        <f>1+LeaseUpElevationPct*MAX(0,1-'LeaseUp'!CW$10/StabilizedOccupancy)</f>
        <v/>
      </c>
      <c r="CX12" s="53">
        <f>1+LeaseUpElevationPct*MAX(0,1-'LeaseUp'!CX$10/StabilizedOccupancy)</f>
        <v/>
      </c>
      <c r="CY12" s="53">
        <f>1+LeaseUpElevationPct*MAX(0,1-'LeaseUp'!CY$10/StabilizedOccupancy)</f>
        <v/>
      </c>
      <c r="CZ12" s="53">
        <f>1+LeaseUpElevationPct*MAX(0,1-'LeaseUp'!CZ$10/StabilizedOccupancy)</f>
        <v/>
      </c>
      <c r="DA12" s="53">
        <f>1+LeaseUpElevationPct*MAX(0,1-'LeaseUp'!DA$10/StabilizedOccupancy)</f>
        <v/>
      </c>
      <c r="DB12" s="53">
        <f>1+LeaseUpElevationPct*MAX(0,1-'LeaseUp'!DB$10/StabilizedOccupancy)</f>
        <v/>
      </c>
      <c r="DC12" s="53">
        <f>1+LeaseUpElevationPct*MAX(0,1-'LeaseUp'!DC$10/StabilizedOccupancy)</f>
        <v/>
      </c>
      <c r="DD12" s="53">
        <f>1+LeaseUpElevationPct*MAX(0,1-'LeaseUp'!DD$10/StabilizedOccupancy)</f>
        <v/>
      </c>
      <c r="DE12" s="53">
        <f>1+LeaseUpElevationPct*MAX(0,1-'LeaseUp'!DE$10/StabilizedOccupancy)</f>
        <v/>
      </c>
      <c r="DF12" s="53">
        <f>1+LeaseUpElevationPct*MAX(0,1-'LeaseUp'!DF$10/StabilizedOccupancy)</f>
        <v/>
      </c>
      <c r="DG12" s="53">
        <f>1+LeaseUpElevationPct*MAX(0,1-'LeaseUp'!DG$10/StabilizedOccupancy)</f>
        <v/>
      </c>
      <c r="DH12" s="53">
        <f>1+LeaseUpElevationPct*MAX(0,1-'LeaseUp'!DH$10/StabilizedOccupancy)</f>
        <v/>
      </c>
      <c r="DI12" s="53">
        <f>1+LeaseUpElevationPct*MAX(0,1-'LeaseUp'!DI$10/StabilizedOccupancy)</f>
        <v/>
      </c>
      <c r="DJ12" s="53">
        <f>1+LeaseUpElevationPct*MAX(0,1-'LeaseUp'!DJ$10/StabilizedOccupancy)</f>
        <v/>
      </c>
      <c r="DK12" s="53">
        <f>1+LeaseUpElevationPct*MAX(0,1-'LeaseUp'!DK$10/StabilizedOccupancy)</f>
        <v/>
      </c>
      <c r="DL12" s="53">
        <f>1+LeaseUpElevationPct*MAX(0,1-'LeaseUp'!DL$10/StabilizedOccupancy)</f>
        <v/>
      </c>
      <c r="DM12" s="53">
        <f>1+LeaseUpElevationPct*MAX(0,1-'LeaseUp'!DM$10/StabilizedOccupancy)</f>
        <v/>
      </c>
      <c r="DN12" s="53">
        <f>1+LeaseUpElevationPct*MAX(0,1-'LeaseUp'!DN$10/StabilizedOccupancy)</f>
        <v/>
      </c>
      <c r="DO12" s="53">
        <f>1+LeaseUpElevationPct*MAX(0,1-'LeaseUp'!DO$10/StabilizedOccupancy)</f>
        <v/>
      </c>
      <c r="DP12" s="53">
        <f>1+LeaseUpElevationPct*MAX(0,1-'LeaseUp'!DP$10/StabilizedOccupancy)</f>
        <v/>
      </c>
      <c r="DQ12" s="53">
        <f>1+LeaseUpElevationPct*MAX(0,1-'LeaseUp'!DQ$10/StabilizedOccupancy)</f>
        <v/>
      </c>
      <c r="DR12" s="53">
        <f>1+LeaseUpElevationPct*MAX(0,1-'LeaseUp'!DR$10/StabilizedOccupancy)</f>
        <v/>
      </c>
      <c r="DS12" s="53">
        <f>1+LeaseUpElevationPct*MAX(0,1-'LeaseUp'!DS$10/StabilizedOccupancy)</f>
        <v/>
      </c>
      <c r="DT12" s="53">
        <f>1+LeaseUpElevationPct*MAX(0,1-'LeaseUp'!DT$10/StabilizedOccupancy)</f>
        <v/>
      </c>
      <c r="DU12" s="53">
        <f>1+LeaseUpElevationPct*MAX(0,1-'LeaseUp'!DU$10/StabilizedOccupancy)</f>
        <v/>
      </c>
      <c r="DV12" s="53">
        <f>1+LeaseUpElevationPct*MAX(0,1-'LeaseUp'!DV$10/StabilizedOccupancy)</f>
        <v/>
      </c>
      <c r="DW12" s="53">
        <f>1+LeaseUpElevationPct*MAX(0,1-'LeaseUp'!DW$10/StabilizedOccupancy)</f>
        <v/>
      </c>
      <c r="DX12" s="53">
        <f>1+LeaseUpElevationPct*MAX(0,1-'LeaseUp'!DX$10/StabilizedOccupancy)</f>
        <v/>
      </c>
      <c r="DY12" s="53">
        <f>1+LeaseUpElevationPct*MAX(0,1-'LeaseUp'!DY$10/StabilizedOccupancy)</f>
        <v/>
      </c>
      <c r="DZ12" s="53">
        <f>1+LeaseUpElevationPct*MAX(0,1-'LeaseUp'!DZ$10/StabilizedOccupancy)</f>
        <v/>
      </c>
      <c r="EA12" s="53">
        <f>1+LeaseUpElevationPct*MAX(0,1-'LeaseUp'!EA$10/StabilizedOccupancy)</f>
        <v/>
      </c>
      <c r="EB12" s="53">
        <f>1+LeaseUpElevationPct*MAX(0,1-'LeaseUp'!EB$10/StabilizedOccupancy)</f>
        <v/>
      </c>
      <c r="EC12" s="53">
        <f>1+LeaseUpElevationPct*MAX(0,1-'LeaseUp'!EC$10/StabilizedOccupancy)</f>
        <v/>
      </c>
      <c r="ED12" s="53">
        <f>1+LeaseUpElevationPct*MAX(0,1-'LeaseUp'!ED$10/StabilizedOccupancy)</f>
        <v/>
      </c>
      <c r="EE12" s="53">
        <f>1+LeaseUpElevationPct*MAX(0,1-'LeaseUp'!EE$10/StabilizedOccupancy)</f>
        <v/>
      </c>
      <c r="EF12" s="53">
        <f>1+LeaseUpElevationPct*MAX(0,1-'LeaseUp'!EF$10/StabilizedOccupancy)</f>
        <v/>
      </c>
      <c r="EG12" s="53">
        <f>1+LeaseUpElevationPct*MAX(0,1-'LeaseUp'!EG$10/StabilizedOccupancy)</f>
        <v/>
      </c>
      <c r="EH12" s="53">
        <f>1+LeaseUpElevationPct*MAX(0,1-'LeaseUp'!EH$10/StabilizedOccupancy)</f>
        <v/>
      </c>
      <c r="EI12" s="53">
        <f>1+LeaseUpElevationPct*MAX(0,1-'LeaseUp'!EI$10/StabilizedOccupancy)</f>
        <v/>
      </c>
      <c r="EJ12" s="53">
        <f>1+LeaseUpElevationPct*MAX(0,1-'LeaseUp'!EJ$10/StabilizedOccupancy)</f>
        <v/>
      </c>
      <c r="EK12" s="53">
        <f>1+LeaseUpElevationPct*MAX(0,1-'LeaseUp'!EK$10/StabilizedOccupancy)</f>
        <v/>
      </c>
      <c r="EL12" s="53">
        <f>1+LeaseUpElevationPct*MAX(0,1-'LeaseUp'!EL$10/StabilizedOccupancy)</f>
        <v/>
      </c>
      <c r="EM12" s="53">
        <f>1+LeaseUpElevationPct*MAX(0,1-'LeaseUp'!EM$10/StabilizedOccupancy)</f>
        <v/>
      </c>
      <c r="EN12" s="53">
        <f>1+LeaseUpElevationPct*MAX(0,1-'LeaseUp'!EN$10/StabilizedOccupancy)</f>
        <v/>
      </c>
      <c r="EO12" s="53">
        <f>1+LeaseUpElevationPct*MAX(0,1-'LeaseUp'!EO$10/StabilizedOccupancy)</f>
        <v/>
      </c>
      <c r="EP12" s="53">
        <f>1+LeaseUpElevationPct*MAX(0,1-'LeaseUp'!EP$10/StabilizedOccupancy)</f>
        <v/>
      </c>
      <c r="EQ12" s="53">
        <f>1+LeaseUpElevationPct*MAX(0,1-'LeaseUp'!EQ$10/StabilizedOccupancy)</f>
        <v/>
      </c>
      <c r="ER12" s="53">
        <f>1+LeaseUpElevationPct*MAX(0,1-'LeaseUp'!ER$10/StabilizedOccupancy)</f>
        <v/>
      </c>
      <c r="ES12" s="53">
        <f>1+LeaseUpElevationPct*MAX(0,1-'LeaseUp'!ES$10/StabilizedOccupancy)</f>
        <v/>
      </c>
      <c r="ET12" s="53">
        <f>1+LeaseUpElevationPct*MAX(0,1-'LeaseUp'!ET$10/StabilizedOccupancy)</f>
        <v/>
      </c>
      <c r="EU12" s="53">
        <f>1+LeaseUpElevationPct*MAX(0,1-'LeaseUp'!EU$10/StabilizedOccupancy)</f>
        <v/>
      </c>
      <c r="EV12" s="53">
        <f>1+LeaseUpElevationPct*MAX(0,1-'LeaseUp'!EV$10/StabilizedOccupancy)</f>
        <v/>
      </c>
      <c r="EW12" s="53">
        <f>1+LeaseUpElevationPct*MAX(0,1-'LeaseUp'!EW$10/StabilizedOccupancy)</f>
        <v/>
      </c>
      <c r="EX12" s="53">
        <f>1+LeaseUpElevationPct*MAX(0,1-'LeaseUp'!EX$10/StabilizedOccupancy)</f>
        <v/>
      </c>
      <c r="EY12" s="53">
        <f>1+LeaseUpElevationPct*MAX(0,1-'LeaseUp'!EY$10/StabilizedOccupancy)</f>
        <v/>
      </c>
      <c r="EZ12" s="53">
        <f>1+LeaseUpElevationPct*MAX(0,1-'LeaseUp'!EZ$10/StabilizedOccupancy)</f>
        <v/>
      </c>
      <c r="FA12" s="53">
        <f>1+LeaseUpElevationPct*MAX(0,1-'LeaseUp'!FA$10/StabilizedOccupancy)</f>
        <v/>
      </c>
      <c r="FB12" s="53">
        <f>1+LeaseUpElevationPct*MAX(0,1-'LeaseUp'!FB$10/StabilizedOccupancy)</f>
        <v/>
      </c>
      <c r="FC12" s="53">
        <f>1+LeaseUpElevationPct*MAX(0,1-'LeaseUp'!FC$10/StabilizedOccupancy)</f>
        <v/>
      </c>
      <c r="FD12" s="53">
        <f>1+LeaseUpElevationPct*MAX(0,1-'LeaseUp'!FD$10/StabilizedOccupancy)</f>
        <v/>
      </c>
      <c r="FE12" s="53">
        <f>1+LeaseUpElevationPct*MAX(0,1-'LeaseUp'!FE$10/StabilizedOccupancy)</f>
        <v/>
      </c>
      <c r="FF12" s="53">
        <f>1+LeaseUpElevationPct*MAX(0,1-'LeaseUp'!FF$10/StabilizedOccupancy)</f>
        <v/>
      </c>
      <c r="FG12" s="53">
        <f>1+LeaseUpElevationPct*MAX(0,1-'LeaseUp'!FG$10/StabilizedOccupancy)</f>
        <v/>
      </c>
      <c r="FH12" s="53">
        <f>1+LeaseUpElevationPct*MAX(0,1-'LeaseUp'!FH$10/StabilizedOccupancy)</f>
        <v/>
      </c>
      <c r="FI12" s="53">
        <f>1+LeaseUpElevationPct*MAX(0,1-'LeaseUp'!FI$10/StabilizedOccupancy)</f>
        <v/>
      </c>
      <c r="FJ12" s="53">
        <f>1+LeaseUpElevationPct*MAX(0,1-'LeaseUp'!FJ$10/StabilizedOccupancy)</f>
        <v/>
      </c>
      <c r="FK12" s="53">
        <f>1+LeaseUpElevationPct*MAX(0,1-'LeaseUp'!FK$10/StabilizedOccupancy)</f>
        <v/>
      </c>
      <c r="FL12" s="53">
        <f>1+LeaseUpElevationPct*MAX(0,1-'LeaseUp'!FL$10/StabilizedOccupancy)</f>
        <v/>
      </c>
      <c r="FM12" s="53">
        <f>1+LeaseUpElevationPct*MAX(0,1-'LeaseUp'!FM$10/StabilizedOccupancy)</f>
        <v/>
      </c>
      <c r="FN12" s="53">
        <f>1+LeaseUpElevationPct*MAX(0,1-'LeaseUp'!FN$10/StabilizedOccupancy)</f>
        <v/>
      </c>
      <c r="FO12" s="53">
        <f>1+LeaseUpElevationPct*MAX(0,1-'LeaseUp'!FO$10/StabilizedOccupancy)</f>
        <v/>
      </c>
      <c r="FP12" s="53">
        <f>1+LeaseUpElevationPct*MAX(0,1-'LeaseUp'!FP$10/StabilizedOccupancy)</f>
        <v/>
      </c>
      <c r="FQ12" s="53">
        <f>1+LeaseUpElevationPct*MAX(0,1-'LeaseUp'!FQ$10/StabilizedOccupancy)</f>
        <v/>
      </c>
      <c r="FR12" s="53">
        <f>1+LeaseUpElevationPct*MAX(0,1-'LeaseUp'!FR$10/StabilizedOccupancy)</f>
        <v/>
      </c>
      <c r="FS12" s="53">
        <f>1+LeaseUpElevationPct*MAX(0,1-'LeaseUp'!FS$10/StabilizedOccupancy)</f>
        <v/>
      </c>
      <c r="FT12" s="53">
        <f>1+LeaseUpElevationPct*MAX(0,1-'LeaseUp'!FT$10/StabilizedOccupancy)</f>
        <v/>
      </c>
      <c r="FU12" s="53">
        <f>1+LeaseUpElevationPct*MAX(0,1-'LeaseUp'!FU$10/StabilizedOccupancy)</f>
        <v/>
      </c>
      <c r="FV12" s="53">
        <f>1+LeaseUpElevationPct*MAX(0,1-'LeaseUp'!FV$10/StabilizedOccupancy)</f>
        <v/>
      </c>
      <c r="FW12" s="53">
        <f>1+LeaseUpElevationPct*MAX(0,1-'LeaseUp'!FW$10/StabilizedOccupancy)</f>
        <v/>
      </c>
      <c r="FX12" s="53">
        <f>1+LeaseUpElevationPct*MAX(0,1-'LeaseUp'!FX$10/StabilizedOccupancy)</f>
        <v/>
      </c>
      <c r="FY12" s="53">
        <f>1+LeaseUpElevationPct*MAX(0,1-'LeaseUp'!FY$10/StabilizedOccupancy)</f>
        <v/>
      </c>
      <c r="FZ12" s="53">
        <f>1+LeaseUpElevationPct*MAX(0,1-'LeaseUp'!FZ$10/StabilizedOccupancy)</f>
        <v/>
      </c>
      <c r="GA12" s="53">
        <f>1+LeaseUpElevationPct*MAX(0,1-'LeaseUp'!GA$10/StabilizedOccupancy)</f>
        <v/>
      </c>
      <c r="GB12" s="53">
        <f>1+LeaseUpElevationPct*MAX(0,1-'LeaseUp'!GB$10/StabilizedOccupancy)</f>
        <v/>
      </c>
      <c r="GC12" s="53">
        <f>1+LeaseUpElevationPct*MAX(0,1-'LeaseUp'!GC$10/StabilizedOccupancy)</f>
        <v/>
      </c>
      <c r="GD12" s="53">
        <f>1+LeaseUpElevationPct*MAX(0,1-'LeaseUp'!GD$10/StabilizedOccupancy)</f>
        <v/>
      </c>
      <c r="GE12" s="53">
        <f>1+LeaseUpElevationPct*MAX(0,1-'LeaseUp'!GE$10/StabilizedOccupancy)</f>
        <v/>
      </c>
      <c r="GF12" s="53">
        <f>1+LeaseUpElevationPct*MAX(0,1-'LeaseUp'!GF$10/StabilizedOccupancy)</f>
        <v/>
      </c>
      <c r="GG12" s="53">
        <f>1+LeaseUpElevationPct*MAX(0,1-'LeaseUp'!GG$10/StabilizedOccupancy)</f>
        <v/>
      </c>
      <c r="GH12" s="53">
        <f>1+LeaseUpElevationPct*MAX(0,1-'LeaseUp'!GH$10/StabilizedOccupancy)</f>
        <v/>
      </c>
      <c r="GI12" s="53">
        <f>1+LeaseUpElevationPct*MAX(0,1-'LeaseUp'!GI$10/StabilizedOccupancy)</f>
        <v/>
      </c>
      <c r="GJ12" s="53">
        <f>1+LeaseUpElevationPct*MAX(0,1-'LeaseUp'!GJ$10/StabilizedOccupancy)</f>
        <v/>
      </c>
      <c r="GK12" s="53">
        <f>1+LeaseUpElevationPct*MAX(0,1-'LeaseUp'!GK$10/StabilizedOccupancy)</f>
        <v/>
      </c>
      <c r="GL12" s="53">
        <f>1+LeaseUpElevationPct*MAX(0,1-'LeaseUp'!GL$10/StabilizedOccupancy)</f>
        <v/>
      </c>
      <c r="GM12" s="53">
        <f>1+LeaseUpElevationPct*MAX(0,1-'LeaseUp'!GM$10/StabilizedOccupancy)</f>
        <v/>
      </c>
      <c r="GN12" s="53">
        <f>1+LeaseUpElevationPct*MAX(0,1-'LeaseUp'!GN$10/StabilizedOccupancy)</f>
        <v/>
      </c>
      <c r="GO12" s="53">
        <f>1+LeaseUpElevationPct*MAX(0,1-'LeaseUp'!GO$10/StabilizedOccupancy)</f>
        <v/>
      </c>
      <c r="GP12" s="53">
        <f>1+LeaseUpElevationPct*MAX(0,1-'LeaseUp'!GP$10/StabilizedOccupancy)</f>
        <v/>
      </c>
      <c r="GQ12" s="53">
        <f>1+LeaseUpElevationPct*MAX(0,1-'LeaseUp'!GQ$10/StabilizedOccupancy)</f>
        <v/>
      </c>
      <c r="GR12" s="53">
        <f>1+LeaseUpElevationPct*MAX(0,1-'LeaseUp'!GR$10/StabilizedOccupancy)</f>
        <v/>
      </c>
      <c r="GS12" s="53">
        <f>1+LeaseUpElevationPct*MAX(0,1-'LeaseUp'!GS$10/StabilizedOccupancy)</f>
        <v/>
      </c>
      <c r="GT12" s="53">
        <f>1+LeaseUpElevationPct*MAX(0,1-'LeaseUp'!GT$10/StabilizedOccupancy)</f>
        <v/>
      </c>
      <c r="GU12" s="53">
        <f>1+LeaseUpElevationPct*MAX(0,1-'LeaseUp'!GU$10/StabilizedOccupancy)</f>
        <v/>
      </c>
      <c r="GV12" s="53">
        <f>1+LeaseUpElevationPct*MAX(0,1-'LeaseUp'!GV$10/StabilizedOccupancy)</f>
        <v/>
      </c>
      <c r="GW12" s="53">
        <f>1+LeaseUpElevationPct*MAX(0,1-'LeaseUp'!GW$10/StabilizedOccupancy)</f>
        <v/>
      </c>
      <c r="GX12" s="53">
        <f>1+LeaseUpElevationPct*MAX(0,1-'LeaseUp'!GX$10/StabilizedOccupancy)</f>
        <v/>
      </c>
      <c r="GY12" s="53">
        <f>1+LeaseUpElevationPct*MAX(0,1-'LeaseUp'!GY$10/StabilizedOccupancy)</f>
        <v/>
      </c>
      <c r="GZ12" s="53">
        <f>1+LeaseUpElevationPct*MAX(0,1-'LeaseUp'!GZ$10/StabilizedOccupancy)</f>
        <v/>
      </c>
      <c r="HA12" s="53">
        <f>1+LeaseUpElevationPct*MAX(0,1-'LeaseUp'!HA$10/StabilizedOccupancy)</f>
        <v/>
      </c>
      <c r="HB12" s="53">
        <f>1+LeaseUpElevationPct*MAX(0,1-'LeaseUp'!HB$10/StabilizedOccupancy)</f>
        <v/>
      </c>
      <c r="HC12" s="53">
        <f>1+LeaseUpElevationPct*MAX(0,1-'LeaseUp'!HC$10/StabilizedOccupancy)</f>
        <v/>
      </c>
      <c r="HD12" s="53">
        <f>1+LeaseUpElevationPct*MAX(0,1-'LeaseUp'!HD$10/StabilizedOccupancy)</f>
        <v/>
      </c>
      <c r="HE12" s="53">
        <f>1+LeaseUpElevationPct*MAX(0,1-'LeaseUp'!HE$10/StabilizedOccupancy)</f>
        <v/>
      </c>
      <c r="HF12" s="53">
        <f>1+LeaseUpElevationPct*MAX(0,1-'LeaseUp'!HF$10/StabilizedOccupancy)</f>
        <v/>
      </c>
      <c r="HG12" s="53">
        <f>1+LeaseUpElevationPct*MAX(0,1-'LeaseUp'!HG$10/StabilizedOccupancy)</f>
        <v/>
      </c>
      <c r="HH12" s="53">
        <f>1+LeaseUpElevationPct*MAX(0,1-'LeaseUp'!HH$10/StabilizedOccupancy)</f>
        <v/>
      </c>
      <c r="HI12" s="53">
        <f>1+LeaseUpElevationPct*MAX(0,1-'LeaseUp'!HI$10/StabilizedOccupancy)</f>
        <v/>
      </c>
      <c r="HJ12" s="53">
        <f>1+LeaseUpElevationPct*MAX(0,1-'LeaseUp'!HJ$10/StabilizedOccupancy)</f>
        <v/>
      </c>
      <c r="HK12" s="53">
        <f>1+LeaseUpElevationPct*MAX(0,1-'LeaseUp'!HK$10/StabilizedOccupancy)</f>
        <v/>
      </c>
      <c r="HL12" s="53">
        <f>1+LeaseUpElevationPct*MAX(0,1-'LeaseUp'!HL$10/StabilizedOccupancy)</f>
        <v/>
      </c>
      <c r="HM12" s="53">
        <f>1+LeaseUpElevationPct*MAX(0,1-'LeaseUp'!HM$10/StabilizedOccupancy)</f>
        <v/>
      </c>
      <c r="HN12" s="53">
        <f>1+LeaseUpElevationPct*MAX(0,1-'LeaseUp'!HN$10/StabilizedOccupancy)</f>
        <v/>
      </c>
      <c r="HO12" s="53">
        <f>1+LeaseUpElevationPct*MAX(0,1-'LeaseUp'!HO$10/StabilizedOccupancy)</f>
        <v/>
      </c>
      <c r="HP12" s="53">
        <f>1+LeaseUpElevationPct*MAX(0,1-'LeaseUp'!HP$10/StabilizedOccupancy)</f>
        <v/>
      </c>
      <c r="HQ12" s="53">
        <f>1+LeaseUpElevationPct*MAX(0,1-'LeaseUp'!HQ$10/StabilizedOccupancy)</f>
        <v/>
      </c>
      <c r="HR12" s="53">
        <f>1+LeaseUpElevationPct*MAX(0,1-'LeaseUp'!HR$10/StabilizedOccupancy)</f>
        <v/>
      </c>
      <c r="HS12" s="53">
        <f>1+LeaseUpElevationPct*MAX(0,1-'LeaseUp'!HS$10/StabilizedOccupancy)</f>
        <v/>
      </c>
      <c r="HT12" s="53">
        <f>1+LeaseUpElevationPct*MAX(0,1-'LeaseUp'!HT$10/StabilizedOccupancy)</f>
        <v/>
      </c>
      <c r="HU12" s="53">
        <f>1+LeaseUpElevationPct*MAX(0,1-'LeaseUp'!HU$10/StabilizedOccupancy)</f>
        <v/>
      </c>
      <c r="HV12" s="53">
        <f>1+LeaseUpElevationPct*MAX(0,1-'LeaseUp'!HV$10/StabilizedOccupancy)</f>
        <v/>
      </c>
      <c r="HW12" s="53">
        <f>1+LeaseUpElevationPct*MAX(0,1-'LeaseUp'!HW$10/StabilizedOccupancy)</f>
        <v/>
      </c>
      <c r="HX12" s="53">
        <f>1+LeaseUpElevationPct*MAX(0,1-'LeaseUp'!HX$10/StabilizedOccupancy)</f>
        <v/>
      </c>
      <c r="HY12" s="53">
        <f>1+LeaseUpElevationPct*MAX(0,1-'LeaseUp'!HY$10/StabilizedOccupancy)</f>
        <v/>
      </c>
      <c r="HZ12" s="53">
        <f>1+LeaseUpElevationPct*MAX(0,1-'LeaseUp'!HZ$10/StabilizedOccupancy)</f>
        <v/>
      </c>
      <c r="IA12" s="53">
        <f>1+LeaseUpElevationPct*MAX(0,1-'LeaseUp'!IA$10/StabilizedOccupancy)</f>
        <v/>
      </c>
      <c r="IB12" s="53">
        <f>1+LeaseUpElevationPct*MAX(0,1-'LeaseUp'!IB$10/StabilizedOccupancy)</f>
        <v/>
      </c>
      <c r="IC12" s="53">
        <f>1+LeaseUpElevationPct*MAX(0,1-'LeaseUp'!IC$10/StabilizedOccupancy)</f>
        <v/>
      </c>
      <c r="ID12" s="53">
        <f>1+LeaseUpElevationPct*MAX(0,1-'LeaseUp'!ID$10/StabilizedOccupancy)</f>
        <v/>
      </c>
      <c r="IE12" s="53">
        <f>1+LeaseUpElevationPct*MAX(0,1-'LeaseUp'!IE$10/StabilizedOccupancy)</f>
        <v/>
      </c>
      <c r="IF12" s="53">
        <f>1+LeaseUpElevationPct*MAX(0,1-'LeaseUp'!IF$10/StabilizedOccupancy)</f>
        <v/>
      </c>
      <c r="IG12" s="53">
        <f>1+LeaseUpElevationPct*MAX(0,1-'LeaseUp'!IG$10/StabilizedOccupancy)</f>
        <v/>
      </c>
      <c r="IH12" s="53">
        <f>1+LeaseUpElevationPct*MAX(0,1-'LeaseUp'!IH$10/StabilizedOccupancy)</f>
        <v/>
      </c>
      <c r="II12" s="53">
        <f>1+LeaseUpElevationPct*MAX(0,1-'LeaseUp'!II$10/StabilizedOccupancy)</f>
        <v/>
      </c>
      <c r="IJ12" s="53">
        <f>1+LeaseUpElevationPct*MAX(0,1-'LeaseUp'!IJ$10/StabilizedOccupancy)</f>
        <v/>
      </c>
      <c r="IK12" s="53">
        <f>1+LeaseUpElevationPct*MAX(0,1-'LeaseUp'!IK$10/StabilizedOccupancy)</f>
        <v/>
      </c>
      <c r="IL12" s="53">
        <f>1+LeaseUpElevationPct*MAX(0,1-'LeaseUp'!IL$10/StabilizedOccupancy)</f>
        <v/>
      </c>
      <c r="IM12" s="53">
        <f>1+LeaseUpElevationPct*MAX(0,1-'LeaseUp'!IM$10/StabilizedOccupancy)</f>
        <v/>
      </c>
      <c r="IN12" s="53">
        <f>1+LeaseUpElevationPct*MAX(0,1-'LeaseUp'!IN$10/StabilizedOccupancy)</f>
        <v/>
      </c>
      <c r="IO12" s="53">
        <f>1+LeaseUpElevationPct*MAX(0,1-'LeaseUp'!IO$10/StabilizedOccupancy)</f>
        <v/>
      </c>
      <c r="IP12" s="53">
        <f>1+LeaseUpElevationPct*MAX(0,1-'LeaseUp'!IP$10/StabilizedOccupancy)</f>
        <v/>
      </c>
      <c r="IQ12" s="53">
        <f>1+LeaseUpElevationPct*MAX(0,1-'LeaseUp'!IQ$10/StabilizedOccupancy)</f>
        <v/>
      </c>
      <c r="IR12" s="53">
        <f>1+LeaseUpElevationPct*MAX(0,1-'LeaseUp'!IR$10/StabilizedOccupancy)</f>
        <v/>
      </c>
      <c r="IS12" s="53">
        <f>1+LeaseUpElevationPct*MAX(0,1-'LeaseUp'!IS$10/StabilizedOccupancy)</f>
        <v/>
      </c>
      <c r="IT12" s="53">
        <f>1+LeaseUpElevationPct*MAX(0,1-'LeaseUp'!IT$10/StabilizedOccupancy)</f>
        <v/>
      </c>
      <c r="IU12" s="53">
        <f>1+LeaseUpElevationPct*MAX(0,1-'LeaseUp'!IU$10/StabilizedOccupancy)</f>
        <v/>
      </c>
      <c r="IV12" s="53">
        <f>1+LeaseUpElevationPct*MAX(0,1-'LeaseUp'!IV$10/StabilizedOccupancy)</f>
        <v/>
      </c>
      <c r="IW12" s="53">
        <f>1+LeaseUpElevationPct*MAX(0,1-'LeaseUp'!IW$10/StabilizedOccupancy)</f>
        <v/>
      </c>
      <c r="IX12" s="53">
        <f>1+LeaseUpElevationPct*MAX(0,1-'LeaseUp'!IX$10/StabilizedOccupancy)</f>
        <v/>
      </c>
      <c r="IY12" s="53">
        <f>1+LeaseUpElevationPct*MAX(0,1-'LeaseUp'!IY$10/StabilizedOccupancy)</f>
        <v/>
      </c>
      <c r="IZ12" s="53">
        <f>1+LeaseUpElevationPct*MAX(0,1-'LeaseUp'!IZ$10/StabilizedOccupancy)</f>
        <v/>
      </c>
      <c r="JA12" s="53">
        <f>1+LeaseUpElevationPct*MAX(0,1-'LeaseUp'!JA$10/StabilizedOccupancy)</f>
        <v/>
      </c>
      <c r="JB12" s="53">
        <f>1+LeaseUpElevationPct*MAX(0,1-'LeaseUp'!JB$10/StabilizedOccupancy)</f>
        <v/>
      </c>
      <c r="JC12" s="53">
        <f>1+LeaseUpElevationPct*MAX(0,1-'LeaseUp'!JC$10/StabilizedOccupancy)</f>
        <v/>
      </c>
      <c r="JD12" s="53">
        <f>1+LeaseUpElevationPct*MAX(0,1-'LeaseUp'!JD$10/StabilizedOccupancy)</f>
        <v/>
      </c>
      <c r="JE12" s="53">
        <f>1+LeaseUpElevationPct*MAX(0,1-'LeaseUp'!JE$10/StabilizedOccupancy)</f>
        <v/>
      </c>
      <c r="JF12" s="53">
        <f>1+LeaseUpElevationPct*MAX(0,1-'LeaseUp'!JF$10/StabilizedOccupancy)</f>
        <v/>
      </c>
      <c r="JG12" s="53">
        <f>1+LeaseUpElevationPct*MAX(0,1-'LeaseUp'!JG$10/StabilizedOccupancy)</f>
        <v/>
      </c>
      <c r="JH12" s="53">
        <f>1+LeaseUpElevationPct*MAX(0,1-'LeaseUp'!JH$10/StabilizedOccupancy)</f>
        <v/>
      </c>
      <c r="JI12" s="53">
        <f>1+LeaseUpElevationPct*MAX(0,1-'LeaseUp'!JI$10/StabilizedOccupancy)</f>
        <v/>
      </c>
      <c r="JJ12" s="53">
        <f>1+LeaseUpElevationPct*MAX(0,1-'LeaseUp'!JJ$10/StabilizedOccupancy)</f>
        <v/>
      </c>
      <c r="JK12" s="53">
        <f>1+LeaseUpElevationPct*MAX(0,1-'LeaseUp'!JK$10/StabilizedOccupancy)</f>
        <v/>
      </c>
      <c r="JL12" s="53">
        <f>1+LeaseUpElevationPct*MAX(0,1-'LeaseUp'!JL$10/StabilizedOccupancy)</f>
        <v/>
      </c>
      <c r="JM12" s="53">
        <f>1+LeaseUpElevationPct*MAX(0,1-'LeaseUp'!JM$10/StabilizedOccupancy)</f>
        <v/>
      </c>
      <c r="JN12" s="53">
        <f>1+LeaseUpElevationPct*MAX(0,1-'LeaseUp'!JN$10/StabilizedOccupancy)</f>
        <v/>
      </c>
      <c r="JO12" s="53">
        <f>1+LeaseUpElevationPct*MAX(0,1-'LeaseUp'!JO$10/StabilizedOccupancy)</f>
        <v/>
      </c>
      <c r="JP12" s="53">
        <f>1+LeaseUpElevationPct*MAX(0,1-'LeaseUp'!JP$10/StabilizedOccupancy)</f>
        <v/>
      </c>
      <c r="JQ12" s="53">
        <f>1+LeaseUpElevationPct*MAX(0,1-'LeaseUp'!JQ$10/StabilizedOccupancy)</f>
        <v/>
      </c>
      <c r="JR12" s="53">
        <f>1+LeaseUpElevationPct*MAX(0,1-'LeaseUp'!JR$10/StabilizedOccupancy)</f>
        <v/>
      </c>
      <c r="JS12" s="53">
        <f>1+LeaseUpElevationPct*MAX(0,1-'LeaseUp'!JS$10/StabilizedOccupancy)</f>
        <v/>
      </c>
      <c r="JT12" s="53">
        <f>1+LeaseUpElevationPct*MAX(0,1-'LeaseUp'!JT$10/StabilizedOccupancy)</f>
        <v/>
      </c>
      <c r="JU12" s="53">
        <f>1+LeaseUpElevationPct*MAX(0,1-'LeaseUp'!JU$10/StabilizedOccupancy)</f>
        <v/>
      </c>
      <c r="JV12" s="53">
        <f>1+LeaseUpElevationPct*MAX(0,1-'LeaseUp'!JV$10/StabilizedOccupancy)</f>
        <v/>
      </c>
      <c r="JW12" s="53">
        <f>1+LeaseUpElevationPct*MAX(0,1-'LeaseUp'!JW$10/StabilizedOccupancy)</f>
        <v/>
      </c>
      <c r="JX12" s="53">
        <f>1+LeaseUpElevationPct*MAX(0,1-'LeaseUp'!JX$10/StabilizedOccupancy)</f>
        <v/>
      </c>
      <c r="JY12" s="53">
        <f>1+LeaseUpElevationPct*MAX(0,1-'LeaseUp'!JY$10/StabilizedOccupancy)</f>
        <v/>
      </c>
      <c r="JZ12" s="53">
        <f>1+LeaseUpElevationPct*MAX(0,1-'LeaseUp'!JZ$10/StabilizedOccupancy)</f>
        <v/>
      </c>
      <c r="KA12" s="53">
        <f>1+LeaseUpElevationPct*MAX(0,1-'LeaseUp'!KA$10/StabilizedOccupancy)</f>
        <v/>
      </c>
      <c r="KB12" s="53">
        <f>1+LeaseUpElevationPct*MAX(0,1-'LeaseUp'!KB$10/StabilizedOccupancy)</f>
        <v/>
      </c>
      <c r="KC12" s="53">
        <f>1+LeaseUpElevationPct*MAX(0,1-'LeaseUp'!KC$10/StabilizedOccupancy)</f>
        <v/>
      </c>
      <c r="KD12" s="53">
        <f>1+LeaseUpElevationPct*MAX(0,1-'LeaseUp'!KD$10/StabilizedOccupancy)</f>
        <v/>
      </c>
      <c r="KE12" s="53">
        <f>1+LeaseUpElevationPct*MAX(0,1-'LeaseUp'!KE$10/StabilizedOccupancy)</f>
        <v/>
      </c>
      <c r="KF12" s="53">
        <f>1+LeaseUpElevationPct*MAX(0,1-'LeaseUp'!KF$10/StabilizedOccupancy)</f>
        <v/>
      </c>
      <c r="KG12" s="53">
        <f>1+LeaseUpElevationPct*MAX(0,1-'LeaseUp'!KG$10/StabilizedOccupancy)</f>
        <v/>
      </c>
      <c r="KH12" s="53">
        <f>1+LeaseUpElevationPct*MAX(0,1-'LeaseUp'!KH$10/StabilizedOccupancy)</f>
        <v/>
      </c>
      <c r="KI12" s="53">
        <f>1+LeaseUpElevationPct*MAX(0,1-'LeaseUp'!KI$10/StabilizedOccupancy)</f>
        <v/>
      </c>
      <c r="KJ12" s="53">
        <f>1+LeaseUpElevationPct*MAX(0,1-'LeaseUp'!KJ$10/StabilizedOccupancy)</f>
        <v/>
      </c>
      <c r="KK12" s="53">
        <f>1+LeaseUpElevationPct*MAX(0,1-'LeaseUp'!KK$10/StabilizedOccupancy)</f>
        <v/>
      </c>
      <c r="KL12" s="53">
        <f>1+LeaseUpElevationPct*MAX(0,1-'LeaseUp'!KL$10/StabilizedOccupancy)</f>
        <v/>
      </c>
      <c r="KM12" s="53">
        <f>1+LeaseUpElevationPct*MAX(0,1-'LeaseUp'!KM$10/StabilizedOccupancy)</f>
        <v/>
      </c>
      <c r="KN12" s="53">
        <f>1+LeaseUpElevationPct*MAX(0,1-'LeaseUp'!KN$10/StabilizedOccupancy)</f>
        <v/>
      </c>
      <c r="KO12" s="53">
        <f>1+LeaseUpElevationPct*MAX(0,1-'LeaseUp'!KO$10/StabilizedOccupancy)</f>
        <v/>
      </c>
      <c r="KP12" s="53">
        <f>1+LeaseUpElevationPct*MAX(0,1-'LeaseUp'!KP$10/StabilizedOccupancy)</f>
        <v/>
      </c>
      <c r="KQ12" s="53">
        <f>1+LeaseUpElevationPct*MAX(0,1-'LeaseUp'!KQ$10/StabilizedOccupancy)</f>
        <v/>
      </c>
      <c r="KR12" s="53">
        <f>1+LeaseUpElevationPct*MAX(0,1-'LeaseUp'!KR$10/StabilizedOccupancy)</f>
        <v/>
      </c>
      <c r="KS12" s="53">
        <f>1+LeaseUpElevationPct*MAX(0,1-'LeaseUp'!KS$10/StabilizedOccupancy)</f>
        <v/>
      </c>
      <c r="KT12" s="53">
        <f>1+LeaseUpElevationPct*MAX(0,1-'LeaseUp'!KT$10/StabilizedOccupancy)</f>
        <v/>
      </c>
      <c r="KU12" s="53">
        <f>1+LeaseUpElevationPct*MAX(0,1-'LeaseUp'!KU$10/StabilizedOccupancy)</f>
        <v/>
      </c>
      <c r="KV12" s="53">
        <f>1+LeaseUpElevationPct*MAX(0,1-'LeaseUp'!KV$10/StabilizedOccupancy)</f>
        <v/>
      </c>
      <c r="KW12" s="53">
        <f>1+LeaseUpElevationPct*MAX(0,1-'LeaseUp'!KW$10/StabilizedOccupancy)</f>
        <v/>
      </c>
      <c r="KX12" s="53">
        <f>1+LeaseUpElevationPct*MAX(0,1-'LeaseUp'!KX$10/StabilizedOccupancy)</f>
        <v/>
      </c>
      <c r="KY12" s="53">
        <f>1+LeaseUpElevationPct*MAX(0,1-'LeaseUp'!KY$10/StabilizedOccupancy)</f>
        <v/>
      </c>
      <c r="KZ12" s="53">
        <f>1+LeaseUpElevationPct*MAX(0,1-'LeaseUp'!KZ$10/StabilizedOccupancy)</f>
        <v/>
      </c>
      <c r="LA12" s="53">
        <f>1+LeaseUpElevationPct*MAX(0,1-'LeaseUp'!LA$10/StabilizedOccupancy)</f>
        <v/>
      </c>
      <c r="LB12" s="53">
        <f>1+LeaseUpElevationPct*MAX(0,1-'LeaseUp'!LB$10/StabilizedOccupancy)</f>
        <v/>
      </c>
      <c r="LC12" s="53">
        <f>1+LeaseUpElevationPct*MAX(0,1-'LeaseUp'!LC$10/StabilizedOccupancy)</f>
        <v/>
      </c>
      <c r="LD12" s="53">
        <f>1+LeaseUpElevationPct*MAX(0,1-'LeaseUp'!LD$10/StabilizedOccupancy)</f>
        <v/>
      </c>
      <c r="LE12" s="53">
        <f>1+LeaseUpElevationPct*MAX(0,1-'LeaseUp'!LE$10/StabilizedOccupancy)</f>
        <v/>
      </c>
      <c r="LF12" s="53">
        <f>1+LeaseUpElevationPct*MAX(0,1-'LeaseUp'!LF$10/StabilizedOccupancy)</f>
        <v/>
      </c>
      <c r="LG12" s="53">
        <f>1+LeaseUpElevationPct*MAX(0,1-'LeaseUp'!LG$10/StabilizedOccupancy)</f>
        <v/>
      </c>
      <c r="LH12" s="53">
        <f>1+LeaseUpElevationPct*MAX(0,1-'LeaseUp'!LH$10/StabilizedOccupancy)</f>
        <v/>
      </c>
      <c r="LI12" s="53">
        <f>1+LeaseUpElevationPct*MAX(0,1-'LeaseUp'!LI$10/StabilizedOccupancy)</f>
        <v/>
      </c>
      <c r="LJ12" s="53">
        <f>1+LeaseUpElevationPct*MAX(0,1-'LeaseUp'!LJ$10/StabilizedOccupancy)</f>
        <v/>
      </c>
      <c r="LK12" s="53">
        <f>1+LeaseUpElevationPct*MAX(0,1-'LeaseUp'!LK$10/StabilizedOccupancy)</f>
        <v/>
      </c>
      <c r="LL12" s="53">
        <f>1+LeaseUpElevationPct*MAX(0,1-'LeaseUp'!LL$10/StabilizedOccupancy)</f>
        <v/>
      </c>
      <c r="LM12" s="53">
        <f>1+LeaseUpElevationPct*MAX(0,1-'LeaseUp'!LM$10/StabilizedOccupancy)</f>
        <v/>
      </c>
      <c r="LN12" s="53">
        <f>1+LeaseUpElevationPct*MAX(0,1-'LeaseUp'!LN$10/StabilizedOccupancy)</f>
        <v/>
      </c>
      <c r="LO12" s="53">
        <f>1+LeaseUpElevationPct*MAX(0,1-'LeaseUp'!LO$10/StabilizedOccupancy)</f>
        <v/>
      </c>
      <c r="LP12" s="53">
        <f>1+LeaseUpElevationPct*MAX(0,1-'LeaseUp'!LP$10/StabilizedOccupancy)</f>
        <v/>
      </c>
      <c r="LQ12" s="53">
        <f>1+LeaseUpElevationPct*MAX(0,1-'LeaseUp'!LQ$10/StabilizedOccupancy)</f>
        <v/>
      </c>
      <c r="LR12" s="53">
        <f>1+LeaseUpElevationPct*MAX(0,1-'LeaseUp'!LR$10/StabilizedOccupancy)</f>
        <v/>
      </c>
      <c r="LS12" s="53">
        <f>1+LeaseUpElevationPct*MAX(0,1-'LeaseUp'!LS$10/StabilizedOccupancy)</f>
        <v/>
      </c>
      <c r="LT12" s="53">
        <f>1+LeaseUpElevationPct*MAX(0,1-'LeaseUp'!LT$10/StabilizedOccupancy)</f>
        <v/>
      </c>
      <c r="LU12" s="53">
        <f>1+LeaseUpElevationPct*MAX(0,1-'LeaseUp'!LU$10/StabilizedOccupancy)</f>
        <v/>
      </c>
      <c r="LV12" s="53">
        <f>1+LeaseUpElevationPct*MAX(0,1-'LeaseUp'!LV$10/StabilizedOccupancy)</f>
        <v/>
      </c>
      <c r="LW12" s="53">
        <f>1+LeaseUpElevationPct*MAX(0,1-'LeaseUp'!LW$10/StabilizedOccupancy)</f>
        <v/>
      </c>
      <c r="LX12" s="53">
        <f>1+LeaseUpElevationPct*MAX(0,1-'LeaseUp'!LX$10/StabilizedOccupancy)</f>
        <v/>
      </c>
      <c r="LY12" s="53">
        <f>1+LeaseUpElevationPct*MAX(0,1-'LeaseUp'!LY$10/StabilizedOccupancy)</f>
        <v/>
      </c>
      <c r="LZ12" s="53">
        <f>1+LeaseUpElevationPct*MAX(0,1-'LeaseUp'!LZ$10/StabilizedOccupancy)</f>
        <v/>
      </c>
      <c r="MA12" s="53">
        <f>1+LeaseUpElevationPct*MAX(0,1-'LeaseUp'!MA$10/StabilizedOccupancy)</f>
        <v/>
      </c>
      <c r="MB12" s="53">
        <f>1+LeaseUpElevationPct*MAX(0,1-'LeaseUp'!MB$10/StabilizedOccupancy)</f>
        <v/>
      </c>
      <c r="MC12" s="53">
        <f>1+LeaseUpElevationPct*MAX(0,1-'LeaseUp'!MC$10/StabilizedOccupancy)</f>
        <v/>
      </c>
      <c r="MD12" s="53">
        <f>1+LeaseUpElevationPct*MAX(0,1-'LeaseUp'!MD$10/StabilizedOccupancy)</f>
        <v/>
      </c>
      <c r="ME12" s="53">
        <f>1+LeaseUpElevationPct*MAX(0,1-'LeaseUp'!ME$10/StabilizedOccupancy)</f>
        <v/>
      </c>
      <c r="MF12" s="53">
        <f>1+LeaseUpElevationPct*MAX(0,1-'LeaseUp'!MF$10/StabilizedOccupancy)</f>
        <v/>
      </c>
      <c r="MG12" s="53">
        <f>1+LeaseUpElevationPct*MAX(0,1-'LeaseUp'!MG$10/StabilizedOccupancy)</f>
        <v/>
      </c>
      <c r="MH12" s="53">
        <f>1+LeaseUpElevationPct*MAX(0,1-'LeaseUp'!MH$10/StabilizedOccupancy)</f>
        <v/>
      </c>
      <c r="MI12" s="53">
        <f>1+LeaseUpElevationPct*MAX(0,1-'LeaseUp'!MI$10/StabilizedOccupancy)</f>
        <v/>
      </c>
      <c r="MJ12" s="53">
        <f>1+LeaseUpElevationPct*MAX(0,1-'LeaseUp'!MJ$10/StabilizedOccupancy)</f>
        <v/>
      </c>
      <c r="MK12" s="53">
        <f>1+LeaseUpElevationPct*MAX(0,1-'LeaseUp'!MK$10/StabilizedOccupancy)</f>
        <v/>
      </c>
      <c r="ML12" s="53">
        <f>1+LeaseUpElevationPct*MAX(0,1-'LeaseUp'!ML$10/StabilizedOccupancy)</f>
        <v/>
      </c>
      <c r="MM12" s="53">
        <f>1+LeaseUpElevationPct*MAX(0,1-'LeaseUp'!MM$10/StabilizedOccupancy)</f>
        <v/>
      </c>
      <c r="MN12" s="53">
        <f>1+LeaseUpElevationPct*MAX(0,1-'LeaseUp'!MN$10/StabilizedOccupancy)</f>
        <v/>
      </c>
      <c r="MO12" s="53">
        <f>1+LeaseUpElevationPct*MAX(0,1-'LeaseUp'!MO$10/StabilizedOccupancy)</f>
        <v/>
      </c>
      <c r="MP12" s="53">
        <f>1+LeaseUpElevationPct*MAX(0,1-'LeaseUp'!MP$10/StabilizedOccupancy)</f>
        <v/>
      </c>
      <c r="MQ12" s="53">
        <f>1+LeaseUpElevationPct*MAX(0,1-'LeaseUp'!MQ$10/StabilizedOccupancy)</f>
        <v/>
      </c>
      <c r="MR12" s="53">
        <f>1+LeaseUpElevationPct*MAX(0,1-'LeaseUp'!MR$10/StabilizedOccupancy)</f>
        <v/>
      </c>
      <c r="MS12" s="53">
        <f>1+LeaseUpElevationPct*MAX(0,1-'LeaseUp'!MS$10/StabilizedOccupancy)</f>
        <v/>
      </c>
      <c r="MT12" s="53">
        <f>1+LeaseUpElevationPct*MAX(0,1-'LeaseUp'!MT$10/StabilizedOccupancy)</f>
        <v/>
      </c>
      <c r="MU12" s="53">
        <f>1+LeaseUpElevationPct*MAX(0,1-'LeaseUp'!MU$10/StabilizedOccupancy)</f>
        <v/>
      </c>
      <c r="MV12" s="53">
        <f>1+LeaseUpElevationPct*MAX(0,1-'LeaseUp'!MV$10/StabilizedOccupancy)</f>
        <v/>
      </c>
      <c r="MW12" s="53">
        <f>1+LeaseUpElevationPct*MAX(0,1-'LeaseUp'!MW$10/StabilizedOccupancy)</f>
        <v/>
      </c>
      <c r="MX12" s="53">
        <f>1+LeaseUpElevationPct*MAX(0,1-'LeaseUp'!MX$10/StabilizedOccupancy)</f>
        <v/>
      </c>
      <c r="MY12" s="53">
        <f>1+LeaseUpElevationPct*MAX(0,1-'LeaseUp'!MY$10/StabilizedOccupancy)</f>
        <v/>
      </c>
      <c r="MZ12" s="53">
        <f>1+LeaseUpElevationPct*MAX(0,1-'LeaseUp'!MZ$10/StabilizedOccupancy)</f>
        <v/>
      </c>
      <c r="NA12" s="53">
        <f>1+LeaseUpElevationPct*MAX(0,1-'LeaseUp'!NA$10/StabilizedOccupancy)</f>
        <v/>
      </c>
      <c r="NB12" s="53">
        <f>1+LeaseUpElevationPct*MAX(0,1-'LeaseUp'!NB$10/StabilizedOccupancy)</f>
        <v/>
      </c>
      <c r="NC12" s="53">
        <f>1+LeaseUpElevationPct*MAX(0,1-'LeaseUp'!NC$10/StabilizedOccupancy)</f>
        <v/>
      </c>
      <c r="ND12" s="53">
        <f>1+LeaseUpElevationPct*MAX(0,1-'LeaseUp'!ND$10/StabilizedOccupancy)</f>
        <v/>
      </c>
      <c r="NE12" s="53">
        <f>1+LeaseUpElevationPct*MAX(0,1-'LeaseUp'!NE$10/StabilizedOccupancy)</f>
        <v/>
      </c>
      <c r="NF12" s="53">
        <f>1+LeaseUpElevationPct*MAX(0,1-'LeaseUp'!NF$10/StabilizedOccupancy)</f>
        <v/>
      </c>
      <c r="NG12" s="53">
        <f>1+LeaseUpElevationPct*MAX(0,1-'LeaseUp'!NG$10/StabilizedOccupancy)</f>
        <v/>
      </c>
      <c r="NH12" s="53">
        <f>1+LeaseUpElevationPct*MAX(0,1-'LeaseUp'!NH$10/StabilizedOccupancy)</f>
        <v/>
      </c>
      <c r="NI12" s="53">
        <f>1+LeaseUpElevationPct*MAX(0,1-'LeaseUp'!NI$10/StabilizedOccupancy)</f>
        <v/>
      </c>
      <c r="NJ12" s="53">
        <f>1+LeaseUpElevationPct*MAX(0,1-'LeaseUp'!NJ$10/StabilizedOccupancy)</f>
        <v/>
      </c>
      <c r="NK12" s="53">
        <f>1+LeaseUpElevationPct*MAX(0,1-'LeaseUp'!NK$10/StabilizedOccupancy)</f>
        <v/>
      </c>
    </row>
    <row r="13">
      <c r="A13" s="3" t="inlineStr">
        <is>
          <t>Revenue</t>
        </is>
      </c>
      <c r="B13" s="4" t="n"/>
      <c r="C13" s="4" t="n"/>
    </row>
    <row r="14">
      <c r="A14" s="5" t="inlineStr">
        <is>
          <t>Gross Potential Rent</t>
        </is>
      </c>
      <c r="C14" s="41">
        <f>SUM(D14:NK14)</f>
        <v/>
      </c>
      <c r="D14" s="18">
        <f>IF(1&gt;=DeliverStart,BaseMarketRentMo*D$6+BaseLowRentMo*D$7,0)</f>
        <v/>
      </c>
      <c r="E14" s="18">
        <f>IF(2&gt;=DeliverStart,BaseMarketRentMo*E$6+BaseLowRentMo*E$7,0)</f>
        <v/>
      </c>
      <c r="F14" s="18">
        <f>IF(3&gt;=DeliverStart,BaseMarketRentMo*F$6+BaseLowRentMo*F$7,0)</f>
        <v/>
      </c>
      <c r="G14" s="18">
        <f>IF(4&gt;=DeliverStart,BaseMarketRentMo*G$6+BaseLowRentMo*G$7,0)</f>
        <v/>
      </c>
      <c r="H14" s="18">
        <f>IF(5&gt;=DeliverStart,BaseMarketRentMo*H$6+BaseLowRentMo*H$7,0)</f>
        <v/>
      </c>
      <c r="I14" s="18">
        <f>IF(6&gt;=DeliverStart,BaseMarketRentMo*I$6+BaseLowRentMo*I$7,0)</f>
        <v/>
      </c>
      <c r="J14" s="18">
        <f>IF(7&gt;=DeliverStart,BaseMarketRentMo*J$6+BaseLowRentMo*J$7,0)</f>
        <v/>
      </c>
      <c r="K14" s="18">
        <f>IF(8&gt;=DeliverStart,BaseMarketRentMo*K$6+BaseLowRentMo*K$7,0)</f>
        <v/>
      </c>
      <c r="L14" s="18">
        <f>IF(9&gt;=DeliverStart,BaseMarketRentMo*L$6+BaseLowRentMo*L$7,0)</f>
        <v/>
      </c>
      <c r="M14" s="18">
        <f>IF(10&gt;=DeliverStart,BaseMarketRentMo*M$6+BaseLowRentMo*M$7,0)</f>
        <v/>
      </c>
      <c r="N14" s="18">
        <f>IF(11&gt;=DeliverStart,BaseMarketRentMo*N$6+BaseLowRentMo*N$7,0)</f>
        <v/>
      </c>
      <c r="O14" s="18">
        <f>IF(12&gt;=DeliverStart,BaseMarketRentMo*O$6+BaseLowRentMo*O$7,0)</f>
        <v/>
      </c>
      <c r="P14" s="18">
        <f>IF(13&gt;=DeliverStart,BaseMarketRentMo*P$6+BaseLowRentMo*P$7,0)</f>
        <v/>
      </c>
      <c r="Q14" s="18">
        <f>IF(14&gt;=DeliverStart,BaseMarketRentMo*Q$6+BaseLowRentMo*Q$7,0)</f>
        <v/>
      </c>
      <c r="R14" s="18">
        <f>IF(15&gt;=DeliverStart,BaseMarketRentMo*R$6+BaseLowRentMo*R$7,0)</f>
        <v/>
      </c>
      <c r="S14" s="18">
        <f>IF(16&gt;=DeliverStart,BaseMarketRentMo*S$6+BaseLowRentMo*S$7,0)</f>
        <v/>
      </c>
      <c r="T14" s="18">
        <f>IF(17&gt;=DeliverStart,BaseMarketRentMo*T$6+BaseLowRentMo*T$7,0)</f>
        <v/>
      </c>
      <c r="U14" s="18">
        <f>IF(18&gt;=DeliverStart,BaseMarketRentMo*U$6+BaseLowRentMo*U$7,0)</f>
        <v/>
      </c>
      <c r="V14" s="18">
        <f>IF(19&gt;=DeliverStart,BaseMarketRentMo*V$6+BaseLowRentMo*V$7,0)</f>
        <v/>
      </c>
      <c r="W14" s="18">
        <f>IF(20&gt;=DeliverStart,BaseMarketRentMo*W$6+BaseLowRentMo*W$7,0)</f>
        <v/>
      </c>
      <c r="X14" s="18">
        <f>IF(21&gt;=DeliverStart,BaseMarketRentMo*X$6+BaseLowRentMo*X$7,0)</f>
        <v/>
      </c>
      <c r="Y14" s="18">
        <f>IF(22&gt;=DeliverStart,BaseMarketRentMo*Y$6+BaseLowRentMo*Y$7,0)</f>
        <v/>
      </c>
      <c r="Z14" s="18">
        <f>IF(23&gt;=DeliverStart,BaseMarketRentMo*Z$6+BaseLowRentMo*Z$7,0)</f>
        <v/>
      </c>
      <c r="AA14" s="18">
        <f>IF(24&gt;=DeliverStart,BaseMarketRentMo*AA$6+BaseLowRentMo*AA$7,0)</f>
        <v/>
      </c>
      <c r="AB14" s="18">
        <f>IF(25&gt;=DeliverStart,BaseMarketRentMo*AB$6+BaseLowRentMo*AB$7,0)</f>
        <v/>
      </c>
      <c r="AC14" s="18">
        <f>IF(26&gt;=DeliverStart,BaseMarketRentMo*AC$6+BaseLowRentMo*AC$7,0)</f>
        <v/>
      </c>
      <c r="AD14" s="18">
        <f>IF(27&gt;=DeliverStart,BaseMarketRentMo*AD$6+BaseLowRentMo*AD$7,0)</f>
        <v/>
      </c>
      <c r="AE14" s="18">
        <f>IF(28&gt;=DeliverStart,BaseMarketRentMo*AE$6+BaseLowRentMo*AE$7,0)</f>
        <v/>
      </c>
      <c r="AF14" s="18">
        <f>IF(29&gt;=DeliverStart,BaseMarketRentMo*AF$6+BaseLowRentMo*AF$7,0)</f>
        <v/>
      </c>
      <c r="AG14" s="18">
        <f>IF(30&gt;=DeliverStart,BaseMarketRentMo*AG$6+BaseLowRentMo*AG$7,0)</f>
        <v/>
      </c>
      <c r="AH14" s="18">
        <f>IF(31&gt;=DeliverStart,BaseMarketRentMo*AH$6+BaseLowRentMo*AH$7,0)</f>
        <v/>
      </c>
      <c r="AI14" s="18">
        <f>IF(32&gt;=DeliverStart,BaseMarketRentMo*AI$6+BaseLowRentMo*AI$7,0)</f>
        <v/>
      </c>
      <c r="AJ14" s="18">
        <f>IF(33&gt;=DeliverStart,BaseMarketRentMo*AJ$6+BaseLowRentMo*AJ$7,0)</f>
        <v/>
      </c>
      <c r="AK14" s="18">
        <f>IF(34&gt;=DeliverStart,BaseMarketRentMo*AK$6+BaseLowRentMo*AK$7,0)</f>
        <v/>
      </c>
      <c r="AL14" s="18">
        <f>IF(35&gt;=DeliverStart,BaseMarketRentMo*AL$6+BaseLowRentMo*AL$7,0)</f>
        <v/>
      </c>
      <c r="AM14" s="18">
        <f>IF(36&gt;=DeliverStart,BaseMarketRentMo*AM$6+BaseLowRentMo*AM$7,0)</f>
        <v/>
      </c>
      <c r="AN14" s="18">
        <f>IF(37&gt;=DeliverStart,BaseMarketRentMo*AN$6+BaseLowRentMo*AN$7,0)</f>
        <v/>
      </c>
      <c r="AO14" s="18">
        <f>IF(38&gt;=DeliverStart,BaseMarketRentMo*AO$6+BaseLowRentMo*AO$7,0)</f>
        <v/>
      </c>
      <c r="AP14" s="18">
        <f>IF(39&gt;=DeliverStart,BaseMarketRentMo*AP$6+BaseLowRentMo*AP$7,0)</f>
        <v/>
      </c>
      <c r="AQ14" s="18">
        <f>IF(40&gt;=DeliverStart,BaseMarketRentMo*AQ$6+BaseLowRentMo*AQ$7,0)</f>
        <v/>
      </c>
      <c r="AR14" s="18">
        <f>IF(41&gt;=DeliverStart,BaseMarketRentMo*AR$6+BaseLowRentMo*AR$7,0)</f>
        <v/>
      </c>
      <c r="AS14" s="18">
        <f>IF(42&gt;=DeliverStart,BaseMarketRentMo*AS$6+BaseLowRentMo*AS$7,0)</f>
        <v/>
      </c>
      <c r="AT14" s="18">
        <f>IF(43&gt;=DeliverStart,BaseMarketRentMo*AT$6+BaseLowRentMo*AT$7,0)</f>
        <v/>
      </c>
      <c r="AU14" s="18">
        <f>IF(44&gt;=DeliverStart,BaseMarketRentMo*AU$6+BaseLowRentMo*AU$7,0)</f>
        <v/>
      </c>
      <c r="AV14" s="18">
        <f>IF(45&gt;=DeliverStart,BaseMarketRentMo*AV$6+BaseLowRentMo*AV$7,0)</f>
        <v/>
      </c>
      <c r="AW14" s="18">
        <f>IF(46&gt;=DeliverStart,BaseMarketRentMo*AW$6+BaseLowRentMo*AW$7,0)</f>
        <v/>
      </c>
      <c r="AX14" s="18">
        <f>IF(47&gt;=DeliverStart,BaseMarketRentMo*AX$6+BaseLowRentMo*AX$7,0)</f>
        <v/>
      </c>
      <c r="AY14" s="18">
        <f>IF(48&gt;=DeliverStart,BaseMarketRentMo*AY$6+BaseLowRentMo*AY$7,0)</f>
        <v/>
      </c>
      <c r="AZ14" s="18">
        <f>IF(49&gt;=DeliverStart,BaseMarketRentMo*AZ$6+BaseLowRentMo*AZ$7,0)</f>
        <v/>
      </c>
      <c r="BA14" s="18">
        <f>IF(50&gt;=DeliverStart,BaseMarketRentMo*BA$6+BaseLowRentMo*BA$7,0)</f>
        <v/>
      </c>
      <c r="BB14" s="18">
        <f>IF(51&gt;=DeliverStart,BaseMarketRentMo*BB$6+BaseLowRentMo*BB$7,0)</f>
        <v/>
      </c>
      <c r="BC14" s="18">
        <f>IF(52&gt;=DeliverStart,BaseMarketRentMo*BC$6+BaseLowRentMo*BC$7,0)</f>
        <v/>
      </c>
      <c r="BD14" s="18">
        <f>IF(53&gt;=DeliverStart,BaseMarketRentMo*BD$6+BaseLowRentMo*BD$7,0)</f>
        <v/>
      </c>
      <c r="BE14" s="18">
        <f>IF(54&gt;=DeliverStart,BaseMarketRentMo*BE$6+BaseLowRentMo*BE$7,0)</f>
        <v/>
      </c>
      <c r="BF14" s="18">
        <f>IF(55&gt;=DeliverStart,BaseMarketRentMo*BF$6+BaseLowRentMo*BF$7,0)</f>
        <v/>
      </c>
      <c r="BG14" s="18">
        <f>IF(56&gt;=DeliverStart,BaseMarketRentMo*BG$6+BaseLowRentMo*BG$7,0)</f>
        <v/>
      </c>
      <c r="BH14" s="18">
        <f>IF(57&gt;=DeliverStart,BaseMarketRentMo*BH$6+BaseLowRentMo*BH$7,0)</f>
        <v/>
      </c>
      <c r="BI14" s="18">
        <f>IF(58&gt;=DeliverStart,BaseMarketRentMo*BI$6+BaseLowRentMo*BI$7,0)</f>
        <v/>
      </c>
      <c r="BJ14" s="18">
        <f>IF(59&gt;=DeliverStart,BaseMarketRentMo*BJ$6+BaseLowRentMo*BJ$7,0)</f>
        <v/>
      </c>
      <c r="BK14" s="18">
        <f>IF(60&gt;=DeliverStart,BaseMarketRentMo*BK$6+BaseLowRentMo*BK$7,0)</f>
        <v/>
      </c>
      <c r="BL14" s="18">
        <f>IF(61&gt;=DeliverStart,BaseMarketRentMo*BL$6+BaseLowRentMo*BL$7,0)</f>
        <v/>
      </c>
      <c r="BM14" s="18">
        <f>IF(62&gt;=DeliverStart,BaseMarketRentMo*BM$6+BaseLowRentMo*BM$7,0)</f>
        <v/>
      </c>
      <c r="BN14" s="18">
        <f>IF(63&gt;=DeliverStart,BaseMarketRentMo*BN$6+BaseLowRentMo*BN$7,0)</f>
        <v/>
      </c>
      <c r="BO14" s="18">
        <f>IF(64&gt;=DeliverStart,BaseMarketRentMo*BO$6+BaseLowRentMo*BO$7,0)</f>
        <v/>
      </c>
      <c r="BP14" s="18">
        <f>IF(65&gt;=DeliverStart,BaseMarketRentMo*BP$6+BaseLowRentMo*BP$7,0)</f>
        <v/>
      </c>
      <c r="BQ14" s="18">
        <f>IF(66&gt;=DeliverStart,BaseMarketRentMo*BQ$6+BaseLowRentMo*BQ$7,0)</f>
        <v/>
      </c>
      <c r="BR14" s="18">
        <f>IF(67&gt;=DeliverStart,BaseMarketRentMo*BR$6+BaseLowRentMo*BR$7,0)</f>
        <v/>
      </c>
      <c r="BS14" s="18">
        <f>IF(68&gt;=DeliverStart,BaseMarketRentMo*BS$6+BaseLowRentMo*BS$7,0)</f>
        <v/>
      </c>
      <c r="BT14" s="18">
        <f>IF(69&gt;=DeliverStart,BaseMarketRentMo*BT$6+BaseLowRentMo*BT$7,0)</f>
        <v/>
      </c>
      <c r="BU14" s="18">
        <f>IF(70&gt;=DeliverStart,BaseMarketRentMo*BU$6+BaseLowRentMo*BU$7,0)</f>
        <v/>
      </c>
      <c r="BV14" s="18">
        <f>IF(71&gt;=DeliverStart,BaseMarketRentMo*BV$6+BaseLowRentMo*BV$7,0)</f>
        <v/>
      </c>
      <c r="BW14" s="18">
        <f>IF(72&gt;=DeliverStart,BaseMarketRentMo*BW$6+BaseLowRentMo*BW$7,0)</f>
        <v/>
      </c>
      <c r="BX14" s="18">
        <f>IF(73&gt;=DeliverStart,BaseMarketRentMo*BX$6+BaseLowRentMo*BX$7,0)</f>
        <v/>
      </c>
      <c r="BY14" s="18">
        <f>IF(74&gt;=DeliverStart,BaseMarketRentMo*BY$6+BaseLowRentMo*BY$7,0)</f>
        <v/>
      </c>
      <c r="BZ14" s="18">
        <f>IF(75&gt;=DeliverStart,BaseMarketRentMo*BZ$6+BaseLowRentMo*BZ$7,0)</f>
        <v/>
      </c>
      <c r="CA14" s="18">
        <f>IF(76&gt;=DeliverStart,BaseMarketRentMo*CA$6+BaseLowRentMo*CA$7,0)</f>
        <v/>
      </c>
      <c r="CB14" s="18">
        <f>IF(77&gt;=DeliverStart,BaseMarketRentMo*CB$6+BaseLowRentMo*CB$7,0)</f>
        <v/>
      </c>
      <c r="CC14" s="18">
        <f>IF(78&gt;=DeliverStart,BaseMarketRentMo*CC$6+BaseLowRentMo*CC$7,0)</f>
        <v/>
      </c>
      <c r="CD14" s="18">
        <f>IF(79&gt;=DeliverStart,BaseMarketRentMo*CD$6+BaseLowRentMo*CD$7,0)</f>
        <v/>
      </c>
      <c r="CE14" s="18">
        <f>IF(80&gt;=DeliverStart,BaseMarketRentMo*CE$6+BaseLowRentMo*CE$7,0)</f>
        <v/>
      </c>
      <c r="CF14" s="18">
        <f>IF(81&gt;=DeliverStart,BaseMarketRentMo*CF$6+BaseLowRentMo*CF$7,0)</f>
        <v/>
      </c>
      <c r="CG14" s="18">
        <f>IF(82&gt;=DeliverStart,BaseMarketRentMo*CG$6+BaseLowRentMo*CG$7,0)</f>
        <v/>
      </c>
      <c r="CH14" s="18">
        <f>IF(83&gt;=DeliverStart,BaseMarketRentMo*CH$6+BaseLowRentMo*CH$7,0)</f>
        <v/>
      </c>
      <c r="CI14" s="18">
        <f>IF(84&gt;=DeliverStart,BaseMarketRentMo*CI$6+BaseLowRentMo*CI$7,0)</f>
        <v/>
      </c>
      <c r="CJ14" s="18">
        <f>IF(85&gt;=DeliverStart,BaseMarketRentMo*CJ$6+BaseLowRentMo*CJ$7,0)</f>
        <v/>
      </c>
      <c r="CK14" s="18">
        <f>IF(86&gt;=DeliverStart,BaseMarketRentMo*CK$6+BaseLowRentMo*CK$7,0)</f>
        <v/>
      </c>
      <c r="CL14" s="18">
        <f>IF(87&gt;=DeliverStart,BaseMarketRentMo*CL$6+BaseLowRentMo*CL$7,0)</f>
        <v/>
      </c>
      <c r="CM14" s="18">
        <f>IF(88&gt;=DeliverStart,BaseMarketRentMo*CM$6+BaseLowRentMo*CM$7,0)</f>
        <v/>
      </c>
      <c r="CN14" s="18">
        <f>IF(89&gt;=DeliverStart,BaseMarketRentMo*CN$6+BaseLowRentMo*CN$7,0)</f>
        <v/>
      </c>
      <c r="CO14" s="18">
        <f>IF(90&gt;=DeliverStart,BaseMarketRentMo*CO$6+BaseLowRentMo*CO$7,0)</f>
        <v/>
      </c>
      <c r="CP14" s="18">
        <f>IF(91&gt;=DeliverStart,BaseMarketRentMo*CP$6+BaseLowRentMo*CP$7,0)</f>
        <v/>
      </c>
      <c r="CQ14" s="18">
        <f>IF(92&gt;=DeliverStart,BaseMarketRentMo*CQ$6+BaseLowRentMo*CQ$7,0)</f>
        <v/>
      </c>
      <c r="CR14" s="18">
        <f>IF(93&gt;=DeliverStart,BaseMarketRentMo*CR$6+BaseLowRentMo*CR$7,0)</f>
        <v/>
      </c>
      <c r="CS14" s="18">
        <f>IF(94&gt;=DeliverStart,BaseMarketRentMo*CS$6+BaseLowRentMo*CS$7,0)</f>
        <v/>
      </c>
      <c r="CT14" s="18">
        <f>IF(95&gt;=DeliverStart,BaseMarketRentMo*CT$6+BaseLowRentMo*CT$7,0)</f>
        <v/>
      </c>
      <c r="CU14" s="18">
        <f>IF(96&gt;=DeliverStart,BaseMarketRentMo*CU$6+BaseLowRentMo*CU$7,0)</f>
        <v/>
      </c>
      <c r="CV14" s="18">
        <f>IF(97&gt;=DeliverStart,BaseMarketRentMo*CV$6+BaseLowRentMo*CV$7,0)</f>
        <v/>
      </c>
      <c r="CW14" s="18">
        <f>IF(98&gt;=DeliverStart,BaseMarketRentMo*CW$6+BaseLowRentMo*CW$7,0)</f>
        <v/>
      </c>
      <c r="CX14" s="18">
        <f>IF(99&gt;=DeliverStart,BaseMarketRentMo*CX$6+BaseLowRentMo*CX$7,0)</f>
        <v/>
      </c>
      <c r="CY14" s="18">
        <f>IF(100&gt;=DeliverStart,BaseMarketRentMo*CY$6+BaseLowRentMo*CY$7,0)</f>
        <v/>
      </c>
      <c r="CZ14" s="18">
        <f>IF(101&gt;=DeliverStart,BaseMarketRentMo*CZ$6+BaseLowRentMo*CZ$7,0)</f>
        <v/>
      </c>
      <c r="DA14" s="18">
        <f>IF(102&gt;=DeliverStart,BaseMarketRentMo*DA$6+BaseLowRentMo*DA$7,0)</f>
        <v/>
      </c>
      <c r="DB14" s="18">
        <f>IF(103&gt;=DeliverStart,BaseMarketRentMo*DB$6+BaseLowRentMo*DB$7,0)</f>
        <v/>
      </c>
      <c r="DC14" s="18">
        <f>IF(104&gt;=DeliverStart,BaseMarketRentMo*DC$6+BaseLowRentMo*DC$7,0)</f>
        <v/>
      </c>
      <c r="DD14" s="18">
        <f>IF(105&gt;=DeliverStart,BaseMarketRentMo*DD$6+BaseLowRentMo*DD$7,0)</f>
        <v/>
      </c>
      <c r="DE14" s="18">
        <f>IF(106&gt;=DeliverStart,BaseMarketRentMo*DE$6+BaseLowRentMo*DE$7,0)</f>
        <v/>
      </c>
      <c r="DF14" s="18">
        <f>IF(107&gt;=DeliverStart,BaseMarketRentMo*DF$6+BaseLowRentMo*DF$7,0)</f>
        <v/>
      </c>
      <c r="DG14" s="18">
        <f>IF(108&gt;=DeliverStart,BaseMarketRentMo*DG$6+BaseLowRentMo*DG$7,0)</f>
        <v/>
      </c>
      <c r="DH14" s="18">
        <f>IF(109&gt;=DeliverStart,BaseMarketRentMo*DH$6+BaseLowRentMo*DH$7,0)</f>
        <v/>
      </c>
      <c r="DI14" s="18">
        <f>IF(110&gt;=DeliverStart,BaseMarketRentMo*DI$6+BaseLowRentMo*DI$7,0)</f>
        <v/>
      </c>
      <c r="DJ14" s="18">
        <f>IF(111&gt;=DeliverStart,BaseMarketRentMo*DJ$6+BaseLowRentMo*DJ$7,0)</f>
        <v/>
      </c>
      <c r="DK14" s="18">
        <f>IF(112&gt;=DeliverStart,BaseMarketRentMo*DK$6+BaseLowRentMo*DK$7,0)</f>
        <v/>
      </c>
      <c r="DL14" s="18">
        <f>IF(113&gt;=DeliverStart,BaseMarketRentMo*DL$6+BaseLowRentMo*DL$7,0)</f>
        <v/>
      </c>
      <c r="DM14" s="18">
        <f>IF(114&gt;=DeliverStart,BaseMarketRentMo*DM$6+BaseLowRentMo*DM$7,0)</f>
        <v/>
      </c>
      <c r="DN14" s="18">
        <f>IF(115&gt;=DeliverStart,BaseMarketRentMo*DN$6+BaseLowRentMo*DN$7,0)</f>
        <v/>
      </c>
      <c r="DO14" s="18">
        <f>IF(116&gt;=DeliverStart,BaseMarketRentMo*DO$6+BaseLowRentMo*DO$7,0)</f>
        <v/>
      </c>
      <c r="DP14" s="18">
        <f>IF(117&gt;=DeliverStart,BaseMarketRentMo*DP$6+BaseLowRentMo*DP$7,0)</f>
        <v/>
      </c>
      <c r="DQ14" s="18">
        <f>IF(118&gt;=DeliverStart,BaseMarketRentMo*DQ$6+BaseLowRentMo*DQ$7,0)</f>
        <v/>
      </c>
      <c r="DR14" s="18">
        <f>IF(119&gt;=DeliverStart,BaseMarketRentMo*DR$6+BaseLowRentMo*DR$7,0)</f>
        <v/>
      </c>
      <c r="DS14" s="18">
        <f>IF(120&gt;=DeliverStart,BaseMarketRentMo*DS$6+BaseLowRentMo*DS$7,0)</f>
        <v/>
      </c>
      <c r="DT14" s="18">
        <f>IF(121&gt;=DeliverStart,BaseMarketRentMo*DT$6+BaseLowRentMo*DT$7,0)</f>
        <v/>
      </c>
      <c r="DU14" s="18">
        <f>IF(122&gt;=DeliverStart,BaseMarketRentMo*DU$6+BaseLowRentMo*DU$7,0)</f>
        <v/>
      </c>
      <c r="DV14" s="18">
        <f>IF(123&gt;=DeliverStart,BaseMarketRentMo*DV$6+BaseLowRentMo*DV$7,0)</f>
        <v/>
      </c>
      <c r="DW14" s="18">
        <f>IF(124&gt;=DeliverStart,BaseMarketRentMo*DW$6+BaseLowRentMo*DW$7,0)</f>
        <v/>
      </c>
      <c r="DX14" s="18">
        <f>IF(125&gt;=DeliverStart,BaseMarketRentMo*DX$6+BaseLowRentMo*DX$7,0)</f>
        <v/>
      </c>
      <c r="DY14" s="18">
        <f>IF(126&gt;=DeliverStart,BaseMarketRentMo*DY$6+BaseLowRentMo*DY$7,0)</f>
        <v/>
      </c>
      <c r="DZ14" s="18">
        <f>IF(127&gt;=DeliverStart,BaseMarketRentMo*DZ$6+BaseLowRentMo*DZ$7,0)</f>
        <v/>
      </c>
      <c r="EA14" s="18">
        <f>IF(128&gt;=DeliverStart,BaseMarketRentMo*EA$6+BaseLowRentMo*EA$7,0)</f>
        <v/>
      </c>
      <c r="EB14" s="18">
        <f>IF(129&gt;=DeliverStart,BaseMarketRentMo*EB$6+BaseLowRentMo*EB$7,0)</f>
        <v/>
      </c>
      <c r="EC14" s="18">
        <f>IF(130&gt;=DeliverStart,BaseMarketRentMo*EC$6+BaseLowRentMo*EC$7,0)</f>
        <v/>
      </c>
      <c r="ED14" s="18">
        <f>IF(131&gt;=DeliverStart,BaseMarketRentMo*ED$6+BaseLowRentMo*ED$7,0)</f>
        <v/>
      </c>
      <c r="EE14" s="18">
        <f>IF(132&gt;=DeliverStart,BaseMarketRentMo*EE$6+BaseLowRentMo*EE$7,0)</f>
        <v/>
      </c>
      <c r="EF14" s="18">
        <f>IF(133&gt;=DeliverStart,BaseMarketRentMo*EF$6+BaseLowRentMo*EF$7,0)</f>
        <v/>
      </c>
      <c r="EG14" s="18">
        <f>IF(134&gt;=DeliverStart,BaseMarketRentMo*EG$6+BaseLowRentMo*EG$7,0)</f>
        <v/>
      </c>
      <c r="EH14" s="18">
        <f>IF(135&gt;=DeliverStart,BaseMarketRentMo*EH$6+BaseLowRentMo*EH$7,0)</f>
        <v/>
      </c>
      <c r="EI14" s="18">
        <f>IF(136&gt;=DeliverStart,BaseMarketRentMo*EI$6+BaseLowRentMo*EI$7,0)</f>
        <v/>
      </c>
      <c r="EJ14" s="18">
        <f>IF(137&gt;=DeliverStart,BaseMarketRentMo*EJ$6+BaseLowRentMo*EJ$7,0)</f>
        <v/>
      </c>
      <c r="EK14" s="18">
        <f>IF(138&gt;=DeliverStart,BaseMarketRentMo*EK$6+BaseLowRentMo*EK$7,0)</f>
        <v/>
      </c>
      <c r="EL14" s="18">
        <f>IF(139&gt;=DeliverStart,BaseMarketRentMo*EL$6+BaseLowRentMo*EL$7,0)</f>
        <v/>
      </c>
      <c r="EM14" s="18">
        <f>IF(140&gt;=DeliverStart,BaseMarketRentMo*EM$6+BaseLowRentMo*EM$7,0)</f>
        <v/>
      </c>
      <c r="EN14" s="18">
        <f>IF(141&gt;=DeliverStart,BaseMarketRentMo*EN$6+BaseLowRentMo*EN$7,0)</f>
        <v/>
      </c>
      <c r="EO14" s="18">
        <f>IF(142&gt;=DeliverStart,BaseMarketRentMo*EO$6+BaseLowRentMo*EO$7,0)</f>
        <v/>
      </c>
      <c r="EP14" s="18">
        <f>IF(143&gt;=DeliverStart,BaseMarketRentMo*EP$6+BaseLowRentMo*EP$7,0)</f>
        <v/>
      </c>
      <c r="EQ14" s="18">
        <f>IF(144&gt;=DeliverStart,BaseMarketRentMo*EQ$6+BaseLowRentMo*EQ$7,0)</f>
        <v/>
      </c>
      <c r="ER14" s="18">
        <f>IF(145&gt;=DeliverStart,BaseMarketRentMo*ER$6+BaseLowRentMo*ER$7,0)</f>
        <v/>
      </c>
      <c r="ES14" s="18">
        <f>IF(146&gt;=DeliverStart,BaseMarketRentMo*ES$6+BaseLowRentMo*ES$7,0)</f>
        <v/>
      </c>
      <c r="ET14" s="18">
        <f>IF(147&gt;=DeliverStart,BaseMarketRentMo*ET$6+BaseLowRentMo*ET$7,0)</f>
        <v/>
      </c>
      <c r="EU14" s="18">
        <f>IF(148&gt;=DeliverStart,BaseMarketRentMo*EU$6+BaseLowRentMo*EU$7,0)</f>
        <v/>
      </c>
      <c r="EV14" s="18">
        <f>IF(149&gt;=DeliverStart,BaseMarketRentMo*EV$6+BaseLowRentMo*EV$7,0)</f>
        <v/>
      </c>
      <c r="EW14" s="18">
        <f>IF(150&gt;=DeliverStart,BaseMarketRentMo*EW$6+BaseLowRentMo*EW$7,0)</f>
        <v/>
      </c>
      <c r="EX14" s="18">
        <f>IF(151&gt;=DeliverStart,BaseMarketRentMo*EX$6+BaseLowRentMo*EX$7,0)</f>
        <v/>
      </c>
      <c r="EY14" s="18">
        <f>IF(152&gt;=DeliverStart,BaseMarketRentMo*EY$6+BaseLowRentMo*EY$7,0)</f>
        <v/>
      </c>
      <c r="EZ14" s="18">
        <f>IF(153&gt;=DeliverStart,BaseMarketRentMo*EZ$6+BaseLowRentMo*EZ$7,0)</f>
        <v/>
      </c>
      <c r="FA14" s="18">
        <f>IF(154&gt;=DeliverStart,BaseMarketRentMo*FA$6+BaseLowRentMo*FA$7,0)</f>
        <v/>
      </c>
      <c r="FB14" s="18">
        <f>IF(155&gt;=DeliverStart,BaseMarketRentMo*FB$6+BaseLowRentMo*FB$7,0)</f>
        <v/>
      </c>
      <c r="FC14" s="18">
        <f>IF(156&gt;=DeliverStart,BaseMarketRentMo*FC$6+BaseLowRentMo*FC$7,0)</f>
        <v/>
      </c>
      <c r="FD14" s="18">
        <f>IF(157&gt;=DeliverStart,BaseMarketRentMo*FD$6+BaseLowRentMo*FD$7,0)</f>
        <v/>
      </c>
      <c r="FE14" s="18">
        <f>IF(158&gt;=DeliverStart,BaseMarketRentMo*FE$6+BaseLowRentMo*FE$7,0)</f>
        <v/>
      </c>
      <c r="FF14" s="18">
        <f>IF(159&gt;=DeliverStart,BaseMarketRentMo*FF$6+BaseLowRentMo*FF$7,0)</f>
        <v/>
      </c>
      <c r="FG14" s="18">
        <f>IF(160&gt;=DeliverStart,BaseMarketRentMo*FG$6+BaseLowRentMo*FG$7,0)</f>
        <v/>
      </c>
      <c r="FH14" s="18">
        <f>IF(161&gt;=DeliverStart,BaseMarketRentMo*FH$6+BaseLowRentMo*FH$7,0)</f>
        <v/>
      </c>
      <c r="FI14" s="18">
        <f>IF(162&gt;=DeliverStart,BaseMarketRentMo*FI$6+BaseLowRentMo*FI$7,0)</f>
        <v/>
      </c>
      <c r="FJ14" s="18">
        <f>IF(163&gt;=DeliverStart,BaseMarketRentMo*FJ$6+BaseLowRentMo*FJ$7,0)</f>
        <v/>
      </c>
      <c r="FK14" s="18">
        <f>IF(164&gt;=DeliverStart,BaseMarketRentMo*FK$6+BaseLowRentMo*FK$7,0)</f>
        <v/>
      </c>
      <c r="FL14" s="18">
        <f>IF(165&gt;=DeliverStart,BaseMarketRentMo*FL$6+BaseLowRentMo*FL$7,0)</f>
        <v/>
      </c>
      <c r="FM14" s="18">
        <f>IF(166&gt;=DeliverStart,BaseMarketRentMo*FM$6+BaseLowRentMo*FM$7,0)</f>
        <v/>
      </c>
      <c r="FN14" s="18">
        <f>IF(167&gt;=DeliverStart,BaseMarketRentMo*FN$6+BaseLowRentMo*FN$7,0)</f>
        <v/>
      </c>
      <c r="FO14" s="18">
        <f>IF(168&gt;=DeliverStart,BaseMarketRentMo*FO$6+BaseLowRentMo*FO$7,0)</f>
        <v/>
      </c>
      <c r="FP14" s="18">
        <f>IF(169&gt;=DeliverStart,BaseMarketRentMo*FP$6+BaseLowRentMo*FP$7,0)</f>
        <v/>
      </c>
      <c r="FQ14" s="18">
        <f>IF(170&gt;=DeliverStart,BaseMarketRentMo*FQ$6+BaseLowRentMo*FQ$7,0)</f>
        <v/>
      </c>
      <c r="FR14" s="18">
        <f>IF(171&gt;=DeliverStart,BaseMarketRentMo*FR$6+BaseLowRentMo*FR$7,0)</f>
        <v/>
      </c>
      <c r="FS14" s="18">
        <f>IF(172&gt;=DeliverStart,BaseMarketRentMo*FS$6+BaseLowRentMo*FS$7,0)</f>
        <v/>
      </c>
      <c r="FT14" s="18">
        <f>IF(173&gt;=DeliverStart,BaseMarketRentMo*FT$6+BaseLowRentMo*FT$7,0)</f>
        <v/>
      </c>
      <c r="FU14" s="18">
        <f>IF(174&gt;=DeliverStart,BaseMarketRentMo*FU$6+BaseLowRentMo*FU$7,0)</f>
        <v/>
      </c>
      <c r="FV14" s="18">
        <f>IF(175&gt;=DeliverStart,BaseMarketRentMo*FV$6+BaseLowRentMo*FV$7,0)</f>
        <v/>
      </c>
      <c r="FW14" s="18">
        <f>IF(176&gt;=DeliverStart,BaseMarketRentMo*FW$6+BaseLowRentMo*FW$7,0)</f>
        <v/>
      </c>
      <c r="FX14" s="18">
        <f>IF(177&gt;=DeliverStart,BaseMarketRentMo*FX$6+BaseLowRentMo*FX$7,0)</f>
        <v/>
      </c>
      <c r="FY14" s="18">
        <f>IF(178&gt;=DeliverStart,BaseMarketRentMo*FY$6+BaseLowRentMo*FY$7,0)</f>
        <v/>
      </c>
      <c r="FZ14" s="18">
        <f>IF(179&gt;=DeliverStart,BaseMarketRentMo*FZ$6+BaseLowRentMo*FZ$7,0)</f>
        <v/>
      </c>
      <c r="GA14" s="18">
        <f>IF(180&gt;=DeliverStart,BaseMarketRentMo*GA$6+BaseLowRentMo*GA$7,0)</f>
        <v/>
      </c>
      <c r="GB14" s="18">
        <f>IF(181&gt;=DeliverStart,BaseMarketRentMo*GB$6+BaseLowRentMo*GB$7,0)</f>
        <v/>
      </c>
      <c r="GC14" s="18">
        <f>IF(182&gt;=DeliverStart,BaseMarketRentMo*GC$6+BaseLowRentMo*GC$7,0)</f>
        <v/>
      </c>
      <c r="GD14" s="18">
        <f>IF(183&gt;=DeliverStart,BaseMarketRentMo*GD$6+BaseLowRentMo*GD$7,0)</f>
        <v/>
      </c>
      <c r="GE14" s="18">
        <f>IF(184&gt;=DeliverStart,BaseMarketRentMo*GE$6+BaseLowRentMo*GE$7,0)</f>
        <v/>
      </c>
      <c r="GF14" s="18">
        <f>IF(185&gt;=DeliverStart,BaseMarketRentMo*GF$6+BaseLowRentMo*GF$7,0)</f>
        <v/>
      </c>
      <c r="GG14" s="18">
        <f>IF(186&gt;=DeliverStart,BaseMarketRentMo*GG$6+BaseLowRentMo*GG$7,0)</f>
        <v/>
      </c>
      <c r="GH14" s="18">
        <f>IF(187&gt;=DeliverStart,BaseMarketRentMo*GH$6+BaseLowRentMo*GH$7,0)</f>
        <v/>
      </c>
      <c r="GI14" s="18">
        <f>IF(188&gt;=DeliverStart,BaseMarketRentMo*GI$6+BaseLowRentMo*GI$7,0)</f>
        <v/>
      </c>
      <c r="GJ14" s="18">
        <f>IF(189&gt;=DeliverStart,BaseMarketRentMo*GJ$6+BaseLowRentMo*GJ$7,0)</f>
        <v/>
      </c>
      <c r="GK14" s="18">
        <f>IF(190&gt;=DeliverStart,BaseMarketRentMo*GK$6+BaseLowRentMo*GK$7,0)</f>
        <v/>
      </c>
      <c r="GL14" s="18">
        <f>IF(191&gt;=DeliverStart,BaseMarketRentMo*GL$6+BaseLowRentMo*GL$7,0)</f>
        <v/>
      </c>
      <c r="GM14" s="18">
        <f>IF(192&gt;=DeliverStart,BaseMarketRentMo*GM$6+BaseLowRentMo*GM$7,0)</f>
        <v/>
      </c>
      <c r="GN14" s="18">
        <f>IF(193&gt;=DeliverStart,BaseMarketRentMo*GN$6+BaseLowRentMo*GN$7,0)</f>
        <v/>
      </c>
      <c r="GO14" s="18">
        <f>IF(194&gt;=DeliverStart,BaseMarketRentMo*GO$6+BaseLowRentMo*GO$7,0)</f>
        <v/>
      </c>
      <c r="GP14" s="18">
        <f>IF(195&gt;=DeliverStart,BaseMarketRentMo*GP$6+BaseLowRentMo*GP$7,0)</f>
        <v/>
      </c>
      <c r="GQ14" s="18">
        <f>IF(196&gt;=DeliverStart,BaseMarketRentMo*GQ$6+BaseLowRentMo*GQ$7,0)</f>
        <v/>
      </c>
      <c r="GR14" s="18">
        <f>IF(197&gt;=DeliverStart,BaseMarketRentMo*GR$6+BaseLowRentMo*GR$7,0)</f>
        <v/>
      </c>
      <c r="GS14" s="18">
        <f>IF(198&gt;=DeliverStart,BaseMarketRentMo*GS$6+BaseLowRentMo*GS$7,0)</f>
        <v/>
      </c>
      <c r="GT14" s="18">
        <f>IF(199&gt;=DeliverStart,BaseMarketRentMo*GT$6+BaseLowRentMo*GT$7,0)</f>
        <v/>
      </c>
      <c r="GU14" s="18">
        <f>IF(200&gt;=DeliverStart,BaseMarketRentMo*GU$6+BaseLowRentMo*GU$7,0)</f>
        <v/>
      </c>
      <c r="GV14" s="18">
        <f>IF(201&gt;=DeliverStart,BaseMarketRentMo*GV$6+BaseLowRentMo*GV$7,0)</f>
        <v/>
      </c>
      <c r="GW14" s="18">
        <f>IF(202&gt;=DeliverStart,BaseMarketRentMo*GW$6+BaseLowRentMo*GW$7,0)</f>
        <v/>
      </c>
      <c r="GX14" s="18">
        <f>IF(203&gt;=DeliverStart,BaseMarketRentMo*GX$6+BaseLowRentMo*GX$7,0)</f>
        <v/>
      </c>
      <c r="GY14" s="18">
        <f>IF(204&gt;=DeliverStart,BaseMarketRentMo*GY$6+BaseLowRentMo*GY$7,0)</f>
        <v/>
      </c>
      <c r="GZ14" s="18">
        <f>IF(205&gt;=DeliverStart,BaseMarketRentMo*GZ$6+BaseLowRentMo*GZ$7,0)</f>
        <v/>
      </c>
      <c r="HA14" s="18">
        <f>IF(206&gt;=DeliverStart,BaseMarketRentMo*HA$6+BaseLowRentMo*HA$7,0)</f>
        <v/>
      </c>
      <c r="HB14" s="18">
        <f>IF(207&gt;=DeliverStart,BaseMarketRentMo*HB$6+BaseLowRentMo*HB$7,0)</f>
        <v/>
      </c>
      <c r="HC14" s="18">
        <f>IF(208&gt;=DeliverStart,BaseMarketRentMo*HC$6+BaseLowRentMo*HC$7,0)</f>
        <v/>
      </c>
      <c r="HD14" s="18">
        <f>IF(209&gt;=DeliverStart,BaseMarketRentMo*HD$6+BaseLowRentMo*HD$7,0)</f>
        <v/>
      </c>
      <c r="HE14" s="18">
        <f>IF(210&gt;=DeliverStart,BaseMarketRentMo*HE$6+BaseLowRentMo*HE$7,0)</f>
        <v/>
      </c>
      <c r="HF14" s="18">
        <f>IF(211&gt;=DeliverStart,BaseMarketRentMo*HF$6+BaseLowRentMo*HF$7,0)</f>
        <v/>
      </c>
      <c r="HG14" s="18">
        <f>IF(212&gt;=DeliverStart,BaseMarketRentMo*HG$6+BaseLowRentMo*HG$7,0)</f>
        <v/>
      </c>
      <c r="HH14" s="18">
        <f>IF(213&gt;=DeliverStart,BaseMarketRentMo*HH$6+BaseLowRentMo*HH$7,0)</f>
        <v/>
      </c>
      <c r="HI14" s="18">
        <f>IF(214&gt;=DeliverStart,BaseMarketRentMo*HI$6+BaseLowRentMo*HI$7,0)</f>
        <v/>
      </c>
      <c r="HJ14" s="18">
        <f>IF(215&gt;=DeliverStart,BaseMarketRentMo*HJ$6+BaseLowRentMo*HJ$7,0)</f>
        <v/>
      </c>
      <c r="HK14" s="18">
        <f>IF(216&gt;=DeliverStart,BaseMarketRentMo*HK$6+BaseLowRentMo*HK$7,0)</f>
        <v/>
      </c>
      <c r="HL14" s="18">
        <f>IF(217&gt;=DeliverStart,BaseMarketRentMo*HL$6+BaseLowRentMo*HL$7,0)</f>
        <v/>
      </c>
      <c r="HM14" s="18">
        <f>IF(218&gt;=DeliverStart,BaseMarketRentMo*HM$6+BaseLowRentMo*HM$7,0)</f>
        <v/>
      </c>
      <c r="HN14" s="18">
        <f>IF(219&gt;=DeliverStart,BaseMarketRentMo*HN$6+BaseLowRentMo*HN$7,0)</f>
        <v/>
      </c>
      <c r="HO14" s="18">
        <f>IF(220&gt;=DeliverStart,BaseMarketRentMo*HO$6+BaseLowRentMo*HO$7,0)</f>
        <v/>
      </c>
      <c r="HP14" s="18">
        <f>IF(221&gt;=DeliverStart,BaseMarketRentMo*HP$6+BaseLowRentMo*HP$7,0)</f>
        <v/>
      </c>
      <c r="HQ14" s="18">
        <f>IF(222&gt;=DeliverStart,BaseMarketRentMo*HQ$6+BaseLowRentMo*HQ$7,0)</f>
        <v/>
      </c>
      <c r="HR14" s="18">
        <f>IF(223&gt;=DeliverStart,BaseMarketRentMo*HR$6+BaseLowRentMo*HR$7,0)</f>
        <v/>
      </c>
      <c r="HS14" s="18">
        <f>IF(224&gt;=DeliverStart,BaseMarketRentMo*HS$6+BaseLowRentMo*HS$7,0)</f>
        <v/>
      </c>
      <c r="HT14" s="18">
        <f>IF(225&gt;=DeliverStart,BaseMarketRentMo*HT$6+BaseLowRentMo*HT$7,0)</f>
        <v/>
      </c>
      <c r="HU14" s="18">
        <f>IF(226&gt;=DeliverStart,BaseMarketRentMo*HU$6+BaseLowRentMo*HU$7,0)</f>
        <v/>
      </c>
      <c r="HV14" s="18">
        <f>IF(227&gt;=DeliverStart,BaseMarketRentMo*HV$6+BaseLowRentMo*HV$7,0)</f>
        <v/>
      </c>
      <c r="HW14" s="18">
        <f>IF(228&gt;=DeliverStart,BaseMarketRentMo*HW$6+BaseLowRentMo*HW$7,0)</f>
        <v/>
      </c>
      <c r="HX14" s="18">
        <f>IF(229&gt;=DeliverStart,BaseMarketRentMo*HX$6+BaseLowRentMo*HX$7,0)</f>
        <v/>
      </c>
      <c r="HY14" s="18">
        <f>IF(230&gt;=DeliverStart,BaseMarketRentMo*HY$6+BaseLowRentMo*HY$7,0)</f>
        <v/>
      </c>
      <c r="HZ14" s="18">
        <f>IF(231&gt;=DeliverStart,BaseMarketRentMo*HZ$6+BaseLowRentMo*HZ$7,0)</f>
        <v/>
      </c>
      <c r="IA14" s="18">
        <f>IF(232&gt;=DeliverStart,BaseMarketRentMo*IA$6+BaseLowRentMo*IA$7,0)</f>
        <v/>
      </c>
      <c r="IB14" s="18">
        <f>IF(233&gt;=DeliverStart,BaseMarketRentMo*IB$6+BaseLowRentMo*IB$7,0)</f>
        <v/>
      </c>
      <c r="IC14" s="18">
        <f>IF(234&gt;=DeliverStart,BaseMarketRentMo*IC$6+BaseLowRentMo*IC$7,0)</f>
        <v/>
      </c>
      <c r="ID14" s="18">
        <f>IF(235&gt;=DeliverStart,BaseMarketRentMo*ID$6+BaseLowRentMo*ID$7,0)</f>
        <v/>
      </c>
      <c r="IE14" s="18">
        <f>IF(236&gt;=DeliverStart,BaseMarketRentMo*IE$6+BaseLowRentMo*IE$7,0)</f>
        <v/>
      </c>
      <c r="IF14" s="18">
        <f>IF(237&gt;=DeliverStart,BaseMarketRentMo*IF$6+BaseLowRentMo*IF$7,0)</f>
        <v/>
      </c>
      <c r="IG14" s="18">
        <f>IF(238&gt;=DeliverStart,BaseMarketRentMo*IG$6+BaseLowRentMo*IG$7,0)</f>
        <v/>
      </c>
      <c r="IH14" s="18">
        <f>IF(239&gt;=DeliverStart,BaseMarketRentMo*IH$6+BaseLowRentMo*IH$7,0)</f>
        <v/>
      </c>
      <c r="II14" s="18">
        <f>IF(240&gt;=DeliverStart,BaseMarketRentMo*II$6+BaseLowRentMo*II$7,0)</f>
        <v/>
      </c>
      <c r="IJ14" s="18">
        <f>IF(241&gt;=DeliverStart,BaseMarketRentMo*IJ$6+BaseLowRentMo*IJ$7,0)</f>
        <v/>
      </c>
      <c r="IK14" s="18">
        <f>IF(242&gt;=DeliverStart,BaseMarketRentMo*IK$6+BaseLowRentMo*IK$7,0)</f>
        <v/>
      </c>
      <c r="IL14" s="18">
        <f>IF(243&gt;=DeliverStart,BaseMarketRentMo*IL$6+BaseLowRentMo*IL$7,0)</f>
        <v/>
      </c>
      <c r="IM14" s="18">
        <f>IF(244&gt;=DeliverStart,BaseMarketRentMo*IM$6+BaseLowRentMo*IM$7,0)</f>
        <v/>
      </c>
      <c r="IN14" s="18">
        <f>IF(245&gt;=DeliverStart,BaseMarketRentMo*IN$6+BaseLowRentMo*IN$7,0)</f>
        <v/>
      </c>
      <c r="IO14" s="18">
        <f>IF(246&gt;=DeliverStart,BaseMarketRentMo*IO$6+BaseLowRentMo*IO$7,0)</f>
        <v/>
      </c>
      <c r="IP14" s="18">
        <f>IF(247&gt;=DeliverStart,BaseMarketRentMo*IP$6+BaseLowRentMo*IP$7,0)</f>
        <v/>
      </c>
      <c r="IQ14" s="18">
        <f>IF(248&gt;=DeliverStart,BaseMarketRentMo*IQ$6+BaseLowRentMo*IQ$7,0)</f>
        <v/>
      </c>
      <c r="IR14" s="18">
        <f>IF(249&gt;=DeliverStart,BaseMarketRentMo*IR$6+BaseLowRentMo*IR$7,0)</f>
        <v/>
      </c>
      <c r="IS14" s="18">
        <f>IF(250&gt;=DeliverStart,BaseMarketRentMo*IS$6+BaseLowRentMo*IS$7,0)</f>
        <v/>
      </c>
      <c r="IT14" s="18">
        <f>IF(251&gt;=DeliverStart,BaseMarketRentMo*IT$6+BaseLowRentMo*IT$7,0)</f>
        <v/>
      </c>
      <c r="IU14" s="18">
        <f>IF(252&gt;=DeliverStart,BaseMarketRentMo*IU$6+BaseLowRentMo*IU$7,0)</f>
        <v/>
      </c>
      <c r="IV14" s="18">
        <f>IF(253&gt;=DeliverStart,BaseMarketRentMo*IV$6+BaseLowRentMo*IV$7,0)</f>
        <v/>
      </c>
      <c r="IW14" s="18">
        <f>IF(254&gt;=DeliverStart,BaseMarketRentMo*IW$6+BaseLowRentMo*IW$7,0)</f>
        <v/>
      </c>
      <c r="IX14" s="18">
        <f>IF(255&gt;=DeliverStart,BaseMarketRentMo*IX$6+BaseLowRentMo*IX$7,0)</f>
        <v/>
      </c>
      <c r="IY14" s="18">
        <f>IF(256&gt;=DeliverStart,BaseMarketRentMo*IY$6+BaseLowRentMo*IY$7,0)</f>
        <v/>
      </c>
      <c r="IZ14" s="18">
        <f>IF(257&gt;=DeliverStart,BaseMarketRentMo*IZ$6+BaseLowRentMo*IZ$7,0)</f>
        <v/>
      </c>
      <c r="JA14" s="18">
        <f>IF(258&gt;=DeliverStart,BaseMarketRentMo*JA$6+BaseLowRentMo*JA$7,0)</f>
        <v/>
      </c>
      <c r="JB14" s="18">
        <f>IF(259&gt;=DeliverStart,BaseMarketRentMo*JB$6+BaseLowRentMo*JB$7,0)</f>
        <v/>
      </c>
      <c r="JC14" s="18">
        <f>IF(260&gt;=DeliverStart,BaseMarketRentMo*JC$6+BaseLowRentMo*JC$7,0)</f>
        <v/>
      </c>
      <c r="JD14" s="18">
        <f>IF(261&gt;=DeliverStart,BaseMarketRentMo*JD$6+BaseLowRentMo*JD$7,0)</f>
        <v/>
      </c>
      <c r="JE14" s="18">
        <f>IF(262&gt;=DeliverStart,BaseMarketRentMo*JE$6+BaseLowRentMo*JE$7,0)</f>
        <v/>
      </c>
      <c r="JF14" s="18">
        <f>IF(263&gt;=DeliverStart,BaseMarketRentMo*JF$6+BaseLowRentMo*JF$7,0)</f>
        <v/>
      </c>
      <c r="JG14" s="18">
        <f>IF(264&gt;=DeliverStart,BaseMarketRentMo*JG$6+BaseLowRentMo*JG$7,0)</f>
        <v/>
      </c>
      <c r="JH14" s="18">
        <f>IF(265&gt;=DeliverStart,BaseMarketRentMo*JH$6+BaseLowRentMo*JH$7,0)</f>
        <v/>
      </c>
      <c r="JI14" s="18">
        <f>IF(266&gt;=DeliverStart,BaseMarketRentMo*JI$6+BaseLowRentMo*JI$7,0)</f>
        <v/>
      </c>
      <c r="JJ14" s="18">
        <f>IF(267&gt;=DeliverStart,BaseMarketRentMo*JJ$6+BaseLowRentMo*JJ$7,0)</f>
        <v/>
      </c>
      <c r="JK14" s="18">
        <f>IF(268&gt;=DeliverStart,BaseMarketRentMo*JK$6+BaseLowRentMo*JK$7,0)</f>
        <v/>
      </c>
      <c r="JL14" s="18">
        <f>IF(269&gt;=DeliverStart,BaseMarketRentMo*JL$6+BaseLowRentMo*JL$7,0)</f>
        <v/>
      </c>
      <c r="JM14" s="18">
        <f>IF(270&gt;=DeliverStart,BaseMarketRentMo*JM$6+BaseLowRentMo*JM$7,0)</f>
        <v/>
      </c>
      <c r="JN14" s="18">
        <f>IF(271&gt;=DeliverStart,BaseMarketRentMo*JN$6+BaseLowRentMo*JN$7,0)</f>
        <v/>
      </c>
      <c r="JO14" s="18">
        <f>IF(272&gt;=DeliverStart,BaseMarketRentMo*JO$6+BaseLowRentMo*JO$7,0)</f>
        <v/>
      </c>
      <c r="JP14" s="18">
        <f>IF(273&gt;=DeliverStart,BaseMarketRentMo*JP$6+BaseLowRentMo*JP$7,0)</f>
        <v/>
      </c>
      <c r="JQ14" s="18">
        <f>IF(274&gt;=DeliverStart,BaseMarketRentMo*JQ$6+BaseLowRentMo*JQ$7,0)</f>
        <v/>
      </c>
      <c r="JR14" s="18">
        <f>IF(275&gt;=DeliverStart,BaseMarketRentMo*JR$6+BaseLowRentMo*JR$7,0)</f>
        <v/>
      </c>
      <c r="JS14" s="18">
        <f>IF(276&gt;=DeliverStart,BaseMarketRentMo*JS$6+BaseLowRentMo*JS$7,0)</f>
        <v/>
      </c>
      <c r="JT14" s="18">
        <f>IF(277&gt;=DeliverStart,BaseMarketRentMo*JT$6+BaseLowRentMo*JT$7,0)</f>
        <v/>
      </c>
      <c r="JU14" s="18">
        <f>IF(278&gt;=DeliverStart,BaseMarketRentMo*JU$6+BaseLowRentMo*JU$7,0)</f>
        <v/>
      </c>
      <c r="JV14" s="18">
        <f>IF(279&gt;=DeliverStart,BaseMarketRentMo*JV$6+BaseLowRentMo*JV$7,0)</f>
        <v/>
      </c>
      <c r="JW14" s="18">
        <f>IF(280&gt;=DeliverStart,BaseMarketRentMo*JW$6+BaseLowRentMo*JW$7,0)</f>
        <v/>
      </c>
      <c r="JX14" s="18">
        <f>IF(281&gt;=DeliverStart,BaseMarketRentMo*JX$6+BaseLowRentMo*JX$7,0)</f>
        <v/>
      </c>
      <c r="JY14" s="18">
        <f>IF(282&gt;=DeliverStart,BaseMarketRentMo*JY$6+BaseLowRentMo*JY$7,0)</f>
        <v/>
      </c>
      <c r="JZ14" s="18">
        <f>IF(283&gt;=DeliverStart,BaseMarketRentMo*JZ$6+BaseLowRentMo*JZ$7,0)</f>
        <v/>
      </c>
      <c r="KA14" s="18">
        <f>IF(284&gt;=DeliverStart,BaseMarketRentMo*KA$6+BaseLowRentMo*KA$7,0)</f>
        <v/>
      </c>
      <c r="KB14" s="18">
        <f>IF(285&gt;=DeliverStart,BaseMarketRentMo*KB$6+BaseLowRentMo*KB$7,0)</f>
        <v/>
      </c>
      <c r="KC14" s="18">
        <f>IF(286&gt;=DeliverStart,BaseMarketRentMo*KC$6+BaseLowRentMo*KC$7,0)</f>
        <v/>
      </c>
      <c r="KD14" s="18">
        <f>IF(287&gt;=DeliverStart,BaseMarketRentMo*KD$6+BaseLowRentMo*KD$7,0)</f>
        <v/>
      </c>
      <c r="KE14" s="18">
        <f>IF(288&gt;=DeliverStart,BaseMarketRentMo*KE$6+BaseLowRentMo*KE$7,0)</f>
        <v/>
      </c>
      <c r="KF14" s="18">
        <f>IF(289&gt;=DeliverStart,BaseMarketRentMo*KF$6+BaseLowRentMo*KF$7,0)</f>
        <v/>
      </c>
      <c r="KG14" s="18">
        <f>IF(290&gt;=DeliverStart,BaseMarketRentMo*KG$6+BaseLowRentMo*KG$7,0)</f>
        <v/>
      </c>
      <c r="KH14" s="18">
        <f>IF(291&gt;=DeliverStart,BaseMarketRentMo*KH$6+BaseLowRentMo*KH$7,0)</f>
        <v/>
      </c>
      <c r="KI14" s="18">
        <f>IF(292&gt;=DeliverStart,BaseMarketRentMo*KI$6+BaseLowRentMo*KI$7,0)</f>
        <v/>
      </c>
      <c r="KJ14" s="18">
        <f>IF(293&gt;=DeliverStart,BaseMarketRentMo*KJ$6+BaseLowRentMo*KJ$7,0)</f>
        <v/>
      </c>
      <c r="KK14" s="18">
        <f>IF(294&gt;=DeliverStart,BaseMarketRentMo*KK$6+BaseLowRentMo*KK$7,0)</f>
        <v/>
      </c>
      <c r="KL14" s="18">
        <f>IF(295&gt;=DeliverStart,BaseMarketRentMo*KL$6+BaseLowRentMo*KL$7,0)</f>
        <v/>
      </c>
      <c r="KM14" s="18">
        <f>IF(296&gt;=DeliverStart,BaseMarketRentMo*KM$6+BaseLowRentMo*KM$7,0)</f>
        <v/>
      </c>
      <c r="KN14" s="18">
        <f>IF(297&gt;=DeliverStart,BaseMarketRentMo*KN$6+BaseLowRentMo*KN$7,0)</f>
        <v/>
      </c>
      <c r="KO14" s="18">
        <f>IF(298&gt;=DeliverStart,BaseMarketRentMo*KO$6+BaseLowRentMo*KO$7,0)</f>
        <v/>
      </c>
      <c r="KP14" s="18">
        <f>IF(299&gt;=DeliverStart,BaseMarketRentMo*KP$6+BaseLowRentMo*KP$7,0)</f>
        <v/>
      </c>
      <c r="KQ14" s="18">
        <f>IF(300&gt;=DeliverStart,BaseMarketRentMo*KQ$6+BaseLowRentMo*KQ$7,0)</f>
        <v/>
      </c>
      <c r="KR14" s="18">
        <f>IF(301&gt;=DeliverStart,BaseMarketRentMo*KR$6+BaseLowRentMo*KR$7,0)</f>
        <v/>
      </c>
      <c r="KS14" s="18">
        <f>IF(302&gt;=DeliverStart,BaseMarketRentMo*KS$6+BaseLowRentMo*KS$7,0)</f>
        <v/>
      </c>
      <c r="KT14" s="18">
        <f>IF(303&gt;=DeliverStart,BaseMarketRentMo*KT$6+BaseLowRentMo*KT$7,0)</f>
        <v/>
      </c>
      <c r="KU14" s="18">
        <f>IF(304&gt;=DeliverStart,BaseMarketRentMo*KU$6+BaseLowRentMo*KU$7,0)</f>
        <v/>
      </c>
      <c r="KV14" s="18">
        <f>IF(305&gt;=DeliverStart,BaseMarketRentMo*KV$6+BaseLowRentMo*KV$7,0)</f>
        <v/>
      </c>
      <c r="KW14" s="18">
        <f>IF(306&gt;=DeliverStart,BaseMarketRentMo*KW$6+BaseLowRentMo*KW$7,0)</f>
        <v/>
      </c>
      <c r="KX14" s="18">
        <f>IF(307&gt;=DeliverStart,BaseMarketRentMo*KX$6+BaseLowRentMo*KX$7,0)</f>
        <v/>
      </c>
      <c r="KY14" s="18">
        <f>IF(308&gt;=DeliverStart,BaseMarketRentMo*KY$6+BaseLowRentMo*KY$7,0)</f>
        <v/>
      </c>
      <c r="KZ14" s="18">
        <f>IF(309&gt;=DeliverStart,BaseMarketRentMo*KZ$6+BaseLowRentMo*KZ$7,0)</f>
        <v/>
      </c>
      <c r="LA14" s="18">
        <f>IF(310&gt;=DeliverStart,BaseMarketRentMo*LA$6+BaseLowRentMo*LA$7,0)</f>
        <v/>
      </c>
      <c r="LB14" s="18">
        <f>IF(311&gt;=DeliverStart,BaseMarketRentMo*LB$6+BaseLowRentMo*LB$7,0)</f>
        <v/>
      </c>
      <c r="LC14" s="18">
        <f>IF(312&gt;=DeliverStart,BaseMarketRentMo*LC$6+BaseLowRentMo*LC$7,0)</f>
        <v/>
      </c>
      <c r="LD14" s="18">
        <f>IF(313&gt;=DeliverStart,BaseMarketRentMo*LD$6+BaseLowRentMo*LD$7,0)</f>
        <v/>
      </c>
      <c r="LE14" s="18">
        <f>IF(314&gt;=DeliverStart,BaseMarketRentMo*LE$6+BaseLowRentMo*LE$7,0)</f>
        <v/>
      </c>
      <c r="LF14" s="18">
        <f>IF(315&gt;=DeliverStart,BaseMarketRentMo*LF$6+BaseLowRentMo*LF$7,0)</f>
        <v/>
      </c>
      <c r="LG14" s="18">
        <f>IF(316&gt;=DeliverStart,BaseMarketRentMo*LG$6+BaseLowRentMo*LG$7,0)</f>
        <v/>
      </c>
      <c r="LH14" s="18">
        <f>IF(317&gt;=DeliverStart,BaseMarketRentMo*LH$6+BaseLowRentMo*LH$7,0)</f>
        <v/>
      </c>
      <c r="LI14" s="18">
        <f>IF(318&gt;=DeliverStart,BaseMarketRentMo*LI$6+BaseLowRentMo*LI$7,0)</f>
        <v/>
      </c>
      <c r="LJ14" s="18">
        <f>IF(319&gt;=DeliverStart,BaseMarketRentMo*LJ$6+BaseLowRentMo*LJ$7,0)</f>
        <v/>
      </c>
      <c r="LK14" s="18">
        <f>IF(320&gt;=DeliverStart,BaseMarketRentMo*LK$6+BaseLowRentMo*LK$7,0)</f>
        <v/>
      </c>
      <c r="LL14" s="18">
        <f>IF(321&gt;=DeliverStart,BaseMarketRentMo*LL$6+BaseLowRentMo*LL$7,0)</f>
        <v/>
      </c>
      <c r="LM14" s="18">
        <f>IF(322&gt;=DeliverStart,BaseMarketRentMo*LM$6+BaseLowRentMo*LM$7,0)</f>
        <v/>
      </c>
      <c r="LN14" s="18">
        <f>IF(323&gt;=DeliverStart,BaseMarketRentMo*LN$6+BaseLowRentMo*LN$7,0)</f>
        <v/>
      </c>
      <c r="LO14" s="18">
        <f>IF(324&gt;=DeliverStart,BaseMarketRentMo*LO$6+BaseLowRentMo*LO$7,0)</f>
        <v/>
      </c>
      <c r="LP14" s="18">
        <f>IF(325&gt;=DeliverStart,BaseMarketRentMo*LP$6+BaseLowRentMo*LP$7,0)</f>
        <v/>
      </c>
      <c r="LQ14" s="18">
        <f>IF(326&gt;=DeliverStart,BaseMarketRentMo*LQ$6+BaseLowRentMo*LQ$7,0)</f>
        <v/>
      </c>
      <c r="LR14" s="18">
        <f>IF(327&gt;=DeliverStart,BaseMarketRentMo*LR$6+BaseLowRentMo*LR$7,0)</f>
        <v/>
      </c>
      <c r="LS14" s="18">
        <f>IF(328&gt;=DeliverStart,BaseMarketRentMo*LS$6+BaseLowRentMo*LS$7,0)</f>
        <v/>
      </c>
      <c r="LT14" s="18">
        <f>IF(329&gt;=DeliverStart,BaseMarketRentMo*LT$6+BaseLowRentMo*LT$7,0)</f>
        <v/>
      </c>
      <c r="LU14" s="18">
        <f>IF(330&gt;=DeliverStart,BaseMarketRentMo*LU$6+BaseLowRentMo*LU$7,0)</f>
        <v/>
      </c>
      <c r="LV14" s="18">
        <f>IF(331&gt;=DeliverStart,BaseMarketRentMo*LV$6+BaseLowRentMo*LV$7,0)</f>
        <v/>
      </c>
      <c r="LW14" s="18">
        <f>IF(332&gt;=DeliverStart,BaseMarketRentMo*LW$6+BaseLowRentMo*LW$7,0)</f>
        <v/>
      </c>
      <c r="LX14" s="18">
        <f>IF(333&gt;=DeliverStart,BaseMarketRentMo*LX$6+BaseLowRentMo*LX$7,0)</f>
        <v/>
      </c>
      <c r="LY14" s="18">
        <f>IF(334&gt;=DeliverStart,BaseMarketRentMo*LY$6+BaseLowRentMo*LY$7,0)</f>
        <v/>
      </c>
      <c r="LZ14" s="18">
        <f>IF(335&gt;=DeliverStart,BaseMarketRentMo*LZ$6+BaseLowRentMo*LZ$7,0)</f>
        <v/>
      </c>
      <c r="MA14" s="18">
        <f>IF(336&gt;=DeliverStart,BaseMarketRentMo*MA$6+BaseLowRentMo*MA$7,0)</f>
        <v/>
      </c>
      <c r="MB14" s="18">
        <f>IF(337&gt;=DeliverStart,BaseMarketRentMo*MB$6+BaseLowRentMo*MB$7,0)</f>
        <v/>
      </c>
      <c r="MC14" s="18">
        <f>IF(338&gt;=DeliverStart,BaseMarketRentMo*MC$6+BaseLowRentMo*MC$7,0)</f>
        <v/>
      </c>
      <c r="MD14" s="18">
        <f>IF(339&gt;=DeliverStart,BaseMarketRentMo*MD$6+BaseLowRentMo*MD$7,0)</f>
        <v/>
      </c>
      <c r="ME14" s="18">
        <f>IF(340&gt;=DeliverStart,BaseMarketRentMo*ME$6+BaseLowRentMo*ME$7,0)</f>
        <v/>
      </c>
      <c r="MF14" s="18">
        <f>IF(341&gt;=DeliverStart,BaseMarketRentMo*MF$6+BaseLowRentMo*MF$7,0)</f>
        <v/>
      </c>
      <c r="MG14" s="18">
        <f>IF(342&gt;=DeliverStart,BaseMarketRentMo*MG$6+BaseLowRentMo*MG$7,0)</f>
        <v/>
      </c>
      <c r="MH14" s="18">
        <f>IF(343&gt;=DeliverStart,BaseMarketRentMo*MH$6+BaseLowRentMo*MH$7,0)</f>
        <v/>
      </c>
      <c r="MI14" s="18">
        <f>IF(344&gt;=DeliverStart,BaseMarketRentMo*MI$6+BaseLowRentMo*MI$7,0)</f>
        <v/>
      </c>
      <c r="MJ14" s="18">
        <f>IF(345&gt;=DeliverStart,BaseMarketRentMo*MJ$6+BaseLowRentMo*MJ$7,0)</f>
        <v/>
      </c>
      <c r="MK14" s="18">
        <f>IF(346&gt;=DeliverStart,BaseMarketRentMo*MK$6+BaseLowRentMo*MK$7,0)</f>
        <v/>
      </c>
      <c r="ML14" s="18">
        <f>IF(347&gt;=DeliverStart,BaseMarketRentMo*ML$6+BaseLowRentMo*ML$7,0)</f>
        <v/>
      </c>
      <c r="MM14" s="18">
        <f>IF(348&gt;=DeliverStart,BaseMarketRentMo*MM$6+BaseLowRentMo*MM$7,0)</f>
        <v/>
      </c>
      <c r="MN14" s="18">
        <f>IF(349&gt;=DeliverStart,BaseMarketRentMo*MN$6+BaseLowRentMo*MN$7,0)</f>
        <v/>
      </c>
      <c r="MO14" s="18">
        <f>IF(350&gt;=DeliverStart,BaseMarketRentMo*MO$6+BaseLowRentMo*MO$7,0)</f>
        <v/>
      </c>
      <c r="MP14" s="18">
        <f>IF(351&gt;=DeliverStart,BaseMarketRentMo*MP$6+BaseLowRentMo*MP$7,0)</f>
        <v/>
      </c>
      <c r="MQ14" s="18">
        <f>IF(352&gt;=DeliverStart,BaseMarketRentMo*MQ$6+BaseLowRentMo*MQ$7,0)</f>
        <v/>
      </c>
      <c r="MR14" s="18">
        <f>IF(353&gt;=DeliverStart,BaseMarketRentMo*MR$6+BaseLowRentMo*MR$7,0)</f>
        <v/>
      </c>
      <c r="MS14" s="18">
        <f>IF(354&gt;=DeliverStart,BaseMarketRentMo*MS$6+BaseLowRentMo*MS$7,0)</f>
        <v/>
      </c>
      <c r="MT14" s="18">
        <f>IF(355&gt;=DeliverStart,BaseMarketRentMo*MT$6+BaseLowRentMo*MT$7,0)</f>
        <v/>
      </c>
      <c r="MU14" s="18">
        <f>IF(356&gt;=DeliverStart,BaseMarketRentMo*MU$6+BaseLowRentMo*MU$7,0)</f>
        <v/>
      </c>
      <c r="MV14" s="18">
        <f>IF(357&gt;=DeliverStart,BaseMarketRentMo*MV$6+BaseLowRentMo*MV$7,0)</f>
        <v/>
      </c>
      <c r="MW14" s="18">
        <f>IF(358&gt;=DeliverStart,BaseMarketRentMo*MW$6+BaseLowRentMo*MW$7,0)</f>
        <v/>
      </c>
      <c r="MX14" s="18">
        <f>IF(359&gt;=DeliverStart,BaseMarketRentMo*MX$6+BaseLowRentMo*MX$7,0)</f>
        <v/>
      </c>
      <c r="MY14" s="18">
        <f>IF(360&gt;=DeliverStart,BaseMarketRentMo*MY$6+BaseLowRentMo*MY$7,0)</f>
        <v/>
      </c>
      <c r="MZ14" s="18">
        <f>IF(361&gt;=DeliverStart,BaseMarketRentMo*MZ$6+BaseLowRentMo*MZ$7,0)</f>
        <v/>
      </c>
      <c r="NA14" s="18">
        <f>IF(362&gt;=DeliverStart,BaseMarketRentMo*NA$6+BaseLowRentMo*NA$7,0)</f>
        <v/>
      </c>
      <c r="NB14" s="18">
        <f>IF(363&gt;=DeliverStart,BaseMarketRentMo*NB$6+BaseLowRentMo*NB$7,0)</f>
        <v/>
      </c>
      <c r="NC14" s="18">
        <f>IF(364&gt;=DeliverStart,BaseMarketRentMo*NC$6+BaseLowRentMo*NC$7,0)</f>
        <v/>
      </c>
      <c r="ND14" s="18">
        <f>IF(365&gt;=DeliverStart,BaseMarketRentMo*ND$6+BaseLowRentMo*ND$7,0)</f>
        <v/>
      </c>
      <c r="NE14" s="18">
        <f>IF(366&gt;=DeliverStart,BaseMarketRentMo*NE$6+BaseLowRentMo*NE$7,0)</f>
        <v/>
      </c>
      <c r="NF14" s="18">
        <f>IF(367&gt;=DeliverStart,BaseMarketRentMo*NF$6+BaseLowRentMo*NF$7,0)</f>
        <v/>
      </c>
      <c r="NG14" s="18">
        <f>IF(368&gt;=DeliverStart,BaseMarketRentMo*NG$6+BaseLowRentMo*NG$7,0)</f>
        <v/>
      </c>
      <c r="NH14" s="18">
        <f>IF(369&gt;=DeliverStart,BaseMarketRentMo*NH$6+BaseLowRentMo*NH$7,0)</f>
        <v/>
      </c>
      <c r="NI14" s="18">
        <f>IF(370&gt;=DeliverStart,BaseMarketRentMo*NI$6+BaseLowRentMo*NI$7,0)</f>
        <v/>
      </c>
      <c r="NJ14" s="18">
        <f>IF(371&gt;=DeliverStart,BaseMarketRentMo*NJ$6+BaseLowRentMo*NJ$7,0)</f>
        <v/>
      </c>
      <c r="NK14" s="18">
        <f>IF(372&gt;=DeliverStart,BaseMarketRentMo*NK$6+BaseLowRentMo*NK$7,0)</f>
        <v/>
      </c>
    </row>
    <row r="15">
      <c r="A15" s="5" t="inlineStr">
        <is>
          <t>Vacancy Loss</t>
        </is>
      </c>
      <c r="C15" s="41">
        <f>SUM(D15:NK15)</f>
        <v/>
      </c>
      <c r="D15" s="18">
        <f>-D$14*(1-'LeaseUp'!D$10)</f>
        <v/>
      </c>
      <c r="E15" s="18">
        <f>-E$14*(1-'LeaseUp'!E$10)</f>
        <v/>
      </c>
      <c r="F15" s="18">
        <f>-F$14*(1-'LeaseUp'!F$10)</f>
        <v/>
      </c>
      <c r="G15" s="18">
        <f>-G$14*(1-'LeaseUp'!G$10)</f>
        <v/>
      </c>
      <c r="H15" s="18">
        <f>-H$14*(1-'LeaseUp'!H$10)</f>
        <v/>
      </c>
      <c r="I15" s="18">
        <f>-I$14*(1-'LeaseUp'!I$10)</f>
        <v/>
      </c>
      <c r="J15" s="18">
        <f>-J$14*(1-'LeaseUp'!J$10)</f>
        <v/>
      </c>
      <c r="K15" s="18">
        <f>-K$14*(1-'LeaseUp'!K$10)</f>
        <v/>
      </c>
      <c r="L15" s="18">
        <f>-L$14*(1-'LeaseUp'!L$10)</f>
        <v/>
      </c>
      <c r="M15" s="18">
        <f>-M$14*(1-'LeaseUp'!M$10)</f>
        <v/>
      </c>
      <c r="N15" s="18">
        <f>-N$14*(1-'LeaseUp'!N$10)</f>
        <v/>
      </c>
      <c r="O15" s="18">
        <f>-O$14*(1-'LeaseUp'!O$10)</f>
        <v/>
      </c>
      <c r="P15" s="18">
        <f>-P$14*(1-'LeaseUp'!P$10)</f>
        <v/>
      </c>
      <c r="Q15" s="18">
        <f>-Q$14*(1-'LeaseUp'!Q$10)</f>
        <v/>
      </c>
      <c r="R15" s="18">
        <f>-R$14*(1-'LeaseUp'!R$10)</f>
        <v/>
      </c>
      <c r="S15" s="18">
        <f>-S$14*(1-'LeaseUp'!S$10)</f>
        <v/>
      </c>
      <c r="T15" s="18">
        <f>-T$14*(1-'LeaseUp'!T$10)</f>
        <v/>
      </c>
      <c r="U15" s="18">
        <f>-U$14*(1-'LeaseUp'!U$10)</f>
        <v/>
      </c>
      <c r="V15" s="18">
        <f>-V$14*(1-'LeaseUp'!V$10)</f>
        <v/>
      </c>
      <c r="W15" s="18">
        <f>-W$14*(1-'LeaseUp'!W$10)</f>
        <v/>
      </c>
      <c r="X15" s="18">
        <f>-X$14*(1-'LeaseUp'!X$10)</f>
        <v/>
      </c>
      <c r="Y15" s="18">
        <f>-Y$14*(1-'LeaseUp'!Y$10)</f>
        <v/>
      </c>
      <c r="Z15" s="18">
        <f>-Z$14*(1-'LeaseUp'!Z$10)</f>
        <v/>
      </c>
      <c r="AA15" s="18">
        <f>-AA$14*(1-'LeaseUp'!AA$10)</f>
        <v/>
      </c>
      <c r="AB15" s="18">
        <f>-AB$14*(1-'LeaseUp'!AB$10)</f>
        <v/>
      </c>
      <c r="AC15" s="18">
        <f>-AC$14*(1-'LeaseUp'!AC$10)</f>
        <v/>
      </c>
      <c r="AD15" s="18">
        <f>-AD$14*(1-'LeaseUp'!AD$10)</f>
        <v/>
      </c>
      <c r="AE15" s="18">
        <f>-AE$14*(1-'LeaseUp'!AE$10)</f>
        <v/>
      </c>
      <c r="AF15" s="18">
        <f>-AF$14*(1-'LeaseUp'!AF$10)</f>
        <v/>
      </c>
      <c r="AG15" s="18">
        <f>-AG$14*(1-'LeaseUp'!AG$10)</f>
        <v/>
      </c>
      <c r="AH15" s="18">
        <f>-AH$14*(1-'LeaseUp'!AH$10)</f>
        <v/>
      </c>
      <c r="AI15" s="18">
        <f>-AI$14*(1-'LeaseUp'!AI$10)</f>
        <v/>
      </c>
      <c r="AJ15" s="18">
        <f>-AJ$14*(1-'LeaseUp'!AJ$10)</f>
        <v/>
      </c>
      <c r="AK15" s="18">
        <f>-AK$14*(1-'LeaseUp'!AK$10)</f>
        <v/>
      </c>
      <c r="AL15" s="18">
        <f>-AL$14*(1-'LeaseUp'!AL$10)</f>
        <v/>
      </c>
      <c r="AM15" s="18">
        <f>-AM$14*(1-'LeaseUp'!AM$10)</f>
        <v/>
      </c>
      <c r="AN15" s="18">
        <f>-AN$14*(1-'LeaseUp'!AN$10)</f>
        <v/>
      </c>
      <c r="AO15" s="18">
        <f>-AO$14*(1-'LeaseUp'!AO$10)</f>
        <v/>
      </c>
      <c r="AP15" s="18">
        <f>-AP$14*(1-'LeaseUp'!AP$10)</f>
        <v/>
      </c>
      <c r="AQ15" s="18">
        <f>-AQ$14*(1-'LeaseUp'!AQ$10)</f>
        <v/>
      </c>
      <c r="AR15" s="18">
        <f>-AR$14*(1-'LeaseUp'!AR$10)</f>
        <v/>
      </c>
      <c r="AS15" s="18">
        <f>-AS$14*(1-'LeaseUp'!AS$10)</f>
        <v/>
      </c>
      <c r="AT15" s="18">
        <f>-AT$14*(1-'LeaseUp'!AT$10)</f>
        <v/>
      </c>
      <c r="AU15" s="18">
        <f>-AU$14*(1-'LeaseUp'!AU$10)</f>
        <v/>
      </c>
      <c r="AV15" s="18">
        <f>-AV$14*(1-'LeaseUp'!AV$10)</f>
        <v/>
      </c>
      <c r="AW15" s="18">
        <f>-AW$14*(1-'LeaseUp'!AW$10)</f>
        <v/>
      </c>
      <c r="AX15" s="18">
        <f>-AX$14*(1-'LeaseUp'!AX$10)</f>
        <v/>
      </c>
      <c r="AY15" s="18">
        <f>-AY$14*(1-'LeaseUp'!AY$10)</f>
        <v/>
      </c>
      <c r="AZ15" s="18">
        <f>-AZ$14*(1-'LeaseUp'!AZ$10)</f>
        <v/>
      </c>
      <c r="BA15" s="18">
        <f>-BA$14*(1-'LeaseUp'!BA$10)</f>
        <v/>
      </c>
      <c r="BB15" s="18">
        <f>-BB$14*(1-'LeaseUp'!BB$10)</f>
        <v/>
      </c>
      <c r="BC15" s="18">
        <f>-BC$14*(1-'LeaseUp'!BC$10)</f>
        <v/>
      </c>
      <c r="BD15" s="18">
        <f>-BD$14*(1-'LeaseUp'!BD$10)</f>
        <v/>
      </c>
      <c r="BE15" s="18">
        <f>-BE$14*(1-'LeaseUp'!BE$10)</f>
        <v/>
      </c>
      <c r="BF15" s="18">
        <f>-BF$14*(1-'LeaseUp'!BF$10)</f>
        <v/>
      </c>
      <c r="BG15" s="18">
        <f>-BG$14*(1-'LeaseUp'!BG$10)</f>
        <v/>
      </c>
      <c r="BH15" s="18">
        <f>-BH$14*(1-'LeaseUp'!BH$10)</f>
        <v/>
      </c>
      <c r="BI15" s="18">
        <f>-BI$14*(1-'LeaseUp'!BI$10)</f>
        <v/>
      </c>
      <c r="BJ15" s="18">
        <f>-BJ$14*(1-'LeaseUp'!BJ$10)</f>
        <v/>
      </c>
      <c r="BK15" s="18">
        <f>-BK$14*(1-'LeaseUp'!BK$10)</f>
        <v/>
      </c>
      <c r="BL15" s="18">
        <f>-BL$14*(1-'LeaseUp'!BL$10)</f>
        <v/>
      </c>
      <c r="BM15" s="18">
        <f>-BM$14*(1-'LeaseUp'!BM$10)</f>
        <v/>
      </c>
      <c r="BN15" s="18">
        <f>-BN$14*(1-'LeaseUp'!BN$10)</f>
        <v/>
      </c>
      <c r="BO15" s="18">
        <f>-BO$14*(1-'LeaseUp'!BO$10)</f>
        <v/>
      </c>
      <c r="BP15" s="18">
        <f>-BP$14*(1-'LeaseUp'!BP$10)</f>
        <v/>
      </c>
      <c r="BQ15" s="18">
        <f>-BQ$14*(1-'LeaseUp'!BQ$10)</f>
        <v/>
      </c>
      <c r="BR15" s="18">
        <f>-BR$14*(1-'LeaseUp'!BR$10)</f>
        <v/>
      </c>
      <c r="BS15" s="18">
        <f>-BS$14*(1-'LeaseUp'!BS$10)</f>
        <v/>
      </c>
      <c r="BT15" s="18">
        <f>-BT$14*(1-'LeaseUp'!BT$10)</f>
        <v/>
      </c>
      <c r="BU15" s="18">
        <f>-BU$14*(1-'LeaseUp'!BU$10)</f>
        <v/>
      </c>
      <c r="BV15" s="18">
        <f>-BV$14*(1-'LeaseUp'!BV$10)</f>
        <v/>
      </c>
      <c r="BW15" s="18">
        <f>-BW$14*(1-'LeaseUp'!BW$10)</f>
        <v/>
      </c>
      <c r="BX15" s="18">
        <f>-BX$14*(1-'LeaseUp'!BX$10)</f>
        <v/>
      </c>
      <c r="BY15" s="18">
        <f>-BY$14*(1-'LeaseUp'!BY$10)</f>
        <v/>
      </c>
      <c r="BZ15" s="18">
        <f>-BZ$14*(1-'LeaseUp'!BZ$10)</f>
        <v/>
      </c>
      <c r="CA15" s="18">
        <f>-CA$14*(1-'LeaseUp'!CA$10)</f>
        <v/>
      </c>
      <c r="CB15" s="18">
        <f>-CB$14*(1-'LeaseUp'!CB$10)</f>
        <v/>
      </c>
      <c r="CC15" s="18">
        <f>-CC$14*(1-'LeaseUp'!CC$10)</f>
        <v/>
      </c>
      <c r="CD15" s="18">
        <f>-CD$14*(1-'LeaseUp'!CD$10)</f>
        <v/>
      </c>
      <c r="CE15" s="18">
        <f>-CE$14*(1-'LeaseUp'!CE$10)</f>
        <v/>
      </c>
      <c r="CF15" s="18">
        <f>-CF$14*(1-'LeaseUp'!CF$10)</f>
        <v/>
      </c>
      <c r="CG15" s="18">
        <f>-CG$14*(1-'LeaseUp'!CG$10)</f>
        <v/>
      </c>
      <c r="CH15" s="18">
        <f>-CH$14*(1-'LeaseUp'!CH$10)</f>
        <v/>
      </c>
      <c r="CI15" s="18">
        <f>-CI$14*(1-'LeaseUp'!CI$10)</f>
        <v/>
      </c>
      <c r="CJ15" s="18">
        <f>-CJ$14*(1-'LeaseUp'!CJ$10)</f>
        <v/>
      </c>
      <c r="CK15" s="18">
        <f>-CK$14*(1-'LeaseUp'!CK$10)</f>
        <v/>
      </c>
      <c r="CL15" s="18">
        <f>-CL$14*(1-'LeaseUp'!CL$10)</f>
        <v/>
      </c>
      <c r="CM15" s="18">
        <f>-CM$14*(1-'LeaseUp'!CM$10)</f>
        <v/>
      </c>
      <c r="CN15" s="18">
        <f>-CN$14*(1-'LeaseUp'!CN$10)</f>
        <v/>
      </c>
      <c r="CO15" s="18">
        <f>-CO$14*(1-'LeaseUp'!CO$10)</f>
        <v/>
      </c>
      <c r="CP15" s="18">
        <f>-CP$14*(1-'LeaseUp'!CP$10)</f>
        <v/>
      </c>
      <c r="CQ15" s="18">
        <f>-CQ$14*(1-'LeaseUp'!CQ$10)</f>
        <v/>
      </c>
      <c r="CR15" s="18">
        <f>-CR$14*(1-'LeaseUp'!CR$10)</f>
        <v/>
      </c>
      <c r="CS15" s="18">
        <f>-CS$14*(1-'LeaseUp'!CS$10)</f>
        <v/>
      </c>
      <c r="CT15" s="18">
        <f>-CT$14*(1-'LeaseUp'!CT$10)</f>
        <v/>
      </c>
      <c r="CU15" s="18">
        <f>-CU$14*(1-'LeaseUp'!CU$10)</f>
        <v/>
      </c>
      <c r="CV15" s="18">
        <f>-CV$14*(1-'LeaseUp'!CV$10)</f>
        <v/>
      </c>
      <c r="CW15" s="18">
        <f>-CW$14*(1-'LeaseUp'!CW$10)</f>
        <v/>
      </c>
      <c r="CX15" s="18">
        <f>-CX$14*(1-'LeaseUp'!CX$10)</f>
        <v/>
      </c>
      <c r="CY15" s="18">
        <f>-CY$14*(1-'LeaseUp'!CY$10)</f>
        <v/>
      </c>
      <c r="CZ15" s="18">
        <f>-CZ$14*(1-'LeaseUp'!CZ$10)</f>
        <v/>
      </c>
      <c r="DA15" s="18">
        <f>-DA$14*(1-'LeaseUp'!DA$10)</f>
        <v/>
      </c>
      <c r="DB15" s="18">
        <f>-DB$14*(1-'LeaseUp'!DB$10)</f>
        <v/>
      </c>
      <c r="DC15" s="18">
        <f>-DC$14*(1-'LeaseUp'!DC$10)</f>
        <v/>
      </c>
      <c r="DD15" s="18">
        <f>-DD$14*(1-'LeaseUp'!DD$10)</f>
        <v/>
      </c>
      <c r="DE15" s="18">
        <f>-DE$14*(1-'LeaseUp'!DE$10)</f>
        <v/>
      </c>
      <c r="DF15" s="18">
        <f>-DF$14*(1-'LeaseUp'!DF$10)</f>
        <v/>
      </c>
      <c r="DG15" s="18">
        <f>-DG$14*(1-'LeaseUp'!DG$10)</f>
        <v/>
      </c>
      <c r="DH15" s="18">
        <f>-DH$14*(1-'LeaseUp'!DH$10)</f>
        <v/>
      </c>
      <c r="DI15" s="18">
        <f>-DI$14*(1-'LeaseUp'!DI$10)</f>
        <v/>
      </c>
      <c r="DJ15" s="18">
        <f>-DJ$14*(1-'LeaseUp'!DJ$10)</f>
        <v/>
      </c>
      <c r="DK15" s="18">
        <f>-DK$14*(1-'LeaseUp'!DK$10)</f>
        <v/>
      </c>
      <c r="DL15" s="18">
        <f>-DL$14*(1-'LeaseUp'!DL$10)</f>
        <v/>
      </c>
      <c r="DM15" s="18">
        <f>-DM$14*(1-'LeaseUp'!DM$10)</f>
        <v/>
      </c>
      <c r="DN15" s="18">
        <f>-DN$14*(1-'LeaseUp'!DN$10)</f>
        <v/>
      </c>
      <c r="DO15" s="18">
        <f>-DO$14*(1-'LeaseUp'!DO$10)</f>
        <v/>
      </c>
      <c r="DP15" s="18">
        <f>-DP$14*(1-'LeaseUp'!DP$10)</f>
        <v/>
      </c>
      <c r="DQ15" s="18">
        <f>-DQ$14*(1-'LeaseUp'!DQ$10)</f>
        <v/>
      </c>
      <c r="DR15" s="18">
        <f>-DR$14*(1-'LeaseUp'!DR$10)</f>
        <v/>
      </c>
      <c r="DS15" s="18">
        <f>-DS$14*(1-'LeaseUp'!DS$10)</f>
        <v/>
      </c>
      <c r="DT15" s="18">
        <f>-DT$14*(1-'LeaseUp'!DT$10)</f>
        <v/>
      </c>
      <c r="DU15" s="18">
        <f>-DU$14*(1-'LeaseUp'!DU$10)</f>
        <v/>
      </c>
      <c r="DV15" s="18">
        <f>-DV$14*(1-'LeaseUp'!DV$10)</f>
        <v/>
      </c>
      <c r="DW15" s="18">
        <f>-DW$14*(1-'LeaseUp'!DW$10)</f>
        <v/>
      </c>
      <c r="DX15" s="18">
        <f>-DX$14*(1-'LeaseUp'!DX$10)</f>
        <v/>
      </c>
      <c r="DY15" s="18">
        <f>-DY$14*(1-'LeaseUp'!DY$10)</f>
        <v/>
      </c>
      <c r="DZ15" s="18">
        <f>-DZ$14*(1-'LeaseUp'!DZ$10)</f>
        <v/>
      </c>
      <c r="EA15" s="18">
        <f>-EA$14*(1-'LeaseUp'!EA$10)</f>
        <v/>
      </c>
      <c r="EB15" s="18">
        <f>-EB$14*(1-'LeaseUp'!EB$10)</f>
        <v/>
      </c>
      <c r="EC15" s="18">
        <f>-EC$14*(1-'LeaseUp'!EC$10)</f>
        <v/>
      </c>
      <c r="ED15" s="18">
        <f>-ED$14*(1-'LeaseUp'!ED$10)</f>
        <v/>
      </c>
      <c r="EE15" s="18">
        <f>-EE$14*(1-'LeaseUp'!EE$10)</f>
        <v/>
      </c>
      <c r="EF15" s="18">
        <f>-EF$14*(1-'LeaseUp'!EF$10)</f>
        <v/>
      </c>
      <c r="EG15" s="18">
        <f>-EG$14*(1-'LeaseUp'!EG$10)</f>
        <v/>
      </c>
      <c r="EH15" s="18">
        <f>-EH$14*(1-'LeaseUp'!EH$10)</f>
        <v/>
      </c>
      <c r="EI15" s="18">
        <f>-EI$14*(1-'LeaseUp'!EI$10)</f>
        <v/>
      </c>
      <c r="EJ15" s="18">
        <f>-EJ$14*(1-'LeaseUp'!EJ$10)</f>
        <v/>
      </c>
      <c r="EK15" s="18">
        <f>-EK$14*(1-'LeaseUp'!EK$10)</f>
        <v/>
      </c>
      <c r="EL15" s="18">
        <f>-EL$14*(1-'LeaseUp'!EL$10)</f>
        <v/>
      </c>
      <c r="EM15" s="18">
        <f>-EM$14*(1-'LeaseUp'!EM$10)</f>
        <v/>
      </c>
      <c r="EN15" s="18">
        <f>-EN$14*(1-'LeaseUp'!EN$10)</f>
        <v/>
      </c>
      <c r="EO15" s="18">
        <f>-EO$14*(1-'LeaseUp'!EO$10)</f>
        <v/>
      </c>
      <c r="EP15" s="18">
        <f>-EP$14*(1-'LeaseUp'!EP$10)</f>
        <v/>
      </c>
      <c r="EQ15" s="18">
        <f>-EQ$14*(1-'LeaseUp'!EQ$10)</f>
        <v/>
      </c>
      <c r="ER15" s="18">
        <f>-ER$14*(1-'LeaseUp'!ER$10)</f>
        <v/>
      </c>
      <c r="ES15" s="18">
        <f>-ES$14*(1-'LeaseUp'!ES$10)</f>
        <v/>
      </c>
      <c r="ET15" s="18">
        <f>-ET$14*(1-'LeaseUp'!ET$10)</f>
        <v/>
      </c>
      <c r="EU15" s="18">
        <f>-EU$14*(1-'LeaseUp'!EU$10)</f>
        <v/>
      </c>
      <c r="EV15" s="18">
        <f>-EV$14*(1-'LeaseUp'!EV$10)</f>
        <v/>
      </c>
      <c r="EW15" s="18">
        <f>-EW$14*(1-'LeaseUp'!EW$10)</f>
        <v/>
      </c>
      <c r="EX15" s="18">
        <f>-EX$14*(1-'LeaseUp'!EX$10)</f>
        <v/>
      </c>
      <c r="EY15" s="18">
        <f>-EY$14*(1-'LeaseUp'!EY$10)</f>
        <v/>
      </c>
      <c r="EZ15" s="18">
        <f>-EZ$14*(1-'LeaseUp'!EZ$10)</f>
        <v/>
      </c>
      <c r="FA15" s="18">
        <f>-FA$14*(1-'LeaseUp'!FA$10)</f>
        <v/>
      </c>
      <c r="FB15" s="18">
        <f>-FB$14*(1-'LeaseUp'!FB$10)</f>
        <v/>
      </c>
      <c r="FC15" s="18">
        <f>-FC$14*(1-'LeaseUp'!FC$10)</f>
        <v/>
      </c>
      <c r="FD15" s="18">
        <f>-FD$14*(1-'LeaseUp'!FD$10)</f>
        <v/>
      </c>
      <c r="FE15" s="18">
        <f>-FE$14*(1-'LeaseUp'!FE$10)</f>
        <v/>
      </c>
      <c r="FF15" s="18">
        <f>-FF$14*(1-'LeaseUp'!FF$10)</f>
        <v/>
      </c>
      <c r="FG15" s="18">
        <f>-FG$14*(1-'LeaseUp'!FG$10)</f>
        <v/>
      </c>
      <c r="FH15" s="18">
        <f>-FH$14*(1-'LeaseUp'!FH$10)</f>
        <v/>
      </c>
      <c r="FI15" s="18">
        <f>-FI$14*(1-'LeaseUp'!FI$10)</f>
        <v/>
      </c>
      <c r="FJ15" s="18">
        <f>-FJ$14*(1-'LeaseUp'!FJ$10)</f>
        <v/>
      </c>
      <c r="FK15" s="18">
        <f>-FK$14*(1-'LeaseUp'!FK$10)</f>
        <v/>
      </c>
      <c r="FL15" s="18">
        <f>-FL$14*(1-'LeaseUp'!FL$10)</f>
        <v/>
      </c>
      <c r="FM15" s="18">
        <f>-FM$14*(1-'LeaseUp'!FM$10)</f>
        <v/>
      </c>
      <c r="FN15" s="18">
        <f>-FN$14*(1-'LeaseUp'!FN$10)</f>
        <v/>
      </c>
      <c r="FO15" s="18">
        <f>-FO$14*(1-'LeaseUp'!FO$10)</f>
        <v/>
      </c>
      <c r="FP15" s="18">
        <f>-FP$14*(1-'LeaseUp'!FP$10)</f>
        <v/>
      </c>
      <c r="FQ15" s="18">
        <f>-FQ$14*(1-'LeaseUp'!FQ$10)</f>
        <v/>
      </c>
      <c r="FR15" s="18">
        <f>-FR$14*(1-'LeaseUp'!FR$10)</f>
        <v/>
      </c>
      <c r="FS15" s="18">
        <f>-FS$14*(1-'LeaseUp'!FS$10)</f>
        <v/>
      </c>
      <c r="FT15" s="18">
        <f>-FT$14*(1-'LeaseUp'!FT$10)</f>
        <v/>
      </c>
      <c r="FU15" s="18">
        <f>-FU$14*(1-'LeaseUp'!FU$10)</f>
        <v/>
      </c>
      <c r="FV15" s="18">
        <f>-FV$14*(1-'LeaseUp'!FV$10)</f>
        <v/>
      </c>
      <c r="FW15" s="18">
        <f>-FW$14*(1-'LeaseUp'!FW$10)</f>
        <v/>
      </c>
      <c r="FX15" s="18">
        <f>-FX$14*(1-'LeaseUp'!FX$10)</f>
        <v/>
      </c>
      <c r="FY15" s="18">
        <f>-FY$14*(1-'LeaseUp'!FY$10)</f>
        <v/>
      </c>
      <c r="FZ15" s="18">
        <f>-FZ$14*(1-'LeaseUp'!FZ$10)</f>
        <v/>
      </c>
      <c r="GA15" s="18">
        <f>-GA$14*(1-'LeaseUp'!GA$10)</f>
        <v/>
      </c>
      <c r="GB15" s="18">
        <f>-GB$14*(1-'LeaseUp'!GB$10)</f>
        <v/>
      </c>
      <c r="GC15" s="18">
        <f>-GC$14*(1-'LeaseUp'!GC$10)</f>
        <v/>
      </c>
      <c r="GD15" s="18">
        <f>-GD$14*(1-'LeaseUp'!GD$10)</f>
        <v/>
      </c>
      <c r="GE15" s="18">
        <f>-GE$14*(1-'LeaseUp'!GE$10)</f>
        <v/>
      </c>
      <c r="GF15" s="18">
        <f>-GF$14*(1-'LeaseUp'!GF$10)</f>
        <v/>
      </c>
      <c r="GG15" s="18">
        <f>-GG$14*(1-'LeaseUp'!GG$10)</f>
        <v/>
      </c>
      <c r="GH15" s="18">
        <f>-GH$14*(1-'LeaseUp'!GH$10)</f>
        <v/>
      </c>
      <c r="GI15" s="18">
        <f>-GI$14*(1-'LeaseUp'!GI$10)</f>
        <v/>
      </c>
      <c r="GJ15" s="18">
        <f>-GJ$14*(1-'LeaseUp'!GJ$10)</f>
        <v/>
      </c>
      <c r="GK15" s="18">
        <f>-GK$14*(1-'LeaseUp'!GK$10)</f>
        <v/>
      </c>
      <c r="GL15" s="18">
        <f>-GL$14*(1-'LeaseUp'!GL$10)</f>
        <v/>
      </c>
      <c r="GM15" s="18">
        <f>-GM$14*(1-'LeaseUp'!GM$10)</f>
        <v/>
      </c>
      <c r="GN15" s="18">
        <f>-GN$14*(1-'LeaseUp'!GN$10)</f>
        <v/>
      </c>
      <c r="GO15" s="18">
        <f>-GO$14*(1-'LeaseUp'!GO$10)</f>
        <v/>
      </c>
      <c r="GP15" s="18">
        <f>-GP$14*(1-'LeaseUp'!GP$10)</f>
        <v/>
      </c>
      <c r="GQ15" s="18">
        <f>-GQ$14*(1-'LeaseUp'!GQ$10)</f>
        <v/>
      </c>
      <c r="GR15" s="18">
        <f>-GR$14*(1-'LeaseUp'!GR$10)</f>
        <v/>
      </c>
      <c r="GS15" s="18">
        <f>-GS$14*(1-'LeaseUp'!GS$10)</f>
        <v/>
      </c>
      <c r="GT15" s="18">
        <f>-GT$14*(1-'LeaseUp'!GT$10)</f>
        <v/>
      </c>
      <c r="GU15" s="18">
        <f>-GU$14*(1-'LeaseUp'!GU$10)</f>
        <v/>
      </c>
      <c r="GV15" s="18">
        <f>-GV$14*(1-'LeaseUp'!GV$10)</f>
        <v/>
      </c>
      <c r="GW15" s="18">
        <f>-GW$14*(1-'LeaseUp'!GW$10)</f>
        <v/>
      </c>
      <c r="GX15" s="18">
        <f>-GX$14*(1-'LeaseUp'!GX$10)</f>
        <v/>
      </c>
      <c r="GY15" s="18">
        <f>-GY$14*(1-'LeaseUp'!GY$10)</f>
        <v/>
      </c>
      <c r="GZ15" s="18">
        <f>-GZ$14*(1-'LeaseUp'!GZ$10)</f>
        <v/>
      </c>
      <c r="HA15" s="18">
        <f>-HA$14*(1-'LeaseUp'!HA$10)</f>
        <v/>
      </c>
      <c r="HB15" s="18">
        <f>-HB$14*(1-'LeaseUp'!HB$10)</f>
        <v/>
      </c>
      <c r="HC15" s="18">
        <f>-HC$14*(1-'LeaseUp'!HC$10)</f>
        <v/>
      </c>
      <c r="HD15" s="18">
        <f>-HD$14*(1-'LeaseUp'!HD$10)</f>
        <v/>
      </c>
      <c r="HE15" s="18">
        <f>-HE$14*(1-'LeaseUp'!HE$10)</f>
        <v/>
      </c>
      <c r="HF15" s="18">
        <f>-HF$14*(1-'LeaseUp'!HF$10)</f>
        <v/>
      </c>
      <c r="HG15" s="18">
        <f>-HG$14*(1-'LeaseUp'!HG$10)</f>
        <v/>
      </c>
      <c r="HH15" s="18">
        <f>-HH$14*(1-'LeaseUp'!HH$10)</f>
        <v/>
      </c>
      <c r="HI15" s="18">
        <f>-HI$14*(1-'LeaseUp'!HI$10)</f>
        <v/>
      </c>
      <c r="HJ15" s="18">
        <f>-HJ$14*(1-'LeaseUp'!HJ$10)</f>
        <v/>
      </c>
      <c r="HK15" s="18">
        <f>-HK$14*(1-'LeaseUp'!HK$10)</f>
        <v/>
      </c>
      <c r="HL15" s="18">
        <f>-HL$14*(1-'LeaseUp'!HL$10)</f>
        <v/>
      </c>
      <c r="HM15" s="18">
        <f>-HM$14*(1-'LeaseUp'!HM$10)</f>
        <v/>
      </c>
      <c r="HN15" s="18">
        <f>-HN$14*(1-'LeaseUp'!HN$10)</f>
        <v/>
      </c>
      <c r="HO15" s="18">
        <f>-HO$14*(1-'LeaseUp'!HO$10)</f>
        <v/>
      </c>
      <c r="HP15" s="18">
        <f>-HP$14*(1-'LeaseUp'!HP$10)</f>
        <v/>
      </c>
      <c r="HQ15" s="18">
        <f>-HQ$14*(1-'LeaseUp'!HQ$10)</f>
        <v/>
      </c>
      <c r="HR15" s="18">
        <f>-HR$14*(1-'LeaseUp'!HR$10)</f>
        <v/>
      </c>
      <c r="HS15" s="18">
        <f>-HS$14*(1-'LeaseUp'!HS$10)</f>
        <v/>
      </c>
      <c r="HT15" s="18">
        <f>-HT$14*(1-'LeaseUp'!HT$10)</f>
        <v/>
      </c>
      <c r="HU15" s="18">
        <f>-HU$14*(1-'LeaseUp'!HU$10)</f>
        <v/>
      </c>
      <c r="HV15" s="18">
        <f>-HV$14*(1-'LeaseUp'!HV$10)</f>
        <v/>
      </c>
      <c r="HW15" s="18">
        <f>-HW$14*(1-'LeaseUp'!HW$10)</f>
        <v/>
      </c>
      <c r="HX15" s="18">
        <f>-HX$14*(1-'LeaseUp'!HX$10)</f>
        <v/>
      </c>
      <c r="HY15" s="18">
        <f>-HY$14*(1-'LeaseUp'!HY$10)</f>
        <v/>
      </c>
      <c r="HZ15" s="18">
        <f>-HZ$14*(1-'LeaseUp'!HZ$10)</f>
        <v/>
      </c>
      <c r="IA15" s="18">
        <f>-IA$14*(1-'LeaseUp'!IA$10)</f>
        <v/>
      </c>
      <c r="IB15" s="18">
        <f>-IB$14*(1-'LeaseUp'!IB$10)</f>
        <v/>
      </c>
      <c r="IC15" s="18">
        <f>-IC$14*(1-'LeaseUp'!IC$10)</f>
        <v/>
      </c>
      <c r="ID15" s="18">
        <f>-ID$14*(1-'LeaseUp'!ID$10)</f>
        <v/>
      </c>
      <c r="IE15" s="18">
        <f>-IE$14*(1-'LeaseUp'!IE$10)</f>
        <v/>
      </c>
      <c r="IF15" s="18">
        <f>-IF$14*(1-'LeaseUp'!IF$10)</f>
        <v/>
      </c>
      <c r="IG15" s="18">
        <f>-IG$14*(1-'LeaseUp'!IG$10)</f>
        <v/>
      </c>
      <c r="IH15" s="18">
        <f>-IH$14*(1-'LeaseUp'!IH$10)</f>
        <v/>
      </c>
      <c r="II15" s="18">
        <f>-II$14*(1-'LeaseUp'!II$10)</f>
        <v/>
      </c>
      <c r="IJ15" s="18">
        <f>-IJ$14*(1-'LeaseUp'!IJ$10)</f>
        <v/>
      </c>
      <c r="IK15" s="18">
        <f>-IK$14*(1-'LeaseUp'!IK$10)</f>
        <v/>
      </c>
      <c r="IL15" s="18">
        <f>-IL$14*(1-'LeaseUp'!IL$10)</f>
        <v/>
      </c>
      <c r="IM15" s="18">
        <f>-IM$14*(1-'LeaseUp'!IM$10)</f>
        <v/>
      </c>
      <c r="IN15" s="18">
        <f>-IN$14*(1-'LeaseUp'!IN$10)</f>
        <v/>
      </c>
      <c r="IO15" s="18">
        <f>-IO$14*(1-'LeaseUp'!IO$10)</f>
        <v/>
      </c>
      <c r="IP15" s="18">
        <f>-IP$14*(1-'LeaseUp'!IP$10)</f>
        <v/>
      </c>
      <c r="IQ15" s="18">
        <f>-IQ$14*(1-'LeaseUp'!IQ$10)</f>
        <v/>
      </c>
      <c r="IR15" s="18">
        <f>-IR$14*(1-'LeaseUp'!IR$10)</f>
        <v/>
      </c>
      <c r="IS15" s="18">
        <f>-IS$14*(1-'LeaseUp'!IS$10)</f>
        <v/>
      </c>
      <c r="IT15" s="18">
        <f>-IT$14*(1-'LeaseUp'!IT$10)</f>
        <v/>
      </c>
      <c r="IU15" s="18">
        <f>-IU$14*(1-'LeaseUp'!IU$10)</f>
        <v/>
      </c>
      <c r="IV15" s="18">
        <f>-IV$14*(1-'LeaseUp'!IV$10)</f>
        <v/>
      </c>
      <c r="IW15" s="18">
        <f>-IW$14*(1-'LeaseUp'!IW$10)</f>
        <v/>
      </c>
      <c r="IX15" s="18">
        <f>-IX$14*(1-'LeaseUp'!IX$10)</f>
        <v/>
      </c>
      <c r="IY15" s="18">
        <f>-IY$14*(1-'LeaseUp'!IY$10)</f>
        <v/>
      </c>
      <c r="IZ15" s="18">
        <f>-IZ$14*(1-'LeaseUp'!IZ$10)</f>
        <v/>
      </c>
      <c r="JA15" s="18">
        <f>-JA$14*(1-'LeaseUp'!JA$10)</f>
        <v/>
      </c>
      <c r="JB15" s="18">
        <f>-JB$14*(1-'LeaseUp'!JB$10)</f>
        <v/>
      </c>
      <c r="JC15" s="18">
        <f>-JC$14*(1-'LeaseUp'!JC$10)</f>
        <v/>
      </c>
      <c r="JD15" s="18">
        <f>-JD$14*(1-'LeaseUp'!JD$10)</f>
        <v/>
      </c>
      <c r="JE15" s="18">
        <f>-JE$14*(1-'LeaseUp'!JE$10)</f>
        <v/>
      </c>
      <c r="JF15" s="18">
        <f>-JF$14*(1-'LeaseUp'!JF$10)</f>
        <v/>
      </c>
      <c r="JG15" s="18">
        <f>-JG$14*(1-'LeaseUp'!JG$10)</f>
        <v/>
      </c>
      <c r="JH15" s="18">
        <f>-JH$14*(1-'LeaseUp'!JH$10)</f>
        <v/>
      </c>
      <c r="JI15" s="18">
        <f>-JI$14*(1-'LeaseUp'!JI$10)</f>
        <v/>
      </c>
      <c r="JJ15" s="18">
        <f>-JJ$14*(1-'LeaseUp'!JJ$10)</f>
        <v/>
      </c>
      <c r="JK15" s="18">
        <f>-JK$14*(1-'LeaseUp'!JK$10)</f>
        <v/>
      </c>
      <c r="JL15" s="18">
        <f>-JL$14*(1-'LeaseUp'!JL$10)</f>
        <v/>
      </c>
      <c r="JM15" s="18">
        <f>-JM$14*(1-'LeaseUp'!JM$10)</f>
        <v/>
      </c>
      <c r="JN15" s="18">
        <f>-JN$14*(1-'LeaseUp'!JN$10)</f>
        <v/>
      </c>
      <c r="JO15" s="18">
        <f>-JO$14*(1-'LeaseUp'!JO$10)</f>
        <v/>
      </c>
      <c r="JP15" s="18">
        <f>-JP$14*(1-'LeaseUp'!JP$10)</f>
        <v/>
      </c>
      <c r="JQ15" s="18">
        <f>-JQ$14*(1-'LeaseUp'!JQ$10)</f>
        <v/>
      </c>
      <c r="JR15" s="18">
        <f>-JR$14*(1-'LeaseUp'!JR$10)</f>
        <v/>
      </c>
      <c r="JS15" s="18">
        <f>-JS$14*(1-'LeaseUp'!JS$10)</f>
        <v/>
      </c>
      <c r="JT15" s="18">
        <f>-JT$14*(1-'LeaseUp'!JT$10)</f>
        <v/>
      </c>
      <c r="JU15" s="18">
        <f>-JU$14*(1-'LeaseUp'!JU$10)</f>
        <v/>
      </c>
      <c r="JV15" s="18">
        <f>-JV$14*(1-'LeaseUp'!JV$10)</f>
        <v/>
      </c>
      <c r="JW15" s="18">
        <f>-JW$14*(1-'LeaseUp'!JW$10)</f>
        <v/>
      </c>
      <c r="JX15" s="18">
        <f>-JX$14*(1-'LeaseUp'!JX$10)</f>
        <v/>
      </c>
      <c r="JY15" s="18">
        <f>-JY$14*(1-'LeaseUp'!JY$10)</f>
        <v/>
      </c>
      <c r="JZ15" s="18">
        <f>-JZ$14*(1-'LeaseUp'!JZ$10)</f>
        <v/>
      </c>
      <c r="KA15" s="18">
        <f>-KA$14*(1-'LeaseUp'!KA$10)</f>
        <v/>
      </c>
      <c r="KB15" s="18">
        <f>-KB$14*(1-'LeaseUp'!KB$10)</f>
        <v/>
      </c>
      <c r="KC15" s="18">
        <f>-KC$14*(1-'LeaseUp'!KC$10)</f>
        <v/>
      </c>
      <c r="KD15" s="18">
        <f>-KD$14*(1-'LeaseUp'!KD$10)</f>
        <v/>
      </c>
      <c r="KE15" s="18">
        <f>-KE$14*(1-'LeaseUp'!KE$10)</f>
        <v/>
      </c>
      <c r="KF15" s="18">
        <f>-KF$14*(1-'LeaseUp'!KF$10)</f>
        <v/>
      </c>
      <c r="KG15" s="18">
        <f>-KG$14*(1-'LeaseUp'!KG$10)</f>
        <v/>
      </c>
      <c r="KH15" s="18">
        <f>-KH$14*(1-'LeaseUp'!KH$10)</f>
        <v/>
      </c>
      <c r="KI15" s="18">
        <f>-KI$14*(1-'LeaseUp'!KI$10)</f>
        <v/>
      </c>
      <c r="KJ15" s="18">
        <f>-KJ$14*(1-'LeaseUp'!KJ$10)</f>
        <v/>
      </c>
      <c r="KK15" s="18">
        <f>-KK$14*(1-'LeaseUp'!KK$10)</f>
        <v/>
      </c>
      <c r="KL15" s="18">
        <f>-KL$14*(1-'LeaseUp'!KL$10)</f>
        <v/>
      </c>
      <c r="KM15" s="18">
        <f>-KM$14*(1-'LeaseUp'!KM$10)</f>
        <v/>
      </c>
      <c r="KN15" s="18">
        <f>-KN$14*(1-'LeaseUp'!KN$10)</f>
        <v/>
      </c>
      <c r="KO15" s="18">
        <f>-KO$14*(1-'LeaseUp'!KO$10)</f>
        <v/>
      </c>
      <c r="KP15" s="18">
        <f>-KP$14*(1-'LeaseUp'!KP$10)</f>
        <v/>
      </c>
      <c r="KQ15" s="18">
        <f>-KQ$14*(1-'LeaseUp'!KQ$10)</f>
        <v/>
      </c>
      <c r="KR15" s="18">
        <f>-KR$14*(1-'LeaseUp'!KR$10)</f>
        <v/>
      </c>
      <c r="KS15" s="18">
        <f>-KS$14*(1-'LeaseUp'!KS$10)</f>
        <v/>
      </c>
      <c r="KT15" s="18">
        <f>-KT$14*(1-'LeaseUp'!KT$10)</f>
        <v/>
      </c>
      <c r="KU15" s="18">
        <f>-KU$14*(1-'LeaseUp'!KU$10)</f>
        <v/>
      </c>
      <c r="KV15" s="18">
        <f>-KV$14*(1-'LeaseUp'!KV$10)</f>
        <v/>
      </c>
      <c r="KW15" s="18">
        <f>-KW$14*(1-'LeaseUp'!KW$10)</f>
        <v/>
      </c>
      <c r="KX15" s="18">
        <f>-KX$14*(1-'LeaseUp'!KX$10)</f>
        <v/>
      </c>
      <c r="KY15" s="18">
        <f>-KY$14*(1-'LeaseUp'!KY$10)</f>
        <v/>
      </c>
      <c r="KZ15" s="18">
        <f>-KZ$14*(1-'LeaseUp'!KZ$10)</f>
        <v/>
      </c>
      <c r="LA15" s="18">
        <f>-LA$14*(1-'LeaseUp'!LA$10)</f>
        <v/>
      </c>
      <c r="LB15" s="18">
        <f>-LB$14*(1-'LeaseUp'!LB$10)</f>
        <v/>
      </c>
      <c r="LC15" s="18">
        <f>-LC$14*(1-'LeaseUp'!LC$10)</f>
        <v/>
      </c>
      <c r="LD15" s="18">
        <f>-LD$14*(1-'LeaseUp'!LD$10)</f>
        <v/>
      </c>
      <c r="LE15" s="18">
        <f>-LE$14*(1-'LeaseUp'!LE$10)</f>
        <v/>
      </c>
      <c r="LF15" s="18">
        <f>-LF$14*(1-'LeaseUp'!LF$10)</f>
        <v/>
      </c>
      <c r="LG15" s="18">
        <f>-LG$14*(1-'LeaseUp'!LG$10)</f>
        <v/>
      </c>
      <c r="LH15" s="18">
        <f>-LH$14*(1-'LeaseUp'!LH$10)</f>
        <v/>
      </c>
      <c r="LI15" s="18">
        <f>-LI$14*(1-'LeaseUp'!LI$10)</f>
        <v/>
      </c>
      <c r="LJ15" s="18">
        <f>-LJ$14*(1-'LeaseUp'!LJ$10)</f>
        <v/>
      </c>
      <c r="LK15" s="18">
        <f>-LK$14*(1-'LeaseUp'!LK$10)</f>
        <v/>
      </c>
      <c r="LL15" s="18">
        <f>-LL$14*(1-'LeaseUp'!LL$10)</f>
        <v/>
      </c>
      <c r="LM15" s="18">
        <f>-LM$14*(1-'LeaseUp'!LM$10)</f>
        <v/>
      </c>
      <c r="LN15" s="18">
        <f>-LN$14*(1-'LeaseUp'!LN$10)</f>
        <v/>
      </c>
      <c r="LO15" s="18">
        <f>-LO$14*(1-'LeaseUp'!LO$10)</f>
        <v/>
      </c>
      <c r="LP15" s="18">
        <f>-LP$14*(1-'LeaseUp'!LP$10)</f>
        <v/>
      </c>
      <c r="LQ15" s="18">
        <f>-LQ$14*(1-'LeaseUp'!LQ$10)</f>
        <v/>
      </c>
      <c r="LR15" s="18">
        <f>-LR$14*(1-'LeaseUp'!LR$10)</f>
        <v/>
      </c>
      <c r="LS15" s="18">
        <f>-LS$14*(1-'LeaseUp'!LS$10)</f>
        <v/>
      </c>
      <c r="LT15" s="18">
        <f>-LT$14*(1-'LeaseUp'!LT$10)</f>
        <v/>
      </c>
      <c r="LU15" s="18">
        <f>-LU$14*(1-'LeaseUp'!LU$10)</f>
        <v/>
      </c>
      <c r="LV15" s="18">
        <f>-LV$14*(1-'LeaseUp'!LV$10)</f>
        <v/>
      </c>
      <c r="LW15" s="18">
        <f>-LW$14*(1-'LeaseUp'!LW$10)</f>
        <v/>
      </c>
      <c r="LX15" s="18">
        <f>-LX$14*(1-'LeaseUp'!LX$10)</f>
        <v/>
      </c>
      <c r="LY15" s="18">
        <f>-LY$14*(1-'LeaseUp'!LY$10)</f>
        <v/>
      </c>
      <c r="LZ15" s="18">
        <f>-LZ$14*(1-'LeaseUp'!LZ$10)</f>
        <v/>
      </c>
      <c r="MA15" s="18">
        <f>-MA$14*(1-'LeaseUp'!MA$10)</f>
        <v/>
      </c>
      <c r="MB15" s="18">
        <f>-MB$14*(1-'LeaseUp'!MB$10)</f>
        <v/>
      </c>
      <c r="MC15" s="18">
        <f>-MC$14*(1-'LeaseUp'!MC$10)</f>
        <v/>
      </c>
      <c r="MD15" s="18">
        <f>-MD$14*(1-'LeaseUp'!MD$10)</f>
        <v/>
      </c>
      <c r="ME15" s="18">
        <f>-ME$14*(1-'LeaseUp'!ME$10)</f>
        <v/>
      </c>
      <c r="MF15" s="18">
        <f>-MF$14*(1-'LeaseUp'!MF$10)</f>
        <v/>
      </c>
      <c r="MG15" s="18">
        <f>-MG$14*(1-'LeaseUp'!MG$10)</f>
        <v/>
      </c>
      <c r="MH15" s="18">
        <f>-MH$14*(1-'LeaseUp'!MH$10)</f>
        <v/>
      </c>
      <c r="MI15" s="18">
        <f>-MI$14*(1-'LeaseUp'!MI$10)</f>
        <v/>
      </c>
      <c r="MJ15" s="18">
        <f>-MJ$14*(1-'LeaseUp'!MJ$10)</f>
        <v/>
      </c>
      <c r="MK15" s="18">
        <f>-MK$14*(1-'LeaseUp'!MK$10)</f>
        <v/>
      </c>
      <c r="ML15" s="18">
        <f>-ML$14*(1-'LeaseUp'!ML$10)</f>
        <v/>
      </c>
      <c r="MM15" s="18">
        <f>-MM$14*(1-'LeaseUp'!MM$10)</f>
        <v/>
      </c>
      <c r="MN15" s="18">
        <f>-MN$14*(1-'LeaseUp'!MN$10)</f>
        <v/>
      </c>
      <c r="MO15" s="18">
        <f>-MO$14*(1-'LeaseUp'!MO$10)</f>
        <v/>
      </c>
      <c r="MP15" s="18">
        <f>-MP$14*(1-'LeaseUp'!MP$10)</f>
        <v/>
      </c>
      <c r="MQ15" s="18">
        <f>-MQ$14*(1-'LeaseUp'!MQ$10)</f>
        <v/>
      </c>
      <c r="MR15" s="18">
        <f>-MR$14*(1-'LeaseUp'!MR$10)</f>
        <v/>
      </c>
      <c r="MS15" s="18">
        <f>-MS$14*(1-'LeaseUp'!MS$10)</f>
        <v/>
      </c>
      <c r="MT15" s="18">
        <f>-MT$14*(1-'LeaseUp'!MT$10)</f>
        <v/>
      </c>
      <c r="MU15" s="18">
        <f>-MU$14*(1-'LeaseUp'!MU$10)</f>
        <v/>
      </c>
      <c r="MV15" s="18">
        <f>-MV$14*(1-'LeaseUp'!MV$10)</f>
        <v/>
      </c>
      <c r="MW15" s="18">
        <f>-MW$14*(1-'LeaseUp'!MW$10)</f>
        <v/>
      </c>
      <c r="MX15" s="18">
        <f>-MX$14*(1-'LeaseUp'!MX$10)</f>
        <v/>
      </c>
      <c r="MY15" s="18">
        <f>-MY$14*(1-'LeaseUp'!MY$10)</f>
        <v/>
      </c>
      <c r="MZ15" s="18">
        <f>-MZ$14*(1-'LeaseUp'!MZ$10)</f>
        <v/>
      </c>
      <c r="NA15" s="18">
        <f>-NA$14*(1-'LeaseUp'!NA$10)</f>
        <v/>
      </c>
      <c r="NB15" s="18">
        <f>-NB$14*(1-'LeaseUp'!NB$10)</f>
        <v/>
      </c>
      <c r="NC15" s="18">
        <f>-NC$14*(1-'LeaseUp'!NC$10)</f>
        <v/>
      </c>
      <c r="ND15" s="18">
        <f>-ND$14*(1-'LeaseUp'!ND$10)</f>
        <v/>
      </c>
      <c r="NE15" s="18">
        <f>-NE$14*(1-'LeaseUp'!NE$10)</f>
        <v/>
      </c>
      <c r="NF15" s="18">
        <f>-NF$14*(1-'LeaseUp'!NF$10)</f>
        <v/>
      </c>
      <c r="NG15" s="18">
        <f>-NG$14*(1-'LeaseUp'!NG$10)</f>
        <v/>
      </c>
      <c r="NH15" s="18">
        <f>-NH$14*(1-'LeaseUp'!NH$10)</f>
        <v/>
      </c>
      <c r="NI15" s="18">
        <f>-NI$14*(1-'LeaseUp'!NI$10)</f>
        <v/>
      </c>
      <c r="NJ15" s="18">
        <f>-NJ$14*(1-'LeaseUp'!NJ$10)</f>
        <v/>
      </c>
      <c r="NK15" s="18">
        <f>-NK$14*(1-'LeaseUp'!NK$10)</f>
        <v/>
      </c>
    </row>
    <row r="16">
      <c r="A16" s="5" t="inlineStr">
        <is>
          <t>Gain/Loss to Lease</t>
        </is>
      </c>
      <c r="C16" s="41">
        <f>SUM(D16:NK16)</f>
        <v/>
      </c>
      <c r="D16" s="18">
        <f>-D$14*LossToLeasePct</f>
        <v/>
      </c>
      <c r="E16" s="18">
        <f>-E$14*LossToLeasePct</f>
        <v/>
      </c>
      <c r="F16" s="18">
        <f>-F$14*LossToLeasePct</f>
        <v/>
      </c>
      <c r="G16" s="18">
        <f>-G$14*LossToLeasePct</f>
        <v/>
      </c>
      <c r="H16" s="18">
        <f>-H$14*LossToLeasePct</f>
        <v/>
      </c>
      <c r="I16" s="18">
        <f>-I$14*LossToLeasePct</f>
        <v/>
      </c>
      <c r="J16" s="18">
        <f>-J$14*LossToLeasePct</f>
        <v/>
      </c>
      <c r="K16" s="18">
        <f>-K$14*LossToLeasePct</f>
        <v/>
      </c>
      <c r="L16" s="18">
        <f>-L$14*LossToLeasePct</f>
        <v/>
      </c>
      <c r="M16" s="18">
        <f>-M$14*LossToLeasePct</f>
        <v/>
      </c>
      <c r="N16" s="18">
        <f>-N$14*LossToLeasePct</f>
        <v/>
      </c>
      <c r="O16" s="18">
        <f>-O$14*LossToLeasePct</f>
        <v/>
      </c>
      <c r="P16" s="18">
        <f>-P$14*LossToLeasePct</f>
        <v/>
      </c>
      <c r="Q16" s="18">
        <f>-Q$14*LossToLeasePct</f>
        <v/>
      </c>
      <c r="R16" s="18">
        <f>-R$14*LossToLeasePct</f>
        <v/>
      </c>
      <c r="S16" s="18">
        <f>-S$14*LossToLeasePct</f>
        <v/>
      </c>
      <c r="T16" s="18">
        <f>-T$14*LossToLeasePct</f>
        <v/>
      </c>
      <c r="U16" s="18">
        <f>-U$14*LossToLeasePct</f>
        <v/>
      </c>
      <c r="V16" s="18">
        <f>-V$14*LossToLeasePct</f>
        <v/>
      </c>
      <c r="W16" s="18">
        <f>-W$14*LossToLeasePct</f>
        <v/>
      </c>
      <c r="X16" s="18">
        <f>-X$14*LossToLeasePct</f>
        <v/>
      </c>
      <c r="Y16" s="18">
        <f>-Y$14*LossToLeasePct</f>
        <v/>
      </c>
      <c r="Z16" s="18">
        <f>-Z$14*LossToLeasePct</f>
        <v/>
      </c>
      <c r="AA16" s="18">
        <f>-AA$14*LossToLeasePct</f>
        <v/>
      </c>
      <c r="AB16" s="18">
        <f>-AB$14*LossToLeasePct</f>
        <v/>
      </c>
      <c r="AC16" s="18">
        <f>-AC$14*LossToLeasePct</f>
        <v/>
      </c>
      <c r="AD16" s="18">
        <f>-AD$14*LossToLeasePct</f>
        <v/>
      </c>
      <c r="AE16" s="18">
        <f>-AE$14*LossToLeasePct</f>
        <v/>
      </c>
      <c r="AF16" s="18">
        <f>-AF$14*LossToLeasePct</f>
        <v/>
      </c>
      <c r="AG16" s="18">
        <f>-AG$14*LossToLeasePct</f>
        <v/>
      </c>
      <c r="AH16" s="18">
        <f>-AH$14*LossToLeasePct</f>
        <v/>
      </c>
      <c r="AI16" s="18">
        <f>-AI$14*LossToLeasePct</f>
        <v/>
      </c>
      <c r="AJ16" s="18">
        <f>-AJ$14*LossToLeasePct</f>
        <v/>
      </c>
      <c r="AK16" s="18">
        <f>-AK$14*LossToLeasePct</f>
        <v/>
      </c>
      <c r="AL16" s="18">
        <f>-AL$14*LossToLeasePct</f>
        <v/>
      </c>
      <c r="AM16" s="18">
        <f>-AM$14*LossToLeasePct</f>
        <v/>
      </c>
      <c r="AN16" s="18">
        <f>-AN$14*LossToLeasePct</f>
        <v/>
      </c>
      <c r="AO16" s="18">
        <f>-AO$14*LossToLeasePct</f>
        <v/>
      </c>
      <c r="AP16" s="18">
        <f>-AP$14*LossToLeasePct</f>
        <v/>
      </c>
      <c r="AQ16" s="18">
        <f>-AQ$14*LossToLeasePct</f>
        <v/>
      </c>
      <c r="AR16" s="18">
        <f>-AR$14*LossToLeasePct</f>
        <v/>
      </c>
      <c r="AS16" s="18">
        <f>-AS$14*LossToLeasePct</f>
        <v/>
      </c>
      <c r="AT16" s="18">
        <f>-AT$14*LossToLeasePct</f>
        <v/>
      </c>
      <c r="AU16" s="18">
        <f>-AU$14*LossToLeasePct</f>
        <v/>
      </c>
      <c r="AV16" s="18">
        <f>-AV$14*LossToLeasePct</f>
        <v/>
      </c>
      <c r="AW16" s="18">
        <f>-AW$14*LossToLeasePct</f>
        <v/>
      </c>
      <c r="AX16" s="18">
        <f>-AX$14*LossToLeasePct</f>
        <v/>
      </c>
      <c r="AY16" s="18">
        <f>-AY$14*LossToLeasePct</f>
        <v/>
      </c>
      <c r="AZ16" s="18">
        <f>-AZ$14*LossToLeasePct</f>
        <v/>
      </c>
      <c r="BA16" s="18">
        <f>-BA$14*LossToLeasePct</f>
        <v/>
      </c>
      <c r="BB16" s="18">
        <f>-BB$14*LossToLeasePct</f>
        <v/>
      </c>
      <c r="BC16" s="18">
        <f>-BC$14*LossToLeasePct</f>
        <v/>
      </c>
      <c r="BD16" s="18">
        <f>-BD$14*LossToLeasePct</f>
        <v/>
      </c>
      <c r="BE16" s="18">
        <f>-BE$14*LossToLeasePct</f>
        <v/>
      </c>
      <c r="BF16" s="18">
        <f>-BF$14*LossToLeasePct</f>
        <v/>
      </c>
      <c r="BG16" s="18">
        <f>-BG$14*LossToLeasePct</f>
        <v/>
      </c>
      <c r="BH16" s="18">
        <f>-BH$14*LossToLeasePct</f>
        <v/>
      </c>
      <c r="BI16" s="18">
        <f>-BI$14*LossToLeasePct</f>
        <v/>
      </c>
      <c r="BJ16" s="18">
        <f>-BJ$14*LossToLeasePct</f>
        <v/>
      </c>
      <c r="BK16" s="18">
        <f>-BK$14*LossToLeasePct</f>
        <v/>
      </c>
      <c r="BL16" s="18">
        <f>-BL$14*LossToLeasePct</f>
        <v/>
      </c>
      <c r="BM16" s="18">
        <f>-BM$14*LossToLeasePct</f>
        <v/>
      </c>
      <c r="BN16" s="18">
        <f>-BN$14*LossToLeasePct</f>
        <v/>
      </c>
      <c r="BO16" s="18">
        <f>-BO$14*LossToLeasePct</f>
        <v/>
      </c>
      <c r="BP16" s="18">
        <f>-BP$14*LossToLeasePct</f>
        <v/>
      </c>
      <c r="BQ16" s="18">
        <f>-BQ$14*LossToLeasePct</f>
        <v/>
      </c>
      <c r="BR16" s="18">
        <f>-BR$14*LossToLeasePct</f>
        <v/>
      </c>
      <c r="BS16" s="18">
        <f>-BS$14*LossToLeasePct</f>
        <v/>
      </c>
      <c r="BT16" s="18">
        <f>-BT$14*LossToLeasePct</f>
        <v/>
      </c>
      <c r="BU16" s="18">
        <f>-BU$14*LossToLeasePct</f>
        <v/>
      </c>
      <c r="BV16" s="18">
        <f>-BV$14*LossToLeasePct</f>
        <v/>
      </c>
      <c r="BW16" s="18">
        <f>-BW$14*LossToLeasePct</f>
        <v/>
      </c>
      <c r="BX16" s="18">
        <f>-BX$14*LossToLeasePct</f>
        <v/>
      </c>
      <c r="BY16" s="18">
        <f>-BY$14*LossToLeasePct</f>
        <v/>
      </c>
      <c r="BZ16" s="18">
        <f>-BZ$14*LossToLeasePct</f>
        <v/>
      </c>
      <c r="CA16" s="18">
        <f>-CA$14*LossToLeasePct</f>
        <v/>
      </c>
      <c r="CB16" s="18">
        <f>-CB$14*LossToLeasePct</f>
        <v/>
      </c>
      <c r="CC16" s="18">
        <f>-CC$14*LossToLeasePct</f>
        <v/>
      </c>
      <c r="CD16" s="18">
        <f>-CD$14*LossToLeasePct</f>
        <v/>
      </c>
      <c r="CE16" s="18">
        <f>-CE$14*LossToLeasePct</f>
        <v/>
      </c>
      <c r="CF16" s="18">
        <f>-CF$14*LossToLeasePct</f>
        <v/>
      </c>
      <c r="CG16" s="18">
        <f>-CG$14*LossToLeasePct</f>
        <v/>
      </c>
      <c r="CH16" s="18">
        <f>-CH$14*LossToLeasePct</f>
        <v/>
      </c>
      <c r="CI16" s="18">
        <f>-CI$14*LossToLeasePct</f>
        <v/>
      </c>
      <c r="CJ16" s="18">
        <f>-CJ$14*LossToLeasePct</f>
        <v/>
      </c>
      <c r="CK16" s="18">
        <f>-CK$14*LossToLeasePct</f>
        <v/>
      </c>
      <c r="CL16" s="18">
        <f>-CL$14*LossToLeasePct</f>
        <v/>
      </c>
      <c r="CM16" s="18">
        <f>-CM$14*LossToLeasePct</f>
        <v/>
      </c>
      <c r="CN16" s="18">
        <f>-CN$14*LossToLeasePct</f>
        <v/>
      </c>
      <c r="CO16" s="18">
        <f>-CO$14*LossToLeasePct</f>
        <v/>
      </c>
      <c r="CP16" s="18">
        <f>-CP$14*LossToLeasePct</f>
        <v/>
      </c>
      <c r="CQ16" s="18">
        <f>-CQ$14*LossToLeasePct</f>
        <v/>
      </c>
      <c r="CR16" s="18">
        <f>-CR$14*LossToLeasePct</f>
        <v/>
      </c>
      <c r="CS16" s="18">
        <f>-CS$14*LossToLeasePct</f>
        <v/>
      </c>
      <c r="CT16" s="18">
        <f>-CT$14*LossToLeasePct</f>
        <v/>
      </c>
      <c r="CU16" s="18">
        <f>-CU$14*LossToLeasePct</f>
        <v/>
      </c>
      <c r="CV16" s="18">
        <f>-CV$14*LossToLeasePct</f>
        <v/>
      </c>
      <c r="CW16" s="18">
        <f>-CW$14*LossToLeasePct</f>
        <v/>
      </c>
      <c r="CX16" s="18">
        <f>-CX$14*LossToLeasePct</f>
        <v/>
      </c>
      <c r="CY16" s="18">
        <f>-CY$14*LossToLeasePct</f>
        <v/>
      </c>
      <c r="CZ16" s="18">
        <f>-CZ$14*LossToLeasePct</f>
        <v/>
      </c>
      <c r="DA16" s="18">
        <f>-DA$14*LossToLeasePct</f>
        <v/>
      </c>
      <c r="DB16" s="18">
        <f>-DB$14*LossToLeasePct</f>
        <v/>
      </c>
      <c r="DC16" s="18">
        <f>-DC$14*LossToLeasePct</f>
        <v/>
      </c>
      <c r="DD16" s="18">
        <f>-DD$14*LossToLeasePct</f>
        <v/>
      </c>
      <c r="DE16" s="18">
        <f>-DE$14*LossToLeasePct</f>
        <v/>
      </c>
      <c r="DF16" s="18">
        <f>-DF$14*LossToLeasePct</f>
        <v/>
      </c>
      <c r="DG16" s="18">
        <f>-DG$14*LossToLeasePct</f>
        <v/>
      </c>
      <c r="DH16" s="18">
        <f>-DH$14*LossToLeasePct</f>
        <v/>
      </c>
      <c r="DI16" s="18">
        <f>-DI$14*LossToLeasePct</f>
        <v/>
      </c>
      <c r="DJ16" s="18">
        <f>-DJ$14*LossToLeasePct</f>
        <v/>
      </c>
      <c r="DK16" s="18">
        <f>-DK$14*LossToLeasePct</f>
        <v/>
      </c>
      <c r="DL16" s="18">
        <f>-DL$14*LossToLeasePct</f>
        <v/>
      </c>
      <c r="DM16" s="18">
        <f>-DM$14*LossToLeasePct</f>
        <v/>
      </c>
      <c r="DN16" s="18">
        <f>-DN$14*LossToLeasePct</f>
        <v/>
      </c>
      <c r="DO16" s="18">
        <f>-DO$14*LossToLeasePct</f>
        <v/>
      </c>
      <c r="DP16" s="18">
        <f>-DP$14*LossToLeasePct</f>
        <v/>
      </c>
      <c r="DQ16" s="18">
        <f>-DQ$14*LossToLeasePct</f>
        <v/>
      </c>
      <c r="DR16" s="18">
        <f>-DR$14*LossToLeasePct</f>
        <v/>
      </c>
      <c r="DS16" s="18">
        <f>-DS$14*LossToLeasePct</f>
        <v/>
      </c>
      <c r="DT16" s="18">
        <f>-DT$14*LossToLeasePct</f>
        <v/>
      </c>
      <c r="DU16" s="18">
        <f>-DU$14*LossToLeasePct</f>
        <v/>
      </c>
      <c r="DV16" s="18">
        <f>-DV$14*LossToLeasePct</f>
        <v/>
      </c>
      <c r="DW16" s="18">
        <f>-DW$14*LossToLeasePct</f>
        <v/>
      </c>
      <c r="DX16" s="18">
        <f>-DX$14*LossToLeasePct</f>
        <v/>
      </c>
      <c r="DY16" s="18">
        <f>-DY$14*LossToLeasePct</f>
        <v/>
      </c>
      <c r="DZ16" s="18">
        <f>-DZ$14*LossToLeasePct</f>
        <v/>
      </c>
      <c r="EA16" s="18">
        <f>-EA$14*LossToLeasePct</f>
        <v/>
      </c>
      <c r="EB16" s="18">
        <f>-EB$14*LossToLeasePct</f>
        <v/>
      </c>
      <c r="EC16" s="18">
        <f>-EC$14*LossToLeasePct</f>
        <v/>
      </c>
      <c r="ED16" s="18">
        <f>-ED$14*LossToLeasePct</f>
        <v/>
      </c>
      <c r="EE16" s="18">
        <f>-EE$14*LossToLeasePct</f>
        <v/>
      </c>
      <c r="EF16" s="18">
        <f>-EF$14*LossToLeasePct</f>
        <v/>
      </c>
      <c r="EG16" s="18">
        <f>-EG$14*LossToLeasePct</f>
        <v/>
      </c>
      <c r="EH16" s="18">
        <f>-EH$14*LossToLeasePct</f>
        <v/>
      </c>
      <c r="EI16" s="18">
        <f>-EI$14*LossToLeasePct</f>
        <v/>
      </c>
      <c r="EJ16" s="18">
        <f>-EJ$14*LossToLeasePct</f>
        <v/>
      </c>
      <c r="EK16" s="18">
        <f>-EK$14*LossToLeasePct</f>
        <v/>
      </c>
      <c r="EL16" s="18">
        <f>-EL$14*LossToLeasePct</f>
        <v/>
      </c>
      <c r="EM16" s="18">
        <f>-EM$14*LossToLeasePct</f>
        <v/>
      </c>
      <c r="EN16" s="18">
        <f>-EN$14*LossToLeasePct</f>
        <v/>
      </c>
      <c r="EO16" s="18">
        <f>-EO$14*LossToLeasePct</f>
        <v/>
      </c>
      <c r="EP16" s="18">
        <f>-EP$14*LossToLeasePct</f>
        <v/>
      </c>
      <c r="EQ16" s="18">
        <f>-EQ$14*LossToLeasePct</f>
        <v/>
      </c>
      <c r="ER16" s="18">
        <f>-ER$14*LossToLeasePct</f>
        <v/>
      </c>
      <c r="ES16" s="18">
        <f>-ES$14*LossToLeasePct</f>
        <v/>
      </c>
      <c r="ET16" s="18">
        <f>-ET$14*LossToLeasePct</f>
        <v/>
      </c>
      <c r="EU16" s="18">
        <f>-EU$14*LossToLeasePct</f>
        <v/>
      </c>
      <c r="EV16" s="18">
        <f>-EV$14*LossToLeasePct</f>
        <v/>
      </c>
      <c r="EW16" s="18">
        <f>-EW$14*LossToLeasePct</f>
        <v/>
      </c>
      <c r="EX16" s="18">
        <f>-EX$14*LossToLeasePct</f>
        <v/>
      </c>
      <c r="EY16" s="18">
        <f>-EY$14*LossToLeasePct</f>
        <v/>
      </c>
      <c r="EZ16" s="18">
        <f>-EZ$14*LossToLeasePct</f>
        <v/>
      </c>
      <c r="FA16" s="18">
        <f>-FA$14*LossToLeasePct</f>
        <v/>
      </c>
      <c r="FB16" s="18">
        <f>-FB$14*LossToLeasePct</f>
        <v/>
      </c>
      <c r="FC16" s="18">
        <f>-FC$14*LossToLeasePct</f>
        <v/>
      </c>
      <c r="FD16" s="18">
        <f>-FD$14*LossToLeasePct</f>
        <v/>
      </c>
      <c r="FE16" s="18">
        <f>-FE$14*LossToLeasePct</f>
        <v/>
      </c>
      <c r="FF16" s="18">
        <f>-FF$14*LossToLeasePct</f>
        <v/>
      </c>
      <c r="FG16" s="18">
        <f>-FG$14*LossToLeasePct</f>
        <v/>
      </c>
      <c r="FH16" s="18">
        <f>-FH$14*LossToLeasePct</f>
        <v/>
      </c>
      <c r="FI16" s="18">
        <f>-FI$14*LossToLeasePct</f>
        <v/>
      </c>
      <c r="FJ16" s="18">
        <f>-FJ$14*LossToLeasePct</f>
        <v/>
      </c>
      <c r="FK16" s="18">
        <f>-FK$14*LossToLeasePct</f>
        <v/>
      </c>
      <c r="FL16" s="18">
        <f>-FL$14*LossToLeasePct</f>
        <v/>
      </c>
      <c r="FM16" s="18">
        <f>-FM$14*LossToLeasePct</f>
        <v/>
      </c>
      <c r="FN16" s="18">
        <f>-FN$14*LossToLeasePct</f>
        <v/>
      </c>
      <c r="FO16" s="18">
        <f>-FO$14*LossToLeasePct</f>
        <v/>
      </c>
      <c r="FP16" s="18">
        <f>-FP$14*LossToLeasePct</f>
        <v/>
      </c>
      <c r="FQ16" s="18">
        <f>-FQ$14*LossToLeasePct</f>
        <v/>
      </c>
      <c r="FR16" s="18">
        <f>-FR$14*LossToLeasePct</f>
        <v/>
      </c>
      <c r="FS16" s="18">
        <f>-FS$14*LossToLeasePct</f>
        <v/>
      </c>
      <c r="FT16" s="18">
        <f>-FT$14*LossToLeasePct</f>
        <v/>
      </c>
      <c r="FU16" s="18">
        <f>-FU$14*LossToLeasePct</f>
        <v/>
      </c>
      <c r="FV16" s="18">
        <f>-FV$14*LossToLeasePct</f>
        <v/>
      </c>
      <c r="FW16" s="18">
        <f>-FW$14*LossToLeasePct</f>
        <v/>
      </c>
      <c r="FX16" s="18">
        <f>-FX$14*LossToLeasePct</f>
        <v/>
      </c>
      <c r="FY16" s="18">
        <f>-FY$14*LossToLeasePct</f>
        <v/>
      </c>
      <c r="FZ16" s="18">
        <f>-FZ$14*LossToLeasePct</f>
        <v/>
      </c>
      <c r="GA16" s="18">
        <f>-GA$14*LossToLeasePct</f>
        <v/>
      </c>
      <c r="GB16" s="18">
        <f>-GB$14*LossToLeasePct</f>
        <v/>
      </c>
      <c r="GC16" s="18">
        <f>-GC$14*LossToLeasePct</f>
        <v/>
      </c>
      <c r="GD16" s="18">
        <f>-GD$14*LossToLeasePct</f>
        <v/>
      </c>
      <c r="GE16" s="18">
        <f>-GE$14*LossToLeasePct</f>
        <v/>
      </c>
      <c r="GF16" s="18">
        <f>-GF$14*LossToLeasePct</f>
        <v/>
      </c>
      <c r="GG16" s="18">
        <f>-GG$14*LossToLeasePct</f>
        <v/>
      </c>
      <c r="GH16" s="18">
        <f>-GH$14*LossToLeasePct</f>
        <v/>
      </c>
      <c r="GI16" s="18">
        <f>-GI$14*LossToLeasePct</f>
        <v/>
      </c>
      <c r="GJ16" s="18">
        <f>-GJ$14*LossToLeasePct</f>
        <v/>
      </c>
      <c r="GK16" s="18">
        <f>-GK$14*LossToLeasePct</f>
        <v/>
      </c>
      <c r="GL16" s="18">
        <f>-GL$14*LossToLeasePct</f>
        <v/>
      </c>
      <c r="GM16" s="18">
        <f>-GM$14*LossToLeasePct</f>
        <v/>
      </c>
      <c r="GN16" s="18">
        <f>-GN$14*LossToLeasePct</f>
        <v/>
      </c>
      <c r="GO16" s="18">
        <f>-GO$14*LossToLeasePct</f>
        <v/>
      </c>
      <c r="GP16" s="18">
        <f>-GP$14*LossToLeasePct</f>
        <v/>
      </c>
      <c r="GQ16" s="18">
        <f>-GQ$14*LossToLeasePct</f>
        <v/>
      </c>
      <c r="GR16" s="18">
        <f>-GR$14*LossToLeasePct</f>
        <v/>
      </c>
      <c r="GS16" s="18">
        <f>-GS$14*LossToLeasePct</f>
        <v/>
      </c>
      <c r="GT16" s="18">
        <f>-GT$14*LossToLeasePct</f>
        <v/>
      </c>
      <c r="GU16" s="18">
        <f>-GU$14*LossToLeasePct</f>
        <v/>
      </c>
      <c r="GV16" s="18">
        <f>-GV$14*LossToLeasePct</f>
        <v/>
      </c>
      <c r="GW16" s="18">
        <f>-GW$14*LossToLeasePct</f>
        <v/>
      </c>
      <c r="GX16" s="18">
        <f>-GX$14*LossToLeasePct</f>
        <v/>
      </c>
      <c r="GY16" s="18">
        <f>-GY$14*LossToLeasePct</f>
        <v/>
      </c>
      <c r="GZ16" s="18">
        <f>-GZ$14*LossToLeasePct</f>
        <v/>
      </c>
      <c r="HA16" s="18">
        <f>-HA$14*LossToLeasePct</f>
        <v/>
      </c>
      <c r="HB16" s="18">
        <f>-HB$14*LossToLeasePct</f>
        <v/>
      </c>
      <c r="HC16" s="18">
        <f>-HC$14*LossToLeasePct</f>
        <v/>
      </c>
      <c r="HD16" s="18">
        <f>-HD$14*LossToLeasePct</f>
        <v/>
      </c>
      <c r="HE16" s="18">
        <f>-HE$14*LossToLeasePct</f>
        <v/>
      </c>
      <c r="HF16" s="18">
        <f>-HF$14*LossToLeasePct</f>
        <v/>
      </c>
      <c r="HG16" s="18">
        <f>-HG$14*LossToLeasePct</f>
        <v/>
      </c>
      <c r="HH16" s="18">
        <f>-HH$14*LossToLeasePct</f>
        <v/>
      </c>
      <c r="HI16" s="18">
        <f>-HI$14*LossToLeasePct</f>
        <v/>
      </c>
      <c r="HJ16" s="18">
        <f>-HJ$14*LossToLeasePct</f>
        <v/>
      </c>
      <c r="HK16" s="18">
        <f>-HK$14*LossToLeasePct</f>
        <v/>
      </c>
      <c r="HL16" s="18">
        <f>-HL$14*LossToLeasePct</f>
        <v/>
      </c>
      <c r="HM16" s="18">
        <f>-HM$14*LossToLeasePct</f>
        <v/>
      </c>
      <c r="HN16" s="18">
        <f>-HN$14*LossToLeasePct</f>
        <v/>
      </c>
      <c r="HO16" s="18">
        <f>-HO$14*LossToLeasePct</f>
        <v/>
      </c>
      <c r="HP16" s="18">
        <f>-HP$14*LossToLeasePct</f>
        <v/>
      </c>
      <c r="HQ16" s="18">
        <f>-HQ$14*LossToLeasePct</f>
        <v/>
      </c>
      <c r="HR16" s="18">
        <f>-HR$14*LossToLeasePct</f>
        <v/>
      </c>
      <c r="HS16" s="18">
        <f>-HS$14*LossToLeasePct</f>
        <v/>
      </c>
      <c r="HT16" s="18">
        <f>-HT$14*LossToLeasePct</f>
        <v/>
      </c>
      <c r="HU16" s="18">
        <f>-HU$14*LossToLeasePct</f>
        <v/>
      </c>
      <c r="HV16" s="18">
        <f>-HV$14*LossToLeasePct</f>
        <v/>
      </c>
      <c r="HW16" s="18">
        <f>-HW$14*LossToLeasePct</f>
        <v/>
      </c>
      <c r="HX16" s="18">
        <f>-HX$14*LossToLeasePct</f>
        <v/>
      </c>
      <c r="HY16" s="18">
        <f>-HY$14*LossToLeasePct</f>
        <v/>
      </c>
      <c r="HZ16" s="18">
        <f>-HZ$14*LossToLeasePct</f>
        <v/>
      </c>
      <c r="IA16" s="18">
        <f>-IA$14*LossToLeasePct</f>
        <v/>
      </c>
      <c r="IB16" s="18">
        <f>-IB$14*LossToLeasePct</f>
        <v/>
      </c>
      <c r="IC16" s="18">
        <f>-IC$14*LossToLeasePct</f>
        <v/>
      </c>
      <c r="ID16" s="18">
        <f>-ID$14*LossToLeasePct</f>
        <v/>
      </c>
      <c r="IE16" s="18">
        <f>-IE$14*LossToLeasePct</f>
        <v/>
      </c>
      <c r="IF16" s="18">
        <f>-IF$14*LossToLeasePct</f>
        <v/>
      </c>
      <c r="IG16" s="18">
        <f>-IG$14*LossToLeasePct</f>
        <v/>
      </c>
      <c r="IH16" s="18">
        <f>-IH$14*LossToLeasePct</f>
        <v/>
      </c>
      <c r="II16" s="18">
        <f>-II$14*LossToLeasePct</f>
        <v/>
      </c>
      <c r="IJ16" s="18">
        <f>-IJ$14*LossToLeasePct</f>
        <v/>
      </c>
      <c r="IK16" s="18">
        <f>-IK$14*LossToLeasePct</f>
        <v/>
      </c>
      <c r="IL16" s="18">
        <f>-IL$14*LossToLeasePct</f>
        <v/>
      </c>
      <c r="IM16" s="18">
        <f>-IM$14*LossToLeasePct</f>
        <v/>
      </c>
      <c r="IN16" s="18">
        <f>-IN$14*LossToLeasePct</f>
        <v/>
      </c>
      <c r="IO16" s="18">
        <f>-IO$14*LossToLeasePct</f>
        <v/>
      </c>
      <c r="IP16" s="18">
        <f>-IP$14*LossToLeasePct</f>
        <v/>
      </c>
      <c r="IQ16" s="18">
        <f>-IQ$14*LossToLeasePct</f>
        <v/>
      </c>
      <c r="IR16" s="18">
        <f>-IR$14*LossToLeasePct</f>
        <v/>
      </c>
      <c r="IS16" s="18">
        <f>-IS$14*LossToLeasePct</f>
        <v/>
      </c>
      <c r="IT16" s="18">
        <f>-IT$14*LossToLeasePct</f>
        <v/>
      </c>
      <c r="IU16" s="18">
        <f>-IU$14*LossToLeasePct</f>
        <v/>
      </c>
      <c r="IV16" s="18">
        <f>-IV$14*LossToLeasePct</f>
        <v/>
      </c>
      <c r="IW16" s="18">
        <f>-IW$14*LossToLeasePct</f>
        <v/>
      </c>
      <c r="IX16" s="18">
        <f>-IX$14*LossToLeasePct</f>
        <v/>
      </c>
      <c r="IY16" s="18">
        <f>-IY$14*LossToLeasePct</f>
        <v/>
      </c>
      <c r="IZ16" s="18">
        <f>-IZ$14*LossToLeasePct</f>
        <v/>
      </c>
      <c r="JA16" s="18">
        <f>-JA$14*LossToLeasePct</f>
        <v/>
      </c>
      <c r="JB16" s="18">
        <f>-JB$14*LossToLeasePct</f>
        <v/>
      </c>
      <c r="JC16" s="18">
        <f>-JC$14*LossToLeasePct</f>
        <v/>
      </c>
      <c r="JD16" s="18">
        <f>-JD$14*LossToLeasePct</f>
        <v/>
      </c>
      <c r="JE16" s="18">
        <f>-JE$14*LossToLeasePct</f>
        <v/>
      </c>
      <c r="JF16" s="18">
        <f>-JF$14*LossToLeasePct</f>
        <v/>
      </c>
      <c r="JG16" s="18">
        <f>-JG$14*LossToLeasePct</f>
        <v/>
      </c>
      <c r="JH16" s="18">
        <f>-JH$14*LossToLeasePct</f>
        <v/>
      </c>
      <c r="JI16" s="18">
        <f>-JI$14*LossToLeasePct</f>
        <v/>
      </c>
      <c r="JJ16" s="18">
        <f>-JJ$14*LossToLeasePct</f>
        <v/>
      </c>
      <c r="JK16" s="18">
        <f>-JK$14*LossToLeasePct</f>
        <v/>
      </c>
      <c r="JL16" s="18">
        <f>-JL$14*LossToLeasePct</f>
        <v/>
      </c>
      <c r="JM16" s="18">
        <f>-JM$14*LossToLeasePct</f>
        <v/>
      </c>
      <c r="JN16" s="18">
        <f>-JN$14*LossToLeasePct</f>
        <v/>
      </c>
      <c r="JO16" s="18">
        <f>-JO$14*LossToLeasePct</f>
        <v/>
      </c>
      <c r="JP16" s="18">
        <f>-JP$14*LossToLeasePct</f>
        <v/>
      </c>
      <c r="JQ16" s="18">
        <f>-JQ$14*LossToLeasePct</f>
        <v/>
      </c>
      <c r="JR16" s="18">
        <f>-JR$14*LossToLeasePct</f>
        <v/>
      </c>
      <c r="JS16" s="18">
        <f>-JS$14*LossToLeasePct</f>
        <v/>
      </c>
      <c r="JT16" s="18">
        <f>-JT$14*LossToLeasePct</f>
        <v/>
      </c>
      <c r="JU16" s="18">
        <f>-JU$14*LossToLeasePct</f>
        <v/>
      </c>
      <c r="JV16" s="18">
        <f>-JV$14*LossToLeasePct</f>
        <v/>
      </c>
      <c r="JW16" s="18">
        <f>-JW$14*LossToLeasePct</f>
        <v/>
      </c>
      <c r="JX16" s="18">
        <f>-JX$14*LossToLeasePct</f>
        <v/>
      </c>
      <c r="JY16" s="18">
        <f>-JY$14*LossToLeasePct</f>
        <v/>
      </c>
      <c r="JZ16" s="18">
        <f>-JZ$14*LossToLeasePct</f>
        <v/>
      </c>
      <c r="KA16" s="18">
        <f>-KA$14*LossToLeasePct</f>
        <v/>
      </c>
      <c r="KB16" s="18">
        <f>-KB$14*LossToLeasePct</f>
        <v/>
      </c>
      <c r="KC16" s="18">
        <f>-KC$14*LossToLeasePct</f>
        <v/>
      </c>
      <c r="KD16" s="18">
        <f>-KD$14*LossToLeasePct</f>
        <v/>
      </c>
      <c r="KE16" s="18">
        <f>-KE$14*LossToLeasePct</f>
        <v/>
      </c>
      <c r="KF16" s="18">
        <f>-KF$14*LossToLeasePct</f>
        <v/>
      </c>
      <c r="KG16" s="18">
        <f>-KG$14*LossToLeasePct</f>
        <v/>
      </c>
      <c r="KH16" s="18">
        <f>-KH$14*LossToLeasePct</f>
        <v/>
      </c>
      <c r="KI16" s="18">
        <f>-KI$14*LossToLeasePct</f>
        <v/>
      </c>
      <c r="KJ16" s="18">
        <f>-KJ$14*LossToLeasePct</f>
        <v/>
      </c>
      <c r="KK16" s="18">
        <f>-KK$14*LossToLeasePct</f>
        <v/>
      </c>
      <c r="KL16" s="18">
        <f>-KL$14*LossToLeasePct</f>
        <v/>
      </c>
      <c r="KM16" s="18">
        <f>-KM$14*LossToLeasePct</f>
        <v/>
      </c>
      <c r="KN16" s="18">
        <f>-KN$14*LossToLeasePct</f>
        <v/>
      </c>
      <c r="KO16" s="18">
        <f>-KO$14*LossToLeasePct</f>
        <v/>
      </c>
      <c r="KP16" s="18">
        <f>-KP$14*LossToLeasePct</f>
        <v/>
      </c>
      <c r="KQ16" s="18">
        <f>-KQ$14*LossToLeasePct</f>
        <v/>
      </c>
      <c r="KR16" s="18">
        <f>-KR$14*LossToLeasePct</f>
        <v/>
      </c>
      <c r="KS16" s="18">
        <f>-KS$14*LossToLeasePct</f>
        <v/>
      </c>
      <c r="KT16" s="18">
        <f>-KT$14*LossToLeasePct</f>
        <v/>
      </c>
      <c r="KU16" s="18">
        <f>-KU$14*LossToLeasePct</f>
        <v/>
      </c>
      <c r="KV16" s="18">
        <f>-KV$14*LossToLeasePct</f>
        <v/>
      </c>
      <c r="KW16" s="18">
        <f>-KW$14*LossToLeasePct</f>
        <v/>
      </c>
      <c r="KX16" s="18">
        <f>-KX$14*LossToLeasePct</f>
        <v/>
      </c>
      <c r="KY16" s="18">
        <f>-KY$14*LossToLeasePct</f>
        <v/>
      </c>
      <c r="KZ16" s="18">
        <f>-KZ$14*LossToLeasePct</f>
        <v/>
      </c>
      <c r="LA16" s="18">
        <f>-LA$14*LossToLeasePct</f>
        <v/>
      </c>
      <c r="LB16" s="18">
        <f>-LB$14*LossToLeasePct</f>
        <v/>
      </c>
      <c r="LC16" s="18">
        <f>-LC$14*LossToLeasePct</f>
        <v/>
      </c>
      <c r="LD16" s="18">
        <f>-LD$14*LossToLeasePct</f>
        <v/>
      </c>
      <c r="LE16" s="18">
        <f>-LE$14*LossToLeasePct</f>
        <v/>
      </c>
      <c r="LF16" s="18">
        <f>-LF$14*LossToLeasePct</f>
        <v/>
      </c>
      <c r="LG16" s="18">
        <f>-LG$14*LossToLeasePct</f>
        <v/>
      </c>
      <c r="LH16" s="18">
        <f>-LH$14*LossToLeasePct</f>
        <v/>
      </c>
      <c r="LI16" s="18">
        <f>-LI$14*LossToLeasePct</f>
        <v/>
      </c>
      <c r="LJ16" s="18">
        <f>-LJ$14*LossToLeasePct</f>
        <v/>
      </c>
      <c r="LK16" s="18">
        <f>-LK$14*LossToLeasePct</f>
        <v/>
      </c>
      <c r="LL16" s="18">
        <f>-LL$14*LossToLeasePct</f>
        <v/>
      </c>
      <c r="LM16" s="18">
        <f>-LM$14*LossToLeasePct</f>
        <v/>
      </c>
      <c r="LN16" s="18">
        <f>-LN$14*LossToLeasePct</f>
        <v/>
      </c>
      <c r="LO16" s="18">
        <f>-LO$14*LossToLeasePct</f>
        <v/>
      </c>
      <c r="LP16" s="18">
        <f>-LP$14*LossToLeasePct</f>
        <v/>
      </c>
      <c r="LQ16" s="18">
        <f>-LQ$14*LossToLeasePct</f>
        <v/>
      </c>
      <c r="LR16" s="18">
        <f>-LR$14*LossToLeasePct</f>
        <v/>
      </c>
      <c r="LS16" s="18">
        <f>-LS$14*LossToLeasePct</f>
        <v/>
      </c>
      <c r="LT16" s="18">
        <f>-LT$14*LossToLeasePct</f>
        <v/>
      </c>
      <c r="LU16" s="18">
        <f>-LU$14*LossToLeasePct</f>
        <v/>
      </c>
      <c r="LV16" s="18">
        <f>-LV$14*LossToLeasePct</f>
        <v/>
      </c>
      <c r="LW16" s="18">
        <f>-LW$14*LossToLeasePct</f>
        <v/>
      </c>
      <c r="LX16" s="18">
        <f>-LX$14*LossToLeasePct</f>
        <v/>
      </c>
      <c r="LY16" s="18">
        <f>-LY$14*LossToLeasePct</f>
        <v/>
      </c>
      <c r="LZ16" s="18">
        <f>-LZ$14*LossToLeasePct</f>
        <v/>
      </c>
      <c r="MA16" s="18">
        <f>-MA$14*LossToLeasePct</f>
        <v/>
      </c>
      <c r="MB16" s="18">
        <f>-MB$14*LossToLeasePct</f>
        <v/>
      </c>
      <c r="MC16" s="18">
        <f>-MC$14*LossToLeasePct</f>
        <v/>
      </c>
      <c r="MD16" s="18">
        <f>-MD$14*LossToLeasePct</f>
        <v/>
      </c>
      <c r="ME16" s="18">
        <f>-ME$14*LossToLeasePct</f>
        <v/>
      </c>
      <c r="MF16" s="18">
        <f>-MF$14*LossToLeasePct</f>
        <v/>
      </c>
      <c r="MG16" s="18">
        <f>-MG$14*LossToLeasePct</f>
        <v/>
      </c>
      <c r="MH16" s="18">
        <f>-MH$14*LossToLeasePct</f>
        <v/>
      </c>
      <c r="MI16" s="18">
        <f>-MI$14*LossToLeasePct</f>
        <v/>
      </c>
      <c r="MJ16" s="18">
        <f>-MJ$14*LossToLeasePct</f>
        <v/>
      </c>
      <c r="MK16" s="18">
        <f>-MK$14*LossToLeasePct</f>
        <v/>
      </c>
      <c r="ML16" s="18">
        <f>-ML$14*LossToLeasePct</f>
        <v/>
      </c>
      <c r="MM16" s="18">
        <f>-MM$14*LossToLeasePct</f>
        <v/>
      </c>
      <c r="MN16" s="18">
        <f>-MN$14*LossToLeasePct</f>
        <v/>
      </c>
      <c r="MO16" s="18">
        <f>-MO$14*LossToLeasePct</f>
        <v/>
      </c>
      <c r="MP16" s="18">
        <f>-MP$14*LossToLeasePct</f>
        <v/>
      </c>
      <c r="MQ16" s="18">
        <f>-MQ$14*LossToLeasePct</f>
        <v/>
      </c>
      <c r="MR16" s="18">
        <f>-MR$14*LossToLeasePct</f>
        <v/>
      </c>
      <c r="MS16" s="18">
        <f>-MS$14*LossToLeasePct</f>
        <v/>
      </c>
      <c r="MT16" s="18">
        <f>-MT$14*LossToLeasePct</f>
        <v/>
      </c>
      <c r="MU16" s="18">
        <f>-MU$14*LossToLeasePct</f>
        <v/>
      </c>
      <c r="MV16" s="18">
        <f>-MV$14*LossToLeasePct</f>
        <v/>
      </c>
      <c r="MW16" s="18">
        <f>-MW$14*LossToLeasePct</f>
        <v/>
      </c>
      <c r="MX16" s="18">
        <f>-MX$14*LossToLeasePct</f>
        <v/>
      </c>
      <c r="MY16" s="18">
        <f>-MY$14*LossToLeasePct</f>
        <v/>
      </c>
      <c r="MZ16" s="18">
        <f>-MZ$14*LossToLeasePct</f>
        <v/>
      </c>
      <c r="NA16" s="18">
        <f>-NA$14*LossToLeasePct</f>
        <v/>
      </c>
      <c r="NB16" s="18">
        <f>-NB$14*LossToLeasePct</f>
        <v/>
      </c>
      <c r="NC16" s="18">
        <f>-NC$14*LossToLeasePct</f>
        <v/>
      </c>
      <c r="ND16" s="18">
        <f>-ND$14*LossToLeasePct</f>
        <v/>
      </c>
      <c r="NE16" s="18">
        <f>-NE$14*LossToLeasePct</f>
        <v/>
      </c>
      <c r="NF16" s="18">
        <f>-NF$14*LossToLeasePct</f>
        <v/>
      </c>
      <c r="NG16" s="18">
        <f>-NG$14*LossToLeasePct</f>
        <v/>
      </c>
      <c r="NH16" s="18">
        <f>-NH$14*LossToLeasePct</f>
        <v/>
      </c>
      <c r="NI16" s="18">
        <f>-NI$14*LossToLeasePct</f>
        <v/>
      </c>
      <c r="NJ16" s="18">
        <f>-NJ$14*LossToLeasePct</f>
        <v/>
      </c>
      <c r="NK16" s="18">
        <f>-NK$14*LossToLeasePct</f>
        <v/>
      </c>
    </row>
    <row r="17">
      <c r="A17" s="5" t="inlineStr">
        <is>
          <t>Bad Debt</t>
        </is>
      </c>
      <c r="C17" s="41">
        <f>SUM(D17:NK17)</f>
        <v/>
      </c>
      <c r="D17" s="18">
        <f>-D$14*BadDebtPct</f>
        <v/>
      </c>
      <c r="E17" s="18">
        <f>-E$14*BadDebtPct</f>
        <v/>
      </c>
      <c r="F17" s="18">
        <f>-F$14*BadDebtPct</f>
        <v/>
      </c>
      <c r="G17" s="18">
        <f>-G$14*BadDebtPct</f>
        <v/>
      </c>
      <c r="H17" s="18">
        <f>-H$14*BadDebtPct</f>
        <v/>
      </c>
      <c r="I17" s="18">
        <f>-I$14*BadDebtPct</f>
        <v/>
      </c>
      <c r="J17" s="18">
        <f>-J$14*BadDebtPct</f>
        <v/>
      </c>
      <c r="K17" s="18">
        <f>-K$14*BadDebtPct</f>
        <v/>
      </c>
      <c r="L17" s="18">
        <f>-L$14*BadDebtPct</f>
        <v/>
      </c>
      <c r="M17" s="18">
        <f>-M$14*BadDebtPct</f>
        <v/>
      </c>
      <c r="N17" s="18">
        <f>-N$14*BadDebtPct</f>
        <v/>
      </c>
      <c r="O17" s="18">
        <f>-O$14*BadDebtPct</f>
        <v/>
      </c>
      <c r="P17" s="18">
        <f>-P$14*BadDebtPct</f>
        <v/>
      </c>
      <c r="Q17" s="18">
        <f>-Q$14*BadDebtPct</f>
        <v/>
      </c>
      <c r="R17" s="18">
        <f>-R$14*BadDebtPct</f>
        <v/>
      </c>
      <c r="S17" s="18">
        <f>-S$14*BadDebtPct</f>
        <v/>
      </c>
      <c r="T17" s="18">
        <f>-T$14*BadDebtPct</f>
        <v/>
      </c>
      <c r="U17" s="18">
        <f>-U$14*BadDebtPct</f>
        <v/>
      </c>
      <c r="V17" s="18">
        <f>-V$14*BadDebtPct</f>
        <v/>
      </c>
      <c r="W17" s="18">
        <f>-W$14*BadDebtPct</f>
        <v/>
      </c>
      <c r="X17" s="18">
        <f>-X$14*BadDebtPct</f>
        <v/>
      </c>
      <c r="Y17" s="18">
        <f>-Y$14*BadDebtPct</f>
        <v/>
      </c>
      <c r="Z17" s="18">
        <f>-Z$14*BadDebtPct</f>
        <v/>
      </c>
      <c r="AA17" s="18">
        <f>-AA$14*BadDebtPct</f>
        <v/>
      </c>
      <c r="AB17" s="18">
        <f>-AB$14*BadDebtPct</f>
        <v/>
      </c>
      <c r="AC17" s="18">
        <f>-AC$14*BadDebtPct</f>
        <v/>
      </c>
      <c r="AD17" s="18">
        <f>-AD$14*BadDebtPct</f>
        <v/>
      </c>
      <c r="AE17" s="18">
        <f>-AE$14*BadDebtPct</f>
        <v/>
      </c>
      <c r="AF17" s="18">
        <f>-AF$14*BadDebtPct</f>
        <v/>
      </c>
      <c r="AG17" s="18">
        <f>-AG$14*BadDebtPct</f>
        <v/>
      </c>
      <c r="AH17" s="18">
        <f>-AH$14*BadDebtPct</f>
        <v/>
      </c>
      <c r="AI17" s="18">
        <f>-AI$14*BadDebtPct</f>
        <v/>
      </c>
      <c r="AJ17" s="18">
        <f>-AJ$14*BadDebtPct</f>
        <v/>
      </c>
      <c r="AK17" s="18">
        <f>-AK$14*BadDebtPct</f>
        <v/>
      </c>
      <c r="AL17" s="18">
        <f>-AL$14*BadDebtPct</f>
        <v/>
      </c>
      <c r="AM17" s="18">
        <f>-AM$14*BadDebtPct</f>
        <v/>
      </c>
      <c r="AN17" s="18">
        <f>-AN$14*BadDebtPct</f>
        <v/>
      </c>
      <c r="AO17" s="18">
        <f>-AO$14*BadDebtPct</f>
        <v/>
      </c>
      <c r="AP17" s="18">
        <f>-AP$14*BadDebtPct</f>
        <v/>
      </c>
      <c r="AQ17" s="18">
        <f>-AQ$14*BadDebtPct</f>
        <v/>
      </c>
      <c r="AR17" s="18">
        <f>-AR$14*BadDebtPct</f>
        <v/>
      </c>
      <c r="AS17" s="18">
        <f>-AS$14*BadDebtPct</f>
        <v/>
      </c>
      <c r="AT17" s="18">
        <f>-AT$14*BadDebtPct</f>
        <v/>
      </c>
      <c r="AU17" s="18">
        <f>-AU$14*BadDebtPct</f>
        <v/>
      </c>
      <c r="AV17" s="18">
        <f>-AV$14*BadDebtPct</f>
        <v/>
      </c>
      <c r="AW17" s="18">
        <f>-AW$14*BadDebtPct</f>
        <v/>
      </c>
      <c r="AX17" s="18">
        <f>-AX$14*BadDebtPct</f>
        <v/>
      </c>
      <c r="AY17" s="18">
        <f>-AY$14*BadDebtPct</f>
        <v/>
      </c>
      <c r="AZ17" s="18">
        <f>-AZ$14*BadDebtPct</f>
        <v/>
      </c>
      <c r="BA17" s="18">
        <f>-BA$14*BadDebtPct</f>
        <v/>
      </c>
      <c r="BB17" s="18">
        <f>-BB$14*BadDebtPct</f>
        <v/>
      </c>
      <c r="BC17" s="18">
        <f>-BC$14*BadDebtPct</f>
        <v/>
      </c>
      <c r="BD17" s="18">
        <f>-BD$14*BadDebtPct</f>
        <v/>
      </c>
      <c r="BE17" s="18">
        <f>-BE$14*BadDebtPct</f>
        <v/>
      </c>
      <c r="BF17" s="18">
        <f>-BF$14*BadDebtPct</f>
        <v/>
      </c>
      <c r="BG17" s="18">
        <f>-BG$14*BadDebtPct</f>
        <v/>
      </c>
      <c r="BH17" s="18">
        <f>-BH$14*BadDebtPct</f>
        <v/>
      </c>
      <c r="BI17" s="18">
        <f>-BI$14*BadDebtPct</f>
        <v/>
      </c>
      <c r="BJ17" s="18">
        <f>-BJ$14*BadDebtPct</f>
        <v/>
      </c>
      <c r="BK17" s="18">
        <f>-BK$14*BadDebtPct</f>
        <v/>
      </c>
      <c r="BL17" s="18">
        <f>-BL$14*BadDebtPct</f>
        <v/>
      </c>
      <c r="BM17" s="18">
        <f>-BM$14*BadDebtPct</f>
        <v/>
      </c>
      <c r="BN17" s="18">
        <f>-BN$14*BadDebtPct</f>
        <v/>
      </c>
      <c r="BO17" s="18">
        <f>-BO$14*BadDebtPct</f>
        <v/>
      </c>
      <c r="BP17" s="18">
        <f>-BP$14*BadDebtPct</f>
        <v/>
      </c>
      <c r="BQ17" s="18">
        <f>-BQ$14*BadDebtPct</f>
        <v/>
      </c>
      <c r="BR17" s="18">
        <f>-BR$14*BadDebtPct</f>
        <v/>
      </c>
      <c r="BS17" s="18">
        <f>-BS$14*BadDebtPct</f>
        <v/>
      </c>
      <c r="BT17" s="18">
        <f>-BT$14*BadDebtPct</f>
        <v/>
      </c>
      <c r="BU17" s="18">
        <f>-BU$14*BadDebtPct</f>
        <v/>
      </c>
      <c r="BV17" s="18">
        <f>-BV$14*BadDebtPct</f>
        <v/>
      </c>
      <c r="BW17" s="18">
        <f>-BW$14*BadDebtPct</f>
        <v/>
      </c>
      <c r="BX17" s="18">
        <f>-BX$14*BadDebtPct</f>
        <v/>
      </c>
      <c r="BY17" s="18">
        <f>-BY$14*BadDebtPct</f>
        <v/>
      </c>
      <c r="BZ17" s="18">
        <f>-BZ$14*BadDebtPct</f>
        <v/>
      </c>
      <c r="CA17" s="18">
        <f>-CA$14*BadDebtPct</f>
        <v/>
      </c>
      <c r="CB17" s="18">
        <f>-CB$14*BadDebtPct</f>
        <v/>
      </c>
      <c r="CC17" s="18">
        <f>-CC$14*BadDebtPct</f>
        <v/>
      </c>
      <c r="CD17" s="18">
        <f>-CD$14*BadDebtPct</f>
        <v/>
      </c>
      <c r="CE17" s="18">
        <f>-CE$14*BadDebtPct</f>
        <v/>
      </c>
      <c r="CF17" s="18">
        <f>-CF$14*BadDebtPct</f>
        <v/>
      </c>
      <c r="CG17" s="18">
        <f>-CG$14*BadDebtPct</f>
        <v/>
      </c>
      <c r="CH17" s="18">
        <f>-CH$14*BadDebtPct</f>
        <v/>
      </c>
      <c r="CI17" s="18">
        <f>-CI$14*BadDebtPct</f>
        <v/>
      </c>
      <c r="CJ17" s="18">
        <f>-CJ$14*BadDebtPct</f>
        <v/>
      </c>
      <c r="CK17" s="18">
        <f>-CK$14*BadDebtPct</f>
        <v/>
      </c>
      <c r="CL17" s="18">
        <f>-CL$14*BadDebtPct</f>
        <v/>
      </c>
      <c r="CM17" s="18">
        <f>-CM$14*BadDebtPct</f>
        <v/>
      </c>
      <c r="CN17" s="18">
        <f>-CN$14*BadDebtPct</f>
        <v/>
      </c>
      <c r="CO17" s="18">
        <f>-CO$14*BadDebtPct</f>
        <v/>
      </c>
      <c r="CP17" s="18">
        <f>-CP$14*BadDebtPct</f>
        <v/>
      </c>
      <c r="CQ17" s="18">
        <f>-CQ$14*BadDebtPct</f>
        <v/>
      </c>
      <c r="CR17" s="18">
        <f>-CR$14*BadDebtPct</f>
        <v/>
      </c>
      <c r="CS17" s="18">
        <f>-CS$14*BadDebtPct</f>
        <v/>
      </c>
      <c r="CT17" s="18">
        <f>-CT$14*BadDebtPct</f>
        <v/>
      </c>
      <c r="CU17" s="18">
        <f>-CU$14*BadDebtPct</f>
        <v/>
      </c>
      <c r="CV17" s="18">
        <f>-CV$14*BadDebtPct</f>
        <v/>
      </c>
      <c r="CW17" s="18">
        <f>-CW$14*BadDebtPct</f>
        <v/>
      </c>
      <c r="CX17" s="18">
        <f>-CX$14*BadDebtPct</f>
        <v/>
      </c>
      <c r="CY17" s="18">
        <f>-CY$14*BadDebtPct</f>
        <v/>
      </c>
      <c r="CZ17" s="18">
        <f>-CZ$14*BadDebtPct</f>
        <v/>
      </c>
      <c r="DA17" s="18">
        <f>-DA$14*BadDebtPct</f>
        <v/>
      </c>
      <c r="DB17" s="18">
        <f>-DB$14*BadDebtPct</f>
        <v/>
      </c>
      <c r="DC17" s="18">
        <f>-DC$14*BadDebtPct</f>
        <v/>
      </c>
      <c r="DD17" s="18">
        <f>-DD$14*BadDebtPct</f>
        <v/>
      </c>
      <c r="DE17" s="18">
        <f>-DE$14*BadDebtPct</f>
        <v/>
      </c>
      <c r="DF17" s="18">
        <f>-DF$14*BadDebtPct</f>
        <v/>
      </c>
      <c r="DG17" s="18">
        <f>-DG$14*BadDebtPct</f>
        <v/>
      </c>
      <c r="DH17" s="18">
        <f>-DH$14*BadDebtPct</f>
        <v/>
      </c>
      <c r="DI17" s="18">
        <f>-DI$14*BadDebtPct</f>
        <v/>
      </c>
      <c r="DJ17" s="18">
        <f>-DJ$14*BadDebtPct</f>
        <v/>
      </c>
      <c r="DK17" s="18">
        <f>-DK$14*BadDebtPct</f>
        <v/>
      </c>
      <c r="DL17" s="18">
        <f>-DL$14*BadDebtPct</f>
        <v/>
      </c>
      <c r="DM17" s="18">
        <f>-DM$14*BadDebtPct</f>
        <v/>
      </c>
      <c r="DN17" s="18">
        <f>-DN$14*BadDebtPct</f>
        <v/>
      </c>
      <c r="DO17" s="18">
        <f>-DO$14*BadDebtPct</f>
        <v/>
      </c>
      <c r="DP17" s="18">
        <f>-DP$14*BadDebtPct</f>
        <v/>
      </c>
      <c r="DQ17" s="18">
        <f>-DQ$14*BadDebtPct</f>
        <v/>
      </c>
      <c r="DR17" s="18">
        <f>-DR$14*BadDebtPct</f>
        <v/>
      </c>
      <c r="DS17" s="18">
        <f>-DS$14*BadDebtPct</f>
        <v/>
      </c>
      <c r="DT17" s="18">
        <f>-DT$14*BadDebtPct</f>
        <v/>
      </c>
      <c r="DU17" s="18">
        <f>-DU$14*BadDebtPct</f>
        <v/>
      </c>
      <c r="DV17" s="18">
        <f>-DV$14*BadDebtPct</f>
        <v/>
      </c>
      <c r="DW17" s="18">
        <f>-DW$14*BadDebtPct</f>
        <v/>
      </c>
      <c r="DX17" s="18">
        <f>-DX$14*BadDebtPct</f>
        <v/>
      </c>
      <c r="DY17" s="18">
        <f>-DY$14*BadDebtPct</f>
        <v/>
      </c>
      <c r="DZ17" s="18">
        <f>-DZ$14*BadDebtPct</f>
        <v/>
      </c>
      <c r="EA17" s="18">
        <f>-EA$14*BadDebtPct</f>
        <v/>
      </c>
      <c r="EB17" s="18">
        <f>-EB$14*BadDebtPct</f>
        <v/>
      </c>
      <c r="EC17" s="18">
        <f>-EC$14*BadDebtPct</f>
        <v/>
      </c>
      <c r="ED17" s="18">
        <f>-ED$14*BadDebtPct</f>
        <v/>
      </c>
      <c r="EE17" s="18">
        <f>-EE$14*BadDebtPct</f>
        <v/>
      </c>
      <c r="EF17" s="18">
        <f>-EF$14*BadDebtPct</f>
        <v/>
      </c>
      <c r="EG17" s="18">
        <f>-EG$14*BadDebtPct</f>
        <v/>
      </c>
      <c r="EH17" s="18">
        <f>-EH$14*BadDebtPct</f>
        <v/>
      </c>
      <c r="EI17" s="18">
        <f>-EI$14*BadDebtPct</f>
        <v/>
      </c>
      <c r="EJ17" s="18">
        <f>-EJ$14*BadDebtPct</f>
        <v/>
      </c>
      <c r="EK17" s="18">
        <f>-EK$14*BadDebtPct</f>
        <v/>
      </c>
      <c r="EL17" s="18">
        <f>-EL$14*BadDebtPct</f>
        <v/>
      </c>
      <c r="EM17" s="18">
        <f>-EM$14*BadDebtPct</f>
        <v/>
      </c>
      <c r="EN17" s="18">
        <f>-EN$14*BadDebtPct</f>
        <v/>
      </c>
      <c r="EO17" s="18">
        <f>-EO$14*BadDebtPct</f>
        <v/>
      </c>
      <c r="EP17" s="18">
        <f>-EP$14*BadDebtPct</f>
        <v/>
      </c>
      <c r="EQ17" s="18">
        <f>-EQ$14*BadDebtPct</f>
        <v/>
      </c>
      <c r="ER17" s="18">
        <f>-ER$14*BadDebtPct</f>
        <v/>
      </c>
      <c r="ES17" s="18">
        <f>-ES$14*BadDebtPct</f>
        <v/>
      </c>
      <c r="ET17" s="18">
        <f>-ET$14*BadDebtPct</f>
        <v/>
      </c>
      <c r="EU17" s="18">
        <f>-EU$14*BadDebtPct</f>
        <v/>
      </c>
      <c r="EV17" s="18">
        <f>-EV$14*BadDebtPct</f>
        <v/>
      </c>
      <c r="EW17" s="18">
        <f>-EW$14*BadDebtPct</f>
        <v/>
      </c>
      <c r="EX17" s="18">
        <f>-EX$14*BadDebtPct</f>
        <v/>
      </c>
      <c r="EY17" s="18">
        <f>-EY$14*BadDebtPct</f>
        <v/>
      </c>
      <c r="EZ17" s="18">
        <f>-EZ$14*BadDebtPct</f>
        <v/>
      </c>
      <c r="FA17" s="18">
        <f>-FA$14*BadDebtPct</f>
        <v/>
      </c>
      <c r="FB17" s="18">
        <f>-FB$14*BadDebtPct</f>
        <v/>
      </c>
      <c r="FC17" s="18">
        <f>-FC$14*BadDebtPct</f>
        <v/>
      </c>
      <c r="FD17" s="18">
        <f>-FD$14*BadDebtPct</f>
        <v/>
      </c>
      <c r="FE17" s="18">
        <f>-FE$14*BadDebtPct</f>
        <v/>
      </c>
      <c r="FF17" s="18">
        <f>-FF$14*BadDebtPct</f>
        <v/>
      </c>
      <c r="FG17" s="18">
        <f>-FG$14*BadDebtPct</f>
        <v/>
      </c>
      <c r="FH17" s="18">
        <f>-FH$14*BadDebtPct</f>
        <v/>
      </c>
      <c r="FI17" s="18">
        <f>-FI$14*BadDebtPct</f>
        <v/>
      </c>
      <c r="FJ17" s="18">
        <f>-FJ$14*BadDebtPct</f>
        <v/>
      </c>
      <c r="FK17" s="18">
        <f>-FK$14*BadDebtPct</f>
        <v/>
      </c>
      <c r="FL17" s="18">
        <f>-FL$14*BadDebtPct</f>
        <v/>
      </c>
      <c r="FM17" s="18">
        <f>-FM$14*BadDebtPct</f>
        <v/>
      </c>
      <c r="FN17" s="18">
        <f>-FN$14*BadDebtPct</f>
        <v/>
      </c>
      <c r="FO17" s="18">
        <f>-FO$14*BadDebtPct</f>
        <v/>
      </c>
      <c r="FP17" s="18">
        <f>-FP$14*BadDebtPct</f>
        <v/>
      </c>
      <c r="FQ17" s="18">
        <f>-FQ$14*BadDebtPct</f>
        <v/>
      </c>
      <c r="FR17" s="18">
        <f>-FR$14*BadDebtPct</f>
        <v/>
      </c>
      <c r="FS17" s="18">
        <f>-FS$14*BadDebtPct</f>
        <v/>
      </c>
      <c r="FT17" s="18">
        <f>-FT$14*BadDebtPct</f>
        <v/>
      </c>
      <c r="FU17" s="18">
        <f>-FU$14*BadDebtPct</f>
        <v/>
      </c>
      <c r="FV17" s="18">
        <f>-FV$14*BadDebtPct</f>
        <v/>
      </c>
      <c r="FW17" s="18">
        <f>-FW$14*BadDebtPct</f>
        <v/>
      </c>
      <c r="FX17" s="18">
        <f>-FX$14*BadDebtPct</f>
        <v/>
      </c>
      <c r="FY17" s="18">
        <f>-FY$14*BadDebtPct</f>
        <v/>
      </c>
      <c r="FZ17" s="18">
        <f>-FZ$14*BadDebtPct</f>
        <v/>
      </c>
      <c r="GA17" s="18">
        <f>-GA$14*BadDebtPct</f>
        <v/>
      </c>
      <c r="GB17" s="18">
        <f>-GB$14*BadDebtPct</f>
        <v/>
      </c>
      <c r="GC17" s="18">
        <f>-GC$14*BadDebtPct</f>
        <v/>
      </c>
      <c r="GD17" s="18">
        <f>-GD$14*BadDebtPct</f>
        <v/>
      </c>
      <c r="GE17" s="18">
        <f>-GE$14*BadDebtPct</f>
        <v/>
      </c>
      <c r="GF17" s="18">
        <f>-GF$14*BadDebtPct</f>
        <v/>
      </c>
      <c r="GG17" s="18">
        <f>-GG$14*BadDebtPct</f>
        <v/>
      </c>
      <c r="GH17" s="18">
        <f>-GH$14*BadDebtPct</f>
        <v/>
      </c>
      <c r="GI17" s="18">
        <f>-GI$14*BadDebtPct</f>
        <v/>
      </c>
      <c r="GJ17" s="18">
        <f>-GJ$14*BadDebtPct</f>
        <v/>
      </c>
      <c r="GK17" s="18">
        <f>-GK$14*BadDebtPct</f>
        <v/>
      </c>
      <c r="GL17" s="18">
        <f>-GL$14*BadDebtPct</f>
        <v/>
      </c>
      <c r="GM17" s="18">
        <f>-GM$14*BadDebtPct</f>
        <v/>
      </c>
      <c r="GN17" s="18">
        <f>-GN$14*BadDebtPct</f>
        <v/>
      </c>
      <c r="GO17" s="18">
        <f>-GO$14*BadDebtPct</f>
        <v/>
      </c>
      <c r="GP17" s="18">
        <f>-GP$14*BadDebtPct</f>
        <v/>
      </c>
      <c r="GQ17" s="18">
        <f>-GQ$14*BadDebtPct</f>
        <v/>
      </c>
      <c r="GR17" s="18">
        <f>-GR$14*BadDebtPct</f>
        <v/>
      </c>
      <c r="GS17" s="18">
        <f>-GS$14*BadDebtPct</f>
        <v/>
      </c>
      <c r="GT17" s="18">
        <f>-GT$14*BadDebtPct</f>
        <v/>
      </c>
      <c r="GU17" s="18">
        <f>-GU$14*BadDebtPct</f>
        <v/>
      </c>
      <c r="GV17" s="18">
        <f>-GV$14*BadDebtPct</f>
        <v/>
      </c>
      <c r="GW17" s="18">
        <f>-GW$14*BadDebtPct</f>
        <v/>
      </c>
      <c r="GX17" s="18">
        <f>-GX$14*BadDebtPct</f>
        <v/>
      </c>
      <c r="GY17" s="18">
        <f>-GY$14*BadDebtPct</f>
        <v/>
      </c>
      <c r="GZ17" s="18">
        <f>-GZ$14*BadDebtPct</f>
        <v/>
      </c>
      <c r="HA17" s="18">
        <f>-HA$14*BadDebtPct</f>
        <v/>
      </c>
      <c r="HB17" s="18">
        <f>-HB$14*BadDebtPct</f>
        <v/>
      </c>
      <c r="HC17" s="18">
        <f>-HC$14*BadDebtPct</f>
        <v/>
      </c>
      <c r="HD17" s="18">
        <f>-HD$14*BadDebtPct</f>
        <v/>
      </c>
      <c r="HE17" s="18">
        <f>-HE$14*BadDebtPct</f>
        <v/>
      </c>
      <c r="HF17" s="18">
        <f>-HF$14*BadDebtPct</f>
        <v/>
      </c>
      <c r="HG17" s="18">
        <f>-HG$14*BadDebtPct</f>
        <v/>
      </c>
      <c r="HH17" s="18">
        <f>-HH$14*BadDebtPct</f>
        <v/>
      </c>
      <c r="HI17" s="18">
        <f>-HI$14*BadDebtPct</f>
        <v/>
      </c>
      <c r="HJ17" s="18">
        <f>-HJ$14*BadDebtPct</f>
        <v/>
      </c>
      <c r="HK17" s="18">
        <f>-HK$14*BadDebtPct</f>
        <v/>
      </c>
      <c r="HL17" s="18">
        <f>-HL$14*BadDebtPct</f>
        <v/>
      </c>
      <c r="HM17" s="18">
        <f>-HM$14*BadDebtPct</f>
        <v/>
      </c>
      <c r="HN17" s="18">
        <f>-HN$14*BadDebtPct</f>
        <v/>
      </c>
      <c r="HO17" s="18">
        <f>-HO$14*BadDebtPct</f>
        <v/>
      </c>
      <c r="HP17" s="18">
        <f>-HP$14*BadDebtPct</f>
        <v/>
      </c>
      <c r="HQ17" s="18">
        <f>-HQ$14*BadDebtPct</f>
        <v/>
      </c>
      <c r="HR17" s="18">
        <f>-HR$14*BadDebtPct</f>
        <v/>
      </c>
      <c r="HS17" s="18">
        <f>-HS$14*BadDebtPct</f>
        <v/>
      </c>
      <c r="HT17" s="18">
        <f>-HT$14*BadDebtPct</f>
        <v/>
      </c>
      <c r="HU17" s="18">
        <f>-HU$14*BadDebtPct</f>
        <v/>
      </c>
      <c r="HV17" s="18">
        <f>-HV$14*BadDebtPct</f>
        <v/>
      </c>
      <c r="HW17" s="18">
        <f>-HW$14*BadDebtPct</f>
        <v/>
      </c>
      <c r="HX17" s="18">
        <f>-HX$14*BadDebtPct</f>
        <v/>
      </c>
      <c r="HY17" s="18">
        <f>-HY$14*BadDebtPct</f>
        <v/>
      </c>
      <c r="HZ17" s="18">
        <f>-HZ$14*BadDebtPct</f>
        <v/>
      </c>
      <c r="IA17" s="18">
        <f>-IA$14*BadDebtPct</f>
        <v/>
      </c>
      <c r="IB17" s="18">
        <f>-IB$14*BadDebtPct</f>
        <v/>
      </c>
      <c r="IC17" s="18">
        <f>-IC$14*BadDebtPct</f>
        <v/>
      </c>
      <c r="ID17" s="18">
        <f>-ID$14*BadDebtPct</f>
        <v/>
      </c>
      <c r="IE17" s="18">
        <f>-IE$14*BadDebtPct</f>
        <v/>
      </c>
      <c r="IF17" s="18">
        <f>-IF$14*BadDebtPct</f>
        <v/>
      </c>
      <c r="IG17" s="18">
        <f>-IG$14*BadDebtPct</f>
        <v/>
      </c>
      <c r="IH17" s="18">
        <f>-IH$14*BadDebtPct</f>
        <v/>
      </c>
      <c r="II17" s="18">
        <f>-II$14*BadDebtPct</f>
        <v/>
      </c>
      <c r="IJ17" s="18">
        <f>-IJ$14*BadDebtPct</f>
        <v/>
      </c>
      <c r="IK17" s="18">
        <f>-IK$14*BadDebtPct</f>
        <v/>
      </c>
      <c r="IL17" s="18">
        <f>-IL$14*BadDebtPct</f>
        <v/>
      </c>
      <c r="IM17" s="18">
        <f>-IM$14*BadDebtPct</f>
        <v/>
      </c>
      <c r="IN17" s="18">
        <f>-IN$14*BadDebtPct</f>
        <v/>
      </c>
      <c r="IO17" s="18">
        <f>-IO$14*BadDebtPct</f>
        <v/>
      </c>
      <c r="IP17" s="18">
        <f>-IP$14*BadDebtPct</f>
        <v/>
      </c>
      <c r="IQ17" s="18">
        <f>-IQ$14*BadDebtPct</f>
        <v/>
      </c>
      <c r="IR17" s="18">
        <f>-IR$14*BadDebtPct</f>
        <v/>
      </c>
      <c r="IS17" s="18">
        <f>-IS$14*BadDebtPct</f>
        <v/>
      </c>
      <c r="IT17" s="18">
        <f>-IT$14*BadDebtPct</f>
        <v/>
      </c>
      <c r="IU17" s="18">
        <f>-IU$14*BadDebtPct</f>
        <v/>
      </c>
      <c r="IV17" s="18">
        <f>-IV$14*BadDebtPct</f>
        <v/>
      </c>
      <c r="IW17" s="18">
        <f>-IW$14*BadDebtPct</f>
        <v/>
      </c>
      <c r="IX17" s="18">
        <f>-IX$14*BadDebtPct</f>
        <v/>
      </c>
      <c r="IY17" s="18">
        <f>-IY$14*BadDebtPct</f>
        <v/>
      </c>
      <c r="IZ17" s="18">
        <f>-IZ$14*BadDebtPct</f>
        <v/>
      </c>
      <c r="JA17" s="18">
        <f>-JA$14*BadDebtPct</f>
        <v/>
      </c>
      <c r="JB17" s="18">
        <f>-JB$14*BadDebtPct</f>
        <v/>
      </c>
      <c r="JC17" s="18">
        <f>-JC$14*BadDebtPct</f>
        <v/>
      </c>
      <c r="JD17" s="18">
        <f>-JD$14*BadDebtPct</f>
        <v/>
      </c>
      <c r="JE17" s="18">
        <f>-JE$14*BadDebtPct</f>
        <v/>
      </c>
      <c r="JF17" s="18">
        <f>-JF$14*BadDebtPct</f>
        <v/>
      </c>
      <c r="JG17" s="18">
        <f>-JG$14*BadDebtPct</f>
        <v/>
      </c>
      <c r="JH17" s="18">
        <f>-JH$14*BadDebtPct</f>
        <v/>
      </c>
      <c r="JI17" s="18">
        <f>-JI$14*BadDebtPct</f>
        <v/>
      </c>
      <c r="JJ17" s="18">
        <f>-JJ$14*BadDebtPct</f>
        <v/>
      </c>
      <c r="JK17" s="18">
        <f>-JK$14*BadDebtPct</f>
        <v/>
      </c>
      <c r="JL17" s="18">
        <f>-JL$14*BadDebtPct</f>
        <v/>
      </c>
      <c r="JM17" s="18">
        <f>-JM$14*BadDebtPct</f>
        <v/>
      </c>
      <c r="JN17" s="18">
        <f>-JN$14*BadDebtPct</f>
        <v/>
      </c>
      <c r="JO17" s="18">
        <f>-JO$14*BadDebtPct</f>
        <v/>
      </c>
      <c r="JP17" s="18">
        <f>-JP$14*BadDebtPct</f>
        <v/>
      </c>
      <c r="JQ17" s="18">
        <f>-JQ$14*BadDebtPct</f>
        <v/>
      </c>
      <c r="JR17" s="18">
        <f>-JR$14*BadDebtPct</f>
        <v/>
      </c>
      <c r="JS17" s="18">
        <f>-JS$14*BadDebtPct</f>
        <v/>
      </c>
      <c r="JT17" s="18">
        <f>-JT$14*BadDebtPct</f>
        <v/>
      </c>
      <c r="JU17" s="18">
        <f>-JU$14*BadDebtPct</f>
        <v/>
      </c>
      <c r="JV17" s="18">
        <f>-JV$14*BadDebtPct</f>
        <v/>
      </c>
      <c r="JW17" s="18">
        <f>-JW$14*BadDebtPct</f>
        <v/>
      </c>
      <c r="JX17" s="18">
        <f>-JX$14*BadDebtPct</f>
        <v/>
      </c>
      <c r="JY17" s="18">
        <f>-JY$14*BadDebtPct</f>
        <v/>
      </c>
      <c r="JZ17" s="18">
        <f>-JZ$14*BadDebtPct</f>
        <v/>
      </c>
      <c r="KA17" s="18">
        <f>-KA$14*BadDebtPct</f>
        <v/>
      </c>
      <c r="KB17" s="18">
        <f>-KB$14*BadDebtPct</f>
        <v/>
      </c>
      <c r="KC17" s="18">
        <f>-KC$14*BadDebtPct</f>
        <v/>
      </c>
      <c r="KD17" s="18">
        <f>-KD$14*BadDebtPct</f>
        <v/>
      </c>
      <c r="KE17" s="18">
        <f>-KE$14*BadDebtPct</f>
        <v/>
      </c>
      <c r="KF17" s="18">
        <f>-KF$14*BadDebtPct</f>
        <v/>
      </c>
      <c r="KG17" s="18">
        <f>-KG$14*BadDebtPct</f>
        <v/>
      </c>
      <c r="KH17" s="18">
        <f>-KH$14*BadDebtPct</f>
        <v/>
      </c>
      <c r="KI17" s="18">
        <f>-KI$14*BadDebtPct</f>
        <v/>
      </c>
      <c r="KJ17" s="18">
        <f>-KJ$14*BadDebtPct</f>
        <v/>
      </c>
      <c r="KK17" s="18">
        <f>-KK$14*BadDebtPct</f>
        <v/>
      </c>
      <c r="KL17" s="18">
        <f>-KL$14*BadDebtPct</f>
        <v/>
      </c>
      <c r="KM17" s="18">
        <f>-KM$14*BadDebtPct</f>
        <v/>
      </c>
      <c r="KN17" s="18">
        <f>-KN$14*BadDebtPct</f>
        <v/>
      </c>
      <c r="KO17" s="18">
        <f>-KO$14*BadDebtPct</f>
        <v/>
      </c>
      <c r="KP17" s="18">
        <f>-KP$14*BadDebtPct</f>
        <v/>
      </c>
      <c r="KQ17" s="18">
        <f>-KQ$14*BadDebtPct</f>
        <v/>
      </c>
      <c r="KR17" s="18">
        <f>-KR$14*BadDebtPct</f>
        <v/>
      </c>
      <c r="KS17" s="18">
        <f>-KS$14*BadDebtPct</f>
        <v/>
      </c>
      <c r="KT17" s="18">
        <f>-KT$14*BadDebtPct</f>
        <v/>
      </c>
      <c r="KU17" s="18">
        <f>-KU$14*BadDebtPct</f>
        <v/>
      </c>
      <c r="KV17" s="18">
        <f>-KV$14*BadDebtPct</f>
        <v/>
      </c>
      <c r="KW17" s="18">
        <f>-KW$14*BadDebtPct</f>
        <v/>
      </c>
      <c r="KX17" s="18">
        <f>-KX$14*BadDebtPct</f>
        <v/>
      </c>
      <c r="KY17" s="18">
        <f>-KY$14*BadDebtPct</f>
        <v/>
      </c>
      <c r="KZ17" s="18">
        <f>-KZ$14*BadDebtPct</f>
        <v/>
      </c>
      <c r="LA17" s="18">
        <f>-LA$14*BadDebtPct</f>
        <v/>
      </c>
      <c r="LB17" s="18">
        <f>-LB$14*BadDebtPct</f>
        <v/>
      </c>
      <c r="LC17" s="18">
        <f>-LC$14*BadDebtPct</f>
        <v/>
      </c>
      <c r="LD17" s="18">
        <f>-LD$14*BadDebtPct</f>
        <v/>
      </c>
      <c r="LE17" s="18">
        <f>-LE$14*BadDebtPct</f>
        <v/>
      </c>
      <c r="LF17" s="18">
        <f>-LF$14*BadDebtPct</f>
        <v/>
      </c>
      <c r="LG17" s="18">
        <f>-LG$14*BadDebtPct</f>
        <v/>
      </c>
      <c r="LH17" s="18">
        <f>-LH$14*BadDebtPct</f>
        <v/>
      </c>
      <c r="LI17" s="18">
        <f>-LI$14*BadDebtPct</f>
        <v/>
      </c>
      <c r="LJ17" s="18">
        <f>-LJ$14*BadDebtPct</f>
        <v/>
      </c>
      <c r="LK17" s="18">
        <f>-LK$14*BadDebtPct</f>
        <v/>
      </c>
      <c r="LL17" s="18">
        <f>-LL$14*BadDebtPct</f>
        <v/>
      </c>
      <c r="LM17" s="18">
        <f>-LM$14*BadDebtPct</f>
        <v/>
      </c>
      <c r="LN17" s="18">
        <f>-LN$14*BadDebtPct</f>
        <v/>
      </c>
      <c r="LO17" s="18">
        <f>-LO$14*BadDebtPct</f>
        <v/>
      </c>
      <c r="LP17" s="18">
        <f>-LP$14*BadDebtPct</f>
        <v/>
      </c>
      <c r="LQ17" s="18">
        <f>-LQ$14*BadDebtPct</f>
        <v/>
      </c>
      <c r="LR17" s="18">
        <f>-LR$14*BadDebtPct</f>
        <v/>
      </c>
      <c r="LS17" s="18">
        <f>-LS$14*BadDebtPct</f>
        <v/>
      </c>
      <c r="LT17" s="18">
        <f>-LT$14*BadDebtPct</f>
        <v/>
      </c>
      <c r="LU17" s="18">
        <f>-LU$14*BadDebtPct</f>
        <v/>
      </c>
      <c r="LV17" s="18">
        <f>-LV$14*BadDebtPct</f>
        <v/>
      </c>
      <c r="LW17" s="18">
        <f>-LW$14*BadDebtPct</f>
        <v/>
      </c>
      <c r="LX17" s="18">
        <f>-LX$14*BadDebtPct</f>
        <v/>
      </c>
      <c r="LY17" s="18">
        <f>-LY$14*BadDebtPct</f>
        <v/>
      </c>
      <c r="LZ17" s="18">
        <f>-LZ$14*BadDebtPct</f>
        <v/>
      </c>
      <c r="MA17" s="18">
        <f>-MA$14*BadDebtPct</f>
        <v/>
      </c>
      <c r="MB17" s="18">
        <f>-MB$14*BadDebtPct</f>
        <v/>
      </c>
      <c r="MC17" s="18">
        <f>-MC$14*BadDebtPct</f>
        <v/>
      </c>
      <c r="MD17" s="18">
        <f>-MD$14*BadDebtPct</f>
        <v/>
      </c>
      <c r="ME17" s="18">
        <f>-ME$14*BadDebtPct</f>
        <v/>
      </c>
      <c r="MF17" s="18">
        <f>-MF$14*BadDebtPct</f>
        <v/>
      </c>
      <c r="MG17" s="18">
        <f>-MG$14*BadDebtPct</f>
        <v/>
      </c>
      <c r="MH17" s="18">
        <f>-MH$14*BadDebtPct</f>
        <v/>
      </c>
      <c r="MI17" s="18">
        <f>-MI$14*BadDebtPct</f>
        <v/>
      </c>
      <c r="MJ17" s="18">
        <f>-MJ$14*BadDebtPct</f>
        <v/>
      </c>
      <c r="MK17" s="18">
        <f>-MK$14*BadDebtPct</f>
        <v/>
      </c>
      <c r="ML17" s="18">
        <f>-ML$14*BadDebtPct</f>
        <v/>
      </c>
      <c r="MM17" s="18">
        <f>-MM$14*BadDebtPct</f>
        <v/>
      </c>
      <c r="MN17" s="18">
        <f>-MN$14*BadDebtPct</f>
        <v/>
      </c>
      <c r="MO17" s="18">
        <f>-MO$14*BadDebtPct</f>
        <v/>
      </c>
      <c r="MP17" s="18">
        <f>-MP$14*BadDebtPct</f>
        <v/>
      </c>
      <c r="MQ17" s="18">
        <f>-MQ$14*BadDebtPct</f>
        <v/>
      </c>
      <c r="MR17" s="18">
        <f>-MR$14*BadDebtPct</f>
        <v/>
      </c>
      <c r="MS17" s="18">
        <f>-MS$14*BadDebtPct</f>
        <v/>
      </c>
      <c r="MT17" s="18">
        <f>-MT$14*BadDebtPct</f>
        <v/>
      </c>
      <c r="MU17" s="18">
        <f>-MU$14*BadDebtPct</f>
        <v/>
      </c>
      <c r="MV17" s="18">
        <f>-MV$14*BadDebtPct</f>
        <v/>
      </c>
      <c r="MW17" s="18">
        <f>-MW$14*BadDebtPct</f>
        <v/>
      </c>
      <c r="MX17" s="18">
        <f>-MX$14*BadDebtPct</f>
        <v/>
      </c>
      <c r="MY17" s="18">
        <f>-MY$14*BadDebtPct</f>
        <v/>
      </c>
      <c r="MZ17" s="18">
        <f>-MZ$14*BadDebtPct</f>
        <v/>
      </c>
      <c r="NA17" s="18">
        <f>-NA$14*BadDebtPct</f>
        <v/>
      </c>
      <c r="NB17" s="18">
        <f>-NB$14*BadDebtPct</f>
        <v/>
      </c>
      <c r="NC17" s="18">
        <f>-NC$14*BadDebtPct</f>
        <v/>
      </c>
      <c r="ND17" s="18">
        <f>-ND$14*BadDebtPct</f>
        <v/>
      </c>
      <c r="NE17" s="18">
        <f>-NE$14*BadDebtPct</f>
        <v/>
      </c>
      <c r="NF17" s="18">
        <f>-NF$14*BadDebtPct</f>
        <v/>
      </c>
      <c r="NG17" s="18">
        <f>-NG$14*BadDebtPct</f>
        <v/>
      </c>
      <c r="NH17" s="18">
        <f>-NH$14*BadDebtPct</f>
        <v/>
      </c>
      <c r="NI17" s="18">
        <f>-NI$14*BadDebtPct</f>
        <v/>
      </c>
      <c r="NJ17" s="18">
        <f>-NJ$14*BadDebtPct</f>
        <v/>
      </c>
      <c r="NK17" s="18">
        <f>-NK$14*BadDebtPct</f>
        <v/>
      </c>
    </row>
    <row r="18">
      <c r="A18" s="5" t="inlineStr">
        <is>
          <t>Concessions</t>
        </is>
      </c>
      <c r="C18" s="41">
        <f>SUM(D18:NK18)</f>
        <v/>
      </c>
      <c r="D18" s="18">
        <f>-D$14*ConcessionsPct</f>
        <v/>
      </c>
      <c r="E18" s="18">
        <f>-E$14*ConcessionsPct</f>
        <v/>
      </c>
      <c r="F18" s="18">
        <f>-F$14*ConcessionsPct</f>
        <v/>
      </c>
      <c r="G18" s="18">
        <f>-G$14*ConcessionsPct</f>
        <v/>
      </c>
      <c r="H18" s="18">
        <f>-H$14*ConcessionsPct</f>
        <v/>
      </c>
      <c r="I18" s="18">
        <f>-I$14*ConcessionsPct</f>
        <v/>
      </c>
      <c r="J18" s="18">
        <f>-J$14*ConcessionsPct</f>
        <v/>
      </c>
      <c r="K18" s="18">
        <f>-K$14*ConcessionsPct</f>
        <v/>
      </c>
      <c r="L18" s="18">
        <f>-L$14*ConcessionsPct</f>
        <v/>
      </c>
      <c r="M18" s="18">
        <f>-M$14*ConcessionsPct</f>
        <v/>
      </c>
      <c r="N18" s="18">
        <f>-N$14*ConcessionsPct</f>
        <v/>
      </c>
      <c r="O18" s="18">
        <f>-O$14*ConcessionsPct</f>
        <v/>
      </c>
      <c r="P18" s="18">
        <f>-P$14*ConcessionsPct</f>
        <v/>
      </c>
      <c r="Q18" s="18">
        <f>-Q$14*ConcessionsPct</f>
        <v/>
      </c>
      <c r="R18" s="18">
        <f>-R$14*ConcessionsPct</f>
        <v/>
      </c>
      <c r="S18" s="18">
        <f>-S$14*ConcessionsPct</f>
        <v/>
      </c>
      <c r="T18" s="18">
        <f>-T$14*ConcessionsPct</f>
        <v/>
      </c>
      <c r="U18" s="18">
        <f>-U$14*ConcessionsPct</f>
        <v/>
      </c>
      <c r="V18" s="18">
        <f>-V$14*ConcessionsPct</f>
        <v/>
      </c>
      <c r="W18" s="18">
        <f>-W$14*ConcessionsPct</f>
        <v/>
      </c>
      <c r="X18" s="18">
        <f>-X$14*ConcessionsPct</f>
        <v/>
      </c>
      <c r="Y18" s="18">
        <f>-Y$14*ConcessionsPct</f>
        <v/>
      </c>
      <c r="Z18" s="18">
        <f>-Z$14*ConcessionsPct</f>
        <v/>
      </c>
      <c r="AA18" s="18">
        <f>-AA$14*ConcessionsPct</f>
        <v/>
      </c>
      <c r="AB18" s="18">
        <f>-AB$14*ConcessionsPct</f>
        <v/>
      </c>
      <c r="AC18" s="18">
        <f>-AC$14*ConcessionsPct</f>
        <v/>
      </c>
      <c r="AD18" s="18">
        <f>-AD$14*ConcessionsPct</f>
        <v/>
      </c>
      <c r="AE18" s="18">
        <f>-AE$14*ConcessionsPct</f>
        <v/>
      </c>
      <c r="AF18" s="18">
        <f>-AF$14*ConcessionsPct</f>
        <v/>
      </c>
      <c r="AG18" s="18">
        <f>-AG$14*ConcessionsPct</f>
        <v/>
      </c>
      <c r="AH18" s="18">
        <f>-AH$14*ConcessionsPct</f>
        <v/>
      </c>
      <c r="AI18" s="18">
        <f>-AI$14*ConcessionsPct</f>
        <v/>
      </c>
      <c r="AJ18" s="18">
        <f>-AJ$14*ConcessionsPct</f>
        <v/>
      </c>
      <c r="AK18" s="18">
        <f>-AK$14*ConcessionsPct</f>
        <v/>
      </c>
      <c r="AL18" s="18">
        <f>-AL$14*ConcessionsPct</f>
        <v/>
      </c>
      <c r="AM18" s="18">
        <f>-AM$14*ConcessionsPct</f>
        <v/>
      </c>
      <c r="AN18" s="18">
        <f>-AN$14*ConcessionsPct</f>
        <v/>
      </c>
      <c r="AO18" s="18">
        <f>-AO$14*ConcessionsPct</f>
        <v/>
      </c>
      <c r="AP18" s="18">
        <f>-AP$14*ConcessionsPct</f>
        <v/>
      </c>
      <c r="AQ18" s="18">
        <f>-AQ$14*ConcessionsPct</f>
        <v/>
      </c>
      <c r="AR18" s="18">
        <f>-AR$14*ConcessionsPct</f>
        <v/>
      </c>
      <c r="AS18" s="18">
        <f>-AS$14*ConcessionsPct</f>
        <v/>
      </c>
      <c r="AT18" s="18">
        <f>-AT$14*ConcessionsPct</f>
        <v/>
      </c>
      <c r="AU18" s="18">
        <f>-AU$14*ConcessionsPct</f>
        <v/>
      </c>
      <c r="AV18" s="18">
        <f>-AV$14*ConcessionsPct</f>
        <v/>
      </c>
      <c r="AW18" s="18">
        <f>-AW$14*ConcessionsPct</f>
        <v/>
      </c>
      <c r="AX18" s="18">
        <f>-AX$14*ConcessionsPct</f>
        <v/>
      </c>
      <c r="AY18" s="18">
        <f>-AY$14*ConcessionsPct</f>
        <v/>
      </c>
      <c r="AZ18" s="18">
        <f>-AZ$14*ConcessionsPct</f>
        <v/>
      </c>
      <c r="BA18" s="18">
        <f>-BA$14*ConcessionsPct</f>
        <v/>
      </c>
      <c r="BB18" s="18">
        <f>-BB$14*ConcessionsPct</f>
        <v/>
      </c>
      <c r="BC18" s="18">
        <f>-BC$14*ConcessionsPct</f>
        <v/>
      </c>
      <c r="BD18" s="18">
        <f>-BD$14*ConcessionsPct</f>
        <v/>
      </c>
      <c r="BE18" s="18">
        <f>-BE$14*ConcessionsPct</f>
        <v/>
      </c>
      <c r="BF18" s="18">
        <f>-BF$14*ConcessionsPct</f>
        <v/>
      </c>
      <c r="BG18" s="18">
        <f>-BG$14*ConcessionsPct</f>
        <v/>
      </c>
      <c r="BH18" s="18">
        <f>-BH$14*ConcessionsPct</f>
        <v/>
      </c>
      <c r="BI18" s="18">
        <f>-BI$14*ConcessionsPct</f>
        <v/>
      </c>
      <c r="BJ18" s="18">
        <f>-BJ$14*ConcessionsPct</f>
        <v/>
      </c>
      <c r="BK18" s="18">
        <f>-BK$14*ConcessionsPct</f>
        <v/>
      </c>
      <c r="BL18" s="18">
        <f>-BL$14*ConcessionsPct</f>
        <v/>
      </c>
      <c r="BM18" s="18">
        <f>-BM$14*ConcessionsPct</f>
        <v/>
      </c>
      <c r="BN18" s="18">
        <f>-BN$14*ConcessionsPct</f>
        <v/>
      </c>
      <c r="BO18" s="18">
        <f>-BO$14*ConcessionsPct</f>
        <v/>
      </c>
      <c r="BP18" s="18">
        <f>-BP$14*ConcessionsPct</f>
        <v/>
      </c>
      <c r="BQ18" s="18">
        <f>-BQ$14*ConcessionsPct</f>
        <v/>
      </c>
      <c r="BR18" s="18">
        <f>-BR$14*ConcessionsPct</f>
        <v/>
      </c>
      <c r="BS18" s="18">
        <f>-BS$14*ConcessionsPct</f>
        <v/>
      </c>
      <c r="BT18" s="18">
        <f>-BT$14*ConcessionsPct</f>
        <v/>
      </c>
      <c r="BU18" s="18">
        <f>-BU$14*ConcessionsPct</f>
        <v/>
      </c>
      <c r="BV18" s="18">
        <f>-BV$14*ConcessionsPct</f>
        <v/>
      </c>
      <c r="BW18" s="18">
        <f>-BW$14*ConcessionsPct</f>
        <v/>
      </c>
      <c r="BX18" s="18">
        <f>-BX$14*ConcessionsPct</f>
        <v/>
      </c>
      <c r="BY18" s="18">
        <f>-BY$14*ConcessionsPct</f>
        <v/>
      </c>
      <c r="BZ18" s="18">
        <f>-BZ$14*ConcessionsPct</f>
        <v/>
      </c>
      <c r="CA18" s="18">
        <f>-CA$14*ConcessionsPct</f>
        <v/>
      </c>
      <c r="CB18" s="18">
        <f>-CB$14*ConcessionsPct</f>
        <v/>
      </c>
      <c r="CC18" s="18">
        <f>-CC$14*ConcessionsPct</f>
        <v/>
      </c>
      <c r="CD18" s="18">
        <f>-CD$14*ConcessionsPct</f>
        <v/>
      </c>
      <c r="CE18" s="18">
        <f>-CE$14*ConcessionsPct</f>
        <v/>
      </c>
      <c r="CF18" s="18">
        <f>-CF$14*ConcessionsPct</f>
        <v/>
      </c>
      <c r="CG18" s="18">
        <f>-CG$14*ConcessionsPct</f>
        <v/>
      </c>
      <c r="CH18" s="18">
        <f>-CH$14*ConcessionsPct</f>
        <v/>
      </c>
      <c r="CI18" s="18">
        <f>-CI$14*ConcessionsPct</f>
        <v/>
      </c>
      <c r="CJ18" s="18">
        <f>-CJ$14*ConcessionsPct</f>
        <v/>
      </c>
      <c r="CK18" s="18">
        <f>-CK$14*ConcessionsPct</f>
        <v/>
      </c>
      <c r="CL18" s="18">
        <f>-CL$14*ConcessionsPct</f>
        <v/>
      </c>
      <c r="CM18" s="18">
        <f>-CM$14*ConcessionsPct</f>
        <v/>
      </c>
      <c r="CN18" s="18">
        <f>-CN$14*ConcessionsPct</f>
        <v/>
      </c>
      <c r="CO18" s="18">
        <f>-CO$14*ConcessionsPct</f>
        <v/>
      </c>
      <c r="CP18" s="18">
        <f>-CP$14*ConcessionsPct</f>
        <v/>
      </c>
      <c r="CQ18" s="18">
        <f>-CQ$14*ConcessionsPct</f>
        <v/>
      </c>
      <c r="CR18" s="18">
        <f>-CR$14*ConcessionsPct</f>
        <v/>
      </c>
      <c r="CS18" s="18">
        <f>-CS$14*ConcessionsPct</f>
        <v/>
      </c>
      <c r="CT18" s="18">
        <f>-CT$14*ConcessionsPct</f>
        <v/>
      </c>
      <c r="CU18" s="18">
        <f>-CU$14*ConcessionsPct</f>
        <v/>
      </c>
      <c r="CV18" s="18">
        <f>-CV$14*ConcessionsPct</f>
        <v/>
      </c>
      <c r="CW18" s="18">
        <f>-CW$14*ConcessionsPct</f>
        <v/>
      </c>
      <c r="CX18" s="18">
        <f>-CX$14*ConcessionsPct</f>
        <v/>
      </c>
      <c r="CY18" s="18">
        <f>-CY$14*ConcessionsPct</f>
        <v/>
      </c>
      <c r="CZ18" s="18">
        <f>-CZ$14*ConcessionsPct</f>
        <v/>
      </c>
      <c r="DA18" s="18">
        <f>-DA$14*ConcessionsPct</f>
        <v/>
      </c>
      <c r="DB18" s="18">
        <f>-DB$14*ConcessionsPct</f>
        <v/>
      </c>
      <c r="DC18" s="18">
        <f>-DC$14*ConcessionsPct</f>
        <v/>
      </c>
      <c r="DD18" s="18">
        <f>-DD$14*ConcessionsPct</f>
        <v/>
      </c>
      <c r="DE18" s="18">
        <f>-DE$14*ConcessionsPct</f>
        <v/>
      </c>
      <c r="DF18" s="18">
        <f>-DF$14*ConcessionsPct</f>
        <v/>
      </c>
      <c r="DG18" s="18">
        <f>-DG$14*ConcessionsPct</f>
        <v/>
      </c>
      <c r="DH18" s="18">
        <f>-DH$14*ConcessionsPct</f>
        <v/>
      </c>
      <c r="DI18" s="18">
        <f>-DI$14*ConcessionsPct</f>
        <v/>
      </c>
      <c r="DJ18" s="18">
        <f>-DJ$14*ConcessionsPct</f>
        <v/>
      </c>
      <c r="DK18" s="18">
        <f>-DK$14*ConcessionsPct</f>
        <v/>
      </c>
      <c r="DL18" s="18">
        <f>-DL$14*ConcessionsPct</f>
        <v/>
      </c>
      <c r="DM18" s="18">
        <f>-DM$14*ConcessionsPct</f>
        <v/>
      </c>
      <c r="DN18" s="18">
        <f>-DN$14*ConcessionsPct</f>
        <v/>
      </c>
      <c r="DO18" s="18">
        <f>-DO$14*ConcessionsPct</f>
        <v/>
      </c>
      <c r="DP18" s="18">
        <f>-DP$14*ConcessionsPct</f>
        <v/>
      </c>
      <c r="DQ18" s="18">
        <f>-DQ$14*ConcessionsPct</f>
        <v/>
      </c>
      <c r="DR18" s="18">
        <f>-DR$14*ConcessionsPct</f>
        <v/>
      </c>
      <c r="DS18" s="18">
        <f>-DS$14*ConcessionsPct</f>
        <v/>
      </c>
      <c r="DT18" s="18">
        <f>-DT$14*ConcessionsPct</f>
        <v/>
      </c>
      <c r="DU18" s="18">
        <f>-DU$14*ConcessionsPct</f>
        <v/>
      </c>
      <c r="DV18" s="18">
        <f>-DV$14*ConcessionsPct</f>
        <v/>
      </c>
      <c r="DW18" s="18">
        <f>-DW$14*ConcessionsPct</f>
        <v/>
      </c>
      <c r="DX18" s="18">
        <f>-DX$14*ConcessionsPct</f>
        <v/>
      </c>
      <c r="DY18" s="18">
        <f>-DY$14*ConcessionsPct</f>
        <v/>
      </c>
      <c r="DZ18" s="18">
        <f>-DZ$14*ConcessionsPct</f>
        <v/>
      </c>
      <c r="EA18" s="18">
        <f>-EA$14*ConcessionsPct</f>
        <v/>
      </c>
      <c r="EB18" s="18">
        <f>-EB$14*ConcessionsPct</f>
        <v/>
      </c>
      <c r="EC18" s="18">
        <f>-EC$14*ConcessionsPct</f>
        <v/>
      </c>
      <c r="ED18" s="18">
        <f>-ED$14*ConcessionsPct</f>
        <v/>
      </c>
      <c r="EE18" s="18">
        <f>-EE$14*ConcessionsPct</f>
        <v/>
      </c>
      <c r="EF18" s="18">
        <f>-EF$14*ConcessionsPct</f>
        <v/>
      </c>
      <c r="EG18" s="18">
        <f>-EG$14*ConcessionsPct</f>
        <v/>
      </c>
      <c r="EH18" s="18">
        <f>-EH$14*ConcessionsPct</f>
        <v/>
      </c>
      <c r="EI18" s="18">
        <f>-EI$14*ConcessionsPct</f>
        <v/>
      </c>
      <c r="EJ18" s="18">
        <f>-EJ$14*ConcessionsPct</f>
        <v/>
      </c>
      <c r="EK18" s="18">
        <f>-EK$14*ConcessionsPct</f>
        <v/>
      </c>
      <c r="EL18" s="18">
        <f>-EL$14*ConcessionsPct</f>
        <v/>
      </c>
      <c r="EM18" s="18">
        <f>-EM$14*ConcessionsPct</f>
        <v/>
      </c>
      <c r="EN18" s="18">
        <f>-EN$14*ConcessionsPct</f>
        <v/>
      </c>
      <c r="EO18" s="18">
        <f>-EO$14*ConcessionsPct</f>
        <v/>
      </c>
      <c r="EP18" s="18">
        <f>-EP$14*ConcessionsPct</f>
        <v/>
      </c>
      <c r="EQ18" s="18">
        <f>-EQ$14*ConcessionsPct</f>
        <v/>
      </c>
      <c r="ER18" s="18">
        <f>-ER$14*ConcessionsPct</f>
        <v/>
      </c>
      <c r="ES18" s="18">
        <f>-ES$14*ConcessionsPct</f>
        <v/>
      </c>
      <c r="ET18" s="18">
        <f>-ET$14*ConcessionsPct</f>
        <v/>
      </c>
      <c r="EU18" s="18">
        <f>-EU$14*ConcessionsPct</f>
        <v/>
      </c>
      <c r="EV18" s="18">
        <f>-EV$14*ConcessionsPct</f>
        <v/>
      </c>
      <c r="EW18" s="18">
        <f>-EW$14*ConcessionsPct</f>
        <v/>
      </c>
      <c r="EX18" s="18">
        <f>-EX$14*ConcessionsPct</f>
        <v/>
      </c>
      <c r="EY18" s="18">
        <f>-EY$14*ConcessionsPct</f>
        <v/>
      </c>
      <c r="EZ18" s="18">
        <f>-EZ$14*ConcessionsPct</f>
        <v/>
      </c>
      <c r="FA18" s="18">
        <f>-FA$14*ConcessionsPct</f>
        <v/>
      </c>
      <c r="FB18" s="18">
        <f>-FB$14*ConcessionsPct</f>
        <v/>
      </c>
      <c r="FC18" s="18">
        <f>-FC$14*ConcessionsPct</f>
        <v/>
      </c>
      <c r="FD18" s="18">
        <f>-FD$14*ConcessionsPct</f>
        <v/>
      </c>
      <c r="FE18" s="18">
        <f>-FE$14*ConcessionsPct</f>
        <v/>
      </c>
      <c r="FF18" s="18">
        <f>-FF$14*ConcessionsPct</f>
        <v/>
      </c>
      <c r="FG18" s="18">
        <f>-FG$14*ConcessionsPct</f>
        <v/>
      </c>
      <c r="FH18" s="18">
        <f>-FH$14*ConcessionsPct</f>
        <v/>
      </c>
      <c r="FI18" s="18">
        <f>-FI$14*ConcessionsPct</f>
        <v/>
      </c>
      <c r="FJ18" s="18">
        <f>-FJ$14*ConcessionsPct</f>
        <v/>
      </c>
      <c r="FK18" s="18">
        <f>-FK$14*ConcessionsPct</f>
        <v/>
      </c>
      <c r="FL18" s="18">
        <f>-FL$14*ConcessionsPct</f>
        <v/>
      </c>
      <c r="FM18" s="18">
        <f>-FM$14*ConcessionsPct</f>
        <v/>
      </c>
      <c r="FN18" s="18">
        <f>-FN$14*ConcessionsPct</f>
        <v/>
      </c>
      <c r="FO18" s="18">
        <f>-FO$14*ConcessionsPct</f>
        <v/>
      </c>
      <c r="FP18" s="18">
        <f>-FP$14*ConcessionsPct</f>
        <v/>
      </c>
      <c r="FQ18" s="18">
        <f>-FQ$14*ConcessionsPct</f>
        <v/>
      </c>
      <c r="FR18" s="18">
        <f>-FR$14*ConcessionsPct</f>
        <v/>
      </c>
      <c r="FS18" s="18">
        <f>-FS$14*ConcessionsPct</f>
        <v/>
      </c>
      <c r="FT18" s="18">
        <f>-FT$14*ConcessionsPct</f>
        <v/>
      </c>
      <c r="FU18" s="18">
        <f>-FU$14*ConcessionsPct</f>
        <v/>
      </c>
      <c r="FV18" s="18">
        <f>-FV$14*ConcessionsPct</f>
        <v/>
      </c>
      <c r="FW18" s="18">
        <f>-FW$14*ConcessionsPct</f>
        <v/>
      </c>
      <c r="FX18" s="18">
        <f>-FX$14*ConcessionsPct</f>
        <v/>
      </c>
      <c r="FY18" s="18">
        <f>-FY$14*ConcessionsPct</f>
        <v/>
      </c>
      <c r="FZ18" s="18">
        <f>-FZ$14*ConcessionsPct</f>
        <v/>
      </c>
      <c r="GA18" s="18">
        <f>-GA$14*ConcessionsPct</f>
        <v/>
      </c>
      <c r="GB18" s="18">
        <f>-GB$14*ConcessionsPct</f>
        <v/>
      </c>
      <c r="GC18" s="18">
        <f>-GC$14*ConcessionsPct</f>
        <v/>
      </c>
      <c r="GD18" s="18">
        <f>-GD$14*ConcessionsPct</f>
        <v/>
      </c>
      <c r="GE18" s="18">
        <f>-GE$14*ConcessionsPct</f>
        <v/>
      </c>
      <c r="GF18" s="18">
        <f>-GF$14*ConcessionsPct</f>
        <v/>
      </c>
      <c r="GG18" s="18">
        <f>-GG$14*ConcessionsPct</f>
        <v/>
      </c>
      <c r="GH18" s="18">
        <f>-GH$14*ConcessionsPct</f>
        <v/>
      </c>
      <c r="GI18" s="18">
        <f>-GI$14*ConcessionsPct</f>
        <v/>
      </c>
      <c r="GJ18" s="18">
        <f>-GJ$14*ConcessionsPct</f>
        <v/>
      </c>
      <c r="GK18" s="18">
        <f>-GK$14*ConcessionsPct</f>
        <v/>
      </c>
      <c r="GL18" s="18">
        <f>-GL$14*ConcessionsPct</f>
        <v/>
      </c>
      <c r="GM18" s="18">
        <f>-GM$14*ConcessionsPct</f>
        <v/>
      </c>
      <c r="GN18" s="18">
        <f>-GN$14*ConcessionsPct</f>
        <v/>
      </c>
      <c r="GO18" s="18">
        <f>-GO$14*ConcessionsPct</f>
        <v/>
      </c>
      <c r="GP18" s="18">
        <f>-GP$14*ConcessionsPct</f>
        <v/>
      </c>
      <c r="GQ18" s="18">
        <f>-GQ$14*ConcessionsPct</f>
        <v/>
      </c>
      <c r="GR18" s="18">
        <f>-GR$14*ConcessionsPct</f>
        <v/>
      </c>
      <c r="GS18" s="18">
        <f>-GS$14*ConcessionsPct</f>
        <v/>
      </c>
      <c r="GT18" s="18">
        <f>-GT$14*ConcessionsPct</f>
        <v/>
      </c>
      <c r="GU18" s="18">
        <f>-GU$14*ConcessionsPct</f>
        <v/>
      </c>
      <c r="GV18" s="18">
        <f>-GV$14*ConcessionsPct</f>
        <v/>
      </c>
      <c r="GW18" s="18">
        <f>-GW$14*ConcessionsPct</f>
        <v/>
      </c>
      <c r="GX18" s="18">
        <f>-GX$14*ConcessionsPct</f>
        <v/>
      </c>
      <c r="GY18" s="18">
        <f>-GY$14*ConcessionsPct</f>
        <v/>
      </c>
      <c r="GZ18" s="18">
        <f>-GZ$14*ConcessionsPct</f>
        <v/>
      </c>
      <c r="HA18" s="18">
        <f>-HA$14*ConcessionsPct</f>
        <v/>
      </c>
      <c r="HB18" s="18">
        <f>-HB$14*ConcessionsPct</f>
        <v/>
      </c>
      <c r="HC18" s="18">
        <f>-HC$14*ConcessionsPct</f>
        <v/>
      </c>
      <c r="HD18" s="18">
        <f>-HD$14*ConcessionsPct</f>
        <v/>
      </c>
      <c r="HE18" s="18">
        <f>-HE$14*ConcessionsPct</f>
        <v/>
      </c>
      <c r="HF18" s="18">
        <f>-HF$14*ConcessionsPct</f>
        <v/>
      </c>
      <c r="HG18" s="18">
        <f>-HG$14*ConcessionsPct</f>
        <v/>
      </c>
      <c r="HH18" s="18">
        <f>-HH$14*ConcessionsPct</f>
        <v/>
      </c>
      <c r="HI18" s="18">
        <f>-HI$14*ConcessionsPct</f>
        <v/>
      </c>
      <c r="HJ18" s="18">
        <f>-HJ$14*ConcessionsPct</f>
        <v/>
      </c>
      <c r="HK18" s="18">
        <f>-HK$14*ConcessionsPct</f>
        <v/>
      </c>
      <c r="HL18" s="18">
        <f>-HL$14*ConcessionsPct</f>
        <v/>
      </c>
      <c r="HM18" s="18">
        <f>-HM$14*ConcessionsPct</f>
        <v/>
      </c>
      <c r="HN18" s="18">
        <f>-HN$14*ConcessionsPct</f>
        <v/>
      </c>
      <c r="HO18" s="18">
        <f>-HO$14*ConcessionsPct</f>
        <v/>
      </c>
      <c r="HP18" s="18">
        <f>-HP$14*ConcessionsPct</f>
        <v/>
      </c>
      <c r="HQ18" s="18">
        <f>-HQ$14*ConcessionsPct</f>
        <v/>
      </c>
      <c r="HR18" s="18">
        <f>-HR$14*ConcessionsPct</f>
        <v/>
      </c>
      <c r="HS18" s="18">
        <f>-HS$14*ConcessionsPct</f>
        <v/>
      </c>
      <c r="HT18" s="18">
        <f>-HT$14*ConcessionsPct</f>
        <v/>
      </c>
      <c r="HU18" s="18">
        <f>-HU$14*ConcessionsPct</f>
        <v/>
      </c>
      <c r="HV18" s="18">
        <f>-HV$14*ConcessionsPct</f>
        <v/>
      </c>
      <c r="HW18" s="18">
        <f>-HW$14*ConcessionsPct</f>
        <v/>
      </c>
      <c r="HX18" s="18">
        <f>-HX$14*ConcessionsPct</f>
        <v/>
      </c>
      <c r="HY18" s="18">
        <f>-HY$14*ConcessionsPct</f>
        <v/>
      </c>
      <c r="HZ18" s="18">
        <f>-HZ$14*ConcessionsPct</f>
        <v/>
      </c>
      <c r="IA18" s="18">
        <f>-IA$14*ConcessionsPct</f>
        <v/>
      </c>
      <c r="IB18" s="18">
        <f>-IB$14*ConcessionsPct</f>
        <v/>
      </c>
      <c r="IC18" s="18">
        <f>-IC$14*ConcessionsPct</f>
        <v/>
      </c>
      <c r="ID18" s="18">
        <f>-ID$14*ConcessionsPct</f>
        <v/>
      </c>
      <c r="IE18" s="18">
        <f>-IE$14*ConcessionsPct</f>
        <v/>
      </c>
      <c r="IF18" s="18">
        <f>-IF$14*ConcessionsPct</f>
        <v/>
      </c>
      <c r="IG18" s="18">
        <f>-IG$14*ConcessionsPct</f>
        <v/>
      </c>
      <c r="IH18" s="18">
        <f>-IH$14*ConcessionsPct</f>
        <v/>
      </c>
      <c r="II18" s="18">
        <f>-II$14*ConcessionsPct</f>
        <v/>
      </c>
      <c r="IJ18" s="18">
        <f>-IJ$14*ConcessionsPct</f>
        <v/>
      </c>
      <c r="IK18" s="18">
        <f>-IK$14*ConcessionsPct</f>
        <v/>
      </c>
      <c r="IL18" s="18">
        <f>-IL$14*ConcessionsPct</f>
        <v/>
      </c>
      <c r="IM18" s="18">
        <f>-IM$14*ConcessionsPct</f>
        <v/>
      </c>
      <c r="IN18" s="18">
        <f>-IN$14*ConcessionsPct</f>
        <v/>
      </c>
      <c r="IO18" s="18">
        <f>-IO$14*ConcessionsPct</f>
        <v/>
      </c>
      <c r="IP18" s="18">
        <f>-IP$14*ConcessionsPct</f>
        <v/>
      </c>
      <c r="IQ18" s="18">
        <f>-IQ$14*ConcessionsPct</f>
        <v/>
      </c>
      <c r="IR18" s="18">
        <f>-IR$14*ConcessionsPct</f>
        <v/>
      </c>
      <c r="IS18" s="18">
        <f>-IS$14*ConcessionsPct</f>
        <v/>
      </c>
      <c r="IT18" s="18">
        <f>-IT$14*ConcessionsPct</f>
        <v/>
      </c>
      <c r="IU18" s="18">
        <f>-IU$14*ConcessionsPct</f>
        <v/>
      </c>
      <c r="IV18" s="18">
        <f>-IV$14*ConcessionsPct</f>
        <v/>
      </c>
      <c r="IW18" s="18">
        <f>-IW$14*ConcessionsPct</f>
        <v/>
      </c>
      <c r="IX18" s="18">
        <f>-IX$14*ConcessionsPct</f>
        <v/>
      </c>
      <c r="IY18" s="18">
        <f>-IY$14*ConcessionsPct</f>
        <v/>
      </c>
      <c r="IZ18" s="18">
        <f>-IZ$14*ConcessionsPct</f>
        <v/>
      </c>
      <c r="JA18" s="18">
        <f>-JA$14*ConcessionsPct</f>
        <v/>
      </c>
      <c r="JB18" s="18">
        <f>-JB$14*ConcessionsPct</f>
        <v/>
      </c>
      <c r="JC18" s="18">
        <f>-JC$14*ConcessionsPct</f>
        <v/>
      </c>
      <c r="JD18" s="18">
        <f>-JD$14*ConcessionsPct</f>
        <v/>
      </c>
      <c r="JE18" s="18">
        <f>-JE$14*ConcessionsPct</f>
        <v/>
      </c>
      <c r="JF18" s="18">
        <f>-JF$14*ConcessionsPct</f>
        <v/>
      </c>
      <c r="JG18" s="18">
        <f>-JG$14*ConcessionsPct</f>
        <v/>
      </c>
      <c r="JH18" s="18">
        <f>-JH$14*ConcessionsPct</f>
        <v/>
      </c>
      <c r="JI18" s="18">
        <f>-JI$14*ConcessionsPct</f>
        <v/>
      </c>
      <c r="JJ18" s="18">
        <f>-JJ$14*ConcessionsPct</f>
        <v/>
      </c>
      <c r="JK18" s="18">
        <f>-JK$14*ConcessionsPct</f>
        <v/>
      </c>
      <c r="JL18" s="18">
        <f>-JL$14*ConcessionsPct</f>
        <v/>
      </c>
      <c r="JM18" s="18">
        <f>-JM$14*ConcessionsPct</f>
        <v/>
      </c>
      <c r="JN18" s="18">
        <f>-JN$14*ConcessionsPct</f>
        <v/>
      </c>
      <c r="JO18" s="18">
        <f>-JO$14*ConcessionsPct</f>
        <v/>
      </c>
      <c r="JP18" s="18">
        <f>-JP$14*ConcessionsPct</f>
        <v/>
      </c>
      <c r="JQ18" s="18">
        <f>-JQ$14*ConcessionsPct</f>
        <v/>
      </c>
      <c r="JR18" s="18">
        <f>-JR$14*ConcessionsPct</f>
        <v/>
      </c>
      <c r="JS18" s="18">
        <f>-JS$14*ConcessionsPct</f>
        <v/>
      </c>
      <c r="JT18" s="18">
        <f>-JT$14*ConcessionsPct</f>
        <v/>
      </c>
      <c r="JU18" s="18">
        <f>-JU$14*ConcessionsPct</f>
        <v/>
      </c>
      <c r="JV18" s="18">
        <f>-JV$14*ConcessionsPct</f>
        <v/>
      </c>
      <c r="JW18" s="18">
        <f>-JW$14*ConcessionsPct</f>
        <v/>
      </c>
      <c r="JX18" s="18">
        <f>-JX$14*ConcessionsPct</f>
        <v/>
      </c>
      <c r="JY18" s="18">
        <f>-JY$14*ConcessionsPct</f>
        <v/>
      </c>
      <c r="JZ18" s="18">
        <f>-JZ$14*ConcessionsPct</f>
        <v/>
      </c>
      <c r="KA18" s="18">
        <f>-KA$14*ConcessionsPct</f>
        <v/>
      </c>
      <c r="KB18" s="18">
        <f>-KB$14*ConcessionsPct</f>
        <v/>
      </c>
      <c r="KC18" s="18">
        <f>-KC$14*ConcessionsPct</f>
        <v/>
      </c>
      <c r="KD18" s="18">
        <f>-KD$14*ConcessionsPct</f>
        <v/>
      </c>
      <c r="KE18" s="18">
        <f>-KE$14*ConcessionsPct</f>
        <v/>
      </c>
      <c r="KF18" s="18">
        <f>-KF$14*ConcessionsPct</f>
        <v/>
      </c>
      <c r="KG18" s="18">
        <f>-KG$14*ConcessionsPct</f>
        <v/>
      </c>
      <c r="KH18" s="18">
        <f>-KH$14*ConcessionsPct</f>
        <v/>
      </c>
      <c r="KI18" s="18">
        <f>-KI$14*ConcessionsPct</f>
        <v/>
      </c>
      <c r="KJ18" s="18">
        <f>-KJ$14*ConcessionsPct</f>
        <v/>
      </c>
      <c r="KK18" s="18">
        <f>-KK$14*ConcessionsPct</f>
        <v/>
      </c>
      <c r="KL18" s="18">
        <f>-KL$14*ConcessionsPct</f>
        <v/>
      </c>
      <c r="KM18" s="18">
        <f>-KM$14*ConcessionsPct</f>
        <v/>
      </c>
      <c r="KN18" s="18">
        <f>-KN$14*ConcessionsPct</f>
        <v/>
      </c>
      <c r="KO18" s="18">
        <f>-KO$14*ConcessionsPct</f>
        <v/>
      </c>
      <c r="KP18" s="18">
        <f>-KP$14*ConcessionsPct</f>
        <v/>
      </c>
      <c r="KQ18" s="18">
        <f>-KQ$14*ConcessionsPct</f>
        <v/>
      </c>
      <c r="KR18" s="18">
        <f>-KR$14*ConcessionsPct</f>
        <v/>
      </c>
      <c r="KS18" s="18">
        <f>-KS$14*ConcessionsPct</f>
        <v/>
      </c>
      <c r="KT18" s="18">
        <f>-KT$14*ConcessionsPct</f>
        <v/>
      </c>
      <c r="KU18" s="18">
        <f>-KU$14*ConcessionsPct</f>
        <v/>
      </c>
      <c r="KV18" s="18">
        <f>-KV$14*ConcessionsPct</f>
        <v/>
      </c>
      <c r="KW18" s="18">
        <f>-KW$14*ConcessionsPct</f>
        <v/>
      </c>
      <c r="KX18" s="18">
        <f>-KX$14*ConcessionsPct</f>
        <v/>
      </c>
      <c r="KY18" s="18">
        <f>-KY$14*ConcessionsPct</f>
        <v/>
      </c>
      <c r="KZ18" s="18">
        <f>-KZ$14*ConcessionsPct</f>
        <v/>
      </c>
      <c r="LA18" s="18">
        <f>-LA$14*ConcessionsPct</f>
        <v/>
      </c>
      <c r="LB18" s="18">
        <f>-LB$14*ConcessionsPct</f>
        <v/>
      </c>
      <c r="LC18" s="18">
        <f>-LC$14*ConcessionsPct</f>
        <v/>
      </c>
      <c r="LD18" s="18">
        <f>-LD$14*ConcessionsPct</f>
        <v/>
      </c>
      <c r="LE18" s="18">
        <f>-LE$14*ConcessionsPct</f>
        <v/>
      </c>
      <c r="LF18" s="18">
        <f>-LF$14*ConcessionsPct</f>
        <v/>
      </c>
      <c r="LG18" s="18">
        <f>-LG$14*ConcessionsPct</f>
        <v/>
      </c>
      <c r="LH18" s="18">
        <f>-LH$14*ConcessionsPct</f>
        <v/>
      </c>
      <c r="LI18" s="18">
        <f>-LI$14*ConcessionsPct</f>
        <v/>
      </c>
      <c r="LJ18" s="18">
        <f>-LJ$14*ConcessionsPct</f>
        <v/>
      </c>
      <c r="LK18" s="18">
        <f>-LK$14*ConcessionsPct</f>
        <v/>
      </c>
      <c r="LL18" s="18">
        <f>-LL$14*ConcessionsPct</f>
        <v/>
      </c>
      <c r="LM18" s="18">
        <f>-LM$14*ConcessionsPct</f>
        <v/>
      </c>
      <c r="LN18" s="18">
        <f>-LN$14*ConcessionsPct</f>
        <v/>
      </c>
      <c r="LO18" s="18">
        <f>-LO$14*ConcessionsPct</f>
        <v/>
      </c>
      <c r="LP18" s="18">
        <f>-LP$14*ConcessionsPct</f>
        <v/>
      </c>
      <c r="LQ18" s="18">
        <f>-LQ$14*ConcessionsPct</f>
        <v/>
      </c>
      <c r="LR18" s="18">
        <f>-LR$14*ConcessionsPct</f>
        <v/>
      </c>
      <c r="LS18" s="18">
        <f>-LS$14*ConcessionsPct</f>
        <v/>
      </c>
      <c r="LT18" s="18">
        <f>-LT$14*ConcessionsPct</f>
        <v/>
      </c>
      <c r="LU18" s="18">
        <f>-LU$14*ConcessionsPct</f>
        <v/>
      </c>
      <c r="LV18" s="18">
        <f>-LV$14*ConcessionsPct</f>
        <v/>
      </c>
      <c r="LW18" s="18">
        <f>-LW$14*ConcessionsPct</f>
        <v/>
      </c>
      <c r="LX18" s="18">
        <f>-LX$14*ConcessionsPct</f>
        <v/>
      </c>
      <c r="LY18" s="18">
        <f>-LY$14*ConcessionsPct</f>
        <v/>
      </c>
      <c r="LZ18" s="18">
        <f>-LZ$14*ConcessionsPct</f>
        <v/>
      </c>
      <c r="MA18" s="18">
        <f>-MA$14*ConcessionsPct</f>
        <v/>
      </c>
      <c r="MB18" s="18">
        <f>-MB$14*ConcessionsPct</f>
        <v/>
      </c>
      <c r="MC18" s="18">
        <f>-MC$14*ConcessionsPct</f>
        <v/>
      </c>
      <c r="MD18" s="18">
        <f>-MD$14*ConcessionsPct</f>
        <v/>
      </c>
      <c r="ME18" s="18">
        <f>-ME$14*ConcessionsPct</f>
        <v/>
      </c>
      <c r="MF18" s="18">
        <f>-MF$14*ConcessionsPct</f>
        <v/>
      </c>
      <c r="MG18" s="18">
        <f>-MG$14*ConcessionsPct</f>
        <v/>
      </c>
      <c r="MH18" s="18">
        <f>-MH$14*ConcessionsPct</f>
        <v/>
      </c>
      <c r="MI18" s="18">
        <f>-MI$14*ConcessionsPct</f>
        <v/>
      </c>
      <c r="MJ18" s="18">
        <f>-MJ$14*ConcessionsPct</f>
        <v/>
      </c>
      <c r="MK18" s="18">
        <f>-MK$14*ConcessionsPct</f>
        <v/>
      </c>
      <c r="ML18" s="18">
        <f>-ML$14*ConcessionsPct</f>
        <v/>
      </c>
      <c r="MM18" s="18">
        <f>-MM$14*ConcessionsPct</f>
        <v/>
      </c>
      <c r="MN18" s="18">
        <f>-MN$14*ConcessionsPct</f>
        <v/>
      </c>
      <c r="MO18" s="18">
        <f>-MO$14*ConcessionsPct</f>
        <v/>
      </c>
      <c r="MP18" s="18">
        <f>-MP$14*ConcessionsPct</f>
        <v/>
      </c>
      <c r="MQ18" s="18">
        <f>-MQ$14*ConcessionsPct</f>
        <v/>
      </c>
      <c r="MR18" s="18">
        <f>-MR$14*ConcessionsPct</f>
        <v/>
      </c>
      <c r="MS18" s="18">
        <f>-MS$14*ConcessionsPct</f>
        <v/>
      </c>
      <c r="MT18" s="18">
        <f>-MT$14*ConcessionsPct</f>
        <v/>
      </c>
      <c r="MU18" s="18">
        <f>-MU$14*ConcessionsPct</f>
        <v/>
      </c>
      <c r="MV18" s="18">
        <f>-MV$14*ConcessionsPct</f>
        <v/>
      </c>
      <c r="MW18" s="18">
        <f>-MW$14*ConcessionsPct</f>
        <v/>
      </c>
      <c r="MX18" s="18">
        <f>-MX$14*ConcessionsPct</f>
        <v/>
      </c>
      <c r="MY18" s="18">
        <f>-MY$14*ConcessionsPct</f>
        <v/>
      </c>
      <c r="MZ18" s="18">
        <f>-MZ$14*ConcessionsPct</f>
        <v/>
      </c>
      <c r="NA18" s="18">
        <f>-NA$14*ConcessionsPct</f>
        <v/>
      </c>
      <c r="NB18" s="18">
        <f>-NB$14*ConcessionsPct</f>
        <v/>
      </c>
      <c r="NC18" s="18">
        <f>-NC$14*ConcessionsPct</f>
        <v/>
      </c>
      <c r="ND18" s="18">
        <f>-ND$14*ConcessionsPct</f>
        <v/>
      </c>
      <c r="NE18" s="18">
        <f>-NE$14*ConcessionsPct</f>
        <v/>
      </c>
      <c r="NF18" s="18">
        <f>-NF$14*ConcessionsPct</f>
        <v/>
      </c>
      <c r="NG18" s="18">
        <f>-NG$14*ConcessionsPct</f>
        <v/>
      </c>
      <c r="NH18" s="18">
        <f>-NH$14*ConcessionsPct</f>
        <v/>
      </c>
      <c r="NI18" s="18">
        <f>-NI$14*ConcessionsPct</f>
        <v/>
      </c>
      <c r="NJ18" s="18">
        <f>-NJ$14*ConcessionsPct</f>
        <v/>
      </c>
      <c r="NK18" s="18">
        <f>-NK$14*ConcessionsPct</f>
        <v/>
      </c>
    </row>
    <row r="19">
      <c r="A19" s="5" t="inlineStr">
        <is>
          <t>Parking &amp; Storage</t>
        </is>
      </c>
      <c r="C19" s="41">
        <f>SUM(D19:NK19)</f>
        <v/>
      </c>
      <c r="D19" s="18">
        <f>IF(1&gt;=DeliverStart,ParkingPerUnitMo*'LeaseUp'!D$9*D$10,0)</f>
        <v/>
      </c>
      <c r="E19" s="18">
        <f>IF(2&gt;=DeliverStart,ParkingPerUnitMo*'LeaseUp'!E$9*E$10,0)</f>
        <v/>
      </c>
      <c r="F19" s="18">
        <f>IF(3&gt;=DeliverStart,ParkingPerUnitMo*'LeaseUp'!F$9*F$10,0)</f>
        <v/>
      </c>
      <c r="G19" s="18">
        <f>IF(4&gt;=DeliverStart,ParkingPerUnitMo*'LeaseUp'!G$9*G$10,0)</f>
        <v/>
      </c>
      <c r="H19" s="18">
        <f>IF(5&gt;=DeliverStart,ParkingPerUnitMo*'LeaseUp'!H$9*H$10,0)</f>
        <v/>
      </c>
      <c r="I19" s="18">
        <f>IF(6&gt;=DeliverStart,ParkingPerUnitMo*'LeaseUp'!I$9*I$10,0)</f>
        <v/>
      </c>
      <c r="J19" s="18">
        <f>IF(7&gt;=DeliverStart,ParkingPerUnitMo*'LeaseUp'!J$9*J$10,0)</f>
        <v/>
      </c>
      <c r="K19" s="18">
        <f>IF(8&gt;=DeliverStart,ParkingPerUnitMo*'LeaseUp'!K$9*K$10,0)</f>
        <v/>
      </c>
      <c r="L19" s="18">
        <f>IF(9&gt;=DeliverStart,ParkingPerUnitMo*'LeaseUp'!L$9*L$10,0)</f>
        <v/>
      </c>
      <c r="M19" s="18">
        <f>IF(10&gt;=DeliverStart,ParkingPerUnitMo*'LeaseUp'!M$9*M$10,0)</f>
        <v/>
      </c>
      <c r="N19" s="18">
        <f>IF(11&gt;=DeliverStart,ParkingPerUnitMo*'LeaseUp'!N$9*N$10,0)</f>
        <v/>
      </c>
      <c r="O19" s="18">
        <f>IF(12&gt;=DeliverStart,ParkingPerUnitMo*'LeaseUp'!O$9*O$10,0)</f>
        <v/>
      </c>
      <c r="P19" s="18">
        <f>IF(13&gt;=DeliverStart,ParkingPerUnitMo*'LeaseUp'!P$9*P$10,0)</f>
        <v/>
      </c>
      <c r="Q19" s="18">
        <f>IF(14&gt;=DeliverStart,ParkingPerUnitMo*'LeaseUp'!Q$9*Q$10,0)</f>
        <v/>
      </c>
      <c r="R19" s="18">
        <f>IF(15&gt;=DeliverStart,ParkingPerUnitMo*'LeaseUp'!R$9*R$10,0)</f>
        <v/>
      </c>
      <c r="S19" s="18">
        <f>IF(16&gt;=DeliverStart,ParkingPerUnitMo*'LeaseUp'!S$9*S$10,0)</f>
        <v/>
      </c>
      <c r="T19" s="18">
        <f>IF(17&gt;=DeliverStart,ParkingPerUnitMo*'LeaseUp'!T$9*T$10,0)</f>
        <v/>
      </c>
      <c r="U19" s="18">
        <f>IF(18&gt;=DeliverStart,ParkingPerUnitMo*'LeaseUp'!U$9*U$10,0)</f>
        <v/>
      </c>
      <c r="V19" s="18">
        <f>IF(19&gt;=DeliverStart,ParkingPerUnitMo*'LeaseUp'!V$9*V$10,0)</f>
        <v/>
      </c>
      <c r="W19" s="18">
        <f>IF(20&gt;=DeliverStart,ParkingPerUnitMo*'LeaseUp'!W$9*W$10,0)</f>
        <v/>
      </c>
      <c r="X19" s="18">
        <f>IF(21&gt;=DeliverStart,ParkingPerUnitMo*'LeaseUp'!X$9*X$10,0)</f>
        <v/>
      </c>
      <c r="Y19" s="18">
        <f>IF(22&gt;=DeliverStart,ParkingPerUnitMo*'LeaseUp'!Y$9*Y$10,0)</f>
        <v/>
      </c>
      <c r="Z19" s="18">
        <f>IF(23&gt;=DeliverStart,ParkingPerUnitMo*'LeaseUp'!Z$9*Z$10,0)</f>
        <v/>
      </c>
      <c r="AA19" s="18">
        <f>IF(24&gt;=DeliverStart,ParkingPerUnitMo*'LeaseUp'!AA$9*AA$10,0)</f>
        <v/>
      </c>
      <c r="AB19" s="18">
        <f>IF(25&gt;=DeliverStart,ParkingPerUnitMo*'LeaseUp'!AB$9*AB$10,0)</f>
        <v/>
      </c>
      <c r="AC19" s="18">
        <f>IF(26&gt;=DeliverStart,ParkingPerUnitMo*'LeaseUp'!AC$9*AC$10,0)</f>
        <v/>
      </c>
      <c r="AD19" s="18">
        <f>IF(27&gt;=DeliverStart,ParkingPerUnitMo*'LeaseUp'!AD$9*AD$10,0)</f>
        <v/>
      </c>
      <c r="AE19" s="18">
        <f>IF(28&gt;=DeliverStart,ParkingPerUnitMo*'LeaseUp'!AE$9*AE$10,0)</f>
        <v/>
      </c>
      <c r="AF19" s="18">
        <f>IF(29&gt;=DeliverStart,ParkingPerUnitMo*'LeaseUp'!AF$9*AF$10,0)</f>
        <v/>
      </c>
      <c r="AG19" s="18">
        <f>IF(30&gt;=DeliverStart,ParkingPerUnitMo*'LeaseUp'!AG$9*AG$10,0)</f>
        <v/>
      </c>
      <c r="AH19" s="18">
        <f>IF(31&gt;=DeliverStart,ParkingPerUnitMo*'LeaseUp'!AH$9*AH$10,0)</f>
        <v/>
      </c>
      <c r="AI19" s="18">
        <f>IF(32&gt;=DeliverStart,ParkingPerUnitMo*'LeaseUp'!AI$9*AI$10,0)</f>
        <v/>
      </c>
      <c r="AJ19" s="18">
        <f>IF(33&gt;=DeliverStart,ParkingPerUnitMo*'LeaseUp'!AJ$9*AJ$10,0)</f>
        <v/>
      </c>
      <c r="AK19" s="18">
        <f>IF(34&gt;=DeliverStart,ParkingPerUnitMo*'LeaseUp'!AK$9*AK$10,0)</f>
        <v/>
      </c>
      <c r="AL19" s="18">
        <f>IF(35&gt;=DeliverStart,ParkingPerUnitMo*'LeaseUp'!AL$9*AL$10,0)</f>
        <v/>
      </c>
      <c r="AM19" s="18">
        <f>IF(36&gt;=DeliverStart,ParkingPerUnitMo*'LeaseUp'!AM$9*AM$10,0)</f>
        <v/>
      </c>
      <c r="AN19" s="18">
        <f>IF(37&gt;=DeliverStart,ParkingPerUnitMo*'LeaseUp'!AN$9*AN$10,0)</f>
        <v/>
      </c>
      <c r="AO19" s="18">
        <f>IF(38&gt;=DeliverStart,ParkingPerUnitMo*'LeaseUp'!AO$9*AO$10,0)</f>
        <v/>
      </c>
      <c r="AP19" s="18">
        <f>IF(39&gt;=DeliverStart,ParkingPerUnitMo*'LeaseUp'!AP$9*AP$10,0)</f>
        <v/>
      </c>
      <c r="AQ19" s="18">
        <f>IF(40&gt;=DeliverStart,ParkingPerUnitMo*'LeaseUp'!AQ$9*AQ$10,0)</f>
        <v/>
      </c>
      <c r="AR19" s="18">
        <f>IF(41&gt;=DeliverStart,ParkingPerUnitMo*'LeaseUp'!AR$9*AR$10,0)</f>
        <v/>
      </c>
      <c r="AS19" s="18">
        <f>IF(42&gt;=DeliverStart,ParkingPerUnitMo*'LeaseUp'!AS$9*AS$10,0)</f>
        <v/>
      </c>
      <c r="AT19" s="18">
        <f>IF(43&gt;=DeliverStart,ParkingPerUnitMo*'LeaseUp'!AT$9*AT$10,0)</f>
        <v/>
      </c>
      <c r="AU19" s="18">
        <f>IF(44&gt;=DeliverStart,ParkingPerUnitMo*'LeaseUp'!AU$9*AU$10,0)</f>
        <v/>
      </c>
      <c r="AV19" s="18">
        <f>IF(45&gt;=DeliverStart,ParkingPerUnitMo*'LeaseUp'!AV$9*AV$10,0)</f>
        <v/>
      </c>
      <c r="AW19" s="18">
        <f>IF(46&gt;=DeliverStart,ParkingPerUnitMo*'LeaseUp'!AW$9*AW$10,0)</f>
        <v/>
      </c>
      <c r="AX19" s="18">
        <f>IF(47&gt;=DeliverStart,ParkingPerUnitMo*'LeaseUp'!AX$9*AX$10,0)</f>
        <v/>
      </c>
      <c r="AY19" s="18">
        <f>IF(48&gt;=DeliverStart,ParkingPerUnitMo*'LeaseUp'!AY$9*AY$10,0)</f>
        <v/>
      </c>
      <c r="AZ19" s="18">
        <f>IF(49&gt;=DeliverStart,ParkingPerUnitMo*'LeaseUp'!AZ$9*AZ$10,0)</f>
        <v/>
      </c>
      <c r="BA19" s="18">
        <f>IF(50&gt;=DeliverStart,ParkingPerUnitMo*'LeaseUp'!BA$9*BA$10,0)</f>
        <v/>
      </c>
      <c r="BB19" s="18">
        <f>IF(51&gt;=DeliverStart,ParkingPerUnitMo*'LeaseUp'!BB$9*BB$10,0)</f>
        <v/>
      </c>
      <c r="BC19" s="18">
        <f>IF(52&gt;=DeliverStart,ParkingPerUnitMo*'LeaseUp'!BC$9*BC$10,0)</f>
        <v/>
      </c>
      <c r="BD19" s="18">
        <f>IF(53&gt;=DeliverStart,ParkingPerUnitMo*'LeaseUp'!BD$9*BD$10,0)</f>
        <v/>
      </c>
      <c r="BE19" s="18">
        <f>IF(54&gt;=DeliverStart,ParkingPerUnitMo*'LeaseUp'!BE$9*BE$10,0)</f>
        <v/>
      </c>
      <c r="BF19" s="18">
        <f>IF(55&gt;=DeliverStart,ParkingPerUnitMo*'LeaseUp'!BF$9*BF$10,0)</f>
        <v/>
      </c>
      <c r="BG19" s="18">
        <f>IF(56&gt;=DeliverStart,ParkingPerUnitMo*'LeaseUp'!BG$9*BG$10,0)</f>
        <v/>
      </c>
      <c r="BH19" s="18">
        <f>IF(57&gt;=DeliverStart,ParkingPerUnitMo*'LeaseUp'!BH$9*BH$10,0)</f>
        <v/>
      </c>
      <c r="BI19" s="18">
        <f>IF(58&gt;=DeliverStart,ParkingPerUnitMo*'LeaseUp'!BI$9*BI$10,0)</f>
        <v/>
      </c>
      <c r="BJ19" s="18">
        <f>IF(59&gt;=DeliverStart,ParkingPerUnitMo*'LeaseUp'!BJ$9*BJ$10,0)</f>
        <v/>
      </c>
      <c r="BK19" s="18">
        <f>IF(60&gt;=DeliverStart,ParkingPerUnitMo*'LeaseUp'!BK$9*BK$10,0)</f>
        <v/>
      </c>
      <c r="BL19" s="18">
        <f>IF(61&gt;=DeliverStart,ParkingPerUnitMo*'LeaseUp'!BL$9*BL$10,0)</f>
        <v/>
      </c>
      <c r="BM19" s="18">
        <f>IF(62&gt;=DeliverStart,ParkingPerUnitMo*'LeaseUp'!BM$9*BM$10,0)</f>
        <v/>
      </c>
      <c r="BN19" s="18">
        <f>IF(63&gt;=DeliverStart,ParkingPerUnitMo*'LeaseUp'!BN$9*BN$10,0)</f>
        <v/>
      </c>
      <c r="BO19" s="18">
        <f>IF(64&gt;=DeliverStart,ParkingPerUnitMo*'LeaseUp'!BO$9*BO$10,0)</f>
        <v/>
      </c>
      <c r="BP19" s="18">
        <f>IF(65&gt;=DeliverStart,ParkingPerUnitMo*'LeaseUp'!BP$9*BP$10,0)</f>
        <v/>
      </c>
      <c r="BQ19" s="18">
        <f>IF(66&gt;=DeliverStart,ParkingPerUnitMo*'LeaseUp'!BQ$9*BQ$10,0)</f>
        <v/>
      </c>
      <c r="BR19" s="18">
        <f>IF(67&gt;=DeliverStart,ParkingPerUnitMo*'LeaseUp'!BR$9*BR$10,0)</f>
        <v/>
      </c>
      <c r="BS19" s="18">
        <f>IF(68&gt;=DeliverStart,ParkingPerUnitMo*'LeaseUp'!BS$9*BS$10,0)</f>
        <v/>
      </c>
      <c r="BT19" s="18">
        <f>IF(69&gt;=DeliverStart,ParkingPerUnitMo*'LeaseUp'!BT$9*BT$10,0)</f>
        <v/>
      </c>
      <c r="BU19" s="18">
        <f>IF(70&gt;=DeliverStart,ParkingPerUnitMo*'LeaseUp'!BU$9*BU$10,0)</f>
        <v/>
      </c>
      <c r="BV19" s="18">
        <f>IF(71&gt;=DeliverStart,ParkingPerUnitMo*'LeaseUp'!BV$9*BV$10,0)</f>
        <v/>
      </c>
      <c r="BW19" s="18">
        <f>IF(72&gt;=DeliverStart,ParkingPerUnitMo*'LeaseUp'!BW$9*BW$10,0)</f>
        <v/>
      </c>
      <c r="BX19" s="18">
        <f>IF(73&gt;=DeliverStart,ParkingPerUnitMo*'LeaseUp'!BX$9*BX$10,0)</f>
        <v/>
      </c>
      <c r="BY19" s="18">
        <f>IF(74&gt;=DeliverStart,ParkingPerUnitMo*'LeaseUp'!BY$9*BY$10,0)</f>
        <v/>
      </c>
      <c r="BZ19" s="18">
        <f>IF(75&gt;=DeliverStart,ParkingPerUnitMo*'LeaseUp'!BZ$9*BZ$10,0)</f>
        <v/>
      </c>
      <c r="CA19" s="18">
        <f>IF(76&gt;=DeliverStart,ParkingPerUnitMo*'LeaseUp'!CA$9*CA$10,0)</f>
        <v/>
      </c>
      <c r="CB19" s="18">
        <f>IF(77&gt;=DeliverStart,ParkingPerUnitMo*'LeaseUp'!CB$9*CB$10,0)</f>
        <v/>
      </c>
      <c r="CC19" s="18">
        <f>IF(78&gt;=DeliverStart,ParkingPerUnitMo*'LeaseUp'!CC$9*CC$10,0)</f>
        <v/>
      </c>
      <c r="CD19" s="18">
        <f>IF(79&gt;=DeliverStart,ParkingPerUnitMo*'LeaseUp'!CD$9*CD$10,0)</f>
        <v/>
      </c>
      <c r="CE19" s="18">
        <f>IF(80&gt;=DeliverStart,ParkingPerUnitMo*'LeaseUp'!CE$9*CE$10,0)</f>
        <v/>
      </c>
      <c r="CF19" s="18">
        <f>IF(81&gt;=DeliverStart,ParkingPerUnitMo*'LeaseUp'!CF$9*CF$10,0)</f>
        <v/>
      </c>
      <c r="CG19" s="18">
        <f>IF(82&gt;=DeliverStart,ParkingPerUnitMo*'LeaseUp'!CG$9*CG$10,0)</f>
        <v/>
      </c>
      <c r="CH19" s="18">
        <f>IF(83&gt;=DeliverStart,ParkingPerUnitMo*'LeaseUp'!CH$9*CH$10,0)</f>
        <v/>
      </c>
      <c r="CI19" s="18">
        <f>IF(84&gt;=DeliverStart,ParkingPerUnitMo*'LeaseUp'!CI$9*CI$10,0)</f>
        <v/>
      </c>
      <c r="CJ19" s="18">
        <f>IF(85&gt;=DeliverStart,ParkingPerUnitMo*'LeaseUp'!CJ$9*CJ$10,0)</f>
        <v/>
      </c>
      <c r="CK19" s="18">
        <f>IF(86&gt;=DeliverStart,ParkingPerUnitMo*'LeaseUp'!CK$9*CK$10,0)</f>
        <v/>
      </c>
      <c r="CL19" s="18">
        <f>IF(87&gt;=DeliverStart,ParkingPerUnitMo*'LeaseUp'!CL$9*CL$10,0)</f>
        <v/>
      </c>
      <c r="CM19" s="18">
        <f>IF(88&gt;=DeliverStart,ParkingPerUnitMo*'LeaseUp'!CM$9*CM$10,0)</f>
        <v/>
      </c>
      <c r="CN19" s="18">
        <f>IF(89&gt;=DeliverStart,ParkingPerUnitMo*'LeaseUp'!CN$9*CN$10,0)</f>
        <v/>
      </c>
      <c r="CO19" s="18">
        <f>IF(90&gt;=DeliverStart,ParkingPerUnitMo*'LeaseUp'!CO$9*CO$10,0)</f>
        <v/>
      </c>
      <c r="CP19" s="18">
        <f>IF(91&gt;=DeliverStart,ParkingPerUnitMo*'LeaseUp'!CP$9*CP$10,0)</f>
        <v/>
      </c>
      <c r="CQ19" s="18">
        <f>IF(92&gt;=DeliverStart,ParkingPerUnitMo*'LeaseUp'!CQ$9*CQ$10,0)</f>
        <v/>
      </c>
      <c r="CR19" s="18">
        <f>IF(93&gt;=DeliverStart,ParkingPerUnitMo*'LeaseUp'!CR$9*CR$10,0)</f>
        <v/>
      </c>
      <c r="CS19" s="18">
        <f>IF(94&gt;=DeliverStart,ParkingPerUnitMo*'LeaseUp'!CS$9*CS$10,0)</f>
        <v/>
      </c>
      <c r="CT19" s="18">
        <f>IF(95&gt;=DeliverStart,ParkingPerUnitMo*'LeaseUp'!CT$9*CT$10,0)</f>
        <v/>
      </c>
      <c r="CU19" s="18">
        <f>IF(96&gt;=DeliverStart,ParkingPerUnitMo*'LeaseUp'!CU$9*CU$10,0)</f>
        <v/>
      </c>
      <c r="CV19" s="18">
        <f>IF(97&gt;=DeliverStart,ParkingPerUnitMo*'LeaseUp'!CV$9*CV$10,0)</f>
        <v/>
      </c>
      <c r="CW19" s="18">
        <f>IF(98&gt;=DeliverStart,ParkingPerUnitMo*'LeaseUp'!CW$9*CW$10,0)</f>
        <v/>
      </c>
      <c r="CX19" s="18">
        <f>IF(99&gt;=DeliverStart,ParkingPerUnitMo*'LeaseUp'!CX$9*CX$10,0)</f>
        <v/>
      </c>
      <c r="CY19" s="18">
        <f>IF(100&gt;=DeliverStart,ParkingPerUnitMo*'LeaseUp'!CY$9*CY$10,0)</f>
        <v/>
      </c>
      <c r="CZ19" s="18">
        <f>IF(101&gt;=DeliverStart,ParkingPerUnitMo*'LeaseUp'!CZ$9*CZ$10,0)</f>
        <v/>
      </c>
      <c r="DA19" s="18">
        <f>IF(102&gt;=DeliverStart,ParkingPerUnitMo*'LeaseUp'!DA$9*DA$10,0)</f>
        <v/>
      </c>
      <c r="DB19" s="18">
        <f>IF(103&gt;=DeliverStart,ParkingPerUnitMo*'LeaseUp'!DB$9*DB$10,0)</f>
        <v/>
      </c>
      <c r="DC19" s="18">
        <f>IF(104&gt;=DeliverStart,ParkingPerUnitMo*'LeaseUp'!DC$9*DC$10,0)</f>
        <v/>
      </c>
      <c r="DD19" s="18">
        <f>IF(105&gt;=DeliverStart,ParkingPerUnitMo*'LeaseUp'!DD$9*DD$10,0)</f>
        <v/>
      </c>
      <c r="DE19" s="18">
        <f>IF(106&gt;=DeliverStart,ParkingPerUnitMo*'LeaseUp'!DE$9*DE$10,0)</f>
        <v/>
      </c>
      <c r="DF19" s="18">
        <f>IF(107&gt;=DeliverStart,ParkingPerUnitMo*'LeaseUp'!DF$9*DF$10,0)</f>
        <v/>
      </c>
      <c r="DG19" s="18">
        <f>IF(108&gt;=DeliverStart,ParkingPerUnitMo*'LeaseUp'!DG$9*DG$10,0)</f>
        <v/>
      </c>
      <c r="DH19" s="18">
        <f>IF(109&gt;=DeliverStart,ParkingPerUnitMo*'LeaseUp'!DH$9*DH$10,0)</f>
        <v/>
      </c>
      <c r="DI19" s="18">
        <f>IF(110&gt;=DeliverStart,ParkingPerUnitMo*'LeaseUp'!DI$9*DI$10,0)</f>
        <v/>
      </c>
      <c r="DJ19" s="18">
        <f>IF(111&gt;=DeliverStart,ParkingPerUnitMo*'LeaseUp'!DJ$9*DJ$10,0)</f>
        <v/>
      </c>
      <c r="DK19" s="18">
        <f>IF(112&gt;=DeliverStart,ParkingPerUnitMo*'LeaseUp'!DK$9*DK$10,0)</f>
        <v/>
      </c>
      <c r="DL19" s="18">
        <f>IF(113&gt;=DeliverStart,ParkingPerUnitMo*'LeaseUp'!DL$9*DL$10,0)</f>
        <v/>
      </c>
      <c r="DM19" s="18">
        <f>IF(114&gt;=DeliverStart,ParkingPerUnitMo*'LeaseUp'!DM$9*DM$10,0)</f>
        <v/>
      </c>
      <c r="DN19" s="18">
        <f>IF(115&gt;=DeliverStart,ParkingPerUnitMo*'LeaseUp'!DN$9*DN$10,0)</f>
        <v/>
      </c>
      <c r="DO19" s="18">
        <f>IF(116&gt;=DeliverStart,ParkingPerUnitMo*'LeaseUp'!DO$9*DO$10,0)</f>
        <v/>
      </c>
      <c r="DP19" s="18">
        <f>IF(117&gt;=DeliverStart,ParkingPerUnitMo*'LeaseUp'!DP$9*DP$10,0)</f>
        <v/>
      </c>
      <c r="DQ19" s="18">
        <f>IF(118&gt;=DeliverStart,ParkingPerUnitMo*'LeaseUp'!DQ$9*DQ$10,0)</f>
        <v/>
      </c>
      <c r="DR19" s="18">
        <f>IF(119&gt;=DeliverStart,ParkingPerUnitMo*'LeaseUp'!DR$9*DR$10,0)</f>
        <v/>
      </c>
      <c r="DS19" s="18">
        <f>IF(120&gt;=DeliverStart,ParkingPerUnitMo*'LeaseUp'!DS$9*DS$10,0)</f>
        <v/>
      </c>
      <c r="DT19" s="18">
        <f>IF(121&gt;=DeliverStart,ParkingPerUnitMo*'LeaseUp'!DT$9*DT$10,0)</f>
        <v/>
      </c>
      <c r="DU19" s="18">
        <f>IF(122&gt;=DeliverStart,ParkingPerUnitMo*'LeaseUp'!DU$9*DU$10,0)</f>
        <v/>
      </c>
      <c r="DV19" s="18">
        <f>IF(123&gt;=DeliverStart,ParkingPerUnitMo*'LeaseUp'!DV$9*DV$10,0)</f>
        <v/>
      </c>
      <c r="DW19" s="18">
        <f>IF(124&gt;=DeliverStart,ParkingPerUnitMo*'LeaseUp'!DW$9*DW$10,0)</f>
        <v/>
      </c>
      <c r="DX19" s="18">
        <f>IF(125&gt;=DeliverStart,ParkingPerUnitMo*'LeaseUp'!DX$9*DX$10,0)</f>
        <v/>
      </c>
      <c r="DY19" s="18">
        <f>IF(126&gt;=DeliverStart,ParkingPerUnitMo*'LeaseUp'!DY$9*DY$10,0)</f>
        <v/>
      </c>
      <c r="DZ19" s="18">
        <f>IF(127&gt;=DeliverStart,ParkingPerUnitMo*'LeaseUp'!DZ$9*DZ$10,0)</f>
        <v/>
      </c>
      <c r="EA19" s="18">
        <f>IF(128&gt;=DeliverStart,ParkingPerUnitMo*'LeaseUp'!EA$9*EA$10,0)</f>
        <v/>
      </c>
      <c r="EB19" s="18">
        <f>IF(129&gt;=DeliverStart,ParkingPerUnitMo*'LeaseUp'!EB$9*EB$10,0)</f>
        <v/>
      </c>
      <c r="EC19" s="18">
        <f>IF(130&gt;=DeliverStart,ParkingPerUnitMo*'LeaseUp'!EC$9*EC$10,0)</f>
        <v/>
      </c>
      <c r="ED19" s="18">
        <f>IF(131&gt;=DeliverStart,ParkingPerUnitMo*'LeaseUp'!ED$9*ED$10,0)</f>
        <v/>
      </c>
      <c r="EE19" s="18">
        <f>IF(132&gt;=DeliverStart,ParkingPerUnitMo*'LeaseUp'!EE$9*EE$10,0)</f>
        <v/>
      </c>
      <c r="EF19" s="18">
        <f>IF(133&gt;=DeliverStart,ParkingPerUnitMo*'LeaseUp'!EF$9*EF$10,0)</f>
        <v/>
      </c>
      <c r="EG19" s="18">
        <f>IF(134&gt;=DeliverStart,ParkingPerUnitMo*'LeaseUp'!EG$9*EG$10,0)</f>
        <v/>
      </c>
      <c r="EH19" s="18">
        <f>IF(135&gt;=DeliverStart,ParkingPerUnitMo*'LeaseUp'!EH$9*EH$10,0)</f>
        <v/>
      </c>
      <c r="EI19" s="18">
        <f>IF(136&gt;=DeliverStart,ParkingPerUnitMo*'LeaseUp'!EI$9*EI$10,0)</f>
        <v/>
      </c>
      <c r="EJ19" s="18">
        <f>IF(137&gt;=DeliverStart,ParkingPerUnitMo*'LeaseUp'!EJ$9*EJ$10,0)</f>
        <v/>
      </c>
      <c r="EK19" s="18">
        <f>IF(138&gt;=DeliverStart,ParkingPerUnitMo*'LeaseUp'!EK$9*EK$10,0)</f>
        <v/>
      </c>
      <c r="EL19" s="18">
        <f>IF(139&gt;=DeliverStart,ParkingPerUnitMo*'LeaseUp'!EL$9*EL$10,0)</f>
        <v/>
      </c>
      <c r="EM19" s="18">
        <f>IF(140&gt;=DeliverStart,ParkingPerUnitMo*'LeaseUp'!EM$9*EM$10,0)</f>
        <v/>
      </c>
      <c r="EN19" s="18">
        <f>IF(141&gt;=DeliverStart,ParkingPerUnitMo*'LeaseUp'!EN$9*EN$10,0)</f>
        <v/>
      </c>
      <c r="EO19" s="18">
        <f>IF(142&gt;=DeliverStart,ParkingPerUnitMo*'LeaseUp'!EO$9*EO$10,0)</f>
        <v/>
      </c>
      <c r="EP19" s="18">
        <f>IF(143&gt;=DeliverStart,ParkingPerUnitMo*'LeaseUp'!EP$9*EP$10,0)</f>
        <v/>
      </c>
      <c r="EQ19" s="18">
        <f>IF(144&gt;=DeliverStart,ParkingPerUnitMo*'LeaseUp'!EQ$9*EQ$10,0)</f>
        <v/>
      </c>
      <c r="ER19" s="18">
        <f>IF(145&gt;=DeliverStart,ParkingPerUnitMo*'LeaseUp'!ER$9*ER$10,0)</f>
        <v/>
      </c>
      <c r="ES19" s="18">
        <f>IF(146&gt;=DeliverStart,ParkingPerUnitMo*'LeaseUp'!ES$9*ES$10,0)</f>
        <v/>
      </c>
      <c r="ET19" s="18">
        <f>IF(147&gt;=DeliverStart,ParkingPerUnitMo*'LeaseUp'!ET$9*ET$10,0)</f>
        <v/>
      </c>
      <c r="EU19" s="18">
        <f>IF(148&gt;=DeliverStart,ParkingPerUnitMo*'LeaseUp'!EU$9*EU$10,0)</f>
        <v/>
      </c>
      <c r="EV19" s="18">
        <f>IF(149&gt;=DeliverStart,ParkingPerUnitMo*'LeaseUp'!EV$9*EV$10,0)</f>
        <v/>
      </c>
      <c r="EW19" s="18">
        <f>IF(150&gt;=DeliverStart,ParkingPerUnitMo*'LeaseUp'!EW$9*EW$10,0)</f>
        <v/>
      </c>
      <c r="EX19" s="18">
        <f>IF(151&gt;=DeliverStart,ParkingPerUnitMo*'LeaseUp'!EX$9*EX$10,0)</f>
        <v/>
      </c>
      <c r="EY19" s="18">
        <f>IF(152&gt;=DeliverStart,ParkingPerUnitMo*'LeaseUp'!EY$9*EY$10,0)</f>
        <v/>
      </c>
      <c r="EZ19" s="18">
        <f>IF(153&gt;=DeliverStart,ParkingPerUnitMo*'LeaseUp'!EZ$9*EZ$10,0)</f>
        <v/>
      </c>
      <c r="FA19" s="18">
        <f>IF(154&gt;=DeliverStart,ParkingPerUnitMo*'LeaseUp'!FA$9*FA$10,0)</f>
        <v/>
      </c>
      <c r="FB19" s="18">
        <f>IF(155&gt;=DeliverStart,ParkingPerUnitMo*'LeaseUp'!FB$9*FB$10,0)</f>
        <v/>
      </c>
      <c r="FC19" s="18">
        <f>IF(156&gt;=DeliverStart,ParkingPerUnitMo*'LeaseUp'!FC$9*FC$10,0)</f>
        <v/>
      </c>
      <c r="FD19" s="18">
        <f>IF(157&gt;=DeliverStart,ParkingPerUnitMo*'LeaseUp'!FD$9*FD$10,0)</f>
        <v/>
      </c>
      <c r="FE19" s="18">
        <f>IF(158&gt;=DeliverStart,ParkingPerUnitMo*'LeaseUp'!FE$9*FE$10,0)</f>
        <v/>
      </c>
      <c r="FF19" s="18">
        <f>IF(159&gt;=DeliverStart,ParkingPerUnitMo*'LeaseUp'!FF$9*FF$10,0)</f>
        <v/>
      </c>
      <c r="FG19" s="18">
        <f>IF(160&gt;=DeliverStart,ParkingPerUnitMo*'LeaseUp'!FG$9*FG$10,0)</f>
        <v/>
      </c>
      <c r="FH19" s="18">
        <f>IF(161&gt;=DeliverStart,ParkingPerUnitMo*'LeaseUp'!FH$9*FH$10,0)</f>
        <v/>
      </c>
      <c r="FI19" s="18">
        <f>IF(162&gt;=DeliverStart,ParkingPerUnitMo*'LeaseUp'!FI$9*FI$10,0)</f>
        <v/>
      </c>
      <c r="FJ19" s="18">
        <f>IF(163&gt;=DeliverStart,ParkingPerUnitMo*'LeaseUp'!FJ$9*FJ$10,0)</f>
        <v/>
      </c>
      <c r="FK19" s="18">
        <f>IF(164&gt;=DeliverStart,ParkingPerUnitMo*'LeaseUp'!FK$9*FK$10,0)</f>
        <v/>
      </c>
      <c r="FL19" s="18">
        <f>IF(165&gt;=DeliverStart,ParkingPerUnitMo*'LeaseUp'!FL$9*FL$10,0)</f>
        <v/>
      </c>
      <c r="FM19" s="18">
        <f>IF(166&gt;=DeliverStart,ParkingPerUnitMo*'LeaseUp'!FM$9*FM$10,0)</f>
        <v/>
      </c>
      <c r="FN19" s="18">
        <f>IF(167&gt;=DeliverStart,ParkingPerUnitMo*'LeaseUp'!FN$9*FN$10,0)</f>
        <v/>
      </c>
      <c r="FO19" s="18">
        <f>IF(168&gt;=DeliverStart,ParkingPerUnitMo*'LeaseUp'!FO$9*FO$10,0)</f>
        <v/>
      </c>
      <c r="FP19" s="18">
        <f>IF(169&gt;=DeliverStart,ParkingPerUnitMo*'LeaseUp'!FP$9*FP$10,0)</f>
        <v/>
      </c>
      <c r="FQ19" s="18">
        <f>IF(170&gt;=DeliverStart,ParkingPerUnitMo*'LeaseUp'!FQ$9*FQ$10,0)</f>
        <v/>
      </c>
      <c r="FR19" s="18">
        <f>IF(171&gt;=DeliverStart,ParkingPerUnitMo*'LeaseUp'!FR$9*FR$10,0)</f>
        <v/>
      </c>
      <c r="FS19" s="18">
        <f>IF(172&gt;=DeliverStart,ParkingPerUnitMo*'LeaseUp'!FS$9*FS$10,0)</f>
        <v/>
      </c>
      <c r="FT19" s="18">
        <f>IF(173&gt;=DeliverStart,ParkingPerUnitMo*'LeaseUp'!FT$9*FT$10,0)</f>
        <v/>
      </c>
      <c r="FU19" s="18">
        <f>IF(174&gt;=DeliverStart,ParkingPerUnitMo*'LeaseUp'!FU$9*FU$10,0)</f>
        <v/>
      </c>
      <c r="FV19" s="18">
        <f>IF(175&gt;=DeliverStart,ParkingPerUnitMo*'LeaseUp'!FV$9*FV$10,0)</f>
        <v/>
      </c>
      <c r="FW19" s="18">
        <f>IF(176&gt;=DeliverStart,ParkingPerUnitMo*'LeaseUp'!FW$9*FW$10,0)</f>
        <v/>
      </c>
      <c r="FX19" s="18">
        <f>IF(177&gt;=DeliverStart,ParkingPerUnitMo*'LeaseUp'!FX$9*FX$10,0)</f>
        <v/>
      </c>
      <c r="FY19" s="18">
        <f>IF(178&gt;=DeliverStart,ParkingPerUnitMo*'LeaseUp'!FY$9*FY$10,0)</f>
        <v/>
      </c>
      <c r="FZ19" s="18">
        <f>IF(179&gt;=DeliverStart,ParkingPerUnitMo*'LeaseUp'!FZ$9*FZ$10,0)</f>
        <v/>
      </c>
      <c r="GA19" s="18">
        <f>IF(180&gt;=DeliverStart,ParkingPerUnitMo*'LeaseUp'!GA$9*GA$10,0)</f>
        <v/>
      </c>
      <c r="GB19" s="18">
        <f>IF(181&gt;=DeliverStart,ParkingPerUnitMo*'LeaseUp'!GB$9*GB$10,0)</f>
        <v/>
      </c>
      <c r="GC19" s="18">
        <f>IF(182&gt;=DeliverStart,ParkingPerUnitMo*'LeaseUp'!GC$9*GC$10,0)</f>
        <v/>
      </c>
      <c r="GD19" s="18">
        <f>IF(183&gt;=DeliverStart,ParkingPerUnitMo*'LeaseUp'!GD$9*GD$10,0)</f>
        <v/>
      </c>
      <c r="GE19" s="18">
        <f>IF(184&gt;=DeliverStart,ParkingPerUnitMo*'LeaseUp'!GE$9*GE$10,0)</f>
        <v/>
      </c>
      <c r="GF19" s="18">
        <f>IF(185&gt;=DeliverStart,ParkingPerUnitMo*'LeaseUp'!GF$9*GF$10,0)</f>
        <v/>
      </c>
      <c r="GG19" s="18">
        <f>IF(186&gt;=DeliverStart,ParkingPerUnitMo*'LeaseUp'!GG$9*GG$10,0)</f>
        <v/>
      </c>
      <c r="GH19" s="18">
        <f>IF(187&gt;=DeliverStart,ParkingPerUnitMo*'LeaseUp'!GH$9*GH$10,0)</f>
        <v/>
      </c>
      <c r="GI19" s="18">
        <f>IF(188&gt;=DeliverStart,ParkingPerUnitMo*'LeaseUp'!GI$9*GI$10,0)</f>
        <v/>
      </c>
      <c r="GJ19" s="18">
        <f>IF(189&gt;=DeliverStart,ParkingPerUnitMo*'LeaseUp'!GJ$9*GJ$10,0)</f>
        <v/>
      </c>
      <c r="GK19" s="18">
        <f>IF(190&gt;=DeliverStart,ParkingPerUnitMo*'LeaseUp'!GK$9*GK$10,0)</f>
        <v/>
      </c>
      <c r="GL19" s="18">
        <f>IF(191&gt;=DeliverStart,ParkingPerUnitMo*'LeaseUp'!GL$9*GL$10,0)</f>
        <v/>
      </c>
      <c r="GM19" s="18">
        <f>IF(192&gt;=DeliverStart,ParkingPerUnitMo*'LeaseUp'!GM$9*GM$10,0)</f>
        <v/>
      </c>
      <c r="GN19" s="18">
        <f>IF(193&gt;=DeliverStart,ParkingPerUnitMo*'LeaseUp'!GN$9*GN$10,0)</f>
        <v/>
      </c>
      <c r="GO19" s="18">
        <f>IF(194&gt;=DeliverStart,ParkingPerUnitMo*'LeaseUp'!GO$9*GO$10,0)</f>
        <v/>
      </c>
      <c r="GP19" s="18">
        <f>IF(195&gt;=DeliverStart,ParkingPerUnitMo*'LeaseUp'!GP$9*GP$10,0)</f>
        <v/>
      </c>
      <c r="GQ19" s="18">
        <f>IF(196&gt;=DeliverStart,ParkingPerUnitMo*'LeaseUp'!GQ$9*GQ$10,0)</f>
        <v/>
      </c>
      <c r="GR19" s="18">
        <f>IF(197&gt;=DeliverStart,ParkingPerUnitMo*'LeaseUp'!GR$9*GR$10,0)</f>
        <v/>
      </c>
      <c r="GS19" s="18">
        <f>IF(198&gt;=DeliverStart,ParkingPerUnitMo*'LeaseUp'!GS$9*GS$10,0)</f>
        <v/>
      </c>
      <c r="GT19" s="18">
        <f>IF(199&gt;=DeliverStart,ParkingPerUnitMo*'LeaseUp'!GT$9*GT$10,0)</f>
        <v/>
      </c>
      <c r="GU19" s="18">
        <f>IF(200&gt;=DeliverStart,ParkingPerUnitMo*'LeaseUp'!GU$9*GU$10,0)</f>
        <v/>
      </c>
      <c r="GV19" s="18">
        <f>IF(201&gt;=DeliverStart,ParkingPerUnitMo*'LeaseUp'!GV$9*GV$10,0)</f>
        <v/>
      </c>
      <c r="GW19" s="18">
        <f>IF(202&gt;=DeliverStart,ParkingPerUnitMo*'LeaseUp'!GW$9*GW$10,0)</f>
        <v/>
      </c>
      <c r="GX19" s="18">
        <f>IF(203&gt;=DeliverStart,ParkingPerUnitMo*'LeaseUp'!GX$9*GX$10,0)</f>
        <v/>
      </c>
      <c r="GY19" s="18">
        <f>IF(204&gt;=DeliverStart,ParkingPerUnitMo*'LeaseUp'!GY$9*GY$10,0)</f>
        <v/>
      </c>
      <c r="GZ19" s="18">
        <f>IF(205&gt;=DeliverStart,ParkingPerUnitMo*'LeaseUp'!GZ$9*GZ$10,0)</f>
        <v/>
      </c>
      <c r="HA19" s="18">
        <f>IF(206&gt;=DeliverStart,ParkingPerUnitMo*'LeaseUp'!HA$9*HA$10,0)</f>
        <v/>
      </c>
      <c r="HB19" s="18">
        <f>IF(207&gt;=DeliverStart,ParkingPerUnitMo*'LeaseUp'!HB$9*HB$10,0)</f>
        <v/>
      </c>
      <c r="HC19" s="18">
        <f>IF(208&gt;=DeliverStart,ParkingPerUnitMo*'LeaseUp'!HC$9*HC$10,0)</f>
        <v/>
      </c>
      <c r="HD19" s="18">
        <f>IF(209&gt;=DeliverStart,ParkingPerUnitMo*'LeaseUp'!HD$9*HD$10,0)</f>
        <v/>
      </c>
      <c r="HE19" s="18">
        <f>IF(210&gt;=DeliverStart,ParkingPerUnitMo*'LeaseUp'!HE$9*HE$10,0)</f>
        <v/>
      </c>
      <c r="HF19" s="18">
        <f>IF(211&gt;=DeliverStart,ParkingPerUnitMo*'LeaseUp'!HF$9*HF$10,0)</f>
        <v/>
      </c>
      <c r="HG19" s="18">
        <f>IF(212&gt;=DeliverStart,ParkingPerUnitMo*'LeaseUp'!HG$9*HG$10,0)</f>
        <v/>
      </c>
      <c r="HH19" s="18">
        <f>IF(213&gt;=DeliverStart,ParkingPerUnitMo*'LeaseUp'!HH$9*HH$10,0)</f>
        <v/>
      </c>
      <c r="HI19" s="18">
        <f>IF(214&gt;=DeliverStart,ParkingPerUnitMo*'LeaseUp'!HI$9*HI$10,0)</f>
        <v/>
      </c>
      <c r="HJ19" s="18">
        <f>IF(215&gt;=DeliverStart,ParkingPerUnitMo*'LeaseUp'!HJ$9*HJ$10,0)</f>
        <v/>
      </c>
      <c r="HK19" s="18">
        <f>IF(216&gt;=DeliverStart,ParkingPerUnitMo*'LeaseUp'!HK$9*HK$10,0)</f>
        <v/>
      </c>
      <c r="HL19" s="18">
        <f>IF(217&gt;=DeliverStart,ParkingPerUnitMo*'LeaseUp'!HL$9*HL$10,0)</f>
        <v/>
      </c>
      <c r="HM19" s="18">
        <f>IF(218&gt;=DeliverStart,ParkingPerUnitMo*'LeaseUp'!HM$9*HM$10,0)</f>
        <v/>
      </c>
      <c r="HN19" s="18">
        <f>IF(219&gt;=DeliverStart,ParkingPerUnitMo*'LeaseUp'!HN$9*HN$10,0)</f>
        <v/>
      </c>
      <c r="HO19" s="18">
        <f>IF(220&gt;=DeliverStart,ParkingPerUnitMo*'LeaseUp'!HO$9*HO$10,0)</f>
        <v/>
      </c>
      <c r="HP19" s="18">
        <f>IF(221&gt;=DeliverStart,ParkingPerUnitMo*'LeaseUp'!HP$9*HP$10,0)</f>
        <v/>
      </c>
      <c r="HQ19" s="18">
        <f>IF(222&gt;=DeliverStart,ParkingPerUnitMo*'LeaseUp'!HQ$9*HQ$10,0)</f>
        <v/>
      </c>
      <c r="HR19" s="18">
        <f>IF(223&gt;=DeliverStart,ParkingPerUnitMo*'LeaseUp'!HR$9*HR$10,0)</f>
        <v/>
      </c>
      <c r="HS19" s="18">
        <f>IF(224&gt;=DeliverStart,ParkingPerUnitMo*'LeaseUp'!HS$9*HS$10,0)</f>
        <v/>
      </c>
      <c r="HT19" s="18">
        <f>IF(225&gt;=DeliverStart,ParkingPerUnitMo*'LeaseUp'!HT$9*HT$10,0)</f>
        <v/>
      </c>
      <c r="HU19" s="18">
        <f>IF(226&gt;=DeliverStart,ParkingPerUnitMo*'LeaseUp'!HU$9*HU$10,0)</f>
        <v/>
      </c>
      <c r="HV19" s="18">
        <f>IF(227&gt;=DeliverStart,ParkingPerUnitMo*'LeaseUp'!HV$9*HV$10,0)</f>
        <v/>
      </c>
      <c r="HW19" s="18">
        <f>IF(228&gt;=DeliverStart,ParkingPerUnitMo*'LeaseUp'!HW$9*HW$10,0)</f>
        <v/>
      </c>
      <c r="HX19" s="18">
        <f>IF(229&gt;=DeliverStart,ParkingPerUnitMo*'LeaseUp'!HX$9*HX$10,0)</f>
        <v/>
      </c>
      <c r="HY19" s="18">
        <f>IF(230&gt;=DeliverStart,ParkingPerUnitMo*'LeaseUp'!HY$9*HY$10,0)</f>
        <v/>
      </c>
      <c r="HZ19" s="18">
        <f>IF(231&gt;=DeliverStart,ParkingPerUnitMo*'LeaseUp'!HZ$9*HZ$10,0)</f>
        <v/>
      </c>
      <c r="IA19" s="18">
        <f>IF(232&gt;=DeliverStart,ParkingPerUnitMo*'LeaseUp'!IA$9*IA$10,0)</f>
        <v/>
      </c>
      <c r="IB19" s="18">
        <f>IF(233&gt;=DeliverStart,ParkingPerUnitMo*'LeaseUp'!IB$9*IB$10,0)</f>
        <v/>
      </c>
      <c r="IC19" s="18">
        <f>IF(234&gt;=DeliverStart,ParkingPerUnitMo*'LeaseUp'!IC$9*IC$10,0)</f>
        <v/>
      </c>
      <c r="ID19" s="18">
        <f>IF(235&gt;=DeliverStart,ParkingPerUnitMo*'LeaseUp'!ID$9*ID$10,0)</f>
        <v/>
      </c>
      <c r="IE19" s="18">
        <f>IF(236&gt;=DeliverStart,ParkingPerUnitMo*'LeaseUp'!IE$9*IE$10,0)</f>
        <v/>
      </c>
      <c r="IF19" s="18">
        <f>IF(237&gt;=DeliverStart,ParkingPerUnitMo*'LeaseUp'!IF$9*IF$10,0)</f>
        <v/>
      </c>
      <c r="IG19" s="18">
        <f>IF(238&gt;=DeliverStart,ParkingPerUnitMo*'LeaseUp'!IG$9*IG$10,0)</f>
        <v/>
      </c>
      <c r="IH19" s="18">
        <f>IF(239&gt;=DeliverStart,ParkingPerUnitMo*'LeaseUp'!IH$9*IH$10,0)</f>
        <v/>
      </c>
      <c r="II19" s="18">
        <f>IF(240&gt;=DeliverStart,ParkingPerUnitMo*'LeaseUp'!II$9*II$10,0)</f>
        <v/>
      </c>
      <c r="IJ19" s="18">
        <f>IF(241&gt;=DeliverStart,ParkingPerUnitMo*'LeaseUp'!IJ$9*IJ$10,0)</f>
        <v/>
      </c>
      <c r="IK19" s="18">
        <f>IF(242&gt;=DeliverStart,ParkingPerUnitMo*'LeaseUp'!IK$9*IK$10,0)</f>
        <v/>
      </c>
      <c r="IL19" s="18">
        <f>IF(243&gt;=DeliverStart,ParkingPerUnitMo*'LeaseUp'!IL$9*IL$10,0)</f>
        <v/>
      </c>
      <c r="IM19" s="18">
        <f>IF(244&gt;=DeliverStart,ParkingPerUnitMo*'LeaseUp'!IM$9*IM$10,0)</f>
        <v/>
      </c>
      <c r="IN19" s="18">
        <f>IF(245&gt;=DeliverStart,ParkingPerUnitMo*'LeaseUp'!IN$9*IN$10,0)</f>
        <v/>
      </c>
      <c r="IO19" s="18">
        <f>IF(246&gt;=DeliverStart,ParkingPerUnitMo*'LeaseUp'!IO$9*IO$10,0)</f>
        <v/>
      </c>
      <c r="IP19" s="18">
        <f>IF(247&gt;=DeliverStart,ParkingPerUnitMo*'LeaseUp'!IP$9*IP$10,0)</f>
        <v/>
      </c>
      <c r="IQ19" s="18">
        <f>IF(248&gt;=DeliverStart,ParkingPerUnitMo*'LeaseUp'!IQ$9*IQ$10,0)</f>
        <v/>
      </c>
      <c r="IR19" s="18">
        <f>IF(249&gt;=DeliverStart,ParkingPerUnitMo*'LeaseUp'!IR$9*IR$10,0)</f>
        <v/>
      </c>
      <c r="IS19" s="18">
        <f>IF(250&gt;=DeliverStart,ParkingPerUnitMo*'LeaseUp'!IS$9*IS$10,0)</f>
        <v/>
      </c>
      <c r="IT19" s="18">
        <f>IF(251&gt;=DeliverStart,ParkingPerUnitMo*'LeaseUp'!IT$9*IT$10,0)</f>
        <v/>
      </c>
      <c r="IU19" s="18">
        <f>IF(252&gt;=DeliverStart,ParkingPerUnitMo*'LeaseUp'!IU$9*IU$10,0)</f>
        <v/>
      </c>
      <c r="IV19" s="18">
        <f>IF(253&gt;=DeliverStart,ParkingPerUnitMo*'LeaseUp'!IV$9*IV$10,0)</f>
        <v/>
      </c>
      <c r="IW19" s="18">
        <f>IF(254&gt;=DeliverStart,ParkingPerUnitMo*'LeaseUp'!IW$9*IW$10,0)</f>
        <v/>
      </c>
      <c r="IX19" s="18">
        <f>IF(255&gt;=DeliverStart,ParkingPerUnitMo*'LeaseUp'!IX$9*IX$10,0)</f>
        <v/>
      </c>
      <c r="IY19" s="18">
        <f>IF(256&gt;=DeliverStart,ParkingPerUnitMo*'LeaseUp'!IY$9*IY$10,0)</f>
        <v/>
      </c>
      <c r="IZ19" s="18">
        <f>IF(257&gt;=DeliverStart,ParkingPerUnitMo*'LeaseUp'!IZ$9*IZ$10,0)</f>
        <v/>
      </c>
      <c r="JA19" s="18">
        <f>IF(258&gt;=DeliverStart,ParkingPerUnitMo*'LeaseUp'!JA$9*JA$10,0)</f>
        <v/>
      </c>
      <c r="JB19" s="18">
        <f>IF(259&gt;=DeliverStart,ParkingPerUnitMo*'LeaseUp'!JB$9*JB$10,0)</f>
        <v/>
      </c>
      <c r="JC19" s="18">
        <f>IF(260&gt;=DeliverStart,ParkingPerUnitMo*'LeaseUp'!JC$9*JC$10,0)</f>
        <v/>
      </c>
      <c r="JD19" s="18">
        <f>IF(261&gt;=DeliverStart,ParkingPerUnitMo*'LeaseUp'!JD$9*JD$10,0)</f>
        <v/>
      </c>
      <c r="JE19" s="18">
        <f>IF(262&gt;=DeliverStart,ParkingPerUnitMo*'LeaseUp'!JE$9*JE$10,0)</f>
        <v/>
      </c>
      <c r="JF19" s="18">
        <f>IF(263&gt;=DeliverStart,ParkingPerUnitMo*'LeaseUp'!JF$9*JF$10,0)</f>
        <v/>
      </c>
      <c r="JG19" s="18">
        <f>IF(264&gt;=DeliverStart,ParkingPerUnitMo*'LeaseUp'!JG$9*JG$10,0)</f>
        <v/>
      </c>
      <c r="JH19" s="18">
        <f>IF(265&gt;=DeliverStart,ParkingPerUnitMo*'LeaseUp'!JH$9*JH$10,0)</f>
        <v/>
      </c>
      <c r="JI19" s="18">
        <f>IF(266&gt;=DeliverStart,ParkingPerUnitMo*'LeaseUp'!JI$9*JI$10,0)</f>
        <v/>
      </c>
      <c r="JJ19" s="18">
        <f>IF(267&gt;=DeliverStart,ParkingPerUnitMo*'LeaseUp'!JJ$9*JJ$10,0)</f>
        <v/>
      </c>
      <c r="JK19" s="18">
        <f>IF(268&gt;=DeliverStart,ParkingPerUnitMo*'LeaseUp'!JK$9*JK$10,0)</f>
        <v/>
      </c>
      <c r="JL19" s="18">
        <f>IF(269&gt;=DeliverStart,ParkingPerUnitMo*'LeaseUp'!JL$9*JL$10,0)</f>
        <v/>
      </c>
      <c r="JM19" s="18">
        <f>IF(270&gt;=DeliverStart,ParkingPerUnitMo*'LeaseUp'!JM$9*JM$10,0)</f>
        <v/>
      </c>
      <c r="JN19" s="18">
        <f>IF(271&gt;=DeliverStart,ParkingPerUnitMo*'LeaseUp'!JN$9*JN$10,0)</f>
        <v/>
      </c>
      <c r="JO19" s="18">
        <f>IF(272&gt;=DeliverStart,ParkingPerUnitMo*'LeaseUp'!JO$9*JO$10,0)</f>
        <v/>
      </c>
      <c r="JP19" s="18">
        <f>IF(273&gt;=DeliverStart,ParkingPerUnitMo*'LeaseUp'!JP$9*JP$10,0)</f>
        <v/>
      </c>
      <c r="JQ19" s="18">
        <f>IF(274&gt;=DeliverStart,ParkingPerUnitMo*'LeaseUp'!JQ$9*JQ$10,0)</f>
        <v/>
      </c>
      <c r="JR19" s="18">
        <f>IF(275&gt;=DeliverStart,ParkingPerUnitMo*'LeaseUp'!JR$9*JR$10,0)</f>
        <v/>
      </c>
      <c r="JS19" s="18">
        <f>IF(276&gt;=DeliverStart,ParkingPerUnitMo*'LeaseUp'!JS$9*JS$10,0)</f>
        <v/>
      </c>
      <c r="JT19" s="18">
        <f>IF(277&gt;=DeliverStart,ParkingPerUnitMo*'LeaseUp'!JT$9*JT$10,0)</f>
        <v/>
      </c>
      <c r="JU19" s="18">
        <f>IF(278&gt;=DeliverStart,ParkingPerUnitMo*'LeaseUp'!JU$9*JU$10,0)</f>
        <v/>
      </c>
      <c r="JV19" s="18">
        <f>IF(279&gt;=DeliverStart,ParkingPerUnitMo*'LeaseUp'!JV$9*JV$10,0)</f>
        <v/>
      </c>
      <c r="JW19" s="18">
        <f>IF(280&gt;=DeliverStart,ParkingPerUnitMo*'LeaseUp'!JW$9*JW$10,0)</f>
        <v/>
      </c>
      <c r="JX19" s="18">
        <f>IF(281&gt;=DeliverStart,ParkingPerUnitMo*'LeaseUp'!JX$9*JX$10,0)</f>
        <v/>
      </c>
      <c r="JY19" s="18">
        <f>IF(282&gt;=DeliverStart,ParkingPerUnitMo*'LeaseUp'!JY$9*JY$10,0)</f>
        <v/>
      </c>
      <c r="JZ19" s="18">
        <f>IF(283&gt;=DeliverStart,ParkingPerUnitMo*'LeaseUp'!JZ$9*JZ$10,0)</f>
        <v/>
      </c>
      <c r="KA19" s="18">
        <f>IF(284&gt;=DeliverStart,ParkingPerUnitMo*'LeaseUp'!KA$9*KA$10,0)</f>
        <v/>
      </c>
      <c r="KB19" s="18">
        <f>IF(285&gt;=DeliverStart,ParkingPerUnitMo*'LeaseUp'!KB$9*KB$10,0)</f>
        <v/>
      </c>
      <c r="KC19" s="18">
        <f>IF(286&gt;=DeliverStart,ParkingPerUnitMo*'LeaseUp'!KC$9*KC$10,0)</f>
        <v/>
      </c>
      <c r="KD19" s="18">
        <f>IF(287&gt;=DeliverStart,ParkingPerUnitMo*'LeaseUp'!KD$9*KD$10,0)</f>
        <v/>
      </c>
      <c r="KE19" s="18">
        <f>IF(288&gt;=DeliverStart,ParkingPerUnitMo*'LeaseUp'!KE$9*KE$10,0)</f>
        <v/>
      </c>
      <c r="KF19" s="18">
        <f>IF(289&gt;=DeliverStart,ParkingPerUnitMo*'LeaseUp'!KF$9*KF$10,0)</f>
        <v/>
      </c>
      <c r="KG19" s="18">
        <f>IF(290&gt;=DeliverStart,ParkingPerUnitMo*'LeaseUp'!KG$9*KG$10,0)</f>
        <v/>
      </c>
      <c r="KH19" s="18">
        <f>IF(291&gt;=DeliverStart,ParkingPerUnitMo*'LeaseUp'!KH$9*KH$10,0)</f>
        <v/>
      </c>
      <c r="KI19" s="18">
        <f>IF(292&gt;=DeliverStart,ParkingPerUnitMo*'LeaseUp'!KI$9*KI$10,0)</f>
        <v/>
      </c>
      <c r="KJ19" s="18">
        <f>IF(293&gt;=DeliverStart,ParkingPerUnitMo*'LeaseUp'!KJ$9*KJ$10,0)</f>
        <v/>
      </c>
      <c r="KK19" s="18">
        <f>IF(294&gt;=DeliverStart,ParkingPerUnitMo*'LeaseUp'!KK$9*KK$10,0)</f>
        <v/>
      </c>
      <c r="KL19" s="18">
        <f>IF(295&gt;=DeliverStart,ParkingPerUnitMo*'LeaseUp'!KL$9*KL$10,0)</f>
        <v/>
      </c>
      <c r="KM19" s="18">
        <f>IF(296&gt;=DeliverStart,ParkingPerUnitMo*'LeaseUp'!KM$9*KM$10,0)</f>
        <v/>
      </c>
      <c r="KN19" s="18">
        <f>IF(297&gt;=DeliverStart,ParkingPerUnitMo*'LeaseUp'!KN$9*KN$10,0)</f>
        <v/>
      </c>
      <c r="KO19" s="18">
        <f>IF(298&gt;=DeliverStart,ParkingPerUnitMo*'LeaseUp'!KO$9*KO$10,0)</f>
        <v/>
      </c>
      <c r="KP19" s="18">
        <f>IF(299&gt;=DeliverStart,ParkingPerUnitMo*'LeaseUp'!KP$9*KP$10,0)</f>
        <v/>
      </c>
      <c r="KQ19" s="18">
        <f>IF(300&gt;=DeliverStart,ParkingPerUnitMo*'LeaseUp'!KQ$9*KQ$10,0)</f>
        <v/>
      </c>
      <c r="KR19" s="18">
        <f>IF(301&gt;=DeliverStart,ParkingPerUnitMo*'LeaseUp'!KR$9*KR$10,0)</f>
        <v/>
      </c>
      <c r="KS19" s="18">
        <f>IF(302&gt;=DeliverStart,ParkingPerUnitMo*'LeaseUp'!KS$9*KS$10,0)</f>
        <v/>
      </c>
      <c r="KT19" s="18">
        <f>IF(303&gt;=DeliverStart,ParkingPerUnitMo*'LeaseUp'!KT$9*KT$10,0)</f>
        <v/>
      </c>
      <c r="KU19" s="18">
        <f>IF(304&gt;=DeliverStart,ParkingPerUnitMo*'LeaseUp'!KU$9*KU$10,0)</f>
        <v/>
      </c>
      <c r="KV19" s="18">
        <f>IF(305&gt;=DeliverStart,ParkingPerUnitMo*'LeaseUp'!KV$9*KV$10,0)</f>
        <v/>
      </c>
      <c r="KW19" s="18">
        <f>IF(306&gt;=DeliverStart,ParkingPerUnitMo*'LeaseUp'!KW$9*KW$10,0)</f>
        <v/>
      </c>
      <c r="KX19" s="18">
        <f>IF(307&gt;=DeliverStart,ParkingPerUnitMo*'LeaseUp'!KX$9*KX$10,0)</f>
        <v/>
      </c>
      <c r="KY19" s="18">
        <f>IF(308&gt;=DeliverStart,ParkingPerUnitMo*'LeaseUp'!KY$9*KY$10,0)</f>
        <v/>
      </c>
      <c r="KZ19" s="18">
        <f>IF(309&gt;=DeliverStart,ParkingPerUnitMo*'LeaseUp'!KZ$9*KZ$10,0)</f>
        <v/>
      </c>
      <c r="LA19" s="18">
        <f>IF(310&gt;=DeliverStart,ParkingPerUnitMo*'LeaseUp'!LA$9*LA$10,0)</f>
        <v/>
      </c>
      <c r="LB19" s="18">
        <f>IF(311&gt;=DeliverStart,ParkingPerUnitMo*'LeaseUp'!LB$9*LB$10,0)</f>
        <v/>
      </c>
      <c r="LC19" s="18">
        <f>IF(312&gt;=DeliverStart,ParkingPerUnitMo*'LeaseUp'!LC$9*LC$10,0)</f>
        <v/>
      </c>
      <c r="LD19" s="18">
        <f>IF(313&gt;=DeliverStart,ParkingPerUnitMo*'LeaseUp'!LD$9*LD$10,0)</f>
        <v/>
      </c>
      <c r="LE19" s="18">
        <f>IF(314&gt;=DeliverStart,ParkingPerUnitMo*'LeaseUp'!LE$9*LE$10,0)</f>
        <v/>
      </c>
      <c r="LF19" s="18">
        <f>IF(315&gt;=DeliverStart,ParkingPerUnitMo*'LeaseUp'!LF$9*LF$10,0)</f>
        <v/>
      </c>
      <c r="LG19" s="18">
        <f>IF(316&gt;=DeliverStart,ParkingPerUnitMo*'LeaseUp'!LG$9*LG$10,0)</f>
        <v/>
      </c>
      <c r="LH19" s="18">
        <f>IF(317&gt;=DeliverStart,ParkingPerUnitMo*'LeaseUp'!LH$9*LH$10,0)</f>
        <v/>
      </c>
      <c r="LI19" s="18">
        <f>IF(318&gt;=DeliverStart,ParkingPerUnitMo*'LeaseUp'!LI$9*LI$10,0)</f>
        <v/>
      </c>
      <c r="LJ19" s="18">
        <f>IF(319&gt;=DeliverStart,ParkingPerUnitMo*'LeaseUp'!LJ$9*LJ$10,0)</f>
        <v/>
      </c>
      <c r="LK19" s="18">
        <f>IF(320&gt;=DeliverStart,ParkingPerUnitMo*'LeaseUp'!LK$9*LK$10,0)</f>
        <v/>
      </c>
      <c r="LL19" s="18">
        <f>IF(321&gt;=DeliverStart,ParkingPerUnitMo*'LeaseUp'!LL$9*LL$10,0)</f>
        <v/>
      </c>
      <c r="LM19" s="18">
        <f>IF(322&gt;=DeliverStart,ParkingPerUnitMo*'LeaseUp'!LM$9*LM$10,0)</f>
        <v/>
      </c>
      <c r="LN19" s="18">
        <f>IF(323&gt;=DeliverStart,ParkingPerUnitMo*'LeaseUp'!LN$9*LN$10,0)</f>
        <v/>
      </c>
      <c r="LO19" s="18">
        <f>IF(324&gt;=DeliverStart,ParkingPerUnitMo*'LeaseUp'!LO$9*LO$10,0)</f>
        <v/>
      </c>
      <c r="LP19" s="18">
        <f>IF(325&gt;=DeliverStart,ParkingPerUnitMo*'LeaseUp'!LP$9*LP$10,0)</f>
        <v/>
      </c>
      <c r="LQ19" s="18">
        <f>IF(326&gt;=DeliverStart,ParkingPerUnitMo*'LeaseUp'!LQ$9*LQ$10,0)</f>
        <v/>
      </c>
      <c r="LR19" s="18">
        <f>IF(327&gt;=DeliverStart,ParkingPerUnitMo*'LeaseUp'!LR$9*LR$10,0)</f>
        <v/>
      </c>
      <c r="LS19" s="18">
        <f>IF(328&gt;=DeliverStart,ParkingPerUnitMo*'LeaseUp'!LS$9*LS$10,0)</f>
        <v/>
      </c>
      <c r="LT19" s="18">
        <f>IF(329&gt;=DeliverStart,ParkingPerUnitMo*'LeaseUp'!LT$9*LT$10,0)</f>
        <v/>
      </c>
      <c r="LU19" s="18">
        <f>IF(330&gt;=DeliverStart,ParkingPerUnitMo*'LeaseUp'!LU$9*LU$10,0)</f>
        <v/>
      </c>
      <c r="LV19" s="18">
        <f>IF(331&gt;=DeliverStart,ParkingPerUnitMo*'LeaseUp'!LV$9*LV$10,0)</f>
        <v/>
      </c>
      <c r="LW19" s="18">
        <f>IF(332&gt;=DeliverStart,ParkingPerUnitMo*'LeaseUp'!LW$9*LW$10,0)</f>
        <v/>
      </c>
      <c r="LX19" s="18">
        <f>IF(333&gt;=DeliverStart,ParkingPerUnitMo*'LeaseUp'!LX$9*LX$10,0)</f>
        <v/>
      </c>
      <c r="LY19" s="18">
        <f>IF(334&gt;=DeliverStart,ParkingPerUnitMo*'LeaseUp'!LY$9*LY$10,0)</f>
        <v/>
      </c>
      <c r="LZ19" s="18">
        <f>IF(335&gt;=DeliverStart,ParkingPerUnitMo*'LeaseUp'!LZ$9*LZ$10,0)</f>
        <v/>
      </c>
      <c r="MA19" s="18">
        <f>IF(336&gt;=DeliverStart,ParkingPerUnitMo*'LeaseUp'!MA$9*MA$10,0)</f>
        <v/>
      </c>
      <c r="MB19" s="18">
        <f>IF(337&gt;=DeliverStart,ParkingPerUnitMo*'LeaseUp'!MB$9*MB$10,0)</f>
        <v/>
      </c>
      <c r="MC19" s="18">
        <f>IF(338&gt;=DeliverStart,ParkingPerUnitMo*'LeaseUp'!MC$9*MC$10,0)</f>
        <v/>
      </c>
      <c r="MD19" s="18">
        <f>IF(339&gt;=DeliverStart,ParkingPerUnitMo*'LeaseUp'!MD$9*MD$10,0)</f>
        <v/>
      </c>
      <c r="ME19" s="18">
        <f>IF(340&gt;=DeliverStart,ParkingPerUnitMo*'LeaseUp'!ME$9*ME$10,0)</f>
        <v/>
      </c>
      <c r="MF19" s="18">
        <f>IF(341&gt;=DeliverStart,ParkingPerUnitMo*'LeaseUp'!MF$9*MF$10,0)</f>
        <v/>
      </c>
      <c r="MG19" s="18">
        <f>IF(342&gt;=DeliverStart,ParkingPerUnitMo*'LeaseUp'!MG$9*MG$10,0)</f>
        <v/>
      </c>
      <c r="MH19" s="18">
        <f>IF(343&gt;=DeliverStart,ParkingPerUnitMo*'LeaseUp'!MH$9*MH$10,0)</f>
        <v/>
      </c>
      <c r="MI19" s="18">
        <f>IF(344&gt;=DeliverStart,ParkingPerUnitMo*'LeaseUp'!MI$9*MI$10,0)</f>
        <v/>
      </c>
      <c r="MJ19" s="18">
        <f>IF(345&gt;=DeliverStart,ParkingPerUnitMo*'LeaseUp'!MJ$9*MJ$10,0)</f>
        <v/>
      </c>
      <c r="MK19" s="18">
        <f>IF(346&gt;=DeliverStart,ParkingPerUnitMo*'LeaseUp'!MK$9*MK$10,0)</f>
        <v/>
      </c>
      <c r="ML19" s="18">
        <f>IF(347&gt;=DeliverStart,ParkingPerUnitMo*'LeaseUp'!ML$9*ML$10,0)</f>
        <v/>
      </c>
      <c r="MM19" s="18">
        <f>IF(348&gt;=DeliverStart,ParkingPerUnitMo*'LeaseUp'!MM$9*MM$10,0)</f>
        <v/>
      </c>
      <c r="MN19" s="18">
        <f>IF(349&gt;=DeliverStart,ParkingPerUnitMo*'LeaseUp'!MN$9*MN$10,0)</f>
        <v/>
      </c>
      <c r="MO19" s="18">
        <f>IF(350&gt;=DeliverStart,ParkingPerUnitMo*'LeaseUp'!MO$9*MO$10,0)</f>
        <v/>
      </c>
      <c r="MP19" s="18">
        <f>IF(351&gt;=DeliverStart,ParkingPerUnitMo*'LeaseUp'!MP$9*MP$10,0)</f>
        <v/>
      </c>
      <c r="MQ19" s="18">
        <f>IF(352&gt;=DeliverStart,ParkingPerUnitMo*'LeaseUp'!MQ$9*MQ$10,0)</f>
        <v/>
      </c>
      <c r="MR19" s="18">
        <f>IF(353&gt;=DeliverStart,ParkingPerUnitMo*'LeaseUp'!MR$9*MR$10,0)</f>
        <v/>
      </c>
      <c r="MS19" s="18">
        <f>IF(354&gt;=DeliverStart,ParkingPerUnitMo*'LeaseUp'!MS$9*MS$10,0)</f>
        <v/>
      </c>
      <c r="MT19" s="18">
        <f>IF(355&gt;=DeliverStart,ParkingPerUnitMo*'LeaseUp'!MT$9*MT$10,0)</f>
        <v/>
      </c>
      <c r="MU19" s="18">
        <f>IF(356&gt;=DeliverStart,ParkingPerUnitMo*'LeaseUp'!MU$9*MU$10,0)</f>
        <v/>
      </c>
      <c r="MV19" s="18">
        <f>IF(357&gt;=DeliverStart,ParkingPerUnitMo*'LeaseUp'!MV$9*MV$10,0)</f>
        <v/>
      </c>
      <c r="MW19" s="18">
        <f>IF(358&gt;=DeliverStart,ParkingPerUnitMo*'LeaseUp'!MW$9*MW$10,0)</f>
        <v/>
      </c>
      <c r="MX19" s="18">
        <f>IF(359&gt;=DeliverStart,ParkingPerUnitMo*'LeaseUp'!MX$9*MX$10,0)</f>
        <v/>
      </c>
      <c r="MY19" s="18">
        <f>IF(360&gt;=DeliverStart,ParkingPerUnitMo*'LeaseUp'!MY$9*MY$10,0)</f>
        <v/>
      </c>
      <c r="MZ19" s="18">
        <f>IF(361&gt;=DeliverStart,ParkingPerUnitMo*'LeaseUp'!MZ$9*MZ$10,0)</f>
        <v/>
      </c>
      <c r="NA19" s="18">
        <f>IF(362&gt;=DeliverStart,ParkingPerUnitMo*'LeaseUp'!NA$9*NA$10,0)</f>
        <v/>
      </c>
      <c r="NB19" s="18">
        <f>IF(363&gt;=DeliverStart,ParkingPerUnitMo*'LeaseUp'!NB$9*NB$10,0)</f>
        <v/>
      </c>
      <c r="NC19" s="18">
        <f>IF(364&gt;=DeliverStart,ParkingPerUnitMo*'LeaseUp'!NC$9*NC$10,0)</f>
        <v/>
      </c>
      <c r="ND19" s="18">
        <f>IF(365&gt;=DeliverStart,ParkingPerUnitMo*'LeaseUp'!ND$9*ND$10,0)</f>
        <v/>
      </c>
      <c r="NE19" s="18">
        <f>IF(366&gt;=DeliverStart,ParkingPerUnitMo*'LeaseUp'!NE$9*NE$10,0)</f>
        <v/>
      </c>
      <c r="NF19" s="18">
        <f>IF(367&gt;=DeliverStart,ParkingPerUnitMo*'LeaseUp'!NF$9*NF$10,0)</f>
        <v/>
      </c>
      <c r="NG19" s="18">
        <f>IF(368&gt;=DeliverStart,ParkingPerUnitMo*'LeaseUp'!NG$9*NG$10,0)</f>
        <v/>
      </c>
      <c r="NH19" s="18">
        <f>IF(369&gt;=DeliverStart,ParkingPerUnitMo*'LeaseUp'!NH$9*NH$10,0)</f>
        <v/>
      </c>
      <c r="NI19" s="18">
        <f>IF(370&gt;=DeliverStart,ParkingPerUnitMo*'LeaseUp'!NI$9*NI$10,0)</f>
        <v/>
      </c>
      <c r="NJ19" s="18">
        <f>IF(371&gt;=DeliverStart,ParkingPerUnitMo*'LeaseUp'!NJ$9*NJ$10,0)</f>
        <v/>
      </c>
      <c r="NK19" s="18">
        <f>IF(372&gt;=DeliverStart,ParkingPerUnitMo*'LeaseUp'!NK$9*NK$10,0)</f>
        <v/>
      </c>
    </row>
    <row r="20">
      <c r="A20" s="5" t="inlineStr">
        <is>
          <t>Utility Reimbursement</t>
        </is>
      </c>
      <c r="C20" s="41">
        <f>SUM(D20:NK20)</f>
        <v/>
      </c>
      <c r="D20" s="18">
        <f>IF(1&gt;=DeliverStart,UtilReimbPerUnitMo*'LeaseUp'!D$9*D$10,0)</f>
        <v/>
      </c>
      <c r="E20" s="18">
        <f>IF(2&gt;=DeliverStart,UtilReimbPerUnitMo*'LeaseUp'!E$9*E$10,0)</f>
        <v/>
      </c>
      <c r="F20" s="18">
        <f>IF(3&gt;=DeliverStart,UtilReimbPerUnitMo*'LeaseUp'!F$9*F$10,0)</f>
        <v/>
      </c>
      <c r="G20" s="18">
        <f>IF(4&gt;=DeliverStart,UtilReimbPerUnitMo*'LeaseUp'!G$9*G$10,0)</f>
        <v/>
      </c>
      <c r="H20" s="18">
        <f>IF(5&gt;=DeliverStart,UtilReimbPerUnitMo*'LeaseUp'!H$9*H$10,0)</f>
        <v/>
      </c>
      <c r="I20" s="18">
        <f>IF(6&gt;=DeliverStart,UtilReimbPerUnitMo*'LeaseUp'!I$9*I$10,0)</f>
        <v/>
      </c>
      <c r="J20" s="18">
        <f>IF(7&gt;=DeliverStart,UtilReimbPerUnitMo*'LeaseUp'!J$9*J$10,0)</f>
        <v/>
      </c>
      <c r="K20" s="18">
        <f>IF(8&gt;=DeliverStart,UtilReimbPerUnitMo*'LeaseUp'!K$9*K$10,0)</f>
        <v/>
      </c>
      <c r="L20" s="18">
        <f>IF(9&gt;=DeliverStart,UtilReimbPerUnitMo*'LeaseUp'!L$9*L$10,0)</f>
        <v/>
      </c>
      <c r="M20" s="18">
        <f>IF(10&gt;=DeliverStart,UtilReimbPerUnitMo*'LeaseUp'!M$9*M$10,0)</f>
        <v/>
      </c>
      <c r="N20" s="18">
        <f>IF(11&gt;=DeliverStart,UtilReimbPerUnitMo*'LeaseUp'!N$9*N$10,0)</f>
        <v/>
      </c>
      <c r="O20" s="18">
        <f>IF(12&gt;=DeliverStart,UtilReimbPerUnitMo*'LeaseUp'!O$9*O$10,0)</f>
        <v/>
      </c>
      <c r="P20" s="18">
        <f>IF(13&gt;=DeliverStart,UtilReimbPerUnitMo*'LeaseUp'!P$9*P$10,0)</f>
        <v/>
      </c>
      <c r="Q20" s="18">
        <f>IF(14&gt;=DeliverStart,UtilReimbPerUnitMo*'LeaseUp'!Q$9*Q$10,0)</f>
        <v/>
      </c>
      <c r="R20" s="18">
        <f>IF(15&gt;=DeliverStart,UtilReimbPerUnitMo*'LeaseUp'!R$9*R$10,0)</f>
        <v/>
      </c>
      <c r="S20" s="18">
        <f>IF(16&gt;=DeliverStart,UtilReimbPerUnitMo*'LeaseUp'!S$9*S$10,0)</f>
        <v/>
      </c>
      <c r="T20" s="18">
        <f>IF(17&gt;=DeliverStart,UtilReimbPerUnitMo*'LeaseUp'!T$9*T$10,0)</f>
        <v/>
      </c>
      <c r="U20" s="18">
        <f>IF(18&gt;=DeliverStart,UtilReimbPerUnitMo*'LeaseUp'!U$9*U$10,0)</f>
        <v/>
      </c>
      <c r="V20" s="18">
        <f>IF(19&gt;=DeliverStart,UtilReimbPerUnitMo*'LeaseUp'!V$9*V$10,0)</f>
        <v/>
      </c>
      <c r="W20" s="18">
        <f>IF(20&gt;=DeliverStart,UtilReimbPerUnitMo*'LeaseUp'!W$9*W$10,0)</f>
        <v/>
      </c>
      <c r="X20" s="18">
        <f>IF(21&gt;=DeliverStart,UtilReimbPerUnitMo*'LeaseUp'!X$9*X$10,0)</f>
        <v/>
      </c>
      <c r="Y20" s="18">
        <f>IF(22&gt;=DeliverStart,UtilReimbPerUnitMo*'LeaseUp'!Y$9*Y$10,0)</f>
        <v/>
      </c>
      <c r="Z20" s="18">
        <f>IF(23&gt;=DeliverStart,UtilReimbPerUnitMo*'LeaseUp'!Z$9*Z$10,0)</f>
        <v/>
      </c>
      <c r="AA20" s="18">
        <f>IF(24&gt;=DeliverStart,UtilReimbPerUnitMo*'LeaseUp'!AA$9*AA$10,0)</f>
        <v/>
      </c>
      <c r="AB20" s="18">
        <f>IF(25&gt;=DeliverStart,UtilReimbPerUnitMo*'LeaseUp'!AB$9*AB$10,0)</f>
        <v/>
      </c>
      <c r="AC20" s="18">
        <f>IF(26&gt;=DeliverStart,UtilReimbPerUnitMo*'LeaseUp'!AC$9*AC$10,0)</f>
        <v/>
      </c>
      <c r="AD20" s="18">
        <f>IF(27&gt;=DeliverStart,UtilReimbPerUnitMo*'LeaseUp'!AD$9*AD$10,0)</f>
        <v/>
      </c>
      <c r="AE20" s="18">
        <f>IF(28&gt;=DeliverStart,UtilReimbPerUnitMo*'LeaseUp'!AE$9*AE$10,0)</f>
        <v/>
      </c>
      <c r="AF20" s="18">
        <f>IF(29&gt;=DeliverStart,UtilReimbPerUnitMo*'LeaseUp'!AF$9*AF$10,0)</f>
        <v/>
      </c>
      <c r="AG20" s="18">
        <f>IF(30&gt;=DeliverStart,UtilReimbPerUnitMo*'LeaseUp'!AG$9*AG$10,0)</f>
        <v/>
      </c>
      <c r="AH20" s="18">
        <f>IF(31&gt;=DeliverStart,UtilReimbPerUnitMo*'LeaseUp'!AH$9*AH$10,0)</f>
        <v/>
      </c>
      <c r="AI20" s="18">
        <f>IF(32&gt;=DeliverStart,UtilReimbPerUnitMo*'LeaseUp'!AI$9*AI$10,0)</f>
        <v/>
      </c>
      <c r="AJ20" s="18">
        <f>IF(33&gt;=DeliverStart,UtilReimbPerUnitMo*'LeaseUp'!AJ$9*AJ$10,0)</f>
        <v/>
      </c>
      <c r="AK20" s="18">
        <f>IF(34&gt;=DeliverStart,UtilReimbPerUnitMo*'LeaseUp'!AK$9*AK$10,0)</f>
        <v/>
      </c>
      <c r="AL20" s="18">
        <f>IF(35&gt;=DeliverStart,UtilReimbPerUnitMo*'LeaseUp'!AL$9*AL$10,0)</f>
        <v/>
      </c>
      <c r="AM20" s="18">
        <f>IF(36&gt;=DeliverStart,UtilReimbPerUnitMo*'LeaseUp'!AM$9*AM$10,0)</f>
        <v/>
      </c>
      <c r="AN20" s="18">
        <f>IF(37&gt;=DeliverStart,UtilReimbPerUnitMo*'LeaseUp'!AN$9*AN$10,0)</f>
        <v/>
      </c>
      <c r="AO20" s="18">
        <f>IF(38&gt;=DeliverStart,UtilReimbPerUnitMo*'LeaseUp'!AO$9*AO$10,0)</f>
        <v/>
      </c>
      <c r="AP20" s="18">
        <f>IF(39&gt;=DeliverStart,UtilReimbPerUnitMo*'LeaseUp'!AP$9*AP$10,0)</f>
        <v/>
      </c>
      <c r="AQ20" s="18">
        <f>IF(40&gt;=DeliverStart,UtilReimbPerUnitMo*'LeaseUp'!AQ$9*AQ$10,0)</f>
        <v/>
      </c>
      <c r="AR20" s="18">
        <f>IF(41&gt;=DeliverStart,UtilReimbPerUnitMo*'LeaseUp'!AR$9*AR$10,0)</f>
        <v/>
      </c>
      <c r="AS20" s="18">
        <f>IF(42&gt;=DeliverStart,UtilReimbPerUnitMo*'LeaseUp'!AS$9*AS$10,0)</f>
        <v/>
      </c>
      <c r="AT20" s="18">
        <f>IF(43&gt;=DeliverStart,UtilReimbPerUnitMo*'LeaseUp'!AT$9*AT$10,0)</f>
        <v/>
      </c>
      <c r="AU20" s="18">
        <f>IF(44&gt;=DeliverStart,UtilReimbPerUnitMo*'LeaseUp'!AU$9*AU$10,0)</f>
        <v/>
      </c>
      <c r="AV20" s="18">
        <f>IF(45&gt;=DeliverStart,UtilReimbPerUnitMo*'LeaseUp'!AV$9*AV$10,0)</f>
        <v/>
      </c>
      <c r="AW20" s="18">
        <f>IF(46&gt;=DeliverStart,UtilReimbPerUnitMo*'LeaseUp'!AW$9*AW$10,0)</f>
        <v/>
      </c>
      <c r="AX20" s="18">
        <f>IF(47&gt;=DeliverStart,UtilReimbPerUnitMo*'LeaseUp'!AX$9*AX$10,0)</f>
        <v/>
      </c>
      <c r="AY20" s="18">
        <f>IF(48&gt;=DeliverStart,UtilReimbPerUnitMo*'LeaseUp'!AY$9*AY$10,0)</f>
        <v/>
      </c>
      <c r="AZ20" s="18">
        <f>IF(49&gt;=DeliverStart,UtilReimbPerUnitMo*'LeaseUp'!AZ$9*AZ$10,0)</f>
        <v/>
      </c>
      <c r="BA20" s="18">
        <f>IF(50&gt;=DeliverStart,UtilReimbPerUnitMo*'LeaseUp'!BA$9*BA$10,0)</f>
        <v/>
      </c>
      <c r="BB20" s="18">
        <f>IF(51&gt;=DeliverStart,UtilReimbPerUnitMo*'LeaseUp'!BB$9*BB$10,0)</f>
        <v/>
      </c>
      <c r="BC20" s="18">
        <f>IF(52&gt;=DeliverStart,UtilReimbPerUnitMo*'LeaseUp'!BC$9*BC$10,0)</f>
        <v/>
      </c>
      <c r="BD20" s="18">
        <f>IF(53&gt;=DeliverStart,UtilReimbPerUnitMo*'LeaseUp'!BD$9*BD$10,0)</f>
        <v/>
      </c>
      <c r="BE20" s="18">
        <f>IF(54&gt;=DeliverStart,UtilReimbPerUnitMo*'LeaseUp'!BE$9*BE$10,0)</f>
        <v/>
      </c>
      <c r="BF20" s="18">
        <f>IF(55&gt;=DeliverStart,UtilReimbPerUnitMo*'LeaseUp'!BF$9*BF$10,0)</f>
        <v/>
      </c>
      <c r="BG20" s="18">
        <f>IF(56&gt;=DeliverStart,UtilReimbPerUnitMo*'LeaseUp'!BG$9*BG$10,0)</f>
        <v/>
      </c>
      <c r="BH20" s="18">
        <f>IF(57&gt;=DeliverStart,UtilReimbPerUnitMo*'LeaseUp'!BH$9*BH$10,0)</f>
        <v/>
      </c>
      <c r="BI20" s="18">
        <f>IF(58&gt;=DeliverStart,UtilReimbPerUnitMo*'LeaseUp'!BI$9*BI$10,0)</f>
        <v/>
      </c>
      <c r="BJ20" s="18">
        <f>IF(59&gt;=DeliverStart,UtilReimbPerUnitMo*'LeaseUp'!BJ$9*BJ$10,0)</f>
        <v/>
      </c>
      <c r="BK20" s="18">
        <f>IF(60&gt;=DeliverStart,UtilReimbPerUnitMo*'LeaseUp'!BK$9*BK$10,0)</f>
        <v/>
      </c>
      <c r="BL20" s="18">
        <f>IF(61&gt;=DeliverStart,UtilReimbPerUnitMo*'LeaseUp'!BL$9*BL$10,0)</f>
        <v/>
      </c>
      <c r="BM20" s="18">
        <f>IF(62&gt;=DeliverStart,UtilReimbPerUnitMo*'LeaseUp'!BM$9*BM$10,0)</f>
        <v/>
      </c>
      <c r="BN20" s="18">
        <f>IF(63&gt;=DeliverStart,UtilReimbPerUnitMo*'LeaseUp'!BN$9*BN$10,0)</f>
        <v/>
      </c>
      <c r="BO20" s="18">
        <f>IF(64&gt;=DeliverStart,UtilReimbPerUnitMo*'LeaseUp'!BO$9*BO$10,0)</f>
        <v/>
      </c>
      <c r="BP20" s="18">
        <f>IF(65&gt;=DeliverStart,UtilReimbPerUnitMo*'LeaseUp'!BP$9*BP$10,0)</f>
        <v/>
      </c>
      <c r="BQ20" s="18">
        <f>IF(66&gt;=DeliverStart,UtilReimbPerUnitMo*'LeaseUp'!BQ$9*BQ$10,0)</f>
        <v/>
      </c>
      <c r="BR20" s="18">
        <f>IF(67&gt;=DeliverStart,UtilReimbPerUnitMo*'LeaseUp'!BR$9*BR$10,0)</f>
        <v/>
      </c>
      <c r="BS20" s="18">
        <f>IF(68&gt;=DeliverStart,UtilReimbPerUnitMo*'LeaseUp'!BS$9*BS$10,0)</f>
        <v/>
      </c>
      <c r="BT20" s="18">
        <f>IF(69&gt;=DeliverStart,UtilReimbPerUnitMo*'LeaseUp'!BT$9*BT$10,0)</f>
        <v/>
      </c>
      <c r="BU20" s="18">
        <f>IF(70&gt;=DeliverStart,UtilReimbPerUnitMo*'LeaseUp'!BU$9*BU$10,0)</f>
        <v/>
      </c>
      <c r="BV20" s="18">
        <f>IF(71&gt;=DeliverStart,UtilReimbPerUnitMo*'LeaseUp'!BV$9*BV$10,0)</f>
        <v/>
      </c>
      <c r="BW20" s="18">
        <f>IF(72&gt;=DeliverStart,UtilReimbPerUnitMo*'LeaseUp'!BW$9*BW$10,0)</f>
        <v/>
      </c>
      <c r="BX20" s="18">
        <f>IF(73&gt;=DeliverStart,UtilReimbPerUnitMo*'LeaseUp'!BX$9*BX$10,0)</f>
        <v/>
      </c>
      <c r="BY20" s="18">
        <f>IF(74&gt;=DeliverStart,UtilReimbPerUnitMo*'LeaseUp'!BY$9*BY$10,0)</f>
        <v/>
      </c>
      <c r="BZ20" s="18">
        <f>IF(75&gt;=DeliverStart,UtilReimbPerUnitMo*'LeaseUp'!BZ$9*BZ$10,0)</f>
        <v/>
      </c>
      <c r="CA20" s="18">
        <f>IF(76&gt;=DeliverStart,UtilReimbPerUnitMo*'LeaseUp'!CA$9*CA$10,0)</f>
        <v/>
      </c>
      <c r="CB20" s="18">
        <f>IF(77&gt;=DeliverStart,UtilReimbPerUnitMo*'LeaseUp'!CB$9*CB$10,0)</f>
        <v/>
      </c>
      <c r="CC20" s="18">
        <f>IF(78&gt;=DeliverStart,UtilReimbPerUnitMo*'LeaseUp'!CC$9*CC$10,0)</f>
        <v/>
      </c>
      <c r="CD20" s="18">
        <f>IF(79&gt;=DeliverStart,UtilReimbPerUnitMo*'LeaseUp'!CD$9*CD$10,0)</f>
        <v/>
      </c>
      <c r="CE20" s="18">
        <f>IF(80&gt;=DeliverStart,UtilReimbPerUnitMo*'LeaseUp'!CE$9*CE$10,0)</f>
        <v/>
      </c>
      <c r="CF20" s="18">
        <f>IF(81&gt;=DeliverStart,UtilReimbPerUnitMo*'LeaseUp'!CF$9*CF$10,0)</f>
        <v/>
      </c>
      <c r="CG20" s="18">
        <f>IF(82&gt;=DeliverStart,UtilReimbPerUnitMo*'LeaseUp'!CG$9*CG$10,0)</f>
        <v/>
      </c>
      <c r="CH20" s="18">
        <f>IF(83&gt;=DeliverStart,UtilReimbPerUnitMo*'LeaseUp'!CH$9*CH$10,0)</f>
        <v/>
      </c>
      <c r="CI20" s="18">
        <f>IF(84&gt;=DeliverStart,UtilReimbPerUnitMo*'LeaseUp'!CI$9*CI$10,0)</f>
        <v/>
      </c>
      <c r="CJ20" s="18">
        <f>IF(85&gt;=DeliverStart,UtilReimbPerUnitMo*'LeaseUp'!CJ$9*CJ$10,0)</f>
        <v/>
      </c>
      <c r="CK20" s="18">
        <f>IF(86&gt;=DeliverStart,UtilReimbPerUnitMo*'LeaseUp'!CK$9*CK$10,0)</f>
        <v/>
      </c>
      <c r="CL20" s="18">
        <f>IF(87&gt;=DeliverStart,UtilReimbPerUnitMo*'LeaseUp'!CL$9*CL$10,0)</f>
        <v/>
      </c>
      <c r="CM20" s="18">
        <f>IF(88&gt;=DeliverStart,UtilReimbPerUnitMo*'LeaseUp'!CM$9*CM$10,0)</f>
        <v/>
      </c>
      <c r="CN20" s="18">
        <f>IF(89&gt;=DeliverStart,UtilReimbPerUnitMo*'LeaseUp'!CN$9*CN$10,0)</f>
        <v/>
      </c>
      <c r="CO20" s="18">
        <f>IF(90&gt;=DeliverStart,UtilReimbPerUnitMo*'LeaseUp'!CO$9*CO$10,0)</f>
        <v/>
      </c>
      <c r="CP20" s="18">
        <f>IF(91&gt;=DeliverStart,UtilReimbPerUnitMo*'LeaseUp'!CP$9*CP$10,0)</f>
        <v/>
      </c>
      <c r="CQ20" s="18">
        <f>IF(92&gt;=DeliverStart,UtilReimbPerUnitMo*'LeaseUp'!CQ$9*CQ$10,0)</f>
        <v/>
      </c>
      <c r="CR20" s="18">
        <f>IF(93&gt;=DeliverStart,UtilReimbPerUnitMo*'LeaseUp'!CR$9*CR$10,0)</f>
        <v/>
      </c>
      <c r="CS20" s="18">
        <f>IF(94&gt;=DeliverStart,UtilReimbPerUnitMo*'LeaseUp'!CS$9*CS$10,0)</f>
        <v/>
      </c>
      <c r="CT20" s="18">
        <f>IF(95&gt;=DeliverStart,UtilReimbPerUnitMo*'LeaseUp'!CT$9*CT$10,0)</f>
        <v/>
      </c>
      <c r="CU20" s="18">
        <f>IF(96&gt;=DeliverStart,UtilReimbPerUnitMo*'LeaseUp'!CU$9*CU$10,0)</f>
        <v/>
      </c>
      <c r="CV20" s="18">
        <f>IF(97&gt;=DeliverStart,UtilReimbPerUnitMo*'LeaseUp'!CV$9*CV$10,0)</f>
        <v/>
      </c>
      <c r="CW20" s="18">
        <f>IF(98&gt;=DeliverStart,UtilReimbPerUnitMo*'LeaseUp'!CW$9*CW$10,0)</f>
        <v/>
      </c>
      <c r="CX20" s="18">
        <f>IF(99&gt;=DeliverStart,UtilReimbPerUnitMo*'LeaseUp'!CX$9*CX$10,0)</f>
        <v/>
      </c>
      <c r="CY20" s="18">
        <f>IF(100&gt;=DeliverStart,UtilReimbPerUnitMo*'LeaseUp'!CY$9*CY$10,0)</f>
        <v/>
      </c>
      <c r="CZ20" s="18">
        <f>IF(101&gt;=DeliverStart,UtilReimbPerUnitMo*'LeaseUp'!CZ$9*CZ$10,0)</f>
        <v/>
      </c>
      <c r="DA20" s="18">
        <f>IF(102&gt;=DeliverStart,UtilReimbPerUnitMo*'LeaseUp'!DA$9*DA$10,0)</f>
        <v/>
      </c>
      <c r="DB20" s="18">
        <f>IF(103&gt;=DeliverStart,UtilReimbPerUnitMo*'LeaseUp'!DB$9*DB$10,0)</f>
        <v/>
      </c>
      <c r="DC20" s="18">
        <f>IF(104&gt;=DeliverStart,UtilReimbPerUnitMo*'LeaseUp'!DC$9*DC$10,0)</f>
        <v/>
      </c>
      <c r="DD20" s="18">
        <f>IF(105&gt;=DeliverStart,UtilReimbPerUnitMo*'LeaseUp'!DD$9*DD$10,0)</f>
        <v/>
      </c>
      <c r="DE20" s="18">
        <f>IF(106&gt;=DeliverStart,UtilReimbPerUnitMo*'LeaseUp'!DE$9*DE$10,0)</f>
        <v/>
      </c>
      <c r="DF20" s="18">
        <f>IF(107&gt;=DeliverStart,UtilReimbPerUnitMo*'LeaseUp'!DF$9*DF$10,0)</f>
        <v/>
      </c>
      <c r="DG20" s="18">
        <f>IF(108&gt;=DeliverStart,UtilReimbPerUnitMo*'LeaseUp'!DG$9*DG$10,0)</f>
        <v/>
      </c>
      <c r="DH20" s="18">
        <f>IF(109&gt;=DeliverStart,UtilReimbPerUnitMo*'LeaseUp'!DH$9*DH$10,0)</f>
        <v/>
      </c>
      <c r="DI20" s="18">
        <f>IF(110&gt;=DeliverStart,UtilReimbPerUnitMo*'LeaseUp'!DI$9*DI$10,0)</f>
        <v/>
      </c>
      <c r="DJ20" s="18">
        <f>IF(111&gt;=DeliverStart,UtilReimbPerUnitMo*'LeaseUp'!DJ$9*DJ$10,0)</f>
        <v/>
      </c>
      <c r="DK20" s="18">
        <f>IF(112&gt;=DeliverStart,UtilReimbPerUnitMo*'LeaseUp'!DK$9*DK$10,0)</f>
        <v/>
      </c>
      <c r="DL20" s="18">
        <f>IF(113&gt;=DeliverStart,UtilReimbPerUnitMo*'LeaseUp'!DL$9*DL$10,0)</f>
        <v/>
      </c>
      <c r="DM20" s="18">
        <f>IF(114&gt;=DeliverStart,UtilReimbPerUnitMo*'LeaseUp'!DM$9*DM$10,0)</f>
        <v/>
      </c>
      <c r="DN20" s="18">
        <f>IF(115&gt;=DeliverStart,UtilReimbPerUnitMo*'LeaseUp'!DN$9*DN$10,0)</f>
        <v/>
      </c>
      <c r="DO20" s="18">
        <f>IF(116&gt;=DeliverStart,UtilReimbPerUnitMo*'LeaseUp'!DO$9*DO$10,0)</f>
        <v/>
      </c>
      <c r="DP20" s="18">
        <f>IF(117&gt;=DeliverStart,UtilReimbPerUnitMo*'LeaseUp'!DP$9*DP$10,0)</f>
        <v/>
      </c>
      <c r="DQ20" s="18">
        <f>IF(118&gt;=DeliverStart,UtilReimbPerUnitMo*'LeaseUp'!DQ$9*DQ$10,0)</f>
        <v/>
      </c>
      <c r="DR20" s="18">
        <f>IF(119&gt;=DeliverStart,UtilReimbPerUnitMo*'LeaseUp'!DR$9*DR$10,0)</f>
        <v/>
      </c>
      <c r="DS20" s="18">
        <f>IF(120&gt;=DeliverStart,UtilReimbPerUnitMo*'LeaseUp'!DS$9*DS$10,0)</f>
        <v/>
      </c>
      <c r="DT20" s="18">
        <f>IF(121&gt;=DeliverStart,UtilReimbPerUnitMo*'LeaseUp'!DT$9*DT$10,0)</f>
        <v/>
      </c>
      <c r="DU20" s="18">
        <f>IF(122&gt;=DeliverStart,UtilReimbPerUnitMo*'LeaseUp'!DU$9*DU$10,0)</f>
        <v/>
      </c>
      <c r="DV20" s="18">
        <f>IF(123&gt;=DeliverStart,UtilReimbPerUnitMo*'LeaseUp'!DV$9*DV$10,0)</f>
        <v/>
      </c>
      <c r="DW20" s="18">
        <f>IF(124&gt;=DeliverStart,UtilReimbPerUnitMo*'LeaseUp'!DW$9*DW$10,0)</f>
        <v/>
      </c>
      <c r="DX20" s="18">
        <f>IF(125&gt;=DeliverStart,UtilReimbPerUnitMo*'LeaseUp'!DX$9*DX$10,0)</f>
        <v/>
      </c>
      <c r="DY20" s="18">
        <f>IF(126&gt;=DeliverStart,UtilReimbPerUnitMo*'LeaseUp'!DY$9*DY$10,0)</f>
        <v/>
      </c>
      <c r="DZ20" s="18">
        <f>IF(127&gt;=DeliverStart,UtilReimbPerUnitMo*'LeaseUp'!DZ$9*DZ$10,0)</f>
        <v/>
      </c>
      <c r="EA20" s="18">
        <f>IF(128&gt;=DeliverStart,UtilReimbPerUnitMo*'LeaseUp'!EA$9*EA$10,0)</f>
        <v/>
      </c>
      <c r="EB20" s="18">
        <f>IF(129&gt;=DeliverStart,UtilReimbPerUnitMo*'LeaseUp'!EB$9*EB$10,0)</f>
        <v/>
      </c>
      <c r="EC20" s="18">
        <f>IF(130&gt;=DeliverStart,UtilReimbPerUnitMo*'LeaseUp'!EC$9*EC$10,0)</f>
        <v/>
      </c>
      <c r="ED20" s="18">
        <f>IF(131&gt;=DeliverStart,UtilReimbPerUnitMo*'LeaseUp'!ED$9*ED$10,0)</f>
        <v/>
      </c>
      <c r="EE20" s="18">
        <f>IF(132&gt;=DeliverStart,UtilReimbPerUnitMo*'LeaseUp'!EE$9*EE$10,0)</f>
        <v/>
      </c>
      <c r="EF20" s="18">
        <f>IF(133&gt;=DeliverStart,UtilReimbPerUnitMo*'LeaseUp'!EF$9*EF$10,0)</f>
        <v/>
      </c>
      <c r="EG20" s="18">
        <f>IF(134&gt;=DeliverStart,UtilReimbPerUnitMo*'LeaseUp'!EG$9*EG$10,0)</f>
        <v/>
      </c>
      <c r="EH20" s="18">
        <f>IF(135&gt;=DeliverStart,UtilReimbPerUnitMo*'LeaseUp'!EH$9*EH$10,0)</f>
        <v/>
      </c>
      <c r="EI20" s="18">
        <f>IF(136&gt;=DeliverStart,UtilReimbPerUnitMo*'LeaseUp'!EI$9*EI$10,0)</f>
        <v/>
      </c>
      <c r="EJ20" s="18">
        <f>IF(137&gt;=DeliverStart,UtilReimbPerUnitMo*'LeaseUp'!EJ$9*EJ$10,0)</f>
        <v/>
      </c>
      <c r="EK20" s="18">
        <f>IF(138&gt;=DeliverStart,UtilReimbPerUnitMo*'LeaseUp'!EK$9*EK$10,0)</f>
        <v/>
      </c>
      <c r="EL20" s="18">
        <f>IF(139&gt;=DeliverStart,UtilReimbPerUnitMo*'LeaseUp'!EL$9*EL$10,0)</f>
        <v/>
      </c>
      <c r="EM20" s="18">
        <f>IF(140&gt;=DeliverStart,UtilReimbPerUnitMo*'LeaseUp'!EM$9*EM$10,0)</f>
        <v/>
      </c>
      <c r="EN20" s="18">
        <f>IF(141&gt;=DeliverStart,UtilReimbPerUnitMo*'LeaseUp'!EN$9*EN$10,0)</f>
        <v/>
      </c>
      <c r="EO20" s="18">
        <f>IF(142&gt;=DeliverStart,UtilReimbPerUnitMo*'LeaseUp'!EO$9*EO$10,0)</f>
        <v/>
      </c>
      <c r="EP20" s="18">
        <f>IF(143&gt;=DeliverStart,UtilReimbPerUnitMo*'LeaseUp'!EP$9*EP$10,0)</f>
        <v/>
      </c>
      <c r="EQ20" s="18">
        <f>IF(144&gt;=DeliverStart,UtilReimbPerUnitMo*'LeaseUp'!EQ$9*EQ$10,0)</f>
        <v/>
      </c>
      <c r="ER20" s="18">
        <f>IF(145&gt;=DeliverStart,UtilReimbPerUnitMo*'LeaseUp'!ER$9*ER$10,0)</f>
        <v/>
      </c>
      <c r="ES20" s="18">
        <f>IF(146&gt;=DeliverStart,UtilReimbPerUnitMo*'LeaseUp'!ES$9*ES$10,0)</f>
        <v/>
      </c>
      <c r="ET20" s="18">
        <f>IF(147&gt;=DeliverStart,UtilReimbPerUnitMo*'LeaseUp'!ET$9*ET$10,0)</f>
        <v/>
      </c>
      <c r="EU20" s="18">
        <f>IF(148&gt;=DeliverStart,UtilReimbPerUnitMo*'LeaseUp'!EU$9*EU$10,0)</f>
        <v/>
      </c>
      <c r="EV20" s="18">
        <f>IF(149&gt;=DeliverStart,UtilReimbPerUnitMo*'LeaseUp'!EV$9*EV$10,0)</f>
        <v/>
      </c>
      <c r="EW20" s="18">
        <f>IF(150&gt;=DeliverStart,UtilReimbPerUnitMo*'LeaseUp'!EW$9*EW$10,0)</f>
        <v/>
      </c>
      <c r="EX20" s="18">
        <f>IF(151&gt;=DeliverStart,UtilReimbPerUnitMo*'LeaseUp'!EX$9*EX$10,0)</f>
        <v/>
      </c>
      <c r="EY20" s="18">
        <f>IF(152&gt;=DeliverStart,UtilReimbPerUnitMo*'LeaseUp'!EY$9*EY$10,0)</f>
        <v/>
      </c>
      <c r="EZ20" s="18">
        <f>IF(153&gt;=DeliverStart,UtilReimbPerUnitMo*'LeaseUp'!EZ$9*EZ$10,0)</f>
        <v/>
      </c>
      <c r="FA20" s="18">
        <f>IF(154&gt;=DeliverStart,UtilReimbPerUnitMo*'LeaseUp'!FA$9*FA$10,0)</f>
        <v/>
      </c>
      <c r="FB20" s="18">
        <f>IF(155&gt;=DeliverStart,UtilReimbPerUnitMo*'LeaseUp'!FB$9*FB$10,0)</f>
        <v/>
      </c>
      <c r="FC20" s="18">
        <f>IF(156&gt;=DeliverStart,UtilReimbPerUnitMo*'LeaseUp'!FC$9*FC$10,0)</f>
        <v/>
      </c>
      <c r="FD20" s="18">
        <f>IF(157&gt;=DeliverStart,UtilReimbPerUnitMo*'LeaseUp'!FD$9*FD$10,0)</f>
        <v/>
      </c>
      <c r="FE20" s="18">
        <f>IF(158&gt;=DeliverStart,UtilReimbPerUnitMo*'LeaseUp'!FE$9*FE$10,0)</f>
        <v/>
      </c>
      <c r="FF20" s="18">
        <f>IF(159&gt;=DeliverStart,UtilReimbPerUnitMo*'LeaseUp'!FF$9*FF$10,0)</f>
        <v/>
      </c>
      <c r="FG20" s="18">
        <f>IF(160&gt;=DeliverStart,UtilReimbPerUnitMo*'LeaseUp'!FG$9*FG$10,0)</f>
        <v/>
      </c>
      <c r="FH20" s="18">
        <f>IF(161&gt;=DeliverStart,UtilReimbPerUnitMo*'LeaseUp'!FH$9*FH$10,0)</f>
        <v/>
      </c>
      <c r="FI20" s="18">
        <f>IF(162&gt;=DeliverStart,UtilReimbPerUnitMo*'LeaseUp'!FI$9*FI$10,0)</f>
        <v/>
      </c>
      <c r="FJ20" s="18">
        <f>IF(163&gt;=DeliverStart,UtilReimbPerUnitMo*'LeaseUp'!FJ$9*FJ$10,0)</f>
        <v/>
      </c>
      <c r="FK20" s="18">
        <f>IF(164&gt;=DeliverStart,UtilReimbPerUnitMo*'LeaseUp'!FK$9*FK$10,0)</f>
        <v/>
      </c>
      <c r="FL20" s="18">
        <f>IF(165&gt;=DeliverStart,UtilReimbPerUnitMo*'LeaseUp'!FL$9*FL$10,0)</f>
        <v/>
      </c>
      <c r="FM20" s="18">
        <f>IF(166&gt;=DeliverStart,UtilReimbPerUnitMo*'LeaseUp'!FM$9*FM$10,0)</f>
        <v/>
      </c>
      <c r="FN20" s="18">
        <f>IF(167&gt;=DeliverStart,UtilReimbPerUnitMo*'LeaseUp'!FN$9*FN$10,0)</f>
        <v/>
      </c>
      <c r="FO20" s="18">
        <f>IF(168&gt;=DeliverStart,UtilReimbPerUnitMo*'LeaseUp'!FO$9*FO$10,0)</f>
        <v/>
      </c>
      <c r="FP20" s="18">
        <f>IF(169&gt;=DeliverStart,UtilReimbPerUnitMo*'LeaseUp'!FP$9*FP$10,0)</f>
        <v/>
      </c>
      <c r="FQ20" s="18">
        <f>IF(170&gt;=DeliverStart,UtilReimbPerUnitMo*'LeaseUp'!FQ$9*FQ$10,0)</f>
        <v/>
      </c>
      <c r="FR20" s="18">
        <f>IF(171&gt;=DeliverStart,UtilReimbPerUnitMo*'LeaseUp'!FR$9*FR$10,0)</f>
        <v/>
      </c>
      <c r="FS20" s="18">
        <f>IF(172&gt;=DeliverStart,UtilReimbPerUnitMo*'LeaseUp'!FS$9*FS$10,0)</f>
        <v/>
      </c>
      <c r="FT20" s="18">
        <f>IF(173&gt;=DeliverStart,UtilReimbPerUnitMo*'LeaseUp'!FT$9*FT$10,0)</f>
        <v/>
      </c>
      <c r="FU20" s="18">
        <f>IF(174&gt;=DeliverStart,UtilReimbPerUnitMo*'LeaseUp'!FU$9*FU$10,0)</f>
        <v/>
      </c>
      <c r="FV20" s="18">
        <f>IF(175&gt;=DeliverStart,UtilReimbPerUnitMo*'LeaseUp'!FV$9*FV$10,0)</f>
        <v/>
      </c>
      <c r="FW20" s="18">
        <f>IF(176&gt;=DeliverStart,UtilReimbPerUnitMo*'LeaseUp'!FW$9*FW$10,0)</f>
        <v/>
      </c>
      <c r="FX20" s="18">
        <f>IF(177&gt;=DeliverStart,UtilReimbPerUnitMo*'LeaseUp'!FX$9*FX$10,0)</f>
        <v/>
      </c>
      <c r="FY20" s="18">
        <f>IF(178&gt;=DeliverStart,UtilReimbPerUnitMo*'LeaseUp'!FY$9*FY$10,0)</f>
        <v/>
      </c>
      <c r="FZ20" s="18">
        <f>IF(179&gt;=DeliverStart,UtilReimbPerUnitMo*'LeaseUp'!FZ$9*FZ$10,0)</f>
        <v/>
      </c>
      <c r="GA20" s="18">
        <f>IF(180&gt;=DeliverStart,UtilReimbPerUnitMo*'LeaseUp'!GA$9*GA$10,0)</f>
        <v/>
      </c>
      <c r="GB20" s="18">
        <f>IF(181&gt;=DeliverStart,UtilReimbPerUnitMo*'LeaseUp'!GB$9*GB$10,0)</f>
        <v/>
      </c>
      <c r="GC20" s="18">
        <f>IF(182&gt;=DeliverStart,UtilReimbPerUnitMo*'LeaseUp'!GC$9*GC$10,0)</f>
        <v/>
      </c>
      <c r="GD20" s="18">
        <f>IF(183&gt;=DeliverStart,UtilReimbPerUnitMo*'LeaseUp'!GD$9*GD$10,0)</f>
        <v/>
      </c>
      <c r="GE20" s="18">
        <f>IF(184&gt;=DeliverStart,UtilReimbPerUnitMo*'LeaseUp'!GE$9*GE$10,0)</f>
        <v/>
      </c>
      <c r="GF20" s="18">
        <f>IF(185&gt;=DeliverStart,UtilReimbPerUnitMo*'LeaseUp'!GF$9*GF$10,0)</f>
        <v/>
      </c>
      <c r="GG20" s="18">
        <f>IF(186&gt;=DeliverStart,UtilReimbPerUnitMo*'LeaseUp'!GG$9*GG$10,0)</f>
        <v/>
      </c>
      <c r="GH20" s="18">
        <f>IF(187&gt;=DeliverStart,UtilReimbPerUnitMo*'LeaseUp'!GH$9*GH$10,0)</f>
        <v/>
      </c>
      <c r="GI20" s="18">
        <f>IF(188&gt;=DeliverStart,UtilReimbPerUnitMo*'LeaseUp'!GI$9*GI$10,0)</f>
        <v/>
      </c>
      <c r="GJ20" s="18">
        <f>IF(189&gt;=DeliverStart,UtilReimbPerUnitMo*'LeaseUp'!GJ$9*GJ$10,0)</f>
        <v/>
      </c>
      <c r="GK20" s="18">
        <f>IF(190&gt;=DeliverStart,UtilReimbPerUnitMo*'LeaseUp'!GK$9*GK$10,0)</f>
        <v/>
      </c>
      <c r="GL20" s="18">
        <f>IF(191&gt;=DeliverStart,UtilReimbPerUnitMo*'LeaseUp'!GL$9*GL$10,0)</f>
        <v/>
      </c>
      <c r="GM20" s="18">
        <f>IF(192&gt;=DeliverStart,UtilReimbPerUnitMo*'LeaseUp'!GM$9*GM$10,0)</f>
        <v/>
      </c>
      <c r="GN20" s="18">
        <f>IF(193&gt;=DeliverStart,UtilReimbPerUnitMo*'LeaseUp'!GN$9*GN$10,0)</f>
        <v/>
      </c>
      <c r="GO20" s="18">
        <f>IF(194&gt;=DeliverStart,UtilReimbPerUnitMo*'LeaseUp'!GO$9*GO$10,0)</f>
        <v/>
      </c>
      <c r="GP20" s="18">
        <f>IF(195&gt;=DeliverStart,UtilReimbPerUnitMo*'LeaseUp'!GP$9*GP$10,0)</f>
        <v/>
      </c>
      <c r="GQ20" s="18">
        <f>IF(196&gt;=DeliverStart,UtilReimbPerUnitMo*'LeaseUp'!GQ$9*GQ$10,0)</f>
        <v/>
      </c>
      <c r="GR20" s="18">
        <f>IF(197&gt;=DeliverStart,UtilReimbPerUnitMo*'LeaseUp'!GR$9*GR$10,0)</f>
        <v/>
      </c>
      <c r="GS20" s="18">
        <f>IF(198&gt;=DeliverStart,UtilReimbPerUnitMo*'LeaseUp'!GS$9*GS$10,0)</f>
        <v/>
      </c>
      <c r="GT20" s="18">
        <f>IF(199&gt;=DeliverStart,UtilReimbPerUnitMo*'LeaseUp'!GT$9*GT$10,0)</f>
        <v/>
      </c>
      <c r="GU20" s="18">
        <f>IF(200&gt;=DeliverStart,UtilReimbPerUnitMo*'LeaseUp'!GU$9*GU$10,0)</f>
        <v/>
      </c>
      <c r="GV20" s="18">
        <f>IF(201&gt;=DeliverStart,UtilReimbPerUnitMo*'LeaseUp'!GV$9*GV$10,0)</f>
        <v/>
      </c>
      <c r="GW20" s="18">
        <f>IF(202&gt;=DeliverStart,UtilReimbPerUnitMo*'LeaseUp'!GW$9*GW$10,0)</f>
        <v/>
      </c>
      <c r="GX20" s="18">
        <f>IF(203&gt;=DeliverStart,UtilReimbPerUnitMo*'LeaseUp'!GX$9*GX$10,0)</f>
        <v/>
      </c>
      <c r="GY20" s="18">
        <f>IF(204&gt;=DeliverStart,UtilReimbPerUnitMo*'LeaseUp'!GY$9*GY$10,0)</f>
        <v/>
      </c>
      <c r="GZ20" s="18">
        <f>IF(205&gt;=DeliverStart,UtilReimbPerUnitMo*'LeaseUp'!GZ$9*GZ$10,0)</f>
        <v/>
      </c>
      <c r="HA20" s="18">
        <f>IF(206&gt;=DeliverStart,UtilReimbPerUnitMo*'LeaseUp'!HA$9*HA$10,0)</f>
        <v/>
      </c>
      <c r="HB20" s="18">
        <f>IF(207&gt;=DeliverStart,UtilReimbPerUnitMo*'LeaseUp'!HB$9*HB$10,0)</f>
        <v/>
      </c>
      <c r="HC20" s="18">
        <f>IF(208&gt;=DeliverStart,UtilReimbPerUnitMo*'LeaseUp'!HC$9*HC$10,0)</f>
        <v/>
      </c>
      <c r="HD20" s="18">
        <f>IF(209&gt;=DeliverStart,UtilReimbPerUnitMo*'LeaseUp'!HD$9*HD$10,0)</f>
        <v/>
      </c>
      <c r="HE20" s="18">
        <f>IF(210&gt;=DeliverStart,UtilReimbPerUnitMo*'LeaseUp'!HE$9*HE$10,0)</f>
        <v/>
      </c>
      <c r="HF20" s="18">
        <f>IF(211&gt;=DeliverStart,UtilReimbPerUnitMo*'LeaseUp'!HF$9*HF$10,0)</f>
        <v/>
      </c>
      <c r="HG20" s="18">
        <f>IF(212&gt;=DeliverStart,UtilReimbPerUnitMo*'LeaseUp'!HG$9*HG$10,0)</f>
        <v/>
      </c>
      <c r="HH20" s="18">
        <f>IF(213&gt;=DeliverStart,UtilReimbPerUnitMo*'LeaseUp'!HH$9*HH$10,0)</f>
        <v/>
      </c>
      <c r="HI20" s="18">
        <f>IF(214&gt;=DeliverStart,UtilReimbPerUnitMo*'LeaseUp'!HI$9*HI$10,0)</f>
        <v/>
      </c>
      <c r="HJ20" s="18">
        <f>IF(215&gt;=DeliverStart,UtilReimbPerUnitMo*'LeaseUp'!HJ$9*HJ$10,0)</f>
        <v/>
      </c>
      <c r="HK20" s="18">
        <f>IF(216&gt;=DeliverStart,UtilReimbPerUnitMo*'LeaseUp'!HK$9*HK$10,0)</f>
        <v/>
      </c>
      <c r="HL20" s="18">
        <f>IF(217&gt;=DeliverStart,UtilReimbPerUnitMo*'LeaseUp'!HL$9*HL$10,0)</f>
        <v/>
      </c>
      <c r="HM20" s="18">
        <f>IF(218&gt;=DeliverStart,UtilReimbPerUnitMo*'LeaseUp'!HM$9*HM$10,0)</f>
        <v/>
      </c>
      <c r="HN20" s="18">
        <f>IF(219&gt;=DeliverStart,UtilReimbPerUnitMo*'LeaseUp'!HN$9*HN$10,0)</f>
        <v/>
      </c>
      <c r="HO20" s="18">
        <f>IF(220&gt;=DeliverStart,UtilReimbPerUnitMo*'LeaseUp'!HO$9*HO$10,0)</f>
        <v/>
      </c>
      <c r="HP20" s="18">
        <f>IF(221&gt;=DeliverStart,UtilReimbPerUnitMo*'LeaseUp'!HP$9*HP$10,0)</f>
        <v/>
      </c>
      <c r="HQ20" s="18">
        <f>IF(222&gt;=DeliverStart,UtilReimbPerUnitMo*'LeaseUp'!HQ$9*HQ$10,0)</f>
        <v/>
      </c>
      <c r="HR20" s="18">
        <f>IF(223&gt;=DeliverStart,UtilReimbPerUnitMo*'LeaseUp'!HR$9*HR$10,0)</f>
        <v/>
      </c>
      <c r="HS20" s="18">
        <f>IF(224&gt;=DeliverStart,UtilReimbPerUnitMo*'LeaseUp'!HS$9*HS$10,0)</f>
        <v/>
      </c>
      <c r="HT20" s="18">
        <f>IF(225&gt;=DeliverStart,UtilReimbPerUnitMo*'LeaseUp'!HT$9*HT$10,0)</f>
        <v/>
      </c>
      <c r="HU20" s="18">
        <f>IF(226&gt;=DeliverStart,UtilReimbPerUnitMo*'LeaseUp'!HU$9*HU$10,0)</f>
        <v/>
      </c>
      <c r="HV20" s="18">
        <f>IF(227&gt;=DeliverStart,UtilReimbPerUnitMo*'LeaseUp'!HV$9*HV$10,0)</f>
        <v/>
      </c>
      <c r="HW20" s="18">
        <f>IF(228&gt;=DeliverStart,UtilReimbPerUnitMo*'LeaseUp'!HW$9*HW$10,0)</f>
        <v/>
      </c>
      <c r="HX20" s="18">
        <f>IF(229&gt;=DeliverStart,UtilReimbPerUnitMo*'LeaseUp'!HX$9*HX$10,0)</f>
        <v/>
      </c>
      <c r="HY20" s="18">
        <f>IF(230&gt;=DeliverStart,UtilReimbPerUnitMo*'LeaseUp'!HY$9*HY$10,0)</f>
        <v/>
      </c>
      <c r="HZ20" s="18">
        <f>IF(231&gt;=DeliverStart,UtilReimbPerUnitMo*'LeaseUp'!HZ$9*HZ$10,0)</f>
        <v/>
      </c>
      <c r="IA20" s="18">
        <f>IF(232&gt;=DeliverStart,UtilReimbPerUnitMo*'LeaseUp'!IA$9*IA$10,0)</f>
        <v/>
      </c>
      <c r="IB20" s="18">
        <f>IF(233&gt;=DeliverStart,UtilReimbPerUnitMo*'LeaseUp'!IB$9*IB$10,0)</f>
        <v/>
      </c>
      <c r="IC20" s="18">
        <f>IF(234&gt;=DeliverStart,UtilReimbPerUnitMo*'LeaseUp'!IC$9*IC$10,0)</f>
        <v/>
      </c>
      <c r="ID20" s="18">
        <f>IF(235&gt;=DeliverStart,UtilReimbPerUnitMo*'LeaseUp'!ID$9*ID$10,0)</f>
        <v/>
      </c>
      <c r="IE20" s="18">
        <f>IF(236&gt;=DeliverStart,UtilReimbPerUnitMo*'LeaseUp'!IE$9*IE$10,0)</f>
        <v/>
      </c>
      <c r="IF20" s="18">
        <f>IF(237&gt;=DeliverStart,UtilReimbPerUnitMo*'LeaseUp'!IF$9*IF$10,0)</f>
        <v/>
      </c>
      <c r="IG20" s="18">
        <f>IF(238&gt;=DeliverStart,UtilReimbPerUnitMo*'LeaseUp'!IG$9*IG$10,0)</f>
        <v/>
      </c>
      <c r="IH20" s="18">
        <f>IF(239&gt;=DeliverStart,UtilReimbPerUnitMo*'LeaseUp'!IH$9*IH$10,0)</f>
        <v/>
      </c>
      <c r="II20" s="18">
        <f>IF(240&gt;=DeliverStart,UtilReimbPerUnitMo*'LeaseUp'!II$9*II$10,0)</f>
        <v/>
      </c>
      <c r="IJ20" s="18">
        <f>IF(241&gt;=DeliverStart,UtilReimbPerUnitMo*'LeaseUp'!IJ$9*IJ$10,0)</f>
        <v/>
      </c>
      <c r="IK20" s="18">
        <f>IF(242&gt;=DeliverStart,UtilReimbPerUnitMo*'LeaseUp'!IK$9*IK$10,0)</f>
        <v/>
      </c>
      <c r="IL20" s="18">
        <f>IF(243&gt;=DeliverStart,UtilReimbPerUnitMo*'LeaseUp'!IL$9*IL$10,0)</f>
        <v/>
      </c>
      <c r="IM20" s="18">
        <f>IF(244&gt;=DeliverStart,UtilReimbPerUnitMo*'LeaseUp'!IM$9*IM$10,0)</f>
        <v/>
      </c>
      <c r="IN20" s="18">
        <f>IF(245&gt;=DeliverStart,UtilReimbPerUnitMo*'LeaseUp'!IN$9*IN$10,0)</f>
        <v/>
      </c>
      <c r="IO20" s="18">
        <f>IF(246&gt;=DeliverStart,UtilReimbPerUnitMo*'LeaseUp'!IO$9*IO$10,0)</f>
        <v/>
      </c>
      <c r="IP20" s="18">
        <f>IF(247&gt;=DeliverStart,UtilReimbPerUnitMo*'LeaseUp'!IP$9*IP$10,0)</f>
        <v/>
      </c>
      <c r="IQ20" s="18">
        <f>IF(248&gt;=DeliverStart,UtilReimbPerUnitMo*'LeaseUp'!IQ$9*IQ$10,0)</f>
        <v/>
      </c>
      <c r="IR20" s="18">
        <f>IF(249&gt;=DeliverStart,UtilReimbPerUnitMo*'LeaseUp'!IR$9*IR$10,0)</f>
        <v/>
      </c>
      <c r="IS20" s="18">
        <f>IF(250&gt;=DeliverStart,UtilReimbPerUnitMo*'LeaseUp'!IS$9*IS$10,0)</f>
        <v/>
      </c>
      <c r="IT20" s="18">
        <f>IF(251&gt;=DeliverStart,UtilReimbPerUnitMo*'LeaseUp'!IT$9*IT$10,0)</f>
        <v/>
      </c>
      <c r="IU20" s="18">
        <f>IF(252&gt;=DeliverStart,UtilReimbPerUnitMo*'LeaseUp'!IU$9*IU$10,0)</f>
        <v/>
      </c>
      <c r="IV20" s="18">
        <f>IF(253&gt;=DeliverStart,UtilReimbPerUnitMo*'LeaseUp'!IV$9*IV$10,0)</f>
        <v/>
      </c>
      <c r="IW20" s="18">
        <f>IF(254&gt;=DeliverStart,UtilReimbPerUnitMo*'LeaseUp'!IW$9*IW$10,0)</f>
        <v/>
      </c>
      <c r="IX20" s="18">
        <f>IF(255&gt;=DeliverStart,UtilReimbPerUnitMo*'LeaseUp'!IX$9*IX$10,0)</f>
        <v/>
      </c>
      <c r="IY20" s="18">
        <f>IF(256&gt;=DeliverStart,UtilReimbPerUnitMo*'LeaseUp'!IY$9*IY$10,0)</f>
        <v/>
      </c>
      <c r="IZ20" s="18">
        <f>IF(257&gt;=DeliverStart,UtilReimbPerUnitMo*'LeaseUp'!IZ$9*IZ$10,0)</f>
        <v/>
      </c>
      <c r="JA20" s="18">
        <f>IF(258&gt;=DeliverStart,UtilReimbPerUnitMo*'LeaseUp'!JA$9*JA$10,0)</f>
        <v/>
      </c>
      <c r="JB20" s="18">
        <f>IF(259&gt;=DeliverStart,UtilReimbPerUnitMo*'LeaseUp'!JB$9*JB$10,0)</f>
        <v/>
      </c>
      <c r="JC20" s="18">
        <f>IF(260&gt;=DeliverStart,UtilReimbPerUnitMo*'LeaseUp'!JC$9*JC$10,0)</f>
        <v/>
      </c>
      <c r="JD20" s="18">
        <f>IF(261&gt;=DeliverStart,UtilReimbPerUnitMo*'LeaseUp'!JD$9*JD$10,0)</f>
        <v/>
      </c>
      <c r="JE20" s="18">
        <f>IF(262&gt;=DeliverStart,UtilReimbPerUnitMo*'LeaseUp'!JE$9*JE$10,0)</f>
        <v/>
      </c>
      <c r="JF20" s="18">
        <f>IF(263&gt;=DeliverStart,UtilReimbPerUnitMo*'LeaseUp'!JF$9*JF$10,0)</f>
        <v/>
      </c>
      <c r="JG20" s="18">
        <f>IF(264&gt;=DeliverStart,UtilReimbPerUnitMo*'LeaseUp'!JG$9*JG$10,0)</f>
        <v/>
      </c>
      <c r="JH20" s="18">
        <f>IF(265&gt;=DeliverStart,UtilReimbPerUnitMo*'LeaseUp'!JH$9*JH$10,0)</f>
        <v/>
      </c>
      <c r="JI20" s="18">
        <f>IF(266&gt;=DeliverStart,UtilReimbPerUnitMo*'LeaseUp'!JI$9*JI$10,0)</f>
        <v/>
      </c>
      <c r="JJ20" s="18">
        <f>IF(267&gt;=DeliverStart,UtilReimbPerUnitMo*'LeaseUp'!JJ$9*JJ$10,0)</f>
        <v/>
      </c>
      <c r="JK20" s="18">
        <f>IF(268&gt;=DeliverStart,UtilReimbPerUnitMo*'LeaseUp'!JK$9*JK$10,0)</f>
        <v/>
      </c>
      <c r="JL20" s="18">
        <f>IF(269&gt;=DeliverStart,UtilReimbPerUnitMo*'LeaseUp'!JL$9*JL$10,0)</f>
        <v/>
      </c>
      <c r="JM20" s="18">
        <f>IF(270&gt;=DeliverStart,UtilReimbPerUnitMo*'LeaseUp'!JM$9*JM$10,0)</f>
        <v/>
      </c>
      <c r="JN20" s="18">
        <f>IF(271&gt;=DeliverStart,UtilReimbPerUnitMo*'LeaseUp'!JN$9*JN$10,0)</f>
        <v/>
      </c>
      <c r="JO20" s="18">
        <f>IF(272&gt;=DeliverStart,UtilReimbPerUnitMo*'LeaseUp'!JO$9*JO$10,0)</f>
        <v/>
      </c>
      <c r="JP20" s="18">
        <f>IF(273&gt;=DeliverStart,UtilReimbPerUnitMo*'LeaseUp'!JP$9*JP$10,0)</f>
        <v/>
      </c>
      <c r="JQ20" s="18">
        <f>IF(274&gt;=DeliverStart,UtilReimbPerUnitMo*'LeaseUp'!JQ$9*JQ$10,0)</f>
        <v/>
      </c>
      <c r="JR20" s="18">
        <f>IF(275&gt;=DeliverStart,UtilReimbPerUnitMo*'LeaseUp'!JR$9*JR$10,0)</f>
        <v/>
      </c>
      <c r="JS20" s="18">
        <f>IF(276&gt;=DeliverStart,UtilReimbPerUnitMo*'LeaseUp'!JS$9*JS$10,0)</f>
        <v/>
      </c>
      <c r="JT20" s="18">
        <f>IF(277&gt;=DeliverStart,UtilReimbPerUnitMo*'LeaseUp'!JT$9*JT$10,0)</f>
        <v/>
      </c>
      <c r="JU20" s="18">
        <f>IF(278&gt;=DeliverStart,UtilReimbPerUnitMo*'LeaseUp'!JU$9*JU$10,0)</f>
        <v/>
      </c>
      <c r="JV20" s="18">
        <f>IF(279&gt;=DeliverStart,UtilReimbPerUnitMo*'LeaseUp'!JV$9*JV$10,0)</f>
        <v/>
      </c>
      <c r="JW20" s="18">
        <f>IF(280&gt;=DeliverStart,UtilReimbPerUnitMo*'LeaseUp'!JW$9*JW$10,0)</f>
        <v/>
      </c>
      <c r="JX20" s="18">
        <f>IF(281&gt;=DeliverStart,UtilReimbPerUnitMo*'LeaseUp'!JX$9*JX$10,0)</f>
        <v/>
      </c>
      <c r="JY20" s="18">
        <f>IF(282&gt;=DeliverStart,UtilReimbPerUnitMo*'LeaseUp'!JY$9*JY$10,0)</f>
        <v/>
      </c>
      <c r="JZ20" s="18">
        <f>IF(283&gt;=DeliverStart,UtilReimbPerUnitMo*'LeaseUp'!JZ$9*JZ$10,0)</f>
        <v/>
      </c>
      <c r="KA20" s="18">
        <f>IF(284&gt;=DeliverStart,UtilReimbPerUnitMo*'LeaseUp'!KA$9*KA$10,0)</f>
        <v/>
      </c>
      <c r="KB20" s="18">
        <f>IF(285&gt;=DeliverStart,UtilReimbPerUnitMo*'LeaseUp'!KB$9*KB$10,0)</f>
        <v/>
      </c>
      <c r="KC20" s="18">
        <f>IF(286&gt;=DeliverStart,UtilReimbPerUnitMo*'LeaseUp'!KC$9*KC$10,0)</f>
        <v/>
      </c>
      <c r="KD20" s="18">
        <f>IF(287&gt;=DeliverStart,UtilReimbPerUnitMo*'LeaseUp'!KD$9*KD$10,0)</f>
        <v/>
      </c>
      <c r="KE20" s="18">
        <f>IF(288&gt;=DeliverStart,UtilReimbPerUnitMo*'LeaseUp'!KE$9*KE$10,0)</f>
        <v/>
      </c>
      <c r="KF20" s="18">
        <f>IF(289&gt;=DeliverStart,UtilReimbPerUnitMo*'LeaseUp'!KF$9*KF$10,0)</f>
        <v/>
      </c>
      <c r="KG20" s="18">
        <f>IF(290&gt;=DeliverStart,UtilReimbPerUnitMo*'LeaseUp'!KG$9*KG$10,0)</f>
        <v/>
      </c>
      <c r="KH20" s="18">
        <f>IF(291&gt;=DeliverStart,UtilReimbPerUnitMo*'LeaseUp'!KH$9*KH$10,0)</f>
        <v/>
      </c>
      <c r="KI20" s="18">
        <f>IF(292&gt;=DeliverStart,UtilReimbPerUnitMo*'LeaseUp'!KI$9*KI$10,0)</f>
        <v/>
      </c>
      <c r="KJ20" s="18">
        <f>IF(293&gt;=DeliverStart,UtilReimbPerUnitMo*'LeaseUp'!KJ$9*KJ$10,0)</f>
        <v/>
      </c>
      <c r="KK20" s="18">
        <f>IF(294&gt;=DeliverStart,UtilReimbPerUnitMo*'LeaseUp'!KK$9*KK$10,0)</f>
        <v/>
      </c>
      <c r="KL20" s="18">
        <f>IF(295&gt;=DeliverStart,UtilReimbPerUnitMo*'LeaseUp'!KL$9*KL$10,0)</f>
        <v/>
      </c>
      <c r="KM20" s="18">
        <f>IF(296&gt;=DeliverStart,UtilReimbPerUnitMo*'LeaseUp'!KM$9*KM$10,0)</f>
        <v/>
      </c>
      <c r="KN20" s="18">
        <f>IF(297&gt;=DeliverStart,UtilReimbPerUnitMo*'LeaseUp'!KN$9*KN$10,0)</f>
        <v/>
      </c>
      <c r="KO20" s="18">
        <f>IF(298&gt;=DeliverStart,UtilReimbPerUnitMo*'LeaseUp'!KO$9*KO$10,0)</f>
        <v/>
      </c>
      <c r="KP20" s="18">
        <f>IF(299&gt;=DeliverStart,UtilReimbPerUnitMo*'LeaseUp'!KP$9*KP$10,0)</f>
        <v/>
      </c>
      <c r="KQ20" s="18">
        <f>IF(300&gt;=DeliverStart,UtilReimbPerUnitMo*'LeaseUp'!KQ$9*KQ$10,0)</f>
        <v/>
      </c>
      <c r="KR20" s="18">
        <f>IF(301&gt;=DeliverStart,UtilReimbPerUnitMo*'LeaseUp'!KR$9*KR$10,0)</f>
        <v/>
      </c>
      <c r="KS20" s="18">
        <f>IF(302&gt;=DeliverStart,UtilReimbPerUnitMo*'LeaseUp'!KS$9*KS$10,0)</f>
        <v/>
      </c>
      <c r="KT20" s="18">
        <f>IF(303&gt;=DeliverStart,UtilReimbPerUnitMo*'LeaseUp'!KT$9*KT$10,0)</f>
        <v/>
      </c>
      <c r="KU20" s="18">
        <f>IF(304&gt;=DeliverStart,UtilReimbPerUnitMo*'LeaseUp'!KU$9*KU$10,0)</f>
        <v/>
      </c>
      <c r="KV20" s="18">
        <f>IF(305&gt;=DeliverStart,UtilReimbPerUnitMo*'LeaseUp'!KV$9*KV$10,0)</f>
        <v/>
      </c>
      <c r="KW20" s="18">
        <f>IF(306&gt;=DeliverStart,UtilReimbPerUnitMo*'LeaseUp'!KW$9*KW$10,0)</f>
        <v/>
      </c>
      <c r="KX20" s="18">
        <f>IF(307&gt;=DeliverStart,UtilReimbPerUnitMo*'LeaseUp'!KX$9*KX$10,0)</f>
        <v/>
      </c>
      <c r="KY20" s="18">
        <f>IF(308&gt;=DeliverStart,UtilReimbPerUnitMo*'LeaseUp'!KY$9*KY$10,0)</f>
        <v/>
      </c>
      <c r="KZ20" s="18">
        <f>IF(309&gt;=DeliverStart,UtilReimbPerUnitMo*'LeaseUp'!KZ$9*KZ$10,0)</f>
        <v/>
      </c>
      <c r="LA20" s="18">
        <f>IF(310&gt;=DeliverStart,UtilReimbPerUnitMo*'LeaseUp'!LA$9*LA$10,0)</f>
        <v/>
      </c>
      <c r="LB20" s="18">
        <f>IF(311&gt;=DeliverStart,UtilReimbPerUnitMo*'LeaseUp'!LB$9*LB$10,0)</f>
        <v/>
      </c>
      <c r="LC20" s="18">
        <f>IF(312&gt;=DeliverStart,UtilReimbPerUnitMo*'LeaseUp'!LC$9*LC$10,0)</f>
        <v/>
      </c>
      <c r="LD20" s="18">
        <f>IF(313&gt;=DeliverStart,UtilReimbPerUnitMo*'LeaseUp'!LD$9*LD$10,0)</f>
        <v/>
      </c>
      <c r="LE20" s="18">
        <f>IF(314&gt;=DeliverStart,UtilReimbPerUnitMo*'LeaseUp'!LE$9*LE$10,0)</f>
        <v/>
      </c>
      <c r="LF20" s="18">
        <f>IF(315&gt;=DeliverStart,UtilReimbPerUnitMo*'LeaseUp'!LF$9*LF$10,0)</f>
        <v/>
      </c>
      <c r="LG20" s="18">
        <f>IF(316&gt;=DeliverStart,UtilReimbPerUnitMo*'LeaseUp'!LG$9*LG$10,0)</f>
        <v/>
      </c>
      <c r="LH20" s="18">
        <f>IF(317&gt;=DeliverStart,UtilReimbPerUnitMo*'LeaseUp'!LH$9*LH$10,0)</f>
        <v/>
      </c>
      <c r="LI20" s="18">
        <f>IF(318&gt;=DeliverStart,UtilReimbPerUnitMo*'LeaseUp'!LI$9*LI$10,0)</f>
        <v/>
      </c>
      <c r="LJ20" s="18">
        <f>IF(319&gt;=DeliverStart,UtilReimbPerUnitMo*'LeaseUp'!LJ$9*LJ$10,0)</f>
        <v/>
      </c>
      <c r="LK20" s="18">
        <f>IF(320&gt;=DeliverStart,UtilReimbPerUnitMo*'LeaseUp'!LK$9*LK$10,0)</f>
        <v/>
      </c>
      <c r="LL20" s="18">
        <f>IF(321&gt;=DeliverStart,UtilReimbPerUnitMo*'LeaseUp'!LL$9*LL$10,0)</f>
        <v/>
      </c>
      <c r="LM20" s="18">
        <f>IF(322&gt;=DeliverStart,UtilReimbPerUnitMo*'LeaseUp'!LM$9*LM$10,0)</f>
        <v/>
      </c>
      <c r="LN20" s="18">
        <f>IF(323&gt;=DeliverStart,UtilReimbPerUnitMo*'LeaseUp'!LN$9*LN$10,0)</f>
        <v/>
      </c>
      <c r="LO20" s="18">
        <f>IF(324&gt;=DeliverStart,UtilReimbPerUnitMo*'LeaseUp'!LO$9*LO$10,0)</f>
        <v/>
      </c>
      <c r="LP20" s="18">
        <f>IF(325&gt;=DeliverStart,UtilReimbPerUnitMo*'LeaseUp'!LP$9*LP$10,0)</f>
        <v/>
      </c>
      <c r="LQ20" s="18">
        <f>IF(326&gt;=DeliverStart,UtilReimbPerUnitMo*'LeaseUp'!LQ$9*LQ$10,0)</f>
        <v/>
      </c>
      <c r="LR20" s="18">
        <f>IF(327&gt;=DeliverStart,UtilReimbPerUnitMo*'LeaseUp'!LR$9*LR$10,0)</f>
        <v/>
      </c>
      <c r="LS20" s="18">
        <f>IF(328&gt;=DeliverStart,UtilReimbPerUnitMo*'LeaseUp'!LS$9*LS$10,0)</f>
        <v/>
      </c>
      <c r="LT20" s="18">
        <f>IF(329&gt;=DeliverStart,UtilReimbPerUnitMo*'LeaseUp'!LT$9*LT$10,0)</f>
        <v/>
      </c>
      <c r="LU20" s="18">
        <f>IF(330&gt;=DeliverStart,UtilReimbPerUnitMo*'LeaseUp'!LU$9*LU$10,0)</f>
        <v/>
      </c>
      <c r="LV20" s="18">
        <f>IF(331&gt;=DeliverStart,UtilReimbPerUnitMo*'LeaseUp'!LV$9*LV$10,0)</f>
        <v/>
      </c>
      <c r="LW20" s="18">
        <f>IF(332&gt;=DeliverStart,UtilReimbPerUnitMo*'LeaseUp'!LW$9*LW$10,0)</f>
        <v/>
      </c>
      <c r="LX20" s="18">
        <f>IF(333&gt;=DeliverStart,UtilReimbPerUnitMo*'LeaseUp'!LX$9*LX$10,0)</f>
        <v/>
      </c>
      <c r="LY20" s="18">
        <f>IF(334&gt;=DeliverStart,UtilReimbPerUnitMo*'LeaseUp'!LY$9*LY$10,0)</f>
        <v/>
      </c>
      <c r="LZ20" s="18">
        <f>IF(335&gt;=DeliverStart,UtilReimbPerUnitMo*'LeaseUp'!LZ$9*LZ$10,0)</f>
        <v/>
      </c>
      <c r="MA20" s="18">
        <f>IF(336&gt;=DeliverStart,UtilReimbPerUnitMo*'LeaseUp'!MA$9*MA$10,0)</f>
        <v/>
      </c>
      <c r="MB20" s="18">
        <f>IF(337&gt;=DeliverStart,UtilReimbPerUnitMo*'LeaseUp'!MB$9*MB$10,0)</f>
        <v/>
      </c>
      <c r="MC20" s="18">
        <f>IF(338&gt;=DeliverStart,UtilReimbPerUnitMo*'LeaseUp'!MC$9*MC$10,0)</f>
        <v/>
      </c>
      <c r="MD20" s="18">
        <f>IF(339&gt;=DeliverStart,UtilReimbPerUnitMo*'LeaseUp'!MD$9*MD$10,0)</f>
        <v/>
      </c>
      <c r="ME20" s="18">
        <f>IF(340&gt;=DeliverStart,UtilReimbPerUnitMo*'LeaseUp'!ME$9*ME$10,0)</f>
        <v/>
      </c>
      <c r="MF20" s="18">
        <f>IF(341&gt;=DeliverStart,UtilReimbPerUnitMo*'LeaseUp'!MF$9*MF$10,0)</f>
        <v/>
      </c>
      <c r="MG20" s="18">
        <f>IF(342&gt;=DeliverStart,UtilReimbPerUnitMo*'LeaseUp'!MG$9*MG$10,0)</f>
        <v/>
      </c>
      <c r="MH20" s="18">
        <f>IF(343&gt;=DeliverStart,UtilReimbPerUnitMo*'LeaseUp'!MH$9*MH$10,0)</f>
        <v/>
      </c>
      <c r="MI20" s="18">
        <f>IF(344&gt;=DeliverStart,UtilReimbPerUnitMo*'LeaseUp'!MI$9*MI$10,0)</f>
        <v/>
      </c>
      <c r="MJ20" s="18">
        <f>IF(345&gt;=DeliverStart,UtilReimbPerUnitMo*'LeaseUp'!MJ$9*MJ$10,0)</f>
        <v/>
      </c>
      <c r="MK20" s="18">
        <f>IF(346&gt;=DeliverStart,UtilReimbPerUnitMo*'LeaseUp'!MK$9*MK$10,0)</f>
        <v/>
      </c>
      <c r="ML20" s="18">
        <f>IF(347&gt;=DeliverStart,UtilReimbPerUnitMo*'LeaseUp'!ML$9*ML$10,0)</f>
        <v/>
      </c>
      <c r="MM20" s="18">
        <f>IF(348&gt;=DeliverStart,UtilReimbPerUnitMo*'LeaseUp'!MM$9*MM$10,0)</f>
        <v/>
      </c>
      <c r="MN20" s="18">
        <f>IF(349&gt;=DeliverStart,UtilReimbPerUnitMo*'LeaseUp'!MN$9*MN$10,0)</f>
        <v/>
      </c>
      <c r="MO20" s="18">
        <f>IF(350&gt;=DeliverStart,UtilReimbPerUnitMo*'LeaseUp'!MO$9*MO$10,0)</f>
        <v/>
      </c>
      <c r="MP20" s="18">
        <f>IF(351&gt;=DeliverStart,UtilReimbPerUnitMo*'LeaseUp'!MP$9*MP$10,0)</f>
        <v/>
      </c>
      <c r="MQ20" s="18">
        <f>IF(352&gt;=DeliverStart,UtilReimbPerUnitMo*'LeaseUp'!MQ$9*MQ$10,0)</f>
        <v/>
      </c>
      <c r="MR20" s="18">
        <f>IF(353&gt;=DeliverStart,UtilReimbPerUnitMo*'LeaseUp'!MR$9*MR$10,0)</f>
        <v/>
      </c>
      <c r="MS20" s="18">
        <f>IF(354&gt;=DeliverStart,UtilReimbPerUnitMo*'LeaseUp'!MS$9*MS$10,0)</f>
        <v/>
      </c>
      <c r="MT20" s="18">
        <f>IF(355&gt;=DeliverStart,UtilReimbPerUnitMo*'LeaseUp'!MT$9*MT$10,0)</f>
        <v/>
      </c>
      <c r="MU20" s="18">
        <f>IF(356&gt;=DeliverStart,UtilReimbPerUnitMo*'LeaseUp'!MU$9*MU$10,0)</f>
        <v/>
      </c>
      <c r="MV20" s="18">
        <f>IF(357&gt;=DeliverStart,UtilReimbPerUnitMo*'LeaseUp'!MV$9*MV$10,0)</f>
        <v/>
      </c>
      <c r="MW20" s="18">
        <f>IF(358&gt;=DeliverStart,UtilReimbPerUnitMo*'LeaseUp'!MW$9*MW$10,0)</f>
        <v/>
      </c>
      <c r="MX20" s="18">
        <f>IF(359&gt;=DeliverStart,UtilReimbPerUnitMo*'LeaseUp'!MX$9*MX$10,0)</f>
        <v/>
      </c>
      <c r="MY20" s="18">
        <f>IF(360&gt;=DeliverStart,UtilReimbPerUnitMo*'LeaseUp'!MY$9*MY$10,0)</f>
        <v/>
      </c>
      <c r="MZ20" s="18">
        <f>IF(361&gt;=DeliverStart,UtilReimbPerUnitMo*'LeaseUp'!MZ$9*MZ$10,0)</f>
        <v/>
      </c>
      <c r="NA20" s="18">
        <f>IF(362&gt;=DeliverStart,UtilReimbPerUnitMo*'LeaseUp'!NA$9*NA$10,0)</f>
        <v/>
      </c>
      <c r="NB20" s="18">
        <f>IF(363&gt;=DeliverStart,UtilReimbPerUnitMo*'LeaseUp'!NB$9*NB$10,0)</f>
        <v/>
      </c>
      <c r="NC20" s="18">
        <f>IF(364&gt;=DeliverStart,UtilReimbPerUnitMo*'LeaseUp'!NC$9*NC$10,0)</f>
        <v/>
      </c>
      <c r="ND20" s="18">
        <f>IF(365&gt;=DeliverStart,UtilReimbPerUnitMo*'LeaseUp'!ND$9*ND$10,0)</f>
        <v/>
      </c>
      <c r="NE20" s="18">
        <f>IF(366&gt;=DeliverStart,UtilReimbPerUnitMo*'LeaseUp'!NE$9*NE$10,0)</f>
        <v/>
      </c>
      <c r="NF20" s="18">
        <f>IF(367&gt;=DeliverStart,UtilReimbPerUnitMo*'LeaseUp'!NF$9*NF$10,0)</f>
        <v/>
      </c>
      <c r="NG20" s="18">
        <f>IF(368&gt;=DeliverStart,UtilReimbPerUnitMo*'LeaseUp'!NG$9*NG$10,0)</f>
        <v/>
      </c>
      <c r="NH20" s="18">
        <f>IF(369&gt;=DeliverStart,UtilReimbPerUnitMo*'LeaseUp'!NH$9*NH$10,0)</f>
        <v/>
      </c>
      <c r="NI20" s="18">
        <f>IF(370&gt;=DeliverStart,UtilReimbPerUnitMo*'LeaseUp'!NI$9*NI$10,0)</f>
        <v/>
      </c>
      <c r="NJ20" s="18">
        <f>IF(371&gt;=DeliverStart,UtilReimbPerUnitMo*'LeaseUp'!NJ$9*NJ$10,0)</f>
        <v/>
      </c>
      <c r="NK20" s="18">
        <f>IF(372&gt;=DeliverStart,UtilReimbPerUnitMo*'LeaseUp'!NK$9*NK$10,0)</f>
        <v/>
      </c>
    </row>
    <row r="21">
      <c r="A21" s="5" t="inlineStr">
        <is>
          <t>Other Income</t>
        </is>
      </c>
      <c r="C21" s="41">
        <f>SUM(D21:NK21)</f>
        <v/>
      </c>
      <c r="D21" s="18">
        <f>IF(1&gt;=DeliverStart,OtherIncPerUnitMo*'LeaseUp'!D$9*D$10,0)</f>
        <v/>
      </c>
      <c r="E21" s="18">
        <f>IF(2&gt;=DeliverStart,OtherIncPerUnitMo*'LeaseUp'!E$9*E$10,0)</f>
        <v/>
      </c>
      <c r="F21" s="18">
        <f>IF(3&gt;=DeliverStart,OtherIncPerUnitMo*'LeaseUp'!F$9*F$10,0)</f>
        <v/>
      </c>
      <c r="G21" s="18">
        <f>IF(4&gt;=DeliverStart,OtherIncPerUnitMo*'LeaseUp'!G$9*G$10,0)</f>
        <v/>
      </c>
      <c r="H21" s="18">
        <f>IF(5&gt;=DeliverStart,OtherIncPerUnitMo*'LeaseUp'!H$9*H$10,0)</f>
        <v/>
      </c>
      <c r="I21" s="18">
        <f>IF(6&gt;=DeliverStart,OtherIncPerUnitMo*'LeaseUp'!I$9*I$10,0)</f>
        <v/>
      </c>
      <c r="J21" s="18">
        <f>IF(7&gt;=DeliverStart,OtherIncPerUnitMo*'LeaseUp'!J$9*J$10,0)</f>
        <v/>
      </c>
      <c r="K21" s="18">
        <f>IF(8&gt;=DeliverStart,OtherIncPerUnitMo*'LeaseUp'!K$9*K$10,0)</f>
        <v/>
      </c>
      <c r="L21" s="18">
        <f>IF(9&gt;=DeliverStart,OtherIncPerUnitMo*'LeaseUp'!L$9*L$10,0)</f>
        <v/>
      </c>
      <c r="M21" s="18">
        <f>IF(10&gt;=DeliverStart,OtherIncPerUnitMo*'LeaseUp'!M$9*M$10,0)</f>
        <v/>
      </c>
      <c r="N21" s="18">
        <f>IF(11&gt;=DeliverStart,OtherIncPerUnitMo*'LeaseUp'!N$9*N$10,0)</f>
        <v/>
      </c>
      <c r="O21" s="18">
        <f>IF(12&gt;=DeliverStart,OtherIncPerUnitMo*'LeaseUp'!O$9*O$10,0)</f>
        <v/>
      </c>
      <c r="P21" s="18">
        <f>IF(13&gt;=DeliverStart,OtherIncPerUnitMo*'LeaseUp'!P$9*P$10,0)</f>
        <v/>
      </c>
      <c r="Q21" s="18">
        <f>IF(14&gt;=DeliverStart,OtherIncPerUnitMo*'LeaseUp'!Q$9*Q$10,0)</f>
        <v/>
      </c>
      <c r="R21" s="18">
        <f>IF(15&gt;=DeliverStart,OtherIncPerUnitMo*'LeaseUp'!R$9*R$10,0)</f>
        <v/>
      </c>
      <c r="S21" s="18">
        <f>IF(16&gt;=DeliverStart,OtherIncPerUnitMo*'LeaseUp'!S$9*S$10,0)</f>
        <v/>
      </c>
      <c r="T21" s="18">
        <f>IF(17&gt;=DeliverStart,OtherIncPerUnitMo*'LeaseUp'!T$9*T$10,0)</f>
        <v/>
      </c>
      <c r="U21" s="18">
        <f>IF(18&gt;=DeliverStart,OtherIncPerUnitMo*'LeaseUp'!U$9*U$10,0)</f>
        <v/>
      </c>
      <c r="V21" s="18">
        <f>IF(19&gt;=DeliverStart,OtherIncPerUnitMo*'LeaseUp'!V$9*V$10,0)</f>
        <v/>
      </c>
      <c r="W21" s="18">
        <f>IF(20&gt;=DeliverStart,OtherIncPerUnitMo*'LeaseUp'!W$9*W$10,0)</f>
        <v/>
      </c>
      <c r="X21" s="18">
        <f>IF(21&gt;=DeliverStart,OtherIncPerUnitMo*'LeaseUp'!X$9*X$10,0)</f>
        <v/>
      </c>
      <c r="Y21" s="18">
        <f>IF(22&gt;=DeliverStart,OtherIncPerUnitMo*'LeaseUp'!Y$9*Y$10,0)</f>
        <v/>
      </c>
      <c r="Z21" s="18">
        <f>IF(23&gt;=DeliverStart,OtherIncPerUnitMo*'LeaseUp'!Z$9*Z$10,0)</f>
        <v/>
      </c>
      <c r="AA21" s="18">
        <f>IF(24&gt;=DeliverStart,OtherIncPerUnitMo*'LeaseUp'!AA$9*AA$10,0)</f>
        <v/>
      </c>
      <c r="AB21" s="18">
        <f>IF(25&gt;=DeliverStart,OtherIncPerUnitMo*'LeaseUp'!AB$9*AB$10,0)</f>
        <v/>
      </c>
      <c r="AC21" s="18">
        <f>IF(26&gt;=DeliverStart,OtherIncPerUnitMo*'LeaseUp'!AC$9*AC$10,0)</f>
        <v/>
      </c>
      <c r="AD21" s="18">
        <f>IF(27&gt;=DeliverStart,OtherIncPerUnitMo*'LeaseUp'!AD$9*AD$10,0)</f>
        <v/>
      </c>
      <c r="AE21" s="18">
        <f>IF(28&gt;=DeliverStart,OtherIncPerUnitMo*'LeaseUp'!AE$9*AE$10,0)</f>
        <v/>
      </c>
      <c r="AF21" s="18">
        <f>IF(29&gt;=DeliverStart,OtherIncPerUnitMo*'LeaseUp'!AF$9*AF$10,0)</f>
        <v/>
      </c>
      <c r="AG21" s="18">
        <f>IF(30&gt;=DeliverStart,OtherIncPerUnitMo*'LeaseUp'!AG$9*AG$10,0)</f>
        <v/>
      </c>
      <c r="AH21" s="18">
        <f>IF(31&gt;=DeliverStart,OtherIncPerUnitMo*'LeaseUp'!AH$9*AH$10,0)</f>
        <v/>
      </c>
      <c r="AI21" s="18">
        <f>IF(32&gt;=DeliverStart,OtherIncPerUnitMo*'LeaseUp'!AI$9*AI$10,0)</f>
        <v/>
      </c>
      <c r="AJ21" s="18">
        <f>IF(33&gt;=DeliverStart,OtherIncPerUnitMo*'LeaseUp'!AJ$9*AJ$10,0)</f>
        <v/>
      </c>
      <c r="AK21" s="18">
        <f>IF(34&gt;=DeliverStart,OtherIncPerUnitMo*'LeaseUp'!AK$9*AK$10,0)</f>
        <v/>
      </c>
      <c r="AL21" s="18">
        <f>IF(35&gt;=DeliverStart,OtherIncPerUnitMo*'LeaseUp'!AL$9*AL$10,0)</f>
        <v/>
      </c>
      <c r="AM21" s="18">
        <f>IF(36&gt;=DeliverStart,OtherIncPerUnitMo*'LeaseUp'!AM$9*AM$10,0)</f>
        <v/>
      </c>
      <c r="AN21" s="18">
        <f>IF(37&gt;=DeliverStart,OtherIncPerUnitMo*'LeaseUp'!AN$9*AN$10,0)</f>
        <v/>
      </c>
      <c r="AO21" s="18">
        <f>IF(38&gt;=DeliverStart,OtherIncPerUnitMo*'LeaseUp'!AO$9*AO$10,0)</f>
        <v/>
      </c>
      <c r="AP21" s="18">
        <f>IF(39&gt;=DeliverStart,OtherIncPerUnitMo*'LeaseUp'!AP$9*AP$10,0)</f>
        <v/>
      </c>
      <c r="AQ21" s="18">
        <f>IF(40&gt;=DeliverStart,OtherIncPerUnitMo*'LeaseUp'!AQ$9*AQ$10,0)</f>
        <v/>
      </c>
      <c r="AR21" s="18">
        <f>IF(41&gt;=DeliverStart,OtherIncPerUnitMo*'LeaseUp'!AR$9*AR$10,0)</f>
        <v/>
      </c>
      <c r="AS21" s="18">
        <f>IF(42&gt;=DeliverStart,OtherIncPerUnitMo*'LeaseUp'!AS$9*AS$10,0)</f>
        <v/>
      </c>
      <c r="AT21" s="18">
        <f>IF(43&gt;=DeliverStart,OtherIncPerUnitMo*'LeaseUp'!AT$9*AT$10,0)</f>
        <v/>
      </c>
      <c r="AU21" s="18">
        <f>IF(44&gt;=DeliverStart,OtherIncPerUnitMo*'LeaseUp'!AU$9*AU$10,0)</f>
        <v/>
      </c>
      <c r="AV21" s="18">
        <f>IF(45&gt;=DeliverStart,OtherIncPerUnitMo*'LeaseUp'!AV$9*AV$10,0)</f>
        <v/>
      </c>
      <c r="AW21" s="18">
        <f>IF(46&gt;=DeliverStart,OtherIncPerUnitMo*'LeaseUp'!AW$9*AW$10,0)</f>
        <v/>
      </c>
      <c r="AX21" s="18">
        <f>IF(47&gt;=DeliverStart,OtherIncPerUnitMo*'LeaseUp'!AX$9*AX$10,0)</f>
        <v/>
      </c>
      <c r="AY21" s="18">
        <f>IF(48&gt;=DeliverStart,OtherIncPerUnitMo*'LeaseUp'!AY$9*AY$10,0)</f>
        <v/>
      </c>
      <c r="AZ21" s="18">
        <f>IF(49&gt;=DeliverStart,OtherIncPerUnitMo*'LeaseUp'!AZ$9*AZ$10,0)</f>
        <v/>
      </c>
      <c r="BA21" s="18">
        <f>IF(50&gt;=DeliverStart,OtherIncPerUnitMo*'LeaseUp'!BA$9*BA$10,0)</f>
        <v/>
      </c>
      <c r="BB21" s="18">
        <f>IF(51&gt;=DeliverStart,OtherIncPerUnitMo*'LeaseUp'!BB$9*BB$10,0)</f>
        <v/>
      </c>
      <c r="BC21" s="18">
        <f>IF(52&gt;=DeliverStart,OtherIncPerUnitMo*'LeaseUp'!BC$9*BC$10,0)</f>
        <v/>
      </c>
      <c r="BD21" s="18">
        <f>IF(53&gt;=DeliverStart,OtherIncPerUnitMo*'LeaseUp'!BD$9*BD$10,0)</f>
        <v/>
      </c>
      <c r="BE21" s="18">
        <f>IF(54&gt;=DeliverStart,OtherIncPerUnitMo*'LeaseUp'!BE$9*BE$10,0)</f>
        <v/>
      </c>
      <c r="BF21" s="18">
        <f>IF(55&gt;=DeliverStart,OtherIncPerUnitMo*'LeaseUp'!BF$9*BF$10,0)</f>
        <v/>
      </c>
      <c r="BG21" s="18">
        <f>IF(56&gt;=DeliverStart,OtherIncPerUnitMo*'LeaseUp'!BG$9*BG$10,0)</f>
        <v/>
      </c>
      <c r="BH21" s="18">
        <f>IF(57&gt;=DeliverStart,OtherIncPerUnitMo*'LeaseUp'!BH$9*BH$10,0)</f>
        <v/>
      </c>
      <c r="BI21" s="18">
        <f>IF(58&gt;=DeliverStart,OtherIncPerUnitMo*'LeaseUp'!BI$9*BI$10,0)</f>
        <v/>
      </c>
      <c r="BJ21" s="18">
        <f>IF(59&gt;=DeliverStart,OtherIncPerUnitMo*'LeaseUp'!BJ$9*BJ$10,0)</f>
        <v/>
      </c>
      <c r="BK21" s="18">
        <f>IF(60&gt;=DeliverStart,OtherIncPerUnitMo*'LeaseUp'!BK$9*BK$10,0)</f>
        <v/>
      </c>
      <c r="BL21" s="18">
        <f>IF(61&gt;=DeliverStart,OtherIncPerUnitMo*'LeaseUp'!BL$9*BL$10,0)</f>
        <v/>
      </c>
      <c r="BM21" s="18">
        <f>IF(62&gt;=DeliverStart,OtherIncPerUnitMo*'LeaseUp'!BM$9*BM$10,0)</f>
        <v/>
      </c>
      <c r="BN21" s="18">
        <f>IF(63&gt;=DeliverStart,OtherIncPerUnitMo*'LeaseUp'!BN$9*BN$10,0)</f>
        <v/>
      </c>
      <c r="BO21" s="18">
        <f>IF(64&gt;=DeliverStart,OtherIncPerUnitMo*'LeaseUp'!BO$9*BO$10,0)</f>
        <v/>
      </c>
      <c r="BP21" s="18">
        <f>IF(65&gt;=DeliverStart,OtherIncPerUnitMo*'LeaseUp'!BP$9*BP$10,0)</f>
        <v/>
      </c>
      <c r="BQ21" s="18">
        <f>IF(66&gt;=DeliverStart,OtherIncPerUnitMo*'LeaseUp'!BQ$9*BQ$10,0)</f>
        <v/>
      </c>
      <c r="BR21" s="18">
        <f>IF(67&gt;=DeliverStart,OtherIncPerUnitMo*'LeaseUp'!BR$9*BR$10,0)</f>
        <v/>
      </c>
      <c r="BS21" s="18">
        <f>IF(68&gt;=DeliverStart,OtherIncPerUnitMo*'LeaseUp'!BS$9*BS$10,0)</f>
        <v/>
      </c>
      <c r="BT21" s="18">
        <f>IF(69&gt;=DeliverStart,OtherIncPerUnitMo*'LeaseUp'!BT$9*BT$10,0)</f>
        <v/>
      </c>
      <c r="BU21" s="18">
        <f>IF(70&gt;=DeliverStart,OtherIncPerUnitMo*'LeaseUp'!BU$9*BU$10,0)</f>
        <v/>
      </c>
      <c r="BV21" s="18">
        <f>IF(71&gt;=DeliverStart,OtherIncPerUnitMo*'LeaseUp'!BV$9*BV$10,0)</f>
        <v/>
      </c>
      <c r="BW21" s="18">
        <f>IF(72&gt;=DeliverStart,OtherIncPerUnitMo*'LeaseUp'!BW$9*BW$10,0)</f>
        <v/>
      </c>
      <c r="BX21" s="18">
        <f>IF(73&gt;=DeliverStart,OtherIncPerUnitMo*'LeaseUp'!BX$9*BX$10,0)</f>
        <v/>
      </c>
      <c r="BY21" s="18">
        <f>IF(74&gt;=DeliverStart,OtherIncPerUnitMo*'LeaseUp'!BY$9*BY$10,0)</f>
        <v/>
      </c>
      <c r="BZ21" s="18">
        <f>IF(75&gt;=DeliverStart,OtherIncPerUnitMo*'LeaseUp'!BZ$9*BZ$10,0)</f>
        <v/>
      </c>
      <c r="CA21" s="18">
        <f>IF(76&gt;=DeliverStart,OtherIncPerUnitMo*'LeaseUp'!CA$9*CA$10,0)</f>
        <v/>
      </c>
      <c r="CB21" s="18">
        <f>IF(77&gt;=DeliverStart,OtherIncPerUnitMo*'LeaseUp'!CB$9*CB$10,0)</f>
        <v/>
      </c>
      <c r="CC21" s="18">
        <f>IF(78&gt;=DeliverStart,OtherIncPerUnitMo*'LeaseUp'!CC$9*CC$10,0)</f>
        <v/>
      </c>
      <c r="CD21" s="18">
        <f>IF(79&gt;=DeliverStart,OtherIncPerUnitMo*'LeaseUp'!CD$9*CD$10,0)</f>
        <v/>
      </c>
      <c r="CE21" s="18">
        <f>IF(80&gt;=DeliverStart,OtherIncPerUnitMo*'LeaseUp'!CE$9*CE$10,0)</f>
        <v/>
      </c>
      <c r="CF21" s="18">
        <f>IF(81&gt;=DeliverStart,OtherIncPerUnitMo*'LeaseUp'!CF$9*CF$10,0)</f>
        <v/>
      </c>
      <c r="CG21" s="18">
        <f>IF(82&gt;=DeliverStart,OtherIncPerUnitMo*'LeaseUp'!CG$9*CG$10,0)</f>
        <v/>
      </c>
      <c r="CH21" s="18">
        <f>IF(83&gt;=DeliverStart,OtherIncPerUnitMo*'LeaseUp'!CH$9*CH$10,0)</f>
        <v/>
      </c>
      <c r="CI21" s="18">
        <f>IF(84&gt;=DeliverStart,OtherIncPerUnitMo*'LeaseUp'!CI$9*CI$10,0)</f>
        <v/>
      </c>
      <c r="CJ21" s="18">
        <f>IF(85&gt;=DeliverStart,OtherIncPerUnitMo*'LeaseUp'!CJ$9*CJ$10,0)</f>
        <v/>
      </c>
      <c r="CK21" s="18">
        <f>IF(86&gt;=DeliverStart,OtherIncPerUnitMo*'LeaseUp'!CK$9*CK$10,0)</f>
        <v/>
      </c>
      <c r="CL21" s="18">
        <f>IF(87&gt;=DeliverStart,OtherIncPerUnitMo*'LeaseUp'!CL$9*CL$10,0)</f>
        <v/>
      </c>
      <c r="CM21" s="18">
        <f>IF(88&gt;=DeliverStart,OtherIncPerUnitMo*'LeaseUp'!CM$9*CM$10,0)</f>
        <v/>
      </c>
      <c r="CN21" s="18">
        <f>IF(89&gt;=DeliverStart,OtherIncPerUnitMo*'LeaseUp'!CN$9*CN$10,0)</f>
        <v/>
      </c>
      <c r="CO21" s="18">
        <f>IF(90&gt;=DeliverStart,OtherIncPerUnitMo*'LeaseUp'!CO$9*CO$10,0)</f>
        <v/>
      </c>
      <c r="CP21" s="18">
        <f>IF(91&gt;=DeliverStart,OtherIncPerUnitMo*'LeaseUp'!CP$9*CP$10,0)</f>
        <v/>
      </c>
      <c r="CQ21" s="18">
        <f>IF(92&gt;=DeliverStart,OtherIncPerUnitMo*'LeaseUp'!CQ$9*CQ$10,0)</f>
        <v/>
      </c>
      <c r="CR21" s="18">
        <f>IF(93&gt;=DeliverStart,OtherIncPerUnitMo*'LeaseUp'!CR$9*CR$10,0)</f>
        <v/>
      </c>
      <c r="CS21" s="18">
        <f>IF(94&gt;=DeliverStart,OtherIncPerUnitMo*'LeaseUp'!CS$9*CS$10,0)</f>
        <v/>
      </c>
      <c r="CT21" s="18">
        <f>IF(95&gt;=DeliverStart,OtherIncPerUnitMo*'LeaseUp'!CT$9*CT$10,0)</f>
        <v/>
      </c>
      <c r="CU21" s="18">
        <f>IF(96&gt;=DeliverStart,OtherIncPerUnitMo*'LeaseUp'!CU$9*CU$10,0)</f>
        <v/>
      </c>
      <c r="CV21" s="18">
        <f>IF(97&gt;=DeliverStart,OtherIncPerUnitMo*'LeaseUp'!CV$9*CV$10,0)</f>
        <v/>
      </c>
      <c r="CW21" s="18">
        <f>IF(98&gt;=DeliverStart,OtherIncPerUnitMo*'LeaseUp'!CW$9*CW$10,0)</f>
        <v/>
      </c>
      <c r="CX21" s="18">
        <f>IF(99&gt;=DeliverStart,OtherIncPerUnitMo*'LeaseUp'!CX$9*CX$10,0)</f>
        <v/>
      </c>
      <c r="CY21" s="18">
        <f>IF(100&gt;=DeliverStart,OtherIncPerUnitMo*'LeaseUp'!CY$9*CY$10,0)</f>
        <v/>
      </c>
      <c r="CZ21" s="18">
        <f>IF(101&gt;=DeliverStart,OtherIncPerUnitMo*'LeaseUp'!CZ$9*CZ$10,0)</f>
        <v/>
      </c>
      <c r="DA21" s="18">
        <f>IF(102&gt;=DeliverStart,OtherIncPerUnitMo*'LeaseUp'!DA$9*DA$10,0)</f>
        <v/>
      </c>
      <c r="DB21" s="18">
        <f>IF(103&gt;=DeliverStart,OtherIncPerUnitMo*'LeaseUp'!DB$9*DB$10,0)</f>
        <v/>
      </c>
      <c r="DC21" s="18">
        <f>IF(104&gt;=DeliverStart,OtherIncPerUnitMo*'LeaseUp'!DC$9*DC$10,0)</f>
        <v/>
      </c>
      <c r="DD21" s="18">
        <f>IF(105&gt;=DeliverStart,OtherIncPerUnitMo*'LeaseUp'!DD$9*DD$10,0)</f>
        <v/>
      </c>
      <c r="DE21" s="18">
        <f>IF(106&gt;=DeliverStart,OtherIncPerUnitMo*'LeaseUp'!DE$9*DE$10,0)</f>
        <v/>
      </c>
      <c r="DF21" s="18">
        <f>IF(107&gt;=DeliverStart,OtherIncPerUnitMo*'LeaseUp'!DF$9*DF$10,0)</f>
        <v/>
      </c>
      <c r="DG21" s="18">
        <f>IF(108&gt;=DeliverStart,OtherIncPerUnitMo*'LeaseUp'!DG$9*DG$10,0)</f>
        <v/>
      </c>
      <c r="DH21" s="18">
        <f>IF(109&gt;=DeliverStart,OtherIncPerUnitMo*'LeaseUp'!DH$9*DH$10,0)</f>
        <v/>
      </c>
      <c r="DI21" s="18">
        <f>IF(110&gt;=DeliverStart,OtherIncPerUnitMo*'LeaseUp'!DI$9*DI$10,0)</f>
        <v/>
      </c>
      <c r="DJ21" s="18">
        <f>IF(111&gt;=DeliverStart,OtherIncPerUnitMo*'LeaseUp'!DJ$9*DJ$10,0)</f>
        <v/>
      </c>
      <c r="DK21" s="18">
        <f>IF(112&gt;=DeliverStart,OtherIncPerUnitMo*'LeaseUp'!DK$9*DK$10,0)</f>
        <v/>
      </c>
      <c r="DL21" s="18">
        <f>IF(113&gt;=DeliverStart,OtherIncPerUnitMo*'LeaseUp'!DL$9*DL$10,0)</f>
        <v/>
      </c>
      <c r="DM21" s="18">
        <f>IF(114&gt;=DeliverStart,OtherIncPerUnitMo*'LeaseUp'!DM$9*DM$10,0)</f>
        <v/>
      </c>
      <c r="DN21" s="18">
        <f>IF(115&gt;=DeliverStart,OtherIncPerUnitMo*'LeaseUp'!DN$9*DN$10,0)</f>
        <v/>
      </c>
      <c r="DO21" s="18">
        <f>IF(116&gt;=DeliverStart,OtherIncPerUnitMo*'LeaseUp'!DO$9*DO$10,0)</f>
        <v/>
      </c>
      <c r="DP21" s="18">
        <f>IF(117&gt;=DeliverStart,OtherIncPerUnitMo*'LeaseUp'!DP$9*DP$10,0)</f>
        <v/>
      </c>
      <c r="DQ21" s="18">
        <f>IF(118&gt;=DeliverStart,OtherIncPerUnitMo*'LeaseUp'!DQ$9*DQ$10,0)</f>
        <v/>
      </c>
      <c r="DR21" s="18">
        <f>IF(119&gt;=DeliverStart,OtherIncPerUnitMo*'LeaseUp'!DR$9*DR$10,0)</f>
        <v/>
      </c>
      <c r="DS21" s="18">
        <f>IF(120&gt;=DeliverStart,OtherIncPerUnitMo*'LeaseUp'!DS$9*DS$10,0)</f>
        <v/>
      </c>
      <c r="DT21" s="18">
        <f>IF(121&gt;=DeliverStart,OtherIncPerUnitMo*'LeaseUp'!DT$9*DT$10,0)</f>
        <v/>
      </c>
      <c r="DU21" s="18">
        <f>IF(122&gt;=DeliverStart,OtherIncPerUnitMo*'LeaseUp'!DU$9*DU$10,0)</f>
        <v/>
      </c>
      <c r="DV21" s="18">
        <f>IF(123&gt;=DeliverStart,OtherIncPerUnitMo*'LeaseUp'!DV$9*DV$10,0)</f>
        <v/>
      </c>
      <c r="DW21" s="18">
        <f>IF(124&gt;=DeliverStart,OtherIncPerUnitMo*'LeaseUp'!DW$9*DW$10,0)</f>
        <v/>
      </c>
      <c r="DX21" s="18">
        <f>IF(125&gt;=DeliverStart,OtherIncPerUnitMo*'LeaseUp'!DX$9*DX$10,0)</f>
        <v/>
      </c>
      <c r="DY21" s="18">
        <f>IF(126&gt;=DeliverStart,OtherIncPerUnitMo*'LeaseUp'!DY$9*DY$10,0)</f>
        <v/>
      </c>
      <c r="DZ21" s="18">
        <f>IF(127&gt;=DeliverStart,OtherIncPerUnitMo*'LeaseUp'!DZ$9*DZ$10,0)</f>
        <v/>
      </c>
      <c r="EA21" s="18">
        <f>IF(128&gt;=DeliverStart,OtherIncPerUnitMo*'LeaseUp'!EA$9*EA$10,0)</f>
        <v/>
      </c>
      <c r="EB21" s="18">
        <f>IF(129&gt;=DeliverStart,OtherIncPerUnitMo*'LeaseUp'!EB$9*EB$10,0)</f>
        <v/>
      </c>
      <c r="EC21" s="18">
        <f>IF(130&gt;=DeliverStart,OtherIncPerUnitMo*'LeaseUp'!EC$9*EC$10,0)</f>
        <v/>
      </c>
      <c r="ED21" s="18">
        <f>IF(131&gt;=DeliverStart,OtherIncPerUnitMo*'LeaseUp'!ED$9*ED$10,0)</f>
        <v/>
      </c>
      <c r="EE21" s="18">
        <f>IF(132&gt;=DeliverStart,OtherIncPerUnitMo*'LeaseUp'!EE$9*EE$10,0)</f>
        <v/>
      </c>
      <c r="EF21" s="18">
        <f>IF(133&gt;=DeliverStart,OtherIncPerUnitMo*'LeaseUp'!EF$9*EF$10,0)</f>
        <v/>
      </c>
      <c r="EG21" s="18">
        <f>IF(134&gt;=DeliverStart,OtherIncPerUnitMo*'LeaseUp'!EG$9*EG$10,0)</f>
        <v/>
      </c>
      <c r="EH21" s="18">
        <f>IF(135&gt;=DeliverStart,OtherIncPerUnitMo*'LeaseUp'!EH$9*EH$10,0)</f>
        <v/>
      </c>
      <c r="EI21" s="18">
        <f>IF(136&gt;=DeliverStart,OtherIncPerUnitMo*'LeaseUp'!EI$9*EI$10,0)</f>
        <v/>
      </c>
      <c r="EJ21" s="18">
        <f>IF(137&gt;=DeliverStart,OtherIncPerUnitMo*'LeaseUp'!EJ$9*EJ$10,0)</f>
        <v/>
      </c>
      <c r="EK21" s="18">
        <f>IF(138&gt;=DeliverStart,OtherIncPerUnitMo*'LeaseUp'!EK$9*EK$10,0)</f>
        <v/>
      </c>
      <c r="EL21" s="18">
        <f>IF(139&gt;=DeliverStart,OtherIncPerUnitMo*'LeaseUp'!EL$9*EL$10,0)</f>
        <v/>
      </c>
      <c r="EM21" s="18">
        <f>IF(140&gt;=DeliverStart,OtherIncPerUnitMo*'LeaseUp'!EM$9*EM$10,0)</f>
        <v/>
      </c>
      <c r="EN21" s="18">
        <f>IF(141&gt;=DeliverStart,OtherIncPerUnitMo*'LeaseUp'!EN$9*EN$10,0)</f>
        <v/>
      </c>
      <c r="EO21" s="18">
        <f>IF(142&gt;=DeliverStart,OtherIncPerUnitMo*'LeaseUp'!EO$9*EO$10,0)</f>
        <v/>
      </c>
      <c r="EP21" s="18">
        <f>IF(143&gt;=DeliverStart,OtherIncPerUnitMo*'LeaseUp'!EP$9*EP$10,0)</f>
        <v/>
      </c>
      <c r="EQ21" s="18">
        <f>IF(144&gt;=DeliverStart,OtherIncPerUnitMo*'LeaseUp'!EQ$9*EQ$10,0)</f>
        <v/>
      </c>
      <c r="ER21" s="18">
        <f>IF(145&gt;=DeliverStart,OtherIncPerUnitMo*'LeaseUp'!ER$9*ER$10,0)</f>
        <v/>
      </c>
      <c r="ES21" s="18">
        <f>IF(146&gt;=DeliverStart,OtherIncPerUnitMo*'LeaseUp'!ES$9*ES$10,0)</f>
        <v/>
      </c>
      <c r="ET21" s="18">
        <f>IF(147&gt;=DeliverStart,OtherIncPerUnitMo*'LeaseUp'!ET$9*ET$10,0)</f>
        <v/>
      </c>
      <c r="EU21" s="18">
        <f>IF(148&gt;=DeliverStart,OtherIncPerUnitMo*'LeaseUp'!EU$9*EU$10,0)</f>
        <v/>
      </c>
      <c r="EV21" s="18">
        <f>IF(149&gt;=DeliverStart,OtherIncPerUnitMo*'LeaseUp'!EV$9*EV$10,0)</f>
        <v/>
      </c>
      <c r="EW21" s="18">
        <f>IF(150&gt;=DeliverStart,OtherIncPerUnitMo*'LeaseUp'!EW$9*EW$10,0)</f>
        <v/>
      </c>
      <c r="EX21" s="18">
        <f>IF(151&gt;=DeliverStart,OtherIncPerUnitMo*'LeaseUp'!EX$9*EX$10,0)</f>
        <v/>
      </c>
      <c r="EY21" s="18">
        <f>IF(152&gt;=DeliverStart,OtherIncPerUnitMo*'LeaseUp'!EY$9*EY$10,0)</f>
        <v/>
      </c>
      <c r="EZ21" s="18">
        <f>IF(153&gt;=DeliverStart,OtherIncPerUnitMo*'LeaseUp'!EZ$9*EZ$10,0)</f>
        <v/>
      </c>
      <c r="FA21" s="18">
        <f>IF(154&gt;=DeliverStart,OtherIncPerUnitMo*'LeaseUp'!FA$9*FA$10,0)</f>
        <v/>
      </c>
      <c r="FB21" s="18">
        <f>IF(155&gt;=DeliverStart,OtherIncPerUnitMo*'LeaseUp'!FB$9*FB$10,0)</f>
        <v/>
      </c>
      <c r="FC21" s="18">
        <f>IF(156&gt;=DeliverStart,OtherIncPerUnitMo*'LeaseUp'!FC$9*FC$10,0)</f>
        <v/>
      </c>
      <c r="FD21" s="18">
        <f>IF(157&gt;=DeliverStart,OtherIncPerUnitMo*'LeaseUp'!FD$9*FD$10,0)</f>
        <v/>
      </c>
      <c r="FE21" s="18">
        <f>IF(158&gt;=DeliverStart,OtherIncPerUnitMo*'LeaseUp'!FE$9*FE$10,0)</f>
        <v/>
      </c>
      <c r="FF21" s="18">
        <f>IF(159&gt;=DeliverStart,OtherIncPerUnitMo*'LeaseUp'!FF$9*FF$10,0)</f>
        <v/>
      </c>
      <c r="FG21" s="18">
        <f>IF(160&gt;=DeliverStart,OtherIncPerUnitMo*'LeaseUp'!FG$9*FG$10,0)</f>
        <v/>
      </c>
      <c r="FH21" s="18">
        <f>IF(161&gt;=DeliverStart,OtherIncPerUnitMo*'LeaseUp'!FH$9*FH$10,0)</f>
        <v/>
      </c>
      <c r="FI21" s="18">
        <f>IF(162&gt;=DeliverStart,OtherIncPerUnitMo*'LeaseUp'!FI$9*FI$10,0)</f>
        <v/>
      </c>
      <c r="FJ21" s="18">
        <f>IF(163&gt;=DeliverStart,OtherIncPerUnitMo*'LeaseUp'!FJ$9*FJ$10,0)</f>
        <v/>
      </c>
      <c r="FK21" s="18">
        <f>IF(164&gt;=DeliverStart,OtherIncPerUnitMo*'LeaseUp'!FK$9*FK$10,0)</f>
        <v/>
      </c>
      <c r="FL21" s="18">
        <f>IF(165&gt;=DeliverStart,OtherIncPerUnitMo*'LeaseUp'!FL$9*FL$10,0)</f>
        <v/>
      </c>
      <c r="FM21" s="18">
        <f>IF(166&gt;=DeliverStart,OtherIncPerUnitMo*'LeaseUp'!FM$9*FM$10,0)</f>
        <v/>
      </c>
      <c r="FN21" s="18">
        <f>IF(167&gt;=DeliverStart,OtherIncPerUnitMo*'LeaseUp'!FN$9*FN$10,0)</f>
        <v/>
      </c>
      <c r="FO21" s="18">
        <f>IF(168&gt;=DeliverStart,OtherIncPerUnitMo*'LeaseUp'!FO$9*FO$10,0)</f>
        <v/>
      </c>
      <c r="FP21" s="18">
        <f>IF(169&gt;=DeliverStart,OtherIncPerUnitMo*'LeaseUp'!FP$9*FP$10,0)</f>
        <v/>
      </c>
      <c r="FQ21" s="18">
        <f>IF(170&gt;=DeliverStart,OtherIncPerUnitMo*'LeaseUp'!FQ$9*FQ$10,0)</f>
        <v/>
      </c>
      <c r="FR21" s="18">
        <f>IF(171&gt;=DeliverStart,OtherIncPerUnitMo*'LeaseUp'!FR$9*FR$10,0)</f>
        <v/>
      </c>
      <c r="FS21" s="18">
        <f>IF(172&gt;=DeliverStart,OtherIncPerUnitMo*'LeaseUp'!FS$9*FS$10,0)</f>
        <v/>
      </c>
      <c r="FT21" s="18">
        <f>IF(173&gt;=DeliverStart,OtherIncPerUnitMo*'LeaseUp'!FT$9*FT$10,0)</f>
        <v/>
      </c>
      <c r="FU21" s="18">
        <f>IF(174&gt;=DeliverStart,OtherIncPerUnitMo*'LeaseUp'!FU$9*FU$10,0)</f>
        <v/>
      </c>
      <c r="FV21" s="18">
        <f>IF(175&gt;=DeliverStart,OtherIncPerUnitMo*'LeaseUp'!FV$9*FV$10,0)</f>
        <v/>
      </c>
      <c r="FW21" s="18">
        <f>IF(176&gt;=DeliverStart,OtherIncPerUnitMo*'LeaseUp'!FW$9*FW$10,0)</f>
        <v/>
      </c>
      <c r="FX21" s="18">
        <f>IF(177&gt;=DeliverStart,OtherIncPerUnitMo*'LeaseUp'!FX$9*FX$10,0)</f>
        <v/>
      </c>
      <c r="FY21" s="18">
        <f>IF(178&gt;=DeliverStart,OtherIncPerUnitMo*'LeaseUp'!FY$9*FY$10,0)</f>
        <v/>
      </c>
      <c r="FZ21" s="18">
        <f>IF(179&gt;=DeliverStart,OtherIncPerUnitMo*'LeaseUp'!FZ$9*FZ$10,0)</f>
        <v/>
      </c>
      <c r="GA21" s="18">
        <f>IF(180&gt;=DeliverStart,OtherIncPerUnitMo*'LeaseUp'!GA$9*GA$10,0)</f>
        <v/>
      </c>
      <c r="GB21" s="18">
        <f>IF(181&gt;=DeliverStart,OtherIncPerUnitMo*'LeaseUp'!GB$9*GB$10,0)</f>
        <v/>
      </c>
      <c r="GC21" s="18">
        <f>IF(182&gt;=DeliverStart,OtherIncPerUnitMo*'LeaseUp'!GC$9*GC$10,0)</f>
        <v/>
      </c>
      <c r="GD21" s="18">
        <f>IF(183&gt;=DeliverStart,OtherIncPerUnitMo*'LeaseUp'!GD$9*GD$10,0)</f>
        <v/>
      </c>
      <c r="GE21" s="18">
        <f>IF(184&gt;=DeliverStart,OtherIncPerUnitMo*'LeaseUp'!GE$9*GE$10,0)</f>
        <v/>
      </c>
      <c r="GF21" s="18">
        <f>IF(185&gt;=DeliverStart,OtherIncPerUnitMo*'LeaseUp'!GF$9*GF$10,0)</f>
        <v/>
      </c>
      <c r="GG21" s="18">
        <f>IF(186&gt;=DeliverStart,OtherIncPerUnitMo*'LeaseUp'!GG$9*GG$10,0)</f>
        <v/>
      </c>
      <c r="GH21" s="18">
        <f>IF(187&gt;=DeliverStart,OtherIncPerUnitMo*'LeaseUp'!GH$9*GH$10,0)</f>
        <v/>
      </c>
      <c r="GI21" s="18">
        <f>IF(188&gt;=DeliverStart,OtherIncPerUnitMo*'LeaseUp'!GI$9*GI$10,0)</f>
        <v/>
      </c>
      <c r="GJ21" s="18">
        <f>IF(189&gt;=DeliverStart,OtherIncPerUnitMo*'LeaseUp'!GJ$9*GJ$10,0)</f>
        <v/>
      </c>
      <c r="GK21" s="18">
        <f>IF(190&gt;=DeliverStart,OtherIncPerUnitMo*'LeaseUp'!GK$9*GK$10,0)</f>
        <v/>
      </c>
      <c r="GL21" s="18">
        <f>IF(191&gt;=DeliverStart,OtherIncPerUnitMo*'LeaseUp'!GL$9*GL$10,0)</f>
        <v/>
      </c>
      <c r="GM21" s="18">
        <f>IF(192&gt;=DeliverStart,OtherIncPerUnitMo*'LeaseUp'!GM$9*GM$10,0)</f>
        <v/>
      </c>
      <c r="GN21" s="18">
        <f>IF(193&gt;=DeliverStart,OtherIncPerUnitMo*'LeaseUp'!GN$9*GN$10,0)</f>
        <v/>
      </c>
      <c r="GO21" s="18">
        <f>IF(194&gt;=DeliverStart,OtherIncPerUnitMo*'LeaseUp'!GO$9*GO$10,0)</f>
        <v/>
      </c>
      <c r="GP21" s="18">
        <f>IF(195&gt;=DeliverStart,OtherIncPerUnitMo*'LeaseUp'!GP$9*GP$10,0)</f>
        <v/>
      </c>
      <c r="GQ21" s="18">
        <f>IF(196&gt;=DeliverStart,OtherIncPerUnitMo*'LeaseUp'!GQ$9*GQ$10,0)</f>
        <v/>
      </c>
      <c r="GR21" s="18">
        <f>IF(197&gt;=DeliverStart,OtherIncPerUnitMo*'LeaseUp'!GR$9*GR$10,0)</f>
        <v/>
      </c>
      <c r="GS21" s="18">
        <f>IF(198&gt;=DeliverStart,OtherIncPerUnitMo*'LeaseUp'!GS$9*GS$10,0)</f>
        <v/>
      </c>
      <c r="GT21" s="18">
        <f>IF(199&gt;=DeliverStart,OtherIncPerUnitMo*'LeaseUp'!GT$9*GT$10,0)</f>
        <v/>
      </c>
      <c r="GU21" s="18">
        <f>IF(200&gt;=DeliverStart,OtherIncPerUnitMo*'LeaseUp'!GU$9*GU$10,0)</f>
        <v/>
      </c>
      <c r="GV21" s="18">
        <f>IF(201&gt;=DeliverStart,OtherIncPerUnitMo*'LeaseUp'!GV$9*GV$10,0)</f>
        <v/>
      </c>
      <c r="GW21" s="18">
        <f>IF(202&gt;=DeliverStart,OtherIncPerUnitMo*'LeaseUp'!GW$9*GW$10,0)</f>
        <v/>
      </c>
      <c r="GX21" s="18">
        <f>IF(203&gt;=DeliverStart,OtherIncPerUnitMo*'LeaseUp'!GX$9*GX$10,0)</f>
        <v/>
      </c>
      <c r="GY21" s="18">
        <f>IF(204&gt;=DeliverStart,OtherIncPerUnitMo*'LeaseUp'!GY$9*GY$10,0)</f>
        <v/>
      </c>
      <c r="GZ21" s="18">
        <f>IF(205&gt;=DeliverStart,OtherIncPerUnitMo*'LeaseUp'!GZ$9*GZ$10,0)</f>
        <v/>
      </c>
      <c r="HA21" s="18">
        <f>IF(206&gt;=DeliverStart,OtherIncPerUnitMo*'LeaseUp'!HA$9*HA$10,0)</f>
        <v/>
      </c>
      <c r="HB21" s="18">
        <f>IF(207&gt;=DeliverStart,OtherIncPerUnitMo*'LeaseUp'!HB$9*HB$10,0)</f>
        <v/>
      </c>
      <c r="HC21" s="18">
        <f>IF(208&gt;=DeliverStart,OtherIncPerUnitMo*'LeaseUp'!HC$9*HC$10,0)</f>
        <v/>
      </c>
      <c r="HD21" s="18">
        <f>IF(209&gt;=DeliverStart,OtherIncPerUnitMo*'LeaseUp'!HD$9*HD$10,0)</f>
        <v/>
      </c>
      <c r="HE21" s="18">
        <f>IF(210&gt;=DeliverStart,OtherIncPerUnitMo*'LeaseUp'!HE$9*HE$10,0)</f>
        <v/>
      </c>
      <c r="HF21" s="18">
        <f>IF(211&gt;=DeliverStart,OtherIncPerUnitMo*'LeaseUp'!HF$9*HF$10,0)</f>
        <v/>
      </c>
      <c r="HG21" s="18">
        <f>IF(212&gt;=DeliverStart,OtherIncPerUnitMo*'LeaseUp'!HG$9*HG$10,0)</f>
        <v/>
      </c>
      <c r="HH21" s="18">
        <f>IF(213&gt;=DeliverStart,OtherIncPerUnitMo*'LeaseUp'!HH$9*HH$10,0)</f>
        <v/>
      </c>
      <c r="HI21" s="18">
        <f>IF(214&gt;=DeliverStart,OtherIncPerUnitMo*'LeaseUp'!HI$9*HI$10,0)</f>
        <v/>
      </c>
      <c r="HJ21" s="18">
        <f>IF(215&gt;=DeliverStart,OtherIncPerUnitMo*'LeaseUp'!HJ$9*HJ$10,0)</f>
        <v/>
      </c>
      <c r="HK21" s="18">
        <f>IF(216&gt;=DeliverStart,OtherIncPerUnitMo*'LeaseUp'!HK$9*HK$10,0)</f>
        <v/>
      </c>
      <c r="HL21" s="18">
        <f>IF(217&gt;=DeliverStart,OtherIncPerUnitMo*'LeaseUp'!HL$9*HL$10,0)</f>
        <v/>
      </c>
      <c r="HM21" s="18">
        <f>IF(218&gt;=DeliverStart,OtherIncPerUnitMo*'LeaseUp'!HM$9*HM$10,0)</f>
        <v/>
      </c>
      <c r="HN21" s="18">
        <f>IF(219&gt;=DeliverStart,OtherIncPerUnitMo*'LeaseUp'!HN$9*HN$10,0)</f>
        <v/>
      </c>
      <c r="HO21" s="18">
        <f>IF(220&gt;=DeliverStart,OtherIncPerUnitMo*'LeaseUp'!HO$9*HO$10,0)</f>
        <v/>
      </c>
      <c r="HP21" s="18">
        <f>IF(221&gt;=DeliverStart,OtherIncPerUnitMo*'LeaseUp'!HP$9*HP$10,0)</f>
        <v/>
      </c>
      <c r="HQ21" s="18">
        <f>IF(222&gt;=DeliverStart,OtherIncPerUnitMo*'LeaseUp'!HQ$9*HQ$10,0)</f>
        <v/>
      </c>
      <c r="HR21" s="18">
        <f>IF(223&gt;=DeliverStart,OtherIncPerUnitMo*'LeaseUp'!HR$9*HR$10,0)</f>
        <v/>
      </c>
      <c r="HS21" s="18">
        <f>IF(224&gt;=DeliverStart,OtherIncPerUnitMo*'LeaseUp'!HS$9*HS$10,0)</f>
        <v/>
      </c>
      <c r="HT21" s="18">
        <f>IF(225&gt;=DeliverStart,OtherIncPerUnitMo*'LeaseUp'!HT$9*HT$10,0)</f>
        <v/>
      </c>
      <c r="HU21" s="18">
        <f>IF(226&gt;=DeliverStart,OtherIncPerUnitMo*'LeaseUp'!HU$9*HU$10,0)</f>
        <v/>
      </c>
      <c r="HV21" s="18">
        <f>IF(227&gt;=DeliverStart,OtherIncPerUnitMo*'LeaseUp'!HV$9*HV$10,0)</f>
        <v/>
      </c>
      <c r="HW21" s="18">
        <f>IF(228&gt;=DeliverStart,OtherIncPerUnitMo*'LeaseUp'!HW$9*HW$10,0)</f>
        <v/>
      </c>
      <c r="HX21" s="18">
        <f>IF(229&gt;=DeliverStart,OtherIncPerUnitMo*'LeaseUp'!HX$9*HX$10,0)</f>
        <v/>
      </c>
      <c r="HY21" s="18">
        <f>IF(230&gt;=DeliverStart,OtherIncPerUnitMo*'LeaseUp'!HY$9*HY$10,0)</f>
        <v/>
      </c>
      <c r="HZ21" s="18">
        <f>IF(231&gt;=DeliverStart,OtherIncPerUnitMo*'LeaseUp'!HZ$9*HZ$10,0)</f>
        <v/>
      </c>
      <c r="IA21" s="18">
        <f>IF(232&gt;=DeliverStart,OtherIncPerUnitMo*'LeaseUp'!IA$9*IA$10,0)</f>
        <v/>
      </c>
      <c r="IB21" s="18">
        <f>IF(233&gt;=DeliverStart,OtherIncPerUnitMo*'LeaseUp'!IB$9*IB$10,0)</f>
        <v/>
      </c>
      <c r="IC21" s="18">
        <f>IF(234&gt;=DeliverStart,OtherIncPerUnitMo*'LeaseUp'!IC$9*IC$10,0)</f>
        <v/>
      </c>
      <c r="ID21" s="18">
        <f>IF(235&gt;=DeliverStart,OtherIncPerUnitMo*'LeaseUp'!ID$9*ID$10,0)</f>
        <v/>
      </c>
      <c r="IE21" s="18">
        <f>IF(236&gt;=DeliverStart,OtherIncPerUnitMo*'LeaseUp'!IE$9*IE$10,0)</f>
        <v/>
      </c>
      <c r="IF21" s="18">
        <f>IF(237&gt;=DeliverStart,OtherIncPerUnitMo*'LeaseUp'!IF$9*IF$10,0)</f>
        <v/>
      </c>
      <c r="IG21" s="18">
        <f>IF(238&gt;=DeliverStart,OtherIncPerUnitMo*'LeaseUp'!IG$9*IG$10,0)</f>
        <v/>
      </c>
      <c r="IH21" s="18">
        <f>IF(239&gt;=DeliverStart,OtherIncPerUnitMo*'LeaseUp'!IH$9*IH$10,0)</f>
        <v/>
      </c>
      <c r="II21" s="18">
        <f>IF(240&gt;=DeliverStart,OtherIncPerUnitMo*'LeaseUp'!II$9*II$10,0)</f>
        <v/>
      </c>
      <c r="IJ21" s="18">
        <f>IF(241&gt;=DeliverStart,OtherIncPerUnitMo*'LeaseUp'!IJ$9*IJ$10,0)</f>
        <v/>
      </c>
      <c r="IK21" s="18">
        <f>IF(242&gt;=DeliverStart,OtherIncPerUnitMo*'LeaseUp'!IK$9*IK$10,0)</f>
        <v/>
      </c>
      <c r="IL21" s="18">
        <f>IF(243&gt;=DeliverStart,OtherIncPerUnitMo*'LeaseUp'!IL$9*IL$10,0)</f>
        <v/>
      </c>
      <c r="IM21" s="18">
        <f>IF(244&gt;=DeliverStart,OtherIncPerUnitMo*'LeaseUp'!IM$9*IM$10,0)</f>
        <v/>
      </c>
      <c r="IN21" s="18">
        <f>IF(245&gt;=DeliverStart,OtherIncPerUnitMo*'LeaseUp'!IN$9*IN$10,0)</f>
        <v/>
      </c>
      <c r="IO21" s="18">
        <f>IF(246&gt;=DeliverStart,OtherIncPerUnitMo*'LeaseUp'!IO$9*IO$10,0)</f>
        <v/>
      </c>
      <c r="IP21" s="18">
        <f>IF(247&gt;=DeliverStart,OtherIncPerUnitMo*'LeaseUp'!IP$9*IP$10,0)</f>
        <v/>
      </c>
      <c r="IQ21" s="18">
        <f>IF(248&gt;=DeliverStart,OtherIncPerUnitMo*'LeaseUp'!IQ$9*IQ$10,0)</f>
        <v/>
      </c>
      <c r="IR21" s="18">
        <f>IF(249&gt;=DeliverStart,OtherIncPerUnitMo*'LeaseUp'!IR$9*IR$10,0)</f>
        <v/>
      </c>
      <c r="IS21" s="18">
        <f>IF(250&gt;=DeliverStart,OtherIncPerUnitMo*'LeaseUp'!IS$9*IS$10,0)</f>
        <v/>
      </c>
      <c r="IT21" s="18">
        <f>IF(251&gt;=DeliverStart,OtherIncPerUnitMo*'LeaseUp'!IT$9*IT$10,0)</f>
        <v/>
      </c>
      <c r="IU21" s="18">
        <f>IF(252&gt;=DeliverStart,OtherIncPerUnitMo*'LeaseUp'!IU$9*IU$10,0)</f>
        <v/>
      </c>
      <c r="IV21" s="18">
        <f>IF(253&gt;=DeliverStart,OtherIncPerUnitMo*'LeaseUp'!IV$9*IV$10,0)</f>
        <v/>
      </c>
      <c r="IW21" s="18">
        <f>IF(254&gt;=DeliverStart,OtherIncPerUnitMo*'LeaseUp'!IW$9*IW$10,0)</f>
        <v/>
      </c>
      <c r="IX21" s="18">
        <f>IF(255&gt;=DeliverStart,OtherIncPerUnitMo*'LeaseUp'!IX$9*IX$10,0)</f>
        <v/>
      </c>
      <c r="IY21" s="18">
        <f>IF(256&gt;=DeliverStart,OtherIncPerUnitMo*'LeaseUp'!IY$9*IY$10,0)</f>
        <v/>
      </c>
      <c r="IZ21" s="18">
        <f>IF(257&gt;=DeliverStart,OtherIncPerUnitMo*'LeaseUp'!IZ$9*IZ$10,0)</f>
        <v/>
      </c>
      <c r="JA21" s="18">
        <f>IF(258&gt;=DeliverStart,OtherIncPerUnitMo*'LeaseUp'!JA$9*JA$10,0)</f>
        <v/>
      </c>
      <c r="JB21" s="18">
        <f>IF(259&gt;=DeliverStart,OtherIncPerUnitMo*'LeaseUp'!JB$9*JB$10,0)</f>
        <v/>
      </c>
      <c r="JC21" s="18">
        <f>IF(260&gt;=DeliverStart,OtherIncPerUnitMo*'LeaseUp'!JC$9*JC$10,0)</f>
        <v/>
      </c>
      <c r="JD21" s="18">
        <f>IF(261&gt;=DeliverStart,OtherIncPerUnitMo*'LeaseUp'!JD$9*JD$10,0)</f>
        <v/>
      </c>
      <c r="JE21" s="18">
        <f>IF(262&gt;=DeliverStart,OtherIncPerUnitMo*'LeaseUp'!JE$9*JE$10,0)</f>
        <v/>
      </c>
      <c r="JF21" s="18">
        <f>IF(263&gt;=DeliverStart,OtherIncPerUnitMo*'LeaseUp'!JF$9*JF$10,0)</f>
        <v/>
      </c>
      <c r="JG21" s="18">
        <f>IF(264&gt;=DeliverStart,OtherIncPerUnitMo*'LeaseUp'!JG$9*JG$10,0)</f>
        <v/>
      </c>
      <c r="JH21" s="18">
        <f>IF(265&gt;=DeliverStart,OtherIncPerUnitMo*'LeaseUp'!JH$9*JH$10,0)</f>
        <v/>
      </c>
      <c r="JI21" s="18">
        <f>IF(266&gt;=DeliverStart,OtherIncPerUnitMo*'LeaseUp'!JI$9*JI$10,0)</f>
        <v/>
      </c>
      <c r="JJ21" s="18">
        <f>IF(267&gt;=DeliverStart,OtherIncPerUnitMo*'LeaseUp'!JJ$9*JJ$10,0)</f>
        <v/>
      </c>
      <c r="JK21" s="18">
        <f>IF(268&gt;=DeliverStart,OtherIncPerUnitMo*'LeaseUp'!JK$9*JK$10,0)</f>
        <v/>
      </c>
      <c r="JL21" s="18">
        <f>IF(269&gt;=DeliverStart,OtherIncPerUnitMo*'LeaseUp'!JL$9*JL$10,0)</f>
        <v/>
      </c>
      <c r="JM21" s="18">
        <f>IF(270&gt;=DeliverStart,OtherIncPerUnitMo*'LeaseUp'!JM$9*JM$10,0)</f>
        <v/>
      </c>
      <c r="JN21" s="18">
        <f>IF(271&gt;=DeliverStart,OtherIncPerUnitMo*'LeaseUp'!JN$9*JN$10,0)</f>
        <v/>
      </c>
      <c r="JO21" s="18">
        <f>IF(272&gt;=DeliverStart,OtherIncPerUnitMo*'LeaseUp'!JO$9*JO$10,0)</f>
        <v/>
      </c>
      <c r="JP21" s="18">
        <f>IF(273&gt;=DeliverStart,OtherIncPerUnitMo*'LeaseUp'!JP$9*JP$10,0)</f>
        <v/>
      </c>
      <c r="JQ21" s="18">
        <f>IF(274&gt;=DeliverStart,OtherIncPerUnitMo*'LeaseUp'!JQ$9*JQ$10,0)</f>
        <v/>
      </c>
      <c r="JR21" s="18">
        <f>IF(275&gt;=DeliverStart,OtherIncPerUnitMo*'LeaseUp'!JR$9*JR$10,0)</f>
        <v/>
      </c>
      <c r="JS21" s="18">
        <f>IF(276&gt;=DeliverStart,OtherIncPerUnitMo*'LeaseUp'!JS$9*JS$10,0)</f>
        <v/>
      </c>
      <c r="JT21" s="18">
        <f>IF(277&gt;=DeliverStart,OtherIncPerUnitMo*'LeaseUp'!JT$9*JT$10,0)</f>
        <v/>
      </c>
      <c r="JU21" s="18">
        <f>IF(278&gt;=DeliverStart,OtherIncPerUnitMo*'LeaseUp'!JU$9*JU$10,0)</f>
        <v/>
      </c>
      <c r="JV21" s="18">
        <f>IF(279&gt;=DeliverStart,OtherIncPerUnitMo*'LeaseUp'!JV$9*JV$10,0)</f>
        <v/>
      </c>
      <c r="JW21" s="18">
        <f>IF(280&gt;=DeliverStart,OtherIncPerUnitMo*'LeaseUp'!JW$9*JW$10,0)</f>
        <v/>
      </c>
      <c r="JX21" s="18">
        <f>IF(281&gt;=DeliverStart,OtherIncPerUnitMo*'LeaseUp'!JX$9*JX$10,0)</f>
        <v/>
      </c>
      <c r="JY21" s="18">
        <f>IF(282&gt;=DeliverStart,OtherIncPerUnitMo*'LeaseUp'!JY$9*JY$10,0)</f>
        <v/>
      </c>
      <c r="JZ21" s="18">
        <f>IF(283&gt;=DeliverStart,OtherIncPerUnitMo*'LeaseUp'!JZ$9*JZ$10,0)</f>
        <v/>
      </c>
      <c r="KA21" s="18">
        <f>IF(284&gt;=DeliverStart,OtherIncPerUnitMo*'LeaseUp'!KA$9*KA$10,0)</f>
        <v/>
      </c>
      <c r="KB21" s="18">
        <f>IF(285&gt;=DeliverStart,OtherIncPerUnitMo*'LeaseUp'!KB$9*KB$10,0)</f>
        <v/>
      </c>
      <c r="KC21" s="18">
        <f>IF(286&gt;=DeliverStart,OtherIncPerUnitMo*'LeaseUp'!KC$9*KC$10,0)</f>
        <v/>
      </c>
      <c r="KD21" s="18">
        <f>IF(287&gt;=DeliverStart,OtherIncPerUnitMo*'LeaseUp'!KD$9*KD$10,0)</f>
        <v/>
      </c>
      <c r="KE21" s="18">
        <f>IF(288&gt;=DeliverStart,OtherIncPerUnitMo*'LeaseUp'!KE$9*KE$10,0)</f>
        <v/>
      </c>
      <c r="KF21" s="18">
        <f>IF(289&gt;=DeliverStart,OtherIncPerUnitMo*'LeaseUp'!KF$9*KF$10,0)</f>
        <v/>
      </c>
      <c r="KG21" s="18">
        <f>IF(290&gt;=DeliverStart,OtherIncPerUnitMo*'LeaseUp'!KG$9*KG$10,0)</f>
        <v/>
      </c>
      <c r="KH21" s="18">
        <f>IF(291&gt;=DeliverStart,OtherIncPerUnitMo*'LeaseUp'!KH$9*KH$10,0)</f>
        <v/>
      </c>
      <c r="KI21" s="18">
        <f>IF(292&gt;=DeliverStart,OtherIncPerUnitMo*'LeaseUp'!KI$9*KI$10,0)</f>
        <v/>
      </c>
      <c r="KJ21" s="18">
        <f>IF(293&gt;=DeliverStart,OtherIncPerUnitMo*'LeaseUp'!KJ$9*KJ$10,0)</f>
        <v/>
      </c>
      <c r="KK21" s="18">
        <f>IF(294&gt;=DeliverStart,OtherIncPerUnitMo*'LeaseUp'!KK$9*KK$10,0)</f>
        <v/>
      </c>
      <c r="KL21" s="18">
        <f>IF(295&gt;=DeliverStart,OtherIncPerUnitMo*'LeaseUp'!KL$9*KL$10,0)</f>
        <v/>
      </c>
      <c r="KM21" s="18">
        <f>IF(296&gt;=DeliverStart,OtherIncPerUnitMo*'LeaseUp'!KM$9*KM$10,0)</f>
        <v/>
      </c>
      <c r="KN21" s="18">
        <f>IF(297&gt;=DeliverStart,OtherIncPerUnitMo*'LeaseUp'!KN$9*KN$10,0)</f>
        <v/>
      </c>
      <c r="KO21" s="18">
        <f>IF(298&gt;=DeliverStart,OtherIncPerUnitMo*'LeaseUp'!KO$9*KO$10,0)</f>
        <v/>
      </c>
      <c r="KP21" s="18">
        <f>IF(299&gt;=DeliverStart,OtherIncPerUnitMo*'LeaseUp'!KP$9*KP$10,0)</f>
        <v/>
      </c>
      <c r="KQ21" s="18">
        <f>IF(300&gt;=DeliverStart,OtherIncPerUnitMo*'LeaseUp'!KQ$9*KQ$10,0)</f>
        <v/>
      </c>
      <c r="KR21" s="18">
        <f>IF(301&gt;=DeliverStart,OtherIncPerUnitMo*'LeaseUp'!KR$9*KR$10,0)</f>
        <v/>
      </c>
      <c r="KS21" s="18">
        <f>IF(302&gt;=DeliverStart,OtherIncPerUnitMo*'LeaseUp'!KS$9*KS$10,0)</f>
        <v/>
      </c>
      <c r="KT21" s="18">
        <f>IF(303&gt;=DeliverStart,OtherIncPerUnitMo*'LeaseUp'!KT$9*KT$10,0)</f>
        <v/>
      </c>
      <c r="KU21" s="18">
        <f>IF(304&gt;=DeliverStart,OtherIncPerUnitMo*'LeaseUp'!KU$9*KU$10,0)</f>
        <v/>
      </c>
      <c r="KV21" s="18">
        <f>IF(305&gt;=DeliverStart,OtherIncPerUnitMo*'LeaseUp'!KV$9*KV$10,0)</f>
        <v/>
      </c>
      <c r="KW21" s="18">
        <f>IF(306&gt;=DeliverStart,OtherIncPerUnitMo*'LeaseUp'!KW$9*KW$10,0)</f>
        <v/>
      </c>
      <c r="KX21" s="18">
        <f>IF(307&gt;=DeliverStart,OtherIncPerUnitMo*'LeaseUp'!KX$9*KX$10,0)</f>
        <v/>
      </c>
      <c r="KY21" s="18">
        <f>IF(308&gt;=DeliverStart,OtherIncPerUnitMo*'LeaseUp'!KY$9*KY$10,0)</f>
        <v/>
      </c>
      <c r="KZ21" s="18">
        <f>IF(309&gt;=DeliverStart,OtherIncPerUnitMo*'LeaseUp'!KZ$9*KZ$10,0)</f>
        <v/>
      </c>
      <c r="LA21" s="18">
        <f>IF(310&gt;=DeliverStart,OtherIncPerUnitMo*'LeaseUp'!LA$9*LA$10,0)</f>
        <v/>
      </c>
      <c r="LB21" s="18">
        <f>IF(311&gt;=DeliverStart,OtherIncPerUnitMo*'LeaseUp'!LB$9*LB$10,0)</f>
        <v/>
      </c>
      <c r="LC21" s="18">
        <f>IF(312&gt;=DeliverStart,OtherIncPerUnitMo*'LeaseUp'!LC$9*LC$10,0)</f>
        <v/>
      </c>
      <c r="LD21" s="18">
        <f>IF(313&gt;=DeliverStart,OtherIncPerUnitMo*'LeaseUp'!LD$9*LD$10,0)</f>
        <v/>
      </c>
      <c r="LE21" s="18">
        <f>IF(314&gt;=DeliverStart,OtherIncPerUnitMo*'LeaseUp'!LE$9*LE$10,0)</f>
        <v/>
      </c>
      <c r="LF21" s="18">
        <f>IF(315&gt;=DeliverStart,OtherIncPerUnitMo*'LeaseUp'!LF$9*LF$10,0)</f>
        <v/>
      </c>
      <c r="LG21" s="18">
        <f>IF(316&gt;=DeliverStart,OtherIncPerUnitMo*'LeaseUp'!LG$9*LG$10,0)</f>
        <v/>
      </c>
      <c r="LH21" s="18">
        <f>IF(317&gt;=DeliverStart,OtherIncPerUnitMo*'LeaseUp'!LH$9*LH$10,0)</f>
        <v/>
      </c>
      <c r="LI21" s="18">
        <f>IF(318&gt;=DeliverStart,OtherIncPerUnitMo*'LeaseUp'!LI$9*LI$10,0)</f>
        <v/>
      </c>
      <c r="LJ21" s="18">
        <f>IF(319&gt;=DeliverStart,OtherIncPerUnitMo*'LeaseUp'!LJ$9*LJ$10,0)</f>
        <v/>
      </c>
      <c r="LK21" s="18">
        <f>IF(320&gt;=DeliverStart,OtherIncPerUnitMo*'LeaseUp'!LK$9*LK$10,0)</f>
        <v/>
      </c>
      <c r="LL21" s="18">
        <f>IF(321&gt;=DeliverStart,OtherIncPerUnitMo*'LeaseUp'!LL$9*LL$10,0)</f>
        <v/>
      </c>
      <c r="LM21" s="18">
        <f>IF(322&gt;=DeliverStart,OtherIncPerUnitMo*'LeaseUp'!LM$9*LM$10,0)</f>
        <v/>
      </c>
      <c r="LN21" s="18">
        <f>IF(323&gt;=DeliverStart,OtherIncPerUnitMo*'LeaseUp'!LN$9*LN$10,0)</f>
        <v/>
      </c>
      <c r="LO21" s="18">
        <f>IF(324&gt;=DeliverStart,OtherIncPerUnitMo*'LeaseUp'!LO$9*LO$10,0)</f>
        <v/>
      </c>
      <c r="LP21" s="18">
        <f>IF(325&gt;=DeliverStart,OtherIncPerUnitMo*'LeaseUp'!LP$9*LP$10,0)</f>
        <v/>
      </c>
      <c r="LQ21" s="18">
        <f>IF(326&gt;=DeliverStart,OtherIncPerUnitMo*'LeaseUp'!LQ$9*LQ$10,0)</f>
        <v/>
      </c>
      <c r="LR21" s="18">
        <f>IF(327&gt;=DeliverStart,OtherIncPerUnitMo*'LeaseUp'!LR$9*LR$10,0)</f>
        <v/>
      </c>
      <c r="LS21" s="18">
        <f>IF(328&gt;=DeliverStart,OtherIncPerUnitMo*'LeaseUp'!LS$9*LS$10,0)</f>
        <v/>
      </c>
      <c r="LT21" s="18">
        <f>IF(329&gt;=DeliverStart,OtherIncPerUnitMo*'LeaseUp'!LT$9*LT$10,0)</f>
        <v/>
      </c>
      <c r="LU21" s="18">
        <f>IF(330&gt;=DeliverStart,OtherIncPerUnitMo*'LeaseUp'!LU$9*LU$10,0)</f>
        <v/>
      </c>
      <c r="LV21" s="18">
        <f>IF(331&gt;=DeliverStart,OtherIncPerUnitMo*'LeaseUp'!LV$9*LV$10,0)</f>
        <v/>
      </c>
      <c r="LW21" s="18">
        <f>IF(332&gt;=DeliverStart,OtherIncPerUnitMo*'LeaseUp'!LW$9*LW$10,0)</f>
        <v/>
      </c>
      <c r="LX21" s="18">
        <f>IF(333&gt;=DeliverStart,OtherIncPerUnitMo*'LeaseUp'!LX$9*LX$10,0)</f>
        <v/>
      </c>
      <c r="LY21" s="18">
        <f>IF(334&gt;=DeliverStart,OtherIncPerUnitMo*'LeaseUp'!LY$9*LY$10,0)</f>
        <v/>
      </c>
      <c r="LZ21" s="18">
        <f>IF(335&gt;=DeliverStart,OtherIncPerUnitMo*'LeaseUp'!LZ$9*LZ$10,0)</f>
        <v/>
      </c>
      <c r="MA21" s="18">
        <f>IF(336&gt;=DeliverStart,OtherIncPerUnitMo*'LeaseUp'!MA$9*MA$10,0)</f>
        <v/>
      </c>
      <c r="MB21" s="18">
        <f>IF(337&gt;=DeliverStart,OtherIncPerUnitMo*'LeaseUp'!MB$9*MB$10,0)</f>
        <v/>
      </c>
      <c r="MC21" s="18">
        <f>IF(338&gt;=DeliverStart,OtherIncPerUnitMo*'LeaseUp'!MC$9*MC$10,0)</f>
        <v/>
      </c>
      <c r="MD21" s="18">
        <f>IF(339&gt;=DeliverStart,OtherIncPerUnitMo*'LeaseUp'!MD$9*MD$10,0)</f>
        <v/>
      </c>
      <c r="ME21" s="18">
        <f>IF(340&gt;=DeliverStart,OtherIncPerUnitMo*'LeaseUp'!ME$9*ME$10,0)</f>
        <v/>
      </c>
      <c r="MF21" s="18">
        <f>IF(341&gt;=DeliverStart,OtherIncPerUnitMo*'LeaseUp'!MF$9*MF$10,0)</f>
        <v/>
      </c>
      <c r="MG21" s="18">
        <f>IF(342&gt;=DeliverStart,OtherIncPerUnitMo*'LeaseUp'!MG$9*MG$10,0)</f>
        <v/>
      </c>
      <c r="MH21" s="18">
        <f>IF(343&gt;=DeliverStart,OtherIncPerUnitMo*'LeaseUp'!MH$9*MH$10,0)</f>
        <v/>
      </c>
      <c r="MI21" s="18">
        <f>IF(344&gt;=DeliverStart,OtherIncPerUnitMo*'LeaseUp'!MI$9*MI$10,0)</f>
        <v/>
      </c>
      <c r="MJ21" s="18">
        <f>IF(345&gt;=DeliverStart,OtherIncPerUnitMo*'LeaseUp'!MJ$9*MJ$10,0)</f>
        <v/>
      </c>
      <c r="MK21" s="18">
        <f>IF(346&gt;=DeliverStart,OtherIncPerUnitMo*'LeaseUp'!MK$9*MK$10,0)</f>
        <v/>
      </c>
      <c r="ML21" s="18">
        <f>IF(347&gt;=DeliverStart,OtherIncPerUnitMo*'LeaseUp'!ML$9*ML$10,0)</f>
        <v/>
      </c>
      <c r="MM21" s="18">
        <f>IF(348&gt;=DeliverStart,OtherIncPerUnitMo*'LeaseUp'!MM$9*MM$10,0)</f>
        <v/>
      </c>
      <c r="MN21" s="18">
        <f>IF(349&gt;=DeliverStart,OtherIncPerUnitMo*'LeaseUp'!MN$9*MN$10,0)</f>
        <v/>
      </c>
      <c r="MO21" s="18">
        <f>IF(350&gt;=DeliverStart,OtherIncPerUnitMo*'LeaseUp'!MO$9*MO$10,0)</f>
        <v/>
      </c>
      <c r="MP21" s="18">
        <f>IF(351&gt;=DeliverStart,OtherIncPerUnitMo*'LeaseUp'!MP$9*MP$10,0)</f>
        <v/>
      </c>
      <c r="MQ21" s="18">
        <f>IF(352&gt;=DeliverStart,OtherIncPerUnitMo*'LeaseUp'!MQ$9*MQ$10,0)</f>
        <v/>
      </c>
      <c r="MR21" s="18">
        <f>IF(353&gt;=DeliverStart,OtherIncPerUnitMo*'LeaseUp'!MR$9*MR$10,0)</f>
        <v/>
      </c>
      <c r="MS21" s="18">
        <f>IF(354&gt;=DeliverStart,OtherIncPerUnitMo*'LeaseUp'!MS$9*MS$10,0)</f>
        <v/>
      </c>
      <c r="MT21" s="18">
        <f>IF(355&gt;=DeliverStart,OtherIncPerUnitMo*'LeaseUp'!MT$9*MT$10,0)</f>
        <v/>
      </c>
      <c r="MU21" s="18">
        <f>IF(356&gt;=DeliverStart,OtherIncPerUnitMo*'LeaseUp'!MU$9*MU$10,0)</f>
        <v/>
      </c>
      <c r="MV21" s="18">
        <f>IF(357&gt;=DeliverStart,OtherIncPerUnitMo*'LeaseUp'!MV$9*MV$10,0)</f>
        <v/>
      </c>
      <c r="MW21" s="18">
        <f>IF(358&gt;=DeliverStart,OtherIncPerUnitMo*'LeaseUp'!MW$9*MW$10,0)</f>
        <v/>
      </c>
      <c r="MX21" s="18">
        <f>IF(359&gt;=DeliverStart,OtherIncPerUnitMo*'LeaseUp'!MX$9*MX$10,0)</f>
        <v/>
      </c>
      <c r="MY21" s="18">
        <f>IF(360&gt;=DeliverStart,OtherIncPerUnitMo*'LeaseUp'!MY$9*MY$10,0)</f>
        <v/>
      </c>
      <c r="MZ21" s="18">
        <f>IF(361&gt;=DeliverStart,OtherIncPerUnitMo*'LeaseUp'!MZ$9*MZ$10,0)</f>
        <v/>
      </c>
      <c r="NA21" s="18">
        <f>IF(362&gt;=DeliverStart,OtherIncPerUnitMo*'LeaseUp'!NA$9*NA$10,0)</f>
        <v/>
      </c>
      <c r="NB21" s="18">
        <f>IF(363&gt;=DeliverStart,OtherIncPerUnitMo*'LeaseUp'!NB$9*NB$10,0)</f>
        <v/>
      </c>
      <c r="NC21" s="18">
        <f>IF(364&gt;=DeliverStart,OtherIncPerUnitMo*'LeaseUp'!NC$9*NC$10,0)</f>
        <v/>
      </c>
      <c r="ND21" s="18">
        <f>IF(365&gt;=DeliverStart,OtherIncPerUnitMo*'LeaseUp'!ND$9*ND$10,0)</f>
        <v/>
      </c>
      <c r="NE21" s="18">
        <f>IF(366&gt;=DeliverStart,OtherIncPerUnitMo*'LeaseUp'!NE$9*NE$10,0)</f>
        <v/>
      </c>
      <c r="NF21" s="18">
        <f>IF(367&gt;=DeliverStart,OtherIncPerUnitMo*'LeaseUp'!NF$9*NF$10,0)</f>
        <v/>
      </c>
      <c r="NG21" s="18">
        <f>IF(368&gt;=DeliverStart,OtherIncPerUnitMo*'LeaseUp'!NG$9*NG$10,0)</f>
        <v/>
      </c>
      <c r="NH21" s="18">
        <f>IF(369&gt;=DeliverStart,OtherIncPerUnitMo*'LeaseUp'!NH$9*NH$10,0)</f>
        <v/>
      </c>
      <c r="NI21" s="18">
        <f>IF(370&gt;=DeliverStart,OtherIncPerUnitMo*'LeaseUp'!NI$9*NI$10,0)</f>
        <v/>
      </c>
      <c r="NJ21" s="18">
        <f>IF(371&gt;=DeliverStart,OtherIncPerUnitMo*'LeaseUp'!NJ$9*NJ$10,0)</f>
        <v/>
      </c>
      <c r="NK21" s="18">
        <f>IF(372&gt;=DeliverStart,OtherIncPerUnitMo*'LeaseUp'!NK$9*NK$10,0)</f>
        <v/>
      </c>
    </row>
    <row r="22">
      <c r="A22" s="5" t="inlineStr">
        <is>
          <t>Retail Income</t>
        </is>
      </c>
      <c r="C22" s="41">
        <f>SUM(D22:NK22)</f>
        <v/>
      </c>
      <c r="D22" s="18">
        <f>IF(1&gt;=DeliverStart,RetailRentMo*D$10*MIN(1,'LeaseUp'!D$10/StabilizedOccupancy),0)</f>
        <v/>
      </c>
      <c r="E22" s="18">
        <f>IF(2&gt;=DeliverStart,RetailRentMo*E$10*MIN(1,'LeaseUp'!E$10/StabilizedOccupancy),0)</f>
        <v/>
      </c>
      <c r="F22" s="18">
        <f>IF(3&gt;=DeliverStart,RetailRentMo*F$10*MIN(1,'LeaseUp'!F$10/StabilizedOccupancy),0)</f>
        <v/>
      </c>
      <c r="G22" s="18">
        <f>IF(4&gt;=DeliverStart,RetailRentMo*G$10*MIN(1,'LeaseUp'!G$10/StabilizedOccupancy),0)</f>
        <v/>
      </c>
      <c r="H22" s="18">
        <f>IF(5&gt;=DeliverStart,RetailRentMo*H$10*MIN(1,'LeaseUp'!H$10/StabilizedOccupancy),0)</f>
        <v/>
      </c>
      <c r="I22" s="18">
        <f>IF(6&gt;=DeliverStart,RetailRentMo*I$10*MIN(1,'LeaseUp'!I$10/StabilizedOccupancy),0)</f>
        <v/>
      </c>
      <c r="J22" s="18">
        <f>IF(7&gt;=DeliverStart,RetailRentMo*J$10*MIN(1,'LeaseUp'!J$10/StabilizedOccupancy),0)</f>
        <v/>
      </c>
      <c r="K22" s="18">
        <f>IF(8&gt;=DeliverStart,RetailRentMo*K$10*MIN(1,'LeaseUp'!K$10/StabilizedOccupancy),0)</f>
        <v/>
      </c>
      <c r="L22" s="18">
        <f>IF(9&gt;=DeliverStart,RetailRentMo*L$10*MIN(1,'LeaseUp'!L$10/StabilizedOccupancy),0)</f>
        <v/>
      </c>
      <c r="M22" s="18">
        <f>IF(10&gt;=DeliverStart,RetailRentMo*M$10*MIN(1,'LeaseUp'!M$10/StabilizedOccupancy),0)</f>
        <v/>
      </c>
      <c r="N22" s="18">
        <f>IF(11&gt;=DeliverStart,RetailRentMo*N$10*MIN(1,'LeaseUp'!N$10/StabilizedOccupancy),0)</f>
        <v/>
      </c>
      <c r="O22" s="18">
        <f>IF(12&gt;=DeliverStart,RetailRentMo*O$10*MIN(1,'LeaseUp'!O$10/StabilizedOccupancy),0)</f>
        <v/>
      </c>
      <c r="P22" s="18">
        <f>IF(13&gt;=DeliverStart,RetailRentMo*P$10*MIN(1,'LeaseUp'!P$10/StabilizedOccupancy),0)</f>
        <v/>
      </c>
      <c r="Q22" s="18">
        <f>IF(14&gt;=DeliverStart,RetailRentMo*Q$10*MIN(1,'LeaseUp'!Q$10/StabilizedOccupancy),0)</f>
        <v/>
      </c>
      <c r="R22" s="18">
        <f>IF(15&gt;=DeliverStart,RetailRentMo*R$10*MIN(1,'LeaseUp'!R$10/StabilizedOccupancy),0)</f>
        <v/>
      </c>
      <c r="S22" s="18">
        <f>IF(16&gt;=DeliverStart,RetailRentMo*S$10*MIN(1,'LeaseUp'!S$10/StabilizedOccupancy),0)</f>
        <v/>
      </c>
      <c r="T22" s="18">
        <f>IF(17&gt;=DeliverStart,RetailRentMo*T$10*MIN(1,'LeaseUp'!T$10/StabilizedOccupancy),0)</f>
        <v/>
      </c>
      <c r="U22" s="18">
        <f>IF(18&gt;=DeliverStart,RetailRentMo*U$10*MIN(1,'LeaseUp'!U$10/StabilizedOccupancy),0)</f>
        <v/>
      </c>
      <c r="V22" s="18">
        <f>IF(19&gt;=DeliverStart,RetailRentMo*V$10*MIN(1,'LeaseUp'!V$10/StabilizedOccupancy),0)</f>
        <v/>
      </c>
      <c r="W22" s="18">
        <f>IF(20&gt;=DeliverStart,RetailRentMo*W$10*MIN(1,'LeaseUp'!W$10/StabilizedOccupancy),0)</f>
        <v/>
      </c>
      <c r="X22" s="18">
        <f>IF(21&gt;=DeliverStart,RetailRentMo*X$10*MIN(1,'LeaseUp'!X$10/StabilizedOccupancy),0)</f>
        <v/>
      </c>
      <c r="Y22" s="18">
        <f>IF(22&gt;=DeliverStart,RetailRentMo*Y$10*MIN(1,'LeaseUp'!Y$10/StabilizedOccupancy),0)</f>
        <v/>
      </c>
      <c r="Z22" s="18">
        <f>IF(23&gt;=DeliverStart,RetailRentMo*Z$10*MIN(1,'LeaseUp'!Z$10/StabilizedOccupancy),0)</f>
        <v/>
      </c>
      <c r="AA22" s="18">
        <f>IF(24&gt;=DeliverStart,RetailRentMo*AA$10*MIN(1,'LeaseUp'!AA$10/StabilizedOccupancy),0)</f>
        <v/>
      </c>
      <c r="AB22" s="18">
        <f>IF(25&gt;=DeliverStart,RetailRentMo*AB$10*MIN(1,'LeaseUp'!AB$10/StabilizedOccupancy),0)</f>
        <v/>
      </c>
      <c r="AC22" s="18">
        <f>IF(26&gt;=DeliverStart,RetailRentMo*AC$10*MIN(1,'LeaseUp'!AC$10/StabilizedOccupancy),0)</f>
        <v/>
      </c>
      <c r="AD22" s="18">
        <f>IF(27&gt;=DeliverStart,RetailRentMo*AD$10*MIN(1,'LeaseUp'!AD$10/StabilizedOccupancy),0)</f>
        <v/>
      </c>
      <c r="AE22" s="18">
        <f>IF(28&gt;=DeliverStart,RetailRentMo*AE$10*MIN(1,'LeaseUp'!AE$10/StabilizedOccupancy),0)</f>
        <v/>
      </c>
      <c r="AF22" s="18">
        <f>IF(29&gt;=DeliverStart,RetailRentMo*AF$10*MIN(1,'LeaseUp'!AF$10/StabilizedOccupancy),0)</f>
        <v/>
      </c>
      <c r="AG22" s="18">
        <f>IF(30&gt;=DeliverStart,RetailRentMo*AG$10*MIN(1,'LeaseUp'!AG$10/StabilizedOccupancy),0)</f>
        <v/>
      </c>
      <c r="AH22" s="18">
        <f>IF(31&gt;=DeliverStart,RetailRentMo*AH$10*MIN(1,'LeaseUp'!AH$10/StabilizedOccupancy),0)</f>
        <v/>
      </c>
      <c r="AI22" s="18">
        <f>IF(32&gt;=DeliverStart,RetailRentMo*AI$10*MIN(1,'LeaseUp'!AI$10/StabilizedOccupancy),0)</f>
        <v/>
      </c>
      <c r="AJ22" s="18">
        <f>IF(33&gt;=DeliverStart,RetailRentMo*AJ$10*MIN(1,'LeaseUp'!AJ$10/StabilizedOccupancy),0)</f>
        <v/>
      </c>
      <c r="AK22" s="18">
        <f>IF(34&gt;=DeliverStart,RetailRentMo*AK$10*MIN(1,'LeaseUp'!AK$10/StabilizedOccupancy),0)</f>
        <v/>
      </c>
      <c r="AL22" s="18">
        <f>IF(35&gt;=DeliverStart,RetailRentMo*AL$10*MIN(1,'LeaseUp'!AL$10/StabilizedOccupancy),0)</f>
        <v/>
      </c>
      <c r="AM22" s="18">
        <f>IF(36&gt;=DeliverStart,RetailRentMo*AM$10*MIN(1,'LeaseUp'!AM$10/StabilizedOccupancy),0)</f>
        <v/>
      </c>
      <c r="AN22" s="18">
        <f>IF(37&gt;=DeliverStart,RetailRentMo*AN$10*MIN(1,'LeaseUp'!AN$10/StabilizedOccupancy),0)</f>
        <v/>
      </c>
      <c r="AO22" s="18">
        <f>IF(38&gt;=DeliverStart,RetailRentMo*AO$10*MIN(1,'LeaseUp'!AO$10/StabilizedOccupancy),0)</f>
        <v/>
      </c>
      <c r="AP22" s="18">
        <f>IF(39&gt;=DeliverStart,RetailRentMo*AP$10*MIN(1,'LeaseUp'!AP$10/StabilizedOccupancy),0)</f>
        <v/>
      </c>
      <c r="AQ22" s="18">
        <f>IF(40&gt;=DeliverStart,RetailRentMo*AQ$10*MIN(1,'LeaseUp'!AQ$10/StabilizedOccupancy),0)</f>
        <v/>
      </c>
      <c r="AR22" s="18">
        <f>IF(41&gt;=DeliverStart,RetailRentMo*AR$10*MIN(1,'LeaseUp'!AR$10/StabilizedOccupancy),0)</f>
        <v/>
      </c>
      <c r="AS22" s="18">
        <f>IF(42&gt;=DeliverStart,RetailRentMo*AS$10*MIN(1,'LeaseUp'!AS$10/StabilizedOccupancy),0)</f>
        <v/>
      </c>
      <c r="AT22" s="18">
        <f>IF(43&gt;=DeliverStart,RetailRentMo*AT$10*MIN(1,'LeaseUp'!AT$10/StabilizedOccupancy),0)</f>
        <v/>
      </c>
      <c r="AU22" s="18">
        <f>IF(44&gt;=DeliverStart,RetailRentMo*AU$10*MIN(1,'LeaseUp'!AU$10/StabilizedOccupancy),0)</f>
        <v/>
      </c>
      <c r="AV22" s="18">
        <f>IF(45&gt;=DeliverStart,RetailRentMo*AV$10*MIN(1,'LeaseUp'!AV$10/StabilizedOccupancy),0)</f>
        <v/>
      </c>
      <c r="AW22" s="18">
        <f>IF(46&gt;=DeliverStart,RetailRentMo*AW$10*MIN(1,'LeaseUp'!AW$10/StabilizedOccupancy),0)</f>
        <v/>
      </c>
      <c r="AX22" s="18">
        <f>IF(47&gt;=DeliverStart,RetailRentMo*AX$10*MIN(1,'LeaseUp'!AX$10/StabilizedOccupancy),0)</f>
        <v/>
      </c>
      <c r="AY22" s="18">
        <f>IF(48&gt;=DeliverStart,RetailRentMo*AY$10*MIN(1,'LeaseUp'!AY$10/StabilizedOccupancy),0)</f>
        <v/>
      </c>
      <c r="AZ22" s="18">
        <f>IF(49&gt;=DeliverStart,RetailRentMo*AZ$10*MIN(1,'LeaseUp'!AZ$10/StabilizedOccupancy),0)</f>
        <v/>
      </c>
      <c r="BA22" s="18">
        <f>IF(50&gt;=DeliverStart,RetailRentMo*BA$10*MIN(1,'LeaseUp'!BA$10/StabilizedOccupancy),0)</f>
        <v/>
      </c>
      <c r="BB22" s="18">
        <f>IF(51&gt;=DeliverStart,RetailRentMo*BB$10*MIN(1,'LeaseUp'!BB$10/StabilizedOccupancy),0)</f>
        <v/>
      </c>
      <c r="BC22" s="18">
        <f>IF(52&gt;=DeliverStart,RetailRentMo*BC$10*MIN(1,'LeaseUp'!BC$10/StabilizedOccupancy),0)</f>
        <v/>
      </c>
      <c r="BD22" s="18">
        <f>IF(53&gt;=DeliverStart,RetailRentMo*BD$10*MIN(1,'LeaseUp'!BD$10/StabilizedOccupancy),0)</f>
        <v/>
      </c>
      <c r="BE22" s="18">
        <f>IF(54&gt;=DeliverStart,RetailRentMo*BE$10*MIN(1,'LeaseUp'!BE$10/StabilizedOccupancy),0)</f>
        <v/>
      </c>
      <c r="BF22" s="18">
        <f>IF(55&gt;=DeliverStart,RetailRentMo*BF$10*MIN(1,'LeaseUp'!BF$10/StabilizedOccupancy),0)</f>
        <v/>
      </c>
      <c r="BG22" s="18">
        <f>IF(56&gt;=DeliverStart,RetailRentMo*BG$10*MIN(1,'LeaseUp'!BG$10/StabilizedOccupancy),0)</f>
        <v/>
      </c>
      <c r="BH22" s="18">
        <f>IF(57&gt;=DeliverStart,RetailRentMo*BH$10*MIN(1,'LeaseUp'!BH$10/StabilizedOccupancy),0)</f>
        <v/>
      </c>
      <c r="BI22" s="18">
        <f>IF(58&gt;=DeliverStart,RetailRentMo*BI$10*MIN(1,'LeaseUp'!BI$10/StabilizedOccupancy),0)</f>
        <v/>
      </c>
      <c r="BJ22" s="18">
        <f>IF(59&gt;=DeliverStart,RetailRentMo*BJ$10*MIN(1,'LeaseUp'!BJ$10/StabilizedOccupancy),0)</f>
        <v/>
      </c>
      <c r="BK22" s="18">
        <f>IF(60&gt;=DeliverStart,RetailRentMo*BK$10*MIN(1,'LeaseUp'!BK$10/StabilizedOccupancy),0)</f>
        <v/>
      </c>
      <c r="BL22" s="18">
        <f>IF(61&gt;=DeliverStart,RetailRentMo*BL$10*MIN(1,'LeaseUp'!BL$10/StabilizedOccupancy),0)</f>
        <v/>
      </c>
      <c r="BM22" s="18">
        <f>IF(62&gt;=DeliverStart,RetailRentMo*BM$10*MIN(1,'LeaseUp'!BM$10/StabilizedOccupancy),0)</f>
        <v/>
      </c>
      <c r="BN22" s="18">
        <f>IF(63&gt;=DeliverStart,RetailRentMo*BN$10*MIN(1,'LeaseUp'!BN$10/StabilizedOccupancy),0)</f>
        <v/>
      </c>
      <c r="BO22" s="18">
        <f>IF(64&gt;=DeliverStart,RetailRentMo*BO$10*MIN(1,'LeaseUp'!BO$10/StabilizedOccupancy),0)</f>
        <v/>
      </c>
      <c r="BP22" s="18">
        <f>IF(65&gt;=DeliverStart,RetailRentMo*BP$10*MIN(1,'LeaseUp'!BP$10/StabilizedOccupancy),0)</f>
        <v/>
      </c>
      <c r="BQ22" s="18">
        <f>IF(66&gt;=DeliverStart,RetailRentMo*BQ$10*MIN(1,'LeaseUp'!BQ$10/StabilizedOccupancy),0)</f>
        <v/>
      </c>
      <c r="BR22" s="18">
        <f>IF(67&gt;=DeliverStart,RetailRentMo*BR$10*MIN(1,'LeaseUp'!BR$10/StabilizedOccupancy),0)</f>
        <v/>
      </c>
      <c r="BS22" s="18">
        <f>IF(68&gt;=DeliverStart,RetailRentMo*BS$10*MIN(1,'LeaseUp'!BS$10/StabilizedOccupancy),0)</f>
        <v/>
      </c>
      <c r="BT22" s="18">
        <f>IF(69&gt;=DeliverStart,RetailRentMo*BT$10*MIN(1,'LeaseUp'!BT$10/StabilizedOccupancy),0)</f>
        <v/>
      </c>
      <c r="BU22" s="18">
        <f>IF(70&gt;=DeliverStart,RetailRentMo*BU$10*MIN(1,'LeaseUp'!BU$10/StabilizedOccupancy),0)</f>
        <v/>
      </c>
      <c r="BV22" s="18">
        <f>IF(71&gt;=DeliverStart,RetailRentMo*BV$10*MIN(1,'LeaseUp'!BV$10/StabilizedOccupancy),0)</f>
        <v/>
      </c>
      <c r="BW22" s="18">
        <f>IF(72&gt;=DeliverStart,RetailRentMo*BW$10*MIN(1,'LeaseUp'!BW$10/StabilizedOccupancy),0)</f>
        <v/>
      </c>
      <c r="BX22" s="18">
        <f>IF(73&gt;=DeliverStart,RetailRentMo*BX$10*MIN(1,'LeaseUp'!BX$10/StabilizedOccupancy),0)</f>
        <v/>
      </c>
      <c r="BY22" s="18">
        <f>IF(74&gt;=DeliverStart,RetailRentMo*BY$10*MIN(1,'LeaseUp'!BY$10/StabilizedOccupancy),0)</f>
        <v/>
      </c>
      <c r="BZ22" s="18">
        <f>IF(75&gt;=DeliverStart,RetailRentMo*BZ$10*MIN(1,'LeaseUp'!BZ$10/StabilizedOccupancy),0)</f>
        <v/>
      </c>
      <c r="CA22" s="18">
        <f>IF(76&gt;=DeliverStart,RetailRentMo*CA$10*MIN(1,'LeaseUp'!CA$10/StabilizedOccupancy),0)</f>
        <v/>
      </c>
      <c r="CB22" s="18">
        <f>IF(77&gt;=DeliverStart,RetailRentMo*CB$10*MIN(1,'LeaseUp'!CB$10/StabilizedOccupancy),0)</f>
        <v/>
      </c>
      <c r="CC22" s="18">
        <f>IF(78&gt;=DeliverStart,RetailRentMo*CC$10*MIN(1,'LeaseUp'!CC$10/StabilizedOccupancy),0)</f>
        <v/>
      </c>
      <c r="CD22" s="18">
        <f>IF(79&gt;=DeliverStart,RetailRentMo*CD$10*MIN(1,'LeaseUp'!CD$10/StabilizedOccupancy),0)</f>
        <v/>
      </c>
      <c r="CE22" s="18">
        <f>IF(80&gt;=DeliverStart,RetailRentMo*CE$10*MIN(1,'LeaseUp'!CE$10/StabilizedOccupancy),0)</f>
        <v/>
      </c>
      <c r="CF22" s="18">
        <f>IF(81&gt;=DeliverStart,RetailRentMo*CF$10*MIN(1,'LeaseUp'!CF$10/StabilizedOccupancy),0)</f>
        <v/>
      </c>
      <c r="CG22" s="18">
        <f>IF(82&gt;=DeliverStart,RetailRentMo*CG$10*MIN(1,'LeaseUp'!CG$10/StabilizedOccupancy),0)</f>
        <v/>
      </c>
      <c r="CH22" s="18">
        <f>IF(83&gt;=DeliverStart,RetailRentMo*CH$10*MIN(1,'LeaseUp'!CH$10/StabilizedOccupancy),0)</f>
        <v/>
      </c>
      <c r="CI22" s="18">
        <f>IF(84&gt;=DeliverStart,RetailRentMo*CI$10*MIN(1,'LeaseUp'!CI$10/StabilizedOccupancy),0)</f>
        <v/>
      </c>
      <c r="CJ22" s="18">
        <f>IF(85&gt;=DeliverStart,RetailRentMo*CJ$10*MIN(1,'LeaseUp'!CJ$10/StabilizedOccupancy),0)</f>
        <v/>
      </c>
      <c r="CK22" s="18">
        <f>IF(86&gt;=DeliverStart,RetailRentMo*CK$10*MIN(1,'LeaseUp'!CK$10/StabilizedOccupancy),0)</f>
        <v/>
      </c>
      <c r="CL22" s="18">
        <f>IF(87&gt;=DeliverStart,RetailRentMo*CL$10*MIN(1,'LeaseUp'!CL$10/StabilizedOccupancy),0)</f>
        <v/>
      </c>
      <c r="CM22" s="18">
        <f>IF(88&gt;=DeliverStart,RetailRentMo*CM$10*MIN(1,'LeaseUp'!CM$10/StabilizedOccupancy),0)</f>
        <v/>
      </c>
      <c r="CN22" s="18">
        <f>IF(89&gt;=DeliverStart,RetailRentMo*CN$10*MIN(1,'LeaseUp'!CN$10/StabilizedOccupancy),0)</f>
        <v/>
      </c>
      <c r="CO22" s="18">
        <f>IF(90&gt;=DeliverStart,RetailRentMo*CO$10*MIN(1,'LeaseUp'!CO$10/StabilizedOccupancy),0)</f>
        <v/>
      </c>
      <c r="CP22" s="18">
        <f>IF(91&gt;=DeliverStart,RetailRentMo*CP$10*MIN(1,'LeaseUp'!CP$10/StabilizedOccupancy),0)</f>
        <v/>
      </c>
      <c r="CQ22" s="18">
        <f>IF(92&gt;=DeliverStart,RetailRentMo*CQ$10*MIN(1,'LeaseUp'!CQ$10/StabilizedOccupancy),0)</f>
        <v/>
      </c>
      <c r="CR22" s="18">
        <f>IF(93&gt;=DeliverStart,RetailRentMo*CR$10*MIN(1,'LeaseUp'!CR$10/StabilizedOccupancy),0)</f>
        <v/>
      </c>
      <c r="CS22" s="18">
        <f>IF(94&gt;=DeliverStart,RetailRentMo*CS$10*MIN(1,'LeaseUp'!CS$10/StabilizedOccupancy),0)</f>
        <v/>
      </c>
      <c r="CT22" s="18">
        <f>IF(95&gt;=DeliverStart,RetailRentMo*CT$10*MIN(1,'LeaseUp'!CT$10/StabilizedOccupancy),0)</f>
        <v/>
      </c>
      <c r="CU22" s="18">
        <f>IF(96&gt;=DeliverStart,RetailRentMo*CU$10*MIN(1,'LeaseUp'!CU$10/StabilizedOccupancy),0)</f>
        <v/>
      </c>
      <c r="CV22" s="18">
        <f>IF(97&gt;=DeliverStart,RetailRentMo*CV$10*MIN(1,'LeaseUp'!CV$10/StabilizedOccupancy),0)</f>
        <v/>
      </c>
      <c r="CW22" s="18">
        <f>IF(98&gt;=DeliverStart,RetailRentMo*CW$10*MIN(1,'LeaseUp'!CW$10/StabilizedOccupancy),0)</f>
        <v/>
      </c>
      <c r="CX22" s="18">
        <f>IF(99&gt;=DeliverStart,RetailRentMo*CX$10*MIN(1,'LeaseUp'!CX$10/StabilizedOccupancy),0)</f>
        <v/>
      </c>
      <c r="CY22" s="18">
        <f>IF(100&gt;=DeliverStart,RetailRentMo*CY$10*MIN(1,'LeaseUp'!CY$10/StabilizedOccupancy),0)</f>
        <v/>
      </c>
      <c r="CZ22" s="18">
        <f>IF(101&gt;=DeliverStart,RetailRentMo*CZ$10*MIN(1,'LeaseUp'!CZ$10/StabilizedOccupancy),0)</f>
        <v/>
      </c>
      <c r="DA22" s="18">
        <f>IF(102&gt;=DeliverStart,RetailRentMo*DA$10*MIN(1,'LeaseUp'!DA$10/StabilizedOccupancy),0)</f>
        <v/>
      </c>
      <c r="DB22" s="18">
        <f>IF(103&gt;=DeliverStart,RetailRentMo*DB$10*MIN(1,'LeaseUp'!DB$10/StabilizedOccupancy),0)</f>
        <v/>
      </c>
      <c r="DC22" s="18">
        <f>IF(104&gt;=DeliverStart,RetailRentMo*DC$10*MIN(1,'LeaseUp'!DC$10/StabilizedOccupancy),0)</f>
        <v/>
      </c>
      <c r="DD22" s="18">
        <f>IF(105&gt;=DeliverStart,RetailRentMo*DD$10*MIN(1,'LeaseUp'!DD$10/StabilizedOccupancy),0)</f>
        <v/>
      </c>
      <c r="DE22" s="18">
        <f>IF(106&gt;=DeliverStart,RetailRentMo*DE$10*MIN(1,'LeaseUp'!DE$10/StabilizedOccupancy),0)</f>
        <v/>
      </c>
      <c r="DF22" s="18">
        <f>IF(107&gt;=DeliverStart,RetailRentMo*DF$10*MIN(1,'LeaseUp'!DF$10/StabilizedOccupancy),0)</f>
        <v/>
      </c>
      <c r="DG22" s="18">
        <f>IF(108&gt;=DeliverStart,RetailRentMo*DG$10*MIN(1,'LeaseUp'!DG$10/StabilizedOccupancy),0)</f>
        <v/>
      </c>
      <c r="DH22" s="18">
        <f>IF(109&gt;=DeliverStart,RetailRentMo*DH$10*MIN(1,'LeaseUp'!DH$10/StabilizedOccupancy),0)</f>
        <v/>
      </c>
      <c r="DI22" s="18">
        <f>IF(110&gt;=DeliverStart,RetailRentMo*DI$10*MIN(1,'LeaseUp'!DI$10/StabilizedOccupancy),0)</f>
        <v/>
      </c>
      <c r="DJ22" s="18">
        <f>IF(111&gt;=DeliverStart,RetailRentMo*DJ$10*MIN(1,'LeaseUp'!DJ$10/StabilizedOccupancy),0)</f>
        <v/>
      </c>
      <c r="DK22" s="18">
        <f>IF(112&gt;=DeliverStart,RetailRentMo*DK$10*MIN(1,'LeaseUp'!DK$10/StabilizedOccupancy),0)</f>
        <v/>
      </c>
      <c r="DL22" s="18">
        <f>IF(113&gt;=DeliverStart,RetailRentMo*DL$10*MIN(1,'LeaseUp'!DL$10/StabilizedOccupancy),0)</f>
        <v/>
      </c>
      <c r="DM22" s="18">
        <f>IF(114&gt;=DeliverStart,RetailRentMo*DM$10*MIN(1,'LeaseUp'!DM$10/StabilizedOccupancy),0)</f>
        <v/>
      </c>
      <c r="DN22" s="18">
        <f>IF(115&gt;=DeliverStart,RetailRentMo*DN$10*MIN(1,'LeaseUp'!DN$10/StabilizedOccupancy),0)</f>
        <v/>
      </c>
      <c r="DO22" s="18">
        <f>IF(116&gt;=DeliverStart,RetailRentMo*DO$10*MIN(1,'LeaseUp'!DO$10/StabilizedOccupancy),0)</f>
        <v/>
      </c>
      <c r="DP22" s="18">
        <f>IF(117&gt;=DeliverStart,RetailRentMo*DP$10*MIN(1,'LeaseUp'!DP$10/StabilizedOccupancy),0)</f>
        <v/>
      </c>
      <c r="DQ22" s="18">
        <f>IF(118&gt;=DeliverStart,RetailRentMo*DQ$10*MIN(1,'LeaseUp'!DQ$10/StabilizedOccupancy),0)</f>
        <v/>
      </c>
      <c r="DR22" s="18">
        <f>IF(119&gt;=DeliverStart,RetailRentMo*DR$10*MIN(1,'LeaseUp'!DR$10/StabilizedOccupancy),0)</f>
        <v/>
      </c>
      <c r="DS22" s="18">
        <f>IF(120&gt;=DeliverStart,RetailRentMo*DS$10*MIN(1,'LeaseUp'!DS$10/StabilizedOccupancy),0)</f>
        <v/>
      </c>
      <c r="DT22" s="18">
        <f>IF(121&gt;=DeliverStart,RetailRentMo*DT$10*MIN(1,'LeaseUp'!DT$10/StabilizedOccupancy),0)</f>
        <v/>
      </c>
      <c r="DU22" s="18">
        <f>IF(122&gt;=DeliverStart,RetailRentMo*DU$10*MIN(1,'LeaseUp'!DU$10/StabilizedOccupancy),0)</f>
        <v/>
      </c>
      <c r="DV22" s="18">
        <f>IF(123&gt;=DeliverStart,RetailRentMo*DV$10*MIN(1,'LeaseUp'!DV$10/StabilizedOccupancy),0)</f>
        <v/>
      </c>
      <c r="DW22" s="18">
        <f>IF(124&gt;=DeliverStart,RetailRentMo*DW$10*MIN(1,'LeaseUp'!DW$10/StabilizedOccupancy),0)</f>
        <v/>
      </c>
      <c r="DX22" s="18">
        <f>IF(125&gt;=DeliverStart,RetailRentMo*DX$10*MIN(1,'LeaseUp'!DX$10/StabilizedOccupancy),0)</f>
        <v/>
      </c>
      <c r="DY22" s="18">
        <f>IF(126&gt;=DeliverStart,RetailRentMo*DY$10*MIN(1,'LeaseUp'!DY$10/StabilizedOccupancy),0)</f>
        <v/>
      </c>
      <c r="DZ22" s="18">
        <f>IF(127&gt;=DeliverStart,RetailRentMo*DZ$10*MIN(1,'LeaseUp'!DZ$10/StabilizedOccupancy),0)</f>
        <v/>
      </c>
      <c r="EA22" s="18">
        <f>IF(128&gt;=DeliverStart,RetailRentMo*EA$10*MIN(1,'LeaseUp'!EA$10/StabilizedOccupancy),0)</f>
        <v/>
      </c>
      <c r="EB22" s="18">
        <f>IF(129&gt;=DeliverStart,RetailRentMo*EB$10*MIN(1,'LeaseUp'!EB$10/StabilizedOccupancy),0)</f>
        <v/>
      </c>
      <c r="EC22" s="18">
        <f>IF(130&gt;=DeliverStart,RetailRentMo*EC$10*MIN(1,'LeaseUp'!EC$10/StabilizedOccupancy),0)</f>
        <v/>
      </c>
      <c r="ED22" s="18">
        <f>IF(131&gt;=DeliverStart,RetailRentMo*ED$10*MIN(1,'LeaseUp'!ED$10/StabilizedOccupancy),0)</f>
        <v/>
      </c>
      <c r="EE22" s="18">
        <f>IF(132&gt;=DeliverStart,RetailRentMo*EE$10*MIN(1,'LeaseUp'!EE$10/StabilizedOccupancy),0)</f>
        <v/>
      </c>
      <c r="EF22" s="18">
        <f>IF(133&gt;=DeliverStart,RetailRentMo*EF$10*MIN(1,'LeaseUp'!EF$10/StabilizedOccupancy),0)</f>
        <v/>
      </c>
      <c r="EG22" s="18">
        <f>IF(134&gt;=DeliverStart,RetailRentMo*EG$10*MIN(1,'LeaseUp'!EG$10/StabilizedOccupancy),0)</f>
        <v/>
      </c>
      <c r="EH22" s="18">
        <f>IF(135&gt;=DeliverStart,RetailRentMo*EH$10*MIN(1,'LeaseUp'!EH$10/StabilizedOccupancy),0)</f>
        <v/>
      </c>
      <c r="EI22" s="18">
        <f>IF(136&gt;=DeliverStart,RetailRentMo*EI$10*MIN(1,'LeaseUp'!EI$10/StabilizedOccupancy),0)</f>
        <v/>
      </c>
      <c r="EJ22" s="18">
        <f>IF(137&gt;=DeliverStart,RetailRentMo*EJ$10*MIN(1,'LeaseUp'!EJ$10/StabilizedOccupancy),0)</f>
        <v/>
      </c>
      <c r="EK22" s="18">
        <f>IF(138&gt;=DeliverStart,RetailRentMo*EK$10*MIN(1,'LeaseUp'!EK$10/StabilizedOccupancy),0)</f>
        <v/>
      </c>
      <c r="EL22" s="18">
        <f>IF(139&gt;=DeliverStart,RetailRentMo*EL$10*MIN(1,'LeaseUp'!EL$10/StabilizedOccupancy),0)</f>
        <v/>
      </c>
      <c r="EM22" s="18">
        <f>IF(140&gt;=DeliverStart,RetailRentMo*EM$10*MIN(1,'LeaseUp'!EM$10/StabilizedOccupancy),0)</f>
        <v/>
      </c>
      <c r="EN22" s="18">
        <f>IF(141&gt;=DeliverStart,RetailRentMo*EN$10*MIN(1,'LeaseUp'!EN$10/StabilizedOccupancy),0)</f>
        <v/>
      </c>
      <c r="EO22" s="18">
        <f>IF(142&gt;=DeliverStart,RetailRentMo*EO$10*MIN(1,'LeaseUp'!EO$10/StabilizedOccupancy),0)</f>
        <v/>
      </c>
      <c r="EP22" s="18">
        <f>IF(143&gt;=DeliverStart,RetailRentMo*EP$10*MIN(1,'LeaseUp'!EP$10/StabilizedOccupancy),0)</f>
        <v/>
      </c>
      <c r="EQ22" s="18">
        <f>IF(144&gt;=DeliverStart,RetailRentMo*EQ$10*MIN(1,'LeaseUp'!EQ$10/StabilizedOccupancy),0)</f>
        <v/>
      </c>
      <c r="ER22" s="18">
        <f>IF(145&gt;=DeliverStart,RetailRentMo*ER$10*MIN(1,'LeaseUp'!ER$10/StabilizedOccupancy),0)</f>
        <v/>
      </c>
      <c r="ES22" s="18">
        <f>IF(146&gt;=DeliverStart,RetailRentMo*ES$10*MIN(1,'LeaseUp'!ES$10/StabilizedOccupancy),0)</f>
        <v/>
      </c>
      <c r="ET22" s="18">
        <f>IF(147&gt;=DeliverStart,RetailRentMo*ET$10*MIN(1,'LeaseUp'!ET$10/StabilizedOccupancy),0)</f>
        <v/>
      </c>
      <c r="EU22" s="18">
        <f>IF(148&gt;=DeliverStart,RetailRentMo*EU$10*MIN(1,'LeaseUp'!EU$10/StabilizedOccupancy),0)</f>
        <v/>
      </c>
      <c r="EV22" s="18">
        <f>IF(149&gt;=DeliverStart,RetailRentMo*EV$10*MIN(1,'LeaseUp'!EV$10/StabilizedOccupancy),0)</f>
        <v/>
      </c>
      <c r="EW22" s="18">
        <f>IF(150&gt;=DeliverStart,RetailRentMo*EW$10*MIN(1,'LeaseUp'!EW$10/StabilizedOccupancy),0)</f>
        <v/>
      </c>
      <c r="EX22" s="18">
        <f>IF(151&gt;=DeliverStart,RetailRentMo*EX$10*MIN(1,'LeaseUp'!EX$10/StabilizedOccupancy),0)</f>
        <v/>
      </c>
      <c r="EY22" s="18">
        <f>IF(152&gt;=DeliverStart,RetailRentMo*EY$10*MIN(1,'LeaseUp'!EY$10/StabilizedOccupancy),0)</f>
        <v/>
      </c>
      <c r="EZ22" s="18">
        <f>IF(153&gt;=DeliverStart,RetailRentMo*EZ$10*MIN(1,'LeaseUp'!EZ$10/StabilizedOccupancy),0)</f>
        <v/>
      </c>
      <c r="FA22" s="18">
        <f>IF(154&gt;=DeliverStart,RetailRentMo*FA$10*MIN(1,'LeaseUp'!FA$10/StabilizedOccupancy),0)</f>
        <v/>
      </c>
      <c r="FB22" s="18">
        <f>IF(155&gt;=DeliverStart,RetailRentMo*FB$10*MIN(1,'LeaseUp'!FB$10/StabilizedOccupancy),0)</f>
        <v/>
      </c>
      <c r="FC22" s="18">
        <f>IF(156&gt;=DeliverStart,RetailRentMo*FC$10*MIN(1,'LeaseUp'!FC$10/StabilizedOccupancy),0)</f>
        <v/>
      </c>
      <c r="FD22" s="18">
        <f>IF(157&gt;=DeliverStart,RetailRentMo*FD$10*MIN(1,'LeaseUp'!FD$10/StabilizedOccupancy),0)</f>
        <v/>
      </c>
      <c r="FE22" s="18">
        <f>IF(158&gt;=DeliverStart,RetailRentMo*FE$10*MIN(1,'LeaseUp'!FE$10/StabilizedOccupancy),0)</f>
        <v/>
      </c>
      <c r="FF22" s="18">
        <f>IF(159&gt;=DeliverStart,RetailRentMo*FF$10*MIN(1,'LeaseUp'!FF$10/StabilizedOccupancy),0)</f>
        <v/>
      </c>
      <c r="FG22" s="18">
        <f>IF(160&gt;=DeliverStart,RetailRentMo*FG$10*MIN(1,'LeaseUp'!FG$10/StabilizedOccupancy),0)</f>
        <v/>
      </c>
      <c r="FH22" s="18">
        <f>IF(161&gt;=DeliverStart,RetailRentMo*FH$10*MIN(1,'LeaseUp'!FH$10/StabilizedOccupancy),0)</f>
        <v/>
      </c>
      <c r="FI22" s="18">
        <f>IF(162&gt;=DeliverStart,RetailRentMo*FI$10*MIN(1,'LeaseUp'!FI$10/StabilizedOccupancy),0)</f>
        <v/>
      </c>
      <c r="FJ22" s="18">
        <f>IF(163&gt;=DeliverStart,RetailRentMo*FJ$10*MIN(1,'LeaseUp'!FJ$10/StabilizedOccupancy),0)</f>
        <v/>
      </c>
      <c r="FK22" s="18">
        <f>IF(164&gt;=DeliverStart,RetailRentMo*FK$10*MIN(1,'LeaseUp'!FK$10/StabilizedOccupancy),0)</f>
        <v/>
      </c>
      <c r="FL22" s="18">
        <f>IF(165&gt;=DeliverStart,RetailRentMo*FL$10*MIN(1,'LeaseUp'!FL$10/StabilizedOccupancy),0)</f>
        <v/>
      </c>
      <c r="FM22" s="18">
        <f>IF(166&gt;=DeliverStart,RetailRentMo*FM$10*MIN(1,'LeaseUp'!FM$10/StabilizedOccupancy),0)</f>
        <v/>
      </c>
      <c r="FN22" s="18">
        <f>IF(167&gt;=DeliverStart,RetailRentMo*FN$10*MIN(1,'LeaseUp'!FN$10/StabilizedOccupancy),0)</f>
        <v/>
      </c>
      <c r="FO22" s="18">
        <f>IF(168&gt;=DeliverStart,RetailRentMo*FO$10*MIN(1,'LeaseUp'!FO$10/StabilizedOccupancy),0)</f>
        <v/>
      </c>
      <c r="FP22" s="18">
        <f>IF(169&gt;=DeliverStart,RetailRentMo*FP$10*MIN(1,'LeaseUp'!FP$10/StabilizedOccupancy),0)</f>
        <v/>
      </c>
      <c r="FQ22" s="18">
        <f>IF(170&gt;=DeliverStart,RetailRentMo*FQ$10*MIN(1,'LeaseUp'!FQ$10/StabilizedOccupancy),0)</f>
        <v/>
      </c>
      <c r="FR22" s="18">
        <f>IF(171&gt;=DeliverStart,RetailRentMo*FR$10*MIN(1,'LeaseUp'!FR$10/StabilizedOccupancy),0)</f>
        <v/>
      </c>
      <c r="FS22" s="18">
        <f>IF(172&gt;=DeliverStart,RetailRentMo*FS$10*MIN(1,'LeaseUp'!FS$10/StabilizedOccupancy),0)</f>
        <v/>
      </c>
      <c r="FT22" s="18">
        <f>IF(173&gt;=DeliverStart,RetailRentMo*FT$10*MIN(1,'LeaseUp'!FT$10/StabilizedOccupancy),0)</f>
        <v/>
      </c>
      <c r="FU22" s="18">
        <f>IF(174&gt;=DeliverStart,RetailRentMo*FU$10*MIN(1,'LeaseUp'!FU$10/StabilizedOccupancy),0)</f>
        <v/>
      </c>
      <c r="FV22" s="18">
        <f>IF(175&gt;=DeliverStart,RetailRentMo*FV$10*MIN(1,'LeaseUp'!FV$10/StabilizedOccupancy),0)</f>
        <v/>
      </c>
      <c r="FW22" s="18">
        <f>IF(176&gt;=DeliverStart,RetailRentMo*FW$10*MIN(1,'LeaseUp'!FW$10/StabilizedOccupancy),0)</f>
        <v/>
      </c>
      <c r="FX22" s="18">
        <f>IF(177&gt;=DeliverStart,RetailRentMo*FX$10*MIN(1,'LeaseUp'!FX$10/StabilizedOccupancy),0)</f>
        <v/>
      </c>
      <c r="FY22" s="18">
        <f>IF(178&gt;=DeliverStart,RetailRentMo*FY$10*MIN(1,'LeaseUp'!FY$10/StabilizedOccupancy),0)</f>
        <v/>
      </c>
      <c r="FZ22" s="18">
        <f>IF(179&gt;=DeliverStart,RetailRentMo*FZ$10*MIN(1,'LeaseUp'!FZ$10/StabilizedOccupancy),0)</f>
        <v/>
      </c>
      <c r="GA22" s="18">
        <f>IF(180&gt;=DeliverStart,RetailRentMo*GA$10*MIN(1,'LeaseUp'!GA$10/StabilizedOccupancy),0)</f>
        <v/>
      </c>
      <c r="GB22" s="18">
        <f>IF(181&gt;=DeliverStart,RetailRentMo*GB$10*MIN(1,'LeaseUp'!GB$10/StabilizedOccupancy),0)</f>
        <v/>
      </c>
      <c r="GC22" s="18">
        <f>IF(182&gt;=DeliverStart,RetailRentMo*GC$10*MIN(1,'LeaseUp'!GC$10/StabilizedOccupancy),0)</f>
        <v/>
      </c>
      <c r="GD22" s="18">
        <f>IF(183&gt;=DeliverStart,RetailRentMo*GD$10*MIN(1,'LeaseUp'!GD$10/StabilizedOccupancy),0)</f>
        <v/>
      </c>
      <c r="GE22" s="18">
        <f>IF(184&gt;=DeliverStart,RetailRentMo*GE$10*MIN(1,'LeaseUp'!GE$10/StabilizedOccupancy),0)</f>
        <v/>
      </c>
      <c r="GF22" s="18">
        <f>IF(185&gt;=DeliverStart,RetailRentMo*GF$10*MIN(1,'LeaseUp'!GF$10/StabilizedOccupancy),0)</f>
        <v/>
      </c>
      <c r="GG22" s="18">
        <f>IF(186&gt;=DeliverStart,RetailRentMo*GG$10*MIN(1,'LeaseUp'!GG$10/StabilizedOccupancy),0)</f>
        <v/>
      </c>
      <c r="GH22" s="18">
        <f>IF(187&gt;=DeliverStart,RetailRentMo*GH$10*MIN(1,'LeaseUp'!GH$10/StabilizedOccupancy),0)</f>
        <v/>
      </c>
      <c r="GI22" s="18">
        <f>IF(188&gt;=DeliverStart,RetailRentMo*GI$10*MIN(1,'LeaseUp'!GI$10/StabilizedOccupancy),0)</f>
        <v/>
      </c>
      <c r="GJ22" s="18">
        <f>IF(189&gt;=DeliverStart,RetailRentMo*GJ$10*MIN(1,'LeaseUp'!GJ$10/StabilizedOccupancy),0)</f>
        <v/>
      </c>
      <c r="GK22" s="18">
        <f>IF(190&gt;=DeliverStart,RetailRentMo*GK$10*MIN(1,'LeaseUp'!GK$10/StabilizedOccupancy),0)</f>
        <v/>
      </c>
      <c r="GL22" s="18">
        <f>IF(191&gt;=DeliverStart,RetailRentMo*GL$10*MIN(1,'LeaseUp'!GL$10/StabilizedOccupancy),0)</f>
        <v/>
      </c>
      <c r="GM22" s="18">
        <f>IF(192&gt;=DeliverStart,RetailRentMo*GM$10*MIN(1,'LeaseUp'!GM$10/StabilizedOccupancy),0)</f>
        <v/>
      </c>
      <c r="GN22" s="18">
        <f>IF(193&gt;=DeliverStart,RetailRentMo*GN$10*MIN(1,'LeaseUp'!GN$10/StabilizedOccupancy),0)</f>
        <v/>
      </c>
      <c r="GO22" s="18">
        <f>IF(194&gt;=DeliverStart,RetailRentMo*GO$10*MIN(1,'LeaseUp'!GO$10/StabilizedOccupancy),0)</f>
        <v/>
      </c>
      <c r="GP22" s="18">
        <f>IF(195&gt;=DeliverStart,RetailRentMo*GP$10*MIN(1,'LeaseUp'!GP$10/StabilizedOccupancy),0)</f>
        <v/>
      </c>
      <c r="GQ22" s="18">
        <f>IF(196&gt;=DeliverStart,RetailRentMo*GQ$10*MIN(1,'LeaseUp'!GQ$10/StabilizedOccupancy),0)</f>
        <v/>
      </c>
      <c r="GR22" s="18">
        <f>IF(197&gt;=DeliverStart,RetailRentMo*GR$10*MIN(1,'LeaseUp'!GR$10/StabilizedOccupancy),0)</f>
        <v/>
      </c>
      <c r="GS22" s="18">
        <f>IF(198&gt;=DeliverStart,RetailRentMo*GS$10*MIN(1,'LeaseUp'!GS$10/StabilizedOccupancy),0)</f>
        <v/>
      </c>
      <c r="GT22" s="18">
        <f>IF(199&gt;=DeliverStart,RetailRentMo*GT$10*MIN(1,'LeaseUp'!GT$10/StabilizedOccupancy),0)</f>
        <v/>
      </c>
      <c r="GU22" s="18">
        <f>IF(200&gt;=DeliverStart,RetailRentMo*GU$10*MIN(1,'LeaseUp'!GU$10/StabilizedOccupancy),0)</f>
        <v/>
      </c>
      <c r="GV22" s="18">
        <f>IF(201&gt;=DeliverStart,RetailRentMo*GV$10*MIN(1,'LeaseUp'!GV$10/StabilizedOccupancy),0)</f>
        <v/>
      </c>
      <c r="GW22" s="18">
        <f>IF(202&gt;=DeliverStart,RetailRentMo*GW$10*MIN(1,'LeaseUp'!GW$10/StabilizedOccupancy),0)</f>
        <v/>
      </c>
      <c r="GX22" s="18">
        <f>IF(203&gt;=DeliverStart,RetailRentMo*GX$10*MIN(1,'LeaseUp'!GX$10/StabilizedOccupancy),0)</f>
        <v/>
      </c>
      <c r="GY22" s="18">
        <f>IF(204&gt;=DeliverStart,RetailRentMo*GY$10*MIN(1,'LeaseUp'!GY$10/StabilizedOccupancy),0)</f>
        <v/>
      </c>
      <c r="GZ22" s="18">
        <f>IF(205&gt;=DeliverStart,RetailRentMo*GZ$10*MIN(1,'LeaseUp'!GZ$10/StabilizedOccupancy),0)</f>
        <v/>
      </c>
      <c r="HA22" s="18">
        <f>IF(206&gt;=DeliverStart,RetailRentMo*HA$10*MIN(1,'LeaseUp'!HA$10/StabilizedOccupancy),0)</f>
        <v/>
      </c>
      <c r="HB22" s="18">
        <f>IF(207&gt;=DeliverStart,RetailRentMo*HB$10*MIN(1,'LeaseUp'!HB$10/StabilizedOccupancy),0)</f>
        <v/>
      </c>
      <c r="HC22" s="18">
        <f>IF(208&gt;=DeliverStart,RetailRentMo*HC$10*MIN(1,'LeaseUp'!HC$10/StabilizedOccupancy),0)</f>
        <v/>
      </c>
      <c r="HD22" s="18">
        <f>IF(209&gt;=DeliverStart,RetailRentMo*HD$10*MIN(1,'LeaseUp'!HD$10/StabilizedOccupancy),0)</f>
        <v/>
      </c>
      <c r="HE22" s="18">
        <f>IF(210&gt;=DeliverStart,RetailRentMo*HE$10*MIN(1,'LeaseUp'!HE$10/StabilizedOccupancy),0)</f>
        <v/>
      </c>
      <c r="HF22" s="18">
        <f>IF(211&gt;=DeliverStart,RetailRentMo*HF$10*MIN(1,'LeaseUp'!HF$10/StabilizedOccupancy),0)</f>
        <v/>
      </c>
      <c r="HG22" s="18">
        <f>IF(212&gt;=DeliverStart,RetailRentMo*HG$10*MIN(1,'LeaseUp'!HG$10/StabilizedOccupancy),0)</f>
        <v/>
      </c>
      <c r="HH22" s="18">
        <f>IF(213&gt;=DeliverStart,RetailRentMo*HH$10*MIN(1,'LeaseUp'!HH$10/StabilizedOccupancy),0)</f>
        <v/>
      </c>
      <c r="HI22" s="18">
        <f>IF(214&gt;=DeliverStart,RetailRentMo*HI$10*MIN(1,'LeaseUp'!HI$10/StabilizedOccupancy),0)</f>
        <v/>
      </c>
      <c r="HJ22" s="18">
        <f>IF(215&gt;=DeliverStart,RetailRentMo*HJ$10*MIN(1,'LeaseUp'!HJ$10/StabilizedOccupancy),0)</f>
        <v/>
      </c>
      <c r="HK22" s="18">
        <f>IF(216&gt;=DeliverStart,RetailRentMo*HK$10*MIN(1,'LeaseUp'!HK$10/StabilizedOccupancy),0)</f>
        <v/>
      </c>
      <c r="HL22" s="18">
        <f>IF(217&gt;=DeliverStart,RetailRentMo*HL$10*MIN(1,'LeaseUp'!HL$10/StabilizedOccupancy),0)</f>
        <v/>
      </c>
      <c r="HM22" s="18">
        <f>IF(218&gt;=DeliverStart,RetailRentMo*HM$10*MIN(1,'LeaseUp'!HM$10/StabilizedOccupancy),0)</f>
        <v/>
      </c>
      <c r="HN22" s="18">
        <f>IF(219&gt;=DeliverStart,RetailRentMo*HN$10*MIN(1,'LeaseUp'!HN$10/StabilizedOccupancy),0)</f>
        <v/>
      </c>
      <c r="HO22" s="18">
        <f>IF(220&gt;=DeliverStart,RetailRentMo*HO$10*MIN(1,'LeaseUp'!HO$10/StabilizedOccupancy),0)</f>
        <v/>
      </c>
      <c r="HP22" s="18">
        <f>IF(221&gt;=DeliverStart,RetailRentMo*HP$10*MIN(1,'LeaseUp'!HP$10/StabilizedOccupancy),0)</f>
        <v/>
      </c>
      <c r="HQ22" s="18">
        <f>IF(222&gt;=DeliverStart,RetailRentMo*HQ$10*MIN(1,'LeaseUp'!HQ$10/StabilizedOccupancy),0)</f>
        <v/>
      </c>
      <c r="HR22" s="18">
        <f>IF(223&gt;=DeliverStart,RetailRentMo*HR$10*MIN(1,'LeaseUp'!HR$10/StabilizedOccupancy),0)</f>
        <v/>
      </c>
      <c r="HS22" s="18">
        <f>IF(224&gt;=DeliverStart,RetailRentMo*HS$10*MIN(1,'LeaseUp'!HS$10/StabilizedOccupancy),0)</f>
        <v/>
      </c>
      <c r="HT22" s="18">
        <f>IF(225&gt;=DeliverStart,RetailRentMo*HT$10*MIN(1,'LeaseUp'!HT$10/StabilizedOccupancy),0)</f>
        <v/>
      </c>
      <c r="HU22" s="18">
        <f>IF(226&gt;=DeliverStart,RetailRentMo*HU$10*MIN(1,'LeaseUp'!HU$10/StabilizedOccupancy),0)</f>
        <v/>
      </c>
      <c r="HV22" s="18">
        <f>IF(227&gt;=DeliverStart,RetailRentMo*HV$10*MIN(1,'LeaseUp'!HV$10/StabilizedOccupancy),0)</f>
        <v/>
      </c>
      <c r="HW22" s="18">
        <f>IF(228&gt;=DeliverStart,RetailRentMo*HW$10*MIN(1,'LeaseUp'!HW$10/StabilizedOccupancy),0)</f>
        <v/>
      </c>
      <c r="HX22" s="18">
        <f>IF(229&gt;=DeliverStart,RetailRentMo*HX$10*MIN(1,'LeaseUp'!HX$10/StabilizedOccupancy),0)</f>
        <v/>
      </c>
      <c r="HY22" s="18">
        <f>IF(230&gt;=DeliverStart,RetailRentMo*HY$10*MIN(1,'LeaseUp'!HY$10/StabilizedOccupancy),0)</f>
        <v/>
      </c>
      <c r="HZ22" s="18">
        <f>IF(231&gt;=DeliverStart,RetailRentMo*HZ$10*MIN(1,'LeaseUp'!HZ$10/StabilizedOccupancy),0)</f>
        <v/>
      </c>
      <c r="IA22" s="18">
        <f>IF(232&gt;=DeliverStart,RetailRentMo*IA$10*MIN(1,'LeaseUp'!IA$10/StabilizedOccupancy),0)</f>
        <v/>
      </c>
      <c r="IB22" s="18">
        <f>IF(233&gt;=DeliverStart,RetailRentMo*IB$10*MIN(1,'LeaseUp'!IB$10/StabilizedOccupancy),0)</f>
        <v/>
      </c>
      <c r="IC22" s="18">
        <f>IF(234&gt;=DeliverStart,RetailRentMo*IC$10*MIN(1,'LeaseUp'!IC$10/StabilizedOccupancy),0)</f>
        <v/>
      </c>
      <c r="ID22" s="18">
        <f>IF(235&gt;=DeliverStart,RetailRentMo*ID$10*MIN(1,'LeaseUp'!ID$10/StabilizedOccupancy),0)</f>
        <v/>
      </c>
      <c r="IE22" s="18">
        <f>IF(236&gt;=DeliverStart,RetailRentMo*IE$10*MIN(1,'LeaseUp'!IE$10/StabilizedOccupancy),0)</f>
        <v/>
      </c>
      <c r="IF22" s="18">
        <f>IF(237&gt;=DeliverStart,RetailRentMo*IF$10*MIN(1,'LeaseUp'!IF$10/StabilizedOccupancy),0)</f>
        <v/>
      </c>
      <c r="IG22" s="18">
        <f>IF(238&gt;=DeliverStart,RetailRentMo*IG$10*MIN(1,'LeaseUp'!IG$10/StabilizedOccupancy),0)</f>
        <v/>
      </c>
      <c r="IH22" s="18">
        <f>IF(239&gt;=DeliverStart,RetailRentMo*IH$10*MIN(1,'LeaseUp'!IH$10/StabilizedOccupancy),0)</f>
        <v/>
      </c>
      <c r="II22" s="18">
        <f>IF(240&gt;=DeliverStart,RetailRentMo*II$10*MIN(1,'LeaseUp'!II$10/StabilizedOccupancy),0)</f>
        <v/>
      </c>
      <c r="IJ22" s="18">
        <f>IF(241&gt;=DeliverStart,RetailRentMo*IJ$10*MIN(1,'LeaseUp'!IJ$10/StabilizedOccupancy),0)</f>
        <v/>
      </c>
      <c r="IK22" s="18">
        <f>IF(242&gt;=DeliverStart,RetailRentMo*IK$10*MIN(1,'LeaseUp'!IK$10/StabilizedOccupancy),0)</f>
        <v/>
      </c>
      <c r="IL22" s="18">
        <f>IF(243&gt;=DeliverStart,RetailRentMo*IL$10*MIN(1,'LeaseUp'!IL$10/StabilizedOccupancy),0)</f>
        <v/>
      </c>
      <c r="IM22" s="18">
        <f>IF(244&gt;=DeliverStart,RetailRentMo*IM$10*MIN(1,'LeaseUp'!IM$10/StabilizedOccupancy),0)</f>
        <v/>
      </c>
      <c r="IN22" s="18">
        <f>IF(245&gt;=DeliverStart,RetailRentMo*IN$10*MIN(1,'LeaseUp'!IN$10/StabilizedOccupancy),0)</f>
        <v/>
      </c>
      <c r="IO22" s="18">
        <f>IF(246&gt;=DeliverStart,RetailRentMo*IO$10*MIN(1,'LeaseUp'!IO$10/StabilizedOccupancy),0)</f>
        <v/>
      </c>
      <c r="IP22" s="18">
        <f>IF(247&gt;=DeliverStart,RetailRentMo*IP$10*MIN(1,'LeaseUp'!IP$10/StabilizedOccupancy),0)</f>
        <v/>
      </c>
      <c r="IQ22" s="18">
        <f>IF(248&gt;=DeliverStart,RetailRentMo*IQ$10*MIN(1,'LeaseUp'!IQ$10/StabilizedOccupancy),0)</f>
        <v/>
      </c>
      <c r="IR22" s="18">
        <f>IF(249&gt;=DeliverStart,RetailRentMo*IR$10*MIN(1,'LeaseUp'!IR$10/StabilizedOccupancy),0)</f>
        <v/>
      </c>
      <c r="IS22" s="18">
        <f>IF(250&gt;=DeliverStart,RetailRentMo*IS$10*MIN(1,'LeaseUp'!IS$10/StabilizedOccupancy),0)</f>
        <v/>
      </c>
      <c r="IT22" s="18">
        <f>IF(251&gt;=DeliverStart,RetailRentMo*IT$10*MIN(1,'LeaseUp'!IT$10/StabilizedOccupancy),0)</f>
        <v/>
      </c>
      <c r="IU22" s="18">
        <f>IF(252&gt;=DeliverStart,RetailRentMo*IU$10*MIN(1,'LeaseUp'!IU$10/StabilizedOccupancy),0)</f>
        <v/>
      </c>
      <c r="IV22" s="18">
        <f>IF(253&gt;=DeliverStart,RetailRentMo*IV$10*MIN(1,'LeaseUp'!IV$10/StabilizedOccupancy),0)</f>
        <v/>
      </c>
      <c r="IW22" s="18">
        <f>IF(254&gt;=DeliverStart,RetailRentMo*IW$10*MIN(1,'LeaseUp'!IW$10/StabilizedOccupancy),0)</f>
        <v/>
      </c>
      <c r="IX22" s="18">
        <f>IF(255&gt;=DeliverStart,RetailRentMo*IX$10*MIN(1,'LeaseUp'!IX$10/StabilizedOccupancy),0)</f>
        <v/>
      </c>
      <c r="IY22" s="18">
        <f>IF(256&gt;=DeliverStart,RetailRentMo*IY$10*MIN(1,'LeaseUp'!IY$10/StabilizedOccupancy),0)</f>
        <v/>
      </c>
      <c r="IZ22" s="18">
        <f>IF(257&gt;=DeliverStart,RetailRentMo*IZ$10*MIN(1,'LeaseUp'!IZ$10/StabilizedOccupancy),0)</f>
        <v/>
      </c>
      <c r="JA22" s="18">
        <f>IF(258&gt;=DeliverStart,RetailRentMo*JA$10*MIN(1,'LeaseUp'!JA$10/StabilizedOccupancy),0)</f>
        <v/>
      </c>
      <c r="JB22" s="18">
        <f>IF(259&gt;=DeliverStart,RetailRentMo*JB$10*MIN(1,'LeaseUp'!JB$10/StabilizedOccupancy),0)</f>
        <v/>
      </c>
      <c r="JC22" s="18">
        <f>IF(260&gt;=DeliverStart,RetailRentMo*JC$10*MIN(1,'LeaseUp'!JC$10/StabilizedOccupancy),0)</f>
        <v/>
      </c>
      <c r="JD22" s="18">
        <f>IF(261&gt;=DeliverStart,RetailRentMo*JD$10*MIN(1,'LeaseUp'!JD$10/StabilizedOccupancy),0)</f>
        <v/>
      </c>
      <c r="JE22" s="18">
        <f>IF(262&gt;=DeliverStart,RetailRentMo*JE$10*MIN(1,'LeaseUp'!JE$10/StabilizedOccupancy),0)</f>
        <v/>
      </c>
      <c r="JF22" s="18">
        <f>IF(263&gt;=DeliverStart,RetailRentMo*JF$10*MIN(1,'LeaseUp'!JF$10/StabilizedOccupancy),0)</f>
        <v/>
      </c>
      <c r="JG22" s="18">
        <f>IF(264&gt;=DeliverStart,RetailRentMo*JG$10*MIN(1,'LeaseUp'!JG$10/StabilizedOccupancy),0)</f>
        <v/>
      </c>
      <c r="JH22" s="18">
        <f>IF(265&gt;=DeliverStart,RetailRentMo*JH$10*MIN(1,'LeaseUp'!JH$10/StabilizedOccupancy),0)</f>
        <v/>
      </c>
      <c r="JI22" s="18">
        <f>IF(266&gt;=DeliverStart,RetailRentMo*JI$10*MIN(1,'LeaseUp'!JI$10/StabilizedOccupancy),0)</f>
        <v/>
      </c>
      <c r="JJ22" s="18">
        <f>IF(267&gt;=DeliverStart,RetailRentMo*JJ$10*MIN(1,'LeaseUp'!JJ$10/StabilizedOccupancy),0)</f>
        <v/>
      </c>
      <c r="JK22" s="18">
        <f>IF(268&gt;=DeliverStart,RetailRentMo*JK$10*MIN(1,'LeaseUp'!JK$10/StabilizedOccupancy),0)</f>
        <v/>
      </c>
      <c r="JL22" s="18">
        <f>IF(269&gt;=DeliverStart,RetailRentMo*JL$10*MIN(1,'LeaseUp'!JL$10/StabilizedOccupancy),0)</f>
        <v/>
      </c>
      <c r="JM22" s="18">
        <f>IF(270&gt;=DeliverStart,RetailRentMo*JM$10*MIN(1,'LeaseUp'!JM$10/StabilizedOccupancy),0)</f>
        <v/>
      </c>
      <c r="JN22" s="18">
        <f>IF(271&gt;=DeliverStart,RetailRentMo*JN$10*MIN(1,'LeaseUp'!JN$10/StabilizedOccupancy),0)</f>
        <v/>
      </c>
      <c r="JO22" s="18">
        <f>IF(272&gt;=DeliverStart,RetailRentMo*JO$10*MIN(1,'LeaseUp'!JO$10/StabilizedOccupancy),0)</f>
        <v/>
      </c>
      <c r="JP22" s="18">
        <f>IF(273&gt;=DeliverStart,RetailRentMo*JP$10*MIN(1,'LeaseUp'!JP$10/StabilizedOccupancy),0)</f>
        <v/>
      </c>
      <c r="JQ22" s="18">
        <f>IF(274&gt;=DeliverStart,RetailRentMo*JQ$10*MIN(1,'LeaseUp'!JQ$10/StabilizedOccupancy),0)</f>
        <v/>
      </c>
      <c r="JR22" s="18">
        <f>IF(275&gt;=DeliverStart,RetailRentMo*JR$10*MIN(1,'LeaseUp'!JR$10/StabilizedOccupancy),0)</f>
        <v/>
      </c>
      <c r="JS22" s="18">
        <f>IF(276&gt;=DeliverStart,RetailRentMo*JS$10*MIN(1,'LeaseUp'!JS$10/StabilizedOccupancy),0)</f>
        <v/>
      </c>
      <c r="JT22" s="18">
        <f>IF(277&gt;=DeliverStart,RetailRentMo*JT$10*MIN(1,'LeaseUp'!JT$10/StabilizedOccupancy),0)</f>
        <v/>
      </c>
      <c r="JU22" s="18">
        <f>IF(278&gt;=DeliverStart,RetailRentMo*JU$10*MIN(1,'LeaseUp'!JU$10/StabilizedOccupancy),0)</f>
        <v/>
      </c>
      <c r="JV22" s="18">
        <f>IF(279&gt;=DeliverStart,RetailRentMo*JV$10*MIN(1,'LeaseUp'!JV$10/StabilizedOccupancy),0)</f>
        <v/>
      </c>
      <c r="JW22" s="18">
        <f>IF(280&gt;=DeliverStart,RetailRentMo*JW$10*MIN(1,'LeaseUp'!JW$10/StabilizedOccupancy),0)</f>
        <v/>
      </c>
      <c r="JX22" s="18">
        <f>IF(281&gt;=DeliverStart,RetailRentMo*JX$10*MIN(1,'LeaseUp'!JX$10/StabilizedOccupancy),0)</f>
        <v/>
      </c>
      <c r="JY22" s="18">
        <f>IF(282&gt;=DeliverStart,RetailRentMo*JY$10*MIN(1,'LeaseUp'!JY$10/StabilizedOccupancy),0)</f>
        <v/>
      </c>
      <c r="JZ22" s="18">
        <f>IF(283&gt;=DeliverStart,RetailRentMo*JZ$10*MIN(1,'LeaseUp'!JZ$10/StabilizedOccupancy),0)</f>
        <v/>
      </c>
      <c r="KA22" s="18">
        <f>IF(284&gt;=DeliverStart,RetailRentMo*KA$10*MIN(1,'LeaseUp'!KA$10/StabilizedOccupancy),0)</f>
        <v/>
      </c>
      <c r="KB22" s="18">
        <f>IF(285&gt;=DeliverStart,RetailRentMo*KB$10*MIN(1,'LeaseUp'!KB$10/StabilizedOccupancy),0)</f>
        <v/>
      </c>
      <c r="KC22" s="18">
        <f>IF(286&gt;=DeliverStart,RetailRentMo*KC$10*MIN(1,'LeaseUp'!KC$10/StabilizedOccupancy),0)</f>
        <v/>
      </c>
      <c r="KD22" s="18">
        <f>IF(287&gt;=DeliverStart,RetailRentMo*KD$10*MIN(1,'LeaseUp'!KD$10/StabilizedOccupancy),0)</f>
        <v/>
      </c>
      <c r="KE22" s="18">
        <f>IF(288&gt;=DeliverStart,RetailRentMo*KE$10*MIN(1,'LeaseUp'!KE$10/StabilizedOccupancy),0)</f>
        <v/>
      </c>
      <c r="KF22" s="18">
        <f>IF(289&gt;=DeliverStart,RetailRentMo*KF$10*MIN(1,'LeaseUp'!KF$10/StabilizedOccupancy),0)</f>
        <v/>
      </c>
      <c r="KG22" s="18">
        <f>IF(290&gt;=DeliverStart,RetailRentMo*KG$10*MIN(1,'LeaseUp'!KG$10/StabilizedOccupancy),0)</f>
        <v/>
      </c>
      <c r="KH22" s="18">
        <f>IF(291&gt;=DeliverStart,RetailRentMo*KH$10*MIN(1,'LeaseUp'!KH$10/StabilizedOccupancy),0)</f>
        <v/>
      </c>
      <c r="KI22" s="18">
        <f>IF(292&gt;=DeliverStart,RetailRentMo*KI$10*MIN(1,'LeaseUp'!KI$10/StabilizedOccupancy),0)</f>
        <v/>
      </c>
      <c r="KJ22" s="18">
        <f>IF(293&gt;=DeliverStart,RetailRentMo*KJ$10*MIN(1,'LeaseUp'!KJ$10/StabilizedOccupancy),0)</f>
        <v/>
      </c>
      <c r="KK22" s="18">
        <f>IF(294&gt;=DeliverStart,RetailRentMo*KK$10*MIN(1,'LeaseUp'!KK$10/StabilizedOccupancy),0)</f>
        <v/>
      </c>
      <c r="KL22" s="18">
        <f>IF(295&gt;=DeliverStart,RetailRentMo*KL$10*MIN(1,'LeaseUp'!KL$10/StabilizedOccupancy),0)</f>
        <v/>
      </c>
      <c r="KM22" s="18">
        <f>IF(296&gt;=DeliverStart,RetailRentMo*KM$10*MIN(1,'LeaseUp'!KM$10/StabilizedOccupancy),0)</f>
        <v/>
      </c>
      <c r="KN22" s="18">
        <f>IF(297&gt;=DeliverStart,RetailRentMo*KN$10*MIN(1,'LeaseUp'!KN$10/StabilizedOccupancy),0)</f>
        <v/>
      </c>
      <c r="KO22" s="18">
        <f>IF(298&gt;=DeliverStart,RetailRentMo*KO$10*MIN(1,'LeaseUp'!KO$10/StabilizedOccupancy),0)</f>
        <v/>
      </c>
      <c r="KP22" s="18">
        <f>IF(299&gt;=DeliverStart,RetailRentMo*KP$10*MIN(1,'LeaseUp'!KP$10/StabilizedOccupancy),0)</f>
        <v/>
      </c>
      <c r="KQ22" s="18">
        <f>IF(300&gt;=DeliverStart,RetailRentMo*KQ$10*MIN(1,'LeaseUp'!KQ$10/StabilizedOccupancy),0)</f>
        <v/>
      </c>
      <c r="KR22" s="18">
        <f>IF(301&gt;=DeliverStart,RetailRentMo*KR$10*MIN(1,'LeaseUp'!KR$10/StabilizedOccupancy),0)</f>
        <v/>
      </c>
      <c r="KS22" s="18">
        <f>IF(302&gt;=DeliverStart,RetailRentMo*KS$10*MIN(1,'LeaseUp'!KS$10/StabilizedOccupancy),0)</f>
        <v/>
      </c>
      <c r="KT22" s="18">
        <f>IF(303&gt;=DeliverStart,RetailRentMo*KT$10*MIN(1,'LeaseUp'!KT$10/StabilizedOccupancy),0)</f>
        <v/>
      </c>
      <c r="KU22" s="18">
        <f>IF(304&gt;=DeliverStart,RetailRentMo*KU$10*MIN(1,'LeaseUp'!KU$10/StabilizedOccupancy),0)</f>
        <v/>
      </c>
      <c r="KV22" s="18">
        <f>IF(305&gt;=DeliverStart,RetailRentMo*KV$10*MIN(1,'LeaseUp'!KV$10/StabilizedOccupancy),0)</f>
        <v/>
      </c>
      <c r="KW22" s="18">
        <f>IF(306&gt;=DeliverStart,RetailRentMo*KW$10*MIN(1,'LeaseUp'!KW$10/StabilizedOccupancy),0)</f>
        <v/>
      </c>
      <c r="KX22" s="18">
        <f>IF(307&gt;=DeliverStart,RetailRentMo*KX$10*MIN(1,'LeaseUp'!KX$10/StabilizedOccupancy),0)</f>
        <v/>
      </c>
      <c r="KY22" s="18">
        <f>IF(308&gt;=DeliverStart,RetailRentMo*KY$10*MIN(1,'LeaseUp'!KY$10/StabilizedOccupancy),0)</f>
        <v/>
      </c>
      <c r="KZ22" s="18">
        <f>IF(309&gt;=DeliverStart,RetailRentMo*KZ$10*MIN(1,'LeaseUp'!KZ$10/StabilizedOccupancy),0)</f>
        <v/>
      </c>
      <c r="LA22" s="18">
        <f>IF(310&gt;=DeliverStart,RetailRentMo*LA$10*MIN(1,'LeaseUp'!LA$10/StabilizedOccupancy),0)</f>
        <v/>
      </c>
      <c r="LB22" s="18">
        <f>IF(311&gt;=DeliverStart,RetailRentMo*LB$10*MIN(1,'LeaseUp'!LB$10/StabilizedOccupancy),0)</f>
        <v/>
      </c>
      <c r="LC22" s="18">
        <f>IF(312&gt;=DeliverStart,RetailRentMo*LC$10*MIN(1,'LeaseUp'!LC$10/StabilizedOccupancy),0)</f>
        <v/>
      </c>
      <c r="LD22" s="18">
        <f>IF(313&gt;=DeliverStart,RetailRentMo*LD$10*MIN(1,'LeaseUp'!LD$10/StabilizedOccupancy),0)</f>
        <v/>
      </c>
      <c r="LE22" s="18">
        <f>IF(314&gt;=DeliverStart,RetailRentMo*LE$10*MIN(1,'LeaseUp'!LE$10/StabilizedOccupancy),0)</f>
        <v/>
      </c>
      <c r="LF22" s="18">
        <f>IF(315&gt;=DeliverStart,RetailRentMo*LF$10*MIN(1,'LeaseUp'!LF$10/StabilizedOccupancy),0)</f>
        <v/>
      </c>
      <c r="LG22" s="18">
        <f>IF(316&gt;=DeliverStart,RetailRentMo*LG$10*MIN(1,'LeaseUp'!LG$10/StabilizedOccupancy),0)</f>
        <v/>
      </c>
      <c r="LH22" s="18">
        <f>IF(317&gt;=DeliverStart,RetailRentMo*LH$10*MIN(1,'LeaseUp'!LH$10/StabilizedOccupancy),0)</f>
        <v/>
      </c>
      <c r="LI22" s="18">
        <f>IF(318&gt;=DeliverStart,RetailRentMo*LI$10*MIN(1,'LeaseUp'!LI$10/StabilizedOccupancy),0)</f>
        <v/>
      </c>
      <c r="LJ22" s="18">
        <f>IF(319&gt;=DeliverStart,RetailRentMo*LJ$10*MIN(1,'LeaseUp'!LJ$10/StabilizedOccupancy),0)</f>
        <v/>
      </c>
      <c r="LK22" s="18">
        <f>IF(320&gt;=DeliverStart,RetailRentMo*LK$10*MIN(1,'LeaseUp'!LK$10/StabilizedOccupancy),0)</f>
        <v/>
      </c>
      <c r="LL22" s="18">
        <f>IF(321&gt;=DeliverStart,RetailRentMo*LL$10*MIN(1,'LeaseUp'!LL$10/StabilizedOccupancy),0)</f>
        <v/>
      </c>
      <c r="LM22" s="18">
        <f>IF(322&gt;=DeliverStart,RetailRentMo*LM$10*MIN(1,'LeaseUp'!LM$10/StabilizedOccupancy),0)</f>
        <v/>
      </c>
      <c r="LN22" s="18">
        <f>IF(323&gt;=DeliverStart,RetailRentMo*LN$10*MIN(1,'LeaseUp'!LN$10/StabilizedOccupancy),0)</f>
        <v/>
      </c>
      <c r="LO22" s="18">
        <f>IF(324&gt;=DeliverStart,RetailRentMo*LO$10*MIN(1,'LeaseUp'!LO$10/StabilizedOccupancy),0)</f>
        <v/>
      </c>
      <c r="LP22" s="18">
        <f>IF(325&gt;=DeliverStart,RetailRentMo*LP$10*MIN(1,'LeaseUp'!LP$10/StabilizedOccupancy),0)</f>
        <v/>
      </c>
      <c r="LQ22" s="18">
        <f>IF(326&gt;=DeliverStart,RetailRentMo*LQ$10*MIN(1,'LeaseUp'!LQ$10/StabilizedOccupancy),0)</f>
        <v/>
      </c>
      <c r="LR22" s="18">
        <f>IF(327&gt;=DeliverStart,RetailRentMo*LR$10*MIN(1,'LeaseUp'!LR$10/StabilizedOccupancy),0)</f>
        <v/>
      </c>
      <c r="LS22" s="18">
        <f>IF(328&gt;=DeliverStart,RetailRentMo*LS$10*MIN(1,'LeaseUp'!LS$10/StabilizedOccupancy),0)</f>
        <v/>
      </c>
      <c r="LT22" s="18">
        <f>IF(329&gt;=DeliverStart,RetailRentMo*LT$10*MIN(1,'LeaseUp'!LT$10/StabilizedOccupancy),0)</f>
        <v/>
      </c>
      <c r="LU22" s="18">
        <f>IF(330&gt;=DeliverStart,RetailRentMo*LU$10*MIN(1,'LeaseUp'!LU$10/StabilizedOccupancy),0)</f>
        <v/>
      </c>
      <c r="LV22" s="18">
        <f>IF(331&gt;=DeliverStart,RetailRentMo*LV$10*MIN(1,'LeaseUp'!LV$10/StabilizedOccupancy),0)</f>
        <v/>
      </c>
      <c r="LW22" s="18">
        <f>IF(332&gt;=DeliverStart,RetailRentMo*LW$10*MIN(1,'LeaseUp'!LW$10/StabilizedOccupancy),0)</f>
        <v/>
      </c>
      <c r="LX22" s="18">
        <f>IF(333&gt;=DeliverStart,RetailRentMo*LX$10*MIN(1,'LeaseUp'!LX$10/StabilizedOccupancy),0)</f>
        <v/>
      </c>
      <c r="LY22" s="18">
        <f>IF(334&gt;=DeliverStart,RetailRentMo*LY$10*MIN(1,'LeaseUp'!LY$10/StabilizedOccupancy),0)</f>
        <v/>
      </c>
      <c r="LZ22" s="18">
        <f>IF(335&gt;=DeliverStart,RetailRentMo*LZ$10*MIN(1,'LeaseUp'!LZ$10/StabilizedOccupancy),0)</f>
        <v/>
      </c>
      <c r="MA22" s="18">
        <f>IF(336&gt;=DeliverStart,RetailRentMo*MA$10*MIN(1,'LeaseUp'!MA$10/StabilizedOccupancy),0)</f>
        <v/>
      </c>
      <c r="MB22" s="18">
        <f>IF(337&gt;=DeliverStart,RetailRentMo*MB$10*MIN(1,'LeaseUp'!MB$10/StabilizedOccupancy),0)</f>
        <v/>
      </c>
      <c r="MC22" s="18">
        <f>IF(338&gt;=DeliverStart,RetailRentMo*MC$10*MIN(1,'LeaseUp'!MC$10/StabilizedOccupancy),0)</f>
        <v/>
      </c>
      <c r="MD22" s="18">
        <f>IF(339&gt;=DeliverStart,RetailRentMo*MD$10*MIN(1,'LeaseUp'!MD$10/StabilizedOccupancy),0)</f>
        <v/>
      </c>
      <c r="ME22" s="18">
        <f>IF(340&gt;=DeliverStart,RetailRentMo*ME$10*MIN(1,'LeaseUp'!ME$10/StabilizedOccupancy),0)</f>
        <v/>
      </c>
      <c r="MF22" s="18">
        <f>IF(341&gt;=DeliverStart,RetailRentMo*MF$10*MIN(1,'LeaseUp'!MF$10/StabilizedOccupancy),0)</f>
        <v/>
      </c>
      <c r="MG22" s="18">
        <f>IF(342&gt;=DeliverStart,RetailRentMo*MG$10*MIN(1,'LeaseUp'!MG$10/StabilizedOccupancy),0)</f>
        <v/>
      </c>
      <c r="MH22" s="18">
        <f>IF(343&gt;=DeliverStart,RetailRentMo*MH$10*MIN(1,'LeaseUp'!MH$10/StabilizedOccupancy),0)</f>
        <v/>
      </c>
      <c r="MI22" s="18">
        <f>IF(344&gt;=DeliverStart,RetailRentMo*MI$10*MIN(1,'LeaseUp'!MI$10/StabilizedOccupancy),0)</f>
        <v/>
      </c>
      <c r="MJ22" s="18">
        <f>IF(345&gt;=DeliverStart,RetailRentMo*MJ$10*MIN(1,'LeaseUp'!MJ$10/StabilizedOccupancy),0)</f>
        <v/>
      </c>
      <c r="MK22" s="18">
        <f>IF(346&gt;=DeliverStart,RetailRentMo*MK$10*MIN(1,'LeaseUp'!MK$10/StabilizedOccupancy),0)</f>
        <v/>
      </c>
      <c r="ML22" s="18">
        <f>IF(347&gt;=DeliverStart,RetailRentMo*ML$10*MIN(1,'LeaseUp'!ML$10/StabilizedOccupancy),0)</f>
        <v/>
      </c>
      <c r="MM22" s="18">
        <f>IF(348&gt;=DeliverStart,RetailRentMo*MM$10*MIN(1,'LeaseUp'!MM$10/StabilizedOccupancy),0)</f>
        <v/>
      </c>
      <c r="MN22" s="18">
        <f>IF(349&gt;=DeliverStart,RetailRentMo*MN$10*MIN(1,'LeaseUp'!MN$10/StabilizedOccupancy),0)</f>
        <v/>
      </c>
      <c r="MO22" s="18">
        <f>IF(350&gt;=DeliverStart,RetailRentMo*MO$10*MIN(1,'LeaseUp'!MO$10/StabilizedOccupancy),0)</f>
        <v/>
      </c>
      <c r="MP22" s="18">
        <f>IF(351&gt;=DeliverStart,RetailRentMo*MP$10*MIN(1,'LeaseUp'!MP$10/StabilizedOccupancy),0)</f>
        <v/>
      </c>
      <c r="MQ22" s="18">
        <f>IF(352&gt;=DeliverStart,RetailRentMo*MQ$10*MIN(1,'LeaseUp'!MQ$10/StabilizedOccupancy),0)</f>
        <v/>
      </c>
      <c r="MR22" s="18">
        <f>IF(353&gt;=DeliverStart,RetailRentMo*MR$10*MIN(1,'LeaseUp'!MR$10/StabilizedOccupancy),0)</f>
        <v/>
      </c>
      <c r="MS22" s="18">
        <f>IF(354&gt;=DeliverStart,RetailRentMo*MS$10*MIN(1,'LeaseUp'!MS$10/StabilizedOccupancy),0)</f>
        <v/>
      </c>
      <c r="MT22" s="18">
        <f>IF(355&gt;=DeliverStart,RetailRentMo*MT$10*MIN(1,'LeaseUp'!MT$10/StabilizedOccupancy),0)</f>
        <v/>
      </c>
      <c r="MU22" s="18">
        <f>IF(356&gt;=DeliverStart,RetailRentMo*MU$10*MIN(1,'LeaseUp'!MU$10/StabilizedOccupancy),0)</f>
        <v/>
      </c>
      <c r="MV22" s="18">
        <f>IF(357&gt;=DeliverStart,RetailRentMo*MV$10*MIN(1,'LeaseUp'!MV$10/StabilizedOccupancy),0)</f>
        <v/>
      </c>
      <c r="MW22" s="18">
        <f>IF(358&gt;=DeliverStart,RetailRentMo*MW$10*MIN(1,'LeaseUp'!MW$10/StabilizedOccupancy),0)</f>
        <v/>
      </c>
      <c r="MX22" s="18">
        <f>IF(359&gt;=DeliverStart,RetailRentMo*MX$10*MIN(1,'LeaseUp'!MX$10/StabilizedOccupancy),0)</f>
        <v/>
      </c>
      <c r="MY22" s="18">
        <f>IF(360&gt;=DeliverStart,RetailRentMo*MY$10*MIN(1,'LeaseUp'!MY$10/StabilizedOccupancy),0)</f>
        <v/>
      </c>
      <c r="MZ22" s="18">
        <f>IF(361&gt;=DeliverStart,RetailRentMo*MZ$10*MIN(1,'LeaseUp'!MZ$10/StabilizedOccupancy),0)</f>
        <v/>
      </c>
      <c r="NA22" s="18">
        <f>IF(362&gt;=DeliverStart,RetailRentMo*NA$10*MIN(1,'LeaseUp'!NA$10/StabilizedOccupancy),0)</f>
        <v/>
      </c>
      <c r="NB22" s="18">
        <f>IF(363&gt;=DeliverStart,RetailRentMo*NB$10*MIN(1,'LeaseUp'!NB$10/StabilizedOccupancy),0)</f>
        <v/>
      </c>
      <c r="NC22" s="18">
        <f>IF(364&gt;=DeliverStart,RetailRentMo*NC$10*MIN(1,'LeaseUp'!NC$10/StabilizedOccupancy),0)</f>
        <v/>
      </c>
      <c r="ND22" s="18">
        <f>IF(365&gt;=DeliverStart,RetailRentMo*ND$10*MIN(1,'LeaseUp'!ND$10/StabilizedOccupancy),0)</f>
        <v/>
      </c>
      <c r="NE22" s="18">
        <f>IF(366&gt;=DeliverStart,RetailRentMo*NE$10*MIN(1,'LeaseUp'!NE$10/StabilizedOccupancy),0)</f>
        <v/>
      </c>
      <c r="NF22" s="18">
        <f>IF(367&gt;=DeliverStart,RetailRentMo*NF$10*MIN(1,'LeaseUp'!NF$10/StabilizedOccupancy),0)</f>
        <v/>
      </c>
      <c r="NG22" s="18">
        <f>IF(368&gt;=DeliverStart,RetailRentMo*NG$10*MIN(1,'LeaseUp'!NG$10/StabilizedOccupancy),0)</f>
        <v/>
      </c>
      <c r="NH22" s="18">
        <f>IF(369&gt;=DeliverStart,RetailRentMo*NH$10*MIN(1,'LeaseUp'!NH$10/StabilizedOccupancy),0)</f>
        <v/>
      </c>
      <c r="NI22" s="18">
        <f>IF(370&gt;=DeliverStart,RetailRentMo*NI$10*MIN(1,'LeaseUp'!NI$10/StabilizedOccupancy),0)</f>
        <v/>
      </c>
      <c r="NJ22" s="18">
        <f>IF(371&gt;=DeliverStart,RetailRentMo*NJ$10*MIN(1,'LeaseUp'!NJ$10/StabilizedOccupancy),0)</f>
        <v/>
      </c>
      <c r="NK22" s="18">
        <f>IF(372&gt;=DeliverStart,RetailRentMo*NK$10*MIN(1,'LeaseUp'!NK$10/StabilizedOccupancy),0)</f>
        <v/>
      </c>
    </row>
    <row r="23">
      <c r="A23" s="21" t="inlineStr">
        <is>
          <t>Effective Gross Income</t>
        </is>
      </c>
      <c r="C23" s="41">
        <f>SUM(D23:NK23)</f>
        <v/>
      </c>
      <c r="D23" s="43">
        <f>D$14+D$15+D$16+D$17+D$18+D$19+D$20+D$21+D$22</f>
        <v/>
      </c>
      <c r="E23" s="43">
        <f>E$14+E$15+E$16+E$17+E$18+E$19+E$20+E$21+E$22</f>
        <v/>
      </c>
      <c r="F23" s="43">
        <f>F$14+F$15+F$16+F$17+F$18+F$19+F$20+F$21+F$22</f>
        <v/>
      </c>
      <c r="G23" s="43">
        <f>G$14+G$15+G$16+G$17+G$18+G$19+G$20+G$21+G$22</f>
        <v/>
      </c>
      <c r="H23" s="43">
        <f>H$14+H$15+H$16+H$17+H$18+H$19+H$20+H$21+H$22</f>
        <v/>
      </c>
      <c r="I23" s="43">
        <f>I$14+I$15+I$16+I$17+I$18+I$19+I$20+I$21+I$22</f>
        <v/>
      </c>
      <c r="J23" s="43">
        <f>J$14+J$15+J$16+J$17+J$18+J$19+J$20+J$21+J$22</f>
        <v/>
      </c>
      <c r="K23" s="43">
        <f>K$14+K$15+K$16+K$17+K$18+K$19+K$20+K$21+K$22</f>
        <v/>
      </c>
      <c r="L23" s="43">
        <f>L$14+L$15+L$16+L$17+L$18+L$19+L$20+L$21+L$22</f>
        <v/>
      </c>
      <c r="M23" s="43">
        <f>M$14+M$15+M$16+M$17+M$18+M$19+M$20+M$21+M$22</f>
        <v/>
      </c>
      <c r="N23" s="43">
        <f>N$14+N$15+N$16+N$17+N$18+N$19+N$20+N$21+N$22</f>
        <v/>
      </c>
      <c r="O23" s="43">
        <f>O$14+O$15+O$16+O$17+O$18+O$19+O$20+O$21+O$22</f>
        <v/>
      </c>
      <c r="P23" s="43">
        <f>P$14+P$15+P$16+P$17+P$18+P$19+P$20+P$21+P$22</f>
        <v/>
      </c>
      <c r="Q23" s="43">
        <f>Q$14+Q$15+Q$16+Q$17+Q$18+Q$19+Q$20+Q$21+Q$22</f>
        <v/>
      </c>
      <c r="R23" s="43">
        <f>R$14+R$15+R$16+R$17+R$18+R$19+R$20+R$21+R$22</f>
        <v/>
      </c>
      <c r="S23" s="43">
        <f>S$14+S$15+S$16+S$17+S$18+S$19+S$20+S$21+S$22</f>
        <v/>
      </c>
      <c r="T23" s="43">
        <f>T$14+T$15+T$16+T$17+T$18+T$19+T$20+T$21+T$22</f>
        <v/>
      </c>
      <c r="U23" s="43">
        <f>U$14+U$15+U$16+U$17+U$18+U$19+U$20+U$21+U$22</f>
        <v/>
      </c>
      <c r="V23" s="43">
        <f>V$14+V$15+V$16+V$17+V$18+V$19+V$20+V$21+V$22</f>
        <v/>
      </c>
      <c r="W23" s="43">
        <f>W$14+W$15+W$16+W$17+W$18+W$19+W$20+W$21+W$22</f>
        <v/>
      </c>
      <c r="X23" s="43">
        <f>X$14+X$15+X$16+X$17+X$18+X$19+X$20+X$21+X$22</f>
        <v/>
      </c>
      <c r="Y23" s="43">
        <f>Y$14+Y$15+Y$16+Y$17+Y$18+Y$19+Y$20+Y$21+Y$22</f>
        <v/>
      </c>
      <c r="Z23" s="43">
        <f>Z$14+Z$15+Z$16+Z$17+Z$18+Z$19+Z$20+Z$21+Z$22</f>
        <v/>
      </c>
      <c r="AA23" s="43">
        <f>AA$14+AA$15+AA$16+AA$17+AA$18+AA$19+AA$20+AA$21+AA$22</f>
        <v/>
      </c>
      <c r="AB23" s="43">
        <f>AB$14+AB$15+AB$16+AB$17+AB$18+AB$19+AB$20+AB$21+AB$22</f>
        <v/>
      </c>
      <c r="AC23" s="43">
        <f>AC$14+AC$15+AC$16+AC$17+AC$18+AC$19+AC$20+AC$21+AC$22</f>
        <v/>
      </c>
      <c r="AD23" s="43">
        <f>AD$14+AD$15+AD$16+AD$17+AD$18+AD$19+AD$20+AD$21+AD$22</f>
        <v/>
      </c>
      <c r="AE23" s="43">
        <f>AE$14+AE$15+AE$16+AE$17+AE$18+AE$19+AE$20+AE$21+AE$22</f>
        <v/>
      </c>
      <c r="AF23" s="43">
        <f>AF$14+AF$15+AF$16+AF$17+AF$18+AF$19+AF$20+AF$21+AF$22</f>
        <v/>
      </c>
      <c r="AG23" s="43">
        <f>AG$14+AG$15+AG$16+AG$17+AG$18+AG$19+AG$20+AG$21+AG$22</f>
        <v/>
      </c>
      <c r="AH23" s="43">
        <f>AH$14+AH$15+AH$16+AH$17+AH$18+AH$19+AH$20+AH$21+AH$22</f>
        <v/>
      </c>
      <c r="AI23" s="43">
        <f>AI$14+AI$15+AI$16+AI$17+AI$18+AI$19+AI$20+AI$21+AI$22</f>
        <v/>
      </c>
      <c r="AJ23" s="43">
        <f>AJ$14+AJ$15+AJ$16+AJ$17+AJ$18+AJ$19+AJ$20+AJ$21+AJ$22</f>
        <v/>
      </c>
      <c r="AK23" s="43">
        <f>AK$14+AK$15+AK$16+AK$17+AK$18+AK$19+AK$20+AK$21+AK$22</f>
        <v/>
      </c>
      <c r="AL23" s="43">
        <f>AL$14+AL$15+AL$16+AL$17+AL$18+AL$19+AL$20+AL$21+AL$22</f>
        <v/>
      </c>
      <c r="AM23" s="43">
        <f>AM$14+AM$15+AM$16+AM$17+AM$18+AM$19+AM$20+AM$21+AM$22</f>
        <v/>
      </c>
      <c r="AN23" s="43">
        <f>AN$14+AN$15+AN$16+AN$17+AN$18+AN$19+AN$20+AN$21+AN$22</f>
        <v/>
      </c>
      <c r="AO23" s="43">
        <f>AO$14+AO$15+AO$16+AO$17+AO$18+AO$19+AO$20+AO$21+AO$22</f>
        <v/>
      </c>
      <c r="AP23" s="43">
        <f>AP$14+AP$15+AP$16+AP$17+AP$18+AP$19+AP$20+AP$21+AP$22</f>
        <v/>
      </c>
      <c r="AQ23" s="43">
        <f>AQ$14+AQ$15+AQ$16+AQ$17+AQ$18+AQ$19+AQ$20+AQ$21+AQ$22</f>
        <v/>
      </c>
      <c r="AR23" s="43">
        <f>AR$14+AR$15+AR$16+AR$17+AR$18+AR$19+AR$20+AR$21+AR$22</f>
        <v/>
      </c>
      <c r="AS23" s="43">
        <f>AS$14+AS$15+AS$16+AS$17+AS$18+AS$19+AS$20+AS$21+AS$22</f>
        <v/>
      </c>
      <c r="AT23" s="43">
        <f>AT$14+AT$15+AT$16+AT$17+AT$18+AT$19+AT$20+AT$21+AT$22</f>
        <v/>
      </c>
      <c r="AU23" s="43">
        <f>AU$14+AU$15+AU$16+AU$17+AU$18+AU$19+AU$20+AU$21+AU$22</f>
        <v/>
      </c>
      <c r="AV23" s="43">
        <f>AV$14+AV$15+AV$16+AV$17+AV$18+AV$19+AV$20+AV$21+AV$22</f>
        <v/>
      </c>
      <c r="AW23" s="43">
        <f>AW$14+AW$15+AW$16+AW$17+AW$18+AW$19+AW$20+AW$21+AW$22</f>
        <v/>
      </c>
      <c r="AX23" s="43">
        <f>AX$14+AX$15+AX$16+AX$17+AX$18+AX$19+AX$20+AX$21+AX$22</f>
        <v/>
      </c>
      <c r="AY23" s="43">
        <f>AY$14+AY$15+AY$16+AY$17+AY$18+AY$19+AY$20+AY$21+AY$22</f>
        <v/>
      </c>
      <c r="AZ23" s="43">
        <f>AZ$14+AZ$15+AZ$16+AZ$17+AZ$18+AZ$19+AZ$20+AZ$21+AZ$22</f>
        <v/>
      </c>
      <c r="BA23" s="43">
        <f>BA$14+BA$15+BA$16+BA$17+BA$18+BA$19+BA$20+BA$21+BA$22</f>
        <v/>
      </c>
      <c r="BB23" s="43">
        <f>BB$14+BB$15+BB$16+BB$17+BB$18+BB$19+BB$20+BB$21+BB$22</f>
        <v/>
      </c>
      <c r="BC23" s="43">
        <f>BC$14+BC$15+BC$16+BC$17+BC$18+BC$19+BC$20+BC$21+BC$22</f>
        <v/>
      </c>
      <c r="BD23" s="43">
        <f>BD$14+BD$15+BD$16+BD$17+BD$18+BD$19+BD$20+BD$21+BD$22</f>
        <v/>
      </c>
      <c r="BE23" s="43">
        <f>BE$14+BE$15+BE$16+BE$17+BE$18+BE$19+BE$20+BE$21+BE$22</f>
        <v/>
      </c>
      <c r="BF23" s="43">
        <f>BF$14+BF$15+BF$16+BF$17+BF$18+BF$19+BF$20+BF$21+BF$22</f>
        <v/>
      </c>
      <c r="BG23" s="43">
        <f>BG$14+BG$15+BG$16+BG$17+BG$18+BG$19+BG$20+BG$21+BG$22</f>
        <v/>
      </c>
      <c r="BH23" s="43">
        <f>BH$14+BH$15+BH$16+BH$17+BH$18+BH$19+BH$20+BH$21+BH$22</f>
        <v/>
      </c>
      <c r="BI23" s="43">
        <f>BI$14+BI$15+BI$16+BI$17+BI$18+BI$19+BI$20+BI$21+BI$22</f>
        <v/>
      </c>
      <c r="BJ23" s="43">
        <f>BJ$14+BJ$15+BJ$16+BJ$17+BJ$18+BJ$19+BJ$20+BJ$21+BJ$22</f>
        <v/>
      </c>
      <c r="BK23" s="43">
        <f>BK$14+BK$15+BK$16+BK$17+BK$18+BK$19+BK$20+BK$21+BK$22</f>
        <v/>
      </c>
      <c r="BL23" s="43">
        <f>BL$14+BL$15+BL$16+BL$17+BL$18+BL$19+BL$20+BL$21+BL$22</f>
        <v/>
      </c>
      <c r="BM23" s="43">
        <f>BM$14+BM$15+BM$16+BM$17+BM$18+BM$19+BM$20+BM$21+BM$22</f>
        <v/>
      </c>
      <c r="BN23" s="43">
        <f>BN$14+BN$15+BN$16+BN$17+BN$18+BN$19+BN$20+BN$21+BN$22</f>
        <v/>
      </c>
      <c r="BO23" s="43">
        <f>BO$14+BO$15+BO$16+BO$17+BO$18+BO$19+BO$20+BO$21+BO$22</f>
        <v/>
      </c>
      <c r="BP23" s="43">
        <f>BP$14+BP$15+BP$16+BP$17+BP$18+BP$19+BP$20+BP$21+BP$22</f>
        <v/>
      </c>
      <c r="BQ23" s="43">
        <f>BQ$14+BQ$15+BQ$16+BQ$17+BQ$18+BQ$19+BQ$20+BQ$21+BQ$22</f>
        <v/>
      </c>
      <c r="BR23" s="43">
        <f>BR$14+BR$15+BR$16+BR$17+BR$18+BR$19+BR$20+BR$21+BR$22</f>
        <v/>
      </c>
      <c r="BS23" s="43">
        <f>BS$14+BS$15+BS$16+BS$17+BS$18+BS$19+BS$20+BS$21+BS$22</f>
        <v/>
      </c>
      <c r="BT23" s="43">
        <f>BT$14+BT$15+BT$16+BT$17+BT$18+BT$19+BT$20+BT$21+BT$22</f>
        <v/>
      </c>
      <c r="BU23" s="43">
        <f>BU$14+BU$15+BU$16+BU$17+BU$18+BU$19+BU$20+BU$21+BU$22</f>
        <v/>
      </c>
      <c r="BV23" s="43">
        <f>BV$14+BV$15+BV$16+BV$17+BV$18+BV$19+BV$20+BV$21+BV$22</f>
        <v/>
      </c>
      <c r="BW23" s="43">
        <f>BW$14+BW$15+BW$16+BW$17+BW$18+BW$19+BW$20+BW$21+BW$22</f>
        <v/>
      </c>
      <c r="BX23" s="43">
        <f>BX$14+BX$15+BX$16+BX$17+BX$18+BX$19+BX$20+BX$21+BX$22</f>
        <v/>
      </c>
      <c r="BY23" s="43">
        <f>BY$14+BY$15+BY$16+BY$17+BY$18+BY$19+BY$20+BY$21+BY$22</f>
        <v/>
      </c>
      <c r="BZ23" s="43">
        <f>BZ$14+BZ$15+BZ$16+BZ$17+BZ$18+BZ$19+BZ$20+BZ$21+BZ$22</f>
        <v/>
      </c>
      <c r="CA23" s="43">
        <f>CA$14+CA$15+CA$16+CA$17+CA$18+CA$19+CA$20+CA$21+CA$22</f>
        <v/>
      </c>
      <c r="CB23" s="43">
        <f>CB$14+CB$15+CB$16+CB$17+CB$18+CB$19+CB$20+CB$21+CB$22</f>
        <v/>
      </c>
      <c r="CC23" s="43">
        <f>CC$14+CC$15+CC$16+CC$17+CC$18+CC$19+CC$20+CC$21+CC$22</f>
        <v/>
      </c>
      <c r="CD23" s="43">
        <f>CD$14+CD$15+CD$16+CD$17+CD$18+CD$19+CD$20+CD$21+CD$22</f>
        <v/>
      </c>
      <c r="CE23" s="43">
        <f>CE$14+CE$15+CE$16+CE$17+CE$18+CE$19+CE$20+CE$21+CE$22</f>
        <v/>
      </c>
      <c r="CF23" s="43">
        <f>CF$14+CF$15+CF$16+CF$17+CF$18+CF$19+CF$20+CF$21+CF$22</f>
        <v/>
      </c>
      <c r="CG23" s="43">
        <f>CG$14+CG$15+CG$16+CG$17+CG$18+CG$19+CG$20+CG$21+CG$22</f>
        <v/>
      </c>
      <c r="CH23" s="43">
        <f>CH$14+CH$15+CH$16+CH$17+CH$18+CH$19+CH$20+CH$21+CH$22</f>
        <v/>
      </c>
      <c r="CI23" s="43">
        <f>CI$14+CI$15+CI$16+CI$17+CI$18+CI$19+CI$20+CI$21+CI$22</f>
        <v/>
      </c>
      <c r="CJ23" s="43">
        <f>CJ$14+CJ$15+CJ$16+CJ$17+CJ$18+CJ$19+CJ$20+CJ$21+CJ$22</f>
        <v/>
      </c>
      <c r="CK23" s="43">
        <f>CK$14+CK$15+CK$16+CK$17+CK$18+CK$19+CK$20+CK$21+CK$22</f>
        <v/>
      </c>
      <c r="CL23" s="43">
        <f>CL$14+CL$15+CL$16+CL$17+CL$18+CL$19+CL$20+CL$21+CL$22</f>
        <v/>
      </c>
      <c r="CM23" s="43">
        <f>CM$14+CM$15+CM$16+CM$17+CM$18+CM$19+CM$20+CM$21+CM$22</f>
        <v/>
      </c>
      <c r="CN23" s="43">
        <f>CN$14+CN$15+CN$16+CN$17+CN$18+CN$19+CN$20+CN$21+CN$22</f>
        <v/>
      </c>
      <c r="CO23" s="43">
        <f>CO$14+CO$15+CO$16+CO$17+CO$18+CO$19+CO$20+CO$21+CO$22</f>
        <v/>
      </c>
      <c r="CP23" s="43">
        <f>CP$14+CP$15+CP$16+CP$17+CP$18+CP$19+CP$20+CP$21+CP$22</f>
        <v/>
      </c>
      <c r="CQ23" s="43">
        <f>CQ$14+CQ$15+CQ$16+CQ$17+CQ$18+CQ$19+CQ$20+CQ$21+CQ$22</f>
        <v/>
      </c>
      <c r="CR23" s="43">
        <f>CR$14+CR$15+CR$16+CR$17+CR$18+CR$19+CR$20+CR$21+CR$22</f>
        <v/>
      </c>
      <c r="CS23" s="43">
        <f>CS$14+CS$15+CS$16+CS$17+CS$18+CS$19+CS$20+CS$21+CS$22</f>
        <v/>
      </c>
      <c r="CT23" s="43">
        <f>CT$14+CT$15+CT$16+CT$17+CT$18+CT$19+CT$20+CT$21+CT$22</f>
        <v/>
      </c>
      <c r="CU23" s="43">
        <f>CU$14+CU$15+CU$16+CU$17+CU$18+CU$19+CU$20+CU$21+CU$22</f>
        <v/>
      </c>
      <c r="CV23" s="43">
        <f>CV$14+CV$15+CV$16+CV$17+CV$18+CV$19+CV$20+CV$21+CV$22</f>
        <v/>
      </c>
      <c r="CW23" s="43">
        <f>CW$14+CW$15+CW$16+CW$17+CW$18+CW$19+CW$20+CW$21+CW$22</f>
        <v/>
      </c>
      <c r="CX23" s="43">
        <f>CX$14+CX$15+CX$16+CX$17+CX$18+CX$19+CX$20+CX$21+CX$22</f>
        <v/>
      </c>
      <c r="CY23" s="43">
        <f>CY$14+CY$15+CY$16+CY$17+CY$18+CY$19+CY$20+CY$21+CY$22</f>
        <v/>
      </c>
      <c r="CZ23" s="43">
        <f>CZ$14+CZ$15+CZ$16+CZ$17+CZ$18+CZ$19+CZ$20+CZ$21+CZ$22</f>
        <v/>
      </c>
      <c r="DA23" s="43">
        <f>DA$14+DA$15+DA$16+DA$17+DA$18+DA$19+DA$20+DA$21+DA$22</f>
        <v/>
      </c>
      <c r="DB23" s="43">
        <f>DB$14+DB$15+DB$16+DB$17+DB$18+DB$19+DB$20+DB$21+DB$22</f>
        <v/>
      </c>
      <c r="DC23" s="43">
        <f>DC$14+DC$15+DC$16+DC$17+DC$18+DC$19+DC$20+DC$21+DC$22</f>
        <v/>
      </c>
      <c r="DD23" s="43">
        <f>DD$14+DD$15+DD$16+DD$17+DD$18+DD$19+DD$20+DD$21+DD$22</f>
        <v/>
      </c>
      <c r="DE23" s="43">
        <f>DE$14+DE$15+DE$16+DE$17+DE$18+DE$19+DE$20+DE$21+DE$22</f>
        <v/>
      </c>
      <c r="DF23" s="43">
        <f>DF$14+DF$15+DF$16+DF$17+DF$18+DF$19+DF$20+DF$21+DF$22</f>
        <v/>
      </c>
      <c r="DG23" s="43">
        <f>DG$14+DG$15+DG$16+DG$17+DG$18+DG$19+DG$20+DG$21+DG$22</f>
        <v/>
      </c>
      <c r="DH23" s="43">
        <f>DH$14+DH$15+DH$16+DH$17+DH$18+DH$19+DH$20+DH$21+DH$22</f>
        <v/>
      </c>
      <c r="DI23" s="43">
        <f>DI$14+DI$15+DI$16+DI$17+DI$18+DI$19+DI$20+DI$21+DI$22</f>
        <v/>
      </c>
      <c r="DJ23" s="43">
        <f>DJ$14+DJ$15+DJ$16+DJ$17+DJ$18+DJ$19+DJ$20+DJ$21+DJ$22</f>
        <v/>
      </c>
      <c r="DK23" s="43">
        <f>DK$14+DK$15+DK$16+DK$17+DK$18+DK$19+DK$20+DK$21+DK$22</f>
        <v/>
      </c>
      <c r="DL23" s="43">
        <f>DL$14+DL$15+DL$16+DL$17+DL$18+DL$19+DL$20+DL$21+DL$22</f>
        <v/>
      </c>
      <c r="DM23" s="43">
        <f>DM$14+DM$15+DM$16+DM$17+DM$18+DM$19+DM$20+DM$21+DM$22</f>
        <v/>
      </c>
      <c r="DN23" s="43">
        <f>DN$14+DN$15+DN$16+DN$17+DN$18+DN$19+DN$20+DN$21+DN$22</f>
        <v/>
      </c>
      <c r="DO23" s="43">
        <f>DO$14+DO$15+DO$16+DO$17+DO$18+DO$19+DO$20+DO$21+DO$22</f>
        <v/>
      </c>
      <c r="DP23" s="43">
        <f>DP$14+DP$15+DP$16+DP$17+DP$18+DP$19+DP$20+DP$21+DP$22</f>
        <v/>
      </c>
      <c r="DQ23" s="43">
        <f>DQ$14+DQ$15+DQ$16+DQ$17+DQ$18+DQ$19+DQ$20+DQ$21+DQ$22</f>
        <v/>
      </c>
      <c r="DR23" s="43">
        <f>DR$14+DR$15+DR$16+DR$17+DR$18+DR$19+DR$20+DR$21+DR$22</f>
        <v/>
      </c>
      <c r="DS23" s="43">
        <f>DS$14+DS$15+DS$16+DS$17+DS$18+DS$19+DS$20+DS$21+DS$22</f>
        <v/>
      </c>
      <c r="DT23" s="43">
        <f>DT$14+DT$15+DT$16+DT$17+DT$18+DT$19+DT$20+DT$21+DT$22</f>
        <v/>
      </c>
      <c r="DU23" s="43">
        <f>DU$14+DU$15+DU$16+DU$17+DU$18+DU$19+DU$20+DU$21+DU$22</f>
        <v/>
      </c>
      <c r="DV23" s="43">
        <f>DV$14+DV$15+DV$16+DV$17+DV$18+DV$19+DV$20+DV$21+DV$22</f>
        <v/>
      </c>
      <c r="DW23" s="43">
        <f>DW$14+DW$15+DW$16+DW$17+DW$18+DW$19+DW$20+DW$21+DW$22</f>
        <v/>
      </c>
      <c r="DX23" s="43">
        <f>DX$14+DX$15+DX$16+DX$17+DX$18+DX$19+DX$20+DX$21+DX$22</f>
        <v/>
      </c>
      <c r="DY23" s="43">
        <f>DY$14+DY$15+DY$16+DY$17+DY$18+DY$19+DY$20+DY$21+DY$22</f>
        <v/>
      </c>
      <c r="DZ23" s="43">
        <f>DZ$14+DZ$15+DZ$16+DZ$17+DZ$18+DZ$19+DZ$20+DZ$21+DZ$22</f>
        <v/>
      </c>
      <c r="EA23" s="43">
        <f>EA$14+EA$15+EA$16+EA$17+EA$18+EA$19+EA$20+EA$21+EA$22</f>
        <v/>
      </c>
      <c r="EB23" s="43">
        <f>EB$14+EB$15+EB$16+EB$17+EB$18+EB$19+EB$20+EB$21+EB$22</f>
        <v/>
      </c>
      <c r="EC23" s="43">
        <f>EC$14+EC$15+EC$16+EC$17+EC$18+EC$19+EC$20+EC$21+EC$22</f>
        <v/>
      </c>
      <c r="ED23" s="43">
        <f>ED$14+ED$15+ED$16+ED$17+ED$18+ED$19+ED$20+ED$21+ED$22</f>
        <v/>
      </c>
      <c r="EE23" s="43">
        <f>EE$14+EE$15+EE$16+EE$17+EE$18+EE$19+EE$20+EE$21+EE$22</f>
        <v/>
      </c>
      <c r="EF23" s="43">
        <f>EF$14+EF$15+EF$16+EF$17+EF$18+EF$19+EF$20+EF$21+EF$22</f>
        <v/>
      </c>
      <c r="EG23" s="43">
        <f>EG$14+EG$15+EG$16+EG$17+EG$18+EG$19+EG$20+EG$21+EG$22</f>
        <v/>
      </c>
      <c r="EH23" s="43">
        <f>EH$14+EH$15+EH$16+EH$17+EH$18+EH$19+EH$20+EH$21+EH$22</f>
        <v/>
      </c>
      <c r="EI23" s="43">
        <f>EI$14+EI$15+EI$16+EI$17+EI$18+EI$19+EI$20+EI$21+EI$22</f>
        <v/>
      </c>
      <c r="EJ23" s="43">
        <f>EJ$14+EJ$15+EJ$16+EJ$17+EJ$18+EJ$19+EJ$20+EJ$21+EJ$22</f>
        <v/>
      </c>
      <c r="EK23" s="43">
        <f>EK$14+EK$15+EK$16+EK$17+EK$18+EK$19+EK$20+EK$21+EK$22</f>
        <v/>
      </c>
      <c r="EL23" s="43">
        <f>EL$14+EL$15+EL$16+EL$17+EL$18+EL$19+EL$20+EL$21+EL$22</f>
        <v/>
      </c>
      <c r="EM23" s="43">
        <f>EM$14+EM$15+EM$16+EM$17+EM$18+EM$19+EM$20+EM$21+EM$22</f>
        <v/>
      </c>
      <c r="EN23" s="43">
        <f>EN$14+EN$15+EN$16+EN$17+EN$18+EN$19+EN$20+EN$21+EN$22</f>
        <v/>
      </c>
      <c r="EO23" s="43">
        <f>EO$14+EO$15+EO$16+EO$17+EO$18+EO$19+EO$20+EO$21+EO$22</f>
        <v/>
      </c>
      <c r="EP23" s="43">
        <f>EP$14+EP$15+EP$16+EP$17+EP$18+EP$19+EP$20+EP$21+EP$22</f>
        <v/>
      </c>
      <c r="EQ23" s="43">
        <f>EQ$14+EQ$15+EQ$16+EQ$17+EQ$18+EQ$19+EQ$20+EQ$21+EQ$22</f>
        <v/>
      </c>
      <c r="ER23" s="43">
        <f>ER$14+ER$15+ER$16+ER$17+ER$18+ER$19+ER$20+ER$21+ER$22</f>
        <v/>
      </c>
      <c r="ES23" s="43">
        <f>ES$14+ES$15+ES$16+ES$17+ES$18+ES$19+ES$20+ES$21+ES$22</f>
        <v/>
      </c>
      <c r="ET23" s="43">
        <f>ET$14+ET$15+ET$16+ET$17+ET$18+ET$19+ET$20+ET$21+ET$22</f>
        <v/>
      </c>
      <c r="EU23" s="43">
        <f>EU$14+EU$15+EU$16+EU$17+EU$18+EU$19+EU$20+EU$21+EU$22</f>
        <v/>
      </c>
      <c r="EV23" s="43">
        <f>EV$14+EV$15+EV$16+EV$17+EV$18+EV$19+EV$20+EV$21+EV$22</f>
        <v/>
      </c>
      <c r="EW23" s="43">
        <f>EW$14+EW$15+EW$16+EW$17+EW$18+EW$19+EW$20+EW$21+EW$22</f>
        <v/>
      </c>
      <c r="EX23" s="43">
        <f>EX$14+EX$15+EX$16+EX$17+EX$18+EX$19+EX$20+EX$21+EX$22</f>
        <v/>
      </c>
      <c r="EY23" s="43">
        <f>EY$14+EY$15+EY$16+EY$17+EY$18+EY$19+EY$20+EY$21+EY$22</f>
        <v/>
      </c>
      <c r="EZ23" s="43">
        <f>EZ$14+EZ$15+EZ$16+EZ$17+EZ$18+EZ$19+EZ$20+EZ$21+EZ$22</f>
        <v/>
      </c>
      <c r="FA23" s="43">
        <f>FA$14+FA$15+FA$16+FA$17+FA$18+FA$19+FA$20+FA$21+FA$22</f>
        <v/>
      </c>
      <c r="FB23" s="43">
        <f>FB$14+FB$15+FB$16+FB$17+FB$18+FB$19+FB$20+FB$21+FB$22</f>
        <v/>
      </c>
      <c r="FC23" s="43">
        <f>FC$14+FC$15+FC$16+FC$17+FC$18+FC$19+FC$20+FC$21+FC$22</f>
        <v/>
      </c>
      <c r="FD23" s="43">
        <f>FD$14+FD$15+FD$16+FD$17+FD$18+FD$19+FD$20+FD$21+FD$22</f>
        <v/>
      </c>
      <c r="FE23" s="43">
        <f>FE$14+FE$15+FE$16+FE$17+FE$18+FE$19+FE$20+FE$21+FE$22</f>
        <v/>
      </c>
      <c r="FF23" s="43">
        <f>FF$14+FF$15+FF$16+FF$17+FF$18+FF$19+FF$20+FF$21+FF$22</f>
        <v/>
      </c>
      <c r="FG23" s="43">
        <f>FG$14+FG$15+FG$16+FG$17+FG$18+FG$19+FG$20+FG$21+FG$22</f>
        <v/>
      </c>
      <c r="FH23" s="43">
        <f>FH$14+FH$15+FH$16+FH$17+FH$18+FH$19+FH$20+FH$21+FH$22</f>
        <v/>
      </c>
      <c r="FI23" s="43">
        <f>FI$14+FI$15+FI$16+FI$17+FI$18+FI$19+FI$20+FI$21+FI$22</f>
        <v/>
      </c>
      <c r="FJ23" s="43">
        <f>FJ$14+FJ$15+FJ$16+FJ$17+FJ$18+FJ$19+FJ$20+FJ$21+FJ$22</f>
        <v/>
      </c>
      <c r="FK23" s="43">
        <f>FK$14+FK$15+FK$16+FK$17+FK$18+FK$19+FK$20+FK$21+FK$22</f>
        <v/>
      </c>
      <c r="FL23" s="43">
        <f>FL$14+FL$15+FL$16+FL$17+FL$18+FL$19+FL$20+FL$21+FL$22</f>
        <v/>
      </c>
      <c r="FM23" s="43">
        <f>FM$14+FM$15+FM$16+FM$17+FM$18+FM$19+FM$20+FM$21+FM$22</f>
        <v/>
      </c>
      <c r="FN23" s="43">
        <f>FN$14+FN$15+FN$16+FN$17+FN$18+FN$19+FN$20+FN$21+FN$22</f>
        <v/>
      </c>
      <c r="FO23" s="43">
        <f>FO$14+FO$15+FO$16+FO$17+FO$18+FO$19+FO$20+FO$21+FO$22</f>
        <v/>
      </c>
      <c r="FP23" s="43">
        <f>FP$14+FP$15+FP$16+FP$17+FP$18+FP$19+FP$20+FP$21+FP$22</f>
        <v/>
      </c>
      <c r="FQ23" s="43">
        <f>FQ$14+FQ$15+FQ$16+FQ$17+FQ$18+FQ$19+FQ$20+FQ$21+FQ$22</f>
        <v/>
      </c>
      <c r="FR23" s="43">
        <f>FR$14+FR$15+FR$16+FR$17+FR$18+FR$19+FR$20+FR$21+FR$22</f>
        <v/>
      </c>
      <c r="FS23" s="43">
        <f>FS$14+FS$15+FS$16+FS$17+FS$18+FS$19+FS$20+FS$21+FS$22</f>
        <v/>
      </c>
      <c r="FT23" s="43">
        <f>FT$14+FT$15+FT$16+FT$17+FT$18+FT$19+FT$20+FT$21+FT$22</f>
        <v/>
      </c>
      <c r="FU23" s="43">
        <f>FU$14+FU$15+FU$16+FU$17+FU$18+FU$19+FU$20+FU$21+FU$22</f>
        <v/>
      </c>
      <c r="FV23" s="43">
        <f>FV$14+FV$15+FV$16+FV$17+FV$18+FV$19+FV$20+FV$21+FV$22</f>
        <v/>
      </c>
      <c r="FW23" s="43">
        <f>FW$14+FW$15+FW$16+FW$17+FW$18+FW$19+FW$20+FW$21+FW$22</f>
        <v/>
      </c>
      <c r="FX23" s="43">
        <f>FX$14+FX$15+FX$16+FX$17+FX$18+FX$19+FX$20+FX$21+FX$22</f>
        <v/>
      </c>
      <c r="FY23" s="43">
        <f>FY$14+FY$15+FY$16+FY$17+FY$18+FY$19+FY$20+FY$21+FY$22</f>
        <v/>
      </c>
      <c r="FZ23" s="43">
        <f>FZ$14+FZ$15+FZ$16+FZ$17+FZ$18+FZ$19+FZ$20+FZ$21+FZ$22</f>
        <v/>
      </c>
      <c r="GA23" s="43">
        <f>GA$14+GA$15+GA$16+GA$17+GA$18+GA$19+GA$20+GA$21+GA$22</f>
        <v/>
      </c>
      <c r="GB23" s="43">
        <f>GB$14+GB$15+GB$16+GB$17+GB$18+GB$19+GB$20+GB$21+GB$22</f>
        <v/>
      </c>
      <c r="GC23" s="43">
        <f>GC$14+GC$15+GC$16+GC$17+GC$18+GC$19+GC$20+GC$21+GC$22</f>
        <v/>
      </c>
      <c r="GD23" s="43">
        <f>GD$14+GD$15+GD$16+GD$17+GD$18+GD$19+GD$20+GD$21+GD$22</f>
        <v/>
      </c>
      <c r="GE23" s="43">
        <f>GE$14+GE$15+GE$16+GE$17+GE$18+GE$19+GE$20+GE$21+GE$22</f>
        <v/>
      </c>
      <c r="GF23" s="43">
        <f>GF$14+GF$15+GF$16+GF$17+GF$18+GF$19+GF$20+GF$21+GF$22</f>
        <v/>
      </c>
      <c r="GG23" s="43">
        <f>GG$14+GG$15+GG$16+GG$17+GG$18+GG$19+GG$20+GG$21+GG$22</f>
        <v/>
      </c>
      <c r="GH23" s="43">
        <f>GH$14+GH$15+GH$16+GH$17+GH$18+GH$19+GH$20+GH$21+GH$22</f>
        <v/>
      </c>
      <c r="GI23" s="43">
        <f>GI$14+GI$15+GI$16+GI$17+GI$18+GI$19+GI$20+GI$21+GI$22</f>
        <v/>
      </c>
      <c r="GJ23" s="43">
        <f>GJ$14+GJ$15+GJ$16+GJ$17+GJ$18+GJ$19+GJ$20+GJ$21+GJ$22</f>
        <v/>
      </c>
      <c r="GK23" s="43">
        <f>GK$14+GK$15+GK$16+GK$17+GK$18+GK$19+GK$20+GK$21+GK$22</f>
        <v/>
      </c>
      <c r="GL23" s="43">
        <f>GL$14+GL$15+GL$16+GL$17+GL$18+GL$19+GL$20+GL$21+GL$22</f>
        <v/>
      </c>
      <c r="GM23" s="43">
        <f>GM$14+GM$15+GM$16+GM$17+GM$18+GM$19+GM$20+GM$21+GM$22</f>
        <v/>
      </c>
      <c r="GN23" s="43">
        <f>GN$14+GN$15+GN$16+GN$17+GN$18+GN$19+GN$20+GN$21+GN$22</f>
        <v/>
      </c>
      <c r="GO23" s="43">
        <f>GO$14+GO$15+GO$16+GO$17+GO$18+GO$19+GO$20+GO$21+GO$22</f>
        <v/>
      </c>
      <c r="GP23" s="43">
        <f>GP$14+GP$15+GP$16+GP$17+GP$18+GP$19+GP$20+GP$21+GP$22</f>
        <v/>
      </c>
      <c r="GQ23" s="43">
        <f>GQ$14+GQ$15+GQ$16+GQ$17+GQ$18+GQ$19+GQ$20+GQ$21+GQ$22</f>
        <v/>
      </c>
      <c r="GR23" s="43">
        <f>GR$14+GR$15+GR$16+GR$17+GR$18+GR$19+GR$20+GR$21+GR$22</f>
        <v/>
      </c>
      <c r="GS23" s="43">
        <f>GS$14+GS$15+GS$16+GS$17+GS$18+GS$19+GS$20+GS$21+GS$22</f>
        <v/>
      </c>
      <c r="GT23" s="43">
        <f>GT$14+GT$15+GT$16+GT$17+GT$18+GT$19+GT$20+GT$21+GT$22</f>
        <v/>
      </c>
      <c r="GU23" s="43">
        <f>GU$14+GU$15+GU$16+GU$17+GU$18+GU$19+GU$20+GU$21+GU$22</f>
        <v/>
      </c>
      <c r="GV23" s="43">
        <f>GV$14+GV$15+GV$16+GV$17+GV$18+GV$19+GV$20+GV$21+GV$22</f>
        <v/>
      </c>
      <c r="GW23" s="43">
        <f>GW$14+GW$15+GW$16+GW$17+GW$18+GW$19+GW$20+GW$21+GW$22</f>
        <v/>
      </c>
      <c r="GX23" s="43">
        <f>GX$14+GX$15+GX$16+GX$17+GX$18+GX$19+GX$20+GX$21+GX$22</f>
        <v/>
      </c>
      <c r="GY23" s="43">
        <f>GY$14+GY$15+GY$16+GY$17+GY$18+GY$19+GY$20+GY$21+GY$22</f>
        <v/>
      </c>
      <c r="GZ23" s="43">
        <f>GZ$14+GZ$15+GZ$16+GZ$17+GZ$18+GZ$19+GZ$20+GZ$21+GZ$22</f>
        <v/>
      </c>
      <c r="HA23" s="43">
        <f>HA$14+HA$15+HA$16+HA$17+HA$18+HA$19+HA$20+HA$21+HA$22</f>
        <v/>
      </c>
      <c r="HB23" s="43">
        <f>HB$14+HB$15+HB$16+HB$17+HB$18+HB$19+HB$20+HB$21+HB$22</f>
        <v/>
      </c>
      <c r="HC23" s="43">
        <f>HC$14+HC$15+HC$16+HC$17+HC$18+HC$19+HC$20+HC$21+HC$22</f>
        <v/>
      </c>
      <c r="HD23" s="43">
        <f>HD$14+HD$15+HD$16+HD$17+HD$18+HD$19+HD$20+HD$21+HD$22</f>
        <v/>
      </c>
      <c r="HE23" s="43">
        <f>HE$14+HE$15+HE$16+HE$17+HE$18+HE$19+HE$20+HE$21+HE$22</f>
        <v/>
      </c>
      <c r="HF23" s="43">
        <f>HF$14+HF$15+HF$16+HF$17+HF$18+HF$19+HF$20+HF$21+HF$22</f>
        <v/>
      </c>
      <c r="HG23" s="43">
        <f>HG$14+HG$15+HG$16+HG$17+HG$18+HG$19+HG$20+HG$21+HG$22</f>
        <v/>
      </c>
      <c r="HH23" s="43">
        <f>HH$14+HH$15+HH$16+HH$17+HH$18+HH$19+HH$20+HH$21+HH$22</f>
        <v/>
      </c>
      <c r="HI23" s="43">
        <f>HI$14+HI$15+HI$16+HI$17+HI$18+HI$19+HI$20+HI$21+HI$22</f>
        <v/>
      </c>
      <c r="HJ23" s="43">
        <f>HJ$14+HJ$15+HJ$16+HJ$17+HJ$18+HJ$19+HJ$20+HJ$21+HJ$22</f>
        <v/>
      </c>
      <c r="HK23" s="43">
        <f>HK$14+HK$15+HK$16+HK$17+HK$18+HK$19+HK$20+HK$21+HK$22</f>
        <v/>
      </c>
      <c r="HL23" s="43">
        <f>HL$14+HL$15+HL$16+HL$17+HL$18+HL$19+HL$20+HL$21+HL$22</f>
        <v/>
      </c>
      <c r="HM23" s="43">
        <f>HM$14+HM$15+HM$16+HM$17+HM$18+HM$19+HM$20+HM$21+HM$22</f>
        <v/>
      </c>
      <c r="HN23" s="43">
        <f>HN$14+HN$15+HN$16+HN$17+HN$18+HN$19+HN$20+HN$21+HN$22</f>
        <v/>
      </c>
      <c r="HO23" s="43">
        <f>HO$14+HO$15+HO$16+HO$17+HO$18+HO$19+HO$20+HO$21+HO$22</f>
        <v/>
      </c>
      <c r="HP23" s="43">
        <f>HP$14+HP$15+HP$16+HP$17+HP$18+HP$19+HP$20+HP$21+HP$22</f>
        <v/>
      </c>
      <c r="HQ23" s="43">
        <f>HQ$14+HQ$15+HQ$16+HQ$17+HQ$18+HQ$19+HQ$20+HQ$21+HQ$22</f>
        <v/>
      </c>
      <c r="HR23" s="43">
        <f>HR$14+HR$15+HR$16+HR$17+HR$18+HR$19+HR$20+HR$21+HR$22</f>
        <v/>
      </c>
      <c r="HS23" s="43">
        <f>HS$14+HS$15+HS$16+HS$17+HS$18+HS$19+HS$20+HS$21+HS$22</f>
        <v/>
      </c>
      <c r="HT23" s="43">
        <f>HT$14+HT$15+HT$16+HT$17+HT$18+HT$19+HT$20+HT$21+HT$22</f>
        <v/>
      </c>
      <c r="HU23" s="43">
        <f>HU$14+HU$15+HU$16+HU$17+HU$18+HU$19+HU$20+HU$21+HU$22</f>
        <v/>
      </c>
      <c r="HV23" s="43">
        <f>HV$14+HV$15+HV$16+HV$17+HV$18+HV$19+HV$20+HV$21+HV$22</f>
        <v/>
      </c>
      <c r="HW23" s="43">
        <f>HW$14+HW$15+HW$16+HW$17+HW$18+HW$19+HW$20+HW$21+HW$22</f>
        <v/>
      </c>
      <c r="HX23" s="43">
        <f>HX$14+HX$15+HX$16+HX$17+HX$18+HX$19+HX$20+HX$21+HX$22</f>
        <v/>
      </c>
      <c r="HY23" s="43">
        <f>HY$14+HY$15+HY$16+HY$17+HY$18+HY$19+HY$20+HY$21+HY$22</f>
        <v/>
      </c>
      <c r="HZ23" s="43">
        <f>HZ$14+HZ$15+HZ$16+HZ$17+HZ$18+HZ$19+HZ$20+HZ$21+HZ$22</f>
        <v/>
      </c>
      <c r="IA23" s="43">
        <f>IA$14+IA$15+IA$16+IA$17+IA$18+IA$19+IA$20+IA$21+IA$22</f>
        <v/>
      </c>
      <c r="IB23" s="43">
        <f>IB$14+IB$15+IB$16+IB$17+IB$18+IB$19+IB$20+IB$21+IB$22</f>
        <v/>
      </c>
      <c r="IC23" s="43">
        <f>IC$14+IC$15+IC$16+IC$17+IC$18+IC$19+IC$20+IC$21+IC$22</f>
        <v/>
      </c>
      <c r="ID23" s="43">
        <f>ID$14+ID$15+ID$16+ID$17+ID$18+ID$19+ID$20+ID$21+ID$22</f>
        <v/>
      </c>
      <c r="IE23" s="43">
        <f>IE$14+IE$15+IE$16+IE$17+IE$18+IE$19+IE$20+IE$21+IE$22</f>
        <v/>
      </c>
      <c r="IF23" s="43">
        <f>IF$14+IF$15+IF$16+IF$17+IF$18+IF$19+IF$20+IF$21+IF$22</f>
        <v/>
      </c>
      <c r="IG23" s="43">
        <f>IG$14+IG$15+IG$16+IG$17+IG$18+IG$19+IG$20+IG$21+IG$22</f>
        <v/>
      </c>
      <c r="IH23" s="43">
        <f>IH$14+IH$15+IH$16+IH$17+IH$18+IH$19+IH$20+IH$21+IH$22</f>
        <v/>
      </c>
      <c r="II23" s="43">
        <f>II$14+II$15+II$16+II$17+II$18+II$19+II$20+II$21+II$22</f>
        <v/>
      </c>
      <c r="IJ23" s="43">
        <f>IJ$14+IJ$15+IJ$16+IJ$17+IJ$18+IJ$19+IJ$20+IJ$21+IJ$22</f>
        <v/>
      </c>
      <c r="IK23" s="43">
        <f>IK$14+IK$15+IK$16+IK$17+IK$18+IK$19+IK$20+IK$21+IK$22</f>
        <v/>
      </c>
      <c r="IL23" s="43">
        <f>IL$14+IL$15+IL$16+IL$17+IL$18+IL$19+IL$20+IL$21+IL$22</f>
        <v/>
      </c>
      <c r="IM23" s="43">
        <f>IM$14+IM$15+IM$16+IM$17+IM$18+IM$19+IM$20+IM$21+IM$22</f>
        <v/>
      </c>
      <c r="IN23" s="43">
        <f>IN$14+IN$15+IN$16+IN$17+IN$18+IN$19+IN$20+IN$21+IN$22</f>
        <v/>
      </c>
      <c r="IO23" s="43">
        <f>IO$14+IO$15+IO$16+IO$17+IO$18+IO$19+IO$20+IO$21+IO$22</f>
        <v/>
      </c>
      <c r="IP23" s="43">
        <f>IP$14+IP$15+IP$16+IP$17+IP$18+IP$19+IP$20+IP$21+IP$22</f>
        <v/>
      </c>
      <c r="IQ23" s="43">
        <f>IQ$14+IQ$15+IQ$16+IQ$17+IQ$18+IQ$19+IQ$20+IQ$21+IQ$22</f>
        <v/>
      </c>
      <c r="IR23" s="43">
        <f>IR$14+IR$15+IR$16+IR$17+IR$18+IR$19+IR$20+IR$21+IR$22</f>
        <v/>
      </c>
      <c r="IS23" s="43">
        <f>IS$14+IS$15+IS$16+IS$17+IS$18+IS$19+IS$20+IS$21+IS$22</f>
        <v/>
      </c>
      <c r="IT23" s="43">
        <f>IT$14+IT$15+IT$16+IT$17+IT$18+IT$19+IT$20+IT$21+IT$22</f>
        <v/>
      </c>
      <c r="IU23" s="43">
        <f>IU$14+IU$15+IU$16+IU$17+IU$18+IU$19+IU$20+IU$21+IU$22</f>
        <v/>
      </c>
      <c r="IV23" s="43">
        <f>IV$14+IV$15+IV$16+IV$17+IV$18+IV$19+IV$20+IV$21+IV$22</f>
        <v/>
      </c>
      <c r="IW23" s="43">
        <f>IW$14+IW$15+IW$16+IW$17+IW$18+IW$19+IW$20+IW$21+IW$22</f>
        <v/>
      </c>
      <c r="IX23" s="43">
        <f>IX$14+IX$15+IX$16+IX$17+IX$18+IX$19+IX$20+IX$21+IX$22</f>
        <v/>
      </c>
      <c r="IY23" s="43">
        <f>IY$14+IY$15+IY$16+IY$17+IY$18+IY$19+IY$20+IY$21+IY$22</f>
        <v/>
      </c>
      <c r="IZ23" s="43">
        <f>IZ$14+IZ$15+IZ$16+IZ$17+IZ$18+IZ$19+IZ$20+IZ$21+IZ$22</f>
        <v/>
      </c>
      <c r="JA23" s="43">
        <f>JA$14+JA$15+JA$16+JA$17+JA$18+JA$19+JA$20+JA$21+JA$22</f>
        <v/>
      </c>
      <c r="JB23" s="43">
        <f>JB$14+JB$15+JB$16+JB$17+JB$18+JB$19+JB$20+JB$21+JB$22</f>
        <v/>
      </c>
      <c r="JC23" s="43">
        <f>JC$14+JC$15+JC$16+JC$17+JC$18+JC$19+JC$20+JC$21+JC$22</f>
        <v/>
      </c>
      <c r="JD23" s="43">
        <f>JD$14+JD$15+JD$16+JD$17+JD$18+JD$19+JD$20+JD$21+JD$22</f>
        <v/>
      </c>
      <c r="JE23" s="43">
        <f>JE$14+JE$15+JE$16+JE$17+JE$18+JE$19+JE$20+JE$21+JE$22</f>
        <v/>
      </c>
      <c r="JF23" s="43">
        <f>JF$14+JF$15+JF$16+JF$17+JF$18+JF$19+JF$20+JF$21+JF$22</f>
        <v/>
      </c>
      <c r="JG23" s="43">
        <f>JG$14+JG$15+JG$16+JG$17+JG$18+JG$19+JG$20+JG$21+JG$22</f>
        <v/>
      </c>
      <c r="JH23" s="43">
        <f>JH$14+JH$15+JH$16+JH$17+JH$18+JH$19+JH$20+JH$21+JH$22</f>
        <v/>
      </c>
      <c r="JI23" s="43">
        <f>JI$14+JI$15+JI$16+JI$17+JI$18+JI$19+JI$20+JI$21+JI$22</f>
        <v/>
      </c>
      <c r="JJ23" s="43">
        <f>JJ$14+JJ$15+JJ$16+JJ$17+JJ$18+JJ$19+JJ$20+JJ$21+JJ$22</f>
        <v/>
      </c>
      <c r="JK23" s="43">
        <f>JK$14+JK$15+JK$16+JK$17+JK$18+JK$19+JK$20+JK$21+JK$22</f>
        <v/>
      </c>
      <c r="JL23" s="43">
        <f>JL$14+JL$15+JL$16+JL$17+JL$18+JL$19+JL$20+JL$21+JL$22</f>
        <v/>
      </c>
      <c r="JM23" s="43">
        <f>JM$14+JM$15+JM$16+JM$17+JM$18+JM$19+JM$20+JM$21+JM$22</f>
        <v/>
      </c>
      <c r="JN23" s="43">
        <f>JN$14+JN$15+JN$16+JN$17+JN$18+JN$19+JN$20+JN$21+JN$22</f>
        <v/>
      </c>
      <c r="JO23" s="43">
        <f>JO$14+JO$15+JO$16+JO$17+JO$18+JO$19+JO$20+JO$21+JO$22</f>
        <v/>
      </c>
      <c r="JP23" s="43">
        <f>JP$14+JP$15+JP$16+JP$17+JP$18+JP$19+JP$20+JP$21+JP$22</f>
        <v/>
      </c>
      <c r="JQ23" s="43">
        <f>JQ$14+JQ$15+JQ$16+JQ$17+JQ$18+JQ$19+JQ$20+JQ$21+JQ$22</f>
        <v/>
      </c>
      <c r="JR23" s="43">
        <f>JR$14+JR$15+JR$16+JR$17+JR$18+JR$19+JR$20+JR$21+JR$22</f>
        <v/>
      </c>
      <c r="JS23" s="43">
        <f>JS$14+JS$15+JS$16+JS$17+JS$18+JS$19+JS$20+JS$21+JS$22</f>
        <v/>
      </c>
      <c r="JT23" s="43">
        <f>JT$14+JT$15+JT$16+JT$17+JT$18+JT$19+JT$20+JT$21+JT$22</f>
        <v/>
      </c>
      <c r="JU23" s="43">
        <f>JU$14+JU$15+JU$16+JU$17+JU$18+JU$19+JU$20+JU$21+JU$22</f>
        <v/>
      </c>
      <c r="JV23" s="43">
        <f>JV$14+JV$15+JV$16+JV$17+JV$18+JV$19+JV$20+JV$21+JV$22</f>
        <v/>
      </c>
      <c r="JW23" s="43">
        <f>JW$14+JW$15+JW$16+JW$17+JW$18+JW$19+JW$20+JW$21+JW$22</f>
        <v/>
      </c>
      <c r="JX23" s="43">
        <f>JX$14+JX$15+JX$16+JX$17+JX$18+JX$19+JX$20+JX$21+JX$22</f>
        <v/>
      </c>
      <c r="JY23" s="43">
        <f>JY$14+JY$15+JY$16+JY$17+JY$18+JY$19+JY$20+JY$21+JY$22</f>
        <v/>
      </c>
      <c r="JZ23" s="43">
        <f>JZ$14+JZ$15+JZ$16+JZ$17+JZ$18+JZ$19+JZ$20+JZ$21+JZ$22</f>
        <v/>
      </c>
      <c r="KA23" s="43">
        <f>KA$14+KA$15+KA$16+KA$17+KA$18+KA$19+KA$20+KA$21+KA$22</f>
        <v/>
      </c>
      <c r="KB23" s="43">
        <f>KB$14+KB$15+KB$16+KB$17+KB$18+KB$19+KB$20+KB$21+KB$22</f>
        <v/>
      </c>
      <c r="KC23" s="43">
        <f>KC$14+KC$15+KC$16+KC$17+KC$18+KC$19+KC$20+KC$21+KC$22</f>
        <v/>
      </c>
      <c r="KD23" s="43">
        <f>KD$14+KD$15+KD$16+KD$17+KD$18+KD$19+KD$20+KD$21+KD$22</f>
        <v/>
      </c>
      <c r="KE23" s="43">
        <f>KE$14+KE$15+KE$16+KE$17+KE$18+KE$19+KE$20+KE$21+KE$22</f>
        <v/>
      </c>
      <c r="KF23" s="43">
        <f>KF$14+KF$15+KF$16+KF$17+KF$18+KF$19+KF$20+KF$21+KF$22</f>
        <v/>
      </c>
      <c r="KG23" s="43">
        <f>KG$14+KG$15+KG$16+KG$17+KG$18+KG$19+KG$20+KG$21+KG$22</f>
        <v/>
      </c>
      <c r="KH23" s="43">
        <f>KH$14+KH$15+KH$16+KH$17+KH$18+KH$19+KH$20+KH$21+KH$22</f>
        <v/>
      </c>
      <c r="KI23" s="43">
        <f>KI$14+KI$15+KI$16+KI$17+KI$18+KI$19+KI$20+KI$21+KI$22</f>
        <v/>
      </c>
      <c r="KJ23" s="43">
        <f>KJ$14+KJ$15+KJ$16+KJ$17+KJ$18+KJ$19+KJ$20+KJ$21+KJ$22</f>
        <v/>
      </c>
      <c r="KK23" s="43">
        <f>KK$14+KK$15+KK$16+KK$17+KK$18+KK$19+KK$20+KK$21+KK$22</f>
        <v/>
      </c>
      <c r="KL23" s="43">
        <f>KL$14+KL$15+KL$16+KL$17+KL$18+KL$19+KL$20+KL$21+KL$22</f>
        <v/>
      </c>
      <c r="KM23" s="43">
        <f>KM$14+KM$15+KM$16+KM$17+KM$18+KM$19+KM$20+KM$21+KM$22</f>
        <v/>
      </c>
      <c r="KN23" s="43">
        <f>KN$14+KN$15+KN$16+KN$17+KN$18+KN$19+KN$20+KN$21+KN$22</f>
        <v/>
      </c>
      <c r="KO23" s="43">
        <f>KO$14+KO$15+KO$16+KO$17+KO$18+KO$19+KO$20+KO$21+KO$22</f>
        <v/>
      </c>
      <c r="KP23" s="43">
        <f>KP$14+KP$15+KP$16+KP$17+KP$18+KP$19+KP$20+KP$21+KP$22</f>
        <v/>
      </c>
      <c r="KQ23" s="43">
        <f>KQ$14+KQ$15+KQ$16+KQ$17+KQ$18+KQ$19+KQ$20+KQ$21+KQ$22</f>
        <v/>
      </c>
      <c r="KR23" s="43">
        <f>KR$14+KR$15+KR$16+KR$17+KR$18+KR$19+KR$20+KR$21+KR$22</f>
        <v/>
      </c>
      <c r="KS23" s="43">
        <f>KS$14+KS$15+KS$16+KS$17+KS$18+KS$19+KS$20+KS$21+KS$22</f>
        <v/>
      </c>
      <c r="KT23" s="43">
        <f>KT$14+KT$15+KT$16+KT$17+KT$18+KT$19+KT$20+KT$21+KT$22</f>
        <v/>
      </c>
      <c r="KU23" s="43">
        <f>KU$14+KU$15+KU$16+KU$17+KU$18+KU$19+KU$20+KU$21+KU$22</f>
        <v/>
      </c>
      <c r="KV23" s="43">
        <f>KV$14+KV$15+KV$16+KV$17+KV$18+KV$19+KV$20+KV$21+KV$22</f>
        <v/>
      </c>
      <c r="KW23" s="43">
        <f>KW$14+KW$15+KW$16+KW$17+KW$18+KW$19+KW$20+KW$21+KW$22</f>
        <v/>
      </c>
      <c r="KX23" s="43">
        <f>KX$14+KX$15+KX$16+KX$17+KX$18+KX$19+KX$20+KX$21+KX$22</f>
        <v/>
      </c>
      <c r="KY23" s="43">
        <f>KY$14+KY$15+KY$16+KY$17+KY$18+KY$19+KY$20+KY$21+KY$22</f>
        <v/>
      </c>
      <c r="KZ23" s="43">
        <f>KZ$14+KZ$15+KZ$16+KZ$17+KZ$18+KZ$19+KZ$20+KZ$21+KZ$22</f>
        <v/>
      </c>
      <c r="LA23" s="43">
        <f>LA$14+LA$15+LA$16+LA$17+LA$18+LA$19+LA$20+LA$21+LA$22</f>
        <v/>
      </c>
      <c r="LB23" s="43">
        <f>LB$14+LB$15+LB$16+LB$17+LB$18+LB$19+LB$20+LB$21+LB$22</f>
        <v/>
      </c>
      <c r="LC23" s="43">
        <f>LC$14+LC$15+LC$16+LC$17+LC$18+LC$19+LC$20+LC$21+LC$22</f>
        <v/>
      </c>
      <c r="LD23" s="43">
        <f>LD$14+LD$15+LD$16+LD$17+LD$18+LD$19+LD$20+LD$21+LD$22</f>
        <v/>
      </c>
      <c r="LE23" s="43">
        <f>LE$14+LE$15+LE$16+LE$17+LE$18+LE$19+LE$20+LE$21+LE$22</f>
        <v/>
      </c>
      <c r="LF23" s="43">
        <f>LF$14+LF$15+LF$16+LF$17+LF$18+LF$19+LF$20+LF$21+LF$22</f>
        <v/>
      </c>
      <c r="LG23" s="43">
        <f>LG$14+LG$15+LG$16+LG$17+LG$18+LG$19+LG$20+LG$21+LG$22</f>
        <v/>
      </c>
      <c r="LH23" s="43">
        <f>LH$14+LH$15+LH$16+LH$17+LH$18+LH$19+LH$20+LH$21+LH$22</f>
        <v/>
      </c>
      <c r="LI23" s="43">
        <f>LI$14+LI$15+LI$16+LI$17+LI$18+LI$19+LI$20+LI$21+LI$22</f>
        <v/>
      </c>
      <c r="LJ23" s="43">
        <f>LJ$14+LJ$15+LJ$16+LJ$17+LJ$18+LJ$19+LJ$20+LJ$21+LJ$22</f>
        <v/>
      </c>
      <c r="LK23" s="43">
        <f>LK$14+LK$15+LK$16+LK$17+LK$18+LK$19+LK$20+LK$21+LK$22</f>
        <v/>
      </c>
      <c r="LL23" s="43">
        <f>LL$14+LL$15+LL$16+LL$17+LL$18+LL$19+LL$20+LL$21+LL$22</f>
        <v/>
      </c>
      <c r="LM23" s="43">
        <f>LM$14+LM$15+LM$16+LM$17+LM$18+LM$19+LM$20+LM$21+LM$22</f>
        <v/>
      </c>
      <c r="LN23" s="43">
        <f>LN$14+LN$15+LN$16+LN$17+LN$18+LN$19+LN$20+LN$21+LN$22</f>
        <v/>
      </c>
      <c r="LO23" s="43">
        <f>LO$14+LO$15+LO$16+LO$17+LO$18+LO$19+LO$20+LO$21+LO$22</f>
        <v/>
      </c>
      <c r="LP23" s="43">
        <f>LP$14+LP$15+LP$16+LP$17+LP$18+LP$19+LP$20+LP$21+LP$22</f>
        <v/>
      </c>
      <c r="LQ23" s="43">
        <f>LQ$14+LQ$15+LQ$16+LQ$17+LQ$18+LQ$19+LQ$20+LQ$21+LQ$22</f>
        <v/>
      </c>
      <c r="LR23" s="43">
        <f>LR$14+LR$15+LR$16+LR$17+LR$18+LR$19+LR$20+LR$21+LR$22</f>
        <v/>
      </c>
      <c r="LS23" s="43">
        <f>LS$14+LS$15+LS$16+LS$17+LS$18+LS$19+LS$20+LS$21+LS$22</f>
        <v/>
      </c>
      <c r="LT23" s="43">
        <f>LT$14+LT$15+LT$16+LT$17+LT$18+LT$19+LT$20+LT$21+LT$22</f>
        <v/>
      </c>
      <c r="LU23" s="43">
        <f>LU$14+LU$15+LU$16+LU$17+LU$18+LU$19+LU$20+LU$21+LU$22</f>
        <v/>
      </c>
      <c r="LV23" s="43">
        <f>LV$14+LV$15+LV$16+LV$17+LV$18+LV$19+LV$20+LV$21+LV$22</f>
        <v/>
      </c>
      <c r="LW23" s="43">
        <f>LW$14+LW$15+LW$16+LW$17+LW$18+LW$19+LW$20+LW$21+LW$22</f>
        <v/>
      </c>
      <c r="LX23" s="43">
        <f>LX$14+LX$15+LX$16+LX$17+LX$18+LX$19+LX$20+LX$21+LX$22</f>
        <v/>
      </c>
      <c r="LY23" s="43">
        <f>LY$14+LY$15+LY$16+LY$17+LY$18+LY$19+LY$20+LY$21+LY$22</f>
        <v/>
      </c>
      <c r="LZ23" s="43">
        <f>LZ$14+LZ$15+LZ$16+LZ$17+LZ$18+LZ$19+LZ$20+LZ$21+LZ$22</f>
        <v/>
      </c>
      <c r="MA23" s="43">
        <f>MA$14+MA$15+MA$16+MA$17+MA$18+MA$19+MA$20+MA$21+MA$22</f>
        <v/>
      </c>
      <c r="MB23" s="43">
        <f>MB$14+MB$15+MB$16+MB$17+MB$18+MB$19+MB$20+MB$21+MB$22</f>
        <v/>
      </c>
      <c r="MC23" s="43">
        <f>MC$14+MC$15+MC$16+MC$17+MC$18+MC$19+MC$20+MC$21+MC$22</f>
        <v/>
      </c>
      <c r="MD23" s="43">
        <f>MD$14+MD$15+MD$16+MD$17+MD$18+MD$19+MD$20+MD$21+MD$22</f>
        <v/>
      </c>
      <c r="ME23" s="43">
        <f>ME$14+ME$15+ME$16+ME$17+ME$18+ME$19+ME$20+ME$21+ME$22</f>
        <v/>
      </c>
      <c r="MF23" s="43">
        <f>MF$14+MF$15+MF$16+MF$17+MF$18+MF$19+MF$20+MF$21+MF$22</f>
        <v/>
      </c>
      <c r="MG23" s="43">
        <f>MG$14+MG$15+MG$16+MG$17+MG$18+MG$19+MG$20+MG$21+MG$22</f>
        <v/>
      </c>
      <c r="MH23" s="43">
        <f>MH$14+MH$15+MH$16+MH$17+MH$18+MH$19+MH$20+MH$21+MH$22</f>
        <v/>
      </c>
      <c r="MI23" s="43">
        <f>MI$14+MI$15+MI$16+MI$17+MI$18+MI$19+MI$20+MI$21+MI$22</f>
        <v/>
      </c>
      <c r="MJ23" s="43">
        <f>MJ$14+MJ$15+MJ$16+MJ$17+MJ$18+MJ$19+MJ$20+MJ$21+MJ$22</f>
        <v/>
      </c>
      <c r="MK23" s="43">
        <f>MK$14+MK$15+MK$16+MK$17+MK$18+MK$19+MK$20+MK$21+MK$22</f>
        <v/>
      </c>
      <c r="ML23" s="43">
        <f>ML$14+ML$15+ML$16+ML$17+ML$18+ML$19+ML$20+ML$21+ML$22</f>
        <v/>
      </c>
      <c r="MM23" s="43">
        <f>MM$14+MM$15+MM$16+MM$17+MM$18+MM$19+MM$20+MM$21+MM$22</f>
        <v/>
      </c>
      <c r="MN23" s="43">
        <f>MN$14+MN$15+MN$16+MN$17+MN$18+MN$19+MN$20+MN$21+MN$22</f>
        <v/>
      </c>
      <c r="MO23" s="43">
        <f>MO$14+MO$15+MO$16+MO$17+MO$18+MO$19+MO$20+MO$21+MO$22</f>
        <v/>
      </c>
      <c r="MP23" s="43">
        <f>MP$14+MP$15+MP$16+MP$17+MP$18+MP$19+MP$20+MP$21+MP$22</f>
        <v/>
      </c>
      <c r="MQ23" s="43">
        <f>MQ$14+MQ$15+MQ$16+MQ$17+MQ$18+MQ$19+MQ$20+MQ$21+MQ$22</f>
        <v/>
      </c>
      <c r="MR23" s="43">
        <f>MR$14+MR$15+MR$16+MR$17+MR$18+MR$19+MR$20+MR$21+MR$22</f>
        <v/>
      </c>
      <c r="MS23" s="43">
        <f>MS$14+MS$15+MS$16+MS$17+MS$18+MS$19+MS$20+MS$21+MS$22</f>
        <v/>
      </c>
      <c r="MT23" s="43">
        <f>MT$14+MT$15+MT$16+MT$17+MT$18+MT$19+MT$20+MT$21+MT$22</f>
        <v/>
      </c>
      <c r="MU23" s="43">
        <f>MU$14+MU$15+MU$16+MU$17+MU$18+MU$19+MU$20+MU$21+MU$22</f>
        <v/>
      </c>
      <c r="MV23" s="43">
        <f>MV$14+MV$15+MV$16+MV$17+MV$18+MV$19+MV$20+MV$21+MV$22</f>
        <v/>
      </c>
      <c r="MW23" s="43">
        <f>MW$14+MW$15+MW$16+MW$17+MW$18+MW$19+MW$20+MW$21+MW$22</f>
        <v/>
      </c>
      <c r="MX23" s="43">
        <f>MX$14+MX$15+MX$16+MX$17+MX$18+MX$19+MX$20+MX$21+MX$22</f>
        <v/>
      </c>
      <c r="MY23" s="43">
        <f>MY$14+MY$15+MY$16+MY$17+MY$18+MY$19+MY$20+MY$21+MY$22</f>
        <v/>
      </c>
      <c r="MZ23" s="43">
        <f>MZ$14+MZ$15+MZ$16+MZ$17+MZ$18+MZ$19+MZ$20+MZ$21+MZ$22</f>
        <v/>
      </c>
      <c r="NA23" s="43">
        <f>NA$14+NA$15+NA$16+NA$17+NA$18+NA$19+NA$20+NA$21+NA$22</f>
        <v/>
      </c>
      <c r="NB23" s="43">
        <f>NB$14+NB$15+NB$16+NB$17+NB$18+NB$19+NB$20+NB$21+NB$22</f>
        <v/>
      </c>
      <c r="NC23" s="43">
        <f>NC$14+NC$15+NC$16+NC$17+NC$18+NC$19+NC$20+NC$21+NC$22</f>
        <v/>
      </c>
      <c r="ND23" s="43">
        <f>ND$14+ND$15+ND$16+ND$17+ND$18+ND$19+ND$20+ND$21+ND$22</f>
        <v/>
      </c>
      <c r="NE23" s="43">
        <f>NE$14+NE$15+NE$16+NE$17+NE$18+NE$19+NE$20+NE$21+NE$22</f>
        <v/>
      </c>
      <c r="NF23" s="43">
        <f>NF$14+NF$15+NF$16+NF$17+NF$18+NF$19+NF$20+NF$21+NF$22</f>
        <v/>
      </c>
      <c r="NG23" s="43">
        <f>NG$14+NG$15+NG$16+NG$17+NG$18+NG$19+NG$20+NG$21+NG$22</f>
        <v/>
      </c>
      <c r="NH23" s="43">
        <f>NH$14+NH$15+NH$16+NH$17+NH$18+NH$19+NH$20+NH$21+NH$22</f>
        <v/>
      </c>
      <c r="NI23" s="43">
        <f>NI$14+NI$15+NI$16+NI$17+NI$18+NI$19+NI$20+NI$21+NI$22</f>
        <v/>
      </c>
      <c r="NJ23" s="43">
        <f>NJ$14+NJ$15+NJ$16+NJ$17+NJ$18+NJ$19+NJ$20+NJ$21+NJ$22</f>
        <v/>
      </c>
      <c r="NK23" s="43">
        <f>NK$14+NK$15+NK$16+NK$17+NK$18+NK$19+NK$20+NK$21+NK$22</f>
        <v/>
      </c>
    </row>
    <row r="24">
      <c r="A24" s="3" t="inlineStr">
        <is>
          <t>Operating Expenses</t>
        </is>
      </c>
      <c r="B24" s="4" t="n"/>
      <c r="C24" s="4" t="n"/>
    </row>
    <row r="25">
      <c r="A25" s="5" t="inlineStr">
        <is>
          <t>Insurance</t>
        </is>
      </c>
      <c r="C25" s="41">
        <f>SUM(D25:NK25)</f>
        <v/>
      </c>
      <c r="D25" s="18">
        <f>IF(1&gt;=DeliverStart,ExpInsurancePerUnit*TotalUnits/12*D$8,0)</f>
        <v/>
      </c>
      <c r="E25" s="18">
        <f>IF(2&gt;=DeliverStart,ExpInsurancePerUnit*TotalUnits/12*E$8,0)</f>
        <v/>
      </c>
      <c r="F25" s="18">
        <f>IF(3&gt;=DeliverStart,ExpInsurancePerUnit*TotalUnits/12*F$8,0)</f>
        <v/>
      </c>
      <c r="G25" s="18">
        <f>IF(4&gt;=DeliverStart,ExpInsurancePerUnit*TotalUnits/12*G$8,0)</f>
        <v/>
      </c>
      <c r="H25" s="18">
        <f>IF(5&gt;=DeliverStart,ExpInsurancePerUnit*TotalUnits/12*H$8,0)</f>
        <v/>
      </c>
      <c r="I25" s="18">
        <f>IF(6&gt;=DeliverStart,ExpInsurancePerUnit*TotalUnits/12*I$8,0)</f>
        <v/>
      </c>
      <c r="J25" s="18">
        <f>IF(7&gt;=DeliverStart,ExpInsurancePerUnit*TotalUnits/12*J$8,0)</f>
        <v/>
      </c>
      <c r="K25" s="18">
        <f>IF(8&gt;=DeliverStart,ExpInsurancePerUnit*TotalUnits/12*K$8,0)</f>
        <v/>
      </c>
      <c r="L25" s="18">
        <f>IF(9&gt;=DeliverStart,ExpInsurancePerUnit*TotalUnits/12*L$8,0)</f>
        <v/>
      </c>
      <c r="M25" s="18">
        <f>IF(10&gt;=DeliverStart,ExpInsurancePerUnit*TotalUnits/12*M$8,0)</f>
        <v/>
      </c>
      <c r="N25" s="18">
        <f>IF(11&gt;=DeliverStart,ExpInsurancePerUnit*TotalUnits/12*N$8,0)</f>
        <v/>
      </c>
      <c r="O25" s="18">
        <f>IF(12&gt;=DeliverStart,ExpInsurancePerUnit*TotalUnits/12*O$8,0)</f>
        <v/>
      </c>
      <c r="P25" s="18">
        <f>IF(13&gt;=DeliverStart,ExpInsurancePerUnit*TotalUnits/12*P$8,0)</f>
        <v/>
      </c>
      <c r="Q25" s="18">
        <f>IF(14&gt;=DeliverStart,ExpInsurancePerUnit*TotalUnits/12*Q$8,0)</f>
        <v/>
      </c>
      <c r="R25" s="18">
        <f>IF(15&gt;=DeliverStart,ExpInsurancePerUnit*TotalUnits/12*R$8,0)</f>
        <v/>
      </c>
      <c r="S25" s="18">
        <f>IF(16&gt;=DeliverStart,ExpInsurancePerUnit*TotalUnits/12*S$8,0)</f>
        <v/>
      </c>
      <c r="T25" s="18">
        <f>IF(17&gt;=DeliverStart,ExpInsurancePerUnit*TotalUnits/12*T$8,0)</f>
        <v/>
      </c>
      <c r="U25" s="18">
        <f>IF(18&gt;=DeliverStart,ExpInsurancePerUnit*TotalUnits/12*U$8,0)</f>
        <v/>
      </c>
      <c r="V25" s="18">
        <f>IF(19&gt;=DeliverStart,ExpInsurancePerUnit*TotalUnits/12*V$8,0)</f>
        <v/>
      </c>
      <c r="W25" s="18">
        <f>IF(20&gt;=DeliverStart,ExpInsurancePerUnit*TotalUnits/12*W$8,0)</f>
        <v/>
      </c>
      <c r="X25" s="18">
        <f>IF(21&gt;=DeliverStart,ExpInsurancePerUnit*TotalUnits/12*X$8,0)</f>
        <v/>
      </c>
      <c r="Y25" s="18">
        <f>IF(22&gt;=DeliverStart,ExpInsurancePerUnit*TotalUnits/12*Y$8,0)</f>
        <v/>
      </c>
      <c r="Z25" s="18">
        <f>IF(23&gt;=DeliverStart,ExpInsurancePerUnit*TotalUnits/12*Z$8,0)</f>
        <v/>
      </c>
      <c r="AA25" s="18">
        <f>IF(24&gt;=DeliverStart,ExpInsurancePerUnit*TotalUnits/12*AA$8,0)</f>
        <v/>
      </c>
      <c r="AB25" s="18">
        <f>IF(25&gt;=DeliverStart,ExpInsurancePerUnit*TotalUnits/12*AB$8,0)</f>
        <v/>
      </c>
      <c r="AC25" s="18">
        <f>IF(26&gt;=DeliverStart,ExpInsurancePerUnit*TotalUnits/12*AC$8,0)</f>
        <v/>
      </c>
      <c r="AD25" s="18">
        <f>IF(27&gt;=DeliverStart,ExpInsurancePerUnit*TotalUnits/12*AD$8,0)</f>
        <v/>
      </c>
      <c r="AE25" s="18">
        <f>IF(28&gt;=DeliverStart,ExpInsurancePerUnit*TotalUnits/12*AE$8,0)</f>
        <v/>
      </c>
      <c r="AF25" s="18">
        <f>IF(29&gt;=DeliverStart,ExpInsurancePerUnit*TotalUnits/12*AF$8,0)</f>
        <v/>
      </c>
      <c r="AG25" s="18">
        <f>IF(30&gt;=DeliverStart,ExpInsurancePerUnit*TotalUnits/12*AG$8,0)</f>
        <v/>
      </c>
      <c r="AH25" s="18">
        <f>IF(31&gt;=DeliverStart,ExpInsurancePerUnit*TotalUnits/12*AH$8,0)</f>
        <v/>
      </c>
      <c r="AI25" s="18">
        <f>IF(32&gt;=DeliverStart,ExpInsurancePerUnit*TotalUnits/12*AI$8,0)</f>
        <v/>
      </c>
      <c r="AJ25" s="18">
        <f>IF(33&gt;=DeliverStart,ExpInsurancePerUnit*TotalUnits/12*AJ$8,0)</f>
        <v/>
      </c>
      <c r="AK25" s="18">
        <f>IF(34&gt;=DeliverStart,ExpInsurancePerUnit*TotalUnits/12*AK$8,0)</f>
        <v/>
      </c>
      <c r="AL25" s="18">
        <f>IF(35&gt;=DeliverStart,ExpInsurancePerUnit*TotalUnits/12*AL$8,0)</f>
        <v/>
      </c>
      <c r="AM25" s="18">
        <f>IF(36&gt;=DeliverStart,ExpInsurancePerUnit*TotalUnits/12*AM$8,0)</f>
        <v/>
      </c>
      <c r="AN25" s="18">
        <f>IF(37&gt;=DeliverStart,ExpInsurancePerUnit*TotalUnits/12*AN$8,0)</f>
        <v/>
      </c>
      <c r="AO25" s="18">
        <f>IF(38&gt;=DeliverStart,ExpInsurancePerUnit*TotalUnits/12*AO$8,0)</f>
        <v/>
      </c>
      <c r="AP25" s="18">
        <f>IF(39&gt;=DeliverStart,ExpInsurancePerUnit*TotalUnits/12*AP$8,0)</f>
        <v/>
      </c>
      <c r="AQ25" s="18">
        <f>IF(40&gt;=DeliverStart,ExpInsurancePerUnit*TotalUnits/12*AQ$8,0)</f>
        <v/>
      </c>
      <c r="AR25" s="18">
        <f>IF(41&gt;=DeliverStart,ExpInsurancePerUnit*TotalUnits/12*AR$8,0)</f>
        <v/>
      </c>
      <c r="AS25" s="18">
        <f>IF(42&gt;=DeliverStart,ExpInsurancePerUnit*TotalUnits/12*AS$8,0)</f>
        <v/>
      </c>
      <c r="AT25" s="18">
        <f>IF(43&gt;=DeliverStart,ExpInsurancePerUnit*TotalUnits/12*AT$8,0)</f>
        <v/>
      </c>
      <c r="AU25" s="18">
        <f>IF(44&gt;=DeliverStart,ExpInsurancePerUnit*TotalUnits/12*AU$8,0)</f>
        <v/>
      </c>
      <c r="AV25" s="18">
        <f>IF(45&gt;=DeliverStart,ExpInsurancePerUnit*TotalUnits/12*AV$8,0)</f>
        <v/>
      </c>
      <c r="AW25" s="18">
        <f>IF(46&gt;=DeliverStart,ExpInsurancePerUnit*TotalUnits/12*AW$8,0)</f>
        <v/>
      </c>
      <c r="AX25" s="18">
        <f>IF(47&gt;=DeliverStart,ExpInsurancePerUnit*TotalUnits/12*AX$8,0)</f>
        <v/>
      </c>
      <c r="AY25" s="18">
        <f>IF(48&gt;=DeliverStart,ExpInsurancePerUnit*TotalUnits/12*AY$8,0)</f>
        <v/>
      </c>
      <c r="AZ25" s="18">
        <f>IF(49&gt;=DeliverStart,ExpInsurancePerUnit*TotalUnits/12*AZ$8,0)</f>
        <v/>
      </c>
      <c r="BA25" s="18">
        <f>IF(50&gt;=DeliverStart,ExpInsurancePerUnit*TotalUnits/12*BA$8,0)</f>
        <v/>
      </c>
      <c r="BB25" s="18">
        <f>IF(51&gt;=DeliverStart,ExpInsurancePerUnit*TotalUnits/12*BB$8,0)</f>
        <v/>
      </c>
      <c r="BC25" s="18">
        <f>IF(52&gt;=DeliverStart,ExpInsurancePerUnit*TotalUnits/12*BC$8,0)</f>
        <v/>
      </c>
      <c r="BD25" s="18">
        <f>IF(53&gt;=DeliverStart,ExpInsurancePerUnit*TotalUnits/12*BD$8,0)</f>
        <v/>
      </c>
      <c r="BE25" s="18">
        <f>IF(54&gt;=DeliverStart,ExpInsurancePerUnit*TotalUnits/12*BE$8,0)</f>
        <v/>
      </c>
      <c r="BF25" s="18">
        <f>IF(55&gt;=DeliverStart,ExpInsurancePerUnit*TotalUnits/12*BF$8,0)</f>
        <v/>
      </c>
      <c r="BG25" s="18">
        <f>IF(56&gt;=DeliverStart,ExpInsurancePerUnit*TotalUnits/12*BG$8,0)</f>
        <v/>
      </c>
      <c r="BH25" s="18">
        <f>IF(57&gt;=DeliverStart,ExpInsurancePerUnit*TotalUnits/12*BH$8,0)</f>
        <v/>
      </c>
      <c r="BI25" s="18">
        <f>IF(58&gt;=DeliverStart,ExpInsurancePerUnit*TotalUnits/12*BI$8,0)</f>
        <v/>
      </c>
      <c r="BJ25" s="18">
        <f>IF(59&gt;=DeliverStart,ExpInsurancePerUnit*TotalUnits/12*BJ$8,0)</f>
        <v/>
      </c>
      <c r="BK25" s="18">
        <f>IF(60&gt;=DeliverStart,ExpInsurancePerUnit*TotalUnits/12*BK$8,0)</f>
        <v/>
      </c>
      <c r="BL25" s="18">
        <f>IF(61&gt;=DeliverStart,ExpInsurancePerUnit*TotalUnits/12*BL$8,0)</f>
        <v/>
      </c>
      <c r="BM25" s="18">
        <f>IF(62&gt;=DeliverStart,ExpInsurancePerUnit*TotalUnits/12*BM$8,0)</f>
        <v/>
      </c>
      <c r="BN25" s="18">
        <f>IF(63&gt;=DeliverStart,ExpInsurancePerUnit*TotalUnits/12*BN$8,0)</f>
        <v/>
      </c>
      <c r="BO25" s="18">
        <f>IF(64&gt;=DeliverStart,ExpInsurancePerUnit*TotalUnits/12*BO$8,0)</f>
        <v/>
      </c>
      <c r="BP25" s="18">
        <f>IF(65&gt;=DeliverStart,ExpInsurancePerUnit*TotalUnits/12*BP$8,0)</f>
        <v/>
      </c>
      <c r="BQ25" s="18">
        <f>IF(66&gt;=DeliverStart,ExpInsurancePerUnit*TotalUnits/12*BQ$8,0)</f>
        <v/>
      </c>
      <c r="BR25" s="18">
        <f>IF(67&gt;=DeliverStart,ExpInsurancePerUnit*TotalUnits/12*BR$8,0)</f>
        <v/>
      </c>
      <c r="BS25" s="18">
        <f>IF(68&gt;=DeliverStart,ExpInsurancePerUnit*TotalUnits/12*BS$8,0)</f>
        <v/>
      </c>
      <c r="BT25" s="18">
        <f>IF(69&gt;=DeliverStart,ExpInsurancePerUnit*TotalUnits/12*BT$8,0)</f>
        <v/>
      </c>
      <c r="BU25" s="18">
        <f>IF(70&gt;=DeliverStart,ExpInsurancePerUnit*TotalUnits/12*BU$8,0)</f>
        <v/>
      </c>
      <c r="BV25" s="18">
        <f>IF(71&gt;=DeliverStart,ExpInsurancePerUnit*TotalUnits/12*BV$8,0)</f>
        <v/>
      </c>
      <c r="BW25" s="18">
        <f>IF(72&gt;=DeliverStart,ExpInsurancePerUnit*TotalUnits/12*BW$8,0)</f>
        <v/>
      </c>
      <c r="BX25" s="18">
        <f>IF(73&gt;=DeliverStart,ExpInsurancePerUnit*TotalUnits/12*BX$8,0)</f>
        <v/>
      </c>
      <c r="BY25" s="18">
        <f>IF(74&gt;=DeliverStart,ExpInsurancePerUnit*TotalUnits/12*BY$8,0)</f>
        <v/>
      </c>
      <c r="BZ25" s="18">
        <f>IF(75&gt;=DeliverStart,ExpInsurancePerUnit*TotalUnits/12*BZ$8,0)</f>
        <v/>
      </c>
      <c r="CA25" s="18">
        <f>IF(76&gt;=DeliverStart,ExpInsurancePerUnit*TotalUnits/12*CA$8,0)</f>
        <v/>
      </c>
      <c r="CB25" s="18">
        <f>IF(77&gt;=DeliverStart,ExpInsurancePerUnit*TotalUnits/12*CB$8,0)</f>
        <v/>
      </c>
      <c r="CC25" s="18">
        <f>IF(78&gt;=DeliverStart,ExpInsurancePerUnit*TotalUnits/12*CC$8,0)</f>
        <v/>
      </c>
      <c r="CD25" s="18">
        <f>IF(79&gt;=DeliverStart,ExpInsurancePerUnit*TotalUnits/12*CD$8,0)</f>
        <v/>
      </c>
      <c r="CE25" s="18">
        <f>IF(80&gt;=DeliverStart,ExpInsurancePerUnit*TotalUnits/12*CE$8,0)</f>
        <v/>
      </c>
      <c r="CF25" s="18">
        <f>IF(81&gt;=DeliverStart,ExpInsurancePerUnit*TotalUnits/12*CF$8,0)</f>
        <v/>
      </c>
      <c r="CG25" s="18">
        <f>IF(82&gt;=DeliverStart,ExpInsurancePerUnit*TotalUnits/12*CG$8,0)</f>
        <v/>
      </c>
      <c r="CH25" s="18">
        <f>IF(83&gt;=DeliverStart,ExpInsurancePerUnit*TotalUnits/12*CH$8,0)</f>
        <v/>
      </c>
      <c r="CI25" s="18">
        <f>IF(84&gt;=DeliverStart,ExpInsurancePerUnit*TotalUnits/12*CI$8,0)</f>
        <v/>
      </c>
      <c r="CJ25" s="18">
        <f>IF(85&gt;=DeliverStart,ExpInsurancePerUnit*TotalUnits/12*CJ$8,0)</f>
        <v/>
      </c>
      <c r="CK25" s="18">
        <f>IF(86&gt;=DeliverStart,ExpInsurancePerUnit*TotalUnits/12*CK$8,0)</f>
        <v/>
      </c>
      <c r="CL25" s="18">
        <f>IF(87&gt;=DeliverStart,ExpInsurancePerUnit*TotalUnits/12*CL$8,0)</f>
        <v/>
      </c>
      <c r="CM25" s="18">
        <f>IF(88&gt;=DeliverStart,ExpInsurancePerUnit*TotalUnits/12*CM$8,0)</f>
        <v/>
      </c>
      <c r="CN25" s="18">
        <f>IF(89&gt;=DeliverStart,ExpInsurancePerUnit*TotalUnits/12*CN$8,0)</f>
        <v/>
      </c>
      <c r="CO25" s="18">
        <f>IF(90&gt;=DeliverStart,ExpInsurancePerUnit*TotalUnits/12*CO$8,0)</f>
        <v/>
      </c>
      <c r="CP25" s="18">
        <f>IF(91&gt;=DeliverStart,ExpInsurancePerUnit*TotalUnits/12*CP$8,0)</f>
        <v/>
      </c>
      <c r="CQ25" s="18">
        <f>IF(92&gt;=DeliverStart,ExpInsurancePerUnit*TotalUnits/12*CQ$8,0)</f>
        <v/>
      </c>
      <c r="CR25" s="18">
        <f>IF(93&gt;=DeliverStart,ExpInsurancePerUnit*TotalUnits/12*CR$8,0)</f>
        <v/>
      </c>
      <c r="CS25" s="18">
        <f>IF(94&gt;=DeliverStart,ExpInsurancePerUnit*TotalUnits/12*CS$8,0)</f>
        <v/>
      </c>
      <c r="CT25" s="18">
        <f>IF(95&gt;=DeliverStart,ExpInsurancePerUnit*TotalUnits/12*CT$8,0)</f>
        <v/>
      </c>
      <c r="CU25" s="18">
        <f>IF(96&gt;=DeliverStart,ExpInsurancePerUnit*TotalUnits/12*CU$8,0)</f>
        <v/>
      </c>
      <c r="CV25" s="18">
        <f>IF(97&gt;=DeliverStart,ExpInsurancePerUnit*TotalUnits/12*CV$8,0)</f>
        <v/>
      </c>
      <c r="CW25" s="18">
        <f>IF(98&gt;=DeliverStart,ExpInsurancePerUnit*TotalUnits/12*CW$8,0)</f>
        <v/>
      </c>
      <c r="CX25" s="18">
        <f>IF(99&gt;=DeliverStart,ExpInsurancePerUnit*TotalUnits/12*CX$8,0)</f>
        <v/>
      </c>
      <c r="CY25" s="18">
        <f>IF(100&gt;=DeliverStart,ExpInsurancePerUnit*TotalUnits/12*CY$8,0)</f>
        <v/>
      </c>
      <c r="CZ25" s="18">
        <f>IF(101&gt;=DeliverStart,ExpInsurancePerUnit*TotalUnits/12*CZ$8,0)</f>
        <v/>
      </c>
      <c r="DA25" s="18">
        <f>IF(102&gt;=DeliverStart,ExpInsurancePerUnit*TotalUnits/12*DA$8,0)</f>
        <v/>
      </c>
      <c r="DB25" s="18">
        <f>IF(103&gt;=DeliverStart,ExpInsurancePerUnit*TotalUnits/12*DB$8,0)</f>
        <v/>
      </c>
      <c r="DC25" s="18">
        <f>IF(104&gt;=DeliverStart,ExpInsurancePerUnit*TotalUnits/12*DC$8,0)</f>
        <v/>
      </c>
      <c r="DD25" s="18">
        <f>IF(105&gt;=DeliverStart,ExpInsurancePerUnit*TotalUnits/12*DD$8,0)</f>
        <v/>
      </c>
      <c r="DE25" s="18">
        <f>IF(106&gt;=DeliverStart,ExpInsurancePerUnit*TotalUnits/12*DE$8,0)</f>
        <v/>
      </c>
      <c r="DF25" s="18">
        <f>IF(107&gt;=DeliverStart,ExpInsurancePerUnit*TotalUnits/12*DF$8,0)</f>
        <v/>
      </c>
      <c r="DG25" s="18">
        <f>IF(108&gt;=DeliverStart,ExpInsurancePerUnit*TotalUnits/12*DG$8,0)</f>
        <v/>
      </c>
      <c r="DH25" s="18">
        <f>IF(109&gt;=DeliverStart,ExpInsurancePerUnit*TotalUnits/12*DH$8,0)</f>
        <v/>
      </c>
      <c r="DI25" s="18">
        <f>IF(110&gt;=DeliverStart,ExpInsurancePerUnit*TotalUnits/12*DI$8,0)</f>
        <v/>
      </c>
      <c r="DJ25" s="18">
        <f>IF(111&gt;=DeliverStart,ExpInsurancePerUnit*TotalUnits/12*DJ$8,0)</f>
        <v/>
      </c>
      <c r="DK25" s="18">
        <f>IF(112&gt;=DeliverStart,ExpInsurancePerUnit*TotalUnits/12*DK$8,0)</f>
        <v/>
      </c>
      <c r="DL25" s="18">
        <f>IF(113&gt;=DeliverStart,ExpInsurancePerUnit*TotalUnits/12*DL$8,0)</f>
        <v/>
      </c>
      <c r="DM25" s="18">
        <f>IF(114&gt;=DeliverStart,ExpInsurancePerUnit*TotalUnits/12*DM$8,0)</f>
        <v/>
      </c>
      <c r="DN25" s="18">
        <f>IF(115&gt;=DeliverStart,ExpInsurancePerUnit*TotalUnits/12*DN$8,0)</f>
        <v/>
      </c>
      <c r="DO25" s="18">
        <f>IF(116&gt;=DeliverStart,ExpInsurancePerUnit*TotalUnits/12*DO$8,0)</f>
        <v/>
      </c>
      <c r="DP25" s="18">
        <f>IF(117&gt;=DeliverStart,ExpInsurancePerUnit*TotalUnits/12*DP$8,0)</f>
        <v/>
      </c>
      <c r="DQ25" s="18">
        <f>IF(118&gt;=DeliverStart,ExpInsurancePerUnit*TotalUnits/12*DQ$8,0)</f>
        <v/>
      </c>
      <c r="DR25" s="18">
        <f>IF(119&gt;=DeliverStart,ExpInsurancePerUnit*TotalUnits/12*DR$8,0)</f>
        <v/>
      </c>
      <c r="DS25" s="18">
        <f>IF(120&gt;=DeliverStart,ExpInsurancePerUnit*TotalUnits/12*DS$8,0)</f>
        <v/>
      </c>
      <c r="DT25" s="18">
        <f>IF(121&gt;=DeliverStart,ExpInsurancePerUnit*TotalUnits/12*DT$8,0)</f>
        <v/>
      </c>
      <c r="DU25" s="18">
        <f>IF(122&gt;=DeliverStart,ExpInsurancePerUnit*TotalUnits/12*DU$8,0)</f>
        <v/>
      </c>
      <c r="DV25" s="18">
        <f>IF(123&gt;=DeliverStart,ExpInsurancePerUnit*TotalUnits/12*DV$8,0)</f>
        <v/>
      </c>
      <c r="DW25" s="18">
        <f>IF(124&gt;=DeliverStart,ExpInsurancePerUnit*TotalUnits/12*DW$8,0)</f>
        <v/>
      </c>
      <c r="DX25" s="18">
        <f>IF(125&gt;=DeliverStart,ExpInsurancePerUnit*TotalUnits/12*DX$8,0)</f>
        <v/>
      </c>
      <c r="DY25" s="18">
        <f>IF(126&gt;=DeliverStart,ExpInsurancePerUnit*TotalUnits/12*DY$8,0)</f>
        <v/>
      </c>
      <c r="DZ25" s="18">
        <f>IF(127&gt;=DeliverStart,ExpInsurancePerUnit*TotalUnits/12*DZ$8,0)</f>
        <v/>
      </c>
      <c r="EA25" s="18">
        <f>IF(128&gt;=DeliverStart,ExpInsurancePerUnit*TotalUnits/12*EA$8,0)</f>
        <v/>
      </c>
      <c r="EB25" s="18">
        <f>IF(129&gt;=DeliverStart,ExpInsurancePerUnit*TotalUnits/12*EB$8,0)</f>
        <v/>
      </c>
      <c r="EC25" s="18">
        <f>IF(130&gt;=DeliverStart,ExpInsurancePerUnit*TotalUnits/12*EC$8,0)</f>
        <v/>
      </c>
      <c r="ED25" s="18">
        <f>IF(131&gt;=DeliverStart,ExpInsurancePerUnit*TotalUnits/12*ED$8,0)</f>
        <v/>
      </c>
      <c r="EE25" s="18">
        <f>IF(132&gt;=DeliverStart,ExpInsurancePerUnit*TotalUnits/12*EE$8,0)</f>
        <v/>
      </c>
      <c r="EF25" s="18">
        <f>IF(133&gt;=DeliverStart,ExpInsurancePerUnit*TotalUnits/12*EF$8,0)</f>
        <v/>
      </c>
      <c r="EG25" s="18">
        <f>IF(134&gt;=DeliverStart,ExpInsurancePerUnit*TotalUnits/12*EG$8,0)</f>
        <v/>
      </c>
      <c r="EH25" s="18">
        <f>IF(135&gt;=DeliverStart,ExpInsurancePerUnit*TotalUnits/12*EH$8,0)</f>
        <v/>
      </c>
      <c r="EI25" s="18">
        <f>IF(136&gt;=DeliverStart,ExpInsurancePerUnit*TotalUnits/12*EI$8,0)</f>
        <v/>
      </c>
      <c r="EJ25" s="18">
        <f>IF(137&gt;=DeliverStart,ExpInsurancePerUnit*TotalUnits/12*EJ$8,0)</f>
        <v/>
      </c>
      <c r="EK25" s="18">
        <f>IF(138&gt;=DeliverStart,ExpInsurancePerUnit*TotalUnits/12*EK$8,0)</f>
        <v/>
      </c>
      <c r="EL25" s="18">
        <f>IF(139&gt;=DeliverStart,ExpInsurancePerUnit*TotalUnits/12*EL$8,0)</f>
        <v/>
      </c>
      <c r="EM25" s="18">
        <f>IF(140&gt;=DeliverStart,ExpInsurancePerUnit*TotalUnits/12*EM$8,0)</f>
        <v/>
      </c>
      <c r="EN25" s="18">
        <f>IF(141&gt;=DeliverStart,ExpInsurancePerUnit*TotalUnits/12*EN$8,0)</f>
        <v/>
      </c>
      <c r="EO25" s="18">
        <f>IF(142&gt;=DeliverStart,ExpInsurancePerUnit*TotalUnits/12*EO$8,0)</f>
        <v/>
      </c>
      <c r="EP25" s="18">
        <f>IF(143&gt;=DeliverStart,ExpInsurancePerUnit*TotalUnits/12*EP$8,0)</f>
        <v/>
      </c>
      <c r="EQ25" s="18">
        <f>IF(144&gt;=DeliverStart,ExpInsurancePerUnit*TotalUnits/12*EQ$8,0)</f>
        <v/>
      </c>
      <c r="ER25" s="18">
        <f>IF(145&gt;=DeliverStart,ExpInsurancePerUnit*TotalUnits/12*ER$8,0)</f>
        <v/>
      </c>
      <c r="ES25" s="18">
        <f>IF(146&gt;=DeliverStart,ExpInsurancePerUnit*TotalUnits/12*ES$8,0)</f>
        <v/>
      </c>
      <c r="ET25" s="18">
        <f>IF(147&gt;=DeliverStart,ExpInsurancePerUnit*TotalUnits/12*ET$8,0)</f>
        <v/>
      </c>
      <c r="EU25" s="18">
        <f>IF(148&gt;=DeliverStart,ExpInsurancePerUnit*TotalUnits/12*EU$8,0)</f>
        <v/>
      </c>
      <c r="EV25" s="18">
        <f>IF(149&gt;=DeliverStart,ExpInsurancePerUnit*TotalUnits/12*EV$8,0)</f>
        <v/>
      </c>
      <c r="EW25" s="18">
        <f>IF(150&gt;=DeliverStart,ExpInsurancePerUnit*TotalUnits/12*EW$8,0)</f>
        <v/>
      </c>
      <c r="EX25" s="18">
        <f>IF(151&gt;=DeliverStart,ExpInsurancePerUnit*TotalUnits/12*EX$8,0)</f>
        <v/>
      </c>
      <c r="EY25" s="18">
        <f>IF(152&gt;=DeliverStart,ExpInsurancePerUnit*TotalUnits/12*EY$8,0)</f>
        <v/>
      </c>
      <c r="EZ25" s="18">
        <f>IF(153&gt;=DeliverStart,ExpInsurancePerUnit*TotalUnits/12*EZ$8,0)</f>
        <v/>
      </c>
      <c r="FA25" s="18">
        <f>IF(154&gt;=DeliverStart,ExpInsurancePerUnit*TotalUnits/12*FA$8,0)</f>
        <v/>
      </c>
      <c r="FB25" s="18">
        <f>IF(155&gt;=DeliverStart,ExpInsurancePerUnit*TotalUnits/12*FB$8,0)</f>
        <v/>
      </c>
      <c r="FC25" s="18">
        <f>IF(156&gt;=DeliverStart,ExpInsurancePerUnit*TotalUnits/12*FC$8,0)</f>
        <v/>
      </c>
      <c r="FD25" s="18">
        <f>IF(157&gt;=DeliverStart,ExpInsurancePerUnit*TotalUnits/12*FD$8,0)</f>
        <v/>
      </c>
      <c r="FE25" s="18">
        <f>IF(158&gt;=DeliverStart,ExpInsurancePerUnit*TotalUnits/12*FE$8,0)</f>
        <v/>
      </c>
      <c r="FF25" s="18">
        <f>IF(159&gt;=DeliverStart,ExpInsurancePerUnit*TotalUnits/12*FF$8,0)</f>
        <v/>
      </c>
      <c r="FG25" s="18">
        <f>IF(160&gt;=DeliverStart,ExpInsurancePerUnit*TotalUnits/12*FG$8,0)</f>
        <v/>
      </c>
      <c r="FH25" s="18">
        <f>IF(161&gt;=DeliverStart,ExpInsurancePerUnit*TotalUnits/12*FH$8,0)</f>
        <v/>
      </c>
      <c r="FI25" s="18">
        <f>IF(162&gt;=DeliverStart,ExpInsurancePerUnit*TotalUnits/12*FI$8,0)</f>
        <v/>
      </c>
      <c r="FJ25" s="18">
        <f>IF(163&gt;=DeliverStart,ExpInsurancePerUnit*TotalUnits/12*FJ$8,0)</f>
        <v/>
      </c>
      <c r="FK25" s="18">
        <f>IF(164&gt;=DeliverStart,ExpInsurancePerUnit*TotalUnits/12*FK$8,0)</f>
        <v/>
      </c>
      <c r="FL25" s="18">
        <f>IF(165&gt;=DeliverStart,ExpInsurancePerUnit*TotalUnits/12*FL$8,0)</f>
        <v/>
      </c>
      <c r="FM25" s="18">
        <f>IF(166&gt;=DeliverStart,ExpInsurancePerUnit*TotalUnits/12*FM$8,0)</f>
        <v/>
      </c>
      <c r="FN25" s="18">
        <f>IF(167&gt;=DeliverStart,ExpInsurancePerUnit*TotalUnits/12*FN$8,0)</f>
        <v/>
      </c>
      <c r="FO25" s="18">
        <f>IF(168&gt;=DeliverStart,ExpInsurancePerUnit*TotalUnits/12*FO$8,0)</f>
        <v/>
      </c>
      <c r="FP25" s="18">
        <f>IF(169&gt;=DeliverStart,ExpInsurancePerUnit*TotalUnits/12*FP$8,0)</f>
        <v/>
      </c>
      <c r="FQ25" s="18">
        <f>IF(170&gt;=DeliverStart,ExpInsurancePerUnit*TotalUnits/12*FQ$8,0)</f>
        <v/>
      </c>
      <c r="FR25" s="18">
        <f>IF(171&gt;=DeliverStart,ExpInsurancePerUnit*TotalUnits/12*FR$8,0)</f>
        <v/>
      </c>
      <c r="FS25" s="18">
        <f>IF(172&gt;=DeliverStart,ExpInsurancePerUnit*TotalUnits/12*FS$8,0)</f>
        <v/>
      </c>
      <c r="FT25" s="18">
        <f>IF(173&gt;=DeliverStart,ExpInsurancePerUnit*TotalUnits/12*FT$8,0)</f>
        <v/>
      </c>
      <c r="FU25" s="18">
        <f>IF(174&gt;=DeliverStart,ExpInsurancePerUnit*TotalUnits/12*FU$8,0)</f>
        <v/>
      </c>
      <c r="FV25" s="18">
        <f>IF(175&gt;=DeliverStart,ExpInsurancePerUnit*TotalUnits/12*FV$8,0)</f>
        <v/>
      </c>
      <c r="FW25" s="18">
        <f>IF(176&gt;=DeliverStart,ExpInsurancePerUnit*TotalUnits/12*FW$8,0)</f>
        <v/>
      </c>
      <c r="FX25" s="18">
        <f>IF(177&gt;=DeliverStart,ExpInsurancePerUnit*TotalUnits/12*FX$8,0)</f>
        <v/>
      </c>
      <c r="FY25" s="18">
        <f>IF(178&gt;=DeliverStart,ExpInsurancePerUnit*TotalUnits/12*FY$8,0)</f>
        <v/>
      </c>
      <c r="FZ25" s="18">
        <f>IF(179&gt;=DeliverStart,ExpInsurancePerUnit*TotalUnits/12*FZ$8,0)</f>
        <v/>
      </c>
      <c r="GA25" s="18">
        <f>IF(180&gt;=DeliverStart,ExpInsurancePerUnit*TotalUnits/12*GA$8,0)</f>
        <v/>
      </c>
      <c r="GB25" s="18">
        <f>IF(181&gt;=DeliverStart,ExpInsurancePerUnit*TotalUnits/12*GB$8,0)</f>
        <v/>
      </c>
      <c r="GC25" s="18">
        <f>IF(182&gt;=DeliverStart,ExpInsurancePerUnit*TotalUnits/12*GC$8,0)</f>
        <v/>
      </c>
      <c r="GD25" s="18">
        <f>IF(183&gt;=DeliverStart,ExpInsurancePerUnit*TotalUnits/12*GD$8,0)</f>
        <v/>
      </c>
      <c r="GE25" s="18">
        <f>IF(184&gt;=DeliverStart,ExpInsurancePerUnit*TotalUnits/12*GE$8,0)</f>
        <v/>
      </c>
      <c r="GF25" s="18">
        <f>IF(185&gt;=DeliverStart,ExpInsurancePerUnit*TotalUnits/12*GF$8,0)</f>
        <v/>
      </c>
      <c r="GG25" s="18">
        <f>IF(186&gt;=DeliverStart,ExpInsurancePerUnit*TotalUnits/12*GG$8,0)</f>
        <v/>
      </c>
      <c r="GH25" s="18">
        <f>IF(187&gt;=DeliverStart,ExpInsurancePerUnit*TotalUnits/12*GH$8,0)</f>
        <v/>
      </c>
      <c r="GI25" s="18">
        <f>IF(188&gt;=DeliverStart,ExpInsurancePerUnit*TotalUnits/12*GI$8,0)</f>
        <v/>
      </c>
      <c r="GJ25" s="18">
        <f>IF(189&gt;=DeliverStart,ExpInsurancePerUnit*TotalUnits/12*GJ$8,0)</f>
        <v/>
      </c>
      <c r="GK25" s="18">
        <f>IF(190&gt;=DeliverStart,ExpInsurancePerUnit*TotalUnits/12*GK$8,0)</f>
        <v/>
      </c>
      <c r="GL25" s="18">
        <f>IF(191&gt;=DeliverStart,ExpInsurancePerUnit*TotalUnits/12*GL$8,0)</f>
        <v/>
      </c>
      <c r="GM25" s="18">
        <f>IF(192&gt;=DeliverStart,ExpInsurancePerUnit*TotalUnits/12*GM$8,0)</f>
        <v/>
      </c>
      <c r="GN25" s="18">
        <f>IF(193&gt;=DeliverStart,ExpInsurancePerUnit*TotalUnits/12*GN$8,0)</f>
        <v/>
      </c>
      <c r="GO25" s="18">
        <f>IF(194&gt;=DeliverStart,ExpInsurancePerUnit*TotalUnits/12*GO$8,0)</f>
        <v/>
      </c>
      <c r="GP25" s="18">
        <f>IF(195&gt;=DeliverStart,ExpInsurancePerUnit*TotalUnits/12*GP$8,0)</f>
        <v/>
      </c>
      <c r="GQ25" s="18">
        <f>IF(196&gt;=DeliverStart,ExpInsurancePerUnit*TotalUnits/12*GQ$8,0)</f>
        <v/>
      </c>
      <c r="GR25" s="18">
        <f>IF(197&gt;=DeliverStart,ExpInsurancePerUnit*TotalUnits/12*GR$8,0)</f>
        <v/>
      </c>
      <c r="GS25" s="18">
        <f>IF(198&gt;=DeliverStart,ExpInsurancePerUnit*TotalUnits/12*GS$8,0)</f>
        <v/>
      </c>
      <c r="GT25" s="18">
        <f>IF(199&gt;=DeliverStart,ExpInsurancePerUnit*TotalUnits/12*GT$8,0)</f>
        <v/>
      </c>
      <c r="GU25" s="18">
        <f>IF(200&gt;=DeliverStart,ExpInsurancePerUnit*TotalUnits/12*GU$8,0)</f>
        <v/>
      </c>
      <c r="GV25" s="18">
        <f>IF(201&gt;=DeliverStart,ExpInsurancePerUnit*TotalUnits/12*GV$8,0)</f>
        <v/>
      </c>
      <c r="GW25" s="18">
        <f>IF(202&gt;=DeliverStart,ExpInsurancePerUnit*TotalUnits/12*GW$8,0)</f>
        <v/>
      </c>
      <c r="GX25" s="18">
        <f>IF(203&gt;=DeliverStart,ExpInsurancePerUnit*TotalUnits/12*GX$8,0)</f>
        <v/>
      </c>
      <c r="GY25" s="18">
        <f>IF(204&gt;=DeliverStart,ExpInsurancePerUnit*TotalUnits/12*GY$8,0)</f>
        <v/>
      </c>
      <c r="GZ25" s="18">
        <f>IF(205&gt;=DeliverStart,ExpInsurancePerUnit*TotalUnits/12*GZ$8,0)</f>
        <v/>
      </c>
      <c r="HA25" s="18">
        <f>IF(206&gt;=DeliverStart,ExpInsurancePerUnit*TotalUnits/12*HA$8,0)</f>
        <v/>
      </c>
      <c r="HB25" s="18">
        <f>IF(207&gt;=DeliverStart,ExpInsurancePerUnit*TotalUnits/12*HB$8,0)</f>
        <v/>
      </c>
      <c r="HC25" s="18">
        <f>IF(208&gt;=DeliverStart,ExpInsurancePerUnit*TotalUnits/12*HC$8,0)</f>
        <v/>
      </c>
      <c r="HD25" s="18">
        <f>IF(209&gt;=DeliverStart,ExpInsurancePerUnit*TotalUnits/12*HD$8,0)</f>
        <v/>
      </c>
      <c r="HE25" s="18">
        <f>IF(210&gt;=DeliverStart,ExpInsurancePerUnit*TotalUnits/12*HE$8,0)</f>
        <v/>
      </c>
      <c r="HF25" s="18">
        <f>IF(211&gt;=DeliverStart,ExpInsurancePerUnit*TotalUnits/12*HF$8,0)</f>
        <v/>
      </c>
      <c r="HG25" s="18">
        <f>IF(212&gt;=DeliverStart,ExpInsurancePerUnit*TotalUnits/12*HG$8,0)</f>
        <v/>
      </c>
      <c r="HH25" s="18">
        <f>IF(213&gt;=DeliverStart,ExpInsurancePerUnit*TotalUnits/12*HH$8,0)</f>
        <v/>
      </c>
      <c r="HI25" s="18">
        <f>IF(214&gt;=DeliverStart,ExpInsurancePerUnit*TotalUnits/12*HI$8,0)</f>
        <v/>
      </c>
      <c r="HJ25" s="18">
        <f>IF(215&gt;=DeliverStart,ExpInsurancePerUnit*TotalUnits/12*HJ$8,0)</f>
        <v/>
      </c>
      <c r="HK25" s="18">
        <f>IF(216&gt;=DeliverStart,ExpInsurancePerUnit*TotalUnits/12*HK$8,0)</f>
        <v/>
      </c>
      <c r="HL25" s="18">
        <f>IF(217&gt;=DeliverStart,ExpInsurancePerUnit*TotalUnits/12*HL$8,0)</f>
        <v/>
      </c>
      <c r="HM25" s="18">
        <f>IF(218&gt;=DeliverStart,ExpInsurancePerUnit*TotalUnits/12*HM$8,0)</f>
        <v/>
      </c>
      <c r="HN25" s="18">
        <f>IF(219&gt;=DeliverStart,ExpInsurancePerUnit*TotalUnits/12*HN$8,0)</f>
        <v/>
      </c>
      <c r="HO25" s="18">
        <f>IF(220&gt;=DeliverStart,ExpInsurancePerUnit*TotalUnits/12*HO$8,0)</f>
        <v/>
      </c>
      <c r="HP25" s="18">
        <f>IF(221&gt;=DeliverStart,ExpInsurancePerUnit*TotalUnits/12*HP$8,0)</f>
        <v/>
      </c>
      <c r="HQ25" s="18">
        <f>IF(222&gt;=DeliverStart,ExpInsurancePerUnit*TotalUnits/12*HQ$8,0)</f>
        <v/>
      </c>
      <c r="HR25" s="18">
        <f>IF(223&gt;=DeliverStart,ExpInsurancePerUnit*TotalUnits/12*HR$8,0)</f>
        <v/>
      </c>
      <c r="HS25" s="18">
        <f>IF(224&gt;=DeliverStart,ExpInsurancePerUnit*TotalUnits/12*HS$8,0)</f>
        <v/>
      </c>
      <c r="HT25" s="18">
        <f>IF(225&gt;=DeliverStart,ExpInsurancePerUnit*TotalUnits/12*HT$8,0)</f>
        <v/>
      </c>
      <c r="HU25" s="18">
        <f>IF(226&gt;=DeliverStart,ExpInsurancePerUnit*TotalUnits/12*HU$8,0)</f>
        <v/>
      </c>
      <c r="HV25" s="18">
        <f>IF(227&gt;=DeliverStart,ExpInsurancePerUnit*TotalUnits/12*HV$8,0)</f>
        <v/>
      </c>
      <c r="HW25" s="18">
        <f>IF(228&gt;=DeliverStart,ExpInsurancePerUnit*TotalUnits/12*HW$8,0)</f>
        <v/>
      </c>
      <c r="HX25" s="18">
        <f>IF(229&gt;=DeliverStart,ExpInsurancePerUnit*TotalUnits/12*HX$8,0)</f>
        <v/>
      </c>
      <c r="HY25" s="18">
        <f>IF(230&gt;=DeliverStart,ExpInsurancePerUnit*TotalUnits/12*HY$8,0)</f>
        <v/>
      </c>
      <c r="HZ25" s="18">
        <f>IF(231&gt;=DeliverStart,ExpInsurancePerUnit*TotalUnits/12*HZ$8,0)</f>
        <v/>
      </c>
      <c r="IA25" s="18">
        <f>IF(232&gt;=DeliverStart,ExpInsurancePerUnit*TotalUnits/12*IA$8,0)</f>
        <v/>
      </c>
      <c r="IB25" s="18">
        <f>IF(233&gt;=DeliverStart,ExpInsurancePerUnit*TotalUnits/12*IB$8,0)</f>
        <v/>
      </c>
      <c r="IC25" s="18">
        <f>IF(234&gt;=DeliverStart,ExpInsurancePerUnit*TotalUnits/12*IC$8,0)</f>
        <v/>
      </c>
      <c r="ID25" s="18">
        <f>IF(235&gt;=DeliverStart,ExpInsurancePerUnit*TotalUnits/12*ID$8,0)</f>
        <v/>
      </c>
      <c r="IE25" s="18">
        <f>IF(236&gt;=DeliverStart,ExpInsurancePerUnit*TotalUnits/12*IE$8,0)</f>
        <v/>
      </c>
      <c r="IF25" s="18">
        <f>IF(237&gt;=DeliverStart,ExpInsurancePerUnit*TotalUnits/12*IF$8,0)</f>
        <v/>
      </c>
      <c r="IG25" s="18">
        <f>IF(238&gt;=DeliverStart,ExpInsurancePerUnit*TotalUnits/12*IG$8,0)</f>
        <v/>
      </c>
      <c r="IH25" s="18">
        <f>IF(239&gt;=DeliverStart,ExpInsurancePerUnit*TotalUnits/12*IH$8,0)</f>
        <v/>
      </c>
      <c r="II25" s="18">
        <f>IF(240&gt;=DeliverStart,ExpInsurancePerUnit*TotalUnits/12*II$8,0)</f>
        <v/>
      </c>
      <c r="IJ25" s="18">
        <f>IF(241&gt;=DeliverStart,ExpInsurancePerUnit*TotalUnits/12*IJ$8,0)</f>
        <v/>
      </c>
      <c r="IK25" s="18">
        <f>IF(242&gt;=DeliverStart,ExpInsurancePerUnit*TotalUnits/12*IK$8,0)</f>
        <v/>
      </c>
      <c r="IL25" s="18">
        <f>IF(243&gt;=DeliverStart,ExpInsurancePerUnit*TotalUnits/12*IL$8,0)</f>
        <v/>
      </c>
      <c r="IM25" s="18">
        <f>IF(244&gt;=DeliverStart,ExpInsurancePerUnit*TotalUnits/12*IM$8,0)</f>
        <v/>
      </c>
      <c r="IN25" s="18">
        <f>IF(245&gt;=DeliverStart,ExpInsurancePerUnit*TotalUnits/12*IN$8,0)</f>
        <v/>
      </c>
      <c r="IO25" s="18">
        <f>IF(246&gt;=DeliverStart,ExpInsurancePerUnit*TotalUnits/12*IO$8,0)</f>
        <v/>
      </c>
      <c r="IP25" s="18">
        <f>IF(247&gt;=DeliverStart,ExpInsurancePerUnit*TotalUnits/12*IP$8,0)</f>
        <v/>
      </c>
      <c r="IQ25" s="18">
        <f>IF(248&gt;=DeliverStart,ExpInsurancePerUnit*TotalUnits/12*IQ$8,0)</f>
        <v/>
      </c>
      <c r="IR25" s="18">
        <f>IF(249&gt;=DeliverStart,ExpInsurancePerUnit*TotalUnits/12*IR$8,0)</f>
        <v/>
      </c>
      <c r="IS25" s="18">
        <f>IF(250&gt;=DeliverStart,ExpInsurancePerUnit*TotalUnits/12*IS$8,0)</f>
        <v/>
      </c>
      <c r="IT25" s="18">
        <f>IF(251&gt;=DeliverStart,ExpInsurancePerUnit*TotalUnits/12*IT$8,0)</f>
        <v/>
      </c>
      <c r="IU25" s="18">
        <f>IF(252&gt;=DeliverStart,ExpInsurancePerUnit*TotalUnits/12*IU$8,0)</f>
        <v/>
      </c>
      <c r="IV25" s="18">
        <f>IF(253&gt;=DeliverStart,ExpInsurancePerUnit*TotalUnits/12*IV$8,0)</f>
        <v/>
      </c>
      <c r="IW25" s="18">
        <f>IF(254&gt;=DeliverStart,ExpInsurancePerUnit*TotalUnits/12*IW$8,0)</f>
        <v/>
      </c>
      <c r="IX25" s="18">
        <f>IF(255&gt;=DeliverStart,ExpInsurancePerUnit*TotalUnits/12*IX$8,0)</f>
        <v/>
      </c>
      <c r="IY25" s="18">
        <f>IF(256&gt;=DeliverStart,ExpInsurancePerUnit*TotalUnits/12*IY$8,0)</f>
        <v/>
      </c>
      <c r="IZ25" s="18">
        <f>IF(257&gt;=DeliverStart,ExpInsurancePerUnit*TotalUnits/12*IZ$8,0)</f>
        <v/>
      </c>
      <c r="JA25" s="18">
        <f>IF(258&gt;=DeliverStart,ExpInsurancePerUnit*TotalUnits/12*JA$8,0)</f>
        <v/>
      </c>
      <c r="JB25" s="18">
        <f>IF(259&gt;=DeliverStart,ExpInsurancePerUnit*TotalUnits/12*JB$8,0)</f>
        <v/>
      </c>
      <c r="JC25" s="18">
        <f>IF(260&gt;=DeliverStart,ExpInsurancePerUnit*TotalUnits/12*JC$8,0)</f>
        <v/>
      </c>
      <c r="JD25" s="18">
        <f>IF(261&gt;=DeliverStart,ExpInsurancePerUnit*TotalUnits/12*JD$8,0)</f>
        <v/>
      </c>
      <c r="JE25" s="18">
        <f>IF(262&gt;=DeliverStart,ExpInsurancePerUnit*TotalUnits/12*JE$8,0)</f>
        <v/>
      </c>
      <c r="JF25" s="18">
        <f>IF(263&gt;=DeliverStart,ExpInsurancePerUnit*TotalUnits/12*JF$8,0)</f>
        <v/>
      </c>
      <c r="JG25" s="18">
        <f>IF(264&gt;=DeliverStart,ExpInsurancePerUnit*TotalUnits/12*JG$8,0)</f>
        <v/>
      </c>
      <c r="JH25" s="18">
        <f>IF(265&gt;=DeliverStart,ExpInsurancePerUnit*TotalUnits/12*JH$8,0)</f>
        <v/>
      </c>
      <c r="JI25" s="18">
        <f>IF(266&gt;=DeliverStart,ExpInsurancePerUnit*TotalUnits/12*JI$8,0)</f>
        <v/>
      </c>
      <c r="JJ25" s="18">
        <f>IF(267&gt;=DeliverStart,ExpInsurancePerUnit*TotalUnits/12*JJ$8,0)</f>
        <v/>
      </c>
      <c r="JK25" s="18">
        <f>IF(268&gt;=DeliverStart,ExpInsurancePerUnit*TotalUnits/12*JK$8,0)</f>
        <v/>
      </c>
      <c r="JL25" s="18">
        <f>IF(269&gt;=DeliverStart,ExpInsurancePerUnit*TotalUnits/12*JL$8,0)</f>
        <v/>
      </c>
      <c r="JM25" s="18">
        <f>IF(270&gt;=DeliverStart,ExpInsurancePerUnit*TotalUnits/12*JM$8,0)</f>
        <v/>
      </c>
      <c r="JN25" s="18">
        <f>IF(271&gt;=DeliverStart,ExpInsurancePerUnit*TotalUnits/12*JN$8,0)</f>
        <v/>
      </c>
      <c r="JO25" s="18">
        <f>IF(272&gt;=DeliverStart,ExpInsurancePerUnit*TotalUnits/12*JO$8,0)</f>
        <v/>
      </c>
      <c r="JP25" s="18">
        <f>IF(273&gt;=DeliverStart,ExpInsurancePerUnit*TotalUnits/12*JP$8,0)</f>
        <v/>
      </c>
      <c r="JQ25" s="18">
        <f>IF(274&gt;=DeliverStart,ExpInsurancePerUnit*TotalUnits/12*JQ$8,0)</f>
        <v/>
      </c>
      <c r="JR25" s="18">
        <f>IF(275&gt;=DeliverStart,ExpInsurancePerUnit*TotalUnits/12*JR$8,0)</f>
        <v/>
      </c>
      <c r="JS25" s="18">
        <f>IF(276&gt;=DeliverStart,ExpInsurancePerUnit*TotalUnits/12*JS$8,0)</f>
        <v/>
      </c>
      <c r="JT25" s="18">
        <f>IF(277&gt;=DeliverStart,ExpInsurancePerUnit*TotalUnits/12*JT$8,0)</f>
        <v/>
      </c>
      <c r="JU25" s="18">
        <f>IF(278&gt;=DeliverStart,ExpInsurancePerUnit*TotalUnits/12*JU$8,0)</f>
        <v/>
      </c>
      <c r="JV25" s="18">
        <f>IF(279&gt;=DeliverStart,ExpInsurancePerUnit*TotalUnits/12*JV$8,0)</f>
        <v/>
      </c>
      <c r="JW25" s="18">
        <f>IF(280&gt;=DeliverStart,ExpInsurancePerUnit*TotalUnits/12*JW$8,0)</f>
        <v/>
      </c>
      <c r="JX25" s="18">
        <f>IF(281&gt;=DeliverStart,ExpInsurancePerUnit*TotalUnits/12*JX$8,0)</f>
        <v/>
      </c>
      <c r="JY25" s="18">
        <f>IF(282&gt;=DeliverStart,ExpInsurancePerUnit*TotalUnits/12*JY$8,0)</f>
        <v/>
      </c>
      <c r="JZ25" s="18">
        <f>IF(283&gt;=DeliverStart,ExpInsurancePerUnit*TotalUnits/12*JZ$8,0)</f>
        <v/>
      </c>
      <c r="KA25" s="18">
        <f>IF(284&gt;=DeliverStart,ExpInsurancePerUnit*TotalUnits/12*KA$8,0)</f>
        <v/>
      </c>
      <c r="KB25" s="18">
        <f>IF(285&gt;=DeliverStart,ExpInsurancePerUnit*TotalUnits/12*KB$8,0)</f>
        <v/>
      </c>
      <c r="KC25" s="18">
        <f>IF(286&gt;=DeliverStart,ExpInsurancePerUnit*TotalUnits/12*KC$8,0)</f>
        <v/>
      </c>
      <c r="KD25" s="18">
        <f>IF(287&gt;=DeliverStart,ExpInsurancePerUnit*TotalUnits/12*KD$8,0)</f>
        <v/>
      </c>
      <c r="KE25" s="18">
        <f>IF(288&gt;=DeliverStart,ExpInsurancePerUnit*TotalUnits/12*KE$8,0)</f>
        <v/>
      </c>
      <c r="KF25" s="18">
        <f>IF(289&gt;=DeliverStart,ExpInsurancePerUnit*TotalUnits/12*KF$8,0)</f>
        <v/>
      </c>
      <c r="KG25" s="18">
        <f>IF(290&gt;=DeliverStart,ExpInsurancePerUnit*TotalUnits/12*KG$8,0)</f>
        <v/>
      </c>
      <c r="KH25" s="18">
        <f>IF(291&gt;=DeliverStart,ExpInsurancePerUnit*TotalUnits/12*KH$8,0)</f>
        <v/>
      </c>
      <c r="KI25" s="18">
        <f>IF(292&gt;=DeliverStart,ExpInsurancePerUnit*TotalUnits/12*KI$8,0)</f>
        <v/>
      </c>
      <c r="KJ25" s="18">
        <f>IF(293&gt;=DeliverStart,ExpInsurancePerUnit*TotalUnits/12*KJ$8,0)</f>
        <v/>
      </c>
      <c r="KK25" s="18">
        <f>IF(294&gt;=DeliverStart,ExpInsurancePerUnit*TotalUnits/12*KK$8,0)</f>
        <v/>
      </c>
      <c r="KL25" s="18">
        <f>IF(295&gt;=DeliverStart,ExpInsurancePerUnit*TotalUnits/12*KL$8,0)</f>
        <v/>
      </c>
      <c r="KM25" s="18">
        <f>IF(296&gt;=DeliverStart,ExpInsurancePerUnit*TotalUnits/12*KM$8,0)</f>
        <v/>
      </c>
      <c r="KN25" s="18">
        <f>IF(297&gt;=DeliverStart,ExpInsurancePerUnit*TotalUnits/12*KN$8,0)</f>
        <v/>
      </c>
      <c r="KO25" s="18">
        <f>IF(298&gt;=DeliverStart,ExpInsurancePerUnit*TotalUnits/12*KO$8,0)</f>
        <v/>
      </c>
      <c r="KP25" s="18">
        <f>IF(299&gt;=DeliverStart,ExpInsurancePerUnit*TotalUnits/12*KP$8,0)</f>
        <v/>
      </c>
      <c r="KQ25" s="18">
        <f>IF(300&gt;=DeliverStart,ExpInsurancePerUnit*TotalUnits/12*KQ$8,0)</f>
        <v/>
      </c>
      <c r="KR25" s="18">
        <f>IF(301&gt;=DeliverStart,ExpInsurancePerUnit*TotalUnits/12*KR$8,0)</f>
        <v/>
      </c>
      <c r="KS25" s="18">
        <f>IF(302&gt;=DeliverStart,ExpInsurancePerUnit*TotalUnits/12*KS$8,0)</f>
        <v/>
      </c>
      <c r="KT25" s="18">
        <f>IF(303&gt;=DeliverStart,ExpInsurancePerUnit*TotalUnits/12*KT$8,0)</f>
        <v/>
      </c>
      <c r="KU25" s="18">
        <f>IF(304&gt;=DeliverStart,ExpInsurancePerUnit*TotalUnits/12*KU$8,0)</f>
        <v/>
      </c>
      <c r="KV25" s="18">
        <f>IF(305&gt;=DeliverStart,ExpInsurancePerUnit*TotalUnits/12*KV$8,0)</f>
        <v/>
      </c>
      <c r="KW25" s="18">
        <f>IF(306&gt;=DeliverStart,ExpInsurancePerUnit*TotalUnits/12*KW$8,0)</f>
        <v/>
      </c>
      <c r="KX25" s="18">
        <f>IF(307&gt;=DeliverStart,ExpInsurancePerUnit*TotalUnits/12*KX$8,0)</f>
        <v/>
      </c>
      <c r="KY25" s="18">
        <f>IF(308&gt;=DeliverStart,ExpInsurancePerUnit*TotalUnits/12*KY$8,0)</f>
        <v/>
      </c>
      <c r="KZ25" s="18">
        <f>IF(309&gt;=DeliverStart,ExpInsurancePerUnit*TotalUnits/12*KZ$8,0)</f>
        <v/>
      </c>
      <c r="LA25" s="18">
        <f>IF(310&gt;=DeliverStart,ExpInsurancePerUnit*TotalUnits/12*LA$8,0)</f>
        <v/>
      </c>
      <c r="LB25" s="18">
        <f>IF(311&gt;=DeliverStart,ExpInsurancePerUnit*TotalUnits/12*LB$8,0)</f>
        <v/>
      </c>
      <c r="LC25" s="18">
        <f>IF(312&gt;=DeliverStart,ExpInsurancePerUnit*TotalUnits/12*LC$8,0)</f>
        <v/>
      </c>
      <c r="LD25" s="18">
        <f>IF(313&gt;=DeliverStart,ExpInsurancePerUnit*TotalUnits/12*LD$8,0)</f>
        <v/>
      </c>
      <c r="LE25" s="18">
        <f>IF(314&gt;=DeliverStart,ExpInsurancePerUnit*TotalUnits/12*LE$8,0)</f>
        <v/>
      </c>
      <c r="LF25" s="18">
        <f>IF(315&gt;=DeliverStart,ExpInsurancePerUnit*TotalUnits/12*LF$8,0)</f>
        <v/>
      </c>
      <c r="LG25" s="18">
        <f>IF(316&gt;=DeliverStart,ExpInsurancePerUnit*TotalUnits/12*LG$8,0)</f>
        <v/>
      </c>
      <c r="LH25" s="18">
        <f>IF(317&gt;=DeliverStart,ExpInsurancePerUnit*TotalUnits/12*LH$8,0)</f>
        <v/>
      </c>
      <c r="LI25" s="18">
        <f>IF(318&gt;=DeliverStart,ExpInsurancePerUnit*TotalUnits/12*LI$8,0)</f>
        <v/>
      </c>
      <c r="LJ25" s="18">
        <f>IF(319&gt;=DeliverStart,ExpInsurancePerUnit*TotalUnits/12*LJ$8,0)</f>
        <v/>
      </c>
      <c r="LK25" s="18">
        <f>IF(320&gt;=DeliverStart,ExpInsurancePerUnit*TotalUnits/12*LK$8,0)</f>
        <v/>
      </c>
      <c r="LL25" s="18">
        <f>IF(321&gt;=DeliverStart,ExpInsurancePerUnit*TotalUnits/12*LL$8,0)</f>
        <v/>
      </c>
      <c r="LM25" s="18">
        <f>IF(322&gt;=DeliverStart,ExpInsurancePerUnit*TotalUnits/12*LM$8,0)</f>
        <v/>
      </c>
      <c r="LN25" s="18">
        <f>IF(323&gt;=DeliverStart,ExpInsurancePerUnit*TotalUnits/12*LN$8,0)</f>
        <v/>
      </c>
      <c r="LO25" s="18">
        <f>IF(324&gt;=DeliverStart,ExpInsurancePerUnit*TotalUnits/12*LO$8,0)</f>
        <v/>
      </c>
      <c r="LP25" s="18">
        <f>IF(325&gt;=DeliverStart,ExpInsurancePerUnit*TotalUnits/12*LP$8,0)</f>
        <v/>
      </c>
      <c r="LQ25" s="18">
        <f>IF(326&gt;=DeliverStart,ExpInsurancePerUnit*TotalUnits/12*LQ$8,0)</f>
        <v/>
      </c>
      <c r="LR25" s="18">
        <f>IF(327&gt;=DeliverStart,ExpInsurancePerUnit*TotalUnits/12*LR$8,0)</f>
        <v/>
      </c>
      <c r="LS25" s="18">
        <f>IF(328&gt;=DeliverStart,ExpInsurancePerUnit*TotalUnits/12*LS$8,0)</f>
        <v/>
      </c>
      <c r="LT25" s="18">
        <f>IF(329&gt;=DeliverStart,ExpInsurancePerUnit*TotalUnits/12*LT$8,0)</f>
        <v/>
      </c>
      <c r="LU25" s="18">
        <f>IF(330&gt;=DeliverStart,ExpInsurancePerUnit*TotalUnits/12*LU$8,0)</f>
        <v/>
      </c>
      <c r="LV25" s="18">
        <f>IF(331&gt;=DeliverStart,ExpInsurancePerUnit*TotalUnits/12*LV$8,0)</f>
        <v/>
      </c>
      <c r="LW25" s="18">
        <f>IF(332&gt;=DeliverStart,ExpInsurancePerUnit*TotalUnits/12*LW$8,0)</f>
        <v/>
      </c>
      <c r="LX25" s="18">
        <f>IF(333&gt;=DeliverStart,ExpInsurancePerUnit*TotalUnits/12*LX$8,0)</f>
        <v/>
      </c>
      <c r="LY25" s="18">
        <f>IF(334&gt;=DeliverStart,ExpInsurancePerUnit*TotalUnits/12*LY$8,0)</f>
        <v/>
      </c>
      <c r="LZ25" s="18">
        <f>IF(335&gt;=DeliverStart,ExpInsurancePerUnit*TotalUnits/12*LZ$8,0)</f>
        <v/>
      </c>
      <c r="MA25" s="18">
        <f>IF(336&gt;=DeliverStart,ExpInsurancePerUnit*TotalUnits/12*MA$8,0)</f>
        <v/>
      </c>
      <c r="MB25" s="18">
        <f>IF(337&gt;=DeliverStart,ExpInsurancePerUnit*TotalUnits/12*MB$8,0)</f>
        <v/>
      </c>
      <c r="MC25" s="18">
        <f>IF(338&gt;=DeliverStart,ExpInsurancePerUnit*TotalUnits/12*MC$8,0)</f>
        <v/>
      </c>
      <c r="MD25" s="18">
        <f>IF(339&gt;=DeliverStart,ExpInsurancePerUnit*TotalUnits/12*MD$8,0)</f>
        <v/>
      </c>
      <c r="ME25" s="18">
        <f>IF(340&gt;=DeliverStart,ExpInsurancePerUnit*TotalUnits/12*ME$8,0)</f>
        <v/>
      </c>
      <c r="MF25" s="18">
        <f>IF(341&gt;=DeliverStart,ExpInsurancePerUnit*TotalUnits/12*MF$8,0)</f>
        <v/>
      </c>
      <c r="MG25" s="18">
        <f>IF(342&gt;=DeliverStart,ExpInsurancePerUnit*TotalUnits/12*MG$8,0)</f>
        <v/>
      </c>
      <c r="MH25" s="18">
        <f>IF(343&gt;=DeliverStart,ExpInsurancePerUnit*TotalUnits/12*MH$8,0)</f>
        <v/>
      </c>
      <c r="MI25" s="18">
        <f>IF(344&gt;=DeliverStart,ExpInsurancePerUnit*TotalUnits/12*MI$8,0)</f>
        <v/>
      </c>
      <c r="MJ25" s="18">
        <f>IF(345&gt;=DeliverStart,ExpInsurancePerUnit*TotalUnits/12*MJ$8,0)</f>
        <v/>
      </c>
      <c r="MK25" s="18">
        <f>IF(346&gt;=DeliverStart,ExpInsurancePerUnit*TotalUnits/12*MK$8,0)</f>
        <v/>
      </c>
      <c r="ML25" s="18">
        <f>IF(347&gt;=DeliverStart,ExpInsurancePerUnit*TotalUnits/12*ML$8,0)</f>
        <v/>
      </c>
      <c r="MM25" s="18">
        <f>IF(348&gt;=DeliverStart,ExpInsurancePerUnit*TotalUnits/12*MM$8,0)</f>
        <v/>
      </c>
      <c r="MN25" s="18">
        <f>IF(349&gt;=DeliverStart,ExpInsurancePerUnit*TotalUnits/12*MN$8,0)</f>
        <v/>
      </c>
      <c r="MO25" s="18">
        <f>IF(350&gt;=DeliverStart,ExpInsurancePerUnit*TotalUnits/12*MO$8,0)</f>
        <v/>
      </c>
      <c r="MP25" s="18">
        <f>IF(351&gt;=DeliverStart,ExpInsurancePerUnit*TotalUnits/12*MP$8,0)</f>
        <v/>
      </c>
      <c r="MQ25" s="18">
        <f>IF(352&gt;=DeliverStart,ExpInsurancePerUnit*TotalUnits/12*MQ$8,0)</f>
        <v/>
      </c>
      <c r="MR25" s="18">
        <f>IF(353&gt;=DeliverStart,ExpInsurancePerUnit*TotalUnits/12*MR$8,0)</f>
        <v/>
      </c>
      <c r="MS25" s="18">
        <f>IF(354&gt;=DeliverStart,ExpInsurancePerUnit*TotalUnits/12*MS$8,0)</f>
        <v/>
      </c>
      <c r="MT25" s="18">
        <f>IF(355&gt;=DeliverStart,ExpInsurancePerUnit*TotalUnits/12*MT$8,0)</f>
        <v/>
      </c>
      <c r="MU25" s="18">
        <f>IF(356&gt;=DeliverStart,ExpInsurancePerUnit*TotalUnits/12*MU$8,0)</f>
        <v/>
      </c>
      <c r="MV25" s="18">
        <f>IF(357&gt;=DeliverStart,ExpInsurancePerUnit*TotalUnits/12*MV$8,0)</f>
        <v/>
      </c>
      <c r="MW25" s="18">
        <f>IF(358&gt;=DeliverStart,ExpInsurancePerUnit*TotalUnits/12*MW$8,0)</f>
        <v/>
      </c>
      <c r="MX25" s="18">
        <f>IF(359&gt;=DeliverStart,ExpInsurancePerUnit*TotalUnits/12*MX$8,0)</f>
        <v/>
      </c>
      <c r="MY25" s="18">
        <f>IF(360&gt;=DeliverStart,ExpInsurancePerUnit*TotalUnits/12*MY$8,0)</f>
        <v/>
      </c>
      <c r="MZ25" s="18">
        <f>IF(361&gt;=DeliverStart,ExpInsurancePerUnit*TotalUnits/12*MZ$8,0)</f>
        <v/>
      </c>
      <c r="NA25" s="18">
        <f>IF(362&gt;=DeliverStart,ExpInsurancePerUnit*TotalUnits/12*NA$8,0)</f>
        <v/>
      </c>
      <c r="NB25" s="18">
        <f>IF(363&gt;=DeliverStart,ExpInsurancePerUnit*TotalUnits/12*NB$8,0)</f>
        <v/>
      </c>
      <c r="NC25" s="18">
        <f>IF(364&gt;=DeliverStart,ExpInsurancePerUnit*TotalUnits/12*NC$8,0)</f>
        <v/>
      </c>
      <c r="ND25" s="18">
        <f>IF(365&gt;=DeliverStart,ExpInsurancePerUnit*TotalUnits/12*ND$8,0)</f>
        <v/>
      </c>
      <c r="NE25" s="18">
        <f>IF(366&gt;=DeliverStart,ExpInsurancePerUnit*TotalUnits/12*NE$8,0)</f>
        <v/>
      </c>
      <c r="NF25" s="18">
        <f>IF(367&gt;=DeliverStart,ExpInsurancePerUnit*TotalUnits/12*NF$8,0)</f>
        <v/>
      </c>
      <c r="NG25" s="18">
        <f>IF(368&gt;=DeliverStart,ExpInsurancePerUnit*TotalUnits/12*NG$8,0)</f>
        <v/>
      </c>
      <c r="NH25" s="18">
        <f>IF(369&gt;=DeliverStart,ExpInsurancePerUnit*TotalUnits/12*NH$8,0)</f>
        <v/>
      </c>
      <c r="NI25" s="18">
        <f>IF(370&gt;=DeliverStart,ExpInsurancePerUnit*TotalUnits/12*NI$8,0)</f>
        <v/>
      </c>
      <c r="NJ25" s="18">
        <f>IF(371&gt;=DeliverStart,ExpInsurancePerUnit*TotalUnits/12*NJ$8,0)</f>
        <v/>
      </c>
      <c r="NK25" s="18">
        <f>IF(372&gt;=DeliverStart,ExpInsurancePerUnit*TotalUnits/12*NK$8,0)</f>
        <v/>
      </c>
    </row>
    <row r="26">
      <c r="A26" s="5" t="inlineStr">
        <is>
          <t>Admin &amp; Legal</t>
        </is>
      </c>
      <c r="C26" s="41">
        <f>SUM(D26:NK26)</f>
        <v/>
      </c>
      <c r="D26" s="18">
        <f>IF(1&gt;=DeliverStart,ExpAdminPerUnit*TotalUnits/12*D$8,0)</f>
        <v/>
      </c>
      <c r="E26" s="18">
        <f>IF(2&gt;=DeliverStart,ExpAdminPerUnit*TotalUnits/12*E$8,0)</f>
        <v/>
      </c>
      <c r="F26" s="18">
        <f>IF(3&gt;=DeliverStart,ExpAdminPerUnit*TotalUnits/12*F$8,0)</f>
        <v/>
      </c>
      <c r="G26" s="18">
        <f>IF(4&gt;=DeliverStart,ExpAdminPerUnit*TotalUnits/12*G$8,0)</f>
        <v/>
      </c>
      <c r="H26" s="18">
        <f>IF(5&gt;=DeliverStart,ExpAdminPerUnit*TotalUnits/12*H$8,0)</f>
        <v/>
      </c>
      <c r="I26" s="18">
        <f>IF(6&gt;=DeliverStart,ExpAdminPerUnit*TotalUnits/12*I$8,0)</f>
        <v/>
      </c>
      <c r="J26" s="18">
        <f>IF(7&gt;=DeliverStart,ExpAdminPerUnit*TotalUnits/12*J$8,0)</f>
        <v/>
      </c>
      <c r="K26" s="18">
        <f>IF(8&gt;=DeliverStart,ExpAdminPerUnit*TotalUnits/12*K$8,0)</f>
        <v/>
      </c>
      <c r="L26" s="18">
        <f>IF(9&gt;=DeliverStart,ExpAdminPerUnit*TotalUnits/12*L$8,0)</f>
        <v/>
      </c>
      <c r="M26" s="18">
        <f>IF(10&gt;=DeliverStart,ExpAdminPerUnit*TotalUnits/12*M$8,0)</f>
        <v/>
      </c>
      <c r="N26" s="18">
        <f>IF(11&gt;=DeliverStart,ExpAdminPerUnit*TotalUnits/12*N$8,0)</f>
        <v/>
      </c>
      <c r="O26" s="18">
        <f>IF(12&gt;=DeliverStart,ExpAdminPerUnit*TotalUnits/12*O$8,0)</f>
        <v/>
      </c>
      <c r="P26" s="18">
        <f>IF(13&gt;=DeliverStart,ExpAdminPerUnit*TotalUnits/12*P$8,0)</f>
        <v/>
      </c>
      <c r="Q26" s="18">
        <f>IF(14&gt;=DeliverStart,ExpAdminPerUnit*TotalUnits/12*Q$8,0)</f>
        <v/>
      </c>
      <c r="R26" s="18">
        <f>IF(15&gt;=DeliverStart,ExpAdminPerUnit*TotalUnits/12*R$8,0)</f>
        <v/>
      </c>
      <c r="S26" s="18">
        <f>IF(16&gt;=DeliverStart,ExpAdminPerUnit*TotalUnits/12*S$8,0)</f>
        <v/>
      </c>
      <c r="T26" s="18">
        <f>IF(17&gt;=DeliverStart,ExpAdminPerUnit*TotalUnits/12*T$8,0)</f>
        <v/>
      </c>
      <c r="U26" s="18">
        <f>IF(18&gt;=DeliverStart,ExpAdminPerUnit*TotalUnits/12*U$8,0)</f>
        <v/>
      </c>
      <c r="V26" s="18">
        <f>IF(19&gt;=DeliverStart,ExpAdminPerUnit*TotalUnits/12*V$8,0)</f>
        <v/>
      </c>
      <c r="W26" s="18">
        <f>IF(20&gt;=DeliverStart,ExpAdminPerUnit*TotalUnits/12*W$8,0)</f>
        <v/>
      </c>
      <c r="X26" s="18">
        <f>IF(21&gt;=DeliverStart,ExpAdminPerUnit*TotalUnits/12*X$8,0)</f>
        <v/>
      </c>
      <c r="Y26" s="18">
        <f>IF(22&gt;=DeliverStart,ExpAdminPerUnit*TotalUnits/12*Y$8,0)</f>
        <v/>
      </c>
      <c r="Z26" s="18">
        <f>IF(23&gt;=DeliverStart,ExpAdminPerUnit*TotalUnits/12*Z$8,0)</f>
        <v/>
      </c>
      <c r="AA26" s="18">
        <f>IF(24&gt;=DeliverStart,ExpAdminPerUnit*TotalUnits/12*AA$8,0)</f>
        <v/>
      </c>
      <c r="AB26" s="18">
        <f>IF(25&gt;=DeliverStart,ExpAdminPerUnit*TotalUnits/12*AB$8,0)</f>
        <v/>
      </c>
      <c r="AC26" s="18">
        <f>IF(26&gt;=DeliverStart,ExpAdminPerUnit*TotalUnits/12*AC$8,0)</f>
        <v/>
      </c>
      <c r="AD26" s="18">
        <f>IF(27&gt;=DeliverStart,ExpAdminPerUnit*TotalUnits/12*AD$8,0)</f>
        <v/>
      </c>
      <c r="AE26" s="18">
        <f>IF(28&gt;=DeliverStart,ExpAdminPerUnit*TotalUnits/12*AE$8,0)</f>
        <v/>
      </c>
      <c r="AF26" s="18">
        <f>IF(29&gt;=DeliverStart,ExpAdminPerUnit*TotalUnits/12*AF$8,0)</f>
        <v/>
      </c>
      <c r="AG26" s="18">
        <f>IF(30&gt;=DeliverStart,ExpAdminPerUnit*TotalUnits/12*AG$8,0)</f>
        <v/>
      </c>
      <c r="AH26" s="18">
        <f>IF(31&gt;=DeliverStart,ExpAdminPerUnit*TotalUnits/12*AH$8,0)</f>
        <v/>
      </c>
      <c r="AI26" s="18">
        <f>IF(32&gt;=DeliverStart,ExpAdminPerUnit*TotalUnits/12*AI$8,0)</f>
        <v/>
      </c>
      <c r="AJ26" s="18">
        <f>IF(33&gt;=DeliverStart,ExpAdminPerUnit*TotalUnits/12*AJ$8,0)</f>
        <v/>
      </c>
      <c r="AK26" s="18">
        <f>IF(34&gt;=DeliverStart,ExpAdminPerUnit*TotalUnits/12*AK$8,0)</f>
        <v/>
      </c>
      <c r="AL26" s="18">
        <f>IF(35&gt;=DeliverStart,ExpAdminPerUnit*TotalUnits/12*AL$8,0)</f>
        <v/>
      </c>
      <c r="AM26" s="18">
        <f>IF(36&gt;=DeliverStart,ExpAdminPerUnit*TotalUnits/12*AM$8,0)</f>
        <v/>
      </c>
      <c r="AN26" s="18">
        <f>IF(37&gt;=DeliverStart,ExpAdminPerUnit*TotalUnits/12*AN$8,0)</f>
        <v/>
      </c>
      <c r="AO26" s="18">
        <f>IF(38&gt;=DeliverStart,ExpAdminPerUnit*TotalUnits/12*AO$8,0)</f>
        <v/>
      </c>
      <c r="AP26" s="18">
        <f>IF(39&gt;=DeliverStart,ExpAdminPerUnit*TotalUnits/12*AP$8,0)</f>
        <v/>
      </c>
      <c r="AQ26" s="18">
        <f>IF(40&gt;=DeliverStart,ExpAdminPerUnit*TotalUnits/12*AQ$8,0)</f>
        <v/>
      </c>
      <c r="AR26" s="18">
        <f>IF(41&gt;=DeliverStart,ExpAdminPerUnit*TotalUnits/12*AR$8,0)</f>
        <v/>
      </c>
      <c r="AS26" s="18">
        <f>IF(42&gt;=DeliverStart,ExpAdminPerUnit*TotalUnits/12*AS$8,0)</f>
        <v/>
      </c>
      <c r="AT26" s="18">
        <f>IF(43&gt;=DeliverStart,ExpAdminPerUnit*TotalUnits/12*AT$8,0)</f>
        <v/>
      </c>
      <c r="AU26" s="18">
        <f>IF(44&gt;=DeliverStart,ExpAdminPerUnit*TotalUnits/12*AU$8,0)</f>
        <v/>
      </c>
      <c r="AV26" s="18">
        <f>IF(45&gt;=DeliverStart,ExpAdminPerUnit*TotalUnits/12*AV$8,0)</f>
        <v/>
      </c>
      <c r="AW26" s="18">
        <f>IF(46&gt;=DeliverStart,ExpAdminPerUnit*TotalUnits/12*AW$8,0)</f>
        <v/>
      </c>
      <c r="AX26" s="18">
        <f>IF(47&gt;=DeliverStart,ExpAdminPerUnit*TotalUnits/12*AX$8,0)</f>
        <v/>
      </c>
      <c r="AY26" s="18">
        <f>IF(48&gt;=DeliverStart,ExpAdminPerUnit*TotalUnits/12*AY$8,0)</f>
        <v/>
      </c>
      <c r="AZ26" s="18">
        <f>IF(49&gt;=DeliverStart,ExpAdminPerUnit*TotalUnits/12*AZ$8,0)</f>
        <v/>
      </c>
      <c r="BA26" s="18">
        <f>IF(50&gt;=DeliverStart,ExpAdminPerUnit*TotalUnits/12*BA$8,0)</f>
        <v/>
      </c>
      <c r="BB26" s="18">
        <f>IF(51&gt;=DeliverStart,ExpAdminPerUnit*TotalUnits/12*BB$8,0)</f>
        <v/>
      </c>
      <c r="BC26" s="18">
        <f>IF(52&gt;=DeliverStart,ExpAdminPerUnit*TotalUnits/12*BC$8,0)</f>
        <v/>
      </c>
      <c r="BD26" s="18">
        <f>IF(53&gt;=DeliverStart,ExpAdminPerUnit*TotalUnits/12*BD$8,0)</f>
        <v/>
      </c>
      <c r="BE26" s="18">
        <f>IF(54&gt;=DeliverStart,ExpAdminPerUnit*TotalUnits/12*BE$8,0)</f>
        <v/>
      </c>
      <c r="BF26" s="18">
        <f>IF(55&gt;=DeliverStart,ExpAdminPerUnit*TotalUnits/12*BF$8,0)</f>
        <v/>
      </c>
      <c r="BG26" s="18">
        <f>IF(56&gt;=DeliverStart,ExpAdminPerUnit*TotalUnits/12*BG$8,0)</f>
        <v/>
      </c>
      <c r="BH26" s="18">
        <f>IF(57&gt;=DeliverStart,ExpAdminPerUnit*TotalUnits/12*BH$8,0)</f>
        <v/>
      </c>
      <c r="BI26" s="18">
        <f>IF(58&gt;=DeliverStart,ExpAdminPerUnit*TotalUnits/12*BI$8,0)</f>
        <v/>
      </c>
      <c r="BJ26" s="18">
        <f>IF(59&gt;=DeliverStart,ExpAdminPerUnit*TotalUnits/12*BJ$8,0)</f>
        <v/>
      </c>
      <c r="BK26" s="18">
        <f>IF(60&gt;=DeliverStart,ExpAdminPerUnit*TotalUnits/12*BK$8,0)</f>
        <v/>
      </c>
      <c r="BL26" s="18">
        <f>IF(61&gt;=DeliverStart,ExpAdminPerUnit*TotalUnits/12*BL$8,0)</f>
        <v/>
      </c>
      <c r="BM26" s="18">
        <f>IF(62&gt;=DeliverStart,ExpAdminPerUnit*TotalUnits/12*BM$8,0)</f>
        <v/>
      </c>
      <c r="BN26" s="18">
        <f>IF(63&gt;=DeliverStart,ExpAdminPerUnit*TotalUnits/12*BN$8,0)</f>
        <v/>
      </c>
      <c r="BO26" s="18">
        <f>IF(64&gt;=DeliverStart,ExpAdminPerUnit*TotalUnits/12*BO$8,0)</f>
        <v/>
      </c>
      <c r="BP26" s="18">
        <f>IF(65&gt;=DeliverStart,ExpAdminPerUnit*TotalUnits/12*BP$8,0)</f>
        <v/>
      </c>
      <c r="BQ26" s="18">
        <f>IF(66&gt;=DeliverStart,ExpAdminPerUnit*TotalUnits/12*BQ$8,0)</f>
        <v/>
      </c>
      <c r="BR26" s="18">
        <f>IF(67&gt;=DeliverStart,ExpAdminPerUnit*TotalUnits/12*BR$8,0)</f>
        <v/>
      </c>
      <c r="BS26" s="18">
        <f>IF(68&gt;=DeliverStart,ExpAdminPerUnit*TotalUnits/12*BS$8,0)</f>
        <v/>
      </c>
      <c r="BT26" s="18">
        <f>IF(69&gt;=DeliverStart,ExpAdminPerUnit*TotalUnits/12*BT$8,0)</f>
        <v/>
      </c>
      <c r="BU26" s="18">
        <f>IF(70&gt;=DeliverStart,ExpAdminPerUnit*TotalUnits/12*BU$8,0)</f>
        <v/>
      </c>
      <c r="BV26" s="18">
        <f>IF(71&gt;=DeliverStart,ExpAdminPerUnit*TotalUnits/12*BV$8,0)</f>
        <v/>
      </c>
      <c r="BW26" s="18">
        <f>IF(72&gt;=DeliverStart,ExpAdminPerUnit*TotalUnits/12*BW$8,0)</f>
        <v/>
      </c>
      <c r="BX26" s="18">
        <f>IF(73&gt;=DeliverStart,ExpAdminPerUnit*TotalUnits/12*BX$8,0)</f>
        <v/>
      </c>
      <c r="BY26" s="18">
        <f>IF(74&gt;=DeliverStart,ExpAdminPerUnit*TotalUnits/12*BY$8,0)</f>
        <v/>
      </c>
      <c r="BZ26" s="18">
        <f>IF(75&gt;=DeliverStart,ExpAdminPerUnit*TotalUnits/12*BZ$8,0)</f>
        <v/>
      </c>
      <c r="CA26" s="18">
        <f>IF(76&gt;=DeliverStart,ExpAdminPerUnit*TotalUnits/12*CA$8,0)</f>
        <v/>
      </c>
      <c r="CB26" s="18">
        <f>IF(77&gt;=DeliverStart,ExpAdminPerUnit*TotalUnits/12*CB$8,0)</f>
        <v/>
      </c>
      <c r="CC26" s="18">
        <f>IF(78&gt;=DeliverStart,ExpAdminPerUnit*TotalUnits/12*CC$8,0)</f>
        <v/>
      </c>
      <c r="CD26" s="18">
        <f>IF(79&gt;=DeliverStart,ExpAdminPerUnit*TotalUnits/12*CD$8,0)</f>
        <v/>
      </c>
      <c r="CE26" s="18">
        <f>IF(80&gt;=DeliverStart,ExpAdminPerUnit*TotalUnits/12*CE$8,0)</f>
        <v/>
      </c>
      <c r="CF26" s="18">
        <f>IF(81&gt;=DeliverStart,ExpAdminPerUnit*TotalUnits/12*CF$8,0)</f>
        <v/>
      </c>
      <c r="CG26" s="18">
        <f>IF(82&gt;=DeliverStart,ExpAdminPerUnit*TotalUnits/12*CG$8,0)</f>
        <v/>
      </c>
      <c r="CH26" s="18">
        <f>IF(83&gt;=DeliverStart,ExpAdminPerUnit*TotalUnits/12*CH$8,0)</f>
        <v/>
      </c>
      <c r="CI26" s="18">
        <f>IF(84&gt;=DeliverStart,ExpAdminPerUnit*TotalUnits/12*CI$8,0)</f>
        <v/>
      </c>
      <c r="CJ26" s="18">
        <f>IF(85&gt;=DeliverStart,ExpAdminPerUnit*TotalUnits/12*CJ$8,0)</f>
        <v/>
      </c>
      <c r="CK26" s="18">
        <f>IF(86&gt;=DeliverStart,ExpAdminPerUnit*TotalUnits/12*CK$8,0)</f>
        <v/>
      </c>
      <c r="CL26" s="18">
        <f>IF(87&gt;=DeliverStart,ExpAdminPerUnit*TotalUnits/12*CL$8,0)</f>
        <v/>
      </c>
      <c r="CM26" s="18">
        <f>IF(88&gt;=DeliverStart,ExpAdminPerUnit*TotalUnits/12*CM$8,0)</f>
        <v/>
      </c>
      <c r="CN26" s="18">
        <f>IF(89&gt;=DeliverStart,ExpAdminPerUnit*TotalUnits/12*CN$8,0)</f>
        <v/>
      </c>
      <c r="CO26" s="18">
        <f>IF(90&gt;=DeliverStart,ExpAdminPerUnit*TotalUnits/12*CO$8,0)</f>
        <v/>
      </c>
      <c r="CP26" s="18">
        <f>IF(91&gt;=DeliverStart,ExpAdminPerUnit*TotalUnits/12*CP$8,0)</f>
        <v/>
      </c>
      <c r="CQ26" s="18">
        <f>IF(92&gt;=DeliverStart,ExpAdminPerUnit*TotalUnits/12*CQ$8,0)</f>
        <v/>
      </c>
      <c r="CR26" s="18">
        <f>IF(93&gt;=DeliverStart,ExpAdminPerUnit*TotalUnits/12*CR$8,0)</f>
        <v/>
      </c>
      <c r="CS26" s="18">
        <f>IF(94&gt;=DeliverStart,ExpAdminPerUnit*TotalUnits/12*CS$8,0)</f>
        <v/>
      </c>
      <c r="CT26" s="18">
        <f>IF(95&gt;=DeliverStart,ExpAdminPerUnit*TotalUnits/12*CT$8,0)</f>
        <v/>
      </c>
      <c r="CU26" s="18">
        <f>IF(96&gt;=DeliverStart,ExpAdminPerUnit*TotalUnits/12*CU$8,0)</f>
        <v/>
      </c>
      <c r="CV26" s="18">
        <f>IF(97&gt;=DeliverStart,ExpAdminPerUnit*TotalUnits/12*CV$8,0)</f>
        <v/>
      </c>
      <c r="CW26" s="18">
        <f>IF(98&gt;=DeliverStart,ExpAdminPerUnit*TotalUnits/12*CW$8,0)</f>
        <v/>
      </c>
      <c r="CX26" s="18">
        <f>IF(99&gt;=DeliverStart,ExpAdminPerUnit*TotalUnits/12*CX$8,0)</f>
        <v/>
      </c>
      <c r="CY26" s="18">
        <f>IF(100&gt;=DeliverStart,ExpAdminPerUnit*TotalUnits/12*CY$8,0)</f>
        <v/>
      </c>
      <c r="CZ26" s="18">
        <f>IF(101&gt;=DeliverStart,ExpAdminPerUnit*TotalUnits/12*CZ$8,0)</f>
        <v/>
      </c>
      <c r="DA26" s="18">
        <f>IF(102&gt;=DeliverStart,ExpAdminPerUnit*TotalUnits/12*DA$8,0)</f>
        <v/>
      </c>
      <c r="DB26" s="18">
        <f>IF(103&gt;=DeliverStart,ExpAdminPerUnit*TotalUnits/12*DB$8,0)</f>
        <v/>
      </c>
      <c r="DC26" s="18">
        <f>IF(104&gt;=DeliverStart,ExpAdminPerUnit*TotalUnits/12*DC$8,0)</f>
        <v/>
      </c>
      <c r="DD26" s="18">
        <f>IF(105&gt;=DeliverStart,ExpAdminPerUnit*TotalUnits/12*DD$8,0)</f>
        <v/>
      </c>
      <c r="DE26" s="18">
        <f>IF(106&gt;=DeliverStart,ExpAdminPerUnit*TotalUnits/12*DE$8,0)</f>
        <v/>
      </c>
      <c r="DF26" s="18">
        <f>IF(107&gt;=DeliverStart,ExpAdminPerUnit*TotalUnits/12*DF$8,0)</f>
        <v/>
      </c>
      <c r="DG26" s="18">
        <f>IF(108&gt;=DeliverStart,ExpAdminPerUnit*TotalUnits/12*DG$8,0)</f>
        <v/>
      </c>
      <c r="DH26" s="18">
        <f>IF(109&gt;=DeliverStart,ExpAdminPerUnit*TotalUnits/12*DH$8,0)</f>
        <v/>
      </c>
      <c r="DI26" s="18">
        <f>IF(110&gt;=DeliverStart,ExpAdminPerUnit*TotalUnits/12*DI$8,0)</f>
        <v/>
      </c>
      <c r="DJ26" s="18">
        <f>IF(111&gt;=DeliverStart,ExpAdminPerUnit*TotalUnits/12*DJ$8,0)</f>
        <v/>
      </c>
      <c r="DK26" s="18">
        <f>IF(112&gt;=DeliverStart,ExpAdminPerUnit*TotalUnits/12*DK$8,0)</f>
        <v/>
      </c>
      <c r="DL26" s="18">
        <f>IF(113&gt;=DeliverStart,ExpAdminPerUnit*TotalUnits/12*DL$8,0)</f>
        <v/>
      </c>
      <c r="DM26" s="18">
        <f>IF(114&gt;=DeliverStart,ExpAdminPerUnit*TotalUnits/12*DM$8,0)</f>
        <v/>
      </c>
      <c r="DN26" s="18">
        <f>IF(115&gt;=DeliverStart,ExpAdminPerUnit*TotalUnits/12*DN$8,0)</f>
        <v/>
      </c>
      <c r="DO26" s="18">
        <f>IF(116&gt;=DeliverStart,ExpAdminPerUnit*TotalUnits/12*DO$8,0)</f>
        <v/>
      </c>
      <c r="DP26" s="18">
        <f>IF(117&gt;=DeliverStart,ExpAdminPerUnit*TotalUnits/12*DP$8,0)</f>
        <v/>
      </c>
      <c r="DQ26" s="18">
        <f>IF(118&gt;=DeliverStart,ExpAdminPerUnit*TotalUnits/12*DQ$8,0)</f>
        <v/>
      </c>
      <c r="DR26" s="18">
        <f>IF(119&gt;=DeliverStart,ExpAdminPerUnit*TotalUnits/12*DR$8,0)</f>
        <v/>
      </c>
      <c r="DS26" s="18">
        <f>IF(120&gt;=DeliverStart,ExpAdminPerUnit*TotalUnits/12*DS$8,0)</f>
        <v/>
      </c>
      <c r="DT26" s="18">
        <f>IF(121&gt;=DeliverStart,ExpAdminPerUnit*TotalUnits/12*DT$8,0)</f>
        <v/>
      </c>
      <c r="DU26" s="18">
        <f>IF(122&gt;=DeliverStart,ExpAdminPerUnit*TotalUnits/12*DU$8,0)</f>
        <v/>
      </c>
      <c r="DV26" s="18">
        <f>IF(123&gt;=DeliverStart,ExpAdminPerUnit*TotalUnits/12*DV$8,0)</f>
        <v/>
      </c>
      <c r="DW26" s="18">
        <f>IF(124&gt;=DeliverStart,ExpAdminPerUnit*TotalUnits/12*DW$8,0)</f>
        <v/>
      </c>
      <c r="DX26" s="18">
        <f>IF(125&gt;=DeliverStart,ExpAdminPerUnit*TotalUnits/12*DX$8,0)</f>
        <v/>
      </c>
      <c r="DY26" s="18">
        <f>IF(126&gt;=DeliverStart,ExpAdminPerUnit*TotalUnits/12*DY$8,0)</f>
        <v/>
      </c>
      <c r="DZ26" s="18">
        <f>IF(127&gt;=DeliverStart,ExpAdminPerUnit*TotalUnits/12*DZ$8,0)</f>
        <v/>
      </c>
      <c r="EA26" s="18">
        <f>IF(128&gt;=DeliverStart,ExpAdminPerUnit*TotalUnits/12*EA$8,0)</f>
        <v/>
      </c>
      <c r="EB26" s="18">
        <f>IF(129&gt;=DeliverStart,ExpAdminPerUnit*TotalUnits/12*EB$8,0)</f>
        <v/>
      </c>
      <c r="EC26" s="18">
        <f>IF(130&gt;=DeliverStart,ExpAdminPerUnit*TotalUnits/12*EC$8,0)</f>
        <v/>
      </c>
      <c r="ED26" s="18">
        <f>IF(131&gt;=DeliverStart,ExpAdminPerUnit*TotalUnits/12*ED$8,0)</f>
        <v/>
      </c>
      <c r="EE26" s="18">
        <f>IF(132&gt;=DeliverStart,ExpAdminPerUnit*TotalUnits/12*EE$8,0)</f>
        <v/>
      </c>
      <c r="EF26" s="18">
        <f>IF(133&gt;=DeliverStart,ExpAdminPerUnit*TotalUnits/12*EF$8,0)</f>
        <v/>
      </c>
      <c r="EG26" s="18">
        <f>IF(134&gt;=DeliverStart,ExpAdminPerUnit*TotalUnits/12*EG$8,0)</f>
        <v/>
      </c>
      <c r="EH26" s="18">
        <f>IF(135&gt;=DeliverStart,ExpAdminPerUnit*TotalUnits/12*EH$8,0)</f>
        <v/>
      </c>
      <c r="EI26" s="18">
        <f>IF(136&gt;=DeliverStart,ExpAdminPerUnit*TotalUnits/12*EI$8,0)</f>
        <v/>
      </c>
      <c r="EJ26" s="18">
        <f>IF(137&gt;=DeliverStart,ExpAdminPerUnit*TotalUnits/12*EJ$8,0)</f>
        <v/>
      </c>
      <c r="EK26" s="18">
        <f>IF(138&gt;=DeliverStart,ExpAdminPerUnit*TotalUnits/12*EK$8,0)</f>
        <v/>
      </c>
      <c r="EL26" s="18">
        <f>IF(139&gt;=DeliverStart,ExpAdminPerUnit*TotalUnits/12*EL$8,0)</f>
        <v/>
      </c>
      <c r="EM26" s="18">
        <f>IF(140&gt;=DeliverStart,ExpAdminPerUnit*TotalUnits/12*EM$8,0)</f>
        <v/>
      </c>
      <c r="EN26" s="18">
        <f>IF(141&gt;=DeliverStart,ExpAdminPerUnit*TotalUnits/12*EN$8,0)</f>
        <v/>
      </c>
      <c r="EO26" s="18">
        <f>IF(142&gt;=DeliverStart,ExpAdminPerUnit*TotalUnits/12*EO$8,0)</f>
        <v/>
      </c>
      <c r="EP26" s="18">
        <f>IF(143&gt;=DeliverStart,ExpAdminPerUnit*TotalUnits/12*EP$8,0)</f>
        <v/>
      </c>
      <c r="EQ26" s="18">
        <f>IF(144&gt;=DeliverStart,ExpAdminPerUnit*TotalUnits/12*EQ$8,0)</f>
        <v/>
      </c>
      <c r="ER26" s="18">
        <f>IF(145&gt;=DeliverStart,ExpAdminPerUnit*TotalUnits/12*ER$8,0)</f>
        <v/>
      </c>
      <c r="ES26" s="18">
        <f>IF(146&gt;=DeliverStart,ExpAdminPerUnit*TotalUnits/12*ES$8,0)</f>
        <v/>
      </c>
      <c r="ET26" s="18">
        <f>IF(147&gt;=DeliverStart,ExpAdminPerUnit*TotalUnits/12*ET$8,0)</f>
        <v/>
      </c>
      <c r="EU26" s="18">
        <f>IF(148&gt;=DeliverStart,ExpAdminPerUnit*TotalUnits/12*EU$8,0)</f>
        <v/>
      </c>
      <c r="EV26" s="18">
        <f>IF(149&gt;=DeliverStart,ExpAdminPerUnit*TotalUnits/12*EV$8,0)</f>
        <v/>
      </c>
      <c r="EW26" s="18">
        <f>IF(150&gt;=DeliverStart,ExpAdminPerUnit*TotalUnits/12*EW$8,0)</f>
        <v/>
      </c>
      <c r="EX26" s="18">
        <f>IF(151&gt;=DeliverStart,ExpAdminPerUnit*TotalUnits/12*EX$8,0)</f>
        <v/>
      </c>
      <c r="EY26" s="18">
        <f>IF(152&gt;=DeliverStart,ExpAdminPerUnit*TotalUnits/12*EY$8,0)</f>
        <v/>
      </c>
      <c r="EZ26" s="18">
        <f>IF(153&gt;=DeliverStart,ExpAdminPerUnit*TotalUnits/12*EZ$8,0)</f>
        <v/>
      </c>
      <c r="FA26" s="18">
        <f>IF(154&gt;=DeliverStart,ExpAdminPerUnit*TotalUnits/12*FA$8,0)</f>
        <v/>
      </c>
      <c r="FB26" s="18">
        <f>IF(155&gt;=DeliverStart,ExpAdminPerUnit*TotalUnits/12*FB$8,0)</f>
        <v/>
      </c>
      <c r="FC26" s="18">
        <f>IF(156&gt;=DeliverStart,ExpAdminPerUnit*TotalUnits/12*FC$8,0)</f>
        <v/>
      </c>
      <c r="FD26" s="18">
        <f>IF(157&gt;=DeliverStart,ExpAdminPerUnit*TotalUnits/12*FD$8,0)</f>
        <v/>
      </c>
      <c r="FE26" s="18">
        <f>IF(158&gt;=DeliverStart,ExpAdminPerUnit*TotalUnits/12*FE$8,0)</f>
        <v/>
      </c>
      <c r="FF26" s="18">
        <f>IF(159&gt;=DeliverStart,ExpAdminPerUnit*TotalUnits/12*FF$8,0)</f>
        <v/>
      </c>
      <c r="FG26" s="18">
        <f>IF(160&gt;=DeliverStart,ExpAdminPerUnit*TotalUnits/12*FG$8,0)</f>
        <v/>
      </c>
      <c r="FH26" s="18">
        <f>IF(161&gt;=DeliverStart,ExpAdminPerUnit*TotalUnits/12*FH$8,0)</f>
        <v/>
      </c>
      <c r="FI26" s="18">
        <f>IF(162&gt;=DeliverStart,ExpAdminPerUnit*TotalUnits/12*FI$8,0)</f>
        <v/>
      </c>
      <c r="FJ26" s="18">
        <f>IF(163&gt;=DeliverStart,ExpAdminPerUnit*TotalUnits/12*FJ$8,0)</f>
        <v/>
      </c>
      <c r="FK26" s="18">
        <f>IF(164&gt;=DeliverStart,ExpAdminPerUnit*TotalUnits/12*FK$8,0)</f>
        <v/>
      </c>
      <c r="FL26" s="18">
        <f>IF(165&gt;=DeliverStart,ExpAdminPerUnit*TotalUnits/12*FL$8,0)</f>
        <v/>
      </c>
      <c r="FM26" s="18">
        <f>IF(166&gt;=DeliverStart,ExpAdminPerUnit*TotalUnits/12*FM$8,0)</f>
        <v/>
      </c>
      <c r="FN26" s="18">
        <f>IF(167&gt;=DeliverStart,ExpAdminPerUnit*TotalUnits/12*FN$8,0)</f>
        <v/>
      </c>
      <c r="FO26" s="18">
        <f>IF(168&gt;=DeliverStart,ExpAdminPerUnit*TotalUnits/12*FO$8,0)</f>
        <v/>
      </c>
      <c r="FP26" s="18">
        <f>IF(169&gt;=DeliverStart,ExpAdminPerUnit*TotalUnits/12*FP$8,0)</f>
        <v/>
      </c>
      <c r="FQ26" s="18">
        <f>IF(170&gt;=DeliverStart,ExpAdminPerUnit*TotalUnits/12*FQ$8,0)</f>
        <v/>
      </c>
      <c r="FR26" s="18">
        <f>IF(171&gt;=DeliverStart,ExpAdminPerUnit*TotalUnits/12*FR$8,0)</f>
        <v/>
      </c>
      <c r="FS26" s="18">
        <f>IF(172&gt;=DeliverStart,ExpAdminPerUnit*TotalUnits/12*FS$8,0)</f>
        <v/>
      </c>
      <c r="FT26" s="18">
        <f>IF(173&gt;=DeliverStart,ExpAdminPerUnit*TotalUnits/12*FT$8,0)</f>
        <v/>
      </c>
      <c r="FU26" s="18">
        <f>IF(174&gt;=DeliverStart,ExpAdminPerUnit*TotalUnits/12*FU$8,0)</f>
        <v/>
      </c>
      <c r="FV26" s="18">
        <f>IF(175&gt;=DeliverStart,ExpAdminPerUnit*TotalUnits/12*FV$8,0)</f>
        <v/>
      </c>
      <c r="FW26" s="18">
        <f>IF(176&gt;=DeliverStart,ExpAdminPerUnit*TotalUnits/12*FW$8,0)</f>
        <v/>
      </c>
      <c r="FX26" s="18">
        <f>IF(177&gt;=DeliverStart,ExpAdminPerUnit*TotalUnits/12*FX$8,0)</f>
        <v/>
      </c>
      <c r="FY26" s="18">
        <f>IF(178&gt;=DeliverStart,ExpAdminPerUnit*TotalUnits/12*FY$8,0)</f>
        <v/>
      </c>
      <c r="FZ26" s="18">
        <f>IF(179&gt;=DeliverStart,ExpAdminPerUnit*TotalUnits/12*FZ$8,0)</f>
        <v/>
      </c>
      <c r="GA26" s="18">
        <f>IF(180&gt;=DeliverStart,ExpAdminPerUnit*TotalUnits/12*GA$8,0)</f>
        <v/>
      </c>
      <c r="GB26" s="18">
        <f>IF(181&gt;=DeliverStart,ExpAdminPerUnit*TotalUnits/12*GB$8,0)</f>
        <v/>
      </c>
      <c r="GC26" s="18">
        <f>IF(182&gt;=DeliverStart,ExpAdminPerUnit*TotalUnits/12*GC$8,0)</f>
        <v/>
      </c>
      <c r="GD26" s="18">
        <f>IF(183&gt;=DeliverStart,ExpAdminPerUnit*TotalUnits/12*GD$8,0)</f>
        <v/>
      </c>
      <c r="GE26" s="18">
        <f>IF(184&gt;=DeliverStart,ExpAdminPerUnit*TotalUnits/12*GE$8,0)</f>
        <v/>
      </c>
      <c r="GF26" s="18">
        <f>IF(185&gt;=DeliverStart,ExpAdminPerUnit*TotalUnits/12*GF$8,0)</f>
        <v/>
      </c>
      <c r="GG26" s="18">
        <f>IF(186&gt;=DeliverStart,ExpAdminPerUnit*TotalUnits/12*GG$8,0)</f>
        <v/>
      </c>
      <c r="GH26" s="18">
        <f>IF(187&gt;=DeliverStart,ExpAdminPerUnit*TotalUnits/12*GH$8,0)</f>
        <v/>
      </c>
      <c r="GI26" s="18">
        <f>IF(188&gt;=DeliverStart,ExpAdminPerUnit*TotalUnits/12*GI$8,0)</f>
        <v/>
      </c>
      <c r="GJ26" s="18">
        <f>IF(189&gt;=DeliverStart,ExpAdminPerUnit*TotalUnits/12*GJ$8,0)</f>
        <v/>
      </c>
      <c r="GK26" s="18">
        <f>IF(190&gt;=DeliverStart,ExpAdminPerUnit*TotalUnits/12*GK$8,0)</f>
        <v/>
      </c>
      <c r="GL26" s="18">
        <f>IF(191&gt;=DeliverStart,ExpAdminPerUnit*TotalUnits/12*GL$8,0)</f>
        <v/>
      </c>
      <c r="GM26" s="18">
        <f>IF(192&gt;=DeliverStart,ExpAdminPerUnit*TotalUnits/12*GM$8,0)</f>
        <v/>
      </c>
      <c r="GN26" s="18">
        <f>IF(193&gt;=DeliverStart,ExpAdminPerUnit*TotalUnits/12*GN$8,0)</f>
        <v/>
      </c>
      <c r="GO26" s="18">
        <f>IF(194&gt;=DeliverStart,ExpAdminPerUnit*TotalUnits/12*GO$8,0)</f>
        <v/>
      </c>
      <c r="GP26" s="18">
        <f>IF(195&gt;=DeliverStart,ExpAdminPerUnit*TotalUnits/12*GP$8,0)</f>
        <v/>
      </c>
      <c r="GQ26" s="18">
        <f>IF(196&gt;=DeliverStart,ExpAdminPerUnit*TotalUnits/12*GQ$8,0)</f>
        <v/>
      </c>
      <c r="GR26" s="18">
        <f>IF(197&gt;=DeliverStart,ExpAdminPerUnit*TotalUnits/12*GR$8,0)</f>
        <v/>
      </c>
      <c r="GS26" s="18">
        <f>IF(198&gt;=DeliverStart,ExpAdminPerUnit*TotalUnits/12*GS$8,0)</f>
        <v/>
      </c>
      <c r="GT26" s="18">
        <f>IF(199&gt;=DeliverStart,ExpAdminPerUnit*TotalUnits/12*GT$8,0)</f>
        <v/>
      </c>
      <c r="GU26" s="18">
        <f>IF(200&gt;=DeliverStart,ExpAdminPerUnit*TotalUnits/12*GU$8,0)</f>
        <v/>
      </c>
      <c r="GV26" s="18">
        <f>IF(201&gt;=DeliverStart,ExpAdminPerUnit*TotalUnits/12*GV$8,0)</f>
        <v/>
      </c>
      <c r="GW26" s="18">
        <f>IF(202&gt;=DeliverStart,ExpAdminPerUnit*TotalUnits/12*GW$8,0)</f>
        <v/>
      </c>
      <c r="GX26" s="18">
        <f>IF(203&gt;=DeliverStart,ExpAdminPerUnit*TotalUnits/12*GX$8,0)</f>
        <v/>
      </c>
      <c r="GY26" s="18">
        <f>IF(204&gt;=DeliverStart,ExpAdminPerUnit*TotalUnits/12*GY$8,0)</f>
        <v/>
      </c>
      <c r="GZ26" s="18">
        <f>IF(205&gt;=DeliverStart,ExpAdminPerUnit*TotalUnits/12*GZ$8,0)</f>
        <v/>
      </c>
      <c r="HA26" s="18">
        <f>IF(206&gt;=DeliverStart,ExpAdminPerUnit*TotalUnits/12*HA$8,0)</f>
        <v/>
      </c>
      <c r="HB26" s="18">
        <f>IF(207&gt;=DeliverStart,ExpAdminPerUnit*TotalUnits/12*HB$8,0)</f>
        <v/>
      </c>
      <c r="HC26" s="18">
        <f>IF(208&gt;=DeliverStart,ExpAdminPerUnit*TotalUnits/12*HC$8,0)</f>
        <v/>
      </c>
      <c r="HD26" s="18">
        <f>IF(209&gt;=DeliverStart,ExpAdminPerUnit*TotalUnits/12*HD$8,0)</f>
        <v/>
      </c>
      <c r="HE26" s="18">
        <f>IF(210&gt;=DeliverStart,ExpAdminPerUnit*TotalUnits/12*HE$8,0)</f>
        <v/>
      </c>
      <c r="HF26" s="18">
        <f>IF(211&gt;=DeliverStart,ExpAdminPerUnit*TotalUnits/12*HF$8,0)</f>
        <v/>
      </c>
      <c r="HG26" s="18">
        <f>IF(212&gt;=DeliverStart,ExpAdminPerUnit*TotalUnits/12*HG$8,0)</f>
        <v/>
      </c>
      <c r="HH26" s="18">
        <f>IF(213&gt;=DeliverStart,ExpAdminPerUnit*TotalUnits/12*HH$8,0)</f>
        <v/>
      </c>
      <c r="HI26" s="18">
        <f>IF(214&gt;=DeliverStart,ExpAdminPerUnit*TotalUnits/12*HI$8,0)</f>
        <v/>
      </c>
      <c r="HJ26" s="18">
        <f>IF(215&gt;=DeliverStart,ExpAdminPerUnit*TotalUnits/12*HJ$8,0)</f>
        <v/>
      </c>
      <c r="HK26" s="18">
        <f>IF(216&gt;=DeliverStart,ExpAdminPerUnit*TotalUnits/12*HK$8,0)</f>
        <v/>
      </c>
      <c r="HL26" s="18">
        <f>IF(217&gt;=DeliverStart,ExpAdminPerUnit*TotalUnits/12*HL$8,0)</f>
        <v/>
      </c>
      <c r="HM26" s="18">
        <f>IF(218&gt;=DeliverStart,ExpAdminPerUnit*TotalUnits/12*HM$8,0)</f>
        <v/>
      </c>
      <c r="HN26" s="18">
        <f>IF(219&gt;=DeliverStart,ExpAdminPerUnit*TotalUnits/12*HN$8,0)</f>
        <v/>
      </c>
      <c r="HO26" s="18">
        <f>IF(220&gt;=DeliverStart,ExpAdminPerUnit*TotalUnits/12*HO$8,0)</f>
        <v/>
      </c>
      <c r="HP26" s="18">
        <f>IF(221&gt;=DeliverStart,ExpAdminPerUnit*TotalUnits/12*HP$8,0)</f>
        <v/>
      </c>
      <c r="HQ26" s="18">
        <f>IF(222&gt;=DeliverStart,ExpAdminPerUnit*TotalUnits/12*HQ$8,0)</f>
        <v/>
      </c>
      <c r="HR26" s="18">
        <f>IF(223&gt;=DeliverStart,ExpAdminPerUnit*TotalUnits/12*HR$8,0)</f>
        <v/>
      </c>
      <c r="HS26" s="18">
        <f>IF(224&gt;=DeliverStart,ExpAdminPerUnit*TotalUnits/12*HS$8,0)</f>
        <v/>
      </c>
      <c r="HT26" s="18">
        <f>IF(225&gt;=DeliverStart,ExpAdminPerUnit*TotalUnits/12*HT$8,0)</f>
        <v/>
      </c>
      <c r="HU26" s="18">
        <f>IF(226&gt;=DeliverStart,ExpAdminPerUnit*TotalUnits/12*HU$8,0)</f>
        <v/>
      </c>
      <c r="HV26" s="18">
        <f>IF(227&gt;=DeliverStart,ExpAdminPerUnit*TotalUnits/12*HV$8,0)</f>
        <v/>
      </c>
      <c r="HW26" s="18">
        <f>IF(228&gt;=DeliverStart,ExpAdminPerUnit*TotalUnits/12*HW$8,0)</f>
        <v/>
      </c>
      <c r="HX26" s="18">
        <f>IF(229&gt;=DeliverStart,ExpAdminPerUnit*TotalUnits/12*HX$8,0)</f>
        <v/>
      </c>
      <c r="HY26" s="18">
        <f>IF(230&gt;=DeliverStart,ExpAdminPerUnit*TotalUnits/12*HY$8,0)</f>
        <v/>
      </c>
      <c r="HZ26" s="18">
        <f>IF(231&gt;=DeliverStart,ExpAdminPerUnit*TotalUnits/12*HZ$8,0)</f>
        <v/>
      </c>
      <c r="IA26" s="18">
        <f>IF(232&gt;=DeliverStart,ExpAdminPerUnit*TotalUnits/12*IA$8,0)</f>
        <v/>
      </c>
      <c r="IB26" s="18">
        <f>IF(233&gt;=DeliverStart,ExpAdminPerUnit*TotalUnits/12*IB$8,0)</f>
        <v/>
      </c>
      <c r="IC26" s="18">
        <f>IF(234&gt;=DeliverStart,ExpAdminPerUnit*TotalUnits/12*IC$8,0)</f>
        <v/>
      </c>
      <c r="ID26" s="18">
        <f>IF(235&gt;=DeliverStart,ExpAdminPerUnit*TotalUnits/12*ID$8,0)</f>
        <v/>
      </c>
      <c r="IE26" s="18">
        <f>IF(236&gt;=DeliverStart,ExpAdminPerUnit*TotalUnits/12*IE$8,0)</f>
        <v/>
      </c>
      <c r="IF26" s="18">
        <f>IF(237&gt;=DeliverStart,ExpAdminPerUnit*TotalUnits/12*IF$8,0)</f>
        <v/>
      </c>
      <c r="IG26" s="18">
        <f>IF(238&gt;=DeliverStart,ExpAdminPerUnit*TotalUnits/12*IG$8,0)</f>
        <v/>
      </c>
      <c r="IH26" s="18">
        <f>IF(239&gt;=DeliverStart,ExpAdminPerUnit*TotalUnits/12*IH$8,0)</f>
        <v/>
      </c>
      <c r="II26" s="18">
        <f>IF(240&gt;=DeliverStart,ExpAdminPerUnit*TotalUnits/12*II$8,0)</f>
        <v/>
      </c>
      <c r="IJ26" s="18">
        <f>IF(241&gt;=DeliverStart,ExpAdminPerUnit*TotalUnits/12*IJ$8,0)</f>
        <v/>
      </c>
      <c r="IK26" s="18">
        <f>IF(242&gt;=DeliverStart,ExpAdminPerUnit*TotalUnits/12*IK$8,0)</f>
        <v/>
      </c>
      <c r="IL26" s="18">
        <f>IF(243&gt;=DeliverStart,ExpAdminPerUnit*TotalUnits/12*IL$8,0)</f>
        <v/>
      </c>
      <c r="IM26" s="18">
        <f>IF(244&gt;=DeliverStart,ExpAdminPerUnit*TotalUnits/12*IM$8,0)</f>
        <v/>
      </c>
      <c r="IN26" s="18">
        <f>IF(245&gt;=DeliverStart,ExpAdminPerUnit*TotalUnits/12*IN$8,0)</f>
        <v/>
      </c>
      <c r="IO26" s="18">
        <f>IF(246&gt;=DeliverStart,ExpAdminPerUnit*TotalUnits/12*IO$8,0)</f>
        <v/>
      </c>
      <c r="IP26" s="18">
        <f>IF(247&gt;=DeliverStart,ExpAdminPerUnit*TotalUnits/12*IP$8,0)</f>
        <v/>
      </c>
      <c r="IQ26" s="18">
        <f>IF(248&gt;=DeliverStart,ExpAdminPerUnit*TotalUnits/12*IQ$8,0)</f>
        <v/>
      </c>
      <c r="IR26" s="18">
        <f>IF(249&gt;=DeliverStart,ExpAdminPerUnit*TotalUnits/12*IR$8,0)</f>
        <v/>
      </c>
      <c r="IS26" s="18">
        <f>IF(250&gt;=DeliverStart,ExpAdminPerUnit*TotalUnits/12*IS$8,0)</f>
        <v/>
      </c>
      <c r="IT26" s="18">
        <f>IF(251&gt;=DeliverStart,ExpAdminPerUnit*TotalUnits/12*IT$8,0)</f>
        <v/>
      </c>
      <c r="IU26" s="18">
        <f>IF(252&gt;=DeliverStart,ExpAdminPerUnit*TotalUnits/12*IU$8,0)</f>
        <v/>
      </c>
      <c r="IV26" s="18">
        <f>IF(253&gt;=DeliverStart,ExpAdminPerUnit*TotalUnits/12*IV$8,0)</f>
        <v/>
      </c>
      <c r="IW26" s="18">
        <f>IF(254&gt;=DeliverStart,ExpAdminPerUnit*TotalUnits/12*IW$8,0)</f>
        <v/>
      </c>
      <c r="IX26" s="18">
        <f>IF(255&gt;=DeliverStart,ExpAdminPerUnit*TotalUnits/12*IX$8,0)</f>
        <v/>
      </c>
      <c r="IY26" s="18">
        <f>IF(256&gt;=DeliverStart,ExpAdminPerUnit*TotalUnits/12*IY$8,0)</f>
        <v/>
      </c>
      <c r="IZ26" s="18">
        <f>IF(257&gt;=DeliverStart,ExpAdminPerUnit*TotalUnits/12*IZ$8,0)</f>
        <v/>
      </c>
      <c r="JA26" s="18">
        <f>IF(258&gt;=DeliverStart,ExpAdminPerUnit*TotalUnits/12*JA$8,0)</f>
        <v/>
      </c>
      <c r="JB26" s="18">
        <f>IF(259&gt;=DeliverStart,ExpAdminPerUnit*TotalUnits/12*JB$8,0)</f>
        <v/>
      </c>
      <c r="JC26" s="18">
        <f>IF(260&gt;=DeliverStart,ExpAdminPerUnit*TotalUnits/12*JC$8,0)</f>
        <v/>
      </c>
      <c r="JD26" s="18">
        <f>IF(261&gt;=DeliverStart,ExpAdminPerUnit*TotalUnits/12*JD$8,0)</f>
        <v/>
      </c>
      <c r="JE26" s="18">
        <f>IF(262&gt;=DeliverStart,ExpAdminPerUnit*TotalUnits/12*JE$8,0)</f>
        <v/>
      </c>
      <c r="JF26" s="18">
        <f>IF(263&gt;=DeliverStart,ExpAdminPerUnit*TotalUnits/12*JF$8,0)</f>
        <v/>
      </c>
      <c r="JG26" s="18">
        <f>IF(264&gt;=DeliverStart,ExpAdminPerUnit*TotalUnits/12*JG$8,0)</f>
        <v/>
      </c>
      <c r="JH26" s="18">
        <f>IF(265&gt;=DeliverStart,ExpAdminPerUnit*TotalUnits/12*JH$8,0)</f>
        <v/>
      </c>
      <c r="JI26" s="18">
        <f>IF(266&gt;=DeliverStart,ExpAdminPerUnit*TotalUnits/12*JI$8,0)</f>
        <v/>
      </c>
      <c r="JJ26" s="18">
        <f>IF(267&gt;=DeliverStart,ExpAdminPerUnit*TotalUnits/12*JJ$8,0)</f>
        <v/>
      </c>
      <c r="JK26" s="18">
        <f>IF(268&gt;=DeliverStart,ExpAdminPerUnit*TotalUnits/12*JK$8,0)</f>
        <v/>
      </c>
      <c r="JL26" s="18">
        <f>IF(269&gt;=DeliverStart,ExpAdminPerUnit*TotalUnits/12*JL$8,0)</f>
        <v/>
      </c>
      <c r="JM26" s="18">
        <f>IF(270&gt;=DeliverStart,ExpAdminPerUnit*TotalUnits/12*JM$8,0)</f>
        <v/>
      </c>
      <c r="JN26" s="18">
        <f>IF(271&gt;=DeliverStart,ExpAdminPerUnit*TotalUnits/12*JN$8,0)</f>
        <v/>
      </c>
      <c r="JO26" s="18">
        <f>IF(272&gt;=DeliverStart,ExpAdminPerUnit*TotalUnits/12*JO$8,0)</f>
        <v/>
      </c>
      <c r="JP26" s="18">
        <f>IF(273&gt;=DeliverStart,ExpAdminPerUnit*TotalUnits/12*JP$8,0)</f>
        <v/>
      </c>
      <c r="JQ26" s="18">
        <f>IF(274&gt;=DeliverStart,ExpAdminPerUnit*TotalUnits/12*JQ$8,0)</f>
        <v/>
      </c>
      <c r="JR26" s="18">
        <f>IF(275&gt;=DeliverStart,ExpAdminPerUnit*TotalUnits/12*JR$8,0)</f>
        <v/>
      </c>
      <c r="JS26" s="18">
        <f>IF(276&gt;=DeliverStart,ExpAdminPerUnit*TotalUnits/12*JS$8,0)</f>
        <v/>
      </c>
      <c r="JT26" s="18">
        <f>IF(277&gt;=DeliverStart,ExpAdminPerUnit*TotalUnits/12*JT$8,0)</f>
        <v/>
      </c>
      <c r="JU26" s="18">
        <f>IF(278&gt;=DeliverStart,ExpAdminPerUnit*TotalUnits/12*JU$8,0)</f>
        <v/>
      </c>
      <c r="JV26" s="18">
        <f>IF(279&gt;=DeliverStart,ExpAdminPerUnit*TotalUnits/12*JV$8,0)</f>
        <v/>
      </c>
      <c r="JW26" s="18">
        <f>IF(280&gt;=DeliverStart,ExpAdminPerUnit*TotalUnits/12*JW$8,0)</f>
        <v/>
      </c>
      <c r="JX26" s="18">
        <f>IF(281&gt;=DeliverStart,ExpAdminPerUnit*TotalUnits/12*JX$8,0)</f>
        <v/>
      </c>
      <c r="JY26" s="18">
        <f>IF(282&gt;=DeliverStart,ExpAdminPerUnit*TotalUnits/12*JY$8,0)</f>
        <v/>
      </c>
      <c r="JZ26" s="18">
        <f>IF(283&gt;=DeliverStart,ExpAdminPerUnit*TotalUnits/12*JZ$8,0)</f>
        <v/>
      </c>
      <c r="KA26" s="18">
        <f>IF(284&gt;=DeliverStart,ExpAdminPerUnit*TotalUnits/12*KA$8,0)</f>
        <v/>
      </c>
      <c r="KB26" s="18">
        <f>IF(285&gt;=DeliverStart,ExpAdminPerUnit*TotalUnits/12*KB$8,0)</f>
        <v/>
      </c>
      <c r="KC26" s="18">
        <f>IF(286&gt;=DeliverStart,ExpAdminPerUnit*TotalUnits/12*KC$8,0)</f>
        <v/>
      </c>
      <c r="KD26" s="18">
        <f>IF(287&gt;=DeliverStart,ExpAdminPerUnit*TotalUnits/12*KD$8,0)</f>
        <v/>
      </c>
      <c r="KE26" s="18">
        <f>IF(288&gt;=DeliverStart,ExpAdminPerUnit*TotalUnits/12*KE$8,0)</f>
        <v/>
      </c>
      <c r="KF26" s="18">
        <f>IF(289&gt;=DeliverStart,ExpAdminPerUnit*TotalUnits/12*KF$8,0)</f>
        <v/>
      </c>
      <c r="KG26" s="18">
        <f>IF(290&gt;=DeliverStart,ExpAdminPerUnit*TotalUnits/12*KG$8,0)</f>
        <v/>
      </c>
      <c r="KH26" s="18">
        <f>IF(291&gt;=DeliverStart,ExpAdminPerUnit*TotalUnits/12*KH$8,0)</f>
        <v/>
      </c>
      <c r="KI26" s="18">
        <f>IF(292&gt;=DeliverStart,ExpAdminPerUnit*TotalUnits/12*KI$8,0)</f>
        <v/>
      </c>
      <c r="KJ26" s="18">
        <f>IF(293&gt;=DeliverStart,ExpAdminPerUnit*TotalUnits/12*KJ$8,0)</f>
        <v/>
      </c>
      <c r="KK26" s="18">
        <f>IF(294&gt;=DeliverStart,ExpAdminPerUnit*TotalUnits/12*KK$8,0)</f>
        <v/>
      </c>
      <c r="KL26" s="18">
        <f>IF(295&gt;=DeliverStart,ExpAdminPerUnit*TotalUnits/12*KL$8,0)</f>
        <v/>
      </c>
      <c r="KM26" s="18">
        <f>IF(296&gt;=DeliverStart,ExpAdminPerUnit*TotalUnits/12*KM$8,0)</f>
        <v/>
      </c>
      <c r="KN26" s="18">
        <f>IF(297&gt;=DeliverStart,ExpAdminPerUnit*TotalUnits/12*KN$8,0)</f>
        <v/>
      </c>
      <c r="KO26" s="18">
        <f>IF(298&gt;=DeliverStart,ExpAdminPerUnit*TotalUnits/12*KO$8,0)</f>
        <v/>
      </c>
      <c r="KP26" s="18">
        <f>IF(299&gt;=DeliverStart,ExpAdminPerUnit*TotalUnits/12*KP$8,0)</f>
        <v/>
      </c>
      <c r="KQ26" s="18">
        <f>IF(300&gt;=DeliverStart,ExpAdminPerUnit*TotalUnits/12*KQ$8,0)</f>
        <v/>
      </c>
      <c r="KR26" s="18">
        <f>IF(301&gt;=DeliverStart,ExpAdminPerUnit*TotalUnits/12*KR$8,0)</f>
        <v/>
      </c>
      <c r="KS26" s="18">
        <f>IF(302&gt;=DeliverStart,ExpAdminPerUnit*TotalUnits/12*KS$8,0)</f>
        <v/>
      </c>
      <c r="KT26" s="18">
        <f>IF(303&gt;=DeliverStart,ExpAdminPerUnit*TotalUnits/12*KT$8,0)</f>
        <v/>
      </c>
      <c r="KU26" s="18">
        <f>IF(304&gt;=DeliverStart,ExpAdminPerUnit*TotalUnits/12*KU$8,0)</f>
        <v/>
      </c>
      <c r="KV26" s="18">
        <f>IF(305&gt;=DeliverStart,ExpAdminPerUnit*TotalUnits/12*KV$8,0)</f>
        <v/>
      </c>
      <c r="KW26" s="18">
        <f>IF(306&gt;=DeliverStart,ExpAdminPerUnit*TotalUnits/12*KW$8,0)</f>
        <v/>
      </c>
      <c r="KX26" s="18">
        <f>IF(307&gt;=DeliverStart,ExpAdminPerUnit*TotalUnits/12*KX$8,0)</f>
        <v/>
      </c>
      <c r="KY26" s="18">
        <f>IF(308&gt;=DeliverStart,ExpAdminPerUnit*TotalUnits/12*KY$8,0)</f>
        <v/>
      </c>
      <c r="KZ26" s="18">
        <f>IF(309&gt;=DeliverStart,ExpAdminPerUnit*TotalUnits/12*KZ$8,0)</f>
        <v/>
      </c>
      <c r="LA26" s="18">
        <f>IF(310&gt;=DeliverStart,ExpAdminPerUnit*TotalUnits/12*LA$8,0)</f>
        <v/>
      </c>
      <c r="LB26" s="18">
        <f>IF(311&gt;=DeliverStart,ExpAdminPerUnit*TotalUnits/12*LB$8,0)</f>
        <v/>
      </c>
      <c r="LC26" s="18">
        <f>IF(312&gt;=DeliverStart,ExpAdminPerUnit*TotalUnits/12*LC$8,0)</f>
        <v/>
      </c>
      <c r="LD26" s="18">
        <f>IF(313&gt;=DeliverStart,ExpAdminPerUnit*TotalUnits/12*LD$8,0)</f>
        <v/>
      </c>
      <c r="LE26" s="18">
        <f>IF(314&gt;=DeliverStart,ExpAdminPerUnit*TotalUnits/12*LE$8,0)</f>
        <v/>
      </c>
      <c r="LF26" s="18">
        <f>IF(315&gt;=DeliverStart,ExpAdminPerUnit*TotalUnits/12*LF$8,0)</f>
        <v/>
      </c>
      <c r="LG26" s="18">
        <f>IF(316&gt;=DeliverStart,ExpAdminPerUnit*TotalUnits/12*LG$8,0)</f>
        <v/>
      </c>
      <c r="LH26" s="18">
        <f>IF(317&gt;=DeliverStart,ExpAdminPerUnit*TotalUnits/12*LH$8,0)</f>
        <v/>
      </c>
      <c r="LI26" s="18">
        <f>IF(318&gt;=DeliverStart,ExpAdminPerUnit*TotalUnits/12*LI$8,0)</f>
        <v/>
      </c>
      <c r="LJ26" s="18">
        <f>IF(319&gt;=DeliverStart,ExpAdminPerUnit*TotalUnits/12*LJ$8,0)</f>
        <v/>
      </c>
      <c r="LK26" s="18">
        <f>IF(320&gt;=DeliverStart,ExpAdminPerUnit*TotalUnits/12*LK$8,0)</f>
        <v/>
      </c>
      <c r="LL26" s="18">
        <f>IF(321&gt;=DeliverStart,ExpAdminPerUnit*TotalUnits/12*LL$8,0)</f>
        <v/>
      </c>
      <c r="LM26" s="18">
        <f>IF(322&gt;=DeliverStart,ExpAdminPerUnit*TotalUnits/12*LM$8,0)</f>
        <v/>
      </c>
      <c r="LN26" s="18">
        <f>IF(323&gt;=DeliverStart,ExpAdminPerUnit*TotalUnits/12*LN$8,0)</f>
        <v/>
      </c>
      <c r="LO26" s="18">
        <f>IF(324&gt;=DeliverStart,ExpAdminPerUnit*TotalUnits/12*LO$8,0)</f>
        <v/>
      </c>
      <c r="LP26" s="18">
        <f>IF(325&gt;=DeliverStart,ExpAdminPerUnit*TotalUnits/12*LP$8,0)</f>
        <v/>
      </c>
      <c r="LQ26" s="18">
        <f>IF(326&gt;=DeliverStart,ExpAdminPerUnit*TotalUnits/12*LQ$8,0)</f>
        <v/>
      </c>
      <c r="LR26" s="18">
        <f>IF(327&gt;=DeliverStart,ExpAdminPerUnit*TotalUnits/12*LR$8,0)</f>
        <v/>
      </c>
      <c r="LS26" s="18">
        <f>IF(328&gt;=DeliverStart,ExpAdminPerUnit*TotalUnits/12*LS$8,0)</f>
        <v/>
      </c>
      <c r="LT26" s="18">
        <f>IF(329&gt;=DeliverStart,ExpAdminPerUnit*TotalUnits/12*LT$8,0)</f>
        <v/>
      </c>
      <c r="LU26" s="18">
        <f>IF(330&gt;=DeliverStart,ExpAdminPerUnit*TotalUnits/12*LU$8,0)</f>
        <v/>
      </c>
      <c r="LV26" s="18">
        <f>IF(331&gt;=DeliverStart,ExpAdminPerUnit*TotalUnits/12*LV$8,0)</f>
        <v/>
      </c>
      <c r="LW26" s="18">
        <f>IF(332&gt;=DeliverStart,ExpAdminPerUnit*TotalUnits/12*LW$8,0)</f>
        <v/>
      </c>
      <c r="LX26" s="18">
        <f>IF(333&gt;=DeliverStart,ExpAdminPerUnit*TotalUnits/12*LX$8,0)</f>
        <v/>
      </c>
      <c r="LY26" s="18">
        <f>IF(334&gt;=DeliverStart,ExpAdminPerUnit*TotalUnits/12*LY$8,0)</f>
        <v/>
      </c>
      <c r="LZ26" s="18">
        <f>IF(335&gt;=DeliverStart,ExpAdminPerUnit*TotalUnits/12*LZ$8,0)</f>
        <v/>
      </c>
      <c r="MA26" s="18">
        <f>IF(336&gt;=DeliverStart,ExpAdminPerUnit*TotalUnits/12*MA$8,0)</f>
        <v/>
      </c>
      <c r="MB26" s="18">
        <f>IF(337&gt;=DeliverStart,ExpAdminPerUnit*TotalUnits/12*MB$8,0)</f>
        <v/>
      </c>
      <c r="MC26" s="18">
        <f>IF(338&gt;=DeliverStart,ExpAdminPerUnit*TotalUnits/12*MC$8,0)</f>
        <v/>
      </c>
      <c r="MD26" s="18">
        <f>IF(339&gt;=DeliverStart,ExpAdminPerUnit*TotalUnits/12*MD$8,0)</f>
        <v/>
      </c>
      <c r="ME26" s="18">
        <f>IF(340&gt;=DeliverStart,ExpAdminPerUnit*TotalUnits/12*ME$8,0)</f>
        <v/>
      </c>
      <c r="MF26" s="18">
        <f>IF(341&gt;=DeliverStart,ExpAdminPerUnit*TotalUnits/12*MF$8,0)</f>
        <v/>
      </c>
      <c r="MG26" s="18">
        <f>IF(342&gt;=DeliverStart,ExpAdminPerUnit*TotalUnits/12*MG$8,0)</f>
        <v/>
      </c>
      <c r="MH26" s="18">
        <f>IF(343&gt;=DeliverStart,ExpAdminPerUnit*TotalUnits/12*MH$8,0)</f>
        <v/>
      </c>
      <c r="MI26" s="18">
        <f>IF(344&gt;=DeliverStart,ExpAdminPerUnit*TotalUnits/12*MI$8,0)</f>
        <v/>
      </c>
      <c r="MJ26" s="18">
        <f>IF(345&gt;=DeliverStart,ExpAdminPerUnit*TotalUnits/12*MJ$8,0)</f>
        <v/>
      </c>
      <c r="MK26" s="18">
        <f>IF(346&gt;=DeliverStart,ExpAdminPerUnit*TotalUnits/12*MK$8,0)</f>
        <v/>
      </c>
      <c r="ML26" s="18">
        <f>IF(347&gt;=DeliverStart,ExpAdminPerUnit*TotalUnits/12*ML$8,0)</f>
        <v/>
      </c>
      <c r="MM26" s="18">
        <f>IF(348&gt;=DeliverStart,ExpAdminPerUnit*TotalUnits/12*MM$8,0)</f>
        <v/>
      </c>
      <c r="MN26" s="18">
        <f>IF(349&gt;=DeliverStart,ExpAdminPerUnit*TotalUnits/12*MN$8,0)</f>
        <v/>
      </c>
      <c r="MO26" s="18">
        <f>IF(350&gt;=DeliverStart,ExpAdminPerUnit*TotalUnits/12*MO$8,0)</f>
        <v/>
      </c>
      <c r="MP26" s="18">
        <f>IF(351&gt;=DeliverStart,ExpAdminPerUnit*TotalUnits/12*MP$8,0)</f>
        <v/>
      </c>
      <c r="MQ26" s="18">
        <f>IF(352&gt;=DeliverStart,ExpAdminPerUnit*TotalUnits/12*MQ$8,0)</f>
        <v/>
      </c>
      <c r="MR26" s="18">
        <f>IF(353&gt;=DeliverStart,ExpAdminPerUnit*TotalUnits/12*MR$8,0)</f>
        <v/>
      </c>
      <c r="MS26" s="18">
        <f>IF(354&gt;=DeliverStart,ExpAdminPerUnit*TotalUnits/12*MS$8,0)</f>
        <v/>
      </c>
      <c r="MT26" s="18">
        <f>IF(355&gt;=DeliverStart,ExpAdminPerUnit*TotalUnits/12*MT$8,0)</f>
        <v/>
      </c>
      <c r="MU26" s="18">
        <f>IF(356&gt;=DeliverStart,ExpAdminPerUnit*TotalUnits/12*MU$8,0)</f>
        <v/>
      </c>
      <c r="MV26" s="18">
        <f>IF(357&gt;=DeliverStart,ExpAdminPerUnit*TotalUnits/12*MV$8,0)</f>
        <v/>
      </c>
      <c r="MW26" s="18">
        <f>IF(358&gt;=DeliverStart,ExpAdminPerUnit*TotalUnits/12*MW$8,0)</f>
        <v/>
      </c>
      <c r="MX26" s="18">
        <f>IF(359&gt;=DeliverStart,ExpAdminPerUnit*TotalUnits/12*MX$8,0)</f>
        <v/>
      </c>
      <c r="MY26" s="18">
        <f>IF(360&gt;=DeliverStart,ExpAdminPerUnit*TotalUnits/12*MY$8,0)</f>
        <v/>
      </c>
      <c r="MZ26" s="18">
        <f>IF(361&gt;=DeliverStart,ExpAdminPerUnit*TotalUnits/12*MZ$8,0)</f>
        <v/>
      </c>
      <c r="NA26" s="18">
        <f>IF(362&gt;=DeliverStart,ExpAdminPerUnit*TotalUnits/12*NA$8,0)</f>
        <v/>
      </c>
      <c r="NB26" s="18">
        <f>IF(363&gt;=DeliverStart,ExpAdminPerUnit*TotalUnits/12*NB$8,0)</f>
        <v/>
      </c>
      <c r="NC26" s="18">
        <f>IF(364&gt;=DeliverStart,ExpAdminPerUnit*TotalUnits/12*NC$8,0)</f>
        <v/>
      </c>
      <c r="ND26" s="18">
        <f>IF(365&gt;=DeliverStart,ExpAdminPerUnit*TotalUnits/12*ND$8,0)</f>
        <v/>
      </c>
      <c r="NE26" s="18">
        <f>IF(366&gt;=DeliverStart,ExpAdminPerUnit*TotalUnits/12*NE$8,0)</f>
        <v/>
      </c>
      <c r="NF26" s="18">
        <f>IF(367&gt;=DeliverStart,ExpAdminPerUnit*TotalUnits/12*NF$8,0)</f>
        <v/>
      </c>
      <c r="NG26" s="18">
        <f>IF(368&gt;=DeliverStart,ExpAdminPerUnit*TotalUnits/12*NG$8,0)</f>
        <v/>
      </c>
      <c r="NH26" s="18">
        <f>IF(369&gt;=DeliverStart,ExpAdminPerUnit*TotalUnits/12*NH$8,0)</f>
        <v/>
      </c>
      <c r="NI26" s="18">
        <f>IF(370&gt;=DeliverStart,ExpAdminPerUnit*TotalUnits/12*NI$8,0)</f>
        <v/>
      </c>
      <c r="NJ26" s="18">
        <f>IF(371&gt;=DeliverStart,ExpAdminPerUnit*TotalUnits/12*NJ$8,0)</f>
        <v/>
      </c>
      <c r="NK26" s="18">
        <f>IF(372&gt;=DeliverStart,ExpAdminPerUnit*TotalUnits/12*NK$8,0)</f>
        <v/>
      </c>
    </row>
    <row r="27">
      <c r="A27" s="5" t="inlineStr">
        <is>
          <t>Utilities (variable)</t>
        </is>
      </c>
      <c r="C27" s="41">
        <f>SUM(D27:NK27)</f>
        <v/>
      </c>
      <c r="D27" s="18">
        <f>IF(1&gt;=DeliverStart,ExpUtilitiesPerUnit*TotalUnits/12*D$9*D$11,0)</f>
        <v/>
      </c>
      <c r="E27" s="18">
        <f>IF(2&gt;=DeliverStart,ExpUtilitiesPerUnit*TotalUnits/12*E$9*E$11,0)</f>
        <v/>
      </c>
      <c r="F27" s="18">
        <f>IF(3&gt;=DeliverStart,ExpUtilitiesPerUnit*TotalUnits/12*F$9*F$11,0)</f>
        <v/>
      </c>
      <c r="G27" s="18">
        <f>IF(4&gt;=DeliverStart,ExpUtilitiesPerUnit*TotalUnits/12*G$9*G$11,0)</f>
        <v/>
      </c>
      <c r="H27" s="18">
        <f>IF(5&gt;=DeliverStart,ExpUtilitiesPerUnit*TotalUnits/12*H$9*H$11,0)</f>
        <v/>
      </c>
      <c r="I27" s="18">
        <f>IF(6&gt;=DeliverStart,ExpUtilitiesPerUnit*TotalUnits/12*I$9*I$11,0)</f>
        <v/>
      </c>
      <c r="J27" s="18">
        <f>IF(7&gt;=DeliverStart,ExpUtilitiesPerUnit*TotalUnits/12*J$9*J$11,0)</f>
        <v/>
      </c>
      <c r="K27" s="18">
        <f>IF(8&gt;=DeliverStart,ExpUtilitiesPerUnit*TotalUnits/12*K$9*K$11,0)</f>
        <v/>
      </c>
      <c r="L27" s="18">
        <f>IF(9&gt;=DeliverStart,ExpUtilitiesPerUnit*TotalUnits/12*L$9*L$11,0)</f>
        <v/>
      </c>
      <c r="M27" s="18">
        <f>IF(10&gt;=DeliverStart,ExpUtilitiesPerUnit*TotalUnits/12*M$9*M$11,0)</f>
        <v/>
      </c>
      <c r="N27" s="18">
        <f>IF(11&gt;=DeliverStart,ExpUtilitiesPerUnit*TotalUnits/12*N$9*N$11,0)</f>
        <v/>
      </c>
      <c r="O27" s="18">
        <f>IF(12&gt;=DeliverStart,ExpUtilitiesPerUnit*TotalUnits/12*O$9*O$11,0)</f>
        <v/>
      </c>
      <c r="P27" s="18">
        <f>IF(13&gt;=DeliverStart,ExpUtilitiesPerUnit*TotalUnits/12*P$9*P$11,0)</f>
        <v/>
      </c>
      <c r="Q27" s="18">
        <f>IF(14&gt;=DeliverStart,ExpUtilitiesPerUnit*TotalUnits/12*Q$9*Q$11,0)</f>
        <v/>
      </c>
      <c r="R27" s="18">
        <f>IF(15&gt;=DeliverStart,ExpUtilitiesPerUnit*TotalUnits/12*R$9*R$11,0)</f>
        <v/>
      </c>
      <c r="S27" s="18">
        <f>IF(16&gt;=DeliverStart,ExpUtilitiesPerUnit*TotalUnits/12*S$9*S$11,0)</f>
        <v/>
      </c>
      <c r="T27" s="18">
        <f>IF(17&gt;=DeliverStart,ExpUtilitiesPerUnit*TotalUnits/12*T$9*T$11,0)</f>
        <v/>
      </c>
      <c r="U27" s="18">
        <f>IF(18&gt;=DeliverStart,ExpUtilitiesPerUnit*TotalUnits/12*U$9*U$11,0)</f>
        <v/>
      </c>
      <c r="V27" s="18">
        <f>IF(19&gt;=DeliverStart,ExpUtilitiesPerUnit*TotalUnits/12*V$9*V$11,0)</f>
        <v/>
      </c>
      <c r="W27" s="18">
        <f>IF(20&gt;=DeliverStart,ExpUtilitiesPerUnit*TotalUnits/12*W$9*W$11,0)</f>
        <v/>
      </c>
      <c r="X27" s="18">
        <f>IF(21&gt;=DeliverStart,ExpUtilitiesPerUnit*TotalUnits/12*X$9*X$11,0)</f>
        <v/>
      </c>
      <c r="Y27" s="18">
        <f>IF(22&gt;=DeliverStart,ExpUtilitiesPerUnit*TotalUnits/12*Y$9*Y$11,0)</f>
        <v/>
      </c>
      <c r="Z27" s="18">
        <f>IF(23&gt;=DeliverStart,ExpUtilitiesPerUnit*TotalUnits/12*Z$9*Z$11,0)</f>
        <v/>
      </c>
      <c r="AA27" s="18">
        <f>IF(24&gt;=DeliverStart,ExpUtilitiesPerUnit*TotalUnits/12*AA$9*AA$11,0)</f>
        <v/>
      </c>
      <c r="AB27" s="18">
        <f>IF(25&gt;=DeliverStart,ExpUtilitiesPerUnit*TotalUnits/12*AB$9*AB$11,0)</f>
        <v/>
      </c>
      <c r="AC27" s="18">
        <f>IF(26&gt;=DeliverStart,ExpUtilitiesPerUnit*TotalUnits/12*AC$9*AC$11,0)</f>
        <v/>
      </c>
      <c r="AD27" s="18">
        <f>IF(27&gt;=DeliverStart,ExpUtilitiesPerUnit*TotalUnits/12*AD$9*AD$11,0)</f>
        <v/>
      </c>
      <c r="AE27" s="18">
        <f>IF(28&gt;=DeliverStart,ExpUtilitiesPerUnit*TotalUnits/12*AE$9*AE$11,0)</f>
        <v/>
      </c>
      <c r="AF27" s="18">
        <f>IF(29&gt;=DeliverStart,ExpUtilitiesPerUnit*TotalUnits/12*AF$9*AF$11,0)</f>
        <v/>
      </c>
      <c r="AG27" s="18">
        <f>IF(30&gt;=DeliverStart,ExpUtilitiesPerUnit*TotalUnits/12*AG$9*AG$11,0)</f>
        <v/>
      </c>
      <c r="AH27" s="18">
        <f>IF(31&gt;=DeliverStart,ExpUtilitiesPerUnit*TotalUnits/12*AH$9*AH$11,0)</f>
        <v/>
      </c>
      <c r="AI27" s="18">
        <f>IF(32&gt;=DeliverStart,ExpUtilitiesPerUnit*TotalUnits/12*AI$9*AI$11,0)</f>
        <v/>
      </c>
      <c r="AJ27" s="18">
        <f>IF(33&gt;=DeliverStart,ExpUtilitiesPerUnit*TotalUnits/12*AJ$9*AJ$11,0)</f>
        <v/>
      </c>
      <c r="AK27" s="18">
        <f>IF(34&gt;=DeliverStart,ExpUtilitiesPerUnit*TotalUnits/12*AK$9*AK$11,0)</f>
        <v/>
      </c>
      <c r="AL27" s="18">
        <f>IF(35&gt;=DeliverStart,ExpUtilitiesPerUnit*TotalUnits/12*AL$9*AL$11,0)</f>
        <v/>
      </c>
      <c r="AM27" s="18">
        <f>IF(36&gt;=DeliverStart,ExpUtilitiesPerUnit*TotalUnits/12*AM$9*AM$11,0)</f>
        <v/>
      </c>
      <c r="AN27" s="18">
        <f>IF(37&gt;=DeliverStart,ExpUtilitiesPerUnit*TotalUnits/12*AN$9*AN$11,0)</f>
        <v/>
      </c>
      <c r="AO27" s="18">
        <f>IF(38&gt;=DeliverStart,ExpUtilitiesPerUnit*TotalUnits/12*AO$9*AO$11,0)</f>
        <v/>
      </c>
      <c r="AP27" s="18">
        <f>IF(39&gt;=DeliverStart,ExpUtilitiesPerUnit*TotalUnits/12*AP$9*AP$11,0)</f>
        <v/>
      </c>
      <c r="AQ27" s="18">
        <f>IF(40&gt;=DeliverStart,ExpUtilitiesPerUnit*TotalUnits/12*AQ$9*AQ$11,0)</f>
        <v/>
      </c>
      <c r="AR27" s="18">
        <f>IF(41&gt;=DeliverStart,ExpUtilitiesPerUnit*TotalUnits/12*AR$9*AR$11,0)</f>
        <v/>
      </c>
      <c r="AS27" s="18">
        <f>IF(42&gt;=DeliverStart,ExpUtilitiesPerUnit*TotalUnits/12*AS$9*AS$11,0)</f>
        <v/>
      </c>
      <c r="AT27" s="18">
        <f>IF(43&gt;=DeliverStart,ExpUtilitiesPerUnit*TotalUnits/12*AT$9*AT$11,0)</f>
        <v/>
      </c>
      <c r="AU27" s="18">
        <f>IF(44&gt;=DeliverStart,ExpUtilitiesPerUnit*TotalUnits/12*AU$9*AU$11,0)</f>
        <v/>
      </c>
      <c r="AV27" s="18">
        <f>IF(45&gt;=DeliverStart,ExpUtilitiesPerUnit*TotalUnits/12*AV$9*AV$11,0)</f>
        <v/>
      </c>
      <c r="AW27" s="18">
        <f>IF(46&gt;=DeliverStart,ExpUtilitiesPerUnit*TotalUnits/12*AW$9*AW$11,0)</f>
        <v/>
      </c>
      <c r="AX27" s="18">
        <f>IF(47&gt;=DeliverStart,ExpUtilitiesPerUnit*TotalUnits/12*AX$9*AX$11,0)</f>
        <v/>
      </c>
      <c r="AY27" s="18">
        <f>IF(48&gt;=DeliverStart,ExpUtilitiesPerUnit*TotalUnits/12*AY$9*AY$11,0)</f>
        <v/>
      </c>
      <c r="AZ27" s="18">
        <f>IF(49&gt;=DeliverStart,ExpUtilitiesPerUnit*TotalUnits/12*AZ$9*AZ$11,0)</f>
        <v/>
      </c>
      <c r="BA27" s="18">
        <f>IF(50&gt;=DeliverStart,ExpUtilitiesPerUnit*TotalUnits/12*BA$9*BA$11,0)</f>
        <v/>
      </c>
      <c r="BB27" s="18">
        <f>IF(51&gt;=DeliverStart,ExpUtilitiesPerUnit*TotalUnits/12*BB$9*BB$11,0)</f>
        <v/>
      </c>
      <c r="BC27" s="18">
        <f>IF(52&gt;=DeliverStart,ExpUtilitiesPerUnit*TotalUnits/12*BC$9*BC$11,0)</f>
        <v/>
      </c>
      <c r="BD27" s="18">
        <f>IF(53&gt;=DeliverStart,ExpUtilitiesPerUnit*TotalUnits/12*BD$9*BD$11,0)</f>
        <v/>
      </c>
      <c r="BE27" s="18">
        <f>IF(54&gt;=DeliverStart,ExpUtilitiesPerUnit*TotalUnits/12*BE$9*BE$11,0)</f>
        <v/>
      </c>
      <c r="BF27" s="18">
        <f>IF(55&gt;=DeliverStart,ExpUtilitiesPerUnit*TotalUnits/12*BF$9*BF$11,0)</f>
        <v/>
      </c>
      <c r="BG27" s="18">
        <f>IF(56&gt;=DeliverStart,ExpUtilitiesPerUnit*TotalUnits/12*BG$9*BG$11,0)</f>
        <v/>
      </c>
      <c r="BH27" s="18">
        <f>IF(57&gt;=DeliverStart,ExpUtilitiesPerUnit*TotalUnits/12*BH$9*BH$11,0)</f>
        <v/>
      </c>
      <c r="BI27" s="18">
        <f>IF(58&gt;=DeliverStart,ExpUtilitiesPerUnit*TotalUnits/12*BI$9*BI$11,0)</f>
        <v/>
      </c>
      <c r="BJ27" s="18">
        <f>IF(59&gt;=DeliverStart,ExpUtilitiesPerUnit*TotalUnits/12*BJ$9*BJ$11,0)</f>
        <v/>
      </c>
      <c r="BK27" s="18">
        <f>IF(60&gt;=DeliverStart,ExpUtilitiesPerUnit*TotalUnits/12*BK$9*BK$11,0)</f>
        <v/>
      </c>
      <c r="BL27" s="18">
        <f>IF(61&gt;=DeliverStart,ExpUtilitiesPerUnit*TotalUnits/12*BL$9*BL$11,0)</f>
        <v/>
      </c>
      <c r="BM27" s="18">
        <f>IF(62&gt;=DeliverStart,ExpUtilitiesPerUnit*TotalUnits/12*BM$9*BM$11,0)</f>
        <v/>
      </c>
      <c r="BN27" s="18">
        <f>IF(63&gt;=DeliverStart,ExpUtilitiesPerUnit*TotalUnits/12*BN$9*BN$11,0)</f>
        <v/>
      </c>
      <c r="BO27" s="18">
        <f>IF(64&gt;=DeliverStart,ExpUtilitiesPerUnit*TotalUnits/12*BO$9*BO$11,0)</f>
        <v/>
      </c>
      <c r="BP27" s="18">
        <f>IF(65&gt;=DeliverStart,ExpUtilitiesPerUnit*TotalUnits/12*BP$9*BP$11,0)</f>
        <v/>
      </c>
      <c r="BQ27" s="18">
        <f>IF(66&gt;=DeliverStart,ExpUtilitiesPerUnit*TotalUnits/12*BQ$9*BQ$11,0)</f>
        <v/>
      </c>
      <c r="BR27" s="18">
        <f>IF(67&gt;=DeliverStart,ExpUtilitiesPerUnit*TotalUnits/12*BR$9*BR$11,0)</f>
        <v/>
      </c>
      <c r="BS27" s="18">
        <f>IF(68&gt;=DeliverStart,ExpUtilitiesPerUnit*TotalUnits/12*BS$9*BS$11,0)</f>
        <v/>
      </c>
      <c r="BT27" s="18">
        <f>IF(69&gt;=DeliverStart,ExpUtilitiesPerUnit*TotalUnits/12*BT$9*BT$11,0)</f>
        <v/>
      </c>
      <c r="BU27" s="18">
        <f>IF(70&gt;=DeliverStart,ExpUtilitiesPerUnit*TotalUnits/12*BU$9*BU$11,0)</f>
        <v/>
      </c>
      <c r="BV27" s="18">
        <f>IF(71&gt;=DeliverStart,ExpUtilitiesPerUnit*TotalUnits/12*BV$9*BV$11,0)</f>
        <v/>
      </c>
      <c r="BW27" s="18">
        <f>IF(72&gt;=DeliverStart,ExpUtilitiesPerUnit*TotalUnits/12*BW$9*BW$11,0)</f>
        <v/>
      </c>
      <c r="BX27" s="18">
        <f>IF(73&gt;=DeliverStart,ExpUtilitiesPerUnit*TotalUnits/12*BX$9*BX$11,0)</f>
        <v/>
      </c>
      <c r="BY27" s="18">
        <f>IF(74&gt;=DeliverStart,ExpUtilitiesPerUnit*TotalUnits/12*BY$9*BY$11,0)</f>
        <v/>
      </c>
      <c r="BZ27" s="18">
        <f>IF(75&gt;=DeliverStart,ExpUtilitiesPerUnit*TotalUnits/12*BZ$9*BZ$11,0)</f>
        <v/>
      </c>
      <c r="CA27" s="18">
        <f>IF(76&gt;=DeliverStart,ExpUtilitiesPerUnit*TotalUnits/12*CA$9*CA$11,0)</f>
        <v/>
      </c>
      <c r="CB27" s="18">
        <f>IF(77&gt;=DeliverStart,ExpUtilitiesPerUnit*TotalUnits/12*CB$9*CB$11,0)</f>
        <v/>
      </c>
      <c r="CC27" s="18">
        <f>IF(78&gt;=DeliverStart,ExpUtilitiesPerUnit*TotalUnits/12*CC$9*CC$11,0)</f>
        <v/>
      </c>
      <c r="CD27" s="18">
        <f>IF(79&gt;=DeliverStart,ExpUtilitiesPerUnit*TotalUnits/12*CD$9*CD$11,0)</f>
        <v/>
      </c>
      <c r="CE27" s="18">
        <f>IF(80&gt;=DeliverStart,ExpUtilitiesPerUnit*TotalUnits/12*CE$9*CE$11,0)</f>
        <v/>
      </c>
      <c r="CF27" s="18">
        <f>IF(81&gt;=DeliverStart,ExpUtilitiesPerUnit*TotalUnits/12*CF$9*CF$11,0)</f>
        <v/>
      </c>
      <c r="CG27" s="18">
        <f>IF(82&gt;=DeliverStart,ExpUtilitiesPerUnit*TotalUnits/12*CG$9*CG$11,0)</f>
        <v/>
      </c>
      <c r="CH27" s="18">
        <f>IF(83&gt;=DeliverStart,ExpUtilitiesPerUnit*TotalUnits/12*CH$9*CH$11,0)</f>
        <v/>
      </c>
      <c r="CI27" s="18">
        <f>IF(84&gt;=DeliverStart,ExpUtilitiesPerUnit*TotalUnits/12*CI$9*CI$11,0)</f>
        <v/>
      </c>
      <c r="CJ27" s="18">
        <f>IF(85&gt;=DeliverStart,ExpUtilitiesPerUnit*TotalUnits/12*CJ$9*CJ$11,0)</f>
        <v/>
      </c>
      <c r="CK27" s="18">
        <f>IF(86&gt;=DeliverStart,ExpUtilitiesPerUnit*TotalUnits/12*CK$9*CK$11,0)</f>
        <v/>
      </c>
      <c r="CL27" s="18">
        <f>IF(87&gt;=DeliverStart,ExpUtilitiesPerUnit*TotalUnits/12*CL$9*CL$11,0)</f>
        <v/>
      </c>
      <c r="CM27" s="18">
        <f>IF(88&gt;=DeliverStart,ExpUtilitiesPerUnit*TotalUnits/12*CM$9*CM$11,0)</f>
        <v/>
      </c>
      <c r="CN27" s="18">
        <f>IF(89&gt;=DeliverStart,ExpUtilitiesPerUnit*TotalUnits/12*CN$9*CN$11,0)</f>
        <v/>
      </c>
      <c r="CO27" s="18">
        <f>IF(90&gt;=DeliverStart,ExpUtilitiesPerUnit*TotalUnits/12*CO$9*CO$11,0)</f>
        <v/>
      </c>
      <c r="CP27" s="18">
        <f>IF(91&gt;=DeliverStart,ExpUtilitiesPerUnit*TotalUnits/12*CP$9*CP$11,0)</f>
        <v/>
      </c>
      <c r="CQ27" s="18">
        <f>IF(92&gt;=DeliverStart,ExpUtilitiesPerUnit*TotalUnits/12*CQ$9*CQ$11,0)</f>
        <v/>
      </c>
      <c r="CR27" s="18">
        <f>IF(93&gt;=DeliverStart,ExpUtilitiesPerUnit*TotalUnits/12*CR$9*CR$11,0)</f>
        <v/>
      </c>
      <c r="CS27" s="18">
        <f>IF(94&gt;=DeliverStart,ExpUtilitiesPerUnit*TotalUnits/12*CS$9*CS$11,0)</f>
        <v/>
      </c>
      <c r="CT27" s="18">
        <f>IF(95&gt;=DeliverStart,ExpUtilitiesPerUnit*TotalUnits/12*CT$9*CT$11,0)</f>
        <v/>
      </c>
      <c r="CU27" s="18">
        <f>IF(96&gt;=DeliverStart,ExpUtilitiesPerUnit*TotalUnits/12*CU$9*CU$11,0)</f>
        <v/>
      </c>
      <c r="CV27" s="18">
        <f>IF(97&gt;=DeliverStart,ExpUtilitiesPerUnit*TotalUnits/12*CV$9*CV$11,0)</f>
        <v/>
      </c>
      <c r="CW27" s="18">
        <f>IF(98&gt;=DeliverStart,ExpUtilitiesPerUnit*TotalUnits/12*CW$9*CW$11,0)</f>
        <v/>
      </c>
      <c r="CX27" s="18">
        <f>IF(99&gt;=DeliverStart,ExpUtilitiesPerUnit*TotalUnits/12*CX$9*CX$11,0)</f>
        <v/>
      </c>
      <c r="CY27" s="18">
        <f>IF(100&gt;=DeliverStart,ExpUtilitiesPerUnit*TotalUnits/12*CY$9*CY$11,0)</f>
        <v/>
      </c>
      <c r="CZ27" s="18">
        <f>IF(101&gt;=DeliverStart,ExpUtilitiesPerUnit*TotalUnits/12*CZ$9*CZ$11,0)</f>
        <v/>
      </c>
      <c r="DA27" s="18">
        <f>IF(102&gt;=DeliverStart,ExpUtilitiesPerUnit*TotalUnits/12*DA$9*DA$11,0)</f>
        <v/>
      </c>
      <c r="DB27" s="18">
        <f>IF(103&gt;=DeliverStart,ExpUtilitiesPerUnit*TotalUnits/12*DB$9*DB$11,0)</f>
        <v/>
      </c>
      <c r="DC27" s="18">
        <f>IF(104&gt;=DeliverStart,ExpUtilitiesPerUnit*TotalUnits/12*DC$9*DC$11,0)</f>
        <v/>
      </c>
      <c r="DD27" s="18">
        <f>IF(105&gt;=DeliverStart,ExpUtilitiesPerUnit*TotalUnits/12*DD$9*DD$11,0)</f>
        <v/>
      </c>
      <c r="DE27" s="18">
        <f>IF(106&gt;=DeliverStart,ExpUtilitiesPerUnit*TotalUnits/12*DE$9*DE$11,0)</f>
        <v/>
      </c>
      <c r="DF27" s="18">
        <f>IF(107&gt;=DeliverStart,ExpUtilitiesPerUnit*TotalUnits/12*DF$9*DF$11,0)</f>
        <v/>
      </c>
      <c r="DG27" s="18">
        <f>IF(108&gt;=DeliverStart,ExpUtilitiesPerUnit*TotalUnits/12*DG$9*DG$11,0)</f>
        <v/>
      </c>
      <c r="DH27" s="18">
        <f>IF(109&gt;=DeliverStart,ExpUtilitiesPerUnit*TotalUnits/12*DH$9*DH$11,0)</f>
        <v/>
      </c>
      <c r="DI27" s="18">
        <f>IF(110&gt;=DeliverStart,ExpUtilitiesPerUnit*TotalUnits/12*DI$9*DI$11,0)</f>
        <v/>
      </c>
      <c r="DJ27" s="18">
        <f>IF(111&gt;=DeliverStart,ExpUtilitiesPerUnit*TotalUnits/12*DJ$9*DJ$11,0)</f>
        <v/>
      </c>
      <c r="DK27" s="18">
        <f>IF(112&gt;=DeliverStart,ExpUtilitiesPerUnit*TotalUnits/12*DK$9*DK$11,0)</f>
        <v/>
      </c>
      <c r="DL27" s="18">
        <f>IF(113&gt;=DeliverStart,ExpUtilitiesPerUnit*TotalUnits/12*DL$9*DL$11,0)</f>
        <v/>
      </c>
      <c r="DM27" s="18">
        <f>IF(114&gt;=DeliverStart,ExpUtilitiesPerUnit*TotalUnits/12*DM$9*DM$11,0)</f>
        <v/>
      </c>
      <c r="DN27" s="18">
        <f>IF(115&gt;=DeliverStart,ExpUtilitiesPerUnit*TotalUnits/12*DN$9*DN$11,0)</f>
        <v/>
      </c>
      <c r="DO27" s="18">
        <f>IF(116&gt;=DeliverStart,ExpUtilitiesPerUnit*TotalUnits/12*DO$9*DO$11,0)</f>
        <v/>
      </c>
      <c r="DP27" s="18">
        <f>IF(117&gt;=DeliverStart,ExpUtilitiesPerUnit*TotalUnits/12*DP$9*DP$11,0)</f>
        <v/>
      </c>
      <c r="DQ27" s="18">
        <f>IF(118&gt;=DeliverStart,ExpUtilitiesPerUnit*TotalUnits/12*DQ$9*DQ$11,0)</f>
        <v/>
      </c>
      <c r="DR27" s="18">
        <f>IF(119&gt;=DeliverStart,ExpUtilitiesPerUnit*TotalUnits/12*DR$9*DR$11,0)</f>
        <v/>
      </c>
      <c r="DS27" s="18">
        <f>IF(120&gt;=DeliverStart,ExpUtilitiesPerUnit*TotalUnits/12*DS$9*DS$11,0)</f>
        <v/>
      </c>
      <c r="DT27" s="18">
        <f>IF(121&gt;=DeliverStart,ExpUtilitiesPerUnit*TotalUnits/12*DT$9*DT$11,0)</f>
        <v/>
      </c>
      <c r="DU27" s="18">
        <f>IF(122&gt;=DeliverStart,ExpUtilitiesPerUnit*TotalUnits/12*DU$9*DU$11,0)</f>
        <v/>
      </c>
      <c r="DV27" s="18">
        <f>IF(123&gt;=DeliverStart,ExpUtilitiesPerUnit*TotalUnits/12*DV$9*DV$11,0)</f>
        <v/>
      </c>
      <c r="DW27" s="18">
        <f>IF(124&gt;=DeliverStart,ExpUtilitiesPerUnit*TotalUnits/12*DW$9*DW$11,0)</f>
        <v/>
      </c>
      <c r="DX27" s="18">
        <f>IF(125&gt;=DeliverStart,ExpUtilitiesPerUnit*TotalUnits/12*DX$9*DX$11,0)</f>
        <v/>
      </c>
      <c r="DY27" s="18">
        <f>IF(126&gt;=DeliverStart,ExpUtilitiesPerUnit*TotalUnits/12*DY$9*DY$11,0)</f>
        <v/>
      </c>
      <c r="DZ27" s="18">
        <f>IF(127&gt;=DeliverStart,ExpUtilitiesPerUnit*TotalUnits/12*DZ$9*DZ$11,0)</f>
        <v/>
      </c>
      <c r="EA27" s="18">
        <f>IF(128&gt;=DeliverStart,ExpUtilitiesPerUnit*TotalUnits/12*EA$9*EA$11,0)</f>
        <v/>
      </c>
      <c r="EB27" s="18">
        <f>IF(129&gt;=DeliverStart,ExpUtilitiesPerUnit*TotalUnits/12*EB$9*EB$11,0)</f>
        <v/>
      </c>
      <c r="EC27" s="18">
        <f>IF(130&gt;=DeliverStart,ExpUtilitiesPerUnit*TotalUnits/12*EC$9*EC$11,0)</f>
        <v/>
      </c>
      <c r="ED27" s="18">
        <f>IF(131&gt;=DeliverStart,ExpUtilitiesPerUnit*TotalUnits/12*ED$9*ED$11,0)</f>
        <v/>
      </c>
      <c r="EE27" s="18">
        <f>IF(132&gt;=DeliverStart,ExpUtilitiesPerUnit*TotalUnits/12*EE$9*EE$11,0)</f>
        <v/>
      </c>
      <c r="EF27" s="18">
        <f>IF(133&gt;=DeliverStart,ExpUtilitiesPerUnit*TotalUnits/12*EF$9*EF$11,0)</f>
        <v/>
      </c>
      <c r="EG27" s="18">
        <f>IF(134&gt;=DeliverStart,ExpUtilitiesPerUnit*TotalUnits/12*EG$9*EG$11,0)</f>
        <v/>
      </c>
      <c r="EH27" s="18">
        <f>IF(135&gt;=DeliverStart,ExpUtilitiesPerUnit*TotalUnits/12*EH$9*EH$11,0)</f>
        <v/>
      </c>
      <c r="EI27" s="18">
        <f>IF(136&gt;=DeliverStart,ExpUtilitiesPerUnit*TotalUnits/12*EI$9*EI$11,0)</f>
        <v/>
      </c>
      <c r="EJ27" s="18">
        <f>IF(137&gt;=DeliverStart,ExpUtilitiesPerUnit*TotalUnits/12*EJ$9*EJ$11,0)</f>
        <v/>
      </c>
      <c r="EK27" s="18">
        <f>IF(138&gt;=DeliverStart,ExpUtilitiesPerUnit*TotalUnits/12*EK$9*EK$11,0)</f>
        <v/>
      </c>
      <c r="EL27" s="18">
        <f>IF(139&gt;=DeliverStart,ExpUtilitiesPerUnit*TotalUnits/12*EL$9*EL$11,0)</f>
        <v/>
      </c>
      <c r="EM27" s="18">
        <f>IF(140&gt;=DeliverStart,ExpUtilitiesPerUnit*TotalUnits/12*EM$9*EM$11,0)</f>
        <v/>
      </c>
      <c r="EN27" s="18">
        <f>IF(141&gt;=DeliverStart,ExpUtilitiesPerUnit*TotalUnits/12*EN$9*EN$11,0)</f>
        <v/>
      </c>
      <c r="EO27" s="18">
        <f>IF(142&gt;=DeliverStart,ExpUtilitiesPerUnit*TotalUnits/12*EO$9*EO$11,0)</f>
        <v/>
      </c>
      <c r="EP27" s="18">
        <f>IF(143&gt;=DeliverStart,ExpUtilitiesPerUnit*TotalUnits/12*EP$9*EP$11,0)</f>
        <v/>
      </c>
      <c r="EQ27" s="18">
        <f>IF(144&gt;=DeliverStart,ExpUtilitiesPerUnit*TotalUnits/12*EQ$9*EQ$11,0)</f>
        <v/>
      </c>
      <c r="ER27" s="18">
        <f>IF(145&gt;=DeliverStart,ExpUtilitiesPerUnit*TotalUnits/12*ER$9*ER$11,0)</f>
        <v/>
      </c>
      <c r="ES27" s="18">
        <f>IF(146&gt;=DeliverStart,ExpUtilitiesPerUnit*TotalUnits/12*ES$9*ES$11,0)</f>
        <v/>
      </c>
      <c r="ET27" s="18">
        <f>IF(147&gt;=DeliverStart,ExpUtilitiesPerUnit*TotalUnits/12*ET$9*ET$11,0)</f>
        <v/>
      </c>
      <c r="EU27" s="18">
        <f>IF(148&gt;=DeliverStart,ExpUtilitiesPerUnit*TotalUnits/12*EU$9*EU$11,0)</f>
        <v/>
      </c>
      <c r="EV27" s="18">
        <f>IF(149&gt;=DeliverStart,ExpUtilitiesPerUnit*TotalUnits/12*EV$9*EV$11,0)</f>
        <v/>
      </c>
      <c r="EW27" s="18">
        <f>IF(150&gt;=DeliverStart,ExpUtilitiesPerUnit*TotalUnits/12*EW$9*EW$11,0)</f>
        <v/>
      </c>
      <c r="EX27" s="18">
        <f>IF(151&gt;=DeliverStart,ExpUtilitiesPerUnit*TotalUnits/12*EX$9*EX$11,0)</f>
        <v/>
      </c>
      <c r="EY27" s="18">
        <f>IF(152&gt;=DeliverStart,ExpUtilitiesPerUnit*TotalUnits/12*EY$9*EY$11,0)</f>
        <v/>
      </c>
      <c r="EZ27" s="18">
        <f>IF(153&gt;=DeliverStart,ExpUtilitiesPerUnit*TotalUnits/12*EZ$9*EZ$11,0)</f>
        <v/>
      </c>
      <c r="FA27" s="18">
        <f>IF(154&gt;=DeliverStart,ExpUtilitiesPerUnit*TotalUnits/12*FA$9*FA$11,0)</f>
        <v/>
      </c>
      <c r="FB27" s="18">
        <f>IF(155&gt;=DeliverStart,ExpUtilitiesPerUnit*TotalUnits/12*FB$9*FB$11,0)</f>
        <v/>
      </c>
      <c r="FC27" s="18">
        <f>IF(156&gt;=DeliverStart,ExpUtilitiesPerUnit*TotalUnits/12*FC$9*FC$11,0)</f>
        <v/>
      </c>
      <c r="FD27" s="18">
        <f>IF(157&gt;=DeliverStart,ExpUtilitiesPerUnit*TotalUnits/12*FD$9*FD$11,0)</f>
        <v/>
      </c>
      <c r="FE27" s="18">
        <f>IF(158&gt;=DeliverStart,ExpUtilitiesPerUnit*TotalUnits/12*FE$9*FE$11,0)</f>
        <v/>
      </c>
      <c r="FF27" s="18">
        <f>IF(159&gt;=DeliverStart,ExpUtilitiesPerUnit*TotalUnits/12*FF$9*FF$11,0)</f>
        <v/>
      </c>
      <c r="FG27" s="18">
        <f>IF(160&gt;=DeliverStart,ExpUtilitiesPerUnit*TotalUnits/12*FG$9*FG$11,0)</f>
        <v/>
      </c>
      <c r="FH27" s="18">
        <f>IF(161&gt;=DeliverStart,ExpUtilitiesPerUnit*TotalUnits/12*FH$9*FH$11,0)</f>
        <v/>
      </c>
      <c r="FI27" s="18">
        <f>IF(162&gt;=DeliverStart,ExpUtilitiesPerUnit*TotalUnits/12*FI$9*FI$11,0)</f>
        <v/>
      </c>
      <c r="FJ27" s="18">
        <f>IF(163&gt;=DeliverStart,ExpUtilitiesPerUnit*TotalUnits/12*FJ$9*FJ$11,0)</f>
        <v/>
      </c>
      <c r="FK27" s="18">
        <f>IF(164&gt;=DeliverStart,ExpUtilitiesPerUnit*TotalUnits/12*FK$9*FK$11,0)</f>
        <v/>
      </c>
      <c r="FL27" s="18">
        <f>IF(165&gt;=DeliverStart,ExpUtilitiesPerUnit*TotalUnits/12*FL$9*FL$11,0)</f>
        <v/>
      </c>
      <c r="FM27" s="18">
        <f>IF(166&gt;=DeliverStart,ExpUtilitiesPerUnit*TotalUnits/12*FM$9*FM$11,0)</f>
        <v/>
      </c>
      <c r="FN27" s="18">
        <f>IF(167&gt;=DeliverStart,ExpUtilitiesPerUnit*TotalUnits/12*FN$9*FN$11,0)</f>
        <v/>
      </c>
      <c r="FO27" s="18">
        <f>IF(168&gt;=DeliverStart,ExpUtilitiesPerUnit*TotalUnits/12*FO$9*FO$11,0)</f>
        <v/>
      </c>
      <c r="FP27" s="18">
        <f>IF(169&gt;=DeliverStart,ExpUtilitiesPerUnit*TotalUnits/12*FP$9*FP$11,0)</f>
        <v/>
      </c>
      <c r="FQ27" s="18">
        <f>IF(170&gt;=DeliverStart,ExpUtilitiesPerUnit*TotalUnits/12*FQ$9*FQ$11,0)</f>
        <v/>
      </c>
      <c r="FR27" s="18">
        <f>IF(171&gt;=DeliverStart,ExpUtilitiesPerUnit*TotalUnits/12*FR$9*FR$11,0)</f>
        <v/>
      </c>
      <c r="FS27" s="18">
        <f>IF(172&gt;=DeliverStart,ExpUtilitiesPerUnit*TotalUnits/12*FS$9*FS$11,0)</f>
        <v/>
      </c>
      <c r="FT27" s="18">
        <f>IF(173&gt;=DeliverStart,ExpUtilitiesPerUnit*TotalUnits/12*FT$9*FT$11,0)</f>
        <v/>
      </c>
      <c r="FU27" s="18">
        <f>IF(174&gt;=DeliverStart,ExpUtilitiesPerUnit*TotalUnits/12*FU$9*FU$11,0)</f>
        <v/>
      </c>
      <c r="FV27" s="18">
        <f>IF(175&gt;=DeliverStart,ExpUtilitiesPerUnit*TotalUnits/12*FV$9*FV$11,0)</f>
        <v/>
      </c>
      <c r="FW27" s="18">
        <f>IF(176&gt;=DeliverStart,ExpUtilitiesPerUnit*TotalUnits/12*FW$9*FW$11,0)</f>
        <v/>
      </c>
      <c r="FX27" s="18">
        <f>IF(177&gt;=DeliverStart,ExpUtilitiesPerUnit*TotalUnits/12*FX$9*FX$11,0)</f>
        <v/>
      </c>
      <c r="FY27" s="18">
        <f>IF(178&gt;=DeliverStart,ExpUtilitiesPerUnit*TotalUnits/12*FY$9*FY$11,0)</f>
        <v/>
      </c>
      <c r="FZ27" s="18">
        <f>IF(179&gt;=DeliverStart,ExpUtilitiesPerUnit*TotalUnits/12*FZ$9*FZ$11,0)</f>
        <v/>
      </c>
      <c r="GA27" s="18">
        <f>IF(180&gt;=DeliverStart,ExpUtilitiesPerUnit*TotalUnits/12*GA$9*GA$11,0)</f>
        <v/>
      </c>
      <c r="GB27" s="18">
        <f>IF(181&gt;=DeliverStart,ExpUtilitiesPerUnit*TotalUnits/12*GB$9*GB$11,0)</f>
        <v/>
      </c>
      <c r="GC27" s="18">
        <f>IF(182&gt;=DeliverStart,ExpUtilitiesPerUnit*TotalUnits/12*GC$9*GC$11,0)</f>
        <v/>
      </c>
      <c r="GD27" s="18">
        <f>IF(183&gt;=DeliverStart,ExpUtilitiesPerUnit*TotalUnits/12*GD$9*GD$11,0)</f>
        <v/>
      </c>
      <c r="GE27" s="18">
        <f>IF(184&gt;=DeliverStart,ExpUtilitiesPerUnit*TotalUnits/12*GE$9*GE$11,0)</f>
        <v/>
      </c>
      <c r="GF27" s="18">
        <f>IF(185&gt;=DeliverStart,ExpUtilitiesPerUnit*TotalUnits/12*GF$9*GF$11,0)</f>
        <v/>
      </c>
      <c r="GG27" s="18">
        <f>IF(186&gt;=DeliverStart,ExpUtilitiesPerUnit*TotalUnits/12*GG$9*GG$11,0)</f>
        <v/>
      </c>
      <c r="GH27" s="18">
        <f>IF(187&gt;=DeliverStart,ExpUtilitiesPerUnit*TotalUnits/12*GH$9*GH$11,0)</f>
        <v/>
      </c>
      <c r="GI27" s="18">
        <f>IF(188&gt;=DeliverStart,ExpUtilitiesPerUnit*TotalUnits/12*GI$9*GI$11,0)</f>
        <v/>
      </c>
      <c r="GJ27" s="18">
        <f>IF(189&gt;=DeliverStart,ExpUtilitiesPerUnit*TotalUnits/12*GJ$9*GJ$11,0)</f>
        <v/>
      </c>
      <c r="GK27" s="18">
        <f>IF(190&gt;=DeliverStart,ExpUtilitiesPerUnit*TotalUnits/12*GK$9*GK$11,0)</f>
        <v/>
      </c>
      <c r="GL27" s="18">
        <f>IF(191&gt;=DeliverStart,ExpUtilitiesPerUnit*TotalUnits/12*GL$9*GL$11,0)</f>
        <v/>
      </c>
      <c r="GM27" s="18">
        <f>IF(192&gt;=DeliverStart,ExpUtilitiesPerUnit*TotalUnits/12*GM$9*GM$11,0)</f>
        <v/>
      </c>
      <c r="GN27" s="18">
        <f>IF(193&gt;=DeliverStart,ExpUtilitiesPerUnit*TotalUnits/12*GN$9*GN$11,0)</f>
        <v/>
      </c>
      <c r="GO27" s="18">
        <f>IF(194&gt;=DeliverStart,ExpUtilitiesPerUnit*TotalUnits/12*GO$9*GO$11,0)</f>
        <v/>
      </c>
      <c r="GP27" s="18">
        <f>IF(195&gt;=DeliverStart,ExpUtilitiesPerUnit*TotalUnits/12*GP$9*GP$11,0)</f>
        <v/>
      </c>
      <c r="GQ27" s="18">
        <f>IF(196&gt;=DeliverStart,ExpUtilitiesPerUnit*TotalUnits/12*GQ$9*GQ$11,0)</f>
        <v/>
      </c>
      <c r="GR27" s="18">
        <f>IF(197&gt;=DeliverStart,ExpUtilitiesPerUnit*TotalUnits/12*GR$9*GR$11,0)</f>
        <v/>
      </c>
      <c r="GS27" s="18">
        <f>IF(198&gt;=DeliverStart,ExpUtilitiesPerUnit*TotalUnits/12*GS$9*GS$11,0)</f>
        <v/>
      </c>
      <c r="GT27" s="18">
        <f>IF(199&gt;=DeliverStart,ExpUtilitiesPerUnit*TotalUnits/12*GT$9*GT$11,0)</f>
        <v/>
      </c>
      <c r="GU27" s="18">
        <f>IF(200&gt;=DeliverStart,ExpUtilitiesPerUnit*TotalUnits/12*GU$9*GU$11,0)</f>
        <v/>
      </c>
      <c r="GV27" s="18">
        <f>IF(201&gt;=DeliverStart,ExpUtilitiesPerUnit*TotalUnits/12*GV$9*GV$11,0)</f>
        <v/>
      </c>
      <c r="GW27" s="18">
        <f>IF(202&gt;=DeliverStart,ExpUtilitiesPerUnit*TotalUnits/12*GW$9*GW$11,0)</f>
        <v/>
      </c>
      <c r="GX27" s="18">
        <f>IF(203&gt;=DeliverStart,ExpUtilitiesPerUnit*TotalUnits/12*GX$9*GX$11,0)</f>
        <v/>
      </c>
      <c r="GY27" s="18">
        <f>IF(204&gt;=DeliverStart,ExpUtilitiesPerUnit*TotalUnits/12*GY$9*GY$11,0)</f>
        <v/>
      </c>
      <c r="GZ27" s="18">
        <f>IF(205&gt;=DeliverStart,ExpUtilitiesPerUnit*TotalUnits/12*GZ$9*GZ$11,0)</f>
        <v/>
      </c>
      <c r="HA27" s="18">
        <f>IF(206&gt;=DeliverStart,ExpUtilitiesPerUnit*TotalUnits/12*HA$9*HA$11,0)</f>
        <v/>
      </c>
      <c r="HB27" s="18">
        <f>IF(207&gt;=DeliverStart,ExpUtilitiesPerUnit*TotalUnits/12*HB$9*HB$11,0)</f>
        <v/>
      </c>
      <c r="HC27" s="18">
        <f>IF(208&gt;=DeliverStart,ExpUtilitiesPerUnit*TotalUnits/12*HC$9*HC$11,0)</f>
        <v/>
      </c>
      <c r="HD27" s="18">
        <f>IF(209&gt;=DeliverStart,ExpUtilitiesPerUnit*TotalUnits/12*HD$9*HD$11,0)</f>
        <v/>
      </c>
      <c r="HE27" s="18">
        <f>IF(210&gt;=DeliverStart,ExpUtilitiesPerUnit*TotalUnits/12*HE$9*HE$11,0)</f>
        <v/>
      </c>
      <c r="HF27" s="18">
        <f>IF(211&gt;=DeliverStart,ExpUtilitiesPerUnit*TotalUnits/12*HF$9*HF$11,0)</f>
        <v/>
      </c>
      <c r="HG27" s="18">
        <f>IF(212&gt;=DeliverStart,ExpUtilitiesPerUnit*TotalUnits/12*HG$9*HG$11,0)</f>
        <v/>
      </c>
      <c r="HH27" s="18">
        <f>IF(213&gt;=DeliverStart,ExpUtilitiesPerUnit*TotalUnits/12*HH$9*HH$11,0)</f>
        <v/>
      </c>
      <c r="HI27" s="18">
        <f>IF(214&gt;=DeliverStart,ExpUtilitiesPerUnit*TotalUnits/12*HI$9*HI$11,0)</f>
        <v/>
      </c>
      <c r="HJ27" s="18">
        <f>IF(215&gt;=DeliverStart,ExpUtilitiesPerUnit*TotalUnits/12*HJ$9*HJ$11,0)</f>
        <v/>
      </c>
      <c r="HK27" s="18">
        <f>IF(216&gt;=DeliverStart,ExpUtilitiesPerUnit*TotalUnits/12*HK$9*HK$11,0)</f>
        <v/>
      </c>
      <c r="HL27" s="18">
        <f>IF(217&gt;=DeliverStart,ExpUtilitiesPerUnit*TotalUnits/12*HL$9*HL$11,0)</f>
        <v/>
      </c>
      <c r="HM27" s="18">
        <f>IF(218&gt;=DeliverStart,ExpUtilitiesPerUnit*TotalUnits/12*HM$9*HM$11,0)</f>
        <v/>
      </c>
      <c r="HN27" s="18">
        <f>IF(219&gt;=DeliverStart,ExpUtilitiesPerUnit*TotalUnits/12*HN$9*HN$11,0)</f>
        <v/>
      </c>
      <c r="HO27" s="18">
        <f>IF(220&gt;=DeliverStart,ExpUtilitiesPerUnit*TotalUnits/12*HO$9*HO$11,0)</f>
        <v/>
      </c>
      <c r="HP27" s="18">
        <f>IF(221&gt;=DeliverStart,ExpUtilitiesPerUnit*TotalUnits/12*HP$9*HP$11,0)</f>
        <v/>
      </c>
      <c r="HQ27" s="18">
        <f>IF(222&gt;=DeliverStart,ExpUtilitiesPerUnit*TotalUnits/12*HQ$9*HQ$11,0)</f>
        <v/>
      </c>
      <c r="HR27" s="18">
        <f>IF(223&gt;=DeliverStart,ExpUtilitiesPerUnit*TotalUnits/12*HR$9*HR$11,0)</f>
        <v/>
      </c>
      <c r="HS27" s="18">
        <f>IF(224&gt;=DeliverStart,ExpUtilitiesPerUnit*TotalUnits/12*HS$9*HS$11,0)</f>
        <v/>
      </c>
      <c r="HT27" s="18">
        <f>IF(225&gt;=DeliverStart,ExpUtilitiesPerUnit*TotalUnits/12*HT$9*HT$11,0)</f>
        <v/>
      </c>
      <c r="HU27" s="18">
        <f>IF(226&gt;=DeliverStart,ExpUtilitiesPerUnit*TotalUnits/12*HU$9*HU$11,0)</f>
        <v/>
      </c>
      <c r="HV27" s="18">
        <f>IF(227&gt;=DeliverStart,ExpUtilitiesPerUnit*TotalUnits/12*HV$9*HV$11,0)</f>
        <v/>
      </c>
      <c r="HW27" s="18">
        <f>IF(228&gt;=DeliverStart,ExpUtilitiesPerUnit*TotalUnits/12*HW$9*HW$11,0)</f>
        <v/>
      </c>
      <c r="HX27" s="18">
        <f>IF(229&gt;=DeliverStart,ExpUtilitiesPerUnit*TotalUnits/12*HX$9*HX$11,0)</f>
        <v/>
      </c>
      <c r="HY27" s="18">
        <f>IF(230&gt;=DeliverStart,ExpUtilitiesPerUnit*TotalUnits/12*HY$9*HY$11,0)</f>
        <v/>
      </c>
      <c r="HZ27" s="18">
        <f>IF(231&gt;=DeliverStart,ExpUtilitiesPerUnit*TotalUnits/12*HZ$9*HZ$11,0)</f>
        <v/>
      </c>
      <c r="IA27" s="18">
        <f>IF(232&gt;=DeliverStart,ExpUtilitiesPerUnit*TotalUnits/12*IA$9*IA$11,0)</f>
        <v/>
      </c>
      <c r="IB27" s="18">
        <f>IF(233&gt;=DeliverStart,ExpUtilitiesPerUnit*TotalUnits/12*IB$9*IB$11,0)</f>
        <v/>
      </c>
      <c r="IC27" s="18">
        <f>IF(234&gt;=DeliverStart,ExpUtilitiesPerUnit*TotalUnits/12*IC$9*IC$11,0)</f>
        <v/>
      </c>
      <c r="ID27" s="18">
        <f>IF(235&gt;=DeliverStart,ExpUtilitiesPerUnit*TotalUnits/12*ID$9*ID$11,0)</f>
        <v/>
      </c>
      <c r="IE27" s="18">
        <f>IF(236&gt;=DeliverStart,ExpUtilitiesPerUnit*TotalUnits/12*IE$9*IE$11,0)</f>
        <v/>
      </c>
      <c r="IF27" s="18">
        <f>IF(237&gt;=DeliverStart,ExpUtilitiesPerUnit*TotalUnits/12*IF$9*IF$11,0)</f>
        <v/>
      </c>
      <c r="IG27" s="18">
        <f>IF(238&gt;=DeliverStart,ExpUtilitiesPerUnit*TotalUnits/12*IG$9*IG$11,0)</f>
        <v/>
      </c>
      <c r="IH27" s="18">
        <f>IF(239&gt;=DeliverStart,ExpUtilitiesPerUnit*TotalUnits/12*IH$9*IH$11,0)</f>
        <v/>
      </c>
      <c r="II27" s="18">
        <f>IF(240&gt;=DeliverStart,ExpUtilitiesPerUnit*TotalUnits/12*II$9*II$11,0)</f>
        <v/>
      </c>
      <c r="IJ27" s="18">
        <f>IF(241&gt;=DeliverStart,ExpUtilitiesPerUnit*TotalUnits/12*IJ$9*IJ$11,0)</f>
        <v/>
      </c>
      <c r="IK27" s="18">
        <f>IF(242&gt;=DeliverStart,ExpUtilitiesPerUnit*TotalUnits/12*IK$9*IK$11,0)</f>
        <v/>
      </c>
      <c r="IL27" s="18">
        <f>IF(243&gt;=DeliverStart,ExpUtilitiesPerUnit*TotalUnits/12*IL$9*IL$11,0)</f>
        <v/>
      </c>
      <c r="IM27" s="18">
        <f>IF(244&gt;=DeliverStart,ExpUtilitiesPerUnit*TotalUnits/12*IM$9*IM$11,0)</f>
        <v/>
      </c>
      <c r="IN27" s="18">
        <f>IF(245&gt;=DeliverStart,ExpUtilitiesPerUnit*TotalUnits/12*IN$9*IN$11,0)</f>
        <v/>
      </c>
      <c r="IO27" s="18">
        <f>IF(246&gt;=DeliverStart,ExpUtilitiesPerUnit*TotalUnits/12*IO$9*IO$11,0)</f>
        <v/>
      </c>
      <c r="IP27" s="18">
        <f>IF(247&gt;=DeliverStart,ExpUtilitiesPerUnit*TotalUnits/12*IP$9*IP$11,0)</f>
        <v/>
      </c>
      <c r="IQ27" s="18">
        <f>IF(248&gt;=DeliverStart,ExpUtilitiesPerUnit*TotalUnits/12*IQ$9*IQ$11,0)</f>
        <v/>
      </c>
      <c r="IR27" s="18">
        <f>IF(249&gt;=DeliverStart,ExpUtilitiesPerUnit*TotalUnits/12*IR$9*IR$11,0)</f>
        <v/>
      </c>
      <c r="IS27" s="18">
        <f>IF(250&gt;=DeliverStart,ExpUtilitiesPerUnit*TotalUnits/12*IS$9*IS$11,0)</f>
        <v/>
      </c>
      <c r="IT27" s="18">
        <f>IF(251&gt;=DeliverStart,ExpUtilitiesPerUnit*TotalUnits/12*IT$9*IT$11,0)</f>
        <v/>
      </c>
      <c r="IU27" s="18">
        <f>IF(252&gt;=DeliverStart,ExpUtilitiesPerUnit*TotalUnits/12*IU$9*IU$11,0)</f>
        <v/>
      </c>
      <c r="IV27" s="18">
        <f>IF(253&gt;=DeliverStart,ExpUtilitiesPerUnit*TotalUnits/12*IV$9*IV$11,0)</f>
        <v/>
      </c>
      <c r="IW27" s="18">
        <f>IF(254&gt;=DeliverStart,ExpUtilitiesPerUnit*TotalUnits/12*IW$9*IW$11,0)</f>
        <v/>
      </c>
      <c r="IX27" s="18">
        <f>IF(255&gt;=DeliverStart,ExpUtilitiesPerUnit*TotalUnits/12*IX$9*IX$11,0)</f>
        <v/>
      </c>
      <c r="IY27" s="18">
        <f>IF(256&gt;=DeliverStart,ExpUtilitiesPerUnit*TotalUnits/12*IY$9*IY$11,0)</f>
        <v/>
      </c>
      <c r="IZ27" s="18">
        <f>IF(257&gt;=DeliverStart,ExpUtilitiesPerUnit*TotalUnits/12*IZ$9*IZ$11,0)</f>
        <v/>
      </c>
      <c r="JA27" s="18">
        <f>IF(258&gt;=DeliverStart,ExpUtilitiesPerUnit*TotalUnits/12*JA$9*JA$11,0)</f>
        <v/>
      </c>
      <c r="JB27" s="18">
        <f>IF(259&gt;=DeliverStart,ExpUtilitiesPerUnit*TotalUnits/12*JB$9*JB$11,0)</f>
        <v/>
      </c>
      <c r="JC27" s="18">
        <f>IF(260&gt;=DeliverStart,ExpUtilitiesPerUnit*TotalUnits/12*JC$9*JC$11,0)</f>
        <v/>
      </c>
      <c r="JD27" s="18">
        <f>IF(261&gt;=DeliverStart,ExpUtilitiesPerUnit*TotalUnits/12*JD$9*JD$11,0)</f>
        <v/>
      </c>
      <c r="JE27" s="18">
        <f>IF(262&gt;=DeliverStart,ExpUtilitiesPerUnit*TotalUnits/12*JE$9*JE$11,0)</f>
        <v/>
      </c>
      <c r="JF27" s="18">
        <f>IF(263&gt;=DeliverStart,ExpUtilitiesPerUnit*TotalUnits/12*JF$9*JF$11,0)</f>
        <v/>
      </c>
      <c r="JG27" s="18">
        <f>IF(264&gt;=DeliverStart,ExpUtilitiesPerUnit*TotalUnits/12*JG$9*JG$11,0)</f>
        <v/>
      </c>
      <c r="JH27" s="18">
        <f>IF(265&gt;=DeliverStart,ExpUtilitiesPerUnit*TotalUnits/12*JH$9*JH$11,0)</f>
        <v/>
      </c>
      <c r="JI27" s="18">
        <f>IF(266&gt;=DeliverStart,ExpUtilitiesPerUnit*TotalUnits/12*JI$9*JI$11,0)</f>
        <v/>
      </c>
      <c r="JJ27" s="18">
        <f>IF(267&gt;=DeliverStart,ExpUtilitiesPerUnit*TotalUnits/12*JJ$9*JJ$11,0)</f>
        <v/>
      </c>
      <c r="JK27" s="18">
        <f>IF(268&gt;=DeliverStart,ExpUtilitiesPerUnit*TotalUnits/12*JK$9*JK$11,0)</f>
        <v/>
      </c>
      <c r="JL27" s="18">
        <f>IF(269&gt;=DeliverStart,ExpUtilitiesPerUnit*TotalUnits/12*JL$9*JL$11,0)</f>
        <v/>
      </c>
      <c r="JM27" s="18">
        <f>IF(270&gt;=DeliverStart,ExpUtilitiesPerUnit*TotalUnits/12*JM$9*JM$11,0)</f>
        <v/>
      </c>
      <c r="JN27" s="18">
        <f>IF(271&gt;=DeliverStart,ExpUtilitiesPerUnit*TotalUnits/12*JN$9*JN$11,0)</f>
        <v/>
      </c>
      <c r="JO27" s="18">
        <f>IF(272&gt;=DeliverStart,ExpUtilitiesPerUnit*TotalUnits/12*JO$9*JO$11,0)</f>
        <v/>
      </c>
      <c r="JP27" s="18">
        <f>IF(273&gt;=DeliverStart,ExpUtilitiesPerUnit*TotalUnits/12*JP$9*JP$11,0)</f>
        <v/>
      </c>
      <c r="JQ27" s="18">
        <f>IF(274&gt;=DeliverStart,ExpUtilitiesPerUnit*TotalUnits/12*JQ$9*JQ$11,0)</f>
        <v/>
      </c>
      <c r="JR27" s="18">
        <f>IF(275&gt;=DeliverStart,ExpUtilitiesPerUnit*TotalUnits/12*JR$9*JR$11,0)</f>
        <v/>
      </c>
      <c r="JS27" s="18">
        <f>IF(276&gt;=DeliverStart,ExpUtilitiesPerUnit*TotalUnits/12*JS$9*JS$11,0)</f>
        <v/>
      </c>
      <c r="JT27" s="18">
        <f>IF(277&gt;=DeliverStart,ExpUtilitiesPerUnit*TotalUnits/12*JT$9*JT$11,0)</f>
        <v/>
      </c>
      <c r="JU27" s="18">
        <f>IF(278&gt;=DeliverStart,ExpUtilitiesPerUnit*TotalUnits/12*JU$9*JU$11,0)</f>
        <v/>
      </c>
      <c r="JV27" s="18">
        <f>IF(279&gt;=DeliverStart,ExpUtilitiesPerUnit*TotalUnits/12*JV$9*JV$11,0)</f>
        <v/>
      </c>
      <c r="JW27" s="18">
        <f>IF(280&gt;=DeliverStart,ExpUtilitiesPerUnit*TotalUnits/12*JW$9*JW$11,0)</f>
        <v/>
      </c>
      <c r="JX27" s="18">
        <f>IF(281&gt;=DeliverStart,ExpUtilitiesPerUnit*TotalUnits/12*JX$9*JX$11,0)</f>
        <v/>
      </c>
      <c r="JY27" s="18">
        <f>IF(282&gt;=DeliverStart,ExpUtilitiesPerUnit*TotalUnits/12*JY$9*JY$11,0)</f>
        <v/>
      </c>
      <c r="JZ27" s="18">
        <f>IF(283&gt;=DeliverStart,ExpUtilitiesPerUnit*TotalUnits/12*JZ$9*JZ$11,0)</f>
        <v/>
      </c>
      <c r="KA27" s="18">
        <f>IF(284&gt;=DeliverStart,ExpUtilitiesPerUnit*TotalUnits/12*KA$9*KA$11,0)</f>
        <v/>
      </c>
      <c r="KB27" s="18">
        <f>IF(285&gt;=DeliverStart,ExpUtilitiesPerUnit*TotalUnits/12*KB$9*KB$11,0)</f>
        <v/>
      </c>
      <c r="KC27" s="18">
        <f>IF(286&gt;=DeliverStart,ExpUtilitiesPerUnit*TotalUnits/12*KC$9*KC$11,0)</f>
        <v/>
      </c>
      <c r="KD27" s="18">
        <f>IF(287&gt;=DeliverStart,ExpUtilitiesPerUnit*TotalUnits/12*KD$9*KD$11,0)</f>
        <v/>
      </c>
      <c r="KE27" s="18">
        <f>IF(288&gt;=DeliverStart,ExpUtilitiesPerUnit*TotalUnits/12*KE$9*KE$11,0)</f>
        <v/>
      </c>
      <c r="KF27" s="18">
        <f>IF(289&gt;=DeliverStart,ExpUtilitiesPerUnit*TotalUnits/12*KF$9*KF$11,0)</f>
        <v/>
      </c>
      <c r="KG27" s="18">
        <f>IF(290&gt;=DeliverStart,ExpUtilitiesPerUnit*TotalUnits/12*KG$9*KG$11,0)</f>
        <v/>
      </c>
      <c r="KH27" s="18">
        <f>IF(291&gt;=DeliverStart,ExpUtilitiesPerUnit*TotalUnits/12*KH$9*KH$11,0)</f>
        <v/>
      </c>
      <c r="KI27" s="18">
        <f>IF(292&gt;=DeliverStart,ExpUtilitiesPerUnit*TotalUnits/12*KI$9*KI$11,0)</f>
        <v/>
      </c>
      <c r="KJ27" s="18">
        <f>IF(293&gt;=DeliverStart,ExpUtilitiesPerUnit*TotalUnits/12*KJ$9*KJ$11,0)</f>
        <v/>
      </c>
      <c r="KK27" s="18">
        <f>IF(294&gt;=DeliverStart,ExpUtilitiesPerUnit*TotalUnits/12*KK$9*KK$11,0)</f>
        <v/>
      </c>
      <c r="KL27" s="18">
        <f>IF(295&gt;=DeliverStart,ExpUtilitiesPerUnit*TotalUnits/12*KL$9*KL$11,0)</f>
        <v/>
      </c>
      <c r="KM27" s="18">
        <f>IF(296&gt;=DeliverStart,ExpUtilitiesPerUnit*TotalUnits/12*KM$9*KM$11,0)</f>
        <v/>
      </c>
      <c r="KN27" s="18">
        <f>IF(297&gt;=DeliverStart,ExpUtilitiesPerUnit*TotalUnits/12*KN$9*KN$11,0)</f>
        <v/>
      </c>
      <c r="KO27" s="18">
        <f>IF(298&gt;=DeliverStart,ExpUtilitiesPerUnit*TotalUnits/12*KO$9*KO$11,0)</f>
        <v/>
      </c>
      <c r="KP27" s="18">
        <f>IF(299&gt;=DeliverStart,ExpUtilitiesPerUnit*TotalUnits/12*KP$9*KP$11,0)</f>
        <v/>
      </c>
      <c r="KQ27" s="18">
        <f>IF(300&gt;=DeliverStart,ExpUtilitiesPerUnit*TotalUnits/12*KQ$9*KQ$11,0)</f>
        <v/>
      </c>
      <c r="KR27" s="18">
        <f>IF(301&gt;=DeliverStart,ExpUtilitiesPerUnit*TotalUnits/12*KR$9*KR$11,0)</f>
        <v/>
      </c>
      <c r="KS27" s="18">
        <f>IF(302&gt;=DeliverStart,ExpUtilitiesPerUnit*TotalUnits/12*KS$9*KS$11,0)</f>
        <v/>
      </c>
      <c r="KT27" s="18">
        <f>IF(303&gt;=DeliverStart,ExpUtilitiesPerUnit*TotalUnits/12*KT$9*KT$11,0)</f>
        <v/>
      </c>
      <c r="KU27" s="18">
        <f>IF(304&gt;=DeliverStart,ExpUtilitiesPerUnit*TotalUnits/12*KU$9*KU$11,0)</f>
        <v/>
      </c>
      <c r="KV27" s="18">
        <f>IF(305&gt;=DeliverStart,ExpUtilitiesPerUnit*TotalUnits/12*KV$9*KV$11,0)</f>
        <v/>
      </c>
      <c r="KW27" s="18">
        <f>IF(306&gt;=DeliverStart,ExpUtilitiesPerUnit*TotalUnits/12*KW$9*KW$11,0)</f>
        <v/>
      </c>
      <c r="KX27" s="18">
        <f>IF(307&gt;=DeliverStart,ExpUtilitiesPerUnit*TotalUnits/12*KX$9*KX$11,0)</f>
        <v/>
      </c>
      <c r="KY27" s="18">
        <f>IF(308&gt;=DeliverStart,ExpUtilitiesPerUnit*TotalUnits/12*KY$9*KY$11,0)</f>
        <v/>
      </c>
      <c r="KZ27" s="18">
        <f>IF(309&gt;=DeliverStart,ExpUtilitiesPerUnit*TotalUnits/12*KZ$9*KZ$11,0)</f>
        <v/>
      </c>
      <c r="LA27" s="18">
        <f>IF(310&gt;=DeliverStart,ExpUtilitiesPerUnit*TotalUnits/12*LA$9*LA$11,0)</f>
        <v/>
      </c>
      <c r="LB27" s="18">
        <f>IF(311&gt;=DeliverStart,ExpUtilitiesPerUnit*TotalUnits/12*LB$9*LB$11,0)</f>
        <v/>
      </c>
      <c r="LC27" s="18">
        <f>IF(312&gt;=DeliverStart,ExpUtilitiesPerUnit*TotalUnits/12*LC$9*LC$11,0)</f>
        <v/>
      </c>
      <c r="LD27" s="18">
        <f>IF(313&gt;=DeliverStart,ExpUtilitiesPerUnit*TotalUnits/12*LD$9*LD$11,0)</f>
        <v/>
      </c>
      <c r="LE27" s="18">
        <f>IF(314&gt;=DeliverStart,ExpUtilitiesPerUnit*TotalUnits/12*LE$9*LE$11,0)</f>
        <v/>
      </c>
      <c r="LF27" s="18">
        <f>IF(315&gt;=DeliverStart,ExpUtilitiesPerUnit*TotalUnits/12*LF$9*LF$11,0)</f>
        <v/>
      </c>
      <c r="LG27" s="18">
        <f>IF(316&gt;=DeliverStart,ExpUtilitiesPerUnit*TotalUnits/12*LG$9*LG$11,0)</f>
        <v/>
      </c>
      <c r="LH27" s="18">
        <f>IF(317&gt;=DeliverStart,ExpUtilitiesPerUnit*TotalUnits/12*LH$9*LH$11,0)</f>
        <v/>
      </c>
      <c r="LI27" s="18">
        <f>IF(318&gt;=DeliverStart,ExpUtilitiesPerUnit*TotalUnits/12*LI$9*LI$11,0)</f>
        <v/>
      </c>
      <c r="LJ27" s="18">
        <f>IF(319&gt;=DeliverStart,ExpUtilitiesPerUnit*TotalUnits/12*LJ$9*LJ$11,0)</f>
        <v/>
      </c>
      <c r="LK27" s="18">
        <f>IF(320&gt;=DeliverStart,ExpUtilitiesPerUnit*TotalUnits/12*LK$9*LK$11,0)</f>
        <v/>
      </c>
      <c r="LL27" s="18">
        <f>IF(321&gt;=DeliverStart,ExpUtilitiesPerUnit*TotalUnits/12*LL$9*LL$11,0)</f>
        <v/>
      </c>
      <c r="LM27" s="18">
        <f>IF(322&gt;=DeliverStart,ExpUtilitiesPerUnit*TotalUnits/12*LM$9*LM$11,0)</f>
        <v/>
      </c>
      <c r="LN27" s="18">
        <f>IF(323&gt;=DeliverStart,ExpUtilitiesPerUnit*TotalUnits/12*LN$9*LN$11,0)</f>
        <v/>
      </c>
      <c r="LO27" s="18">
        <f>IF(324&gt;=DeliverStart,ExpUtilitiesPerUnit*TotalUnits/12*LO$9*LO$11,0)</f>
        <v/>
      </c>
      <c r="LP27" s="18">
        <f>IF(325&gt;=DeliverStart,ExpUtilitiesPerUnit*TotalUnits/12*LP$9*LP$11,0)</f>
        <v/>
      </c>
      <c r="LQ27" s="18">
        <f>IF(326&gt;=DeliverStart,ExpUtilitiesPerUnit*TotalUnits/12*LQ$9*LQ$11,0)</f>
        <v/>
      </c>
      <c r="LR27" s="18">
        <f>IF(327&gt;=DeliverStart,ExpUtilitiesPerUnit*TotalUnits/12*LR$9*LR$11,0)</f>
        <v/>
      </c>
      <c r="LS27" s="18">
        <f>IF(328&gt;=DeliverStart,ExpUtilitiesPerUnit*TotalUnits/12*LS$9*LS$11,0)</f>
        <v/>
      </c>
      <c r="LT27" s="18">
        <f>IF(329&gt;=DeliverStart,ExpUtilitiesPerUnit*TotalUnits/12*LT$9*LT$11,0)</f>
        <v/>
      </c>
      <c r="LU27" s="18">
        <f>IF(330&gt;=DeliverStart,ExpUtilitiesPerUnit*TotalUnits/12*LU$9*LU$11,0)</f>
        <v/>
      </c>
      <c r="LV27" s="18">
        <f>IF(331&gt;=DeliverStart,ExpUtilitiesPerUnit*TotalUnits/12*LV$9*LV$11,0)</f>
        <v/>
      </c>
      <c r="LW27" s="18">
        <f>IF(332&gt;=DeliverStart,ExpUtilitiesPerUnit*TotalUnits/12*LW$9*LW$11,0)</f>
        <v/>
      </c>
      <c r="LX27" s="18">
        <f>IF(333&gt;=DeliverStart,ExpUtilitiesPerUnit*TotalUnits/12*LX$9*LX$11,0)</f>
        <v/>
      </c>
      <c r="LY27" s="18">
        <f>IF(334&gt;=DeliverStart,ExpUtilitiesPerUnit*TotalUnits/12*LY$9*LY$11,0)</f>
        <v/>
      </c>
      <c r="LZ27" s="18">
        <f>IF(335&gt;=DeliverStart,ExpUtilitiesPerUnit*TotalUnits/12*LZ$9*LZ$11,0)</f>
        <v/>
      </c>
      <c r="MA27" s="18">
        <f>IF(336&gt;=DeliverStart,ExpUtilitiesPerUnit*TotalUnits/12*MA$9*MA$11,0)</f>
        <v/>
      </c>
      <c r="MB27" s="18">
        <f>IF(337&gt;=DeliverStart,ExpUtilitiesPerUnit*TotalUnits/12*MB$9*MB$11,0)</f>
        <v/>
      </c>
      <c r="MC27" s="18">
        <f>IF(338&gt;=DeliverStart,ExpUtilitiesPerUnit*TotalUnits/12*MC$9*MC$11,0)</f>
        <v/>
      </c>
      <c r="MD27" s="18">
        <f>IF(339&gt;=DeliverStart,ExpUtilitiesPerUnit*TotalUnits/12*MD$9*MD$11,0)</f>
        <v/>
      </c>
      <c r="ME27" s="18">
        <f>IF(340&gt;=DeliverStart,ExpUtilitiesPerUnit*TotalUnits/12*ME$9*ME$11,0)</f>
        <v/>
      </c>
      <c r="MF27" s="18">
        <f>IF(341&gt;=DeliverStart,ExpUtilitiesPerUnit*TotalUnits/12*MF$9*MF$11,0)</f>
        <v/>
      </c>
      <c r="MG27" s="18">
        <f>IF(342&gt;=DeliverStart,ExpUtilitiesPerUnit*TotalUnits/12*MG$9*MG$11,0)</f>
        <v/>
      </c>
      <c r="MH27" s="18">
        <f>IF(343&gt;=DeliverStart,ExpUtilitiesPerUnit*TotalUnits/12*MH$9*MH$11,0)</f>
        <v/>
      </c>
      <c r="MI27" s="18">
        <f>IF(344&gt;=DeliverStart,ExpUtilitiesPerUnit*TotalUnits/12*MI$9*MI$11,0)</f>
        <v/>
      </c>
      <c r="MJ27" s="18">
        <f>IF(345&gt;=DeliverStart,ExpUtilitiesPerUnit*TotalUnits/12*MJ$9*MJ$11,0)</f>
        <v/>
      </c>
      <c r="MK27" s="18">
        <f>IF(346&gt;=DeliverStart,ExpUtilitiesPerUnit*TotalUnits/12*MK$9*MK$11,0)</f>
        <v/>
      </c>
      <c r="ML27" s="18">
        <f>IF(347&gt;=DeliverStart,ExpUtilitiesPerUnit*TotalUnits/12*ML$9*ML$11,0)</f>
        <v/>
      </c>
      <c r="MM27" s="18">
        <f>IF(348&gt;=DeliverStart,ExpUtilitiesPerUnit*TotalUnits/12*MM$9*MM$11,0)</f>
        <v/>
      </c>
      <c r="MN27" s="18">
        <f>IF(349&gt;=DeliverStart,ExpUtilitiesPerUnit*TotalUnits/12*MN$9*MN$11,0)</f>
        <v/>
      </c>
      <c r="MO27" s="18">
        <f>IF(350&gt;=DeliverStart,ExpUtilitiesPerUnit*TotalUnits/12*MO$9*MO$11,0)</f>
        <v/>
      </c>
      <c r="MP27" s="18">
        <f>IF(351&gt;=DeliverStart,ExpUtilitiesPerUnit*TotalUnits/12*MP$9*MP$11,0)</f>
        <v/>
      </c>
      <c r="MQ27" s="18">
        <f>IF(352&gt;=DeliverStart,ExpUtilitiesPerUnit*TotalUnits/12*MQ$9*MQ$11,0)</f>
        <v/>
      </c>
      <c r="MR27" s="18">
        <f>IF(353&gt;=DeliverStart,ExpUtilitiesPerUnit*TotalUnits/12*MR$9*MR$11,0)</f>
        <v/>
      </c>
      <c r="MS27" s="18">
        <f>IF(354&gt;=DeliverStart,ExpUtilitiesPerUnit*TotalUnits/12*MS$9*MS$11,0)</f>
        <v/>
      </c>
      <c r="MT27" s="18">
        <f>IF(355&gt;=DeliverStart,ExpUtilitiesPerUnit*TotalUnits/12*MT$9*MT$11,0)</f>
        <v/>
      </c>
      <c r="MU27" s="18">
        <f>IF(356&gt;=DeliverStart,ExpUtilitiesPerUnit*TotalUnits/12*MU$9*MU$11,0)</f>
        <v/>
      </c>
      <c r="MV27" s="18">
        <f>IF(357&gt;=DeliverStart,ExpUtilitiesPerUnit*TotalUnits/12*MV$9*MV$11,0)</f>
        <v/>
      </c>
      <c r="MW27" s="18">
        <f>IF(358&gt;=DeliverStart,ExpUtilitiesPerUnit*TotalUnits/12*MW$9*MW$11,0)</f>
        <v/>
      </c>
      <c r="MX27" s="18">
        <f>IF(359&gt;=DeliverStart,ExpUtilitiesPerUnit*TotalUnits/12*MX$9*MX$11,0)</f>
        <v/>
      </c>
      <c r="MY27" s="18">
        <f>IF(360&gt;=DeliverStart,ExpUtilitiesPerUnit*TotalUnits/12*MY$9*MY$11,0)</f>
        <v/>
      </c>
      <c r="MZ27" s="18">
        <f>IF(361&gt;=DeliverStart,ExpUtilitiesPerUnit*TotalUnits/12*MZ$9*MZ$11,0)</f>
        <v/>
      </c>
      <c r="NA27" s="18">
        <f>IF(362&gt;=DeliverStart,ExpUtilitiesPerUnit*TotalUnits/12*NA$9*NA$11,0)</f>
        <v/>
      </c>
      <c r="NB27" s="18">
        <f>IF(363&gt;=DeliverStart,ExpUtilitiesPerUnit*TotalUnits/12*NB$9*NB$11,0)</f>
        <v/>
      </c>
      <c r="NC27" s="18">
        <f>IF(364&gt;=DeliverStart,ExpUtilitiesPerUnit*TotalUnits/12*NC$9*NC$11,0)</f>
        <v/>
      </c>
      <c r="ND27" s="18">
        <f>IF(365&gt;=DeliverStart,ExpUtilitiesPerUnit*TotalUnits/12*ND$9*ND$11,0)</f>
        <v/>
      </c>
      <c r="NE27" s="18">
        <f>IF(366&gt;=DeliverStart,ExpUtilitiesPerUnit*TotalUnits/12*NE$9*NE$11,0)</f>
        <v/>
      </c>
      <c r="NF27" s="18">
        <f>IF(367&gt;=DeliverStart,ExpUtilitiesPerUnit*TotalUnits/12*NF$9*NF$11,0)</f>
        <v/>
      </c>
      <c r="NG27" s="18">
        <f>IF(368&gt;=DeliverStart,ExpUtilitiesPerUnit*TotalUnits/12*NG$9*NG$11,0)</f>
        <v/>
      </c>
      <c r="NH27" s="18">
        <f>IF(369&gt;=DeliverStart,ExpUtilitiesPerUnit*TotalUnits/12*NH$9*NH$11,0)</f>
        <v/>
      </c>
      <c r="NI27" s="18">
        <f>IF(370&gt;=DeliverStart,ExpUtilitiesPerUnit*TotalUnits/12*NI$9*NI$11,0)</f>
        <v/>
      </c>
      <c r="NJ27" s="18">
        <f>IF(371&gt;=DeliverStart,ExpUtilitiesPerUnit*TotalUnits/12*NJ$9*NJ$11,0)</f>
        <v/>
      </c>
      <c r="NK27" s="18">
        <f>IF(372&gt;=DeliverStart,ExpUtilitiesPerUnit*TotalUnits/12*NK$9*NK$11,0)</f>
        <v/>
      </c>
    </row>
    <row r="28">
      <c r="A28" s="5" t="inlineStr">
        <is>
          <t>Repairs &amp; Maintenance (variable)</t>
        </is>
      </c>
      <c r="C28" s="41">
        <f>SUM(D28:NK28)</f>
        <v/>
      </c>
      <c r="D28" s="18">
        <f>IF(1&gt;=DeliverStart,ExpRMPerUnit*TotalUnits/12*D$8*D$11,0)</f>
        <v/>
      </c>
      <c r="E28" s="18">
        <f>IF(2&gt;=DeliverStart,ExpRMPerUnit*TotalUnits/12*E$8*E$11,0)</f>
        <v/>
      </c>
      <c r="F28" s="18">
        <f>IF(3&gt;=DeliverStart,ExpRMPerUnit*TotalUnits/12*F$8*F$11,0)</f>
        <v/>
      </c>
      <c r="G28" s="18">
        <f>IF(4&gt;=DeliverStart,ExpRMPerUnit*TotalUnits/12*G$8*G$11,0)</f>
        <v/>
      </c>
      <c r="H28" s="18">
        <f>IF(5&gt;=DeliverStart,ExpRMPerUnit*TotalUnits/12*H$8*H$11,0)</f>
        <v/>
      </c>
      <c r="I28" s="18">
        <f>IF(6&gt;=DeliverStart,ExpRMPerUnit*TotalUnits/12*I$8*I$11,0)</f>
        <v/>
      </c>
      <c r="J28" s="18">
        <f>IF(7&gt;=DeliverStart,ExpRMPerUnit*TotalUnits/12*J$8*J$11,0)</f>
        <v/>
      </c>
      <c r="K28" s="18">
        <f>IF(8&gt;=DeliverStart,ExpRMPerUnit*TotalUnits/12*K$8*K$11,0)</f>
        <v/>
      </c>
      <c r="L28" s="18">
        <f>IF(9&gt;=DeliverStart,ExpRMPerUnit*TotalUnits/12*L$8*L$11,0)</f>
        <v/>
      </c>
      <c r="M28" s="18">
        <f>IF(10&gt;=DeliverStart,ExpRMPerUnit*TotalUnits/12*M$8*M$11,0)</f>
        <v/>
      </c>
      <c r="N28" s="18">
        <f>IF(11&gt;=DeliverStart,ExpRMPerUnit*TotalUnits/12*N$8*N$11,0)</f>
        <v/>
      </c>
      <c r="O28" s="18">
        <f>IF(12&gt;=DeliverStart,ExpRMPerUnit*TotalUnits/12*O$8*O$11,0)</f>
        <v/>
      </c>
      <c r="P28" s="18">
        <f>IF(13&gt;=DeliverStart,ExpRMPerUnit*TotalUnits/12*P$8*P$11,0)</f>
        <v/>
      </c>
      <c r="Q28" s="18">
        <f>IF(14&gt;=DeliverStart,ExpRMPerUnit*TotalUnits/12*Q$8*Q$11,0)</f>
        <v/>
      </c>
      <c r="R28" s="18">
        <f>IF(15&gt;=DeliverStart,ExpRMPerUnit*TotalUnits/12*R$8*R$11,0)</f>
        <v/>
      </c>
      <c r="S28" s="18">
        <f>IF(16&gt;=DeliverStart,ExpRMPerUnit*TotalUnits/12*S$8*S$11,0)</f>
        <v/>
      </c>
      <c r="T28" s="18">
        <f>IF(17&gt;=DeliverStart,ExpRMPerUnit*TotalUnits/12*T$8*T$11,0)</f>
        <v/>
      </c>
      <c r="U28" s="18">
        <f>IF(18&gt;=DeliverStart,ExpRMPerUnit*TotalUnits/12*U$8*U$11,0)</f>
        <v/>
      </c>
      <c r="V28" s="18">
        <f>IF(19&gt;=DeliverStart,ExpRMPerUnit*TotalUnits/12*V$8*V$11,0)</f>
        <v/>
      </c>
      <c r="W28" s="18">
        <f>IF(20&gt;=DeliverStart,ExpRMPerUnit*TotalUnits/12*W$8*W$11,0)</f>
        <v/>
      </c>
      <c r="X28" s="18">
        <f>IF(21&gt;=DeliverStart,ExpRMPerUnit*TotalUnits/12*X$8*X$11,0)</f>
        <v/>
      </c>
      <c r="Y28" s="18">
        <f>IF(22&gt;=DeliverStart,ExpRMPerUnit*TotalUnits/12*Y$8*Y$11,0)</f>
        <v/>
      </c>
      <c r="Z28" s="18">
        <f>IF(23&gt;=DeliverStart,ExpRMPerUnit*TotalUnits/12*Z$8*Z$11,0)</f>
        <v/>
      </c>
      <c r="AA28" s="18">
        <f>IF(24&gt;=DeliverStart,ExpRMPerUnit*TotalUnits/12*AA$8*AA$11,0)</f>
        <v/>
      </c>
      <c r="AB28" s="18">
        <f>IF(25&gt;=DeliverStart,ExpRMPerUnit*TotalUnits/12*AB$8*AB$11,0)</f>
        <v/>
      </c>
      <c r="AC28" s="18">
        <f>IF(26&gt;=DeliverStart,ExpRMPerUnit*TotalUnits/12*AC$8*AC$11,0)</f>
        <v/>
      </c>
      <c r="AD28" s="18">
        <f>IF(27&gt;=DeliverStart,ExpRMPerUnit*TotalUnits/12*AD$8*AD$11,0)</f>
        <v/>
      </c>
      <c r="AE28" s="18">
        <f>IF(28&gt;=DeliverStart,ExpRMPerUnit*TotalUnits/12*AE$8*AE$11,0)</f>
        <v/>
      </c>
      <c r="AF28" s="18">
        <f>IF(29&gt;=DeliverStart,ExpRMPerUnit*TotalUnits/12*AF$8*AF$11,0)</f>
        <v/>
      </c>
      <c r="AG28" s="18">
        <f>IF(30&gt;=DeliverStart,ExpRMPerUnit*TotalUnits/12*AG$8*AG$11,0)</f>
        <v/>
      </c>
      <c r="AH28" s="18">
        <f>IF(31&gt;=DeliverStart,ExpRMPerUnit*TotalUnits/12*AH$8*AH$11,0)</f>
        <v/>
      </c>
      <c r="AI28" s="18">
        <f>IF(32&gt;=DeliverStart,ExpRMPerUnit*TotalUnits/12*AI$8*AI$11,0)</f>
        <v/>
      </c>
      <c r="AJ28" s="18">
        <f>IF(33&gt;=DeliverStart,ExpRMPerUnit*TotalUnits/12*AJ$8*AJ$11,0)</f>
        <v/>
      </c>
      <c r="AK28" s="18">
        <f>IF(34&gt;=DeliverStart,ExpRMPerUnit*TotalUnits/12*AK$8*AK$11,0)</f>
        <v/>
      </c>
      <c r="AL28" s="18">
        <f>IF(35&gt;=DeliverStart,ExpRMPerUnit*TotalUnits/12*AL$8*AL$11,0)</f>
        <v/>
      </c>
      <c r="AM28" s="18">
        <f>IF(36&gt;=DeliverStart,ExpRMPerUnit*TotalUnits/12*AM$8*AM$11,0)</f>
        <v/>
      </c>
      <c r="AN28" s="18">
        <f>IF(37&gt;=DeliverStart,ExpRMPerUnit*TotalUnits/12*AN$8*AN$11,0)</f>
        <v/>
      </c>
      <c r="AO28" s="18">
        <f>IF(38&gt;=DeliverStart,ExpRMPerUnit*TotalUnits/12*AO$8*AO$11,0)</f>
        <v/>
      </c>
      <c r="AP28" s="18">
        <f>IF(39&gt;=DeliverStart,ExpRMPerUnit*TotalUnits/12*AP$8*AP$11,0)</f>
        <v/>
      </c>
      <c r="AQ28" s="18">
        <f>IF(40&gt;=DeliverStart,ExpRMPerUnit*TotalUnits/12*AQ$8*AQ$11,0)</f>
        <v/>
      </c>
      <c r="AR28" s="18">
        <f>IF(41&gt;=DeliverStart,ExpRMPerUnit*TotalUnits/12*AR$8*AR$11,0)</f>
        <v/>
      </c>
      <c r="AS28" s="18">
        <f>IF(42&gt;=DeliverStart,ExpRMPerUnit*TotalUnits/12*AS$8*AS$11,0)</f>
        <v/>
      </c>
      <c r="AT28" s="18">
        <f>IF(43&gt;=DeliverStart,ExpRMPerUnit*TotalUnits/12*AT$8*AT$11,0)</f>
        <v/>
      </c>
      <c r="AU28" s="18">
        <f>IF(44&gt;=DeliverStart,ExpRMPerUnit*TotalUnits/12*AU$8*AU$11,0)</f>
        <v/>
      </c>
      <c r="AV28" s="18">
        <f>IF(45&gt;=DeliverStart,ExpRMPerUnit*TotalUnits/12*AV$8*AV$11,0)</f>
        <v/>
      </c>
      <c r="AW28" s="18">
        <f>IF(46&gt;=DeliverStart,ExpRMPerUnit*TotalUnits/12*AW$8*AW$11,0)</f>
        <v/>
      </c>
      <c r="AX28" s="18">
        <f>IF(47&gt;=DeliverStart,ExpRMPerUnit*TotalUnits/12*AX$8*AX$11,0)</f>
        <v/>
      </c>
      <c r="AY28" s="18">
        <f>IF(48&gt;=DeliverStart,ExpRMPerUnit*TotalUnits/12*AY$8*AY$11,0)</f>
        <v/>
      </c>
      <c r="AZ28" s="18">
        <f>IF(49&gt;=DeliverStart,ExpRMPerUnit*TotalUnits/12*AZ$8*AZ$11,0)</f>
        <v/>
      </c>
      <c r="BA28" s="18">
        <f>IF(50&gt;=DeliverStart,ExpRMPerUnit*TotalUnits/12*BA$8*BA$11,0)</f>
        <v/>
      </c>
      <c r="BB28" s="18">
        <f>IF(51&gt;=DeliverStart,ExpRMPerUnit*TotalUnits/12*BB$8*BB$11,0)</f>
        <v/>
      </c>
      <c r="BC28" s="18">
        <f>IF(52&gt;=DeliverStart,ExpRMPerUnit*TotalUnits/12*BC$8*BC$11,0)</f>
        <v/>
      </c>
      <c r="BD28" s="18">
        <f>IF(53&gt;=DeliverStart,ExpRMPerUnit*TotalUnits/12*BD$8*BD$11,0)</f>
        <v/>
      </c>
      <c r="BE28" s="18">
        <f>IF(54&gt;=DeliverStart,ExpRMPerUnit*TotalUnits/12*BE$8*BE$11,0)</f>
        <v/>
      </c>
      <c r="BF28" s="18">
        <f>IF(55&gt;=DeliverStart,ExpRMPerUnit*TotalUnits/12*BF$8*BF$11,0)</f>
        <v/>
      </c>
      <c r="BG28" s="18">
        <f>IF(56&gt;=DeliverStart,ExpRMPerUnit*TotalUnits/12*BG$8*BG$11,0)</f>
        <v/>
      </c>
      <c r="BH28" s="18">
        <f>IF(57&gt;=DeliverStart,ExpRMPerUnit*TotalUnits/12*BH$8*BH$11,0)</f>
        <v/>
      </c>
      <c r="BI28" s="18">
        <f>IF(58&gt;=DeliverStart,ExpRMPerUnit*TotalUnits/12*BI$8*BI$11,0)</f>
        <v/>
      </c>
      <c r="BJ28" s="18">
        <f>IF(59&gt;=DeliverStart,ExpRMPerUnit*TotalUnits/12*BJ$8*BJ$11,0)</f>
        <v/>
      </c>
      <c r="BK28" s="18">
        <f>IF(60&gt;=DeliverStart,ExpRMPerUnit*TotalUnits/12*BK$8*BK$11,0)</f>
        <v/>
      </c>
      <c r="BL28" s="18">
        <f>IF(61&gt;=DeliverStart,ExpRMPerUnit*TotalUnits/12*BL$8*BL$11,0)</f>
        <v/>
      </c>
      <c r="BM28" s="18">
        <f>IF(62&gt;=DeliverStart,ExpRMPerUnit*TotalUnits/12*BM$8*BM$11,0)</f>
        <v/>
      </c>
      <c r="BN28" s="18">
        <f>IF(63&gt;=DeliverStart,ExpRMPerUnit*TotalUnits/12*BN$8*BN$11,0)</f>
        <v/>
      </c>
      <c r="BO28" s="18">
        <f>IF(64&gt;=DeliverStart,ExpRMPerUnit*TotalUnits/12*BO$8*BO$11,0)</f>
        <v/>
      </c>
      <c r="BP28" s="18">
        <f>IF(65&gt;=DeliverStart,ExpRMPerUnit*TotalUnits/12*BP$8*BP$11,0)</f>
        <v/>
      </c>
      <c r="BQ28" s="18">
        <f>IF(66&gt;=DeliverStart,ExpRMPerUnit*TotalUnits/12*BQ$8*BQ$11,0)</f>
        <v/>
      </c>
      <c r="BR28" s="18">
        <f>IF(67&gt;=DeliverStart,ExpRMPerUnit*TotalUnits/12*BR$8*BR$11,0)</f>
        <v/>
      </c>
      <c r="BS28" s="18">
        <f>IF(68&gt;=DeliverStart,ExpRMPerUnit*TotalUnits/12*BS$8*BS$11,0)</f>
        <v/>
      </c>
      <c r="BT28" s="18">
        <f>IF(69&gt;=DeliverStart,ExpRMPerUnit*TotalUnits/12*BT$8*BT$11,0)</f>
        <v/>
      </c>
      <c r="BU28" s="18">
        <f>IF(70&gt;=DeliverStart,ExpRMPerUnit*TotalUnits/12*BU$8*BU$11,0)</f>
        <v/>
      </c>
      <c r="BV28" s="18">
        <f>IF(71&gt;=DeliverStart,ExpRMPerUnit*TotalUnits/12*BV$8*BV$11,0)</f>
        <v/>
      </c>
      <c r="BW28" s="18">
        <f>IF(72&gt;=DeliverStart,ExpRMPerUnit*TotalUnits/12*BW$8*BW$11,0)</f>
        <v/>
      </c>
      <c r="BX28" s="18">
        <f>IF(73&gt;=DeliverStart,ExpRMPerUnit*TotalUnits/12*BX$8*BX$11,0)</f>
        <v/>
      </c>
      <c r="BY28" s="18">
        <f>IF(74&gt;=DeliverStart,ExpRMPerUnit*TotalUnits/12*BY$8*BY$11,0)</f>
        <v/>
      </c>
      <c r="BZ28" s="18">
        <f>IF(75&gt;=DeliverStart,ExpRMPerUnit*TotalUnits/12*BZ$8*BZ$11,0)</f>
        <v/>
      </c>
      <c r="CA28" s="18">
        <f>IF(76&gt;=DeliverStart,ExpRMPerUnit*TotalUnits/12*CA$8*CA$11,0)</f>
        <v/>
      </c>
      <c r="CB28" s="18">
        <f>IF(77&gt;=DeliverStart,ExpRMPerUnit*TotalUnits/12*CB$8*CB$11,0)</f>
        <v/>
      </c>
      <c r="CC28" s="18">
        <f>IF(78&gt;=DeliverStart,ExpRMPerUnit*TotalUnits/12*CC$8*CC$11,0)</f>
        <v/>
      </c>
      <c r="CD28" s="18">
        <f>IF(79&gt;=DeliverStart,ExpRMPerUnit*TotalUnits/12*CD$8*CD$11,0)</f>
        <v/>
      </c>
      <c r="CE28" s="18">
        <f>IF(80&gt;=DeliverStart,ExpRMPerUnit*TotalUnits/12*CE$8*CE$11,0)</f>
        <v/>
      </c>
      <c r="CF28" s="18">
        <f>IF(81&gt;=DeliverStart,ExpRMPerUnit*TotalUnits/12*CF$8*CF$11,0)</f>
        <v/>
      </c>
      <c r="CG28" s="18">
        <f>IF(82&gt;=DeliverStart,ExpRMPerUnit*TotalUnits/12*CG$8*CG$11,0)</f>
        <v/>
      </c>
      <c r="CH28" s="18">
        <f>IF(83&gt;=DeliverStart,ExpRMPerUnit*TotalUnits/12*CH$8*CH$11,0)</f>
        <v/>
      </c>
      <c r="CI28" s="18">
        <f>IF(84&gt;=DeliverStart,ExpRMPerUnit*TotalUnits/12*CI$8*CI$11,0)</f>
        <v/>
      </c>
      <c r="CJ28" s="18">
        <f>IF(85&gt;=DeliverStart,ExpRMPerUnit*TotalUnits/12*CJ$8*CJ$11,0)</f>
        <v/>
      </c>
      <c r="CK28" s="18">
        <f>IF(86&gt;=DeliverStart,ExpRMPerUnit*TotalUnits/12*CK$8*CK$11,0)</f>
        <v/>
      </c>
      <c r="CL28" s="18">
        <f>IF(87&gt;=DeliverStart,ExpRMPerUnit*TotalUnits/12*CL$8*CL$11,0)</f>
        <v/>
      </c>
      <c r="CM28" s="18">
        <f>IF(88&gt;=DeliverStart,ExpRMPerUnit*TotalUnits/12*CM$8*CM$11,0)</f>
        <v/>
      </c>
      <c r="CN28" s="18">
        <f>IF(89&gt;=DeliverStart,ExpRMPerUnit*TotalUnits/12*CN$8*CN$11,0)</f>
        <v/>
      </c>
      <c r="CO28" s="18">
        <f>IF(90&gt;=DeliverStart,ExpRMPerUnit*TotalUnits/12*CO$8*CO$11,0)</f>
        <v/>
      </c>
      <c r="CP28" s="18">
        <f>IF(91&gt;=DeliverStart,ExpRMPerUnit*TotalUnits/12*CP$8*CP$11,0)</f>
        <v/>
      </c>
      <c r="CQ28" s="18">
        <f>IF(92&gt;=DeliverStart,ExpRMPerUnit*TotalUnits/12*CQ$8*CQ$11,0)</f>
        <v/>
      </c>
      <c r="CR28" s="18">
        <f>IF(93&gt;=DeliverStart,ExpRMPerUnit*TotalUnits/12*CR$8*CR$11,0)</f>
        <v/>
      </c>
      <c r="CS28" s="18">
        <f>IF(94&gt;=DeliverStart,ExpRMPerUnit*TotalUnits/12*CS$8*CS$11,0)</f>
        <v/>
      </c>
      <c r="CT28" s="18">
        <f>IF(95&gt;=DeliverStart,ExpRMPerUnit*TotalUnits/12*CT$8*CT$11,0)</f>
        <v/>
      </c>
      <c r="CU28" s="18">
        <f>IF(96&gt;=DeliverStart,ExpRMPerUnit*TotalUnits/12*CU$8*CU$11,0)</f>
        <v/>
      </c>
      <c r="CV28" s="18">
        <f>IF(97&gt;=DeliverStart,ExpRMPerUnit*TotalUnits/12*CV$8*CV$11,0)</f>
        <v/>
      </c>
      <c r="CW28" s="18">
        <f>IF(98&gt;=DeliverStart,ExpRMPerUnit*TotalUnits/12*CW$8*CW$11,0)</f>
        <v/>
      </c>
      <c r="CX28" s="18">
        <f>IF(99&gt;=DeliverStart,ExpRMPerUnit*TotalUnits/12*CX$8*CX$11,0)</f>
        <v/>
      </c>
      <c r="CY28" s="18">
        <f>IF(100&gt;=DeliverStart,ExpRMPerUnit*TotalUnits/12*CY$8*CY$11,0)</f>
        <v/>
      </c>
      <c r="CZ28" s="18">
        <f>IF(101&gt;=DeliverStart,ExpRMPerUnit*TotalUnits/12*CZ$8*CZ$11,0)</f>
        <v/>
      </c>
      <c r="DA28" s="18">
        <f>IF(102&gt;=DeliverStart,ExpRMPerUnit*TotalUnits/12*DA$8*DA$11,0)</f>
        <v/>
      </c>
      <c r="DB28" s="18">
        <f>IF(103&gt;=DeliverStart,ExpRMPerUnit*TotalUnits/12*DB$8*DB$11,0)</f>
        <v/>
      </c>
      <c r="DC28" s="18">
        <f>IF(104&gt;=DeliverStart,ExpRMPerUnit*TotalUnits/12*DC$8*DC$11,0)</f>
        <v/>
      </c>
      <c r="DD28" s="18">
        <f>IF(105&gt;=DeliverStart,ExpRMPerUnit*TotalUnits/12*DD$8*DD$11,0)</f>
        <v/>
      </c>
      <c r="DE28" s="18">
        <f>IF(106&gt;=DeliverStart,ExpRMPerUnit*TotalUnits/12*DE$8*DE$11,0)</f>
        <v/>
      </c>
      <c r="DF28" s="18">
        <f>IF(107&gt;=DeliverStart,ExpRMPerUnit*TotalUnits/12*DF$8*DF$11,0)</f>
        <v/>
      </c>
      <c r="DG28" s="18">
        <f>IF(108&gt;=DeliverStart,ExpRMPerUnit*TotalUnits/12*DG$8*DG$11,0)</f>
        <v/>
      </c>
      <c r="DH28" s="18">
        <f>IF(109&gt;=DeliverStart,ExpRMPerUnit*TotalUnits/12*DH$8*DH$11,0)</f>
        <v/>
      </c>
      <c r="DI28" s="18">
        <f>IF(110&gt;=DeliverStart,ExpRMPerUnit*TotalUnits/12*DI$8*DI$11,0)</f>
        <v/>
      </c>
      <c r="DJ28" s="18">
        <f>IF(111&gt;=DeliverStart,ExpRMPerUnit*TotalUnits/12*DJ$8*DJ$11,0)</f>
        <v/>
      </c>
      <c r="DK28" s="18">
        <f>IF(112&gt;=DeliverStart,ExpRMPerUnit*TotalUnits/12*DK$8*DK$11,0)</f>
        <v/>
      </c>
      <c r="DL28" s="18">
        <f>IF(113&gt;=DeliverStart,ExpRMPerUnit*TotalUnits/12*DL$8*DL$11,0)</f>
        <v/>
      </c>
      <c r="DM28" s="18">
        <f>IF(114&gt;=DeliverStart,ExpRMPerUnit*TotalUnits/12*DM$8*DM$11,0)</f>
        <v/>
      </c>
      <c r="DN28" s="18">
        <f>IF(115&gt;=DeliverStart,ExpRMPerUnit*TotalUnits/12*DN$8*DN$11,0)</f>
        <v/>
      </c>
      <c r="DO28" s="18">
        <f>IF(116&gt;=DeliverStart,ExpRMPerUnit*TotalUnits/12*DO$8*DO$11,0)</f>
        <v/>
      </c>
      <c r="DP28" s="18">
        <f>IF(117&gt;=DeliverStart,ExpRMPerUnit*TotalUnits/12*DP$8*DP$11,0)</f>
        <v/>
      </c>
      <c r="DQ28" s="18">
        <f>IF(118&gt;=DeliverStart,ExpRMPerUnit*TotalUnits/12*DQ$8*DQ$11,0)</f>
        <v/>
      </c>
      <c r="DR28" s="18">
        <f>IF(119&gt;=DeliverStart,ExpRMPerUnit*TotalUnits/12*DR$8*DR$11,0)</f>
        <v/>
      </c>
      <c r="DS28" s="18">
        <f>IF(120&gt;=DeliverStart,ExpRMPerUnit*TotalUnits/12*DS$8*DS$11,0)</f>
        <v/>
      </c>
      <c r="DT28" s="18">
        <f>IF(121&gt;=DeliverStart,ExpRMPerUnit*TotalUnits/12*DT$8*DT$11,0)</f>
        <v/>
      </c>
      <c r="DU28" s="18">
        <f>IF(122&gt;=DeliverStart,ExpRMPerUnit*TotalUnits/12*DU$8*DU$11,0)</f>
        <v/>
      </c>
      <c r="DV28" s="18">
        <f>IF(123&gt;=DeliverStart,ExpRMPerUnit*TotalUnits/12*DV$8*DV$11,0)</f>
        <v/>
      </c>
      <c r="DW28" s="18">
        <f>IF(124&gt;=DeliverStart,ExpRMPerUnit*TotalUnits/12*DW$8*DW$11,0)</f>
        <v/>
      </c>
      <c r="DX28" s="18">
        <f>IF(125&gt;=DeliverStart,ExpRMPerUnit*TotalUnits/12*DX$8*DX$11,0)</f>
        <v/>
      </c>
      <c r="DY28" s="18">
        <f>IF(126&gt;=DeliverStart,ExpRMPerUnit*TotalUnits/12*DY$8*DY$11,0)</f>
        <v/>
      </c>
      <c r="DZ28" s="18">
        <f>IF(127&gt;=DeliverStart,ExpRMPerUnit*TotalUnits/12*DZ$8*DZ$11,0)</f>
        <v/>
      </c>
      <c r="EA28" s="18">
        <f>IF(128&gt;=DeliverStart,ExpRMPerUnit*TotalUnits/12*EA$8*EA$11,0)</f>
        <v/>
      </c>
      <c r="EB28" s="18">
        <f>IF(129&gt;=DeliverStart,ExpRMPerUnit*TotalUnits/12*EB$8*EB$11,0)</f>
        <v/>
      </c>
      <c r="EC28" s="18">
        <f>IF(130&gt;=DeliverStart,ExpRMPerUnit*TotalUnits/12*EC$8*EC$11,0)</f>
        <v/>
      </c>
      <c r="ED28" s="18">
        <f>IF(131&gt;=DeliverStart,ExpRMPerUnit*TotalUnits/12*ED$8*ED$11,0)</f>
        <v/>
      </c>
      <c r="EE28" s="18">
        <f>IF(132&gt;=DeliverStart,ExpRMPerUnit*TotalUnits/12*EE$8*EE$11,0)</f>
        <v/>
      </c>
      <c r="EF28" s="18">
        <f>IF(133&gt;=DeliverStart,ExpRMPerUnit*TotalUnits/12*EF$8*EF$11,0)</f>
        <v/>
      </c>
      <c r="EG28" s="18">
        <f>IF(134&gt;=DeliverStart,ExpRMPerUnit*TotalUnits/12*EG$8*EG$11,0)</f>
        <v/>
      </c>
      <c r="EH28" s="18">
        <f>IF(135&gt;=DeliverStart,ExpRMPerUnit*TotalUnits/12*EH$8*EH$11,0)</f>
        <v/>
      </c>
      <c r="EI28" s="18">
        <f>IF(136&gt;=DeliverStart,ExpRMPerUnit*TotalUnits/12*EI$8*EI$11,0)</f>
        <v/>
      </c>
      <c r="EJ28" s="18">
        <f>IF(137&gt;=DeliverStart,ExpRMPerUnit*TotalUnits/12*EJ$8*EJ$11,0)</f>
        <v/>
      </c>
      <c r="EK28" s="18">
        <f>IF(138&gt;=DeliverStart,ExpRMPerUnit*TotalUnits/12*EK$8*EK$11,0)</f>
        <v/>
      </c>
      <c r="EL28" s="18">
        <f>IF(139&gt;=DeliverStart,ExpRMPerUnit*TotalUnits/12*EL$8*EL$11,0)</f>
        <v/>
      </c>
      <c r="EM28" s="18">
        <f>IF(140&gt;=DeliverStart,ExpRMPerUnit*TotalUnits/12*EM$8*EM$11,0)</f>
        <v/>
      </c>
      <c r="EN28" s="18">
        <f>IF(141&gt;=DeliverStart,ExpRMPerUnit*TotalUnits/12*EN$8*EN$11,0)</f>
        <v/>
      </c>
      <c r="EO28" s="18">
        <f>IF(142&gt;=DeliverStart,ExpRMPerUnit*TotalUnits/12*EO$8*EO$11,0)</f>
        <v/>
      </c>
      <c r="EP28" s="18">
        <f>IF(143&gt;=DeliverStart,ExpRMPerUnit*TotalUnits/12*EP$8*EP$11,0)</f>
        <v/>
      </c>
      <c r="EQ28" s="18">
        <f>IF(144&gt;=DeliverStart,ExpRMPerUnit*TotalUnits/12*EQ$8*EQ$11,0)</f>
        <v/>
      </c>
      <c r="ER28" s="18">
        <f>IF(145&gt;=DeliverStart,ExpRMPerUnit*TotalUnits/12*ER$8*ER$11,0)</f>
        <v/>
      </c>
      <c r="ES28" s="18">
        <f>IF(146&gt;=DeliverStart,ExpRMPerUnit*TotalUnits/12*ES$8*ES$11,0)</f>
        <v/>
      </c>
      <c r="ET28" s="18">
        <f>IF(147&gt;=DeliverStart,ExpRMPerUnit*TotalUnits/12*ET$8*ET$11,0)</f>
        <v/>
      </c>
      <c r="EU28" s="18">
        <f>IF(148&gt;=DeliverStart,ExpRMPerUnit*TotalUnits/12*EU$8*EU$11,0)</f>
        <v/>
      </c>
      <c r="EV28" s="18">
        <f>IF(149&gt;=DeliverStart,ExpRMPerUnit*TotalUnits/12*EV$8*EV$11,0)</f>
        <v/>
      </c>
      <c r="EW28" s="18">
        <f>IF(150&gt;=DeliverStart,ExpRMPerUnit*TotalUnits/12*EW$8*EW$11,0)</f>
        <v/>
      </c>
      <c r="EX28" s="18">
        <f>IF(151&gt;=DeliverStart,ExpRMPerUnit*TotalUnits/12*EX$8*EX$11,0)</f>
        <v/>
      </c>
      <c r="EY28" s="18">
        <f>IF(152&gt;=DeliverStart,ExpRMPerUnit*TotalUnits/12*EY$8*EY$11,0)</f>
        <v/>
      </c>
      <c r="EZ28" s="18">
        <f>IF(153&gt;=DeliverStart,ExpRMPerUnit*TotalUnits/12*EZ$8*EZ$11,0)</f>
        <v/>
      </c>
      <c r="FA28" s="18">
        <f>IF(154&gt;=DeliverStart,ExpRMPerUnit*TotalUnits/12*FA$8*FA$11,0)</f>
        <v/>
      </c>
      <c r="FB28" s="18">
        <f>IF(155&gt;=DeliverStart,ExpRMPerUnit*TotalUnits/12*FB$8*FB$11,0)</f>
        <v/>
      </c>
      <c r="FC28" s="18">
        <f>IF(156&gt;=DeliverStart,ExpRMPerUnit*TotalUnits/12*FC$8*FC$11,0)</f>
        <v/>
      </c>
      <c r="FD28" s="18">
        <f>IF(157&gt;=DeliverStart,ExpRMPerUnit*TotalUnits/12*FD$8*FD$11,0)</f>
        <v/>
      </c>
      <c r="FE28" s="18">
        <f>IF(158&gt;=DeliverStart,ExpRMPerUnit*TotalUnits/12*FE$8*FE$11,0)</f>
        <v/>
      </c>
      <c r="FF28" s="18">
        <f>IF(159&gt;=DeliverStart,ExpRMPerUnit*TotalUnits/12*FF$8*FF$11,0)</f>
        <v/>
      </c>
      <c r="FG28" s="18">
        <f>IF(160&gt;=DeliverStart,ExpRMPerUnit*TotalUnits/12*FG$8*FG$11,0)</f>
        <v/>
      </c>
      <c r="FH28" s="18">
        <f>IF(161&gt;=DeliverStart,ExpRMPerUnit*TotalUnits/12*FH$8*FH$11,0)</f>
        <v/>
      </c>
      <c r="FI28" s="18">
        <f>IF(162&gt;=DeliverStart,ExpRMPerUnit*TotalUnits/12*FI$8*FI$11,0)</f>
        <v/>
      </c>
      <c r="FJ28" s="18">
        <f>IF(163&gt;=DeliverStart,ExpRMPerUnit*TotalUnits/12*FJ$8*FJ$11,0)</f>
        <v/>
      </c>
      <c r="FK28" s="18">
        <f>IF(164&gt;=DeliverStart,ExpRMPerUnit*TotalUnits/12*FK$8*FK$11,0)</f>
        <v/>
      </c>
      <c r="FL28" s="18">
        <f>IF(165&gt;=DeliverStart,ExpRMPerUnit*TotalUnits/12*FL$8*FL$11,0)</f>
        <v/>
      </c>
      <c r="FM28" s="18">
        <f>IF(166&gt;=DeliverStart,ExpRMPerUnit*TotalUnits/12*FM$8*FM$11,0)</f>
        <v/>
      </c>
      <c r="FN28" s="18">
        <f>IF(167&gt;=DeliverStart,ExpRMPerUnit*TotalUnits/12*FN$8*FN$11,0)</f>
        <v/>
      </c>
      <c r="FO28" s="18">
        <f>IF(168&gt;=DeliverStart,ExpRMPerUnit*TotalUnits/12*FO$8*FO$11,0)</f>
        <v/>
      </c>
      <c r="FP28" s="18">
        <f>IF(169&gt;=DeliverStart,ExpRMPerUnit*TotalUnits/12*FP$8*FP$11,0)</f>
        <v/>
      </c>
      <c r="FQ28" s="18">
        <f>IF(170&gt;=DeliverStart,ExpRMPerUnit*TotalUnits/12*FQ$8*FQ$11,0)</f>
        <v/>
      </c>
      <c r="FR28" s="18">
        <f>IF(171&gt;=DeliverStart,ExpRMPerUnit*TotalUnits/12*FR$8*FR$11,0)</f>
        <v/>
      </c>
      <c r="FS28" s="18">
        <f>IF(172&gt;=DeliverStart,ExpRMPerUnit*TotalUnits/12*FS$8*FS$11,0)</f>
        <v/>
      </c>
      <c r="FT28" s="18">
        <f>IF(173&gt;=DeliverStart,ExpRMPerUnit*TotalUnits/12*FT$8*FT$11,0)</f>
        <v/>
      </c>
      <c r="FU28" s="18">
        <f>IF(174&gt;=DeliverStart,ExpRMPerUnit*TotalUnits/12*FU$8*FU$11,0)</f>
        <v/>
      </c>
      <c r="FV28" s="18">
        <f>IF(175&gt;=DeliverStart,ExpRMPerUnit*TotalUnits/12*FV$8*FV$11,0)</f>
        <v/>
      </c>
      <c r="FW28" s="18">
        <f>IF(176&gt;=DeliverStart,ExpRMPerUnit*TotalUnits/12*FW$8*FW$11,0)</f>
        <v/>
      </c>
      <c r="FX28" s="18">
        <f>IF(177&gt;=DeliverStart,ExpRMPerUnit*TotalUnits/12*FX$8*FX$11,0)</f>
        <v/>
      </c>
      <c r="FY28" s="18">
        <f>IF(178&gt;=DeliverStart,ExpRMPerUnit*TotalUnits/12*FY$8*FY$11,0)</f>
        <v/>
      </c>
      <c r="FZ28" s="18">
        <f>IF(179&gt;=DeliverStart,ExpRMPerUnit*TotalUnits/12*FZ$8*FZ$11,0)</f>
        <v/>
      </c>
      <c r="GA28" s="18">
        <f>IF(180&gt;=DeliverStart,ExpRMPerUnit*TotalUnits/12*GA$8*GA$11,0)</f>
        <v/>
      </c>
      <c r="GB28" s="18">
        <f>IF(181&gt;=DeliverStart,ExpRMPerUnit*TotalUnits/12*GB$8*GB$11,0)</f>
        <v/>
      </c>
      <c r="GC28" s="18">
        <f>IF(182&gt;=DeliverStart,ExpRMPerUnit*TotalUnits/12*GC$8*GC$11,0)</f>
        <v/>
      </c>
      <c r="GD28" s="18">
        <f>IF(183&gt;=DeliverStart,ExpRMPerUnit*TotalUnits/12*GD$8*GD$11,0)</f>
        <v/>
      </c>
      <c r="GE28" s="18">
        <f>IF(184&gt;=DeliverStart,ExpRMPerUnit*TotalUnits/12*GE$8*GE$11,0)</f>
        <v/>
      </c>
      <c r="GF28" s="18">
        <f>IF(185&gt;=DeliverStart,ExpRMPerUnit*TotalUnits/12*GF$8*GF$11,0)</f>
        <v/>
      </c>
      <c r="GG28" s="18">
        <f>IF(186&gt;=DeliverStart,ExpRMPerUnit*TotalUnits/12*GG$8*GG$11,0)</f>
        <v/>
      </c>
      <c r="GH28" s="18">
        <f>IF(187&gt;=DeliverStart,ExpRMPerUnit*TotalUnits/12*GH$8*GH$11,0)</f>
        <v/>
      </c>
      <c r="GI28" s="18">
        <f>IF(188&gt;=DeliverStart,ExpRMPerUnit*TotalUnits/12*GI$8*GI$11,0)</f>
        <v/>
      </c>
      <c r="GJ28" s="18">
        <f>IF(189&gt;=DeliverStart,ExpRMPerUnit*TotalUnits/12*GJ$8*GJ$11,0)</f>
        <v/>
      </c>
      <c r="GK28" s="18">
        <f>IF(190&gt;=DeliverStart,ExpRMPerUnit*TotalUnits/12*GK$8*GK$11,0)</f>
        <v/>
      </c>
      <c r="GL28" s="18">
        <f>IF(191&gt;=DeliverStart,ExpRMPerUnit*TotalUnits/12*GL$8*GL$11,0)</f>
        <v/>
      </c>
      <c r="GM28" s="18">
        <f>IF(192&gt;=DeliverStart,ExpRMPerUnit*TotalUnits/12*GM$8*GM$11,0)</f>
        <v/>
      </c>
      <c r="GN28" s="18">
        <f>IF(193&gt;=DeliverStart,ExpRMPerUnit*TotalUnits/12*GN$8*GN$11,0)</f>
        <v/>
      </c>
      <c r="GO28" s="18">
        <f>IF(194&gt;=DeliverStart,ExpRMPerUnit*TotalUnits/12*GO$8*GO$11,0)</f>
        <v/>
      </c>
      <c r="GP28" s="18">
        <f>IF(195&gt;=DeliverStart,ExpRMPerUnit*TotalUnits/12*GP$8*GP$11,0)</f>
        <v/>
      </c>
      <c r="GQ28" s="18">
        <f>IF(196&gt;=DeliverStart,ExpRMPerUnit*TotalUnits/12*GQ$8*GQ$11,0)</f>
        <v/>
      </c>
      <c r="GR28" s="18">
        <f>IF(197&gt;=DeliverStart,ExpRMPerUnit*TotalUnits/12*GR$8*GR$11,0)</f>
        <v/>
      </c>
      <c r="GS28" s="18">
        <f>IF(198&gt;=DeliverStart,ExpRMPerUnit*TotalUnits/12*GS$8*GS$11,0)</f>
        <v/>
      </c>
      <c r="GT28" s="18">
        <f>IF(199&gt;=DeliverStart,ExpRMPerUnit*TotalUnits/12*GT$8*GT$11,0)</f>
        <v/>
      </c>
      <c r="GU28" s="18">
        <f>IF(200&gt;=DeliverStart,ExpRMPerUnit*TotalUnits/12*GU$8*GU$11,0)</f>
        <v/>
      </c>
      <c r="GV28" s="18">
        <f>IF(201&gt;=DeliverStart,ExpRMPerUnit*TotalUnits/12*GV$8*GV$11,0)</f>
        <v/>
      </c>
      <c r="GW28" s="18">
        <f>IF(202&gt;=DeliverStart,ExpRMPerUnit*TotalUnits/12*GW$8*GW$11,0)</f>
        <v/>
      </c>
      <c r="GX28" s="18">
        <f>IF(203&gt;=DeliverStart,ExpRMPerUnit*TotalUnits/12*GX$8*GX$11,0)</f>
        <v/>
      </c>
      <c r="GY28" s="18">
        <f>IF(204&gt;=DeliverStart,ExpRMPerUnit*TotalUnits/12*GY$8*GY$11,0)</f>
        <v/>
      </c>
      <c r="GZ28" s="18">
        <f>IF(205&gt;=DeliverStart,ExpRMPerUnit*TotalUnits/12*GZ$8*GZ$11,0)</f>
        <v/>
      </c>
      <c r="HA28" s="18">
        <f>IF(206&gt;=DeliverStart,ExpRMPerUnit*TotalUnits/12*HA$8*HA$11,0)</f>
        <v/>
      </c>
      <c r="HB28" s="18">
        <f>IF(207&gt;=DeliverStart,ExpRMPerUnit*TotalUnits/12*HB$8*HB$11,0)</f>
        <v/>
      </c>
      <c r="HC28" s="18">
        <f>IF(208&gt;=DeliverStart,ExpRMPerUnit*TotalUnits/12*HC$8*HC$11,0)</f>
        <v/>
      </c>
      <c r="HD28" s="18">
        <f>IF(209&gt;=DeliverStart,ExpRMPerUnit*TotalUnits/12*HD$8*HD$11,0)</f>
        <v/>
      </c>
      <c r="HE28" s="18">
        <f>IF(210&gt;=DeliverStart,ExpRMPerUnit*TotalUnits/12*HE$8*HE$11,0)</f>
        <v/>
      </c>
      <c r="HF28" s="18">
        <f>IF(211&gt;=DeliverStart,ExpRMPerUnit*TotalUnits/12*HF$8*HF$11,0)</f>
        <v/>
      </c>
      <c r="HG28" s="18">
        <f>IF(212&gt;=DeliverStart,ExpRMPerUnit*TotalUnits/12*HG$8*HG$11,0)</f>
        <v/>
      </c>
      <c r="HH28" s="18">
        <f>IF(213&gt;=DeliverStart,ExpRMPerUnit*TotalUnits/12*HH$8*HH$11,0)</f>
        <v/>
      </c>
      <c r="HI28" s="18">
        <f>IF(214&gt;=DeliverStart,ExpRMPerUnit*TotalUnits/12*HI$8*HI$11,0)</f>
        <v/>
      </c>
      <c r="HJ28" s="18">
        <f>IF(215&gt;=DeliverStart,ExpRMPerUnit*TotalUnits/12*HJ$8*HJ$11,0)</f>
        <v/>
      </c>
      <c r="HK28" s="18">
        <f>IF(216&gt;=DeliverStart,ExpRMPerUnit*TotalUnits/12*HK$8*HK$11,0)</f>
        <v/>
      </c>
      <c r="HL28" s="18">
        <f>IF(217&gt;=DeliverStart,ExpRMPerUnit*TotalUnits/12*HL$8*HL$11,0)</f>
        <v/>
      </c>
      <c r="HM28" s="18">
        <f>IF(218&gt;=DeliverStart,ExpRMPerUnit*TotalUnits/12*HM$8*HM$11,0)</f>
        <v/>
      </c>
      <c r="HN28" s="18">
        <f>IF(219&gt;=DeliverStart,ExpRMPerUnit*TotalUnits/12*HN$8*HN$11,0)</f>
        <v/>
      </c>
      <c r="HO28" s="18">
        <f>IF(220&gt;=DeliverStart,ExpRMPerUnit*TotalUnits/12*HO$8*HO$11,0)</f>
        <v/>
      </c>
      <c r="HP28" s="18">
        <f>IF(221&gt;=DeliverStart,ExpRMPerUnit*TotalUnits/12*HP$8*HP$11,0)</f>
        <v/>
      </c>
      <c r="HQ28" s="18">
        <f>IF(222&gt;=DeliverStart,ExpRMPerUnit*TotalUnits/12*HQ$8*HQ$11,0)</f>
        <v/>
      </c>
      <c r="HR28" s="18">
        <f>IF(223&gt;=DeliverStart,ExpRMPerUnit*TotalUnits/12*HR$8*HR$11,0)</f>
        <v/>
      </c>
      <c r="HS28" s="18">
        <f>IF(224&gt;=DeliverStart,ExpRMPerUnit*TotalUnits/12*HS$8*HS$11,0)</f>
        <v/>
      </c>
      <c r="HT28" s="18">
        <f>IF(225&gt;=DeliverStart,ExpRMPerUnit*TotalUnits/12*HT$8*HT$11,0)</f>
        <v/>
      </c>
      <c r="HU28" s="18">
        <f>IF(226&gt;=DeliverStart,ExpRMPerUnit*TotalUnits/12*HU$8*HU$11,0)</f>
        <v/>
      </c>
      <c r="HV28" s="18">
        <f>IF(227&gt;=DeliverStart,ExpRMPerUnit*TotalUnits/12*HV$8*HV$11,0)</f>
        <v/>
      </c>
      <c r="HW28" s="18">
        <f>IF(228&gt;=DeliverStart,ExpRMPerUnit*TotalUnits/12*HW$8*HW$11,0)</f>
        <v/>
      </c>
      <c r="HX28" s="18">
        <f>IF(229&gt;=DeliverStart,ExpRMPerUnit*TotalUnits/12*HX$8*HX$11,0)</f>
        <v/>
      </c>
      <c r="HY28" s="18">
        <f>IF(230&gt;=DeliverStart,ExpRMPerUnit*TotalUnits/12*HY$8*HY$11,0)</f>
        <v/>
      </c>
      <c r="HZ28" s="18">
        <f>IF(231&gt;=DeliverStart,ExpRMPerUnit*TotalUnits/12*HZ$8*HZ$11,0)</f>
        <v/>
      </c>
      <c r="IA28" s="18">
        <f>IF(232&gt;=DeliverStart,ExpRMPerUnit*TotalUnits/12*IA$8*IA$11,0)</f>
        <v/>
      </c>
      <c r="IB28" s="18">
        <f>IF(233&gt;=DeliverStart,ExpRMPerUnit*TotalUnits/12*IB$8*IB$11,0)</f>
        <v/>
      </c>
      <c r="IC28" s="18">
        <f>IF(234&gt;=DeliverStart,ExpRMPerUnit*TotalUnits/12*IC$8*IC$11,0)</f>
        <v/>
      </c>
      <c r="ID28" s="18">
        <f>IF(235&gt;=DeliverStart,ExpRMPerUnit*TotalUnits/12*ID$8*ID$11,0)</f>
        <v/>
      </c>
      <c r="IE28" s="18">
        <f>IF(236&gt;=DeliverStart,ExpRMPerUnit*TotalUnits/12*IE$8*IE$11,0)</f>
        <v/>
      </c>
      <c r="IF28" s="18">
        <f>IF(237&gt;=DeliverStart,ExpRMPerUnit*TotalUnits/12*IF$8*IF$11,0)</f>
        <v/>
      </c>
      <c r="IG28" s="18">
        <f>IF(238&gt;=DeliverStart,ExpRMPerUnit*TotalUnits/12*IG$8*IG$11,0)</f>
        <v/>
      </c>
      <c r="IH28" s="18">
        <f>IF(239&gt;=DeliverStart,ExpRMPerUnit*TotalUnits/12*IH$8*IH$11,0)</f>
        <v/>
      </c>
      <c r="II28" s="18">
        <f>IF(240&gt;=DeliverStart,ExpRMPerUnit*TotalUnits/12*II$8*II$11,0)</f>
        <v/>
      </c>
      <c r="IJ28" s="18">
        <f>IF(241&gt;=DeliverStart,ExpRMPerUnit*TotalUnits/12*IJ$8*IJ$11,0)</f>
        <v/>
      </c>
      <c r="IK28" s="18">
        <f>IF(242&gt;=DeliverStart,ExpRMPerUnit*TotalUnits/12*IK$8*IK$11,0)</f>
        <v/>
      </c>
      <c r="IL28" s="18">
        <f>IF(243&gt;=DeliverStart,ExpRMPerUnit*TotalUnits/12*IL$8*IL$11,0)</f>
        <v/>
      </c>
      <c r="IM28" s="18">
        <f>IF(244&gt;=DeliverStart,ExpRMPerUnit*TotalUnits/12*IM$8*IM$11,0)</f>
        <v/>
      </c>
      <c r="IN28" s="18">
        <f>IF(245&gt;=DeliverStart,ExpRMPerUnit*TotalUnits/12*IN$8*IN$11,0)</f>
        <v/>
      </c>
      <c r="IO28" s="18">
        <f>IF(246&gt;=DeliverStart,ExpRMPerUnit*TotalUnits/12*IO$8*IO$11,0)</f>
        <v/>
      </c>
      <c r="IP28" s="18">
        <f>IF(247&gt;=DeliverStart,ExpRMPerUnit*TotalUnits/12*IP$8*IP$11,0)</f>
        <v/>
      </c>
      <c r="IQ28" s="18">
        <f>IF(248&gt;=DeliverStart,ExpRMPerUnit*TotalUnits/12*IQ$8*IQ$11,0)</f>
        <v/>
      </c>
      <c r="IR28" s="18">
        <f>IF(249&gt;=DeliverStart,ExpRMPerUnit*TotalUnits/12*IR$8*IR$11,0)</f>
        <v/>
      </c>
      <c r="IS28" s="18">
        <f>IF(250&gt;=DeliverStart,ExpRMPerUnit*TotalUnits/12*IS$8*IS$11,0)</f>
        <v/>
      </c>
      <c r="IT28" s="18">
        <f>IF(251&gt;=DeliverStart,ExpRMPerUnit*TotalUnits/12*IT$8*IT$11,0)</f>
        <v/>
      </c>
      <c r="IU28" s="18">
        <f>IF(252&gt;=DeliverStart,ExpRMPerUnit*TotalUnits/12*IU$8*IU$11,0)</f>
        <v/>
      </c>
      <c r="IV28" s="18">
        <f>IF(253&gt;=DeliverStart,ExpRMPerUnit*TotalUnits/12*IV$8*IV$11,0)</f>
        <v/>
      </c>
      <c r="IW28" s="18">
        <f>IF(254&gt;=DeliverStart,ExpRMPerUnit*TotalUnits/12*IW$8*IW$11,0)</f>
        <v/>
      </c>
      <c r="IX28" s="18">
        <f>IF(255&gt;=DeliverStart,ExpRMPerUnit*TotalUnits/12*IX$8*IX$11,0)</f>
        <v/>
      </c>
      <c r="IY28" s="18">
        <f>IF(256&gt;=DeliverStart,ExpRMPerUnit*TotalUnits/12*IY$8*IY$11,0)</f>
        <v/>
      </c>
      <c r="IZ28" s="18">
        <f>IF(257&gt;=DeliverStart,ExpRMPerUnit*TotalUnits/12*IZ$8*IZ$11,0)</f>
        <v/>
      </c>
      <c r="JA28" s="18">
        <f>IF(258&gt;=DeliverStart,ExpRMPerUnit*TotalUnits/12*JA$8*JA$11,0)</f>
        <v/>
      </c>
      <c r="JB28" s="18">
        <f>IF(259&gt;=DeliverStart,ExpRMPerUnit*TotalUnits/12*JB$8*JB$11,0)</f>
        <v/>
      </c>
      <c r="JC28" s="18">
        <f>IF(260&gt;=DeliverStart,ExpRMPerUnit*TotalUnits/12*JC$8*JC$11,0)</f>
        <v/>
      </c>
      <c r="JD28" s="18">
        <f>IF(261&gt;=DeliverStart,ExpRMPerUnit*TotalUnits/12*JD$8*JD$11,0)</f>
        <v/>
      </c>
      <c r="JE28" s="18">
        <f>IF(262&gt;=DeliverStart,ExpRMPerUnit*TotalUnits/12*JE$8*JE$11,0)</f>
        <v/>
      </c>
      <c r="JF28" s="18">
        <f>IF(263&gt;=DeliverStart,ExpRMPerUnit*TotalUnits/12*JF$8*JF$11,0)</f>
        <v/>
      </c>
      <c r="JG28" s="18">
        <f>IF(264&gt;=DeliverStart,ExpRMPerUnit*TotalUnits/12*JG$8*JG$11,0)</f>
        <v/>
      </c>
      <c r="JH28" s="18">
        <f>IF(265&gt;=DeliverStart,ExpRMPerUnit*TotalUnits/12*JH$8*JH$11,0)</f>
        <v/>
      </c>
      <c r="JI28" s="18">
        <f>IF(266&gt;=DeliverStart,ExpRMPerUnit*TotalUnits/12*JI$8*JI$11,0)</f>
        <v/>
      </c>
      <c r="JJ28" s="18">
        <f>IF(267&gt;=DeliverStart,ExpRMPerUnit*TotalUnits/12*JJ$8*JJ$11,0)</f>
        <v/>
      </c>
      <c r="JK28" s="18">
        <f>IF(268&gt;=DeliverStart,ExpRMPerUnit*TotalUnits/12*JK$8*JK$11,0)</f>
        <v/>
      </c>
      <c r="JL28" s="18">
        <f>IF(269&gt;=DeliverStart,ExpRMPerUnit*TotalUnits/12*JL$8*JL$11,0)</f>
        <v/>
      </c>
      <c r="JM28" s="18">
        <f>IF(270&gt;=DeliverStart,ExpRMPerUnit*TotalUnits/12*JM$8*JM$11,0)</f>
        <v/>
      </c>
      <c r="JN28" s="18">
        <f>IF(271&gt;=DeliverStart,ExpRMPerUnit*TotalUnits/12*JN$8*JN$11,0)</f>
        <v/>
      </c>
      <c r="JO28" s="18">
        <f>IF(272&gt;=DeliverStart,ExpRMPerUnit*TotalUnits/12*JO$8*JO$11,0)</f>
        <v/>
      </c>
      <c r="JP28" s="18">
        <f>IF(273&gt;=DeliverStart,ExpRMPerUnit*TotalUnits/12*JP$8*JP$11,0)</f>
        <v/>
      </c>
      <c r="JQ28" s="18">
        <f>IF(274&gt;=DeliverStart,ExpRMPerUnit*TotalUnits/12*JQ$8*JQ$11,0)</f>
        <v/>
      </c>
      <c r="JR28" s="18">
        <f>IF(275&gt;=DeliverStart,ExpRMPerUnit*TotalUnits/12*JR$8*JR$11,0)</f>
        <v/>
      </c>
      <c r="JS28" s="18">
        <f>IF(276&gt;=DeliverStart,ExpRMPerUnit*TotalUnits/12*JS$8*JS$11,0)</f>
        <v/>
      </c>
      <c r="JT28" s="18">
        <f>IF(277&gt;=DeliverStart,ExpRMPerUnit*TotalUnits/12*JT$8*JT$11,0)</f>
        <v/>
      </c>
      <c r="JU28" s="18">
        <f>IF(278&gt;=DeliverStart,ExpRMPerUnit*TotalUnits/12*JU$8*JU$11,0)</f>
        <v/>
      </c>
      <c r="JV28" s="18">
        <f>IF(279&gt;=DeliverStart,ExpRMPerUnit*TotalUnits/12*JV$8*JV$11,0)</f>
        <v/>
      </c>
      <c r="JW28" s="18">
        <f>IF(280&gt;=DeliverStart,ExpRMPerUnit*TotalUnits/12*JW$8*JW$11,0)</f>
        <v/>
      </c>
      <c r="JX28" s="18">
        <f>IF(281&gt;=DeliverStart,ExpRMPerUnit*TotalUnits/12*JX$8*JX$11,0)</f>
        <v/>
      </c>
      <c r="JY28" s="18">
        <f>IF(282&gt;=DeliverStart,ExpRMPerUnit*TotalUnits/12*JY$8*JY$11,0)</f>
        <v/>
      </c>
      <c r="JZ28" s="18">
        <f>IF(283&gt;=DeliverStart,ExpRMPerUnit*TotalUnits/12*JZ$8*JZ$11,0)</f>
        <v/>
      </c>
      <c r="KA28" s="18">
        <f>IF(284&gt;=DeliverStart,ExpRMPerUnit*TotalUnits/12*KA$8*KA$11,0)</f>
        <v/>
      </c>
      <c r="KB28" s="18">
        <f>IF(285&gt;=DeliverStart,ExpRMPerUnit*TotalUnits/12*KB$8*KB$11,0)</f>
        <v/>
      </c>
      <c r="KC28" s="18">
        <f>IF(286&gt;=DeliverStart,ExpRMPerUnit*TotalUnits/12*KC$8*KC$11,0)</f>
        <v/>
      </c>
      <c r="KD28" s="18">
        <f>IF(287&gt;=DeliverStart,ExpRMPerUnit*TotalUnits/12*KD$8*KD$11,0)</f>
        <v/>
      </c>
      <c r="KE28" s="18">
        <f>IF(288&gt;=DeliverStart,ExpRMPerUnit*TotalUnits/12*KE$8*KE$11,0)</f>
        <v/>
      </c>
      <c r="KF28" s="18">
        <f>IF(289&gt;=DeliverStart,ExpRMPerUnit*TotalUnits/12*KF$8*KF$11,0)</f>
        <v/>
      </c>
      <c r="KG28" s="18">
        <f>IF(290&gt;=DeliverStart,ExpRMPerUnit*TotalUnits/12*KG$8*KG$11,0)</f>
        <v/>
      </c>
      <c r="KH28" s="18">
        <f>IF(291&gt;=DeliverStart,ExpRMPerUnit*TotalUnits/12*KH$8*KH$11,0)</f>
        <v/>
      </c>
      <c r="KI28" s="18">
        <f>IF(292&gt;=DeliverStart,ExpRMPerUnit*TotalUnits/12*KI$8*KI$11,0)</f>
        <v/>
      </c>
      <c r="KJ28" s="18">
        <f>IF(293&gt;=DeliverStart,ExpRMPerUnit*TotalUnits/12*KJ$8*KJ$11,0)</f>
        <v/>
      </c>
      <c r="KK28" s="18">
        <f>IF(294&gt;=DeliverStart,ExpRMPerUnit*TotalUnits/12*KK$8*KK$11,0)</f>
        <v/>
      </c>
      <c r="KL28" s="18">
        <f>IF(295&gt;=DeliverStart,ExpRMPerUnit*TotalUnits/12*KL$8*KL$11,0)</f>
        <v/>
      </c>
      <c r="KM28" s="18">
        <f>IF(296&gt;=DeliverStart,ExpRMPerUnit*TotalUnits/12*KM$8*KM$11,0)</f>
        <v/>
      </c>
      <c r="KN28" s="18">
        <f>IF(297&gt;=DeliverStart,ExpRMPerUnit*TotalUnits/12*KN$8*KN$11,0)</f>
        <v/>
      </c>
      <c r="KO28" s="18">
        <f>IF(298&gt;=DeliverStart,ExpRMPerUnit*TotalUnits/12*KO$8*KO$11,0)</f>
        <v/>
      </c>
      <c r="KP28" s="18">
        <f>IF(299&gt;=DeliverStart,ExpRMPerUnit*TotalUnits/12*KP$8*KP$11,0)</f>
        <v/>
      </c>
      <c r="KQ28" s="18">
        <f>IF(300&gt;=DeliverStart,ExpRMPerUnit*TotalUnits/12*KQ$8*KQ$11,0)</f>
        <v/>
      </c>
      <c r="KR28" s="18">
        <f>IF(301&gt;=DeliverStart,ExpRMPerUnit*TotalUnits/12*KR$8*KR$11,0)</f>
        <v/>
      </c>
      <c r="KS28" s="18">
        <f>IF(302&gt;=DeliverStart,ExpRMPerUnit*TotalUnits/12*KS$8*KS$11,0)</f>
        <v/>
      </c>
      <c r="KT28" s="18">
        <f>IF(303&gt;=DeliverStart,ExpRMPerUnit*TotalUnits/12*KT$8*KT$11,0)</f>
        <v/>
      </c>
      <c r="KU28" s="18">
        <f>IF(304&gt;=DeliverStart,ExpRMPerUnit*TotalUnits/12*KU$8*KU$11,0)</f>
        <v/>
      </c>
      <c r="KV28" s="18">
        <f>IF(305&gt;=DeliverStart,ExpRMPerUnit*TotalUnits/12*KV$8*KV$11,0)</f>
        <v/>
      </c>
      <c r="KW28" s="18">
        <f>IF(306&gt;=DeliverStart,ExpRMPerUnit*TotalUnits/12*KW$8*KW$11,0)</f>
        <v/>
      </c>
      <c r="KX28" s="18">
        <f>IF(307&gt;=DeliverStart,ExpRMPerUnit*TotalUnits/12*KX$8*KX$11,0)</f>
        <v/>
      </c>
      <c r="KY28" s="18">
        <f>IF(308&gt;=DeliverStart,ExpRMPerUnit*TotalUnits/12*KY$8*KY$11,0)</f>
        <v/>
      </c>
      <c r="KZ28" s="18">
        <f>IF(309&gt;=DeliverStart,ExpRMPerUnit*TotalUnits/12*KZ$8*KZ$11,0)</f>
        <v/>
      </c>
      <c r="LA28" s="18">
        <f>IF(310&gt;=DeliverStart,ExpRMPerUnit*TotalUnits/12*LA$8*LA$11,0)</f>
        <v/>
      </c>
      <c r="LB28" s="18">
        <f>IF(311&gt;=DeliverStart,ExpRMPerUnit*TotalUnits/12*LB$8*LB$11,0)</f>
        <v/>
      </c>
      <c r="LC28" s="18">
        <f>IF(312&gt;=DeliverStart,ExpRMPerUnit*TotalUnits/12*LC$8*LC$11,0)</f>
        <v/>
      </c>
      <c r="LD28" s="18">
        <f>IF(313&gt;=DeliverStart,ExpRMPerUnit*TotalUnits/12*LD$8*LD$11,0)</f>
        <v/>
      </c>
      <c r="LE28" s="18">
        <f>IF(314&gt;=DeliverStart,ExpRMPerUnit*TotalUnits/12*LE$8*LE$11,0)</f>
        <v/>
      </c>
      <c r="LF28" s="18">
        <f>IF(315&gt;=DeliverStart,ExpRMPerUnit*TotalUnits/12*LF$8*LF$11,0)</f>
        <v/>
      </c>
      <c r="LG28" s="18">
        <f>IF(316&gt;=DeliverStart,ExpRMPerUnit*TotalUnits/12*LG$8*LG$11,0)</f>
        <v/>
      </c>
      <c r="LH28" s="18">
        <f>IF(317&gt;=DeliverStart,ExpRMPerUnit*TotalUnits/12*LH$8*LH$11,0)</f>
        <v/>
      </c>
      <c r="LI28" s="18">
        <f>IF(318&gt;=DeliverStart,ExpRMPerUnit*TotalUnits/12*LI$8*LI$11,0)</f>
        <v/>
      </c>
      <c r="LJ28" s="18">
        <f>IF(319&gt;=DeliverStart,ExpRMPerUnit*TotalUnits/12*LJ$8*LJ$11,0)</f>
        <v/>
      </c>
      <c r="LK28" s="18">
        <f>IF(320&gt;=DeliverStart,ExpRMPerUnit*TotalUnits/12*LK$8*LK$11,0)</f>
        <v/>
      </c>
      <c r="LL28" s="18">
        <f>IF(321&gt;=DeliverStart,ExpRMPerUnit*TotalUnits/12*LL$8*LL$11,0)</f>
        <v/>
      </c>
      <c r="LM28" s="18">
        <f>IF(322&gt;=DeliverStart,ExpRMPerUnit*TotalUnits/12*LM$8*LM$11,0)</f>
        <v/>
      </c>
      <c r="LN28" s="18">
        <f>IF(323&gt;=DeliverStart,ExpRMPerUnit*TotalUnits/12*LN$8*LN$11,0)</f>
        <v/>
      </c>
      <c r="LO28" s="18">
        <f>IF(324&gt;=DeliverStart,ExpRMPerUnit*TotalUnits/12*LO$8*LO$11,0)</f>
        <v/>
      </c>
      <c r="LP28" s="18">
        <f>IF(325&gt;=DeliverStart,ExpRMPerUnit*TotalUnits/12*LP$8*LP$11,0)</f>
        <v/>
      </c>
      <c r="LQ28" s="18">
        <f>IF(326&gt;=DeliverStart,ExpRMPerUnit*TotalUnits/12*LQ$8*LQ$11,0)</f>
        <v/>
      </c>
      <c r="LR28" s="18">
        <f>IF(327&gt;=DeliverStart,ExpRMPerUnit*TotalUnits/12*LR$8*LR$11,0)</f>
        <v/>
      </c>
      <c r="LS28" s="18">
        <f>IF(328&gt;=DeliverStart,ExpRMPerUnit*TotalUnits/12*LS$8*LS$11,0)</f>
        <v/>
      </c>
      <c r="LT28" s="18">
        <f>IF(329&gt;=DeliverStart,ExpRMPerUnit*TotalUnits/12*LT$8*LT$11,0)</f>
        <v/>
      </c>
      <c r="LU28" s="18">
        <f>IF(330&gt;=DeliverStart,ExpRMPerUnit*TotalUnits/12*LU$8*LU$11,0)</f>
        <v/>
      </c>
      <c r="LV28" s="18">
        <f>IF(331&gt;=DeliverStart,ExpRMPerUnit*TotalUnits/12*LV$8*LV$11,0)</f>
        <v/>
      </c>
      <c r="LW28" s="18">
        <f>IF(332&gt;=DeliverStart,ExpRMPerUnit*TotalUnits/12*LW$8*LW$11,0)</f>
        <v/>
      </c>
      <c r="LX28" s="18">
        <f>IF(333&gt;=DeliverStart,ExpRMPerUnit*TotalUnits/12*LX$8*LX$11,0)</f>
        <v/>
      </c>
      <c r="LY28" s="18">
        <f>IF(334&gt;=DeliverStart,ExpRMPerUnit*TotalUnits/12*LY$8*LY$11,0)</f>
        <v/>
      </c>
      <c r="LZ28" s="18">
        <f>IF(335&gt;=DeliverStart,ExpRMPerUnit*TotalUnits/12*LZ$8*LZ$11,0)</f>
        <v/>
      </c>
      <c r="MA28" s="18">
        <f>IF(336&gt;=DeliverStart,ExpRMPerUnit*TotalUnits/12*MA$8*MA$11,0)</f>
        <v/>
      </c>
      <c r="MB28" s="18">
        <f>IF(337&gt;=DeliverStart,ExpRMPerUnit*TotalUnits/12*MB$8*MB$11,0)</f>
        <v/>
      </c>
      <c r="MC28" s="18">
        <f>IF(338&gt;=DeliverStart,ExpRMPerUnit*TotalUnits/12*MC$8*MC$11,0)</f>
        <v/>
      </c>
      <c r="MD28" s="18">
        <f>IF(339&gt;=DeliverStart,ExpRMPerUnit*TotalUnits/12*MD$8*MD$11,0)</f>
        <v/>
      </c>
      <c r="ME28" s="18">
        <f>IF(340&gt;=DeliverStart,ExpRMPerUnit*TotalUnits/12*ME$8*ME$11,0)</f>
        <v/>
      </c>
      <c r="MF28" s="18">
        <f>IF(341&gt;=DeliverStart,ExpRMPerUnit*TotalUnits/12*MF$8*MF$11,0)</f>
        <v/>
      </c>
      <c r="MG28" s="18">
        <f>IF(342&gt;=DeliverStart,ExpRMPerUnit*TotalUnits/12*MG$8*MG$11,0)</f>
        <v/>
      </c>
      <c r="MH28" s="18">
        <f>IF(343&gt;=DeliverStart,ExpRMPerUnit*TotalUnits/12*MH$8*MH$11,0)</f>
        <v/>
      </c>
      <c r="MI28" s="18">
        <f>IF(344&gt;=DeliverStart,ExpRMPerUnit*TotalUnits/12*MI$8*MI$11,0)</f>
        <v/>
      </c>
      <c r="MJ28" s="18">
        <f>IF(345&gt;=DeliverStart,ExpRMPerUnit*TotalUnits/12*MJ$8*MJ$11,0)</f>
        <v/>
      </c>
      <c r="MK28" s="18">
        <f>IF(346&gt;=DeliverStart,ExpRMPerUnit*TotalUnits/12*MK$8*MK$11,0)</f>
        <v/>
      </c>
      <c r="ML28" s="18">
        <f>IF(347&gt;=DeliverStart,ExpRMPerUnit*TotalUnits/12*ML$8*ML$11,0)</f>
        <v/>
      </c>
      <c r="MM28" s="18">
        <f>IF(348&gt;=DeliverStart,ExpRMPerUnit*TotalUnits/12*MM$8*MM$11,0)</f>
        <v/>
      </c>
      <c r="MN28" s="18">
        <f>IF(349&gt;=DeliverStart,ExpRMPerUnit*TotalUnits/12*MN$8*MN$11,0)</f>
        <v/>
      </c>
      <c r="MO28" s="18">
        <f>IF(350&gt;=DeliverStart,ExpRMPerUnit*TotalUnits/12*MO$8*MO$11,0)</f>
        <v/>
      </c>
      <c r="MP28" s="18">
        <f>IF(351&gt;=DeliverStart,ExpRMPerUnit*TotalUnits/12*MP$8*MP$11,0)</f>
        <v/>
      </c>
      <c r="MQ28" s="18">
        <f>IF(352&gt;=DeliverStart,ExpRMPerUnit*TotalUnits/12*MQ$8*MQ$11,0)</f>
        <v/>
      </c>
      <c r="MR28" s="18">
        <f>IF(353&gt;=DeliverStart,ExpRMPerUnit*TotalUnits/12*MR$8*MR$11,0)</f>
        <v/>
      </c>
      <c r="MS28" s="18">
        <f>IF(354&gt;=DeliverStart,ExpRMPerUnit*TotalUnits/12*MS$8*MS$11,0)</f>
        <v/>
      </c>
      <c r="MT28" s="18">
        <f>IF(355&gt;=DeliverStart,ExpRMPerUnit*TotalUnits/12*MT$8*MT$11,0)</f>
        <v/>
      </c>
      <c r="MU28" s="18">
        <f>IF(356&gt;=DeliverStart,ExpRMPerUnit*TotalUnits/12*MU$8*MU$11,0)</f>
        <v/>
      </c>
      <c r="MV28" s="18">
        <f>IF(357&gt;=DeliverStart,ExpRMPerUnit*TotalUnits/12*MV$8*MV$11,0)</f>
        <v/>
      </c>
      <c r="MW28" s="18">
        <f>IF(358&gt;=DeliverStart,ExpRMPerUnit*TotalUnits/12*MW$8*MW$11,0)</f>
        <v/>
      </c>
      <c r="MX28" s="18">
        <f>IF(359&gt;=DeliverStart,ExpRMPerUnit*TotalUnits/12*MX$8*MX$11,0)</f>
        <v/>
      </c>
      <c r="MY28" s="18">
        <f>IF(360&gt;=DeliverStart,ExpRMPerUnit*TotalUnits/12*MY$8*MY$11,0)</f>
        <v/>
      </c>
      <c r="MZ28" s="18">
        <f>IF(361&gt;=DeliverStart,ExpRMPerUnit*TotalUnits/12*MZ$8*MZ$11,0)</f>
        <v/>
      </c>
      <c r="NA28" s="18">
        <f>IF(362&gt;=DeliverStart,ExpRMPerUnit*TotalUnits/12*NA$8*NA$11,0)</f>
        <v/>
      </c>
      <c r="NB28" s="18">
        <f>IF(363&gt;=DeliverStart,ExpRMPerUnit*TotalUnits/12*NB$8*NB$11,0)</f>
        <v/>
      </c>
      <c r="NC28" s="18">
        <f>IF(364&gt;=DeliverStart,ExpRMPerUnit*TotalUnits/12*NC$8*NC$11,0)</f>
        <v/>
      </c>
      <c r="ND28" s="18">
        <f>IF(365&gt;=DeliverStart,ExpRMPerUnit*TotalUnits/12*ND$8*ND$11,0)</f>
        <v/>
      </c>
      <c r="NE28" s="18">
        <f>IF(366&gt;=DeliverStart,ExpRMPerUnit*TotalUnits/12*NE$8*NE$11,0)</f>
        <v/>
      </c>
      <c r="NF28" s="18">
        <f>IF(367&gt;=DeliverStart,ExpRMPerUnit*TotalUnits/12*NF$8*NF$11,0)</f>
        <v/>
      </c>
      <c r="NG28" s="18">
        <f>IF(368&gt;=DeliverStart,ExpRMPerUnit*TotalUnits/12*NG$8*NG$11,0)</f>
        <v/>
      </c>
      <c r="NH28" s="18">
        <f>IF(369&gt;=DeliverStart,ExpRMPerUnit*TotalUnits/12*NH$8*NH$11,0)</f>
        <v/>
      </c>
      <c r="NI28" s="18">
        <f>IF(370&gt;=DeliverStart,ExpRMPerUnit*TotalUnits/12*NI$8*NI$11,0)</f>
        <v/>
      </c>
      <c r="NJ28" s="18">
        <f>IF(371&gt;=DeliverStart,ExpRMPerUnit*TotalUnits/12*NJ$8*NJ$11,0)</f>
        <v/>
      </c>
      <c r="NK28" s="18">
        <f>IF(372&gt;=DeliverStart,ExpRMPerUnit*TotalUnits/12*NK$8*NK$11,0)</f>
        <v/>
      </c>
    </row>
    <row r="29">
      <c r="A29" s="5" t="inlineStr">
        <is>
          <t>Turnover (variable)</t>
        </is>
      </c>
      <c r="C29" s="41">
        <f>SUM(D29:NK29)</f>
        <v/>
      </c>
      <c r="D29" s="18">
        <f>IF(1&gt;=DeliverStart,ExpTurnoverPerUnit*TotalUnits/12*D$8*D$11,0)</f>
        <v/>
      </c>
      <c r="E29" s="18">
        <f>IF(2&gt;=DeliverStart,ExpTurnoverPerUnit*TotalUnits/12*E$8*E$11,0)</f>
        <v/>
      </c>
      <c r="F29" s="18">
        <f>IF(3&gt;=DeliverStart,ExpTurnoverPerUnit*TotalUnits/12*F$8*F$11,0)</f>
        <v/>
      </c>
      <c r="G29" s="18">
        <f>IF(4&gt;=DeliverStart,ExpTurnoverPerUnit*TotalUnits/12*G$8*G$11,0)</f>
        <v/>
      </c>
      <c r="H29" s="18">
        <f>IF(5&gt;=DeliverStart,ExpTurnoverPerUnit*TotalUnits/12*H$8*H$11,0)</f>
        <v/>
      </c>
      <c r="I29" s="18">
        <f>IF(6&gt;=DeliverStart,ExpTurnoverPerUnit*TotalUnits/12*I$8*I$11,0)</f>
        <v/>
      </c>
      <c r="J29" s="18">
        <f>IF(7&gt;=DeliverStart,ExpTurnoverPerUnit*TotalUnits/12*J$8*J$11,0)</f>
        <v/>
      </c>
      <c r="K29" s="18">
        <f>IF(8&gt;=DeliverStart,ExpTurnoverPerUnit*TotalUnits/12*K$8*K$11,0)</f>
        <v/>
      </c>
      <c r="L29" s="18">
        <f>IF(9&gt;=DeliverStart,ExpTurnoverPerUnit*TotalUnits/12*L$8*L$11,0)</f>
        <v/>
      </c>
      <c r="M29" s="18">
        <f>IF(10&gt;=DeliverStart,ExpTurnoverPerUnit*TotalUnits/12*M$8*M$11,0)</f>
        <v/>
      </c>
      <c r="N29" s="18">
        <f>IF(11&gt;=DeliverStart,ExpTurnoverPerUnit*TotalUnits/12*N$8*N$11,0)</f>
        <v/>
      </c>
      <c r="O29" s="18">
        <f>IF(12&gt;=DeliverStart,ExpTurnoverPerUnit*TotalUnits/12*O$8*O$11,0)</f>
        <v/>
      </c>
      <c r="P29" s="18">
        <f>IF(13&gt;=DeliverStart,ExpTurnoverPerUnit*TotalUnits/12*P$8*P$11,0)</f>
        <v/>
      </c>
      <c r="Q29" s="18">
        <f>IF(14&gt;=DeliverStart,ExpTurnoverPerUnit*TotalUnits/12*Q$8*Q$11,0)</f>
        <v/>
      </c>
      <c r="R29" s="18">
        <f>IF(15&gt;=DeliverStart,ExpTurnoverPerUnit*TotalUnits/12*R$8*R$11,0)</f>
        <v/>
      </c>
      <c r="S29" s="18">
        <f>IF(16&gt;=DeliverStart,ExpTurnoverPerUnit*TotalUnits/12*S$8*S$11,0)</f>
        <v/>
      </c>
      <c r="T29" s="18">
        <f>IF(17&gt;=DeliverStart,ExpTurnoverPerUnit*TotalUnits/12*T$8*T$11,0)</f>
        <v/>
      </c>
      <c r="U29" s="18">
        <f>IF(18&gt;=DeliverStart,ExpTurnoverPerUnit*TotalUnits/12*U$8*U$11,0)</f>
        <v/>
      </c>
      <c r="V29" s="18">
        <f>IF(19&gt;=DeliverStart,ExpTurnoverPerUnit*TotalUnits/12*V$8*V$11,0)</f>
        <v/>
      </c>
      <c r="W29" s="18">
        <f>IF(20&gt;=DeliverStart,ExpTurnoverPerUnit*TotalUnits/12*W$8*W$11,0)</f>
        <v/>
      </c>
      <c r="X29" s="18">
        <f>IF(21&gt;=DeliverStart,ExpTurnoverPerUnit*TotalUnits/12*X$8*X$11,0)</f>
        <v/>
      </c>
      <c r="Y29" s="18">
        <f>IF(22&gt;=DeliverStart,ExpTurnoverPerUnit*TotalUnits/12*Y$8*Y$11,0)</f>
        <v/>
      </c>
      <c r="Z29" s="18">
        <f>IF(23&gt;=DeliverStart,ExpTurnoverPerUnit*TotalUnits/12*Z$8*Z$11,0)</f>
        <v/>
      </c>
      <c r="AA29" s="18">
        <f>IF(24&gt;=DeliverStart,ExpTurnoverPerUnit*TotalUnits/12*AA$8*AA$11,0)</f>
        <v/>
      </c>
      <c r="AB29" s="18">
        <f>IF(25&gt;=DeliverStart,ExpTurnoverPerUnit*TotalUnits/12*AB$8*AB$11,0)</f>
        <v/>
      </c>
      <c r="AC29" s="18">
        <f>IF(26&gt;=DeliverStart,ExpTurnoverPerUnit*TotalUnits/12*AC$8*AC$11,0)</f>
        <v/>
      </c>
      <c r="AD29" s="18">
        <f>IF(27&gt;=DeliverStart,ExpTurnoverPerUnit*TotalUnits/12*AD$8*AD$11,0)</f>
        <v/>
      </c>
      <c r="AE29" s="18">
        <f>IF(28&gt;=DeliverStart,ExpTurnoverPerUnit*TotalUnits/12*AE$8*AE$11,0)</f>
        <v/>
      </c>
      <c r="AF29" s="18">
        <f>IF(29&gt;=DeliverStart,ExpTurnoverPerUnit*TotalUnits/12*AF$8*AF$11,0)</f>
        <v/>
      </c>
      <c r="AG29" s="18">
        <f>IF(30&gt;=DeliverStart,ExpTurnoverPerUnit*TotalUnits/12*AG$8*AG$11,0)</f>
        <v/>
      </c>
      <c r="AH29" s="18">
        <f>IF(31&gt;=DeliverStart,ExpTurnoverPerUnit*TotalUnits/12*AH$8*AH$11,0)</f>
        <v/>
      </c>
      <c r="AI29" s="18">
        <f>IF(32&gt;=DeliverStart,ExpTurnoverPerUnit*TotalUnits/12*AI$8*AI$11,0)</f>
        <v/>
      </c>
      <c r="AJ29" s="18">
        <f>IF(33&gt;=DeliverStart,ExpTurnoverPerUnit*TotalUnits/12*AJ$8*AJ$11,0)</f>
        <v/>
      </c>
      <c r="AK29" s="18">
        <f>IF(34&gt;=DeliverStart,ExpTurnoverPerUnit*TotalUnits/12*AK$8*AK$11,0)</f>
        <v/>
      </c>
      <c r="AL29" s="18">
        <f>IF(35&gt;=DeliverStart,ExpTurnoverPerUnit*TotalUnits/12*AL$8*AL$11,0)</f>
        <v/>
      </c>
      <c r="AM29" s="18">
        <f>IF(36&gt;=DeliverStart,ExpTurnoverPerUnit*TotalUnits/12*AM$8*AM$11,0)</f>
        <v/>
      </c>
      <c r="AN29" s="18">
        <f>IF(37&gt;=DeliverStart,ExpTurnoverPerUnit*TotalUnits/12*AN$8*AN$11,0)</f>
        <v/>
      </c>
      <c r="AO29" s="18">
        <f>IF(38&gt;=DeliverStart,ExpTurnoverPerUnit*TotalUnits/12*AO$8*AO$11,0)</f>
        <v/>
      </c>
      <c r="AP29" s="18">
        <f>IF(39&gt;=DeliverStart,ExpTurnoverPerUnit*TotalUnits/12*AP$8*AP$11,0)</f>
        <v/>
      </c>
      <c r="AQ29" s="18">
        <f>IF(40&gt;=DeliverStart,ExpTurnoverPerUnit*TotalUnits/12*AQ$8*AQ$11,0)</f>
        <v/>
      </c>
      <c r="AR29" s="18">
        <f>IF(41&gt;=DeliverStart,ExpTurnoverPerUnit*TotalUnits/12*AR$8*AR$11,0)</f>
        <v/>
      </c>
      <c r="AS29" s="18">
        <f>IF(42&gt;=DeliverStart,ExpTurnoverPerUnit*TotalUnits/12*AS$8*AS$11,0)</f>
        <v/>
      </c>
      <c r="AT29" s="18">
        <f>IF(43&gt;=DeliverStart,ExpTurnoverPerUnit*TotalUnits/12*AT$8*AT$11,0)</f>
        <v/>
      </c>
      <c r="AU29" s="18">
        <f>IF(44&gt;=DeliverStart,ExpTurnoverPerUnit*TotalUnits/12*AU$8*AU$11,0)</f>
        <v/>
      </c>
      <c r="AV29" s="18">
        <f>IF(45&gt;=DeliverStart,ExpTurnoverPerUnit*TotalUnits/12*AV$8*AV$11,0)</f>
        <v/>
      </c>
      <c r="AW29" s="18">
        <f>IF(46&gt;=DeliverStart,ExpTurnoverPerUnit*TotalUnits/12*AW$8*AW$11,0)</f>
        <v/>
      </c>
      <c r="AX29" s="18">
        <f>IF(47&gt;=DeliverStart,ExpTurnoverPerUnit*TotalUnits/12*AX$8*AX$11,0)</f>
        <v/>
      </c>
      <c r="AY29" s="18">
        <f>IF(48&gt;=DeliverStart,ExpTurnoverPerUnit*TotalUnits/12*AY$8*AY$11,0)</f>
        <v/>
      </c>
      <c r="AZ29" s="18">
        <f>IF(49&gt;=DeliverStart,ExpTurnoverPerUnit*TotalUnits/12*AZ$8*AZ$11,0)</f>
        <v/>
      </c>
      <c r="BA29" s="18">
        <f>IF(50&gt;=DeliverStart,ExpTurnoverPerUnit*TotalUnits/12*BA$8*BA$11,0)</f>
        <v/>
      </c>
      <c r="BB29" s="18">
        <f>IF(51&gt;=DeliverStart,ExpTurnoverPerUnit*TotalUnits/12*BB$8*BB$11,0)</f>
        <v/>
      </c>
      <c r="BC29" s="18">
        <f>IF(52&gt;=DeliverStart,ExpTurnoverPerUnit*TotalUnits/12*BC$8*BC$11,0)</f>
        <v/>
      </c>
      <c r="BD29" s="18">
        <f>IF(53&gt;=DeliverStart,ExpTurnoverPerUnit*TotalUnits/12*BD$8*BD$11,0)</f>
        <v/>
      </c>
      <c r="BE29" s="18">
        <f>IF(54&gt;=DeliverStart,ExpTurnoverPerUnit*TotalUnits/12*BE$8*BE$11,0)</f>
        <v/>
      </c>
      <c r="BF29" s="18">
        <f>IF(55&gt;=DeliverStart,ExpTurnoverPerUnit*TotalUnits/12*BF$8*BF$11,0)</f>
        <v/>
      </c>
      <c r="BG29" s="18">
        <f>IF(56&gt;=DeliverStart,ExpTurnoverPerUnit*TotalUnits/12*BG$8*BG$11,0)</f>
        <v/>
      </c>
      <c r="BH29" s="18">
        <f>IF(57&gt;=DeliverStart,ExpTurnoverPerUnit*TotalUnits/12*BH$8*BH$11,0)</f>
        <v/>
      </c>
      <c r="BI29" s="18">
        <f>IF(58&gt;=DeliverStart,ExpTurnoverPerUnit*TotalUnits/12*BI$8*BI$11,0)</f>
        <v/>
      </c>
      <c r="BJ29" s="18">
        <f>IF(59&gt;=DeliverStart,ExpTurnoverPerUnit*TotalUnits/12*BJ$8*BJ$11,0)</f>
        <v/>
      </c>
      <c r="BK29" s="18">
        <f>IF(60&gt;=DeliverStart,ExpTurnoverPerUnit*TotalUnits/12*BK$8*BK$11,0)</f>
        <v/>
      </c>
      <c r="BL29" s="18">
        <f>IF(61&gt;=DeliverStart,ExpTurnoverPerUnit*TotalUnits/12*BL$8*BL$11,0)</f>
        <v/>
      </c>
      <c r="BM29" s="18">
        <f>IF(62&gt;=DeliverStart,ExpTurnoverPerUnit*TotalUnits/12*BM$8*BM$11,0)</f>
        <v/>
      </c>
      <c r="BN29" s="18">
        <f>IF(63&gt;=DeliverStart,ExpTurnoverPerUnit*TotalUnits/12*BN$8*BN$11,0)</f>
        <v/>
      </c>
      <c r="BO29" s="18">
        <f>IF(64&gt;=DeliverStart,ExpTurnoverPerUnit*TotalUnits/12*BO$8*BO$11,0)</f>
        <v/>
      </c>
      <c r="BP29" s="18">
        <f>IF(65&gt;=DeliverStart,ExpTurnoverPerUnit*TotalUnits/12*BP$8*BP$11,0)</f>
        <v/>
      </c>
      <c r="BQ29" s="18">
        <f>IF(66&gt;=DeliverStart,ExpTurnoverPerUnit*TotalUnits/12*BQ$8*BQ$11,0)</f>
        <v/>
      </c>
      <c r="BR29" s="18">
        <f>IF(67&gt;=DeliverStart,ExpTurnoverPerUnit*TotalUnits/12*BR$8*BR$11,0)</f>
        <v/>
      </c>
      <c r="BS29" s="18">
        <f>IF(68&gt;=DeliverStart,ExpTurnoverPerUnit*TotalUnits/12*BS$8*BS$11,0)</f>
        <v/>
      </c>
      <c r="BT29" s="18">
        <f>IF(69&gt;=DeliverStart,ExpTurnoverPerUnit*TotalUnits/12*BT$8*BT$11,0)</f>
        <v/>
      </c>
      <c r="BU29" s="18">
        <f>IF(70&gt;=DeliverStart,ExpTurnoverPerUnit*TotalUnits/12*BU$8*BU$11,0)</f>
        <v/>
      </c>
      <c r="BV29" s="18">
        <f>IF(71&gt;=DeliverStart,ExpTurnoverPerUnit*TotalUnits/12*BV$8*BV$11,0)</f>
        <v/>
      </c>
      <c r="BW29" s="18">
        <f>IF(72&gt;=DeliverStart,ExpTurnoverPerUnit*TotalUnits/12*BW$8*BW$11,0)</f>
        <v/>
      </c>
      <c r="BX29" s="18">
        <f>IF(73&gt;=DeliverStart,ExpTurnoverPerUnit*TotalUnits/12*BX$8*BX$11,0)</f>
        <v/>
      </c>
      <c r="BY29" s="18">
        <f>IF(74&gt;=DeliverStart,ExpTurnoverPerUnit*TotalUnits/12*BY$8*BY$11,0)</f>
        <v/>
      </c>
      <c r="BZ29" s="18">
        <f>IF(75&gt;=DeliverStart,ExpTurnoverPerUnit*TotalUnits/12*BZ$8*BZ$11,0)</f>
        <v/>
      </c>
      <c r="CA29" s="18">
        <f>IF(76&gt;=DeliverStart,ExpTurnoverPerUnit*TotalUnits/12*CA$8*CA$11,0)</f>
        <v/>
      </c>
      <c r="CB29" s="18">
        <f>IF(77&gt;=DeliverStart,ExpTurnoverPerUnit*TotalUnits/12*CB$8*CB$11,0)</f>
        <v/>
      </c>
      <c r="CC29" s="18">
        <f>IF(78&gt;=DeliverStart,ExpTurnoverPerUnit*TotalUnits/12*CC$8*CC$11,0)</f>
        <v/>
      </c>
      <c r="CD29" s="18">
        <f>IF(79&gt;=DeliverStart,ExpTurnoverPerUnit*TotalUnits/12*CD$8*CD$11,0)</f>
        <v/>
      </c>
      <c r="CE29" s="18">
        <f>IF(80&gt;=DeliverStart,ExpTurnoverPerUnit*TotalUnits/12*CE$8*CE$11,0)</f>
        <v/>
      </c>
      <c r="CF29" s="18">
        <f>IF(81&gt;=DeliverStart,ExpTurnoverPerUnit*TotalUnits/12*CF$8*CF$11,0)</f>
        <v/>
      </c>
      <c r="CG29" s="18">
        <f>IF(82&gt;=DeliverStart,ExpTurnoverPerUnit*TotalUnits/12*CG$8*CG$11,0)</f>
        <v/>
      </c>
      <c r="CH29" s="18">
        <f>IF(83&gt;=DeliverStart,ExpTurnoverPerUnit*TotalUnits/12*CH$8*CH$11,0)</f>
        <v/>
      </c>
      <c r="CI29" s="18">
        <f>IF(84&gt;=DeliverStart,ExpTurnoverPerUnit*TotalUnits/12*CI$8*CI$11,0)</f>
        <v/>
      </c>
      <c r="CJ29" s="18">
        <f>IF(85&gt;=DeliverStart,ExpTurnoverPerUnit*TotalUnits/12*CJ$8*CJ$11,0)</f>
        <v/>
      </c>
      <c r="CK29" s="18">
        <f>IF(86&gt;=DeliverStart,ExpTurnoverPerUnit*TotalUnits/12*CK$8*CK$11,0)</f>
        <v/>
      </c>
      <c r="CL29" s="18">
        <f>IF(87&gt;=DeliverStart,ExpTurnoverPerUnit*TotalUnits/12*CL$8*CL$11,0)</f>
        <v/>
      </c>
      <c r="CM29" s="18">
        <f>IF(88&gt;=DeliverStart,ExpTurnoverPerUnit*TotalUnits/12*CM$8*CM$11,0)</f>
        <v/>
      </c>
      <c r="CN29" s="18">
        <f>IF(89&gt;=DeliverStart,ExpTurnoverPerUnit*TotalUnits/12*CN$8*CN$11,0)</f>
        <v/>
      </c>
      <c r="CO29" s="18">
        <f>IF(90&gt;=DeliverStart,ExpTurnoverPerUnit*TotalUnits/12*CO$8*CO$11,0)</f>
        <v/>
      </c>
      <c r="CP29" s="18">
        <f>IF(91&gt;=DeliverStart,ExpTurnoverPerUnit*TotalUnits/12*CP$8*CP$11,0)</f>
        <v/>
      </c>
      <c r="CQ29" s="18">
        <f>IF(92&gt;=DeliverStart,ExpTurnoverPerUnit*TotalUnits/12*CQ$8*CQ$11,0)</f>
        <v/>
      </c>
      <c r="CR29" s="18">
        <f>IF(93&gt;=DeliverStart,ExpTurnoverPerUnit*TotalUnits/12*CR$8*CR$11,0)</f>
        <v/>
      </c>
      <c r="CS29" s="18">
        <f>IF(94&gt;=DeliverStart,ExpTurnoverPerUnit*TotalUnits/12*CS$8*CS$11,0)</f>
        <v/>
      </c>
      <c r="CT29" s="18">
        <f>IF(95&gt;=DeliverStart,ExpTurnoverPerUnit*TotalUnits/12*CT$8*CT$11,0)</f>
        <v/>
      </c>
      <c r="CU29" s="18">
        <f>IF(96&gt;=DeliverStart,ExpTurnoverPerUnit*TotalUnits/12*CU$8*CU$11,0)</f>
        <v/>
      </c>
      <c r="CV29" s="18">
        <f>IF(97&gt;=DeliverStart,ExpTurnoverPerUnit*TotalUnits/12*CV$8*CV$11,0)</f>
        <v/>
      </c>
      <c r="CW29" s="18">
        <f>IF(98&gt;=DeliverStart,ExpTurnoverPerUnit*TotalUnits/12*CW$8*CW$11,0)</f>
        <v/>
      </c>
      <c r="CX29" s="18">
        <f>IF(99&gt;=DeliverStart,ExpTurnoverPerUnit*TotalUnits/12*CX$8*CX$11,0)</f>
        <v/>
      </c>
      <c r="CY29" s="18">
        <f>IF(100&gt;=DeliverStart,ExpTurnoverPerUnit*TotalUnits/12*CY$8*CY$11,0)</f>
        <v/>
      </c>
      <c r="CZ29" s="18">
        <f>IF(101&gt;=DeliverStart,ExpTurnoverPerUnit*TotalUnits/12*CZ$8*CZ$11,0)</f>
        <v/>
      </c>
      <c r="DA29" s="18">
        <f>IF(102&gt;=DeliverStart,ExpTurnoverPerUnit*TotalUnits/12*DA$8*DA$11,0)</f>
        <v/>
      </c>
      <c r="DB29" s="18">
        <f>IF(103&gt;=DeliverStart,ExpTurnoverPerUnit*TotalUnits/12*DB$8*DB$11,0)</f>
        <v/>
      </c>
      <c r="DC29" s="18">
        <f>IF(104&gt;=DeliverStart,ExpTurnoverPerUnit*TotalUnits/12*DC$8*DC$11,0)</f>
        <v/>
      </c>
      <c r="DD29" s="18">
        <f>IF(105&gt;=DeliverStart,ExpTurnoverPerUnit*TotalUnits/12*DD$8*DD$11,0)</f>
        <v/>
      </c>
      <c r="DE29" s="18">
        <f>IF(106&gt;=DeliverStart,ExpTurnoverPerUnit*TotalUnits/12*DE$8*DE$11,0)</f>
        <v/>
      </c>
      <c r="DF29" s="18">
        <f>IF(107&gt;=DeliverStart,ExpTurnoverPerUnit*TotalUnits/12*DF$8*DF$11,0)</f>
        <v/>
      </c>
      <c r="DG29" s="18">
        <f>IF(108&gt;=DeliverStart,ExpTurnoverPerUnit*TotalUnits/12*DG$8*DG$11,0)</f>
        <v/>
      </c>
      <c r="DH29" s="18">
        <f>IF(109&gt;=DeliverStart,ExpTurnoverPerUnit*TotalUnits/12*DH$8*DH$11,0)</f>
        <v/>
      </c>
      <c r="DI29" s="18">
        <f>IF(110&gt;=DeliverStart,ExpTurnoverPerUnit*TotalUnits/12*DI$8*DI$11,0)</f>
        <v/>
      </c>
      <c r="DJ29" s="18">
        <f>IF(111&gt;=DeliverStart,ExpTurnoverPerUnit*TotalUnits/12*DJ$8*DJ$11,0)</f>
        <v/>
      </c>
      <c r="DK29" s="18">
        <f>IF(112&gt;=DeliverStart,ExpTurnoverPerUnit*TotalUnits/12*DK$8*DK$11,0)</f>
        <v/>
      </c>
      <c r="DL29" s="18">
        <f>IF(113&gt;=DeliverStart,ExpTurnoverPerUnit*TotalUnits/12*DL$8*DL$11,0)</f>
        <v/>
      </c>
      <c r="DM29" s="18">
        <f>IF(114&gt;=DeliverStart,ExpTurnoverPerUnit*TotalUnits/12*DM$8*DM$11,0)</f>
        <v/>
      </c>
      <c r="DN29" s="18">
        <f>IF(115&gt;=DeliverStart,ExpTurnoverPerUnit*TotalUnits/12*DN$8*DN$11,0)</f>
        <v/>
      </c>
      <c r="DO29" s="18">
        <f>IF(116&gt;=DeliverStart,ExpTurnoverPerUnit*TotalUnits/12*DO$8*DO$11,0)</f>
        <v/>
      </c>
      <c r="DP29" s="18">
        <f>IF(117&gt;=DeliverStart,ExpTurnoverPerUnit*TotalUnits/12*DP$8*DP$11,0)</f>
        <v/>
      </c>
      <c r="DQ29" s="18">
        <f>IF(118&gt;=DeliverStart,ExpTurnoverPerUnit*TotalUnits/12*DQ$8*DQ$11,0)</f>
        <v/>
      </c>
      <c r="DR29" s="18">
        <f>IF(119&gt;=DeliverStart,ExpTurnoverPerUnit*TotalUnits/12*DR$8*DR$11,0)</f>
        <v/>
      </c>
      <c r="DS29" s="18">
        <f>IF(120&gt;=DeliverStart,ExpTurnoverPerUnit*TotalUnits/12*DS$8*DS$11,0)</f>
        <v/>
      </c>
      <c r="DT29" s="18">
        <f>IF(121&gt;=DeliverStart,ExpTurnoverPerUnit*TotalUnits/12*DT$8*DT$11,0)</f>
        <v/>
      </c>
      <c r="DU29" s="18">
        <f>IF(122&gt;=DeliverStart,ExpTurnoverPerUnit*TotalUnits/12*DU$8*DU$11,0)</f>
        <v/>
      </c>
      <c r="DV29" s="18">
        <f>IF(123&gt;=DeliverStart,ExpTurnoverPerUnit*TotalUnits/12*DV$8*DV$11,0)</f>
        <v/>
      </c>
      <c r="DW29" s="18">
        <f>IF(124&gt;=DeliverStart,ExpTurnoverPerUnit*TotalUnits/12*DW$8*DW$11,0)</f>
        <v/>
      </c>
      <c r="DX29" s="18">
        <f>IF(125&gt;=DeliverStart,ExpTurnoverPerUnit*TotalUnits/12*DX$8*DX$11,0)</f>
        <v/>
      </c>
      <c r="DY29" s="18">
        <f>IF(126&gt;=DeliverStart,ExpTurnoverPerUnit*TotalUnits/12*DY$8*DY$11,0)</f>
        <v/>
      </c>
      <c r="DZ29" s="18">
        <f>IF(127&gt;=DeliverStart,ExpTurnoverPerUnit*TotalUnits/12*DZ$8*DZ$11,0)</f>
        <v/>
      </c>
      <c r="EA29" s="18">
        <f>IF(128&gt;=DeliverStart,ExpTurnoverPerUnit*TotalUnits/12*EA$8*EA$11,0)</f>
        <v/>
      </c>
      <c r="EB29" s="18">
        <f>IF(129&gt;=DeliverStart,ExpTurnoverPerUnit*TotalUnits/12*EB$8*EB$11,0)</f>
        <v/>
      </c>
      <c r="EC29" s="18">
        <f>IF(130&gt;=DeliverStart,ExpTurnoverPerUnit*TotalUnits/12*EC$8*EC$11,0)</f>
        <v/>
      </c>
      <c r="ED29" s="18">
        <f>IF(131&gt;=DeliverStart,ExpTurnoverPerUnit*TotalUnits/12*ED$8*ED$11,0)</f>
        <v/>
      </c>
      <c r="EE29" s="18">
        <f>IF(132&gt;=DeliverStart,ExpTurnoverPerUnit*TotalUnits/12*EE$8*EE$11,0)</f>
        <v/>
      </c>
      <c r="EF29" s="18">
        <f>IF(133&gt;=DeliverStart,ExpTurnoverPerUnit*TotalUnits/12*EF$8*EF$11,0)</f>
        <v/>
      </c>
      <c r="EG29" s="18">
        <f>IF(134&gt;=DeliverStart,ExpTurnoverPerUnit*TotalUnits/12*EG$8*EG$11,0)</f>
        <v/>
      </c>
      <c r="EH29" s="18">
        <f>IF(135&gt;=DeliverStart,ExpTurnoverPerUnit*TotalUnits/12*EH$8*EH$11,0)</f>
        <v/>
      </c>
      <c r="EI29" s="18">
        <f>IF(136&gt;=DeliverStart,ExpTurnoverPerUnit*TotalUnits/12*EI$8*EI$11,0)</f>
        <v/>
      </c>
      <c r="EJ29" s="18">
        <f>IF(137&gt;=DeliverStart,ExpTurnoverPerUnit*TotalUnits/12*EJ$8*EJ$11,0)</f>
        <v/>
      </c>
      <c r="EK29" s="18">
        <f>IF(138&gt;=DeliverStart,ExpTurnoverPerUnit*TotalUnits/12*EK$8*EK$11,0)</f>
        <v/>
      </c>
      <c r="EL29" s="18">
        <f>IF(139&gt;=DeliverStart,ExpTurnoverPerUnit*TotalUnits/12*EL$8*EL$11,0)</f>
        <v/>
      </c>
      <c r="EM29" s="18">
        <f>IF(140&gt;=DeliverStart,ExpTurnoverPerUnit*TotalUnits/12*EM$8*EM$11,0)</f>
        <v/>
      </c>
      <c r="EN29" s="18">
        <f>IF(141&gt;=DeliverStart,ExpTurnoverPerUnit*TotalUnits/12*EN$8*EN$11,0)</f>
        <v/>
      </c>
      <c r="EO29" s="18">
        <f>IF(142&gt;=DeliverStart,ExpTurnoverPerUnit*TotalUnits/12*EO$8*EO$11,0)</f>
        <v/>
      </c>
      <c r="EP29" s="18">
        <f>IF(143&gt;=DeliverStart,ExpTurnoverPerUnit*TotalUnits/12*EP$8*EP$11,0)</f>
        <v/>
      </c>
      <c r="EQ29" s="18">
        <f>IF(144&gt;=DeliverStart,ExpTurnoverPerUnit*TotalUnits/12*EQ$8*EQ$11,0)</f>
        <v/>
      </c>
      <c r="ER29" s="18">
        <f>IF(145&gt;=DeliverStart,ExpTurnoverPerUnit*TotalUnits/12*ER$8*ER$11,0)</f>
        <v/>
      </c>
      <c r="ES29" s="18">
        <f>IF(146&gt;=DeliverStart,ExpTurnoverPerUnit*TotalUnits/12*ES$8*ES$11,0)</f>
        <v/>
      </c>
      <c r="ET29" s="18">
        <f>IF(147&gt;=DeliverStart,ExpTurnoverPerUnit*TotalUnits/12*ET$8*ET$11,0)</f>
        <v/>
      </c>
      <c r="EU29" s="18">
        <f>IF(148&gt;=DeliverStart,ExpTurnoverPerUnit*TotalUnits/12*EU$8*EU$11,0)</f>
        <v/>
      </c>
      <c r="EV29" s="18">
        <f>IF(149&gt;=DeliverStart,ExpTurnoverPerUnit*TotalUnits/12*EV$8*EV$11,0)</f>
        <v/>
      </c>
      <c r="EW29" s="18">
        <f>IF(150&gt;=DeliverStart,ExpTurnoverPerUnit*TotalUnits/12*EW$8*EW$11,0)</f>
        <v/>
      </c>
      <c r="EX29" s="18">
        <f>IF(151&gt;=DeliverStart,ExpTurnoverPerUnit*TotalUnits/12*EX$8*EX$11,0)</f>
        <v/>
      </c>
      <c r="EY29" s="18">
        <f>IF(152&gt;=DeliverStart,ExpTurnoverPerUnit*TotalUnits/12*EY$8*EY$11,0)</f>
        <v/>
      </c>
      <c r="EZ29" s="18">
        <f>IF(153&gt;=DeliverStart,ExpTurnoverPerUnit*TotalUnits/12*EZ$8*EZ$11,0)</f>
        <v/>
      </c>
      <c r="FA29" s="18">
        <f>IF(154&gt;=DeliverStart,ExpTurnoverPerUnit*TotalUnits/12*FA$8*FA$11,0)</f>
        <v/>
      </c>
      <c r="FB29" s="18">
        <f>IF(155&gt;=DeliverStart,ExpTurnoverPerUnit*TotalUnits/12*FB$8*FB$11,0)</f>
        <v/>
      </c>
      <c r="FC29" s="18">
        <f>IF(156&gt;=DeliverStart,ExpTurnoverPerUnit*TotalUnits/12*FC$8*FC$11,0)</f>
        <v/>
      </c>
      <c r="FD29" s="18">
        <f>IF(157&gt;=DeliverStart,ExpTurnoverPerUnit*TotalUnits/12*FD$8*FD$11,0)</f>
        <v/>
      </c>
      <c r="FE29" s="18">
        <f>IF(158&gt;=DeliverStart,ExpTurnoverPerUnit*TotalUnits/12*FE$8*FE$11,0)</f>
        <v/>
      </c>
      <c r="FF29" s="18">
        <f>IF(159&gt;=DeliverStart,ExpTurnoverPerUnit*TotalUnits/12*FF$8*FF$11,0)</f>
        <v/>
      </c>
      <c r="FG29" s="18">
        <f>IF(160&gt;=DeliverStart,ExpTurnoverPerUnit*TotalUnits/12*FG$8*FG$11,0)</f>
        <v/>
      </c>
      <c r="FH29" s="18">
        <f>IF(161&gt;=DeliverStart,ExpTurnoverPerUnit*TotalUnits/12*FH$8*FH$11,0)</f>
        <v/>
      </c>
      <c r="FI29" s="18">
        <f>IF(162&gt;=DeliverStart,ExpTurnoverPerUnit*TotalUnits/12*FI$8*FI$11,0)</f>
        <v/>
      </c>
      <c r="FJ29" s="18">
        <f>IF(163&gt;=DeliverStart,ExpTurnoverPerUnit*TotalUnits/12*FJ$8*FJ$11,0)</f>
        <v/>
      </c>
      <c r="FK29" s="18">
        <f>IF(164&gt;=DeliverStart,ExpTurnoverPerUnit*TotalUnits/12*FK$8*FK$11,0)</f>
        <v/>
      </c>
      <c r="FL29" s="18">
        <f>IF(165&gt;=DeliverStart,ExpTurnoverPerUnit*TotalUnits/12*FL$8*FL$11,0)</f>
        <v/>
      </c>
      <c r="FM29" s="18">
        <f>IF(166&gt;=DeliverStart,ExpTurnoverPerUnit*TotalUnits/12*FM$8*FM$11,0)</f>
        <v/>
      </c>
      <c r="FN29" s="18">
        <f>IF(167&gt;=DeliverStart,ExpTurnoverPerUnit*TotalUnits/12*FN$8*FN$11,0)</f>
        <v/>
      </c>
      <c r="FO29" s="18">
        <f>IF(168&gt;=DeliverStart,ExpTurnoverPerUnit*TotalUnits/12*FO$8*FO$11,0)</f>
        <v/>
      </c>
      <c r="FP29" s="18">
        <f>IF(169&gt;=DeliverStart,ExpTurnoverPerUnit*TotalUnits/12*FP$8*FP$11,0)</f>
        <v/>
      </c>
      <c r="FQ29" s="18">
        <f>IF(170&gt;=DeliverStart,ExpTurnoverPerUnit*TotalUnits/12*FQ$8*FQ$11,0)</f>
        <v/>
      </c>
      <c r="FR29" s="18">
        <f>IF(171&gt;=DeliverStart,ExpTurnoverPerUnit*TotalUnits/12*FR$8*FR$11,0)</f>
        <v/>
      </c>
      <c r="FS29" s="18">
        <f>IF(172&gt;=DeliverStart,ExpTurnoverPerUnit*TotalUnits/12*FS$8*FS$11,0)</f>
        <v/>
      </c>
      <c r="FT29" s="18">
        <f>IF(173&gt;=DeliverStart,ExpTurnoverPerUnit*TotalUnits/12*FT$8*FT$11,0)</f>
        <v/>
      </c>
      <c r="FU29" s="18">
        <f>IF(174&gt;=DeliverStart,ExpTurnoverPerUnit*TotalUnits/12*FU$8*FU$11,0)</f>
        <v/>
      </c>
      <c r="FV29" s="18">
        <f>IF(175&gt;=DeliverStart,ExpTurnoverPerUnit*TotalUnits/12*FV$8*FV$11,0)</f>
        <v/>
      </c>
      <c r="FW29" s="18">
        <f>IF(176&gt;=DeliverStart,ExpTurnoverPerUnit*TotalUnits/12*FW$8*FW$11,0)</f>
        <v/>
      </c>
      <c r="FX29" s="18">
        <f>IF(177&gt;=DeliverStart,ExpTurnoverPerUnit*TotalUnits/12*FX$8*FX$11,0)</f>
        <v/>
      </c>
      <c r="FY29" s="18">
        <f>IF(178&gt;=DeliverStart,ExpTurnoverPerUnit*TotalUnits/12*FY$8*FY$11,0)</f>
        <v/>
      </c>
      <c r="FZ29" s="18">
        <f>IF(179&gt;=DeliverStart,ExpTurnoverPerUnit*TotalUnits/12*FZ$8*FZ$11,0)</f>
        <v/>
      </c>
      <c r="GA29" s="18">
        <f>IF(180&gt;=DeliverStart,ExpTurnoverPerUnit*TotalUnits/12*GA$8*GA$11,0)</f>
        <v/>
      </c>
      <c r="GB29" s="18">
        <f>IF(181&gt;=DeliverStart,ExpTurnoverPerUnit*TotalUnits/12*GB$8*GB$11,0)</f>
        <v/>
      </c>
      <c r="GC29" s="18">
        <f>IF(182&gt;=DeliverStart,ExpTurnoverPerUnit*TotalUnits/12*GC$8*GC$11,0)</f>
        <v/>
      </c>
      <c r="GD29" s="18">
        <f>IF(183&gt;=DeliverStart,ExpTurnoverPerUnit*TotalUnits/12*GD$8*GD$11,0)</f>
        <v/>
      </c>
      <c r="GE29" s="18">
        <f>IF(184&gt;=DeliverStart,ExpTurnoverPerUnit*TotalUnits/12*GE$8*GE$11,0)</f>
        <v/>
      </c>
      <c r="GF29" s="18">
        <f>IF(185&gt;=DeliverStart,ExpTurnoverPerUnit*TotalUnits/12*GF$8*GF$11,0)</f>
        <v/>
      </c>
      <c r="GG29" s="18">
        <f>IF(186&gt;=DeliverStart,ExpTurnoverPerUnit*TotalUnits/12*GG$8*GG$11,0)</f>
        <v/>
      </c>
      <c r="GH29" s="18">
        <f>IF(187&gt;=DeliverStart,ExpTurnoverPerUnit*TotalUnits/12*GH$8*GH$11,0)</f>
        <v/>
      </c>
      <c r="GI29" s="18">
        <f>IF(188&gt;=DeliverStart,ExpTurnoverPerUnit*TotalUnits/12*GI$8*GI$11,0)</f>
        <v/>
      </c>
      <c r="GJ29" s="18">
        <f>IF(189&gt;=DeliverStart,ExpTurnoverPerUnit*TotalUnits/12*GJ$8*GJ$11,0)</f>
        <v/>
      </c>
      <c r="GK29" s="18">
        <f>IF(190&gt;=DeliverStart,ExpTurnoverPerUnit*TotalUnits/12*GK$8*GK$11,0)</f>
        <v/>
      </c>
      <c r="GL29" s="18">
        <f>IF(191&gt;=DeliverStart,ExpTurnoverPerUnit*TotalUnits/12*GL$8*GL$11,0)</f>
        <v/>
      </c>
      <c r="GM29" s="18">
        <f>IF(192&gt;=DeliverStart,ExpTurnoverPerUnit*TotalUnits/12*GM$8*GM$11,0)</f>
        <v/>
      </c>
      <c r="GN29" s="18">
        <f>IF(193&gt;=DeliverStart,ExpTurnoverPerUnit*TotalUnits/12*GN$8*GN$11,0)</f>
        <v/>
      </c>
      <c r="GO29" s="18">
        <f>IF(194&gt;=DeliverStart,ExpTurnoverPerUnit*TotalUnits/12*GO$8*GO$11,0)</f>
        <v/>
      </c>
      <c r="GP29" s="18">
        <f>IF(195&gt;=DeliverStart,ExpTurnoverPerUnit*TotalUnits/12*GP$8*GP$11,0)</f>
        <v/>
      </c>
      <c r="GQ29" s="18">
        <f>IF(196&gt;=DeliverStart,ExpTurnoverPerUnit*TotalUnits/12*GQ$8*GQ$11,0)</f>
        <v/>
      </c>
      <c r="GR29" s="18">
        <f>IF(197&gt;=DeliverStart,ExpTurnoverPerUnit*TotalUnits/12*GR$8*GR$11,0)</f>
        <v/>
      </c>
      <c r="GS29" s="18">
        <f>IF(198&gt;=DeliverStart,ExpTurnoverPerUnit*TotalUnits/12*GS$8*GS$11,0)</f>
        <v/>
      </c>
      <c r="GT29" s="18">
        <f>IF(199&gt;=DeliverStart,ExpTurnoverPerUnit*TotalUnits/12*GT$8*GT$11,0)</f>
        <v/>
      </c>
      <c r="GU29" s="18">
        <f>IF(200&gt;=DeliverStart,ExpTurnoverPerUnit*TotalUnits/12*GU$8*GU$11,0)</f>
        <v/>
      </c>
      <c r="GV29" s="18">
        <f>IF(201&gt;=DeliverStart,ExpTurnoverPerUnit*TotalUnits/12*GV$8*GV$11,0)</f>
        <v/>
      </c>
      <c r="GW29" s="18">
        <f>IF(202&gt;=DeliverStart,ExpTurnoverPerUnit*TotalUnits/12*GW$8*GW$11,0)</f>
        <v/>
      </c>
      <c r="GX29" s="18">
        <f>IF(203&gt;=DeliverStart,ExpTurnoverPerUnit*TotalUnits/12*GX$8*GX$11,0)</f>
        <v/>
      </c>
      <c r="GY29" s="18">
        <f>IF(204&gt;=DeliverStart,ExpTurnoverPerUnit*TotalUnits/12*GY$8*GY$11,0)</f>
        <v/>
      </c>
      <c r="GZ29" s="18">
        <f>IF(205&gt;=DeliverStart,ExpTurnoverPerUnit*TotalUnits/12*GZ$8*GZ$11,0)</f>
        <v/>
      </c>
      <c r="HA29" s="18">
        <f>IF(206&gt;=DeliverStart,ExpTurnoverPerUnit*TotalUnits/12*HA$8*HA$11,0)</f>
        <v/>
      </c>
      <c r="HB29" s="18">
        <f>IF(207&gt;=DeliverStart,ExpTurnoverPerUnit*TotalUnits/12*HB$8*HB$11,0)</f>
        <v/>
      </c>
      <c r="HC29" s="18">
        <f>IF(208&gt;=DeliverStart,ExpTurnoverPerUnit*TotalUnits/12*HC$8*HC$11,0)</f>
        <v/>
      </c>
      <c r="HD29" s="18">
        <f>IF(209&gt;=DeliverStart,ExpTurnoverPerUnit*TotalUnits/12*HD$8*HD$11,0)</f>
        <v/>
      </c>
      <c r="HE29" s="18">
        <f>IF(210&gt;=DeliverStart,ExpTurnoverPerUnit*TotalUnits/12*HE$8*HE$11,0)</f>
        <v/>
      </c>
      <c r="HF29" s="18">
        <f>IF(211&gt;=DeliverStart,ExpTurnoverPerUnit*TotalUnits/12*HF$8*HF$11,0)</f>
        <v/>
      </c>
      <c r="HG29" s="18">
        <f>IF(212&gt;=DeliverStart,ExpTurnoverPerUnit*TotalUnits/12*HG$8*HG$11,0)</f>
        <v/>
      </c>
      <c r="HH29" s="18">
        <f>IF(213&gt;=DeliverStart,ExpTurnoverPerUnit*TotalUnits/12*HH$8*HH$11,0)</f>
        <v/>
      </c>
      <c r="HI29" s="18">
        <f>IF(214&gt;=DeliverStart,ExpTurnoverPerUnit*TotalUnits/12*HI$8*HI$11,0)</f>
        <v/>
      </c>
      <c r="HJ29" s="18">
        <f>IF(215&gt;=DeliverStart,ExpTurnoverPerUnit*TotalUnits/12*HJ$8*HJ$11,0)</f>
        <v/>
      </c>
      <c r="HK29" s="18">
        <f>IF(216&gt;=DeliverStart,ExpTurnoverPerUnit*TotalUnits/12*HK$8*HK$11,0)</f>
        <v/>
      </c>
      <c r="HL29" s="18">
        <f>IF(217&gt;=DeliverStart,ExpTurnoverPerUnit*TotalUnits/12*HL$8*HL$11,0)</f>
        <v/>
      </c>
      <c r="HM29" s="18">
        <f>IF(218&gt;=DeliverStart,ExpTurnoverPerUnit*TotalUnits/12*HM$8*HM$11,0)</f>
        <v/>
      </c>
      <c r="HN29" s="18">
        <f>IF(219&gt;=DeliverStart,ExpTurnoverPerUnit*TotalUnits/12*HN$8*HN$11,0)</f>
        <v/>
      </c>
      <c r="HO29" s="18">
        <f>IF(220&gt;=DeliverStart,ExpTurnoverPerUnit*TotalUnits/12*HO$8*HO$11,0)</f>
        <v/>
      </c>
      <c r="HP29" s="18">
        <f>IF(221&gt;=DeliverStart,ExpTurnoverPerUnit*TotalUnits/12*HP$8*HP$11,0)</f>
        <v/>
      </c>
      <c r="HQ29" s="18">
        <f>IF(222&gt;=DeliverStart,ExpTurnoverPerUnit*TotalUnits/12*HQ$8*HQ$11,0)</f>
        <v/>
      </c>
      <c r="HR29" s="18">
        <f>IF(223&gt;=DeliverStart,ExpTurnoverPerUnit*TotalUnits/12*HR$8*HR$11,0)</f>
        <v/>
      </c>
      <c r="HS29" s="18">
        <f>IF(224&gt;=DeliverStart,ExpTurnoverPerUnit*TotalUnits/12*HS$8*HS$11,0)</f>
        <v/>
      </c>
      <c r="HT29" s="18">
        <f>IF(225&gt;=DeliverStart,ExpTurnoverPerUnit*TotalUnits/12*HT$8*HT$11,0)</f>
        <v/>
      </c>
      <c r="HU29" s="18">
        <f>IF(226&gt;=DeliverStart,ExpTurnoverPerUnit*TotalUnits/12*HU$8*HU$11,0)</f>
        <v/>
      </c>
      <c r="HV29" s="18">
        <f>IF(227&gt;=DeliverStart,ExpTurnoverPerUnit*TotalUnits/12*HV$8*HV$11,0)</f>
        <v/>
      </c>
      <c r="HW29" s="18">
        <f>IF(228&gt;=DeliverStart,ExpTurnoverPerUnit*TotalUnits/12*HW$8*HW$11,0)</f>
        <v/>
      </c>
      <c r="HX29" s="18">
        <f>IF(229&gt;=DeliverStart,ExpTurnoverPerUnit*TotalUnits/12*HX$8*HX$11,0)</f>
        <v/>
      </c>
      <c r="HY29" s="18">
        <f>IF(230&gt;=DeliverStart,ExpTurnoverPerUnit*TotalUnits/12*HY$8*HY$11,0)</f>
        <v/>
      </c>
      <c r="HZ29" s="18">
        <f>IF(231&gt;=DeliverStart,ExpTurnoverPerUnit*TotalUnits/12*HZ$8*HZ$11,0)</f>
        <v/>
      </c>
      <c r="IA29" s="18">
        <f>IF(232&gt;=DeliverStart,ExpTurnoverPerUnit*TotalUnits/12*IA$8*IA$11,0)</f>
        <v/>
      </c>
      <c r="IB29" s="18">
        <f>IF(233&gt;=DeliverStart,ExpTurnoverPerUnit*TotalUnits/12*IB$8*IB$11,0)</f>
        <v/>
      </c>
      <c r="IC29" s="18">
        <f>IF(234&gt;=DeliverStart,ExpTurnoverPerUnit*TotalUnits/12*IC$8*IC$11,0)</f>
        <v/>
      </c>
      <c r="ID29" s="18">
        <f>IF(235&gt;=DeliverStart,ExpTurnoverPerUnit*TotalUnits/12*ID$8*ID$11,0)</f>
        <v/>
      </c>
      <c r="IE29" s="18">
        <f>IF(236&gt;=DeliverStart,ExpTurnoverPerUnit*TotalUnits/12*IE$8*IE$11,0)</f>
        <v/>
      </c>
      <c r="IF29" s="18">
        <f>IF(237&gt;=DeliverStart,ExpTurnoverPerUnit*TotalUnits/12*IF$8*IF$11,0)</f>
        <v/>
      </c>
      <c r="IG29" s="18">
        <f>IF(238&gt;=DeliverStart,ExpTurnoverPerUnit*TotalUnits/12*IG$8*IG$11,0)</f>
        <v/>
      </c>
      <c r="IH29" s="18">
        <f>IF(239&gt;=DeliverStart,ExpTurnoverPerUnit*TotalUnits/12*IH$8*IH$11,0)</f>
        <v/>
      </c>
      <c r="II29" s="18">
        <f>IF(240&gt;=DeliverStart,ExpTurnoverPerUnit*TotalUnits/12*II$8*II$11,0)</f>
        <v/>
      </c>
      <c r="IJ29" s="18">
        <f>IF(241&gt;=DeliverStart,ExpTurnoverPerUnit*TotalUnits/12*IJ$8*IJ$11,0)</f>
        <v/>
      </c>
      <c r="IK29" s="18">
        <f>IF(242&gt;=DeliverStart,ExpTurnoverPerUnit*TotalUnits/12*IK$8*IK$11,0)</f>
        <v/>
      </c>
      <c r="IL29" s="18">
        <f>IF(243&gt;=DeliverStart,ExpTurnoverPerUnit*TotalUnits/12*IL$8*IL$11,0)</f>
        <v/>
      </c>
      <c r="IM29" s="18">
        <f>IF(244&gt;=DeliverStart,ExpTurnoverPerUnit*TotalUnits/12*IM$8*IM$11,0)</f>
        <v/>
      </c>
      <c r="IN29" s="18">
        <f>IF(245&gt;=DeliverStart,ExpTurnoverPerUnit*TotalUnits/12*IN$8*IN$11,0)</f>
        <v/>
      </c>
      <c r="IO29" s="18">
        <f>IF(246&gt;=DeliverStart,ExpTurnoverPerUnit*TotalUnits/12*IO$8*IO$11,0)</f>
        <v/>
      </c>
      <c r="IP29" s="18">
        <f>IF(247&gt;=DeliverStart,ExpTurnoverPerUnit*TotalUnits/12*IP$8*IP$11,0)</f>
        <v/>
      </c>
      <c r="IQ29" s="18">
        <f>IF(248&gt;=DeliverStart,ExpTurnoverPerUnit*TotalUnits/12*IQ$8*IQ$11,0)</f>
        <v/>
      </c>
      <c r="IR29" s="18">
        <f>IF(249&gt;=DeliverStart,ExpTurnoverPerUnit*TotalUnits/12*IR$8*IR$11,0)</f>
        <v/>
      </c>
      <c r="IS29" s="18">
        <f>IF(250&gt;=DeliverStart,ExpTurnoverPerUnit*TotalUnits/12*IS$8*IS$11,0)</f>
        <v/>
      </c>
      <c r="IT29" s="18">
        <f>IF(251&gt;=DeliverStart,ExpTurnoverPerUnit*TotalUnits/12*IT$8*IT$11,0)</f>
        <v/>
      </c>
      <c r="IU29" s="18">
        <f>IF(252&gt;=DeliverStart,ExpTurnoverPerUnit*TotalUnits/12*IU$8*IU$11,0)</f>
        <v/>
      </c>
      <c r="IV29" s="18">
        <f>IF(253&gt;=DeliverStart,ExpTurnoverPerUnit*TotalUnits/12*IV$8*IV$11,0)</f>
        <v/>
      </c>
      <c r="IW29" s="18">
        <f>IF(254&gt;=DeliverStart,ExpTurnoverPerUnit*TotalUnits/12*IW$8*IW$11,0)</f>
        <v/>
      </c>
      <c r="IX29" s="18">
        <f>IF(255&gt;=DeliverStart,ExpTurnoverPerUnit*TotalUnits/12*IX$8*IX$11,0)</f>
        <v/>
      </c>
      <c r="IY29" s="18">
        <f>IF(256&gt;=DeliverStart,ExpTurnoverPerUnit*TotalUnits/12*IY$8*IY$11,0)</f>
        <v/>
      </c>
      <c r="IZ29" s="18">
        <f>IF(257&gt;=DeliverStart,ExpTurnoverPerUnit*TotalUnits/12*IZ$8*IZ$11,0)</f>
        <v/>
      </c>
      <c r="JA29" s="18">
        <f>IF(258&gt;=DeliverStart,ExpTurnoverPerUnit*TotalUnits/12*JA$8*JA$11,0)</f>
        <v/>
      </c>
      <c r="JB29" s="18">
        <f>IF(259&gt;=DeliverStart,ExpTurnoverPerUnit*TotalUnits/12*JB$8*JB$11,0)</f>
        <v/>
      </c>
      <c r="JC29" s="18">
        <f>IF(260&gt;=DeliverStart,ExpTurnoverPerUnit*TotalUnits/12*JC$8*JC$11,0)</f>
        <v/>
      </c>
      <c r="JD29" s="18">
        <f>IF(261&gt;=DeliverStart,ExpTurnoverPerUnit*TotalUnits/12*JD$8*JD$11,0)</f>
        <v/>
      </c>
      <c r="JE29" s="18">
        <f>IF(262&gt;=DeliverStart,ExpTurnoverPerUnit*TotalUnits/12*JE$8*JE$11,0)</f>
        <v/>
      </c>
      <c r="JF29" s="18">
        <f>IF(263&gt;=DeliverStart,ExpTurnoverPerUnit*TotalUnits/12*JF$8*JF$11,0)</f>
        <v/>
      </c>
      <c r="JG29" s="18">
        <f>IF(264&gt;=DeliverStart,ExpTurnoverPerUnit*TotalUnits/12*JG$8*JG$11,0)</f>
        <v/>
      </c>
      <c r="JH29" s="18">
        <f>IF(265&gt;=DeliverStart,ExpTurnoverPerUnit*TotalUnits/12*JH$8*JH$11,0)</f>
        <v/>
      </c>
      <c r="JI29" s="18">
        <f>IF(266&gt;=DeliverStart,ExpTurnoverPerUnit*TotalUnits/12*JI$8*JI$11,0)</f>
        <v/>
      </c>
      <c r="JJ29" s="18">
        <f>IF(267&gt;=DeliverStart,ExpTurnoverPerUnit*TotalUnits/12*JJ$8*JJ$11,0)</f>
        <v/>
      </c>
      <c r="JK29" s="18">
        <f>IF(268&gt;=DeliverStart,ExpTurnoverPerUnit*TotalUnits/12*JK$8*JK$11,0)</f>
        <v/>
      </c>
      <c r="JL29" s="18">
        <f>IF(269&gt;=DeliverStart,ExpTurnoverPerUnit*TotalUnits/12*JL$8*JL$11,0)</f>
        <v/>
      </c>
      <c r="JM29" s="18">
        <f>IF(270&gt;=DeliverStart,ExpTurnoverPerUnit*TotalUnits/12*JM$8*JM$11,0)</f>
        <v/>
      </c>
      <c r="JN29" s="18">
        <f>IF(271&gt;=DeliverStart,ExpTurnoverPerUnit*TotalUnits/12*JN$8*JN$11,0)</f>
        <v/>
      </c>
      <c r="JO29" s="18">
        <f>IF(272&gt;=DeliverStart,ExpTurnoverPerUnit*TotalUnits/12*JO$8*JO$11,0)</f>
        <v/>
      </c>
      <c r="JP29" s="18">
        <f>IF(273&gt;=DeliverStart,ExpTurnoverPerUnit*TotalUnits/12*JP$8*JP$11,0)</f>
        <v/>
      </c>
      <c r="JQ29" s="18">
        <f>IF(274&gt;=DeliverStart,ExpTurnoverPerUnit*TotalUnits/12*JQ$8*JQ$11,0)</f>
        <v/>
      </c>
      <c r="JR29" s="18">
        <f>IF(275&gt;=DeliverStart,ExpTurnoverPerUnit*TotalUnits/12*JR$8*JR$11,0)</f>
        <v/>
      </c>
      <c r="JS29" s="18">
        <f>IF(276&gt;=DeliverStart,ExpTurnoverPerUnit*TotalUnits/12*JS$8*JS$11,0)</f>
        <v/>
      </c>
      <c r="JT29" s="18">
        <f>IF(277&gt;=DeliverStart,ExpTurnoverPerUnit*TotalUnits/12*JT$8*JT$11,0)</f>
        <v/>
      </c>
      <c r="JU29" s="18">
        <f>IF(278&gt;=DeliverStart,ExpTurnoverPerUnit*TotalUnits/12*JU$8*JU$11,0)</f>
        <v/>
      </c>
      <c r="JV29" s="18">
        <f>IF(279&gt;=DeliverStart,ExpTurnoverPerUnit*TotalUnits/12*JV$8*JV$11,0)</f>
        <v/>
      </c>
      <c r="JW29" s="18">
        <f>IF(280&gt;=DeliverStart,ExpTurnoverPerUnit*TotalUnits/12*JW$8*JW$11,0)</f>
        <v/>
      </c>
      <c r="JX29" s="18">
        <f>IF(281&gt;=DeliverStart,ExpTurnoverPerUnit*TotalUnits/12*JX$8*JX$11,0)</f>
        <v/>
      </c>
      <c r="JY29" s="18">
        <f>IF(282&gt;=DeliverStart,ExpTurnoverPerUnit*TotalUnits/12*JY$8*JY$11,0)</f>
        <v/>
      </c>
      <c r="JZ29" s="18">
        <f>IF(283&gt;=DeliverStart,ExpTurnoverPerUnit*TotalUnits/12*JZ$8*JZ$11,0)</f>
        <v/>
      </c>
      <c r="KA29" s="18">
        <f>IF(284&gt;=DeliverStart,ExpTurnoverPerUnit*TotalUnits/12*KA$8*KA$11,0)</f>
        <v/>
      </c>
      <c r="KB29" s="18">
        <f>IF(285&gt;=DeliverStart,ExpTurnoverPerUnit*TotalUnits/12*KB$8*KB$11,0)</f>
        <v/>
      </c>
      <c r="KC29" s="18">
        <f>IF(286&gt;=DeliverStart,ExpTurnoverPerUnit*TotalUnits/12*KC$8*KC$11,0)</f>
        <v/>
      </c>
      <c r="KD29" s="18">
        <f>IF(287&gt;=DeliverStart,ExpTurnoverPerUnit*TotalUnits/12*KD$8*KD$11,0)</f>
        <v/>
      </c>
      <c r="KE29" s="18">
        <f>IF(288&gt;=DeliverStart,ExpTurnoverPerUnit*TotalUnits/12*KE$8*KE$11,0)</f>
        <v/>
      </c>
      <c r="KF29" s="18">
        <f>IF(289&gt;=DeliverStart,ExpTurnoverPerUnit*TotalUnits/12*KF$8*KF$11,0)</f>
        <v/>
      </c>
      <c r="KG29" s="18">
        <f>IF(290&gt;=DeliverStart,ExpTurnoverPerUnit*TotalUnits/12*KG$8*KG$11,0)</f>
        <v/>
      </c>
      <c r="KH29" s="18">
        <f>IF(291&gt;=DeliverStart,ExpTurnoverPerUnit*TotalUnits/12*KH$8*KH$11,0)</f>
        <v/>
      </c>
      <c r="KI29" s="18">
        <f>IF(292&gt;=DeliverStart,ExpTurnoverPerUnit*TotalUnits/12*KI$8*KI$11,0)</f>
        <v/>
      </c>
      <c r="KJ29" s="18">
        <f>IF(293&gt;=DeliverStart,ExpTurnoverPerUnit*TotalUnits/12*KJ$8*KJ$11,0)</f>
        <v/>
      </c>
      <c r="KK29" s="18">
        <f>IF(294&gt;=DeliverStart,ExpTurnoverPerUnit*TotalUnits/12*KK$8*KK$11,0)</f>
        <v/>
      </c>
      <c r="KL29" s="18">
        <f>IF(295&gt;=DeliverStart,ExpTurnoverPerUnit*TotalUnits/12*KL$8*KL$11,0)</f>
        <v/>
      </c>
      <c r="KM29" s="18">
        <f>IF(296&gt;=DeliverStart,ExpTurnoverPerUnit*TotalUnits/12*KM$8*KM$11,0)</f>
        <v/>
      </c>
      <c r="KN29" s="18">
        <f>IF(297&gt;=DeliverStart,ExpTurnoverPerUnit*TotalUnits/12*KN$8*KN$11,0)</f>
        <v/>
      </c>
      <c r="KO29" s="18">
        <f>IF(298&gt;=DeliverStart,ExpTurnoverPerUnit*TotalUnits/12*KO$8*KO$11,0)</f>
        <v/>
      </c>
      <c r="KP29" s="18">
        <f>IF(299&gt;=DeliverStart,ExpTurnoverPerUnit*TotalUnits/12*KP$8*KP$11,0)</f>
        <v/>
      </c>
      <c r="KQ29" s="18">
        <f>IF(300&gt;=DeliverStart,ExpTurnoverPerUnit*TotalUnits/12*KQ$8*KQ$11,0)</f>
        <v/>
      </c>
      <c r="KR29" s="18">
        <f>IF(301&gt;=DeliverStart,ExpTurnoverPerUnit*TotalUnits/12*KR$8*KR$11,0)</f>
        <v/>
      </c>
      <c r="KS29" s="18">
        <f>IF(302&gt;=DeliverStart,ExpTurnoverPerUnit*TotalUnits/12*KS$8*KS$11,0)</f>
        <v/>
      </c>
      <c r="KT29" s="18">
        <f>IF(303&gt;=DeliverStart,ExpTurnoverPerUnit*TotalUnits/12*KT$8*KT$11,0)</f>
        <v/>
      </c>
      <c r="KU29" s="18">
        <f>IF(304&gt;=DeliverStart,ExpTurnoverPerUnit*TotalUnits/12*KU$8*KU$11,0)</f>
        <v/>
      </c>
      <c r="KV29" s="18">
        <f>IF(305&gt;=DeliverStart,ExpTurnoverPerUnit*TotalUnits/12*KV$8*KV$11,0)</f>
        <v/>
      </c>
      <c r="KW29" s="18">
        <f>IF(306&gt;=DeliverStart,ExpTurnoverPerUnit*TotalUnits/12*KW$8*KW$11,0)</f>
        <v/>
      </c>
      <c r="KX29" s="18">
        <f>IF(307&gt;=DeliverStart,ExpTurnoverPerUnit*TotalUnits/12*KX$8*KX$11,0)</f>
        <v/>
      </c>
      <c r="KY29" s="18">
        <f>IF(308&gt;=DeliverStart,ExpTurnoverPerUnit*TotalUnits/12*KY$8*KY$11,0)</f>
        <v/>
      </c>
      <c r="KZ29" s="18">
        <f>IF(309&gt;=DeliverStart,ExpTurnoverPerUnit*TotalUnits/12*KZ$8*KZ$11,0)</f>
        <v/>
      </c>
      <c r="LA29" s="18">
        <f>IF(310&gt;=DeliverStart,ExpTurnoverPerUnit*TotalUnits/12*LA$8*LA$11,0)</f>
        <v/>
      </c>
      <c r="LB29" s="18">
        <f>IF(311&gt;=DeliverStart,ExpTurnoverPerUnit*TotalUnits/12*LB$8*LB$11,0)</f>
        <v/>
      </c>
      <c r="LC29" s="18">
        <f>IF(312&gt;=DeliverStart,ExpTurnoverPerUnit*TotalUnits/12*LC$8*LC$11,0)</f>
        <v/>
      </c>
      <c r="LD29" s="18">
        <f>IF(313&gt;=DeliverStart,ExpTurnoverPerUnit*TotalUnits/12*LD$8*LD$11,0)</f>
        <v/>
      </c>
      <c r="LE29" s="18">
        <f>IF(314&gt;=DeliverStart,ExpTurnoverPerUnit*TotalUnits/12*LE$8*LE$11,0)</f>
        <v/>
      </c>
      <c r="LF29" s="18">
        <f>IF(315&gt;=DeliverStart,ExpTurnoverPerUnit*TotalUnits/12*LF$8*LF$11,0)</f>
        <v/>
      </c>
      <c r="LG29" s="18">
        <f>IF(316&gt;=DeliverStart,ExpTurnoverPerUnit*TotalUnits/12*LG$8*LG$11,0)</f>
        <v/>
      </c>
      <c r="LH29" s="18">
        <f>IF(317&gt;=DeliverStart,ExpTurnoverPerUnit*TotalUnits/12*LH$8*LH$11,0)</f>
        <v/>
      </c>
      <c r="LI29" s="18">
        <f>IF(318&gt;=DeliverStart,ExpTurnoverPerUnit*TotalUnits/12*LI$8*LI$11,0)</f>
        <v/>
      </c>
      <c r="LJ29" s="18">
        <f>IF(319&gt;=DeliverStart,ExpTurnoverPerUnit*TotalUnits/12*LJ$8*LJ$11,0)</f>
        <v/>
      </c>
      <c r="LK29" s="18">
        <f>IF(320&gt;=DeliverStart,ExpTurnoverPerUnit*TotalUnits/12*LK$8*LK$11,0)</f>
        <v/>
      </c>
      <c r="LL29" s="18">
        <f>IF(321&gt;=DeliverStart,ExpTurnoverPerUnit*TotalUnits/12*LL$8*LL$11,0)</f>
        <v/>
      </c>
      <c r="LM29" s="18">
        <f>IF(322&gt;=DeliverStart,ExpTurnoverPerUnit*TotalUnits/12*LM$8*LM$11,0)</f>
        <v/>
      </c>
      <c r="LN29" s="18">
        <f>IF(323&gt;=DeliverStart,ExpTurnoverPerUnit*TotalUnits/12*LN$8*LN$11,0)</f>
        <v/>
      </c>
      <c r="LO29" s="18">
        <f>IF(324&gt;=DeliverStart,ExpTurnoverPerUnit*TotalUnits/12*LO$8*LO$11,0)</f>
        <v/>
      </c>
      <c r="LP29" s="18">
        <f>IF(325&gt;=DeliverStart,ExpTurnoverPerUnit*TotalUnits/12*LP$8*LP$11,0)</f>
        <v/>
      </c>
      <c r="LQ29" s="18">
        <f>IF(326&gt;=DeliverStart,ExpTurnoverPerUnit*TotalUnits/12*LQ$8*LQ$11,0)</f>
        <v/>
      </c>
      <c r="LR29" s="18">
        <f>IF(327&gt;=DeliverStart,ExpTurnoverPerUnit*TotalUnits/12*LR$8*LR$11,0)</f>
        <v/>
      </c>
      <c r="LS29" s="18">
        <f>IF(328&gt;=DeliverStart,ExpTurnoverPerUnit*TotalUnits/12*LS$8*LS$11,0)</f>
        <v/>
      </c>
      <c r="LT29" s="18">
        <f>IF(329&gt;=DeliverStart,ExpTurnoverPerUnit*TotalUnits/12*LT$8*LT$11,0)</f>
        <v/>
      </c>
      <c r="LU29" s="18">
        <f>IF(330&gt;=DeliverStart,ExpTurnoverPerUnit*TotalUnits/12*LU$8*LU$11,0)</f>
        <v/>
      </c>
      <c r="LV29" s="18">
        <f>IF(331&gt;=DeliverStart,ExpTurnoverPerUnit*TotalUnits/12*LV$8*LV$11,0)</f>
        <v/>
      </c>
      <c r="LW29" s="18">
        <f>IF(332&gt;=DeliverStart,ExpTurnoverPerUnit*TotalUnits/12*LW$8*LW$11,0)</f>
        <v/>
      </c>
      <c r="LX29" s="18">
        <f>IF(333&gt;=DeliverStart,ExpTurnoverPerUnit*TotalUnits/12*LX$8*LX$11,0)</f>
        <v/>
      </c>
      <c r="LY29" s="18">
        <f>IF(334&gt;=DeliverStart,ExpTurnoverPerUnit*TotalUnits/12*LY$8*LY$11,0)</f>
        <v/>
      </c>
      <c r="LZ29" s="18">
        <f>IF(335&gt;=DeliverStart,ExpTurnoverPerUnit*TotalUnits/12*LZ$8*LZ$11,0)</f>
        <v/>
      </c>
      <c r="MA29" s="18">
        <f>IF(336&gt;=DeliverStart,ExpTurnoverPerUnit*TotalUnits/12*MA$8*MA$11,0)</f>
        <v/>
      </c>
      <c r="MB29" s="18">
        <f>IF(337&gt;=DeliverStart,ExpTurnoverPerUnit*TotalUnits/12*MB$8*MB$11,0)</f>
        <v/>
      </c>
      <c r="MC29" s="18">
        <f>IF(338&gt;=DeliverStart,ExpTurnoverPerUnit*TotalUnits/12*MC$8*MC$11,0)</f>
        <v/>
      </c>
      <c r="MD29" s="18">
        <f>IF(339&gt;=DeliverStart,ExpTurnoverPerUnit*TotalUnits/12*MD$8*MD$11,0)</f>
        <v/>
      </c>
      <c r="ME29" s="18">
        <f>IF(340&gt;=DeliverStart,ExpTurnoverPerUnit*TotalUnits/12*ME$8*ME$11,0)</f>
        <v/>
      </c>
      <c r="MF29" s="18">
        <f>IF(341&gt;=DeliverStart,ExpTurnoverPerUnit*TotalUnits/12*MF$8*MF$11,0)</f>
        <v/>
      </c>
      <c r="MG29" s="18">
        <f>IF(342&gt;=DeliverStart,ExpTurnoverPerUnit*TotalUnits/12*MG$8*MG$11,0)</f>
        <v/>
      </c>
      <c r="MH29" s="18">
        <f>IF(343&gt;=DeliverStart,ExpTurnoverPerUnit*TotalUnits/12*MH$8*MH$11,0)</f>
        <v/>
      </c>
      <c r="MI29" s="18">
        <f>IF(344&gt;=DeliverStart,ExpTurnoverPerUnit*TotalUnits/12*MI$8*MI$11,0)</f>
        <v/>
      </c>
      <c r="MJ29" s="18">
        <f>IF(345&gt;=DeliverStart,ExpTurnoverPerUnit*TotalUnits/12*MJ$8*MJ$11,0)</f>
        <v/>
      </c>
      <c r="MK29" s="18">
        <f>IF(346&gt;=DeliverStart,ExpTurnoverPerUnit*TotalUnits/12*MK$8*MK$11,0)</f>
        <v/>
      </c>
      <c r="ML29" s="18">
        <f>IF(347&gt;=DeliverStart,ExpTurnoverPerUnit*TotalUnits/12*ML$8*ML$11,0)</f>
        <v/>
      </c>
      <c r="MM29" s="18">
        <f>IF(348&gt;=DeliverStart,ExpTurnoverPerUnit*TotalUnits/12*MM$8*MM$11,0)</f>
        <v/>
      </c>
      <c r="MN29" s="18">
        <f>IF(349&gt;=DeliverStart,ExpTurnoverPerUnit*TotalUnits/12*MN$8*MN$11,0)</f>
        <v/>
      </c>
      <c r="MO29" s="18">
        <f>IF(350&gt;=DeliverStart,ExpTurnoverPerUnit*TotalUnits/12*MO$8*MO$11,0)</f>
        <v/>
      </c>
      <c r="MP29" s="18">
        <f>IF(351&gt;=DeliverStart,ExpTurnoverPerUnit*TotalUnits/12*MP$8*MP$11,0)</f>
        <v/>
      </c>
      <c r="MQ29" s="18">
        <f>IF(352&gt;=DeliverStart,ExpTurnoverPerUnit*TotalUnits/12*MQ$8*MQ$11,0)</f>
        <v/>
      </c>
      <c r="MR29" s="18">
        <f>IF(353&gt;=DeliverStart,ExpTurnoverPerUnit*TotalUnits/12*MR$8*MR$11,0)</f>
        <v/>
      </c>
      <c r="MS29" s="18">
        <f>IF(354&gt;=DeliverStart,ExpTurnoverPerUnit*TotalUnits/12*MS$8*MS$11,0)</f>
        <v/>
      </c>
      <c r="MT29" s="18">
        <f>IF(355&gt;=DeliverStart,ExpTurnoverPerUnit*TotalUnits/12*MT$8*MT$11,0)</f>
        <v/>
      </c>
      <c r="MU29" s="18">
        <f>IF(356&gt;=DeliverStart,ExpTurnoverPerUnit*TotalUnits/12*MU$8*MU$11,0)</f>
        <v/>
      </c>
      <c r="MV29" s="18">
        <f>IF(357&gt;=DeliverStart,ExpTurnoverPerUnit*TotalUnits/12*MV$8*MV$11,0)</f>
        <v/>
      </c>
      <c r="MW29" s="18">
        <f>IF(358&gt;=DeliverStart,ExpTurnoverPerUnit*TotalUnits/12*MW$8*MW$11,0)</f>
        <v/>
      </c>
      <c r="MX29" s="18">
        <f>IF(359&gt;=DeliverStart,ExpTurnoverPerUnit*TotalUnits/12*MX$8*MX$11,0)</f>
        <v/>
      </c>
      <c r="MY29" s="18">
        <f>IF(360&gt;=DeliverStart,ExpTurnoverPerUnit*TotalUnits/12*MY$8*MY$11,0)</f>
        <v/>
      </c>
      <c r="MZ29" s="18">
        <f>IF(361&gt;=DeliverStart,ExpTurnoverPerUnit*TotalUnits/12*MZ$8*MZ$11,0)</f>
        <v/>
      </c>
      <c r="NA29" s="18">
        <f>IF(362&gt;=DeliverStart,ExpTurnoverPerUnit*TotalUnits/12*NA$8*NA$11,0)</f>
        <v/>
      </c>
      <c r="NB29" s="18">
        <f>IF(363&gt;=DeliverStart,ExpTurnoverPerUnit*TotalUnits/12*NB$8*NB$11,0)</f>
        <v/>
      </c>
      <c r="NC29" s="18">
        <f>IF(364&gt;=DeliverStart,ExpTurnoverPerUnit*TotalUnits/12*NC$8*NC$11,0)</f>
        <v/>
      </c>
      <c r="ND29" s="18">
        <f>IF(365&gt;=DeliverStart,ExpTurnoverPerUnit*TotalUnits/12*ND$8*ND$11,0)</f>
        <v/>
      </c>
      <c r="NE29" s="18">
        <f>IF(366&gt;=DeliverStart,ExpTurnoverPerUnit*TotalUnits/12*NE$8*NE$11,0)</f>
        <v/>
      </c>
      <c r="NF29" s="18">
        <f>IF(367&gt;=DeliverStart,ExpTurnoverPerUnit*TotalUnits/12*NF$8*NF$11,0)</f>
        <v/>
      </c>
      <c r="NG29" s="18">
        <f>IF(368&gt;=DeliverStart,ExpTurnoverPerUnit*TotalUnits/12*NG$8*NG$11,0)</f>
        <v/>
      </c>
      <c r="NH29" s="18">
        <f>IF(369&gt;=DeliverStart,ExpTurnoverPerUnit*TotalUnits/12*NH$8*NH$11,0)</f>
        <v/>
      </c>
      <c r="NI29" s="18">
        <f>IF(370&gt;=DeliverStart,ExpTurnoverPerUnit*TotalUnits/12*NI$8*NI$11,0)</f>
        <v/>
      </c>
      <c r="NJ29" s="18">
        <f>IF(371&gt;=DeliverStart,ExpTurnoverPerUnit*TotalUnits/12*NJ$8*NJ$11,0)</f>
        <v/>
      </c>
      <c r="NK29" s="18">
        <f>IF(372&gt;=DeliverStart,ExpTurnoverPerUnit*TotalUnits/12*NK$8*NK$11,0)</f>
        <v/>
      </c>
    </row>
    <row r="30">
      <c r="A30" s="5" t="inlineStr">
        <is>
          <t>Contract Services (variable)</t>
        </is>
      </c>
      <c r="C30" s="41">
        <f>SUM(D30:NK30)</f>
        <v/>
      </c>
      <c r="D30" s="18">
        <f>IF(1&gt;=DeliverStart,ExpContractPerUnit*TotalUnits/12*D$8*D$11,0)</f>
        <v/>
      </c>
      <c r="E30" s="18">
        <f>IF(2&gt;=DeliverStart,ExpContractPerUnit*TotalUnits/12*E$8*E$11,0)</f>
        <v/>
      </c>
      <c r="F30" s="18">
        <f>IF(3&gt;=DeliverStart,ExpContractPerUnit*TotalUnits/12*F$8*F$11,0)</f>
        <v/>
      </c>
      <c r="G30" s="18">
        <f>IF(4&gt;=DeliverStart,ExpContractPerUnit*TotalUnits/12*G$8*G$11,0)</f>
        <v/>
      </c>
      <c r="H30" s="18">
        <f>IF(5&gt;=DeliverStart,ExpContractPerUnit*TotalUnits/12*H$8*H$11,0)</f>
        <v/>
      </c>
      <c r="I30" s="18">
        <f>IF(6&gt;=DeliverStart,ExpContractPerUnit*TotalUnits/12*I$8*I$11,0)</f>
        <v/>
      </c>
      <c r="J30" s="18">
        <f>IF(7&gt;=DeliverStart,ExpContractPerUnit*TotalUnits/12*J$8*J$11,0)</f>
        <v/>
      </c>
      <c r="K30" s="18">
        <f>IF(8&gt;=DeliverStart,ExpContractPerUnit*TotalUnits/12*K$8*K$11,0)</f>
        <v/>
      </c>
      <c r="L30" s="18">
        <f>IF(9&gt;=DeliverStart,ExpContractPerUnit*TotalUnits/12*L$8*L$11,0)</f>
        <v/>
      </c>
      <c r="M30" s="18">
        <f>IF(10&gt;=DeliverStart,ExpContractPerUnit*TotalUnits/12*M$8*M$11,0)</f>
        <v/>
      </c>
      <c r="N30" s="18">
        <f>IF(11&gt;=DeliverStart,ExpContractPerUnit*TotalUnits/12*N$8*N$11,0)</f>
        <v/>
      </c>
      <c r="O30" s="18">
        <f>IF(12&gt;=DeliverStart,ExpContractPerUnit*TotalUnits/12*O$8*O$11,0)</f>
        <v/>
      </c>
      <c r="P30" s="18">
        <f>IF(13&gt;=DeliverStart,ExpContractPerUnit*TotalUnits/12*P$8*P$11,0)</f>
        <v/>
      </c>
      <c r="Q30" s="18">
        <f>IF(14&gt;=DeliverStart,ExpContractPerUnit*TotalUnits/12*Q$8*Q$11,0)</f>
        <v/>
      </c>
      <c r="R30" s="18">
        <f>IF(15&gt;=DeliverStart,ExpContractPerUnit*TotalUnits/12*R$8*R$11,0)</f>
        <v/>
      </c>
      <c r="S30" s="18">
        <f>IF(16&gt;=DeliverStart,ExpContractPerUnit*TotalUnits/12*S$8*S$11,0)</f>
        <v/>
      </c>
      <c r="T30" s="18">
        <f>IF(17&gt;=DeliverStart,ExpContractPerUnit*TotalUnits/12*T$8*T$11,0)</f>
        <v/>
      </c>
      <c r="U30" s="18">
        <f>IF(18&gt;=DeliverStart,ExpContractPerUnit*TotalUnits/12*U$8*U$11,0)</f>
        <v/>
      </c>
      <c r="V30" s="18">
        <f>IF(19&gt;=DeliverStart,ExpContractPerUnit*TotalUnits/12*V$8*V$11,0)</f>
        <v/>
      </c>
      <c r="W30" s="18">
        <f>IF(20&gt;=DeliverStart,ExpContractPerUnit*TotalUnits/12*W$8*W$11,0)</f>
        <v/>
      </c>
      <c r="X30" s="18">
        <f>IF(21&gt;=DeliverStart,ExpContractPerUnit*TotalUnits/12*X$8*X$11,0)</f>
        <v/>
      </c>
      <c r="Y30" s="18">
        <f>IF(22&gt;=DeliverStart,ExpContractPerUnit*TotalUnits/12*Y$8*Y$11,0)</f>
        <v/>
      </c>
      <c r="Z30" s="18">
        <f>IF(23&gt;=DeliverStart,ExpContractPerUnit*TotalUnits/12*Z$8*Z$11,0)</f>
        <v/>
      </c>
      <c r="AA30" s="18">
        <f>IF(24&gt;=DeliverStart,ExpContractPerUnit*TotalUnits/12*AA$8*AA$11,0)</f>
        <v/>
      </c>
      <c r="AB30" s="18">
        <f>IF(25&gt;=DeliverStart,ExpContractPerUnit*TotalUnits/12*AB$8*AB$11,0)</f>
        <v/>
      </c>
      <c r="AC30" s="18">
        <f>IF(26&gt;=DeliverStart,ExpContractPerUnit*TotalUnits/12*AC$8*AC$11,0)</f>
        <v/>
      </c>
      <c r="AD30" s="18">
        <f>IF(27&gt;=DeliverStart,ExpContractPerUnit*TotalUnits/12*AD$8*AD$11,0)</f>
        <v/>
      </c>
      <c r="AE30" s="18">
        <f>IF(28&gt;=DeliverStart,ExpContractPerUnit*TotalUnits/12*AE$8*AE$11,0)</f>
        <v/>
      </c>
      <c r="AF30" s="18">
        <f>IF(29&gt;=DeliverStart,ExpContractPerUnit*TotalUnits/12*AF$8*AF$11,0)</f>
        <v/>
      </c>
      <c r="AG30" s="18">
        <f>IF(30&gt;=DeliverStart,ExpContractPerUnit*TotalUnits/12*AG$8*AG$11,0)</f>
        <v/>
      </c>
      <c r="AH30" s="18">
        <f>IF(31&gt;=DeliverStart,ExpContractPerUnit*TotalUnits/12*AH$8*AH$11,0)</f>
        <v/>
      </c>
      <c r="AI30" s="18">
        <f>IF(32&gt;=DeliverStart,ExpContractPerUnit*TotalUnits/12*AI$8*AI$11,0)</f>
        <v/>
      </c>
      <c r="AJ30" s="18">
        <f>IF(33&gt;=DeliverStart,ExpContractPerUnit*TotalUnits/12*AJ$8*AJ$11,0)</f>
        <v/>
      </c>
      <c r="AK30" s="18">
        <f>IF(34&gt;=DeliverStart,ExpContractPerUnit*TotalUnits/12*AK$8*AK$11,0)</f>
        <v/>
      </c>
      <c r="AL30" s="18">
        <f>IF(35&gt;=DeliverStart,ExpContractPerUnit*TotalUnits/12*AL$8*AL$11,0)</f>
        <v/>
      </c>
      <c r="AM30" s="18">
        <f>IF(36&gt;=DeliverStart,ExpContractPerUnit*TotalUnits/12*AM$8*AM$11,0)</f>
        <v/>
      </c>
      <c r="AN30" s="18">
        <f>IF(37&gt;=DeliverStart,ExpContractPerUnit*TotalUnits/12*AN$8*AN$11,0)</f>
        <v/>
      </c>
      <c r="AO30" s="18">
        <f>IF(38&gt;=DeliverStart,ExpContractPerUnit*TotalUnits/12*AO$8*AO$11,0)</f>
        <v/>
      </c>
      <c r="AP30" s="18">
        <f>IF(39&gt;=DeliverStart,ExpContractPerUnit*TotalUnits/12*AP$8*AP$11,0)</f>
        <v/>
      </c>
      <c r="AQ30" s="18">
        <f>IF(40&gt;=DeliverStart,ExpContractPerUnit*TotalUnits/12*AQ$8*AQ$11,0)</f>
        <v/>
      </c>
      <c r="AR30" s="18">
        <f>IF(41&gt;=DeliverStart,ExpContractPerUnit*TotalUnits/12*AR$8*AR$11,0)</f>
        <v/>
      </c>
      <c r="AS30" s="18">
        <f>IF(42&gt;=DeliverStart,ExpContractPerUnit*TotalUnits/12*AS$8*AS$11,0)</f>
        <v/>
      </c>
      <c r="AT30" s="18">
        <f>IF(43&gt;=DeliverStart,ExpContractPerUnit*TotalUnits/12*AT$8*AT$11,0)</f>
        <v/>
      </c>
      <c r="AU30" s="18">
        <f>IF(44&gt;=DeliverStart,ExpContractPerUnit*TotalUnits/12*AU$8*AU$11,0)</f>
        <v/>
      </c>
      <c r="AV30" s="18">
        <f>IF(45&gt;=DeliverStart,ExpContractPerUnit*TotalUnits/12*AV$8*AV$11,0)</f>
        <v/>
      </c>
      <c r="AW30" s="18">
        <f>IF(46&gt;=DeliverStart,ExpContractPerUnit*TotalUnits/12*AW$8*AW$11,0)</f>
        <v/>
      </c>
      <c r="AX30" s="18">
        <f>IF(47&gt;=DeliverStart,ExpContractPerUnit*TotalUnits/12*AX$8*AX$11,0)</f>
        <v/>
      </c>
      <c r="AY30" s="18">
        <f>IF(48&gt;=DeliverStart,ExpContractPerUnit*TotalUnits/12*AY$8*AY$11,0)</f>
        <v/>
      </c>
      <c r="AZ30" s="18">
        <f>IF(49&gt;=DeliverStart,ExpContractPerUnit*TotalUnits/12*AZ$8*AZ$11,0)</f>
        <v/>
      </c>
      <c r="BA30" s="18">
        <f>IF(50&gt;=DeliverStart,ExpContractPerUnit*TotalUnits/12*BA$8*BA$11,0)</f>
        <v/>
      </c>
      <c r="BB30" s="18">
        <f>IF(51&gt;=DeliverStart,ExpContractPerUnit*TotalUnits/12*BB$8*BB$11,0)</f>
        <v/>
      </c>
      <c r="BC30" s="18">
        <f>IF(52&gt;=DeliverStart,ExpContractPerUnit*TotalUnits/12*BC$8*BC$11,0)</f>
        <v/>
      </c>
      <c r="BD30" s="18">
        <f>IF(53&gt;=DeliverStart,ExpContractPerUnit*TotalUnits/12*BD$8*BD$11,0)</f>
        <v/>
      </c>
      <c r="BE30" s="18">
        <f>IF(54&gt;=DeliverStart,ExpContractPerUnit*TotalUnits/12*BE$8*BE$11,0)</f>
        <v/>
      </c>
      <c r="BF30" s="18">
        <f>IF(55&gt;=DeliverStart,ExpContractPerUnit*TotalUnits/12*BF$8*BF$11,0)</f>
        <v/>
      </c>
      <c r="BG30" s="18">
        <f>IF(56&gt;=DeliverStart,ExpContractPerUnit*TotalUnits/12*BG$8*BG$11,0)</f>
        <v/>
      </c>
      <c r="BH30" s="18">
        <f>IF(57&gt;=DeliverStart,ExpContractPerUnit*TotalUnits/12*BH$8*BH$11,0)</f>
        <v/>
      </c>
      <c r="BI30" s="18">
        <f>IF(58&gt;=DeliverStart,ExpContractPerUnit*TotalUnits/12*BI$8*BI$11,0)</f>
        <v/>
      </c>
      <c r="BJ30" s="18">
        <f>IF(59&gt;=DeliverStart,ExpContractPerUnit*TotalUnits/12*BJ$8*BJ$11,0)</f>
        <v/>
      </c>
      <c r="BK30" s="18">
        <f>IF(60&gt;=DeliverStart,ExpContractPerUnit*TotalUnits/12*BK$8*BK$11,0)</f>
        <v/>
      </c>
      <c r="BL30" s="18">
        <f>IF(61&gt;=DeliverStart,ExpContractPerUnit*TotalUnits/12*BL$8*BL$11,0)</f>
        <v/>
      </c>
      <c r="BM30" s="18">
        <f>IF(62&gt;=DeliverStart,ExpContractPerUnit*TotalUnits/12*BM$8*BM$11,0)</f>
        <v/>
      </c>
      <c r="BN30" s="18">
        <f>IF(63&gt;=DeliverStart,ExpContractPerUnit*TotalUnits/12*BN$8*BN$11,0)</f>
        <v/>
      </c>
      <c r="BO30" s="18">
        <f>IF(64&gt;=DeliverStart,ExpContractPerUnit*TotalUnits/12*BO$8*BO$11,0)</f>
        <v/>
      </c>
      <c r="BP30" s="18">
        <f>IF(65&gt;=DeliverStart,ExpContractPerUnit*TotalUnits/12*BP$8*BP$11,0)</f>
        <v/>
      </c>
      <c r="BQ30" s="18">
        <f>IF(66&gt;=DeliverStart,ExpContractPerUnit*TotalUnits/12*BQ$8*BQ$11,0)</f>
        <v/>
      </c>
      <c r="BR30" s="18">
        <f>IF(67&gt;=DeliverStart,ExpContractPerUnit*TotalUnits/12*BR$8*BR$11,0)</f>
        <v/>
      </c>
      <c r="BS30" s="18">
        <f>IF(68&gt;=DeliverStart,ExpContractPerUnit*TotalUnits/12*BS$8*BS$11,0)</f>
        <v/>
      </c>
      <c r="BT30" s="18">
        <f>IF(69&gt;=DeliverStart,ExpContractPerUnit*TotalUnits/12*BT$8*BT$11,0)</f>
        <v/>
      </c>
      <c r="BU30" s="18">
        <f>IF(70&gt;=DeliverStart,ExpContractPerUnit*TotalUnits/12*BU$8*BU$11,0)</f>
        <v/>
      </c>
      <c r="BV30" s="18">
        <f>IF(71&gt;=DeliverStart,ExpContractPerUnit*TotalUnits/12*BV$8*BV$11,0)</f>
        <v/>
      </c>
      <c r="BW30" s="18">
        <f>IF(72&gt;=DeliverStart,ExpContractPerUnit*TotalUnits/12*BW$8*BW$11,0)</f>
        <v/>
      </c>
      <c r="BX30" s="18">
        <f>IF(73&gt;=DeliverStart,ExpContractPerUnit*TotalUnits/12*BX$8*BX$11,0)</f>
        <v/>
      </c>
      <c r="BY30" s="18">
        <f>IF(74&gt;=DeliverStart,ExpContractPerUnit*TotalUnits/12*BY$8*BY$11,0)</f>
        <v/>
      </c>
      <c r="BZ30" s="18">
        <f>IF(75&gt;=DeliverStart,ExpContractPerUnit*TotalUnits/12*BZ$8*BZ$11,0)</f>
        <v/>
      </c>
      <c r="CA30" s="18">
        <f>IF(76&gt;=DeliverStart,ExpContractPerUnit*TotalUnits/12*CA$8*CA$11,0)</f>
        <v/>
      </c>
      <c r="CB30" s="18">
        <f>IF(77&gt;=DeliverStart,ExpContractPerUnit*TotalUnits/12*CB$8*CB$11,0)</f>
        <v/>
      </c>
      <c r="CC30" s="18">
        <f>IF(78&gt;=DeliverStart,ExpContractPerUnit*TotalUnits/12*CC$8*CC$11,0)</f>
        <v/>
      </c>
      <c r="CD30" s="18">
        <f>IF(79&gt;=DeliverStart,ExpContractPerUnit*TotalUnits/12*CD$8*CD$11,0)</f>
        <v/>
      </c>
      <c r="CE30" s="18">
        <f>IF(80&gt;=DeliverStart,ExpContractPerUnit*TotalUnits/12*CE$8*CE$11,0)</f>
        <v/>
      </c>
      <c r="CF30" s="18">
        <f>IF(81&gt;=DeliverStart,ExpContractPerUnit*TotalUnits/12*CF$8*CF$11,0)</f>
        <v/>
      </c>
      <c r="CG30" s="18">
        <f>IF(82&gt;=DeliverStart,ExpContractPerUnit*TotalUnits/12*CG$8*CG$11,0)</f>
        <v/>
      </c>
      <c r="CH30" s="18">
        <f>IF(83&gt;=DeliverStart,ExpContractPerUnit*TotalUnits/12*CH$8*CH$11,0)</f>
        <v/>
      </c>
      <c r="CI30" s="18">
        <f>IF(84&gt;=DeliverStart,ExpContractPerUnit*TotalUnits/12*CI$8*CI$11,0)</f>
        <v/>
      </c>
      <c r="CJ30" s="18">
        <f>IF(85&gt;=DeliverStart,ExpContractPerUnit*TotalUnits/12*CJ$8*CJ$11,0)</f>
        <v/>
      </c>
      <c r="CK30" s="18">
        <f>IF(86&gt;=DeliverStart,ExpContractPerUnit*TotalUnits/12*CK$8*CK$11,0)</f>
        <v/>
      </c>
      <c r="CL30" s="18">
        <f>IF(87&gt;=DeliverStart,ExpContractPerUnit*TotalUnits/12*CL$8*CL$11,0)</f>
        <v/>
      </c>
      <c r="CM30" s="18">
        <f>IF(88&gt;=DeliverStart,ExpContractPerUnit*TotalUnits/12*CM$8*CM$11,0)</f>
        <v/>
      </c>
      <c r="CN30" s="18">
        <f>IF(89&gt;=DeliverStart,ExpContractPerUnit*TotalUnits/12*CN$8*CN$11,0)</f>
        <v/>
      </c>
      <c r="CO30" s="18">
        <f>IF(90&gt;=DeliverStart,ExpContractPerUnit*TotalUnits/12*CO$8*CO$11,0)</f>
        <v/>
      </c>
      <c r="CP30" s="18">
        <f>IF(91&gt;=DeliverStart,ExpContractPerUnit*TotalUnits/12*CP$8*CP$11,0)</f>
        <v/>
      </c>
      <c r="CQ30" s="18">
        <f>IF(92&gt;=DeliverStart,ExpContractPerUnit*TotalUnits/12*CQ$8*CQ$11,0)</f>
        <v/>
      </c>
      <c r="CR30" s="18">
        <f>IF(93&gt;=DeliverStart,ExpContractPerUnit*TotalUnits/12*CR$8*CR$11,0)</f>
        <v/>
      </c>
      <c r="CS30" s="18">
        <f>IF(94&gt;=DeliverStart,ExpContractPerUnit*TotalUnits/12*CS$8*CS$11,0)</f>
        <v/>
      </c>
      <c r="CT30" s="18">
        <f>IF(95&gt;=DeliverStart,ExpContractPerUnit*TotalUnits/12*CT$8*CT$11,0)</f>
        <v/>
      </c>
      <c r="CU30" s="18">
        <f>IF(96&gt;=DeliverStart,ExpContractPerUnit*TotalUnits/12*CU$8*CU$11,0)</f>
        <v/>
      </c>
      <c r="CV30" s="18">
        <f>IF(97&gt;=DeliverStart,ExpContractPerUnit*TotalUnits/12*CV$8*CV$11,0)</f>
        <v/>
      </c>
      <c r="CW30" s="18">
        <f>IF(98&gt;=DeliverStart,ExpContractPerUnit*TotalUnits/12*CW$8*CW$11,0)</f>
        <v/>
      </c>
      <c r="CX30" s="18">
        <f>IF(99&gt;=DeliverStart,ExpContractPerUnit*TotalUnits/12*CX$8*CX$11,0)</f>
        <v/>
      </c>
      <c r="CY30" s="18">
        <f>IF(100&gt;=DeliverStart,ExpContractPerUnit*TotalUnits/12*CY$8*CY$11,0)</f>
        <v/>
      </c>
      <c r="CZ30" s="18">
        <f>IF(101&gt;=DeliverStart,ExpContractPerUnit*TotalUnits/12*CZ$8*CZ$11,0)</f>
        <v/>
      </c>
      <c r="DA30" s="18">
        <f>IF(102&gt;=DeliverStart,ExpContractPerUnit*TotalUnits/12*DA$8*DA$11,0)</f>
        <v/>
      </c>
      <c r="DB30" s="18">
        <f>IF(103&gt;=DeliverStart,ExpContractPerUnit*TotalUnits/12*DB$8*DB$11,0)</f>
        <v/>
      </c>
      <c r="DC30" s="18">
        <f>IF(104&gt;=DeliverStart,ExpContractPerUnit*TotalUnits/12*DC$8*DC$11,0)</f>
        <v/>
      </c>
      <c r="DD30" s="18">
        <f>IF(105&gt;=DeliverStart,ExpContractPerUnit*TotalUnits/12*DD$8*DD$11,0)</f>
        <v/>
      </c>
      <c r="DE30" s="18">
        <f>IF(106&gt;=DeliverStart,ExpContractPerUnit*TotalUnits/12*DE$8*DE$11,0)</f>
        <v/>
      </c>
      <c r="DF30" s="18">
        <f>IF(107&gt;=DeliverStart,ExpContractPerUnit*TotalUnits/12*DF$8*DF$11,0)</f>
        <v/>
      </c>
      <c r="DG30" s="18">
        <f>IF(108&gt;=DeliverStart,ExpContractPerUnit*TotalUnits/12*DG$8*DG$11,0)</f>
        <v/>
      </c>
      <c r="DH30" s="18">
        <f>IF(109&gt;=DeliverStart,ExpContractPerUnit*TotalUnits/12*DH$8*DH$11,0)</f>
        <v/>
      </c>
      <c r="DI30" s="18">
        <f>IF(110&gt;=DeliverStart,ExpContractPerUnit*TotalUnits/12*DI$8*DI$11,0)</f>
        <v/>
      </c>
      <c r="DJ30" s="18">
        <f>IF(111&gt;=DeliverStart,ExpContractPerUnit*TotalUnits/12*DJ$8*DJ$11,0)</f>
        <v/>
      </c>
      <c r="DK30" s="18">
        <f>IF(112&gt;=DeliverStart,ExpContractPerUnit*TotalUnits/12*DK$8*DK$11,0)</f>
        <v/>
      </c>
      <c r="DL30" s="18">
        <f>IF(113&gt;=DeliverStart,ExpContractPerUnit*TotalUnits/12*DL$8*DL$11,0)</f>
        <v/>
      </c>
      <c r="DM30" s="18">
        <f>IF(114&gt;=DeliverStart,ExpContractPerUnit*TotalUnits/12*DM$8*DM$11,0)</f>
        <v/>
      </c>
      <c r="DN30" s="18">
        <f>IF(115&gt;=DeliverStart,ExpContractPerUnit*TotalUnits/12*DN$8*DN$11,0)</f>
        <v/>
      </c>
      <c r="DO30" s="18">
        <f>IF(116&gt;=DeliverStart,ExpContractPerUnit*TotalUnits/12*DO$8*DO$11,0)</f>
        <v/>
      </c>
      <c r="DP30" s="18">
        <f>IF(117&gt;=DeliverStart,ExpContractPerUnit*TotalUnits/12*DP$8*DP$11,0)</f>
        <v/>
      </c>
      <c r="DQ30" s="18">
        <f>IF(118&gt;=DeliverStart,ExpContractPerUnit*TotalUnits/12*DQ$8*DQ$11,0)</f>
        <v/>
      </c>
      <c r="DR30" s="18">
        <f>IF(119&gt;=DeliverStart,ExpContractPerUnit*TotalUnits/12*DR$8*DR$11,0)</f>
        <v/>
      </c>
      <c r="DS30" s="18">
        <f>IF(120&gt;=DeliverStart,ExpContractPerUnit*TotalUnits/12*DS$8*DS$11,0)</f>
        <v/>
      </c>
      <c r="DT30" s="18">
        <f>IF(121&gt;=DeliverStart,ExpContractPerUnit*TotalUnits/12*DT$8*DT$11,0)</f>
        <v/>
      </c>
      <c r="DU30" s="18">
        <f>IF(122&gt;=DeliverStart,ExpContractPerUnit*TotalUnits/12*DU$8*DU$11,0)</f>
        <v/>
      </c>
      <c r="DV30" s="18">
        <f>IF(123&gt;=DeliverStart,ExpContractPerUnit*TotalUnits/12*DV$8*DV$11,0)</f>
        <v/>
      </c>
      <c r="DW30" s="18">
        <f>IF(124&gt;=DeliverStart,ExpContractPerUnit*TotalUnits/12*DW$8*DW$11,0)</f>
        <v/>
      </c>
      <c r="DX30" s="18">
        <f>IF(125&gt;=DeliverStart,ExpContractPerUnit*TotalUnits/12*DX$8*DX$11,0)</f>
        <v/>
      </c>
      <c r="DY30" s="18">
        <f>IF(126&gt;=DeliverStart,ExpContractPerUnit*TotalUnits/12*DY$8*DY$11,0)</f>
        <v/>
      </c>
      <c r="DZ30" s="18">
        <f>IF(127&gt;=DeliverStart,ExpContractPerUnit*TotalUnits/12*DZ$8*DZ$11,0)</f>
        <v/>
      </c>
      <c r="EA30" s="18">
        <f>IF(128&gt;=DeliverStart,ExpContractPerUnit*TotalUnits/12*EA$8*EA$11,0)</f>
        <v/>
      </c>
      <c r="EB30" s="18">
        <f>IF(129&gt;=DeliverStart,ExpContractPerUnit*TotalUnits/12*EB$8*EB$11,0)</f>
        <v/>
      </c>
      <c r="EC30" s="18">
        <f>IF(130&gt;=DeliverStart,ExpContractPerUnit*TotalUnits/12*EC$8*EC$11,0)</f>
        <v/>
      </c>
      <c r="ED30" s="18">
        <f>IF(131&gt;=DeliverStart,ExpContractPerUnit*TotalUnits/12*ED$8*ED$11,0)</f>
        <v/>
      </c>
      <c r="EE30" s="18">
        <f>IF(132&gt;=DeliverStart,ExpContractPerUnit*TotalUnits/12*EE$8*EE$11,0)</f>
        <v/>
      </c>
      <c r="EF30" s="18">
        <f>IF(133&gt;=DeliverStart,ExpContractPerUnit*TotalUnits/12*EF$8*EF$11,0)</f>
        <v/>
      </c>
      <c r="EG30" s="18">
        <f>IF(134&gt;=DeliverStart,ExpContractPerUnit*TotalUnits/12*EG$8*EG$11,0)</f>
        <v/>
      </c>
      <c r="EH30" s="18">
        <f>IF(135&gt;=DeliverStart,ExpContractPerUnit*TotalUnits/12*EH$8*EH$11,0)</f>
        <v/>
      </c>
      <c r="EI30" s="18">
        <f>IF(136&gt;=DeliverStart,ExpContractPerUnit*TotalUnits/12*EI$8*EI$11,0)</f>
        <v/>
      </c>
      <c r="EJ30" s="18">
        <f>IF(137&gt;=DeliverStart,ExpContractPerUnit*TotalUnits/12*EJ$8*EJ$11,0)</f>
        <v/>
      </c>
      <c r="EK30" s="18">
        <f>IF(138&gt;=DeliverStart,ExpContractPerUnit*TotalUnits/12*EK$8*EK$11,0)</f>
        <v/>
      </c>
      <c r="EL30" s="18">
        <f>IF(139&gt;=DeliverStart,ExpContractPerUnit*TotalUnits/12*EL$8*EL$11,0)</f>
        <v/>
      </c>
      <c r="EM30" s="18">
        <f>IF(140&gt;=DeliverStart,ExpContractPerUnit*TotalUnits/12*EM$8*EM$11,0)</f>
        <v/>
      </c>
      <c r="EN30" s="18">
        <f>IF(141&gt;=DeliverStart,ExpContractPerUnit*TotalUnits/12*EN$8*EN$11,0)</f>
        <v/>
      </c>
      <c r="EO30" s="18">
        <f>IF(142&gt;=DeliverStart,ExpContractPerUnit*TotalUnits/12*EO$8*EO$11,0)</f>
        <v/>
      </c>
      <c r="EP30" s="18">
        <f>IF(143&gt;=DeliverStart,ExpContractPerUnit*TotalUnits/12*EP$8*EP$11,0)</f>
        <v/>
      </c>
      <c r="EQ30" s="18">
        <f>IF(144&gt;=DeliverStart,ExpContractPerUnit*TotalUnits/12*EQ$8*EQ$11,0)</f>
        <v/>
      </c>
      <c r="ER30" s="18">
        <f>IF(145&gt;=DeliverStart,ExpContractPerUnit*TotalUnits/12*ER$8*ER$11,0)</f>
        <v/>
      </c>
      <c r="ES30" s="18">
        <f>IF(146&gt;=DeliverStart,ExpContractPerUnit*TotalUnits/12*ES$8*ES$11,0)</f>
        <v/>
      </c>
      <c r="ET30" s="18">
        <f>IF(147&gt;=DeliverStart,ExpContractPerUnit*TotalUnits/12*ET$8*ET$11,0)</f>
        <v/>
      </c>
      <c r="EU30" s="18">
        <f>IF(148&gt;=DeliverStart,ExpContractPerUnit*TotalUnits/12*EU$8*EU$11,0)</f>
        <v/>
      </c>
      <c r="EV30" s="18">
        <f>IF(149&gt;=DeliverStart,ExpContractPerUnit*TotalUnits/12*EV$8*EV$11,0)</f>
        <v/>
      </c>
      <c r="EW30" s="18">
        <f>IF(150&gt;=DeliverStart,ExpContractPerUnit*TotalUnits/12*EW$8*EW$11,0)</f>
        <v/>
      </c>
      <c r="EX30" s="18">
        <f>IF(151&gt;=DeliverStart,ExpContractPerUnit*TotalUnits/12*EX$8*EX$11,0)</f>
        <v/>
      </c>
      <c r="EY30" s="18">
        <f>IF(152&gt;=DeliverStart,ExpContractPerUnit*TotalUnits/12*EY$8*EY$11,0)</f>
        <v/>
      </c>
      <c r="EZ30" s="18">
        <f>IF(153&gt;=DeliverStart,ExpContractPerUnit*TotalUnits/12*EZ$8*EZ$11,0)</f>
        <v/>
      </c>
      <c r="FA30" s="18">
        <f>IF(154&gt;=DeliverStart,ExpContractPerUnit*TotalUnits/12*FA$8*FA$11,0)</f>
        <v/>
      </c>
      <c r="FB30" s="18">
        <f>IF(155&gt;=DeliverStart,ExpContractPerUnit*TotalUnits/12*FB$8*FB$11,0)</f>
        <v/>
      </c>
      <c r="FC30" s="18">
        <f>IF(156&gt;=DeliverStart,ExpContractPerUnit*TotalUnits/12*FC$8*FC$11,0)</f>
        <v/>
      </c>
      <c r="FD30" s="18">
        <f>IF(157&gt;=DeliverStart,ExpContractPerUnit*TotalUnits/12*FD$8*FD$11,0)</f>
        <v/>
      </c>
      <c r="FE30" s="18">
        <f>IF(158&gt;=DeliverStart,ExpContractPerUnit*TotalUnits/12*FE$8*FE$11,0)</f>
        <v/>
      </c>
      <c r="FF30" s="18">
        <f>IF(159&gt;=DeliverStart,ExpContractPerUnit*TotalUnits/12*FF$8*FF$11,0)</f>
        <v/>
      </c>
      <c r="FG30" s="18">
        <f>IF(160&gt;=DeliverStart,ExpContractPerUnit*TotalUnits/12*FG$8*FG$11,0)</f>
        <v/>
      </c>
      <c r="FH30" s="18">
        <f>IF(161&gt;=DeliverStart,ExpContractPerUnit*TotalUnits/12*FH$8*FH$11,0)</f>
        <v/>
      </c>
      <c r="FI30" s="18">
        <f>IF(162&gt;=DeliverStart,ExpContractPerUnit*TotalUnits/12*FI$8*FI$11,0)</f>
        <v/>
      </c>
      <c r="FJ30" s="18">
        <f>IF(163&gt;=DeliverStart,ExpContractPerUnit*TotalUnits/12*FJ$8*FJ$11,0)</f>
        <v/>
      </c>
      <c r="FK30" s="18">
        <f>IF(164&gt;=DeliverStart,ExpContractPerUnit*TotalUnits/12*FK$8*FK$11,0)</f>
        <v/>
      </c>
      <c r="FL30" s="18">
        <f>IF(165&gt;=DeliverStart,ExpContractPerUnit*TotalUnits/12*FL$8*FL$11,0)</f>
        <v/>
      </c>
      <c r="FM30" s="18">
        <f>IF(166&gt;=DeliverStart,ExpContractPerUnit*TotalUnits/12*FM$8*FM$11,0)</f>
        <v/>
      </c>
      <c r="FN30" s="18">
        <f>IF(167&gt;=DeliverStart,ExpContractPerUnit*TotalUnits/12*FN$8*FN$11,0)</f>
        <v/>
      </c>
      <c r="FO30" s="18">
        <f>IF(168&gt;=DeliverStart,ExpContractPerUnit*TotalUnits/12*FO$8*FO$11,0)</f>
        <v/>
      </c>
      <c r="FP30" s="18">
        <f>IF(169&gt;=DeliverStart,ExpContractPerUnit*TotalUnits/12*FP$8*FP$11,0)</f>
        <v/>
      </c>
      <c r="FQ30" s="18">
        <f>IF(170&gt;=DeliverStart,ExpContractPerUnit*TotalUnits/12*FQ$8*FQ$11,0)</f>
        <v/>
      </c>
      <c r="FR30" s="18">
        <f>IF(171&gt;=DeliverStart,ExpContractPerUnit*TotalUnits/12*FR$8*FR$11,0)</f>
        <v/>
      </c>
      <c r="FS30" s="18">
        <f>IF(172&gt;=DeliverStart,ExpContractPerUnit*TotalUnits/12*FS$8*FS$11,0)</f>
        <v/>
      </c>
      <c r="FT30" s="18">
        <f>IF(173&gt;=DeliverStart,ExpContractPerUnit*TotalUnits/12*FT$8*FT$11,0)</f>
        <v/>
      </c>
      <c r="FU30" s="18">
        <f>IF(174&gt;=DeliverStart,ExpContractPerUnit*TotalUnits/12*FU$8*FU$11,0)</f>
        <v/>
      </c>
      <c r="FV30" s="18">
        <f>IF(175&gt;=DeliverStart,ExpContractPerUnit*TotalUnits/12*FV$8*FV$11,0)</f>
        <v/>
      </c>
      <c r="FW30" s="18">
        <f>IF(176&gt;=DeliverStart,ExpContractPerUnit*TotalUnits/12*FW$8*FW$11,0)</f>
        <v/>
      </c>
      <c r="FX30" s="18">
        <f>IF(177&gt;=DeliverStart,ExpContractPerUnit*TotalUnits/12*FX$8*FX$11,0)</f>
        <v/>
      </c>
      <c r="FY30" s="18">
        <f>IF(178&gt;=DeliverStart,ExpContractPerUnit*TotalUnits/12*FY$8*FY$11,0)</f>
        <v/>
      </c>
      <c r="FZ30" s="18">
        <f>IF(179&gt;=DeliverStart,ExpContractPerUnit*TotalUnits/12*FZ$8*FZ$11,0)</f>
        <v/>
      </c>
      <c r="GA30" s="18">
        <f>IF(180&gt;=DeliverStart,ExpContractPerUnit*TotalUnits/12*GA$8*GA$11,0)</f>
        <v/>
      </c>
      <c r="GB30" s="18">
        <f>IF(181&gt;=DeliverStart,ExpContractPerUnit*TotalUnits/12*GB$8*GB$11,0)</f>
        <v/>
      </c>
      <c r="GC30" s="18">
        <f>IF(182&gt;=DeliverStart,ExpContractPerUnit*TotalUnits/12*GC$8*GC$11,0)</f>
        <v/>
      </c>
      <c r="GD30" s="18">
        <f>IF(183&gt;=DeliverStart,ExpContractPerUnit*TotalUnits/12*GD$8*GD$11,0)</f>
        <v/>
      </c>
      <c r="GE30" s="18">
        <f>IF(184&gt;=DeliverStart,ExpContractPerUnit*TotalUnits/12*GE$8*GE$11,0)</f>
        <v/>
      </c>
      <c r="GF30" s="18">
        <f>IF(185&gt;=DeliverStart,ExpContractPerUnit*TotalUnits/12*GF$8*GF$11,0)</f>
        <v/>
      </c>
      <c r="GG30" s="18">
        <f>IF(186&gt;=DeliverStart,ExpContractPerUnit*TotalUnits/12*GG$8*GG$11,0)</f>
        <v/>
      </c>
      <c r="GH30" s="18">
        <f>IF(187&gt;=DeliverStart,ExpContractPerUnit*TotalUnits/12*GH$8*GH$11,0)</f>
        <v/>
      </c>
      <c r="GI30" s="18">
        <f>IF(188&gt;=DeliverStart,ExpContractPerUnit*TotalUnits/12*GI$8*GI$11,0)</f>
        <v/>
      </c>
      <c r="GJ30" s="18">
        <f>IF(189&gt;=DeliverStart,ExpContractPerUnit*TotalUnits/12*GJ$8*GJ$11,0)</f>
        <v/>
      </c>
      <c r="GK30" s="18">
        <f>IF(190&gt;=DeliverStart,ExpContractPerUnit*TotalUnits/12*GK$8*GK$11,0)</f>
        <v/>
      </c>
      <c r="GL30" s="18">
        <f>IF(191&gt;=DeliverStart,ExpContractPerUnit*TotalUnits/12*GL$8*GL$11,0)</f>
        <v/>
      </c>
      <c r="GM30" s="18">
        <f>IF(192&gt;=DeliverStart,ExpContractPerUnit*TotalUnits/12*GM$8*GM$11,0)</f>
        <v/>
      </c>
      <c r="GN30" s="18">
        <f>IF(193&gt;=DeliverStart,ExpContractPerUnit*TotalUnits/12*GN$8*GN$11,0)</f>
        <v/>
      </c>
      <c r="GO30" s="18">
        <f>IF(194&gt;=DeliverStart,ExpContractPerUnit*TotalUnits/12*GO$8*GO$11,0)</f>
        <v/>
      </c>
      <c r="GP30" s="18">
        <f>IF(195&gt;=DeliverStart,ExpContractPerUnit*TotalUnits/12*GP$8*GP$11,0)</f>
        <v/>
      </c>
      <c r="GQ30" s="18">
        <f>IF(196&gt;=DeliverStart,ExpContractPerUnit*TotalUnits/12*GQ$8*GQ$11,0)</f>
        <v/>
      </c>
      <c r="GR30" s="18">
        <f>IF(197&gt;=DeliverStart,ExpContractPerUnit*TotalUnits/12*GR$8*GR$11,0)</f>
        <v/>
      </c>
      <c r="GS30" s="18">
        <f>IF(198&gt;=DeliverStart,ExpContractPerUnit*TotalUnits/12*GS$8*GS$11,0)</f>
        <v/>
      </c>
      <c r="GT30" s="18">
        <f>IF(199&gt;=DeliverStart,ExpContractPerUnit*TotalUnits/12*GT$8*GT$11,0)</f>
        <v/>
      </c>
      <c r="GU30" s="18">
        <f>IF(200&gt;=DeliverStart,ExpContractPerUnit*TotalUnits/12*GU$8*GU$11,0)</f>
        <v/>
      </c>
      <c r="GV30" s="18">
        <f>IF(201&gt;=DeliverStart,ExpContractPerUnit*TotalUnits/12*GV$8*GV$11,0)</f>
        <v/>
      </c>
      <c r="GW30" s="18">
        <f>IF(202&gt;=DeliverStart,ExpContractPerUnit*TotalUnits/12*GW$8*GW$11,0)</f>
        <v/>
      </c>
      <c r="GX30" s="18">
        <f>IF(203&gt;=DeliverStart,ExpContractPerUnit*TotalUnits/12*GX$8*GX$11,0)</f>
        <v/>
      </c>
      <c r="GY30" s="18">
        <f>IF(204&gt;=DeliverStart,ExpContractPerUnit*TotalUnits/12*GY$8*GY$11,0)</f>
        <v/>
      </c>
      <c r="GZ30" s="18">
        <f>IF(205&gt;=DeliverStart,ExpContractPerUnit*TotalUnits/12*GZ$8*GZ$11,0)</f>
        <v/>
      </c>
      <c r="HA30" s="18">
        <f>IF(206&gt;=DeliverStart,ExpContractPerUnit*TotalUnits/12*HA$8*HA$11,0)</f>
        <v/>
      </c>
      <c r="HB30" s="18">
        <f>IF(207&gt;=DeliverStart,ExpContractPerUnit*TotalUnits/12*HB$8*HB$11,0)</f>
        <v/>
      </c>
      <c r="HC30" s="18">
        <f>IF(208&gt;=DeliverStart,ExpContractPerUnit*TotalUnits/12*HC$8*HC$11,0)</f>
        <v/>
      </c>
      <c r="HD30" s="18">
        <f>IF(209&gt;=DeliverStart,ExpContractPerUnit*TotalUnits/12*HD$8*HD$11,0)</f>
        <v/>
      </c>
      <c r="HE30" s="18">
        <f>IF(210&gt;=DeliverStart,ExpContractPerUnit*TotalUnits/12*HE$8*HE$11,0)</f>
        <v/>
      </c>
      <c r="HF30" s="18">
        <f>IF(211&gt;=DeliverStart,ExpContractPerUnit*TotalUnits/12*HF$8*HF$11,0)</f>
        <v/>
      </c>
      <c r="HG30" s="18">
        <f>IF(212&gt;=DeliverStart,ExpContractPerUnit*TotalUnits/12*HG$8*HG$11,0)</f>
        <v/>
      </c>
      <c r="HH30" s="18">
        <f>IF(213&gt;=DeliverStart,ExpContractPerUnit*TotalUnits/12*HH$8*HH$11,0)</f>
        <v/>
      </c>
      <c r="HI30" s="18">
        <f>IF(214&gt;=DeliverStart,ExpContractPerUnit*TotalUnits/12*HI$8*HI$11,0)</f>
        <v/>
      </c>
      <c r="HJ30" s="18">
        <f>IF(215&gt;=DeliverStart,ExpContractPerUnit*TotalUnits/12*HJ$8*HJ$11,0)</f>
        <v/>
      </c>
      <c r="HK30" s="18">
        <f>IF(216&gt;=DeliverStart,ExpContractPerUnit*TotalUnits/12*HK$8*HK$11,0)</f>
        <v/>
      </c>
      <c r="HL30" s="18">
        <f>IF(217&gt;=DeliverStart,ExpContractPerUnit*TotalUnits/12*HL$8*HL$11,0)</f>
        <v/>
      </c>
      <c r="HM30" s="18">
        <f>IF(218&gt;=DeliverStart,ExpContractPerUnit*TotalUnits/12*HM$8*HM$11,0)</f>
        <v/>
      </c>
      <c r="HN30" s="18">
        <f>IF(219&gt;=DeliverStart,ExpContractPerUnit*TotalUnits/12*HN$8*HN$11,0)</f>
        <v/>
      </c>
      <c r="HO30" s="18">
        <f>IF(220&gt;=DeliverStart,ExpContractPerUnit*TotalUnits/12*HO$8*HO$11,0)</f>
        <v/>
      </c>
      <c r="HP30" s="18">
        <f>IF(221&gt;=DeliverStart,ExpContractPerUnit*TotalUnits/12*HP$8*HP$11,0)</f>
        <v/>
      </c>
      <c r="HQ30" s="18">
        <f>IF(222&gt;=DeliverStart,ExpContractPerUnit*TotalUnits/12*HQ$8*HQ$11,0)</f>
        <v/>
      </c>
      <c r="HR30" s="18">
        <f>IF(223&gt;=DeliverStart,ExpContractPerUnit*TotalUnits/12*HR$8*HR$11,0)</f>
        <v/>
      </c>
      <c r="HS30" s="18">
        <f>IF(224&gt;=DeliverStart,ExpContractPerUnit*TotalUnits/12*HS$8*HS$11,0)</f>
        <v/>
      </c>
      <c r="HT30" s="18">
        <f>IF(225&gt;=DeliverStart,ExpContractPerUnit*TotalUnits/12*HT$8*HT$11,0)</f>
        <v/>
      </c>
      <c r="HU30" s="18">
        <f>IF(226&gt;=DeliverStart,ExpContractPerUnit*TotalUnits/12*HU$8*HU$11,0)</f>
        <v/>
      </c>
      <c r="HV30" s="18">
        <f>IF(227&gt;=DeliverStart,ExpContractPerUnit*TotalUnits/12*HV$8*HV$11,0)</f>
        <v/>
      </c>
      <c r="HW30" s="18">
        <f>IF(228&gt;=DeliverStart,ExpContractPerUnit*TotalUnits/12*HW$8*HW$11,0)</f>
        <v/>
      </c>
      <c r="HX30" s="18">
        <f>IF(229&gt;=DeliverStart,ExpContractPerUnit*TotalUnits/12*HX$8*HX$11,0)</f>
        <v/>
      </c>
      <c r="HY30" s="18">
        <f>IF(230&gt;=DeliverStart,ExpContractPerUnit*TotalUnits/12*HY$8*HY$11,0)</f>
        <v/>
      </c>
      <c r="HZ30" s="18">
        <f>IF(231&gt;=DeliverStart,ExpContractPerUnit*TotalUnits/12*HZ$8*HZ$11,0)</f>
        <v/>
      </c>
      <c r="IA30" s="18">
        <f>IF(232&gt;=DeliverStart,ExpContractPerUnit*TotalUnits/12*IA$8*IA$11,0)</f>
        <v/>
      </c>
      <c r="IB30" s="18">
        <f>IF(233&gt;=DeliverStart,ExpContractPerUnit*TotalUnits/12*IB$8*IB$11,0)</f>
        <v/>
      </c>
      <c r="IC30" s="18">
        <f>IF(234&gt;=DeliverStart,ExpContractPerUnit*TotalUnits/12*IC$8*IC$11,0)</f>
        <v/>
      </c>
      <c r="ID30" s="18">
        <f>IF(235&gt;=DeliverStart,ExpContractPerUnit*TotalUnits/12*ID$8*ID$11,0)</f>
        <v/>
      </c>
      <c r="IE30" s="18">
        <f>IF(236&gt;=DeliverStart,ExpContractPerUnit*TotalUnits/12*IE$8*IE$11,0)</f>
        <v/>
      </c>
      <c r="IF30" s="18">
        <f>IF(237&gt;=DeliverStart,ExpContractPerUnit*TotalUnits/12*IF$8*IF$11,0)</f>
        <v/>
      </c>
      <c r="IG30" s="18">
        <f>IF(238&gt;=DeliverStart,ExpContractPerUnit*TotalUnits/12*IG$8*IG$11,0)</f>
        <v/>
      </c>
      <c r="IH30" s="18">
        <f>IF(239&gt;=DeliverStart,ExpContractPerUnit*TotalUnits/12*IH$8*IH$11,0)</f>
        <v/>
      </c>
      <c r="II30" s="18">
        <f>IF(240&gt;=DeliverStart,ExpContractPerUnit*TotalUnits/12*II$8*II$11,0)</f>
        <v/>
      </c>
      <c r="IJ30" s="18">
        <f>IF(241&gt;=DeliverStart,ExpContractPerUnit*TotalUnits/12*IJ$8*IJ$11,0)</f>
        <v/>
      </c>
      <c r="IK30" s="18">
        <f>IF(242&gt;=DeliverStart,ExpContractPerUnit*TotalUnits/12*IK$8*IK$11,0)</f>
        <v/>
      </c>
      <c r="IL30" s="18">
        <f>IF(243&gt;=DeliverStart,ExpContractPerUnit*TotalUnits/12*IL$8*IL$11,0)</f>
        <v/>
      </c>
      <c r="IM30" s="18">
        <f>IF(244&gt;=DeliverStart,ExpContractPerUnit*TotalUnits/12*IM$8*IM$11,0)</f>
        <v/>
      </c>
      <c r="IN30" s="18">
        <f>IF(245&gt;=DeliverStart,ExpContractPerUnit*TotalUnits/12*IN$8*IN$11,0)</f>
        <v/>
      </c>
      <c r="IO30" s="18">
        <f>IF(246&gt;=DeliverStart,ExpContractPerUnit*TotalUnits/12*IO$8*IO$11,0)</f>
        <v/>
      </c>
      <c r="IP30" s="18">
        <f>IF(247&gt;=DeliverStart,ExpContractPerUnit*TotalUnits/12*IP$8*IP$11,0)</f>
        <v/>
      </c>
      <c r="IQ30" s="18">
        <f>IF(248&gt;=DeliverStart,ExpContractPerUnit*TotalUnits/12*IQ$8*IQ$11,0)</f>
        <v/>
      </c>
      <c r="IR30" s="18">
        <f>IF(249&gt;=DeliverStart,ExpContractPerUnit*TotalUnits/12*IR$8*IR$11,0)</f>
        <v/>
      </c>
      <c r="IS30" s="18">
        <f>IF(250&gt;=DeliverStart,ExpContractPerUnit*TotalUnits/12*IS$8*IS$11,0)</f>
        <v/>
      </c>
      <c r="IT30" s="18">
        <f>IF(251&gt;=DeliverStart,ExpContractPerUnit*TotalUnits/12*IT$8*IT$11,0)</f>
        <v/>
      </c>
      <c r="IU30" s="18">
        <f>IF(252&gt;=DeliverStart,ExpContractPerUnit*TotalUnits/12*IU$8*IU$11,0)</f>
        <v/>
      </c>
      <c r="IV30" s="18">
        <f>IF(253&gt;=DeliverStart,ExpContractPerUnit*TotalUnits/12*IV$8*IV$11,0)</f>
        <v/>
      </c>
      <c r="IW30" s="18">
        <f>IF(254&gt;=DeliverStart,ExpContractPerUnit*TotalUnits/12*IW$8*IW$11,0)</f>
        <v/>
      </c>
      <c r="IX30" s="18">
        <f>IF(255&gt;=DeliverStart,ExpContractPerUnit*TotalUnits/12*IX$8*IX$11,0)</f>
        <v/>
      </c>
      <c r="IY30" s="18">
        <f>IF(256&gt;=DeliverStart,ExpContractPerUnit*TotalUnits/12*IY$8*IY$11,0)</f>
        <v/>
      </c>
      <c r="IZ30" s="18">
        <f>IF(257&gt;=DeliverStart,ExpContractPerUnit*TotalUnits/12*IZ$8*IZ$11,0)</f>
        <v/>
      </c>
      <c r="JA30" s="18">
        <f>IF(258&gt;=DeliverStart,ExpContractPerUnit*TotalUnits/12*JA$8*JA$11,0)</f>
        <v/>
      </c>
      <c r="JB30" s="18">
        <f>IF(259&gt;=DeliverStart,ExpContractPerUnit*TotalUnits/12*JB$8*JB$11,0)</f>
        <v/>
      </c>
      <c r="JC30" s="18">
        <f>IF(260&gt;=DeliverStart,ExpContractPerUnit*TotalUnits/12*JC$8*JC$11,0)</f>
        <v/>
      </c>
      <c r="JD30" s="18">
        <f>IF(261&gt;=DeliverStart,ExpContractPerUnit*TotalUnits/12*JD$8*JD$11,0)</f>
        <v/>
      </c>
      <c r="JE30" s="18">
        <f>IF(262&gt;=DeliverStart,ExpContractPerUnit*TotalUnits/12*JE$8*JE$11,0)</f>
        <v/>
      </c>
      <c r="JF30" s="18">
        <f>IF(263&gt;=DeliverStart,ExpContractPerUnit*TotalUnits/12*JF$8*JF$11,0)</f>
        <v/>
      </c>
      <c r="JG30" s="18">
        <f>IF(264&gt;=DeliverStart,ExpContractPerUnit*TotalUnits/12*JG$8*JG$11,0)</f>
        <v/>
      </c>
      <c r="JH30" s="18">
        <f>IF(265&gt;=DeliverStart,ExpContractPerUnit*TotalUnits/12*JH$8*JH$11,0)</f>
        <v/>
      </c>
      <c r="JI30" s="18">
        <f>IF(266&gt;=DeliverStart,ExpContractPerUnit*TotalUnits/12*JI$8*JI$11,0)</f>
        <v/>
      </c>
      <c r="JJ30" s="18">
        <f>IF(267&gt;=DeliverStart,ExpContractPerUnit*TotalUnits/12*JJ$8*JJ$11,0)</f>
        <v/>
      </c>
      <c r="JK30" s="18">
        <f>IF(268&gt;=DeliverStart,ExpContractPerUnit*TotalUnits/12*JK$8*JK$11,0)</f>
        <v/>
      </c>
      <c r="JL30" s="18">
        <f>IF(269&gt;=DeliverStart,ExpContractPerUnit*TotalUnits/12*JL$8*JL$11,0)</f>
        <v/>
      </c>
      <c r="JM30" s="18">
        <f>IF(270&gt;=DeliverStart,ExpContractPerUnit*TotalUnits/12*JM$8*JM$11,0)</f>
        <v/>
      </c>
      <c r="JN30" s="18">
        <f>IF(271&gt;=DeliverStart,ExpContractPerUnit*TotalUnits/12*JN$8*JN$11,0)</f>
        <v/>
      </c>
      <c r="JO30" s="18">
        <f>IF(272&gt;=DeliverStart,ExpContractPerUnit*TotalUnits/12*JO$8*JO$11,0)</f>
        <v/>
      </c>
      <c r="JP30" s="18">
        <f>IF(273&gt;=DeliverStart,ExpContractPerUnit*TotalUnits/12*JP$8*JP$11,0)</f>
        <v/>
      </c>
      <c r="JQ30" s="18">
        <f>IF(274&gt;=DeliverStart,ExpContractPerUnit*TotalUnits/12*JQ$8*JQ$11,0)</f>
        <v/>
      </c>
      <c r="JR30" s="18">
        <f>IF(275&gt;=DeliverStart,ExpContractPerUnit*TotalUnits/12*JR$8*JR$11,0)</f>
        <v/>
      </c>
      <c r="JS30" s="18">
        <f>IF(276&gt;=DeliverStart,ExpContractPerUnit*TotalUnits/12*JS$8*JS$11,0)</f>
        <v/>
      </c>
      <c r="JT30" s="18">
        <f>IF(277&gt;=DeliverStart,ExpContractPerUnit*TotalUnits/12*JT$8*JT$11,0)</f>
        <v/>
      </c>
      <c r="JU30" s="18">
        <f>IF(278&gt;=DeliverStart,ExpContractPerUnit*TotalUnits/12*JU$8*JU$11,0)</f>
        <v/>
      </c>
      <c r="JV30" s="18">
        <f>IF(279&gt;=DeliverStart,ExpContractPerUnit*TotalUnits/12*JV$8*JV$11,0)</f>
        <v/>
      </c>
      <c r="JW30" s="18">
        <f>IF(280&gt;=DeliverStart,ExpContractPerUnit*TotalUnits/12*JW$8*JW$11,0)</f>
        <v/>
      </c>
      <c r="JX30" s="18">
        <f>IF(281&gt;=DeliverStart,ExpContractPerUnit*TotalUnits/12*JX$8*JX$11,0)</f>
        <v/>
      </c>
      <c r="JY30" s="18">
        <f>IF(282&gt;=DeliverStart,ExpContractPerUnit*TotalUnits/12*JY$8*JY$11,0)</f>
        <v/>
      </c>
      <c r="JZ30" s="18">
        <f>IF(283&gt;=DeliverStart,ExpContractPerUnit*TotalUnits/12*JZ$8*JZ$11,0)</f>
        <v/>
      </c>
      <c r="KA30" s="18">
        <f>IF(284&gt;=DeliverStart,ExpContractPerUnit*TotalUnits/12*KA$8*KA$11,0)</f>
        <v/>
      </c>
      <c r="KB30" s="18">
        <f>IF(285&gt;=DeliverStart,ExpContractPerUnit*TotalUnits/12*KB$8*KB$11,0)</f>
        <v/>
      </c>
      <c r="KC30" s="18">
        <f>IF(286&gt;=DeliverStart,ExpContractPerUnit*TotalUnits/12*KC$8*KC$11,0)</f>
        <v/>
      </c>
      <c r="KD30" s="18">
        <f>IF(287&gt;=DeliverStart,ExpContractPerUnit*TotalUnits/12*KD$8*KD$11,0)</f>
        <v/>
      </c>
      <c r="KE30" s="18">
        <f>IF(288&gt;=DeliverStart,ExpContractPerUnit*TotalUnits/12*KE$8*KE$11,0)</f>
        <v/>
      </c>
      <c r="KF30" s="18">
        <f>IF(289&gt;=DeliverStart,ExpContractPerUnit*TotalUnits/12*KF$8*KF$11,0)</f>
        <v/>
      </c>
      <c r="KG30" s="18">
        <f>IF(290&gt;=DeliverStart,ExpContractPerUnit*TotalUnits/12*KG$8*KG$11,0)</f>
        <v/>
      </c>
      <c r="KH30" s="18">
        <f>IF(291&gt;=DeliverStart,ExpContractPerUnit*TotalUnits/12*KH$8*KH$11,0)</f>
        <v/>
      </c>
      <c r="KI30" s="18">
        <f>IF(292&gt;=DeliverStart,ExpContractPerUnit*TotalUnits/12*KI$8*KI$11,0)</f>
        <v/>
      </c>
      <c r="KJ30" s="18">
        <f>IF(293&gt;=DeliverStart,ExpContractPerUnit*TotalUnits/12*KJ$8*KJ$11,0)</f>
        <v/>
      </c>
      <c r="KK30" s="18">
        <f>IF(294&gt;=DeliverStart,ExpContractPerUnit*TotalUnits/12*KK$8*KK$11,0)</f>
        <v/>
      </c>
      <c r="KL30" s="18">
        <f>IF(295&gt;=DeliverStart,ExpContractPerUnit*TotalUnits/12*KL$8*KL$11,0)</f>
        <v/>
      </c>
      <c r="KM30" s="18">
        <f>IF(296&gt;=DeliverStart,ExpContractPerUnit*TotalUnits/12*KM$8*KM$11,0)</f>
        <v/>
      </c>
      <c r="KN30" s="18">
        <f>IF(297&gt;=DeliverStart,ExpContractPerUnit*TotalUnits/12*KN$8*KN$11,0)</f>
        <v/>
      </c>
      <c r="KO30" s="18">
        <f>IF(298&gt;=DeliverStart,ExpContractPerUnit*TotalUnits/12*KO$8*KO$11,0)</f>
        <v/>
      </c>
      <c r="KP30" s="18">
        <f>IF(299&gt;=DeliverStart,ExpContractPerUnit*TotalUnits/12*KP$8*KP$11,0)</f>
        <v/>
      </c>
      <c r="KQ30" s="18">
        <f>IF(300&gt;=DeliverStart,ExpContractPerUnit*TotalUnits/12*KQ$8*KQ$11,0)</f>
        <v/>
      </c>
      <c r="KR30" s="18">
        <f>IF(301&gt;=DeliverStart,ExpContractPerUnit*TotalUnits/12*KR$8*KR$11,0)</f>
        <v/>
      </c>
      <c r="KS30" s="18">
        <f>IF(302&gt;=DeliverStart,ExpContractPerUnit*TotalUnits/12*KS$8*KS$11,0)</f>
        <v/>
      </c>
      <c r="KT30" s="18">
        <f>IF(303&gt;=DeliverStart,ExpContractPerUnit*TotalUnits/12*KT$8*KT$11,0)</f>
        <v/>
      </c>
      <c r="KU30" s="18">
        <f>IF(304&gt;=DeliverStart,ExpContractPerUnit*TotalUnits/12*KU$8*KU$11,0)</f>
        <v/>
      </c>
      <c r="KV30" s="18">
        <f>IF(305&gt;=DeliverStart,ExpContractPerUnit*TotalUnits/12*KV$8*KV$11,0)</f>
        <v/>
      </c>
      <c r="KW30" s="18">
        <f>IF(306&gt;=DeliverStart,ExpContractPerUnit*TotalUnits/12*KW$8*KW$11,0)</f>
        <v/>
      </c>
      <c r="KX30" s="18">
        <f>IF(307&gt;=DeliverStart,ExpContractPerUnit*TotalUnits/12*KX$8*KX$11,0)</f>
        <v/>
      </c>
      <c r="KY30" s="18">
        <f>IF(308&gt;=DeliverStart,ExpContractPerUnit*TotalUnits/12*KY$8*KY$11,0)</f>
        <v/>
      </c>
      <c r="KZ30" s="18">
        <f>IF(309&gt;=DeliverStart,ExpContractPerUnit*TotalUnits/12*KZ$8*KZ$11,0)</f>
        <v/>
      </c>
      <c r="LA30" s="18">
        <f>IF(310&gt;=DeliverStart,ExpContractPerUnit*TotalUnits/12*LA$8*LA$11,0)</f>
        <v/>
      </c>
      <c r="LB30" s="18">
        <f>IF(311&gt;=DeliverStart,ExpContractPerUnit*TotalUnits/12*LB$8*LB$11,0)</f>
        <v/>
      </c>
      <c r="LC30" s="18">
        <f>IF(312&gt;=DeliverStart,ExpContractPerUnit*TotalUnits/12*LC$8*LC$11,0)</f>
        <v/>
      </c>
      <c r="LD30" s="18">
        <f>IF(313&gt;=DeliverStart,ExpContractPerUnit*TotalUnits/12*LD$8*LD$11,0)</f>
        <v/>
      </c>
      <c r="LE30" s="18">
        <f>IF(314&gt;=DeliverStart,ExpContractPerUnit*TotalUnits/12*LE$8*LE$11,0)</f>
        <v/>
      </c>
      <c r="LF30" s="18">
        <f>IF(315&gt;=DeliverStart,ExpContractPerUnit*TotalUnits/12*LF$8*LF$11,0)</f>
        <v/>
      </c>
      <c r="LG30" s="18">
        <f>IF(316&gt;=DeliverStart,ExpContractPerUnit*TotalUnits/12*LG$8*LG$11,0)</f>
        <v/>
      </c>
      <c r="LH30" s="18">
        <f>IF(317&gt;=DeliverStart,ExpContractPerUnit*TotalUnits/12*LH$8*LH$11,0)</f>
        <v/>
      </c>
      <c r="LI30" s="18">
        <f>IF(318&gt;=DeliverStart,ExpContractPerUnit*TotalUnits/12*LI$8*LI$11,0)</f>
        <v/>
      </c>
      <c r="LJ30" s="18">
        <f>IF(319&gt;=DeliverStart,ExpContractPerUnit*TotalUnits/12*LJ$8*LJ$11,0)</f>
        <v/>
      </c>
      <c r="LK30" s="18">
        <f>IF(320&gt;=DeliverStart,ExpContractPerUnit*TotalUnits/12*LK$8*LK$11,0)</f>
        <v/>
      </c>
      <c r="LL30" s="18">
        <f>IF(321&gt;=DeliverStart,ExpContractPerUnit*TotalUnits/12*LL$8*LL$11,0)</f>
        <v/>
      </c>
      <c r="LM30" s="18">
        <f>IF(322&gt;=DeliverStart,ExpContractPerUnit*TotalUnits/12*LM$8*LM$11,0)</f>
        <v/>
      </c>
      <c r="LN30" s="18">
        <f>IF(323&gt;=DeliverStart,ExpContractPerUnit*TotalUnits/12*LN$8*LN$11,0)</f>
        <v/>
      </c>
      <c r="LO30" s="18">
        <f>IF(324&gt;=DeliverStart,ExpContractPerUnit*TotalUnits/12*LO$8*LO$11,0)</f>
        <v/>
      </c>
      <c r="LP30" s="18">
        <f>IF(325&gt;=DeliverStart,ExpContractPerUnit*TotalUnits/12*LP$8*LP$11,0)</f>
        <v/>
      </c>
      <c r="LQ30" s="18">
        <f>IF(326&gt;=DeliverStart,ExpContractPerUnit*TotalUnits/12*LQ$8*LQ$11,0)</f>
        <v/>
      </c>
      <c r="LR30" s="18">
        <f>IF(327&gt;=DeliverStart,ExpContractPerUnit*TotalUnits/12*LR$8*LR$11,0)</f>
        <v/>
      </c>
      <c r="LS30" s="18">
        <f>IF(328&gt;=DeliverStart,ExpContractPerUnit*TotalUnits/12*LS$8*LS$11,0)</f>
        <v/>
      </c>
      <c r="LT30" s="18">
        <f>IF(329&gt;=DeliverStart,ExpContractPerUnit*TotalUnits/12*LT$8*LT$11,0)</f>
        <v/>
      </c>
      <c r="LU30" s="18">
        <f>IF(330&gt;=DeliverStart,ExpContractPerUnit*TotalUnits/12*LU$8*LU$11,0)</f>
        <v/>
      </c>
      <c r="LV30" s="18">
        <f>IF(331&gt;=DeliverStart,ExpContractPerUnit*TotalUnits/12*LV$8*LV$11,0)</f>
        <v/>
      </c>
      <c r="LW30" s="18">
        <f>IF(332&gt;=DeliverStart,ExpContractPerUnit*TotalUnits/12*LW$8*LW$11,0)</f>
        <v/>
      </c>
      <c r="LX30" s="18">
        <f>IF(333&gt;=DeliverStart,ExpContractPerUnit*TotalUnits/12*LX$8*LX$11,0)</f>
        <v/>
      </c>
      <c r="LY30" s="18">
        <f>IF(334&gt;=DeliverStart,ExpContractPerUnit*TotalUnits/12*LY$8*LY$11,0)</f>
        <v/>
      </c>
      <c r="LZ30" s="18">
        <f>IF(335&gt;=DeliverStart,ExpContractPerUnit*TotalUnits/12*LZ$8*LZ$11,0)</f>
        <v/>
      </c>
      <c r="MA30" s="18">
        <f>IF(336&gt;=DeliverStart,ExpContractPerUnit*TotalUnits/12*MA$8*MA$11,0)</f>
        <v/>
      </c>
      <c r="MB30" s="18">
        <f>IF(337&gt;=DeliverStart,ExpContractPerUnit*TotalUnits/12*MB$8*MB$11,0)</f>
        <v/>
      </c>
      <c r="MC30" s="18">
        <f>IF(338&gt;=DeliverStart,ExpContractPerUnit*TotalUnits/12*MC$8*MC$11,0)</f>
        <v/>
      </c>
      <c r="MD30" s="18">
        <f>IF(339&gt;=DeliverStart,ExpContractPerUnit*TotalUnits/12*MD$8*MD$11,0)</f>
        <v/>
      </c>
      <c r="ME30" s="18">
        <f>IF(340&gt;=DeliverStart,ExpContractPerUnit*TotalUnits/12*ME$8*ME$11,0)</f>
        <v/>
      </c>
      <c r="MF30" s="18">
        <f>IF(341&gt;=DeliverStart,ExpContractPerUnit*TotalUnits/12*MF$8*MF$11,0)</f>
        <v/>
      </c>
      <c r="MG30" s="18">
        <f>IF(342&gt;=DeliverStart,ExpContractPerUnit*TotalUnits/12*MG$8*MG$11,0)</f>
        <v/>
      </c>
      <c r="MH30" s="18">
        <f>IF(343&gt;=DeliverStart,ExpContractPerUnit*TotalUnits/12*MH$8*MH$11,0)</f>
        <v/>
      </c>
      <c r="MI30" s="18">
        <f>IF(344&gt;=DeliverStart,ExpContractPerUnit*TotalUnits/12*MI$8*MI$11,0)</f>
        <v/>
      </c>
      <c r="MJ30" s="18">
        <f>IF(345&gt;=DeliverStart,ExpContractPerUnit*TotalUnits/12*MJ$8*MJ$11,0)</f>
        <v/>
      </c>
      <c r="MK30" s="18">
        <f>IF(346&gt;=DeliverStart,ExpContractPerUnit*TotalUnits/12*MK$8*MK$11,0)</f>
        <v/>
      </c>
      <c r="ML30" s="18">
        <f>IF(347&gt;=DeliverStart,ExpContractPerUnit*TotalUnits/12*ML$8*ML$11,0)</f>
        <v/>
      </c>
      <c r="MM30" s="18">
        <f>IF(348&gt;=DeliverStart,ExpContractPerUnit*TotalUnits/12*MM$8*MM$11,0)</f>
        <v/>
      </c>
      <c r="MN30" s="18">
        <f>IF(349&gt;=DeliverStart,ExpContractPerUnit*TotalUnits/12*MN$8*MN$11,0)</f>
        <v/>
      </c>
      <c r="MO30" s="18">
        <f>IF(350&gt;=DeliverStart,ExpContractPerUnit*TotalUnits/12*MO$8*MO$11,0)</f>
        <v/>
      </c>
      <c r="MP30" s="18">
        <f>IF(351&gt;=DeliverStart,ExpContractPerUnit*TotalUnits/12*MP$8*MP$11,0)</f>
        <v/>
      </c>
      <c r="MQ30" s="18">
        <f>IF(352&gt;=DeliverStart,ExpContractPerUnit*TotalUnits/12*MQ$8*MQ$11,0)</f>
        <v/>
      </c>
      <c r="MR30" s="18">
        <f>IF(353&gt;=DeliverStart,ExpContractPerUnit*TotalUnits/12*MR$8*MR$11,0)</f>
        <v/>
      </c>
      <c r="MS30" s="18">
        <f>IF(354&gt;=DeliverStart,ExpContractPerUnit*TotalUnits/12*MS$8*MS$11,0)</f>
        <v/>
      </c>
      <c r="MT30" s="18">
        <f>IF(355&gt;=DeliverStart,ExpContractPerUnit*TotalUnits/12*MT$8*MT$11,0)</f>
        <v/>
      </c>
      <c r="MU30" s="18">
        <f>IF(356&gt;=DeliverStart,ExpContractPerUnit*TotalUnits/12*MU$8*MU$11,0)</f>
        <v/>
      </c>
      <c r="MV30" s="18">
        <f>IF(357&gt;=DeliverStart,ExpContractPerUnit*TotalUnits/12*MV$8*MV$11,0)</f>
        <v/>
      </c>
      <c r="MW30" s="18">
        <f>IF(358&gt;=DeliverStart,ExpContractPerUnit*TotalUnits/12*MW$8*MW$11,0)</f>
        <v/>
      </c>
      <c r="MX30" s="18">
        <f>IF(359&gt;=DeliverStart,ExpContractPerUnit*TotalUnits/12*MX$8*MX$11,0)</f>
        <v/>
      </c>
      <c r="MY30" s="18">
        <f>IF(360&gt;=DeliverStart,ExpContractPerUnit*TotalUnits/12*MY$8*MY$11,0)</f>
        <v/>
      </c>
      <c r="MZ30" s="18">
        <f>IF(361&gt;=DeliverStart,ExpContractPerUnit*TotalUnits/12*MZ$8*MZ$11,0)</f>
        <v/>
      </c>
      <c r="NA30" s="18">
        <f>IF(362&gt;=DeliverStart,ExpContractPerUnit*TotalUnits/12*NA$8*NA$11,0)</f>
        <v/>
      </c>
      <c r="NB30" s="18">
        <f>IF(363&gt;=DeliverStart,ExpContractPerUnit*TotalUnits/12*NB$8*NB$11,0)</f>
        <v/>
      </c>
      <c r="NC30" s="18">
        <f>IF(364&gt;=DeliverStart,ExpContractPerUnit*TotalUnits/12*NC$8*NC$11,0)</f>
        <v/>
      </c>
      <c r="ND30" s="18">
        <f>IF(365&gt;=DeliverStart,ExpContractPerUnit*TotalUnits/12*ND$8*ND$11,0)</f>
        <v/>
      </c>
      <c r="NE30" s="18">
        <f>IF(366&gt;=DeliverStart,ExpContractPerUnit*TotalUnits/12*NE$8*NE$11,0)</f>
        <v/>
      </c>
      <c r="NF30" s="18">
        <f>IF(367&gt;=DeliverStart,ExpContractPerUnit*TotalUnits/12*NF$8*NF$11,0)</f>
        <v/>
      </c>
      <c r="NG30" s="18">
        <f>IF(368&gt;=DeliverStart,ExpContractPerUnit*TotalUnits/12*NG$8*NG$11,0)</f>
        <v/>
      </c>
      <c r="NH30" s="18">
        <f>IF(369&gt;=DeliverStart,ExpContractPerUnit*TotalUnits/12*NH$8*NH$11,0)</f>
        <v/>
      </c>
      <c r="NI30" s="18">
        <f>IF(370&gt;=DeliverStart,ExpContractPerUnit*TotalUnits/12*NI$8*NI$11,0)</f>
        <v/>
      </c>
      <c r="NJ30" s="18">
        <f>IF(371&gt;=DeliverStart,ExpContractPerUnit*TotalUnits/12*NJ$8*NJ$11,0)</f>
        <v/>
      </c>
      <c r="NK30" s="18">
        <f>IF(372&gt;=DeliverStart,ExpContractPerUnit*TotalUnits/12*NK$8*NK$11,0)</f>
        <v/>
      </c>
    </row>
    <row r="31">
      <c r="A31" s="5" t="inlineStr">
        <is>
          <t>Payroll (elevated)</t>
        </is>
      </c>
      <c r="C31" s="41">
        <f>SUM(D31:NK31)</f>
        <v/>
      </c>
      <c r="D31" s="18">
        <f>IF(1&gt;=DeliverStart,ExpPayrollPerUnit*TotalUnits/12*D$8*D$12,0)</f>
        <v/>
      </c>
      <c r="E31" s="18">
        <f>IF(2&gt;=DeliverStart,ExpPayrollPerUnit*TotalUnits/12*E$8*E$12,0)</f>
        <v/>
      </c>
      <c r="F31" s="18">
        <f>IF(3&gt;=DeliverStart,ExpPayrollPerUnit*TotalUnits/12*F$8*F$12,0)</f>
        <v/>
      </c>
      <c r="G31" s="18">
        <f>IF(4&gt;=DeliverStart,ExpPayrollPerUnit*TotalUnits/12*G$8*G$12,0)</f>
        <v/>
      </c>
      <c r="H31" s="18">
        <f>IF(5&gt;=DeliverStart,ExpPayrollPerUnit*TotalUnits/12*H$8*H$12,0)</f>
        <v/>
      </c>
      <c r="I31" s="18">
        <f>IF(6&gt;=DeliverStart,ExpPayrollPerUnit*TotalUnits/12*I$8*I$12,0)</f>
        <v/>
      </c>
      <c r="J31" s="18">
        <f>IF(7&gt;=DeliverStart,ExpPayrollPerUnit*TotalUnits/12*J$8*J$12,0)</f>
        <v/>
      </c>
      <c r="K31" s="18">
        <f>IF(8&gt;=DeliverStart,ExpPayrollPerUnit*TotalUnits/12*K$8*K$12,0)</f>
        <v/>
      </c>
      <c r="L31" s="18">
        <f>IF(9&gt;=DeliverStart,ExpPayrollPerUnit*TotalUnits/12*L$8*L$12,0)</f>
        <v/>
      </c>
      <c r="M31" s="18">
        <f>IF(10&gt;=DeliverStart,ExpPayrollPerUnit*TotalUnits/12*M$8*M$12,0)</f>
        <v/>
      </c>
      <c r="N31" s="18">
        <f>IF(11&gt;=DeliverStart,ExpPayrollPerUnit*TotalUnits/12*N$8*N$12,0)</f>
        <v/>
      </c>
      <c r="O31" s="18">
        <f>IF(12&gt;=DeliverStart,ExpPayrollPerUnit*TotalUnits/12*O$8*O$12,0)</f>
        <v/>
      </c>
      <c r="P31" s="18">
        <f>IF(13&gt;=DeliverStart,ExpPayrollPerUnit*TotalUnits/12*P$8*P$12,0)</f>
        <v/>
      </c>
      <c r="Q31" s="18">
        <f>IF(14&gt;=DeliverStart,ExpPayrollPerUnit*TotalUnits/12*Q$8*Q$12,0)</f>
        <v/>
      </c>
      <c r="R31" s="18">
        <f>IF(15&gt;=DeliverStart,ExpPayrollPerUnit*TotalUnits/12*R$8*R$12,0)</f>
        <v/>
      </c>
      <c r="S31" s="18">
        <f>IF(16&gt;=DeliverStart,ExpPayrollPerUnit*TotalUnits/12*S$8*S$12,0)</f>
        <v/>
      </c>
      <c r="T31" s="18">
        <f>IF(17&gt;=DeliverStart,ExpPayrollPerUnit*TotalUnits/12*T$8*T$12,0)</f>
        <v/>
      </c>
      <c r="U31" s="18">
        <f>IF(18&gt;=DeliverStart,ExpPayrollPerUnit*TotalUnits/12*U$8*U$12,0)</f>
        <v/>
      </c>
      <c r="V31" s="18">
        <f>IF(19&gt;=DeliverStart,ExpPayrollPerUnit*TotalUnits/12*V$8*V$12,0)</f>
        <v/>
      </c>
      <c r="W31" s="18">
        <f>IF(20&gt;=DeliverStart,ExpPayrollPerUnit*TotalUnits/12*W$8*W$12,0)</f>
        <v/>
      </c>
      <c r="X31" s="18">
        <f>IF(21&gt;=DeliverStart,ExpPayrollPerUnit*TotalUnits/12*X$8*X$12,0)</f>
        <v/>
      </c>
      <c r="Y31" s="18">
        <f>IF(22&gt;=DeliverStart,ExpPayrollPerUnit*TotalUnits/12*Y$8*Y$12,0)</f>
        <v/>
      </c>
      <c r="Z31" s="18">
        <f>IF(23&gt;=DeliverStart,ExpPayrollPerUnit*TotalUnits/12*Z$8*Z$12,0)</f>
        <v/>
      </c>
      <c r="AA31" s="18">
        <f>IF(24&gt;=DeliverStart,ExpPayrollPerUnit*TotalUnits/12*AA$8*AA$12,0)</f>
        <v/>
      </c>
      <c r="AB31" s="18">
        <f>IF(25&gt;=DeliverStart,ExpPayrollPerUnit*TotalUnits/12*AB$8*AB$12,0)</f>
        <v/>
      </c>
      <c r="AC31" s="18">
        <f>IF(26&gt;=DeliverStart,ExpPayrollPerUnit*TotalUnits/12*AC$8*AC$12,0)</f>
        <v/>
      </c>
      <c r="AD31" s="18">
        <f>IF(27&gt;=DeliverStart,ExpPayrollPerUnit*TotalUnits/12*AD$8*AD$12,0)</f>
        <v/>
      </c>
      <c r="AE31" s="18">
        <f>IF(28&gt;=DeliverStart,ExpPayrollPerUnit*TotalUnits/12*AE$8*AE$12,0)</f>
        <v/>
      </c>
      <c r="AF31" s="18">
        <f>IF(29&gt;=DeliverStart,ExpPayrollPerUnit*TotalUnits/12*AF$8*AF$12,0)</f>
        <v/>
      </c>
      <c r="AG31" s="18">
        <f>IF(30&gt;=DeliverStart,ExpPayrollPerUnit*TotalUnits/12*AG$8*AG$12,0)</f>
        <v/>
      </c>
      <c r="AH31" s="18">
        <f>IF(31&gt;=DeliverStart,ExpPayrollPerUnit*TotalUnits/12*AH$8*AH$12,0)</f>
        <v/>
      </c>
      <c r="AI31" s="18">
        <f>IF(32&gt;=DeliverStart,ExpPayrollPerUnit*TotalUnits/12*AI$8*AI$12,0)</f>
        <v/>
      </c>
      <c r="AJ31" s="18">
        <f>IF(33&gt;=DeliverStart,ExpPayrollPerUnit*TotalUnits/12*AJ$8*AJ$12,0)</f>
        <v/>
      </c>
      <c r="AK31" s="18">
        <f>IF(34&gt;=DeliverStart,ExpPayrollPerUnit*TotalUnits/12*AK$8*AK$12,0)</f>
        <v/>
      </c>
      <c r="AL31" s="18">
        <f>IF(35&gt;=DeliverStart,ExpPayrollPerUnit*TotalUnits/12*AL$8*AL$12,0)</f>
        <v/>
      </c>
      <c r="AM31" s="18">
        <f>IF(36&gt;=DeliverStart,ExpPayrollPerUnit*TotalUnits/12*AM$8*AM$12,0)</f>
        <v/>
      </c>
      <c r="AN31" s="18">
        <f>IF(37&gt;=DeliverStart,ExpPayrollPerUnit*TotalUnits/12*AN$8*AN$12,0)</f>
        <v/>
      </c>
      <c r="AO31" s="18">
        <f>IF(38&gt;=DeliverStart,ExpPayrollPerUnit*TotalUnits/12*AO$8*AO$12,0)</f>
        <v/>
      </c>
      <c r="AP31" s="18">
        <f>IF(39&gt;=DeliverStart,ExpPayrollPerUnit*TotalUnits/12*AP$8*AP$12,0)</f>
        <v/>
      </c>
      <c r="AQ31" s="18">
        <f>IF(40&gt;=DeliverStart,ExpPayrollPerUnit*TotalUnits/12*AQ$8*AQ$12,0)</f>
        <v/>
      </c>
      <c r="AR31" s="18">
        <f>IF(41&gt;=DeliverStart,ExpPayrollPerUnit*TotalUnits/12*AR$8*AR$12,0)</f>
        <v/>
      </c>
      <c r="AS31" s="18">
        <f>IF(42&gt;=DeliverStart,ExpPayrollPerUnit*TotalUnits/12*AS$8*AS$12,0)</f>
        <v/>
      </c>
      <c r="AT31" s="18">
        <f>IF(43&gt;=DeliverStart,ExpPayrollPerUnit*TotalUnits/12*AT$8*AT$12,0)</f>
        <v/>
      </c>
      <c r="AU31" s="18">
        <f>IF(44&gt;=DeliverStart,ExpPayrollPerUnit*TotalUnits/12*AU$8*AU$12,0)</f>
        <v/>
      </c>
      <c r="AV31" s="18">
        <f>IF(45&gt;=DeliverStart,ExpPayrollPerUnit*TotalUnits/12*AV$8*AV$12,0)</f>
        <v/>
      </c>
      <c r="AW31" s="18">
        <f>IF(46&gt;=DeliverStart,ExpPayrollPerUnit*TotalUnits/12*AW$8*AW$12,0)</f>
        <v/>
      </c>
      <c r="AX31" s="18">
        <f>IF(47&gt;=DeliverStart,ExpPayrollPerUnit*TotalUnits/12*AX$8*AX$12,0)</f>
        <v/>
      </c>
      <c r="AY31" s="18">
        <f>IF(48&gt;=DeliverStart,ExpPayrollPerUnit*TotalUnits/12*AY$8*AY$12,0)</f>
        <v/>
      </c>
      <c r="AZ31" s="18">
        <f>IF(49&gt;=DeliverStart,ExpPayrollPerUnit*TotalUnits/12*AZ$8*AZ$12,0)</f>
        <v/>
      </c>
      <c r="BA31" s="18">
        <f>IF(50&gt;=DeliverStart,ExpPayrollPerUnit*TotalUnits/12*BA$8*BA$12,0)</f>
        <v/>
      </c>
      <c r="BB31" s="18">
        <f>IF(51&gt;=DeliverStart,ExpPayrollPerUnit*TotalUnits/12*BB$8*BB$12,0)</f>
        <v/>
      </c>
      <c r="BC31" s="18">
        <f>IF(52&gt;=DeliverStart,ExpPayrollPerUnit*TotalUnits/12*BC$8*BC$12,0)</f>
        <v/>
      </c>
      <c r="BD31" s="18">
        <f>IF(53&gt;=DeliverStart,ExpPayrollPerUnit*TotalUnits/12*BD$8*BD$12,0)</f>
        <v/>
      </c>
      <c r="BE31" s="18">
        <f>IF(54&gt;=DeliverStart,ExpPayrollPerUnit*TotalUnits/12*BE$8*BE$12,0)</f>
        <v/>
      </c>
      <c r="BF31" s="18">
        <f>IF(55&gt;=DeliverStart,ExpPayrollPerUnit*TotalUnits/12*BF$8*BF$12,0)</f>
        <v/>
      </c>
      <c r="BG31" s="18">
        <f>IF(56&gt;=DeliverStart,ExpPayrollPerUnit*TotalUnits/12*BG$8*BG$12,0)</f>
        <v/>
      </c>
      <c r="BH31" s="18">
        <f>IF(57&gt;=DeliverStart,ExpPayrollPerUnit*TotalUnits/12*BH$8*BH$12,0)</f>
        <v/>
      </c>
      <c r="BI31" s="18">
        <f>IF(58&gt;=DeliverStart,ExpPayrollPerUnit*TotalUnits/12*BI$8*BI$12,0)</f>
        <v/>
      </c>
      <c r="BJ31" s="18">
        <f>IF(59&gt;=DeliverStart,ExpPayrollPerUnit*TotalUnits/12*BJ$8*BJ$12,0)</f>
        <v/>
      </c>
      <c r="BK31" s="18">
        <f>IF(60&gt;=DeliverStart,ExpPayrollPerUnit*TotalUnits/12*BK$8*BK$12,0)</f>
        <v/>
      </c>
      <c r="BL31" s="18">
        <f>IF(61&gt;=DeliverStart,ExpPayrollPerUnit*TotalUnits/12*BL$8*BL$12,0)</f>
        <v/>
      </c>
      <c r="BM31" s="18">
        <f>IF(62&gt;=DeliverStart,ExpPayrollPerUnit*TotalUnits/12*BM$8*BM$12,0)</f>
        <v/>
      </c>
      <c r="BN31" s="18">
        <f>IF(63&gt;=DeliverStart,ExpPayrollPerUnit*TotalUnits/12*BN$8*BN$12,0)</f>
        <v/>
      </c>
      <c r="BO31" s="18">
        <f>IF(64&gt;=DeliverStart,ExpPayrollPerUnit*TotalUnits/12*BO$8*BO$12,0)</f>
        <v/>
      </c>
      <c r="BP31" s="18">
        <f>IF(65&gt;=DeliverStart,ExpPayrollPerUnit*TotalUnits/12*BP$8*BP$12,0)</f>
        <v/>
      </c>
      <c r="BQ31" s="18">
        <f>IF(66&gt;=DeliverStart,ExpPayrollPerUnit*TotalUnits/12*BQ$8*BQ$12,0)</f>
        <v/>
      </c>
      <c r="BR31" s="18">
        <f>IF(67&gt;=DeliverStart,ExpPayrollPerUnit*TotalUnits/12*BR$8*BR$12,0)</f>
        <v/>
      </c>
      <c r="BS31" s="18">
        <f>IF(68&gt;=DeliverStart,ExpPayrollPerUnit*TotalUnits/12*BS$8*BS$12,0)</f>
        <v/>
      </c>
      <c r="BT31" s="18">
        <f>IF(69&gt;=DeliverStart,ExpPayrollPerUnit*TotalUnits/12*BT$8*BT$12,0)</f>
        <v/>
      </c>
      <c r="BU31" s="18">
        <f>IF(70&gt;=DeliverStart,ExpPayrollPerUnit*TotalUnits/12*BU$8*BU$12,0)</f>
        <v/>
      </c>
      <c r="BV31" s="18">
        <f>IF(71&gt;=DeliverStart,ExpPayrollPerUnit*TotalUnits/12*BV$8*BV$12,0)</f>
        <v/>
      </c>
      <c r="BW31" s="18">
        <f>IF(72&gt;=DeliverStart,ExpPayrollPerUnit*TotalUnits/12*BW$8*BW$12,0)</f>
        <v/>
      </c>
      <c r="BX31" s="18">
        <f>IF(73&gt;=DeliverStart,ExpPayrollPerUnit*TotalUnits/12*BX$8*BX$12,0)</f>
        <v/>
      </c>
      <c r="BY31" s="18">
        <f>IF(74&gt;=DeliverStart,ExpPayrollPerUnit*TotalUnits/12*BY$8*BY$12,0)</f>
        <v/>
      </c>
      <c r="BZ31" s="18">
        <f>IF(75&gt;=DeliverStart,ExpPayrollPerUnit*TotalUnits/12*BZ$8*BZ$12,0)</f>
        <v/>
      </c>
      <c r="CA31" s="18">
        <f>IF(76&gt;=DeliverStart,ExpPayrollPerUnit*TotalUnits/12*CA$8*CA$12,0)</f>
        <v/>
      </c>
      <c r="CB31" s="18">
        <f>IF(77&gt;=DeliverStart,ExpPayrollPerUnit*TotalUnits/12*CB$8*CB$12,0)</f>
        <v/>
      </c>
      <c r="CC31" s="18">
        <f>IF(78&gt;=DeliverStart,ExpPayrollPerUnit*TotalUnits/12*CC$8*CC$12,0)</f>
        <v/>
      </c>
      <c r="CD31" s="18">
        <f>IF(79&gt;=DeliverStart,ExpPayrollPerUnit*TotalUnits/12*CD$8*CD$12,0)</f>
        <v/>
      </c>
      <c r="CE31" s="18">
        <f>IF(80&gt;=DeliverStart,ExpPayrollPerUnit*TotalUnits/12*CE$8*CE$12,0)</f>
        <v/>
      </c>
      <c r="CF31" s="18">
        <f>IF(81&gt;=DeliverStart,ExpPayrollPerUnit*TotalUnits/12*CF$8*CF$12,0)</f>
        <v/>
      </c>
      <c r="CG31" s="18">
        <f>IF(82&gt;=DeliverStart,ExpPayrollPerUnit*TotalUnits/12*CG$8*CG$12,0)</f>
        <v/>
      </c>
      <c r="CH31" s="18">
        <f>IF(83&gt;=DeliverStart,ExpPayrollPerUnit*TotalUnits/12*CH$8*CH$12,0)</f>
        <v/>
      </c>
      <c r="CI31" s="18">
        <f>IF(84&gt;=DeliverStart,ExpPayrollPerUnit*TotalUnits/12*CI$8*CI$12,0)</f>
        <v/>
      </c>
      <c r="CJ31" s="18">
        <f>IF(85&gt;=DeliverStart,ExpPayrollPerUnit*TotalUnits/12*CJ$8*CJ$12,0)</f>
        <v/>
      </c>
      <c r="CK31" s="18">
        <f>IF(86&gt;=DeliverStart,ExpPayrollPerUnit*TotalUnits/12*CK$8*CK$12,0)</f>
        <v/>
      </c>
      <c r="CL31" s="18">
        <f>IF(87&gt;=DeliverStart,ExpPayrollPerUnit*TotalUnits/12*CL$8*CL$12,0)</f>
        <v/>
      </c>
      <c r="CM31" s="18">
        <f>IF(88&gt;=DeliverStart,ExpPayrollPerUnit*TotalUnits/12*CM$8*CM$12,0)</f>
        <v/>
      </c>
      <c r="CN31" s="18">
        <f>IF(89&gt;=DeliverStart,ExpPayrollPerUnit*TotalUnits/12*CN$8*CN$12,0)</f>
        <v/>
      </c>
      <c r="CO31" s="18">
        <f>IF(90&gt;=DeliverStart,ExpPayrollPerUnit*TotalUnits/12*CO$8*CO$12,0)</f>
        <v/>
      </c>
      <c r="CP31" s="18">
        <f>IF(91&gt;=DeliverStart,ExpPayrollPerUnit*TotalUnits/12*CP$8*CP$12,0)</f>
        <v/>
      </c>
      <c r="CQ31" s="18">
        <f>IF(92&gt;=DeliverStart,ExpPayrollPerUnit*TotalUnits/12*CQ$8*CQ$12,0)</f>
        <v/>
      </c>
      <c r="CR31" s="18">
        <f>IF(93&gt;=DeliverStart,ExpPayrollPerUnit*TotalUnits/12*CR$8*CR$12,0)</f>
        <v/>
      </c>
      <c r="CS31" s="18">
        <f>IF(94&gt;=DeliverStart,ExpPayrollPerUnit*TotalUnits/12*CS$8*CS$12,0)</f>
        <v/>
      </c>
      <c r="CT31" s="18">
        <f>IF(95&gt;=DeliverStart,ExpPayrollPerUnit*TotalUnits/12*CT$8*CT$12,0)</f>
        <v/>
      </c>
      <c r="CU31" s="18">
        <f>IF(96&gt;=DeliverStart,ExpPayrollPerUnit*TotalUnits/12*CU$8*CU$12,0)</f>
        <v/>
      </c>
      <c r="CV31" s="18">
        <f>IF(97&gt;=DeliverStart,ExpPayrollPerUnit*TotalUnits/12*CV$8*CV$12,0)</f>
        <v/>
      </c>
      <c r="CW31" s="18">
        <f>IF(98&gt;=DeliverStart,ExpPayrollPerUnit*TotalUnits/12*CW$8*CW$12,0)</f>
        <v/>
      </c>
      <c r="CX31" s="18">
        <f>IF(99&gt;=DeliverStart,ExpPayrollPerUnit*TotalUnits/12*CX$8*CX$12,0)</f>
        <v/>
      </c>
      <c r="CY31" s="18">
        <f>IF(100&gt;=DeliverStart,ExpPayrollPerUnit*TotalUnits/12*CY$8*CY$12,0)</f>
        <v/>
      </c>
      <c r="CZ31" s="18">
        <f>IF(101&gt;=DeliverStart,ExpPayrollPerUnit*TotalUnits/12*CZ$8*CZ$12,0)</f>
        <v/>
      </c>
      <c r="DA31" s="18">
        <f>IF(102&gt;=DeliverStart,ExpPayrollPerUnit*TotalUnits/12*DA$8*DA$12,0)</f>
        <v/>
      </c>
      <c r="DB31" s="18">
        <f>IF(103&gt;=DeliverStart,ExpPayrollPerUnit*TotalUnits/12*DB$8*DB$12,0)</f>
        <v/>
      </c>
      <c r="DC31" s="18">
        <f>IF(104&gt;=DeliverStart,ExpPayrollPerUnit*TotalUnits/12*DC$8*DC$12,0)</f>
        <v/>
      </c>
      <c r="DD31" s="18">
        <f>IF(105&gt;=DeliverStart,ExpPayrollPerUnit*TotalUnits/12*DD$8*DD$12,0)</f>
        <v/>
      </c>
      <c r="DE31" s="18">
        <f>IF(106&gt;=DeliverStart,ExpPayrollPerUnit*TotalUnits/12*DE$8*DE$12,0)</f>
        <v/>
      </c>
      <c r="DF31" s="18">
        <f>IF(107&gt;=DeliverStart,ExpPayrollPerUnit*TotalUnits/12*DF$8*DF$12,0)</f>
        <v/>
      </c>
      <c r="DG31" s="18">
        <f>IF(108&gt;=DeliverStart,ExpPayrollPerUnit*TotalUnits/12*DG$8*DG$12,0)</f>
        <v/>
      </c>
      <c r="DH31" s="18">
        <f>IF(109&gt;=DeliverStart,ExpPayrollPerUnit*TotalUnits/12*DH$8*DH$12,0)</f>
        <v/>
      </c>
      <c r="DI31" s="18">
        <f>IF(110&gt;=DeliverStart,ExpPayrollPerUnit*TotalUnits/12*DI$8*DI$12,0)</f>
        <v/>
      </c>
      <c r="DJ31" s="18">
        <f>IF(111&gt;=DeliverStart,ExpPayrollPerUnit*TotalUnits/12*DJ$8*DJ$12,0)</f>
        <v/>
      </c>
      <c r="DK31" s="18">
        <f>IF(112&gt;=DeliverStart,ExpPayrollPerUnit*TotalUnits/12*DK$8*DK$12,0)</f>
        <v/>
      </c>
      <c r="DL31" s="18">
        <f>IF(113&gt;=DeliverStart,ExpPayrollPerUnit*TotalUnits/12*DL$8*DL$12,0)</f>
        <v/>
      </c>
      <c r="DM31" s="18">
        <f>IF(114&gt;=DeliverStart,ExpPayrollPerUnit*TotalUnits/12*DM$8*DM$12,0)</f>
        <v/>
      </c>
      <c r="DN31" s="18">
        <f>IF(115&gt;=DeliverStart,ExpPayrollPerUnit*TotalUnits/12*DN$8*DN$12,0)</f>
        <v/>
      </c>
      <c r="DO31" s="18">
        <f>IF(116&gt;=DeliverStart,ExpPayrollPerUnit*TotalUnits/12*DO$8*DO$12,0)</f>
        <v/>
      </c>
      <c r="DP31" s="18">
        <f>IF(117&gt;=DeliverStart,ExpPayrollPerUnit*TotalUnits/12*DP$8*DP$12,0)</f>
        <v/>
      </c>
      <c r="DQ31" s="18">
        <f>IF(118&gt;=DeliverStart,ExpPayrollPerUnit*TotalUnits/12*DQ$8*DQ$12,0)</f>
        <v/>
      </c>
      <c r="DR31" s="18">
        <f>IF(119&gt;=DeliverStart,ExpPayrollPerUnit*TotalUnits/12*DR$8*DR$12,0)</f>
        <v/>
      </c>
      <c r="DS31" s="18">
        <f>IF(120&gt;=DeliverStart,ExpPayrollPerUnit*TotalUnits/12*DS$8*DS$12,0)</f>
        <v/>
      </c>
      <c r="DT31" s="18">
        <f>IF(121&gt;=DeliverStart,ExpPayrollPerUnit*TotalUnits/12*DT$8*DT$12,0)</f>
        <v/>
      </c>
      <c r="DU31" s="18">
        <f>IF(122&gt;=DeliverStart,ExpPayrollPerUnit*TotalUnits/12*DU$8*DU$12,0)</f>
        <v/>
      </c>
      <c r="DV31" s="18">
        <f>IF(123&gt;=DeliverStart,ExpPayrollPerUnit*TotalUnits/12*DV$8*DV$12,0)</f>
        <v/>
      </c>
      <c r="DW31" s="18">
        <f>IF(124&gt;=DeliverStart,ExpPayrollPerUnit*TotalUnits/12*DW$8*DW$12,0)</f>
        <v/>
      </c>
      <c r="DX31" s="18">
        <f>IF(125&gt;=DeliverStart,ExpPayrollPerUnit*TotalUnits/12*DX$8*DX$12,0)</f>
        <v/>
      </c>
      <c r="DY31" s="18">
        <f>IF(126&gt;=DeliverStart,ExpPayrollPerUnit*TotalUnits/12*DY$8*DY$12,0)</f>
        <v/>
      </c>
      <c r="DZ31" s="18">
        <f>IF(127&gt;=DeliverStart,ExpPayrollPerUnit*TotalUnits/12*DZ$8*DZ$12,0)</f>
        <v/>
      </c>
      <c r="EA31" s="18">
        <f>IF(128&gt;=DeliverStart,ExpPayrollPerUnit*TotalUnits/12*EA$8*EA$12,0)</f>
        <v/>
      </c>
      <c r="EB31" s="18">
        <f>IF(129&gt;=DeliverStart,ExpPayrollPerUnit*TotalUnits/12*EB$8*EB$12,0)</f>
        <v/>
      </c>
      <c r="EC31" s="18">
        <f>IF(130&gt;=DeliverStart,ExpPayrollPerUnit*TotalUnits/12*EC$8*EC$12,0)</f>
        <v/>
      </c>
      <c r="ED31" s="18">
        <f>IF(131&gt;=DeliverStart,ExpPayrollPerUnit*TotalUnits/12*ED$8*ED$12,0)</f>
        <v/>
      </c>
      <c r="EE31" s="18">
        <f>IF(132&gt;=DeliverStart,ExpPayrollPerUnit*TotalUnits/12*EE$8*EE$12,0)</f>
        <v/>
      </c>
      <c r="EF31" s="18">
        <f>IF(133&gt;=DeliverStart,ExpPayrollPerUnit*TotalUnits/12*EF$8*EF$12,0)</f>
        <v/>
      </c>
      <c r="EG31" s="18">
        <f>IF(134&gt;=DeliverStart,ExpPayrollPerUnit*TotalUnits/12*EG$8*EG$12,0)</f>
        <v/>
      </c>
      <c r="EH31" s="18">
        <f>IF(135&gt;=DeliverStart,ExpPayrollPerUnit*TotalUnits/12*EH$8*EH$12,0)</f>
        <v/>
      </c>
      <c r="EI31" s="18">
        <f>IF(136&gt;=DeliverStart,ExpPayrollPerUnit*TotalUnits/12*EI$8*EI$12,0)</f>
        <v/>
      </c>
      <c r="EJ31" s="18">
        <f>IF(137&gt;=DeliverStart,ExpPayrollPerUnit*TotalUnits/12*EJ$8*EJ$12,0)</f>
        <v/>
      </c>
      <c r="EK31" s="18">
        <f>IF(138&gt;=DeliverStart,ExpPayrollPerUnit*TotalUnits/12*EK$8*EK$12,0)</f>
        <v/>
      </c>
      <c r="EL31" s="18">
        <f>IF(139&gt;=DeliverStart,ExpPayrollPerUnit*TotalUnits/12*EL$8*EL$12,0)</f>
        <v/>
      </c>
      <c r="EM31" s="18">
        <f>IF(140&gt;=DeliverStart,ExpPayrollPerUnit*TotalUnits/12*EM$8*EM$12,0)</f>
        <v/>
      </c>
      <c r="EN31" s="18">
        <f>IF(141&gt;=DeliverStart,ExpPayrollPerUnit*TotalUnits/12*EN$8*EN$12,0)</f>
        <v/>
      </c>
      <c r="EO31" s="18">
        <f>IF(142&gt;=DeliverStart,ExpPayrollPerUnit*TotalUnits/12*EO$8*EO$12,0)</f>
        <v/>
      </c>
      <c r="EP31" s="18">
        <f>IF(143&gt;=DeliverStart,ExpPayrollPerUnit*TotalUnits/12*EP$8*EP$12,0)</f>
        <v/>
      </c>
      <c r="EQ31" s="18">
        <f>IF(144&gt;=DeliverStart,ExpPayrollPerUnit*TotalUnits/12*EQ$8*EQ$12,0)</f>
        <v/>
      </c>
      <c r="ER31" s="18">
        <f>IF(145&gt;=DeliverStart,ExpPayrollPerUnit*TotalUnits/12*ER$8*ER$12,0)</f>
        <v/>
      </c>
      <c r="ES31" s="18">
        <f>IF(146&gt;=DeliverStart,ExpPayrollPerUnit*TotalUnits/12*ES$8*ES$12,0)</f>
        <v/>
      </c>
      <c r="ET31" s="18">
        <f>IF(147&gt;=DeliverStart,ExpPayrollPerUnit*TotalUnits/12*ET$8*ET$12,0)</f>
        <v/>
      </c>
      <c r="EU31" s="18">
        <f>IF(148&gt;=DeliverStart,ExpPayrollPerUnit*TotalUnits/12*EU$8*EU$12,0)</f>
        <v/>
      </c>
      <c r="EV31" s="18">
        <f>IF(149&gt;=DeliverStart,ExpPayrollPerUnit*TotalUnits/12*EV$8*EV$12,0)</f>
        <v/>
      </c>
      <c r="EW31" s="18">
        <f>IF(150&gt;=DeliverStart,ExpPayrollPerUnit*TotalUnits/12*EW$8*EW$12,0)</f>
        <v/>
      </c>
      <c r="EX31" s="18">
        <f>IF(151&gt;=DeliverStart,ExpPayrollPerUnit*TotalUnits/12*EX$8*EX$12,0)</f>
        <v/>
      </c>
      <c r="EY31" s="18">
        <f>IF(152&gt;=DeliverStart,ExpPayrollPerUnit*TotalUnits/12*EY$8*EY$12,0)</f>
        <v/>
      </c>
      <c r="EZ31" s="18">
        <f>IF(153&gt;=DeliverStart,ExpPayrollPerUnit*TotalUnits/12*EZ$8*EZ$12,0)</f>
        <v/>
      </c>
      <c r="FA31" s="18">
        <f>IF(154&gt;=DeliverStart,ExpPayrollPerUnit*TotalUnits/12*FA$8*FA$12,0)</f>
        <v/>
      </c>
      <c r="FB31" s="18">
        <f>IF(155&gt;=DeliverStart,ExpPayrollPerUnit*TotalUnits/12*FB$8*FB$12,0)</f>
        <v/>
      </c>
      <c r="FC31" s="18">
        <f>IF(156&gt;=DeliverStart,ExpPayrollPerUnit*TotalUnits/12*FC$8*FC$12,0)</f>
        <v/>
      </c>
      <c r="FD31" s="18">
        <f>IF(157&gt;=DeliverStart,ExpPayrollPerUnit*TotalUnits/12*FD$8*FD$12,0)</f>
        <v/>
      </c>
      <c r="FE31" s="18">
        <f>IF(158&gt;=DeliverStart,ExpPayrollPerUnit*TotalUnits/12*FE$8*FE$12,0)</f>
        <v/>
      </c>
      <c r="FF31" s="18">
        <f>IF(159&gt;=DeliverStart,ExpPayrollPerUnit*TotalUnits/12*FF$8*FF$12,0)</f>
        <v/>
      </c>
      <c r="FG31" s="18">
        <f>IF(160&gt;=DeliverStart,ExpPayrollPerUnit*TotalUnits/12*FG$8*FG$12,0)</f>
        <v/>
      </c>
      <c r="FH31" s="18">
        <f>IF(161&gt;=DeliverStart,ExpPayrollPerUnit*TotalUnits/12*FH$8*FH$12,0)</f>
        <v/>
      </c>
      <c r="FI31" s="18">
        <f>IF(162&gt;=DeliverStart,ExpPayrollPerUnit*TotalUnits/12*FI$8*FI$12,0)</f>
        <v/>
      </c>
      <c r="FJ31" s="18">
        <f>IF(163&gt;=DeliverStart,ExpPayrollPerUnit*TotalUnits/12*FJ$8*FJ$12,0)</f>
        <v/>
      </c>
      <c r="FK31" s="18">
        <f>IF(164&gt;=DeliverStart,ExpPayrollPerUnit*TotalUnits/12*FK$8*FK$12,0)</f>
        <v/>
      </c>
      <c r="FL31" s="18">
        <f>IF(165&gt;=DeliverStart,ExpPayrollPerUnit*TotalUnits/12*FL$8*FL$12,0)</f>
        <v/>
      </c>
      <c r="FM31" s="18">
        <f>IF(166&gt;=DeliverStart,ExpPayrollPerUnit*TotalUnits/12*FM$8*FM$12,0)</f>
        <v/>
      </c>
      <c r="FN31" s="18">
        <f>IF(167&gt;=DeliverStart,ExpPayrollPerUnit*TotalUnits/12*FN$8*FN$12,0)</f>
        <v/>
      </c>
      <c r="FO31" s="18">
        <f>IF(168&gt;=DeliverStart,ExpPayrollPerUnit*TotalUnits/12*FO$8*FO$12,0)</f>
        <v/>
      </c>
      <c r="FP31" s="18">
        <f>IF(169&gt;=DeliverStart,ExpPayrollPerUnit*TotalUnits/12*FP$8*FP$12,0)</f>
        <v/>
      </c>
      <c r="FQ31" s="18">
        <f>IF(170&gt;=DeliverStart,ExpPayrollPerUnit*TotalUnits/12*FQ$8*FQ$12,0)</f>
        <v/>
      </c>
      <c r="FR31" s="18">
        <f>IF(171&gt;=DeliverStart,ExpPayrollPerUnit*TotalUnits/12*FR$8*FR$12,0)</f>
        <v/>
      </c>
      <c r="FS31" s="18">
        <f>IF(172&gt;=DeliverStart,ExpPayrollPerUnit*TotalUnits/12*FS$8*FS$12,0)</f>
        <v/>
      </c>
      <c r="FT31" s="18">
        <f>IF(173&gt;=DeliverStart,ExpPayrollPerUnit*TotalUnits/12*FT$8*FT$12,0)</f>
        <v/>
      </c>
      <c r="FU31" s="18">
        <f>IF(174&gt;=DeliverStart,ExpPayrollPerUnit*TotalUnits/12*FU$8*FU$12,0)</f>
        <v/>
      </c>
      <c r="FV31" s="18">
        <f>IF(175&gt;=DeliverStart,ExpPayrollPerUnit*TotalUnits/12*FV$8*FV$12,0)</f>
        <v/>
      </c>
      <c r="FW31" s="18">
        <f>IF(176&gt;=DeliverStart,ExpPayrollPerUnit*TotalUnits/12*FW$8*FW$12,0)</f>
        <v/>
      </c>
      <c r="FX31" s="18">
        <f>IF(177&gt;=DeliverStart,ExpPayrollPerUnit*TotalUnits/12*FX$8*FX$12,0)</f>
        <v/>
      </c>
      <c r="FY31" s="18">
        <f>IF(178&gt;=DeliverStart,ExpPayrollPerUnit*TotalUnits/12*FY$8*FY$12,0)</f>
        <v/>
      </c>
      <c r="FZ31" s="18">
        <f>IF(179&gt;=DeliverStart,ExpPayrollPerUnit*TotalUnits/12*FZ$8*FZ$12,0)</f>
        <v/>
      </c>
      <c r="GA31" s="18">
        <f>IF(180&gt;=DeliverStart,ExpPayrollPerUnit*TotalUnits/12*GA$8*GA$12,0)</f>
        <v/>
      </c>
      <c r="GB31" s="18">
        <f>IF(181&gt;=DeliverStart,ExpPayrollPerUnit*TotalUnits/12*GB$8*GB$12,0)</f>
        <v/>
      </c>
      <c r="GC31" s="18">
        <f>IF(182&gt;=DeliverStart,ExpPayrollPerUnit*TotalUnits/12*GC$8*GC$12,0)</f>
        <v/>
      </c>
      <c r="GD31" s="18">
        <f>IF(183&gt;=DeliverStart,ExpPayrollPerUnit*TotalUnits/12*GD$8*GD$12,0)</f>
        <v/>
      </c>
      <c r="GE31" s="18">
        <f>IF(184&gt;=DeliverStart,ExpPayrollPerUnit*TotalUnits/12*GE$8*GE$12,0)</f>
        <v/>
      </c>
      <c r="GF31" s="18">
        <f>IF(185&gt;=DeliverStart,ExpPayrollPerUnit*TotalUnits/12*GF$8*GF$12,0)</f>
        <v/>
      </c>
      <c r="GG31" s="18">
        <f>IF(186&gt;=DeliverStart,ExpPayrollPerUnit*TotalUnits/12*GG$8*GG$12,0)</f>
        <v/>
      </c>
      <c r="GH31" s="18">
        <f>IF(187&gt;=DeliverStart,ExpPayrollPerUnit*TotalUnits/12*GH$8*GH$12,0)</f>
        <v/>
      </c>
      <c r="GI31" s="18">
        <f>IF(188&gt;=DeliverStart,ExpPayrollPerUnit*TotalUnits/12*GI$8*GI$12,0)</f>
        <v/>
      </c>
      <c r="GJ31" s="18">
        <f>IF(189&gt;=DeliverStart,ExpPayrollPerUnit*TotalUnits/12*GJ$8*GJ$12,0)</f>
        <v/>
      </c>
      <c r="GK31" s="18">
        <f>IF(190&gt;=DeliverStart,ExpPayrollPerUnit*TotalUnits/12*GK$8*GK$12,0)</f>
        <v/>
      </c>
      <c r="GL31" s="18">
        <f>IF(191&gt;=DeliverStart,ExpPayrollPerUnit*TotalUnits/12*GL$8*GL$12,0)</f>
        <v/>
      </c>
      <c r="GM31" s="18">
        <f>IF(192&gt;=DeliverStart,ExpPayrollPerUnit*TotalUnits/12*GM$8*GM$12,0)</f>
        <v/>
      </c>
      <c r="GN31" s="18">
        <f>IF(193&gt;=DeliverStart,ExpPayrollPerUnit*TotalUnits/12*GN$8*GN$12,0)</f>
        <v/>
      </c>
      <c r="GO31" s="18">
        <f>IF(194&gt;=DeliverStart,ExpPayrollPerUnit*TotalUnits/12*GO$8*GO$12,0)</f>
        <v/>
      </c>
      <c r="GP31" s="18">
        <f>IF(195&gt;=DeliverStart,ExpPayrollPerUnit*TotalUnits/12*GP$8*GP$12,0)</f>
        <v/>
      </c>
      <c r="GQ31" s="18">
        <f>IF(196&gt;=DeliverStart,ExpPayrollPerUnit*TotalUnits/12*GQ$8*GQ$12,0)</f>
        <v/>
      </c>
      <c r="GR31" s="18">
        <f>IF(197&gt;=DeliverStart,ExpPayrollPerUnit*TotalUnits/12*GR$8*GR$12,0)</f>
        <v/>
      </c>
      <c r="GS31" s="18">
        <f>IF(198&gt;=DeliverStart,ExpPayrollPerUnit*TotalUnits/12*GS$8*GS$12,0)</f>
        <v/>
      </c>
      <c r="GT31" s="18">
        <f>IF(199&gt;=DeliverStart,ExpPayrollPerUnit*TotalUnits/12*GT$8*GT$12,0)</f>
        <v/>
      </c>
      <c r="GU31" s="18">
        <f>IF(200&gt;=DeliverStart,ExpPayrollPerUnit*TotalUnits/12*GU$8*GU$12,0)</f>
        <v/>
      </c>
      <c r="GV31" s="18">
        <f>IF(201&gt;=DeliverStart,ExpPayrollPerUnit*TotalUnits/12*GV$8*GV$12,0)</f>
        <v/>
      </c>
      <c r="GW31" s="18">
        <f>IF(202&gt;=DeliverStart,ExpPayrollPerUnit*TotalUnits/12*GW$8*GW$12,0)</f>
        <v/>
      </c>
      <c r="GX31" s="18">
        <f>IF(203&gt;=DeliverStart,ExpPayrollPerUnit*TotalUnits/12*GX$8*GX$12,0)</f>
        <v/>
      </c>
      <c r="GY31" s="18">
        <f>IF(204&gt;=DeliverStart,ExpPayrollPerUnit*TotalUnits/12*GY$8*GY$12,0)</f>
        <v/>
      </c>
      <c r="GZ31" s="18">
        <f>IF(205&gt;=DeliverStart,ExpPayrollPerUnit*TotalUnits/12*GZ$8*GZ$12,0)</f>
        <v/>
      </c>
      <c r="HA31" s="18">
        <f>IF(206&gt;=DeliverStart,ExpPayrollPerUnit*TotalUnits/12*HA$8*HA$12,0)</f>
        <v/>
      </c>
      <c r="HB31" s="18">
        <f>IF(207&gt;=DeliverStart,ExpPayrollPerUnit*TotalUnits/12*HB$8*HB$12,0)</f>
        <v/>
      </c>
      <c r="HC31" s="18">
        <f>IF(208&gt;=DeliverStart,ExpPayrollPerUnit*TotalUnits/12*HC$8*HC$12,0)</f>
        <v/>
      </c>
      <c r="HD31" s="18">
        <f>IF(209&gt;=DeliverStart,ExpPayrollPerUnit*TotalUnits/12*HD$8*HD$12,0)</f>
        <v/>
      </c>
      <c r="HE31" s="18">
        <f>IF(210&gt;=DeliverStart,ExpPayrollPerUnit*TotalUnits/12*HE$8*HE$12,0)</f>
        <v/>
      </c>
      <c r="HF31" s="18">
        <f>IF(211&gt;=DeliverStart,ExpPayrollPerUnit*TotalUnits/12*HF$8*HF$12,0)</f>
        <v/>
      </c>
      <c r="HG31" s="18">
        <f>IF(212&gt;=DeliverStart,ExpPayrollPerUnit*TotalUnits/12*HG$8*HG$12,0)</f>
        <v/>
      </c>
      <c r="HH31" s="18">
        <f>IF(213&gt;=DeliverStart,ExpPayrollPerUnit*TotalUnits/12*HH$8*HH$12,0)</f>
        <v/>
      </c>
      <c r="HI31" s="18">
        <f>IF(214&gt;=DeliverStart,ExpPayrollPerUnit*TotalUnits/12*HI$8*HI$12,0)</f>
        <v/>
      </c>
      <c r="HJ31" s="18">
        <f>IF(215&gt;=DeliverStart,ExpPayrollPerUnit*TotalUnits/12*HJ$8*HJ$12,0)</f>
        <v/>
      </c>
      <c r="HK31" s="18">
        <f>IF(216&gt;=DeliverStart,ExpPayrollPerUnit*TotalUnits/12*HK$8*HK$12,0)</f>
        <v/>
      </c>
      <c r="HL31" s="18">
        <f>IF(217&gt;=DeliverStart,ExpPayrollPerUnit*TotalUnits/12*HL$8*HL$12,0)</f>
        <v/>
      </c>
      <c r="HM31" s="18">
        <f>IF(218&gt;=DeliverStart,ExpPayrollPerUnit*TotalUnits/12*HM$8*HM$12,0)</f>
        <v/>
      </c>
      <c r="HN31" s="18">
        <f>IF(219&gt;=DeliverStart,ExpPayrollPerUnit*TotalUnits/12*HN$8*HN$12,0)</f>
        <v/>
      </c>
      <c r="HO31" s="18">
        <f>IF(220&gt;=DeliverStart,ExpPayrollPerUnit*TotalUnits/12*HO$8*HO$12,0)</f>
        <v/>
      </c>
      <c r="HP31" s="18">
        <f>IF(221&gt;=DeliverStart,ExpPayrollPerUnit*TotalUnits/12*HP$8*HP$12,0)</f>
        <v/>
      </c>
      <c r="HQ31" s="18">
        <f>IF(222&gt;=DeliverStart,ExpPayrollPerUnit*TotalUnits/12*HQ$8*HQ$12,0)</f>
        <v/>
      </c>
      <c r="HR31" s="18">
        <f>IF(223&gt;=DeliverStart,ExpPayrollPerUnit*TotalUnits/12*HR$8*HR$12,0)</f>
        <v/>
      </c>
      <c r="HS31" s="18">
        <f>IF(224&gt;=DeliverStart,ExpPayrollPerUnit*TotalUnits/12*HS$8*HS$12,0)</f>
        <v/>
      </c>
      <c r="HT31" s="18">
        <f>IF(225&gt;=DeliverStart,ExpPayrollPerUnit*TotalUnits/12*HT$8*HT$12,0)</f>
        <v/>
      </c>
      <c r="HU31" s="18">
        <f>IF(226&gt;=DeliverStart,ExpPayrollPerUnit*TotalUnits/12*HU$8*HU$12,0)</f>
        <v/>
      </c>
      <c r="HV31" s="18">
        <f>IF(227&gt;=DeliverStart,ExpPayrollPerUnit*TotalUnits/12*HV$8*HV$12,0)</f>
        <v/>
      </c>
      <c r="HW31" s="18">
        <f>IF(228&gt;=DeliverStart,ExpPayrollPerUnit*TotalUnits/12*HW$8*HW$12,0)</f>
        <v/>
      </c>
      <c r="HX31" s="18">
        <f>IF(229&gt;=DeliverStart,ExpPayrollPerUnit*TotalUnits/12*HX$8*HX$12,0)</f>
        <v/>
      </c>
      <c r="HY31" s="18">
        <f>IF(230&gt;=DeliverStart,ExpPayrollPerUnit*TotalUnits/12*HY$8*HY$12,0)</f>
        <v/>
      </c>
      <c r="HZ31" s="18">
        <f>IF(231&gt;=DeliverStart,ExpPayrollPerUnit*TotalUnits/12*HZ$8*HZ$12,0)</f>
        <v/>
      </c>
      <c r="IA31" s="18">
        <f>IF(232&gt;=DeliverStart,ExpPayrollPerUnit*TotalUnits/12*IA$8*IA$12,0)</f>
        <v/>
      </c>
      <c r="IB31" s="18">
        <f>IF(233&gt;=DeliverStart,ExpPayrollPerUnit*TotalUnits/12*IB$8*IB$12,0)</f>
        <v/>
      </c>
      <c r="IC31" s="18">
        <f>IF(234&gt;=DeliverStart,ExpPayrollPerUnit*TotalUnits/12*IC$8*IC$12,0)</f>
        <v/>
      </c>
      <c r="ID31" s="18">
        <f>IF(235&gt;=DeliverStart,ExpPayrollPerUnit*TotalUnits/12*ID$8*ID$12,0)</f>
        <v/>
      </c>
      <c r="IE31" s="18">
        <f>IF(236&gt;=DeliverStart,ExpPayrollPerUnit*TotalUnits/12*IE$8*IE$12,0)</f>
        <v/>
      </c>
      <c r="IF31" s="18">
        <f>IF(237&gt;=DeliverStart,ExpPayrollPerUnit*TotalUnits/12*IF$8*IF$12,0)</f>
        <v/>
      </c>
      <c r="IG31" s="18">
        <f>IF(238&gt;=DeliverStart,ExpPayrollPerUnit*TotalUnits/12*IG$8*IG$12,0)</f>
        <v/>
      </c>
      <c r="IH31" s="18">
        <f>IF(239&gt;=DeliverStart,ExpPayrollPerUnit*TotalUnits/12*IH$8*IH$12,0)</f>
        <v/>
      </c>
      <c r="II31" s="18">
        <f>IF(240&gt;=DeliverStart,ExpPayrollPerUnit*TotalUnits/12*II$8*II$12,0)</f>
        <v/>
      </c>
      <c r="IJ31" s="18">
        <f>IF(241&gt;=DeliverStart,ExpPayrollPerUnit*TotalUnits/12*IJ$8*IJ$12,0)</f>
        <v/>
      </c>
      <c r="IK31" s="18">
        <f>IF(242&gt;=DeliverStart,ExpPayrollPerUnit*TotalUnits/12*IK$8*IK$12,0)</f>
        <v/>
      </c>
      <c r="IL31" s="18">
        <f>IF(243&gt;=DeliverStart,ExpPayrollPerUnit*TotalUnits/12*IL$8*IL$12,0)</f>
        <v/>
      </c>
      <c r="IM31" s="18">
        <f>IF(244&gt;=DeliverStart,ExpPayrollPerUnit*TotalUnits/12*IM$8*IM$12,0)</f>
        <v/>
      </c>
      <c r="IN31" s="18">
        <f>IF(245&gt;=DeliverStart,ExpPayrollPerUnit*TotalUnits/12*IN$8*IN$12,0)</f>
        <v/>
      </c>
      <c r="IO31" s="18">
        <f>IF(246&gt;=DeliverStart,ExpPayrollPerUnit*TotalUnits/12*IO$8*IO$12,0)</f>
        <v/>
      </c>
      <c r="IP31" s="18">
        <f>IF(247&gt;=DeliverStart,ExpPayrollPerUnit*TotalUnits/12*IP$8*IP$12,0)</f>
        <v/>
      </c>
      <c r="IQ31" s="18">
        <f>IF(248&gt;=DeliverStart,ExpPayrollPerUnit*TotalUnits/12*IQ$8*IQ$12,0)</f>
        <v/>
      </c>
      <c r="IR31" s="18">
        <f>IF(249&gt;=DeliverStart,ExpPayrollPerUnit*TotalUnits/12*IR$8*IR$12,0)</f>
        <v/>
      </c>
      <c r="IS31" s="18">
        <f>IF(250&gt;=DeliverStart,ExpPayrollPerUnit*TotalUnits/12*IS$8*IS$12,0)</f>
        <v/>
      </c>
      <c r="IT31" s="18">
        <f>IF(251&gt;=DeliverStart,ExpPayrollPerUnit*TotalUnits/12*IT$8*IT$12,0)</f>
        <v/>
      </c>
      <c r="IU31" s="18">
        <f>IF(252&gt;=DeliverStart,ExpPayrollPerUnit*TotalUnits/12*IU$8*IU$12,0)</f>
        <v/>
      </c>
      <c r="IV31" s="18">
        <f>IF(253&gt;=DeliverStart,ExpPayrollPerUnit*TotalUnits/12*IV$8*IV$12,0)</f>
        <v/>
      </c>
      <c r="IW31" s="18">
        <f>IF(254&gt;=DeliverStart,ExpPayrollPerUnit*TotalUnits/12*IW$8*IW$12,0)</f>
        <v/>
      </c>
      <c r="IX31" s="18">
        <f>IF(255&gt;=DeliverStart,ExpPayrollPerUnit*TotalUnits/12*IX$8*IX$12,0)</f>
        <v/>
      </c>
      <c r="IY31" s="18">
        <f>IF(256&gt;=DeliverStart,ExpPayrollPerUnit*TotalUnits/12*IY$8*IY$12,0)</f>
        <v/>
      </c>
      <c r="IZ31" s="18">
        <f>IF(257&gt;=DeliverStart,ExpPayrollPerUnit*TotalUnits/12*IZ$8*IZ$12,0)</f>
        <v/>
      </c>
      <c r="JA31" s="18">
        <f>IF(258&gt;=DeliverStart,ExpPayrollPerUnit*TotalUnits/12*JA$8*JA$12,0)</f>
        <v/>
      </c>
      <c r="JB31" s="18">
        <f>IF(259&gt;=DeliverStart,ExpPayrollPerUnit*TotalUnits/12*JB$8*JB$12,0)</f>
        <v/>
      </c>
      <c r="JC31" s="18">
        <f>IF(260&gt;=DeliverStart,ExpPayrollPerUnit*TotalUnits/12*JC$8*JC$12,0)</f>
        <v/>
      </c>
      <c r="JD31" s="18">
        <f>IF(261&gt;=DeliverStart,ExpPayrollPerUnit*TotalUnits/12*JD$8*JD$12,0)</f>
        <v/>
      </c>
      <c r="JE31" s="18">
        <f>IF(262&gt;=DeliverStart,ExpPayrollPerUnit*TotalUnits/12*JE$8*JE$12,0)</f>
        <v/>
      </c>
      <c r="JF31" s="18">
        <f>IF(263&gt;=DeliverStart,ExpPayrollPerUnit*TotalUnits/12*JF$8*JF$12,0)</f>
        <v/>
      </c>
      <c r="JG31" s="18">
        <f>IF(264&gt;=DeliverStart,ExpPayrollPerUnit*TotalUnits/12*JG$8*JG$12,0)</f>
        <v/>
      </c>
      <c r="JH31" s="18">
        <f>IF(265&gt;=DeliverStart,ExpPayrollPerUnit*TotalUnits/12*JH$8*JH$12,0)</f>
        <v/>
      </c>
      <c r="JI31" s="18">
        <f>IF(266&gt;=DeliverStart,ExpPayrollPerUnit*TotalUnits/12*JI$8*JI$12,0)</f>
        <v/>
      </c>
      <c r="JJ31" s="18">
        <f>IF(267&gt;=DeliverStart,ExpPayrollPerUnit*TotalUnits/12*JJ$8*JJ$12,0)</f>
        <v/>
      </c>
      <c r="JK31" s="18">
        <f>IF(268&gt;=DeliverStart,ExpPayrollPerUnit*TotalUnits/12*JK$8*JK$12,0)</f>
        <v/>
      </c>
      <c r="JL31" s="18">
        <f>IF(269&gt;=DeliverStart,ExpPayrollPerUnit*TotalUnits/12*JL$8*JL$12,0)</f>
        <v/>
      </c>
      <c r="JM31" s="18">
        <f>IF(270&gt;=DeliverStart,ExpPayrollPerUnit*TotalUnits/12*JM$8*JM$12,0)</f>
        <v/>
      </c>
      <c r="JN31" s="18">
        <f>IF(271&gt;=DeliverStart,ExpPayrollPerUnit*TotalUnits/12*JN$8*JN$12,0)</f>
        <v/>
      </c>
      <c r="JO31" s="18">
        <f>IF(272&gt;=DeliverStart,ExpPayrollPerUnit*TotalUnits/12*JO$8*JO$12,0)</f>
        <v/>
      </c>
      <c r="JP31" s="18">
        <f>IF(273&gt;=DeliverStart,ExpPayrollPerUnit*TotalUnits/12*JP$8*JP$12,0)</f>
        <v/>
      </c>
      <c r="JQ31" s="18">
        <f>IF(274&gt;=DeliverStart,ExpPayrollPerUnit*TotalUnits/12*JQ$8*JQ$12,0)</f>
        <v/>
      </c>
      <c r="JR31" s="18">
        <f>IF(275&gt;=DeliverStart,ExpPayrollPerUnit*TotalUnits/12*JR$8*JR$12,0)</f>
        <v/>
      </c>
      <c r="JS31" s="18">
        <f>IF(276&gt;=DeliverStart,ExpPayrollPerUnit*TotalUnits/12*JS$8*JS$12,0)</f>
        <v/>
      </c>
      <c r="JT31" s="18">
        <f>IF(277&gt;=DeliverStart,ExpPayrollPerUnit*TotalUnits/12*JT$8*JT$12,0)</f>
        <v/>
      </c>
      <c r="JU31" s="18">
        <f>IF(278&gt;=DeliverStart,ExpPayrollPerUnit*TotalUnits/12*JU$8*JU$12,0)</f>
        <v/>
      </c>
      <c r="JV31" s="18">
        <f>IF(279&gt;=DeliverStart,ExpPayrollPerUnit*TotalUnits/12*JV$8*JV$12,0)</f>
        <v/>
      </c>
      <c r="JW31" s="18">
        <f>IF(280&gt;=DeliverStart,ExpPayrollPerUnit*TotalUnits/12*JW$8*JW$12,0)</f>
        <v/>
      </c>
      <c r="JX31" s="18">
        <f>IF(281&gt;=DeliverStart,ExpPayrollPerUnit*TotalUnits/12*JX$8*JX$12,0)</f>
        <v/>
      </c>
      <c r="JY31" s="18">
        <f>IF(282&gt;=DeliverStart,ExpPayrollPerUnit*TotalUnits/12*JY$8*JY$12,0)</f>
        <v/>
      </c>
      <c r="JZ31" s="18">
        <f>IF(283&gt;=DeliverStart,ExpPayrollPerUnit*TotalUnits/12*JZ$8*JZ$12,0)</f>
        <v/>
      </c>
      <c r="KA31" s="18">
        <f>IF(284&gt;=DeliverStart,ExpPayrollPerUnit*TotalUnits/12*KA$8*KA$12,0)</f>
        <v/>
      </c>
      <c r="KB31" s="18">
        <f>IF(285&gt;=DeliverStart,ExpPayrollPerUnit*TotalUnits/12*KB$8*KB$12,0)</f>
        <v/>
      </c>
      <c r="KC31" s="18">
        <f>IF(286&gt;=DeliverStart,ExpPayrollPerUnit*TotalUnits/12*KC$8*KC$12,0)</f>
        <v/>
      </c>
      <c r="KD31" s="18">
        <f>IF(287&gt;=DeliverStart,ExpPayrollPerUnit*TotalUnits/12*KD$8*KD$12,0)</f>
        <v/>
      </c>
      <c r="KE31" s="18">
        <f>IF(288&gt;=DeliverStart,ExpPayrollPerUnit*TotalUnits/12*KE$8*KE$12,0)</f>
        <v/>
      </c>
      <c r="KF31" s="18">
        <f>IF(289&gt;=DeliverStart,ExpPayrollPerUnit*TotalUnits/12*KF$8*KF$12,0)</f>
        <v/>
      </c>
      <c r="KG31" s="18">
        <f>IF(290&gt;=DeliverStart,ExpPayrollPerUnit*TotalUnits/12*KG$8*KG$12,0)</f>
        <v/>
      </c>
      <c r="KH31" s="18">
        <f>IF(291&gt;=DeliverStart,ExpPayrollPerUnit*TotalUnits/12*KH$8*KH$12,0)</f>
        <v/>
      </c>
      <c r="KI31" s="18">
        <f>IF(292&gt;=DeliverStart,ExpPayrollPerUnit*TotalUnits/12*KI$8*KI$12,0)</f>
        <v/>
      </c>
      <c r="KJ31" s="18">
        <f>IF(293&gt;=DeliverStart,ExpPayrollPerUnit*TotalUnits/12*KJ$8*KJ$12,0)</f>
        <v/>
      </c>
      <c r="KK31" s="18">
        <f>IF(294&gt;=DeliverStart,ExpPayrollPerUnit*TotalUnits/12*KK$8*KK$12,0)</f>
        <v/>
      </c>
      <c r="KL31" s="18">
        <f>IF(295&gt;=DeliverStart,ExpPayrollPerUnit*TotalUnits/12*KL$8*KL$12,0)</f>
        <v/>
      </c>
      <c r="KM31" s="18">
        <f>IF(296&gt;=DeliverStart,ExpPayrollPerUnit*TotalUnits/12*KM$8*KM$12,0)</f>
        <v/>
      </c>
      <c r="KN31" s="18">
        <f>IF(297&gt;=DeliverStart,ExpPayrollPerUnit*TotalUnits/12*KN$8*KN$12,0)</f>
        <v/>
      </c>
      <c r="KO31" s="18">
        <f>IF(298&gt;=DeliverStart,ExpPayrollPerUnit*TotalUnits/12*KO$8*KO$12,0)</f>
        <v/>
      </c>
      <c r="KP31" s="18">
        <f>IF(299&gt;=DeliverStart,ExpPayrollPerUnit*TotalUnits/12*KP$8*KP$12,0)</f>
        <v/>
      </c>
      <c r="KQ31" s="18">
        <f>IF(300&gt;=DeliverStart,ExpPayrollPerUnit*TotalUnits/12*KQ$8*KQ$12,0)</f>
        <v/>
      </c>
      <c r="KR31" s="18">
        <f>IF(301&gt;=DeliverStart,ExpPayrollPerUnit*TotalUnits/12*KR$8*KR$12,0)</f>
        <v/>
      </c>
      <c r="KS31" s="18">
        <f>IF(302&gt;=DeliverStart,ExpPayrollPerUnit*TotalUnits/12*KS$8*KS$12,0)</f>
        <v/>
      </c>
      <c r="KT31" s="18">
        <f>IF(303&gt;=DeliverStart,ExpPayrollPerUnit*TotalUnits/12*KT$8*KT$12,0)</f>
        <v/>
      </c>
      <c r="KU31" s="18">
        <f>IF(304&gt;=DeliverStart,ExpPayrollPerUnit*TotalUnits/12*KU$8*KU$12,0)</f>
        <v/>
      </c>
      <c r="KV31" s="18">
        <f>IF(305&gt;=DeliverStart,ExpPayrollPerUnit*TotalUnits/12*KV$8*KV$12,0)</f>
        <v/>
      </c>
      <c r="KW31" s="18">
        <f>IF(306&gt;=DeliverStart,ExpPayrollPerUnit*TotalUnits/12*KW$8*KW$12,0)</f>
        <v/>
      </c>
      <c r="KX31" s="18">
        <f>IF(307&gt;=DeliverStart,ExpPayrollPerUnit*TotalUnits/12*KX$8*KX$12,0)</f>
        <v/>
      </c>
      <c r="KY31" s="18">
        <f>IF(308&gt;=DeliverStart,ExpPayrollPerUnit*TotalUnits/12*KY$8*KY$12,0)</f>
        <v/>
      </c>
      <c r="KZ31" s="18">
        <f>IF(309&gt;=DeliverStart,ExpPayrollPerUnit*TotalUnits/12*KZ$8*KZ$12,0)</f>
        <v/>
      </c>
      <c r="LA31" s="18">
        <f>IF(310&gt;=DeliverStart,ExpPayrollPerUnit*TotalUnits/12*LA$8*LA$12,0)</f>
        <v/>
      </c>
      <c r="LB31" s="18">
        <f>IF(311&gt;=DeliverStart,ExpPayrollPerUnit*TotalUnits/12*LB$8*LB$12,0)</f>
        <v/>
      </c>
      <c r="LC31" s="18">
        <f>IF(312&gt;=DeliverStart,ExpPayrollPerUnit*TotalUnits/12*LC$8*LC$12,0)</f>
        <v/>
      </c>
      <c r="LD31" s="18">
        <f>IF(313&gt;=DeliverStart,ExpPayrollPerUnit*TotalUnits/12*LD$8*LD$12,0)</f>
        <v/>
      </c>
      <c r="LE31" s="18">
        <f>IF(314&gt;=DeliverStart,ExpPayrollPerUnit*TotalUnits/12*LE$8*LE$12,0)</f>
        <v/>
      </c>
      <c r="LF31" s="18">
        <f>IF(315&gt;=DeliverStart,ExpPayrollPerUnit*TotalUnits/12*LF$8*LF$12,0)</f>
        <v/>
      </c>
      <c r="LG31" s="18">
        <f>IF(316&gt;=DeliverStart,ExpPayrollPerUnit*TotalUnits/12*LG$8*LG$12,0)</f>
        <v/>
      </c>
      <c r="LH31" s="18">
        <f>IF(317&gt;=DeliverStart,ExpPayrollPerUnit*TotalUnits/12*LH$8*LH$12,0)</f>
        <v/>
      </c>
      <c r="LI31" s="18">
        <f>IF(318&gt;=DeliverStart,ExpPayrollPerUnit*TotalUnits/12*LI$8*LI$12,0)</f>
        <v/>
      </c>
      <c r="LJ31" s="18">
        <f>IF(319&gt;=DeliverStart,ExpPayrollPerUnit*TotalUnits/12*LJ$8*LJ$12,0)</f>
        <v/>
      </c>
      <c r="LK31" s="18">
        <f>IF(320&gt;=DeliverStart,ExpPayrollPerUnit*TotalUnits/12*LK$8*LK$12,0)</f>
        <v/>
      </c>
      <c r="LL31" s="18">
        <f>IF(321&gt;=DeliverStart,ExpPayrollPerUnit*TotalUnits/12*LL$8*LL$12,0)</f>
        <v/>
      </c>
      <c r="LM31" s="18">
        <f>IF(322&gt;=DeliverStart,ExpPayrollPerUnit*TotalUnits/12*LM$8*LM$12,0)</f>
        <v/>
      </c>
      <c r="LN31" s="18">
        <f>IF(323&gt;=DeliverStart,ExpPayrollPerUnit*TotalUnits/12*LN$8*LN$12,0)</f>
        <v/>
      </c>
      <c r="LO31" s="18">
        <f>IF(324&gt;=DeliverStart,ExpPayrollPerUnit*TotalUnits/12*LO$8*LO$12,0)</f>
        <v/>
      </c>
      <c r="LP31" s="18">
        <f>IF(325&gt;=DeliverStart,ExpPayrollPerUnit*TotalUnits/12*LP$8*LP$12,0)</f>
        <v/>
      </c>
      <c r="LQ31" s="18">
        <f>IF(326&gt;=DeliverStart,ExpPayrollPerUnit*TotalUnits/12*LQ$8*LQ$12,0)</f>
        <v/>
      </c>
      <c r="LR31" s="18">
        <f>IF(327&gt;=DeliverStart,ExpPayrollPerUnit*TotalUnits/12*LR$8*LR$12,0)</f>
        <v/>
      </c>
      <c r="LS31" s="18">
        <f>IF(328&gt;=DeliverStart,ExpPayrollPerUnit*TotalUnits/12*LS$8*LS$12,0)</f>
        <v/>
      </c>
      <c r="LT31" s="18">
        <f>IF(329&gt;=DeliverStart,ExpPayrollPerUnit*TotalUnits/12*LT$8*LT$12,0)</f>
        <v/>
      </c>
      <c r="LU31" s="18">
        <f>IF(330&gt;=DeliverStart,ExpPayrollPerUnit*TotalUnits/12*LU$8*LU$12,0)</f>
        <v/>
      </c>
      <c r="LV31" s="18">
        <f>IF(331&gt;=DeliverStart,ExpPayrollPerUnit*TotalUnits/12*LV$8*LV$12,0)</f>
        <v/>
      </c>
      <c r="LW31" s="18">
        <f>IF(332&gt;=DeliverStart,ExpPayrollPerUnit*TotalUnits/12*LW$8*LW$12,0)</f>
        <v/>
      </c>
      <c r="LX31" s="18">
        <f>IF(333&gt;=DeliverStart,ExpPayrollPerUnit*TotalUnits/12*LX$8*LX$12,0)</f>
        <v/>
      </c>
      <c r="LY31" s="18">
        <f>IF(334&gt;=DeliverStart,ExpPayrollPerUnit*TotalUnits/12*LY$8*LY$12,0)</f>
        <v/>
      </c>
      <c r="LZ31" s="18">
        <f>IF(335&gt;=DeliverStart,ExpPayrollPerUnit*TotalUnits/12*LZ$8*LZ$12,0)</f>
        <v/>
      </c>
      <c r="MA31" s="18">
        <f>IF(336&gt;=DeliverStart,ExpPayrollPerUnit*TotalUnits/12*MA$8*MA$12,0)</f>
        <v/>
      </c>
      <c r="MB31" s="18">
        <f>IF(337&gt;=DeliverStart,ExpPayrollPerUnit*TotalUnits/12*MB$8*MB$12,0)</f>
        <v/>
      </c>
      <c r="MC31" s="18">
        <f>IF(338&gt;=DeliverStart,ExpPayrollPerUnit*TotalUnits/12*MC$8*MC$12,0)</f>
        <v/>
      </c>
      <c r="MD31" s="18">
        <f>IF(339&gt;=DeliverStart,ExpPayrollPerUnit*TotalUnits/12*MD$8*MD$12,0)</f>
        <v/>
      </c>
      <c r="ME31" s="18">
        <f>IF(340&gt;=DeliverStart,ExpPayrollPerUnit*TotalUnits/12*ME$8*ME$12,0)</f>
        <v/>
      </c>
      <c r="MF31" s="18">
        <f>IF(341&gt;=DeliverStart,ExpPayrollPerUnit*TotalUnits/12*MF$8*MF$12,0)</f>
        <v/>
      </c>
      <c r="MG31" s="18">
        <f>IF(342&gt;=DeliverStart,ExpPayrollPerUnit*TotalUnits/12*MG$8*MG$12,0)</f>
        <v/>
      </c>
      <c r="MH31" s="18">
        <f>IF(343&gt;=DeliverStart,ExpPayrollPerUnit*TotalUnits/12*MH$8*MH$12,0)</f>
        <v/>
      </c>
      <c r="MI31" s="18">
        <f>IF(344&gt;=DeliverStart,ExpPayrollPerUnit*TotalUnits/12*MI$8*MI$12,0)</f>
        <v/>
      </c>
      <c r="MJ31" s="18">
        <f>IF(345&gt;=DeliverStart,ExpPayrollPerUnit*TotalUnits/12*MJ$8*MJ$12,0)</f>
        <v/>
      </c>
      <c r="MK31" s="18">
        <f>IF(346&gt;=DeliverStart,ExpPayrollPerUnit*TotalUnits/12*MK$8*MK$12,0)</f>
        <v/>
      </c>
      <c r="ML31" s="18">
        <f>IF(347&gt;=DeliverStart,ExpPayrollPerUnit*TotalUnits/12*ML$8*ML$12,0)</f>
        <v/>
      </c>
      <c r="MM31" s="18">
        <f>IF(348&gt;=DeliverStart,ExpPayrollPerUnit*TotalUnits/12*MM$8*MM$12,0)</f>
        <v/>
      </c>
      <c r="MN31" s="18">
        <f>IF(349&gt;=DeliverStart,ExpPayrollPerUnit*TotalUnits/12*MN$8*MN$12,0)</f>
        <v/>
      </c>
      <c r="MO31" s="18">
        <f>IF(350&gt;=DeliverStart,ExpPayrollPerUnit*TotalUnits/12*MO$8*MO$12,0)</f>
        <v/>
      </c>
      <c r="MP31" s="18">
        <f>IF(351&gt;=DeliverStart,ExpPayrollPerUnit*TotalUnits/12*MP$8*MP$12,0)</f>
        <v/>
      </c>
      <c r="MQ31" s="18">
        <f>IF(352&gt;=DeliverStart,ExpPayrollPerUnit*TotalUnits/12*MQ$8*MQ$12,0)</f>
        <v/>
      </c>
      <c r="MR31" s="18">
        <f>IF(353&gt;=DeliverStart,ExpPayrollPerUnit*TotalUnits/12*MR$8*MR$12,0)</f>
        <v/>
      </c>
      <c r="MS31" s="18">
        <f>IF(354&gt;=DeliverStart,ExpPayrollPerUnit*TotalUnits/12*MS$8*MS$12,0)</f>
        <v/>
      </c>
      <c r="MT31" s="18">
        <f>IF(355&gt;=DeliverStart,ExpPayrollPerUnit*TotalUnits/12*MT$8*MT$12,0)</f>
        <v/>
      </c>
      <c r="MU31" s="18">
        <f>IF(356&gt;=DeliverStart,ExpPayrollPerUnit*TotalUnits/12*MU$8*MU$12,0)</f>
        <v/>
      </c>
      <c r="MV31" s="18">
        <f>IF(357&gt;=DeliverStart,ExpPayrollPerUnit*TotalUnits/12*MV$8*MV$12,0)</f>
        <v/>
      </c>
      <c r="MW31" s="18">
        <f>IF(358&gt;=DeliverStart,ExpPayrollPerUnit*TotalUnits/12*MW$8*MW$12,0)</f>
        <v/>
      </c>
      <c r="MX31" s="18">
        <f>IF(359&gt;=DeliverStart,ExpPayrollPerUnit*TotalUnits/12*MX$8*MX$12,0)</f>
        <v/>
      </c>
      <c r="MY31" s="18">
        <f>IF(360&gt;=DeliverStart,ExpPayrollPerUnit*TotalUnits/12*MY$8*MY$12,0)</f>
        <v/>
      </c>
      <c r="MZ31" s="18">
        <f>IF(361&gt;=DeliverStart,ExpPayrollPerUnit*TotalUnits/12*MZ$8*MZ$12,0)</f>
        <v/>
      </c>
      <c r="NA31" s="18">
        <f>IF(362&gt;=DeliverStart,ExpPayrollPerUnit*TotalUnits/12*NA$8*NA$12,0)</f>
        <v/>
      </c>
      <c r="NB31" s="18">
        <f>IF(363&gt;=DeliverStart,ExpPayrollPerUnit*TotalUnits/12*NB$8*NB$12,0)</f>
        <v/>
      </c>
      <c r="NC31" s="18">
        <f>IF(364&gt;=DeliverStart,ExpPayrollPerUnit*TotalUnits/12*NC$8*NC$12,0)</f>
        <v/>
      </c>
      <c r="ND31" s="18">
        <f>IF(365&gt;=DeliverStart,ExpPayrollPerUnit*TotalUnits/12*ND$8*ND$12,0)</f>
        <v/>
      </c>
      <c r="NE31" s="18">
        <f>IF(366&gt;=DeliverStart,ExpPayrollPerUnit*TotalUnits/12*NE$8*NE$12,0)</f>
        <v/>
      </c>
      <c r="NF31" s="18">
        <f>IF(367&gt;=DeliverStart,ExpPayrollPerUnit*TotalUnits/12*NF$8*NF$12,0)</f>
        <v/>
      </c>
      <c r="NG31" s="18">
        <f>IF(368&gt;=DeliverStart,ExpPayrollPerUnit*TotalUnits/12*NG$8*NG$12,0)</f>
        <v/>
      </c>
      <c r="NH31" s="18">
        <f>IF(369&gt;=DeliverStart,ExpPayrollPerUnit*TotalUnits/12*NH$8*NH$12,0)</f>
        <v/>
      </c>
      <c r="NI31" s="18">
        <f>IF(370&gt;=DeliverStart,ExpPayrollPerUnit*TotalUnits/12*NI$8*NI$12,0)</f>
        <v/>
      </c>
      <c r="NJ31" s="18">
        <f>IF(371&gt;=DeliverStart,ExpPayrollPerUnit*TotalUnits/12*NJ$8*NJ$12,0)</f>
        <v/>
      </c>
      <c r="NK31" s="18">
        <f>IF(372&gt;=DeliverStart,ExpPayrollPerUnit*TotalUnits/12*NK$8*NK$12,0)</f>
        <v/>
      </c>
    </row>
    <row r="32">
      <c r="A32" s="5" t="inlineStr">
        <is>
          <t>Advertising (elevated)</t>
        </is>
      </c>
      <c r="C32" s="41">
        <f>SUM(D32:NK32)</f>
        <v/>
      </c>
      <c r="D32" s="18">
        <f>IF(1&gt;=DeliverStart,ExpAdvertisingPerUnit*TotalUnits/12*D$8*D$12,0)</f>
        <v/>
      </c>
      <c r="E32" s="18">
        <f>IF(2&gt;=DeliverStart,ExpAdvertisingPerUnit*TotalUnits/12*E$8*E$12,0)</f>
        <v/>
      </c>
      <c r="F32" s="18">
        <f>IF(3&gt;=DeliverStart,ExpAdvertisingPerUnit*TotalUnits/12*F$8*F$12,0)</f>
        <v/>
      </c>
      <c r="G32" s="18">
        <f>IF(4&gt;=DeliverStart,ExpAdvertisingPerUnit*TotalUnits/12*G$8*G$12,0)</f>
        <v/>
      </c>
      <c r="H32" s="18">
        <f>IF(5&gt;=DeliverStart,ExpAdvertisingPerUnit*TotalUnits/12*H$8*H$12,0)</f>
        <v/>
      </c>
      <c r="I32" s="18">
        <f>IF(6&gt;=DeliverStart,ExpAdvertisingPerUnit*TotalUnits/12*I$8*I$12,0)</f>
        <v/>
      </c>
      <c r="J32" s="18">
        <f>IF(7&gt;=DeliverStart,ExpAdvertisingPerUnit*TotalUnits/12*J$8*J$12,0)</f>
        <v/>
      </c>
      <c r="K32" s="18">
        <f>IF(8&gt;=DeliverStart,ExpAdvertisingPerUnit*TotalUnits/12*K$8*K$12,0)</f>
        <v/>
      </c>
      <c r="L32" s="18">
        <f>IF(9&gt;=DeliverStart,ExpAdvertisingPerUnit*TotalUnits/12*L$8*L$12,0)</f>
        <v/>
      </c>
      <c r="M32" s="18">
        <f>IF(10&gt;=DeliverStart,ExpAdvertisingPerUnit*TotalUnits/12*M$8*M$12,0)</f>
        <v/>
      </c>
      <c r="N32" s="18">
        <f>IF(11&gt;=DeliverStart,ExpAdvertisingPerUnit*TotalUnits/12*N$8*N$12,0)</f>
        <v/>
      </c>
      <c r="O32" s="18">
        <f>IF(12&gt;=DeliverStart,ExpAdvertisingPerUnit*TotalUnits/12*O$8*O$12,0)</f>
        <v/>
      </c>
      <c r="P32" s="18">
        <f>IF(13&gt;=DeliverStart,ExpAdvertisingPerUnit*TotalUnits/12*P$8*P$12,0)</f>
        <v/>
      </c>
      <c r="Q32" s="18">
        <f>IF(14&gt;=DeliverStart,ExpAdvertisingPerUnit*TotalUnits/12*Q$8*Q$12,0)</f>
        <v/>
      </c>
      <c r="R32" s="18">
        <f>IF(15&gt;=DeliverStart,ExpAdvertisingPerUnit*TotalUnits/12*R$8*R$12,0)</f>
        <v/>
      </c>
      <c r="S32" s="18">
        <f>IF(16&gt;=DeliverStart,ExpAdvertisingPerUnit*TotalUnits/12*S$8*S$12,0)</f>
        <v/>
      </c>
      <c r="T32" s="18">
        <f>IF(17&gt;=DeliverStart,ExpAdvertisingPerUnit*TotalUnits/12*T$8*T$12,0)</f>
        <v/>
      </c>
      <c r="U32" s="18">
        <f>IF(18&gt;=DeliverStart,ExpAdvertisingPerUnit*TotalUnits/12*U$8*U$12,0)</f>
        <v/>
      </c>
      <c r="V32" s="18">
        <f>IF(19&gt;=DeliverStart,ExpAdvertisingPerUnit*TotalUnits/12*V$8*V$12,0)</f>
        <v/>
      </c>
      <c r="W32" s="18">
        <f>IF(20&gt;=DeliverStart,ExpAdvertisingPerUnit*TotalUnits/12*W$8*W$12,0)</f>
        <v/>
      </c>
      <c r="X32" s="18">
        <f>IF(21&gt;=DeliverStart,ExpAdvertisingPerUnit*TotalUnits/12*X$8*X$12,0)</f>
        <v/>
      </c>
      <c r="Y32" s="18">
        <f>IF(22&gt;=DeliverStart,ExpAdvertisingPerUnit*TotalUnits/12*Y$8*Y$12,0)</f>
        <v/>
      </c>
      <c r="Z32" s="18">
        <f>IF(23&gt;=DeliverStart,ExpAdvertisingPerUnit*TotalUnits/12*Z$8*Z$12,0)</f>
        <v/>
      </c>
      <c r="AA32" s="18">
        <f>IF(24&gt;=DeliverStart,ExpAdvertisingPerUnit*TotalUnits/12*AA$8*AA$12,0)</f>
        <v/>
      </c>
      <c r="AB32" s="18">
        <f>IF(25&gt;=DeliverStart,ExpAdvertisingPerUnit*TotalUnits/12*AB$8*AB$12,0)</f>
        <v/>
      </c>
      <c r="AC32" s="18">
        <f>IF(26&gt;=DeliverStart,ExpAdvertisingPerUnit*TotalUnits/12*AC$8*AC$12,0)</f>
        <v/>
      </c>
      <c r="AD32" s="18">
        <f>IF(27&gt;=DeliverStart,ExpAdvertisingPerUnit*TotalUnits/12*AD$8*AD$12,0)</f>
        <v/>
      </c>
      <c r="AE32" s="18">
        <f>IF(28&gt;=DeliverStart,ExpAdvertisingPerUnit*TotalUnits/12*AE$8*AE$12,0)</f>
        <v/>
      </c>
      <c r="AF32" s="18">
        <f>IF(29&gt;=DeliverStart,ExpAdvertisingPerUnit*TotalUnits/12*AF$8*AF$12,0)</f>
        <v/>
      </c>
      <c r="AG32" s="18">
        <f>IF(30&gt;=DeliverStart,ExpAdvertisingPerUnit*TotalUnits/12*AG$8*AG$12,0)</f>
        <v/>
      </c>
      <c r="AH32" s="18">
        <f>IF(31&gt;=DeliverStart,ExpAdvertisingPerUnit*TotalUnits/12*AH$8*AH$12,0)</f>
        <v/>
      </c>
      <c r="AI32" s="18">
        <f>IF(32&gt;=DeliverStart,ExpAdvertisingPerUnit*TotalUnits/12*AI$8*AI$12,0)</f>
        <v/>
      </c>
      <c r="AJ32" s="18">
        <f>IF(33&gt;=DeliverStart,ExpAdvertisingPerUnit*TotalUnits/12*AJ$8*AJ$12,0)</f>
        <v/>
      </c>
      <c r="AK32" s="18">
        <f>IF(34&gt;=DeliverStart,ExpAdvertisingPerUnit*TotalUnits/12*AK$8*AK$12,0)</f>
        <v/>
      </c>
      <c r="AL32" s="18">
        <f>IF(35&gt;=DeliverStart,ExpAdvertisingPerUnit*TotalUnits/12*AL$8*AL$12,0)</f>
        <v/>
      </c>
      <c r="AM32" s="18">
        <f>IF(36&gt;=DeliverStart,ExpAdvertisingPerUnit*TotalUnits/12*AM$8*AM$12,0)</f>
        <v/>
      </c>
      <c r="AN32" s="18">
        <f>IF(37&gt;=DeliverStart,ExpAdvertisingPerUnit*TotalUnits/12*AN$8*AN$12,0)</f>
        <v/>
      </c>
      <c r="AO32" s="18">
        <f>IF(38&gt;=DeliverStart,ExpAdvertisingPerUnit*TotalUnits/12*AO$8*AO$12,0)</f>
        <v/>
      </c>
      <c r="AP32" s="18">
        <f>IF(39&gt;=DeliverStart,ExpAdvertisingPerUnit*TotalUnits/12*AP$8*AP$12,0)</f>
        <v/>
      </c>
      <c r="AQ32" s="18">
        <f>IF(40&gt;=DeliverStart,ExpAdvertisingPerUnit*TotalUnits/12*AQ$8*AQ$12,0)</f>
        <v/>
      </c>
      <c r="AR32" s="18">
        <f>IF(41&gt;=DeliverStart,ExpAdvertisingPerUnit*TotalUnits/12*AR$8*AR$12,0)</f>
        <v/>
      </c>
      <c r="AS32" s="18">
        <f>IF(42&gt;=DeliverStart,ExpAdvertisingPerUnit*TotalUnits/12*AS$8*AS$12,0)</f>
        <v/>
      </c>
      <c r="AT32" s="18">
        <f>IF(43&gt;=DeliverStart,ExpAdvertisingPerUnit*TotalUnits/12*AT$8*AT$12,0)</f>
        <v/>
      </c>
      <c r="AU32" s="18">
        <f>IF(44&gt;=DeliverStart,ExpAdvertisingPerUnit*TotalUnits/12*AU$8*AU$12,0)</f>
        <v/>
      </c>
      <c r="AV32" s="18">
        <f>IF(45&gt;=DeliverStart,ExpAdvertisingPerUnit*TotalUnits/12*AV$8*AV$12,0)</f>
        <v/>
      </c>
      <c r="AW32" s="18">
        <f>IF(46&gt;=DeliverStart,ExpAdvertisingPerUnit*TotalUnits/12*AW$8*AW$12,0)</f>
        <v/>
      </c>
      <c r="AX32" s="18">
        <f>IF(47&gt;=DeliverStart,ExpAdvertisingPerUnit*TotalUnits/12*AX$8*AX$12,0)</f>
        <v/>
      </c>
      <c r="AY32" s="18">
        <f>IF(48&gt;=DeliverStart,ExpAdvertisingPerUnit*TotalUnits/12*AY$8*AY$12,0)</f>
        <v/>
      </c>
      <c r="AZ32" s="18">
        <f>IF(49&gt;=DeliverStart,ExpAdvertisingPerUnit*TotalUnits/12*AZ$8*AZ$12,0)</f>
        <v/>
      </c>
      <c r="BA32" s="18">
        <f>IF(50&gt;=DeliverStart,ExpAdvertisingPerUnit*TotalUnits/12*BA$8*BA$12,0)</f>
        <v/>
      </c>
      <c r="BB32" s="18">
        <f>IF(51&gt;=DeliverStart,ExpAdvertisingPerUnit*TotalUnits/12*BB$8*BB$12,0)</f>
        <v/>
      </c>
      <c r="BC32" s="18">
        <f>IF(52&gt;=DeliverStart,ExpAdvertisingPerUnit*TotalUnits/12*BC$8*BC$12,0)</f>
        <v/>
      </c>
      <c r="BD32" s="18">
        <f>IF(53&gt;=DeliverStart,ExpAdvertisingPerUnit*TotalUnits/12*BD$8*BD$12,0)</f>
        <v/>
      </c>
      <c r="BE32" s="18">
        <f>IF(54&gt;=DeliverStart,ExpAdvertisingPerUnit*TotalUnits/12*BE$8*BE$12,0)</f>
        <v/>
      </c>
      <c r="BF32" s="18">
        <f>IF(55&gt;=DeliverStart,ExpAdvertisingPerUnit*TotalUnits/12*BF$8*BF$12,0)</f>
        <v/>
      </c>
      <c r="BG32" s="18">
        <f>IF(56&gt;=DeliverStart,ExpAdvertisingPerUnit*TotalUnits/12*BG$8*BG$12,0)</f>
        <v/>
      </c>
      <c r="BH32" s="18">
        <f>IF(57&gt;=DeliverStart,ExpAdvertisingPerUnit*TotalUnits/12*BH$8*BH$12,0)</f>
        <v/>
      </c>
      <c r="BI32" s="18">
        <f>IF(58&gt;=DeliverStart,ExpAdvertisingPerUnit*TotalUnits/12*BI$8*BI$12,0)</f>
        <v/>
      </c>
      <c r="BJ32" s="18">
        <f>IF(59&gt;=DeliverStart,ExpAdvertisingPerUnit*TotalUnits/12*BJ$8*BJ$12,0)</f>
        <v/>
      </c>
      <c r="BK32" s="18">
        <f>IF(60&gt;=DeliverStart,ExpAdvertisingPerUnit*TotalUnits/12*BK$8*BK$12,0)</f>
        <v/>
      </c>
      <c r="BL32" s="18">
        <f>IF(61&gt;=DeliverStart,ExpAdvertisingPerUnit*TotalUnits/12*BL$8*BL$12,0)</f>
        <v/>
      </c>
      <c r="BM32" s="18">
        <f>IF(62&gt;=DeliverStart,ExpAdvertisingPerUnit*TotalUnits/12*BM$8*BM$12,0)</f>
        <v/>
      </c>
      <c r="BN32" s="18">
        <f>IF(63&gt;=DeliverStart,ExpAdvertisingPerUnit*TotalUnits/12*BN$8*BN$12,0)</f>
        <v/>
      </c>
      <c r="BO32" s="18">
        <f>IF(64&gt;=DeliverStart,ExpAdvertisingPerUnit*TotalUnits/12*BO$8*BO$12,0)</f>
        <v/>
      </c>
      <c r="BP32" s="18">
        <f>IF(65&gt;=DeliverStart,ExpAdvertisingPerUnit*TotalUnits/12*BP$8*BP$12,0)</f>
        <v/>
      </c>
      <c r="BQ32" s="18">
        <f>IF(66&gt;=DeliverStart,ExpAdvertisingPerUnit*TotalUnits/12*BQ$8*BQ$12,0)</f>
        <v/>
      </c>
      <c r="BR32" s="18">
        <f>IF(67&gt;=DeliverStart,ExpAdvertisingPerUnit*TotalUnits/12*BR$8*BR$12,0)</f>
        <v/>
      </c>
      <c r="BS32" s="18">
        <f>IF(68&gt;=DeliverStart,ExpAdvertisingPerUnit*TotalUnits/12*BS$8*BS$12,0)</f>
        <v/>
      </c>
      <c r="BT32" s="18">
        <f>IF(69&gt;=DeliverStart,ExpAdvertisingPerUnit*TotalUnits/12*BT$8*BT$12,0)</f>
        <v/>
      </c>
      <c r="BU32" s="18">
        <f>IF(70&gt;=DeliverStart,ExpAdvertisingPerUnit*TotalUnits/12*BU$8*BU$12,0)</f>
        <v/>
      </c>
      <c r="BV32" s="18">
        <f>IF(71&gt;=DeliverStart,ExpAdvertisingPerUnit*TotalUnits/12*BV$8*BV$12,0)</f>
        <v/>
      </c>
      <c r="BW32" s="18">
        <f>IF(72&gt;=DeliverStart,ExpAdvertisingPerUnit*TotalUnits/12*BW$8*BW$12,0)</f>
        <v/>
      </c>
      <c r="BX32" s="18">
        <f>IF(73&gt;=DeliverStart,ExpAdvertisingPerUnit*TotalUnits/12*BX$8*BX$12,0)</f>
        <v/>
      </c>
      <c r="BY32" s="18">
        <f>IF(74&gt;=DeliverStart,ExpAdvertisingPerUnit*TotalUnits/12*BY$8*BY$12,0)</f>
        <v/>
      </c>
      <c r="BZ32" s="18">
        <f>IF(75&gt;=DeliverStart,ExpAdvertisingPerUnit*TotalUnits/12*BZ$8*BZ$12,0)</f>
        <v/>
      </c>
      <c r="CA32" s="18">
        <f>IF(76&gt;=DeliverStart,ExpAdvertisingPerUnit*TotalUnits/12*CA$8*CA$12,0)</f>
        <v/>
      </c>
      <c r="CB32" s="18">
        <f>IF(77&gt;=DeliverStart,ExpAdvertisingPerUnit*TotalUnits/12*CB$8*CB$12,0)</f>
        <v/>
      </c>
      <c r="CC32" s="18">
        <f>IF(78&gt;=DeliverStart,ExpAdvertisingPerUnit*TotalUnits/12*CC$8*CC$12,0)</f>
        <v/>
      </c>
      <c r="CD32" s="18">
        <f>IF(79&gt;=DeliverStart,ExpAdvertisingPerUnit*TotalUnits/12*CD$8*CD$12,0)</f>
        <v/>
      </c>
      <c r="CE32" s="18">
        <f>IF(80&gt;=DeliverStart,ExpAdvertisingPerUnit*TotalUnits/12*CE$8*CE$12,0)</f>
        <v/>
      </c>
      <c r="CF32" s="18">
        <f>IF(81&gt;=DeliverStart,ExpAdvertisingPerUnit*TotalUnits/12*CF$8*CF$12,0)</f>
        <v/>
      </c>
      <c r="CG32" s="18">
        <f>IF(82&gt;=DeliverStart,ExpAdvertisingPerUnit*TotalUnits/12*CG$8*CG$12,0)</f>
        <v/>
      </c>
      <c r="CH32" s="18">
        <f>IF(83&gt;=DeliverStart,ExpAdvertisingPerUnit*TotalUnits/12*CH$8*CH$12,0)</f>
        <v/>
      </c>
      <c r="CI32" s="18">
        <f>IF(84&gt;=DeliverStart,ExpAdvertisingPerUnit*TotalUnits/12*CI$8*CI$12,0)</f>
        <v/>
      </c>
      <c r="CJ32" s="18">
        <f>IF(85&gt;=DeliverStart,ExpAdvertisingPerUnit*TotalUnits/12*CJ$8*CJ$12,0)</f>
        <v/>
      </c>
      <c r="CK32" s="18">
        <f>IF(86&gt;=DeliverStart,ExpAdvertisingPerUnit*TotalUnits/12*CK$8*CK$12,0)</f>
        <v/>
      </c>
      <c r="CL32" s="18">
        <f>IF(87&gt;=DeliverStart,ExpAdvertisingPerUnit*TotalUnits/12*CL$8*CL$12,0)</f>
        <v/>
      </c>
      <c r="CM32" s="18">
        <f>IF(88&gt;=DeliverStart,ExpAdvertisingPerUnit*TotalUnits/12*CM$8*CM$12,0)</f>
        <v/>
      </c>
      <c r="CN32" s="18">
        <f>IF(89&gt;=DeliverStart,ExpAdvertisingPerUnit*TotalUnits/12*CN$8*CN$12,0)</f>
        <v/>
      </c>
      <c r="CO32" s="18">
        <f>IF(90&gt;=DeliverStart,ExpAdvertisingPerUnit*TotalUnits/12*CO$8*CO$12,0)</f>
        <v/>
      </c>
      <c r="CP32" s="18">
        <f>IF(91&gt;=DeliverStart,ExpAdvertisingPerUnit*TotalUnits/12*CP$8*CP$12,0)</f>
        <v/>
      </c>
      <c r="CQ32" s="18">
        <f>IF(92&gt;=DeliverStart,ExpAdvertisingPerUnit*TotalUnits/12*CQ$8*CQ$12,0)</f>
        <v/>
      </c>
      <c r="CR32" s="18">
        <f>IF(93&gt;=DeliverStart,ExpAdvertisingPerUnit*TotalUnits/12*CR$8*CR$12,0)</f>
        <v/>
      </c>
      <c r="CS32" s="18">
        <f>IF(94&gt;=DeliverStart,ExpAdvertisingPerUnit*TotalUnits/12*CS$8*CS$12,0)</f>
        <v/>
      </c>
      <c r="CT32" s="18">
        <f>IF(95&gt;=DeliverStart,ExpAdvertisingPerUnit*TotalUnits/12*CT$8*CT$12,0)</f>
        <v/>
      </c>
      <c r="CU32" s="18">
        <f>IF(96&gt;=DeliverStart,ExpAdvertisingPerUnit*TotalUnits/12*CU$8*CU$12,0)</f>
        <v/>
      </c>
      <c r="CV32" s="18">
        <f>IF(97&gt;=DeliverStart,ExpAdvertisingPerUnit*TotalUnits/12*CV$8*CV$12,0)</f>
        <v/>
      </c>
      <c r="CW32" s="18">
        <f>IF(98&gt;=DeliverStart,ExpAdvertisingPerUnit*TotalUnits/12*CW$8*CW$12,0)</f>
        <v/>
      </c>
      <c r="CX32" s="18">
        <f>IF(99&gt;=DeliverStart,ExpAdvertisingPerUnit*TotalUnits/12*CX$8*CX$12,0)</f>
        <v/>
      </c>
      <c r="CY32" s="18">
        <f>IF(100&gt;=DeliverStart,ExpAdvertisingPerUnit*TotalUnits/12*CY$8*CY$12,0)</f>
        <v/>
      </c>
      <c r="CZ32" s="18">
        <f>IF(101&gt;=DeliverStart,ExpAdvertisingPerUnit*TotalUnits/12*CZ$8*CZ$12,0)</f>
        <v/>
      </c>
      <c r="DA32" s="18">
        <f>IF(102&gt;=DeliverStart,ExpAdvertisingPerUnit*TotalUnits/12*DA$8*DA$12,0)</f>
        <v/>
      </c>
      <c r="DB32" s="18">
        <f>IF(103&gt;=DeliverStart,ExpAdvertisingPerUnit*TotalUnits/12*DB$8*DB$12,0)</f>
        <v/>
      </c>
      <c r="DC32" s="18">
        <f>IF(104&gt;=DeliverStart,ExpAdvertisingPerUnit*TotalUnits/12*DC$8*DC$12,0)</f>
        <v/>
      </c>
      <c r="DD32" s="18">
        <f>IF(105&gt;=DeliverStart,ExpAdvertisingPerUnit*TotalUnits/12*DD$8*DD$12,0)</f>
        <v/>
      </c>
      <c r="DE32" s="18">
        <f>IF(106&gt;=DeliverStart,ExpAdvertisingPerUnit*TotalUnits/12*DE$8*DE$12,0)</f>
        <v/>
      </c>
      <c r="DF32" s="18">
        <f>IF(107&gt;=DeliverStart,ExpAdvertisingPerUnit*TotalUnits/12*DF$8*DF$12,0)</f>
        <v/>
      </c>
      <c r="DG32" s="18">
        <f>IF(108&gt;=DeliverStart,ExpAdvertisingPerUnit*TotalUnits/12*DG$8*DG$12,0)</f>
        <v/>
      </c>
      <c r="DH32" s="18">
        <f>IF(109&gt;=DeliverStart,ExpAdvertisingPerUnit*TotalUnits/12*DH$8*DH$12,0)</f>
        <v/>
      </c>
      <c r="DI32" s="18">
        <f>IF(110&gt;=DeliverStart,ExpAdvertisingPerUnit*TotalUnits/12*DI$8*DI$12,0)</f>
        <v/>
      </c>
      <c r="DJ32" s="18">
        <f>IF(111&gt;=DeliverStart,ExpAdvertisingPerUnit*TotalUnits/12*DJ$8*DJ$12,0)</f>
        <v/>
      </c>
      <c r="DK32" s="18">
        <f>IF(112&gt;=DeliverStart,ExpAdvertisingPerUnit*TotalUnits/12*DK$8*DK$12,0)</f>
        <v/>
      </c>
      <c r="DL32" s="18">
        <f>IF(113&gt;=DeliverStart,ExpAdvertisingPerUnit*TotalUnits/12*DL$8*DL$12,0)</f>
        <v/>
      </c>
      <c r="DM32" s="18">
        <f>IF(114&gt;=DeliverStart,ExpAdvertisingPerUnit*TotalUnits/12*DM$8*DM$12,0)</f>
        <v/>
      </c>
      <c r="DN32" s="18">
        <f>IF(115&gt;=DeliverStart,ExpAdvertisingPerUnit*TotalUnits/12*DN$8*DN$12,0)</f>
        <v/>
      </c>
      <c r="DO32" s="18">
        <f>IF(116&gt;=DeliverStart,ExpAdvertisingPerUnit*TotalUnits/12*DO$8*DO$12,0)</f>
        <v/>
      </c>
      <c r="DP32" s="18">
        <f>IF(117&gt;=DeliverStart,ExpAdvertisingPerUnit*TotalUnits/12*DP$8*DP$12,0)</f>
        <v/>
      </c>
      <c r="DQ32" s="18">
        <f>IF(118&gt;=DeliverStart,ExpAdvertisingPerUnit*TotalUnits/12*DQ$8*DQ$12,0)</f>
        <v/>
      </c>
      <c r="DR32" s="18">
        <f>IF(119&gt;=DeliverStart,ExpAdvertisingPerUnit*TotalUnits/12*DR$8*DR$12,0)</f>
        <v/>
      </c>
      <c r="DS32" s="18">
        <f>IF(120&gt;=DeliverStart,ExpAdvertisingPerUnit*TotalUnits/12*DS$8*DS$12,0)</f>
        <v/>
      </c>
      <c r="DT32" s="18">
        <f>IF(121&gt;=DeliverStart,ExpAdvertisingPerUnit*TotalUnits/12*DT$8*DT$12,0)</f>
        <v/>
      </c>
      <c r="DU32" s="18">
        <f>IF(122&gt;=DeliverStart,ExpAdvertisingPerUnit*TotalUnits/12*DU$8*DU$12,0)</f>
        <v/>
      </c>
      <c r="DV32" s="18">
        <f>IF(123&gt;=DeliverStart,ExpAdvertisingPerUnit*TotalUnits/12*DV$8*DV$12,0)</f>
        <v/>
      </c>
      <c r="DW32" s="18">
        <f>IF(124&gt;=DeliverStart,ExpAdvertisingPerUnit*TotalUnits/12*DW$8*DW$12,0)</f>
        <v/>
      </c>
      <c r="DX32" s="18">
        <f>IF(125&gt;=DeliverStart,ExpAdvertisingPerUnit*TotalUnits/12*DX$8*DX$12,0)</f>
        <v/>
      </c>
      <c r="DY32" s="18">
        <f>IF(126&gt;=DeliverStart,ExpAdvertisingPerUnit*TotalUnits/12*DY$8*DY$12,0)</f>
        <v/>
      </c>
      <c r="DZ32" s="18">
        <f>IF(127&gt;=DeliverStart,ExpAdvertisingPerUnit*TotalUnits/12*DZ$8*DZ$12,0)</f>
        <v/>
      </c>
      <c r="EA32" s="18">
        <f>IF(128&gt;=DeliverStart,ExpAdvertisingPerUnit*TotalUnits/12*EA$8*EA$12,0)</f>
        <v/>
      </c>
      <c r="EB32" s="18">
        <f>IF(129&gt;=DeliverStart,ExpAdvertisingPerUnit*TotalUnits/12*EB$8*EB$12,0)</f>
        <v/>
      </c>
      <c r="EC32" s="18">
        <f>IF(130&gt;=DeliverStart,ExpAdvertisingPerUnit*TotalUnits/12*EC$8*EC$12,0)</f>
        <v/>
      </c>
      <c r="ED32" s="18">
        <f>IF(131&gt;=DeliverStart,ExpAdvertisingPerUnit*TotalUnits/12*ED$8*ED$12,0)</f>
        <v/>
      </c>
      <c r="EE32" s="18">
        <f>IF(132&gt;=DeliverStart,ExpAdvertisingPerUnit*TotalUnits/12*EE$8*EE$12,0)</f>
        <v/>
      </c>
      <c r="EF32" s="18">
        <f>IF(133&gt;=DeliverStart,ExpAdvertisingPerUnit*TotalUnits/12*EF$8*EF$12,0)</f>
        <v/>
      </c>
      <c r="EG32" s="18">
        <f>IF(134&gt;=DeliverStart,ExpAdvertisingPerUnit*TotalUnits/12*EG$8*EG$12,0)</f>
        <v/>
      </c>
      <c r="EH32" s="18">
        <f>IF(135&gt;=DeliverStart,ExpAdvertisingPerUnit*TotalUnits/12*EH$8*EH$12,0)</f>
        <v/>
      </c>
      <c r="EI32" s="18">
        <f>IF(136&gt;=DeliverStart,ExpAdvertisingPerUnit*TotalUnits/12*EI$8*EI$12,0)</f>
        <v/>
      </c>
      <c r="EJ32" s="18">
        <f>IF(137&gt;=DeliverStart,ExpAdvertisingPerUnit*TotalUnits/12*EJ$8*EJ$12,0)</f>
        <v/>
      </c>
      <c r="EK32" s="18">
        <f>IF(138&gt;=DeliverStart,ExpAdvertisingPerUnit*TotalUnits/12*EK$8*EK$12,0)</f>
        <v/>
      </c>
      <c r="EL32" s="18">
        <f>IF(139&gt;=DeliverStart,ExpAdvertisingPerUnit*TotalUnits/12*EL$8*EL$12,0)</f>
        <v/>
      </c>
      <c r="EM32" s="18">
        <f>IF(140&gt;=DeliverStart,ExpAdvertisingPerUnit*TotalUnits/12*EM$8*EM$12,0)</f>
        <v/>
      </c>
      <c r="EN32" s="18">
        <f>IF(141&gt;=DeliverStart,ExpAdvertisingPerUnit*TotalUnits/12*EN$8*EN$12,0)</f>
        <v/>
      </c>
      <c r="EO32" s="18">
        <f>IF(142&gt;=DeliverStart,ExpAdvertisingPerUnit*TotalUnits/12*EO$8*EO$12,0)</f>
        <v/>
      </c>
      <c r="EP32" s="18">
        <f>IF(143&gt;=DeliverStart,ExpAdvertisingPerUnit*TotalUnits/12*EP$8*EP$12,0)</f>
        <v/>
      </c>
      <c r="EQ32" s="18">
        <f>IF(144&gt;=DeliverStart,ExpAdvertisingPerUnit*TotalUnits/12*EQ$8*EQ$12,0)</f>
        <v/>
      </c>
      <c r="ER32" s="18">
        <f>IF(145&gt;=DeliverStart,ExpAdvertisingPerUnit*TotalUnits/12*ER$8*ER$12,0)</f>
        <v/>
      </c>
      <c r="ES32" s="18">
        <f>IF(146&gt;=DeliverStart,ExpAdvertisingPerUnit*TotalUnits/12*ES$8*ES$12,0)</f>
        <v/>
      </c>
      <c r="ET32" s="18">
        <f>IF(147&gt;=DeliverStart,ExpAdvertisingPerUnit*TotalUnits/12*ET$8*ET$12,0)</f>
        <v/>
      </c>
      <c r="EU32" s="18">
        <f>IF(148&gt;=DeliverStart,ExpAdvertisingPerUnit*TotalUnits/12*EU$8*EU$12,0)</f>
        <v/>
      </c>
      <c r="EV32" s="18">
        <f>IF(149&gt;=DeliverStart,ExpAdvertisingPerUnit*TotalUnits/12*EV$8*EV$12,0)</f>
        <v/>
      </c>
      <c r="EW32" s="18">
        <f>IF(150&gt;=DeliverStart,ExpAdvertisingPerUnit*TotalUnits/12*EW$8*EW$12,0)</f>
        <v/>
      </c>
      <c r="EX32" s="18">
        <f>IF(151&gt;=DeliverStart,ExpAdvertisingPerUnit*TotalUnits/12*EX$8*EX$12,0)</f>
        <v/>
      </c>
      <c r="EY32" s="18">
        <f>IF(152&gt;=DeliverStart,ExpAdvertisingPerUnit*TotalUnits/12*EY$8*EY$12,0)</f>
        <v/>
      </c>
      <c r="EZ32" s="18">
        <f>IF(153&gt;=DeliverStart,ExpAdvertisingPerUnit*TotalUnits/12*EZ$8*EZ$12,0)</f>
        <v/>
      </c>
      <c r="FA32" s="18">
        <f>IF(154&gt;=DeliverStart,ExpAdvertisingPerUnit*TotalUnits/12*FA$8*FA$12,0)</f>
        <v/>
      </c>
      <c r="FB32" s="18">
        <f>IF(155&gt;=DeliverStart,ExpAdvertisingPerUnit*TotalUnits/12*FB$8*FB$12,0)</f>
        <v/>
      </c>
      <c r="FC32" s="18">
        <f>IF(156&gt;=DeliverStart,ExpAdvertisingPerUnit*TotalUnits/12*FC$8*FC$12,0)</f>
        <v/>
      </c>
      <c r="FD32" s="18">
        <f>IF(157&gt;=DeliverStart,ExpAdvertisingPerUnit*TotalUnits/12*FD$8*FD$12,0)</f>
        <v/>
      </c>
      <c r="FE32" s="18">
        <f>IF(158&gt;=DeliverStart,ExpAdvertisingPerUnit*TotalUnits/12*FE$8*FE$12,0)</f>
        <v/>
      </c>
      <c r="FF32" s="18">
        <f>IF(159&gt;=DeliverStart,ExpAdvertisingPerUnit*TotalUnits/12*FF$8*FF$12,0)</f>
        <v/>
      </c>
      <c r="FG32" s="18">
        <f>IF(160&gt;=DeliverStart,ExpAdvertisingPerUnit*TotalUnits/12*FG$8*FG$12,0)</f>
        <v/>
      </c>
      <c r="FH32" s="18">
        <f>IF(161&gt;=DeliverStart,ExpAdvertisingPerUnit*TotalUnits/12*FH$8*FH$12,0)</f>
        <v/>
      </c>
      <c r="FI32" s="18">
        <f>IF(162&gt;=DeliverStart,ExpAdvertisingPerUnit*TotalUnits/12*FI$8*FI$12,0)</f>
        <v/>
      </c>
      <c r="FJ32" s="18">
        <f>IF(163&gt;=DeliverStart,ExpAdvertisingPerUnit*TotalUnits/12*FJ$8*FJ$12,0)</f>
        <v/>
      </c>
      <c r="FK32" s="18">
        <f>IF(164&gt;=DeliverStart,ExpAdvertisingPerUnit*TotalUnits/12*FK$8*FK$12,0)</f>
        <v/>
      </c>
      <c r="FL32" s="18">
        <f>IF(165&gt;=DeliverStart,ExpAdvertisingPerUnit*TotalUnits/12*FL$8*FL$12,0)</f>
        <v/>
      </c>
      <c r="FM32" s="18">
        <f>IF(166&gt;=DeliverStart,ExpAdvertisingPerUnit*TotalUnits/12*FM$8*FM$12,0)</f>
        <v/>
      </c>
      <c r="FN32" s="18">
        <f>IF(167&gt;=DeliverStart,ExpAdvertisingPerUnit*TotalUnits/12*FN$8*FN$12,0)</f>
        <v/>
      </c>
      <c r="FO32" s="18">
        <f>IF(168&gt;=DeliverStart,ExpAdvertisingPerUnit*TotalUnits/12*FO$8*FO$12,0)</f>
        <v/>
      </c>
      <c r="FP32" s="18">
        <f>IF(169&gt;=DeliverStart,ExpAdvertisingPerUnit*TotalUnits/12*FP$8*FP$12,0)</f>
        <v/>
      </c>
      <c r="FQ32" s="18">
        <f>IF(170&gt;=DeliverStart,ExpAdvertisingPerUnit*TotalUnits/12*FQ$8*FQ$12,0)</f>
        <v/>
      </c>
      <c r="FR32" s="18">
        <f>IF(171&gt;=DeliverStart,ExpAdvertisingPerUnit*TotalUnits/12*FR$8*FR$12,0)</f>
        <v/>
      </c>
      <c r="FS32" s="18">
        <f>IF(172&gt;=DeliverStart,ExpAdvertisingPerUnit*TotalUnits/12*FS$8*FS$12,0)</f>
        <v/>
      </c>
      <c r="FT32" s="18">
        <f>IF(173&gt;=DeliverStart,ExpAdvertisingPerUnit*TotalUnits/12*FT$8*FT$12,0)</f>
        <v/>
      </c>
      <c r="FU32" s="18">
        <f>IF(174&gt;=DeliverStart,ExpAdvertisingPerUnit*TotalUnits/12*FU$8*FU$12,0)</f>
        <v/>
      </c>
      <c r="FV32" s="18">
        <f>IF(175&gt;=DeliverStart,ExpAdvertisingPerUnit*TotalUnits/12*FV$8*FV$12,0)</f>
        <v/>
      </c>
      <c r="FW32" s="18">
        <f>IF(176&gt;=DeliverStart,ExpAdvertisingPerUnit*TotalUnits/12*FW$8*FW$12,0)</f>
        <v/>
      </c>
      <c r="FX32" s="18">
        <f>IF(177&gt;=DeliverStart,ExpAdvertisingPerUnit*TotalUnits/12*FX$8*FX$12,0)</f>
        <v/>
      </c>
      <c r="FY32" s="18">
        <f>IF(178&gt;=DeliverStart,ExpAdvertisingPerUnit*TotalUnits/12*FY$8*FY$12,0)</f>
        <v/>
      </c>
      <c r="FZ32" s="18">
        <f>IF(179&gt;=DeliverStart,ExpAdvertisingPerUnit*TotalUnits/12*FZ$8*FZ$12,0)</f>
        <v/>
      </c>
      <c r="GA32" s="18">
        <f>IF(180&gt;=DeliverStart,ExpAdvertisingPerUnit*TotalUnits/12*GA$8*GA$12,0)</f>
        <v/>
      </c>
      <c r="GB32" s="18">
        <f>IF(181&gt;=DeliverStart,ExpAdvertisingPerUnit*TotalUnits/12*GB$8*GB$12,0)</f>
        <v/>
      </c>
      <c r="GC32" s="18">
        <f>IF(182&gt;=DeliverStart,ExpAdvertisingPerUnit*TotalUnits/12*GC$8*GC$12,0)</f>
        <v/>
      </c>
      <c r="GD32" s="18">
        <f>IF(183&gt;=DeliverStart,ExpAdvertisingPerUnit*TotalUnits/12*GD$8*GD$12,0)</f>
        <v/>
      </c>
      <c r="GE32" s="18">
        <f>IF(184&gt;=DeliverStart,ExpAdvertisingPerUnit*TotalUnits/12*GE$8*GE$12,0)</f>
        <v/>
      </c>
      <c r="GF32" s="18">
        <f>IF(185&gt;=DeliverStart,ExpAdvertisingPerUnit*TotalUnits/12*GF$8*GF$12,0)</f>
        <v/>
      </c>
      <c r="GG32" s="18">
        <f>IF(186&gt;=DeliverStart,ExpAdvertisingPerUnit*TotalUnits/12*GG$8*GG$12,0)</f>
        <v/>
      </c>
      <c r="GH32" s="18">
        <f>IF(187&gt;=DeliverStart,ExpAdvertisingPerUnit*TotalUnits/12*GH$8*GH$12,0)</f>
        <v/>
      </c>
      <c r="GI32" s="18">
        <f>IF(188&gt;=DeliverStart,ExpAdvertisingPerUnit*TotalUnits/12*GI$8*GI$12,0)</f>
        <v/>
      </c>
      <c r="GJ32" s="18">
        <f>IF(189&gt;=DeliverStart,ExpAdvertisingPerUnit*TotalUnits/12*GJ$8*GJ$12,0)</f>
        <v/>
      </c>
      <c r="GK32" s="18">
        <f>IF(190&gt;=DeliverStart,ExpAdvertisingPerUnit*TotalUnits/12*GK$8*GK$12,0)</f>
        <v/>
      </c>
      <c r="GL32" s="18">
        <f>IF(191&gt;=DeliverStart,ExpAdvertisingPerUnit*TotalUnits/12*GL$8*GL$12,0)</f>
        <v/>
      </c>
      <c r="GM32" s="18">
        <f>IF(192&gt;=DeliverStart,ExpAdvertisingPerUnit*TotalUnits/12*GM$8*GM$12,0)</f>
        <v/>
      </c>
      <c r="GN32" s="18">
        <f>IF(193&gt;=DeliverStart,ExpAdvertisingPerUnit*TotalUnits/12*GN$8*GN$12,0)</f>
        <v/>
      </c>
      <c r="GO32" s="18">
        <f>IF(194&gt;=DeliverStart,ExpAdvertisingPerUnit*TotalUnits/12*GO$8*GO$12,0)</f>
        <v/>
      </c>
      <c r="GP32" s="18">
        <f>IF(195&gt;=DeliverStart,ExpAdvertisingPerUnit*TotalUnits/12*GP$8*GP$12,0)</f>
        <v/>
      </c>
      <c r="GQ32" s="18">
        <f>IF(196&gt;=DeliverStart,ExpAdvertisingPerUnit*TotalUnits/12*GQ$8*GQ$12,0)</f>
        <v/>
      </c>
      <c r="GR32" s="18">
        <f>IF(197&gt;=DeliverStart,ExpAdvertisingPerUnit*TotalUnits/12*GR$8*GR$12,0)</f>
        <v/>
      </c>
      <c r="GS32" s="18">
        <f>IF(198&gt;=DeliverStart,ExpAdvertisingPerUnit*TotalUnits/12*GS$8*GS$12,0)</f>
        <v/>
      </c>
      <c r="GT32" s="18">
        <f>IF(199&gt;=DeliverStart,ExpAdvertisingPerUnit*TotalUnits/12*GT$8*GT$12,0)</f>
        <v/>
      </c>
      <c r="GU32" s="18">
        <f>IF(200&gt;=DeliverStart,ExpAdvertisingPerUnit*TotalUnits/12*GU$8*GU$12,0)</f>
        <v/>
      </c>
      <c r="GV32" s="18">
        <f>IF(201&gt;=DeliverStart,ExpAdvertisingPerUnit*TotalUnits/12*GV$8*GV$12,0)</f>
        <v/>
      </c>
      <c r="GW32" s="18">
        <f>IF(202&gt;=DeliverStart,ExpAdvertisingPerUnit*TotalUnits/12*GW$8*GW$12,0)</f>
        <v/>
      </c>
      <c r="GX32" s="18">
        <f>IF(203&gt;=DeliverStart,ExpAdvertisingPerUnit*TotalUnits/12*GX$8*GX$12,0)</f>
        <v/>
      </c>
      <c r="GY32" s="18">
        <f>IF(204&gt;=DeliverStart,ExpAdvertisingPerUnit*TotalUnits/12*GY$8*GY$12,0)</f>
        <v/>
      </c>
      <c r="GZ32" s="18">
        <f>IF(205&gt;=DeliverStart,ExpAdvertisingPerUnit*TotalUnits/12*GZ$8*GZ$12,0)</f>
        <v/>
      </c>
      <c r="HA32" s="18">
        <f>IF(206&gt;=DeliverStart,ExpAdvertisingPerUnit*TotalUnits/12*HA$8*HA$12,0)</f>
        <v/>
      </c>
      <c r="HB32" s="18">
        <f>IF(207&gt;=DeliverStart,ExpAdvertisingPerUnit*TotalUnits/12*HB$8*HB$12,0)</f>
        <v/>
      </c>
      <c r="HC32" s="18">
        <f>IF(208&gt;=DeliverStart,ExpAdvertisingPerUnit*TotalUnits/12*HC$8*HC$12,0)</f>
        <v/>
      </c>
      <c r="HD32" s="18">
        <f>IF(209&gt;=DeliverStart,ExpAdvertisingPerUnit*TotalUnits/12*HD$8*HD$12,0)</f>
        <v/>
      </c>
      <c r="HE32" s="18">
        <f>IF(210&gt;=DeliverStart,ExpAdvertisingPerUnit*TotalUnits/12*HE$8*HE$12,0)</f>
        <v/>
      </c>
      <c r="HF32" s="18">
        <f>IF(211&gt;=DeliverStart,ExpAdvertisingPerUnit*TotalUnits/12*HF$8*HF$12,0)</f>
        <v/>
      </c>
      <c r="HG32" s="18">
        <f>IF(212&gt;=DeliverStart,ExpAdvertisingPerUnit*TotalUnits/12*HG$8*HG$12,0)</f>
        <v/>
      </c>
      <c r="HH32" s="18">
        <f>IF(213&gt;=DeliverStart,ExpAdvertisingPerUnit*TotalUnits/12*HH$8*HH$12,0)</f>
        <v/>
      </c>
      <c r="HI32" s="18">
        <f>IF(214&gt;=DeliverStart,ExpAdvertisingPerUnit*TotalUnits/12*HI$8*HI$12,0)</f>
        <v/>
      </c>
      <c r="HJ32" s="18">
        <f>IF(215&gt;=DeliverStart,ExpAdvertisingPerUnit*TotalUnits/12*HJ$8*HJ$12,0)</f>
        <v/>
      </c>
      <c r="HK32" s="18">
        <f>IF(216&gt;=DeliverStart,ExpAdvertisingPerUnit*TotalUnits/12*HK$8*HK$12,0)</f>
        <v/>
      </c>
      <c r="HL32" s="18">
        <f>IF(217&gt;=DeliverStart,ExpAdvertisingPerUnit*TotalUnits/12*HL$8*HL$12,0)</f>
        <v/>
      </c>
      <c r="HM32" s="18">
        <f>IF(218&gt;=DeliverStart,ExpAdvertisingPerUnit*TotalUnits/12*HM$8*HM$12,0)</f>
        <v/>
      </c>
      <c r="HN32" s="18">
        <f>IF(219&gt;=DeliverStart,ExpAdvertisingPerUnit*TotalUnits/12*HN$8*HN$12,0)</f>
        <v/>
      </c>
      <c r="HO32" s="18">
        <f>IF(220&gt;=DeliverStart,ExpAdvertisingPerUnit*TotalUnits/12*HO$8*HO$12,0)</f>
        <v/>
      </c>
      <c r="HP32" s="18">
        <f>IF(221&gt;=DeliverStart,ExpAdvertisingPerUnit*TotalUnits/12*HP$8*HP$12,0)</f>
        <v/>
      </c>
      <c r="HQ32" s="18">
        <f>IF(222&gt;=DeliverStart,ExpAdvertisingPerUnit*TotalUnits/12*HQ$8*HQ$12,0)</f>
        <v/>
      </c>
      <c r="HR32" s="18">
        <f>IF(223&gt;=DeliverStart,ExpAdvertisingPerUnit*TotalUnits/12*HR$8*HR$12,0)</f>
        <v/>
      </c>
      <c r="HS32" s="18">
        <f>IF(224&gt;=DeliverStart,ExpAdvertisingPerUnit*TotalUnits/12*HS$8*HS$12,0)</f>
        <v/>
      </c>
      <c r="HT32" s="18">
        <f>IF(225&gt;=DeliverStart,ExpAdvertisingPerUnit*TotalUnits/12*HT$8*HT$12,0)</f>
        <v/>
      </c>
      <c r="HU32" s="18">
        <f>IF(226&gt;=DeliverStart,ExpAdvertisingPerUnit*TotalUnits/12*HU$8*HU$12,0)</f>
        <v/>
      </c>
      <c r="HV32" s="18">
        <f>IF(227&gt;=DeliverStart,ExpAdvertisingPerUnit*TotalUnits/12*HV$8*HV$12,0)</f>
        <v/>
      </c>
      <c r="HW32" s="18">
        <f>IF(228&gt;=DeliverStart,ExpAdvertisingPerUnit*TotalUnits/12*HW$8*HW$12,0)</f>
        <v/>
      </c>
      <c r="HX32" s="18">
        <f>IF(229&gt;=DeliverStart,ExpAdvertisingPerUnit*TotalUnits/12*HX$8*HX$12,0)</f>
        <v/>
      </c>
      <c r="HY32" s="18">
        <f>IF(230&gt;=DeliverStart,ExpAdvertisingPerUnit*TotalUnits/12*HY$8*HY$12,0)</f>
        <v/>
      </c>
      <c r="HZ32" s="18">
        <f>IF(231&gt;=DeliverStart,ExpAdvertisingPerUnit*TotalUnits/12*HZ$8*HZ$12,0)</f>
        <v/>
      </c>
      <c r="IA32" s="18">
        <f>IF(232&gt;=DeliverStart,ExpAdvertisingPerUnit*TotalUnits/12*IA$8*IA$12,0)</f>
        <v/>
      </c>
      <c r="IB32" s="18">
        <f>IF(233&gt;=DeliverStart,ExpAdvertisingPerUnit*TotalUnits/12*IB$8*IB$12,0)</f>
        <v/>
      </c>
      <c r="IC32" s="18">
        <f>IF(234&gt;=DeliverStart,ExpAdvertisingPerUnit*TotalUnits/12*IC$8*IC$12,0)</f>
        <v/>
      </c>
      <c r="ID32" s="18">
        <f>IF(235&gt;=DeliverStart,ExpAdvertisingPerUnit*TotalUnits/12*ID$8*ID$12,0)</f>
        <v/>
      </c>
      <c r="IE32" s="18">
        <f>IF(236&gt;=DeliverStart,ExpAdvertisingPerUnit*TotalUnits/12*IE$8*IE$12,0)</f>
        <v/>
      </c>
      <c r="IF32" s="18">
        <f>IF(237&gt;=DeliverStart,ExpAdvertisingPerUnit*TotalUnits/12*IF$8*IF$12,0)</f>
        <v/>
      </c>
      <c r="IG32" s="18">
        <f>IF(238&gt;=DeliverStart,ExpAdvertisingPerUnit*TotalUnits/12*IG$8*IG$12,0)</f>
        <v/>
      </c>
      <c r="IH32" s="18">
        <f>IF(239&gt;=DeliverStart,ExpAdvertisingPerUnit*TotalUnits/12*IH$8*IH$12,0)</f>
        <v/>
      </c>
      <c r="II32" s="18">
        <f>IF(240&gt;=DeliverStart,ExpAdvertisingPerUnit*TotalUnits/12*II$8*II$12,0)</f>
        <v/>
      </c>
      <c r="IJ32" s="18">
        <f>IF(241&gt;=DeliverStart,ExpAdvertisingPerUnit*TotalUnits/12*IJ$8*IJ$12,0)</f>
        <v/>
      </c>
      <c r="IK32" s="18">
        <f>IF(242&gt;=DeliverStart,ExpAdvertisingPerUnit*TotalUnits/12*IK$8*IK$12,0)</f>
        <v/>
      </c>
      <c r="IL32" s="18">
        <f>IF(243&gt;=DeliverStart,ExpAdvertisingPerUnit*TotalUnits/12*IL$8*IL$12,0)</f>
        <v/>
      </c>
      <c r="IM32" s="18">
        <f>IF(244&gt;=DeliverStart,ExpAdvertisingPerUnit*TotalUnits/12*IM$8*IM$12,0)</f>
        <v/>
      </c>
      <c r="IN32" s="18">
        <f>IF(245&gt;=DeliverStart,ExpAdvertisingPerUnit*TotalUnits/12*IN$8*IN$12,0)</f>
        <v/>
      </c>
      <c r="IO32" s="18">
        <f>IF(246&gt;=DeliverStart,ExpAdvertisingPerUnit*TotalUnits/12*IO$8*IO$12,0)</f>
        <v/>
      </c>
      <c r="IP32" s="18">
        <f>IF(247&gt;=DeliverStart,ExpAdvertisingPerUnit*TotalUnits/12*IP$8*IP$12,0)</f>
        <v/>
      </c>
      <c r="IQ32" s="18">
        <f>IF(248&gt;=DeliverStart,ExpAdvertisingPerUnit*TotalUnits/12*IQ$8*IQ$12,0)</f>
        <v/>
      </c>
      <c r="IR32" s="18">
        <f>IF(249&gt;=DeliverStart,ExpAdvertisingPerUnit*TotalUnits/12*IR$8*IR$12,0)</f>
        <v/>
      </c>
      <c r="IS32" s="18">
        <f>IF(250&gt;=DeliverStart,ExpAdvertisingPerUnit*TotalUnits/12*IS$8*IS$12,0)</f>
        <v/>
      </c>
      <c r="IT32" s="18">
        <f>IF(251&gt;=DeliverStart,ExpAdvertisingPerUnit*TotalUnits/12*IT$8*IT$12,0)</f>
        <v/>
      </c>
      <c r="IU32" s="18">
        <f>IF(252&gt;=DeliverStart,ExpAdvertisingPerUnit*TotalUnits/12*IU$8*IU$12,0)</f>
        <v/>
      </c>
      <c r="IV32" s="18">
        <f>IF(253&gt;=DeliverStart,ExpAdvertisingPerUnit*TotalUnits/12*IV$8*IV$12,0)</f>
        <v/>
      </c>
      <c r="IW32" s="18">
        <f>IF(254&gt;=DeliverStart,ExpAdvertisingPerUnit*TotalUnits/12*IW$8*IW$12,0)</f>
        <v/>
      </c>
      <c r="IX32" s="18">
        <f>IF(255&gt;=DeliverStart,ExpAdvertisingPerUnit*TotalUnits/12*IX$8*IX$12,0)</f>
        <v/>
      </c>
      <c r="IY32" s="18">
        <f>IF(256&gt;=DeliverStart,ExpAdvertisingPerUnit*TotalUnits/12*IY$8*IY$12,0)</f>
        <v/>
      </c>
      <c r="IZ32" s="18">
        <f>IF(257&gt;=DeliverStart,ExpAdvertisingPerUnit*TotalUnits/12*IZ$8*IZ$12,0)</f>
        <v/>
      </c>
      <c r="JA32" s="18">
        <f>IF(258&gt;=DeliverStart,ExpAdvertisingPerUnit*TotalUnits/12*JA$8*JA$12,0)</f>
        <v/>
      </c>
      <c r="JB32" s="18">
        <f>IF(259&gt;=DeliverStart,ExpAdvertisingPerUnit*TotalUnits/12*JB$8*JB$12,0)</f>
        <v/>
      </c>
      <c r="JC32" s="18">
        <f>IF(260&gt;=DeliverStart,ExpAdvertisingPerUnit*TotalUnits/12*JC$8*JC$12,0)</f>
        <v/>
      </c>
      <c r="JD32" s="18">
        <f>IF(261&gt;=DeliverStart,ExpAdvertisingPerUnit*TotalUnits/12*JD$8*JD$12,0)</f>
        <v/>
      </c>
      <c r="JE32" s="18">
        <f>IF(262&gt;=DeliverStart,ExpAdvertisingPerUnit*TotalUnits/12*JE$8*JE$12,0)</f>
        <v/>
      </c>
      <c r="JF32" s="18">
        <f>IF(263&gt;=DeliverStart,ExpAdvertisingPerUnit*TotalUnits/12*JF$8*JF$12,0)</f>
        <v/>
      </c>
      <c r="JG32" s="18">
        <f>IF(264&gt;=DeliverStart,ExpAdvertisingPerUnit*TotalUnits/12*JG$8*JG$12,0)</f>
        <v/>
      </c>
      <c r="JH32" s="18">
        <f>IF(265&gt;=DeliverStart,ExpAdvertisingPerUnit*TotalUnits/12*JH$8*JH$12,0)</f>
        <v/>
      </c>
      <c r="JI32" s="18">
        <f>IF(266&gt;=DeliverStart,ExpAdvertisingPerUnit*TotalUnits/12*JI$8*JI$12,0)</f>
        <v/>
      </c>
      <c r="JJ32" s="18">
        <f>IF(267&gt;=DeliverStart,ExpAdvertisingPerUnit*TotalUnits/12*JJ$8*JJ$12,0)</f>
        <v/>
      </c>
      <c r="JK32" s="18">
        <f>IF(268&gt;=DeliverStart,ExpAdvertisingPerUnit*TotalUnits/12*JK$8*JK$12,0)</f>
        <v/>
      </c>
      <c r="JL32" s="18">
        <f>IF(269&gt;=DeliverStart,ExpAdvertisingPerUnit*TotalUnits/12*JL$8*JL$12,0)</f>
        <v/>
      </c>
      <c r="JM32" s="18">
        <f>IF(270&gt;=DeliverStart,ExpAdvertisingPerUnit*TotalUnits/12*JM$8*JM$12,0)</f>
        <v/>
      </c>
      <c r="JN32" s="18">
        <f>IF(271&gt;=DeliverStart,ExpAdvertisingPerUnit*TotalUnits/12*JN$8*JN$12,0)</f>
        <v/>
      </c>
      <c r="JO32" s="18">
        <f>IF(272&gt;=DeliverStart,ExpAdvertisingPerUnit*TotalUnits/12*JO$8*JO$12,0)</f>
        <v/>
      </c>
      <c r="JP32" s="18">
        <f>IF(273&gt;=DeliverStart,ExpAdvertisingPerUnit*TotalUnits/12*JP$8*JP$12,0)</f>
        <v/>
      </c>
      <c r="JQ32" s="18">
        <f>IF(274&gt;=DeliverStart,ExpAdvertisingPerUnit*TotalUnits/12*JQ$8*JQ$12,0)</f>
        <v/>
      </c>
      <c r="JR32" s="18">
        <f>IF(275&gt;=DeliverStart,ExpAdvertisingPerUnit*TotalUnits/12*JR$8*JR$12,0)</f>
        <v/>
      </c>
      <c r="JS32" s="18">
        <f>IF(276&gt;=DeliverStart,ExpAdvertisingPerUnit*TotalUnits/12*JS$8*JS$12,0)</f>
        <v/>
      </c>
      <c r="JT32" s="18">
        <f>IF(277&gt;=DeliverStart,ExpAdvertisingPerUnit*TotalUnits/12*JT$8*JT$12,0)</f>
        <v/>
      </c>
      <c r="JU32" s="18">
        <f>IF(278&gt;=DeliverStart,ExpAdvertisingPerUnit*TotalUnits/12*JU$8*JU$12,0)</f>
        <v/>
      </c>
      <c r="JV32" s="18">
        <f>IF(279&gt;=DeliverStart,ExpAdvertisingPerUnit*TotalUnits/12*JV$8*JV$12,0)</f>
        <v/>
      </c>
      <c r="JW32" s="18">
        <f>IF(280&gt;=DeliverStart,ExpAdvertisingPerUnit*TotalUnits/12*JW$8*JW$12,0)</f>
        <v/>
      </c>
      <c r="JX32" s="18">
        <f>IF(281&gt;=DeliverStart,ExpAdvertisingPerUnit*TotalUnits/12*JX$8*JX$12,0)</f>
        <v/>
      </c>
      <c r="JY32" s="18">
        <f>IF(282&gt;=DeliverStart,ExpAdvertisingPerUnit*TotalUnits/12*JY$8*JY$12,0)</f>
        <v/>
      </c>
      <c r="JZ32" s="18">
        <f>IF(283&gt;=DeliverStart,ExpAdvertisingPerUnit*TotalUnits/12*JZ$8*JZ$12,0)</f>
        <v/>
      </c>
      <c r="KA32" s="18">
        <f>IF(284&gt;=DeliverStart,ExpAdvertisingPerUnit*TotalUnits/12*KA$8*KA$12,0)</f>
        <v/>
      </c>
      <c r="KB32" s="18">
        <f>IF(285&gt;=DeliverStart,ExpAdvertisingPerUnit*TotalUnits/12*KB$8*KB$12,0)</f>
        <v/>
      </c>
      <c r="KC32" s="18">
        <f>IF(286&gt;=DeliverStart,ExpAdvertisingPerUnit*TotalUnits/12*KC$8*KC$12,0)</f>
        <v/>
      </c>
      <c r="KD32" s="18">
        <f>IF(287&gt;=DeliverStart,ExpAdvertisingPerUnit*TotalUnits/12*KD$8*KD$12,0)</f>
        <v/>
      </c>
      <c r="KE32" s="18">
        <f>IF(288&gt;=DeliverStart,ExpAdvertisingPerUnit*TotalUnits/12*KE$8*KE$12,0)</f>
        <v/>
      </c>
      <c r="KF32" s="18">
        <f>IF(289&gt;=DeliverStart,ExpAdvertisingPerUnit*TotalUnits/12*KF$8*KF$12,0)</f>
        <v/>
      </c>
      <c r="KG32" s="18">
        <f>IF(290&gt;=DeliverStart,ExpAdvertisingPerUnit*TotalUnits/12*KG$8*KG$12,0)</f>
        <v/>
      </c>
      <c r="KH32" s="18">
        <f>IF(291&gt;=DeliverStart,ExpAdvertisingPerUnit*TotalUnits/12*KH$8*KH$12,0)</f>
        <v/>
      </c>
      <c r="KI32" s="18">
        <f>IF(292&gt;=DeliverStart,ExpAdvertisingPerUnit*TotalUnits/12*KI$8*KI$12,0)</f>
        <v/>
      </c>
      <c r="KJ32" s="18">
        <f>IF(293&gt;=DeliverStart,ExpAdvertisingPerUnit*TotalUnits/12*KJ$8*KJ$12,0)</f>
        <v/>
      </c>
      <c r="KK32" s="18">
        <f>IF(294&gt;=DeliverStart,ExpAdvertisingPerUnit*TotalUnits/12*KK$8*KK$12,0)</f>
        <v/>
      </c>
      <c r="KL32" s="18">
        <f>IF(295&gt;=DeliverStart,ExpAdvertisingPerUnit*TotalUnits/12*KL$8*KL$12,0)</f>
        <v/>
      </c>
      <c r="KM32" s="18">
        <f>IF(296&gt;=DeliverStart,ExpAdvertisingPerUnit*TotalUnits/12*KM$8*KM$12,0)</f>
        <v/>
      </c>
      <c r="KN32" s="18">
        <f>IF(297&gt;=DeliverStart,ExpAdvertisingPerUnit*TotalUnits/12*KN$8*KN$12,0)</f>
        <v/>
      </c>
      <c r="KO32" s="18">
        <f>IF(298&gt;=DeliverStart,ExpAdvertisingPerUnit*TotalUnits/12*KO$8*KO$12,0)</f>
        <v/>
      </c>
      <c r="KP32" s="18">
        <f>IF(299&gt;=DeliverStart,ExpAdvertisingPerUnit*TotalUnits/12*KP$8*KP$12,0)</f>
        <v/>
      </c>
      <c r="KQ32" s="18">
        <f>IF(300&gt;=DeliverStart,ExpAdvertisingPerUnit*TotalUnits/12*KQ$8*KQ$12,0)</f>
        <v/>
      </c>
      <c r="KR32" s="18">
        <f>IF(301&gt;=DeliverStart,ExpAdvertisingPerUnit*TotalUnits/12*KR$8*KR$12,0)</f>
        <v/>
      </c>
      <c r="KS32" s="18">
        <f>IF(302&gt;=DeliverStart,ExpAdvertisingPerUnit*TotalUnits/12*KS$8*KS$12,0)</f>
        <v/>
      </c>
      <c r="KT32" s="18">
        <f>IF(303&gt;=DeliverStart,ExpAdvertisingPerUnit*TotalUnits/12*KT$8*KT$12,0)</f>
        <v/>
      </c>
      <c r="KU32" s="18">
        <f>IF(304&gt;=DeliverStart,ExpAdvertisingPerUnit*TotalUnits/12*KU$8*KU$12,0)</f>
        <v/>
      </c>
      <c r="KV32" s="18">
        <f>IF(305&gt;=DeliverStart,ExpAdvertisingPerUnit*TotalUnits/12*KV$8*KV$12,0)</f>
        <v/>
      </c>
      <c r="KW32" s="18">
        <f>IF(306&gt;=DeliverStart,ExpAdvertisingPerUnit*TotalUnits/12*KW$8*KW$12,0)</f>
        <v/>
      </c>
      <c r="KX32" s="18">
        <f>IF(307&gt;=DeliverStart,ExpAdvertisingPerUnit*TotalUnits/12*KX$8*KX$12,0)</f>
        <v/>
      </c>
      <c r="KY32" s="18">
        <f>IF(308&gt;=DeliverStart,ExpAdvertisingPerUnit*TotalUnits/12*KY$8*KY$12,0)</f>
        <v/>
      </c>
      <c r="KZ32" s="18">
        <f>IF(309&gt;=DeliverStart,ExpAdvertisingPerUnit*TotalUnits/12*KZ$8*KZ$12,0)</f>
        <v/>
      </c>
      <c r="LA32" s="18">
        <f>IF(310&gt;=DeliverStart,ExpAdvertisingPerUnit*TotalUnits/12*LA$8*LA$12,0)</f>
        <v/>
      </c>
      <c r="LB32" s="18">
        <f>IF(311&gt;=DeliverStart,ExpAdvertisingPerUnit*TotalUnits/12*LB$8*LB$12,0)</f>
        <v/>
      </c>
      <c r="LC32" s="18">
        <f>IF(312&gt;=DeliverStart,ExpAdvertisingPerUnit*TotalUnits/12*LC$8*LC$12,0)</f>
        <v/>
      </c>
      <c r="LD32" s="18">
        <f>IF(313&gt;=DeliverStart,ExpAdvertisingPerUnit*TotalUnits/12*LD$8*LD$12,0)</f>
        <v/>
      </c>
      <c r="LE32" s="18">
        <f>IF(314&gt;=DeliverStart,ExpAdvertisingPerUnit*TotalUnits/12*LE$8*LE$12,0)</f>
        <v/>
      </c>
      <c r="LF32" s="18">
        <f>IF(315&gt;=DeliverStart,ExpAdvertisingPerUnit*TotalUnits/12*LF$8*LF$12,0)</f>
        <v/>
      </c>
      <c r="LG32" s="18">
        <f>IF(316&gt;=DeliverStart,ExpAdvertisingPerUnit*TotalUnits/12*LG$8*LG$12,0)</f>
        <v/>
      </c>
      <c r="LH32" s="18">
        <f>IF(317&gt;=DeliverStart,ExpAdvertisingPerUnit*TotalUnits/12*LH$8*LH$12,0)</f>
        <v/>
      </c>
      <c r="LI32" s="18">
        <f>IF(318&gt;=DeliverStart,ExpAdvertisingPerUnit*TotalUnits/12*LI$8*LI$12,0)</f>
        <v/>
      </c>
      <c r="LJ32" s="18">
        <f>IF(319&gt;=DeliverStart,ExpAdvertisingPerUnit*TotalUnits/12*LJ$8*LJ$12,0)</f>
        <v/>
      </c>
      <c r="LK32" s="18">
        <f>IF(320&gt;=DeliverStart,ExpAdvertisingPerUnit*TotalUnits/12*LK$8*LK$12,0)</f>
        <v/>
      </c>
      <c r="LL32" s="18">
        <f>IF(321&gt;=DeliverStart,ExpAdvertisingPerUnit*TotalUnits/12*LL$8*LL$12,0)</f>
        <v/>
      </c>
      <c r="LM32" s="18">
        <f>IF(322&gt;=DeliverStart,ExpAdvertisingPerUnit*TotalUnits/12*LM$8*LM$12,0)</f>
        <v/>
      </c>
      <c r="LN32" s="18">
        <f>IF(323&gt;=DeliverStart,ExpAdvertisingPerUnit*TotalUnits/12*LN$8*LN$12,0)</f>
        <v/>
      </c>
      <c r="LO32" s="18">
        <f>IF(324&gt;=DeliverStart,ExpAdvertisingPerUnit*TotalUnits/12*LO$8*LO$12,0)</f>
        <v/>
      </c>
      <c r="LP32" s="18">
        <f>IF(325&gt;=DeliverStart,ExpAdvertisingPerUnit*TotalUnits/12*LP$8*LP$12,0)</f>
        <v/>
      </c>
      <c r="LQ32" s="18">
        <f>IF(326&gt;=DeliverStart,ExpAdvertisingPerUnit*TotalUnits/12*LQ$8*LQ$12,0)</f>
        <v/>
      </c>
      <c r="LR32" s="18">
        <f>IF(327&gt;=DeliverStart,ExpAdvertisingPerUnit*TotalUnits/12*LR$8*LR$12,0)</f>
        <v/>
      </c>
      <c r="LS32" s="18">
        <f>IF(328&gt;=DeliverStart,ExpAdvertisingPerUnit*TotalUnits/12*LS$8*LS$12,0)</f>
        <v/>
      </c>
      <c r="LT32" s="18">
        <f>IF(329&gt;=DeliverStart,ExpAdvertisingPerUnit*TotalUnits/12*LT$8*LT$12,0)</f>
        <v/>
      </c>
      <c r="LU32" s="18">
        <f>IF(330&gt;=DeliverStart,ExpAdvertisingPerUnit*TotalUnits/12*LU$8*LU$12,0)</f>
        <v/>
      </c>
      <c r="LV32" s="18">
        <f>IF(331&gt;=DeliverStart,ExpAdvertisingPerUnit*TotalUnits/12*LV$8*LV$12,0)</f>
        <v/>
      </c>
      <c r="LW32" s="18">
        <f>IF(332&gt;=DeliverStart,ExpAdvertisingPerUnit*TotalUnits/12*LW$8*LW$12,0)</f>
        <v/>
      </c>
      <c r="LX32" s="18">
        <f>IF(333&gt;=DeliverStart,ExpAdvertisingPerUnit*TotalUnits/12*LX$8*LX$12,0)</f>
        <v/>
      </c>
      <c r="LY32" s="18">
        <f>IF(334&gt;=DeliverStart,ExpAdvertisingPerUnit*TotalUnits/12*LY$8*LY$12,0)</f>
        <v/>
      </c>
      <c r="LZ32" s="18">
        <f>IF(335&gt;=DeliverStart,ExpAdvertisingPerUnit*TotalUnits/12*LZ$8*LZ$12,0)</f>
        <v/>
      </c>
      <c r="MA32" s="18">
        <f>IF(336&gt;=DeliverStart,ExpAdvertisingPerUnit*TotalUnits/12*MA$8*MA$12,0)</f>
        <v/>
      </c>
      <c r="MB32" s="18">
        <f>IF(337&gt;=DeliverStart,ExpAdvertisingPerUnit*TotalUnits/12*MB$8*MB$12,0)</f>
        <v/>
      </c>
      <c r="MC32" s="18">
        <f>IF(338&gt;=DeliverStart,ExpAdvertisingPerUnit*TotalUnits/12*MC$8*MC$12,0)</f>
        <v/>
      </c>
      <c r="MD32" s="18">
        <f>IF(339&gt;=DeliverStart,ExpAdvertisingPerUnit*TotalUnits/12*MD$8*MD$12,0)</f>
        <v/>
      </c>
      <c r="ME32" s="18">
        <f>IF(340&gt;=DeliverStart,ExpAdvertisingPerUnit*TotalUnits/12*ME$8*ME$12,0)</f>
        <v/>
      </c>
      <c r="MF32" s="18">
        <f>IF(341&gt;=DeliverStart,ExpAdvertisingPerUnit*TotalUnits/12*MF$8*MF$12,0)</f>
        <v/>
      </c>
      <c r="MG32" s="18">
        <f>IF(342&gt;=DeliverStart,ExpAdvertisingPerUnit*TotalUnits/12*MG$8*MG$12,0)</f>
        <v/>
      </c>
      <c r="MH32" s="18">
        <f>IF(343&gt;=DeliverStart,ExpAdvertisingPerUnit*TotalUnits/12*MH$8*MH$12,0)</f>
        <v/>
      </c>
      <c r="MI32" s="18">
        <f>IF(344&gt;=DeliverStart,ExpAdvertisingPerUnit*TotalUnits/12*MI$8*MI$12,0)</f>
        <v/>
      </c>
      <c r="MJ32" s="18">
        <f>IF(345&gt;=DeliverStart,ExpAdvertisingPerUnit*TotalUnits/12*MJ$8*MJ$12,0)</f>
        <v/>
      </c>
      <c r="MK32" s="18">
        <f>IF(346&gt;=DeliverStart,ExpAdvertisingPerUnit*TotalUnits/12*MK$8*MK$12,0)</f>
        <v/>
      </c>
      <c r="ML32" s="18">
        <f>IF(347&gt;=DeliverStart,ExpAdvertisingPerUnit*TotalUnits/12*ML$8*ML$12,0)</f>
        <v/>
      </c>
      <c r="MM32" s="18">
        <f>IF(348&gt;=DeliverStart,ExpAdvertisingPerUnit*TotalUnits/12*MM$8*MM$12,0)</f>
        <v/>
      </c>
      <c r="MN32" s="18">
        <f>IF(349&gt;=DeliverStart,ExpAdvertisingPerUnit*TotalUnits/12*MN$8*MN$12,0)</f>
        <v/>
      </c>
      <c r="MO32" s="18">
        <f>IF(350&gt;=DeliverStart,ExpAdvertisingPerUnit*TotalUnits/12*MO$8*MO$12,0)</f>
        <v/>
      </c>
      <c r="MP32" s="18">
        <f>IF(351&gt;=DeliverStart,ExpAdvertisingPerUnit*TotalUnits/12*MP$8*MP$12,0)</f>
        <v/>
      </c>
      <c r="MQ32" s="18">
        <f>IF(352&gt;=DeliverStart,ExpAdvertisingPerUnit*TotalUnits/12*MQ$8*MQ$12,0)</f>
        <v/>
      </c>
      <c r="MR32" s="18">
        <f>IF(353&gt;=DeliverStart,ExpAdvertisingPerUnit*TotalUnits/12*MR$8*MR$12,0)</f>
        <v/>
      </c>
      <c r="MS32" s="18">
        <f>IF(354&gt;=DeliverStart,ExpAdvertisingPerUnit*TotalUnits/12*MS$8*MS$12,0)</f>
        <v/>
      </c>
      <c r="MT32" s="18">
        <f>IF(355&gt;=DeliverStart,ExpAdvertisingPerUnit*TotalUnits/12*MT$8*MT$12,0)</f>
        <v/>
      </c>
      <c r="MU32" s="18">
        <f>IF(356&gt;=DeliverStart,ExpAdvertisingPerUnit*TotalUnits/12*MU$8*MU$12,0)</f>
        <v/>
      </c>
      <c r="MV32" s="18">
        <f>IF(357&gt;=DeliverStart,ExpAdvertisingPerUnit*TotalUnits/12*MV$8*MV$12,0)</f>
        <v/>
      </c>
      <c r="MW32" s="18">
        <f>IF(358&gt;=DeliverStart,ExpAdvertisingPerUnit*TotalUnits/12*MW$8*MW$12,0)</f>
        <v/>
      </c>
      <c r="MX32" s="18">
        <f>IF(359&gt;=DeliverStart,ExpAdvertisingPerUnit*TotalUnits/12*MX$8*MX$12,0)</f>
        <v/>
      </c>
      <c r="MY32" s="18">
        <f>IF(360&gt;=DeliverStart,ExpAdvertisingPerUnit*TotalUnits/12*MY$8*MY$12,0)</f>
        <v/>
      </c>
      <c r="MZ32" s="18">
        <f>IF(361&gt;=DeliverStart,ExpAdvertisingPerUnit*TotalUnits/12*MZ$8*MZ$12,0)</f>
        <v/>
      </c>
      <c r="NA32" s="18">
        <f>IF(362&gt;=DeliverStart,ExpAdvertisingPerUnit*TotalUnits/12*NA$8*NA$12,0)</f>
        <v/>
      </c>
      <c r="NB32" s="18">
        <f>IF(363&gt;=DeliverStart,ExpAdvertisingPerUnit*TotalUnits/12*NB$8*NB$12,0)</f>
        <v/>
      </c>
      <c r="NC32" s="18">
        <f>IF(364&gt;=DeliverStart,ExpAdvertisingPerUnit*TotalUnits/12*NC$8*NC$12,0)</f>
        <v/>
      </c>
      <c r="ND32" s="18">
        <f>IF(365&gt;=DeliverStart,ExpAdvertisingPerUnit*TotalUnits/12*ND$8*ND$12,0)</f>
        <v/>
      </c>
      <c r="NE32" s="18">
        <f>IF(366&gt;=DeliverStart,ExpAdvertisingPerUnit*TotalUnits/12*NE$8*NE$12,0)</f>
        <v/>
      </c>
      <c r="NF32" s="18">
        <f>IF(367&gt;=DeliverStart,ExpAdvertisingPerUnit*TotalUnits/12*NF$8*NF$12,0)</f>
        <v/>
      </c>
      <c r="NG32" s="18">
        <f>IF(368&gt;=DeliverStart,ExpAdvertisingPerUnit*TotalUnits/12*NG$8*NG$12,0)</f>
        <v/>
      </c>
      <c r="NH32" s="18">
        <f>IF(369&gt;=DeliverStart,ExpAdvertisingPerUnit*TotalUnits/12*NH$8*NH$12,0)</f>
        <v/>
      </c>
      <c r="NI32" s="18">
        <f>IF(370&gt;=DeliverStart,ExpAdvertisingPerUnit*TotalUnits/12*NI$8*NI$12,0)</f>
        <v/>
      </c>
      <c r="NJ32" s="18">
        <f>IF(371&gt;=DeliverStart,ExpAdvertisingPerUnit*TotalUnits/12*NJ$8*NJ$12,0)</f>
        <v/>
      </c>
      <c r="NK32" s="18">
        <f>IF(372&gt;=DeliverStart,ExpAdvertisingPerUnit*TotalUnits/12*NK$8*NK$12,0)</f>
        <v/>
      </c>
    </row>
    <row r="33">
      <c r="A33" s="5" t="inlineStr">
        <is>
          <t>Management Fee</t>
        </is>
      </c>
      <c r="C33" s="41">
        <f>SUM(D33:NK33)</f>
        <v/>
      </c>
      <c r="D33" s="18">
        <f>IF(1&gt;=DeliverStart,MgmtFeePct*D$23,0)</f>
        <v/>
      </c>
      <c r="E33" s="18">
        <f>IF(2&gt;=DeliverStart,MgmtFeePct*E$23,0)</f>
        <v/>
      </c>
      <c r="F33" s="18">
        <f>IF(3&gt;=DeliverStart,MgmtFeePct*F$23,0)</f>
        <v/>
      </c>
      <c r="G33" s="18">
        <f>IF(4&gt;=DeliverStart,MgmtFeePct*G$23,0)</f>
        <v/>
      </c>
      <c r="H33" s="18">
        <f>IF(5&gt;=DeliverStart,MgmtFeePct*H$23,0)</f>
        <v/>
      </c>
      <c r="I33" s="18">
        <f>IF(6&gt;=DeliverStart,MgmtFeePct*I$23,0)</f>
        <v/>
      </c>
      <c r="J33" s="18">
        <f>IF(7&gt;=DeliverStart,MgmtFeePct*J$23,0)</f>
        <v/>
      </c>
      <c r="K33" s="18">
        <f>IF(8&gt;=DeliverStart,MgmtFeePct*K$23,0)</f>
        <v/>
      </c>
      <c r="L33" s="18">
        <f>IF(9&gt;=DeliverStart,MgmtFeePct*L$23,0)</f>
        <v/>
      </c>
      <c r="M33" s="18">
        <f>IF(10&gt;=DeliverStart,MgmtFeePct*M$23,0)</f>
        <v/>
      </c>
      <c r="N33" s="18">
        <f>IF(11&gt;=DeliverStart,MgmtFeePct*N$23,0)</f>
        <v/>
      </c>
      <c r="O33" s="18">
        <f>IF(12&gt;=DeliverStart,MgmtFeePct*O$23,0)</f>
        <v/>
      </c>
      <c r="P33" s="18">
        <f>IF(13&gt;=DeliverStart,MgmtFeePct*P$23,0)</f>
        <v/>
      </c>
      <c r="Q33" s="18">
        <f>IF(14&gt;=DeliverStart,MgmtFeePct*Q$23,0)</f>
        <v/>
      </c>
      <c r="R33" s="18">
        <f>IF(15&gt;=DeliverStart,MgmtFeePct*R$23,0)</f>
        <v/>
      </c>
      <c r="S33" s="18">
        <f>IF(16&gt;=DeliverStart,MgmtFeePct*S$23,0)</f>
        <v/>
      </c>
      <c r="T33" s="18">
        <f>IF(17&gt;=DeliverStart,MgmtFeePct*T$23,0)</f>
        <v/>
      </c>
      <c r="U33" s="18">
        <f>IF(18&gt;=DeliverStart,MgmtFeePct*U$23,0)</f>
        <v/>
      </c>
      <c r="V33" s="18">
        <f>IF(19&gt;=DeliverStart,MgmtFeePct*V$23,0)</f>
        <v/>
      </c>
      <c r="W33" s="18">
        <f>IF(20&gt;=DeliverStart,MgmtFeePct*W$23,0)</f>
        <v/>
      </c>
      <c r="X33" s="18">
        <f>IF(21&gt;=DeliverStart,MgmtFeePct*X$23,0)</f>
        <v/>
      </c>
      <c r="Y33" s="18">
        <f>IF(22&gt;=DeliverStart,MgmtFeePct*Y$23,0)</f>
        <v/>
      </c>
      <c r="Z33" s="18">
        <f>IF(23&gt;=DeliverStart,MgmtFeePct*Z$23,0)</f>
        <v/>
      </c>
      <c r="AA33" s="18">
        <f>IF(24&gt;=DeliverStart,MgmtFeePct*AA$23,0)</f>
        <v/>
      </c>
      <c r="AB33" s="18">
        <f>IF(25&gt;=DeliverStart,MgmtFeePct*AB$23,0)</f>
        <v/>
      </c>
      <c r="AC33" s="18">
        <f>IF(26&gt;=DeliverStart,MgmtFeePct*AC$23,0)</f>
        <v/>
      </c>
      <c r="AD33" s="18">
        <f>IF(27&gt;=DeliverStart,MgmtFeePct*AD$23,0)</f>
        <v/>
      </c>
      <c r="AE33" s="18">
        <f>IF(28&gt;=DeliverStart,MgmtFeePct*AE$23,0)</f>
        <v/>
      </c>
      <c r="AF33" s="18">
        <f>IF(29&gt;=DeliverStart,MgmtFeePct*AF$23,0)</f>
        <v/>
      </c>
      <c r="AG33" s="18">
        <f>IF(30&gt;=DeliverStart,MgmtFeePct*AG$23,0)</f>
        <v/>
      </c>
      <c r="AH33" s="18">
        <f>IF(31&gt;=DeliverStart,MgmtFeePct*AH$23,0)</f>
        <v/>
      </c>
      <c r="AI33" s="18">
        <f>IF(32&gt;=DeliverStart,MgmtFeePct*AI$23,0)</f>
        <v/>
      </c>
      <c r="AJ33" s="18">
        <f>IF(33&gt;=DeliverStart,MgmtFeePct*AJ$23,0)</f>
        <v/>
      </c>
      <c r="AK33" s="18">
        <f>IF(34&gt;=DeliverStart,MgmtFeePct*AK$23,0)</f>
        <v/>
      </c>
      <c r="AL33" s="18">
        <f>IF(35&gt;=DeliverStart,MgmtFeePct*AL$23,0)</f>
        <v/>
      </c>
      <c r="AM33" s="18">
        <f>IF(36&gt;=DeliverStart,MgmtFeePct*AM$23,0)</f>
        <v/>
      </c>
      <c r="AN33" s="18">
        <f>IF(37&gt;=DeliverStart,MgmtFeePct*AN$23,0)</f>
        <v/>
      </c>
      <c r="AO33" s="18">
        <f>IF(38&gt;=DeliverStart,MgmtFeePct*AO$23,0)</f>
        <v/>
      </c>
      <c r="AP33" s="18">
        <f>IF(39&gt;=DeliverStart,MgmtFeePct*AP$23,0)</f>
        <v/>
      </c>
      <c r="AQ33" s="18">
        <f>IF(40&gt;=DeliverStart,MgmtFeePct*AQ$23,0)</f>
        <v/>
      </c>
      <c r="AR33" s="18">
        <f>IF(41&gt;=DeliverStart,MgmtFeePct*AR$23,0)</f>
        <v/>
      </c>
      <c r="AS33" s="18">
        <f>IF(42&gt;=DeliverStart,MgmtFeePct*AS$23,0)</f>
        <v/>
      </c>
      <c r="AT33" s="18">
        <f>IF(43&gt;=DeliverStart,MgmtFeePct*AT$23,0)</f>
        <v/>
      </c>
      <c r="AU33" s="18">
        <f>IF(44&gt;=DeliverStart,MgmtFeePct*AU$23,0)</f>
        <v/>
      </c>
      <c r="AV33" s="18">
        <f>IF(45&gt;=DeliverStart,MgmtFeePct*AV$23,0)</f>
        <v/>
      </c>
      <c r="AW33" s="18">
        <f>IF(46&gt;=DeliverStart,MgmtFeePct*AW$23,0)</f>
        <v/>
      </c>
      <c r="AX33" s="18">
        <f>IF(47&gt;=DeliverStart,MgmtFeePct*AX$23,0)</f>
        <v/>
      </c>
      <c r="AY33" s="18">
        <f>IF(48&gt;=DeliverStart,MgmtFeePct*AY$23,0)</f>
        <v/>
      </c>
      <c r="AZ33" s="18">
        <f>IF(49&gt;=DeliverStart,MgmtFeePct*AZ$23,0)</f>
        <v/>
      </c>
      <c r="BA33" s="18">
        <f>IF(50&gt;=DeliverStart,MgmtFeePct*BA$23,0)</f>
        <v/>
      </c>
      <c r="BB33" s="18">
        <f>IF(51&gt;=DeliverStart,MgmtFeePct*BB$23,0)</f>
        <v/>
      </c>
      <c r="BC33" s="18">
        <f>IF(52&gt;=DeliverStart,MgmtFeePct*BC$23,0)</f>
        <v/>
      </c>
      <c r="BD33" s="18">
        <f>IF(53&gt;=DeliverStart,MgmtFeePct*BD$23,0)</f>
        <v/>
      </c>
      <c r="BE33" s="18">
        <f>IF(54&gt;=DeliverStart,MgmtFeePct*BE$23,0)</f>
        <v/>
      </c>
      <c r="BF33" s="18">
        <f>IF(55&gt;=DeliverStart,MgmtFeePct*BF$23,0)</f>
        <v/>
      </c>
      <c r="BG33" s="18">
        <f>IF(56&gt;=DeliverStart,MgmtFeePct*BG$23,0)</f>
        <v/>
      </c>
      <c r="BH33" s="18">
        <f>IF(57&gt;=DeliverStart,MgmtFeePct*BH$23,0)</f>
        <v/>
      </c>
      <c r="BI33" s="18">
        <f>IF(58&gt;=DeliverStart,MgmtFeePct*BI$23,0)</f>
        <v/>
      </c>
      <c r="BJ33" s="18">
        <f>IF(59&gt;=DeliverStart,MgmtFeePct*BJ$23,0)</f>
        <v/>
      </c>
      <c r="BK33" s="18">
        <f>IF(60&gt;=DeliverStart,MgmtFeePct*BK$23,0)</f>
        <v/>
      </c>
      <c r="BL33" s="18">
        <f>IF(61&gt;=DeliverStart,MgmtFeePct*BL$23,0)</f>
        <v/>
      </c>
      <c r="BM33" s="18">
        <f>IF(62&gt;=DeliverStart,MgmtFeePct*BM$23,0)</f>
        <v/>
      </c>
      <c r="BN33" s="18">
        <f>IF(63&gt;=DeliverStart,MgmtFeePct*BN$23,0)</f>
        <v/>
      </c>
      <c r="BO33" s="18">
        <f>IF(64&gt;=DeliverStart,MgmtFeePct*BO$23,0)</f>
        <v/>
      </c>
      <c r="BP33" s="18">
        <f>IF(65&gt;=DeliverStart,MgmtFeePct*BP$23,0)</f>
        <v/>
      </c>
      <c r="BQ33" s="18">
        <f>IF(66&gt;=DeliverStart,MgmtFeePct*BQ$23,0)</f>
        <v/>
      </c>
      <c r="BR33" s="18">
        <f>IF(67&gt;=DeliverStart,MgmtFeePct*BR$23,0)</f>
        <v/>
      </c>
      <c r="BS33" s="18">
        <f>IF(68&gt;=DeliverStart,MgmtFeePct*BS$23,0)</f>
        <v/>
      </c>
      <c r="BT33" s="18">
        <f>IF(69&gt;=DeliverStart,MgmtFeePct*BT$23,0)</f>
        <v/>
      </c>
      <c r="BU33" s="18">
        <f>IF(70&gt;=DeliverStart,MgmtFeePct*BU$23,0)</f>
        <v/>
      </c>
      <c r="BV33" s="18">
        <f>IF(71&gt;=DeliverStart,MgmtFeePct*BV$23,0)</f>
        <v/>
      </c>
      <c r="BW33" s="18">
        <f>IF(72&gt;=DeliverStart,MgmtFeePct*BW$23,0)</f>
        <v/>
      </c>
      <c r="BX33" s="18">
        <f>IF(73&gt;=DeliverStart,MgmtFeePct*BX$23,0)</f>
        <v/>
      </c>
      <c r="BY33" s="18">
        <f>IF(74&gt;=DeliverStart,MgmtFeePct*BY$23,0)</f>
        <v/>
      </c>
      <c r="BZ33" s="18">
        <f>IF(75&gt;=DeliverStart,MgmtFeePct*BZ$23,0)</f>
        <v/>
      </c>
      <c r="CA33" s="18">
        <f>IF(76&gt;=DeliverStart,MgmtFeePct*CA$23,0)</f>
        <v/>
      </c>
      <c r="CB33" s="18">
        <f>IF(77&gt;=DeliverStart,MgmtFeePct*CB$23,0)</f>
        <v/>
      </c>
      <c r="CC33" s="18">
        <f>IF(78&gt;=DeliverStart,MgmtFeePct*CC$23,0)</f>
        <v/>
      </c>
      <c r="CD33" s="18">
        <f>IF(79&gt;=DeliverStart,MgmtFeePct*CD$23,0)</f>
        <v/>
      </c>
      <c r="CE33" s="18">
        <f>IF(80&gt;=DeliverStart,MgmtFeePct*CE$23,0)</f>
        <v/>
      </c>
      <c r="CF33" s="18">
        <f>IF(81&gt;=DeliverStart,MgmtFeePct*CF$23,0)</f>
        <v/>
      </c>
      <c r="CG33" s="18">
        <f>IF(82&gt;=DeliverStart,MgmtFeePct*CG$23,0)</f>
        <v/>
      </c>
      <c r="CH33" s="18">
        <f>IF(83&gt;=DeliverStart,MgmtFeePct*CH$23,0)</f>
        <v/>
      </c>
      <c r="CI33" s="18">
        <f>IF(84&gt;=DeliverStart,MgmtFeePct*CI$23,0)</f>
        <v/>
      </c>
      <c r="CJ33" s="18">
        <f>IF(85&gt;=DeliverStart,MgmtFeePct*CJ$23,0)</f>
        <v/>
      </c>
      <c r="CK33" s="18">
        <f>IF(86&gt;=DeliverStart,MgmtFeePct*CK$23,0)</f>
        <v/>
      </c>
      <c r="CL33" s="18">
        <f>IF(87&gt;=DeliverStart,MgmtFeePct*CL$23,0)</f>
        <v/>
      </c>
      <c r="CM33" s="18">
        <f>IF(88&gt;=DeliverStart,MgmtFeePct*CM$23,0)</f>
        <v/>
      </c>
      <c r="CN33" s="18">
        <f>IF(89&gt;=DeliverStart,MgmtFeePct*CN$23,0)</f>
        <v/>
      </c>
      <c r="CO33" s="18">
        <f>IF(90&gt;=DeliverStart,MgmtFeePct*CO$23,0)</f>
        <v/>
      </c>
      <c r="CP33" s="18">
        <f>IF(91&gt;=DeliverStart,MgmtFeePct*CP$23,0)</f>
        <v/>
      </c>
      <c r="CQ33" s="18">
        <f>IF(92&gt;=DeliverStart,MgmtFeePct*CQ$23,0)</f>
        <v/>
      </c>
      <c r="CR33" s="18">
        <f>IF(93&gt;=DeliverStart,MgmtFeePct*CR$23,0)</f>
        <v/>
      </c>
      <c r="CS33" s="18">
        <f>IF(94&gt;=DeliverStart,MgmtFeePct*CS$23,0)</f>
        <v/>
      </c>
      <c r="CT33" s="18">
        <f>IF(95&gt;=DeliverStart,MgmtFeePct*CT$23,0)</f>
        <v/>
      </c>
      <c r="CU33" s="18">
        <f>IF(96&gt;=DeliverStart,MgmtFeePct*CU$23,0)</f>
        <v/>
      </c>
      <c r="CV33" s="18">
        <f>IF(97&gt;=DeliverStart,MgmtFeePct*CV$23,0)</f>
        <v/>
      </c>
      <c r="CW33" s="18">
        <f>IF(98&gt;=DeliverStart,MgmtFeePct*CW$23,0)</f>
        <v/>
      </c>
      <c r="CX33" s="18">
        <f>IF(99&gt;=DeliverStart,MgmtFeePct*CX$23,0)</f>
        <v/>
      </c>
      <c r="CY33" s="18">
        <f>IF(100&gt;=DeliverStart,MgmtFeePct*CY$23,0)</f>
        <v/>
      </c>
      <c r="CZ33" s="18">
        <f>IF(101&gt;=DeliverStart,MgmtFeePct*CZ$23,0)</f>
        <v/>
      </c>
      <c r="DA33" s="18">
        <f>IF(102&gt;=DeliverStart,MgmtFeePct*DA$23,0)</f>
        <v/>
      </c>
      <c r="DB33" s="18">
        <f>IF(103&gt;=DeliverStart,MgmtFeePct*DB$23,0)</f>
        <v/>
      </c>
      <c r="DC33" s="18">
        <f>IF(104&gt;=DeliverStart,MgmtFeePct*DC$23,0)</f>
        <v/>
      </c>
      <c r="DD33" s="18">
        <f>IF(105&gt;=DeliverStart,MgmtFeePct*DD$23,0)</f>
        <v/>
      </c>
      <c r="DE33" s="18">
        <f>IF(106&gt;=DeliverStart,MgmtFeePct*DE$23,0)</f>
        <v/>
      </c>
      <c r="DF33" s="18">
        <f>IF(107&gt;=DeliverStart,MgmtFeePct*DF$23,0)</f>
        <v/>
      </c>
      <c r="DG33" s="18">
        <f>IF(108&gt;=DeliverStart,MgmtFeePct*DG$23,0)</f>
        <v/>
      </c>
      <c r="DH33" s="18">
        <f>IF(109&gt;=DeliverStart,MgmtFeePct*DH$23,0)</f>
        <v/>
      </c>
      <c r="DI33" s="18">
        <f>IF(110&gt;=DeliverStart,MgmtFeePct*DI$23,0)</f>
        <v/>
      </c>
      <c r="DJ33" s="18">
        <f>IF(111&gt;=DeliverStart,MgmtFeePct*DJ$23,0)</f>
        <v/>
      </c>
      <c r="DK33" s="18">
        <f>IF(112&gt;=DeliverStart,MgmtFeePct*DK$23,0)</f>
        <v/>
      </c>
      <c r="DL33" s="18">
        <f>IF(113&gt;=DeliverStart,MgmtFeePct*DL$23,0)</f>
        <v/>
      </c>
      <c r="DM33" s="18">
        <f>IF(114&gt;=DeliverStart,MgmtFeePct*DM$23,0)</f>
        <v/>
      </c>
      <c r="DN33" s="18">
        <f>IF(115&gt;=DeliverStart,MgmtFeePct*DN$23,0)</f>
        <v/>
      </c>
      <c r="DO33" s="18">
        <f>IF(116&gt;=DeliverStart,MgmtFeePct*DO$23,0)</f>
        <v/>
      </c>
      <c r="DP33" s="18">
        <f>IF(117&gt;=DeliverStart,MgmtFeePct*DP$23,0)</f>
        <v/>
      </c>
      <c r="DQ33" s="18">
        <f>IF(118&gt;=DeliverStart,MgmtFeePct*DQ$23,0)</f>
        <v/>
      </c>
      <c r="DR33" s="18">
        <f>IF(119&gt;=DeliverStart,MgmtFeePct*DR$23,0)</f>
        <v/>
      </c>
      <c r="DS33" s="18">
        <f>IF(120&gt;=DeliverStart,MgmtFeePct*DS$23,0)</f>
        <v/>
      </c>
      <c r="DT33" s="18">
        <f>IF(121&gt;=DeliverStart,MgmtFeePct*DT$23,0)</f>
        <v/>
      </c>
      <c r="DU33" s="18">
        <f>IF(122&gt;=DeliverStart,MgmtFeePct*DU$23,0)</f>
        <v/>
      </c>
      <c r="DV33" s="18">
        <f>IF(123&gt;=DeliverStart,MgmtFeePct*DV$23,0)</f>
        <v/>
      </c>
      <c r="DW33" s="18">
        <f>IF(124&gt;=DeliverStart,MgmtFeePct*DW$23,0)</f>
        <v/>
      </c>
      <c r="DX33" s="18">
        <f>IF(125&gt;=DeliverStart,MgmtFeePct*DX$23,0)</f>
        <v/>
      </c>
      <c r="DY33" s="18">
        <f>IF(126&gt;=DeliverStart,MgmtFeePct*DY$23,0)</f>
        <v/>
      </c>
      <c r="DZ33" s="18">
        <f>IF(127&gt;=DeliverStart,MgmtFeePct*DZ$23,0)</f>
        <v/>
      </c>
      <c r="EA33" s="18">
        <f>IF(128&gt;=DeliverStart,MgmtFeePct*EA$23,0)</f>
        <v/>
      </c>
      <c r="EB33" s="18">
        <f>IF(129&gt;=DeliverStart,MgmtFeePct*EB$23,0)</f>
        <v/>
      </c>
      <c r="EC33" s="18">
        <f>IF(130&gt;=DeliverStart,MgmtFeePct*EC$23,0)</f>
        <v/>
      </c>
      <c r="ED33" s="18">
        <f>IF(131&gt;=DeliverStart,MgmtFeePct*ED$23,0)</f>
        <v/>
      </c>
      <c r="EE33" s="18">
        <f>IF(132&gt;=DeliverStart,MgmtFeePct*EE$23,0)</f>
        <v/>
      </c>
      <c r="EF33" s="18">
        <f>IF(133&gt;=DeliverStart,MgmtFeePct*EF$23,0)</f>
        <v/>
      </c>
      <c r="EG33" s="18">
        <f>IF(134&gt;=DeliverStart,MgmtFeePct*EG$23,0)</f>
        <v/>
      </c>
      <c r="EH33" s="18">
        <f>IF(135&gt;=DeliverStart,MgmtFeePct*EH$23,0)</f>
        <v/>
      </c>
      <c r="EI33" s="18">
        <f>IF(136&gt;=DeliverStart,MgmtFeePct*EI$23,0)</f>
        <v/>
      </c>
      <c r="EJ33" s="18">
        <f>IF(137&gt;=DeliverStart,MgmtFeePct*EJ$23,0)</f>
        <v/>
      </c>
      <c r="EK33" s="18">
        <f>IF(138&gt;=DeliverStart,MgmtFeePct*EK$23,0)</f>
        <v/>
      </c>
      <c r="EL33" s="18">
        <f>IF(139&gt;=DeliverStart,MgmtFeePct*EL$23,0)</f>
        <v/>
      </c>
      <c r="EM33" s="18">
        <f>IF(140&gt;=DeliverStart,MgmtFeePct*EM$23,0)</f>
        <v/>
      </c>
      <c r="EN33" s="18">
        <f>IF(141&gt;=DeliverStart,MgmtFeePct*EN$23,0)</f>
        <v/>
      </c>
      <c r="EO33" s="18">
        <f>IF(142&gt;=DeliverStart,MgmtFeePct*EO$23,0)</f>
        <v/>
      </c>
      <c r="EP33" s="18">
        <f>IF(143&gt;=DeliverStart,MgmtFeePct*EP$23,0)</f>
        <v/>
      </c>
      <c r="EQ33" s="18">
        <f>IF(144&gt;=DeliverStart,MgmtFeePct*EQ$23,0)</f>
        <v/>
      </c>
      <c r="ER33" s="18">
        <f>IF(145&gt;=DeliverStart,MgmtFeePct*ER$23,0)</f>
        <v/>
      </c>
      <c r="ES33" s="18">
        <f>IF(146&gt;=DeliverStart,MgmtFeePct*ES$23,0)</f>
        <v/>
      </c>
      <c r="ET33" s="18">
        <f>IF(147&gt;=DeliverStart,MgmtFeePct*ET$23,0)</f>
        <v/>
      </c>
      <c r="EU33" s="18">
        <f>IF(148&gt;=DeliverStart,MgmtFeePct*EU$23,0)</f>
        <v/>
      </c>
      <c r="EV33" s="18">
        <f>IF(149&gt;=DeliverStart,MgmtFeePct*EV$23,0)</f>
        <v/>
      </c>
      <c r="EW33" s="18">
        <f>IF(150&gt;=DeliverStart,MgmtFeePct*EW$23,0)</f>
        <v/>
      </c>
      <c r="EX33" s="18">
        <f>IF(151&gt;=DeliverStart,MgmtFeePct*EX$23,0)</f>
        <v/>
      </c>
      <c r="EY33" s="18">
        <f>IF(152&gt;=DeliverStart,MgmtFeePct*EY$23,0)</f>
        <v/>
      </c>
      <c r="EZ33" s="18">
        <f>IF(153&gt;=DeliverStart,MgmtFeePct*EZ$23,0)</f>
        <v/>
      </c>
      <c r="FA33" s="18">
        <f>IF(154&gt;=DeliverStart,MgmtFeePct*FA$23,0)</f>
        <v/>
      </c>
      <c r="FB33" s="18">
        <f>IF(155&gt;=DeliverStart,MgmtFeePct*FB$23,0)</f>
        <v/>
      </c>
      <c r="FC33" s="18">
        <f>IF(156&gt;=DeliverStart,MgmtFeePct*FC$23,0)</f>
        <v/>
      </c>
      <c r="FD33" s="18">
        <f>IF(157&gt;=DeliverStart,MgmtFeePct*FD$23,0)</f>
        <v/>
      </c>
      <c r="FE33" s="18">
        <f>IF(158&gt;=DeliverStart,MgmtFeePct*FE$23,0)</f>
        <v/>
      </c>
      <c r="FF33" s="18">
        <f>IF(159&gt;=DeliverStart,MgmtFeePct*FF$23,0)</f>
        <v/>
      </c>
      <c r="FG33" s="18">
        <f>IF(160&gt;=DeliverStart,MgmtFeePct*FG$23,0)</f>
        <v/>
      </c>
      <c r="FH33" s="18">
        <f>IF(161&gt;=DeliverStart,MgmtFeePct*FH$23,0)</f>
        <v/>
      </c>
      <c r="FI33" s="18">
        <f>IF(162&gt;=DeliverStart,MgmtFeePct*FI$23,0)</f>
        <v/>
      </c>
      <c r="FJ33" s="18">
        <f>IF(163&gt;=DeliverStart,MgmtFeePct*FJ$23,0)</f>
        <v/>
      </c>
      <c r="FK33" s="18">
        <f>IF(164&gt;=DeliverStart,MgmtFeePct*FK$23,0)</f>
        <v/>
      </c>
      <c r="FL33" s="18">
        <f>IF(165&gt;=DeliverStart,MgmtFeePct*FL$23,0)</f>
        <v/>
      </c>
      <c r="FM33" s="18">
        <f>IF(166&gt;=DeliverStart,MgmtFeePct*FM$23,0)</f>
        <v/>
      </c>
      <c r="FN33" s="18">
        <f>IF(167&gt;=DeliverStart,MgmtFeePct*FN$23,0)</f>
        <v/>
      </c>
      <c r="FO33" s="18">
        <f>IF(168&gt;=DeliverStart,MgmtFeePct*FO$23,0)</f>
        <v/>
      </c>
      <c r="FP33" s="18">
        <f>IF(169&gt;=DeliverStart,MgmtFeePct*FP$23,0)</f>
        <v/>
      </c>
      <c r="FQ33" s="18">
        <f>IF(170&gt;=DeliverStart,MgmtFeePct*FQ$23,0)</f>
        <v/>
      </c>
      <c r="FR33" s="18">
        <f>IF(171&gt;=DeliverStart,MgmtFeePct*FR$23,0)</f>
        <v/>
      </c>
      <c r="FS33" s="18">
        <f>IF(172&gt;=DeliverStart,MgmtFeePct*FS$23,0)</f>
        <v/>
      </c>
      <c r="FT33" s="18">
        <f>IF(173&gt;=DeliverStart,MgmtFeePct*FT$23,0)</f>
        <v/>
      </c>
      <c r="FU33" s="18">
        <f>IF(174&gt;=DeliverStart,MgmtFeePct*FU$23,0)</f>
        <v/>
      </c>
      <c r="FV33" s="18">
        <f>IF(175&gt;=DeliverStart,MgmtFeePct*FV$23,0)</f>
        <v/>
      </c>
      <c r="FW33" s="18">
        <f>IF(176&gt;=DeliverStart,MgmtFeePct*FW$23,0)</f>
        <v/>
      </c>
      <c r="FX33" s="18">
        <f>IF(177&gt;=DeliverStart,MgmtFeePct*FX$23,0)</f>
        <v/>
      </c>
      <c r="FY33" s="18">
        <f>IF(178&gt;=DeliverStart,MgmtFeePct*FY$23,0)</f>
        <v/>
      </c>
      <c r="FZ33" s="18">
        <f>IF(179&gt;=DeliverStart,MgmtFeePct*FZ$23,0)</f>
        <v/>
      </c>
      <c r="GA33" s="18">
        <f>IF(180&gt;=DeliverStart,MgmtFeePct*GA$23,0)</f>
        <v/>
      </c>
      <c r="GB33" s="18">
        <f>IF(181&gt;=DeliverStart,MgmtFeePct*GB$23,0)</f>
        <v/>
      </c>
      <c r="GC33" s="18">
        <f>IF(182&gt;=DeliverStart,MgmtFeePct*GC$23,0)</f>
        <v/>
      </c>
      <c r="GD33" s="18">
        <f>IF(183&gt;=DeliverStart,MgmtFeePct*GD$23,0)</f>
        <v/>
      </c>
      <c r="GE33" s="18">
        <f>IF(184&gt;=DeliverStart,MgmtFeePct*GE$23,0)</f>
        <v/>
      </c>
      <c r="GF33" s="18">
        <f>IF(185&gt;=DeliverStart,MgmtFeePct*GF$23,0)</f>
        <v/>
      </c>
      <c r="GG33" s="18">
        <f>IF(186&gt;=DeliverStart,MgmtFeePct*GG$23,0)</f>
        <v/>
      </c>
      <c r="GH33" s="18">
        <f>IF(187&gt;=DeliverStart,MgmtFeePct*GH$23,0)</f>
        <v/>
      </c>
      <c r="GI33" s="18">
        <f>IF(188&gt;=DeliverStart,MgmtFeePct*GI$23,0)</f>
        <v/>
      </c>
      <c r="GJ33" s="18">
        <f>IF(189&gt;=DeliverStart,MgmtFeePct*GJ$23,0)</f>
        <v/>
      </c>
      <c r="GK33" s="18">
        <f>IF(190&gt;=DeliverStart,MgmtFeePct*GK$23,0)</f>
        <v/>
      </c>
      <c r="GL33" s="18">
        <f>IF(191&gt;=DeliverStart,MgmtFeePct*GL$23,0)</f>
        <v/>
      </c>
      <c r="GM33" s="18">
        <f>IF(192&gt;=DeliverStart,MgmtFeePct*GM$23,0)</f>
        <v/>
      </c>
      <c r="GN33" s="18">
        <f>IF(193&gt;=DeliverStart,MgmtFeePct*GN$23,0)</f>
        <v/>
      </c>
      <c r="GO33" s="18">
        <f>IF(194&gt;=DeliverStart,MgmtFeePct*GO$23,0)</f>
        <v/>
      </c>
      <c r="GP33" s="18">
        <f>IF(195&gt;=DeliverStart,MgmtFeePct*GP$23,0)</f>
        <v/>
      </c>
      <c r="GQ33" s="18">
        <f>IF(196&gt;=DeliverStart,MgmtFeePct*GQ$23,0)</f>
        <v/>
      </c>
      <c r="GR33" s="18">
        <f>IF(197&gt;=DeliverStart,MgmtFeePct*GR$23,0)</f>
        <v/>
      </c>
      <c r="GS33" s="18">
        <f>IF(198&gt;=DeliverStart,MgmtFeePct*GS$23,0)</f>
        <v/>
      </c>
      <c r="GT33" s="18">
        <f>IF(199&gt;=DeliverStart,MgmtFeePct*GT$23,0)</f>
        <v/>
      </c>
      <c r="GU33" s="18">
        <f>IF(200&gt;=DeliverStart,MgmtFeePct*GU$23,0)</f>
        <v/>
      </c>
      <c r="GV33" s="18">
        <f>IF(201&gt;=DeliverStart,MgmtFeePct*GV$23,0)</f>
        <v/>
      </c>
      <c r="GW33" s="18">
        <f>IF(202&gt;=DeliverStart,MgmtFeePct*GW$23,0)</f>
        <v/>
      </c>
      <c r="GX33" s="18">
        <f>IF(203&gt;=DeliverStart,MgmtFeePct*GX$23,0)</f>
        <v/>
      </c>
      <c r="GY33" s="18">
        <f>IF(204&gt;=DeliverStart,MgmtFeePct*GY$23,0)</f>
        <v/>
      </c>
      <c r="GZ33" s="18">
        <f>IF(205&gt;=DeliverStart,MgmtFeePct*GZ$23,0)</f>
        <v/>
      </c>
      <c r="HA33" s="18">
        <f>IF(206&gt;=DeliverStart,MgmtFeePct*HA$23,0)</f>
        <v/>
      </c>
      <c r="HB33" s="18">
        <f>IF(207&gt;=DeliverStart,MgmtFeePct*HB$23,0)</f>
        <v/>
      </c>
      <c r="HC33" s="18">
        <f>IF(208&gt;=DeliverStart,MgmtFeePct*HC$23,0)</f>
        <v/>
      </c>
      <c r="HD33" s="18">
        <f>IF(209&gt;=DeliverStart,MgmtFeePct*HD$23,0)</f>
        <v/>
      </c>
      <c r="HE33" s="18">
        <f>IF(210&gt;=DeliverStart,MgmtFeePct*HE$23,0)</f>
        <v/>
      </c>
      <c r="HF33" s="18">
        <f>IF(211&gt;=DeliverStart,MgmtFeePct*HF$23,0)</f>
        <v/>
      </c>
      <c r="HG33" s="18">
        <f>IF(212&gt;=DeliverStart,MgmtFeePct*HG$23,0)</f>
        <v/>
      </c>
      <c r="HH33" s="18">
        <f>IF(213&gt;=DeliverStart,MgmtFeePct*HH$23,0)</f>
        <v/>
      </c>
      <c r="HI33" s="18">
        <f>IF(214&gt;=DeliverStart,MgmtFeePct*HI$23,0)</f>
        <v/>
      </c>
      <c r="HJ33" s="18">
        <f>IF(215&gt;=DeliverStart,MgmtFeePct*HJ$23,0)</f>
        <v/>
      </c>
      <c r="HK33" s="18">
        <f>IF(216&gt;=DeliverStart,MgmtFeePct*HK$23,0)</f>
        <v/>
      </c>
      <c r="HL33" s="18">
        <f>IF(217&gt;=DeliverStart,MgmtFeePct*HL$23,0)</f>
        <v/>
      </c>
      <c r="HM33" s="18">
        <f>IF(218&gt;=DeliverStart,MgmtFeePct*HM$23,0)</f>
        <v/>
      </c>
      <c r="HN33" s="18">
        <f>IF(219&gt;=DeliverStart,MgmtFeePct*HN$23,0)</f>
        <v/>
      </c>
      <c r="HO33" s="18">
        <f>IF(220&gt;=DeliverStart,MgmtFeePct*HO$23,0)</f>
        <v/>
      </c>
      <c r="HP33" s="18">
        <f>IF(221&gt;=DeliverStart,MgmtFeePct*HP$23,0)</f>
        <v/>
      </c>
      <c r="HQ33" s="18">
        <f>IF(222&gt;=DeliverStart,MgmtFeePct*HQ$23,0)</f>
        <v/>
      </c>
      <c r="HR33" s="18">
        <f>IF(223&gt;=DeliverStart,MgmtFeePct*HR$23,0)</f>
        <v/>
      </c>
      <c r="HS33" s="18">
        <f>IF(224&gt;=DeliverStart,MgmtFeePct*HS$23,0)</f>
        <v/>
      </c>
      <c r="HT33" s="18">
        <f>IF(225&gt;=DeliverStart,MgmtFeePct*HT$23,0)</f>
        <v/>
      </c>
      <c r="HU33" s="18">
        <f>IF(226&gt;=DeliverStart,MgmtFeePct*HU$23,0)</f>
        <v/>
      </c>
      <c r="HV33" s="18">
        <f>IF(227&gt;=DeliverStart,MgmtFeePct*HV$23,0)</f>
        <v/>
      </c>
      <c r="HW33" s="18">
        <f>IF(228&gt;=DeliverStart,MgmtFeePct*HW$23,0)</f>
        <v/>
      </c>
      <c r="HX33" s="18">
        <f>IF(229&gt;=DeliverStart,MgmtFeePct*HX$23,0)</f>
        <v/>
      </c>
      <c r="HY33" s="18">
        <f>IF(230&gt;=DeliverStart,MgmtFeePct*HY$23,0)</f>
        <v/>
      </c>
      <c r="HZ33" s="18">
        <f>IF(231&gt;=DeliverStart,MgmtFeePct*HZ$23,0)</f>
        <v/>
      </c>
      <c r="IA33" s="18">
        <f>IF(232&gt;=DeliverStart,MgmtFeePct*IA$23,0)</f>
        <v/>
      </c>
      <c r="IB33" s="18">
        <f>IF(233&gt;=DeliverStart,MgmtFeePct*IB$23,0)</f>
        <v/>
      </c>
      <c r="IC33" s="18">
        <f>IF(234&gt;=DeliverStart,MgmtFeePct*IC$23,0)</f>
        <v/>
      </c>
      <c r="ID33" s="18">
        <f>IF(235&gt;=DeliverStart,MgmtFeePct*ID$23,0)</f>
        <v/>
      </c>
      <c r="IE33" s="18">
        <f>IF(236&gt;=DeliverStart,MgmtFeePct*IE$23,0)</f>
        <v/>
      </c>
      <c r="IF33" s="18">
        <f>IF(237&gt;=DeliverStart,MgmtFeePct*IF$23,0)</f>
        <v/>
      </c>
      <c r="IG33" s="18">
        <f>IF(238&gt;=DeliverStart,MgmtFeePct*IG$23,0)</f>
        <v/>
      </c>
      <c r="IH33" s="18">
        <f>IF(239&gt;=DeliverStart,MgmtFeePct*IH$23,0)</f>
        <v/>
      </c>
      <c r="II33" s="18">
        <f>IF(240&gt;=DeliverStart,MgmtFeePct*II$23,0)</f>
        <v/>
      </c>
      <c r="IJ33" s="18">
        <f>IF(241&gt;=DeliverStart,MgmtFeePct*IJ$23,0)</f>
        <v/>
      </c>
      <c r="IK33" s="18">
        <f>IF(242&gt;=DeliverStart,MgmtFeePct*IK$23,0)</f>
        <v/>
      </c>
      <c r="IL33" s="18">
        <f>IF(243&gt;=DeliverStart,MgmtFeePct*IL$23,0)</f>
        <v/>
      </c>
      <c r="IM33" s="18">
        <f>IF(244&gt;=DeliverStart,MgmtFeePct*IM$23,0)</f>
        <v/>
      </c>
      <c r="IN33" s="18">
        <f>IF(245&gt;=DeliverStart,MgmtFeePct*IN$23,0)</f>
        <v/>
      </c>
      <c r="IO33" s="18">
        <f>IF(246&gt;=DeliverStart,MgmtFeePct*IO$23,0)</f>
        <v/>
      </c>
      <c r="IP33" s="18">
        <f>IF(247&gt;=DeliverStart,MgmtFeePct*IP$23,0)</f>
        <v/>
      </c>
      <c r="IQ33" s="18">
        <f>IF(248&gt;=DeliverStart,MgmtFeePct*IQ$23,0)</f>
        <v/>
      </c>
      <c r="IR33" s="18">
        <f>IF(249&gt;=DeliverStart,MgmtFeePct*IR$23,0)</f>
        <v/>
      </c>
      <c r="IS33" s="18">
        <f>IF(250&gt;=DeliverStart,MgmtFeePct*IS$23,0)</f>
        <v/>
      </c>
      <c r="IT33" s="18">
        <f>IF(251&gt;=DeliverStart,MgmtFeePct*IT$23,0)</f>
        <v/>
      </c>
      <c r="IU33" s="18">
        <f>IF(252&gt;=DeliverStart,MgmtFeePct*IU$23,0)</f>
        <v/>
      </c>
      <c r="IV33" s="18">
        <f>IF(253&gt;=DeliverStart,MgmtFeePct*IV$23,0)</f>
        <v/>
      </c>
      <c r="IW33" s="18">
        <f>IF(254&gt;=DeliverStart,MgmtFeePct*IW$23,0)</f>
        <v/>
      </c>
      <c r="IX33" s="18">
        <f>IF(255&gt;=DeliverStart,MgmtFeePct*IX$23,0)</f>
        <v/>
      </c>
      <c r="IY33" s="18">
        <f>IF(256&gt;=DeliverStart,MgmtFeePct*IY$23,0)</f>
        <v/>
      </c>
      <c r="IZ33" s="18">
        <f>IF(257&gt;=DeliverStart,MgmtFeePct*IZ$23,0)</f>
        <v/>
      </c>
      <c r="JA33" s="18">
        <f>IF(258&gt;=DeliverStart,MgmtFeePct*JA$23,0)</f>
        <v/>
      </c>
      <c r="JB33" s="18">
        <f>IF(259&gt;=DeliverStart,MgmtFeePct*JB$23,0)</f>
        <v/>
      </c>
      <c r="JC33" s="18">
        <f>IF(260&gt;=DeliverStart,MgmtFeePct*JC$23,0)</f>
        <v/>
      </c>
      <c r="JD33" s="18">
        <f>IF(261&gt;=DeliverStart,MgmtFeePct*JD$23,0)</f>
        <v/>
      </c>
      <c r="JE33" s="18">
        <f>IF(262&gt;=DeliverStart,MgmtFeePct*JE$23,0)</f>
        <v/>
      </c>
      <c r="JF33" s="18">
        <f>IF(263&gt;=DeliverStart,MgmtFeePct*JF$23,0)</f>
        <v/>
      </c>
      <c r="JG33" s="18">
        <f>IF(264&gt;=DeliverStart,MgmtFeePct*JG$23,0)</f>
        <v/>
      </c>
      <c r="JH33" s="18">
        <f>IF(265&gt;=DeliverStart,MgmtFeePct*JH$23,0)</f>
        <v/>
      </c>
      <c r="JI33" s="18">
        <f>IF(266&gt;=DeliverStart,MgmtFeePct*JI$23,0)</f>
        <v/>
      </c>
      <c r="JJ33" s="18">
        <f>IF(267&gt;=DeliverStart,MgmtFeePct*JJ$23,0)</f>
        <v/>
      </c>
      <c r="JK33" s="18">
        <f>IF(268&gt;=DeliverStart,MgmtFeePct*JK$23,0)</f>
        <v/>
      </c>
      <c r="JL33" s="18">
        <f>IF(269&gt;=DeliverStart,MgmtFeePct*JL$23,0)</f>
        <v/>
      </c>
      <c r="JM33" s="18">
        <f>IF(270&gt;=DeliverStart,MgmtFeePct*JM$23,0)</f>
        <v/>
      </c>
      <c r="JN33" s="18">
        <f>IF(271&gt;=DeliverStart,MgmtFeePct*JN$23,0)</f>
        <v/>
      </c>
      <c r="JO33" s="18">
        <f>IF(272&gt;=DeliverStart,MgmtFeePct*JO$23,0)</f>
        <v/>
      </c>
      <c r="JP33" s="18">
        <f>IF(273&gt;=DeliverStart,MgmtFeePct*JP$23,0)</f>
        <v/>
      </c>
      <c r="JQ33" s="18">
        <f>IF(274&gt;=DeliverStart,MgmtFeePct*JQ$23,0)</f>
        <v/>
      </c>
      <c r="JR33" s="18">
        <f>IF(275&gt;=DeliverStart,MgmtFeePct*JR$23,0)</f>
        <v/>
      </c>
      <c r="JS33" s="18">
        <f>IF(276&gt;=DeliverStart,MgmtFeePct*JS$23,0)</f>
        <v/>
      </c>
      <c r="JT33" s="18">
        <f>IF(277&gt;=DeliverStart,MgmtFeePct*JT$23,0)</f>
        <v/>
      </c>
      <c r="JU33" s="18">
        <f>IF(278&gt;=DeliverStart,MgmtFeePct*JU$23,0)</f>
        <v/>
      </c>
      <c r="JV33" s="18">
        <f>IF(279&gt;=DeliverStart,MgmtFeePct*JV$23,0)</f>
        <v/>
      </c>
      <c r="JW33" s="18">
        <f>IF(280&gt;=DeliverStart,MgmtFeePct*JW$23,0)</f>
        <v/>
      </c>
      <c r="JX33" s="18">
        <f>IF(281&gt;=DeliverStart,MgmtFeePct*JX$23,0)</f>
        <v/>
      </c>
      <c r="JY33" s="18">
        <f>IF(282&gt;=DeliverStart,MgmtFeePct*JY$23,0)</f>
        <v/>
      </c>
      <c r="JZ33" s="18">
        <f>IF(283&gt;=DeliverStart,MgmtFeePct*JZ$23,0)</f>
        <v/>
      </c>
      <c r="KA33" s="18">
        <f>IF(284&gt;=DeliverStart,MgmtFeePct*KA$23,0)</f>
        <v/>
      </c>
      <c r="KB33" s="18">
        <f>IF(285&gt;=DeliverStart,MgmtFeePct*KB$23,0)</f>
        <v/>
      </c>
      <c r="KC33" s="18">
        <f>IF(286&gt;=DeliverStart,MgmtFeePct*KC$23,0)</f>
        <v/>
      </c>
      <c r="KD33" s="18">
        <f>IF(287&gt;=DeliverStart,MgmtFeePct*KD$23,0)</f>
        <v/>
      </c>
      <c r="KE33" s="18">
        <f>IF(288&gt;=DeliverStart,MgmtFeePct*KE$23,0)</f>
        <v/>
      </c>
      <c r="KF33" s="18">
        <f>IF(289&gt;=DeliverStart,MgmtFeePct*KF$23,0)</f>
        <v/>
      </c>
      <c r="KG33" s="18">
        <f>IF(290&gt;=DeliverStart,MgmtFeePct*KG$23,0)</f>
        <v/>
      </c>
      <c r="KH33" s="18">
        <f>IF(291&gt;=DeliverStart,MgmtFeePct*KH$23,0)</f>
        <v/>
      </c>
      <c r="KI33" s="18">
        <f>IF(292&gt;=DeliverStart,MgmtFeePct*KI$23,0)</f>
        <v/>
      </c>
      <c r="KJ33" s="18">
        <f>IF(293&gt;=DeliverStart,MgmtFeePct*KJ$23,0)</f>
        <v/>
      </c>
      <c r="KK33" s="18">
        <f>IF(294&gt;=DeliverStart,MgmtFeePct*KK$23,0)</f>
        <v/>
      </c>
      <c r="KL33" s="18">
        <f>IF(295&gt;=DeliverStart,MgmtFeePct*KL$23,0)</f>
        <v/>
      </c>
      <c r="KM33" s="18">
        <f>IF(296&gt;=DeliverStart,MgmtFeePct*KM$23,0)</f>
        <v/>
      </c>
      <c r="KN33" s="18">
        <f>IF(297&gt;=DeliverStart,MgmtFeePct*KN$23,0)</f>
        <v/>
      </c>
      <c r="KO33" s="18">
        <f>IF(298&gt;=DeliverStart,MgmtFeePct*KO$23,0)</f>
        <v/>
      </c>
      <c r="KP33" s="18">
        <f>IF(299&gt;=DeliverStart,MgmtFeePct*KP$23,0)</f>
        <v/>
      </c>
      <c r="KQ33" s="18">
        <f>IF(300&gt;=DeliverStart,MgmtFeePct*KQ$23,0)</f>
        <v/>
      </c>
      <c r="KR33" s="18">
        <f>IF(301&gt;=DeliverStart,MgmtFeePct*KR$23,0)</f>
        <v/>
      </c>
      <c r="KS33" s="18">
        <f>IF(302&gt;=DeliverStart,MgmtFeePct*KS$23,0)</f>
        <v/>
      </c>
      <c r="KT33" s="18">
        <f>IF(303&gt;=DeliverStart,MgmtFeePct*KT$23,0)</f>
        <v/>
      </c>
      <c r="KU33" s="18">
        <f>IF(304&gt;=DeliverStart,MgmtFeePct*KU$23,0)</f>
        <v/>
      </c>
      <c r="KV33" s="18">
        <f>IF(305&gt;=DeliverStart,MgmtFeePct*KV$23,0)</f>
        <v/>
      </c>
      <c r="KW33" s="18">
        <f>IF(306&gt;=DeliverStart,MgmtFeePct*KW$23,0)</f>
        <v/>
      </c>
      <c r="KX33" s="18">
        <f>IF(307&gt;=DeliverStart,MgmtFeePct*KX$23,0)</f>
        <v/>
      </c>
      <c r="KY33" s="18">
        <f>IF(308&gt;=DeliverStart,MgmtFeePct*KY$23,0)</f>
        <v/>
      </c>
      <c r="KZ33" s="18">
        <f>IF(309&gt;=DeliverStart,MgmtFeePct*KZ$23,0)</f>
        <v/>
      </c>
      <c r="LA33" s="18">
        <f>IF(310&gt;=DeliverStart,MgmtFeePct*LA$23,0)</f>
        <v/>
      </c>
      <c r="LB33" s="18">
        <f>IF(311&gt;=DeliverStart,MgmtFeePct*LB$23,0)</f>
        <v/>
      </c>
      <c r="LC33" s="18">
        <f>IF(312&gt;=DeliverStart,MgmtFeePct*LC$23,0)</f>
        <v/>
      </c>
      <c r="LD33" s="18">
        <f>IF(313&gt;=DeliverStart,MgmtFeePct*LD$23,0)</f>
        <v/>
      </c>
      <c r="LE33" s="18">
        <f>IF(314&gt;=DeliverStart,MgmtFeePct*LE$23,0)</f>
        <v/>
      </c>
      <c r="LF33" s="18">
        <f>IF(315&gt;=DeliverStart,MgmtFeePct*LF$23,0)</f>
        <v/>
      </c>
      <c r="LG33" s="18">
        <f>IF(316&gt;=DeliverStart,MgmtFeePct*LG$23,0)</f>
        <v/>
      </c>
      <c r="LH33" s="18">
        <f>IF(317&gt;=DeliverStart,MgmtFeePct*LH$23,0)</f>
        <v/>
      </c>
      <c r="LI33" s="18">
        <f>IF(318&gt;=DeliverStart,MgmtFeePct*LI$23,0)</f>
        <v/>
      </c>
      <c r="LJ33" s="18">
        <f>IF(319&gt;=DeliverStart,MgmtFeePct*LJ$23,0)</f>
        <v/>
      </c>
      <c r="LK33" s="18">
        <f>IF(320&gt;=DeliverStart,MgmtFeePct*LK$23,0)</f>
        <v/>
      </c>
      <c r="LL33" s="18">
        <f>IF(321&gt;=DeliverStart,MgmtFeePct*LL$23,0)</f>
        <v/>
      </c>
      <c r="LM33" s="18">
        <f>IF(322&gt;=DeliverStart,MgmtFeePct*LM$23,0)</f>
        <v/>
      </c>
      <c r="LN33" s="18">
        <f>IF(323&gt;=DeliverStart,MgmtFeePct*LN$23,0)</f>
        <v/>
      </c>
      <c r="LO33" s="18">
        <f>IF(324&gt;=DeliverStart,MgmtFeePct*LO$23,0)</f>
        <v/>
      </c>
      <c r="LP33" s="18">
        <f>IF(325&gt;=DeliverStart,MgmtFeePct*LP$23,0)</f>
        <v/>
      </c>
      <c r="LQ33" s="18">
        <f>IF(326&gt;=DeliverStart,MgmtFeePct*LQ$23,0)</f>
        <v/>
      </c>
      <c r="LR33" s="18">
        <f>IF(327&gt;=DeliverStart,MgmtFeePct*LR$23,0)</f>
        <v/>
      </c>
      <c r="LS33" s="18">
        <f>IF(328&gt;=DeliverStart,MgmtFeePct*LS$23,0)</f>
        <v/>
      </c>
      <c r="LT33" s="18">
        <f>IF(329&gt;=DeliverStart,MgmtFeePct*LT$23,0)</f>
        <v/>
      </c>
      <c r="LU33" s="18">
        <f>IF(330&gt;=DeliverStart,MgmtFeePct*LU$23,0)</f>
        <v/>
      </c>
      <c r="LV33" s="18">
        <f>IF(331&gt;=DeliverStart,MgmtFeePct*LV$23,0)</f>
        <v/>
      </c>
      <c r="LW33" s="18">
        <f>IF(332&gt;=DeliverStart,MgmtFeePct*LW$23,0)</f>
        <v/>
      </c>
      <c r="LX33" s="18">
        <f>IF(333&gt;=DeliverStart,MgmtFeePct*LX$23,0)</f>
        <v/>
      </c>
      <c r="LY33" s="18">
        <f>IF(334&gt;=DeliverStart,MgmtFeePct*LY$23,0)</f>
        <v/>
      </c>
      <c r="LZ33" s="18">
        <f>IF(335&gt;=DeliverStart,MgmtFeePct*LZ$23,0)</f>
        <v/>
      </c>
      <c r="MA33" s="18">
        <f>IF(336&gt;=DeliverStart,MgmtFeePct*MA$23,0)</f>
        <v/>
      </c>
      <c r="MB33" s="18">
        <f>IF(337&gt;=DeliverStart,MgmtFeePct*MB$23,0)</f>
        <v/>
      </c>
      <c r="MC33" s="18">
        <f>IF(338&gt;=DeliverStart,MgmtFeePct*MC$23,0)</f>
        <v/>
      </c>
      <c r="MD33" s="18">
        <f>IF(339&gt;=DeliverStart,MgmtFeePct*MD$23,0)</f>
        <v/>
      </c>
      <c r="ME33" s="18">
        <f>IF(340&gt;=DeliverStart,MgmtFeePct*ME$23,0)</f>
        <v/>
      </c>
      <c r="MF33" s="18">
        <f>IF(341&gt;=DeliverStart,MgmtFeePct*MF$23,0)</f>
        <v/>
      </c>
      <c r="MG33" s="18">
        <f>IF(342&gt;=DeliverStart,MgmtFeePct*MG$23,0)</f>
        <v/>
      </c>
      <c r="MH33" s="18">
        <f>IF(343&gt;=DeliverStart,MgmtFeePct*MH$23,0)</f>
        <v/>
      </c>
      <c r="MI33" s="18">
        <f>IF(344&gt;=DeliverStart,MgmtFeePct*MI$23,0)</f>
        <v/>
      </c>
      <c r="MJ33" s="18">
        <f>IF(345&gt;=DeliverStart,MgmtFeePct*MJ$23,0)</f>
        <v/>
      </c>
      <c r="MK33" s="18">
        <f>IF(346&gt;=DeliverStart,MgmtFeePct*MK$23,0)</f>
        <v/>
      </c>
      <c r="ML33" s="18">
        <f>IF(347&gt;=DeliverStart,MgmtFeePct*ML$23,0)</f>
        <v/>
      </c>
      <c r="MM33" s="18">
        <f>IF(348&gt;=DeliverStart,MgmtFeePct*MM$23,0)</f>
        <v/>
      </c>
      <c r="MN33" s="18">
        <f>IF(349&gt;=DeliverStart,MgmtFeePct*MN$23,0)</f>
        <v/>
      </c>
      <c r="MO33" s="18">
        <f>IF(350&gt;=DeliverStart,MgmtFeePct*MO$23,0)</f>
        <v/>
      </c>
      <c r="MP33" s="18">
        <f>IF(351&gt;=DeliverStart,MgmtFeePct*MP$23,0)</f>
        <v/>
      </c>
      <c r="MQ33" s="18">
        <f>IF(352&gt;=DeliverStart,MgmtFeePct*MQ$23,0)</f>
        <v/>
      </c>
      <c r="MR33" s="18">
        <f>IF(353&gt;=DeliverStart,MgmtFeePct*MR$23,0)</f>
        <v/>
      </c>
      <c r="MS33" s="18">
        <f>IF(354&gt;=DeliverStart,MgmtFeePct*MS$23,0)</f>
        <v/>
      </c>
      <c r="MT33" s="18">
        <f>IF(355&gt;=DeliverStart,MgmtFeePct*MT$23,0)</f>
        <v/>
      </c>
      <c r="MU33" s="18">
        <f>IF(356&gt;=DeliverStart,MgmtFeePct*MU$23,0)</f>
        <v/>
      </c>
      <c r="MV33" s="18">
        <f>IF(357&gt;=DeliverStart,MgmtFeePct*MV$23,0)</f>
        <v/>
      </c>
      <c r="MW33" s="18">
        <f>IF(358&gt;=DeliverStart,MgmtFeePct*MW$23,0)</f>
        <v/>
      </c>
      <c r="MX33" s="18">
        <f>IF(359&gt;=DeliverStart,MgmtFeePct*MX$23,0)</f>
        <v/>
      </c>
      <c r="MY33" s="18">
        <f>IF(360&gt;=DeliverStart,MgmtFeePct*MY$23,0)</f>
        <v/>
      </c>
      <c r="MZ33" s="18">
        <f>IF(361&gt;=DeliverStart,MgmtFeePct*MZ$23,0)</f>
        <v/>
      </c>
      <c r="NA33" s="18">
        <f>IF(362&gt;=DeliverStart,MgmtFeePct*NA$23,0)</f>
        <v/>
      </c>
      <c r="NB33" s="18">
        <f>IF(363&gt;=DeliverStart,MgmtFeePct*NB$23,0)</f>
        <v/>
      </c>
      <c r="NC33" s="18">
        <f>IF(364&gt;=DeliverStart,MgmtFeePct*NC$23,0)</f>
        <v/>
      </c>
      <c r="ND33" s="18">
        <f>IF(365&gt;=DeliverStart,MgmtFeePct*ND$23,0)</f>
        <v/>
      </c>
      <c r="NE33" s="18">
        <f>IF(366&gt;=DeliverStart,MgmtFeePct*NE$23,0)</f>
        <v/>
      </c>
      <c r="NF33" s="18">
        <f>IF(367&gt;=DeliverStart,MgmtFeePct*NF$23,0)</f>
        <v/>
      </c>
      <c r="NG33" s="18">
        <f>IF(368&gt;=DeliverStart,MgmtFeePct*NG$23,0)</f>
        <v/>
      </c>
      <c r="NH33" s="18">
        <f>IF(369&gt;=DeliverStart,MgmtFeePct*NH$23,0)</f>
        <v/>
      </c>
      <c r="NI33" s="18">
        <f>IF(370&gt;=DeliverStart,MgmtFeePct*NI$23,0)</f>
        <v/>
      </c>
      <c r="NJ33" s="18">
        <f>IF(371&gt;=DeliverStart,MgmtFeePct*NJ$23,0)</f>
        <v/>
      </c>
      <c r="NK33" s="18">
        <f>IF(372&gt;=DeliverStart,MgmtFeePct*NK$23,0)</f>
        <v/>
      </c>
    </row>
    <row r="34">
      <c r="A34" s="21" t="inlineStr">
        <is>
          <t>OpEx before Property Tax</t>
        </is>
      </c>
      <c r="C34" s="41">
        <f>SUM(D34:NK34)</f>
        <v/>
      </c>
      <c r="D34" s="43">
        <f>D$25+D$26+D$27+D$28+D$29+D$30+D$31+D$32+D$33</f>
        <v/>
      </c>
      <c r="E34" s="43">
        <f>E$25+E$26+E$27+E$28+E$29+E$30+E$31+E$32+E$33</f>
        <v/>
      </c>
      <c r="F34" s="43">
        <f>F$25+F$26+F$27+F$28+F$29+F$30+F$31+F$32+F$33</f>
        <v/>
      </c>
      <c r="G34" s="43">
        <f>G$25+G$26+G$27+G$28+G$29+G$30+G$31+G$32+G$33</f>
        <v/>
      </c>
      <c r="H34" s="43">
        <f>H$25+H$26+H$27+H$28+H$29+H$30+H$31+H$32+H$33</f>
        <v/>
      </c>
      <c r="I34" s="43">
        <f>I$25+I$26+I$27+I$28+I$29+I$30+I$31+I$32+I$33</f>
        <v/>
      </c>
      <c r="J34" s="43">
        <f>J$25+J$26+J$27+J$28+J$29+J$30+J$31+J$32+J$33</f>
        <v/>
      </c>
      <c r="K34" s="43">
        <f>K$25+K$26+K$27+K$28+K$29+K$30+K$31+K$32+K$33</f>
        <v/>
      </c>
      <c r="L34" s="43">
        <f>L$25+L$26+L$27+L$28+L$29+L$30+L$31+L$32+L$33</f>
        <v/>
      </c>
      <c r="M34" s="43">
        <f>M$25+M$26+M$27+M$28+M$29+M$30+M$31+M$32+M$33</f>
        <v/>
      </c>
      <c r="N34" s="43">
        <f>N$25+N$26+N$27+N$28+N$29+N$30+N$31+N$32+N$33</f>
        <v/>
      </c>
      <c r="O34" s="43">
        <f>O$25+O$26+O$27+O$28+O$29+O$30+O$31+O$32+O$33</f>
        <v/>
      </c>
      <c r="P34" s="43">
        <f>P$25+P$26+P$27+P$28+P$29+P$30+P$31+P$32+P$33</f>
        <v/>
      </c>
      <c r="Q34" s="43">
        <f>Q$25+Q$26+Q$27+Q$28+Q$29+Q$30+Q$31+Q$32+Q$33</f>
        <v/>
      </c>
      <c r="R34" s="43">
        <f>R$25+R$26+R$27+R$28+R$29+R$30+R$31+R$32+R$33</f>
        <v/>
      </c>
      <c r="S34" s="43">
        <f>S$25+S$26+S$27+S$28+S$29+S$30+S$31+S$32+S$33</f>
        <v/>
      </c>
      <c r="T34" s="43">
        <f>T$25+T$26+T$27+T$28+T$29+T$30+T$31+T$32+T$33</f>
        <v/>
      </c>
      <c r="U34" s="43">
        <f>U$25+U$26+U$27+U$28+U$29+U$30+U$31+U$32+U$33</f>
        <v/>
      </c>
      <c r="V34" s="43">
        <f>V$25+V$26+V$27+V$28+V$29+V$30+V$31+V$32+V$33</f>
        <v/>
      </c>
      <c r="W34" s="43">
        <f>W$25+W$26+W$27+W$28+W$29+W$30+W$31+W$32+W$33</f>
        <v/>
      </c>
      <c r="X34" s="43">
        <f>X$25+X$26+X$27+X$28+X$29+X$30+X$31+X$32+X$33</f>
        <v/>
      </c>
      <c r="Y34" s="43">
        <f>Y$25+Y$26+Y$27+Y$28+Y$29+Y$30+Y$31+Y$32+Y$33</f>
        <v/>
      </c>
      <c r="Z34" s="43">
        <f>Z$25+Z$26+Z$27+Z$28+Z$29+Z$30+Z$31+Z$32+Z$33</f>
        <v/>
      </c>
      <c r="AA34" s="43">
        <f>AA$25+AA$26+AA$27+AA$28+AA$29+AA$30+AA$31+AA$32+AA$33</f>
        <v/>
      </c>
      <c r="AB34" s="43">
        <f>AB$25+AB$26+AB$27+AB$28+AB$29+AB$30+AB$31+AB$32+AB$33</f>
        <v/>
      </c>
      <c r="AC34" s="43">
        <f>AC$25+AC$26+AC$27+AC$28+AC$29+AC$30+AC$31+AC$32+AC$33</f>
        <v/>
      </c>
      <c r="AD34" s="43">
        <f>AD$25+AD$26+AD$27+AD$28+AD$29+AD$30+AD$31+AD$32+AD$33</f>
        <v/>
      </c>
      <c r="AE34" s="43">
        <f>AE$25+AE$26+AE$27+AE$28+AE$29+AE$30+AE$31+AE$32+AE$33</f>
        <v/>
      </c>
      <c r="AF34" s="43">
        <f>AF$25+AF$26+AF$27+AF$28+AF$29+AF$30+AF$31+AF$32+AF$33</f>
        <v/>
      </c>
      <c r="AG34" s="43">
        <f>AG$25+AG$26+AG$27+AG$28+AG$29+AG$30+AG$31+AG$32+AG$33</f>
        <v/>
      </c>
      <c r="AH34" s="43">
        <f>AH$25+AH$26+AH$27+AH$28+AH$29+AH$30+AH$31+AH$32+AH$33</f>
        <v/>
      </c>
      <c r="AI34" s="43">
        <f>AI$25+AI$26+AI$27+AI$28+AI$29+AI$30+AI$31+AI$32+AI$33</f>
        <v/>
      </c>
      <c r="AJ34" s="43">
        <f>AJ$25+AJ$26+AJ$27+AJ$28+AJ$29+AJ$30+AJ$31+AJ$32+AJ$33</f>
        <v/>
      </c>
      <c r="AK34" s="43">
        <f>AK$25+AK$26+AK$27+AK$28+AK$29+AK$30+AK$31+AK$32+AK$33</f>
        <v/>
      </c>
      <c r="AL34" s="43">
        <f>AL$25+AL$26+AL$27+AL$28+AL$29+AL$30+AL$31+AL$32+AL$33</f>
        <v/>
      </c>
      <c r="AM34" s="43">
        <f>AM$25+AM$26+AM$27+AM$28+AM$29+AM$30+AM$31+AM$32+AM$33</f>
        <v/>
      </c>
      <c r="AN34" s="43">
        <f>AN$25+AN$26+AN$27+AN$28+AN$29+AN$30+AN$31+AN$32+AN$33</f>
        <v/>
      </c>
      <c r="AO34" s="43">
        <f>AO$25+AO$26+AO$27+AO$28+AO$29+AO$30+AO$31+AO$32+AO$33</f>
        <v/>
      </c>
      <c r="AP34" s="43">
        <f>AP$25+AP$26+AP$27+AP$28+AP$29+AP$30+AP$31+AP$32+AP$33</f>
        <v/>
      </c>
      <c r="AQ34" s="43">
        <f>AQ$25+AQ$26+AQ$27+AQ$28+AQ$29+AQ$30+AQ$31+AQ$32+AQ$33</f>
        <v/>
      </c>
      <c r="AR34" s="43">
        <f>AR$25+AR$26+AR$27+AR$28+AR$29+AR$30+AR$31+AR$32+AR$33</f>
        <v/>
      </c>
      <c r="AS34" s="43">
        <f>AS$25+AS$26+AS$27+AS$28+AS$29+AS$30+AS$31+AS$32+AS$33</f>
        <v/>
      </c>
      <c r="AT34" s="43">
        <f>AT$25+AT$26+AT$27+AT$28+AT$29+AT$30+AT$31+AT$32+AT$33</f>
        <v/>
      </c>
      <c r="AU34" s="43">
        <f>AU$25+AU$26+AU$27+AU$28+AU$29+AU$30+AU$31+AU$32+AU$33</f>
        <v/>
      </c>
      <c r="AV34" s="43">
        <f>AV$25+AV$26+AV$27+AV$28+AV$29+AV$30+AV$31+AV$32+AV$33</f>
        <v/>
      </c>
      <c r="AW34" s="43">
        <f>AW$25+AW$26+AW$27+AW$28+AW$29+AW$30+AW$31+AW$32+AW$33</f>
        <v/>
      </c>
      <c r="AX34" s="43">
        <f>AX$25+AX$26+AX$27+AX$28+AX$29+AX$30+AX$31+AX$32+AX$33</f>
        <v/>
      </c>
      <c r="AY34" s="43">
        <f>AY$25+AY$26+AY$27+AY$28+AY$29+AY$30+AY$31+AY$32+AY$33</f>
        <v/>
      </c>
      <c r="AZ34" s="43">
        <f>AZ$25+AZ$26+AZ$27+AZ$28+AZ$29+AZ$30+AZ$31+AZ$32+AZ$33</f>
        <v/>
      </c>
      <c r="BA34" s="43">
        <f>BA$25+BA$26+BA$27+BA$28+BA$29+BA$30+BA$31+BA$32+BA$33</f>
        <v/>
      </c>
      <c r="BB34" s="43">
        <f>BB$25+BB$26+BB$27+BB$28+BB$29+BB$30+BB$31+BB$32+BB$33</f>
        <v/>
      </c>
      <c r="BC34" s="43">
        <f>BC$25+BC$26+BC$27+BC$28+BC$29+BC$30+BC$31+BC$32+BC$33</f>
        <v/>
      </c>
      <c r="BD34" s="43">
        <f>BD$25+BD$26+BD$27+BD$28+BD$29+BD$30+BD$31+BD$32+BD$33</f>
        <v/>
      </c>
      <c r="BE34" s="43">
        <f>BE$25+BE$26+BE$27+BE$28+BE$29+BE$30+BE$31+BE$32+BE$33</f>
        <v/>
      </c>
      <c r="BF34" s="43">
        <f>BF$25+BF$26+BF$27+BF$28+BF$29+BF$30+BF$31+BF$32+BF$33</f>
        <v/>
      </c>
      <c r="BG34" s="43">
        <f>BG$25+BG$26+BG$27+BG$28+BG$29+BG$30+BG$31+BG$32+BG$33</f>
        <v/>
      </c>
      <c r="BH34" s="43">
        <f>BH$25+BH$26+BH$27+BH$28+BH$29+BH$30+BH$31+BH$32+BH$33</f>
        <v/>
      </c>
      <c r="BI34" s="43">
        <f>BI$25+BI$26+BI$27+BI$28+BI$29+BI$30+BI$31+BI$32+BI$33</f>
        <v/>
      </c>
      <c r="BJ34" s="43">
        <f>BJ$25+BJ$26+BJ$27+BJ$28+BJ$29+BJ$30+BJ$31+BJ$32+BJ$33</f>
        <v/>
      </c>
      <c r="BK34" s="43">
        <f>BK$25+BK$26+BK$27+BK$28+BK$29+BK$30+BK$31+BK$32+BK$33</f>
        <v/>
      </c>
      <c r="BL34" s="43">
        <f>BL$25+BL$26+BL$27+BL$28+BL$29+BL$30+BL$31+BL$32+BL$33</f>
        <v/>
      </c>
      <c r="BM34" s="43">
        <f>BM$25+BM$26+BM$27+BM$28+BM$29+BM$30+BM$31+BM$32+BM$33</f>
        <v/>
      </c>
      <c r="BN34" s="43">
        <f>BN$25+BN$26+BN$27+BN$28+BN$29+BN$30+BN$31+BN$32+BN$33</f>
        <v/>
      </c>
      <c r="BO34" s="43">
        <f>BO$25+BO$26+BO$27+BO$28+BO$29+BO$30+BO$31+BO$32+BO$33</f>
        <v/>
      </c>
      <c r="BP34" s="43">
        <f>BP$25+BP$26+BP$27+BP$28+BP$29+BP$30+BP$31+BP$32+BP$33</f>
        <v/>
      </c>
      <c r="BQ34" s="43">
        <f>BQ$25+BQ$26+BQ$27+BQ$28+BQ$29+BQ$30+BQ$31+BQ$32+BQ$33</f>
        <v/>
      </c>
      <c r="BR34" s="43">
        <f>BR$25+BR$26+BR$27+BR$28+BR$29+BR$30+BR$31+BR$32+BR$33</f>
        <v/>
      </c>
      <c r="BS34" s="43">
        <f>BS$25+BS$26+BS$27+BS$28+BS$29+BS$30+BS$31+BS$32+BS$33</f>
        <v/>
      </c>
      <c r="BT34" s="43">
        <f>BT$25+BT$26+BT$27+BT$28+BT$29+BT$30+BT$31+BT$32+BT$33</f>
        <v/>
      </c>
      <c r="BU34" s="43">
        <f>BU$25+BU$26+BU$27+BU$28+BU$29+BU$30+BU$31+BU$32+BU$33</f>
        <v/>
      </c>
      <c r="BV34" s="43">
        <f>BV$25+BV$26+BV$27+BV$28+BV$29+BV$30+BV$31+BV$32+BV$33</f>
        <v/>
      </c>
      <c r="BW34" s="43">
        <f>BW$25+BW$26+BW$27+BW$28+BW$29+BW$30+BW$31+BW$32+BW$33</f>
        <v/>
      </c>
      <c r="BX34" s="43">
        <f>BX$25+BX$26+BX$27+BX$28+BX$29+BX$30+BX$31+BX$32+BX$33</f>
        <v/>
      </c>
      <c r="BY34" s="43">
        <f>BY$25+BY$26+BY$27+BY$28+BY$29+BY$30+BY$31+BY$32+BY$33</f>
        <v/>
      </c>
      <c r="BZ34" s="43">
        <f>BZ$25+BZ$26+BZ$27+BZ$28+BZ$29+BZ$30+BZ$31+BZ$32+BZ$33</f>
        <v/>
      </c>
      <c r="CA34" s="43">
        <f>CA$25+CA$26+CA$27+CA$28+CA$29+CA$30+CA$31+CA$32+CA$33</f>
        <v/>
      </c>
      <c r="CB34" s="43">
        <f>CB$25+CB$26+CB$27+CB$28+CB$29+CB$30+CB$31+CB$32+CB$33</f>
        <v/>
      </c>
      <c r="CC34" s="43">
        <f>CC$25+CC$26+CC$27+CC$28+CC$29+CC$30+CC$31+CC$32+CC$33</f>
        <v/>
      </c>
      <c r="CD34" s="43">
        <f>CD$25+CD$26+CD$27+CD$28+CD$29+CD$30+CD$31+CD$32+CD$33</f>
        <v/>
      </c>
      <c r="CE34" s="43">
        <f>CE$25+CE$26+CE$27+CE$28+CE$29+CE$30+CE$31+CE$32+CE$33</f>
        <v/>
      </c>
      <c r="CF34" s="43">
        <f>CF$25+CF$26+CF$27+CF$28+CF$29+CF$30+CF$31+CF$32+CF$33</f>
        <v/>
      </c>
      <c r="CG34" s="43">
        <f>CG$25+CG$26+CG$27+CG$28+CG$29+CG$30+CG$31+CG$32+CG$33</f>
        <v/>
      </c>
      <c r="CH34" s="43">
        <f>CH$25+CH$26+CH$27+CH$28+CH$29+CH$30+CH$31+CH$32+CH$33</f>
        <v/>
      </c>
      <c r="CI34" s="43">
        <f>CI$25+CI$26+CI$27+CI$28+CI$29+CI$30+CI$31+CI$32+CI$33</f>
        <v/>
      </c>
      <c r="CJ34" s="43">
        <f>CJ$25+CJ$26+CJ$27+CJ$28+CJ$29+CJ$30+CJ$31+CJ$32+CJ$33</f>
        <v/>
      </c>
      <c r="CK34" s="43">
        <f>CK$25+CK$26+CK$27+CK$28+CK$29+CK$30+CK$31+CK$32+CK$33</f>
        <v/>
      </c>
      <c r="CL34" s="43">
        <f>CL$25+CL$26+CL$27+CL$28+CL$29+CL$30+CL$31+CL$32+CL$33</f>
        <v/>
      </c>
      <c r="CM34" s="43">
        <f>CM$25+CM$26+CM$27+CM$28+CM$29+CM$30+CM$31+CM$32+CM$33</f>
        <v/>
      </c>
      <c r="CN34" s="43">
        <f>CN$25+CN$26+CN$27+CN$28+CN$29+CN$30+CN$31+CN$32+CN$33</f>
        <v/>
      </c>
      <c r="CO34" s="43">
        <f>CO$25+CO$26+CO$27+CO$28+CO$29+CO$30+CO$31+CO$32+CO$33</f>
        <v/>
      </c>
      <c r="CP34" s="43">
        <f>CP$25+CP$26+CP$27+CP$28+CP$29+CP$30+CP$31+CP$32+CP$33</f>
        <v/>
      </c>
      <c r="CQ34" s="43">
        <f>CQ$25+CQ$26+CQ$27+CQ$28+CQ$29+CQ$30+CQ$31+CQ$32+CQ$33</f>
        <v/>
      </c>
      <c r="CR34" s="43">
        <f>CR$25+CR$26+CR$27+CR$28+CR$29+CR$30+CR$31+CR$32+CR$33</f>
        <v/>
      </c>
      <c r="CS34" s="43">
        <f>CS$25+CS$26+CS$27+CS$28+CS$29+CS$30+CS$31+CS$32+CS$33</f>
        <v/>
      </c>
      <c r="CT34" s="43">
        <f>CT$25+CT$26+CT$27+CT$28+CT$29+CT$30+CT$31+CT$32+CT$33</f>
        <v/>
      </c>
      <c r="CU34" s="43">
        <f>CU$25+CU$26+CU$27+CU$28+CU$29+CU$30+CU$31+CU$32+CU$33</f>
        <v/>
      </c>
      <c r="CV34" s="43">
        <f>CV$25+CV$26+CV$27+CV$28+CV$29+CV$30+CV$31+CV$32+CV$33</f>
        <v/>
      </c>
      <c r="CW34" s="43">
        <f>CW$25+CW$26+CW$27+CW$28+CW$29+CW$30+CW$31+CW$32+CW$33</f>
        <v/>
      </c>
      <c r="CX34" s="43">
        <f>CX$25+CX$26+CX$27+CX$28+CX$29+CX$30+CX$31+CX$32+CX$33</f>
        <v/>
      </c>
      <c r="CY34" s="43">
        <f>CY$25+CY$26+CY$27+CY$28+CY$29+CY$30+CY$31+CY$32+CY$33</f>
        <v/>
      </c>
      <c r="CZ34" s="43">
        <f>CZ$25+CZ$26+CZ$27+CZ$28+CZ$29+CZ$30+CZ$31+CZ$32+CZ$33</f>
        <v/>
      </c>
      <c r="DA34" s="43">
        <f>DA$25+DA$26+DA$27+DA$28+DA$29+DA$30+DA$31+DA$32+DA$33</f>
        <v/>
      </c>
      <c r="DB34" s="43">
        <f>DB$25+DB$26+DB$27+DB$28+DB$29+DB$30+DB$31+DB$32+DB$33</f>
        <v/>
      </c>
      <c r="DC34" s="43">
        <f>DC$25+DC$26+DC$27+DC$28+DC$29+DC$30+DC$31+DC$32+DC$33</f>
        <v/>
      </c>
      <c r="DD34" s="43">
        <f>DD$25+DD$26+DD$27+DD$28+DD$29+DD$30+DD$31+DD$32+DD$33</f>
        <v/>
      </c>
      <c r="DE34" s="43">
        <f>DE$25+DE$26+DE$27+DE$28+DE$29+DE$30+DE$31+DE$32+DE$33</f>
        <v/>
      </c>
      <c r="DF34" s="43">
        <f>DF$25+DF$26+DF$27+DF$28+DF$29+DF$30+DF$31+DF$32+DF$33</f>
        <v/>
      </c>
      <c r="DG34" s="43">
        <f>DG$25+DG$26+DG$27+DG$28+DG$29+DG$30+DG$31+DG$32+DG$33</f>
        <v/>
      </c>
      <c r="DH34" s="43">
        <f>DH$25+DH$26+DH$27+DH$28+DH$29+DH$30+DH$31+DH$32+DH$33</f>
        <v/>
      </c>
      <c r="DI34" s="43">
        <f>DI$25+DI$26+DI$27+DI$28+DI$29+DI$30+DI$31+DI$32+DI$33</f>
        <v/>
      </c>
      <c r="DJ34" s="43">
        <f>DJ$25+DJ$26+DJ$27+DJ$28+DJ$29+DJ$30+DJ$31+DJ$32+DJ$33</f>
        <v/>
      </c>
      <c r="DK34" s="43">
        <f>DK$25+DK$26+DK$27+DK$28+DK$29+DK$30+DK$31+DK$32+DK$33</f>
        <v/>
      </c>
      <c r="DL34" s="43">
        <f>DL$25+DL$26+DL$27+DL$28+DL$29+DL$30+DL$31+DL$32+DL$33</f>
        <v/>
      </c>
      <c r="DM34" s="43">
        <f>DM$25+DM$26+DM$27+DM$28+DM$29+DM$30+DM$31+DM$32+DM$33</f>
        <v/>
      </c>
      <c r="DN34" s="43">
        <f>DN$25+DN$26+DN$27+DN$28+DN$29+DN$30+DN$31+DN$32+DN$33</f>
        <v/>
      </c>
      <c r="DO34" s="43">
        <f>DO$25+DO$26+DO$27+DO$28+DO$29+DO$30+DO$31+DO$32+DO$33</f>
        <v/>
      </c>
      <c r="DP34" s="43">
        <f>DP$25+DP$26+DP$27+DP$28+DP$29+DP$30+DP$31+DP$32+DP$33</f>
        <v/>
      </c>
      <c r="DQ34" s="43">
        <f>DQ$25+DQ$26+DQ$27+DQ$28+DQ$29+DQ$30+DQ$31+DQ$32+DQ$33</f>
        <v/>
      </c>
      <c r="DR34" s="43">
        <f>DR$25+DR$26+DR$27+DR$28+DR$29+DR$30+DR$31+DR$32+DR$33</f>
        <v/>
      </c>
      <c r="DS34" s="43">
        <f>DS$25+DS$26+DS$27+DS$28+DS$29+DS$30+DS$31+DS$32+DS$33</f>
        <v/>
      </c>
      <c r="DT34" s="43">
        <f>DT$25+DT$26+DT$27+DT$28+DT$29+DT$30+DT$31+DT$32+DT$33</f>
        <v/>
      </c>
      <c r="DU34" s="43">
        <f>DU$25+DU$26+DU$27+DU$28+DU$29+DU$30+DU$31+DU$32+DU$33</f>
        <v/>
      </c>
      <c r="DV34" s="43">
        <f>DV$25+DV$26+DV$27+DV$28+DV$29+DV$30+DV$31+DV$32+DV$33</f>
        <v/>
      </c>
      <c r="DW34" s="43">
        <f>DW$25+DW$26+DW$27+DW$28+DW$29+DW$30+DW$31+DW$32+DW$33</f>
        <v/>
      </c>
      <c r="DX34" s="43">
        <f>DX$25+DX$26+DX$27+DX$28+DX$29+DX$30+DX$31+DX$32+DX$33</f>
        <v/>
      </c>
      <c r="DY34" s="43">
        <f>DY$25+DY$26+DY$27+DY$28+DY$29+DY$30+DY$31+DY$32+DY$33</f>
        <v/>
      </c>
      <c r="DZ34" s="43">
        <f>DZ$25+DZ$26+DZ$27+DZ$28+DZ$29+DZ$30+DZ$31+DZ$32+DZ$33</f>
        <v/>
      </c>
      <c r="EA34" s="43">
        <f>EA$25+EA$26+EA$27+EA$28+EA$29+EA$30+EA$31+EA$32+EA$33</f>
        <v/>
      </c>
      <c r="EB34" s="43">
        <f>EB$25+EB$26+EB$27+EB$28+EB$29+EB$30+EB$31+EB$32+EB$33</f>
        <v/>
      </c>
      <c r="EC34" s="43">
        <f>EC$25+EC$26+EC$27+EC$28+EC$29+EC$30+EC$31+EC$32+EC$33</f>
        <v/>
      </c>
      <c r="ED34" s="43">
        <f>ED$25+ED$26+ED$27+ED$28+ED$29+ED$30+ED$31+ED$32+ED$33</f>
        <v/>
      </c>
      <c r="EE34" s="43">
        <f>EE$25+EE$26+EE$27+EE$28+EE$29+EE$30+EE$31+EE$32+EE$33</f>
        <v/>
      </c>
      <c r="EF34" s="43">
        <f>EF$25+EF$26+EF$27+EF$28+EF$29+EF$30+EF$31+EF$32+EF$33</f>
        <v/>
      </c>
      <c r="EG34" s="43">
        <f>EG$25+EG$26+EG$27+EG$28+EG$29+EG$30+EG$31+EG$32+EG$33</f>
        <v/>
      </c>
      <c r="EH34" s="43">
        <f>EH$25+EH$26+EH$27+EH$28+EH$29+EH$30+EH$31+EH$32+EH$33</f>
        <v/>
      </c>
      <c r="EI34" s="43">
        <f>EI$25+EI$26+EI$27+EI$28+EI$29+EI$30+EI$31+EI$32+EI$33</f>
        <v/>
      </c>
      <c r="EJ34" s="43">
        <f>EJ$25+EJ$26+EJ$27+EJ$28+EJ$29+EJ$30+EJ$31+EJ$32+EJ$33</f>
        <v/>
      </c>
      <c r="EK34" s="43">
        <f>EK$25+EK$26+EK$27+EK$28+EK$29+EK$30+EK$31+EK$32+EK$33</f>
        <v/>
      </c>
      <c r="EL34" s="43">
        <f>EL$25+EL$26+EL$27+EL$28+EL$29+EL$30+EL$31+EL$32+EL$33</f>
        <v/>
      </c>
      <c r="EM34" s="43">
        <f>EM$25+EM$26+EM$27+EM$28+EM$29+EM$30+EM$31+EM$32+EM$33</f>
        <v/>
      </c>
      <c r="EN34" s="43">
        <f>EN$25+EN$26+EN$27+EN$28+EN$29+EN$30+EN$31+EN$32+EN$33</f>
        <v/>
      </c>
      <c r="EO34" s="43">
        <f>EO$25+EO$26+EO$27+EO$28+EO$29+EO$30+EO$31+EO$32+EO$33</f>
        <v/>
      </c>
      <c r="EP34" s="43">
        <f>EP$25+EP$26+EP$27+EP$28+EP$29+EP$30+EP$31+EP$32+EP$33</f>
        <v/>
      </c>
      <c r="EQ34" s="43">
        <f>EQ$25+EQ$26+EQ$27+EQ$28+EQ$29+EQ$30+EQ$31+EQ$32+EQ$33</f>
        <v/>
      </c>
      <c r="ER34" s="43">
        <f>ER$25+ER$26+ER$27+ER$28+ER$29+ER$30+ER$31+ER$32+ER$33</f>
        <v/>
      </c>
      <c r="ES34" s="43">
        <f>ES$25+ES$26+ES$27+ES$28+ES$29+ES$30+ES$31+ES$32+ES$33</f>
        <v/>
      </c>
      <c r="ET34" s="43">
        <f>ET$25+ET$26+ET$27+ET$28+ET$29+ET$30+ET$31+ET$32+ET$33</f>
        <v/>
      </c>
      <c r="EU34" s="43">
        <f>EU$25+EU$26+EU$27+EU$28+EU$29+EU$30+EU$31+EU$32+EU$33</f>
        <v/>
      </c>
      <c r="EV34" s="43">
        <f>EV$25+EV$26+EV$27+EV$28+EV$29+EV$30+EV$31+EV$32+EV$33</f>
        <v/>
      </c>
      <c r="EW34" s="43">
        <f>EW$25+EW$26+EW$27+EW$28+EW$29+EW$30+EW$31+EW$32+EW$33</f>
        <v/>
      </c>
      <c r="EX34" s="43">
        <f>EX$25+EX$26+EX$27+EX$28+EX$29+EX$30+EX$31+EX$32+EX$33</f>
        <v/>
      </c>
      <c r="EY34" s="43">
        <f>EY$25+EY$26+EY$27+EY$28+EY$29+EY$30+EY$31+EY$32+EY$33</f>
        <v/>
      </c>
      <c r="EZ34" s="43">
        <f>EZ$25+EZ$26+EZ$27+EZ$28+EZ$29+EZ$30+EZ$31+EZ$32+EZ$33</f>
        <v/>
      </c>
      <c r="FA34" s="43">
        <f>FA$25+FA$26+FA$27+FA$28+FA$29+FA$30+FA$31+FA$32+FA$33</f>
        <v/>
      </c>
      <c r="FB34" s="43">
        <f>FB$25+FB$26+FB$27+FB$28+FB$29+FB$30+FB$31+FB$32+FB$33</f>
        <v/>
      </c>
      <c r="FC34" s="43">
        <f>FC$25+FC$26+FC$27+FC$28+FC$29+FC$30+FC$31+FC$32+FC$33</f>
        <v/>
      </c>
      <c r="FD34" s="43">
        <f>FD$25+FD$26+FD$27+FD$28+FD$29+FD$30+FD$31+FD$32+FD$33</f>
        <v/>
      </c>
      <c r="FE34" s="43">
        <f>FE$25+FE$26+FE$27+FE$28+FE$29+FE$30+FE$31+FE$32+FE$33</f>
        <v/>
      </c>
      <c r="FF34" s="43">
        <f>FF$25+FF$26+FF$27+FF$28+FF$29+FF$30+FF$31+FF$32+FF$33</f>
        <v/>
      </c>
      <c r="FG34" s="43">
        <f>FG$25+FG$26+FG$27+FG$28+FG$29+FG$30+FG$31+FG$32+FG$33</f>
        <v/>
      </c>
      <c r="FH34" s="43">
        <f>FH$25+FH$26+FH$27+FH$28+FH$29+FH$30+FH$31+FH$32+FH$33</f>
        <v/>
      </c>
      <c r="FI34" s="43">
        <f>FI$25+FI$26+FI$27+FI$28+FI$29+FI$30+FI$31+FI$32+FI$33</f>
        <v/>
      </c>
      <c r="FJ34" s="43">
        <f>FJ$25+FJ$26+FJ$27+FJ$28+FJ$29+FJ$30+FJ$31+FJ$32+FJ$33</f>
        <v/>
      </c>
      <c r="FK34" s="43">
        <f>FK$25+FK$26+FK$27+FK$28+FK$29+FK$30+FK$31+FK$32+FK$33</f>
        <v/>
      </c>
      <c r="FL34" s="43">
        <f>FL$25+FL$26+FL$27+FL$28+FL$29+FL$30+FL$31+FL$32+FL$33</f>
        <v/>
      </c>
      <c r="FM34" s="43">
        <f>FM$25+FM$26+FM$27+FM$28+FM$29+FM$30+FM$31+FM$32+FM$33</f>
        <v/>
      </c>
      <c r="FN34" s="43">
        <f>FN$25+FN$26+FN$27+FN$28+FN$29+FN$30+FN$31+FN$32+FN$33</f>
        <v/>
      </c>
      <c r="FO34" s="43">
        <f>FO$25+FO$26+FO$27+FO$28+FO$29+FO$30+FO$31+FO$32+FO$33</f>
        <v/>
      </c>
      <c r="FP34" s="43">
        <f>FP$25+FP$26+FP$27+FP$28+FP$29+FP$30+FP$31+FP$32+FP$33</f>
        <v/>
      </c>
      <c r="FQ34" s="43">
        <f>FQ$25+FQ$26+FQ$27+FQ$28+FQ$29+FQ$30+FQ$31+FQ$32+FQ$33</f>
        <v/>
      </c>
      <c r="FR34" s="43">
        <f>FR$25+FR$26+FR$27+FR$28+FR$29+FR$30+FR$31+FR$32+FR$33</f>
        <v/>
      </c>
      <c r="FS34" s="43">
        <f>FS$25+FS$26+FS$27+FS$28+FS$29+FS$30+FS$31+FS$32+FS$33</f>
        <v/>
      </c>
      <c r="FT34" s="43">
        <f>FT$25+FT$26+FT$27+FT$28+FT$29+FT$30+FT$31+FT$32+FT$33</f>
        <v/>
      </c>
      <c r="FU34" s="43">
        <f>FU$25+FU$26+FU$27+FU$28+FU$29+FU$30+FU$31+FU$32+FU$33</f>
        <v/>
      </c>
      <c r="FV34" s="43">
        <f>FV$25+FV$26+FV$27+FV$28+FV$29+FV$30+FV$31+FV$32+FV$33</f>
        <v/>
      </c>
      <c r="FW34" s="43">
        <f>FW$25+FW$26+FW$27+FW$28+FW$29+FW$30+FW$31+FW$32+FW$33</f>
        <v/>
      </c>
      <c r="FX34" s="43">
        <f>FX$25+FX$26+FX$27+FX$28+FX$29+FX$30+FX$31+FX$32+FX$33</f>
        <v/>
      </c>
      <c r="FY34" s="43">
        <f>FY$25+FY$26+FY$27+FY$28+FY$29+FY$30+FY$31+FY$32+FY$33</f>
        <v/>
      </c>
      <c r="FZ34" s="43">
        <f>FZ$25+FZ$26+FZ$27+FZ$28+FZ$29+FZ$30+FZ$31+FZ$32+FZ$33</f>
        <v/>
      </c>
      <c r="GA34" s="43">
        <f>GA$25+GA$26+GA$27+GA$28+GA$29+GA$30+GA$31+GA$32+GA$33</f>
        <v/>
      </c>
      <c r="GB34" s="43">
        <f>GB$25+GB$26+GB$27+GB$28+GB$29+GB$30+GB$31+GB$32+GB$33</f>
        <v/>
      </c>
      <c r="GC34" s="43">
        <f>GC$25+GC$26+GC$27+GC$28+GC$29+GC$30+GC$31+GC$32+GC$33</f>
        <v/>
      </c>
      <c r="GD34" s="43">
        <f>GD$25+GD$26+GD$27+GD$28+GD$29+GD$30+GD$31+GD$32+GD$33</f>
        <v/>
      </c>
      <c r="GE34" s="43">
        <f>GE$25+GE$26+GE$27+GE$28+GE$29+GE$30+GE$31+GE$32+GE$33</f>
        <v/>
      </c>
      <c r="GF34" s="43">
        <f>GF$25+GF$26+GF$27+GF$28+GF$29+GF$30+GF$31+GF$32+GF$33</f>
        <v/>
      </c>
      <c r="GG34" s="43">
        <f>GG$25+GG$26+GG$27+GG$28+GG$29+GG$30+GG$31+GG$32+GG$33</f>
        <v/>
      </c>
      <c r="GH34" s="43">
        <f>GH$25+GH$26+GH$27+GH$28+GH$29+GH$30+GH$31+GH$32+GH$33</f>
        <v/>
      </c>
      <c r="GI34" s="43">
        <f>GI$25+GI$26+GI$27+GI$28+GI$29+GI$30+GI$31+GI$32+GI$33</f>
        <v/>
      </c>
      <c r="GJ34" s="43">
        <f>GJ$25+GJ$26+GJ$27+GJ$28+GJ$29+GJ$30+GJ$31+GJ$32+GJ$33</f>
        <v/>
      </c>
      <c r="GK34" s="43">
        <f>GK$25+GK$26+GK$27+GK$28+GK$29+GK$30+GK$31+GK$32+GK$33</f>
        <v/>
      </c>
      <c r="GL34" s="43">
        <f>GL$25+GL$26+GL$27+GL$28+GL$29+GL$30+GL$31+GL$32+GL$33</f>
        <v/>
      </c>
      <c r="GM34" s="43">
        <f>GM$25+GM$26+GM$27+GM$28+GM$29+GM$30+GM$31+GM$32+GM$33</f>
        <v/>
      </c>
      <c r="GN34" s="43">
        <f>GN$25+GN$26+GN$27+GN$28+GN$29+GN$30+GN$31+GN$32+GN$33</f>
        <v/>
      </c>
      <c r="GO34" s="43">
        <f>GO$25+GO$26+GO$27+GO$28+GO$29+GO$30+GO$31+GO$32+GO$33</f>
        <v/>
      </c>
      <c r="GP34" s="43">
        <f>GP$25+GP$26+GP$27+GP$28+GP$29+GP$30+GP$31+GP$32+GP$33</f>
        <v/>
      </c>
      <c r="GQ34" s="43">
        <f>GQ$25+GQ$26+GQ$27+GQ$28+GQ$29+GQ$30+GQ$31+GQ$32+GQ$33</f>
        <v/>
      </c>
      <c r="GR34" s="43">
        <f>GR$25+GR$26+GR$27+GR$28+GR$29+GR$30+GR$31+GR$32+GR$33</f>
        <v/>
      </c>
      <c r="GS34" s="43">
        <f>GS$25+GS$26+GS$27+GS$28+GS$29+GS$30+GS$31+GS$32+GS$33</f>
        <v/>
      </c>
      <c r="GT34" s="43">
        <f>GT$25+GT$26+GT$27+GT$28+GT$29+GT$30+GT$31+GT$32+GT$33</f>
        <v/>
      </c>
      <c r="GU34" s="43">
        <f>GU$25+GU$26+GU$27+GU$28+GU$29+GU$30+GU$31+GU$32+GU$33</f>
        <v/>
      </c>
      <c r="GV34" s="43">
        <f>GV$25+GV$26+GV$27+GV$28+GV$29+GV$30+GV$31+GV$32+GV$33</f>
        <v/>
      </c>
      <c r="GW34" s="43">
        <f>GW$25+GW$26+GW$27+GW$28+GW$29+GW$30+GW$31+GW$32+GW$33</f>
        <v/>
      </c>
      <c r="GX34" s="43">
        <f>GX$25+GX$26+GX$27+GX$28+GX$29+GX$30+GX$31+GX$32+GX$33</f>
        <v/>
      </c>
      <c r="GY34" s="43">
        <f>GY$25+GY$26+GY$27+GY$28+GY$29+GY$30+GY$31+GY$32+GY$33</f>
        <v/>
      </c>
      <c r="GZ34" s="43">
        <f>GZ$25+GZ$26+GZ$27+GZ$28+GZ$29+GZ$30+GZ$31+GZ$32+GZ$33</f>
        <v/>
      </c>
      <c r="HA34" s="43">
        <f>HA$25+HA$26+HA$27+HA$28+HA$29+HA$30+HA$31+HA$32+HA$33</f>
        <v/>
      </c>
      <c r="HB34" s="43">
        <f>HB$25+HB$26+HB$27+HB$28+HB$29+HB$30+HB$31+HB$32+HB$33</f>
        <v/>
      </c>
      <c r="HC34" s="43">
        <f>HC$25+HC$26+HC$27+HC$28+HC$29+HC$30+HC$31+HC$32+HC$33</f>
        <v/>
      </c>
      <c r="HD34" s="43">
        <f>HD$25+HD$26+HD$27+HD$28+HD$29+HD$30+HD$31+HD$32+HD$33</f>
        <v/>
      </c>
      <c r="HE34" s="43">
        <f>HE$25+HE$26+HE$27+HE$28+HE$29+HE$30+HE$31+HE$32+HE$33</f>
        <v/>
      </c>
      <c r="HF34" s="43">
        <f>HF$25+HF$26+HF$27+HF$28+HF$29+HF$30+HF$31+HF$32+HF$33</f>
        <v/>
      </c>
      <c r="HG34" s="43">
        <f>HG$25+HG$26+HG$27+HG$28+HG$29+HG$30+HG$31+HG$32+HG$33</f>
        <v/>
      </c>
      <c r="HH34" s="43">
        <f>HH$25+HH$26+HH$27+HH$28+HH$29+HH$30+HH$31+HH$32+HH$33</f>
        <v/>
      </c>
      <c r="HI34" s="43">
        <f>HI$25+HI$26+HI$27+HI$28+HI$29+HI$30+HI$31+HI$32+HI$33</f>
        <v/>
      </c>
      <c r="HJ34" s="43">
        <f>HJ$25+HJ$26+HJ$27+HJ$28+HJ$29+HJ$30+HJ$31+HJ$32+HJ$33</f>
        <v/>
      </c>
      <c r="HK34" s="43">
        <f>HK$25+HK$26+HK$27+HK$28+HK$29+HK$30+HK$31+HK$32+HK$33</f>
        <v/>
      </c>
      <c r="HL34" s="43">
        <f>HL$25+HL$26+HL$27+HL$28+HL$29+HL$30+HL$31+HL$32+HL$33</f>
        <v/>
      </c>
      <c r="HM34" s="43">
        <f>HM$25+HM$26+HM$27+HM$28+HM$29+HM$30+HM$31+HM$32+HM$33</f>
        <v/>
      </c>
      <c r="HN34" s="43">
        <f>HN$25+HN$26+HN$27+HN$28+HN$29+HN$30+HN$31+HN$32+HN$33</f>
        <v/>
      </c>
      <c r="HO34" s="43">
        <f>HO$25+HO$26+HO$27+HO$28+HO$29+HO$30+HO$31+HO$32+HO$33</f>
        <v/>
      </c>
      <c r="HP34" s="43">
        <f>HP$25+HP$26+HP$27+HP$28+HP$29+HP$30+HP$31+HP$32+HP$33</f>
        <v/>
      </c>
      <c r="HQ34" s="43">
        <f>HQ$25+HQ$26+HQ$27+HQ$28+HQ$29+HQ$30+HQ$31+HQ$32+HQ$33</f>
        <v/>
      </c>
      <c r="HR34" s="43">
        <f>HR$25+HR$26+HR$27+HR$28+HR$29+HR$30+HR$31+HR$32+HR$33</f>
        <v/>
      </c>
      <c r="HS34" s="43">
        <f>HS$25+HS$26+HS$27+HS$28+HS$29+HS$30+HS$31+HS$32+HS$33</f>
        <v/>
      </c>
      <c r="HT34" s="43">
        <f>HT$25+HT$26+HT$27+HT$28+HT$29+HT$30+HT$31+HT$32+HT$33</f>
        <v/>
      </c>
      <c r="HU34" s="43">
        <f>HU$25+HU$26+HU$27+HU$28+HU$29+HU$30+HU$31+HU$32+HU$33</f>
        <v/>
      </c>
      <c r="HV34" s="43">
        <f>HV$25+HV$26+HV$27+HV$28+HV$29+HV$30+HV$31+HV$32+HV$33</f>
        <v/>
      </c>
      <c r="HW34" s="43">
        <f>HW$25+HW$26+HW$27+HW$28+HW$29+HW$30+HW$31+HW$32+HW$33</f>
        <v/>
      </c>
      <c r="HX34" s="43">
        <f>HX$25+HX$26+HX$27+HX$28+HX$29+HX$30+HX$31+HX$32+HX$33</f>
        <v/>
      </c>
      <c r="HY34" s="43">
        <f>HY$25+HY$26+HY$27+HY$28+HY$29+HY$30+HY$31+HY$32+HY$33</f>
        <v/>
      </c>
      <c r="HZ34" s="43">
        <f>HZ$25+HZ$26+HZ$27+HZ$28+HZ$29+HZ$30+HZ$31+HZ$32+HZ$33</f>
        <v/>
      </c>
      <c r="IA34" s="43">
        <f>IA$25+IA$26+IA$27+IA$28+IA$29+IA$30+IA$31+IA$32+IA$33</f>
        <v/>
      </c>
      <c r="IB34" s="43">
        <f>IB$25+IB$26+IB$27+IB$28+IB$29+IB$30+IB$31+IB$32+IB$33</f>
        <v/>
      </c>
      <c r="IC34" s="43">
        <f>IC$25+IC$26+IC$27+IC$28+IC$29+IC$30+IC$31+IC$32+IC$33</f>
        <v/>
      </c>
      <c r="ID34" s="43">
        <f>ID$25+ID$26+ID$27+ID$28+ID$29+ID$30+ID$31+ID$32+ID$33</f>
        <v/>
      </c>
      <c r="IE34" s="43">
        <f>IE$25+IE$26+IE$27+IE$28+IE$29+IE$30+IE$31+IE$32+IE$33</f>
        <v/>
      </c>
      <c r="IF34" s="43">
        <f>IF$25+IF$26+IF$27+IF$28+IF$29+IF$30+IF$31+IF$32+IF$33</f>
        <v/>
      </c>
      <c r="IG34" s="43">
        <f>IG$25+IG$26+IG$27+IG$28+IG$29+IG$30+IG$31+IG$32+IG$33</f>
        <v/>
      </c>
      <c r="IH34" s="43">
        <f>IH$25+IH$26+IH$27+IH$28+IH$29+IH$30+IH$31+IH$32+IH$33</f>
        <v/>
      </c>
      <c r="II34" s="43">
        <f>II$25+II$26+II$27+II$28+II$29+II$30+II$31+II$32+II$33</f>
        <v/>
      </c>
      <c r="IJ34" s="43">
        <f>IJ$25+IJ$26+IJ$27+IJ$28+IJ$29+IJ$30+IJ$31+IJ$32+IJ$33</f>
        <v/>
      </c>
      <c r="IK34" s="43">
        <f>IK$25+IK$26+IK$27+IK$28+IK$29+IK$30+IK$31+IK$32+IK$33</f>
        <v/>
      </c>
      <c r="IL34" s="43">
        <f>IL$25+IL$26+IL$27+IL$28+IL$29+IL$30+IL$31+IL$32+IL$33</f>
        <v/>
      </c>
      <c r="IM34" s="43">
        <f>IM$25+IM$26+IM$27+IM$28+IM$29+IM$30+IM$31+IM$32+IM$33</f>
        <v/>
      </c>
      <c r="IN34" s="43">
        <f>IN$25+IN$26+IN$27+IN$28+IN$29+IN$30+IN$31+IN$32+IN$33</f>
        <v/>
      </c>
      <c r="IO34" s="43">
        <f>IO$25+IO$26+IO$27+IO$28+IO$29+IO$30+IO$31+IO$32+IO$33</f>
        <v/>
      </c>
      <c r="IP34" s="43">
        <f>IP$25+IP$26+IP$27+IP$28+IP$29+IP$30+IP$31+IP$32+IP$33</f>
        <v/>
      </c>
      <c r="IQ34" s="43">
        <f>IQ$25+IQ$26+IQ$27+IQ$28+IQ$29+IQ$30+IQ$31+IQ$32+IQ$33</f>
        <v/>
      </c>
      <c r="IR34" s="43">
        <f>IR$25+IR$26+IR$27+IR$28+IR$29+IR$30+IR$31+IR$32+IR$33</f>
        <v/>
      </c>
      <c r="IS34" s="43">
        <f>IS$25+IS$26+IS$27+IS$28+IS$29+IS$30+IS$31+IS$32+IS$33</f>
        <v/>
      </c>
      <c r="IT34" s="43">
        <f>IT$25+IT$26+IT$27+IT$28+IT$29+IT$30+IT$31+IT$32+IT$33</f>
        <v/>
      </c>
      <c r="IU34" s="43">
        <f>IU$25+IU$26+IU$27+IU$28+IU$29+IU$30+IU$31+IU$32+IU$33</f>
        <v/>
      </c>
      <c r="IV34" s="43">
        <f>IV$25+IV$26+IV$27+IV$28+IV$29+IV$30+IV$31+IV$32+IV$33</f>
        <v/>
      </c>
      <c r="IW34" s="43">
        <f>IW$25+IW$26+IW$27+IW$28+IW$29+IW$30+IW$31+IW$32+IW$33</f>
        <v/>
      </c>
      <c r="IX34" s="43">
        <f>IX$25+IX$26+IX$27+IX$28+IX$29+IX$30+IX$31+IX$32+IX$33</f>
        <v/>
      </c>
      <c r="IY34" s="43">
        <f>IY$25+IY$26+IY$27+IY$28+IY$29+IY$30+IY$31+IY$32+IY$33</f>
        <v/>
      </c>
      <c r="IZ34" s="43">
        <f>IZ$25+IZ$26+IZ$27+IZ$28+IZ$29+IZ$30+IZ$31+IZ$32+IZ$33</f>
        <v/>
      </c>
      <c r="JA34" s="43">
        <f>JA$25+JA$26+JA$27+JA$28+JA$29+JA$30+JA$31+JA$32+JA$33</f>
        <v/>
      </c>
      <c r="JB34" s="43">
        <f>JB$25+JB$26+JB$27+JB$28+JB$29+JB$30+JB$31+JB$32+JB$33</f>
        <v/>
      </c>
      <c r="JC34" s="43">
        <f>JC$25+JC$26+JC$27+JC$28+JC$29+JC$30+JC$31+JC$32+JC$33</f>
        <v/>
      </c>
      <c r="JD34" s="43">
        <f>JD$25+JD$26+JD$27+JD$28+JD$29+JD$30+JD$31+JD$32+JD$33</f>
        <v/>
      </c>
      <c r="JE34" s="43">
        <f>JE$25+JE$26+JE$27+JE$28+JE$29+JE$30+JE$31+JE$32+JE$33</f>
        <v/>
      </c>
      <c r="JF34" s="43">
        <f>JF$25+JF$26+JF$27+JF$28+JF$29+JF$30+JF$31+JF$32+JF$33</f>
        <v/>
      </c>
      <c r="JG34" s="43">
        <f>JG$25+JG$26+JG$27+JG$28+JG$29+JG$30+JG$31+JG$32+JG$33</f>
        <v/>
      </c>
      <c r="JH34" s="43">
        <f>JH$25+JH$26+JH$27+JH$28+JH$29+JH$30+JH$31+JH$32+JH$33</f>
        <v/>
      </c>
      <c r="JI34" s="43">
        <f>JI$25+JI$26+JI$27+JI$28+JI$29+JI$30+JI$31+JI$32+JI$33</f>
        <v/>
      </c>
      <c r="JJ34" s="43">
        <f>JJ$25+JJ$26+JJ$27+JJ$28+JJ$29+JJ$30+JJ$31+JJ$32+JJ$33</f>
        <v/>
      </c>
      <c r="JK34" s="43">
        <f>JK$25+JK$26+JK$27+JK$28+JK$29+JK$30+JK$31+JK$32+JK$33</f>
        <v/>
      </c>
      <c r="JL34" s="43">
        <f>JL$25+JL$26+JL$27+JL$28+JL$29+JL$30+JL$31+JL$32+JL$33</f>
        <v/>
      </c>
      <c r="JM34" s="43">
        <f>JM$25+JM$26+JM$27+JM$28+JM$29+JM$30+JM$31+JM$32+JM$33</f>
        <v/>
      </c>
      <c r="JN34" s="43">
        <f>JN$25+JN$26+JN$27+JN$28+JN$29+JN$30+JN$31+JN$32+JN$33</f>
        <v/>
      </c>
      <c r="JO34" s="43">
        <f>JO$25+JO$26+JO$27+JO$28+JO$29+JO$30+JO$31+JO$32+JO$33</f>
        <v/>
      </c>
      <c r="JP34" s="43">
        <f>JP$25+JP$26+JP$27+JP$28+JP$29+JP$30+JP$31+JP$32+JP$33</f>
        <v/>
      </c>
      <c r="JQ34" s="43">
        <f>JQ$25+JQ$26+JQ$27+JQ$28+JQ$29+JQ$30+JQ$31+JQ$32+JQ$33</f>
        <v/>
      </c>
      <c r="JR34" s="43">
        <f>JR$25+JR$26+JR$27+JR$28+JR$29+JR$30+JR$31+JR$32+JR$33</f>
        <v/>
      </c>
      <c r="JS34" s="43">
        <f>JS$25+JS$26+JS$27+JS$28+JS$29+JS$30+JS$31+JS$32+JS$33</f>
        <v/>
      </c>
      <c r="JT34" s="43">
        <f>JT$25+JT$26+JT$27+JT$28+JT$29+JT$30+JT$31+JT$32+JT$33</f>
        <v/>
      </c>
      <c r="JU34" s="43">
        <f>JU$25+JU$26+JU$27+JU$28+JU$29+JU$30+JU$31+JU$32+JU$33</f>
        <v/>
      </c>
      <c r="JV34" s="43">
        <f>JV$25+JV$26+JV$27+JV$28+JV$29+JV$30+JV$31+JV$32+JV$33</f>
        <v/>
      </c>
      <c r="JW34" s="43">
        <f>JW$25+JW$26+JW$27+JW$28+JW$29+JW$30+JW$31+JW$32+JW$33</f>
        <v/>
      </c>
      <c r="JX34" s="43">
        <f>JX$25+JX$26+JX$27+JX$28+JX$29+JX$30+JX$31+JX$32+JX$33</f>
        <v/>
      </c>
      <c r="JY34" s="43">
        <f>JY$25+JY$26+JY$27+JY$28+JY$29+JY$30+JY$31+JY$32+JY$33</f>
        <v/>
      </c>
      <c r="JZ34" s="43">
        <f>JZ$25+JZ$26+JZ$27+JZ$28+JZ$29+JZ$30+JZ$31+JZ$32+JZ$33</f>
        <v/>
      </c>
      <c r="KA34" s="43">
        <f>KA$25+KA$26+KA$27+KA$28+KA$29+KA$30+KA$31+KA$32+KA$33</f>
        <v/>
      </c>
      <c r="KB34" s="43">
        <f>KB$25+KB$26+KB$27+KB$28+KB$29+KB$30+KB$31+KB$32+KB$33</f>
        <v/>
      </c>
      <c r="KC34" s="43">
        <f>KC$25+KC$26+KC$27+KC$28+KC$29+KC$30+KC$31+KC$32+KC$33</f>
        <v/>
      </c>
      <c r="KD34" s="43">
        <f>KD$25+KD$26+KD$27+KD$28+KD$29+KD$30+KD$31+KD$32+KD$33</f>
        <v/>
      </c>
      <c r="KE34" s="43">
        <f>KE$25+KE$26+KE$27+KE$28+KE$29+KE$30+KE$31+KE$32+KE$33</f>
        <v/>
      </c>
      <c r="KF34" s="43">
        <f>KF$25+KF$26+KF$27+KF$28+KF$29+KF$30+KF$31+KF$32+KF$33</f>
        <v/>
      </c>
      <c r="KG34" s="43">
        <f>KG$25+KG$26+KG$27+KG$28+KG$29+KG$30+KG$31+KG$32+KG$33</f>
        <v/>
      </c>
      <c r="KH34" s="43">
        <f>KH$25+KH$26+KH$27+KH$28+KH$29+KH$30+KH$31+KH$32+KH$33</f>
        <v/>
      </c>
      <c r="KI34" s="43">
        <f>KI$25+KI$26+KI$27+KI$28+KI$29+KI$30+KI$31+KI$32+KI$33</f>
        <v/>
      </c>
      <c r="KJ34" s="43">
        <f>KJ$25+KJ$26+KJ$27+KJ$28+KJ$29+KJ$30+KJ$31+KJ$32+KJ$33</f>
        <v/>
      </c>
      <c r="KK34" s="43">
        <f>KK$25+KK$26+KK$27+KK$28+KK$29+KK$30+KK$31+KK$32+KK$33</f>
        <v/>
      </c>
      <c r="KL34" s="43">
        <f>KL$25+KL$26+KL$27+KL$28+KL$29+KL$30+KL$31+KL$32+KL$33</f>
        <v/>
      </c>
      <c r="KM34" s="43">
        <f>KM$25+KM$26+KM$27+KM$28+KM$29+KM$30+KM$31+KM$32+KM$33</f>
        <v/>
      </c>
      <c r="KN34" s="43">
        <f>KN$25+KN$26+KN$27+KN$28+KN$29+KN$30+KN$31+KN$32+KN$33</f>
        <v/>
      </c>
      <c r="KO34" s="43">
        <f>KO$25+KO$26+KO$27+KO$28+KO$29+KO$30+KO$31+KO$32+KO$33</f>
        <v/>
      </c>
      <c r="KP34" s="43">
        <f>KP$25+KP$26+KP$27+KP$28+KP$29+KP$30+KP$31+KP$32+KP$33</f>
        <v/>
      </c>
      <c r="KQ34" s="43">
        <f>KQ$25+KQ$26+KQ$27+KQ$28+KQ$29+KQ$30+KQ$31+KQ$32+KQ$33</f>
        <v/>
      </c>
      <c r="KR34" s="43">
        <f>KR$25+KR$26+KR$27+KR$28+KR$29+KR$30+KR$31+KR$32+KR$33</f>
        <v/>
      </c>
      <c r="KS34" s="43">
        <f>KS$25+KS$26+KS$27+KS$28+KS$29+KS$30+KS$31+KS$32+KS$33</f>
        <v/>
      </c>
      <c r="KT34" s="43">
        <f>KT$25+KT$26+KT$27+KT$28+KT$29+KT$30+KT$31+KT$32+KT$33</f>
        <v/>
      </c>
      <c r="KU34" s="43">
        <f>KU$25+KU$26+KU$27+KU$28+KU$29+KU$30+KU$31+KU$32+KU$33</f>
        <v/>
      </c>
      <c r="KV34" s="43">
        <f>KV$25+KV$26+KV$27+KV$28+KV$29+KV$30+KV$31+KV$32+KV$33</f>
        <v/>
      </c>
      <c r="KW34" s="43">
        <f>KW$25+KW$26+KW$27+KW$28+KW$29+KW$30+KW$31+KW$32+KW$33</f>
        <v/>
      </c>
      <c r="KX34" s="43">
        <f>KX$25+KX$26+KX$27+KX$28+KX$29+KX$30+KX$31+KX$32+KX$33</f>
        <v/>
      </c>
      <c r="KY34" s="43">
        <f>KY$25+KY$26+KY$27+KY$28+KY$29+KY$30+KY$31+KY$32+KY$33</f>
        <v/>
      </c>
      <c r="KZ34" s="43">
        <f>KZ$25+KZ$26+KZ$27+KZ$28+KZ$29+KZ$30+KZ$31+KZ$32+KZ$33</f>
        <v/>
      </c>
      <c r="LA34" s="43">
        <f>LA$25+LA$26+LA$27+LA$28+LA$29+LA$30+LA$31+LA$32+LA$33</f>
        <v/>
      </c>
      <c r="LB34" s="43">
        <f>LB$25+LB$26+LB$27+LB$28+LB$29+LB$30+LB$31+LB$32+LB$33</f>
        <v/>
      </c>
      <c r="LC34" s="43">
        <f>LC$25+LC$26+LC$27+LC$28+LC$29+LC$30+LC$31+LC$32+LC$33</f>
        <v/>
      </c>
      <c r="LD34" s="43">
        <f>LD$25+LD$26+LD$27+LD$28+LD$29+LD$30+LD$31+LD$32+LD$33</f>
        <v/>
      </c>
      <c r="LE34" s="43">
        <f>LE$25+LE$26+LE$27+LE$28+LE$29+LE$30+LE$31+LE$32+LE$33</f>
        <v/>
      </c>
      <c r="LF34" s="43">
        <f>LF$25+LF$26+LF$27+LF$28+LF$29+LF$30+LF$31+LF$32+LF$33</f>
        <v/>
      </c>
      <c r="LG34" s="43">
        <f>LG$25+LG$26+LG$27+LG$28+LG$29+LG$30+LG$31+LG$32+LG$33</f>
        <v/>
      </c>
      <c r="LH34" s="43">
        <f>LH$25+LH$26+LH$27+LH$28+LH$29+LH$30+LH$31+LH$32+LH$33</f>
        <v/>
      </c>
      <c r="LI34" s="43">
        <f>LI$25+LI$26+LI$27+LI$28+LI$29+LI$30+LI$31+LI$32+LI$33</f>
        <v/>
      </c>
      <c r="LJ34" s="43">
        <f>LJ$25+LJ$26+LJ$27+LJ$28+LJ$29+LJ$30+LJ$31+LJ$32+LJ$33</f>
        <v/>
      </c>
      <c r="LK34" s="43">
        <f>LK$25+LK$26+LK$27+LK$28+LK$29+LK$30+LK$31+LK$32+LK$33</f>
        <v/>
      </c>
      <c r="LL34" s="43">
        <f>LL$25+LL$26+LL$27+LL$28+LL$29+LL$30+LL$31+LL$32+LL$33</f>
        <v/>
      </c>
      <c r="LM34" s="43">
        <f>LM$25+LM$26+LM$27+LM$28+LM$29+LM$30+LM$31+LM$32+LM$33</f>
        <v/>
      </c>
      <c r="LN34" s="43">
        <f>LN$25+LN$26+LN$27+LN$28+LN$29+LN$30+LN$31+LN$32+LN$33</f>
        <v/>
      </c>
      <c r="LO34" s="43">
        <f>LO$25+LO$26+LO$27+LO$28+LO$29+LO$30+LO$31+LO$32+LO$33</f>
        <v/>
      </c>
      <c r="LP34" s="43">
        <f>LP$25+LP$26+LP$27+LP$28+LP$29+LP$30+LP$31+LP$32+LP$33</f>
        <v/>
      </c>
      <c r="LQ34" s="43">
        <f>LQ$25+LQ$26+LQ$27+LQ$28+LQ$29+LQ$30+LQ$31+LQ$32+LQ$33</f>
        <v/>
      </c>
      <c r="LR34" s="43">
        <f>LR$25+LR$26+LR$27+LR$28+LR$29+LR$30+LR$31+LR$32+LR$33</f>
        <v/>
      </c>
      <c r="LS34" s="43">
        <f>LS$25+LS$26+LS$27+LS$28+LS$29+LS$30+LS$31+LS$32+LS$33</f>
        <v/>
      </c>
      <c r="LT34" s="43">
        <f>LT$25+LT$26+LT$27+LT$28+LT$29+LT$30+LT$31+LT$32+LT$33</f>
        <v/>
      </c>
      <c r="LU34" s="43">
        <f>LU$25+LU$26+LU$27+LU$28+LU$29+LU$30+LU$31+LU$32+LU$33</f>
        <v/>
      </c>
      <c r="LV34" s="43">
        <f>LV$25+LV$26+LV$27+LV$28+LV$29+LV$30+LV$31+LV$32+LV$33</f>
        <v/>
      </c>
      <c r="LW34" s="43">
        <f>LW$25+LW$26+LW$27+LW$28+LW$29+LW$30+LW$31+LW$32+LW$33</f>
        <v/>
      </c>
      <c r="LX34" s="43">
        <f>LX$25+LX$26+LX$27+LX$28+LX$29+LX$30+LX$31+LX$32+LX$33</f>
        <v/>
      </c>
      <c r="LY34" s="43">
        <f>LY$25+LY$26+LY$27+LY$28+LY$29+LY$30+LY$31+LY$32+LY$33</f>
        <v/>
      </c>
      <c r="LZ34" s="43">
        <f>LZ$25+LZ$26+LZ$27+LZ$28+LZ$29+LZ$30+LZ$31+LZ$32+LZ$33</f>
        <v/>
      </c>
      <c r="MA34" s="43">
        <f>MA$25+MA$26+MA$27+MA$28+MA$29+MA$30+MA$31+MA$32+MA$33</f>
        <v/>
      </c>
      <c r="MB34" s="43">
        <f>MB$25+MB$26+MB$27+MB$28+MB$29+MB$30+MB$31+MB$32+MB$33</f>
        <v/>
      </c>
      <c r="MC34" s="43">
        <f>MC$25+MC$26+MC$27+MC$28+MC$29+MC$30+MC$31+MC$32+MC$33</f>
        <v/>
      </c>
      <c r="MD34" s="43">
        <f>MD$25+MD$26+MD$27+MD$28+MD$29+MD$30+MD$31+MD$32+MD$33</f>
        <v/>
      </c>
      <c r="ME34" s="43">
        <f>ME$25+ME$26+ME$27+ME$28+ME$29+ME$30+ME$31+ME$32+ME$33</f>
        <v/>
      </c>
      <c r="MF34" s="43">
        <f>MF$25+MF$26+MF$27+MF$28+MF$29+MF$30+MF$31+MF$32+MF$33</f>
        <v/>
      </c>
      <c r="MG34" s="43">
        <f>MG$25+MG$26+MG$27+MG$28+MG$29+MG$30+MG$31+MG$32+MG$33</f>
        <v/>
      </c>
      <c r="MH34" s="43">
        <f>MH$25+MH$26+MH$27+MH$28+MH$29+MH$30+MH$31+MH$32+MH$33</f>
        <v/>
      </c>
      <c r="MI34" s="43">
        <f>MI$25+MI$26+MI$27+MI$28+MI$29+MI$30+MI$31+MI$32+MI$33</f>
        <v/>
      </c>
      <c r="MJ34" s="43">
        <f>MJ$25+MJ$26+MJ$27+MJ$28+MJ$29+MJ$30+MJ$31+MJ$32+MJ$33</f>
        <v/>
      </c>
      <c r="MK34" s="43">
        <f>MK$25+MK$26+MK$27+MK$28+MK$29+MK$30+MK$31+MK$32+MK$33</f>
        <v/>
      </c>
      <c r="ML34" s="43">
        <f>ML$25+ML$26+ML$27+ML$28+ML$29+ML$30+ML$31+ML$32+ML$33</f>
        <v/>
      </c>
      <c r="MM34" s="43">
        <f>MM$25+MM$26+MM$27+MM$28+MM$29+MM$30+MM$31+MM$32+MM$33</f>
        <v/>
      </c>
      <c r="MN34" s="43">
        <f>MN$25+MN$26+MN$27+MN$28+MN$29+MN$30+MN$31+MN$32+MN$33</f>
        <v/>
      </c>
      <c r="MO34" s="43">
        <f>MO$25+MO$26+MO$27+MO$28+MO$29+MO$30+MO$31+MO$32+MO$33</f>
        <v/>
      </c>
      <c r="MP34" s="43">
        <f>MP$25+MP$26+MP$27+MP$28+MP$29+MP$30+MP$31+MP$32+MP$33</f>
        <v/>
      </c>
      <c r="MQ34" s="43">
        <f>MQ$25+MQ$26+MQ$27+MQ$28+MQ$29+MQ$30+MQ$31+MQ$32+MQ$33</f>
        <v/>
      </c>
      <c r="MR34" s="43">
        <f>MR$25+MR$26+MR$27+MR$28+MR$29+MR$30+MR$31+MR$32+MR$33</f>
        <v/>
      </c>
      <c r="MS34" s="43">
        <f>MS$25+MS$26+MS$27+MS$28+MS$29+MS$30+MS$31+MS$32+MS$33</f>
        <v/>
      </c>
      <c r="MT34" s="43">
        <f>MT$25+MT$26+MT$27+MT$28+MT$29+MT$30+MT$31+MT$32+MT$33</f>
        <v/>
      </c>
      <c r="MU34" s="43">
        <f>MU$25+MU$26+MU$27+MU$28+MU$29+MU$30+MU$31+MU$32+MU$33</f>
        <v/>
      </c>
      <c r="MV34" s="43">
        <f>MV$25+MV$26+MV$27+MV$28+MV$29+MV$30+MV$31+MV$32+MV$33</f>
        <v/>
      </c>
      <c r="MW34" s="43">
        <f>MW$25+MW$26+MW$27+MW$28+MW$29+MW$30+MW$31+MW$32+MW$33</f>
        <v/>
      </c>
      <c r="MX34" s="43">
        <f>MX$25+MX$26+MX$27+MX$28+MX$29+MX$30+MX$31+MX$32+MX$33</f>
        <v/>
      </c>
      <c r="MY34" s="43">
        <f>MY$25+MY$26+MY$27+MY$28+MY$29+MY$30+MY$31+MY$32+MY$33</f>
        <v/>
      </c>
      <c r="MZ34" s="43">
        <f>MZ$25+MZ$26+MZ$27+MZ$28+MZ$29+MZ$30+MZ$31+MZ$32+MZ$33</f>
        <v/>
      </c>
      <c r="NA34" s="43">
        <f>NA$25+NA$26+NA$27+NA$28+NA$29+NA$30+NA$31+NA$32+NA$33</f>
        <v/>
      </c>
      <c r="NB34" s="43">
        <f>NB$25+NB$26+NB$27+NB$28+NB$29+NB$30+NB$31+NB$32+NB$33</f>
        <v/>
      </c>
      <c r="NC34" s="43">
        <f>NC$25+NC$26+NC$27+NC$28+NC$29+NC$30+NC$31+NC$32+NC$33</f>
        <v/>
      </c>
      <c r="ND34" s="43">
        <f>ND$25+ND$26+ND$27+ND$28+ND$29+ND$30+ND$31+ND$32+ND$33</f>
        <v/>
      </c>
      <c r="NE34" s="43">
        <f>NE$25+NE$26+NE$27+NE$28+NE$29+NE$30+NE$31+NE$32+NE$33</f>
        <v/>
      </c>
      <c r="NF34" s="43">
        <f>NF$25+NF$26+NF$27+NF$28+NF$29+NF$30+NF$31+NF$32+NF$33</f>
        <v/>
      </c>
      <c r="NG34" s="43">
        <f>NG$25+NG$26+NG$27+NG$28+NG$29+NG$30+NG$31+NG$32+NG$33</f>
        <v/>
      </c>
      <c r="NH34" s="43">
        <f>NH$25+NH$26+NH$27+NH$28+NH$29+NH$30+NH$31+NH$32+NH$33</f>
        <v/>
      </c>
      <c r="NI34" s="43">
        <f>NI$25+NI$26+NI$27+NI$28+NI$29+NI$30+NI$31+NI$32+NI$33</f>
        <v/>
      </c>
      <c r="NJ34" s="43">
        <f>NJ$25+NJ$26+NJ$27+NJ$28+NJ$29+NJ$30+NJ$31+NJ$32+NJ$33</f>
        <v/>
      </c>
      <c r="NK34" s="43">
        <f>NK$25+NK$26+NK$27+NK$28+NK$29+NK$30+NK$31+NK$32+NK$33</f>
        <v/>
      </c>
    </row>
    <row r="35">
      <c r="A35" s="21" t="inlineStr">
        <is>
          <t>NOI before Property Tax</t>
        </is>
      </c>
      <c r="C35" s="41">
        <f>SUM(D35:NK35)</f>
        <v/>
      </c>
      <c r="D35" s="43">
        <f>D$23-D$34</f>
        <v/>
      </c>
      <c r="E35" s="43">
        <f>E$23-E$34</f>
        <v/>
      </c>
      <c r="F35" s="43">
        <f>F$23-F$34</f>
        <v/>
      </c>
      <c r="G35" s="43">
        <f>G$23-G$34</f>
        <v/>
      </c>
      <c r="H35" s="43">
        <f>H$23-H$34</f>
        <v/>
      </c>
      <c r="I35" s="43">
        <f>I$23-I$34</f>
        <v/>
      </c>
      <c r="J35" s="43">
        <f>J$23-J$34</f>
        <v/>
      </c>
      <c r="K35" s="43">
        <f>K$23-K$34</f>
        <v/>
      </c>
      <c r="L35" s="43">
        <f>L$23-L$34</f>
        <v/>
      </c>
      <c r="M35" s="43">
        <f>M$23-M$34</f>
        <v/>
      </c>
      <c r="N35" s="43">
        <f>N$23-N$34</f>
        <v/>
      </c>
      <c r="O35" s="43">
        <f>O$23-O$34</f>
        <v/>
      </c>
      <c r="P35" s="43">
        <f>P$23-P$34</f>
        <v/>
      </c>
      <c r="Q35" s="43">
        <f>Q$23-Q$34</f>
        <v/>
      </c>
      <c r="R35" s="43">
        <f>R$23-R$34</f>
        <v/>
      </c>
      <c r="S35" s="43">
        <f>S$23-S$34</f>
        <v/>
      </c>
      <c r="T35" s="43">
        <f>T$23-T$34</f>
        <v/>
      </c>
      <c r="U35" s="43">
        <f>U$23-U$34</f>
        <v/>
      </c>
      <c r="V35" s="43">
        <f>V$23-V$34</f>
        <v/>
      </c>
      <c r="W35" s="43">
        <f>W$23-W$34</f>
        <v/>
      </c>
      <c r="X35" s="43">
        <f>X$23-X$34</f>
        <v/>
      </c>
      <c r="Y35" s="43">
        <f>Y$23-Y$34</f>
        <v/>
      </c>
      <c r="Z35" s="43">
        <f>Z$23-Z$34</f>
        <v/>
      </c>
      <c r="AA35" s="43">
        <f>AA$23-AA$34</f>
        <v/>
      </c>
      <c r="AB35" s="43">
        <f>AB$23-AB$34</f>
        <v/>
      </c>
      <c r="AC35" s="43">
        <f>AC$23-AC$34</f>
        <v/>
      </c>
      <c r="AD35" s="43">
        <f>AD$23-AD$34</f>
        <v/>
      </c>
      <c r="AE35" s="43">
        <f>AE$23-AE$34</f>
        <v/>
      </c>
      <c r="AF35" s="43">
        <f>AF$23-AF$34</f>
        <v/>
      </c>
      <c r="AG35" s="43">
        <f>AG$23-AG$34</f>
        <v/>
      </c>
      <c r="AH35" s="43">
        <f>AH$23-AH$34</f>
        <v/>
      </c>
      <c r="AI35" s="43">
        <f>AI$23-AI$34</f>
        <v/>
      </c>
      <c r="AJ35" s="43">
        <f>AJ$23-AJ$34</f>
        <v/>
      </c>
      <c r="AK35" s="43">
        <f>AK$23-AK$34</f>
        <v/>
      </c>
      <c r="AL35" s="43">
        <f>AL$23-AL$34</f>
        <v/>
      </c>
      <c r="AM35" s="43">
        <f>AM$23-AM$34</f>
        <v/>
      </c>
      <c r="AN35" s="43">
        <f>AN$23-AN$34</f>
        <v/>
      </c>
      <c r="AO35" s="43">
        <f>AO$23-AO$34</f>
        <v/>
      </c>
      <c r="AP35" s="43">
        <f>AP$23-AP$34</f>
        <v/>
      </c>
      <c r="AQ35" s="43">
        <f>AQ$23-AQ$34</f>
        <v/>
      </c>
      <c r="AR35" s="43">
        <f>AR$23-AR$34</f>
        <v/>
      </c>
      <c r="AS35" s="43">
        <f>AS$23-AS$34</f>
        <v/>
      </c>
      <c r="AT35" s="43">
        <f>AT$23-AT$34</f>
        <v/>
      </c>
      <c r="AU35" s="43">
        <f>AU$23-AU$34</f>
        <v/>
      </c>
      <c r="AV35" s="43">
        <f>AV$23-AV$34</f>
        <v/>
      </c>
      <c r="AW35" s="43">
        <f>AW$23-AW$34</f>
        <v/>
      </c>
      <c r="AX35" s="43">
        <f>AX$23-AX$34</f>
        <v/>
      </c>
      <c r="AY35" s="43">
        <f>AY$23-AY$34</f>
        <v/>
      </c>
      <c r="AZ35" s="43">
        <f>AZ$23-AZ$34</f>
        <v/>
      </c>
      <c r="BA35" s="43">
        <f>BA$23-BA$34</f>
        <v/>
      </c>
      <c r="BB35" s="43">
        <f>BB$23-BB$34</f>
        <v/>
      </c>
      <c r="BC35" s="43">
        <f>BC$23-BC$34</f>
        <v/>
      </c>
      <c r="BD35" s="43">
        <f>BD$23-BD$34</f>
        <v/>
      </c>
      <c r="BE35" s="43">
        <f>BE$23-BE$34</f>
        <v/>
      </c>
      <c r="BF35" s="43">
        <f>BF$23-BF$34</f>
        <v/>
      </c>
      <c r="BG35" s="43">
        <f>BG$23-BG$34</f>
        <v/>
      </c>
      <c r="BH35" s="43">
        <f>BH$23-BH$34</f>
        <v/>
      </c>
      <c r="BI35" s="43">
        <f>BI$23-BI$34</f>
        <v/>
      </c>
      <c r="BJ35" s="43">
        <f>BJ$23-BJ$34</f>
        <v/>
      </c>
      <c r="BK35" s="43">
        <f>BK$23-BK$34</f>
        <v/>
      </c>
      <c r="BL35" s="43">
        <f>BL$23-BL$34</f>
        <v/>
      </c>
      <c r="BM35" s="43">
        <f>BM$23-BM$34</f>
        <v/>
      </c>
      <c r="BN35" s="43">
        <f>BN$23-BN$34</f>
        <v/>
      </c>
      <c r="BO35" s="43">
        <f>BO$23-BO$34</f>
        <v/>
      </c>
      <c r="BP35" s="43">
        <f>BP$23-BP$34</f>
        <v/>
      </c>
      <c r="BQ35" s="43">
        <f>BQ$23-BQ$34</f>
        <v/>
      </c>
      <c r="BR35" s="43">
        <f>BR$23-BR$34</f>
        <v/>
      </c>
      <c r="BS35" s="43">
        <f>BS$23-BS$34</f>
        <v/>
      </c>
      <c r="BT35" s="43">
        <f>BT$23-BT$34</f>
        <v/>
      </c>
      <c r="BU35" s="43">
        <f>BU$23-BU$34</f>
        <v/>
      </c>
      <c r="BV35" s="43">
        <f>BV$23-BV$34</f>
        <v/>
      </c>
      <c r="BW35" s="43">
        <f>BW$23-BW$34</f>
        <v/>
      </c>
      <c r="BX35" s="43">
        <f>BX$23-BX$34</f>
        <v/>
      </c>
      <c r="BY35" s="43">
        <f>BY$23-BY$34</f>
        <v/>
      </c>
      <c r="BZ35" s="43">
        <f>BZ$23-BZ$34</f>
        <v/>
      </c>
      <c r="CA35" s="43">
        <f>CA$23-CA$34</f>
        <v/>
      </c>
      <c r="CB35" s="43">
        <f>CB$23-CB$34</f>
        <v/>
      </c>
      <c r="CC35" s="43">
        <f>CC$23-CC$34</f>
        <v/>
      </c>
      <c r="CD35" s="43">
        <f>CD$23-CD$34</f>
        <v/>
      </c>
      <c r="CE35" s="43">
        <f>CE$23-CE$34</f>
        <v/>
      </c>
      <c r="CF35" s="43">
        <f>CF$23-CF$34</f>
        <v/>
      </c>
      <c r="CG35" s="43">
        <f>CG$23-CG$34</f>
        <v/>
      </c>
      <c r="CH35" s="43">
        <f>CH$23-CH$34</f>
        <v/>
      </c>
      <c r="CI35" s="43">
        <f>CI$23-CI$34</f>
        <v/>
      </c>
      <c r="CJ35" s="43">
        <f>CJ$23-CJ$34</f>
        <v/>
      </c>
      <c r="CK35" s="43">
        <f>CK$23-CK$34</f>
        <v/>
      </c>
      <c r="CL35" s="43">
        <f>CL$23-CL$34</f>
        <v/>
      </c>
      <c r="CM35" s="43">
        <f>CM$23-CM$34</f>
        <v/>
      </c>
      <c r="CN35" s="43">
        <f>CN$23-CN$34</f>
        <v/>
      </c>
      <c r="CO35" s="43">
        <f>CO$23-CO$34</f>
        <v/>
      </c>
      <c r="CP35" s="43">
        <f>CP$23-CP$34</f>
        <v/>
      </c>
      <c r="CQ35" s="43">
        <f>CQ$23-CQ$34</f>
        <v/>
      </c>
      <c r="CR35" s="43">
        <f>CR$23-CR$34</f>
        <v/>
      </c>
      <c r="CS35" s="43">
        <f>CS$23-CS$34</f>
        <v/>
      </c>
      <c r="CT35" s="43">
        <f>CT$23-CT$34</f>
        <v/>
      </c>
      <c r="CU35" s="43">
        <f>CU$23-CU$34</f>
        <v/>
      </c>
      <c r="CV35" s="43">
        <f>CV$23-CV$34</f>
        <v/>
      </c>
      <c r="CW35" s="43">
        <f>CW$23-CW$34</f>
        <v/>
      </c>
      <c r="CX35" s="43">
        <f>CX$23-CX$34</f>
        <v/>
      </c>
      <c r="CY35" s="43">
        <f>CY$23-CY$34</f>
        <v/>
      </c>
      <c r="CZ35" s="43">
        <f>CZ$23-CZ$34</f>
        <v/>
      </c>
      <c r="DA35" s="43">
        <f>DA$23-DA$34</f>
        <v/>
      </c>
      <c r="DB35" s="43">
        <f>DB$23-DB$34</f>
        <v/>
      </c>
      <c r="DC35" s="43">
        <f>DC$23-DC$34</f>
        <v/>
      </c>
      <c r="DD35" s="43">
        <f>DD$23-DD$34</f>
        <v/>
      </c>
      <c r="DE35" s="43">
        <f>DE$23-DE$34</f>
        <v/>
      </c>
      <c r="DF35" s="43">
        <f>DF$23-DF$34</f>
        <v/>
      </c>
      <c r="DG35" s="43">
        <f>DG$23-DG$34</f>
        <v/>
      </c>
      <c r="DH35" s="43">
        <f>DH$23-DH$34</f>
        <v/>
      </c>
      <c r="DI35" s="43">
        <f>DI$23-DI$34</f>
        <v/>
      </c>
      <c r="DJ35" s="43">
        <f>DJ$23-DJ$34</f>
        <v/>
      </c>
      <c r="DK35" s="43">
        <f>DK$23-DK$34</f>
        <v/>
      </c>
      <c r="DL35" s="43">
        <f>DL$23-DL$34</f>
        <v/>
      </c>
      <c r="DM35" s="43">
        <f>DM$23-DM$34</f>
        <v/>
      </c>
      <c r="DN35" s="43">
        <f>DN$23-DN$34</f>
        <v/>
      </c>
      <c r="DO35" s="43">
        <f>DO$23-DO$34</f>
        <v/>
      </c>
      <c r="DP35" s="43">
        <f>DP$23-DP$34</f>
        <v/>
      </c>
      <c r="DQ35" s="43">
        <f>DQ$23-DQ$34</f>
        <v/>
      </c>
      <c r="DR35" s="43">
        <f>DR$23-DR$34</f>
        <v/>
      </c>
      <c r="DS35" s="43">
        <f>DS$23-DS$34</f>
        <v/>
      </c>
      <c r="DT35" s="43">
        <f>DT$23-DT$34</f>
        <v/>
      </c>
      <c r="DU35" s="43">
        <f>DU$23-DU$34</f>
        <v/>
      </c>
      <c r="DV35" s="43">
        <f>DV$23-DV$34</f>
        <v/>
      </c>
      <c r="DW35" s="43">
        <f>DW$23-DW$34</f>
        <v/>
      </c>
      <c r="DX35" s="43">
        <f>DX$23-DX$34</f>
        <v/>
      </c>
      <c r="DY35" s="43">
        <f>DY$23-DY$34</f>
        <v/>
      </c>
      <c r="DZ35" s="43">
        <f>DZ$23-DZ$34</f>
        <v/>
      </c>
      <c r="EA35" s="43">
        <f>EA$23-EA$34</f>
        <v/>
      </c>
      <c r="EB35" s="43">
        <f>EB$23-EB$34</f>
        <v/>
      </c>
      <c r="EC35" s="43">
        <f>EC$23-EC$34</f>
        <v/>
      </c>
      <c r="ED35" s="43">
        <f>ED$23-ED$34</f>
        <v/>
      </c>
      <c r="EE35" s="43">
        <f>EE$23-EE$34</f>
        <v/>
      </c>
      <c r="EF35" s="43">
        <f>EF$23-EF$34</f>
        <v/>
      </c>
      <c r="EG35" s="43">
        <f>EG$23-EG$34</f>
        <v/>
      </c>
      <c r="EH35" s="43">
        <f>EH$23-EH$34</f>
        <v/>
      </c>
      <c r="EI35" s="43">
        <f>EI$23-EI$34</f>
        <v/>
      </c>
      <c r="EJ35" s="43">
        <f>EJ$23-EJ$34</f>
        <v/>
      </c>
      <c r="EK35" s="43">
        <f>EK$23-EK$34</f>
        <v/>
      </c>
      <c r="EL35" s="43">
        <f>EL$23-EL$34</f>
        <v/>
      </c>
      <c r="EM35" s="43">
        <f>EM$23-EM$34</f>
        <v/>
      </c>
      <c r="EN35" s="43">
        <f>EN$23-EN$34</f>
        <v/>
      </c>
      <c r="EO35" s="43">
        <f>EO$23-EO$34</f>
        <v/>
      </c>
      <c r="EP35" s="43">
        <f>EP$23-EP$34</f>
        <v/>
      </c>
      <c r="EQ35" s="43">
        <f>EQ$23-EQ$34</f>
        <v/>
      </c>
      <c r="ER35" s="43">
        <f>ER$23-ER$34</f>
        <v/>
      </c>
      <c r="ES35" s="43">
        <f>ES$23-ES$34</f>
        <v/>
      </c>
      <c r="ET35" s="43">
        <f>ET$23-ET$34</f>
        <v/>
      </c>
      <c r="EU35" s="43">
        <f>EU$23-EU$34</f>
        <v/>
      </c>
      <c r="EV35" s="43">
        <f>EV$23-EV$34</f>
        <v/>
      </c>
      <c r="EW35" s="43">
        <f>EW$23-EW$34</f>
        <v/>
      </c>
      <c r="EX35" s="43">
        <f>EX$23-EX$34</f>
        <v/>
      </c>
      <c r="EY35" s="43">
        <f>EY$23-EY$34</f>
        <v/>
      </c>
      <c r="EZ35" s="43">
        <f>EZ$23-EZ$34</f>
        <v/>
      </c>
      <c r="FA35" s="43">
        <f>FA$23-FA$34</f>
        <v/>
      </c>
      <c r="FB35" s="43">
        <f>FB$23-FB$34</f>
        <v/>
      </c>
      <c r="FC35" s="43">
        <f>FC$23-FC$34</f>
        <v/>
      </c>
      <c r="FD35" s="43">
        <f>FD$23-FD$34</f>
        <v/>
      </c>
      <c r="FE35" s="43">
        <f>FE$23-FE$34</f>
        <v/>
      </c>
      <c r="FF35" s="43">
        <f>FF$23-FF$34</f>
        <v/>
      </c>
      <c r="FG35" s="43">
        <f>FG$23-FG$34</f>
        <v/>
      </c>
      <c r="FH35" s="43">
        <f>FH$23-FH$34</f>
        <v/>
      </c>
      <c r="FI35" s="43">
        <f>FI$23-FI$34</f>
        <v/>
      </c>
      <c r="FJ35" s="43">
        <f>FJ$23-FJ$34</f>
        <v/>
      </c>
      <c r="FK35" s="43">
        <f>FK$23-FK$34</f>
        <v/>
      </c>
      <c r="FL35" s="43">
        <f>FL$23-FL$34</f>
        <v/>
      </c>
      <c r="FM35" s="43">
        <f>FM$23-FM$34</f>
        <v/>
      </c>
      <c r="FN35" s="43">
        <f>FN$23-FN$34</f>
        <v/>
      </c>
      <c r="FO35" s="43">
        <f>FO$23-FO$34</f>
        <v/>
      </c>
      <c r="FP35" s="43">
        <f>FP$23-FP$34</f>
        <v/>
      </c>
      <c r="FQ35" s="43">
        <f>FQ$23-FQ$34</f>
        <v/>
      </c>
      <c r="FR35" s="43">
        <f>FR$23-FR$34</f>
        <v/>
      </c>
      <c r="FS35" s="43">
        <f>FS$23-FS$34</f>
        <v/>
      </c>
      <c r="FT35" s="43">
        <f>FT$23-FT$34</f>
        <v/>
      </c>
      <c r="FU35" s="43">
        <f>FU$23-FU$34</f>
        <v/>
      </c>
      <c r="FV35" s="43">
        <f>FV$23-FV$34</f>
        <v/>
      </c>
      <c r="FW35" s="43">
        <f>FW$23-FW$34</f>
        <v/>
      </c>
      <c r="FX35" s="43">
        <f>FX$23-FX$34</f>
        <v/>
      </c>
      <c r="FY35" s="43">
        <f>FY$23-FY$34</f>
        <v/>
      </c>
      <c r="FZ35" s="43">
        <f>FZ$23-FZ$34</f>
        <v/>
      </c>
      <c r="GA35" s="43">
        <f>GA$23-GA$34</f>
        <v/>
      </c>
      <c r="GB35" s="43">
        <f>GB$23-GB$34</f>
        <v/>
      </c>
      <c r="GC35" s="43">
        <f>GC$23-GC$34</f>
        <v/>
      </c>
      <c r="GD35" s="43">
        <f>GD$23-GD$34</f>
        <v/>
      </c>
      <c r="GE35" s="43">
        <f>GE$23-GE$34</f>
        <v/>
      </c>
      <c r="GF35" s="43">
        <f>GF$23-GF$34</f>
        <v/>
      </c>
      <c r="GG35" s="43">
        <f>GG$23-GG$34</f>
        <v/>
      </c>
      <c r="GH35" s="43">
        <f>GH$23-GH$34</f>
        <v/>
      </c>
      <c r="GI35" s="43">
        <f>GI$23-GI$34</f>
        <v/>
      </c>
      <c r="GJ35" s="43">
        <f>GJ$23-GJ$34</f>
        <v/>
      </c>
      <c r="GK35" s="43">
        <f>GK$23-GK$34</f>
        <v/>
      </c>
      <c r="GL35" s="43">
        <f>GL$23-GL$34</f>
        <v/>
      </c>
      <c r="GM35" s="43">
        <f>GM$23-GM$34</f>
        <v/>
      </c>
      <c r="GN35" s="43">
        <f>GN$23-GN$34</f>
        <v/>
      </c>
      <c r="GO35" s="43">
        <f>GO$23-GO$34</f>
        <v/>
      </c>
      <c r="GP35" s="43">
        <f>GP$23-GP$34</f>
        <v/>
      </c>
      <c r="GQ35" s="43">
        <f>GQ$23-GQ$34</f>
        <v/>
      </c>
      <c r="GR35" s="43">
        <f>GR$23-GR$34</f>
        <v/>
      </c>
      <c r="GS35" s="43">
        <f>GS$23-GS$34</f>
        <v/>
      </c>
      <c r="GT35" s="43">
        <f>GT$23-GT$34</f>
        <v/>
      </c>
      <c r="GU35" s="43">
        <f>GU$23-GU$34</f>
        <v/>
      </c>
      <c r="GV35" s="43">
        <f>GV$23-GV$34</f>
        <v/>
      </c>
      <c r="GW35" s="43">
        <f>GW$23-GW$34</f>
        <v/>
      </c>
      <c r="GX35" s="43">
        <f>GX$23-GX$34</f>
        <v/>
      </c>
      <c r="GY35" s="43">
        <f>GY$23-GY$34</f>
        <v/>
      </c>
      <c r="GZ35" s="43">
        <f>GZ$23-GZ$34</f>
        <v/>
      </c>
      <c r="HA35" s="43">
        <f>HA$23-HA$34</f>
        <v/>
      </c>
      <c r="HB35" s="43">
        <f>HB$23-HB$34</f>
        <v/>
      </c>
      <c r="HC35" s="43">
        <f>HC$23-HC$34</f>
        <v/>
      </c>
      <c r="HD35" s="43">
        <f>HD$23-HD$34</f>
        <v/>
      </c>
      <c r="HE35" s="43">
        <f>HE$23-HE$34</f>
        <v/>
      </c>
      <c r="HF35" s="43">
        <f>HF$23-HF$34</f>
        <v/>
      </c>
      <c r="HG35" s="43">
        <f>HG$23-HG$34</f>
        <v/>
      </c>
      <c r="HH35" s="43">
        <f>HH$23-HH$34</f>
        <v/>
      </c>
      <c r="HI35" s="43">
        <f>HI$23-HI$34</f>
        <v/>
      </c>
      <c r="HJ35" s="43">
        <f>HJ$23-HJ$34</f>
        <v/>
      </c>
      <c r="HK35" s="43">
        <f>HK$23-HK$34</f>
        <v/>
      </c>
      <c r="HL35" s="43">
        <f>HL$23-HL$34</f>
        <v/>
      </c>
      <c r="HM35" s="43">
        <f>HM$23-HM$34</f>
        <v/>
      </c>
      <c r="HN35" s="43">
        <f>HN$23-HN$34</f>
        <v/>
      </c>
      <c r="HO35" s="43">
        <f>HO$23-HO$34</f>
        <v/>
      </c>
      <c r="HP35" s="43">
        <f>HP$23-HP$34</f>
        <v/>
      </c>
      <c r="HQ35" s="43">
        <f>HQ$23-HQ$34</f>
        <v/>
      </c>
      <c r="HR35" s="43">
        <f>HR$23-HR$34</f>
        <v/>
      </c>
      <c r="HS35" s="43">
        <f>HS$23-HS$34</f>
        <v/>
      </c>
      <c r="HT35" s="43">
        <f>HT$23-HT$34</f>
        <v/>
      </c>
      <c r="HU35" s="43">
        <f>HU$23-HU$34</f>
        <v/>
      </c>
      <c r="HV35" s="43">
        <f>HV$23-HV$34</f>
        <v/>
      </c>
      <c r="HW35" s="43">
        <f>HW$23-HW$34</f>
        <v/>
      </c>
      <c r="HX35" s="43">
        <f>HX$23-HX$34</f>
        <v/>
      </c>
      <c r="HY35" s="43">
        <f>HY$23-HY$34</f>
        <v/>
      </c>
      <c r="HZ35" s="43">
        <f>HZ$23-HZ$34</f>
        <v/>
      </c>
      <c r="IA35" s="43">
        <f>IA$23-IA$34</f>
        <v/>
      </c>
      <c r="IB35" s="43">
        <f>IB$23-IB$34</f>
        <v/>
      </c>
      <c r="IC35" s="43">
        <f>IC$23-IC$34</f>
        <v/>
      </c>
      <c r="ID35" s="43">
        <f>ID$23-ID$34</f>
        <v/>
      </c>
      <c r="IE35" s="43">
        <f>IE$23-IE$34</f>
        <v/>
      </c>
      <c r="IF35" s="43">
        <f>IF$23-IF$34</f>
        <v/>
      </c>
      <c r="IG35" s="43">
        <f>IG$23-IG$34</f>
        <v/>
      </c>
      <c r="IH35" s="43">
        <f>IH$23-IH$34</f>
        <v/>
      </c>
      <c r="II35" s="43">
        <f>II$23-II$34</f>
        <v/>
      </c>
      <c r="IJ35" s="43">
        <f>IJ$23-IJ$34</f>
        <v/>
      </c>
      <c r="IK35" s="43">
        <f>IK$23-IK$34</f>
        <v/>
      </c>
      <c r="IL35" s="43">
        <f>IL$23-IL$34</f>
        <v/>
      </c>
      <c r="IM35" s="43">
        <f>IM$23-IM$34</f>
        <v/>
      </c>
      <c r="IN35" s="43">
        <f>IN$23-IN$34</f>
        <v/>
      </c>
      <c r="IO35" s="43">
        <f>IO$23-IO$34</f>
        <v/>
      </c>
      <c r="IP35" s="43">
        <f>IP$23-IP$34</f>
        <v/>
      </c>
      <c r="IQ35" s="43">
        <f>IQ$23-IQ$34</f>
        <v/>
      </c>
      <c r="IR35" s="43">
        <f>IR$23-IR$34</f>
        <v/>
      </c>
      <c r="IS35" s="43">
        <f>IS$23-IS$34</f>
        <v/>
      </c>
      <c r="IT35" s="43">
        <f>IT$23-IT$34</f>
        <v/>
      </c>
      <c r="IU35" s="43">
        <f>IU$23-IU$34</f>
        <v/>
      </c>
      <c r="IV35" s="43">
        <f>IV$23-IV$34</f>
        <v/>
      </c>
      <c r="IW35" s="43">
        <f>IW$23-IW$34</f>
        <v/>
      </c>
      <c r="IX35" s="43">
        <f>IX$23-IX$34</f>
        <v/>
      </c>
      <c r="IY35" s="43">
        <f>IY$23-IY$34</f>
        <v/>
      </c>
      <c r="IZ35" s="43">
        <f>IZ$23-IZ$34</f>
        <v/>
      </c>
      <c r="JA35" s="43">
        <f>JA$23-JA$34</f>
        <v/>
      </c>
      <c r="JB35" s="43">
        <f>JB$23-JB$34</f>
        <v/>
      </c>
      <c r="JC35" s="43">
        <f>JC$23-JC$34</f>
        <v/>
      </c>
      <c r="JD35" s="43">
        <f>JD$23-JD$34</f>
        <v/>
      </c>
      <c r="JE35" s="43">
        <f>JE$23-JE$34</f>
        <v/>
      </c>
      <c r="JF35" s="43">
        <f>JF$23-JF$34</f>
        <v/>
      </c>
      <c r="JG35" s="43">
        <f>JG$23-JG$34</f>
        <v/>
      </c>
      <c r="JH35" s="43">
        <f>JH$23-JH$34</f>
        <v/>
      </c>
      <c r="JI35" s="43">
        <f>JI$23-JI$34</f>
        <v/>
      </c>
      <c r="JJ35" s="43">
        <f>JJ$23-JJ$34</f>
        <v/>
      </c>
      <c r="JK35" s="43">
        <f>JK$23-JK$34</f>
        <v/>
      </c>
      <c r="JL35" s="43">
        <f>JL$23-JL$34</f>
        <v/>
      </c>
      <c r="JM35" s="43">
        <f>JM$23-JM$34</f>
        <v/>
      </c>
      <c r="JN35" s="43">
        <f>JN$23-JN$34</f>
        <v/>
      </c>
      <c r="JO35" s="43">
        <f>JO$23-JO$34</f>
        <v/>
      </c>
      <c r="JP35" s="43">
        <f>JP$23-JP$34</f>
        <v/>
      </c>
      <c r="JQ35" s="43">
        <f>JQ$23-JQ$34</f>
        <v/>
      </c>
      <c r="JR35" s="43">
        <f>JR$23-JR$34</f>
        <v/>
      </c>
      <c r="JS35" s="43">
        <f>JS$23-JS$34</f>
        <v/>
      </c>
      <c r="JT35" s="43">
        <f>JT$23-JT$34</f>
        <v/>
      </c>
      <c r="JU35" s="43">
        <f>JU$23-JU$34</f>
        <v/>
      </c>
      <c r="JV35" s="43">
        <f>JV$23-JV$34</f>
        <v/>
      </c>
      <c r="JW35" s="43">
        <f>JW$23-JW$34</f>
        <v/>
      </c>
      <c r="JX35" s="43">
        <f>JX$23-JX$34</f>
        <v/>
      </c>
      <c r="JY35" s="43">
        <f>JY$23-JY$34</f>
        <v/>
      </c>
      <c r="JZ35" s="43">
        <f>JZ$23-JZ$34</f>
        <v/>
      </c>
      <c r="KA35" s="43">
        <f>KA$23-KA$34</f>
        <v/>
      </c>
      <c r="KB35" s="43">
        <f>KB$23-KB$34</f>
        <v/>
      </c>
      <c r="KC35" s="43">
        <f>KC$23-KC$34</f>
        <v/>
      </c>
      <c r="KD35" s="43">
        <f>KD$23-KD$34</f>
        <v/>
      </c>
      <c r="KE35" s="43">
        <f>KE$23-KE$34</f>
        <v/>
      </c>
      <c r="KF35" s="43">
        <f>KF$23-KF$34</f>
        <v/>
      </c>
      <c r="KG35" s="43">
        <f>KG$23-KG$34</f>
        <v/>
      </c>
      <c r="KH35" s="43">
        <f>KH$23-KH$34</f>
        <v/>
      </c>
      <c r="KI35" s="43">
        <f>KI$23-KI$34</f>
        <v/>
      </c>
      <c r="KJ35" s="43">
        <f>KJ$23-KJ$34</f>
        <v/>
      </c>
      <c r="KK35" s="43">
        <f>KK$23-KK$34</f>
        <v/>
      </c>
      <c r="KL35" s="43">
        <f>KL$23-KL$34</f>
        <v/>
      </c>
      <c r="KM35" s="43">
        <f>KM$23-KM$34</f>
        <v/>
      </c>
      <c r="KN35" s="43">
        <f>KN$23-KN$34</f>
        <v/>
      </c>
      <c r="KO35" s="43">
        <f>KO$23-KO$34</f>
        <v/>
      </c>
      <c r="KP35" s="43">
        <f>KP$23-KP$34</f>
        <v/>
      </c>
      <c r="KQ35" s="43">
        <f>KQ$23-KQ$34</f>
        <v/>
      </c>
      <c r="KR35" s="43">
        <f>KR$23-KR$34</f>
        <v/>
      </c>
      <c r="KS35" s="43">
        <f>KS$23-KS$34</f>
        <v/>
      </c>
      <c r="KT35" s="43">
        <f>KT$23-KT$34</f>
        <v/>
      </c>
      <c r="KU35" s="43">
        <f>KU$23-KU$34</f>
        <v/>
      </c>
      <c r="KV35" s="43">
        <f>KV$23-KV$34</f>
        <v/>
      </c>
      <c r="KW35" s="43">
        <f>KW$23-KW$34</f>
        <v/>
      </c>
      <c r="KX35" s="43">
        <f>KX$23-KX$34</f>
        <v/>
      </c>
      <c r="KY35" s="43">
        <f>KY$23-KY$34</f>
        <v/>
      </c>
      <c r="KZ35" s="43">
        <f>KZ$23-KZ$34</f>
        <v/>
      </c>
      <c r="LA35" s="43">
        <f>LA$23-LA$34</f>
        <v/>
      </c>
      <c r="LB35" s="43">
        <f>LB$23-LB$34</f>
        <v/>
      </c>
      <c r="LC35" s="43">
        <f>LC$23-LC$34</f>
        <v/>
      </c>
      <c r="LD35" s="43">
        <f>LD$23-LD$34</f>
        <v/>
      </c>
      <c r="LE35" s="43">
        <f>LE$23-LE$34</f>
        <v/>
      </c>
      <c r="LF35" s="43">
        <f>LF$23-LF$34</f>
        <v/>
      </c>
      <c r="LG35" s="43">
        <f>LG$23-LG$34</f>
        <v/>
      </c>
      <c r="LH35" s="43">
        <f>LH$23-LH$34</f>
        <v/>
      </c>
      <c r="LI35" s="43">
        <f>LI$23-LI$34</f>
        <v/>
      </c>
      <c r="LJ35" s="43">
        <f>LJ$23-LJ$34</f>
        <v/>
      </c>
      <c r="LK35" s="43">
        <f>LK$23-LK$34</f>
        <v/>
      </c>
      <c r="LL35" s="43">
        <f>LL$23-LL$34</f>
        <v/>
      </c>
      <c r="LM35" s="43">
        <f>LM$23-LM$34</f>
        <v/>
      </c>
      <c r="LN35" s="43">
        <f>LN$23-LN$34</f>
        <v/>
      </c>
      <c r="LO35" s="43">
        <f>LO$23-LO$34</f>
        <v/>
      </c>
      <c r="LP35" s="43">
        <f>LP$23-LP$34</f>
        <v/>
      </c>
      <c r="LQ35" s="43">
        <f>LQ$23-LQ$34</f>
        <v/>
      </c>
      <c r="LR35" s="43">
        <f>LR$23-LR$34</f>
        <v/>
      </c>
      <c r="LS35" s="43">
        <f>LS$23-LS$34</f>
        <v/>
      </c>
      <c r="LT35" s="43">
        <f>LT$23-LT$34</f>
        <v/>
      </c>
      <c r="LU35" s="43">
        <f>LU$23-LU$34</f>
        <v/>
      </c>
      <c r="LV35" s="43">
        <f>LV$23-LV$34</f>
        <v/>
      </c>
      <c r="LW35" s="43">
        <f>LW$23-LW$34</f>
        <v/>
      </c>
      <c r="LX35" s="43">
        <f>LX$23-LX$34</f>
        <v/>
      </c>
      <c r="LY35" s="43">
        <f>LY$23-LY$34</f>
        <v/>
      </c>
      <c r="LZ35" s="43">
        <f>LZ$23-LZ$34</f>
        <v/>
      </c>
      <c r="MA35" s="43">
        <f>MA$23-MA$34</f>
        <v/>
      </c>
      <c r="MB35" s="43">
        <f>MB$23-MB$34</f>
        <v/>
      </c>
      <c r="MC35" s="43">
        <f>MC$23-MC$34</f>
        <v/>
      </c>
      <c r="MD35" s="43">
        <f>MD$23-MD$34</f>
        <v/>
      </c>
      <c r="ME35" s="43">
        <f>ME$23-ME$34</f>
        <v/>
      </c>
      <c r="MF35" s="43">
        <f>MF$23-MF$34</f>
        <v/>
      </c>
      <c r="MG35" s="43">
        <f>MG$23-MG$34</f>
        <v/>
      </c>
      <c r="MH35" s="43">
        <f>MH$23-MH$34</f>
        <v/>
      </c>
      <c r="MI35" s="43">
        <f>MI$23-MI$34</f>
        <v/>
      </c>
      <c r="MJ35" s="43">
        <f>MJ$23-MJ$34</f>
        <v/>
      </c>
      <c r="MK35" s="43">
        <f>MK$23-MK$34</f>
        <v/>
      </c>
      <c r="ML35" s="43">
        <f>ML$23-ML$34</f>
        <v/>
      </c>
      <c r="MM35" s="43">
        <f>MM$23-MM$34</f>
        <v/>
      </c>
      <c r="MN35" s="43">
        <f>MN$23-MN$34</f>
        <v/>
      </c>
      <c r="MO35" s="43">
        <f>MO$23-MO$34</f>
        <v/>
      </c>
      <c r="MP35" s="43">
        <f>MP$23-MP$34</f>
        <v/>
      </c>
      <c r="MQ35" s="43">
        <f>MQ$23-MQ$34</f>
        <v/>
      </c>
      <c r="MR35" s="43">
        <f>MR$23-MR$34</f>
        <v/>
      </c>
      <c r="MS35" s="43">
        <f>MS$23-MS$34</f>
        <v/>
      </c>
      <c r="MT35" s="43">
        <f>MT$23-MT$34</f>
        <v/>
      </c>
      <c r="MU35" s="43">
        <f>MU$23-MU$34</f>
        <v/>
      </c>
      <c r="MV35" s="43">
        <f>MV$23-MV$34</f>
        <v/>
      </c>
      <c r="MW35" s="43">
        <f>MW$23-MW$34</f>
        <v/>
      </c>
      <c r="MX35" s="43">
        <f>MX$23-MX$34</f>
        <v/>
      </c>
      <c r="MY35" s="43">
        <f>MY$23-MY$34</f>
        <v/>
      </c>
      <c r="MZ35" s="43">
        <f>MZ$23-MZ$34</f>
        <v/>
      </c>
      <c r="NA35" s="43">
        <f>NA$23-NA$34</f>
        <v/>
      </c>
      <c r="NB35" s="43">
        <f>NB$23-NB$34</f>
        <v/>
      </c>
      <c r="NC35" s="43">
        <f>NC$23-NC$34</f>
        <v/>
      </c>
      <c r="ND35" s="43">
        <f>ND$23-ND$34</f>
        <v/>
      </c>
      <c r="NE35" s="43">
        <f>NE$23-NE$34</f>
        <v/>
      </c>
      <c r="NF35" s="43">
        <f>NF$23-NF$34</f>
        <v/>
      </c>
      <c r="NG35" s="43">
        <f>NG$23-NG$34</f>
        <v/>
      </c>
      <c r="NH35" s="43">
        <f>NH$23-NH$34</f>
        <v/>
      </c>
      <c r="NI35" s="43">
        <f>NI$23-NI$34</f>
        <v/>
      </c>
      <c r="NJ35" s="43">
        <f>NJ$23-NJ$34</f>
        <v/>
      </c>
      <c r="NK35" s="43">
        <f>NK$23-NK$34</f>
        <v/>
      </c>
    </row>
    <row r="36">
      <c r="A36" s="5" t="inlineStr">
        <is>
          <t>Property Tax</t>
        </is>
      </c>
      <c r="C36" s="41">
        <f>SUM(D36:NK36)</f>
        <v/>
      </c>
      <c r="D36" s="18">
        <f>IF(1&lt;StabMonth,0,IF(TaxMethodValue&gt;=1,TaxYear1*(1+GrowthTax)^(MAX(0,(1-StabMonth)/12))/12,MAX(0,D$35*12)/EntryCapRate*(TaxLevyPct*TaxAssessmentPct*TaxValueAdjFactor)/12))</f>
        <v/>
      </c>
      <c r="E36" s="18">
        <f>IF(2&lt;StabMonth,0,IF(TaxMethodValue&gt;=1,TaxYear1*(1+GrowthTax)^(MAX(0,(2-StabMonth)/12))/12,MAX(0,E$35*12)/EntryCapRate*(TaxLevyPct*TaxAssessmentPct*TaxValueAdjFactor)/12))</f>
        <v/>
      </c>
      <c r="F36" s="18">
        <f>IF(3&lt;StabMonth,0,IF(TaxMethodValue&gt;=1,TaxYear1*(1+GrowthTax)^(MAX(0,(3-StabMonth)/12))/12,MAX(0,F$35*12)/EntryCapRate*(TaxLevyPct*TaxAssessmentPct*TaxValueAdjFactor)/12))</f>
        <v/>
      </c>
      <c r="G36" s="18">
        <f>IF(4&lt;StabMonth,0,IF(TaxMethodValue&gt;=1,TaxYear1*(1+GrowthTax)^(MAX(0,(4-StabMonth)/12))/12,MAX(0,G$35*12)/EntryCapRate*(TaxLevyPct*TaxAssessmentPct*TaxValueAdjFactor)/12))</f>
        <v/>
      </c>
      <c r="H36" s="18">
        <f>IF(5&lt;StabMonth,0,IF(TaxMethodValue&gt;=1,TaxYear1*(1+GrowthTax)^(MAX(0,(5-StabMonth)/12))/12,MAX(0,H$35*12)/EntryCapRate*(TaxLevyPct*TaxAssessmentPct*TaxValueAdjFactor)/12))</f>
        <v/>
      </c>
      <c r="I36" s="18">
        <f>IF(6&lt;StabMonth,0,IF(TaxMethodValue&gt;=1,TaxYear1*(1+GrowthTax)^(MAX(0,(6-StabMonth)/12))/12,MAX(0,I$35*12)/EntryCapRate*(TaxLevyPct*TaxAssessmentPct*TaxValueAdjFactor)/12))</f>
        <v/>
      </c>
      <c r="J36" s="18">
        <f>IF(7&lt;StabMonth,0,IF(TaxMethodValue&gt;=1,TaxYear1*(1+GrowthTax)^(MAX(0,(7-StabMonth)/12))/12,MAX(0,J$35*12)/EntryCapRate*(TaxLevyPct*TaxAssessmentPct*TaxValueAdjFactor)/12))</f>
        <v/>
      </c>
      <c r="K36" s="18">
        <f>IF(8&lt;StabMonth,0,IF(TaxMethodValue&gt;=1,TaxYear1*(1+GrowthTax)^(MAX(0,(8-StabMonth)/12))/12,MAX(0,K$35*12)/EntryCapRate*(TaxLevyPct*TaxAssessmentPct*TaxValueAdjFactor)/12))</f>
        <v/>
      </c>
      <c r="L36" s="18">
        <f>IF(9&lt;StabMonth,0,IF(TaxMethodValue&gt;=1,TaxYear1*(1+GrowthTax)^(MAX(0,(9-StabMonth)/12))/12,MAX(0,L$35*12)/EntryCapRate*(TaxLevyPct*TaxAssessmentPct*TaxValueAdjFactor)/12))</f>
        <v/>
      </c>
      <c r="M36" s="18">
        <f>IF(10&lt;StabMonth,0,IF(TaxMethodValue&gt;=1,TaxYear1*(1+GrowthTax)^(MAX(0,(10-StabMonth)/12))/12,MAX(0,M$35*12)/EntryCapRate*(TaxLevyPct*TaxAssessmentPct*TaxValueAdjFactor)/12))</f>
        <v/>
      </c>
      <c r="N36" s="18">
        <f>IF(11&lt;StabMonth,0,IF(TaxMethodValue&gt;=1,TaxYear1*(1+GrowthTax)^(MAX(0,(11-StabMonth)/12))/12,MAX(0,N$35*12)/EntryCapRate*(TaxLevyPct*TaxAssessmentPct*TaxValueAdjFactor)/12))</f>
        <v/>
      </c>
      <c r="O36" s="18">
        <f>IF(12&lt;StabMonth,0,IF(TaxMethodValue&gt;=1,TaxYear1*(1+GrowthTax)^(MAX(0,(12-StabMonth)/12))/12,MAX(0,O$35*12)/EntryCapRate*(TaxLevyPct*TaxAssessmentPct*TaxValueAdjFactor)/12))</f>
        <v/>
      </c>
      <c r="P36" s="18">
        <f>IF(13&lt;StabMonth,0,IF(TaxMethodValue&gt;=1,TaxYear1*(1+GrowthTax)^(MAX(0,(13-StabMonth)/12))/12,MAX(0,P$35*12)/EntryCapRate*(TaxLevyPct*TaxAssessmentPct*TaxValueAdjFactor)/12))</f>
        <v/>
      </c>
      <c r="Q36" s="18">
        <f>IF(14&lt;StabMonth,0,IF(TaxMethodValue&gt;=1,TaxYear1*(1+GrowthTax)^(MAX(0,(14-StabMonth)/12))/12,MAX(0,Q$35*12)/EntryCapRate*(TaxLevyPct*TaxAssessmentPct*TaxValueAdjFactor)/12))</f>
        <v/>
      </c>
      <c r="R36" s="18">
        <f>IF(15&lt;StabMonth,0,IF(TaxMethodValue&gt;=1,TaxYear1*(1+GrowthTax)^(MAX(0,(15-StabMonth)/12))/12,MAX(0,R$35*12)/EntryCapRate*(TaxLevyPct*TaxAssessmentPct*TaxValueAdjFactor)/12))</f>
        <v/>
      </c>
      <c r="S36" s="18">
        <f>IF(16&lt;StabMonth,0,IF(TaxMethodValue&gt;=1,TaxYear1*(1+GrowthTax)^(MAX(0,(16-StabMonth)/12))/12,MAX(0,S$35*12)/EntryCapRate*(TaxLevyPct*TaxAssessmentPct*TaxValueAdjFactor)/12))</f>
        <v/>
      </c>
      <c r="T36" s="18">
        <f>IF(17&lt;StabMonth,0,IF(TaxMethodValue&gt;=1,TaxYear1*(1+GrowthTax)^(MAX(0,(17-StabMonth)/12))/12,MAX(0,T$35*12)/EntryCapRate*(TaxLevyPct*TaxAssessmentPct*TaxValueAdjFactor)/12))</f>
        <v/>
      </c>
      <c r="U36" s="18">
        <f>IF(18&lt;StabMonth,0,IF(TaxMethodValue&gt;=1,TaxYear1*(1+GrowthTax)^(MAX(0,(18-StabMonth)/12))/12,MAX(0,U$35*12)/EntryCapRate*(TaxLevyPct*TaxAssessmentPct*TaxValueAdjFactor)/12))</f>
        <v/>
      </c>
      <c r="V36" s="18">
        <f>IF(19&lt;StabMonth,0,IF(TaxMethodValue&gt;=1,TaxYear1*(1+GrowthTax)^(MAX(0,(19-StabMonth)/12))/12,MAX(0,V$35*12)/EntryCapRate*(TaxLevyPct*TaxAssessmentPct*TaxValueAdjFactor)/12))</f>
        <v/>
      </c>
      <c r="W36" s="18">
        <f>IF(20&lt;StabMonth,0,IF(TaxMethodValue&gt;=1,TaxYear1*(1+GrowthTax)^(MAX(0,(20-StabMonth)/12))/12,MAX(0,W$35*12)/EntryCapRate*(TaxLevyPct*TaxAssessmentPct*TaxValueAdjFactor)/12))</f>
        <v/>
      </c>
      <c r="X36" s="18">
        <f>IF(21&lt;StabMonth,0,IF(TaxMethodValue&gt;=1,TaxYear1*(1+GrowthTax)^(MAX(0,(21-StabMonth)/12))/12,MAX(0,X$35*12)/EntryCapRate*(TaxLevyPct*TaxAssessmentPct*TaxValueAdjFactor)/12))</f>
        <v/>
      </c>
      <c r="Y36" s="18">
        <f>IF(22&lt;StabMonth,0,IF(TaxMethodValue&gt;=1,TaxYear1*(1+GrowthTax)^(MAX(0,(22-StabMonth)/12))/12,MAX(0,Y$35*12)/EntryCapRate*(TaxLevyPct*TaxAssessmentPct*TaxValueAdjFactor)/12))</f>
        <v/>
      </c>
      <c r="Z36" s="18">
        <f>IF(23&lt;StabMonth,0,IF(TaxMethodValue&gt;=1,TaxYear1*(1+GrowthTax)^(MAX(0,(23-StabMonth)/12))/12,MAX(0,Z$35*12)/EntryCapRate*(TaxLevyPct*TaxAssessmentPct*TaxValueAdjFactor)/12))</f>
        <v/>
      </c>
      <c r="AA36" s="18">
        <f>IF(24&lt;StabMonth,0,IF(TaxMethodValue&gt;=1,TaxYear1*(1+GrowthTax)^(MAX(0,(24-StabMonth)/12))/12,MAX(0,AA$35*12)/EntryCapRate*(TaxLevyPct*TaxAssessmentPct*TaxValueAdjFactor)/12))</f>
        <v/>
      </c>
      <c r="AB36" s="18">
        <f>IF(25&lt;StabMonth,0,IF(TaxMethodValue&gt;=1,TaxYear1*(1+GrowthTax)^(MAX(0,(25-StabMonth)/12))/12,MAX(0,AB$35*12)/EntryCapRate*(TaxLevyPct*TaxAssessmentPct*TaxValueAdjFactor)/12))</f>
        <v/>
      </c>
      <c r="AC36" s="18">
        <f>IF(26&lt;StabMonth,0,IF(TaxMethodValue&gt;=1,TaxYear1*(1+GrowthTax)^(MAX(0,(26-StabMonth)/12))/12,MAX(0,AC$35*12)/EntryCapRate*(TaxLevyPct*TaxAssessmentPct*TaxValueAdjFactor)/12))</f>
        <v/>
      </c>
      <c r="AD36" s="18">
        <f>IF(27&lt;StabMonth,0,IF(TaxMethodValue&gt;=1,TaxYear1*(1+GrowthTax)^(MAX(0,(27-StabMonth)/12))/12,MAX(0,AD$35*12)/EntryCapRate*(TaxLevyPct*TaxAssessmentPct*TaxValueAdjFactor)/12))</f>
        <v/>
      </c>
      <c r="AE36" s="18">
        <f>IF(28&lt;StabMonth,0,IF(TaxMethodValue&gt;=1,TaxYear1*(1+GrowthTax)^(MAX(0,(28-StabMonth)/12))/12,MAX(0,AE$35*12)/EntryCapRate*(TaxLevyPct*TaxAssessmentPct*TaxValueAdjFactor)/12))</f>
        <v/>
      </c>
      <c r="AF36" s="18">
        <f>IF(29&lt;StabMonth,0,IF(TaxMethodValue&gt;=1,TaxYear1*(1+GrowthTax)^(MAX(0,(29-StabMonth)/12))/12,MAX(0,AF$35*12)/EntryCapRate*(TaxLevyPct*TaxAssessmentPct*TaxValueAdjFactor)/12))</f>
        <v/>
      </c>
      <c r="AG36" s="18">
        <f>IF(30&lt;StabMonth,0,IF(TaxMethodValue&gt;=1,TaxYear1*(1+GrowthTax)^(MAX(0,(30-StabMonth)/12))/12,MAX(0,AG$35*12)/EntryCapRate*(TaxLevyPct*TaxAssessmentPct*TaxValueAdjFactor)/12))</f>
        <v/>
      </c>
      <c r="AH36" s="18">
        <f>IF(31&lt;StabMonth,0,IF(TaxMethodValue&gt;=1,TaxYear1*(1+GrowthTax)^(MAX(0,(31-StabMonth)/12))/12,MAX(0,AH$35*12)/EntryCapRate*(TaxLevyPct*TaxAssessmentPct*TaxValueAdjFactor)/12))</f>
        <v/>
      </c>
      <c r="AI36" s="18">
        <f>IF(32&lt;StabMonth,0,IF(TaxMethodValue&gt;=1,TaxYear1*(1+GrowthTax)^(MAX(0,(32-StabMonth)/12))/12,MAX(0,AI$35*12)/EntryCapRate*(TaxLevyPct*TaxAssessmentPct*TaxValueAdjFactor)/12))</f>
        <v/>
      </c>
      <c r="AJ36" s="18">
        <f>IF(33&lt;StabMonth,0,IF(TaxMethodValue&gt;=1,TaxYear1*(1+GrowthTax)^(MAX(0,(33-StabMonth)/12))/12,MAX(0,AJ$35*12)/EntryCapRate*(TaxLevyPct*TaxAssessmentPct*TaxValueAdjFactor)/12))</f>
        <v/>
      </c>
      <c r="AK36" s="18">
        <f>IF(34&lt;StabMonth,0,IF(TaxMethodValue&gt;=1,TaxYear1*(1+GrowthTax)^(MAX(0,(34-StabMonth)/12))/12,MAX(0,AK$35*12)/EntryCapRate*(TaxLevyPct*TaxAssessmentPct*TaxValueAdjFactor)/12))</f>
        <v/>
      </c>
      <c r="AL36" s="18">
        <f>IF(35&lt;StabMonth,0,IF(TaxMethodValue&gt;=1,TaxYear1*(1+GrowthTax)^(MAX(0,(35-StabMonth)/12))/12,MAX(0,AL$35*12)/EntryCapRate*(TaxLevyPct*TaxAssessmentPct*TaxValueAdjFactor)/12))</f>
        <v/>
      </c>
      <c r="AM36" s="18">
        <f>IF(36&lt;StabMonth,0,IF(TaxMethodValue&gt;=1,TaxYear1*(1+GrowthTax)^(MAX(0,(36-StabMonth)/12))/12,MAX(0,AM$35*12)/EntryCapRate*(TaxLevyPct*TaxAssessmentPct*TaxValueAdjFactor)/12))</f>
        <v/>
      </c>
      <c r="AN36" s="18">
        <f>IF(37&lt;StabMonth,0,IF(TaxMethodValue&gt;=1,TaxYear1*(1+GrowthTax)^(MAX(0,(37-StabMonth)/12))/12,MAX(0,AN$35*12)/EntryCapRate*(TaxLevyPct*TaxAssessmentPct*TaxValueAdjFactor)/12))</f>
        <v/>
      </c>
      <c r="AO36" s="18">
        <f>IF(38&lt;StabMonth,0,IF(TaxMethodValue&gt;=1,TaxYear1*(1+GrowthTax)^(MAX(0,(38-StabMonth)/12))/12,MAX(0,AO$35*12)/EntryCapRate*(TaxLevyPct*TaxAssessmentPct*TaxValueAdjFactor)/12))</f>
        <v/>
      </c>
      <c r="AP36" s="18">
        <f>IF(39&lt;StabMonth,0,IF(TaxMethodValue&gt;=1,TaxYear1*(1+GrowthTax)^(MAX(0,(39-StabMonth)/12))/12,MAX(0,AP$35*12)/EntryCapRate*(TaxLevyPct*TaxAssessmentPct*TaxValueAdjFactor)/12))</f>
        <v/>
      </c>
      <c r="AQ36" s="18">
        <f>IF(40&lt;StabMonth,0,IF(TaxMethodValue&gt;=1,TaxYear1*(1+GrowthTax)^(MAX(0,(40-StabMonth)/12))/12,MAX(0,AQ$35*12)/EntryCapRate*(TaxLevyPct*TaxAssessmentPct*TaxValueAdjFactor)/12))</f>
        <v/>
      </c>
      <c r="AR36" s="18">
        <f>IF(41&lt;StabMonth,0,IF(TaxMethodValue&gt;=1,TaxYear1*(1+GrowthTax)^(MAX(0,(41-StabMonth)/12))/12,MAX(0,AR$35*12)/EntryCapRate*(TaxLevyPct*TaxAssessmentPct*TaxValueAdjFactor)/12))</f>
        <v/>
      </c>
      <c r="AS36" s="18">
        <f>IF(42&lt;StabMonth,0,IF(TaxMethodValue&gt;=1,TaxYear1*(1+GrowthTax)^(MAX(0,(42-StabMonth)/12))/12,MAX(0,AS$35*12)/EntryCapRate*(TaxLevyPct*TaxAssessmentPct*TaxValueAdjFactor)/12))</f>
        <v/>
      </c>
      <c r="AT36" s="18">
        <f>IF(43&lt;StabMonth,0,IF(TaxMethodValue&gt;=1,TaxYear1*(1+GrowthTax)^(MAX(0,(43-StabMonth)/12))/12,MAX(0,AT$35*12)/EntryCapRate*(TaxLevyPct*TaxAssessmentPct*TaxValueAdjFactor)/12))</f>
        <v/>
      </c>
      <c r="AU36" s="18">
        <f>IF(44&lt;StabMonth,0,IF(TaxMethodValue&gt;=1,TaxYear1*(1+GrowthTax)^(MAX(0,(44-StabMonth)/12))/12,MAX(0,AU$35*12)/EntryCapRate*(TaxLevyPct*TaxAssessmentPct*TaxValueAdjFactor)/12))</f>
        <v/>
      </c>
      <c r="AV36" s="18">
        <f>IF(45&lt;StabMonth,0,IF(TaxMethodValue&gt;=1,TaxYear1*(1+GrowthTax)^(MAX(0,(45-StabMonth)/12))/12,MAX(0,AV$35*12)/EntryCapRate*(TaxLevyPct*TaxAssessmentPct*TaxValueAdjFactor)/12))</f>
        <v/>
      </c>
      <c r="AW36" s="18">
        <f>IF(46&lt;StabMonth,0,IF(TaxMethodValue&gt;=1,TaxYear1*(1+GrowthTax)^(MAX(0,(46-StabMonth)/12))/12,MAX(0,AW$35*12)/EntryCapRate*(TaxLevyPct*TaxAssessmentPct*TaxValueAdjFactor)/12))</f>
        <v/>
      </c>
      <c r="AX36" s="18">
        <f>IF(47&lt;StabMonth,0,IF(TaxMethodValue&gt;=1,TaxYear1*(1+GrowthTax)^(MAX(0,(47-StabMonth)/12))/12,MAX(0,AX$35*12)/EntryCapRate*(TaxLevyPct*TaxAssessmentPct*TaxValueAdjFactor)/12))</f>
        <v/>
      </c>
      <c r="AY36" s="18">
        <f>IF(48&lt;StabMonth,0,IF(TaxMethodValue&gt;=1,TaxYear1*(1+GrowthTax)^(MAX(0,(48-StabMonth)/12))/12,MAX(0,AY$35*12)/EntryCapRate*(TaxLevyPct*TaxAssessmentPct*TaxValueAdjFactor)/12))</f>
        <v/>
      </c>
      <c r="AZ36" s="18">
        <f>IF(49&lt;StabMonth,0,IF(TaxMethodValue&gt;=1,TaxYear1*(1+GrowthTax)^(MAX(0,(49-StabMonth)/12))/12,MAX(0,AZ$35*12)/EntryCapRate*(TaxLevyPct*TaxAssessmentPct*TaxValueAdjFactor)/12))</f>
        <v/>
      </c>
      <c r="BA36" s="18">
        <f>IF(50&lt;StabMonth,0,IF(TaxMethodValue&gt;=1,TaxYear1*(1+GrowthTax)^(MAX(0,(50-StabMonth)/12))/12,MAX(0,BA$35*12)/EntryCapRate*(TaxLevyPct*TaxAssessmentPct*TaxValueAdjFactor)/12))</f>
        <v/>
      </c>
      <c r="BB36" s="18">
        <f>IF(51&lt;StabMonth,0,IF(TaxMethodValue&gt;=1,TaxYear1*(1+GrowthTax)^(MAX(0,(51-StabMonth)/12))/12,MAX(0,BB$35*12)/EntryCapRate*(TaxLevyPct*TaxAssessmentPct*TaxValueAdjFactor)/12))</f>
        <v/>
      </c>
      <c r="BC36" s="18">
        <f>IF(52&lt;StabMonth,0,IF(TaxMethodValue&gt;=1,TaxYear1*(1+GrowthTax)^(MAX(0,(52-StabMonth)/12))/12,MAX(0,BC$35*12)/EntryCapRate*(TaxLevyPct*TaxAssessmentPct*TaxValueAdjFactor)/12))</f>
        <v/>
      </c>
      <c r="BD36" s="18">
        <f>IF(53&lt;StabMonth,0,IF(TaxMethodValue&gt;=1,TaxYear1*(1+GrowthTax)^(MAX(0,(53-StabMonth)/12))/12,MAX(0,BD$35*12)/EntryCapRate*(TaxLevyPct*TaxAssessmentPct*TaxValueAdjFactor)/12))</f>
        <v/>
      </c>
      <c r="BE36" s="18">
        <f>IF(54&lt;StabMonth,0,IF(TaxMethodValue&gt;=1,TaxYear1*(1+GrowthTax)^(MAX(0,(54-StabMonth)/12))/12,MAX(0,BE$35*12)/EntryCapRate*(TaxLevyPct*TaxAssessmentPct*TaxValueAdjFactor)/12))</f>
        <v/>
      </c>
      <c r="BF36" s="18">
        <f>IF(55&lt;StabMonth,0,IF(TaxMethodValue&gt;=1,TaxYear1*(1+GrowthTax)^(MAX(0,(55-StabMonth)/12))/12,MAX(0,BF$35*12)/EntryCapRate*(TaxLevyPct*TaxAssessmentPct*TaxValueAdjFactor)/12))</f>
        <v/>
      </c>
      <c r="BG36" s="18">
        <f>IF(56&lt;StabMonth,0,IF(TaxMethodValue&gt;=1,TaxYear1*(1+GrowthTax)^(MAX(0,(56-StabMonth)/12))/12,MAX(0,BG$35*12)/EntryCapRate*(TaxLevyPct*TaxAssessmentPct*TaxValueAdjFactor)/12))</f>
        <v/>
      </c>
      <c r="BH36" s="18">
        <f>IF(57&lt;StabMonth,0,IF(TaxMethodValue&gt;=1,TaxYear1*(1+GrowthTax)^(MAX(0,(57-StabMonth)/12))/12,MAX(0,BH$35*12)/EntryCapRate*(TaxLevyPct*TaxAssessmentPct*TaxValueAdjFactor)/12))</f>
        <v/>
      </c>
      <c r="BI36" s="18">
        <f>IF(58&lt;StabMonth,0,IF(TaxMethodValue&gt;=1,TaxYear1*(1+GrowthTax)^(MAX(0,(58-StabMonth)/12))/12,MAX(0,BI$35*12)/EntryCapRate*(TaxLevyPct*TaxAssessmentPct*TaxValueAdjFactor)/12))</f>
        <v/>
      </c>
      <c r="BJ36" s="18">
        <f>IF(59&lt;StabMonth,0,IF(TaxMethodValue&gt;=1,TaxYear1*(1+GrowthTax)^(MAX(0,(59-StabMonth)/12))/12,MAX(0,BJ$35*12)/EntryCapRate*(TaxLevyPct*TaxAssessmentPct*TaxValueAdjFactor)/12))</f>
        <v/>
      </c>
      <c r="BK36" s="18">
        <f>IF(60&lt;StabMonth,0,IF(TaxMethodValue&gt;=1,TaxYear1*(1+GrowthTax)^(MAX(0,(60-StabMonth)/12))/12,MAX(0,BK$35*12)/EntryCapRate*(TaxLevyPct*TaxAssessmentPct*TaxValueAdjFactor)/12))</f>
        <v/>
      </c>
      <c r="BL36" s="18">
        <f>IF(61&lt;StabMonth,0,IF(TaxMethodValue&gt;=1,TaxYear1*(1+GrowthTax)^(MAX(0,(61-StabMonth)/12))/12,MAX(0,BL$35*12)/EntryCapRate*(TaxLevyPct*TaxAssessmentPct*TaxValueAdjFactor)/12))</f>
        <v/>
      </c>
      <c r="BM36" s="18">
        <f>IF(62&lt;StabMonth,0,IF(TaxMethodValue&gt;=1,TaxYear1*(1+GrowthTax)^(MAX(0,(62-StabMonth)/12))/12,MAX(0,BM$35*12)/EntryCapRate*(TaxLevyPct*TaxAssessmentPct*TaxValueAdjFactor)/12))</f>
        <v/>
      </c>
      <c r="BN36" s="18">
        <f>IF(63&lt;StabMonth,0,IF(TaxMethodValue&gt;=1,TaxYear1*(1+GrowthTax)^(MAX(0,(63-StabMonth)/12))/12,MAX(0,BN$35*12)/EntryCapRate*(TaxLevyPct*TaxAssessmentPct*TaxValueAdjFactor)/12))</f>
        <v/>
      </c>
      <c r="BO36" s="18">
        <f>IF(64&lt;StabMonth,0,IF(TaxMethodValue&gt;=1,TaxYear1*(1+GrowthTax)^(MAX(0,(64-StabMonth)/12))/12,MAX(0,BO$35*12)/EntryCapRate*(TaxLevyPct*TaxAssessmentPct*TaxValueAdjFactor)/12))</f>
        <v/>
      </c>
      <c r="BP36" s="18">
        <f>IF(65&lt;StabMonth,0,IF(TaxMethodValue&gt;=1,TaxYear1*(1+GrowthTax)^(MAX(0,(65-StabMonth)/12))/12,MAX(0,BP$35*12)/EntryCapRate*(TaxLevyPct*TaxAssessmentPct*TaxValueAdjFactor)/12))</f>
        <v/>
      </c>
      <c r="BQ36" s="18">
        <f>IF(66&lt;StabMonth,0,IF(TaxMethodValue&gt;=1,TaxYear1*(1+GrowthTax)^(MAX(0,(66-StabMonth)/12))/12,MAX(0,BQ$35*12)/EntryCapRate*(TaxLevyPct*TaxAssessmentPct*TaxValueAdjFactor)/12))</f>
        <v/>
      </c>
      <c r="BR36" s="18">
        <f>IF(67&lt;StabMonth,0,IF(TaxMethodValue&gt;=1,TaxYear1*(1+GrowthTax)^(MAX(0,(67-StabMonth)/12))/12,MAX(0,BR$35*12)/EntryCapRate*(TaxLevyPct*TaxAssessmentPct*TaxValueAdjFactor)/12))</f>
        <v/>
      </c>
      <c r="BS36" s="18">
        <f>IF(68&lt;StabMonth,0,IF(TaxMethodValue&gt;=1,TaxYear1*(1+GrowthTax)^(MAX(0,(68-StabMonth)/12))/12,MAX(0,BS$35*12)/EntryCapRate*(TaxLevyPct*TaxAssessmentPct*TaxValueAdjFactor)/12))</f>
        <v/>
      </c>
      <c r="BT36" s="18">
        <f>IF(69&lt;StabMonth,0,IF(TaxMethodValue&gt;=1,TaxYear1*(1+GrowthTax)^(MAX(0,(69-StabMonth)/12))/12,MAX(0,BT$35*12)/EntryCapRate*(TaxLevyPct*TaxAssessmentPct*TaxValueAdjFactor)/12))</f>
        <v/>
      </c>
      <c r="BU36" s="18">
        <f>IF(70&lt;StabMonth,0,IF(TaxMethodValue&gt;=1,TaxYear1*(1+GrowthTax)^(MAX(0,(70-StabMonth)/12))/12,MAX(0,BU$35*12)/EntryCapRate*(TaxLevyPct*TaxAssessmentPct*TaxValueAdjFactor)/12))</f>
        <v/>
      </c>
      <c r="BV36" s="18">
        <f>IF(71&lt;StabMonth,0,IF(TaxMethodValue&gt;=1,TaxYear1*(1+GrowthTax)^(MAX(0,(71-StabMonth)/12))/12,MAX(0,BV$35*12)/EntryCapRate*(TaxLevyPct*TaxAssessmentPct*TaxValueAdjFactor)/12))</f>
        <v/>
      </c>
      <c r="BW36" s="18">
        <f>IF(72&lt;StabMonth,0,IF(TaxMethodValue&gt;=1,TaxYear1*(1+GrowthTax)^(MAX(0,(72-StabMonth)/12))/12,MAX(0,BW$35*12)/EntryCapRate*(TaxLevyPct*TaxAssessmentPct*TaxValueAdjFactor)/12))</f>
        <v/>
      </c>
      <c r="BX36" s="18">
        <f>IF(73&lt;StabMonth,0,IF(TaxMethodValue&gt;=1,TaxYear1*(1+GrowthTax)^(MAX(0,(73-StabMonth)/12))/12,MAX(0,BX$35*12)/EntryCapRate*(TaxLevyPct*TaxAssessmentPct*TaxValueAdjFactor)/12))</f>
        <v/>
      </c>
      <c r="BY36" s="18">
        <f>IF(74&lt;StabMonth,0,IF(TaxMethodValue&gt;=1,TaxYear1*(1+GrowthTax)^(MAX(0,(74-StabMonth)/12))/12,MAX(0,BY$35*12)/EntryCapRate*(TaxLevyPct*TaxAssessmentPct*TaxValueAdjFactor)/12))</f>
        <v/>
      </c>
      <c r="BZ36" s="18">
        <f>IF(75&lt;StabMonth,0,IF(TaxMethodValue&gt;=1,TaxYear1*(1+GrowthTax)^(MAX(0,(75-StabMonth)/12))/12,MAX(0,BZ$35*12)/EntryCapRate*(TaxLevyPct*TaxAssessmentPct*TaxValueAdjFactor)/12))</f>
        <v/>
      </c>
      <c r="CA36" s="18">
        <f>IF(76&lt;StabMonth,0,IF(TaxMethodValue&gt;=1,TaxYear1*(1+GrowthTax)^(MAX(0,(76-StabMonth)/12))/12,MAX(0,CA$35*12)/EntryCapRate*(TaxLevyPct*TaxAssessmentPct*TaxValueAdjFactor)/12))</f>
        <v/>
      </c>
      <c r="CB36" s="18">
        <f>IF(77&lt;StabMonth,0,IF(TaxMethodValue&gt;=1,TaxYear1*(1+GrowthTax)^(MAX(0,(77-StabMonth)/12))/12,MAX(0,CB$35*12)/EntryCapRate*(TaxLevyPct*TaxAssessmentPct*TaxValueAdjFactor)/12))</f>
        <v/>
      </c>
      <c r="CC36" s="18">
        <f>IF(78&lt;StabMonth,0,IF(TaxMethodValue&gt;=1,TaxYear1*(1+GrowthTax)^(MAX(0,(78-StabMonth)/12))/12,MAX(0,CC$35*12)/EntryCapRate*(TaxLevyPct*TaxAssessmentPct*TaxValueAdjFactor)/12))</f>
        <v/>
      </c>
      <c r="CD36" s="18">
        <f>IF(79&lt;StabMonth,0,IF(TaxMethodValue&gt;=1,TaxYear1*(1+GrowthTax)^(MAX(0,(79-StabMonth)/12))/12,MAX(0,CD$35*12)/EntryCapRate*(TaxLevyPct*TaxAssessmentPct*TaxValueAdjFactor)/12))</f>
        <v/>
      </c>
      <c r="CE36" s="18">
        <f>IF(80&lt;StabMonth,0,IF(TaxMethodValue&gt;=1,TaxYear1*(1+GrowthTax)^(MAX(0,(80-StabMonth)/12))/12,MAX(0,CE$35*12)/EntryCapRate*(TaxLevyPct*TaxAssessmentPct*TaxValueAdjFactor)/12))</f>
        <v/>
      </c>
      <c r="CF36" s="18">
        <f>IF(81&lt;StabMonth,0,IF(TaxMethodValue&gt;=1,TaxYear1*(1+GrowthTax)^(MAX(0,(81-StabMonth)/12))/12,MAX(0,CF$35*12)/EntryCapRate*(TaxLevyPct*TaxAssessmentPct*TaxValueAdjFactor)/12))</f>
        <v/>
      </c>
      <c r="CG36" s="18">
        <f>IF(82&lt;StabMonth,0,IF(TaxMethodValue&gt;=1,TaxYear1*(1+GrowthTax)^(MAX(0,(82-StabMonth)/12))/12,MAX(0,CG$35*12)/EntryCapRate*(TaxLevyPct*TaxAssessmentPct*TaxValueAdjFactor)/12))</f>
        <v/>
      </c>
      <c r="CH36" s="18">
        <f>IF(83&lt;StabMonth,0,IF(TaxMethodValue&gt;=1,TaxYear1*(1+GrowthTax)^(MAX(0,(83-StabMonth)/12))/12,MAX(0,CH$35*12)/EntryCapRate*(TaxLevyPct*TaxAssessmentPct*TaxValueAdjFactor)/12))</f>
        <v/>
      </c>
      <c r="CI36" s="18">
        <f>IF(84&lt;StabMonth,0,IF(TaxMethodValue&gt;=1,TaxYear1*(1+GrowthTax)^(MAX(0,(84-StabMonth)/12))/12,MAX(0,CI$35*12)/EntryCapRate*(TaxLevyPct*TaxAssessmentPct*TaxValueAdjFactor)/12))</f>
        <v/>
      </c>
      <c r="CJ36" s="18">
        <f>IF(85&lt;StabMonth,0,IF(TaxMethodValue&gt;=1,TaxYear1*(1+GrowthTax)^(MAX(0,(85-StabMonth)/12))/12,MAX(0,CJ$35*12)/EntryCapRate*(TaxLevyPct*TaxAssessmentPct*TaxValueAdjFactor)/12))</f>
        <v/>
      </c>
      <c r="CK36" s="18">
        <f>IF(86&lt;StabMonth,0,IF(TaxMethodValue&gt;=1,TaxYear1*(1+GrowthTax)^(MAX(0,(86-StabMonth)/12))/12,MAX(0,CK$35*12)/EntryCapRate*(TaxLevyPct*TaxAssessmentPct*TaxValueAdjFactor)/12))</f>
        <v/>
      </c>
      <c r="CL36" s="18">
        <f>IF(87&lt;StabMonth,0,IF(TaxMethodValue&gt;=1,TaxYear1*(1+GrowthTax)^(MAX(0,(87-StabMonth)/12))/12,MAX(0,CL$35*12)/EntryCapRate*(TaxLevyPct*TaxAssessmentPct*TaxValueAdjFactor)/12))</f>
        <v/>
      </c>
      <c r="CM36" s="18">
        <f>IF(88&lt;StabMonth,0,IF(TaxMethodValue&gt;=1,TaxYear1*(1+GrowthTax)^(MAX(0,(88-StabMonth)/12))/12,MAX(0,CM$35*12)/EntryCapRate*(TaxLevyPct*TaxAssessmentPct*TaxValueAdjFactor)/12))</f>
        <v/>
      </c>
      <c r="CN36" s="18">
        <f>IF(89&lt;StabMonth,0,IF(TaxMethodValue&gt;=1,TaxYear1*(1+GrowthTax)^(MAX(0,(89-StabMonth)/12))/12,MAX(0,CN$35*12)/EntryCapRate*(TaxLevyPct*TaxAssessmentPct*TaxValueAdjFactor)/12))</f>
        <v/>
      </c>
      <c r="CO36" s="18">
        <f>IF(90&lt;StabMonth,0,IF(TaxMethodValue&gt;=1,TaxYear1*(1+GrowthTax)^(MAX(0,(90-StabMonth)/12))/12,MAX(0,CO$35*12)/EntryCapRate*(TaxLevyPct*TaxAssessmentPct*TaxValueAdjFactor)/12))</f>
        <v/>
      </c>
      <c r="CP36" s="18">
        <f>IF(91&lt;StabMonth,0,IF(TaxMethodValue&gt;=1,TaxYear1*(1+GrowthTax)^(MAX(0,(91-StabMonth)/12))/12,MAX(0,CP$35*12)/EntryCapRate*(TaxLevyPct*TaxAssessmentPct*TaxValueAdjFactor)/12))</f>
        <v/>
      </c>
      <c r="CQ36" s="18">
        <f>IF(92&lt;StabMonth,0,IF(TaxMethodValue&gt;=1,TaxYear1*(1+GrowthTax)^(MAX(0,(92-StabMonth)/12))/12,MAX(0,CQ$35*12)/EntryCapRate*(TaxLevyPct*TaxAssessmentPct*TaxValueAdjFactor)/12))</f>
        <v/>
      </c>
      <c r="CR36" s="18">
        <f>IF(93&lt;StabMonth,0,IF(TaxMethodValue&gt;=1,TaxYear1*(1+GrowthTax)^(MAX(0,(93-StabMonth)/12))/12,MAX(0,CR$35*12)/EntryCapRate*(TaxLevyPct*TaxAssessmentPct*TaxValueAdjFactor)/12))</f>
        <v/>
      </c>
      <c r="CS36" s="18">
        <f>IF(94&lt;StabMonth,0,IF(TaxMethodValue&gt;=1,TaxYear1*(1+GrowthTax)^(MAX(0,(94-StabMonth)/12))/12,MAX(0,CS$35*12)/EntryCapRate*(TaxLevyPct*TaxAssessmentPct*TaxValueAdjFactor)/12))</f>
        <v/>
      </c>
      <c r="CT36" s="18">
        <f>IF(95&lt;StabMonth,0,IF(TaxMethodValue&gt;=1,TaxYear1*(1+GrowthTax)^(MAX(0,(95-StabMonth)/12))/12,MAX(0,CT$35*12)/EntryCapRate*(TaxLevyPct*TaxAssessmentPct*TaxValueAdjFactor)/12))</f>
        <v/>
      </c>
      <c r="CU36" s="18">
        <f>IF(96&lt;StabMonth,0,IF(TaxMethodValue&gt;=1,TaxYear1*(1+GrowthTax)^(MAX(0,(96-StabMonth)/12))/12,MAX(0,CU$35*12)/EntryCapRate*(TaxLevyPct*TaxAssessmentPct*TaxValueAdjFactor)/12))</f>
        <v/>
      </c>
      <c r="CV36" s="18">
        <f>IF(97&lt;StabMonth,0,IF(TaxMethodValue&gt;=1,TaxYear1*(1+GrowthTax)^(MAX(0,(97-StabMonth)/12))/12,MAX(0,CV$35*12)/EntryCapRate*(TaxLevyPct*TaxAssessmentPct*TaxValueAdjFactor)/12))</f>
        <v/>
      </c>
      <c r="CW36" s="18">
        <f>IF(98&lt;StabMonth,0,IF(TaxMethodValue&gt;=1,TaxYear1*(1+GrowthTax)^(MAX(0,(98-StabMonth)/12))/12,MAX(0,CW$35*12)/EntryCapRate*(TaxLevyPct*TaxAssessmentPct*TaxValueAdjFactor)/12))</f>
        <v/>
      </c>
      <c r="CX36" s="18">
        <f>IF(99&lt;StabMonth,0,IF(TaxMethodValue&gt;=1,TaxYear1*(1+GrowthTax)^(MAX(0,(99-StabMonth)/12))/12,MAX(0,CX$35*12)/EntryCapRate*(TaxLevyPct*TaxAssessmentPct*TaxValueAdjFactor)/12))</f>
        <v/>
      </c>
      <c r="CY36" s="18">
        <f>IF(100&lt;StabMonth,0,IF(TaxMethodValue&gt;=1,TaxYear1*(1+GrowthTax)^(MAX(0,(100-StabMonth)/12))/12,MAX(0,CY$35*12)/EntryCapRate*(TaxLevyPct*TaxAssessmentPct*TaxValueAdjFactor)/12))</f>
        <v/>
      </c>
      <c r="CZ36" s="18">
        <f>IF(101&lt;StabMonth,0,IF(TaxMethodValue&gt;=1,TaxYear1*(1+GrowthTax)^(MAX(0,(101-StabMonth)/12))/12,MAX(0,CZ$35*12)/EntryCapRate*(TaxLevyPct*TaxAssessmentPct*TaxValueAdjFactor)/12))</f>
        <v/>
      </c>
      <c r="DA36" s="18">
        <f>IF(102&lt;StabMonth,0,IF(TaxMethodValue&gt;=1,TaxYear1*(1+GrowthTax)^(MAX(0,(102-StabMonth)/12))/12,MAX(0,DA$35*12)/EntryCapRate*(TaxLevyPct*TaxAssessmentPct*TaxValueAdjFactor)/12))</f>
        <v/>
      </c>
      <c r="DB36" s="18">
        <f>IF(103&lt;StabMonth,0,IF(TaxMethodValue&gt;=1,TaxYear1*(1+GrowthTax)^(MAX(0,(103-StabMonth)/12))/12,MAX(0,DB$35*12)/EntryCapRate*(TaxLevyPct*TaxAssessmentPct*TaxValueAdjFactor)/12))</f>
        <v/>
      </c>
      <c r="DC36" s="18">
        <f>IF(104&lt;StabMonth,0,IF(TaxMethodValue&gt;=1,TaxYear1*(1+GrowthTax)^(MAX(0,(104-StabMonth)/12))/12,MAX(0,DC$35*12)/EntryCapRate*(TaxLevyPct*TaxAssessmentPct*TaxValueAdjFactor)/12))</f>
        <v/>
      </c>
      <c r="DD36" s="18">
        <f>IF(105&lt;StabMonth,0,IF(TaxMethodValue&gt;=1,TaxYear1*(1+GrowthTax)^(MAX(0,(105-StabMonth)/12))/12,MAX(0,DD$35*12)/EntryCapRate*(TaxLevyPct*TaxAssessmentPct*TaxValueAdjFactor)/12))</f>
        <v/>
      </c>
      <c r="DE36" s="18">
        <f>IF(106&lt;StabMonth,0,IF(TaxMethodValue&gt;=1,TaxYear1*(1+GrowthTax)^(MAX(0,(106-StabMonth)/12))/12,MAX(0,DE$35*12)/EntryCapRate*(TaxLevyPct*TaxAssessmentPct*TaxValueAdjFactor)/12))</f>
        <v/>
      </c>
      <c r="DF36" s="18">
        <f>IF(107&lt;StabMonth,0,IF(TaxMethodValue&gt;=1,TaxYear1*(1+GrowthTax)^(MAX(0,(107-StabMonth)/12))/12,MAX(0,DF$35*12)/EntryCapRate*(TaxLevyPct*TaxAssessmentPct*TaxValueAdjFactor)/12))</f>
        <v/>
      </c>
      <c r="DG36" s="18">
        <f>IF(108&lt;StabMonth,0,IF(TaxMethodValue&gt;=1,TaxYear1*(1+GrowthTax)^(MAX(0,(108-StabMonth)/12))/12,MAX(0,DG$35*12)/EntryCapRate*(TaxLevyPct*TaxAssessmentPct*TaxValueAdjFactor)/12))</f>
        <v/>
      </c>
      <c r="DH36" s="18">
        <f>IF(109&lt;StabMonth,0,IF(TaxMethodValue&gt;=1,TaxYear1*(1+GrowthTax)^(MAX(0,(109-StabMonth)/12))/12,MAX(0,DH$35*12)/EntryCapRate*(TaxLevyPct*TaxAssessmentPct*TaxValueAdjFactor)/12))</f>
        <v/>
      </c>
      <c r="DI36" s="18">
        <f>IF(110&lt;StabMonth,0,IF(TaxMethodValue&gt;=1,TaxYear1*(1+GrowthTax)^(MAX(0,(110-StabMonth)/12))/12,MAX(0,DI$35*12)/EntryCapRate*(TaxLevyPct*TaxAssessmentPct*TaxValueAdjFactor)/12))</f>
        <v/>
      </c>
      <c r="DJ36" s="18">
        <f>IF(111&lt;StabMonth,0,IF(TaxMethodValue&gt;=1,TaxYear1*(1+GrowthTax)^(MAX(0,(111-StabMonth)/12))/12,MAX(0,DJ$35*12)/EntryCapRate*(TaxLevyPct*TaxAssessmentPct*TaxValueAdjFactor)/12))</f>
        <v/>
      </c>
      <c r="DK36" s="18">
        <f>IF(112&lt;StabMonth,0,IF(TaxMethodValue&gt;=1,TaxYear1*(1+GrowthTax)^(MAX(0,(112-StabMonth)/12))/12,MAX(0,DK$35*12)/EntryCapRate*(TaxLevyPct*TaxAssessmentPct*TaxValueAdjFactor)/12))</f>
        <v/>
      </c>
      <c r="DL36" s="18">
        <f>IF(113&lt;StabMonth,0,IF(TaxMethodValue&gt;=1,TaxYear1*(1+GrowthTax)^(MAX(0,(113-StabMonth)/12))/12,MAX(0,DL$35*12)/EntryCapRate*(TaxLevyPct*TaxAssessmentPct*TaxValueAdjFactor)/12))</f>
        <v/>
      </c>
      <c r="DM36" s="18">
        <f>IF(114&lt;StabMonth,0,IF(TaxMethodValue&gt;=1,TaxYear1*(1+GrowthTax)^(MAX(0,(114-StabMonth)/12))/12,MAX(0,DM$35*12)/EntryCapRate*(TaxLevyPct*TaxAssessmentPct*TaxValueAdjFactor)/12))</f>
        <v/>
      </c>
      <c r="DN36" s="18">
        <f>IF(115&lt;StabMonth,0,IF(TaxMethodValue&gt;=1,TaxYear1*(1+GrowthTax)^(MAX(0,(115-StabMonth)/12))/12,MAX(0,DN$35*12)/EntryCapRate*(TaxLevyPct*TaxAssessmentPct*TaxValueAdjFactor)/12))</f>
        <v/>
      </c>
      <c r="DO36" s="18">
        <f>IF(116&lt;StabMonth,0,IF(TaxMethodValue&gt;=1,TaxYear1*(1+GrowthTax)^(MAX(0,(116-StabMonth)/12))/12,MAX(0,DO$35*12)/EntryCapRate*(TaxLevyPct*TaxAssessmentPct*TaxValueAdjFactor)/12))</f>
        <v/>
      </c>
      <c r="DP36" s="18">
        <f>IF(117&lt;StabMonth,0,IF(TaxMethodValue&gt;=1,TaxYear1*(1+GrowthTax)^(MAX(0,(117-StabMonth)/12))/12,MAX(0,DP$35*12)/EntryCapRate*(TaxLevyPct*TaxAssessmentPct*TaxValueAdjFactor)/12))</f>
        <v/>
      </c>
      <c r="DQ36" s="18">
        <f>IF(118&lt;StabMonth,0,IF(TaxMethodValue&gt;=1,TaxYear1*(1+GrowthTax)^(MAX(0,(118-StabMonth)/12))/12,MAX(0,DQ$35*12)/EntryCapRate*(TaxLevyPct*TaxAssessmentPct*TaxValueAdjFactor)/12))</f>
        <v/>
      </c>
      <c r="DR36" s="18">
        <f>IF(119&lt;StabMonth,0,IF(TaxMethodValue&gt;=1,TaxYear1*(1+GrowthTax)^(MAX(0,(119-StabMonth)/12))/12,MAX(0,DR$35*12)/EntryCapRate*(TaxLevyPct*TaxAssessmentPct*TaxValueAdjFactor)/12))</f>
        <v/>
      </c>
      <c r="DS36" s="18">
        <f>IF(120&lt;StabMonth,0,IF(TaxMethodValue&gt;=1,TaxYear1*(1+GrowthTax)^(MAX(0,(120-StabMonth)/12))/12,MAX(0,DS$35*12)/EntryCapRate*(TaxLevyPct*TaxAssessmentPct*TaxValueAdjFactor)/12))</f>
        <v/>
      </c>
      <c r="DT36" s="18">
        <f>IF(121&lt;StabMonth,0,IF(TaxMethodValue&gt;=1,TaxYear1*(1+GrowthTax)^(MAX(0,(121-StabMonth)/12))/12,MAX(0,DT$35*12)/EntryCapRate*(TaxLevyPct*TaxAssessmentPct*TaxValueAdjFactor)/12))</f>
        <v/>
      </c>
      <c r="DU36" s="18">
        <f>IF(122&lt;StabMonth,0,IF(TaxMethodValue&gt;=1,TaxYear1*(1+GrowthTax)^(MAX(0,(122-StabMonth)/12))/12,MAX(0,DU$35*12)/EntryCapRate*(TaxLevyPct*TaxAssessmentPct*TaxValueAdjFactor)/12))</f>
        <v/>
      </c>
      <c r="DV36" s="18">
        <f>IF(123&lt;StabMonth,0,IF(TaxMethodValue&gt;=1,TaxYear1*(1+GrowthTax)^(MAX(0,(123-StabMonth)/12))/12,MAX(0,DV$35*12)/EntryCapRate*(TaxLevyPct*TaxAssessmentPct*TaxValueAdjFactor)/12))</f>
        <v/>
      </c>
      <c r="DW36" s="18">
        <f>IF(124&lt;StabMonth,0,IF(TaxMethodValue&gt;=1,TaxYear1*(1+GrowthTax)^(MAX(0,(124-StabMonth)/12))/12,MAX(0,DW$35*12)/EntryCapRate*(TaxLevyPct*TaxAssessmentPct*TaxValueAdjFactor)/12))</f>
        <v/>
      </c>
      <c r="DX36" s="18">
        <f>IF(125&lt;StabMonth,0,IF(TaxMethodValue&gt;=1,TaxYear1*(1+GrowthTax)^(MAX(0,(125-StabMonth)/12))/12,MAX(0,DX$35*12)/EntryCapRate*(TaxLevyPct*TaxAssessmentPct*TaxValueAdjFactor)/12))</f>
        <v/>
      </c>
      <c r="DY36" s="18">
        <f>IF(126&lt;StabMonth,0,IF(TaxMethodValue&gt;=1,TaxYear1*(1+GrowthTax)^(MAX(0,(126-StabMonth)/12))/12,MAX(0,DY$35*12)/EntryCapRate*(TaxLevyPct*TaxAssessmentPct*TaxValueAdjFactor)/12))</f>
        <v/>
      </c>
      <c r="DZ36" s="18">
        <f>IF(127&lt;StabMonth,0,IF(TaxMethodValue&gt;=1,TaxYear1*(1+GrowthTax)^(MAX(0,(127-StabMonth)/12))/12,MAX(0,DZ$35*12)/EntryCapRate*(TaxLevyPct*TaxAssessmentPct*TaxValueAdjFactor)/12))</f>
        <v/>
      </c>
      <c r="EA36" s="18">
        <f>IF(128&lt;StabMonth,0,IF(TaxMethodValue&gt;=1,TaxYear1*(1+GrowthTax)^(MAX(0,(128-StabMonth)/12))/12,MAX(0,EA$35*12)/EntryCapRate*(TaxLevyPct*TaxAssessmentPct*TaxValueAdjFactor)/12))</f>
        <v/>
      </c>
      <c r="EB36" s="18">
        <f>IF(129&lt;StabMonth,0,IF(TaxMethodValue&gt;=1,TaxYear1*(1+GrowthTax)^(MAX(0,(129-StabMonth)/12))/12,MAX(0,EB$35*12)/EntryCapRate*(TaxLevyPct*TaxAssessmentPct*TaxValueAdjFactor)/12))</f>
        <v/>
      </c>
      <c r="EC36" s="18">
        <f>IF(130&lt;StabMonth,0,IF(TaxMethodValue&gt;=1,TaxYear1*(1+GrowthTax)^(MAX(0,(130-StabMonth)/12))/12,MAX(0,EC$35*12)/EntryCapRate*(TaxLevyPct*TaxAssessmentPct*TaxValueAdjFactor)/12))</f>
        <v/>
      </c>
      <c r="ED36" s="18">
        <f>IF(131&lt;StabMonth,0,IF(TaxMethodValue&gt;=1,TaxYear1*(1+GrowthTax)^(MAX(0,(131-StabMonth)/12))/12,MAX(0,ED$35*12)/EntryCapRate*(TaxLevyPct*TaxAssessmentPct*TaxValueAdjFactor)/12))</f>
        <v/>
      </c>
      <c r="EE36" s="18">
        <f>IF(132&lt;StabMonth,0,IF(TaxMethodValue&gt;=1,TaxYear1*(1+GrowthTax)^(MAX(0,(132-StabMonth)/12))/12,MAX(0,EE$35*12)/EntryCapRate*(TaxLevyPct*TaxAssessmentPct*TaxValueAdjFactor)/12))</f>
        <v/>
      </c>
      <c r="EF36" s="18">
        <f>IF(133&lt;StabMonth,0,IF(TaxMethodValue&gt;=1,TaxYear1*(1+GrowthTax)^(MAX(0,(133-StabMonth)/12))/12,MAX(0,EF$35*12)/EntryCapRate*(TaxLevyPct*TaxAssessmentPct*TaxValueAdjFactor)/12))</f>
        <v/>
      </c>
      <c r="EG36" s="18">
        <f>IF(134&lt;StabMonth,0,IF(TaxMethodValue&gt;=1,TaxYear1*(1+GrowthTax)^(MAX(0,(134-StabMonth)/12))/12,MAX(0,EG$35*12)/EntryCapRate*(TaxLevyPct*TaxAssessmentPct*TaxValueAdjFactor)/12))</f>
        <v/>
      </c>
      <c r="EH36" s="18">
        <f>IF(135&lt;StabMonth,0,IF(TaxMethodValue&gt;=1,TaxYear1*(1+GrowthTax)^(MAX(0,(135-StabMonth)/12))/12,MAX(0,EH$35*12)/EntryCapRate*(TaxLevyPct*TaxAssessmentPct*TaxValueAdjFactor)/12))</f>
        <v/>
      </c>
      <c r="EI36" s="18">
        <f>IF(136&lt;StabMonth,0,IF(TaxMethodValue&gt;=1,TaxYear1*(1+GrowthTax)^(MAX(0,(136-StabMonth)/12))/12,MAX(0,EI$35*12)/EntryCapRate*(TaxLevyPct*TaxAssessmentPct*TaxValueAdjFactor)/12))</f>
        <v/>
      </c>
      <c r="EJ36" s="18">
        <f>IF(137&lt;StabMonth,0,IF(TaxMethodValue&gt;=1,TaxYear1*(1+GrowthTax)^(MAX(0,(137-StabMonth)/12))/12,MAX(0,EJ$35*12)/EntryCapRate*(TaxLevyPct*TaxAssessmentPct*TaxValueAdjFactor)/12))</f>
        <v/>
      </c>
      <c r="EK36" s="18">
        <f>IF(138&lt;StabMonth,0,IF(TaxMethodValue&gt;=1,TaxYear1*(1+GrowthTax)^(MAX(0,(138-StabMonth)/12))/12,MAX(0,EK$35*12)/EntryCapRate*(TaxLevyPct*TaxAssessmentPct*TaxValueAdjFactor)/12))</f>
        <v/>
      </c>
      <c r="EL36" s="18">
        <f>IF(139&lt;StabMonth,0,IF(TaxMethodValue&gt;=1,TaxYear1*(1+GrowthTax)^(MAX(0,(139-StabMonth)/12))/12,MAX(0,EL$35*12)/EntryCapRate*(TaxLevyPct*TaxAssessmentPct*TaxValueAdjFactor)/12))</f>
        <v/>
      </c>
      <c r="EM36" s="18">
        <f>IF(140&lt;StabMonth,0,IF(TaxMethodValue&gt;=1,TaxYear1*(1+GrowthTax)^(MAX(0,(140-StabMonth)/12))/12,MAX(0,EM$35*12)/EntryCapRate*(TaxLevyPct*TaxAssessmentPct*TaxValueAdjFactor)/12))</f>
        <v/>
      </c>
      <c r="EN36" s="18">
        <f>IF(141&lt;StabMonth,0,IF(TaxMethodValue&gt;=1,TaxYear1*(1+GrowthTax)^(MAX(0,(141-StabMonth)/12))/12,MAX(0,EN$35*12)/EntryCapRate*(TaxLevyPct*TaxAssessmentPct*TaxValueAdjFactor)/12))</f>
        <v/>
      </c>
      <c r="EO36" s="18">
        <f>IF(142&lt;StabMonth,0,IF(TaxMethodValue&gt;=1,TaxYear1*(1+GrowthTax)^(MAX(0,(142-StabMonth)/12))/12,MAX(0,EO$35*12)/EntryCapRate*(TaxLevyPct*TaxAssessmentPct*TaxValueAdjFactor)/12))</f>
        <v/>
      </c>
      <c r="EP36" s="18">
        <f>IF(143&lt;StabMonth,0,IF(TaxMethodValue&gt;=1,TaxYear1*(1+GrowthTax)^(MAX(0,(143-StabMonth)/12))/12,MAX(0,EP$35*12)/EntryCapRate*(TaxLevyPct*TaxAssessmentPct*TaxValueAdjFactor)/12))</f>
        <v/>
      </c>
      <c r="EQ36" s="18">
        <f>IF(144&lt;StabMonth,0,IF(TaxMethodValue&gt;=1,TaxYear1*(1+GrowthTax)^(MAX(0,(144-StabMonth)/12))/12,MAX(0,EQ$35*12)/EntryCapRate*(TaxLevyPct*TaxAssessmentPct*TaxValueAdjFactor)/12))</f>
        <v/>
      </c>
      <c r="ER36" s="18">
        <f>IF(145&lt;StabMonth,0,IF(TaxMethodValue&gt;=1,TaxYear1*(1+GrowthTax)^(MAX(0,(145-StabMonth)/12))/12,MAX(0,ER$35*12)/EntryCapRate*(TaxLevyPct*TaxAssessmentPct*TaxValueAdjFactor)/12))</f>
        <v/>
      </c>
      <c r="ES36" s="18">
        <f>IF(146&lt;StabMonth,0,IF(TaxMethodValue&gt;=1,TaxYear1*(1+GrowthTax)^(MAX(0,(146-StabMonth)/12))/12,MAX(0,ES$35*12)/EntryCapRate*(TaxLevyPct*TaxAssessmentPct*TaxValueAdjFactor)/12))</f>
        <v/>
      </c>
      <c r="ET36" s="18">
        <f>IF(147&lt;StabMonth,0,IF(TaxMethodValue&gt;=1,TaxYear1*(1+GrowthTax)^(MAX(0,(147-StabMonth)/12))/12,MAX(0,ET$35*12)/EntryCapRate*(TaxLevyPct*TaxAssessmentPct*TaxValueAdjFactor)/12))</f>
        <v/>
      </c>
      <c r="EU36" s="18">
        <f>IF(148&lt;StabMonth,0,IF(TaxMethodValue&gt;=1,TaxYear1*(1+GrowthTax)^(MAX(0,(148-StabMonth)/12))/12,MAX(0,EU$35*12)/EntryCapRate*(TaxLevyPct*TaxAssessmentPct*TaxValueAdjFactor)/12))</f>
        <v/>
      </c>
      <c r="EV36" s="18">
        <f>IF(149&lt;StabMonth,0,IF(TaxMethodValue&gt;=1,TaxYear1*(1+GrowthTax)^(MAX(0,(149-StabMonth)/12))/12,MAX(0,EV$35*12)/EntryCapRate*(TaxLevyPct*TaxAssessmentPct*TaxValueAdjFactor)/12))</f>
        <v/>
      </c>
      <c r="EW36" s="18">
        <f>IF(150&lt;StabMonth,0,IF(TaxMethodValue&gt;=1,TaxYear1*(1+GrowthTax)^(MAX(0,(150-StabMonth)/12))/12,MAX(0,EW$35*12)/EntryCapRate*(TaxLevyPct*TaxAssessmentPct*TaxValueAdjFactor)/12))</f>
        <v/>
      </c>
      <c r="EX36" s="18">
        <f>IF(151&lt;StabMonth,0,IF(TaxMethodValue&gt;=1,TaxYear1*(1+GrowthTax)^(MAX(0,(151-StabMonth)/12))/12,MAX(0,EX$35*12)/EntryCapRate*(TaxLevyPct*TaxAssessmentPct*TaxValueAdjFactor)/12))</f>
        <v/>
      </c>
      <c r="EY36" s="18">
        <f>IF(152&lt;StabMonth,0,IF(TaxMethodValue&gt;=1,TaxYear1*(1+GrowthTax)^(MAX(0,(152-StabMonth)/12))/12,MAX(0,EY$35*12)/EntryCapRate*(TaxLevyPct*TaxAssessmentPct*TaxValueAdjFactor)/12))</f>
        <v/>
      </c>
      <c r="EZ36" s="18">
        <f>IF(153&lt;StabMonth,0,IF(TaxMethodValue&gt;=1,TaxYear1*(1+GrowthTax)^(MAX(0,(153-StabMonth)/12))/12,MAX(0,EZ$35*12)/EntryCapRate*(TaxLevyPct*TaxAssessmentPct*TaxValueAdjFactor)/12))</f>
        <v/>
      </c>
      <c r="FA36" s="18">
        <f>IF(154&lt;StabMonth,0,IF(TaxMethodValue&gt;=1,TaxYear1*(1+GrowthTax)^(MAX(0,(154-StabMonth)/12))/12,MAX(0,FA$35*12)/EntryCapRate*(TaxLevyPct*TaxAssessmentPct*TaxValueAdjFactor)/12))</f>
        <v/>
      </c>
      <c r="FB36" s="18">
        <f>IF(155&lt;StabMonth,0,IF(TaxMethodValue&gt;=1,TaxYear1*(1+GrowthTax)^(MAX(0,(155-StabMonth)/12))/12,MAX(0,FB$35*12)/EntryCapRate*(TaxLevyPct*TaxAssessmentPct*TaxValueAdjFactor)/12))</f>
        <v/>
      </c>
      <c r="FC36" s="18">
        <f>IF(156&lt;StabMonth,0,IF(TaxMethodValue&gt;=1,TaxYear1*(1+GrowthTax)^(MAX(0,(156-StabMonth)/12))/12,MAX(0,FC$35*12)/EntryCapRate*(TaxLevyPct*TaxAssessmentPct*TaxValueAdjFactor)/12))</f>
        <v/>
      </c>
      <c r="FD36" s="18">
        <f>IF(157&lt;StabMonth,0,IF(TaxMethodValue&gt;=1,TaxYear1*(1+GrowthTax)^(MAX(0,(157-StabMonth)/12))/12,MAX(0,FD$35*12)/EntryCapRate*(TaxLevyPct*TaxAssessmentPct*TaxValueAdjFactor)/12))</f>
        <v/>
      </c>
      <c r="FE36" s="18">
        <f>IF(158&lt;StabMonth,0,IF(TaxMethodValue&gt;=1,TaxYear1*(1+GrowthTax)^(MAX(0,(158-StabMonth)/12))/12,MAX(0,FE$35*12)/EntryCapRate*(TaxLevyPct*TaxAssessmentPct*TaxValueAdjFactor)/12))</f>
        <v/>
      </c>
      <c r="FF36" s="18">
        <f>IF(159&lt;StabMonth,0,IF(TaxMethodValue&gt;=1,TaxYear1*(1+GrowthTax)^(MAX(0,(159-StabMonth)/12))/12,MAX(0,FF$35*12)/EntryCapRate*(TaxLevyPct*TaxAssessmentPct*TaxValueAdjFactor)/12))</f>
        <v/>
      </c>
      <c r="FG36" s="18">
        <f>IF(160&lt;StabMonth,0,IF(TaxMethodValue&gt;=1,TaxYear1*(1+GrowthTax)^(MAX(0,(160-StabMonth)/12))/12,MAX(0,FG$35*12)/EntryCapRate*(TaxLevyPct*TaxAssessmentPct*TaxValueAdjFactor)/12))</f>
        <v/>
      </c>
      <c r="FH36" s="18">
        <f>IF(161&lt;StabMonth,0,IF(TaxMethodValue&gt;=1,TaxYear1*(1+GrowthTax)^(MAX(0,(161-StabMonth)/12))/12,MAX(0,FH$35*12)/EntryCapRate*(TaxLevyPct*TaxAssessmentPct*TaxValueAdjFactor)/12))</f>
        <v/>
      </c>
      <c r="FI36" s="18">
        <f>IF(162&lt;StabMonth,0,IF(TaxMethodValue&gt;=1,TaxYear1*(1+GrowthTax)^(MAX(0,(162-StabMonth)/12))/12,MAX(0,FI$35*12)/EntryCapRate*(TaxLevyPct*TaxAssessmentPct*TaxValueAdjFactor)/12))</f>
        <v/>
      </c>
      <c r="FJ36" s="18">
        <f>IF(163&lt;StabMonth,0,IF(TaxMethodValue&gt;=1,TaxYear1*(1+GrowthTax)^(MAX(0,(163-StabMonth)/12))/12,MAX(0,FJ$35*12)/EntryCapRate*(TaxLevyPct*TaxAssessmentPct*TaxValueAdjFactor)/12))</f>
        <v/>
      </c>
      <c r="FK36" s="18">
        <f>IF(164&lt;StabMonth,0,IF(TaxMethodValue&gt;=1,TaxYear1*(1+GrowthTax)^(MAX(0,(164-StabMonth)/12))/12,MAX(0,FK$35*12)/EntryCapRate*(TaxLevyPct*TaxAssessmentPct*TaxValueAdjFactor)/12))</f>
        <v/>
      </c>
      <c r="FL36" s="18">
        <f>IF(165&lt;StabMonth,0,IF(TaxMethodValue&gt;=1,TaxYear1*(1+GrowthTax)^(MAX(0,(165-StabMonth)/12))/12,MAX(0,FL$35*12)/EntryCapRate*(TaxLevyPct*TaxAssessmentPct*TaxValueAdjFactor)/12))</f>
        <v/>
      </c>
      <c r="FM36" s="18">
        <f>IF(166&lt;StabMonth,0,IF(TaxMethodValue&gt;=1,TaxYear1*(1+GrowthTax)^(MAX(0,(166-StabMonth)/12))/12,MAX(0,FM$35*12)/EntryCapRate*(TaxLevyPct*TaxAssessmentPct*TaxValueAdjFactor)/12))</f>
        <v/>
      </c>
      <c r="FN36" s="18">
        <f>IF(167&lt;StabMonth,0,IF(TaxMethodValue&gt;=1,TaxYear1*(1+GrowthTax)^(MAX(0,(167-StabMonth)/12))/12,MAX(0,FN$35*12)/EntryCapRate*(TaxLevyPct*TaxAssessmentPct*TaxValueAdjFactor)/12))</f>
        <v/>
      </c>
      <c r="FO36" s="18">
        <f>IF(168&lt;StabMonth,0,IF(TaxMethodValue&gt;=1,TaxYear1*(1+GrowthTax)^(MAX(0,(168-StabMonth)/12))/12,MAX(0,FO$35*12)/EntryCapRate*(TaxLevyPct*TaxAssessmentPct*TaxValueAdjFactor)/12))</f>
        <v/>
      </c>
      <c r="FP36" s="18">
        <f>IF(169&lt;StabMonth,0,IF(TaxMethodValue&gt;=1,TaxYear1*(1+GrowthTax)^(MAX(0,(169-StabMonth)/12))/12,MAX(0,FP$35*12)/EntryCapRate*(TaxLevyPct*TaxAssessmentPct*TaxValueAdjFactor)/12))</f>
        <v/>
      </c>
      <c r="FQ36" s="18">
        <f>IF(170&lt;StabMonth,0,IF(TaxMethodValue&gt;=1,TaxYear1*(1+GrowthTax)^(MAX(0,(170-StabMonth)/12))/12,MAX(0,FQ$35*12)/EntryCapRate*(TaxLevyPct*TaxAssessmentPct*TaxValueAdjFactor)/12))</f>
        <v/>
      </c>
      <c r="FR36" s="18">
        <f>IF(171&lt;StabMonth,0,IF(TaxMethodValue&gt;=1,TaxYear1*(1+GrowthTax)^(MAX(0,(171-StabMonth)/12))/12,MAX(0,FR$35*12)/EntryCapRate*(TaxLevyPct*TaxAssessmentPct*TaxValueAdjFactor)/12))</f>
        <v/>
      </c>
      <c r="FS36" s="18">
        <f>IF(172&lt;StabMonth,0,IF(TaxMethodValue&gt;=1,TaxYear1*(1+GrowthTax)^(MAX(0,(172-StabMonth)/12))/12,MAX(0,FS$35*12)/EntryCapRate*(TaxLevyPct*TaxAssessmentPct*TaxValueAdjFactor)/12))</f>
        <v/>
      </c>
      <c r="FT36" s="18">
        <f>IF(173&lt;StabMonth,0,IF(TaxMethodValue&gt;=1,TaxYear1*(1+GrowthTax)^(MAX(0,(173-StabMonth)/12))/12,MAX(0,FT$35*12)/EntryCapRate*(TaxLevyPct*TaxAssessmentPct*TaxValueAdjFactor)/12))</f>
        <v/>
      </c>
      <c r="FU36" s="18">
        <f>IF(174&lt;StabMonth,0,IF(TaxMethodValue&gt;=1,TaxYear1*(1+GrowthTax)^(MAX(0,(174-StabMonth)/12))/12,MAX(0,FU$35*12)/EntryCapRate*(TaxLevyPct*TaxAssessmentPct*TaxValueAdjFactor)/12))</f>
        <v/>
      </c>
      <c r="FV36" s="18">
        <f>IF(175&lt;StabMonth,0,IF(TaxMethodValue&gt;=1,TaxYear1*(1+GrowthTax)^(MAX(0,(175-StabMonth)/12))/12,MAX(0,FV$35*12)/EntryCapRate*(TaxLevyPct*TaxAssessmentPct*TaxValueAdjFactor)/12))</f>
        <v/>
      </c>
      <c r="FW36" s="18">
        <f>IF(176&lt;StabMonth,0,IF(TaxMethodValue&gt;=1,TaxYear1*(1+GrowthTax)^(MAX(0,(176-StabMonth)/12))/12,MAX(0,FW$35*12)/EntryCapRate*(TaxLevyPct*TaxAssessmentPct*TaxValueAdjFactor)/12))</f>
        <v/>
      </c>
      <c r="FX36" s="18">
        <f>IF(177&lt;StabMonth,0,IF(TaxMethodValue&gt;=1,TaxYear1*(1+GrowthTax)^(MAX(0,(177-StabMonth)/12))/12,MAX(0,FX$35*12)/EntryCapRate*(TaxLevyPct*TaxAssessmentPct*TaxValueAdjFactor)/12))</f>
        <v/>
      </c>
      <c r="FY36" s="18">
        <f>IF(178&lt;StabMonth,0,IF(TaxMethodValue&gt;=1,TaxYear1*(1+GrowthTax)^(MAX(0,(178-StabMonth)/12))/12,MAX(0,FY$35*12)/EntryCapRate*(TaxLevyPct*TaxAssessmentPct*TaxValueAdjFactor)/12))</f>
        <v/>
      </c>
      <c r="FZ36" s="18">
        <f>IF(179&lt;StabMonth,0,IF(TaxMethodValue&gt;=1,TaxYear1*(1+GrowthTax)^(MAX(0,(179-StabMonth)/12))/12,MAX(0,FZ$35*12)/EntryCapRate*(TaxLevyPct*TaxAssessmentPct*TaxValueAdjFactor)/12))</f>
        <v/>
      </c>
      <c r="GA36" s="18">
        <f>IF(180&lt;StabMonth,0,IF(TaxMethodValue&gt;=1,TaxYear1*(1+GrowthTax)^(MAX(0,(180-StabMonth)/12))/12,MAX(0,GA$35*12)/EntryCapRate*(TaxLevyPct*TaxAssessmentPct*TaxValueAdjFactor)/12))</f>
        <v/>
      </c>
      <c r="GB36" s="18">
        <f>IF(181&lt;StabMonth,0,IF(TaxMethodValue&gt;=1,TaxYear1*(1+GrowthTax)^(MAX(0,(181-StabMonth)/12))/12,MAX(0,GB$35*12)/EntryCapRate*(TaxLevyPct*TaxAssessmentPct*TaxValueAdjFactor)/12))</f>
        <v/>
      </c>
      <c r="GC36" s="18">
        <f>IF(182&lt;StabMonth,0,IF(TaxMethodValue&gt;=1,TaxYear1*(1+GrowthTax)^(MAX(0,(182-StabMonth)/12))/12,MAX(0,GC$35*12)/EntryCapRate*(TaxLevyPct*TaxAssessmentPct*TaxValueAdjFactor)/12))</f>
        <v/>
      </c>
      <c r="GD36" s="18">
        <f>IF(183&lt;StabMonth,0,IF(TaxMethodValue&gt;=1,TaxYear1*(1+GrowthTax)^(MAX(0,(183-StabMonth)/12))/12,MAX(0,GD$35*12)/EntryCapRate*(TaxLevyPct*TaxAssessmentPct*TaxValueAdjFactor)/12))</f>
        <v/>
      </c>
      <c r="GE36" s="18">
        <f>IF(184&lt;StabMonth,0,IF(TaxMethodValue&gt;=1,TaxYear1*(1+GrowthTax)^(MAX(0,(184-StabMonth)/12))/12,MAX(0,GE$35*12)/EntryCapRate*(TaxLevyPct*TaxAssessmentPct*TaxValueAdjFactor)/12))</f>
        <v/>
      </c>
      <c r="GF36" s="18">
        <f>IF(185&lt;StabMonth,0,IF(TaxMethodValue&gt;=1,TaxYear1*(1+GrowthTax)^(MAX(0,(185-StabMonth)/12))/12,MAX(0,GF$35*12)/EntryCapRate*(TaxLevyPct*TaxAssessmentPct*TaxValueAdjFactor)/12))</f>
        <v/>
      </c>
      <c r="GG36" s="18">
        <f>IF(186&lt;StabMonth,0,IF(TaxMethodValue&gt;=1,TaxYear1*(1+GrowthTax)^(MAX(0,(186-StabMonth)/12))/12,MAX(0,GG$35*12)/EntryCapRate*(TaxLevyPct*TaxAssessmentPct*TaxValueAdjFactor)/12))</f>
        <v/>
      </c>
      <c r="GH36" s="18">
        <f>IF(187&lt;StabMonth,0,IF(TaxMethodValue&gt;=1,TaxYear1*(1+GrowthTax)^(MAX(0,(187-StabMonth)/12))/12,MAX(0,GH$35*12)/EntryCapRate*(TaxLevyPct*TaxAssessmentPct*TaxValueAdjFactor)/12))</f>
        <v/>
      </c>
      <c r="GI36" s="18">
        <f>IF(188&lt;StabMonth,0,IF(TaxMethodValue&gt;=1,TaxYear1*(1+GrowthTax)^(MAX(0,(188-StabMonth)/12))/12,MAX(0,GI$35*12)/EntryCapRate*(TaxLevyPct*TaxAssessmentPct*TaxValueAdjFactor)/12))</f>
        <v/>
      </c>
      <c r="GJ36" s="18">
        <f>IF(189&lt;StabMonth,0,IF(TaxMethodValue&gt;=1,TaxYear1*(1+GrowthTax)^(MAX(0,(189-StabMonth)/12))/12,MAX(0,GJ$35*12)/EntryCapRate*(TaxLevyPct*TaxAssessmentPct*TaxValueAdjFactor)/12))</f>
        <v/>
      </c>
      <c r="GK36" s="18">
        <f>IF(190&lt;StabMonth,0,IF(TaxMethodValue&gt;=1,TaxYear1*(1+GrowthTax)^(MAX(0,(190-StabMonth)/12))/12,MAX(0,GK$35*12)/EntryCapRate*(TaxLevyPct*TaxAssessmentPct*TaxValueAdjFactor)/12))</f>
        <v/>
      </c>
      <c r="GL36" s="18">
        <f>IF(191&lt;StabMonth,0,IF(TaxMethodValue&gt;=1,TaxYear1*(1+GrowthTax)^(MAX(0,(191-StabMonth)/12))/12,MAX(0,GL$35*12)/EntryCapRate*(TaxLevyPct*TaxAssessmentPct*TaxValueAdjFactor)/12))</f>
        <v/>
      </c>
      <c r="GM36" s="18">
        <f>IF(192&lt;StabMonth,0,IF(TaxMethodValue&gt;=1,TaxYear1*(1+GrowthTax)^(MAX(0,(192-StabMonth)/12))/12,MAX(0,GM$35*12)/EntryCapRate*(TaxLevyPct*TaxAssessmentPct*TaxValueAdjFactor)/12))</f>
        <v/>
      </c>
      <c r="GN36" s="18">
        <f>IF(193&lt;StabMonth,0,IF(TaxMethodValue&gt;=1,TaxYear1*(1+GrowthTax)^(MAX(0,(193-StabMonth)/12))/12,MAX(0,GN$35*12)/EntryCapRate*(TaxLevyPct*TaxAssessmentPct*TaxValueAdjFactor)/12))</f>
        <v/>
      </c>
      <c r="GO36" s="18">
        <f>IF(194&lt;StabMonth,0,IF(TaxMethodValue&gt;=1,TaxYear1*(1+GrowthTax)^(MAX(0,(194-StabMonth)/12))/12,MAX(0,GO$35*12)/EntryCapRate*(TaxLevyPct*TaxAssessmentPct*TaxValueAdjFactor)/12))</f>
        <v/>
      </c>
      <c r="GP36" s="18">
        <f>IF(195&lt;StabMonth,0,IF(TaxMethodValue&gt;=1,TaxYear1*(1+GrowthTax)^(MAX(0,(195-StabMonth)/12))/12,MAX(0,GP$35*12)/EntryCapRate*(TaxLevyPct*TaxAssessmentPct*TaxValueAdjFactor)/12))</f>
        <v/>
      </c>
      <c r="GQ36" s="18">
        <f>IF(196&lt;StabMonth,0,IF(TaxMethodValue&gt;=1,TaxYear1*(1+GrowthTax)^(MAX(0,(196-StabMonth)/12))/12,MAX(0,GQ$35*12)/EntryCapRate*(TaxLevyPct*TaxAssessmentPct*TaxValueAdjFactor)/12))</f>
        <v/>
      </c>
      <c r="GR36" s="18">
        <f>IF(197&lt;StabMonth,0,IF(TaxMethodValue&gt;=1,TaxYear1*(1+GrowthTax)^(MAX(0,(197-StabMonth)/12))/12,MAX(0,GR$35*12)/EntryCapRate*(TaxLevyPct*TaxAssessmentPct*TaxValueAdjFactor)/12))</f>
        <v/>
      </c>
      <c r="GS36" s="18">
        <f>IF(198&lt;StabMonth,0,IF(TaxMethodValue&gt;=1,TaxYear1*(1+GrowthTax)^(MAX(0,(198-StabMonth)/12))/12,MAX(0,GS$35*12)/EntryCapRate*(TaxLevyPct*TaxAssessmentPct*TaxValueAdjFactor)/12))</f>
        <v/>
      </c>
      <c r="GT36" s="18">
        <f>IF(199&lt;StabMonth,0,IF(TaxMethodValue&gt;=1,TaxYear1*(1+GrowthTax)^(MAX(0,(199-StabMonth)/12))/12,MAX(0,GT$35*12)/EntryCapRate*(TaxLevyPct*TaxAssessmentPct*TaxValueAdjFactor)/12))</f>
        <v/>
      </c>
      <c r="GU36" s="18">
        <f>IF(200&lt;StabMonth,0,IF(TaxMethodValue&gt;=1,TaxYear1*(1+GrowthTax)^(MAX(0,(200-StabMonth)/12))/12,MAX(0,GU$35*12)/EntryCapRate*(TaxLevyPct*TaxAssessmentPct*TaxValueAdjFactor)/12))</f>
        <v/>
      </c>
      <c r="GV36" s="18">
        <f>IF(201&lt;StabMonth,0,IF(TaxMethodValue&gt;=1,TaxYear1*(1+GrowthTax)^(MAX(0,(201-StabMonth)/12))/12,MAX(0,GV$35*12)/EntryCapRate*(TaxLevyPct*TaxAssessmentPct*TaxValueAdjFactor)/12))</f>
        <v/>
      </c>
      <c r="GW36" s="18">
        <f>IF(202&lt;StabMonth,0,IF(TaxMethodValue&gt;=1,TaxYear1*(1+GrowthTax)^(MAX(0,(202-StabMonth)/12))/12,MAX(0,GW$35*12)/EntryCapRate*(TaxLevyPct*TaxAssessmentPct*TaxValueAdjFactor)/12))</f>
        <v/>
      </c>
      <c r="GX36" s="18">
        <f>IF(203&lt;StabMonth,0,IF(TaxMethodValue&gt;=1,TaxYear1*(1+GrowthTax)^(MAX(0,(203-StabMonth)/12))/12,MAX(0,GX$35*12)/EntryCapRate*(TaxLevyPct*TaxAssessmentPct*TaxValueAdjFactor)/12))</f>
        <v/>
      </c>
      <c r="GY36" s="18">
        <f>IF(204&lt;StabMonth,0,IF(TaxMethodValue&gt;=1,TaxYear1*(1+GrowthTax)^(MAX(0,(204-StabMonth)/12))/12,MAX(0,GY$35*12)/EntryCapRate*(TaxLevyPct*TaxAssessmentPct*TaxValueAdjFactor)/12))</f>
        <v/>
      </c>
      <c r="GZ36" s="18">
        <f>IF(205&lt;StabMonth,0,IF(TaxMethodValue&gt;=1,TaxYear1*(1+GrowthTax)^(MAX(0,(205-StabMonth)/12))/12,MAX(0,GZ$35*12)/EntryCapRate*(TaxLevyPct*TaxAssessmentPct*TaxValueAdjFactor)/12))</f>
        <v/>
      </c>
      <c r="HA36" s="18">
        <f>IF(206&lt;StabMonth,0,IF(TaxMethodValue&gt;=1,TaxYear1*(1+GrowthTax)^(MAX(0,(206-StabMonth)/12))/12,MAX(0,HA$35*12)/EntryCapRate*(TaxLevyPct*TaxAssessmentPct*TaxValueAdjFactor)/12))</f>
        <v/>
      </c>
      <c r="HB36" s="18">
        <f>IF(207&lt;StabMonth,0,IF(TaxMethodValue&gt;=1,TaxYear1*(1+GrowthTax)^(MAX(0,(207-StabMonth)/12))/12,MAX(0,HB$35*12)/EntryCapRate*(TaxLevyPct*TaxAssessmentPct*TaxValueAdjFactor)/12))</f>
        <v/>
      </c>
      <c r="HC36" s="18">
        <f>IF(208&lt;StabMonth,0,IF(TaxMethodValue&gt;=1,TaxYear1*(1+GrowthTax)^(MAX(0,(208-StabMonth)/12))/12,MAX(0,HC$35*12)/EntryCapRate*(TaxLevyPct*TaxAssessmentPct*TaxValueAdjFactor)/12))</f>
        <v/>
      </c>
      <c r="HD36" s="18">
        <f>IF(209&lt;StabMonth,0,IF(TaxMethodValue&gt;=1,TaxYear1*(1+GrowthTax)^(MAX(0,(209-StabMonth)/12))/12,MAX(0,HD$35*12)/EntryCapRate*(TaxLevyPct*TaxAssessmentPct*TaxValueAdjFactor)/12))</f>
        <v/>
      </c>
      <c r="HE36" s="18">
        <f>IF(210&lt;StabMonth,0,IF(TaxMethodValue&gt;=1,TaxYear1*(1+GrowthTax)^(MAX(0,(210-StabMonth)/12))/12,MAX(0,HE$35*12)/EntryCapRate*(TaxLevyPct*TaxAssessmentPct*TaxValueAdjFactor)/12))</f>
        <v/>
      </c>
      <c r="HF36" s="18">
        <f>IF(211&lt;StabMonth,0,IF(TaxMethodValue&gt;=1,TaxYear1*(1+GrowthTax)^(MAX(0,(211-StabMonth)/12))/12,MAX(0,HF$35*12)/EntryCapRate*(TaxLevyPct*TaxAssessmentPct*TaxValueAdjFactor)/12))</f>
        <v/>
      </c>
      <c r="HG36" s="18">
        <f>IF(212&lt;StabMonth,0,IF(TaxMethodValue&gt;=1,TaxYear1*(1+GrowthTax)^(MAX(0,(212-StabMonth)/12))/12,MAX(0,HG$35*12)/EntryCapRate*(TaxLevyPct*TaxAssessmentPct*TaxValueAdjFactor)/12))</f>
        <v/>
      </c>
      <c r="HH36" s="18">
        <f>IF(213&lt;StabMonth,0,IF(TaxMethodValue&gt;=1,TaxYear1*(1+GrowthTax)^(MAX(0,(213-StabMonth)/12))/12,MAX(0,HH$35*12)/EntryCapRate*(TaxLevyPct*TaxAssessmentPct*TaxValueAdjFactor)/12))</f>
        <v/>
      </c>
      <c r="HI36" s="18">
        <f>IF(214&lt;StabMonth,0,IF(TaxMethodValue&gt;=1,TaxYear1*(1+GrowthTax)^(MAX(0,(214-StabMonth)/12))/12,MAX(0,HI$35*12)/EntryCapRate*(TaxLevyPct*TaxAssessmentPct*TaxValueAdjFactor)/12))</f>
        <v/>
      </c>
      <c r="HJ36" s="18">
        <f>IF(215&lt;StabMonth,0,IF(TaxMethodValue&gt;=1,TaxYear1*(1+GrowthTax)^(MAX(0,(215-StabMonth)/12))/12,MAX(0,HJ$35*12)/EntryCapRate*(TaxLevyPct*TaxAssessmentPct*TaxValueAdjFactor)/12))</f>
        <v/>
      </c>
      <c r="HK36" s="18">
        <f>IF(216&lt;StabMonth,0,IF(TaxMethodValue&gt;=1,TaxYear1*(1+GrowthTax)^(MAX(0,(216-StabMonth)/12))/12,MAX(0,HK$35*12)/EntryCapRate*(TaxLevyPct*TaxAssessmentPct*TaxValueAdjFactor)/12))</f>
        <v/>
      </c>
      <c r="HL36" s="18">
        <f>IF(217&lt;StabMonth,0,IF(TaxMethodValue&gt;=1,TaxYear1*(1+GrowthTax)^(MAX(0,(217-StabMonth)/12))/12,MAX(0,HL$35*12)/EntryCapRate*(TaxLevyPct*TaxAssessmentPct*TaxValueAdjFactor)/12))</f>
        <v/>
      </c>
      <c r="HM36" s="18">
        <f>IF(218&lt;StabMonth,0,IF(TaxMethodValue&gt;=1,TaxYear1*(1+GrowthTax)^(MAX(0,(218-StabMonth)/12))/12,MAX(0,HM$35*12)/EntryCapRate*(TaxLevyPct*TaxAssessmentPct*TaxValueAdjFactor)/12))</f>
        <v/>
      </c>
      <c r="HN36" s="18">
        <f>IF(219&lt;StabMonth,0,IF(TaxMethodValue&gt;=1,TaxYear1*(1+GrowthTax)^(MAX(0,(219-StabMonth)/12))/12,MAX(0,HN$35*12)/EntryCapRate*(TaxLevyPct*TaxAssessmentPct*TaxValueAdjFactor)/12))</f>
        <v/>
      </c>
      <c r="HO36" s="18">
        <f>IF(220&lt;StabMonth,0,IF(TaxMethodValue&gt;=1,TaxYear1*(1+GrowthTax)^(MAX(0,(220-StabMonth)/12))/12,MAX(0,HO$35*12)/EntryCapRate*(TaxLevyPct*TaxAssessmentPct*TaxValueAdjFactor)/12))</f>
        <v/>
      </c>
      <c r="HP36" s="18">
        <f>IF(221&lt;StabMonth,0,IF(TaxMethodValue&gt;=1,TaxYear1*(1+GrowthTax)^(MAX(0,(221-StabMonth)/12))/12,MAX(0,HP$35*12)/EntryCapRate*(TaxLevyPct*TaxAssessmentPct*TaxValueAdjFactor)/12))</f>
        <v/>
      </c>
      <c r="HQ36" s="18">
        <f>IF(222&lt;StabMonth,0,IF(TaxMethodValue&gt;=1,TaxYear1*(1+GrowthTax)^(MAX(0,(222-StabMonth)/12))/12,MAX(0,HQ$35*12)/EntryCapRate*(TaxLevyPct*TaxAssessmentPct*TaxValueAdjFactor)/12))</f>
        <v/>
      </c>
      <c r="HR36" s="18">
        <f>IF(223&lt;StabMonth,0,IF(TaxMethodValue&gt;=1,TaxYear1*(1+GrowthTax)^(MAX(0,(223-StabMonth)/12))/12,MAX(0,HR$35*12)/EntryCapRate*(TaxLevyPct*TaxAssessmentPct*TaxValueAdjFactor)/12))</f>
        <v/>
      </c>
      <c r="HS36" s="18">
        <f>IF(224&lt;StabMonth,0,IF(TaxMethodValue&gt;=1,TaxYear1*(1+GrowthTax)^(MAX(0,(224-StabMonth)/12))/12,MAX(0,HS$35*12)/EntryCapRate*(TaxLevyPct*TaxAssessmentPct*TaxValueAdjFactor)/12))</f>
        <v/>
      </c>
      <c r="HT36" s="18">
        <f>IF(225&lt;StabMonth,0,IF(TaxMethodValue&gt;=1,TaxYear1*(1+GrowthTax)^(MAX(0,(225-StabMonth)/12))/12,MAX(0,HT$35*12)/EntryCapRate*(TaxLevyPct*TaxAssessmentPct*TaxValueAdjFactor)/12))</f>
        <v/>
      </c>
      <c r="HU36" s="18">
        <f>IF(226&lt;StabMonth,0,IF(TaxMethodValue&gt;=1,TaxYear1*(1+GrowthTax)^(MAX(0,(226-StabMonth)/12))/12,MAX(0,HU$35*12)/EntryCapRate*(TaxLevyPct*TaxAssessmentPct*TaxValueAdjFactor)/12))</f>
        <v/>
      </c>
      <c r="HV36" s="18">
        <f>IF(227&lt;StabMonth,0,IF(TaxMethodValue&gt;=1,TaxYear1*(1+GrowthTax)^(MAX(0,(227-StabMonth)/12))/12,MAX(0,HV$35*12)/EntryCapRate*(TaxLevyPct*TaxAssessmentPct*TaxValueAdjFactor)/12))</f>
        <v/>
      </c>
      <c r="HW36" s="18">
        <f>IF(228&lt;StabMonth,0,IF(TaxMethodValue&gt;=1,TaxYear1*(1+GrowthTax)^(MAX(0,(228-StabMonth)/12))/12,MAX(0,HW$35*12)/EntryCapRate*(TaxLevyPct*TaxAssessmentPct*TaxValueAdjFactor)/12))</f>
        <v/>
      </c>
      <c r="HX36" s="18">
        <f>IF(229&lt;StabMonth,0,IF(TaxMethodValue&gt;=1,TaxYear1*(1+GrowthTax)^(MAX(0,(229-StabMonth)/12))/12,MAX(0,HX$35*12)/EntryCapRate*(TaxLevyPct*TaxAssessmentPct*TaxValueAdjFactor)/12))</f>
        <v/>
      </c>
      <c r="HY36" s="18">
        <f>IF(230&lt;StabMonth,0,IF(TaxMethodValue&gt;=1,TaxYear1*(1+GrowthTax)^(MAX(0,(230-StabMonth)/12))/12,MAX(0,HY$35*12)/EntryCapRate*(TaxLevyPct*TaxAssessmentPct*TaxValueAdjFactor)/12))</f>
        <v/>
      </c>
      <c r="HZ36" s="18">
        <f>IF(231&lt;StabMonth,0,IF(TaxMethodValue&gt;=1,TaxYear1*(1+GrowthTax)^(MAX(0,(231-StabMonth)/12))/12,MAX(0,HZ$35*12)/EntryCapRate*(TaxLevyPct*TaxAssessmentPct*TaxValueAdjFactor)/12))</f>
        <v/>
      </c>
      <c r="IA36" s="18">
        <f>IF(232&lt;StabMonth,0,IF(TaxMethodValue&gt;=1,TaxYear1*(1+GrowthTax)^(MAX(0,(232-StabMonth)/12))/12,MAX(0,IA$35*12)/EntryCapRate*(TaxLevyPct*TaxAssessmentPct*TaxValueAdjFactor)/12))</f>
        <v/>
      </c>
      <c r="IB36" s="18">
        <f>IF(233&lt;StabMonth,0,IF(TaxMethodValue&gt;=1,TaxYear1*(1+GrowthTax)^(MAX(0,(233-StabMonth)/12))/12,MAX(0,IB$35*12)/EntryCapRate*(TaxLevyPct*TaxAssessmentPct*TaxValueAdjFactor)/12))</f>
        <v/>
      </c>
      <c r="IC36" s="18">
        <f>IF(234&lt;StabMonth,0,IF(TaxMethodValue&gt;=1,TaxYear1*(1+GrowthTax)^(MAX(0,(234-StabMonth)/12))/12,MAX(0,IC$35*12)/EntryCapRate*(TaxLevyPct*TaxAssessmentPct*TaxValueAdjFactor)/12))</f>
        <v/>
      </c>
      <c r="ID36" s="18">
        <f>IF(235&lt;StabMonth,0,IF(TaxMethodValue&gt;=1,TaxYear1*(1+GrowthTax)^(MAX(0,(235-StabMonth)/12))/12,MAX(0,ID$35*12)/EntryCapRate*(TaxLevyPct*TaxAssessmentPct*TaxValueAdjFactor)/12))</f>
        <v/>
      </c>
      <c r="IE36" s="18">
        <f>IF(236&lt;StabMonth,0,IF(TaxMethodValue&gt;=1,TaxYear1*(1+GrowthTax)^(MAX(0,(236-StabMonth)/12))/12,MAX(0,IE$35*12)/EntryCapRate*(TaxLevyPct*TaxAssessmentPct*TaxValueAdjFactor)/12))</f>
        <v/>
      </c>
      <c r="IF36" s="18">
        <f>IF(237&lt;StabMonth,0,IF(TaxMethodValue&gt;=1,TaxYear1*(1+GrowthTax)^(MAX(0,(237-StabMonth)/12))/12,MAX(0,IF$35*12)/EntryCapRate*(TaxLevyPct*TaxAssessmentPct*TaxValueAdjFactor)/12))</f>
        <v/>
      </c>
      <c r="IG36" s="18">
        <f>IF(238&lt;StabMonth,0,IF(TaxMethodValue&gt;=1,TaxYear1*(1+GrowthTax)^(MAX(0,(238-StabMonth)/12))/12,MAX(0,IG$35*12)/EntryCapRate*(TaxLevyPct*TaxAssessmentPct*TaxValueAdjFactor)/12))</f>
        <v/>
      </c>
      <c r="IH36" s="18">
        <f>IF(239&lt;StabMonth,0,IF(TaxMethodValue&gt;=1,TaxYear1*(1+GrowthTax)^(MAX(0,(239-StabMonth)/12))/12,MAX(0,IH$35*12)/EntryCapRate*(TaxLevyPct*TaxAssessmentPct*TaxValueAdjFactor)/12))</f>
        <v/>
      </c>
      <c r="II36" s="18">
        <f>IF(240&lt;StabMonth,0,IF(TaxMethodValue&gt;=1,TaxYear1*(1+GrowthTax)^(MAX(0,(240-StabMonth)/12))/12,MAX(0,II$35*12)/EntryCapRate*(TaxLevyPct*TaxAssessmentPct*TaxValueAdjFactor)/12))</f>
        <v/>
      </c>
      <c r="IJ36" s="18">
        <f>IF(241&lt;StabMonth,0,IF(TaxMethodValue&gt;=1,TaxYear1*(1+GrowthTax)^(MAX(0,(241-StabMonth)/12))/12,MAX(0,IJ$35*12)/EntryCapRate*(TaxLevyPct*TaxAssessmentPct*TaxValueAdjFactor)/12))</f>
        <v/>
      </c>
      <c r="IK36" s="18">
        <f>IF(242&lt;StabMonth,0,IF(TaxMethodValue&gt;=1,TaxYear1*(1+GrowthTax)^(MAX(0,(242-StabMonth)/12))/12,MAX(0,IK$35*12)/EntryCapRate*(TaxLevyPct*TaxAssessmentPct*TaxValueAdjFactor)/12))</f>
        <v/>
      </c>
      <c r="IL36" s="18">
        <f>IF(243&lt;StabMonth,0,IF(TaxMethodValue&gt;=1,TaxYear1*(1+GrowthTax)^(MAX(0,(243-StabMonth)/12))/12,MAX(0,IL$35*12)/EntryCapRate*(TaxLevyPct*TaxAssessmentPct*TaxValueAdjFactor)/12))</f>
        <v/>
      </c>
      <c r="IM36" s="18">
        <f>IF(244&lt;StabMonth,0,IF(TaxMethodValue&gt;=1,TaxYear1*(1+GrowthTax)^(MAX(0,(244-StabMonth)/12))/12,MAX(0,IM$35*12)/EntryCapRate*(TaxLevyPct*TaxAssessmentPct*TaxValueAdjFactor)/12))</f>
        <v/>
      </c>
      <c r="IN36" s="18">
        <f>IF(245&lt;StabMonth,0,IF(TaxMethodValue&gt;=1,TaxYear1*(1+GrowthTax)^(MAX(0,(245-StabMonth)/12))/12,MAX(0,IN$35*12)/EntryCapRate*(TaxLevyPct*TaxAssessmentPct*TaxValueAdjFactor)/12))</f>
        <v/>
      </c>
      <c r="IO36" s="18">
        <f>IF(246&lt;StabMonth,0,IF(TaxMethodValue&gt;=1,TaxYear1*(1+GrowthTax)^(MAX(0,(246-StabMonth)/12))/12,MAX(0,IO$35*12)/EntryCapRate*(TaxLevyPct*TaxAssessmentPct*TaxValueAdjFactor)/12))</f>
        <v/>
      </c>
      <c r="IP36" s="18">
        <f>IF(247&lt;StabMonth,0,IF(TaxMethodValue&gt;=1,TaxYear1*(1+GrowthTax)^(MAX(0,(247-StabMonth)/12))/12,MAX(0,IP$35*12)/EntryCapRate*(TaxLevyPct*TaxAssessmentPct*TaxValueAdjFactor)/12))</f>
        <v/>
      </c>
      <c r="IQ36" s="18">
        <f>IF(248&lt;StabMonth,0,IF(TaxMethodValue&gt;=1,TaxYear1*(1+GrowthTax)^(MAX(0,(248-StabMonth)/12))/12,MAX(0,IQ$35*12)/EntryCapRate*(TaxLevyPct*TaxAssessmentPct*TaxValueAdjFactor)/12))</f>
        <v/>
      </c>
      <c r="IR36" s="18">
        <f>IF(249&lt;StabMonth,0,IF(TaxMethodValue&gt;=1,TaxYear1*(1+GrowthTax)^(MAX(0,(249-StabMonth)/12))/12,MAX(0,IR$35*12)/EntryCapRate*(TaxLevyPct*TaxAssessmentPct*TaxValueAdjFactor)/12))</f>
        <v/>
      </c>
      <c r="IS36" s="18">
        <f>IF(250&lt;StabMonth,0,IF(TaxMethodValue&gt;=1,TaxYear1*(1+GrowthTax)^(MAX(0,(250-StabMonth)/12))/12,MAX(0,IS$35*12)/EntryCapRate*(TaxLevyPct*TaxAssessmentPct*TaxValueAdjFactor)/12))</f>
        <v/>
      </c>
      <c r="IT36" s="18">
        <f>IF(251&lt;StabMonth,0,IF(TaxMethodValue&gt;=1,TaxYear1*(1+GrowthTax)^(MAX(0,(251-StabMonth)/12))/12,MAX(0,IT$35*12)/EntryCapRate*(TaxLevyPct*TaxAssessmentPct*TaxValueAdjFactor)/12))</f>
        <v/>
      </c>
      <c r="IU36" s="18">
        <f>IF(252&lt;StabMonth,0,IF(TaxMethodValue&gt;=1,TaxYear1*(1+GrowthTax)^(MAX(0,(252-StabMonth)/12))/12,MAX(0,IU$35*12)/EntryCapRate*(TaxLevyPct*TaxAssessmentPct*TaxValueAdjFactor)/12))</f>
        <v/>
      </c>
      <c r="IV36" s="18">
        <f>IF(253&lt;StabMonth,0,IF(TaxMethodValue&gt;=1,TaxYear1*(1+GrowthTax)^(MAX(0,(253-StabMonth)/12))/12,MAX(0,IV$35*12)/EntryCapRate*(TaxLevyPct*TaxAssessmentPct*TaxValueAdjFactor)/12))</f>
        <v/>
      </c>
      <c r="IW36" s="18">
        <f>IF(254&lt;StabMonth,0,IF(TaxMethodValue&gt;=1,TaxYear1*(1+GrowthTax)^(MAX(0,(254-StabMonth)/12))/12,MAX(0,IW$35*12)/EntryCapRate*(TaxLevyPct*TaxAssessmentPct*TaxValueAdjFactor)/12))</f>
        <v/>
      </c>
      <c r="IX36" s="18">
        <f>IF(255&lt;StabMonth,0,IF(TaxMethodValue&gt;=1,TaxYear1*(1+GrowthTax)^(MAX(0,(255-StabMonth)/12))/12,MAX(0,IX$35*12)/EntryCapRate*(TaxLevyPct*TaxAssessmentPct*TaxValueAdjFactor)/12))</f>
        <v/>
      </c>
      <c r="IY36" s="18">
        <f>IF(256&lt;StabMonth,0,IF(TaxMethodValue&gt;=1,TaxYear1*(1+GrowthTax)^(MAX(0,(256-StabMonth)/12))/12,MAX(0,IY$35*12)/EntryCapRate*(TaxLevyPct*TaxAssessmentPct*TaxValueAdjFactor)/12))</f>
        <v/>
      </c>
      <c r="IZ36" s="18">
        <f>IF(257&lt;StabMonth,0,IF(TaxMethodValue&gt;=1,TaxYear1*(1+GrowthTax)^(MAX(0,(257-StabMonth)/12))/12,MAX(0,IZ$35*12)/EntryCapRate*(TaxLevyPct*TaxAssessmentPct*TaxValueAdjFactor)/12))</f>
        <v/>
      </c>
      <c r="JA36" s="18">
        <f>IF(258&lt;StabMonth,0,IF(TaxMethodValue&gt;=1,TaxYear1*(1+GrowthTax)^(MAX(0,(258-StabMonth)/12))/12,MAX(0,JA$35*12)/EntryCapRate*(TaxLevyPct*TaxAssessmentPct*TaxValueAdjFactor)/12))</f>
        <v/>
      </c>
      <c r="JB36" s="18">
        <f>IF(259&lt;StabMonth,0,IF(TaxMethodValue&gt;=1,TaxYear1*(1+GrowthTax)^(MAX(0,(259-StabMonth)/12))/12,MAX(0,JB$35*12)/EntryCapRate*(TaxLevyPct*TaxAssessmentPct*TaxValueAdjFactor)/12))</f>
        <v/>
      </c>
      <c r="JC36" s="18">
        <f>IF(260&lt;StabMonth,0,IF(TaxMethodValue&gt;=1,TaxYear1*(1+GrowthTax)^(MAX(0,(260-StabMonth)/12))/12,MAX(0,JC$35*12)/EntryCapRate*(TaxLevyPct*TaxAssessmentPct*TaxValueAdjFactor)/12))</f>
        <v/>
      </c>
      <c r="JD36" s="18">
        <f>IF(261&lt;StabMonth,0,IF(TaxMethodValue&gt;=1,TaxYear1*(1+GrowthTax)^(MAX(0,(261-StabMonth)/12))/12,MAX(0,JD$35*12)/EntryCapRate*(TaxLevyPct*TaxAssessmentPct*TaxValueAdjFactor)/12))</f>
        <v/>
      </c>
      <c r="JE36" s="18">
        <f>IF(262&lt;StabMonth,0,IF(TaxMethodValue&gt;=1,TaxYear1*(1+GrowthTax)^(MAX(0,(262-StabMonth)/12))/12,MAX(0,JE$35*12)/EntryCapRate*(TaxLevyPct*TaxAssessmentPct*TaxValueAdjFactor)/12))</f>
        <v/>
      </c>
      <c r="JF36" s="18">
        <f>IF(263&lt;StabMonth,0,IF(TaxMethodValue&gt;=1,TaxYear1*(1+GrowthTax)^(MAX(0,(263-StabMonth)/12))/12,MAX(0,JF$35*12)/EntryCapRate*(TaxLevyPct*TaxAssessmentPct*TaxValueAdjFactor)/12))</f>
        <v/>
      </c>
      <c r="JG36" s="18">
        <f>IF(264&lt;StabMonth,0,IF(TaxMethodValue&gt;=1,TaxYear1*(1+GrowthTax)^(MAX(0,(264-StabMonth)/12))/12,MAX(0,JG$35*12)/EntryCapRate*(TaxLevyPct*TaxAssessmentPct*TaxValueAdjFactor)/12))</f>
        <v/>
      </c>
      <c r="JH36" s="18">
        <f>IF(265&lt;StabMonth,0,IF(TaxMethodValue&gt;=1,TaxYear1*(1+GrowthTax)^(MAX(0,(265-StabMonth)/12))/12,MAX(0,JH$35*12)/EntryCapRate*(TaxLevyPct*TaxAssessmentPct*TaxValueAdjFactor)/12))</f>
        <v/>
      </c>
      <c r="JI36" s="18">
        <f>IF(266&lt;StabMonth,0,IF(TaxMethodValue&gt;=1,TaxYear1*(1+GrowthTax)^(MAX(0,(266-StabMonth)/12))/12,MAX(0,JI$35*12)/EntryCapRate*(TaxLevyPct*TaxAssessmentPct*TaxValueAdjFactor)/12))</f>
        <v/>
      </c>
      <c r="JJ36" s="18">
        <f>IF(267&lt;StabMonth,0,IF(TaxMethodValue&gt;=1,TaxYear1*(1+GrowthTax)^(MAX(0,(267-StabMonth)/12))/12,MAX(0,JJ$35*12)/EntryCapRate*(TaxLevyPct*TaxAssessmentPct*TaxValueAdjFactor)/12))</f>
        <v/>
      </c>
      <c r="JK36" s="18">
        <f>IF(268&lt;StabMonth,0,IF(TaxMethodValue&gt;=1,TaxYear1*(1+GrowthTax)^(MAX(0,(268-StabMonth)/12))/12,MAX(0,JK$35*12)/EntryCapRate*(TaxLevyPct*TaxAssessmentPct*TaxValueAdjFactor)/12))</f>
        <v/>
      </c>
      <c r="JL36" s="18">
        <f>IF(269&lt;StabMonth,0,IF(TaxMethodValue&gt;=1,TaxYear1*(1+GrowthTax)^(MAX(0,(269-StabMonth)/12))/12,MAX(0,JL$35*12)/EntryCapRate*(TaxLevyPct*TaxAssessmentPct*TaxValueAdjFactor)/12))</f>
        <v/>
      </c>
      <c r="JM36" s="18">
        <f>IF(270&lt;StabMonth,0,IF(TaxMethodValue&gt;=1,TaxYear1*(1+GrowthTax)^(MAX(0,(270-StabMonth)/12))/12,MAX(0,JM$35*12)/EntryCapRate*(TaxLevyPct*TaxAssessmentPct*TaxValueAdjFactor)/12))</f>
        <v/>
      </c>
      <c r="JN36" s="18">
        <f>IF(271&lt;StabMonth,0,IF(TaxMethodValue&gt;=1,TaxYear1*(1+GrowthTax)^(MAX(0,(271-StabMonth)/12))/12,MAX(0,JN$35*12)/EntryCapRate*(TaxLevyPct*TaxAssessmentPct*TaxValueAdjFactor)/12))</f>
        <v/>
      </c>
      <c r="JO36" s="18">
        <f>IF(272&lt;StabMonth,0,IF(TaxMethodValue&gt;=1,TaxYear1*(1+GrowthTax)^(MAX(0,(272-StabMonth)/12))/12,MAX(0,JO$35*12)/EntryCapRate*(TaxLevyPct*TaxAssessmentPct*TaxValueAdjFactor)/12))</f>
        <v/>
      </c>
      <c r="JP36" s="18">
        <f>IF(273&lt;StabMonth,0,IF(TaxMethodValue&gt;=1,TaxYear1*(1+GrowthTax)^(MAX(0,(273-StabMonth)/12))/12,MAX(0,JP$35*12)/EntryCapRate*(TaxLevyPct*TaxAssessmentPct*TaxValueAdjFactor)/12))</f>
        <v/>
      </c>
      <c r="JQ36" s="18">
        <f>IF(274&lt;StabMonth,0,IF(TaxMethodValue&gt;=1,TaxYear1*(1+GrowthTax)^(MAX(0,(274-StabMonth)/12))/12,MAX(0,JQ$35*12)/EntryCapRate*(TaxLevyPct*TaxAssessmentPct*TaxValueAdjFactor)/12))</f>
        <v/>
      </c>
      <c r="JR36" s="18">
        <f>IF(275&lt;StabMonth,0,IF(TaxMethodValue&gt;=1,TaxYear1*(1+GrowthTax)^(MAX(0,(275-StabMonth)/12))/12,MAX(0,JR$35*12)/EntryCapRate*(TaxLevyPct*TaxAssessmentPct*TaxValueAdjFactor)/12))</f>
        <v/>
      </c>
      <c r="JS36" s="18">
        <f>IF(276&lt;StabMonth,0,IF(TaxMethodValue&gt;=1,TaxYear1*(1+GrowthTax)^(MAX(0,(276-StabMonth)/12))/12,MAX(0,JS$35*12)/EntryCapRate*(TaxLevyPct*TaxAssessmentPct*TaxValueAdjFactor)/12))</f>
        <v/>
      </c>
      <c r="JT36" s="18">
        <f>IF(277&lt;StabMonth,0,IF(TaxMethodValue&gt;=1,TaxYear1*(1+GrowthTax)^(MAX(0,(277-StabMonth)/12))/12,MAX(0,JT$35*12)/EntryCapRate*(TaxLevyPct*TaxAssessmentPct*TaxValueAdjFactor)/12))</f>
        <v/>
      </c>
      <c r="JU36" s="18">
        <f>IF(278&lt;StabMonth,0,IF(TaxMethodValue&gt;=1,TaxYear1*(1+GrowthTax)^(MAX(0,(278-StabMonth)/12))/12,MAX(0,JU$35*12)/EntryCapRate*(TaxLevyPct*TaxAssessmentPct*TaxValueAdjFactor)/12))</f>
        <v/>
      </c>
      <c r="JV36" s="18">
        <f>IF(279&lt;StabMonth,0,IF(TaxMethodValue&gt;=1,TaxYear1*(1+GrowthTax)^(MAX(0,(279-StabMonth)/12))/12,MAX(0,JV$35*12)/EntryCapRate*(TaxLevyPct*TaxAssessmentPct*TaxValueAdjFactor)/12))</f>
        <v/>
      </c>
      <c r="JW36" s="18">
        <f>IF(280&lt;StabMonth,0,IF(TaxMethodValue&gt;=1,TaxYear1*(1+GrowthTax)^(MAX(0,(280-StabMonth)/12))/12,MAX(0,JW$35*12)/EntryCapRate*(TaxLevyPct*TaxAssessmentPct*TaxValueAdjFactor)/12))</f>
        <v/>
      </c>
      <c r="JX36" s="18">
        <f>IF(281&lt;StabMonth,0,IF(TaxMethodValue&gt;=1,TaxYear1*(1+GrowthTax)^(MAX(0,(281-StabMonth)/12))/12,MAX(0,JX$35*12)/EntryCapRate*(TaxLevyPct*TaxAssessmentPct*TaxValueAdjFactor)/12))</f>
        <v/>
      </c>
      <c r="JY36" s="18">
        <f>IF(282&lt;StabMonth,0,IF(TaxMethodValue&gt;=1,TaxYear1*(1+GrowthTax)^(MAX(0,(282-StabMonth)/12))/12,MAX(0,JY$35*12)/EntryCapRate*(TaxLevyPct*TaxAssessmentPct*TaxValueAdjFactor)/12))</f>
        <v/>
      </c>
      <c r="JZ36" s="18">
        <f>IF(283&lt;StabMonth,0,IF(TaxMethodValue&gt;=1,TaxYear1*(1+GrowthTax)^(MAX(0,(283-StabMonth)/12))/12,MAX(0,JZ$35*12)/EntryCapRate*(TaxLevyPct*TaxAssessmentPct*TaxValueAdjFactor)/12))</f>
        <v/>
      </c>
      <c r="KA36" s="18">
        <f>IF(284&lt;StabMonth,0,IF(TaxMethodValue&gt;=1,TaxYear1*(1+GrowthTax)^(MAX(0,(284-StabMonth)/12))/12,MAX(0,KA$35*12)/EntryCapRate*(TaxLevyPct*TaxAssessmentPct*TaxValueAdjFactor)/12))</f>
        <v/>
      </c>
      <c r="KB36" s="18">
        <f>IF(285&lt;StabMonth,0,IF(TaxMethodValue&gt;=1,TaxYear1*(1+GrowthTax)^(MAX(0,(285-StabMonth)/12))/12,MAX(0,KB$35*12)/EntryCapRate*(TaxLevyPct*TaxAssessmentPct*TaxValueAdjFactor)/12))</f>
        <v/>
      </c>
      <c r="KC36" s="18">
        <f>IF(286&lt;StabMonth,0,IF(TaxMethodValue&gt;=1,TaxYear1*(1+GrowthTax)^(MAX(0,(286-StabMonth)/12))/12,MAX(0,KC$35*12)/EntryCapRate*(TaxLevyPct*TaxAssessmentPct*TaxValueAdjFactor)/12))</f>
        <v/>
      </c>
      <c r="KD36" s="18">
        <f>IF(287&lt;StabMonth,0,IF(TaxMethodValue&gt;=1,TaxYear1*(1+GrowthTax)^(MAX(0,(287-StabMonth)/12))/12,MAX(0,KD$35*12)/EntryCapRate*(TaxLevyPct*TaxAssessmentPct*TaxValueAdjFactor)/12))</f>
        <v/>
      </c>
      <c r="KE36" s="18">
        <f>IF(288&lt;StabMonth,0,IF(TaxMethodValue&gt;=1,TaxYear1*(1+GrowthTax)^(MAX(0,(288-StabMonth)/12))/12,MAX(0,KE$35*12)/EntryCapRate*(TaxLevyPct*TaxAssessmentPct*TaxValueAdjFactor)/12))</f>
        <v/>
      </c>
      <c r="KF36" s="18">
        <f>IF(289&lt;StabMonth,0,IF(TaxMethodValue&gt;=1,TaxYear1*(1+GrowthTax)^(MAX(0,(289-StabMonth)/12))/12,MAX(0,KF$35*12)/EntryCapRate*(TaxLevyPct*TaxAssessmentPct*TaxValueAdjFactor)/12))</f>
        <v/>
      </c>
      <c r="KG36" s="18">
        <f>IF(290&lt;StabMonth,0,IF(TaxMethodValue&gt;=1,TaxYear1*(1+GrowthTax)^(MAX(0,(290-StabMonth)/12))/12,MAX(0,KG$35*12)/EntryCapRate*(TaxLevyPct*TaxAssessmentPct*TaxValueAdjFactor)/12))</f>
        <v/>
      </c>
      <c r="KH36" s="18">
        <f>IF(291&lt;StabMonth,0,IF(TaxMethodValue&gt;=1,TaxYear1*(1+GrowthTax)^(MAX(0,(291-StabMonth)/12))/12,MAX(0,KH$35*12)/EntryCapRate*(TaxLevyPct*TaxAssessmentPct*TaxValueAdjFactor)/12))</f>
        <v/>
      </c>
      <c r="KI36" s="18">
        <f>IF(292&lt;StabMonth,0,IF(TaxMethodValue&gt;=1,TaxYear1*(1+GrowthTax)^(MAX(0,(292-StabMonth)/12))/12,MAX(0,KI$35*12)/EntryCapRate*(TaxLevyPct*TaxAssessmentPct*TaxValueAdjFactor)/12))</f>
        <v/>
      </c>
      <c r="KJ36" s="18">
        <f>IF(293&lt;StabMonth,0,IF(TaxMethodValue&gt;=1,TaxYear1*(1+GrowthTax)^(MAX(0,(293-StabMonth)/12))/12,MAX(0,KJ$35*12)/EntryCapRate*(TaxLevyPct*TaxAssessmentPct*TaxValueAdjFactor)/12))</f>
        <v/>
      </c>
      <c r="KK36" s="18">
        <f>IF(294&lt;StabMonth,0,IF(TaxMethodValue&gt;=1,TaxYear1*(1+GrowthTax)^(MAX(0,(294-StabMonth)/12))/12,MAX(0,KK$35*12)/EntryCapRate*(TaxLevyPct*TaxAssessmentPct*TaxValueAdjFactor)/12))</f>
        <v/>
      </c>
      <c r="KL36" s="18">
        <f>IF(295&lt;StabMonth,0,IF(TaxMethodValue&gt;=1,TaxYear1*(1+GrowthTax)^(MAX(0,(295-StabMonth)/12))/12,MAX(0,KL$35*12)/EntryCapRate*(TaxLevyPct*TaxAssessmentPct*TaxValueAdjFactor)/12))</f>
        <v/>
      </c>
      <c r="KM36" s="18">
        <f>IF(296&lt;StabMonth,0,IF(TaxMethodValue&gt;=1,TaxYear1*(1+GrowthTax)^(MAX(0,(296-StabMonth)/12))/12,MAX(0,KM$35*12)/EntryCapRate*(TaxLevyPct*TaxAssessmentPct*TaxValueAdjFactor)/12))</f>
        <v/>
      </c>
      <c r="KN36" s="18">
        <f>IF(297&lt;StabMonth,0,IF(TaxMethodValue&gt;=1,TaxYear1*(1+GrowthTax)^(MAX(0,(297-StabMonth)/12))/12,MAX(0,KN$35*12)/EntryCapRate*(TaxLevyPct*TaxAssessmentPct*TaxValueAdjFactor)/12))</f>
        <v/>
      </c>
      <c r="KO36" s="18">
        <f>IF(298&lt;StabMonth,0,IF(TaxMethodValue&gt;=1,TaxYear1*(1+GrowthTax)^(MAX(0,(298-StabMonth)/12))/12,MAX(0,KO$35*12)/EntryCapRate*(TaxLevyPct*TaxAssessmentPct*TaxValueAdjFactor)/12))</f>
        <v/>
      </c>
      <c r="KP36" s="18">
        <f>IF(299&lt;StabMonth,0,IF(TaxMethodValue&gt;=1,TaxYear1*(1+GrowthTax)^(MAX(0,(299-StabMonth)/12))/12,MAX(0,KP$35*12)/EntryCapRate*(TaxLevyPct*TaxAssessmentPct*TaxValueAdjFactor)/12))</f>
        <v/>
      </c>
      <c r="KQ36" s="18">
        <f>IF(300&lt;StabMonth,0,IF(TaxMethodValue&gt;=1,TaxYear1*(1+GrowthTax)^(MAX(0,(300-StabMonth)/12))/12,MAX(0,KQ$35*12)/EntryCapRate*(TaxLevyPct*TaxAssessmentPct*TaxValueAdjFactor)/12))</f>
        <v/>
      </c>
      <c r="KR36" s="18">
        <f>IF(301&lt;StabMonth,0,IF(TaxMethodValue&gt;=1,TaxYear1*(1+GrowthTax)^(MAX(0,(301-StabMonth)/12))/12,MAX(0,KR$35*12)/EntryCapRate*(TaxLevyPct*TaxAssessmentPct*TaxValueAdjFactor)/12))</f>
        <v/>
      </c>
      <c r="KS36" s="18">
        <f>IF(302&lt;StabMonth,0,IF(TaxMethodValue&gt;=1,TaxYear1*(1+GrowthTax)^(MAX(0,(302-StabMonth)/12))/12,MAX(0,KS$35*12)/EntryCapRate*(TaxLevyPct*TaxAssessmentPct*TaxValueAdjFactor)/12))</f>
        <v/>
      </c>
      <c r="KT36" s="18">
        <f>IF(303&lt;StabMonth,0,IF(TaxMethodValue&gt;=1,TaxYear1*(1+GrowthTax)^(MAX(0,(303-StabMonth)/12))/12,MAX(0,KT$35*12)/EntryCapRate*(TaxLevyPct*TaxAssessmentPct*TaxValueAdjFactor)/12))</f>
        <v/>
      </c>
      <c r="KU36" s="18">
        <f>IF(304&lt;StabMonth,0,IF(TaxMethodValue&gt;=1,TaxYear1*(1+GrowthTax)^(MAX(0,(304-StabMonth)/12))/12,MAX(0,KU$35*12)/EntryCapRate*(TaxLevyPct*TaxAssessmentPct*TaxValueAdjFactor)/12))</f>
        <v/>
      </c>
      <c r="KV36" s="18">
        <f>IF(305&lt;StabMonth,0,IF(TaxMethodValue&gt;=1,TaxYear1*(1+GrowthTax)^(MAX(0,(305-StabMonth)/12))/12,MAX(0,KV$35*12)/EntryCapRate*(TaxLevyPct*TaxAssessmentPct*TaxValueAdjFactor)/12))</f>
        <v/>
      </c>
      <c r="KW36" s="18">
        <f>IF(306&lt;StabMonth,0,IF(TaxMethodValue&gt;=1,TaxYear1*(1+GrowthTax)^(MAX(0,(306-StabMonth)/12))/12,MAX(0,KW$35*12)/EntryCapRate*(TaxLevyPct*TaxAssessmentPct*TaxValueAdjFactor)/12))</f>
        <v/>
      </c>
      <c r="KX36" s="18">
        <f>IF(307&lt;StabMonth,0,IF(TaxMethodValue&gt;=1,TaxYear1*(1+GrowthTax)^(MAX(0,(307-StabMonth)/12))/12,MAX(0,KX$35*12)/EntryCapRate*(TaxLevyPct*TaxAssessmentPct*TaxValueAdjFactor)/12))</f>
        <v/>
      </c>
      <c r="KY36" s="18">
        <f>IF(308&lt;StabMonth,0,IF(TaxMethodValue&gt;=1,TaxYear1*(1+GrowthTax)^(MAX(0,(308-StabMonth)/12))/12,MAX(0,KY$35*12)/EntryCapRate*(TaxLevyPct*TaxAssessmentPct*TaxValueAdjFactor)/12))</f>
        <v/>
      </c>
      <c r="KZ36" s="18">
        <f>IF(309&lt;StabMonth,0,IF(TaxMethodValue&gt;=1,TaxYear1*(1+GrowthTax)^(MAX(0,(309-StabMonth)/12))/12,MAX(0,KZ$35*12)/EntryCapRate*(TaxLevyPct*TaxAssessmentPct*TaxValueAdjFactor)/12))</f>
        <v/>
      </c>
      <c r="LA36" s="18">
        <f>IF(310&lt;StabMonth,0,IF(TaxMethodValue&gt;=1,TaxYear1*(1+GrowthTax)^(MAX(0,(310-StabMonth)/12))/12,MAX(0,LA$35*12)/EntryCapRate*(TaxLevyPct*TaxAssessmentPct*TaxValueAdjFactor)/12))</f>
        <v/>
      </c>
      <c r="LB36" s="18">
        <f>IF(311&lt;StabMonth,0,IF(TaxMethodValue&gt;=1,TaxYear1*(1+GrowthTax)^(MAX(0,(311-StabMonth)/12))/12,MAX(0,LB$35*12)/EntryCapRate*(TaxLevyPct*TaxAssessmentPct*TaxValueAdjFactor)/12))</f>
        <v/>
      </c>
      <c r="LC36" s="18">
        <f>IF(312&lt;StabMonth,0,IF(TaxMethodValue&gt;=1,TaxYear1*(1+GrowthTax)^(MAX(0,(312-StabMonth)/12))/12,MAX(0,LC$35*12)/EntryCapRate*(TaxLevyPct*TaxAssessmentPct*TaxValueAdjFactor)/12))</f>
        <v/>
      </c>
      <c r="LD36" s="18">
        <f>IF(313&lt;StabMonth,0,IF(TaxMethodValue&gt;=1,TaxYear1*(1+GrowthTax)^(MAX(0,(313-StabMonth)/12))/12,MAX(0,LD$35*12)/EntryCapRate*(TaxLevyPct*TaxAssessmentPct*TaxValueAdjFactor)/12))</f>
        <v/>
      </c>
      <c r="LE36" s="18">
        <f>IF(314&lt;StabMonth,0,IF(TaxMethodValue&gt;=1,TaxYear1*(1+GrowthTax)^(MAX(0,(314-StabMonth)/12))/12,MAX(0,LE$35*12)/EntryCapRate*(TaxLevyPct*TaxAssessmentPct*TaxValueAdjFactor)/12))</f>
        <v/>
      </c>
      <c r="LF36" s="18">
        <f>IF(315&lt;StabMonth,0,IF(TaxMethodValue&gt;=1,TaxYear1*(1+GrowthTax)^(MAX(0,(315-StabMonth)/12))/12,MAX(0,LF$35*12)/EntryCapRate*(TaxLevyPct*TaxAssessmentPct*TaxValueAdjFactor)/12))</f>
        <v/>
      </c>
      <c r="LG36" s="18">
        <f>IF(316&lt;StabMonth,0,IF(TaxMethodValue&gt;=1,TaxYear1*(1+GrowthTax)^(MAX(0,(316-StabMonth)/12))/12,MAX(0,LG$35*12)/EntryCapRate*(TaxLevyPct*TaxAssessmentPct*TaxValueAdjFactor)/12))</f>
        <v/>
      </c>
      <c r="LH36" s="18">
        <f>IF(317&lt;StabMonth,0,IF(TaxMethodValue&gt;=1,TaxYear1*(1+GrowthTax)^(MAX(0,(317-StabMonth)/12))/12,MAX(0,LH$35*12)/EntryCapRate*(TaxLevyPct*TaxAssessmentPct*TaxValueAdjFactor)/12))</f>
        <v/>
      </c>
      <c r="LI36" s="18">
        <f>IF(318&lt;StabMonth,0,IF(TaxMethodValue&gt;=1,TaxYear1*(1+GrowthTax)^(MAX(0,(318-StabMonth)/12))/12,MAX(0,LI$35*12)/EntryCapRate*(TaxLevyPct*TaxAssessmentPct*TaxValueAdjFactor)/12))</f>
        <v/>
      </c>
      <c r="LJ36" s="18">
        <f>IF(319&lt;StabMonth,0,IF(TaxMethodValue&gt;=1,TaxYear1*(1+GrowthTax)^(MAX(0,(319-StabMonth)/12))/12,MAX(0,LJ$35*12)/EntryCapRate*(TaxLevyPct*TaxAssessmentPct*TaxValueAdjFactor)/12))</f>
        <v/>
      </c>
      <c r="LK36" s="18">
        <f>IF(320&lt;StabMonth,0,IF(TaxMethodValue&gt;=1,TaxYear1*(1+GrowthTax)^(MAX(0,(320-StabMonth)/12))/12,MAX(0,LK$35*12)/EntryCapRate*(TaxLevyPct*TaxAssessmentPct*TaxValueAdjFactor)/12))</f>
        <v/>
      </c>
      <c r="LL36" s="18">
        <f>IF(321&lt;StabMonth,0,IF(TaxMethodValue&gt;=1,TaxYear1*(1+GrowthTax)^(MAX(0,(321-StabMonth)/12))/12,MAX(0,LL$35*12)/EntryCapRate*(TaxLevyPct*TaxAssessmentPct*TaxValueAdjFactor)/12))</f>
        <v/>
      </c>
      <c r="LM36" s="18">
        <f>IF(322&lt;StabMonth,0,IF(TaxMethodValue&gt;=1,TaxYear1*(1+GrowthTax)^(MAX(0,(322-StabMonth)/12))/12,MAX(0,LM$35*12)/EntryCapRate*(TaxLevyPct*TaxAssessmentPct*TaxValueAdjFactor)/12))</f>
        <v/>
      </c>
      <c r="LN36" s="18">
        <f>IF(323&lt;StabMonth,0,IF(TaxMethodValue&gt;=1,TaxYear1*(1+GrowthTax)^(MAX(0,(323-StabMonth)/12))/12,MAX(0,LN$35*12)/EntryCapRate*(TaxLevyPct*TaxAssessmentPct*TaxValueAdjFactor)/12))</f>
        <v/>
      </c>
      <c r="LO36" s="18">
        <f>IF(324&lt;StabMonth,0,IF(TaxMethodValue&gt;=1,TaxYear1*(1+GrowthTax)^(MAX(0,(324-StabMonth)/12))/12,MAX(0,LO$35*12)/EntryCapRate*(TaxLevyPct*TaxAssessmentPct*TaxValueAdjFactor)/12))</f>
        <v/>
      </c>
      <c r="LP36" s="18">
        <f>IF(325&lt;StabMonth,0,IF(TaxMethodValue&gt;=1,TaxYear1*(1+GrowthTax)^(MAX(0,(325-StabMonth)/12))/12,MAX(0,LP$35*12)/EntryCapRate*(TaxLevyPct*TaxAssessmentPct*TaxValueAdjFactor)/12))</f>
        <v/>
      </c>
      <c r="LQ36" s="18">
        <f>IF(326&lt;StabMonth,0,IF(TaxMethodValue&gt;=1,TaxYear1*(1+GrowthTax)^(MAX(0,(326-StabMonth)/12))/12,MAX(0,LQ$35*12)/EntryCapRate*(TaxLevyPct*TaxAssessmentPct*TaxValueAdjFactor)/12))</f>
        <v/>
      </c>
      <c r="LR36" s="18">
        <f>IF(327&lt;StabMonth,0,IF(TaxMethodValue&gt;=1,TaxYear1*(1+GrowthTax)^(MAX(0,(327-StabMonth)/12))/12,MAX(0,LR$35*12)/EntryCapRate*(TaxLevyPct*TaxAssessmentPct*TaxValueAdjFactor)/12))</f>
        <v/>
      </c>
      <c r="LS36" s="18">
        <f>IF(328&lt;StabMonth,0,IF(TaxMethodValue&gt;=1,TaxYear1*(1+GrowthTax)^(MAX(0,(328-StabMonth)/12))/12,MAX(0,LS$35*12)/EntryCapRate*(TaxLevyPct*TaxAssessmentPct*TaxValueAdjFactor)/12))</f>
        <v/>
      </c>
      <c r="LT36" s="18">
        <f>IF(329&lt;StabMonth,0,IF(TaxMethodValue&gt;=1,TaxYear1*(1+GrowthTax)^(MAX(0,(329-StabMonth)/12))/12,MAX(0,LT$35*12)/EntryCapRate*(TaxLevyPct*TaxAssessmentPct*TaxValueAdjFactor)/12))</f>
        <v/>
      </c>
      <c r="LU36" s="18">
        <f>IF(330&lt;StabMonth,0,IF(TaxMethodValue&gt;=1,TaxYear1*(1+GrowthTax)^(MAX(0,(330-StabMonth)/12))/12,MAX(0,LU$35*12)/EntryCapRate*(TaxLevyPct*TaxAssessmentPct*TaxValueAdjFactor)/12))</f>
        <v/>
      </c>
      <c r="LV36" s="18">
        <f>IF(331&lt;StabMonth,0,IF(TaxMethodValue&gt;=1,TaxYear1*(1+GrowthTax)^(MAX(0,(331-StabMonth)/12))/12,MAX(0,LV$35*12)/EntryCapRate*(TaxLevyPct*TaxAssessmentPct*TaxValueAdjFactor)/12))</f>
        <v/>
      </c>
      <c r="LW36" s="18">
        <f>IF(332&lt;StabMonth,0,IF(TaxMethodValue&gt;=1,TaxYear1*(1+GrowthTax)^(MAX(0,(332-StabMonth)/12))/12,MAX(0,LW$35*12)/EntryCapRate*(TaxLevyPct*TaxAssessmentPct*TaxValueAdjFactor)/12))</f>
        <v/>
      </c>
      <c r="LX36" s="18">
        <f>IF(333&lt;StabMonth,0,IF(TaxMethodValue&gt;=1,TaxYear1*(1+GrowthTax)^(MAX(0,(333-StabMonth)/12))/12,MAX(0,LX$35*12)/EntryCapRate*(TaxLevyPct*TaxAssessmentPct*TaxValueAdjFactor)/12))</f>
        <v/>
      </c>
      <c r="LY36" s="18">
        <f>IF(334&lt;StabMonth,0,IF(TaxMethodValue&gt;=1,TaxYear1*(1+GrowthTax)^(MAX(0,(334-StabMonth)/12))/12,MAX(0,LY$35*12)/EntryCapRate*(TaxLevyPct*TaxAssessmentPct*TaxValueAdjFactor)/12))</f>
        <v/>
      </c>
      <c r="LZ36" s="18">
        <f>IF(335&lt;StabMonth,0,IF(TaxMethodValue&gt;=1,TaxYear1*(1+GrowthTax)^(MAX(0,(335-StabMonth)/12))/12,MAX(0,LZ$35*12)/EntryCapRate*(TaxLevyPct*TaxAssessmentPct*TaxValueAdjFactor)/12))</f>
        <v/>
      </c>
      <c r="MA36" s="18">
        <f>IF(336&lt;StabMonth,0,IF(TaxMethodValue&gt;=1,TaxYear1*(1+GrowthTax)^(MAX(0,(336-StabMonth)/12))/12,MAX(0,MA$35*12)/EntryCapRate*(TaxLevyPct*TaxAssessmentPct*TaxValueAdjFactor)/12))</f>
        <v/>
      </c>
      <c r="MB36" s="18">
        <f>IF(337&lt;StabMonth,0,IF(TaxMethodValue&gt;=1,TaxYear1*(1+GrowthTax)^(MAX(0,(337-StabMonth)/12))/12,MAX(0,MB$35*12)/EntryCapRate*(TaxLevyPct*TaxAssessmentPct*TaxValueAdjFactor)/12))</f>
        <v/>
      </c>
      <c r="MC36" s="18">
        <f>IF(338&lt;StabMonth,0,IF(TaxMethodValue&gt;=1,TaxYear1*(1+GrowthTax)^(MAX(0,(338-StabMonth)/12))/12,MAX(0,MC$35*12)/EntryCapRate*(TaxLevyPct*TaxAssessmentPct*TaxValueAdjFactor)/12))</f>
        <v/>
      </c>
      <c r="MD36" s="18">
        <f>IF(339&lt;StabMonth,0,IF(TaxMethodValue&gt;=1,TaxYear1*(1+GrowthTax)^(MAX(0,(339-StabMonth)/12))/12,MAX(0,MD$35*12)/EntryCapRate*(TaxLevyPct*TaxAssessmentPct*TaxValueAdjFactor)/12))</f>
        <v/>
      </c>
      <c r="ME36" s="18">
        <f>IF(340&lt;StabMonth,0,IF(TaxMethodValue&gt;=1,TaxYear1*(1+GrowthTax)^(MAX(0,(340-StabMonth)/12))/12,MAX(0,ME$35*12)/EntryCapRate*(TaxLevyPct*TaxAssessmentPct*TaxValueAdjFactor)/12))</f>
        <v/>
      </c>
      <c r="MF36" s="18">
        <f>IF(341&lt;StabMonth,0,IF(TaxMethodValue&gt;=1,TaxYear1*(1+GrowthTax)^(MAX(0,(341-StabMonth)/12))/12,MAX(0,MF$35*12)/EntryCapRate*(TaxLevyPct*TaxAssessmentPct*TaxValueAdjFactor)/12))</f>
        <v/>
      </c>
      <c r="MG36" s="18">
        <f>IF(342&lt;StabMonth,0,IF(TaxMethodValue&gt;=1,TaxYear1*(1+GrowthTax)^(MAX(0,(342-StabMonth)/12))/12,MAX(0,MG$35*12)/EntryCapRate*(TaxLevyPct*TaxAssessmentPct*TaxValueAdjFactor)/12))</f>
        <v/>
      </c>
      <c r="MH36" s="18">
        <f>IF(343&lt;StabMonth,0,IF(TaxMethodValue&gt;=1,TaxYear1*(1+GrowthTax)^(MAX(0,(343-StabMonth)/12))/12,MAX(0,MH$35*12)/EntryCapRate*(TaxLevyPct*TaxAssessmentPct*TaxValueAdjFactor)/12))</f>
        <v/>
      </c>
      <c r="MI36" s="18">
        <f>IF(344&lt;StabMonth,0,IF(TaxMethodValue&gt;=1,TaxYear1*(1+GrowthTax)^(MAX(0,(344-StabMonth)/12))/12,MAX(0,MI$35*12)/EntryCapRate*(TaxLevyPct*TaxAssessmentPct*TaxValueAdjFactor)/12))</f>
        <v/>
      </c>
      <c r="MJ36" s="18">
        <f>IF(345&lt;StabMonth,0,IF(TaxMethodValue&gt;=1,TaxYear1*(1+GrowthTax)^(MAX(0,(345-StabMonth)/12))/12,MAX(0,MJ$35*12)/EntryCapRate*(TaxLevyPct*TaxAssessmentPct*TaxValueAdjFactor)/12))</f>
        <v/>
      </c>
      <c r="MK36" s="18">
        <f>IF(346&lt;StabMonth,0,IF(TaxMethodValue&gt;=1,TaxYear1*(1+GrowthTax)^(MAX(0,(346-StabMonth)/12))/12,MAX(0,MK$35*12)/EntryCapRate*(TaxLevyPct*TaxAssessmentPct*TaxValueAdjFactor)/12))</f>
        <v/>
      </c>
      <c r="ML36" s="18">
        <f>IF(347&lt;StabMonth,0,IF(TaxMethodValue&gt;=1,TaxYear1*(1+GrowthTax)^(MAX(0,(347-StabMonth)/12))/12,MAX(0,ML$35*12)/EntryCapRate*(TaxLevyPct*TaxAssessmentPct*TaxValueAdjFactor)/12))</f>
        <v/>
      </c>
      <c r="MM36" s="18">
        <f>IF(348&lt;StabMonth,0,IF(TaxMethodValue&gt;=1,TaxYear1*(1+GrowthTax)^(MAX(0,(348-StabMonth)/12))/12,MAX(0,MM$35*12)/EntryCapRate*(TaxLevyPct*TaxAssessmentPct*TaxValueAdjFactor)/12))</f>
        <v/>
      </c>
      <c r="MN36" s="18">
        <f>IF(349&lt;StabMonth,0,IF(TaxMethodValue&gt;=1,TaxYear1*(1+GrowthTax)^(MAX(0,(349-StabMonth)/12))/12,MAX(0,MN$35*12)/EntryCapRate*(TaxLevyPct*TaxAssessmentPct*TaxValueAdjFactor)/12))</f>
        <v/>
      </c>
      <c r="MO36" s="18">
        <f>IF(350&lt;StabMonth,0,IF(TaxMethodValue&gt;=1,TaxYear1*(1+GrowthTax)^(MAX(0,(350-StabMonth)/12))/12,MAX(0,MO$35*12)/EntryCapRate*(TaxLevyPct*TaxAssessmentPct*TaxValueAdjFactor)/12))</f>
        <v/>
      </c>
      <c r="MP36" s="18">
        <f>IF(351&lt;StabMonth,0,IF(TaxMethodValue&gt;=1,TaxYear1*(1+GrowthTax)^(MAX(0,(351-StabMonth)/12))/12,MAX(0,MP$35*12)/EntryCapRate*(TaxLevyPct*TaxAssessmentPct*TaxValueAdjFactor)/12))</f>
        <v/>
      </c>
      <c r="MQ36" s="18">
        <f>IF(352&lt;StabMonth,0,IF(TaxMethodValue&gt;=1,TaxYear1*(1+GrowthTax)^(MAX(0,(352-StabMonth)/12))/12,MAX(0,MQ$35*12)/EntryCapRate*(TaxLevyPct*TaxAssessmentPct*TaxValueAdjFactor)/12))</f>
        <v/>
      </c>
      <c r="MR36" s="18">
        <f>IF(353&lt;StabMonth,0,IF(TaxMethodValue&gt;=1,TaxYear1*(1+GrowthTax)^(MAX(0,(353-StabMonth)/12))/12,MAX(0,MR$35*12)/EntryCapRate*(TaxLevyPct*TaxAssessmentPct*TaxValueAdjFactor)/12))</f>
        <v/>
      </c>
      <c r="MS36" s="18">
        <f>IF(354&lt;StabMonth,0,IF(TaxMethodValue&gt;=1,TaxYear1*(1+GrowthTax)^(MAX(0,(354-StabMonth)/12))/12,MAX(0,MS$35*12)/EntryCapRate*(TaxLevyPct*TaxAssessmentPct*TaxValueAdjFactor)/12))</f>
        <v/>
      </c>
      <c r="MT36" s="18">
        <f>IF(355&lt;StabMonth,0,IF(TaxMethodValue&gt;=1,TaxYear1*(1+GrowthTax)^(MAX(0,(355-StabMonth)/12))/12,MAX(0,MT$35*12)/EntryCapRate*(TaxLevyPct*TaxAssessmentPct*TaxValueAdjFactor)/12))</f>
        <v/>
      </c>
      <c r="MU36" s="18">
        <f>IF(356&lt;StabMonth,0,IF(TaxMethodValue&gt;=1,TaxYear1*(1+GrowthTax)^(MAX(0,(356-StabMonth)/12))/12,MAX(0,MU$35*12)/EntryCapRate*(TaxLevyPct*TaxAssessmentPct*TaxValueAdjFactor)/12))</f>
        <v/>
      </c>
      <c r="MV36" s="18">
        <f>IF(357&lt;StabMonth,0,IF(TaxMethodValue&gt;=1,TaxYear1*(1+GrowthTax)^(MAX(0,(357-StabMonth)/12))/12,MAX(0,MV$35*12)/EntryCapRate*(TaxLevyPct*TaxAssessmentPct*TaxValueAdjFactor)/12))</f>
        <v/>
      </c>
      <c r="MW36" s="18">
        <f>IF(358&lt;StabMonth,0,IF(TaxMethodValue&gt;=1,TaxYear1*(1+GrowthTax)^(MAX(0,(358-StabMonth)/12))/12,MAX(0,MW$35*12)/EntryCapRate*(TaxLevyPct*TaxAssessmentPct*TaxValueAdjFactor)/12))</f>
        <v/>
      </c>
      <c r="MX36" s="18">
        <f>IF(359&lt;StabMonth,0,IF(TaxMethodValue&gt;=1,TaxYear1*(1+GrowthTax)^(MAX(0,(359-StabMonth)/12))/12,MAX(0,MX$35*12)/EntryCapRate*(TaxLevyPct*TaxAssessmentPct*TaxValueAdjFactor)/12))</f>
        <v/>
      </c>
      <c r="MY36" s="18">
        <f>IF(360&lt;StabMonth,0,IF(TaxMethodValue&gt;=1,TaxYear1*(1+GrowthTax)^(MAX(0,(360-StabMonth)/12))/12,MAX(0,MY$35*12)/EntryCapRate*(TaxLevyPct*TaxAssessmentPct*TaxValueAdjFactor)/12))</f>
        <v/>
      </c>
      <c r="MZ36" s="18">
        <f>IF(361&lt;StabMonth,0,IF(TaxMethodValue&gt;=1,TaxYear1*(1+GrowthTax)^(MAX(0,(361-StabMonth)/12))/12,MAX(0,MZ$35*12)/EntryCapRate*(TaxLevyPct*TaxAssessmentPct*TaxValueAdjFactor)/12))</f>
        <v/>
      </c>
      <c r="NA36" s="18">
        <f>IF(362&lt;StabMonth,0,IF(TaxMethodValue&gt;=1,TaxYear1*(1+GrowthTax)^(MAX(0,(362-StabMonth)/12))/12,MAX(0,NA$35*12)/EntryCapRate*(TaxLevyPct*TaxAssessmentPct*TaxValueAdjFactor)/12))</f>
        <v/>
      </c>
      <c r="NB36" s="18">
        <f>IF(363&lt;StabMonth,0,IF(TaxMethodValue&gt;=1,TaxYear1*(1+GrowthTax)^(MAX(0,(363-StabMonth)/12))/12,MAX(0,NB$35*12)/EntryCapRate*(TaxLevyPct*TaxAssessmentPct*TaxValueAdjFactor)/12))</f>
        <v/>
      </c>
      <c r="NC36" s="18">
        <f>IF(364&lt;StabMonth,0,IF(TaxMethodValue&gt;=1,TaxYear1*(1+GrowthTax)^(MAX(0,(364-StabMonth)/12))/12,MAX(0,NC$35*12)/EntryCapRate*(TaxLevyPct*TaxAssessmentPct*TaxValueAdjFactor)/12))</f>
        <v/>
      </c>
      <c r="ND36" s="18">
        <f>IF(365&lt;StabMonth,0,IF(TaxMethodValue&gt;=1,TaxYear1*(1+GrowthTax)^(MAX(0,(365-StabMonth)/12))/12,MAX(0,ND$35*12)/EntryCapRate*(TaxLevyPct*TaxAssessmentPct*TaxValueAdjFactor)/12))</f>
        <v/>
      </c>
      <c r="NE36" s="18">
        <f>IF(366&lt;StabMonth,0,IF(TaxMethodValue&gt;=1,TaxYear1*(1+GrowthTax)^(MAX(0,(366-StabMonth)/12))/12,MAX(0,NE$35*12)/EntryCapRate*(TaxLevyPct*TaxAssessmentPct*TaxValueAdjFactor)/12))</f>
        <v/>
      </c>
      <c r="NF36" s="18">
        <f>IF(367&lt;StabMonth,0,IF(TaxMethodValue&gt;=1,TaxYear1*(1+GrowthTax)^(MAX(0,(367-StabMonth)/12))/12,MAX(0,NF$35*12)/EntryCapRate*(TaxLevyPct*TaxAssessmentPct*TaxValueAdjFactor)/12))</f>
        <v/>
      </c>
      <c r="NG36" s="18">
        <f>IF(368&lt;StabMonth,0,IF(TaxMethodValue&gt;=1,TaxYear1*(1+GrowthTax)^(MAX(0,(368-StabMonth)/12))/12,MAX(0,NG$35*12)/EntryCapRate*(TaxLevyPct*TaxAssessmentPct*TaxValueAdjFactor)/12))</f>
        <v/>
      </c>
      <c r="NH36" s="18">
        <f>IF(369&lt;StabMonth,0,IF(TaxMethodValue&gt;=1,TaxYear1*(1+GrowthTax)^(MAX(0,(369-StabMonth)/12))/12,MAX(0,NH$35*12)/EntryCapRate*(TaxLevyPct*TaxAssessmentPct*TaxValueAdjFactor)/12))</f>
        <v/>
      </c>
      <c r="NI36" s="18">
        <f>IF(370&lt;StabMonth,0,IF(TaxMethodValue&gt;=1,TaxYear1*(1+GrowthTax)^(MAX(0,(370-StabMonth)/12))/12,MAX(0,NI$35*12)/EntryCapRate*(TaxLevyPct*TaxAssessmentPct*TaxValueAdjFactor)/12))</f>
        <v/>
      </c>
      <c r="NJ36" s="18">
        <f>IF(371&lt;StabMonth,0,IF(TaxMethodValue&gt;=1,TaxYear1*(1+GrowthTax)^(MAX(0,(371-StabMonth)/12))/12,MAX(0,NJ$35*12)/EntryCapRate*(TaxLevyPct*TaxAssessmentPct*TaxValueAdjFactor)/12))</f>
        <v/>
      </c>
      <c r="NK36" s="18">
        <f>IF(372&lt;StabMonth,0,IF(TaxMethodValue&gt;=1,TaxYear1*(1+GrowthTax)^(MAX(0,(372-StabMonth)/12))/12,MAX(0,NK$35*12)/EntryCapRate*(TaxLevyPct*TaxAssessmentPct*TaxValueAdjFactor)/12))</f>
        <v/>
      </c>
    </row>
    <row r="37">
      <c r="A37" s="21" t="inlineStr">
        <is>
          <t>Total Operating Expenses</t>
        </is>
      </c>
      <c r="C37" s="41">
        <f>SUM(D37:NK37)</f>
        <v/>
      </c>
      <c r="D37" s="43">
        <f>D$34+D$36</f>
        <v/>
      </c>
      <c r="E37" s="43">
        <f>E$34+E$36</f>
        <v/>
      </c>
      <c r="F37" s="43">
        <f>F$34+F$36</f>
        <v/>
      </c>
      <c r="G37" s="43">
        <f>G$34+G$36</f>
        <v/>
      </c>
      <c r="H37" s="43">
        <f>H$34+H$36</f>
        <v/>
      </c>
      <c r="I37" s="43">
        <f>I$34+I$36</f>
        <v/>
      </c>
      <c r="J37" s="43">
        <f>J$34+J$36</f>
        <v/>
      </c>
      <c r="K37" s="43">
        <f>K$34+K$36</f>
        <v/>
      </c>
      <c r="L37" s="43">
        <f>L$34+L$36</f>
        <v/>
      </c>
      <c r="M37" s="43">
        <f>M$34+M$36</f>
        <v/>
      </c>
      <c r="N37" s="43">
        <f>N$34+N$36</f>
        <v/>
      </c>
      <c r="O37" s="43">
        <f>O$34+O$36</f>
        <v/>
      </c>
      <c r="P37" s="43">
        <f>P$34+P$36</f>
        <v/>
      </c>
      <c r="Q37" s="43">
        <f>Q$34+Q$36</f>
        <v/>
      </c>
      <c r="R37" s="43">
        <f>R$34+R$36</f>
        <v/>
      </c>
      <c r="S37" s="43">
        <f>S$34+S$36</f>
        <v/>
      </c>
      <c r="T37" s="43">
        <f>T$34+T$36</f>
        <v/>
      </c>
      <c r="U37" s="43">
        <f>U$34+U$36</f>
        <v/>
      </c>
      <c r="V37" s="43">
        <f>V$34+V$36</f>
        <v/>
      </c>
      <c r="W37" s="43">
        <f>W$34+W$36</f>
        <v/>
      </c>
      <c r="X37" s="43">
        <f>X$34+X$36</f>
        <v/>
      </c>
      <c r="Y37" s="43">
        <f>Y$34+Y$36</f>
        <v/>
      </c>
      <c r="Z37" s="43">
        <f>Z$34+Z$36</f>
        <v/>
      </c>
      <c r="AA37" s="43">
        <f>AA$34+AA$36</f>
        <v/>
      </c>
      <c r="AB37" s="43">
        <f>AB$34+AB$36</f>
        <v/>
      </c>
      <c r="AC37" s="43">
        <f>AC$34+AC$36</f>
        <v/>
      </c>
      <c r="AD37" s="43">
        <f>AD$34+AD$36</f>
        <v/>
      </c>
      <c r="AE37" s="43">
        <f>AE$34+AE$36</f>
        <v/>
      </c>
      <c r="AF37" s="43">
        <f>AF$34+AF$36</f>
        <v/>
      </c>
      <c r="AG37" s="43">
        <f>AG$34+AG$36</f>
        <v/>
      </c>
      <c r="AH37" s="43">
        <f>AH$34+AH$36</f>
        <v/>
      </c>
      <c r="AI37" s="43">
        <f>AI$34+AI$36</f>
        <v/>
      </c>
      <c r="AJ37" s="43">
        <f>AJ$34+AJ$36</f>
        <v/>
      </c>
      <c r="AK37" s="43">
        <f>AK$34+AK$36</f>
        <v/>
      </c>
      <c r="AL37" s="43">
        <f>AL$34+AL$36</f>
        <v/>
      </c>
      <c r="AM37" s="43">
        <f>AM$34+AM$36</f>
        <v/>
      </c>
      <c r="AN37" s="43">
        <f>AN$34+AN$36</f>
        <v/>
      </c>
      <c r="AO37" s="43">
        <f>AO$34+AO$36</f>
        <v/>
      </c>
      <c r="AP37" s="43">
        <f>AP$34+AP$36</f>
        <v/>
      </c>
      <c r="AQ37" s="43">
        <f>AQ$34+AQ$36</f>
        <v/>
      </c>
      <c r="AR37" s="43">
        <f>AR$34+AR$36</f>
        <v/>
      </c>
      <c r="AS37" s="43">
        <f>AS$34+AS$36</f>
        <v/>
      </c>
      <c r="AT37" s="43">
        <f>AT$34+AT$36</f>
        <v/>
      </c>
      <c r="AU37" s="43">
        <f>AU$34+AU$36</f>
        <v/>
      </c>
      <c r="AV37" s="43">
        <f>AV$34+AV$36</f>
        <v/>
      </c>
      <c r="AW37" s="43">
        <f>AW$34+AW$36</f>
        <v/>
      </c>
      <c r="AX37" s="43">
        <f>AX$34+AX$36</f>
        <v/>
      </c>
      <c r="AY37" s="43">
        <f>AY$34+AY$36</f>
        <v/>
      </c>
      <c r="AZ37" s="43">
        <f>AZ$34+AZ$36</f>
        <v/>
      </c>
      <c r="BA37" s="43">
        <f>BA$34+BA$36</f>
        <v/>
      </c>
      <c r="BB37" s="43">
        <f>BB$34+BB$36</f>
        <v/>
      </c>
      <c r="BC37" s="43">
        <f>BC$34+BC$36</f>
        <v/>
      </c>
      <c r="BD37" s="43">
        <f>BD$34+BD$36</f>
        <v/>
      </c>
      <c r="BE37" s="43">
        <f>BE$34+BE$36</f>
        <v/>
      </c>
      <c r="BF37" s="43">
        <f>BF$34+BF$36</f>
        <v/>
      </c>
      <c r="BG37" s="43">
        <f>BG$34+BG$36</f>
        <v/>
      </c>
      <c r="BH37" s="43">
        <f>BH$34+BH$36</f>
        <v/>
      </c>
      <c r="BI37" s="43">
        <f>BI$34+BI$36</f>
        <v/>
      </c>
      <c r="BJ37" s="43">
        <f>BJ$34+BJ$36</f>
        <v/>
      </c>
      <c r="BK37" s="43">
        <f>BK$34+BK$36</f>
        <v/>
      </c>
      <c r="BL37" s="43">
        <f>BL$34+BL$36</f>
        <v/>
      </c>
      <c r="BM37" s="43">
        <f>BM$34+BM$36</f>
        <v/>
      </c>
      <c r="BN37" s="43">
        <f>BN$34+BN$36</f>
        <v/>
      </c>
      <c r="BO37" s="43">
        <f>BO$34+BO$36</f>
        <v/>
      </c>
      <c r="BP37" s="43">
        <f>BP$34+BP$36</f>
        <v/>
      </c>
      <c r="BQ37" s="43">
        <f>BQ$34+BQ$36</f>
        <v/>
      </c>
      <c r="BR37" s="43">
        <f>BR$34+BR$36</f>
        <v/>
      </c>
      <c r="BS37" s="43">
        <f>BS$34+BS$36</f>
        <v/>
      </c>
      <c r="BT37" s="43">
        <f>BT$34+BT$36</f>
        <v/>
      </c>
      <c r="BU37" s="43">
        <f>BU$34+BU$36</f>
        <v/>
      </c>
      <c r="BV37" s="43">
        <f>BV$34+BV$36</f>
        <v/>
      </c>
      <c r="BW37" s="43">
        <f>BW$34+BW$36</f>
        <v/>
      </c>
      <c r="BX37" s="43">
        <f>BX$34+BX$36</f>
        <v/>
      </c>
      <c r="BY37" s="43">
        <f>BY$34+BY$36</f>
        <v/>
      </c>
      <c r="BZ37" s="43">
        <f>BZ$34+BZ$36</f>
        <v/>
      </c>
      <c r="CA37" s="43">
        <f>CA$34+CA$36</f>
        <v/>
      </c>
      <c r="CB37" s="43">
        <f>CB$34+CB$36</f>
        <v/>
      </c>
      <c r="CC37" s="43">
        <f>CC$34+CC$36</f>
        <v/>
      </c>
      <c r="CD37" s="43">
        <f>CD$34+CD$36</f>
        <v/>
      </c>
      <c r="CE37" s="43">
        <f>CE$34+CE$36</f>
        <v/>
      </c>
      <c r="CF37" s="43">
        <f>CF$34+CF$36</f>
        <v/>
      </c>
      <c r="CG37" s="43">
        <f>CG$34+CG$36</f>
        <v/>
      </c>
      <c r="CH37" s="43">
        <f>CH$34+CH$36</f>
        <v/>
      </c>
      <c r="CI37" s="43">
        <f>CI$34+CI$36</f>
        <v/>
      </c>
      <c r="CJ37" s="43">
        <f>CJ$34+CJ$36</f>
        <v/>
      </c>
      <c r="CK37" s="43">
        <f>CK$34+CK$36</f>
        <v/>
      </c>
      <c r="CL37" s="43">
        <f>CL$34+CL$36</f>
        <v/>
      </c>
      <c r="CM37" s="43">
        <f>CM$34+CM$36</f>
        <v/>
      </c>
      <c r="CN37" s="43">
        <f>CN$34+CN$36</f>
        <v/>
      </c>
      <c r="CO37" s="43">
        <f>CO$34+CO$36</f>
        <v/>
      </c>
      <c r="CP37" s="43">
        <f>CP$34+CP$36</f>
        <v/>
      </c>
      <c r="CQ37" s="43">
        <f>CQ$34+CQ$36</f>
        <v/>
      </c>
      <c r="CR37" s="43">
        <f>CR$34+CR$36</f>
        <v/>
      </c>
      <c r="CS37" s="43">
        <f>CS$34+CS$36</f>
        <v/>
      </c>
      <c r="CT37" s="43">
        <f>CT$34+CT$36</f>
        <v/>
      </c>
      <c r="CU37" s="43">
        <f>CU$34+CU$36</f>
        <v/>
      </c>
      <c r="CV37" s="43">
        <f>CV$34+CV$36</f>
        <v/>
      </c>
      <c r="CW37" s="43">
        <f>CW$34+CW$36</f>
        <v/>
      </c>
      <c r="CX37" s="43">
        <f>CX$34+CX$36</f>
        <v/>
      </c>
      <c r="CY37" s="43">
        <f>CY$34+CY$36</f>
        <v/>
      </c>
      <c r="CZ37" s="43">
        <f>CZ$34+CZ$36</f>
        <v/>
      </c>
      <c r="DA37" s="43">
        <f>DA$34+DA$36</f>
        <v/>
      </c>
      <c r="DB37" s="43">
        <f>DB$34+DB$36</f>
        <v/>
      </c>
      <c r="DC37" s="43">
        <f>DC$34+DC$36</f>
        <v/>
      </c>
      <c r="DD37" s="43">
        <f>DD$34+DD$36</f>
        <v/>
      </c>
      <c r="DE37" s="43">
        <f>DE$34+DE$36</f>
        <v/>
      </c>
      <c r="DF37" s="43">
        <f>DF$34+DF$36</f>
        <v/>
      </c>
      <c r="DG37" s="43">
        <f>DG$34+DG$36</f>
        <v/>
      </c>
      <c r="DH37" s="43">
        <f>DH$34+DH$36</f>
        <v/>
      </c>
      <c r="DI37" s="43">
        <f>DI$34+DI$36</f>
        <v/>
      </c>
      <c r="DJ37" s="43">
        <f>DJ$34+DJ$36</f>
        <v/>
      </c>
      <c r="DK37" s="43">
        <f>DK$34+DK$36</f>
        <v/>
      </c>
      <c r="DL37" s="43">
        <f>DL$34+DL$36</f>
        <v/>
      </c>
      <c r="DM37" s="43">
        <f>DM$34+DM$36</f>
        <v/>
      </c>
      <c r="DN37" s="43">
        <f>DN$34+DN$36</f>
        <v/>
      </c>
      <c r="DO37" s="43">
        <f>DO$34+DO$36</f>
        <v/>
      </c>
      <c r="DP37" s="43">
        <f>DP$34+DP$36</f>
        <v/>
      </c>
      <c r="DQ37" s="43">
        <f>DQ$34+DQ$36</f>
        <v/>
      </c>
      <c r="DR37" s="43">
        <f>DR$34+DR$36</f>
        <v/>
      </c>
      <c r="DS37" s="43">
        <f>DS$34+DS$36</f>
        <v/>
      </c>
      <c r="DT37" s="43">
        <f>DT$34+DT$36</f>
        <v/>
      </c>
      <c r="DU37" s="43">
        <f>DU$34+DU$36</f>
        <v/>
      </c>
      <c r="DV37" s="43">
        <f>DV$34+DV$36</f>
        <v/>
      </c>
      <c r="DW37" s="43">
        <f>DW$34+DW$36</f>
        <v/>
      </c>
      <c r="DX37" s="43">
        <f>DX$34+DX$36</f>
        <v/>
      </c>
      <c r="DY37" s="43">
        <f>DY$34+DY$36</f>
        <v/>
      </c>
      <c r="DZ37" s="43">
        <f>DZ$34+DZ$36</f>
        <v/>
      </c>
      <c r="EA37" s="43">
        <f>EA$34+EA$36</f>
        <v/>
      </c>
      <c r="EB37" s="43">
        <f>EB$34+EB$36</f>
        <v/>
      </c>
      <c r="EC37" s="43">
        <f>EC$34+EC$36</f>
        <v/>
      </c>
      <c r="ED37" s="43">
        <f>ED$34+ED$36</f>
        <v/>
      </c>
      <c r="EE37" s="43">
        <f>EE$34+EE$36</f>
        <v/>
      </c>
      <c r="EF37" s="43">
        <f>EF$34+EF$36</f>
        <v/>
      </c>
      <c r="EG37" s="43">
        <f>EG$34+EG$36</f>
        <v/>
      </c>
      <c r="EH37" s="43">
        <f>EH$34+EH$36</f>
        <v/>
      </c>
      <c r="EI37" s="43">
        <f>EI$34+EI$36</f>
        <v/>
      </c>
      <c r="EJ37" s="43">
        <f>EJ$34+EJ$36</f>
        <v/>
      </c>
      <c r="EK37" s="43">
        <f>EK$34+EK$36</f>
        <v/>
      </c>
      <c r="EL37" s="43">
        <f>EL$34+EL$36</f>
        <v/>
      </c>
      <c r="EM37" s="43">
        <f>EM$34+EM$36</f>
        <v/>
      </c>
      <c r="EN37" s="43">
        <f>EN$34+EN$36</f>
        <v/>
      </c>
      <c r="EO37" s="43">
        <f>EO$34+EO$36</f>
        <v/>
      </c>
      <c r="EP37" s="43">
        <f>EP$34+EP$36</f>
        <v/>
      </c>
      <c r="EQ37" s="43">
        <f>EQ$34+EQ$36</f>
        <v/>
      </c>
      <c r="ER37" s="43">
        <f>ER$34+ER$36</f>
        <v/>
      </c>
      <c r="ES37" s="43">
        <f>ES$34+ES$36</f>
        <v/>
      </c>
      <c r="ET37" s="43">
        <f>ET$34+ET$36</f>
        <v/>
      </c>
      <c r="EU37" s="43">
        <f>EU$34+EU$36</f>
        <v/>
      </c>
      <c r="EV37" s="43">
        <f>EV$34+EV$36</f>
        <v/>
      </c>
      <c r="EW37" s="43">
        <f>EW$34+EW$36</f>
        <v/>
      </c>
      <c r="EX37" s="43">
        <f>EX$34+EX$36</f>
        <v/>
      </c>
      <c r="EY37" s="43">
        <f>EY$34+EY$36</f>
        <v/>
      </c>
      <c r="EZ37" s="43">
        <f>EZ$34+EZ$36</f>
        <v/>
      </c>
      <c r="FA37" s="43">
        <f>FA$34+FA$36</f>
        <v/>
      </c>
      <c r="FB37" s="43">
        <f>FB$34+FB$36</f>
        <v/>
      </c>
      <c r="FC37" s="43">
        <f>FC$34+FC$36</f>
        <v/>
      </c>
      <c r="FD37" s="43">
        <f>FD$34+FD$36</f>
        <v/>
      </c>
      <c r="FE37" s="43">
        <f>FE$34+FE$36</f>
        <v/>
      </c>
      <c r="FF37" s="43">
        <f>FF$34+FF$36</f>
        <v/>
      </c>
      <c r="FG37" s="43">
        <f>FG$34+FG$36</f>
        <v/>
      </c>
      <c r="FH37" s="43">
        <f>FH$34+FH$36</f>
        <v/>
      </c>
      <c r="FI37" s="43">
        <f>FI$34+FI$36</f>
        <v/>
      </c>
      <c r="FJ37" s="43">
        <f>FJ$34+FJ$36</f>
        <v/>
      </c>
      <c r="FK37" s="43">
        <f>FK$34+FK$36</f>
        <v/>
      </c>
      <c r="FL37" s="43">
        <f>FL$34+FL$36</f>
        <v/>
      </c>
      <c r="FM37" s="43">
        <f>FM$34+FM$36</f>
        <v/>
      </c>
      <c r="FN37" s="43">
        <f>FN$34+FN$36</f>
        <v/>
      </c>
      <c r="FO37" s="43">
        <f>FO$34+FO$36</f>
        <v/>
      </c>
      <c r="FP37" s="43">
        <f>FP$34+FP$36</f>
        <v/>
      </c>
      <c r="FQ37" s="43">
        <f>FQ$34+FQ$36</f>
        <v/>
      </c>
      <c r="FR37" s="43">
        <f>FR$34+FR$36</f>
        <v/>
      </c>
      <c r="FS37" s="43">
        <f>FS$34+FS$36</f>
        <v/>
      </c>
      <c r="FT37" s="43">
        <f>FT$34+FT$36</f>
        <v/>
      </c>
      <c r="FU37" s="43">
        <f>FU$34+FU$36</f>
        <v/>
      </c>
      <c r="FV37" s="43">
        <f>FV$34+FV$36</f>
        <v/>
      </c>
      <c r="FW37" s="43">
        <f>FW$34+FW$36</f>
        <v/>
      </c>
      <c r="FX37" s="43">
        <f>FX$34+FX$36</f>
        <v/>
      </c>
      <c r="FY37" s="43">
        <f>FY$34+FY$36</f>
        <v/>
      </c>
      <c r="FZ37" s="43">
        <f>FZ$34+FZ$36</f>
        <v/>
      </c>
      <c r="GA37" s="43">
        <f>GA$34+GA$36</f>
        <v/>
      </c>
      <c r="GB37" s="43">
        <f>GB$34+GB$36</f>
        <v/>
      </c>
      <c r="GC37" s="43">
        <f>GC$34+GC$36</f>
        <v/>
      </c>
      <c r="GD37" s="43">
        <f>GD$34+GD$36</f>
        <v/>
      </c>
      <c r="GE37" s="43">
        <f>GE$34+GE$36</f>
        <v/>
      </c>
      <c r="GF37" s="43">
        <f>GF$34+GF$36</f>
        <v/>
      </c>
      <c r="GG37" s="43">
        <f>GG$34+GG$36</f>
        <v/>
      </c>
      <c r="GH37" s="43">
        <f>GH$34+GH$36</f>
        <v/>
      </c>
      <c r="GI37" s="43">
        <f>GI$34+GI$36</f>
        <v/>
      </c>
      <c r="GJ37" s="43">
        <f>GJ$34+GJ$36</f>
        <v/>
      </c>
      <c r="GK37" s="43">
        <f>GK$34+GK$36</f>
        <v/>
      </c>
      <c r="GL37" s="43">
        <f>GL$34+GL$36</f>
        <v/>
      </c>
      <c r="GM37" s="43">
        <f>GM$34+GM$36</f>
        <v/>
      </c>
      <c r="GN37" s="43">
        <f>GN$34+GN$36</f>
        <v/>
      </c>
      <c r="GO37" s="43">
        <f>GO$34+GO$36</f>
        <v/>
      </c>
      <c r="GP37" s="43">
        <f>GP$34+GP$36</f>
        <v/>
      </c>
      <c r="GQ37" s="43">
        <f>GQ$34+GQ$36</f>
        <v/>
      </c>
      <c r="GR37" s="43">
        <f>GR$34+GR$36</f>
        <v/>
      </c>
      <c r="GS37" s="43">
        <f>GS$34+GS$36</f>
        <v/>
      </c>
      <c r="GT37" s="43">
        <f>GT$34+GT$36</f>
        <v/>
      </c>
      <c r="GU37" s="43">
        <f>GU$34+GU$36</f>
        <v/>
      </c>
      <c r="GV37" s="43">
        <f>GV$34+GV$36</f>
        <v/>
      </c>
      <c r="GW37" s="43">
        <f>GW$34+GW$36</f>
        <v/>
      </c>
      <c r="GX37" s="43">
        <f>GX$34+GX$36</f>
        <v/>
      </c>
      <c r="GY37" s="43">
        <f>GY$34+GY$36</f>
        <v/>
      </c>
      <c r="GZ37" s="43">
        <f>GZ$34+GZ$36</f>
        <v/>
      </c>
      <c r="HA37" s="43">
        <f>HA$34+HA$36</f>
        <v/>
      </c>
      <c r="HB37" s="43">
        <f>HB$34+HB$36</f>
        <v/>
      </c>
      <c r="HC37" s="43">
        <f>HC$34+HC$36</f>
        <v/>
      </c>
      <c r="HD37" s="43">
        <f>HD$34+HD$36</f>
        <v/>
      </c>
      <c r="HE37" s="43">
        <f>HE$34+HE$36</f>
        <v/>
      </c>
      <c r="HF37" s="43">
        <f>HF$34+HF$36</f>
        <v/>
      </c>
      <c r="HG37" s="43">
        <f>HG$34+HG$36</f>
        <v/>
      </c>
      <c r="HH37" s="43">
        <f>HH$34+HH$36</f>
        <v/>
      </c>
      <c r="HI37" s="43">
        <f>HI$34+HI$36</f>
        <v/>
      </c>
      <c r="HJ37" s="43">
        <f>HJ$34+HJ$36</f>
        <v/>
      </c>
      <c r="HK37" s="43">
        <f>HK$34+HK$36</f>
        <v/>
      </c>
      <c r="HL37" s="43">
        <f>HL$34+HL$36</f>
        <v/>
      </c>
      <c r="HM37" s="43">
        <f>HM$34+HM$36</f>
        <v/>
      </c>
      <c r="HN37" s="43">
        <f>HN$34+HN$36</f>
        <v/>
      </c>
      <c r="HO37" s="43">
        <f>HO$34+HO$36</f>
        <v/>
      </c>
      <c r="HP37" s="43">
        <f>HP$34+HP$36</f>
        <v/>
      </c>
      <c r="HQ37" s="43">
        <f>HQ$34+HQ$36</f>
        <v/>
      </c>
      <c r="HR37" s="43">
        <f>HR$34+HR$36</f>
        <v/>
      </c>
      <c r="HS37" s="43">
        <f>HS$34+HS$36</f>
        <v/>
      </c>
      <c r="HT37" s="43">
        <f>HT$34+HT$36</f>
        <v/>
      </c>
      <c r="HU37" s="43">
        <f>HU$34+HU$36</f>
        <v/>
      </c>
      <c r="HV37" s="43">
        <f>HV$34+HV$36</f>
        <v/>
      </c>
      <c r="HW37" s="43">
        <f>HW$34+HW$36</f>
        <v/>
      </c>
      <c r="HX37" s="43">
        <f>HX$34+HX$36</f>
        <v/>
      </c>
      <c r="HY37" s="43">
        <f>HY$34+HY$36</f>
        <v/>
      </c>
      <c r="HZ37" s="43">
        <f>HZ$34+HZ$36</f>
        <v/>
      </c>
      <c r="IA37" s="43">
        <f>IA$34+IA$36</f>
        <v/>
      </c>
      <c r="IB37" s="43">
        <f>IB$34+IB$36</f>
        <v/>
      </c>
      <c r="IC37" s="43">
        <f>IC$34+IC$36</f>
        <v/>
      </c>
      <c r="ID37" s="43">
        <f>ID$34+ID$36</f>
        <v/>
      </c>
      <c r="IE37" s="43">
        <f>IE$34+IE$36</f>
        <v/>
      </c>
      <c r="IF37" s="43">
        <f>IF$34+IF$36</f>
        <v/>
      </c>
      <c r="IG37" s="43">
        <f>IG$34+IG$36</f>
        <v/>
      </c>
      <c r="IH37" s="43">
        <f>IH$34+IH$36</f>
        <v/>
      </c>
      <c r="II37" s="43">
        <f>II$34+II$36</f>
        <v/>
      </c>
      <c r="IJ37" s="43">
        <f>IJ$34+IJ$36</f>
        <v/>
      </c>
      <c r="IK37" s="43">
        <f>IK$34+IK$36</f>
        <v/>
      </c>
      <c r="IL37" s="43">
        <f>IL$34+IL$36</f>
        <v/>
      </c>
      <c r="IM37" s="43">
        <f>IM$34+IM$36</f>
        <v/>
      </c>
      <c r="IN37" s="43">
        <f>IN$34+IN$36</f>
        <v/>
      </c>
      <c r="IO37" s="43">
        <f>IO$34+IO$36</f>
        <v/>
      </c>
      <c r="IP37" s="43">
        <f>IP$34+IP$36</f>
        <v/>
      </c>
      <c r="IQ37" s="43">
        <f>IQ$34+IQ$36</f>
        <v/>
      </c>
      <c r="IR37" s="43">
        <f>IR$34+IR$36</f>
        <v/>
      </c>
      <c r="IS37" s="43">
        <f>IS$34+IS$36</f>
        <v/>
      </c>
      <c r="IT37" s="43">
        <f>IT$34+IT$36</f>
        <v/>
      </c>
      <c r="IU37" s="43">
        <f>IU$34+IU$36</f>
        <v/>
      </c>
      <c r="IV37" s="43">
        <f>IV$34+IV$36</f>
        <v/>
      </c>
      <c r="IW37" s="43">
        <f>IW$34+IW$36</f>
        <v/>
      </c>
      <c r="IX37" s="43">
        <f>IX$34+IX$36</f>
        <v/>
      </c>
      <c r="IY37" s="43">
        <f>IY$34+IY$36</f>
        <v/>
      </c>
      <c r="IZ37" s="43">
        <f>IZ$34+IZ$36</f>
        <v/>
      </c>
      <c r="JA37" s="43">
        <f>JA$34+JA$36</f>
        <v/>
      </c>
      <c r="JB37" s="43">
        <f>JB$34+JB$36</f>
        <v/>
      </c>
      <c r="JC37" s="43">
        <f>JC$34+JC$36</f>
        <v/>
      </c>
      <c r="JD37" s="43">
        <f>JD$34+JD$36</f>
        <v/>
      </c>
      <c r="JE37" s="43">
        <f>JE$34+JE$36</f>
        <v/>
      </c>
      <c r="JF37" s="43">
        <f>JF$34+JF$36</f>
        <v/>
      </c>
      <c r="JG37" s="43">
        <f>JG$34+JG$36</f>
        <v/>
      </c>
      <c r="JH37" s="43">
        <f>JH$34+JH$36</f>
        <v/>
      </c>
      <c r="JI37" s="43">
        <f>JI$34+JI$36</f>
        <v/>
      </c>
      <c r="JJ37" s="43">
        <f>JJ$34+JJ$36</f>
        <v/>
      </c>
      <c r="JK37" s="43">
        <f>JK$34+JK$36</f>
        <v/>
      </c>
      <c r="JL37" s="43">
        <f>JL$34+JL$36</f>
        <v/>
      </c>
      <c r="JM37" s="43">
        <f>JM$34+JM$36</f>
        <v/>
      </c>
      <c r="JN37" s="43">
        <f>JN$34+JN$36</f>
        <v/>
      </c>
      <c r="JO37" s="43">
        <f>JO$34+JO$36</f>
        <v/>
      </c>
      <c r="JP37" s="43">
        <f>JP$34+JP$36</f>
        <v/>
      </c>
      <c r="JQ37" s="43">
        <f>JQ$34+JQ$36</f>
        <v/>
      </c>
      <c r="JR37" s="43">
        <f>JR$34+JR$36</f>
        <v/>
      </c>
      <c r="JS37" s="43">
        <f>JS$34+JS$36</f>
        <v/>
      </c>
      <c r="JT37" s="43">
        <f>JT$34+JT$36</f>
        <v/>
      </c>
      <c r="JU37" s="43">
        <f>JU$34+JU$36</f>
        <v/>
      </c>
      <c r="JV37" s="43">
        <f>JV$34+JV$36</f>
        <v/>
      </c>
      <c r="JW37" s="43">
        <f>JW$34+JW$36</f>
        <v/>
      </c>
      <c r="JX37" s="43">
        <f>JX$34+JX$36</f>
        <v/>
      </c>
      <c r="JY37" s="43">
        <f>JY$34+JY$36</f>
        <v/>
      </c>
      <c r="JZ37" s="43">
        <f>JZ$34+JZ$36</f>
        <v/>
      </c>
      <c r="KA37" s="43">
        <f>KA$34+KA$36</f>
        <v/>
      </c>
      <c r="KB37" s="43">
        <f>KB$34+KB$36</f>
        <v/>
      </c>
      <c r="KC37" s="43">
        <f>KC$34+KC$36</f>
        <v/>
      </c>
      <c r="KD37" s="43">
        <f>KD$34+KD$36</f>
        <v/>
      </c>
      <c r="KE37" s="43">
        <f>KE$34+KE$36</f>
        <v/>
      </c>
      <c r="KF37" s="43">
        <f>KF$34+KF$36</f>
        <v/>
      </c>
      <c r="KG37" s="43">
        <f>KG$34+KG$36</f>
        <v/>
      </c>
      <c r="KH37" s="43">
        <f>KH$34+KH$36</f>
        <v/>
      </c>
      <c r="KI37" s="43">
        <f>KI$34+KI$36</f>
        <v/>
      </c>
      <c r="KJ37" s="43">
        <f>KJ$34+KJ$36</f>
        <v/>
      </c>
      <c r="KK37" s="43">
        <f>KK$34+KK$36</f>
        <v/>
      </c>
      <c r="KL37" s="43">
        <f>KL$34+KL$36</f>
        <v/>
      </c>
      <c r="KM37" s="43">
        <f>KM$34+KM$36</f>
        <v/>
      </c>
      <c r="KN37" s="43">
        <f>KN$34+KN$36</f>
        <v/>
      </c>
      <c r="KO37" s="43">
        <f>KO$34+KO$36</f>
        <v/>
      </c>
      <c r="KP37" s="43">
        <f>KP$34+KP$36</f>
        <v/>
      </c>
      <c r="KQ37" s="43">
        <f>KQ$34+KQ$36</f>
        <v/>
      </c>
      <c r="KR37" s="43">
        <f>KR$34+KR$36</f>
        <v/>
      </c>
      <c r="KS37" s="43">
        <f>KS$34+KS$36</f>
        <v/>
      </c>
      <c r="KT37" s="43">
        <f>KT$34+KT$36</f>
        <v/>
      </c>
      <c r="KU37" s="43">
        <f>KU$34+KU$36</f>
        <v/>
      </c>
      <c r="KV37" s="43">
        <f>KV$34+KV$36</f>
        <v/>
      </c>
      <c r="KW37" s="43">
        <f>KW$34+KW$36</f>
        <v/>
      </c>
      <c r="KX37" s="43">
        <f>KX$34+KX$36</f>
        <v/>
      </c>
      <c r="KY37" s="43">
        <f>KY$34+KY$36</f>
        <v/>
      </c>
      <c r="KZ37" s="43">
        <f>KZ$34+KZ$36</f>
        <v/>
      </c>
      <c r="LA37" s="43">
        <f>LA$34+LA$36</f>
        <v/>
      </c>
      <c r="LB37" s="43">
        <f>LB$34+LB$36</f>
        <v/>
      </c>
      <c r="LC37" s="43">
        <f>LC$34+LC$36</f>
        <v/>
      </c>
      <c r="LD37" s="43">
        <f>LD$34+LD$36</f>
        <v/>
      </c>
      <c r="LE37" s="43">
        <f>LE$34+LE$36</f>
        <v/>
      </c>
      <c r="LF37" s="43">
        <f>LF$34+LF$36</f>
        <v/>
      </c>
      <c r="LG37" s="43">
        <f>LG$34+LG$36</f>
        <v/>
      </c>
      <c r="LH37" s="43">
        <f>LH$34+LH$36</f>
        <v/>
      </c>
      <c r="LI37" s="43">
        <f>LI$34+LI$36</f>
        <v/>
      </c>
      <c r="LJ37" s="43">
        <f>LJ$34+LJ$36</f>
        <v/>
      </c>
      <c r="LK37" s="43">
        <f>LK$34+LK$36</f>
        <v/>
      </c>
      <c r="LL37" s="43">
        <f>LL$34+LL$36</f>
        <v/>
      </c>
      <c r="LM37" s="43">
        <f>LM$34+LM$36</f>
        <v/>
      </c>
      <c r="LN37" s="43">
        <f>LN$34+LN$36</f>
        <v/>
      </c>
      <c r="LO37" s="43">
        <f>LO$34+LO$36</f>
        <v/>
      </c>
      <c r="LP37" s="43">
        <f>LP$34+LP$36</f>
        <v/>
      </c>
      <c r="LQ37" s="43">
        <f>LQ$34+LQ$36</f>
        <v/>
      </c>
      <c r="LR37" s="43">
        <f>LR$34+LR$36</f>
        <v/>
      </c>
      <c r="LS37" s="43">
        <f>LS$34+LS$36</f>
        <v/>
      </c>
      <c r="LT37" s="43">
        <f>LT$34+LT$36</f>
        <v/>
      </c>
      <c r="LU37" s="43">
        <f>LU$34+LU$36</f>
        <v/>
      </c>
      <c r="LV37" s="43">
        <f>LV$34+LV$36</f>
        <v/>
      </c>
      <c r="LW37" s="43">
        <f>LW$34+LW$36</f>
        <v/>
      </c>
      <c r="LX37" s="43">
        <f>LX$34+LX$36</f>
        <v/>
      </c>
      <c r="LY37" s="43">
        <f>LY$34+LY$36</f>
        <v/>
      </c>
      <c r="LZ37" s="43">
        <f>LZ$34+LZ$36</f>
        <v/>
      </c>
      <c r="MA37" s="43">
        <f>MA$34+MA$36</f>
        <v/>
      </c>
      <c r="MB37" s="43">
        <f>MB$34+MB$36</f>
        <v/>
      </c>
      <c r="MC37" s="43">
        <f>MC$34+MC$36</f>
        <v/>
      </c>
      <c r="MD37" s="43">
        <f>MD$34+MD$36</f>
        <v/>
      </c>
      <c r="ME37" s="43">
        <f>ME$34+ME$36</f>
        <v/>
      </c>
      <c r="MF37" s="43">
        <f>MF$34+MF$36</f>
        <v/>
      </c>
      <c r="MG37" s="43">
        <f>MG$34+MG$36</f>
        <v/>
      </c>
      <c r="MH37" s="43">
        <f>MH$34+MH$36</f>
        <v/>
      </c>
      <c r="MI37" s="43">
        <f>MI$34+MI$36</f>
        <v/>
      </c>
      <c r="MJ37" s="43">
        <f>MJ$34+MJ$36</f>
        <v/>
      </c>
      <c r="MK37" s="43">
        <f>MK$34+MK$36</f>
        <v/>
      </c>
      <c r="ML37" s="43">
        <f>ML$34+ML$36</f>
        <v/>
      </c>
      <c r="MM37" s="43">
        <f>MM$34+MM$36</f>
        <v/>
      </c>
      <c r="MN37" s="43">
        <f>MN$34+MN$36</f>
        <v/>
      </c>
      <c r="MO37" s="43">
        <f>MO$34+MO$36</f>
        <v/>
      </c>
      <c r="MP37" s="43">
        <f>MP$34+MP$36</f>
        <v/>
      </c>
      <c r="MQ37" s="43">
        <f>MQ$34+MQ$36</f>
        <v/>
      </c>
      <c r="MR37" s="43">
        <f>MR$34+MR$36</f>
        <v/>
      </c>
      <c r="MS37" s="43">
        <f>MS$34+MS$36</f>
        <v/>
      </c>
      <c r="MT37" s="43">
        <f>MT$34+MT$36</f>
        <v/>
      </c>
      <c r="MU37" s="43">
        <f>MU$34+MU$36</f>
        <v/>
      </c>
      <c r="MV37" s="43">
        <f>MV$34+MV$36</f>
        <v/>
      </c>
      <c r="MW37" s="43">
        <f>MW$34+MW$36</f>
        <v/>
      </c>
      <c r="MX37" s="43">
        <f>MX$34+MX$36</f>
        <v/>
      </c>
      <c r="MY37" s="43">
        <f>MY$34+MY$36</f>
        <v/>
      </c>
      <c r="MZ37" s="43">
        <f>MZ$34+MZ$36</f>
        <v/>
      </c>
      <c r="NA37" s="43">
        <f>NA$34+NA$36</f>
        <v/>
      </c>
      <c r="NB37" s="43">
        <f>NB$34+NB$36</f>
        <v/>
      </c>
      <c r="NC37" s="43">
        <f>NC$34+NC$36</f>
        <v/>
      </c>
      <c r="ND37" s="43">
        <f>ND$34+ND$36</f>
        <v/>
      </c>
      <c r="NE37" s="43">
        <f>NE$34+NE$36</f>
        <v/>
      </c>
      <c r="NF37" s="43">
        <f>NF$34+NF$36</f>
        <v/>
      </c>
      <c r="NG37" s="43">
        <f>NG$34+NG$36</f>
        <v/>
      </c>
      <c r="NH37" s="43">
        <f>NH$34+NH$36</f>
        <v/>
      </c>
      <c r="NI37" s="43">
        <f>NI$34+NI$36</f>
        <v/>
      </c>
      <c r="NJ37" s="43">
        <f>NJ$34+NJ$36</f>
        <v/>
      </c>
      <c r="NK37" s="43">
        <f>NK$34+NK$36</f>
        <v/>
      </c>
    </row>
    <row r="38">
      <c r="A38" s="21" t="inlineStr">
        <is>
          <t>Net Operating Income</t>
        </is>
      </c>
      <c r="C38" s="41">
        <f>SUM(D38:NK38)</f>
        <v/>
      </c>
      <c r="D38" s="43">
        <f>D$35-D$36</f>
        <v/>
      </c>
      <c r="E38" s="43">
        <f>E$35-E$36</f>
        <v/>
      </c>
      <c r="F38" s="43">
        <f>F$35-F$36</f>
        <v/>
      </c>
      <c r="G38" s="43">
        <f>G$35-G$36</f>
        <v/>
      </c>
      <c r="H38" s="43">
        <f>H$35-H$36</f>
        <v/>
      </c>
      <c r="I38" s="43">
        <f>I$35-I$36</f>
        <v/>
      </c>
      <c r="J38" s="43">
        <f>J$35-J$36</f>
        <v/>
      </c>
      <c r="K38" s="43">
        <f>K$35-K$36</f>
        <v/>
      </c>
      <c r="L38" s="43">
        <f>L$35-L$36</f>
        <v/>
      </c>
      <c r="M38" s="43">
        <f>M$35-M$36</f>
        <v/>
      </c>
      <c r="N38" s="43">
        <f>N$35-N$36</f>
        <v/>
      </c>
      <c r="O38" s="43">
        <f>O$35-O$36</f>
        <v/>
      </c>
      <c r="P38" s="43">
        <f>P$35-P$36</f>
        <v/>
      </c>
      <c r="Q38" s="43">
        <f>Q$35-Q$36</f>
        <v/>
      </c>
      <c r="R38" s="43">
        <f>R$35-R$36</f>
        <v/>
      </c>
      <c r="S38" s="43">
        <f>S$35-S$36</f>
        <v/>
      </c>
      <c r="T38" s="43">
        <f>T$35-T$36</f>
        <v/>
      </c>
      <c r="U38" s="43">
        <f>U$35-U$36</f>
        <v/>
      </c>
      <c r="V38" s="43">
        <f>V$35-V$36</f>
        <v/>
      </c>
      <c r="W38" s="43">
        <f>W$35-W$36</f>
        <v/>
      </c>
      <c r="X38" s="43">
        <f>X$35-X$36</f>
        <v/>
      </c>
      <c r="Y38" s="43">
        <f>Y$35-Y$36</f>
        <v/>
      </c>
      <c r="Z38" s="43">
        <f>Z$35-Z$36</f>
        <v/>
      </c>
      <c r="AA38" s="43">
        <f>AA$35-AA$36</f>
        <v/>
      </c>
      <c r="AB38" s="43">
        <f>AB$35-AB$36</f>
        <v/>
      </c>
      <c r="AC38" s="43">
        <f>AC$35-AC$36</f>
        <v/>
      </c>
      <c r="AD38" s="43">
        <f>AD$35-AD$36</f>
        <v/>
      </c>
      <c r="AE38" s="43">
        <f>AE$35-AE$36</f>
        <v/>
      </c>
      <c r="AF38" s="43">
        <f>AF$35-AF$36</f>
        <v/>
      </c>
      <c r="AG38" s="43">
        <f>AG$35-AG$36</f>
        <v/>
      </c>
      <c r="AH38" s="43">
        <f>AH$35-AH$36</f>
        <v/>
      </c>
      <c r="AI38" s="43">
        <f>AI$35-AI$36</f>
        <v/>
      </c>
      <c r="AJ38" s="43">
        <f>AJ$35-AJ$36</f>
        <v/>
      </c>
      <c r="AK38" s="43">
        <f>AK$35-AK$36</f>
        <v/>
      </c>
      <c r="AL38" s="43">
        <f>AL$35-AL$36</f>
        <v/>
      </c>
      <c r="AM38" s="43">
        <f>AM$35-AM$36</f>
        <v/>
      </c>
      <c r="AN38" s="43">
        <f>AN$35-AN$36</f>
        <v/>
      </c>
      <c r="AO38" s="43">
        <f>AO$35-AO$36</f>
        <v/>
      </c>
      <c r="AP38" s="43">
        <f>AP$35-AP$36</f>
        <v/>
      </c>
      <c r="AQ38" s="43">
        <f>AQ$35-AQ$36</f>
        <v/>
      </c>
      <c r="AR38" s="43">
        <f>AR$35-AR$36</f>
        <v/>
      </c>
      <c r="AS38" s="43">
        <f>AS$35-AS$36</f>
        <v/>
      </c>
      <c r="AT38" s="43">
        <f>AT$35-AT$36</f>
        <v/>
      </c>
      <c r="AU38" s="43">
        <f>AU$35-AU$36</f>
        <v/>
      </c>
      <c r="AV38" s="43">
        <f>AV$35-AV$36</f>
        <v/>
      </c>
      <c r="AW38" s="43">
        <f>AW$35-AW$36</f>
        <v/>
      </c>
      <c r="AX38" s="43">
        <f>AX$35-AX$36</f>
        <v/>
      </c>
      <c r="AY38" s="43">
        <f>AY$35-AY$36</f>
        <v/>
      </c>
      <c r="AZ38" s="43">
        <f>AZ$35-AZ$36</f>
        <v/>
      </c>
      <c r="BA38" s="43">
        <f>BA$35-BA$36</f>
        <v/>
      </c>
      <c r="BB38" s="43">
        <f>BB$35-BB$36</f>
        <v/>
      </c>
      <c r="BC38" s="43">
        <f>BC$35-BC$36</f>
        <v/>
      </c>
      <c r="BD38" s="43">
        <f>BD$35-BD$36</f>
        <v/>
      </c>
      <c r="BE38" s="43">
        <f>BE$35-BE$36</f>
        <v/>
      </c>
      <c r="BF38" s="43">
        <f>BF$35-BF$36</f>
        <v/>
      </c>
      <c r="BG38" s="43">
        <f>BG$35-BG$36</f>
        <v/>
      </c>
      <c r="BH38" s="43">
        <f>BH$35-BH$36</f>
        <v/>
      </c>
      <c r="BI38" s="43">
        <f>BI$35-BI$36</f>
        <v/>
      </c>
      <c r="BJ38" s="43">
        <f>BJ$35-BJ$36</f>
        <v/>
      </c>
      <c r="BK38" s="43">
        <f>BK$35-BK$36</f>
        <v/>
      </c>
      <c r="BL38" s="43">
        <f>BL$35-BL$36</f>
        <v/>
      </c>
      <c r="BM38" s="43">
        <f>BM$35-BM$36</f>
        <v/>
      </c>
      <c r="BN38" s="43">
        <f>BN$35-BN$36</f>
        <v/>
      </c>
      <c r="BO38" s="43">
        <f>BO$35-BO$36</f>
        <v/>
      </c>
      <c r="BP38" s="43">
        <f>BP$35-BP$36</f>
        <v/>
      </c>
      <c r="BQ38" s="43">
        <f>BQ$35-BQ$36</f>
        <v/>
      </c>
      <c r="BR38" s="43">
        <f>BR$35-BR$36</f>
        <v/>
      </c>
      <c r="BS38" s="43">
        <f>BS$35-BS$36</f>
        <v/>
      </c>
      <c r="BT38" s="43">
        <f>BT$35-BT$36</f>
        <v/>
      </c>
      <c r="BU38" s="43">
        <f>BU$35-BU$36</f>
        <v/>
      </c>
      <c r="BV38" s="43">
        <f>BV$35-BV$36</f>
        <v/>
      </c>
      <c r="BW38" s="43">
        <f>BW$35-BW$36</f>
        <v/>
      </c>
      <c r="BX38" s="43">
        <f>BX$35-BX$36</f>
        <v/>
      </c>
      <c r="BY38" s="43">
        <f>BY$35-BY$36</f>
        <v/>
      </c>
      <c r="BZ38" s="43">
        <f>BZ$35-BZ$36</f>
        <v/>
      </c>
      <c r="CA38" s="43">
        <f>CA$35-CA$36</f>
        <v/>
      </c>
      <c r="CB38" s="43">
        <f>CB$35-CB$36</f>
        <v/>
      </c>
      <c r="CC38" s="43">
        <f>CC$35-CC$36</f>
        <v/>
      </c>
      <c r="CD38" s="43">
        <f>CD$35-CD$36</f>
        <v/>
      </c>
      <c r="CE38" s="43">
        <f>CE$35-CE$36</f>
        <v/>
      </c>
      <c r="CF38" s="43">
        <f>CF$35-CF$36</f>
        <v/>
      </c>
      <c r="CG38" s="43">
        <f>CG$35-CG$36</f>
        <v/>
      </c>
      <c r="CH38" s="43">
        <f>CH$35-CH$36</f>
        <v/>
      </c>
      <c r="CI38" s="43">
        <f>CI$35-CI$36</f>
        <v/>
      </c>
      <c r="CJ38" s="43">
        <f>CJ$35-CJ$36</f>
        <v/>
      </c>
      <c r="CK38" s="43">
        <f>CK$35-CK$36</f>
        <v/>
      </c>
      <c r="CL38" s="43">
        <f>CL$35-CL$36</f>
        <v/>
      </c>
      <c r="CM38" s="43">
        <f>CM$35-CM$36</f>
        <v/>
      </c>
      <c r="CN38" s="43">
        <f>CN$35-CN$36</f>
        <v/>
      </c>
      <c r="CO38" s="43">
        <f>CO$35-CO$36</f>
        <v/>
      </c>
      <c r="CP38" s="43">
        <f>CP$35-CP$36</f>
        <v/>
      </c>
      <c r="CQ38" s="43">
        <f>CQ$35-CQ$36</f>
        <v/>
      </c>
      <c r="CR38" s="43">
        <f>CR$35-CR$36</f>
        <v/>
      </c>
      <c r="CS38" s="43">
        <f>CS$35-CS$36</f>
        <v/>
      </c>
      <c r="CT38" s="43">
        <f>CT$35-CT$36</f>
        <v/>
      </c>
      <c r="CU38" s="43">
        <f>CU$35-CU$36</f>
        <v/>
      </c>
      <c r="CV38" s="43">
        <f>CV$35-CV$36</f>
        <v/>
      </c>
      <c r="CW38" s="43">
        <f>CW$35-CW$36</f>
        <v/>
      </c>
      <c r="CX38" s="43">
        <f>CX$35-CX$36</f>
        <v/>
      </c>
      <c r="CY38" s="43">
        <f>CY$35-CY$36</f>
        <v/>
      </c>
      <c r="CZ38" s="43">
        <f>CZ$35-CZ$36</f>
        <v/>
      </c>
      <c r="DA38" s="43">
        <f>DA$35-DA$36</f>
        <v/>
      </c>
      <c r="DB38" s="43">
        <f>DB$35-DB$36</f>
        <v/>
      </c>
      <c r="DC38" s="43">
        <f>DC$35-DC$36</f>
        <v/>
      </c>
      <c r="DD38" s="43">
        <f>DD$35-DD$36</f>
        <v/>
      </c>
      <c r="DE38" s="43">
        <f>DE$35-DE$36</f>
        <v/>
      </c>
      <c r="DF38" s="43">
        <f>DF$35-DF$36</f>
        <v/>
      </c>
      <c r="DG38" s="43">
        <f>DG$35-DG$36</f>
        <v/>
      </c>
      <c r="DH38" s="43">
        <f>DH$35-DH$36</f>
        <v/>
      </c>
      <c r="DI38" s="43">
        <f>DI$35-DI$36</f>
        <v/>
      </c>
      <c r="DJ38" s="43">
        <f>DJ$35-DJ$36</f>
        <v/>
      </c>
      <c r="DK38" s="43">
        <f>DK$35-DK$36</f>
        <v/>
      </c>
      <c r="DL38" s="43">
        <f>DL$35-DL$36</f>
        <v/>
      </c>
      <c r="DM38" s="43">
        <f>DM$35-DM$36</f>
        <v/>
      </c>
      <c r="DN38" s="43">
        <f>DN$35-DN$36</f>
        <v/>
      </c>
      <c r="DO38" s="43">
        <f>DO$35-DO$36</f>
        <v/>
      </c>
      <c r="DP38" s="43">
        <f>DP$35-DP$36</f>
        <v/>
      </c>
      <c r="DQ38" s="43">
        <f>DQ$35-DQ$36</f>
        <v/>
      </c>
      <c r="DR38" s="43">
        <f>DR$35-DR$36</f>
        <v/>
      </c>
      <c r="DS38" s="43">
        <f>DS$35-DS$36</f>
        <v/>
      </c>
      <c r="DT38" s="43">
        <f>DT$35-DT$36</f>
        <v/>
      </c>
      <c r="DU38" s="43">
        <f>DU$35-DU$36</f>
        <v/>
      </c>
      <c r="DV38" s="43">
        <f>DV$35-DV$36</f>
        <v/>
      </c>
      <c r="DW38" s="43">
        <f>DW$35-DW$36</f>
        <v/>
      </c>
      <c r="DX38" s="43">
        <f>DX$35-DX$36</f>
        <v/>
      </c>
      <c r="DY38" s="43">
        <f>DY$35-DY$36</f>
        <v/>
      </c>
      <c r="DZ38" s="43">
        <f>DZ$35-DZ$36</f>
        <v/>
      </c>
      <c r="EA38" s="43">
        <f>EA$35-EA$36</f>
        <v/>
      </c>
      <c r="EB38" s="43">
        <f>EB$35-EB$36</f>
        <v/>
      </c>
      <c r="EC38" s="43">
        <f>EC$35-EC$36</f>
        <v/>
      </c>
      <c r="ED38" s="43">
        <f>ED$35-ED$36</f>
        <v/>
      </c>
      <c r="EE38" s="43">
        <f>EE$35-EE$36</f>
        <v/>
      </c>
      <c r="EF38" s="43">
        <f>EF$35-EF$36</f>
        <v/>
      </c>
      <c r="EG38" s="43">
        <f>EG$35-EG$36</f>
        <v/>
      </c>
      <c r="EH38" s="43">
        <f>EH$35-EH$36</f>
        <v/>
      </c>
      <c r="EI38" s="43">
        <f>EI$35-EI$36</f>
        <v/>
      </c>
      <c r="EJ38" s="43">
        <f>EJ$35-EJ$36</f>
        <v/>
      </c>
      <c r="EK38" s="43">
        <f>EK$35-EK$36</f>
        <v/>
      </c>
      <c r="EL38" s="43">
        <f>EL$35-EL$36</f>
        <v/>
      </c>
      <c r="EM38" s="43">
        <f>EM$35-EM$36</f>
        <v/>
      </c>
      <c r="EN38" s="43">
        <f>EN$35-EN$36</f>
        <v/>
      </c>
      <c r="EO38" s="43">
        <f>EO$35-EO$36</f>
        <v/>
      </c>
      <c r="EP38" s="43">
        <f>EP$35-EP$36</f>
        <v/>
      </c>
      <c r="EQ38" s="43">
        <f>EQ$35-EQ$36</f>
        <v/>
      </c>
      <c r="ER38" s="43">
        <f>ER$35-ER$36</f>
        <v/>
      </c>
      <c r="ES38" s="43">
        <f>ES$35-ES$36</f>
        <v/>
      </c>
      <c r="ET38" s="43">
        <f>ET$35-ET$36</f>
        <v/>
      </c>
      <c r="EU38" s="43">
        <f>EU$35-EU$36</f>
        <v/>
      </c>
      <c r="EV38" s="43">
        <f>EV$35-EV$36</f>
        <v/>
      </c>
      <c r="EW38" s="43">
        <f>EW$35-EW$36</f>
        <v/>
      </c>
      <c r="EX38" s="43">
        <f>EX$35-EX$36</f>
        <v/>
      </c>
      <c r="EY38" s="43">
        <f>EY$35-EY$36</f>
        <v/>
      </c>
      <c r="EZ38" s="43">
        <f>EZ$35-EZ$36</f>
        <v/>
      </c>
      <c r="FA38" s="43">
        <f>FA$35-FA$36</f>
        <v/>
      </c>
      <c r="FB38" s="43">
        <f>FB$35-FB$36</f>
        <v/>
      </c>
      <c r="FC38" s="43">
        <f>FC$35-FC$36</f>
        <v/>
      </c>
      <c r="FD38" s="43">
        <f>FD$35-FD$36</f>
        <v/>
      </c>
      <c r="FE38" s="43">
        <f>FE$35-FE$36</f>
        <v/>
      </c>
      <c r="FF38" s="43">
        <f>FF$35-FF$36</f>
        <v/>
      </c>
      <c r="FG38" s="43">
        <f>FG$35-FG$36</f>
        <v/>
      </c>
      <c r="FH38" s="43">
        <f>FH$35-FH$36</f>
        <v/>
      </c>
      <c r="FI38" s="43">
        <f>FI$35-FI$36</f>
        <v/>
      </c>
      <c r="FJ38" s="43">
        <f>FJ$35-FJ$36</f>
        <v/>
      </c>
      <c r="FK38" s="43">
        <f>FK$35-FK$36</f>
        <v/>
      </c>
      <c r="FL38" s="43">
        <f>FL$35-FL$36</f>
        <v/>
      </c>
      <c r="FM38" s="43">
        <f>FM$35-FM$36</f>
        <v/>
      </c>
      <c r="FN38" s="43">
        <f>FN$35-FN$36</f>
        <v/>
      </c>
      <c r="FO38" s="43">
        <f>FO$35-FO$36</f>
        <v/>
      </c>
      <c r="FP38" s="43">
        <f>FP$35-FP$36</f>
        <v/>
      </c>
      <c r="FQ38" s="43">
        <f>FQ$35-FQ$36</f>
        <v/>
      </c>
      <c r="FR38" s="43">
        <f>FR$35-FR$36</f>
        <v/>
      </c>
      <c r="FS38" s="43">
        <f>FS$35-FS$36</f>
        <v/>
      </c>
      <c r="FT38" s="43">
        <f>FT$35-FT$36</f>
        <v/>
      </c>
      <c r="FU38" s="43">
        <f>FU$35-FU$36</f>
        <v/>
      </c>
      <c r="FV38" s="43">
        <f>FV$35-FV$36</f>
        <v/>
      </c>
      <c r="FW38" s="43">
        <f>FW$35-FW$36</f>
        <v/>
      </c>
      <c r="FX38" s="43">
        <f>FX$35-FX$36</f>
        <v/>
      </c>
      <c r="FY38" s="43">
        <f>FY$35-FY$36</f>
        <v/>
      </c>
      <c r="FZ38" s="43">
        <f>FZ$35-FZ$36</f>
        <v/>
      </c>
      <c r="GA38" s="43">
        <f>GA$35-GA$36</f>
        <v/>
      </c>
      <c r="GB38" s="43">
        <f>GB$35-GB$36</f>
        <v/>
      </c>
      <c r="GC38" s="43">
        <f>GC$35-GC$36</f>
        <v/>
      </c>
      <c r="GD38" s="43">
        <f>GD$35-GD$36</f>
        <v/>
      </c>
      <c r="GE38" s="43">
        <f>GE$35-GE$36</f>
        <v/>
      </c>
      <c r="GF38" s="43">
        <f>GF$35-GF$36</f>
        <v/>
      </c>
      <c r="GG38" s="43">
        <f>GG$35-GG$36</f>
        <v/>
      </c>
      <c r="GH38" s="43">
        <f>GH$35-GH$36</f>
        <v/>
      </c>
      <c r="GI38" s="43">
        <f>GI$35-GI$36</f>
        <v/>
      </c>
      <c r="GJ38" s="43">
        <f>GJ$35-GJ$36</f>
        <v/>
      </c>
      <c r="GK38" s="43">
        <f>GK$35-GK$36</f>
        <v/>
      </c>
      <c r="GL38" s="43">
        <f>GL$35-GL$36</f>
        <v/>
      </c>
      <c r="GM38" s="43">
        <f>GM$35-GM$36</f>
        <v/>
      </c>
      <c r="GN38" s="43">
        <f>GN$35-GN$36</f>
        <v/>
      </c>
      <c r="GO38" s="43">
        <f>GO$35-GO$36</f>
        <v/>
      </c>
      <c r="GP38" s="43">
        <f>GP$35-GP$36</f>
        <v/>
      </c>
      <c r="GQ38" s="43">
        <f>GQ$35-GQ$36</f>
        <v/>
      </c>
      <c r="GR38" s="43">
        <f>GR$35-GR$36</f>
        <v/>
      </c>
      <c r="GS38" s="43">
        <f>GS$35-GS$36</f>
        <v/>
      </c>
      <c r="GT38" s="43">
        <f>GT$35-GT$36</f>
        <v/>
      </c>
      <c r="GU38" s="43">
        <f>GU$35-GU$36</f>
        <v/>
      </c>
      <c r="GV38" s="43">
        <f>GV$35-GV$36</f>
        <v/>
      </c>
      <c r="GW38" s="43">
        <f>GW$35-GW$36</f>
        <v/>
      </c>
      <c r="GX38" s="43">
        <f>GX$35-GX$36</f>
        <v/>
      </c>
      <c r="GY38" s="43">
        <f>GY$35-GY$36</f>
        <v/>
      </c>
      <c r="GZ38" s="43">
        <f>GZ$35-GZ$36</f>
        <v/>
      </c>
      <c r="HA38" s="43">
        <f>HA$35-HA$36</f>
        <v/>
      </c>
      <c r="HB38" s="43">
        <f>HB$35-HB$36</f>
        <v/>
      </c>
      <c r="HC38" s="43">
        <f>HC$35-HC$36</f>
        <v/>
      </c>
      <c r="HD38" s="43">
        <f>HD$35-HD$36</f>
        <v/>
      </c>
      <c r="HE38" s="43">
        <f>HE$35-HE$36</f>
        <v/>
      </c>
      <c r="HF38" s="43">
        <f>HF$35-HF$36</f>
        <v/>
      </c>
      <c r="HG38" s="43">
        <f>HG$35-HG$36</f>
        <v/>
      </c>
      <c r="HH38" s="43">
        <f>HH$35-HH$36</f>
        <v/>
      </c>
      <c r="HI38" s="43">
        <f>HI$35-HI$36</f>
        <v/>
      </c>
      <c r="HJ38" s="43">
        <f>HJ$35-HJ$36</f>
        <v/>
      </c>
      <c r="HK38" s="43">
        <f>HK$35-HK$36</f>
        <v/>
      </c>
      <c r="HL38" s="43">
        <f>HL$35-HL$36</f>
        <v/>
      </c>
      <c r="HM38" s="43">
        <f>HM$35-HM$36</f>
        <v/>
      </c>
      <c r="HN38" s="43">
        <f>HN$35-HN$36</f>
        <v/>
      </c>
      <c r="HO38" s="43">
        <f>HO$35-HO$36</f>
        <v/>
      </c>
      <c r="HP38" s="43">
        <f>HP$35-HP$36</f>
        <v/>
      </c>
      <c r="HQ38" s="43">
        <f>HQ$35-HQ$36</f>
        <v/>
      </c>
      <c r="HR38" s="43">
        <f>HR$35-HR$36</f>
        <v/>
      </c>
      <c r="HS38" s="43">
        <f>HS$35-HS$36</f>
        <v/>
      </c>
      <c r="HT38" s="43">
        <f>HT$35-HT$36</f>
        <v/>
      </c>
      <c r="HU38" s="43">
        <f>HU$35-HU$36</f>
        <v/>
      </c>
      <c r="HV38" s="43">
        <f>HV$35-HV$36</f>
        <v/>
      </c>
      <c r="HW38" s="43">
        <f>HW$35-HW$36</f>
        <v/>
      </c>
      <c r="HX38" s="43">
        <f>HX$35-HX$36</f>
        <v/>
      </c>
      <c r="HY38" s="43">
        <f>HY$35-HY$36</f>
        <v/>
      </c>
      <c r="HZ38" s="43">
        <f>HZ$35-HZ$36</f>
        <v/>
      </c>
      <c r="IA38" s="43">
        <f>IA$35-IA$36</f>
        <v/>
      </c>
      <c r="IB38" s="43">
        <f>IB$35-IB$36</f>
        <v/>
      </c>
      <c r="IC38" s="43">
        <f>IC$35-IC$36</f>
        <v/>
      </c>
      <c r="ID38" s="43">
        <f>ID$35-ID$36</f>
        <v/>
      </c>
      <c r="IE38" s="43">
        <f>IE$35-IE$36</f>
        <v/>
      </c>
      <c r="IF38" s="43">
        <f>IF$35-IF$36</f>
        <v/>
      </c>
      <c r="IG38" s="43">
        <f>IG$35-IG$36</f>
        <v/>
      </c>
      <c r="IH38" s="43">
        <f>IH$35-IH$36</f>
        <v/>
      </c>
      <c r="II38" s="43">
        <f>II$35-II$36</f>
        <v/>
      </c>
      <c r="IJ38" s="43">
        <f>IJ$35-IJ$36</f>
        <v/>
      </c>
      <c r="IK38" s="43">
        <f>IK$35-IK$36</f>
        <v/>
      </c>
      <c r="IL38" s="43">
        <f>IL$35-IL$36</f>
        <v/>
      </c>
      <c r="IM38" s="43">
        <f>IM$35-IM$36</f>
        <v/>
      </c>
      <c r="IN38" s="43">
        <f>IN$35-IN$36</f>
        <v/>
      </c>
      <c r="IO38" s="43">
        <f>IO$35-IO$36</f>
        <v/>
      </c>
      <c r="IP38" s="43">
        <f>IP$35-IP$36</f>
        <v/>
      </c>
      <c r="IQ38" s="43">
        <f>IQ$35-IQ$36</f>
        <v/>
      </c>
      <c r="IR38" s="43">
        <f>IR$35-IR$36</f>
        <v/>
      </c>
      <c r="IS38" s="43">
        <f>IS$35-IS$36</f>
        <v/>
      </c>
      <c r="IT38" s="43">
        <f>IT$35-IT$36</f>
        <v/>
      </c>
      <c r="IU38" s="43">
        <f>IU$35-IU$36</f>
        <v/>
      </c>
      <c r="IV38" s="43">
        <f>IV$35-IV$36</f>
        <v/>
      </c>
      <c r="IW38" s="43">
        <f>IW$35-IW$36</f>
        <v/>
      </c>
      <c r="IX38" s="43">
        <f>IX$35-IX$36</f>
        <v/>
      </c>
      <c r="IY38" s="43">
        <f>IY$35-IY$36</f>
        <v/>
      </c>
      <c r="IZ38" s="43">
        <f>IZ$35-IZ$36</f>
        <v/>
      </c>
      <c r="JA38" s="43">
        <f>JA$35-JA$36</f>
        <v/>
      </c>
      <c r="JB38" s="43">
        <f>JB$35-JB$36</f>
        <v/>
      </c>
      <c r="JC38" s="43">
        <f>JC$35-JC$36</f>
        <v/>
      </c>
      <c r="JD38" s="43">
        <f>JD$35-JD$36</f>
        <v/>
      </c>
      <c r="JE38" s="43">
        <f>JE$35-JE$36</f>
        <v/>
      </c>
      <c r="JF38" s="43">
        <f>JF$35-JF$36</f>
        <v/>
      </c>
      <c r="JG38" s="43">
        <f>JG$35-JG$36</f>
        <v/>
      </c>
      <c r="JH38" s="43">
        <f>JH$35-JH$36</f>
        <v/>
      </c>
      <c r="JI38" s="43">
        <f>JI$35-JI$36</f>
        <v/>
      </c>
      <c r="JJ38" s="43">
        <f>JJ$35-JJ$36</f>
        <v/>
      </c>
      <c r="JK38" s="43">
        <f>JK$35-JK$36</f>
        <v/>
      </c>
      <c r="JL38" s="43">
        <f>JL$35-JL$36</f>
        <v/>
      </c>
      <c r="JM38" s="43">
        <f>JM$35-JM$36</f>
        <v/>
      </c>
      <c r="JN38" s="43">
        <f>JN$35-JN$36</f>
        <v/>
      </c>
      <c r="JO38" s="43">
        <f>JO$35-JO$36</f>
        <v/>
      </c>
      <c r="JP38" s="43">
        <f>JP$35-JP$36</f>
        <v/>
      </c>
      <c r="JQ38" s="43">
        <f>JQ$35-JQ$36</f>
        <v/>
      </c>
      <c r="JR38" s="43">
        <f>JR$35-JR$36</f>
        <v/>
      </c>
      <c r="JS38" s="43">
        <f>JS$35-JS$36</f>
        <v/>
      </c>
      <c r="JT38" s="43">
        <f>JT$35-JT$36</f>
        <v/>
      </c>
      <c r="JU38" s="43">
        <f>JU$35-JU$36</f>
        <v/>
      </c>
      <c r="JV38" s="43">
        <f>JV$35-JV$36</f>
        <v/>
      </c>
      <c r="JW38" s="43">
        <f>JW$35-JW$36</f>
        <v/>
      </c>
      <c r="JX38" s="43">
        <f>JX$35-JX$36</f>
        <v/>
      </c>
      <c r="JY38" s="43">
        <f>JY$35-JY$36</f>
        <v/>
      </c>
      <c r="JZ38" s="43">
        <f>JZ$35-JZ$36</f>
        <v/>
      </c>
      <c r="KA38" s="43">
        <f>KA$35-KA$36</f>
        <v/>
      </c>
      <c r="KB38" s="43">
        <f>KB$35-KB$36</f>
        <v/>
      </c>
      <c r="KC38" s="43">
        <f>KC$35-KC$36</f>
        <v/>
      </c>
      <c r="KD38" s="43">
        <f>KD$35-KD$36</f>
        <v/>
      </c>
      <c r="KE38" s="43">
        <f>KE$35-KE$36</f>
        <v/>
      </c>
      <c r="KF38" s="43">
        <f>KF$35-KF$36</f>
        <v/>
      </c>
      <c r="KG38" s="43">
        <f>KG$35-KG$36</f>
        <v/>
      </c>
      <c r="KH38" s="43">
        <f>KH$35-KH$36</f>
        <v/>
      </c>
      <c r="KI38" s="43">
        <f>KI$35-KI$36</f>
        <v/>
      </c>
      <c r="KJ38" s="43">
        <f>KJ$35-KJ$36</f>
        <v/>
      </c>
      <c r="KK38" s="43">
        <f>KK$35-KK$36</f>
        <v/>
      </c>
      <c r="KL38" s="43">
        <f>KL$35-KL$36</f>
        <v/>
      </c>
      <c r="KM38" s="43">
        <f>KM$35-KM$36</f>
        <v/>
      </c>
      <c r="KN38" s="43">
        <f>KN$35-KN$36</f>
        <v/>
      </c>
      <c r="KO38" s="43">
        <f>KO$35-KO$36</f>
        <v/>
      </c>
      <c r="KP38" s="43">
        <f>KP$35-KP$36</f>
        <v/>
      </c>
      <c r="KQ38" s="43">
        <f>KQ$35-KQ$36</f>
        <v/>
      </c>
      <c r="KR38" s="43">
        <f>KR$35-KR$36</f>
        <v/>
      </c>
      <c r="KS38" s="43">
        <f>KS$35-KS$36</f>
        <v/>
      </c>
      <c r="KT38" s="43">
        <f>KT$35-KT$36</f>
        <v/>
      </c>
      <c r="KU38" s="43">
        <f>KU$35-KU$36</f>
        <v/>
      </c>
      <c r="KV38" s="43">
        <f>KV$35-KV$36</f>
        <v/>
      </c>
      <c r="KW38" s="43">
        <f>KW$35-KW$36</f>
        <v/>
      </c>
      <c r="KX38" s="43">
        <f>KX$35-KX$36</f>
        <v/>
      </c>
      <c r="KY38" s="43">
        <f>KY$35-KY$36</f>
        <v/>
      </c>
      <c r="KZ38" s="43">
        <f>KZ$35-KZ$36</f>
        <v/>
      </c>
      <c r="LA38" s="43">
        <f>LA$35-LA$36</f>
        <v/>
      </c>
      <c r="LB38" s="43">
        <f>LB$35-LB$36</f>
        <v/>
      </c>
      <c r="LC38" s="43">
        <f>LC$35-LC$36</f>
        <v/>
      </c>
      <c r="LD38" s="43">
        <f>LD$35-LD$36</f>
        <v/>
      </c>
      <c r="LE38" s="43">
        <f>LE$35-LE$36</f>
        <v/>
      </c>
      <c r="LF38" s="43">
        <f>LF$35-LF$36</f>
        <v/>
      </c>
      <c r="LG38" s="43">
        <f>LG$35-LG$36</f>
        <v/>
      </c>
      <c r="LH38" s="43">
        <f>LH$35-LH$36</f>
        <v/>
      </c>
      <c r="LI38" s="43">
        <f>LI$35-LI$36</f>
        <v/>
      </c>
      <c r="LJ38" s="43">
        <f>LJ$35-LJ$36</f>
        <v/>
      </c>
      <c r="LK38" s="43">
        <f>LK$35-LK$36</f>
        <v/>
      </c>
      <c r="LL38" s="43">
        <f>LL$35-LL$36</f>
        <v/>
      </c>
      <c r="LM38" s="43">
        <f>LM$35-LM$36</f>
        <v/>
      </c>
      <c r="LN38" s="43">
        <f>LN$35-LN$36</f>
        <v/>
      </c>
      <c r="LO38" s="43">
        <f>LO$35-LO$36</f>
        <v/>
      </c>
      <c r="LP38" s="43">
        <f>LP$35-LP$36</f>
        <v/>
      </c>
      <c r="LQ38" s="43">
        <f>LQ$35-LQ$36</f>
        <v/>
      </c>
      <c r="LR38" s="43">
        <f>LR$35-LR$36</f>
        <v/>
      </c>
      <c r="LS38" s="43">
        <f>LS$35-LS$36</f>
        <v/>
      </c>
      <c r="LT38" s="43">
        <f>LT$35-LT$36</f>
        <v/>
      </c>
      <c r="LU38" s="43">
        <f>LU$35-LU$36</f>
        <v/>
      </c>
      <c r="LV38" s="43">
        <f>LV$35-LV$36</f>
        <v/>
      </c>
      <c r="LW38" s="43">
        <f>LW$35-LW$36</f>
        <v/>
      </c>
      <c r="LX38" s="43">
        <f>LX$35-LX$36</f>
        <v/>
      </c>
      <c r="LY38" s="43">
        <f>LY$35-LY$36</f>
        <v/>
      </c>
      <c r="LZ38" s="43">
        <f>LZ$35-LZ$36</f>
        <v/>
      </c>
      <c r="MA38" s="43">
        <f>MA$35-MA$36</f>
        <v/>
      </c>
      <c r="MB38" s="43">
        <f>MB$35-MB$36</f>
        <v/>
      </c>
      <c r="MC38" s="43">
        <f>MC$35-MC$36</f>
        <v/>
      </c>
      <c r="MD38" s="43">
        <f>MD$35-MD$36</f>
        <v/>
      </c>
      <c r="ME38" s="43">
        <f>ME$35-ME$36</f>
        <v/>
      </c>
      <c r="MF38" s="43">
        <f>MF$35-MF$36</f>
        <v/>
      </c>
      <c r="MG38" s="43">
        <f>MG$35-MG$36</f>
        <v/>
      </c>
      <c r="MH38" s="43">
        <f>MH$35-MH$36</f>
        <v/>
      </c>
      <c r="MI38" s="43">
        <f>MI$35-MI$36</f>
        <v/>
      </c>
      <c r="MJ38" s="43">
        <f>MJ$35-MJ$36</f>
        <v/>
      </c>
      <c r="MK38" s="43">
        <f>MK$35-MK$36</f>
        <v/>
      </c>
      <c r="ML38" s="43">
        <f>ML$35-ML$36</f>
        <v/>
      </c>
      <c r="MM38" s="43">
        <f>MM$35-MM$36</f>
        <v/>
      </c>
      <c r="MN38" s="43">
        <f>MN$35-MN$36</f>
        <v/>
      </c>
      <c r="MO38" s="43">
        <f>MO$35-MO$36</f>
        <v/>
      </c>
      <c r="MP38" s="43">
        <f>MP$35-MP$36</f>
        <v/>
      </c>
      <c r="MQ38" s="43">
        <f>MQ$35-MQ$36</f>
        <v/>
      </c>
      <c r="MR38" s="43">
        <f>MR$35-MR$36</f>
        <v/>
      </c>
      <c r="MS38" s="43">
        <f>MS$35-MS$36</f>
        <v/>
      </c>
      <c r="MT38" s="43">
        <f>MT$35-MT$36</f>
        <v/>
      </c>
      <c r="MU38" s="43">
        <f>MU$35-MU$36</f>
        <v/>
      </c>
      <c r="MV38" s="43">
        <f>MV$35-MV$36</f>
        <v/>
      </c>
      <c r="MW38" s="43">
        <f>MW$35-MW$36</f>
        <v/>
      </c>
      <c r="MX38" s="43">
        <f>MX$35-MX$36</f>
        <v/>
      </c>
      <c r="MY38" s="43">
        <f>MY$35-MY$36</f>
        <v/>
      </c>
      <c r="MZ38" s="43">
        <f>MZ$35-MZ$36</f>
        <v/>
      </c>
      <c r="NA38" s="43">
        <f>NA$35-NA$36</f>
        <v/>
      </c>
      <c r="NB38" s="43">
        <f>NB$35-NB$36</f>
        <v/>
      </c>
      <c r="NC38" s="43">
        <f>NC$35-NC$36</f>
        <v/>
      </c>
      <c r="ND38" s="43">
        <f>ND$35-ND$36</f>
        <v/>
      </c>
      <c r="NE38" s="43">
        <f>NE$35-NE$36</f>
        <v/>
      </c>
      <c r="NF38" s="43">
        <f>NF$35-NF$36</f>
        <v/>
      </c>
      <c r="NG38" s="43">
        <f>NG$35-NG$36</f>
        <v/>
      </c>
      <c r="NH38" s="43">
        <f>NH$35-NH$36</f>
        <v/>
      </c>
      <c r="NI38" s="43">
        <f>NI$35-NI$36</f>
        <v/>
      </c>
      <c r="NJ38" s="43">
        <f>NJ$35-NJ$36</f>
        <v/>
      </c>
      <c r="NK38" s="43">
        <f>NK$35-NK$36</f>
        <v/>
      </c>
    </row>
    <row r="39">
      <c r="A39" s="3" t="inlineStr">
        <is>
          <t>Below-NOI Items</t>
        </is>
      </c>
      <c r="B39" s="4" t="n"/>
      <c r="C39" s="4" t="n"/>
    </row>
    <row r="40">
      <c r="A40" s="5" t="inlineStr">
        <is>
          <t>Capital Reserves + Tax Prep + Asset Mgmt Fee</t>
        </is>
      </c>
      <c r="C40" s="41">
        <f>SUM(D40:NK40)</f>
        <v/>
      </c>
      <c r="D40" s="18">
        <f>IF(1&gt;=DeliverStart,CapReservePerUnit*TotalUnits/12+TaxPrepPerUnit*TotalUnits/12+AssetMgmtFeePct*D$23,0)</f>
        <v/>
      </c>
      <c r="E40" s="18">
        <f>IF(2&gt;=DeliverStart,CapReservePerUnit*TotalUnits/12+TaxPrepPerUnit*TotalUnits/12+AssetMgmtFeePct*E$23,0)</f>
        <v/>
      </c>
      <c r="F40" s="18">
        <f>IF(3&gt;=DeliverStart,CapReservePerUnit*TotalUnits/12+TaxPrepPerUnit*TotalUnits/12+AssetMgmtFeePct*F$23,0)</f>
        <v/>
      </c>
      <c r="G40" s="18">
        <f>IF(4&gt;=DeliverStart,CapReservePerUnit*TotalUnits/12+TaxPrepPerUnit*TotalUnits/12+AssetMgmtFeePct*G$23,0)</f>
        <v/>
      </c>
      <c r="H40" s="18">
        <f>IF(5&gt;=DeliverStart,CapReservePerUnit*TotalUnits/12+TaxPrepPerUnit*TotalUnits/12+AssetMgmtFeePct*H$23,0)</f>
        <v/>
      </c>
      <c r="I40" s="18">
        <f>IF(6&gt;=DeliverStart,CapReservePerUnit*TotalUnits/12+TaxPrepPerUnit*TotalUnits/12+AssetMgmtFeePct*I$23,0)</f>
        <v/>
      </c>
      <c r="J40" s="18">
        <f>IF(7&gt;=DeliverStart,CapReservePerUnit*TotalUnits/12+TaxPrepPerUnit*TotalUnits/12+AssetMgmtFeePct*J$23,0)</f>
        <v/>
      </c>
      <c r="K40" s="18">
        <f>IF(8&gt;=DeliverStart,CapReservePerUnit*TotalUnits/12+TaxPrepPerUnit*TotalUnits/12+AssetMgmtFeePct*K$23,0)</f>
        <v/>
      </c>
      <c r="L40" s="18">
        <f>IF(9&gt;=DeliverStart,CapReservePerUnit*TotalUnits/12+TaxPrepPerUnit*TotalUnits/12+AssetMgmtFeePct*L$23,0)</f>
        <v/>
      </c>
      <c r="M40" s="18">
        <f>IF(10&gt;=DeliverStart,CapReservePerUnit*TotalUnits/12+TaxPrepPerUnit*TotalUnits/12+AssetMgmtFeePct*M$23,0)</f>
        <v/>
      </c>
      <c r="N40" s="18">
        <f>IF(11&gt;=DeliverStart,CapReservePerUnit*TotalUnits/12+TaxPrepPerUnit*TotalUnits/12+AssetMgmtFeePct*N$23,0)</f>
        <v/>
      </c>
      <c r="O40" s="18">
        <f>IF(12&gt;=DeliverStart,CapReservePerUnit*TotalUnits/12+TaxPrepPerUnit*TotalUnits/12+AssetMgmtFeePct*O$23,0)</f>
        <v/>
      </c>
      <c r="P40" s="18">
        <f>IF(13&gt;=DeliverStart,CapReservePerUnit*TotalUnits/12+TaxPrepPerUnit*TotalUnits/12+AssetMgmtFeePct*P$23,0)</f>
        <v/>
      </c>
      <c r="Q40" s="18">
        <f>IF(14&gt;=DeliverStart,CapReservePerUnit*TotalUnits/12+TaxPrepPerUnit*TotalUnits/12+AssetMgmtFeePct*Q$23,0)</f>
        <v/>
      </c>
      <c r="R40" s="18">
        <f>IF(15&gt;=DeliverStart,CapReservePerUnit*TotalUnits/12+TaxPrepPerUnit*TotalUnits/12+AssetMgmtFeePct*R$23,0)</f>
        <v/>
      </c>
      <c r="S40" s="18">
        <f>IF(16&gt;=DeliverStart,CapReservePerUnit*TotalUnits/12+TaxPrepPerUnit*TotalUnits/12+AssetMgmtFeePct*S$23,0)</f>
        <v/>
      </c>
      <c r="T40" s="18">
        <f>IF(17&gt;=DeliverStart,CapReservePerUnit*TotalUnits/12+TaxPrepPerUnit*TotalUnits/12+AssetMgmtFeePct*T$23,0)</f>
        <v/>
      </c>
      <c r="U40" s="18">
        <f>IF(18&gt;=DeliverStart,CapReservePerUnit*TotalUnits/12+TaxPrepPerUnit*TotalUnits/12+AssetMgmtFeePct*U$23,0)</f>
        <v/>
      </c>
      <c r="V40" s="18">
        <f>IF(19&gt;=DeliverStart,CapReservePerUnit*TotalUnits/12+TaxPrepPerUnit*TotalUnits/12+AssetMgmtFeePct*V$23,0)</f>
        <v/>
      </c>
      <c r="W40" s="18">
        <f>IF(20&gt;=DeliverStart,CapReservePerUnit*TotalUnits/12+TaxPrepPerUnit*TotalUnits/12+AssetMgmtFeePct*W$23,0)</f>
        <v/>
      </c>
      <c r="X40" s="18">
        <f>IF(21&gt;=DeliverStart,CapReservePerUnit*TotalUnits/12+TaxPrepPerUnit*TotalUnits/12+AssetMgmtFeePct*X$23,0)</f>
        <v/>
      </c>
      <c r="Y40" s="18">
        <f>IF(22&gt;=DeliverStart,CapReservePerUnit*TotalUnits/12+TaxPrepPerUnit*TotalUnits/12+AssetMgmtFeePct*Y$23,0)</f>
        <v/>
      </c>
      <c r="Z40" s="18">
        <f>IF(23&gt;=DeliverStart,CapReservePerUnit*TotalUnits/12+TaxPrepPerUnit*TotalUnits/12+AssetMgmtFeePct*Z$23,0)</f>
        <v/>
      </c>
      <c r="AA40" s="18">
        <f>IF(24&gt;=DeliverStart,CapReservePerUnit*TotalUnits/12+TaxPrepPerUnit*TotalUnits/12+AssetMgmtFeePct*AA$23,0)</f>
        <v/>
      </c>
      <c r="AB40" s="18">
        <f>IF(25&gt;=DeliverStart,CapReservePerUnit*TotalUnits/12+TaxPrepPerUnit*TotalUnits/12+AssetMgmtFeePct*AB$23,0)</f>
        <v/>
      </c>
      <c r="AC40" s="18">
        <f>IF(26&gt;=DeliverStart,CapReservePerUnit*TotalUnits/12+TaxPrepPerUnit*TotalUnits/12+AssetMgmtFeePct*AC$23,0)</f>
        <v/>
      </c>
      <c r="AD40" s="18">
        <f>IF(27&gt;=DeliverStart,CapReservePerUnit*TotalUnits/12+TaxPrepPerUnit*TotalUnits/12+AssetMgmtFeePct*AD$23,0)</f>
        <v/>
      </c>
      <c r="AE40" s="18">
        <f>IF(28&gt;=DeliverStart,CapReservePerUnit*TotalUnits/12+TaxPrepPerUnit*TotalUnits/12+AssetMgmtFeePct*AE$23,0)</f>
        <v/>
      </c>
      <c r="AF40" s="18">
        <f>IF(29&gt;=DeliverStart,CapReservePerUnit*TotalUnits/12+TaxPrepPerUnit*TotalUnits/12+AssetMgmtFeePct*AF$23,0)</f>
        <v/>
      </c>
      <c r="AG40" s="18">
        <f>IF(30&gt;=DeliverStart,CapReservePerUnit*TotalUnits/12+TaxPrepPerUnit*TotalUnits/12+AssetMgmtFeePct*AG$23,0)</f>
        <v/>
      </c>
      <c r="AH40" s="18">
        <f>IF(31&gt;=DeliverStart,CapReservePerUnit*TotalUnits/12+TaxPrepPerUnit*TotalUnits/12+AssetMgmtFeePct*AH$23,0)</f>
        <v/>
      </c>
      <c r="AI40" s="18">
        <f>IF(32&gt;=DeliverStart,CapReservePerUnit*TotalUnits/12+TaxPrepPerUnit*TotalUnits/12+AssetMgmtFeePct*AI$23,0)</f>
        <v/>
      </c>
      <c r="AJ40" s="18">
        <f>IF(33&gt;=DeliverStart,CapReservePerUnit*TotalUnits/12+TaxPrepPerUnit*TotalUnits/12+AssetMgmtFeePct*AJ$23,0)</f>
        <v/>
      </c>
      <c r="AK40" s="18">
        <f>IF(34&gt;=DeliverStart,CapReservePerUnit*TotalUnits/12+TaxPrepPerUnit*TotalUnits/12+AssetMgmtFeePct*AK$23,0)</f>
        <v/>
      </c>
      <c r="AL40" s="18">
        <f>IF(35&gt;=DeliverStart,CapReservePerUnit*TotalUnits/12+TaxPrepPerUnit*TotalUnits/12+AssetMgmtFeePct*AL$23,0)</f>
        <v/>
      </c>
      <c r="AM40" s="18">
        <f>IF(36&gt;=DeliverStart,CapReservePerUnit*TotalUnits/12+TaxPrepPerUnit*TotalUnits/12+AssetMgmtFeePct*AM$23,0)</f>
        <v/>
      </c>
      <c r="AN40" s="18">
        <f>IF(37&gt;=DeliverStart,CapReservePerUnit*TotalUnits/12+TaxPrepPerUnit*TotalUnits/12+AssetMgmtFeePct*AN$23,0)</f>
        <v/>
      </c>
      <c r="AO40" s="18">
        <f>IF(38&gt;=DeliverStart,CapReservePerUnit*TotalUnits/12+TaxPrepPerUnit*TotalUnits/12+AssetMgmtFeePct*AO$23,0)</f>
        <v/>
      </c>
      <c r="AP40" s="18">
        <f>IF(39&gt;=DeliverStart,CapReservePerUnit*TotalUnits/12+TaxPrepPerUnit*TotalUnits/12+AssetMgmtFeePct*AP$23,0)</f>
        <v/>
      </c>
      <c r="AQ40" s="18">
        <f>IF(40&gt;=DeliverStart,CapReservePerUnit*TotalUnits/12+TaxPrepPerUnit*TotalUnits/12+AssetMgmtFeePct*AQ$23,0)</f>
        <v/>
      </c>
      <c r="AR40" s="18">
        <f>IF(41&gt;=DeliverStart,CapReservePerUnit*TotalUnits/12+TaxPrepPerUnit*TotalUnits/12+AssetMgmtFeePct*AR$23,0)</f>
        <v/>
      </c>
      <c r="AS40" s="18">
        <f>IF(42&gt;=DeliverStart,CapReservePerUnit*TotalUnits/12+TaxPrepPerUnit*TotalUnits/12+AssetMgmtFeePct*AS$23,0)</f>
        <v/>
      </c>
      <c r="AT40" s="18">
        <f>IF(43&gt;=DeliverStart,CapReservePerUnit*TotalUnits/12+TaxPrepPerUnit*TotalUnits/12+AssetMgmtFeePct*AT$23,0)</f>
        <v/>
      </c>
      <c r="AU40" s="18">
        <f>IF(44&gt;=DeliverStart,CapReservePerUnit*TotalUnits/12+TaxPrepPerUnit*TotalUnits/12+AssetMgmtFeePct*AU$23,0)</f>
        <v/>
      </c>
      <c r="AV40" s="18">
        <f>IF(45&gt;=DeliverStart,CapReservePerUnit*TotalUnits/12+TaxPrepPerUnit*TotalUnits/12+AssetMgmtFeePct*AV$23,0)</f>
        <v/>
      </c>
      <c r="AW40" s="18">
        <f>IF(46&gt;=DeliverStart,CapReservePerUnit*TotalUnits/12+TaxPrepPerUnit*TotalUnits/12+AssetMgmtFeePct*AW$23,0)</f>
        <v/>
      </c>
      <c r="AX40" s="18">
        <f>IF(47&gt;=DeliverStart,CapReservePerUnit*TotalUnits/12+TaxPrepPerUnit*TotalUnits/12+AssetMgmtFeePct*AX$23,0)</f>
        <v/>
      </c>
      <c r="AY40" s="18">
        <f>IF(48&gt;=DeliverStart,CapReservePerUnit*TotalUnits/12+TaxPrepPerUnit*TotalUnits/12+AssetMgmtFeePct*AY$23,0)</f>
        <v/>
      </c>
      <c r="AZ40" s="18">
        <f>IF(49&gt;=DeliverStart,CapReservePerUnit*TotalUnits/12+TaxPrepPerUnit*TotalUnits/12+AssetMgmtFeePct*AZ$23,0)</f>
        <v/>
      </c>
      <c r="BA40" s="18">
        <f>IF(50&gt;=DeliverStart,CapReservePerUnit*TotalUnits/12+TaxPrepPerUnit*TotalUnits/12+AssetMgmtFeePct*BA$23,0)</f>
        <v/>
      </c>
      <c r="BB40" s="18">
        <f>IF(51&gt;=DeliverStart,CapReservePerUnit*TotalUnits/12+TaxPrepPerUnit*TotalUnits/12+AssetMgmtFeePct*BB$23,0)</f>
        <v/>
      </c>
      <c r="BC40" s="18">
        <f>IF(52&gt;=DeliverStart,CapReservePerUnit*TotalUnits/12+TaxPrepPerUnit*TotalUnits/12+AssetMgmtFeePct*BC$23,0)</f>
        <v/>
      </c>
      <c r="BD40" s="18">
        <f>IF(53&gt;=DeliverStart,CapReservePerUnit*TotalUnits/12+TaxPrepPerUnit*TotalUnits/12+AssetMgmtFeePct*BD$23,0)</f>
        <v/>
      </c>
      <c r="BE40" s="18">
        <f>IF(54&gt;=DeliverStart,CapReservePerUnit*TotalUnits/12+TaxPrepPerUnit*TotalUnits/12+AssetMgmtFeePct*BE$23,0)</f>
        <v/>
      </c>
      <c r="BF40" s="18">
        <f>IF(55&gt;=DeliverStart,CapReservePerUnit*TotalUnits/12+TaxPrepPerUnit*TotalUnits/12+AssetMgmtFeePct*BF$23,0)</f>
        <v/>
      </c>
      <c r="BG40" s="18">
        <f>IF(56&gt;=DeliverStart,CapReservePerUnit*TotalUnits/12+TaxPrepPerUnit*TotalUnits/12+AssetMgmtFeePct*BG$23,0)</f>
        <v/>
      </c>
      <c r="BH40" s="18">
        <f>IF(57&gt;=DeliverStart,CapReservePerUnit*TotalUnits/12+TaxPrepPerUnit*TotalUnits/12+AssetMgmtFeePct*BH$23,0)</f>
        <v/>
      </c>
      <c r="BI40" s="18">
        <f>IF(58&gt;=DeliverStart,CapReservePerUnit*TotalUnits/12+TaxPrepPerUnit*TotalUnits/12+AssetMgmtFeePct*BI$23,0)</f>
        <v/>
      </c>
      <c r="BJ40" s="18">
        <f>IF(59&gt;=DeliverStart,CapReservePerUnit*TotalUnits/12+TaxPrepPerUnit*TotalUnits/12+AssetMgmtFeePct*BJ$23,0)</f>
        <v/>
      </c>
      <c r="BK40" s="18">
        <f>IF(60&gt;=DeliverStart,CapReservePerUnit*TotalUnits/12+TaxPrepPerUnit*TotalUnits/12+AssetMgmtFeePct*BK$23,0)</f>
        <v/>
      </c>
      <c r="BL40" s="18">
        <f>IF(61&gt;=DeliverStart,CapReservePerUnit*TotalUnits/12+TaxPrepPerUnit*TotalUnits/12+AssetMgmtFeePct*BL$23,0)</f>
        <v/>
      </c>
      <c r="BM40" s="18">
        <f>IF(62&gt;=DeliverStart,CapReservePerUnit*TotalUnits/12+TaxPrepPerUnit*TotalUnits/12+AssetMgmtFeePct*BM$23,0)</f>
        <v/>
      </c>
      <c r="BN40" s="18">
        <f>IF(63&gt;=DeliverStart,CapReservePerUnit*TotalUnits/12+TaxPrepPerUnit*TotalUnits/12+AssetMgmtFeePct*BN$23,0)</f>
        <v/>
      </c>
      <c r="BO40" s="18">
        <f>IF(64&gt;=DeliverStart,CapReservePerUnit*TotalUnits/12+TaxPrepPerUnit*TotalUnits/12+AssetMgmtFeePct*BO$23,0)</f>
        <v/>
      </c>
      <c r="BP40" s="18">
        <f>IF(65&gt;=DeliverStart,CapReservePerUnit*TotalUnits/12+TaxPrepPerUnit*TotalUnits/12+AssetMgmtFeePct*BP$23,0)</f>
        <v/>
      </c>
      <c r="BQ40" s="18">
        <f>IF(66&gt;=DeliverStart,CapReservePerUnit*TotalUnits/12+TaxPrepPerUnit*TotalUnits/12+AssetMgmtFeePct*BQ$23,0)</f>
        <v/>
      </c>
      <c r="BR40" s="18">
        <f>IF(67&gt;=DeliverStart,CapReservePerUnit*TotalUnits/12+TaxPrepPerUnit*TotalUnits/12+AssetMgmtFeePct*BR$23,0)</f>
        <v/>
      </c>
      <c r="BS40" s="18">
        <f>IF(68&gt;=DeliverStart,CapReservePerUnit*TotalUnits/12+TaxPrepPerUnit*TotalUnits/12+AssetMgmtFeePct*BS$23,0)</f>
        <v/>
      </c>
      <c r="BT40" s="18">
        <f>IF(69&gt;=DeliverStart,CapReservePerUnit*TotalUnits/12+TaxPrepPerUnit*TotalUnits/12+AssetMgmtFeePct*BT$23,0)</f>
        <v/>
      </c>
      <c r="BU40" s="18">
        <f>IF(70&gt;=DeliverStart,CapReservePerUnit*TotalUnits/12+TaxPrepPerUnit*TotalUnits/12+AssetMgmtFeePct*BU$23,0)</f>
        <v/>
      </c>
      <c r="BV40" s="18">
        <f>IF(71&gt;=DeliverStart,CapReservePerUnit*TotalUnits/12+TaxPrepPerUnit*TotalUnits/12+AssetMgmtFeePct*BV$23,0)</f>
        <v/>
      </c>
      <c r="BW40" s="18">
        <f>IF(72&gt;=DeliverStart,CapReservePerUnit*TotalUnits/12+TaxPrepPerUnit*TotalUnits/12+AssetMgmtFeePct*BW$23,0)</f>
        <v/>
      </c>
      <c r="BX40" s="18">
        <f>IF(73&gt;=DeliverStart,CapReservePerUnit*TotalUnits/12+TaxPrepPerUnit*TotalUnits/12+AssetMgmtFeePct*BX$23,0)</f>
        <v/>
      </c>
      <c r="BY40" s="18">
        <f>IF(74&gt;=DeliverStart,CapReservePerUnit*TotalUnits/12+TaxPrepPerUnit*TotalUnits/12+AssetMgmtFeePct*BY$23,0)</f>
        <v/>
      </c>
      <c r="BZ40" s="18">
        <f>IF(75&gt;=DeliverStart,CapReservePerUnit*TotalUnits/12+TaxPrepPerUnit*TotalUnits/12+AssetMgmtFeePct*BZ$23,0)</f>
        <v/>
      </c>
      <c r="CA40" s="18">
        <f>IF(76&gt;=DeliverStart,CapReservePerUnit*TotalUnits/12+TaxPrepPerUnit*TotalUnits/12+AssetMgmtFeePct*CA$23,0)</f>
        <v/>
      </c>
      <c r="CB40" s="18">
        <f>IF(77&gt;=DeliverStart,CapReservePerUnit*TotalUnits/12+TaxPrepPerUnit*TotalUnits/12+AssetMgmtFeePct*CB$23,0)</f>
        <v/>
      </c>
      <c r="CC40" s="18">
        <f>IF(78&gt;=DeliverStart,CapReservePerUnit*TotalUnits/12+TaxPrepPerUnit*TotalUnits/12+AssetMgmtFeePct*CC$23,0)</f>
        <v/>
      </c>
      <c r="CD40" s="18">
        <f>IF(79&gt;=DeliverStart,CapReservePerUnit*TotalUnits/12+TaxPrepPerUnit*TotalUnits/12+AssetMgmtFeePct*CD$23,0)</f>
        <v/>
      </c>
      <c r="CE40" s="18">
        <f>IF(80&gt;=DeliverStart,CapReservePerUnit*TotalUnits/12+TaxPrepPerUnit*TotalUnits/12+AssetMgmtFeePct*CE$23,0)</f>
        <v/>
      </c>
      <c r="CF40" s="18">
        <f>IF(81&gt;=DeliverStart,CapReservePerUnit*TotalUnits/12+TaxPrepPerUnit*TotalUnits/12+AssetMgmtFeePct*CF$23,0)</f>
        <v/>
      </c>
      <c r="CG40" s="18">
        <f>IF(82&gt;=DeliverStart,CapReservePerUnit*TotalUnits/12+TaxPrepPerUnit*TotalUnits/12+AssetMgmtFeePct*CG$23,0)</f>
        <v/>
      </c>
      <c r="CH40" s="18">
        <f>IF(83&gt;=DeliverStart,CapReservePerUnit*TotalUnits/12+TaxPrepPerUnit*TotalUnits/12+AssetMgmtFeePct*CH$23,0)</f>
        <v/>
      </c>
      <c r="CI40" s="18">
        <f>IF(84&gt;=DeliverStart,CapReservePerUnit*TotalUnits/12+TaxPrepPerUnit*TotalUnits/12+AssetMgmtFeePct*CI$23,0)</f>
        <v/>
      </c>
      <c r="CJ40" s="18">
        <f>IF(85&gt;=DeliverStart,CapReservePerUnit*TotalUnits/12+TaxPrepPerUnit*TotalUnits/12+AssetMgmtFeePct*CJ$23,0)</f>
        <v/>
      </c>
      <c r="CK40" s="18">
        <f>IF(86&gt;=DeliverStart,CapReservePerUnit*TotalUnits/12+TaxPrepPerUnit*TotalUnits/12+AssetMgmtFeePct*CK$23,0)</f>
        <v/>
      </c>
      <c r="CL40" s="18">
        <f>IF(87&gt;=DeliverStart,CapReservePerUnit*TotalUnits/12+TaxPrepPerUnit*TotalUnits/12+AssetMgmtFeePct*CL$23,0)</f>
        <v/>
      </c>
      <c r="CM40" s="18">
        <f>IF(88&gt;=DeliverStart,CapReservePerUnit*TotalUnits/12+TaxPrepPerUnit*TotalUnits/12+AssetMgmtFeePct*CM$23,0)</f>
        <v/>
      </c>
      <c r="CN40" s="18">
        <f>IF(89&gt;=DeliverStart,CapReservePerUnit*TotalUnits/12+TaxPrepPerUnit*TotalUnits/12+AssetMgmtFeePct*CN$23,0)</f>
        <v/>
      </c>
      <c r="CO40" s="18">
        <f>IF(90&gt;=DeliverStart,CapReservePerUnit*TotalUnits/12+TaxPrepPerUnit*TotalUnits/12+AssetMgmtFeePct*CO$23,0)</f>
        <v/>
      </c>
      <c r="CP40" s="18">
        <f>IF(91&gt;=DeliverStart,CapReservePerUnit*TotalUnits/12+TaxPrepPerUnit*TotalUnits/12+AssetMgmtFeePct*CP$23,0)</f>
        <v/>
      </c>
      <c r="CQ40" s="18">
        <f>IF(92&gt;=DeliverStart,CapReservePerUnit*TotalUnits/12+TaxPrepPerUnit*TotalUnits/12+AssetMgmtFeePct*CQ$23,0)</f>
        <v/>
      </c>
      <c r="CR40" s="18">
        <f>IF(93&gt;=DeliverStart,CapReservePerUnit*TotalUnits/12+TaxPrepPerUnit*TotalUnits/12+AssetMgmtFeePct*CR$23,0)</f>
        <v/>
      </c>
      <c r="CS40" s="18">
        <f>IF(94&gt;=DeliverStart,CapReservePerUnit*TotalUnits/12+TaxPrepPerUnit*TotalUnits/12+AssetMgmtFeePct*CS$23,0)</f>
        <v/>
      </c>
      <c r="CT40" s="18">
        <f>IF(95&gt;=DeliverStart,CapReservePerUnit*TotalUnits/12+TaxPrepPerUnit*TotalUnits/12+AssetMgmtFeePct*CT$23,0)</f>
        <v/>
      </c>
      <c r="CU40" s="18">
        <f>IF(96&gt;=DeliverStart,CapReservePerUnit*TotalUnits/12+TaxPrepPerUnit*TotalUnits/12+AssetMgmtFeePct*CU$23,0)</f>
        <v/>
      </c>
      <c r="CV40" s="18">
        <f>IF(97&gt;=DeliverStart,CapReservePerUnit*TotalUnits/12+TaxPrepPerUnit*TotalUnits/12+AssetMgmtFeePct*CV$23,0)</f>
        <v/>
      </c>
      <c r="CW40" s="18">
        <f>IF(98&gt;=DeliverStart,CapReservePerUnit*TotalUnits/12+TaxPrepPerUnit*TotalUnits/12+AssetMgmtFeePct*CW$23,0)</f>
        <v/>
      </c>
      <c r="CX40" s="18">
        <f>IF(99&gt;=DeliverStart,CapReservePerUnit*TotalUnits/12+TaxPrepPerUnit*TotalUnits/12+AssetMgmtFeePct*CX$23,0)</f>
        <v/>
      </c>
      <c r="CY40" s="18">
        <f>IF(100&gt;=DeliverStart,CapReservePerUnit*TotalUnits/12+TaxPrepPerUnit*TotalUnits/12+AssetMgmtFeePct*CY$23,0)</f>
        <v/>
      </c>
      <c r="CZ40" s="18">
        <f>IF(101&gt;=DeliverStart,CapReservePerUnit*TotalUnits/12+TaxPrepPerUnit*TotalUnits/12+AssetMgmtFeePct*CZ$23,0)</f>
        <v/>
      </c>
      <c r="DA40" s="18">
        <f>IF(102&gt;=DeliverStart,CapReservePerUnit*TotalUnits/12+TaxPrepPerUnit*TotalUnits/12+AssetMgmtFeePct*DA$23,0)</f>
        <v/>
      </c>
      <c r="DB40" s="18">
        <f>IF(103&gt;=DeliverStart,CapReservePerUnit*TotalUnits/12+TaxPrepPerUnit*TotalUnits/12+AssetMgmtFeePct*DB$23,0)</f>
        <v/>
      </c>
      <c r="DC40" s="18">
        <f>IF(104&gt;=DeliverStart,CapReservePerUnit*TotalUnits/12+TaxPrepPerUnit*TotalUnits/12+AssetMgmtFeePct*DC$23,0)</f>
        <v/>
      </c>
      <c r="DD40" s="18">
        <f>IF(105&gt;=DeliverStart,CapReservePerUnit*TotalUnits/12+TaxPrepPerUnit*TotalUnits/12+AssetMgmtFeePct*DD$23,0)</f>
        <v/>
      </c>
      <c r="DE40" s="18">
        <f>IF(106&gt;=DeliverStart,CapReservePerUnit*TotalUnits/12+TaxPrepPerUnit*TotalUnits/12+AssetMgmtFeePct*DE$23,0)</f>
        <v/>
      </c>
      <c r="DF40" s="18">
        <f>IF(107&gt;=DeliverStart,CapReservePerUnit*TotalUnits/12+TaxPrepPerUnit*TotalUnits/12+AssetMgmtFeePct*DF$23,0)</f>
        <v/>
      </c>
      <c r="DG40" s="18">
        <f>IF(108&gt;=DeliverStart,CapReservePerUnit*TotalUnits/12+TaxPrepPerUnit*TotalUnits/12+AssetMgmtFeePct*DG$23,0)</f>
        <v/>
      </c>
      <c r="DH40" s="18">
        <f>IF(109&gt;=DeliverStart,CapReservePerUnit*TotalUnits/12+TaxPrepPerUnit*TotalUnits/12+AssetMgmtFeePct*DH$23,0)</f>
        <v/>
      </c>
      <c r="DI40" s="18">
        <f>IF(110&gt;=DeliverStart,CapReservePerUnit*TotalUnits/12+TaxPrepPerUnit*TotalUnits/12+AssetMgmtFeePct*DI$23,0)</f>
        <v/>
      </c>
      <c r="DJ40" s="18">
        <f>IF(111&gt;=DeliverStart,CapReservePerUnit*TotalUnits/12+TaxPrepPerUnit*TotalUnits/12+AssetMgmtFeePct*DJ$23,0)</f>
        <v/>
      </c>
      <c r="DK40" s="18">
        <f>IF(112&gt;=DeliverStart,CapReservePerUnit*TotalUnits/12+TaxPrepPerUnit*TotalUnits/12+AssetMgmtFeePct*DK$23,0)</f>
        <v/>
      </c>
      <c r="DL40" s="18">
        <f>IF(113&gt;=DeliverStart,CapReservePerUnit*TotalUnits/12+TaxPrepPerUnit*TotalUnits/12+AssetMgmtFeePct*DL$23,0)</f>
        <v/>
      </c>
      <c r="DM40" s="18">
        <f>IF(114&gt;=DeliverStart,CapReservePerUnit*TotalUnits/12+TaxPrepPerUnit*TotalUnits/12+AssetMgmtFeePct*DM$23,0)</f>
        <v/>
      </c>
      <c r="DN40" s="18">
        <f>IF(115&gt;=DeliverStart,CapReservePerUnit*TotalUnits/12+TaxPrepPerUnit*TotalUnits/12+AssetMgmtFeePct*DN$23,0)</f>
        <v/>
      </c>
      <c r="DO40" s="18">
        <f>IF(116&gt;=DeliverStart,CapReservePerUnit*TotalUnits/12+TaxPrepPerUnit*TotalUnits/12+AssetMgmtFeePct*DO$23,0)</f>
        <v/>
      </c>
      <c r="DP40" s="18">
        <f>IF(117&gt;=DeliverStart,CapReservePerUnit*TotalUnits/12+TaxPrepPerUnit*TotalUnits/12+AssetMgmtFeePct*DP$23,0)</f>
        <v/>
      </c>
      <c r="DQ40" s="18">
        <f>IF(118&gt;=DeliverStart,CapReservePerUnit*TotalUnits/12+TaxPrepPerUnit*TotalUnits/12+AssetMgmtFeePct*DQ$23,0)</f>
        <v/>
      </c>
      <c r="DR40" s="18">
        <f>IF(119&gt;=DeliverStart,CapReservePerUnit*TotalUnits/12+TaxPrepPerUnit*TotalUnits/12+AssetMgmtFeePct*DR$23,0)</f>
        <v/>
      </c>
      <c r="DS40" s="18">
        <f>IF(120&gt;=DeliverStart,CapReservePerUnit*TotalUnits/12+TaxPrepPerUnit*TotalUnits/12+AssetMgmtFeePct*DS$23,0)</f>
        <v/>
      </c>
      <c r="DT40" s="18">
        <f>IF(121&gt;=DeliverStart,CapReservePerUnit*TotalUnits/12+TaxPrepPerUnit*TotalUnits/12+AssetMgmtFeePct*DT$23,0)</f>
        <v/>
      </c>
      <c r="DU40" s="18">
        <f>IF(122&gt;=DeliverStart,CapReservePerUnit*TotalUnits/12+TaxPrepPerUnit*TotalUnits/12+AssetMgmtFeePct*DU$23,0)</f>
        <v/>
      </c>
      <c r="DV40" s="18">
        <f>IF(123&gt;=DeliverStart,CapReservePerUnit*TotalUnits/12+TaxPrepPerUnit*TotalUnits/12+AssetMgmtFeePct*DV$23,0)</f>
        <v/>
      </c>
      <c r="DW40" s="18">
        <f>IF(124&gt;=DeliverStart,CapReservePerUnit*TotalUnits/12+TaxPrepPerUnit*TotalUnits/12+AssetMgmtFeePct*DW$23,0)</f>
        <v/>
      </c>
      <c r="DX40" s="18">
        <f>IF(125&gt;=DeliverStart,CapReservePerUnit*TotalUnits/12+TaxPrepPerUnit*TotalUnits/12+AssetMgmtFeePct*DX$23,0)</f>
        <v/>
      </c>
      <c r="DY40" s="18">
        <f>IF(126&gt;=DeliverStart,CapReservePerUnit*TotalUnits/12+TaxPrepPerUnit*TotalUnits/12+AssetMgmtFeePct*DY$23,0)</f>
        <v/>
      </c>
      <c r="DZ40" s="18">
        <f>IF(127&gt;=DeliverStart,CapReservePerUnit*TotalUnits/12+TaxPrepPerUnit*TotalUnits/12+AssetMgmtFeePct*DZ$23,0)</f>
        <v/>
      </c>
      <c r="EA40" s="18">
        <f>IF(128&gt;=DeliverStart,CapReservePerUnit*TotalUnits/12+TaxPrepPerUnit*TotalUnits/12+AssetMgmtFeePct*EA$23,0)</f>
        <v/>
      </c>
      <c r="EB40" s="18">
        <f>IF(129&gt;=DeliverStart,CapReservePerUnit*TotalUnits/12+TaxPrepPerUnit*TotalUnits/12+AssetMgmtFeePct*EB$23,0)</f>
        <v/>
      </c>
      <c r="EC40" s="18">
        <f>IF(130&gt;=DeliverStart,CapReservePerUnit*TotalUnits/12+TaxPrepPerUnit*TotalUnits/12+AssetMgmtFeePct*EC$23,0)</f>
        <v/>
      </c>
      <c r="ED40" s="18">
        <f>IF(131&gt;=DeliverStart,CapReservePerUnit*TotalUnits/12+TaxPrepPerUnit*TotalUnits/12+AssetMgmtFeePct*ED$23,0)</f>
        <v/>
      </c>
      <c r="EE40" s="18">
        <f>IF(132&gt;=DeliverStart,CapReservePerUnit*TotalUnits/12+TaxPrepPerUnit*TotalUnits/12+AssetMgmtFeePct*EE$23,0)</f>
        <v/>
      </c>
      <c r="EF40" s="18">
        <f>IF(133&gt;=DeliverStart,CapReservePerUnit*TotalUnits/12+TaxPrepPerUnit*TotalUnits/12+AssetMgmtFeePct*EF$23,0)</f>
        <v/>
      </c>
      <c r="EG40" s="18">
        <f>IF(134&gt;=DeliverStart,CapReservePerUnit*TotalUnits/12+TaxPrepPerUnit*TotalUnits/12+AssetMgmtFeePct*EG$23,0)</f>
        <v/>
      </c>
      <c r="EH40" s="18">
        <f>IF(135&gt;=DeliverStart,CapReservePerUnit*TotalUnits/12+TaxPrepPerUnit*TotalUnits/12+AssetMgmtFeePct*EH$23,0)</f>
        <v/>
      </c>
      <c r="EI40" s="18">
        <f>IF(136&gt;=DeliverStart,CapReservePerUnit*TotalUnits/12+TaxPrepPerUnit*TotalUnits/12+AssetMgmtFeePct*EI$23,0)</f>
        <v/>
      </c>
      <c r="EJ40" s="18">
        <f>IF(137&gt;=DeliverStart,CapReservePerUnit*TotalUnits/12+TaxPrepPerUnit*TotalUnits/12+AssetMgmtFeePct*EJ$23,0)</f>
        <v/>
      </c>
      <c r="EK40" s="18">
        <f>IF(138&gt;=DeliverStart,CapReservePerUnit*TotalUnits/12+TaxPrepPerUnit*TotalUnits/12+AssetMgmtFeePct*EK$23,0)</f>
        <v/>
      </c>
      <c r="EL40" s="18">
        <f>IF(139&gt;=DeliverStart,CapReservePerUnit*TotalUnits/12+TaxPrepPerUnit*TotalUnits/12+AssetMgmtFeePct*EL$23,0)</f>
        <v/>
      </c>
      <c r="EM40" s="18">
        <f>IF(140&gt;=DeliverStart,CapReservePerUnit*TotalUnits/12+TaxPrepPerUnit*TotalUnits/12+AssetMgmtFeePct*EM$23,0)</f>
        <v/>
      </c>
      <c r="EN40" s="18">
        <f>IF(141&gt;=DeliverStart,CapReservePerUnit*TotalUnits/12+TaxPrepPerUnit*TotalUnits/12+AssetMgmtFeePct*EN$23,0)</f>
        <v/>
      </c>
      <c r="EO40" s="18">
        <f>IF(142&gt;=DeliverStart,CapReservePerUnit*TotalUnits/12+TaxPrepPerUnit*TotalUnits/12+AssetMgmtFeePct*EO$23,0)</f>
        <v/>
      </c>
      <c r="EP40" s="18">
        <f>IF(143&gt;=DeliverStart,CapReservePerUnit*TotalUnits/12+TaxPrepPerUnit*TotalUnits/12+AssetMgmtFeePct*EP$23,0)</f>
        <v/>
      </c>
      <c r="EQ40" s="18">
        <f>IF(144&gt;=DeliverStart,CapReservePerUnit*TotalUnits/12+TaxPrepPerUnit*TotalUnits/12+AssetMgmtFeePct*EQ$23,0)</f>
        <v/>
      </c>
      <c r="ER40" s="18">
        <f>IF(145&gt;=DeliverStart,CapReservePerUnit*TotalUnits/12+TaxPrepPerUnit*TotalUnits/12+AssetMgmtFeePct*ER$23,0)</f>
        <v/>
      </c>
      <c r="ES40" s="18">
        <f>IF(146&gt;=DeliverStart,CapReservePerUnit*TotalUnits/12+TaxPrepPerUnit*TotalUnits/12+AssetMgmtFeePct*ES$23,0)</f>
        <v/>
      </c>
      <c r="ET40" s="18">
        <f>IF(147&gt;=DeliverStart,CapReservePerUnit*TotalUnits/12+TaxPrepPerUnit*TotalUnits/12+AssetMgmtFeePct*ET$23,0)</f>
        <v/>
      </c>
      <c r="EU40" s="18">
        <f>IF(148&gt;=DeliverStart,CapReservePerUnit*TotalUnits/12+TaxPrepPerUnit*TotalUnits/12+AssetMgmtFeePct*EU$23,0)</f>
        <v/>
      </c>
      <c r="EV40" s="18">
        <f>IF(149&gt;=DeliverStart,CapReservePerUnit*TotalUnits/12+TaxPrepPerUnit*TotalUnits/12+AssetMgmtFeePct*EV$23,0)</f>
        <v/>
      </c>
      <c r="EW40" s="18">
        <f>IF(150&gt;=DeliverStart,CapReservePerUnit*TotalUnits/12+TaxPrepPerUnit*TotalUnits/12+AssetMgmtFeePct*EW$23,0)</f>
        <v/>
      </c>
      <c r="EX40" s="18">
        <f>IF(151&gt;=DeliverStart,CapReservePerUnit*TotalUnits/12+TaxPrepPerUnit*TotalUnits/12+AssetMgmtFeePct*EX$23,0)</f>
        <v/>
      </c>
      <c r="EY40" s="18">
        <f>IF(152&gt;=DeliverStart,CapReservePerUnit*TotalUnits/12+TaxPrepPerUnit*TotalUnits/12+AssetMgmtFeePct*EY$23,0)</f>
        <v/>
      </c>
      <c r="EZ40" s="18">
        <f>IF(153&gt;=DeliverStart,CapReservePerUnit*TotalUnits/12+TaxPrepPerUnit*TotalUnits/12+AssetMgmtFeePct*EZ$23,0)</f>
        <v/>
      </c>
      <c r="FA40" s="18">
        <f>IF(154&gt;=DeliverStart,CapReservePerUnit*TotalUnits/12+TaxPrepPerUnit*TotalUnits/12+AssetMgmtFeePct*FA$23,0)</f>
        <v/>
      </c>
      <c r="FB40" s="18">
        <f>IF(155&gt;=DeliverStart,CapReservePerUnit*TotalUnits/12+TaxPrepPerUnit*TotalUnits/12+AssetMgmtFeePct*FB$23,0)</f>
        <v/>
      </c>
      <c r="FC40" s="18">
        <f>IF(156&gt;=DeliverStart,CapReservePerUnit*TotalUnits/12+TaxPrepPerUnit*TotalUnits/12+AssetMgmtFeePct*FC$23,0)</f>
        <v/>
      </c>
      <c r="FD40" s="18">
        <f>IF(157&gt;=DeliverStart,CapReservePerUnit*TotalUnits/12+TaxPrepPerUnit*TotalUnits/12+AssetMgmtFeePct*FD$23,0)</f>
        <v/>
      </c>
      <c r="FE40" s="18">
        <f>IF(158&gt;=DeliverStart,CapReservePerUnit*TotalUnits/12+TaxPrepPerUnit*TotalUnits/12+AssetMgmtFeePct*FE$23,0)</f>
        <v/>
      </c>
      <c r="FF40" s="18">
        <f>IF(159&gt;=DeliverStart,CapReservePerUnit*TotalUnits/12+TaxPrepPerUnit*TotalUnits/12+AssetMgmtFeePct*FF$23,0)</f>
        <v/>
      </c>
      <c r="FG40" s="18">
        <f>IF(160&gt;=DeliverStart,CapReservePerUnit*TotalUnits/12+TaxPrepPerUnit*TotalUnits/12+AssetMgmtFeePct*FG$23,0)</f>
        <v/>
      </c>
      <c r="FH40" s="18">
        <f>IF(161&gt;=DeliverStart,CapReservePerUnit*TotalUnits/12+TaxPrepPerUnit*TotalUnits/12+AssetMgmtFeePct*FH$23,0)</f>
        <v/>
      </c>
      <c r="FI40" s="18">
        <f>IF(162&gt;=DeliverStart,CapReservePerUnit*TotalUnits/12+TaxPrepPerUnit*TotalUnits/12+AssetMgmtFeePct*FI$23,0)</f>
        <v/>
      </c>
      <c r="FJ40" s="18">
        <f>IF(163&gt;=DeliverStart,CapReservePerUnit*TotalUnits/12+TaxPrepPerUnit*TotalUnits/12+AssetMgmtFeePct*FJ$23,0)</f>
        <v/>
      </c>
      <c r="FK40" s="18">
        <f>IF(164&gt;=DeliverStart,CapReservePerUnit*TotalUnits/12+TaxPrepPerUnit*TotalUnits/12+AssetMgmtFeePct*FK$23,0)</f>
        <v/>
      </c>
      <c r="FL40" s="18">
        <f>IF(165&gt;=DeliverStart,CapReservePerUnit*TotalUnits/12+TaxPrepPerUnit*TotalUnits/12+AssetMgmtFeePct*FL$23,0)</f>
        <v/>
      </c>
      <c r="FM40" s="18">
        <f>IF(166&gt;=DeliverStart,CapReservePerUnit*TotalUnits/12+TaxPrepPerUnit*TotalUnits/12+AssetMgmtFeePct*FM$23,0)</f>
        <v/>
      </c>
      <c r="FN40" s="18">
        <f>IF(167&gt;=DeliverStart,CapReservePerUnit*TotalUnits/12+TaxPrepPerUnit*TotalUnits/12+AssetMgmtFeePct*FN$23,0)</f>
        <v/>
      </c>
      <c r="FO40" s="18">
        <f>IF(168&gt;=DeliverStart,CapReservePerUnit*TotalUnits/12+TaxPrepPerUnit*TotalUnits/12+AssetMgmtFeePct*FO$23,0)</f>
        <v/>
      </c>
      <c r="FP40" s="18">
        <f>IF(169&gt;=DeliverStart,CapReservePerUnit*TotalUnits/12+TaxPrepPerUnit*TotalUnits/12+AssetMgmtFeePct*FP$23,0)</f>
        <v/>
      </c>
      <c r="FQ40" s="18">
        <f>IF(170&gt;=DeliverStart,CapReservePerUnit*TotalUnits/12+TaxPrepPerUnit*TotalUnits/12+AssetMgmtFeePct*FQ$23,0)</f>
        <v/>
      </c>
      <c r="FR40" s="18">
        <f>IF(171&gt;=DeliverStart,CapReservePerUnit*TotalUnits/12+TaxPrepPerUnit*TotalUnits/12+AssetMgmtFeePct*FR$23,0)</f>
        <v/>
      </c>
      <c r="FS40" s="18">
        <f>IF(172&gt;=DeliverStart,CapReservePerUnit*TotalUnits/12+TaxPrepPerUnit*TotalUnits/12+AssetMgmtFeePct*FS$23,0)</f>
        <v/>
      </c>
      <c r="FT40" s="18">
        <f>IF(173&gt;=DeliverStart,CapReservePerUnit*TotalUnits/12+TaxPrepPerUnit*TotalUnits/12+AssetMgmtFeePct*FT$23,0)</f>
        <v/>
      </c>
      <c r="FU40" s="18">
        <f>IF(174&gt;=DeliverStart,CapReservePerUnit*TotalUnits/12+TaxPrepPerUnit*TotalUnits/12+AssetMgmtFeePct*FU$23,0)</f>
        <v/>
      </c>
      <c r="FV40" s="18">
        <f>IF(175&gt;=DeliverStart,CapReservePerUnit*TotalUnits/12+TaxPrepPerUnit*TotalUnits/12+AssetMgmtFeePct*FV$23,0)</f>
        <v/>
      </c>
      <c r="FW40" s="18">
        <f>IF(176&gt;=DeliverStart,CapReservePerUnit*TotalUnits/12+TaxPrepPerUnit*TotalUnits/12+AssetMgmtFeePct*FW$23,0)</f>
        <v/>
      </c>
      <c r="FX40" s="18">
        <f>IF(177&gt;=DeliverStart,CapReservePerUnit*TotalUnits/12+TaxPrepPerUnit*TotalUnits/12+AssetMgmtFeePct*FX$23,0)</f>
        <v/>
      </c>
      <c r="FY40" s="18">
        <f>IF(178&gt;=DeliverStart,CapReservePerUnit*TotalUnits/12+TaxPrepPerUnit*TotalUnits/12+AssetMgmtFeePct*FY$23,0)</f>
        <v/>
      </c>
      <c r="FZ40" s="18">
        <f>IF(179&gt;=DeliverStart,CapReservePerUnit*TotalUnits/12+TaxPrepPerUnit*TotalUnits/12+AssetMgmtFeePct*FZ$23,0)</f>
        <v/>
      </c>
      <c r="GA40" s="18">
        <f>IF(180&gt;=DeliverStart,CapReservePerUnit*TotalUnits/12+TaxPrepPerUnit*TotalUnits/12+AssetMgmtFeePct*GA$23,0)</f>
        <v/>
      </c>
      <c r="GB40" s="18">
        <f>IF(181&gt;=DeliverStart,CapReservePerUnit*TotalUnits/12+TaxPrepPerUnit*TotalUnits/12+AssetMgmtFeePct*GB$23,0)</f>
        <v/>
      </c>
      <c r="GC40" s="18">
        <f>IF(182&gt;=DeliverStart,CapReservePerUnit*TotalUnits/12+TaxPrepPerUnit*TotalUnits/12+AssetMgmtFeePct*GC$23,0)</f>
        <v/>
      </c>
      <c r="GD40" s="18">
        <f>IF(183&gt;=DeliverStart,CapReservePerUnit*TotalUnits/12+TaxPrepPerUnit*TotalUnits/12+AssetMgmtFeePct*GD$23,0)</f>
        <v/>
      </c>
      <c r="GE40" s="18">
        <f>IF(184&gt;=DeliverStart,CapReservePerUnit*TotalUnits/12+TaxPrepPerUnit*TotalUnits/12+AssetMgmtFeePct*GE$23,0)</f>
        <v/>
      </c>
      <c r="GF40" s="18">
        <f>IF(185&gt;=DeliverStart,CapReservePerUnit*TotalUnits/12+TaxPrepPerUnit*TotalUnits/12+AssetMgmtFeePct*GF$23,0)</f>
        <v/>
      </c>
      <c r="GG40" s="18">
        <f>IF(186&gt;=DeliverStart,CapReservePerUnit*TotalUnits/12+TaxPrepPerUnit*TotalUnits/12+AssetMgmtFeePct*GG$23,0)</f>
        <v/>
      </c>
      <c r="GH40" s="18">
        <f>IF(187&gt;=DeliverStart,CapReservePerUnit*TotalUnits/12+TaxPrepPerUnit*TotalUnits/12+AssetMgmtFeePct*GH$23,0)</f>
        <v/>
      </c>
      <c r="GI40" s="18">
        <f>IF(188&gt;=DeliverStart,CapReservePerUnit*TotalUnits/12+TaxPrepPerUnit*TotalUnits/12+AssetMgmtFeePct*GI$23,0)</f>
        <v/>
      </c>
      <c r="GJ40" s="18">
        <f>IF(189&gt;=DeliverStart,CapReservePerUnit*TotalUnits/12+TaxPrepPerUnit*TotalUnits/12+AssetMgmtFeePct*GJ$23,0)</f>
        <v/>
      </c>
      <c r="GK40" s="18">
        <f>IF(190&gt;=DeliverStart,CapReservePerUnit*TotalUnits/12+TaxPrepPerUnit*TotalUnits/12+AssetMgmtFeePct*GK$23,0)</f>
        <v/>
      </c>
      <c r="GL40" s="18">
        <f>IF(191&gt;=DeliverStart,CapReservePerUnit*TotalUnits/12+TaxPrepPerUnit*TotalUnits/12+AssetMgmtFeePct*GL$23,0)</f>
        <v/>
      </c>
      <c r="GM40" s="18">
        <f>IF(192&gt;=DeliverStart,CapReservePerUnit*TotalUnits/12+TaxPrepPerUnit*TotalUnits/12+AssetMgmtFeePct*GM$23,0)</f>
        <v/>
      </c>
      <c r="GN40" s="18">
        <f>IF(193&gt;=DeliverStart,CapReservePerUnit*TotalUnits/12+TaxPrepPerUnit*TotalUnits/12+AssetMgmtFeePct*GN$23,0)</f>
        <v/>
      </c>
      <c r="GO40" s="18">
        <f>IF(194&gt;=DeliverStart,CapReservePerUnit*TotalUnits/12+TaxPrepPerUnit*TotalUnits/12+AssetMgmtFeePct*GO$23,0)</f>
        <v/>
      </c>
      <c r="GP40" s="18">
        <f>IF(195&gt;=DeliverStart,CapReservePerUnit*TotalUnits/12+TaxPrepPerUnit*TotalUnits/12+AssetMgmtFeePct*GP$23,0)</f>
        <v/>
      </c>
      <c r="GQ40" s="18">
        <f>IF(196&gt;=DeliverStart,CapReservePerUnit*TotalUnits/12+TaxPrepPerUnit*TotalUnits/12+AssetMgmtFeePct*GQ$23,0)</f>
        <v/>
      </c>
      <c r="GR40" s="18">
        <f>IF(197&gt;=DeliverStart,CapReservePerUnit*TotalUnits/12+TaxPrepPerUnit*TotalUnits/12+AssetMgmtFeePct*GR$23,0)</f>
        <v/>
      </c>
      <c r="GS40" s="18">
        <f>IF(198&gt;=DeliverStart,CapReservePerUnit*TotalUnits/12+TaxPrepPerUnit*TotalUnits/12+AssetMgmtFeePct*GS$23,0)</f>
        <v/>
      </c>
      <c r="GT40" s="18">
        <f>IF(199&gt;=DeliverStart,CapReservePerUnit*TotalUnits/12+TaxPrepPerUnit*TotalUnits/12+AssetMgmtFeePct*GT$23,0)</f>
        <v/>
      </c>
      <c r="GU40" s="18">
        <f>IF(200&gt;=DeliverStart,CapReservePerUnit*TotalUnits/12+TaxPrepPerUnit*TotalUnits/12+AssetMgmtFeePct*GU$23,0)</f>
        <v/>
      </c>
      <c r="GV40" s="18">
        <f>IF(201&gt;=DeliverStart,CapReservePerUnit*TotalUnits/12+TaxPrepPerUnit*TotalUnits/12+AssetMgmtFeePct*GV$23,0)</f>
        <v/>
      </c>
      <c r="GW40" s="18">
        <f>IF(202&gt;=DeliverStart,CapReservePerUnit*TotalUnits/12+TaxPrepPerUnit*TotalUnits/12+AssetMgmtFeePct*GW$23,0)</f>
        <v/>
      </c>
      <c r="GX40" s="18">
        <f>IF(203&gt;=DeliverStart,CapReservePerUnit*TotalUnits/12+TaxPrepPerUnit*TotalUnits/12+AssetMgmtFeePct*GX$23,0)</f>
        <v/>
      </c>
      <c r="GY40" s="18">
        <f>IF(204&gt;=DeliverStart,CapReservePerUnit*TotalUnits/12+TaxPrepPerUnit*TotalUnits/12+AssetMgmtFeePct*GY$23,0)</f>
        <v/>
      </c>
      <c r="GZ40" s="18">
        <f>IF(205&gt;=DeliverStart,CapReservePerUnit*TotalUnits/12+TaxPrepPerUnit*TotalUnits/12+AssetMgmtFeePct*GZ$23,0)</f>
        <v/>
      </c>
      <c r="HA40" s="18">
        <f>IF(206&gt;=DeliverStart,CapReservePerUnit*TotalUnits/12+TaxPrepPerUnit*TotalUnits/12+AssetMgmtFeePct*HA$23,0)</f>
        <v/>
      </c>
      <c r="HB40" s="18">
        <f>IF(207&gt;=DeliverStart,CapReservePerUnit*TotalUnits/12+TaxPrepPerUnit*TotalUnits/12+AssetMgmtFeePct*HB$23,0)</f>
        <v/>
      </c>
      <c r="HC40" s="18">
        <f>IF(208&gt;=DeliverStart,CapReservePerUnit*TotalUnits/12+TaxPrepPerUnit*TotalUnits/12+AssetMgmtFeePct*HC$23,0)</f>
        <v/>
      </c>
      <c r="HD40" s="18">
        <f>IF(209&gt;=DeliverStart,CapReservePerUnit*TotalUnits/12+TaxPrepPerUnit*TotalUnits/12+AssetMgmtFeePct*HD$23,0)</f>
        <v/>
      </c>
      <c r="HE40" s="18">
        <f>IF(210&gt;=DeliverStart,CapReservePerUnit*TotalUnits/12+TaxPrepPerUnit*TotalUnits/12+AssetMgmtFeePct*HE$23,0)</f>
        <v/>
      </c>
      <c r="HF40" s="18">
        <f>IF(211&gt;=DeliverStart,CapReservePerUnit*TotalUnits/12+TaxPrepPerUnit*TotalUnits/12+AssetMgmtFeePct*HF$23,0)</f>
        <v/>
      </c>
      <c r="HG40" s="18">
        <f>IF(212&gt;=DeliverStart,CapReservePerUnit*TotalUnits/12+TaxPrepPerUnit*TotalUnits/12+AssetMgmtFeePct*HG$23,0)</f>
        <v/>
      </c>
      <c r="HH40" s="18">
        <f>IF(213&gt;=DeliverStart,CapReservePerUnit*TotalUnits/12+TaxPrepPerUnit*TotalUnits/12+AssetMgmtFeePct*HH$23,0)</f>
        <v/>
      </c>
      <c r="HI40" s="18">
        <f>IF(214&gt;=DeliverStart,CapReservePerUnit*TotalUnits/12+TaxPrepPerUnit*TotalUnits/12+AssetMgmtFeePct*HI$23,0)</f>
        <v/>
      </c>
      <c r="HJ40" s="18">
        <f>IF(215&gt;=DeliverStart,CapReservePerUnit*TotalUnits/12+TaxPrepPerUnit*TotalUnits/12+AssetMgmtFeePct*HJ$23,0)</f>
        <v/>
      </c>
      <c r="HK40" s="18">
        <f>IF(216&gt;=DeliverStart,CapReservePerUnit*TotalUnits/12+TaxPrepPerUnit*TotalUnits/12+AssetMgmtFeePct*HK$23,0)</f>
        <v/>
      </c>
      <c r="HL40" s="18">
        <f>IF(217&gt;=DeliverStart,CapReservePerUnit*TotalUnits/12+TaxPrepPerUnit*TotalUnits/12+AssetMgmtFeePct*HL$23,0)</f>
        <v/>
      </c>
      <c r="HM40" s="18">
        <f>IF(218&gt;=DeliverStart,CapReservePerUnit*TotalUnits/12+TaxPrepPerUnit*TotalUnits/12+AssetMgmtFeePct*HM$23,0)</f>
        <v/>
      </c>
      <c r="HN40" s="18">
        <f>IF(219&gt;=DeliverStart,CapReservePerUnit*TotalUnits/12+TaxPrepPerUnit*TotalUnits/12+AssetMgmtFeePct*HN$23,0)</f>
        <v/>
      </c>
      <c r="HO40" s="18">
        <f>IF(220&gt;=DeliverStart,CapReservePerUnit*TotalUnits/12+TaxPrepPerUnit*TotalUnits/12+AssetMgmtFeePct*HO$23,0)</f>
        <v/>
      </c>
      <c r="HP40" s="18">
        <f>IF(221&gt;=DeliverStart,CapReservePerUnit*TotalUnits/12+TaxPrepPerUnit*TotalUnits/12+AssetMgmtFeePct*HP$23,0)</f>
        <v/>
      </c>
      <c r="HQ40" s="18">
        <f>IF(222&gt;=DeliverStart,CapReservePerUnit*TotalUnits/12+TaxPrepPerUnit*TotalUnits/12+AssetMgmtFeePct*HQ$23,0)</f>
        <v/>
      </c>
      <c r="HR40" s="18">
        <f>IF(223&gt;=DeliverStart,CapReservePerUnit*TotalUnits/12+TaxPrepPerUnit*TotalUnits/12+AssetMgmtFeePct*HR$23,0)</f>
        <v/>
      </c>
      <c r="HS40" s="18">
        <f>IF(224&gt;=DeliverStart,CapReservePerUnit*TotalUnits/12+TaxPrepPerUnit*TotalUnits/12+AssetMgmtFeePct*HS$23,0)</f>
        <v/>
      </c>
      <c r="HT40" s="18">
        <f>IF(225&gt;=DeliverStart,CapReservePerUnit*TotalUnits/12+TaxPrepPerUnit*TotalUnits/12+AssetMgmtFeePct*HT$23,0)</f>
        <v/>
      </c>
      <c r="HU40" s="18">
        <f>IF(226&gt;=DeliverStart,CapReservePerUnit*TotalUnits/12+TaxPrepPerUnit*TotalUnits/12+AssetMgmtFeePct*HU$23,0)</f>
        <v/>
      </c>
      <c r="HV40" s="18">
        <f>IF(227&gt;=DeliverStart,CapReservePerUnit*TotalUnits/12+TaxPrepPerUnit*TotalUnits/12+AssetMgmtFeePct*HV$23,0)</f>
        <v/>
      </c>
      <c r="HW40" s="18">
        <f>IF(228&gt;=DeliverStart,CapReservePerUnit*TotalUnits/12+TaxPrepPerUnit*TotalUnits/12+AssetMgmtFeePct*HW$23,0)</f>
        <v/>
      </c>
      <c r="HX40" s="18">
        <f>IF(229&gt;=DeliverStart,CapReservePerUnit*TotalUnits/12+TaxPrepPerUnit*TotalUnits/12+AssetMgmtFeePct*HX$23,0)</f>
        <v/>
      </c>
      <c r="HY40" s="18">
        <f>IF(230&gt;=DeliverStart,CapReservePerUnit*TotalUnits/12+TaxPrepPerUnit*TotalUnits/12+AssetMgmtFeePct*HY$23,0)</f>
        <v/>
      </c>
      <c r="HZ40" s="18">
        <f>IF(231&gt;=DeliverStart,CapReservePerUnit*TotalUnits/12+TaxPrepPerUnit*TotalUnits/12+AssetMgmtFeePct*HZ$23,0)</f>
        <v/>
      </c>
      <c r="IA40" s="18">
        <f>IF(232&gt;=DeliverStart,CapReservePerUnit*TotalUnits/12+TaxPrepPerUnit*TotalUnits/12+AssetMgmtFeePct*IA$23,0)</f>
        <v/>
      </c>
      <c r="IB40" s="18">
        <f>IF(233&gt;=DeliverStart,CapReservePerUnit*TotalUnits/12+TaxPrepPerUnit*TotalUnits/12+AssetMgmtFeePct*IB$23,0)</f>
        <v/>
      </c>
      <c r="IC40" s="18">
        <f>IF(234&gt;=DeliverStart,CapReservePerUnit*TotalUnits/12+TaxPrepPerUnit*TotalUnits/12+AssetMgmtFeePct*IC$23,0)</f>
        <v/>
      </c>
      <c r="ID40" s="18">
        <f>IF(235&gt;=DeliverStart,CapReservePerUnit*TotalUnits/12+TaxPrepPerUnit*TotalUnits/12+AssetMgmtFeePct*ID$23,0)</f>
        <v/>
      </c>
      <c r="IE40" s="18">
        <f>IF(236&gt;=DeliverStart,CapReservePerUnit*TotalUnits/12+TaxPrepPerUnit*TotalUnits/12+AssetMgmtFeePct*IE$23,0)</f>
        <v/>
      </c>
      <c r="IF40" s="18">
        <f>IF(237&gt;=DeliverStart,CapReservePerUnit*TotalUnits/12+TaxPrepPerUnit*TotalUnits/12+AssetMgmtFeePct*IF$23,0)</f>
        <v/>
      </c>
      <c r="IG40" s="18">
        <f>IF(238&gt;=DeliverStart,CapReservePerUnit*TotalUnits/12+TaxPrepPerUnit*TotalUnits/12+AssetMgmtFeePct*IG$23,0)</f>
        <v/>
      </c>
      <c r="IH40" s="18">
        <f>IF(239&gt;=DeliverStart,CapReservePerUnit*TotalUnits/12+TaxPrepPerUnit*TotalUnits/12+AssetMgmtFeePct*IH$23,0)</f>
        <v/>
      </c>
      <c r="II40" s="18">
        <f>IF(240&gt;=DeliverStart,CapReservePerUnit*TotalUnits/12+TaxPrepPerUnit*TotalUnits/12+AssetMgmtFeePct*II$23,0)</f>
        <v/>
      </c>
      <c r="IJ40" s="18">
        <f>IF(241&gt;=DeliverStart,CapReservePerUnit*TotalUnits/12+TaxPrepPerUnit*TotalUnits/12+AssetMgmtFeePct*IJ$23,0)</f>
        <v/>
      </c>
      <c r="IK40" s="18">
        <f>IF(242&gt;=DeliverStart,CapReservePerUnit*TotalUnits/12+TaxPrepPerUnit*TotalUnits/12+AssetMgmtFeePct*IK$23,0)</f>
        <v/>
      </c>
      <c r="IL40" s="18">
        <f>IF(243&gt;=DeliverStart,CapReservePerUnit*TotalUnits/12+TaxPrepPerUnit*TotalUnits/12+AssetMgmtFeePct*IL$23,0)</f>
        <v/>
      </c>
      <c r="IM40" s="18">
        <f>IF(244&gt;=DeliverStart,CapReservePerUnit*TotalUnits/12+TaxPrepPerUnit*TotalUnits/12+AssetMgmtFeePct*IM$23,0)</f>
        <v/>
      </c>
      <c r="IN40" s="18">
        <f>IF(245&gt;=DeliverStart,CapReservePerUnit*TotalUnits/12+TaxPrepPerUnit*TotalUnits/12+AssetMgmtFeePct*IN$23,0)</f>
        <v/>
      </c>
      <c r="IO40" s="18">
        <f>IF(246&gt;=DeliverStart,CapReservePerUnit*TotalUnits/12+TaxPrepPerUnit*TotalUnits/12+AssetMgmtFeePct*IO$23,0)</f>
        <v/>
      </c>
      <c r="IP40" s="18">
        <f>IF(247&gt;=DeliverStart,CapReservePerUnit*TotalUnits/12+TaxPrepPerUnit*TotalUnits/12+AssetMgmtFeePct*IP$23,0)</f>
        <v/>
      </c>
      <c r="IQ40" s="18">
        <f>IF(248&gt;=DeliverStart,CapReservePerUnit*TotalUnits/12+TaxPrepPerUnit*TotalUnits/12+AssetMgmtFeePct*IQ$23,0)</f>
        <v/>
      </c>
      <c r="IR40" s="18">
        <f>IF(249&gt;=DeliverStart,CapReservePerUnit*TotalUnits/12+TaxPrepPerUnit*TotalUnits/12+AssetMgmtFeePct*IR$23,0)</f>
        <v/>
      </c>
      <c r="IS40" s="18">
        <f>IF(250&gt;=DeliverStart,CapReservePerUnit*TotalUnits/12+TaxPrepPerUnit*TotalUnits/12+AssetMgmtFeePct*IS$23,0)</f>
        <v/>
      </c>
      <c r="IT40" s="18">
        <f>IF(251&gt;=DeliverStart,CapReservePerUnit*TotalUnits/12+TaxPrepPerUnit*TotalUnits/12+AssetMgmtFeePct*IT$23,0)</f>
        <v/>
      </c>
      <c r="IU40" s="18">
        <f>IF(252&gt;=DeliverStart,CapReservePerUnit*TotalUnits/12+TaxPrepPerUnit*TotalUnits/12+AssetMgmtFeePct*IU$23,0)</f>
        <v/>
      </c>
      <c r="IV40" s="18">
        <f>IF(253&gt;=DeliverStart,CapReservePerUnit*TotalUnits/12+TaxPrepPerUnit*TotalUnits/12+AssetMgmtFeePct*IV$23,0)</f>
        <v/>
      </c>
      <c r="IW40" s="18">
        <f>IF(254&gt;=DeliverStart,CapReservePerUnit*TotalUnits/12+TaxPrepPerUnit*TotalUnits/12+AssetMgmtFeePct*IW$23,0)</f>
        <v/>
      </c>
      <c r="IX40" s="18">
        <f>IF(255&gt;=DeliverStart,CapReservePerUnit*TotalUnits/12+TaxPrepPerUnit*TotalUnits/12+AssetMgmtFeePct*IX$23,0)</f>
        <v/>
      </c>
      <c r="IY40" s="18">
        <f>IF(256&gt;=DeliverStart,CapReservePerUnit*TotalUnits/12+TaxPrepPerUnit*TotalUnits/12+AssetMgmtFeePct*IY$23,0)</f>
        <v/>
      </c>
      <c r="IZ40" s="18">
        <f>IF(257&gt;=DeliverStart,CapReservePerUnit*TotalUnits/12+TaxPrepPerUnit*TotalUnits/12+AssetMgmtFeePct*IZ$23,0)</f>
        <v/>
      </c>
      <c r="JA40" s="18">
        <f>IF(258&gt;=DeliverStart,CapReservePerUnit*TotalUnits/12+TaxPrepPerUnit*TotalUnits/12+AssetMgmtFeePct*JA$23,0)</f>
        <v/>
      </c>
      <c r="JB40" s="18">
        <f>IF(259&gt;=DeliverStart,CapReservePerUnit*TotalUnits/12+TaxPrepPerUnit*TotalUnits/12+AssetMgmtFeePct*JB$23,0)</f>
        <v/>
      </c>
      <c r="JC40" s="18">
        <f>IF(260&gt;=DeliverStart,CapReservePerUnit*TotalUnits/12+TaxPrepPerUnit*TotalUnits/12+AssetMgmtFeePct*JC$23,0)</f>
        <v/>
      </c>
      <c r="JD40" s="18">
        <f>IF(261&gt;=DeliverStart,CapReservePerUnit*TotalUnits/12+TaxPrepPerUnit*TotalUnits/12+AssetMgmtFeePct*JD$23,0)</f>
        <v/>
      </c>
      <c r="JE40" s="18">
        <f>IF(262&gt;=DeliverStart,CapReservePerUnit*TotalUnits/12+TaxPrepPerUnit*TotalUnits/12+AssetMgmtFeePct*JE$23,0)</f>
        <v/>
      </c>
      <c r="JF40" s="18">
        <f>IF(263&gt;=DeliverStart,CapReservePerUnit*TotalUnits/12+TaxPrepPerUnit*TotalUnits/12+AssetMgmtFeePct*JF$23,0)</f>
        <v/>
      </c>
      <c r="JG40" s="18">
        <f>IF(264&gt;=DeliverStart,CapReservePerUnit*TotalUnits/12+TaxPrepPerUnit*TotalUnits/12+AssetMgmtFeePct*JG$23,0)</f>
        <v/>
      </c>
      <c r="JH40" s="18">
        <f>IF(265&gt;=DeliverStart,CapReservePerUnit*TotalUnits/12+TaxPrepPerUnit*TotalUnits/12+AssetMgmtFeePct*JH$23,0)</f>
        <v/>
      </c>
      <c r="JI40" s="18">
        <f>IF(266&gt;=DeliverStart,CapReservePerUnit*TotalUnits/12+TaxPrepPerUnit*TotalUnits/12+AssetMgmtFeePct*JI$23,0)</f>
        <v/>
      </c>
      <c r="JJ40" s="18">
        <f>IF(267&gt;=DeliverStart,CapReservePerUnit*TotalUnits/12+TaxPrepPerUnit*TotalUnits/12+AssetMgmtFeePct*JJ$23,0)</f>
        <v/>
      </c>
      <c r="JK40" s="18">
        <f>IF(268&gt;=DeliverStart,CapReservePerUnit*TotalUnits/12+TaxPrepPerUnit*TotalUnits/12+AssetMgmtFeePct*JK$23,0)</f>
        <v/>
      </c>
      <c r="JL40" s="18">
        <f>IF(269&gt;=DeliverStart,CapReservePerUnit*TotalUnits/12+TaxPrepPerUnit*TotalUnits/12+AssetMgmtFeePct*JL$23,0)</f>
        <v/>
      </c>
      <c r="JM40" s="18">
        <f>IF(270&gt;=DeliverStart,CapReservePerUnit*TotalUnits/12+TaxPrepPerUnit*TotalUnits/12+AssetMgmtFeePct*JM$23,0)</f>
        <v/>
      </c>
      <c r="JN40" s="18">
        <f>IF(271&gt;=DeliverStart,CapReservePerUnit*TotalUnits/12+TaxPrepPerUnit*TotalUnits/12+AssetMgmtFeePct*JN$23,0)</f>
        <v/>
      </c>
      <c r="JO40" s="18">
        <f>IF(272&gt;=DeliverStart,CapReservePerUnit*TotalUnits/12+TaxPrepPerUnit*TotalUnits/12+AssetMgmtFeePct*JO$23,0)</f>
        <v/>
      </c>
      <c r="JP40" s="18">
        <f>IF(273&gt;=DeliverStart,CapReservePerUnit*TotalUnits/12+TaxPrepPerUnit*TotalUnits/12+AssetMgmtFeePct*JP$23,0)</f>
        <v/>
      </c>
      <c r="JQ40" s="18">
        <f>IF(274&gt;=DeliverStart,CapReservePerUnit*TotalUnits/12+TaxPrepPerUnit*TotalUnits/12+AssetMgmtFeePct*JQ$23,0)</f>
        <v/>
      </c>
      <c r="JR40" s="18">
        <f>IF(275&gt;=DeliverStart,CapReservePerUnit*TotalUnits/12+TaxPrepPerUnit*TotalUnits/12+AssetMgmtFeePct*JR$23,0)</f>
        <v/>
      </c>
      <c r="JS40" s="18">
        <f>IF(276&gt;=DeliverStart,CapReservePerUnit*TotalUnits/12+TaxPrepPerUnit*TotalUnits/12+AssetMgmtFeePct*JS$23,0)</f>
        <v/>
      </c>
      <c r="JT40" s="18">
        <f>IF(277&gt;=DeliverStart,CapReservePerUnit*TotalUnits/12+TaxPrepPerUnit*TotalUnits/12+AssetMgmtFeePct*JT$23,0)</f>
        <v/>
      </c>
      <c r="JU40" s="18">
        <f>IF(278&gt;=DeliverStart,CapReservePerUnit*TotalUnits/12+TaxPrepPerUnit*TotalUnits/12+AssetMgmtFeePct*JU$23,0)</f>
        <v/>
      </c>
      <c r="JV40" s="18">
        <f>IF(279&gt;=DeliverStart,CapReservePerUnit*TotalUnits/12+TaxPrepPerUnit*TotalUnits/12+AssetMgmtFeePct*JV$23,0)</f>
        <v/>
      </c>
      <c r="JW40" s="18">
        <f>IF(280&gt;=DeliverStart,CapReservePerUnit*TotalUnits/12+TaxPrepPerUnit*TotalUnits/12+AssetMgmtFeePct*JW$23,0)</f>
        <v/>
      </c>
      <c r="JX40" s="18">
        <f>IF(281&gt;=DeliverStart,CapReservePerUnit*TotalUnits/12+TaxPrepPerUnit*TotalUnits/12+AssetMgmtFeePct*JX$23,0)</f>
        <v/>
      </c>
      <c r="JY40" s="18">
        <f>IF(282&gt;=DeliverStart,CapReservePerUnit*TotalUnits/12+TaxPrepPerUnit*TotalUnits/12+AssetMgmtFeePct*JY$23,0)</f>
        <v/>
      </c>
      <c r="JZ40" s="18">
        <f>IF(283&gt;=DeliverStart,CapReservePerUnit*TotalUnits/12+TaxPrepPerUnit*TotalUnits/12+AssetMgmtFeePct*JZ$23,0)</f>
        <v/>
      </c>
      <c r="KA40" s="18">
        <f>IF(284&gt;=DeliverStart,CapReservePerUnit*TotalUnits/12+TaxPrepPerUnit*TotalUnits/12+AssetMgmtFeePct*KA$23,0)</f>
        <v/>
      </c>
      <c r="KB40" s="18">
        <f>IF(285&gt;=DeliverStart,CapReservePerUnit*TotalUnits/12+TaxPrepPerUnit*TotalUnits/12+AssetMgmtFeePct*KB$23,0)</f>
        <v/>
      </c>
      <c r="KC40" s="18">
        <f>IF(286&gt;=DeliverStart,CapReservePerUnit*TotalUnits/12+TaxPrepPerUnit*TotalUnits/12+AssetMgmtFeePct*KC$23,0)</f>
        <v/>
      </c>
      <c r="KD40" s="18">
        <f>IF(287&gt;=DeliverStart,CapReservePerUnit*TotalUnits/12+TaxPrepPerUnit*TotalUnits/12+AssetMgmtFeePct*KD$23,0)</f>
        <v/>
      </c>
      <c r="KE40" s="18">
        <f>IF(288&gt;=DeliverStart,CapReservePerUnit*TotalUnits/12+TaxPrepPerUnit*TotalUnits/12+AssetMgmtFeePct*KE$23,0)</f>
        <v/>
      </c>
      <c r="KF40" s="18">
        <f>IF(289&gt;=DeliverStart,CapReservePerUnit*TotalUnits/12+TaxPrepPerUnit*TotalUnits/12+AssetMgmtFeePct*KF$23,0)</f>
        <v/>
      </c>
      <c r="KG40" s="18">
        <f>IF(290&gt;=DeliverStart,CapReservePerUnit*TotalUnits/12+TaxPrepPerUnit*TotalUnits/12+AssetMgmtFeePct*KG$23,0)</f>
        <v/>
      </c>
      <c r="KH40" s="18">
        <f>IF(291&gt;=DeliverStart,CapReservePerUnit*TotalUnits/12+TaxPrepPerUnit*TotalUnits/12+AssetMgmtFeePct*KH$23,0)</f>
        <v/>
      </c>
      <c r="KI40" s="18">
        <f>IF(292&gt;=DeliverStart,CapReservePerUnit*TotalUnits/12+TaxPrepPerUnit*TotalUnits/12+AssetMgmtFeePct*KI$23,0)</f>
        <v/>
      </c>
      <c r="KJ40" s="18">
        <f>IF(293&gt;=DeliverStart,CapReservePerUnit*TotalUnits/12+TaxPrepPerUnit*TotalUnits/12+AssetMgmtFeePct*KJ$23,0)</f>
        <v/>
      </c>
      <c r="KK40" s="18">
        <f>IF(294&gt;=DeliverStart,CapReservePerUnit*TotalUnits/12+TaxPrepPerUnit*TotalUnits/12+AssetMgmtFeePct*KK$23,0)</f>
        <v/>
      </c>
      <c r="KL40" s="18">
        <f>IF(295&gt;=DeliverStart,CapReservePerUnit*TotalUnits/12+TaxPrepPerUnit*TotalUnits/12+AssetMgmtFeePct*KL$23,0)</f>
        <v/>
      </c>
      <c r="KM40" s="18">
        <f>IF(296&gt;=DeliverStart,CapReservePerUnit*TotalUnits/12+TaxPrepPerUnit*TotalUnits/12+AssetMgmtFeePct*KM$23,0)</f>
        <v/>
      </c>
      <c r="KN40" s="18">
        <f>IF(297&gt;=DeliverStart,CapReservePerUnit*TotalUnits/12+TaxPrepPerUnit*TotalUnits/12+AssetMgmtFeePct*KN$23,0)</f>
        <v/>
      </c>
      <c r="KO40" s="18">
        <f>IF(298&gt;=DeliverStart,CapReservePerUnit*TotalUnits/12+TaxPrepPerUnit*TotalUnits/12+AssetMgmtFeePct*KO$23,0)</f>
        <v/>
      </c>
      <c r="KP40" s="18">
        <f>IF(299&gt;=DeliverStart,CapReservePerUnit*TotalUnits/12+TaxPrepPerUnit*TotalUnits/12+AssetMgmtFeePct*KP$23,0)</f>
        <v/>
      </c>
      <c r="KQ40" s="18">
        <f>IF(300&gt;=DeliverStart,CapReservePerUnit*TotalUnits/12+TaxPrepPerUnit*TotalUnits/12+AssetMgmtFeePct*KQ$23,0)</f>
        <v/>
      </c>
      <c r="KR40" s="18">
        <f>IF(301&gt;=DeliverStart,CapReservePerUnit*TotalUnits/12+TaxPrepPerUnit*TotalUnits/12+AssetMgmtFeePct*KR$23,0)</f>
        <v/>
      </c>
      <c r="KS40" s="18">
        <f>IF(302&gt;=DeliverStart,CapReservePerUnit*TotalUnits/12+TaxPrepPerUnit*TotalUnits/12+AssetMgmtFeePct*KS$23,0)</f>
        <v/>
      </c>
      <c r="KT40" s="18">
        <f>IF(303&gt;=DeliverStart,CapReservePerUnit*TotalUnits/12+TaxPrepPerUnit*TotalUnits/12+AssetMgmtFeePct*KT$23,0)</f>
        <v/>
      </c>
      <c r="KU40" s="18">
        <f>IF(304&gt;=DeliverStart,CapReservePerUnit*TotalUnits/12+TaxPrepPerUnit*TotalUnits/12+AssetMgmtFeePct*KU$23,0)</f>
        <v/>
      </c>
      <c r="KV40" s="18">
        <f>IF(305&gt;=DeliverStart,CapReservePerUnit*TotalUnits/12+TaxPrepPerUnit*TotalUnits/12+AssetMgmtFeePct*KV$23,0)</f>
        <v/>
      </c>
      <c r="KW40" s="18">
        <f>IF(306&gt;=DeliverStart,CapReservePerUnit*TotalUnits/12+TaxPrepPerUnit*TotalUnits/12+AssetMgmtFeePct*KW$23,0)</f>
        <v/>
      </c>
      <c r="KX40" s="18">
        <f>IF(307&gt;=DeliverStart,CapReservePerUnit*TotalUnits/12+TaxPrepPerUnit*TotalUnits/12+AssetMgmtFeePct*KX$23,0)</f>
        <v/>
      </c>
      <c r="KY40" s="18">
        <f>IF(308&gt;=DeliverStart,CapReservePerUnit*TotalUnits/12+TaxPrepPerUnit*TotalUnits/12+AssetMgmtFeePct*KY$23,0)</f>
        <v/>
      </c>
      <c r="KZ40" s="18">
        <f>IF(309&gt;=DeliverStart,CapReservePerUnit*TotalUnits/12+TaxPrepPerUnit*TotalUnits/12+AssetMgmtFeePct*KZ$23,0)</f>
        <v/>
      </c>
      <c r="LA40" s="18">
        <f>IF(310&gt;=DeliverStart,CapReservePerUnit*TotalUnits/12+TaxPrepPerUnit*TotalUnits/12+AssetMgmtFeePct*LA$23,0)</f>
        <v/>
      </c>
      <c r="LB40" s="18">
        <f>IF(311&gt;=DeliverStart,CapReservePerUnit*TotalUnits/12+TaxPrepPerUnit*TotalUnits/12+AssetMgmtFeePct*LB$23,0)</f>
        <v/>
      </c>
      <c r="LC40" s="18">
        <f>IF(312&gt;=DeliverStart,CapReservePerUnit*TotalUnits/12+TaxPrepPerUnit*TotalUnits/12+AssetMgmtFeePct*LC$23,0)</f>
        <v/>
      </c>
      <c r="LD40" s="18">
        <f>IF(313&gt;=DeliverStart,CapReservePerUnit*TotalUnits/12+TaxPrepPerUnit*TotalUnits/12+AssetMgmtFeePct*LD$23,0)</f>
        <v/>
      </c>
      <c r="LE40" s="18">
        <f>IF(314&gt;=DeliverStart,CapReservePerUnit*TotalUnits/12+TaxPrepPerUnit*TotalUnits/12+AssetMgmtFeePct*LE$23,0)</f>
        <v/>
      </c>
      <c r="LF40" s="18">
        <f>IF(315&gt;=DeliverStart,CapReservePerUnit*TotalUnits/12+TaxPrepPerUnit*TotalUnits/12+AssetMgmtFeePct*LF$23,0)</f>
        <v/>
      </c>
      <c r="LG40" s="18">
        <f>IF(316&gt;=DeliverStart,CapReservePerUnit*TotalUnits/12+TaxPrepPerUnit*TotalUnits/12+AssetMgmtFeePct*LG$23,0)</f>
        <v/>
      </c>
      <c r="LH40" s="18">
        <f>IF(317&gt;=DeliverStart,CapReservePerUnit*TotalUnits/12+TaxPrepPerUnit*TotalUnits/12+AssetMgmtFeePct*LH$23,0)</f>
        <v/>
      </c>
      <c r="LI40" s="18">
        <f>IF(318&gt;=DeliverStart,CapReservePerUnit*TotalUnits/12+TaxPrepPerUnit*TotalUnits/12+AssetMgmtFeePct*LI$23,0)</f>
        <v/>
      </c>
      <c r="LJ40" s="18">
        <f>IF(319&gt;=DeliverStart,CapReservePerUnit*TotalUnits/12+TaxPrepPerUnit*TotalUnits/12+AssetMgmtFeePct*LJ$23,0)</f>
        <v/>
      </c>
      <c r="LK40" s="18">
        <f>IF(320&gt;=DeliverStart,CapReservePerUnit*TotalUnits/12+TaxPrepPerUnit*TotalUnits/12+AssetMgmtFeePct*LK$23,0)</f>
        <v/>
      </c>
      <c r="LL40" s="18">
        <f>IF(321&gt;=DeliverStart,CapReservePerUnit*TotalUnits/12+TaxPrepPerUnit*TotalUnits/12+AssetMgmtFeePct*LL$23,0)</f>
        <v/>
      </c>
      <c r="LM40" s="18">
        <f>IF(322&gt;=DeliverStart,CapReservePerUnit*TotalUnits/12+TaxPrepPerUnit*TotalUnits/12+AssetMgmtFeePct*LM$23,0)</f>
        <v/>
      </c>
      <c r="LN40" s="18">
        <f>IF(323&gt;=DeliverStart,CapReservePerUnit*TotalUnits/12+TaxPrepPerUnit*TotalUnits/12+AssetMgmtFeePct*LN$23,0)</f>
        <v/>
      </c>
      <c r="LO40" s="18">
        <f>IF(324&gt;=DeliverStart,CapReservePerUnit*TotalUnits/12+TaxPrepPerUnit*TotalUnits/12+AssetMgmtFeePct*LO$23,0)</f>
        <v/>
      </c>
      <c r="LP40" s="18">
        <f>IF(325&gt;=DeliverStart,CapReservePerUnit*TotalUnits/12+TaxPrepPerUnit*TotalUnits/12+AssetMgmtFeePct*LP$23,0)</f>
        <v/>
      </c>
      <c r="LQ40" s="18">
        <f>IF(326&gt;=DeliverStart,CapReservePerUnit*TotalUnits/12+TaxPrepPerUnit*TotalUnits/12+AssetMgmtFeePct*LQ$23,0)</f>
        <v/>
      </c>
      <c r="LR40" s="18">
        <f>IF(327&gt;=DeliverStart,CapReservePerUnit*TotalUnits/12+TaxPrepPerUnit*TotalUnits/12+AssetMgmtFeePct*LR$23,0)</f>
        <v/>
      </c>
      <c r="LS40" s="18">
        <f>IF(328&gt;=DeliverStart,CapReservePerUnit*TotalUnits/12+TaxPrepPerUnit*TotalUnits/12+AssetMgmtFeePct*LS$23,0)</f>
        <v/>
      </c>
      <c r="LT40" s="18">
        <f>IF(329&gt;=DeliverStart,CapReservePerUnit*TotalUnits/12+TaxPrepPerUnit*TotalUnits/12+AssetMgmtFeePct*LT$23,0)</f>
        <v/>
      </c>
      <c r="LU40" s="18">
        <f>IF(330&gt;=DeliverStart,CapReservePerUnit*TotalUnits/12+TaxPrepPerUnit*TotalUnits/12+AssetMgmtFeePct*LU$23,0)</f>
        <v/>
      </c>
      <c r="LV40" s="18">
        <f>IF(331&gt;=DeliverStart,CapReservePerUnit*TotalUnits/12+TaxPrepPerUnit*TotalUnits/12+AssetMgmtFeePct*LV$23,0)</f>
        <v/>
      </c>
      <c r="LW40" s="18">
        <f>IF(332&gt;=DeliverStart,CapReservePerUnit*TotalUnits/12+TaxPrepPerUnit*TotalUnits/12+AssetMgmtFeePct*LW$23,0)</f>
        <v/>
      </c>
      <c r="LX40" s="18">
        <f>IF(333&gt;=DeliverStart,CapReservePerUnit*TotalUnits/12+TaxPrepPerUnit*TotalUnits/12+AssetMgmtFeePct*LX$23,0)</f>
        <v/>
      </c>
      <c r="LY40" s="18">
        <f>IF(334&gt;=DeliverStart,CapReservePerUnit*TotalUnits/12+TaxPrepPerUnit*TotalUnits/12+AssetMgmtFeePct*LY$23,0)</f>
        <v/>
      </c>
      <c r="LZ40" s="18">
        <f>IF(335&gt;=DeliverStart,CapReservePerUnit*TotalUnits/12+TaxPrepPerUnit*TotalUnits/12+AssetMgmtFeePct*LZ$23,0)</f>
        <v/>
      </c>
      <c r="MA40" s="18">
        <f>IF(336&gt;=DeliverStart,CapReservePerUnit*TotalUnits/12+TaxPrepPerUnit*TotalUnits/12+AssetMgmtFeePct*MA$23,0)</f>
        <v/>
      </c>
      <c r="MB40" s="18">
        <f>IF(337&gt;=DeliverStart,CapReservePerUnit*TotalUnits/12+TaxPrepPerUnit*TotalUnits/12+AssetMgmtFeePct*MB$23,0)</f>
        <v/>
      </c>
      <c r="MC40" s="18">
        <f>IF(338&gt;=DeliverStart,CapReservePerUnit*TotalUnits/12+TaxPrepPerUnit*TotalUnits/12+AssetMgmtFeePct*MC$23,0)</f>
        <v/>
      </c>
      <c r="MD40" s="18">
        <f>IF(339&gt;=DeliverStart,CapReservePerUnit*TotalUnits/12+TaxPrepPerUnit*TotalUnits/12+AssetMgmtFeePct*MD$23,0)</f>
        <v/>
      </c>
      <c r="ME40" s="18">
        <f>IF(340&gt;=DeliverStart,CapReservePerUnit*TotalUnits/12+TaxPrepPerUnit*TotalUnits/12+AssetMgmtFeePct*ME$23,0)</f>
        <v/>
      </c>
      <c r="MF40" s="18">
        <f>IF(341&gt;=DeliverStart,CapReservePerUnit*TotalUnits/12+TaxPrepPerUnit*TotalUnits/12+AssetMgmtFeePct*MF$23,0)</f>
        <v/>
      </c>
      <c r="MG40" s="18">
        <f>IF(342&gt;=DeliverStart,CapReservePerUnit*TotalUnits/12+TaxPrepPerUnit*TotalUnits/12+AssetMgmtFeePct*MG$23,0)</f>
        <v/>
      </c>
      <c r="MH40" s="18">
        <f>IF(343&gt;=DeliverStart,CapReservePerUnit*TotalUnits/12+TaxPrepPerUnit*TotalUnits/12+AssetMgmtFeePct*MH$23,0)</f>
        <v/>
      </c>
      <c r="MI40" s="18">
        <f>IF(344&gt;=DeliverStart,CapReservePerUnit*TotalUnits/12+TaxPrepPerUnit*TotalUnits/12+AssetMgmtFeePct*MI$23,0)</f>
        <v/>
      </c>
      <c r="MJ40" s="18">
        <f>IF(345&gt;=DeliverStart,CapReservePerUnit*TotalUnits/12+TaxPrepPerUnit*TotalUnits/12+AssetMgmtFeePct*MJ$23,0)</f>
        <v/>
      </c>
      <c r="MK40" s="18">
        <f>IF(346&gt;=DeliverStart,CapReservePerUnit*TotalUnits/12+TaxPrepPerUnit*TotalUnits/12+AssetMgmtFeePct*MK$23,0)</f>
        <v/>
      </c>
      <c r="ML40" s="18">
        <f>IF(347&gt;=DeliverStart,CapReservePerUnit*TotalUnits/12+TaxPrepPerUnit*TotalUnits/12+AssetMgmtFeePct*ML$23,0)</f>
        <v/>
      </c>
      <c r="MM40" s="18">
        <f>IF(348&gt;=DeliverStart,CapReservePerUnit*TotalUnits/12+TaxPrepPerUnit*TotalUnits/12+AssetMgmtFeePct*MM$23,0)</f>
        <v/>
      </c>
      <c r="MN40" s="18">
        <f>IF(349&gt;=DeliverStart,CapReservePerUnit*TotalUnits/12+TaxPrepPerUnit*TotalUnits/12+AssetMgmtFeePct*MN$23,0)</f>
        <v/>
      </c>
      <c r="MO40" s="18">
        <f>IF(350&gt;=DeliverStart,CapReservePerUnit*TotalUnits/12+TaxPrepPerUnit*TotalUnits/12+AssetMgmtFeePct*MO$23,0)</f>
        <v/>
      </c>
      <c r="MP40" s="18">
        <f>IF(351&gt;=DeliverStart,CapReservePerUnit*TotalUnits/12+TaxPrepPerUnit*TotalUnits/12+AssetMgmtFeePct*MP$23,0)</f>
        <v/>
      </c>
      <c r="MQ40" s="18">
        <f>IF(352&gt;=DeliverStart,CapReservePerUnit*TotalUnits/12+TaxPrepPerUnit*TotalUnits/12+AssetMgmtFeePct*MQ$23,0)</f>
        <v/>
      </c>
      <c r="MR40" s="18">
        <f>IF(353&gt;=DeliverStart,CapReservePerUnit*TotalUnits/12+TaxPrepPerUnit*TotalUnits/12+AssetMgmtFeePct*MR$23,0)</f>
        <v/>
      </c>
      <c r="MS40" s="18">
        <f>IF(354&gt;=DeliverStart,CapReservePerUnit*TotalUnits/12+TaxPrepPerUnit*TotalUnits/12+AssetMgmtFeePct*MS$23,0)</f>
        <v/>
      </c>
      <c r="MT40" s="18">
        <f>IF(355&gt;=DeliverStart,CapReservePerUnit*TotalUnits/12+TaxPrepPerUnit*TotalUnits/12+AssetMgmtFeePct*MT$23,0)</f>
        <v/>
      </c>
      <c r="MU40" s="18">
        <f>IF(356&gt;=DeliverStart,CapReservePerUnit*TotalUnits/12+TaxPrepPerUnit*TotalUnits/12+AssetMgmtFeePct*MU$23,0)</f>
        <v/>
      </c>
      <c r="MV40" s="18">
        <f>IF(357&gt;=DeliverStart,CapReservePerUnit*TotalUnits/12+TaxPrepPerUnit*TotalUnits/12+AssetMgmtFeePct*MV$23,0)</f>
        <v/>
      </c>
      <c r="MW40" s="18">
        <f>IF(358&gt;=DeliverStart,CapReservePerUnit*TotalUnits/12+TaxPrepPerUnit*TotalUnits/12+AssetMgmtFeePct*MW$23,0)</f>
        <v/>
      </c>
      <c r="MX40" s="18">
        <f>IF(359&gt;=DeliverStart,CapReservePerUnit*TotalUnits/12+TaxPrepPerUnit*TotalUnits/12+AssetMgmtFeePct*MX$23,0)</f>
        <v/>
      </c>
      <c r="MY40" s="18">
        <f>IF(360&gt;=DeliverStart,CapReservePerUnit*TotalUnits/12+TaxPrepPerUnit*TotalUnits/12+AssetMgmtFeePct*MY$23,0)</f>
        <v/>
      </c>
      <c r="MZ40" s="18">
        <f>IF(361&gt;=DeliverStart,CapReservePerUnit*TotalUnits/12+TaxPrepPerUnit*TotalUnits/12+AssetMgmtFeePct*MZ$23,0)</f>
        <v/>
      </c>
      <c r="NA40" s="18">
        <f>IF(362&gt;=DeliverStart,CapReservePerUnit*TotalUnits/12+TaxPrepPerUnit*TotalUnits/12+AssetMgmtFeePct*NA$23,0)</f>
        <v/>
      </c>
      <c r="NB40" s="18">
        <f>IF(363&gt;=DeliverStart,CapReservePerUnit*TotalUnits/12+TaxPrepPerUnit*TotalUnits/12+AssetMgmtFeePct*NB$23,0)</f>
        <v/>
      </c>
      <c r="NC40" s="18">
        <f>IF(364&gt;=DeliverStart,CapReservePerUnit*TotalUnits/12+TaxPrepPerUnit*TotalUnits/12+AssetMgmtFeePct*NC$23,0)</f>
        <v/>
      </c>
      <c r="ND40" s="18">
        <f>IF(365&gt;=DeliverStart,CapReservePerUnit*TotalUnits/12+TaxPrepPerUnit*TotalUnits/12+AssetMgmtFeePct*ND$23,0)</f>
        <v/>
      </c>
      <c r="NE40" s="18">
        <f>IF(366&gt;=DeliverStart,CapReservePerUnit*TotalUnits/12+TaxPrepPerUnit*TotalUnits/12+AssetMgmtFeePct*NE$23,0)</f>
        <v/>
      </c>
      <c r="NF40" s="18">
        <f>IF(367&gt;=DeliverStart,CapReservePerUnit*TotalUnits/12+TaxPrepPerUnit*TotalUnits/12+AssetMgmtFeePct*NF$23,0)</f>
        <v/>
      </c>
      <c r="NG40" s="18">
        <f>IF(368&gt;=DeliverStart,CapReservePerUnit*TotalUnits/12+TaxPrepPerUnit*TotalUnits/12+AssetMgmtFeePct*NG$23,0)</f>
        <v/>
      </c>
      <c r="NH40" s="18">
        <f>IF(369&gt;=DeliverStart,CapReservePerUnit*TotalUnits/12+TaxPrepPerUnit*TotalUnits/12+AssetMgmtFeePct*NH$23,0)</f>
        <v/>
      </c>
      <c r="NI40" s="18">
        <f>IF(370&gt;=DeliverStart,CapReservePerUnit*TotalUnits/12+TaxPrepPerUnit*TotalUnits/12+AssetMgmtFeePct*NI$23,0)</f>
        <v/>
      </c>
      <c r="NJ40" s="18">
        <f>IF(371&gt;=DeliverStart,CapReservePerUnit*TotalUnits/12+TaxPrepPerUnit*TotalUnits/12+AssetMgmtFeePct*NJ$23,0)</f>
        <v/>
      </c>
      <c r="NK40" s="18">
        <f>IF(372&gt;=DeliverStart,CapReservePerUnit*TotalUnits/12+TaxPrepPerUnit*TotalUnits/12+AssetMgmtFeePct*NK$23,0)</f>
        <v/>
      </c>
    </row>
    <row r="41">
      <c r="A41" s="3" t="inlineStr">
        <is>
          <t>Operating Cash Flow</t>
        </is>
      </c>
      <c r="B41" s="4" t="n"/>
      <c r="C41" s="4" t="n"/>
    </row>
    <row r="42">
      <c r="A42" s="5" t="inlineStr">
        <is>
          <t>Operating CF before Debt (property)</t>
        </is>
      </c>
      <c r="C42" s="41">
        <f>SUM(D42:NK42)</f>
        <v/>
      </c>
      <c r="D42" s="18">
        <f>D$38-D$40</f>
        <v/>
      </c>
      <c r="E42" s="18">
        <f>E$38-E$40</f>
        <v/>
      </c>
      <c r="F42" s="18">
        <f>F$38-F$40</f>
        <v/>
      </c>
      <c r="G42" s="18">
        <f>G$38-G$40</f>
        <v/>
      </c>
      <c r="H42" s="18">
        <f>H$38-H$40</f>
        <v/>
      </c>
      <c r="I42" s="18">
        <f>I$38-I$40</f>
        <v/>
      </c>
      <c r="J42" s="18">
        <f>J$38-J$40</f>
        <v/>
      </c>
      <c r="K42" s="18">
        <f>K$38-K$40</f>
        <v/>
      </c>
      <c r="L42" s="18">
        <f>L$38-L$40</f>
        <v/>
      </c>
      <c r="M42" s="18">
        <f>M$38-M$40</f>
        <v/>
      </c>
      <c r="N42" s="18">
        <f>N$38-N$40</f>
        <v/>
      </c>
      <c r="O42" s="18">
        <f>O$38-O$40</f>
        <v/>
      </c>
      <c r="P42" s="18">
        <f>P$38-P$40</f>
        <v/>
      </c>
      <c r="Q42" s="18">
        <f>Q$38-Q$40</f>
        <v/>
      </c>
      <c r="R42" s="18">
        <f>R$38-R$40</f>
        <v/>
      </c>
      <c r="S42" s="18">
        <f>S$38-S$40</f>
        <v/>
      </c>
      <c r="T42" s="18">
        <f>T$38-T$40</f>
        <v/>
      </c>
      <c r="U42" s="18">
        <f>U$38-U$40</f>
        <v/>
      </c>
      <c r="V42" s="18">
        <f>V$38-V$40</f>
        <v/>
      </c>
      <c r="W42" s="18">
        <f>W$38-W$40</f>
        <v/>
      </c>
      <c r="X42" s="18">
        <f>X$38-X$40</f>
        <v/>
      </c>
      <c r="Y42" s="18">
        <f>Y$38-Y$40</f>
        <v/>
      </c>
      <c r="Z42" s="18">
        <f>Z$38-Z$40</f>
        <v/>
      </c>
      <c r="AA42" s="18">
        <f>AA$38-AA$40</f>
        <v/>
      </c>
      <c r="AB42" s="18">
        <f>AB$38-AB$40</f>
        <v/>
      </c>
      <c r="AC42" s="18">
        <f>AC$38-AC$40</f>
        <v/>
      </c>
      <c r="AD42" s="18">
        <f>AD$38-AD$40</f>
        <v/>
      </c>
      <c r="AE42" s="18">
        <f>AE$38-AE$40</f>
        <v/>
      </c>
      <c r="AF42" s="18">
        <f>AF$38-AF$40</f>
        <v/>
      </c>
      <c r="AG42" s="18">
        <f>AG$38-AG$40</f>
        <v/>
      </c>
      <c r="AH42" s="18">
        <f>AH$38-AH$40</f>
        <v/>
      </c>
      <c r="AI42" s="18">
        <f>AI$38-AI$40</f>
        <v/>
      </c>
      <c r="AJ42" s="18">
        <f>AJ$38-AJ$40</f>
        <v/>
      </c>
      <c r="AK42" s="18">
        <f>AK$38-AK$40</f>
        <v/>
      </c>
      <c r="AL42" s="18">
        <f>AL$38-AL$40</f>
        <v/>
      </c>
      <c r="AM42" s="18">
        <f>AM$38-AM$40</f>
        <v/>
      </c>
      <c r="AN42" s="18">
        <f>AN$38-AN$40</f>
        <v/>
      </c>
      <c r="AO42" s="18">
        <f>AO$38-AO$40</f>
        <v/>
      </c>
      <c r="AP42" s="18">
        <f>AP$38-AP$40</f>
        <v/>
      </c>
      <c r="AQ42" s="18">
        <f>AQ$38-AQ$40</f>
        <v/>
      </c>
      <c r="AR42" s="18">
        <f>AR$38-AR$40</f>
        <v/>
      </c>
      <c r="AS42" s="18">
        <f>AS$38-AS$40</f>
        <v/>
      </c>
      <c r="AT42" s="18">
        <f>AT$38-AT$40</f>
        <v/>
      </c>
      <c r="AU42" s="18">
        <f>AU$38-AU$40</f>
        <v/>
      </c>
      <c r="AV42" s="18">
        <f>AV$38-AV$40</f>
        <v/>
      </c>
      <c r="AW42" s="18">
        <f>AW$38-AW$40</f>
        <v/>
      </c>
      <c r="AX42" s="18">
        <f>AX$38-AX$40</f>
        <v/>
      </c>
      <c r="AY42" s="18">
        <f>AY$38-AY$40</f>
        <v/>
      </c>
      <c r="AZ42" s="18">
        <f>AZ$38-AZ$40</f>
        <v/>
      </c>
      <c r="BA42" s="18">
        <f>BA$38-BA$40</f>
        <v/>
      </c>
      <c r="BB42" s="18">
        <f>BB$38-BB$40</f>
        <v/>
      </c>
      <c r="BC42" s="18">
        <f>BC$38-BC$40</f>
        <v/>
      </c>
      <c r="BD42" s="18">
        <f>BD$38-BD$40</f>
        <v/>
      </c>
      <c r="BE42" s="18">
        <f>BE$38-BE$40</f>
        <v/>
      </c>
      <c r="BF42" s="18">
        <f>BF$38-BF$40</f>
        <v/>
      </c>
      <c r="BG42" s="18">
        <f>BG$38-BG$40</f>
        <v/>
      </c>
      <c r="BH42" s="18">
        <f>BH$38-BH$40</f>
        <v/>
      </c>
      <c r="BI42" s="18">
        <f>BI$38-BI$40</f>
        <v/>
      </c>
      <c r="BJ42" s="18">
        <f>BJ$38-BJ$40</f>
        <v/>
      </c>
      <c r="BK42" s="18">
        <f>BK$38-BK$40</f>
        <v/>
      </c>
      <c r="BL42" s="18">
        <f>BL$38-BL$40</f>
        <v/>
      </c>
      <c r="BM42" s="18">
        <f>BM$38-BM$40</f>
        <v/>
      </c>
      <c r="BN42" s="18">
        <f>BN$38-BN$40</f>
        <v/>
      </c>
      <c r="BO42" s="18">
        <f>BO$38-BO$40</f>
        <v/>
      </c>
      <c r="BP42" s="18">
        <f>BP$38-BP$40</f>
        <v/>
      </c>
      <c r="BQ42" s="18">
        <f>BQ$38-BQ$40</f>
        <v/>
      </c>
      <c r="BR42" s="18">
        <f>BR$38-BR$40</f>
        <v/>
      </c>
      <c r="BS42" s="18">
        <f>BS$38-BS$40</f>
        <v/>
      </c>
      <c r="BT42" s="18">
        <f>BT$38-BT$40</f>
        <v/>
      </c>
      <c r="BU42" s="18">
        <f>BU$38-BU$40</f>
        <v/>
      </c>
      <c r="BV42" s="18">
        <f>BV$38-BV$40</f>
        <v/>
      </c>
      <c r="BW42" s="18">
        <f>BW$38-BW$40</f>
        <v/>
      </c>
      <c r="BX42" s="18">
        <f>BX$38-BX$40</f>
        <v/>
      </c>
      <c r="BY42" s="18">
        <f>BY$38-BY$40</f>
        <v/>
      </c>
      <c r="BZ42" s="18">
        <f>BZ$38-BZ$40</f>
        <v/>
      </c>
      <c r="CA42" s="18">
        <f>CA$38-CA$40</f>
        <v/>
      </c>
      <c r="CB42" s="18">
        <f>CB$38-CB$40</f>
        <v/>
      </c>
      <c r="CC42" s="18">
        <f>CC$38-CC$40</f>
        <v/>
      </c>
      <c r="CD42" s="18">
        <f>CD$38-CD$40</f>
        <v/>
      </c>
      <c r="CE42" s="18">
        <f>CE$38-CE$40</f>
        <v/>
      </c>
      <c r="CF42" s="18">
        <f>CF$38-CF$40</f>
        <v/>
      </c>
      <c r="CG42" s="18">
        <f>CG$38-CG$40</f>
        <v/>
      </c>
      <c r="CH42" s="18">
        <f>CH$38-CH$40</f>
        <v/>
      </c>
      <c r="CI42" s="18">
        <f>CI$38-CI$40</f>
        <v/>
      </c>
      <c r="CJ42" s="18">
        <f>CJ$38-CJ$40</f>
        <v/>
      </c>
      <c r="CK42" s="18">
        <f>CK$38-CK$40</f>
        <v/>
      </c>
      <c r="CL42" s="18">
        <f>CL$38-CL$40</f>
        <v/>
      </c>
      <c r="CM42" s="18">
        <f>CM$38-CM$40</f>
        <v/>
      </c>
      <c r="CN42" s="18">
        <f>CN$38-CN$40</f>
        <v/>
      </c>
      <c r="CO42" s="18">
        <f>CO$38-CO$40</f>
        <v/>
      </c>
      <c r="CP42" s="18">
        <f>CP$38-CP$40</f>
        <v/>
      </c>
      <c r="CQ42" s="18">
        <f>CQ$38-CQ$40</f>
        <v/>
      </c>
      <c r="CR42" s="18">
        <f>CR$38-CR$40</f>
        <v/>
      </c>
      <c r="CS42" s="18">
        <f>CS$38-CS$40</f>
        <v/>
      </c>
      <c r="CT42" s="18">
        <f>CT$38-CT$40</f>
        <v/>
      </c>
      <c r="CU42" s="18">
        <f>CU$38-CU$40</f>
        <v/>
      </c>
      <c r="CV42" s="18">
        <f>CV$38-CV$40</f>
        <v/>
      </c>
      <c r="CW42" s="18">
        <f>CW$38-CW$40</f>
        <v/>
      </c>
      <c r="CX42" s="18">
        <f>CX$38-CX$40</f>
        <v/>
      </c>
      <c r="CY42" s="18">
        <f>CY$38-CY$40</f>
        <v/>
      </c>
      <c r="CZ42" s="18">
        <f>CZ$38-CZ$40</f>
        <v/>
      </c>
      <c r="DA42" s="18">
        <f>DA$38-DA$40</f>
        <v/>
      </c>
      <c r="DB42" s="18">
        <f>DB$38-DB$40</f>
        <v/>
      </c>
      <c r="DC42" s="18">
        <f>DC$38-DC$40</f>
        <v/>
      </c>
      <c r="DD42" s="18">
        <f>DD$38-DD$40</f>
        <v/>
      </c>
      <c r="DE42" s="18">
        <f>DE$38-DE$40</f>
        <v/>
      </c>
      <c r="DF42" s="18">
        <f>DF$38-DF$40</f>
        <v/>
      </c>
      <c r="DG42" s="18">
        <f>DG$38-DG$40</f>
        <v/>
      </c>
      <c r="DH42" s="18">
        <f>DH$38-DH$40</f>
        <v/>
      </c>
      <c r="DI42" s="18">
        <f>DI$38-DI$40</f>
        <v/>
      </c>
      <c r="DJ42" s="18">
        <f>DJ$38-DJ$40</f>
        <v/>
      </c>
      <c r="DK42" s="18">
        <f>DK$38-DK$40</f>
        <v/>
      </c>
      <c r="DL42" s="18">
        <f>DL$38-DL$40</f>
        <v/>
      </c>
      <c r="DM42" s="18">
        <f>DM$38-DM$40</f>
        <v/>
      </c>
      <c r="DN42" s="18">
        <f>DN$38-DN$40</f>
        <v/>
      </c>
      <c r="DO42" s="18">
        <f>DO$38-DO$40</f>
        <v/>
      </c>
      <c r="DP42" s="18">
        <f>DP$38-DP$40</f>
        <v/>
      </c>
      <c r="DQ42" s="18">
        <f>DQ$38-DQ$40</f>
        <v/>
      </c>
      <c r="DR42" s="18">
        <f>DR$38-DR$40</f>
        <v/>
      </c>
      <c r="DS42" s="18">
        <f>DS$38-DS$40</f>
        <v/>
      </c>
      <c r="DT42" s="18">
        <f>DT$38-DT$40</f>
        <v/>
      </c>
      <c r="DU42" s="18">
        <f>DU$38-DU$40</f>
        <v/>
      </c>
      <c r="DV42" s="18">
        <f>DV$38-DV$40</f>
        <v/>
      </c>
      <c r="DW42" s="18">
        <f>DW$38-DW$40</f>
        <v/>
      </c>
      <c r="DX42" s="18">
        <f>DX$38-DX$40</f>
        <v/>
      </c>
      <c r="DY42" s="18">
        <f>DY$38-DY$40</f>
        <v/>
      </c>
      <c r="DZ42" s="18">
        <f>DZ$38-DZ$40</f>
        <v/>
      </c>
      <c r="EA42" s="18">
        <f>EA$38-EA$40</f>
        <v/>
      </c>
      <c r="EB42" s="18">
        <f>EB$38-EB$40</f>
        <v/>
      </c>
      <c r="EC42" s="18">
        <f>EC$38-EC$40</f>
        <v/>
      </c>
      <c r="ED42" s="18">
        <f>ED$38-ED$40</f>
        <v/>
      </c>
      <c r="EE42" s="18">
        <f>EE$38-EE$40</f>
        <v/>
      </c>
      <c r="EF42" s="18">
        <f>EF$38-EF$40</f>
        <v/>
      </c>
      <c r="EG42" s="18">
        <f>EG$38-EG$40</f>
        <v/>
      </c>
      <c r="EH42" s="18">
        <f>EH$38-EH$40</f>
        <v/>
      </c>
      <c r="EI42" s="18">
        <f>EI$38-EI$40</f>
        <v/>
      </c>
      <c r="EJ42" s="18">
        <f>EJ$38-EJ$40</f>
        <v/>
      </c>
      <c r="EK42" s="18">
        <f>EK$38-EK$40</f>
        <v/>
      </c>
      <c r="EL42" s="18">
        <f>EL$38-EL$40</f>
        <v/>
      </c>
      <c r="EM42" s="18">
        <f>EM$38-EM$40</f>
        <v/>
      </c>
      <c r="EN42" s="18">
        <f>EN$38-EN$40</f>
        <v/>
      </c>
      <c r="EO42" s="18">
        <f>EO$38-EO$40</f>
        <v/>
      </c>
      <c r="EP42" s="18">
        <f>EP$38-EP$40</f>
        <v/>
      </c>
      <c r="EQ42" s="18">
        <f>EQ$38-EQ$40</f>
        <v/>
      </c>
      <c r="ER42" s="18">
        <f>ER$38-ER$40</f>
        <v/>
      </c>
      <c r="ES42" s="18">
        <f>ES$38-ES$40</f>
        <v/>
      </c>
      <c r="ET42" s="18">
        <f>ET$38-ET$40</f>
        <v/>
      </c>
      <c r="EU42" s="18">
        <f>EU$38-EU$40</f>
        <v/>
      </c>
      <c r="EV42" s="18">
        <f>EV$38-EV$40</f>
        <v/>
      </c>
      <c r="EW42" s="18">
        <f>EW$38-EW$40</f>
        <v/>
      </c>
      <c r="EX42" s="18">
        <f>EX$38-EX$40</f>
        <v/>
      </c>
      <c r="EY42" s="18">
        <f>EY$38-EY$40</f>
        <v/>
      </c>
      <c r="EZ42" s="18">
        <f>EZ$38-EZ$40</f>
        <v/>
      </c>
      <c r="FA42" s="18">
        <f>FA$38-FA$40</f>
        <v/>
      </c>
      <c r="FB42" s="18">
        <f>FB$38-FB$40</f>
        <v/>
      </c>
      <c r="FC42" s="18">
        <f>FC$38-FC$40</f>
        <v/>
      </c>
      <c r="FD42" s="18">
        <f>FD$38-FD$40</f>
        <v/>
      </c>
      <c r="FE42" s="18">
        <f>FE$38-FE$40</f>
        <v/>
      </c>
      <c r="FF42" s="18">
        <f>FF$38-FF$40</f>
        <v/>
      </c>
      <c r="FG42" s="18">
        <f>FG$38-FG$40</f>
        <v/>
      </c>
      <c r="FH42" s="18">
        <f>FH$38-FH$40</f>
        <v/>
      </c>
      <c r="FI42" s="18">
        <f>FI$38-FI$40</f>
        <v/>
      </c>
      <c r="FJ42" s="18">
        <f>FJ$38-FJ$40</f>
        <v/>
      </c>
      <c r="FK42" s="18">
        <f>FK$38-FK$40</f>
        <v/>
      </c>
      <c r="FL42" s="18">
        <f>FL$38-FL$40</f>
        <v/>
      </c>
      <c r="FM42" s="18">
        <f>FM$38-FM$40</f>
        <v/>
      </c>
      <c r="FN42" s="18">
        <f>FN$38-FN$40</f>
        <v/>
      </c>
      <c r="FO42" s="18">
        <f>FO$38-FO$40</f>
        <v/>
      </c>
      <c r="FP42" s="18">
        <f>FP$38-FP$40</f>
        <v/>
      </c>
      <c r="FQ42" s="18">
        <f>FQ$38-FQ$40</f>
        <v/>
      </c>
      <c r="FR42" s="18">
        <f>FR$38-FR$40</f>
        <v/>
      </c>
      <c r="FS42" s="18">
        <f>FS$38-FS$40</f>
        <v/>
      </c>
      <c r="FT42" s="18">
        <f>FT$38-FT$40</f>
        <v/>
      </c>
      <c r="FU42" s="18">
        <f>FU$38-FU$40</f>
        <v/>
      </c>
      <c r="FV42" s="18">
        <f>FV$38-FV$40</f>
        <v/>
      </c>
      <c r="FW42" s="18">
        <f>FW$38-FW$40</f>
        <v/>
      </c>
      <c r="FX42" s="18">
        <f>FX$38-FX$40</f>
        <v/>
      </c>
      <c r="FY42" s="18">
        <f>FY$38-FY$40</f>
        <v/>
      </c>
      <c r="FZ42" s="18">
        <f>FZ$38-FZ$40</f>
        <v/>
      </c>
      <c r="GA42" s="18">
        <f>GA$38-GA$40</f>
        <v/>
      </c>
      <c r="GB42" s="18">
        <f>GB$38-GB$40</f>
        <v/>
      </c>
      <c r="GC42" s="18">
        <f>GC$38-GC$40</f>
        <v/>
      </c>
      <c r="GD42" s="18">
        <f>GD$38-GD$40</f>
        <v/>
      </c>
      <c r="GE42" s="18">
        <f>GE$38-GE$40</f>
        <v/>
      </c>
      <c r="GF42" s="18">
        <f>GF$38-GF$40</f>
        <v/>
      </c>
      <c r="GG42" s="18">
        <f>GG$38-GG$40</f>
        <v/>
      </c>
      <c r="GH42" s="18">
        <f>GH$38-GH$40</f>
        <v/>
      </c>
      <c r="GI42" s="18">
        <f>GI$38-GI$40</f>
        <v/>
      </c>
      <c r="GJ42" s="18">
        <f>GJ$38-GJ$40</f>
        <v/>
      </c>
      <c r="GK42" s="18">
        <f>GK$38-GK$40</f>
        <v/>
      </c>
      <c r="GL42" s="18">
        <f>GL$38-GL$40</f>
        <v/>
      </c>
      <c r="GM42" s="18">
        <f>GM$38-GM$40</f>
        <v/>
      </c>
      <c r="GN42" s="18">
        <f>GN$38-GN$40</f>
        <v/>
      </c>
      <c r="GO42" s="18">
        <f>GO$38-GO$40</f>
        <v/>
      </c>
      <c r="GP42" s="18">
        <f>GP$38-GP$40</f>
        <v/>
      </c>
      <c r="GQ42" s="18">
        <f>GQ$38-GQ$40</f>
        <v/>
      </c>
      <c r="GR42" s="18">
        <f>GR$38-GR$40</f>
        <v/>
      </c>
      <c r="GS42" s="18">
        <f>GS$38-GS$40</f>
        <v/>
      </c>
      <c r="GT42" s="18">
        <f>GT$38-GT$40</f>
        <v/>
      </c>
      <c r="GU42" s="18">
        <f>GU$38-GU$40</f>
        <v/>
      </c>
      <c r="GV42" s="18">
        <f>GV$38-GV$40</f>
        <v/>
      </c>
      <c r="GW42" s="18">
        <f>GW$38-GW$40</f>
        <v/>
      </c>
      <c r="GX42" s="18">
        <f>GX$38-GX$40</f>
        <v/>
      </c>
      <c r="GY42" s="18">
        <f>GY$38-GY$40</f>
        <v/>
      </c>
      <c r="GZ42" s="18">
        <f>GZ$38-GZ$40</f>
        <v/>
      </c>
      <c r="HA42" s="18">
        <f>HA$38-HA$40</f>
        <v/>
      </c>
      <c r="HB42" s="18">
        <f>HB$38-HB$40</f>
        <v/>
      </c>
      <c r="HC42" s="18">
        <f>HC$38-HC$40</f>
        <v/>
      </c>
      <c r="HD42" s="18">
        <f>HD$38-HD$40</f>
        <v/>
      </c>
      <c r="HE42" s="18">
        <f>HE$38-HE$40</f>
        <v/>
      </c>
      <c r="HF42" s="18">
        <f>HF$38-HF$40</f>
        <v/>
      </c>
      <c r="HG42" s="18">
        <f>HG$38-HG$40</f>
        <v/>
      </c>
      <c r="HH42" s="18">
        <f>HH$38-HH$40</f>
        <v/>
      </c>
      <c r="HI42" s="18">
        <f>HI$38-HI$40</f>
        <v/>
      </c>
      <c r="HJ42" s="18">
        <f>HJ$38-HJ$40</f>
        <v/>
      </c>
      <c r="HK42" s="18">
        <f>HK$38-HK$40</f>
        <v/>
      </c>
      <c r="HL42" s="18">
        <f>HL$38-HL$40</f>
        <v/>
      </c>
      <c r="HM42" s="18">
        <f>HM$38-HM$40</f>
        <v/>
      </c>
      <c r="HN42" s="18">
        <f>HN$38-HN$40</f>
        <v/>
      </c>
      <c r="HO42" s="18">
        <f>HO$38-HO$40</f>
        <v/>
      </c>
      <c r="HP42" s="18">
        <f>HP$38-HP$40</f>
        <v/>
      </c>
      <c r="HQ42" s="18">
        <f>HQ$38-HQ$40</f>
        <v/>
      </c>
      <c r="HR42" s="18">
        <f>HR$38-HR$40</f>
        <v/>
      </c>
      <c r="HS42" s="18">
        <f>HS$38-HS$40</f>
        <v/>
      </c>
      <c r="HT42" s="18">
        <f>HT$38-HT$40</f>
        <v/>
      </c>
      <c r="HU42" s="18">
        <f>HU$38-HU$40</f>
        <v/>
      </c>
      <c r="HV42" s="18">
        <f>HV$38-HV$40</f>
        <v/>
      </c>
      <c r="HW42" s="18">
        <f>HW$38-HW$40</f>
        <v/>
      </c>
      <c r="HX42" s="18">
        <f>HX$38-HX$40</f>
        <v/>
      </c>
      <c r="HY42" s="18">
        <f>HY$38-HY$40</f>
        <v/>
      </c>
      <c r="HZ42" s="18">
        <f>HZ$38-HZ$40</f>
        <v/>
      </c>
      <c r="IA42" s="18">
        <f>IA$38-IA$40</f>
        <v/>
      </c>
      <c r="IB42" s="18">
        <f>IB$38-IB$40</f>
        <v/>
      </c>
      <c r="IC42" s="18">
        <f>IC$38-IC$40</f>
        <v/>
      </c>
      <c r="ID42" s="18">
        <f>ID$38-ID$40</f>
        <v/>
      </c>
      <c r="IE42" s="18">
        <f>IE$38-IE$40</f>
        <v/>
      </c>
      <c r="IF42" s="18">
        <f>IF$38-IF$40</f>
        <v/>
      </c>
      <c r="IG42" s="18">
        <f>IG$38-IG$40</f>
        <v/>
      </c>
      <c r="IH42" s="18">
        <f>IH$38-IH$40</f>
        <v/>
      </c>
      <c r="II42" s="18">
        <f>II$38-II$40</f>
        <v/>
      </c>
      <c r="IJ42" s="18">
        <f>IJ$38-IJ$40</f>
        <v/>
      </c>
      <c r="IK42" s="18">
        <f>IK$38-IK$40</f>
        <v/>
      </c>
      <c r="IL42" s="18">
        <f>IL$38-IL$40</f>
        <v/>
      </c>
      <c r="IM42" s="18">
        <f>IM$38-IM$40</f>
        <v/>
      </c>
      <c r="IN42" s="18">
        <f>IN$38-IN$40</f>
        <v/>
      </c>
      <c r="IO42" s="18">
        <f>IO$38-IO$40</f>
        <v/>
      </c>
      <c r="IP42" s="18">
        <f>IP$38-IP$40</f>
        <v/>
      </c>
      <c r="IQ42" s="18">
        <f>IQ$38-IQ$40</f>
        <v/>
      </c>
      <c r="IR42" s="18">
        <f>IR$38-IR$40</f>
        <v/>
      </c>
      <c r="IS42" s="18">
        <f>IS$38-IS$40</f>
        <v/>
      </c>
      <c r="IT42" s="18">
        <f>IT$38-IT$40</f>
        <v/>
      </c>
      <c r="IU42" s="18">
        <f>IU$38-IU$40</f>
        <v/>
      </c>
      <c r="IV42" s="18">
        <f>IV$38-IV$40</f>
        <v/>
      </c>
      <c r="IW42" s="18">
        <f>IW$38-IW$40</f>
        <v/>
      </c>
      <c r="IX42" s="18">
        <f>IX$38-IX$40</f>
        <v/>
      </c>
      <c r="IY42" s="18">
        <f>IY$38-IY$40</f>
        <v/>
      </c>
      <c r="IZ42" s="18">
        <f>IZ$38-IZ$40</f>
        <v/>
      </c>
      <c r="JA42" s="18">
        <f>JA$38-JA$40</f>
        <v/>
      </c>
      <c r="JB42" s="18">
        <f>JB$38-JB$40</f>
        <v/>
      </c>
      <c r="JC42" s="18">
        <f>JC$38-JC$40</f>
        <v/>
      </c>
      <c r="JD42" s="18">
        <f>JD$38-JD$40</f>
        <v/>
      </c>
      <c r="JE42" s="18">
        <f>JE$38-JE$40</f>
        <v/>
      </c>
      <c r="JF42" s="18">
        <f>JF$38-JF$40</f>
        <v/>
      </c>
      <c r="JG42" s="18">
        <f>JG$38-JG$40</f>
        <v/>
      </c>
      <c r="JH42" s="18">
        <f>JH$38-JH$40</f>
        <v/>
      </c>
      <c r="JI42" s="18">
        <f>JI$38-JI$40</f>
        <v/>
      </c>
      <c r="JJ42" s="18">
        <f>JJ$38-JJ$40</f>
        <v/>
      </c>
      <c r="JK42" s="18">
        <f>JK$38-JK$40</f>
        <v/>
      </c>
      <c r="JL42" s="18">
        <f>JL$38-JL$40</f>
        <v/>
      </c>
      <c r="JM42" s="18">
        <f>JM$38-JM$40</f>
        <v/>
      </c>
      <c r="JN42" s="18">
        <f>JN$38-JN$40</f>
        <v/>
      </c>
      <c r="JO42" s="18">
        <f>JO$38-JO$40</f>
        <v/>
      </c>
      <c r="JP42" s="18">
        <f>JP$38-JP$40</f>
        <v/>
      </c>
      <c r="JQ42" s="18">
        <f>JQ$38-JQ$40</f>
        <v/>
      </c>
      <c r="JR42" s="18">
        <f>JR$38-JR$40</f>
        <v/>
      </c>
      <c r="JS42" s="18">
        <f>JS$38-JS$40</f>
        <v/>
      </c>
      <c r="JT42" s="18">
        <f>JT$38-JT$40</f>
        <v/>
      </c>
      <c r="JU42" s="18">
        <f>JU$38-JU$40</f>
        <v/>
      </c>
      <c r="JV42" s="18">
        <f>JV$38-JV$40</f>
        <v/>
      </c>
      <c r="JW42" s="18">
        <f>JW$38-JW$40</f>
        <v/>
      </c>
      <c r="JX42" s="18">
        <f>JX$38-JX$40</f>
        <v/>
      </c>
      <c r="JY42" s="18">
        <f>JY$38-JY$40</f>
        <v/>
      </c>
      <c r="JZ42" s="18">
        <f>JZ$38-JZ$40</f>
        <v/>
      </c>
      <c r="KA42" s="18">
        <f>KA$38-KA$40</f>
        <v/>
      </c>
      <c r="KB42" s="18">
        <f>KB$38-KB$40</f>
        <v/>
      </c>
      <c r="KC42" s="18">
        <f>KC$38-KC$40</f>
        <v/>
      </c>
      <c r="KD42" s="18">
        <f>KD$38-KD$40</f>
        <v/>
      </c>
      <c r="KE42" s="18">
        <f>KE$38-KE$40</f>
        <v/>
      </c>
      <c r="KF42" s="18">
        <f>KF$38-KF$40</f>
        <v/>
      </c>
      <c r="KG42" s="18">
        <f>KG$38-KG$40</f>
        <v/>
      </c>
      <c r="KH42" s="18">
        <f>KH$38-KH$40</f>
        <v/>
      </c>
      <c r="KI42" s="18">
        <f>KI$38-KI$40</f>
        <v/>
      </c>
      <c r="KJ42" s="18">
        <f>KJ$38-KJ$40</f>
        <v/>
      </c>
      <c r="KK42" s="18">
        <f>KK$38-KK$40</f>
        <v/>
      </c>
      <c r="KL42" s="18">
        <f>KL$38-KL$40</f>
        <v/>
      </c>
      <c r="KM42" s="18">
        <f>KM$38-KM$40</f>
        <v/>
      </c>
      <c r="KN42" s="18">
        <f>KN$38-KN$40</f>
        <v/>
      </c>
      <c r="KO42" s="18">
        <f>KO$38-KO$40</f>
        <v/>
      </c>
      <c r="KP42" s="18">
        <f>KP$38-KP$40</f>
        <v/>
      </c>
      <c r="KQ42" s="18">
        <f>KQ$38-KQ$40</f>
        <v/>
      </c>
      <c r="KR42" s="18">
        <f>KR$38-KR$40</f>
        <v/>
      </c>
      <c r="KS42" s="18">
        <f>KS$38-KS$40</f>
        <v/>
      </c>
      <c r="KT42" s="18">
        <f>KT$38-KT$40</f>
        <v/>
      </c>
      <c r="KU42" s="18">
        <f>KU$38-KU$40</f>
        <v/>
      </c>
      <c r="KV42" s="18">
        <f>KV$38-KV$40</f>
        <v/>
      </c>
      <c r="KW42" s="18">
        <f>KW$38-KW$40</f>
        <v/>
      </c>
      <c r="KX42" s="18">
        <f>KX$38-KX$40</f>
        <v/>
      </c>
      <c r="KY42" s="18">
        <f>KY$38-KY$40</f>
        <v/>
      </c>
      <c r="KZ42" s="18">
        <f>KZ$38-KZ$40</f>
        <v/>
      </c>
      <c r="LA42" s="18">
        <f>LA$38-LA$40</f>
        <v/>
      </c>
      <c r="LB42" s="18">
        <f>LB$38-LB$40</f>
        <v/>
      </c>
      <c r="LC42" s="18">
        <f>LC$38-LC$40</f>
        <v/>
      </c>
      <c r="LD42" s="18">
        <f>LD$38-LD$40</f>
        <v/>
      </c>
      <c r="LE42" s="18">
        <f>LE$38-LE$40</f>
        <v/>
      </c>
      <c r="LF42" s="18">
        <f>LF$38-LF$40</f>
        <v/>
      </c>
      <c r="LG42" s="18">
        <f>LG$38-LG$40</f>
        <v/>
      </c>
      <c r="LH42" s="18">
        <f>LH$38-LH$40</f>
        <v/>
      </c>
      <c r="LI42" s="18">
        <f>LI$38-LI$40</f>
        <v/>
      </c>
      <c r="LJ42" s="18">
        <f>LJ$38-LJ$40</f>
        <v/>
      </c>
      <c r="LK42" s="18">
        <f>LK$38-LK$40</f>
        <v/>
      </c>
      <c r="LL42" s="18">
        <f>LL$38-LL$40</f>
        <v/>
      </c>
      <c r="LM42" s="18">
        <f>LM$38-LM$40</f>
        <v/>
      </c>
      <c r="LN42" s="18">
        <f>LN$38-LN$40</f>
        <v/>
      </c>
      <c r="LO42" s="18">
        <f>LO$38-LO$40</f>
        <v/>
      </c>
      <c r="LP42" s="18">
        <f>LP$38-LP$40</f>
        <v/>
      </c>
      <c r="LQ42" s="18">
        <f>LQ$38-LQ$40</f>
        <v/>
      </c>
      <c r="LR42" s="18">
        <f>LR$38-LR$40</f>
        <v/>
      </c>
      <c r="LS42" s="18">
        <f>LS$38-LS$40</f>
        <v/>
      </c>
      <c r="LT42" s="18">
        <f>LT$38-LT$40</f>
        <v/>
      </c>
      <c r="LU42" s="18">
        <f>LU$38-LU$40</f>
        <v/>
      </c>
      <c r="LV42" s="18">
        <f>LV$38-LV$40</f>
        <v/>
      </c>
      <c r="LW42" s="18">
        <f>LW$38-LW$40</f>
        <v/>
      </c>
      <c r="LX42" s="18">
        <f>LX$38-LX$40</f>
        <v/>
      </c>
      <c r="LY42" s="18">
        <f>LY$38-LY$40</f>
        <v/>
      </c>
      <c r="LZ42" s="18">
        <f>LZ$38-LZ$40</f>
        <v/>
      </c>
      <c r="MA42" s="18">
        <f>MA$38-MA$40</f>
        <v/>
      </c>
      <c r="MB42" s="18">
        <f>MB$38-MB$40</f>
        <v/>
      </c>
      <c r="MC42" s="18">
        <f>MC$38-MC$40</f>
        <v/>
      </c>
      <c r="MD42" s="18">
        <f>MD$38-MD$40</f>
        <v/>
      </c>
      <c r="ME42" s="18">
        <f>ME$38-ME$40</f>
        <v/>
      </c>
      <c r="MF42" s="18">
        <f>MF$38-MF$40</f>
        <v/>
      </c>
      <c r="MG42" s="18">
        <f>MG$38-MG$40</f>
        <v/>
      </c>
      <c r="MH42" s="18">
        <f>MH$38-MH$40</f>
        <v/>
      </c>
      <c r="MI42" s="18">
        <f>MI$38-MI$40</f>
        <v/>
      </c>
      <c r="MJ42" s="18">
        <f>MJ$38-MJ$40</f>
        <v/>
      </c>
      <c r="MK42" s="18">
        <f>MK$38-MK$40</f>
        <v/>
      </c>
      <c r="ML42" s="18">
        <f>ML$38-ML$40</f>
        <v/>
      </c>
      <c r="MM42" s="18">
        <f>MM$38-MM$40</f>
        <v/>
      </c>
      <c r="MN42" s="18">
        <f>MN$38-MN$40</f>
        <v/>
      </c>
      <c r="MO42" s="18">
        <f>MO$38-MO$40</f>
        <v/>
      </c>
      <c r="MP42" s="18">
        <f>MP$38-MP$40</f>
        <v/>
      </c>
      <c r="MQ42" s="18">
        <f>MQ$38-MQ$40</f>
        <v/>
      </c>
      <c r="MR42" s="18">
        <f>MR$38-MR$40</f>
        <v/>
      </c>
      <c r="MS42" s="18">
        <f>MS$38-MS$40</f>
        <v/>
      </c>
      <c r="MT42" s="18">
        <f>MT$38-MT$40</f>
        <v/>
      </c>
      <c r="MU42" s="18">
        <f>MU$38-MU$40</f>
        <v/>
      </c>
      <c r="MV42" s="18">
        <f>MV$38-MV$40</f>
        <v/>
      </c>
      <c r="MW42" s="18">
        <f>MW$38-MW$40</f>
        <v/>
      </c>
      <c r="MX42" s="18">
        <f>MX$38-MX$40</f>
        <v/>
      </c>
      <c r="MY42" s="18">
        <f>MY$38-MY$40</f>
        <v/>
      </c>
      <c r="MZ42" s="18">
        <f>MZ$38-MZ$40</f>
        <v/>
      </c>
      <c r="NA42" s="18">
        <f>NA$38-NA$40</f>
        <v/>
      </c>
      <c r="NB42" s="18">
        <f>NB$38-NB$40</f>
        <v/>
      </c>
      <c r="NC42" s="18">
        <f>NC$38-NC$40</f>
        <v/>
      </c>
      <c r="ND42" s="18">
        <f>ND$38-ND$40</f>
        <v/>
      </c>
      <c r="NE42" s="18">
        <f>NE$38-NE$40</f>
        <v/>
      </c>
      <c r="NF42" s="18">
        <f>NF$38-NF$40</f>
        <v/>
      </c>
      <c r="NG42" s="18">
        <f>NG$38-NG$40</f>
        <v/>
      </c>
      <c r="NH42" s="18">
        <f>NH$38-NH$40</f>
        <v/>
      </c>
      <c r="NI42" s="18">
        <f>NI$38-NI$40</f>
        <v/>
      </c>
      <c r="NJ42" s="18">
        <f>NJ$38-NJ$40</f>
        <v/>
      </c>
      <c r="NK42" s="18">
        <f>NK$38-NK$40</f>
        <v/>
      </c>
    </row>
    <row r="43">
      <c r="A43" s="5" t="inlineStr">
        <is>
          <t>Cumulative Op CF (lease-up)</t>
        </is>
      </c>
      <c r="C43" s="43" t="n"/>
      <c r="D43" s="18">
        <f>IF(1&lt;DeliverStart,0,0+D$42)</f>
        <v/>
      </c>
      <c r="E43" s="18">
        <f>IF(2&lt;DeliverStart,0,D$43+E$42)</f>
        <v/>
      </c>
      <c r="F43" s="18">
        <f>IF(3&lt;DeliverStart,0,E$43+F$42)</f>
        <v/>
      </c>
      <c r="G43" s="18">
        <f>IF(4&lt;DeliverStart,0,F$43+G$42)</f>
        <v/>
      </c>
      <c r="H43" s="18">
        <f>IF(5&lt;DeliverStart,0,G$43+H$42)</f>
        <v/>
      </c>
      <c r="I43" s="18">
        <f>IF(6&lt;DeliverStart,0,H$43+I$42)</f>
        <v/>
      </c>
      <c r="J43" s="18">
        <f>IF(7&lt;DeliverStart,0,I$43+J$42)</f>
        <v/>
      </c>
      <c r="K43" s="18">
        <f>IF(8&lt;DeliverStart,0,J$43+K$42)</f>
        <v/>
      </c>
      <c r="L43" s="18">
        <f>IF(9&lt;DeliverStart,0,K$43+L$42)</f>
        <v/>
      </c>
      <c r="M43" s="18">
        <f>IF(10&lt;DeliverStart,0,L$43+M$42)</f>
        <v/>
      </c>
      <c r="N43" s="18">
        <f>IF(11&lt;DeliverStart,0,M$43+N$42)</f>
        <v/>
      </c>
      <c r="O43" s="18">
        <f>IF(12&lt;DeliverStart,0,N$43+O$42)</f>
        <v/>
      </c>
      <c r="P43" s="18">
        <f>IF(13&lt;DeliverStart,0,O$43+P$42)</f>
        <v/>
      </c>
      <c r="Q43" s="18">
        <f>IF(14&lt;DeliverStart,0,P$43+Q$42)</f>
        <v/>
      </c>
      <c r="R43" s="18">
        <f>IF(15&lt;DeliverStart,0,Q$43+R$42)</f>
        <v/>
      </c>
      <c r="S43" s="18">
        <f>IF(16&lt;DeliverStart,0,R$43+S$42)</f>
        <v/>
      </c>
      <c r="T43" s="18">
        <f>IF(17&lt;DeliverStart,0,S$43+T$42)</f>
        <v/>
      </c>
      <c r="U43" s="18">
        <f>IF(18&lt;DeliverStart,0,T$43+U$42)</f>
        <v/>
      </c>
      <c r="V43" s="18">
        <f>IF(19&lt;DeliverStart,0,U$43+V$42)</f>
        <v/>
      </c>
      <c r="W43" s="18">
        <f>IF(20&lt;DeliverStart,0,V$43+W$42)</f>
        <v/>
      </c>
      <c r="X43" s="18">
        <f>IF(21&lt;DeliverStart,0,W$43+X$42)</f>
        <v/>
      </c>
      <c r="Y43" s="18">
        <f>IF(22&lt;DeliverStart,0,X$43+Y$42)</f>
        <v/>
      </c>
      <c r="Z43" s="18">
        <f>IF(23&lt;DeliverStart,0,Y$43+Z$42)</f>
        <v/>
      </c>
      <c r="AA43" s="18">
        <f>IF(24&lt;DeliverStart,0,Z$43+AA$42)</f>
        <v/>
      </c>
      <c r="AB43" s="18">
        <f>IF(25&lt;DeliverStart,0,AA$43+AB$42)</f>
        <v/>
      </c>
      <c r="AC43" s="18">
        <f>IF(26&lt;DeliverStart,0,AB$43+AC$42)</f>
        <v/>
      </c>
      <c r="AD43" s="18">
        <f>IF(27&lt;DeliverStart,0,AC$43+AD$42)</f>
        <v/>
      </c>
      <c r="AE43" s="18">
        <f>IF(28&lt;DeliverStart,0,AD$43+AE$42)</f>
        <v/>
      </c>
      <c r="AF43" s="18">
        <f>IF(29&lt;DeliverStart,0,AE$43+AF$42)</f>
        <v/>
      </c>
      <c r="AG43" s="18">
        <f>IF(30&lt;DeliverStart,0,AF$43+AG$42)</f>
        <v/>
      </c>
      <c r="AH43" s="18">
        <f>IF(31&lt;DeliverStart,0,AG$43+AH$42)</f>
        <v/>
      </c>
      <c r="AI43" s="18">
        <f>IF(32&lt;DeliverStart,0,AH$43+AI$42)</f>
        <v/>
      </c>
      <c r="AJ43" s="18">
        <f>IF(33&lt;DeliverStart,0,AI$43+AJ$42)</f>
        <v/>
      </c>
      <c r="AK43" s="18">
        <f>IF(34&lt;DeliverStart,0,AJ$43+AK$42)</f>
        <v/>
      </c>
      <c r="AL43" s="18">
        <f>IF(35&lt;DeliverStart,0,AK$43+AL$42)</f>
        <v/>
      </c>
      <c r="AM43" s="18">
        <f>IF(36&lt;DeliverStart,0,AL$43+AM$42)</f>
        <v/>
      </c>
      <c r="AN43" s="18">
        <f>IF(37&lt;DeliverStart,0,AM$43+AN$42)</f>
        <v/>
      </c>
      <c r="AO43" s="18">
        <f>IF(38&lt;DeliverStart,0,AN$43+AO$42)</f>
        <v/>
      </c>
      <c r="AP43" s="18">
        <f>IF(39&lt;DeliverStart,0,AO$43+AP$42)</f>
        <v/>
      </c>
      <c r="AQ43" s="18">
        <f>IF(40&lt;DeliverStart,0,AP$43+AQ$42)</f>
        <v/>
      </c>
      <c r="AR43" s="18">
        <f>IF(41&lt;DeliverStart,0,AQ$43+AR$42)</f>
        <v/>
      </c>
      <c r="AS43" s="18">
        <f>IF(42&lt;DeliverStart,0,AR$43+AS$42)</f>
        <v/>
      </c>
      <c r="AT43" s="18">
        <f>IF(43&lt;DeliverStart,0,AS$43+AT$42)</f>
        <v/>
      </c>
      <c r="AU43" s="18">
        <f>IF(44&lt;DeliverStart,0,AT$43+AU$42)</f>
        <v/>
      </c>
      <c r="AV43" s="18">
        <f>IF(45&lt;DeliverStart,0,AU$43+AV$42)</f>
        <v/>
      </c>
      <c r="AW43" s="18">
        <f>IF(46&lt;DeliverStart,0,AV$43+AW$42)</f>
        <v/>
      </c>
      <c r="AX43" s="18">
        <f>IF(47&lt;DeliverStart,0,AW$43+AX$42)</f>
        <v/>
      </c>
      <c r="AY43" s="18">
        <f>IF(48&lt;DeliverStart,0,AX$43+AY$42)</f>
        <v/>
      </c>
      <c r="AZ43" s="18">
        <f>IF(49&lt;DeliverStart,0,AY$43+AZ$42)</f>
        <v/>
      </c>
      <c r="BA43" s="18">
        <f>IF(50&lt;DeliverStart,0,AZ$43+BA$42)</f>
        <v/>
      </c>
      <c r="BB43" s="18">
        <f>IF(51&lt;DeliverStart,0,BA$43+BB$42)</f>
        <v/>
      </c>
      <c r="BC43" s="18">
        <f>IF(52&lt;DeliverStart,0,BB$43+BC$42)</f>
        <v/>
      </c>
      <c r="BD43" s="18">
        <f>IF(53&lt;DeliverStart,0,BC$43+BD$42)</f>
        <v/>
      </c>
      <c r="BE43" s="18">
        <f>IF(54&lt;DeliverStart,0,BD$43+BE$42)</f>
        <v/>
      </c>
      <c r="BF43" s="18">
        <f>IF(55&lt;DeliverStart,0,BE$43+BF$42)</f>
        <v/>
      </c>
      <c r="BG43" s="18">
        <f>IF(56&lt;DeliverStart,0,BF$43+BG$42)</f>
        <v/>
      </c>
      <c r="BH43" s="18">
        <f>IF(57&lt;DeliverStart,0,BG$43+BH$42)</f>
        <v/>
      </c>
      <c r="BI43" s="18">
        <f>IF(58&lt;DeliverStart,0,BH$43+BI$42)</f>
        <v/>
      </c>
      <c r="BJ43" s="18">
        <f>IF(59&lt;DeliverStart,0,BI$43+BJ$42)</f>
        <v/>
      </c>
      <c r="BK43" s="18">
        <f>IF(60&lt;DeliverStart,0,BJ$43+BK$42)</f>
        <v/>
      </c>
      <c r="BL43" s="18">
        <f>IF(61&lt;DeliverStart,0,BK$43+BL$42)</f>
        <v/>
      </c>
      <c r="BM43" s="18">
        <f>IF(62&lt;DeliverStart,0,BL$43+BM$42)</f>
        <v/>
      </c>
      <c r="BN43" s="18">
        <f>IF(63&lt;DeliverStart,0,BM$43+BN$42)</f>
        <v/>
      </c>
      <c r="BO43" s="18">
        <f>IF(64&lt;DeliverStart,0,BN$43+BO$42)</f>
        <v/>
      </c>
      <c r="BP43" s="18">
        <f>IF(65&lt;DeliverStart,0,BO$43+BP$42)</f>
        <v/>
      </c>
      <c r="BQ43" s="18">
        <f>IF(66&lt;DeliverStart,0,BP$43+BQ$42)</f>
        <v/>
      </c>
      <c r="BR43" s="18">
        <f>IF(67&lt;DeliverStart,0,BQ$43+BR$42)</f>
        <v/>
      </c>
      <c r="BS43" s="18">
        <f>IF(68&lt;DeliverStart,0,BR$43+BS$42)</f>
        <v/>
      </c>
      <c r="BT43" s="18">
        <f>IF(69&lt;DeliverStart,0,BS$43+BT$42)</f>
        <v/>
      </c>
      <c r="BU43" s="18">
        <f>IF(70&lt;DeliverStart,0,BT$43+BU$42)</f>
        <v/>
      </c>
      <c r="BV43" s="18">
        <f>IF(71&lt;DeliverStart,0,BU$43+BV$42)</f>
        <v/>
      </c>
      <c r="BW43" s="18">
        <f>IF(72&lt;DeliverStart,0,BV$43+BW$42)</f>
        <v/>
      </c>
      <c r="BX43" s="18">
        <f>IF(73&lt;DeliverStart,0,BW$43+BX$42)</f>
        <v/>
      </c>
      <c r="BY43" s="18">
        <f>IF(74&lt;DeliverStart,0,BX$43+BY$42)</f>
        <v/>
      </c>
      <c r="BZ43" s="18">
        <f>IF(75&lt;DeliverStart,0,BY$43+BZ$42)</f>
        <v/>
      </c>
      <c r="CA43" s="18">
        <f>IF(76&lt;DeliverStart,0,BZ$43+CA$42)</f>
        <v/>
      </c>
      <c r="CB43" s="18">
        <f>IF(77&lt;DeliverStart,0,CA$43+CB$42)</f>
        <v/>
      </c>
      <c r="CC43" s="18">
        <f>IF(78&lt;DeliverStart,0,CB$43+CC$42)</f>
        <v/>
      </c>
      <c r="CD43" s="18">
        <f>IF(79&lt;DeliverStart,0,CC$43+CD$42)</f>
        <v/>
      </c>
      <c r="CE43" s="18">
        <f>IF(80&lt;DeliverStart,0,CD$43+CE$42)</f>
        <v/>
      </c>
      <c r="CF43" s="18">
        <f>IF(81&lt;DeliverStart,0,CE$43+CF$42)</f>
        <v/>
      </c>
      <c r="CG43" s="18">
        <f>IF(82&lt;DeliverStart,0,CF$43+CG$42)</f>
        <v/>
      </c>
      <c r="CH43" s="18">
        <f>IF(83&lt;DeliverStart,0,CG$43+CH$42)</f>
        <v/>
      </c>
      <c r="CI43" s="18">
        <f>IF(84&lt;DeliverStart,0,CH$43+CI$42)</f>
        <v/>
      </c>
      <c r="CJ43" s="18">
        <f>IF(85&lt;DeliverStart,0,CI$43+CJ$42)</f>
        <v/>
      </c>
      <c r="CK43" s="18">
        <f>IF(86&lt;DeliverStart,0,CJ$43+CK$42)</f>
        <v/>
      </c>
      <c r="CL43" s="18">
        <f>IF(87&lt;DeliverStart,0,CK$43+CL$42)</f>
        <v/>
      </c>
      <c r="CM43" s="18">
        <f>IF(88&lt;DeliverStart,0,CL$43+CM$42)</f>
        <v/>
      </c>
      <c r="CN43" s="18">
        <f>IF(89&lt;DeliverStart,0,CM$43+CN$42)</f>
        <v/>
      </c>
      <c r="CO43" s="18">
        <f>IF(90&lt;DeliverStart,0,CN$43+CO$42)</f>
        <v/>
      </c>
      <c r="CP43" s="18">
        <f>IF(91&lt;DeliverStart,0,CO$43+CP$42)</f>
        <v/>
      </c>
      <c r="CQ43" s="18">
        <f>IF(92&lt;DeliverStart,0,CP$43+CQ$42)</f>
        <v/>
      </c>
      <c r="CR43" s="18">
        <f>IF(93&lt;DeliverStart,0,CQ$43+CR$42)</f>
        <v/>
      </c>
      <c r="CS43" s="18">
        <f>IF(94&lt;DeliverStart,0,CR$43+CS$42)</f>
        <v/>
      </c>
      <c r="CT43" s="18">
        <f>IF(95&lt;DeliverStart,0,CS$43+CT$42)</f>
        <v/>
      </c>
      <c r="CU43" s="18">
        <f>IF(96&lt;DeliverStart,0,CT$43+CU$42)</f>
        <v/>
      </c>
      <c r="CV43" s="18">
        <f>IF(97&lt;DeliverStart,0,CU$43+CV$42)</f>
        <v/>
      </c>
      <c r="CW43" s="18">
        <f>IF(98&lt;DeliverStart,0,CV$43+CW$42)</f>
        <v/>
      </c>
      <c r="CX43" s="18">
        <f>IF(99&lt;DeliverStart,0,CW$43+CX$42)</f>
        <v/>
      </c>
      <c r="CY43" s="18">
        <f>IF(100&lt;DeliverStart,0,CX$43+CY$42)</f>
        <v/>
      </c>
      <c r="CZ43" s="18">
        <f>IF(101&lt;DeliverStart,0,CY$43+CZ$42)</f>
        <v/>
      </c>
      <c r="DA43" s="18">
        <f>IF(102&lt;DeliverStart,0,CZ$43+DA$42)</f>
        <v/>
      </c>
      <c r="DB43" s="18">
        <f>IF(103&lt;DeliverStart,0,DA$43+DB$42)</f>
        <v/>
      </c>
      <c r="DC43" s="18">
        <f>IF(104&lt;DeliverStart,0,DB$43+DC$42)</f>
        <v/>
      </c>
      <c r="DD43" s="18">
        <f>IF(105&lt;DeliverStart,0,DC$43+DD$42)</f>
        <v/>
      </c>
      <c r="DE43" s="18">
        <f>IF(106&lt;DeliverStart,0,DD$43+DE$42)</f>
        <v/>
      </c>
      <c r="DF43" s="18">
        <f>IF(107&lt;DeliverStart,0,DE$43+DF$42)</f>
        <v/>
      </c>
      <c r="DG43" s="18">
        <f>IF(108&lt;DeliverStart,0,DF$43+DG$42)</f>
        <v/>
      </c>
      <c r="DH43" s="18">
        <f>IF(109&lt;DeliverStart,0,DG$43+DH$42)</f>
        <v/>
      </c>
      <c r="DI43" s="18">
        <f>IF(110&lt;DeliverStart,0,DH$43+DI$42)</f>
        <v/>
      </c>
      <c r="DJ43" s="18">
        <f>IF(111&lt;DeliverStart,0,DI$43+DJ$42)</f>
        <v/>
      </c>
      <c r="DK43" s="18">
        <f>IF(112&lt;DeliverStart,0,DJ$43+DK$42)</f>
        <v/>
      </c>
      <c r="DL43" s="18">
        <f>IF(113&lt;DeliverStart,0,DK$43+DL$42)</f>
        <v/>
      </c>
      <c r="DM43" s="18">
        <f>IF(114&lt;DeliverStart,0,DL$43+DM$42)</f>
        <v/>
      </c>
      <c r="DN43" s="18">
        <f>IF(115&lt;DeliverStart,0,DM$43+DN$42)</f>
        <v/>
      </c>
      <c r="DO43" s="18">
        <f>IF(116&lt;DeliverStart,0,DN$43+DO$42)</f>
        <v/>
      </c>
      <c r="DP43" s="18">
        <f>IF(117&lt;DeliverStart,0,DO$43+DP$42)</f>
        <v/>
      </c>
      <c r="DQ43" s="18">
        <f>IF(118&lt;DeliverStart,0,DP$43+DQ$42)</f>
        <v/>
      </c>
      <c r="DR43" s="18">
        <f>IF(119&lt;DeliverStart,0,DQ$43+DR$42)</f>
        <v/>
      </c>
      <c r="DS43" s="18">
        <f>IF(120&lt;DeliverStart,0,DR$43+DS$42)</f>
        <v/>
      </c>
      <c r="DT43" s="18">
        <f>IF(121&lt;DeliverStart,0,DS$43+DT$42)</f>
        <v/>
      </c>
      <c r="DU43" s="18">
        <f>IF(122&lt;DeliverStart,0,DT$43+DU$42)</f>
        <v/>
      </c>
      <c r="DV43" s="18">
        <f>IF(123&lt;DeliverStart,0,DU$43+DV$42)</f>
        <v/>
      </c>
      <c r="DW43" s="18">
        <f>IF(124&lt;DeliverStart,0,DV$43+DW$42)</f>
        <v/>
      </c>
      <c r="DX43" s="18">
        <f>IF(125&lt;DeliverStart,0,DW$43+DX$42)</f>
        <v/>
      </c>
      <c r="DY43" s="18">
        <f>IF(126&lt;DeliverStart,0,DX$43+DY$42)</f>
        <v/>
      </c>
      <c r="DZ43" s="18">
        <f>IF(127&lt;DeliverStart,0,DY$43+DZ$42)</f>
        <v/>
      </c>
      <c r="EA43" s="18">
        <f>IF(128&lt;DeliverStart,0,DZ$43+EA$42)</f>
        <v/>
      </c>
      <c r="EB43" s="18">
        <f>IF(129&lt;DeliverStart,0,EA$43+EB$42)</f>
        <v/>
      </c>
      <c r="EC43" s="18">
        <f>IF(130&lt;DeliverStart,0,EB$43+EC$42)</f>
        <v/>
      </c>
      <c r="ED43" s="18">
        <f>IF(131&lt;DeliverStart,0,EC$43+ED$42)</f>
        <v/>
      </c>
      <c r="EE43" s="18">
        <f>IF(132&lt;DeliverStart,0,ED$43+EE$42)</f>
        <v/>
      </c>
      <c r="EF43" s="18">
        <f>IF(133&lt;DeliverStart,0,EE$43+EF$42)</f>
        <v/>
      </c>
      <c r="EG43" s="18">
        <f>IF(134&lt;DeliverStart,0,EF$43+EG$42)</f>
        <v/>
      </c>
      <c r="EH43" s="18">
        <f>IF(135&lt;DeliverStart,0,EG$43+EH$42)</f>
        <v/>
      </c>
      <c r="EI43" s="18">
        <f>IF(136&lt;DeliverStart,0,EH$43+EI$42)</f>
        <v/>
      </c>
      <c r="EJ43" s="18">
        <f>IF(137&lt;DeliverStart,0,EI$43+EJ$42)</f>
        <v/>
      </c>
      <c r="EK43" s="18">
        <f>IF(138&lt;DeliverStart,0,EJ$43+EK$42)</f>
        <v/>
      </c>
      <c r="EL43" s="18">
        <f>IF(139&lt;DeliverStart,0,EK$43+EL$42)</f>
        <v/>
      </c>
      <c r="EM43" s="18">
        <f>IF(140&lt;DeliverStart,0,EL$43+EM$42)</f>
        <v/>
      </c>
      <c r="EN43" s="18">
        <f>IF(141&lt;DeliverStart,0,EM$43+EN$42)</f>
        <v/>
      </c>
      <c r="EO43" s="18">
        <f>IF(142&lt;DeliverStart,0,EN$43+EO$42)</f>
        <v/>
      </c>
      <c r="EP43" s="18">
        <f>IF(143&lt;DeliverStart,0,EO$43+EP$42)</f>
        <v/>
      </c>
      <c r="EQ43" s="18">
        <f>IF(144&lt;DeliverStart,0,EP$43+EQ$42)</f>
        <v/>
      </c>
      <c r="ER43" s="18">
        <f>IF(145&lt;DeliverStart,0,EQ$43+ER$42)</f>
        <v/>
      </c>
      <c r="ES43" s="18">
        <f>IF(146&lt;DeliverStart,0,ER$43+ES$42)</f>
        <v/>
      </c>
      <c r="ET43" s="18">
        <f>IF(147&lt;DeliverStart,0,ES$43+ET$42)</f>
        <v/>
      </c>
      <c r="EU43" s="18">
        <f>IF(148&lt;DeliverStart,0,ET$43+EU$42)</f>
        <v/>
      </c>
      <c r="EV43" s="18">
        <f>IF(149&lt;DeliverStart,0,EU$43+EV$42)</f>
        <v/>
      </c>
      <c r="EW43" s="18">
        <f>IF(150&lt;DeliverStart,0,EV$43+EW$42)</f>
        <v/>
      </c>
      <c r="EX43" s="18">
        <f>IF(151&lt;DeliverStart,0,EW$43+EX$42)</f>
        <v/>
      </c>
      <c r="EY43" s="18">
        <f>IF(152&lt;DeliverStart,0,EX$43+EY$42)</f>
        <v/>
      </c>
      <c r="EZ43" s="18">
        <f>IF(153&lt;DeliverStart,0,EY$43+EZ$42)</f>
        <v/>
      </c>
      <c r="FA43" s="18">
        <f>IF(154&lt;DeliverStart,0,EZ$43+FA$42)</f>
        <v/>
      </c>
      <c r="FB43" s="18">
        <f>IF(155&lt;DeliverStart,0,FA$43+FB$42)</f>
        <v/>
      </c>
      <c r="FC43" s="18">
        <f>IF(156&lt;DeliverStart,0,FB$43+FC$42)</f>
        <v/>
      </c>
      <c r="FD43" s="18">
        <f>IF(157&lt;DeliverStart,0,FC$43+FD$42)</f>
        <v/>
      </c>
      <c r="FE43" s="18">
        <f>IF(158&lt;DeliverStart,0,FD$43+FE$42)</f>
        <v/>
      </c>
      <c r="FF43" s="18">
        <f>IF(159&lt;DeliverStart,0,FE$43+FF$42)</f>
        <v/>
      </c>
      <c r="FG43" s="18">
        <f>IF(160&lt;DeliverStart,0,FF$43+FG$42)</f>
        <v/>
      </c>
      <c r="FH43" s="18">
        <f>IF(161&lt;DeliverStart,0,FG$43+FH$42)</f>
        <v/>
      </c>
      <c r="FI43" s="18">
        <f>IF(162&lt;DeliverStart,0,FH$43+FI$42)</f>
        <v/>
      </c>
      <c r="FJ43" s="18">
        <f>IF(163&lt;DeliverStart,0,FI$43+FJ$42)</f>
        <v/>
      </c>
      <c r="FK43" s="18">
        <f>IF(164&lt;DeliverStart,0,FJ$43+FK$42)</f>
        <v/>
      </c>
      <c r="FL43" s="18">
        <f>IF(165&lt;DeliverStart,0,FK$43+FL$42)</f>
        <v/>
      </c>
      <c r="FM43" s="18">
        <f>IF(166&lt;DeliverStart,0,FL$43+FM$42)</f>
        <v/>
      </c>
      <c r="FN43" s="18">
        <f>IF(167&lt;DeliverStart,0,FM$43+FN$42)</f>
        <v/>
      </c>
      <c r="FO43" s="18">
        <f>IF(168&lt;DeliverStart,0,FN$43+FO$42)</f>
        <v/>
      </c>
      <c r="FP43" s="18">
        <f>IF(169&lt;DeliverStart,0,FO$43+FP$42)</f>
        <v/>
      </c>
      <c r="FQ43" s="18">
        <f>IF(170&lt;DeliverStart,0,FP$43+FQ$42)</f>
        <v/>
      </c>
      <c r="FR43" s="18">
        <f>IF(171&lt;DeliverStart,0,FQ$43+FR$42)</f>
        <v/>
      </c>
      <c r="FS43" s="18">
        <f>IF(172&lt;DeliverStart,0,FR$43+FS$42)</f>
        <v/>
      </c>
      <c r="FT43" s="18">
        <f>IF(173&lt;DeliverStart,0,FS$43+FT$42)</f>
        <v/>
      </c>
      <c r="FU43" s="18">
        <f>IF(174&lt;DeliverStart,0,FT$43+FU$42)</f>
        <v/>
      </c>
      <c r="FV43" s="18">
        <f>IF(175&lt;DeliverStart,0,FU$43+FV$42)</f>
        <v/>
      </c>
      <c r="FW43" s="18">
        <f>IF(176&lt;DeliverStart,0,FV$43+FW$42)</f>
        <v/>
      </c>
      <c r="FX43" s="18">
        <f>IF(177&lt;DeliverStart,0,FW$43+FX$42)</f>
        <v/>
      </c>
      <c r="FY43" s="18">
        <f>IF(178&lt;DeliverStart,0,FX$43+FY$42)</f>
        <v/>
      </c>
      <c r="FZ43" s="18">
        <f>IF(179&lt;DeliverStart,0,FY$43+FZ$42)</f>
        <v/>
      </c>
      <c r="GA43" s="18">
        <f>IF(180&lt;DeliverStart,0,FZ$43+GA$42)</f>
        <v/>
      </c>
      <c r="GB43" s="18">
        <f>IF(181&lt;DeliverStart,0,GA$43+GB$42)</f>
        <v/>
      </c>
      <c r="GC43" s="18">
        <f>IF(182&lt;DeliverStart,0,GB$43+GC$42)</f>
        <v/>
      </c>
      <c r="GD43" s="18">
        <f>IF(183&lt;DeliverStart,0,GC$43+GD$42)</f>
        <v/>
      </c>
      <c r="GE43" s="18">
        <f>IF(184&lt;DeliverStart,0,GD$43+GE$42)</f>
        <v/>
      </c>
      <c r="GF43" s="18">
        <f>IF(185&lt;DeliverStart,0,GE$43+GF$42)</f>
        <v/>
      </c>
      <c r="GG43" s="18">
        <f>IF(186&lt;DeliverStart,0,GF$43+GG$42)</f>
        <v/>
      </c>
      <c r="GH43" s="18">
        <f>IF(187&lt;DeliverStart,0,GG$43+GH$42)</f>
        <v/>
      </c>
      <c r="GI43" s="18">
        <f>IF(188&lt;DeliverStart,0,GH$43+GI$42)</f>
        <v/>
      </c>
      <c r="GJ43" s="18">
        <f>IF(189&lt;DeliverStart,0,GI$43+GJ$42)</f>
        <v/>
      </c>
      <c r="GK43" s="18">
        <f>IF(190&lt;DeliverStart,0,GJ$43+GK$42)</f>
        <v/>
      </c>
      <c r="GL43" s="18">
        <f>IF(191&lt;DeliverStart,0,GK$43+GL$42)</f>
        <v/>
      </c>
      <c r="GM43" s="18">
        <f>IF(192&lt;DeliverStart,0,GL$43+GM$42)</f>
        <v/>
      </c>
      <c r="GN43" s="18">
        <f>IF(193&lt;DeliverStart,0,GM$43+GN$42)</f>
        <v/>
      </c>
      <c r="GO43" s="18">
        <f>IF(194&lt;DeliverStart,0,GN$43+GO$42)</f>
        <v/>
      </c>
      <c r="GP43" s="18">
        <f>IF(195&lt;DeliverStart,0,GO$43+GP$42)</f>
        <v/>
      </c>
      <c r="GQ43" s="18">
        <f>IF(196&lt;DeliverStart,0,GP$43+GQ$42)</f>
        <v/>
      </c>
      <c r="GR43" s="18">
        <f>IF(197&lt;DeliverStart,0,GQ$43+GR$42)</f>
        <v/>
      </c>
      <c r="GS43" s="18">
        <f>IF(198&lt;DeliverStart,0,GR$43+GS$42)</f>
        <v/>
      </c>
      <c r="GT43" s="18">
        <f>IF(199&lt;DeliverStart,0,GS$43+GT$42)</f>
        <v/>
      </c>
      <c r="GU43" s="18">
        <f>IF(200&lt;DeliverStart,0,GT$43+GU$42)</f>
        <v/>
      </c>
      <c r="GV43" s="18">
        <f>IF(201&lt;DeliverStart,0,GU$43+GV$42)</f>
        <v/>
      </c>
      <c r="GW43" s="18">
        <f>IF(202&lt;DeliverStart,0,GV$43+GW$42)</f>
        <v/>
      </c>
      <c r="GX43" s="18">
        <f>IF(203&lt;DeliverStart,0,GW$43+GX$42)</f>
        <v/>
      </c>
      <c r="GY43" s="18">
        <f>IF(204&lt;DeliverStart,0,GX$43+GY$42)</f>
        <v/>
      </c>
      <c r="GZ43" s="18">
        <f>IF(205&lt;DeliverStart,0,GY$43+GZ$42)</f>
        <v/>
      </c>
      <c r="HA43" s="18">
        <f>IF(206&lt;DeliverStart,0,GZ$43+HA$42)</f>
        <v/>
      </c>
      <c r="HB43" s="18">
        <f>IF(207&lt;DeliverStart,0,HA$43+HB$42)</f>
        <v/>
      </c>
      <c r="HC43" s="18">
        <f>IF(208&lt;DeliverStart,0,HB$43+HC$42)</f>
        <v/>
      </c>
      <c r="HD43" s="18">
        <f>IF(209&lt;DeliverStart,0,HC$43+HD$42)</f>
        <v/>
      </c>
      <c r="HE43" s="18">
        <f>IF(210&lt;DeliverStart,0,HD$43+HE$42)</f>
        <v/>
      </c>
      <c r="HF43" s="18">
        <f>IF(211&lt;DeliverStart,0,HE$43+HF$42)</f>
        <v/>
      </c>
      <c r="HG43" s="18">
        <f>IF(212&lt;DeliverStart,0,HF$43+HG$42)</f>
        <v/>
      </c>
      <c r="HH43" s="18">
        <f>IF(213&lt;DeliverStart,0,HG$43+HH$42)</f>
        <v/>
      </c>
      <c r="HI43" s="18">
        <f>IF(214&lt;DeliverStart,0,HH$43+HI$42)</f>
        <v/>
      </c>
      <c r="HJ43" s="18">
        <f>IF(215&lt;DeliverStart,0,HI$43+HJ$42)</f>
        <v/>
      </c>
      <c r="HK43" s="18">
        <f>IF(216&lt;DeliverStart,0,HJ$43+HK$42)</f>
        <v/>
      </c>
      <c r="HL43" s="18">
        <f>IF(217&lt;DeliverStart,0,HK$43+HL$42)</f>
        <v/>
      </c>
      <c r="HM43" s="18">
        <f>IF(218&lt;DeliverStart,0,HL$43+HM$42)</f>
        <v/>
      </c>
      <c r="HN43" s="18">
        <f>IF(219&lt;DeliverStart,0,HM$43+HN$42)</f>
        <v/>
      </c>
      <c r="HO43" s="18">
        <f>IF(220&lt;DeliverStart,0,HN$43+HO$42)</f>
        <v/>
      </c>
      <c r="HP43" s="18">
        <f>IF(221&lt;DeliverStart,0,HO$43+HP$42)</f>
        <v/>
      </c>
      <c r="HQ43" s="18">
        <f>IF(222&lt;DeliverStart,0,HP$43+HQ$42)</f>
        <v/>
      </c>
      <c r="HR43" s="18">
        <f>IF(223&lt;DeliverStart,0,HQ$43+HR$42)</f>
        <v/>
      </c>
      <c r="HS43" s="18">
        <f>IF(224&lt;DeliverStart,0,HR$43+HS$42)</f>
        <v/>
      </c>
      <c r="HT43" s="18">
        <f>IF(225&lt;DeliverStart,0,HS$43+HT$42)</f>
        <v/>
      </c>
      <c r="HU43" s="18">
        <f>IF(226&lt;DeliverStart,0,HT$43+HU$42)</f>
        <v/>
      </c>
      <c r="HV43" s="18">
        <f>IF(227&lt;DeliverStart,0,HU$43+HV$42)</f>
        <v/>
      </c>
      <c r="HW43" s="18">
        <f>IF(228&lt;DeliverStart,0,HV$43+HW$42)</f>
        <v/>
      </c>
      <c r="HX43" s="18">
        <f>IF(229&lt;DeliverStart,0,HW$43+HX$42)</f>
        <v/>
      </c>
      <c r="HY43" s="18">
        <f>IF(230&lt;DeliverStart,0,HX$43+HY$42)</f>
        <v/>
      </c>
      <c r="HZ43" s="18">
        <f>IF(231&lt;DeliverStart,0,HY$43+HZ$42)</f>
        <v/>
      </c>
      <c r="IA43" s="18">
        <f>IF(232&lt;DeliverStart,0,HZ$43+IA$42)</f>
        <v/>
      </c>
      <c r="IB43" s="18">
        <f>IF(233&lt;DeliverStart,0,IA$43+IB$42)</f>
        <v/>
      </c>
      <c r="IC43" s="18">
        <f>IF(234&lt;DeliverStart,0,IB$43+IC$42)</f>
        <v/>
      </c>
      <c r="ID43" s="18">
        <f>IF(235&lt;DeliverStart,0,IC$43+ID$42)</f>
        <v/>
      </c>
      <c r="IE43" s="18">
        <f>IF(236&lt;DeliverStart,0,ID$43+IE$42)</f>
        <v/>
      </c>
      <c r="IF43" s="18">
        <f>IF(237&lt;DeliverStart,0,IE$43+IF$42)</f>
        <v/>
      </c>
      <c r="IG43" s="18">
        <f>IF(238&lt;DeliverStart,0,IF$43+IG$42)</f>
        <v/>
      </c>
      <c r="IH43" s="18">
        <f>IF(239&lt;DeliverStart,0,IG$43+IH$42)</f>
        <v/>
      </c>
      <c r="II43" s="18">
        <f>IF(240&lt;DeliverStart,0,IH$43+II$42)</f>
        <v/>
      </c>
      <c r="IJ43" s="18">
        <f>IF(241&lt;DeliverStart,0,II$43+IJ$42)</f>
        <v/>
      </c>
      <c r="IK43" s="18">
        <f>IF(242&lt;DeliverStart,0,IJ$43+IK$42)</f>
        <v/>
      </c>
      <c r="IL43" s="18">
        <f>IF(243&lt;DeliverStart,0,IK$43+IL$42)</f>
        <v/>
      </c>
      <c r="IM43" s="18">
        <f>IF(244&lt;DeliverStart,0,IL$43+IM$42)</f>
        <v/>
      </c>
      <c r="IN43" s="18">
        <f>IF(245&lt;DeliverStart,0,IM$43+IN$42)</f>
        <v/>
      </c>
      <c r="IO43" s="18">
        <f>IF(246&lt;DeliverStart,0,IN$43+IO$42)</f>
        <v/>
      </c>
      <c r="IP43" s="18">
        <f>IF(247&lt;DeliverStart,0,IO$43+IP$42)</f>
        <v/>
      </c>
      <c r="IQ43" s="18">
        <f>IF(248&lt;DeliverStart,0,IP$43+IQ$42)</f>
        <v/>
      </c>
      <c r="IR43" s="18">
        <f>IF(249&lt;DeliverStart,0,IQ$43+IR$42)</f>
        <v/>
      </c>
      <c r="IS43" s="18">
        <f>IF(250&lt;DeliverStart,0,IR$43+IS$42)</f>
        <v/>
      </c>
      <c r="IT43" s="18">
        <f>IF(251&lt;DeliverStart,0,IS$43+IT$42)</f>
        <v/>
      </c>
      <c r="IU43" s="18">
        <f>IF(252&lt;DeliverStart,0,IT$43+IU$42)</f>
        <v/>
      </c>
      <c r="IV43" s="18">
        <f>IF(253&lt;DeliverStart,0,IU$43+IV$42)</f>
        <v/>
      </c>
      <c r="IW43" s="18">
        <f>IF(254&lt;DeliverStart,0,IV$43+IW$42)</f>
        <v/>
      </c>
      <c r="IX43" s="18">
        <f>IF(255&lt;DeliverStart,0,IW$43+IX$42)</f>
        <v/>
      </c>
      <c r="IY43" s="18">
        <f>IF(256&lt;DeliverStart,0,IX$43+IY$42)</f>
        <v/>
      </c>
      <c r="IZ43" s="18">
        <f>IF(257&lt;DeliverStart,0,IY$43+IZ$42)</f>
        <v/>
      </c>
      <c r="JA43" s="18">
        <f>IF(258&lt;DeliverStart,0,IZ$43+JA$42)</f>
        <v/>
      </c>
      <c r="JB43" s="18">
        <f>IF(259&lt;DeliverStart,0,JA$43+JB$42)</f>
        <v/>
      </c>
      <c r="JC43" s="18">
        <f>IF(260&lt;DeliverStart,0,JB$43+JC$42)</f>
        <v/>
      </c>
      <c r="JD43" s="18">
        <f>IF(261&lt;DeliverStart,0,JC$43+JD$42)</f>
        <v/>
      </c>
      <c r="JE43" s="18">
        <f>IF(262&lt;DeliverStart,0,JD$43+JE$42)</f>
        <v/>
      </c>
      <c r="JF43" s="18">
        <f>IF(263&lt;DeliverStart,0,JE$43+JF$42)</f>
        <v/>
      </c>
      <c r="JG43" s="18">
        <f>IF(264&lt;DeliverStart,0,JF$43+JG$42)</f>
        <v/>
      </c>
      <c r="JH43" s="18">
        <f>IF(265&lt;DeliverStart,0,JG$43+JH$42)</f>
        <v/>
      </c>
      <c r="JI43" s="18">
        <f>IF(266&lt;DeliverStart,0,JH$43+JI$42)</f>
        <v/>
      </c>
      <c r="JJ43" s="18">
        <f>IF(267&lt;DeliverStart,0,JI$43+JJ$42)</f>
        <v/>
      </c>
      <c r="JK43" s="18">
        <f>IF(268&lt;DeliverStart,0,JJ$43+JK$42)</f>
        <v/>
      </c>
      <c r="JL43" s="18">
        <f>IF(269&lt;DeliverStart,0,JK$43+JL$42)</f>
        <v/>
      </c>
      <c r="JM43" s="18">
        <f>IF(270&lt;DeliverStart,0,JL$43+JM$42)</f>
        <v/>
      </c>
      <c r="JN43" s="18">
        <f>IF(271&lt;DeliverStart,0,JM$43+JN$42)</f>
        <v/>
      </c>
      <c r="JO43" s="18">
        <f>IF(272&lt;DeliverStart,0,JN$43+JO$42)</f>
        <v/>
      </c>
      <c r="JP43" s="18">
        <f>IF(273&lt;DeliverStart,0,JO$43+JP$42)</f>
        <v/>
      </c>
      <c r="JQ43" s="18">
        <f>IF(274&lt;DeliverStart,0,JP$43+JQ$42)</f>
        <v/>
      </c>
      <c r="JR43" s="18">
        <f>IF(275&lt;DeliverStart,0,JQ$43+JR$42)</f>
        <v/>
      </c>
      <c r="JS43" s="18">
        <f>IF(276&lt;DeliverStart,0,JR$43+JS$42)</f>
        <v/>
      </c>
      <c r="JT43" s="18">
        <f>IF(277&lt;DeliverStart,0,JS$43+JT$42)</f>
        <v/>
      </c>
      <c r="JU43" s="18">
        <f>IF(278&lt;DeliverStart,0,JT$43+JU$42)</f>
        <v/>
      </c>
      <c r="JV43" s="18">
        <f>IF(279&lt;DeliverStart,0,JU$43+JV$42)</f>
        <v/>
      </c>
      <c r="JW43" s="18">
        <f>IF(280&lt;DeliverStart,0,JV$43+JW$42)</f>
        <v/>
      </c>
      <c r="JX43" s="18">
        <f>IF(281&lt;DeliverStart,0,JW$43+JX$42)</f>
        <v/>
      </c>
      <c r="JY43" s="18">
        <f>IF(282&lt;DeliverStart,0,JX$43+JY$42)</f>
        <v/>
      </c>
      <c r="JZ43" s="18">
        <f>IF(283&lt;DeliverStart,0,JY$43+JZ$42)</f>
        <v/>
      </c>
      <c r="KA43" s="18">
        <f>IF(284&lt;DeliverStart,0,JZ$43+KA$42)</f>
        <v/>
      </c>
      <c r="KB43" s="18">
        <f>IF(285&lt;DeliverStart,0,KA$43+KB$42)</f>
        <v/>
      </c>
      <c r="KC43" s="18">
        <f>IF(286&lt;DeliverStart,0,KB$43+KC$42)</f>
        <v/>
      </c>
      <c r="KD43" s="18">
        <f>IF(287&lt;DeliverStart,0,KC$43+KD$42)</f>
        <v/>
      </c>
      <c r="KE43" s="18">
        <f>IF(288&lt;DeliverStart,0,KD$43+KE$42)</f>
        <v/>
      </c>
      <c r="KF43" s="18">
        <f>IF(289&lt;DeliverStart,0,KE$43+KF$42)</f>
        <v/>
      </c>
      <c r="KG43" s="18">
        <f>IF(290&lt;DeliverStart,0,KF$43+KG$42)</f>
        <v/>
      </c>
      <c r="KH43" s="18">
        <f>IF(291&lt;DeliverStart,0,KG$43+KH$42)</f>
        <v/>
      </c>
      <c r="KI43" s="18">
        <f>IF(292&lt;DeliverStart,0,KH$43+KI$42)</f>
        <v/>
      </c>
      <c r="KJ43" s="18">
        <f>IF(293&lt;DeliverStart,0,KI$43+KJ$42)</f>
        <v/>
      </c>
      <c r="KK43" s="18">
        <f>IF(294&lt;DeliverStart,0,KJ$43+KK$42)</f>
        <v/>
      </c>
      <c r="KL43" s="18">
        <f>IF(295&lt;DeliverStart,0,KK$43+KL$42)</f>
        <v/>
      </c>
      <c r="KM43" s="18">
        <f>IF(296&lt;DeliverStart,0,KL$43+KM$42)</f>
        <v/>
      </c>
      <c r="KN43" s="18">
        <f>IF(297&lt;DeliverStart,0,KM$43+KN$42)</f>
        <v/>
      </c>
      <c r="KO43" s="18">
        <f>IF(298&lt;DeliverStart,0,KN$43+KO$42)</f>
        <v/>
      </c>
      <c r="KP43" s="18">
        <f>IF(299&lt;DeliverStart,0,KO$43+KP$42)</f>
        <v/>
      </c>
      <c r="KQ43" s="18">
        <f>IF(300&lt;DeliverStart,0,KP$43+KQ$42)</f>
        <v/>
      </c>
      <c r="KR43" s="18">
        <f>IF(301&lt;DeliverStart,0,KQ$43+KR$42)</f>
        <v/>
      </c>
      <c r="KS43" s="18">
        <f>IF(302&lt;DeliverStart,0,KR$43+KS$42)</f>
        <v/>
      </c>
      <c r="KT43" s="18">
        <f>IF(303&lt;DeliverStart,0,KS$43+KT$42)</f>
        <v/>
      </c>
      <c r="KU43" s="18">
        <f>IF(304&lt;DeliverStart,0,KT$43+KU$42)</f>
        <v/>
      </c>
      <c r="KV43" s="18">
        <f>IF(305&lt;DeliverStart,0,KU$43+KV$42)</f>
        <v/>
      </c>
      <c r="KW43" s="18">
        <f>IF(306&lt;DeliverStart,0,KV$43+KW$42)</f>
        <v/>
      </c>
      <c r="KX43" s="18">
        <f>IF(307&lt;DeliverStart,0,KW$43+KX$42)</f>
        <v/>
      </c>
      <c r="KY43" s="18">
        <f>IF(308&lt;DeliverStart,0,KX$43+KY$42)</f>
        <v/>
      </c>
      <c r="KZ43" s="18">
        <f>IF(309&lt;DeliverStart,0,KY$43+KZ$42)</f>
        <v/>
      </c>
      <c r="LA43" s="18">
        <f>IF(310&lt;DeliverStart,0,KZ$43+LA$42)</f>
        <v/>
      </c>
      <c r="LB43" s="18">
        <f>IF(311&lt;DeliverStart,0,LA$43+LB$42)</f>
        <v/>
      </c>
      <c r="LC43" s="18">
        <f>IF(312&lt;DeliverStart,0,LB$43+LC$42)</f>
        <v/>
      </c>
      <c r="LD43" s="18">
        <f>IF(313&lt;DeliverStart,0,LC$43+LD$42)</f>
        <v/>
      </c>
      <c r="LE43" s="18">
        <f>IF(314&lt;DeliverStart,0,LD$43+LE$42)</f>
        <v/>
      </c>
      <c r="LF43" s="18">
        <f>IF(315&lt;DeliverStart,0,LE$43+LF$42)</f>
        <v/>
      </c>
      <c r="LG43" s="18">
        <f>IF(316&lt;DeliverStart,0,LF$43+LG$42)</f>
        <v/>
      </c>
      <c r="LH43" s="18">
        <f>IF(317&lt;DeliverStart,0,LG$43+LH$42)</f>
        <v/>
      </c>
      <c r="LI43" s="18">
        <f>IF(318&lt;DeliverStart,0,LH$43+LI$42)</f>
        <v/>
      </c>
      <c r="LJ43" s="18">
        <f>IF(319&lt;DeliverStart,0,LI$43+LJ$42)</f>
        <v/>
      </c>
      <c r="LK43" s="18">
        <f>IF(320&lt;DeliverStart,0,LJ$43+LK$42)</f>
        <v/>
      </c>
      <c r="LL43" s="18">
        <f>IF(321&lt;DeliverStart,0,LK$43+LL$42)</f>
        <v/>
      </c>
      <c r="LM43" s="18">
        <f>IF(322&lt;DeliverStart,0,LL$43+LM$42)</f>
        <v/>
      </c>
      <c r="LN43" s="18">
        <f>IF(323&lt;DeliverStart,0,LM$43+LN$42)</f>
        <v/>
      </c>
      <c r="LO43" s="18">
        <f>IF(324&lt;DeliverStart,0,LN$43+LO$42)</f>
        <v/>
      </c>
      <c r="LP43" s="18">
        <f>IF(325&lt;DeliverStart,0,LO$43+LP$42)</f>
        <v/>
      </c>
      <c r="LQ43" s="18">
        <f>IF(326&lt;DeliverStart,0,LP$43+LQ$42)</f>
        <v/>
      </c>
      <c r="LR43" s="18">
        <f>IF(327&lt;DeliverStart,0,LQ$43+LR$42)</f>
        <v/>
      </c>
      <c r="LS43" s="18">
        <f>IF(328&lt;DeliverStart,0,LR$43+LS$42)</f>
        <v/>
      </c>
      <c r="LT43" s="18">
        <f>IF(329&lt;DeliverStart,0,LS$43+LT$42)</f>
        <v/>
      </c>
      <c r="LU43" s="18">
        <f>IF(330&lt;DeliverStart,0,LT$43+LU$42)</f>
        <v/>
      </c>
      <c r="LV43" s="18">
        <f>IF(331&lt;DeliverStart,0,LU$43+LV$42)</f>
        <v/>
      </c>
      <c r="LW43" s="18">
        <f>IF(332&lt;DeliverStart,0,LV$43+LW$42)</f>
        <v/>
      </c>
      <c r="LX43" s="18">
        <f>IF(333&lt;DeliverStart,0,LW$43+LX$42)</f>
        <v/>
      </c>
      <c r="LY43" s="18">
        <f>IF(334&lt;DeliverStart,0,LX$43+LY$42)</f>
        <v/>
      </c>
      <c r="LZ43" s="18">
        <f>IF(335&lt;DeliverStart,0,LY$43+LZ$42)</f>
        <v/>
      </c>
      <c r="MA43" s="18">
        <f>IF(336&lt;DeliverStart,0,LZ$43+MA$42)</f>
        <v/>
      </c>
      <c r="MB43" s="18">
        <f>IF(337&lt;DeliverStart,0,MA$43+MB$42)</f>
        <v/>
      </c>
      <c r="MC43" s="18">
        <f>IF(338&lt;DeliverStart,0,MB$43+MC$42)</f>
        <v/>
      </c>
      <c r="MD43" s="18">
        <f>IF(339&lt;DeliverStart,0,MC$43+MD$42)</f>
        <v/>
      </c>
      <c r="ME43" s="18">
        <f>IF(340&lt;DeliverStart,0,MD$43+ME$42)</f>
        <v/>
      </c>
      <c r="MF43" s="18">
        <f>IF(341&lt;DeliverStart,0,ME$43+MF$42)</f>
        <v/>
      </c>
      <c r="MG43" s="18">
        <f>IF(342&lt;DeliverStart,0,MF$43+MG$42)</f>
        <v/>
      </c>
      <c r="MH43" s="18">
        <f>IF(343&lt;DeliverStart,0,MG$43+MH$42)</f>
        <v/>
      </c>
      <c r="MI43" s="18">
        <f>IF(344&lt;DeliverStart,0,MH$43+MI$42)</f>
        <v/>
      </c>
      <c r="MJ43" s="18">
        <f>IF(345&lt;DeliverStart,0,MI$43+MJ$42)</f>
        <v/>
      </c>
      <c r="MK43" s="18">
        <f>IF(346&lt;DeliverStart,0,MJ$43+MK$42)</f>
        <v/>
      </c>
      <c r="ML43" s="18">
        <f>IF(347&lt;DeliverStart,0,MK$43+ML$42)</f>
        <v/>
      </c>
      <c r="MM43" s="18">
        <f>IF(348&lt;DeliverStart,0,ML$43+MM$42)</f>
        <v/>
      </c>
      <c r="MN43" s="18">
        <f>IF(349&lt;DeliverStart,0,MM$43+MN$42)</f>
        <v/>
      </c>
      <c r="MO43" s="18">
        <f>IF(350&lt;DeliverStart,0,MN$43+MO$42)</f>
        <v/>
      </c>
      <c r="MP43" s="18">
        <f>IF(351&lt;DeliverStart,0,MO$43+MP$42)</f>
        <v/>
      </c>
      <c r="MQ43" s="18">
        <f>IF(352&lt;DeliverStart,0,MP$43+MQ$42)</f>
        <v/>
      </c>
      <c r="MR43" s="18">
        <f>IF(353&lt;DeliverStart,0,MQ$43+MR$42)</f>
        <v/>
      </c>
      <c r="MS43" s="18">
        <f>IF(354&lt;DeliverStart,0,MR$43+MS$42)</f>
        <v/>
      </c>
      <c r="MT43" s="18">
        <f>IF(355&lt;DeliverStart,0,MS$43+MT$42)</f>
        <v/>
      </c>
      <c r="MU43" s="18">
        <f>IF(356&lt;DeliverStart,0,MT$43+MU$42)</f>
        <v/>
      </c>
      <c r="MV43" s="18">
        <f>IF(357&lt;DeliverStart,0,MU$43+MV$42)</f>
        <v/>
      </c>
      <c r="MW43" s="18">
        <f>IF(358&lt;DeliverStart,0,MV$43+MW$42)</f>
        <v/>
      </c>
      <c r="MX43" s="18">
        <f>IF(359&lt;DeliverStart,0,MW$43+MX$42)</f>
        <v/>
      </c>
      <c r="MY43" s="18">
        <f>IF(360&lt;DeliverStart,0,MX$43+MY$42)</f>
        <v/>
      </c>
      <c r="MZ43" s="18">
        <f>IF(361&lt;DeliverStart,0,MY$43+MZ$42)</f>
        <v/>
      </c>
      <c r="NA43" s="18">
        <f>IF(362&lt;DeliverStart,0,MZ$43+NA$42)</f>
        <v/>
      </c>
      <c r="NB43" s="18">
        <f>IF(363&lt;DeliverStart,0,NA$43+NB$42)</f>
        <v/>
      </c>
      <c r="NC43" s="18">
        <f>IF(364&lt;DeliverStart,0,NB$43+NC$42)</f>
        <v/>
      </c>
      <c r="ND43" s="18">
        <f>IF(365&lt;DeliverStart,0,NC$43+ND$42)</f>
        <v/>
      </c>
      <c r="NE43" s="18">
        <f>IF(366&lt;DeliverStart,0,ND$43+NE$42)</f>
        <v/>
      </c>
      <c r="NF43" s="18">
        <f>IF(367&lt;DeliverStart,0,NE$43+NF$42)</f>
        <v/>
      </c>
      <c r="NG43" s="18">
        <f>IF(368&lt;DeliverStart,0,NF$43+NG$42)</f>
        <v/>
      </c>
      <c r="NH43" s="18">
        <f>IF(369&lt;DeliverStart,0,NG$43+NH$42)</f>
        <v/>
      </c>
      <c r="NI43" s="18">
        <f>IF(370&lt;DeliverStart,0,NH$43+NI$42)</f>
        <v/>
      </c>
      <c r="NJ43" s="18">
        <f>IF(371&lt;DeliverStart,0,NI$43+NJ$42)</f>
        <v/>
      </c>
      <c r="NK43" s="18">
        <f>IF(372&lt;DeliverStart,0,NJ$43+NK$42)</f>
        <v/>
      </c>
    </row>
    <row r="44">
      <c r="A44" s="5" t="inlineStr">
        <is>
          <t>Unlevered Operating CF (property)</t>
        </is>
      </c>
      <c r="C44" s="41">
        <f>SUM(D44:NK44)</f>
        <v/>
      </c>
      <c r="D44" s="18">
        <f>IF('Timeline'!D$41=1,D$42,0)</f>
        <v/>
      </c>
      <c r="E44" s="18">
        <f>IF('Timeline'!E$41=1,E$42,0)</f>
        <v/>
      </c>
      <c r="F44" s="18">
        <f>IF('Timeline'!F$41=1,F$42,0)</f>
        <v/>
      </c>
      <c r="G44" s="18">
        <f>IF('Timeline'!G$41=1,G$42,0)</f>
        <v/>
      </c>
      <c r="H44" s="18">
        <f>IF('Timeline'!H$41=1,H$42,0)</f>
        <v/>
      </c>
      <c r="I44" s="18">
        <f>IF('Timeline'!I$41=1,I$42,0)</f>
        <v/>
      </c>
      <c r="J44" s="18">
        <f>IF('Timeline'!J$41=1,J$42,0)</f>
        <v/>
      </c>
      <c r="K44" s="18">
        <f>IF('Timeline'!K$41=1,K$42,0)</f>
        <v/>
      </c>
      <c r="L44" s="18">
        <f>IF('Timeline'!L$41=1,L$42,0)</f>
        <v/>
      </c>
      <c r="M44" s="18">
        <f>IF('Timeline'!M$41=1,M$42,0)</f>
        <v/>
      </c>
      <c r="N44" s="18">
        <f>IF('Timeline'!N$41=1,N$42,0)</f>
        <v/>
      </c>
      <c r="O44" s="18">
        <f>IF('Timeline'!O$41=1,O$42,0)</f>
        <v/>
      </c>
      <c r="P44" s="18">
        <f>IF('Timeline'!P$41=1,P$42,0)</f>
        <v/>
      </c>
      <c r="Q44" s="18">
        <f>IF('Timeline'!Q$41=1,Q$42,0)</f>
        <v/>
      </c>
      <c r="R44" s="18">
        <f>IF('Timeline'!R$41=1,R$42,0)</f>
        <v/>
      </c>
      <c r="S44" s="18">
        <f>IF('Timeline'!S$41=1,S$42,0)</f>
        <v/>
      </c>
      <c r="T44" s="18">
        <f>IF('Timeline'!T$41=1,T$42,0)</f>
        <v/>
      </c>
      <c r="U44" s="18">
        <f>IF('Timeline'!U$41=1,U$42,0)</f>
        <v/>
      </c>
      <c r="V44" s="18">
        <f>IF('Timeline'!V$41=1,V$42,0)</f>
        <v/>
      </c>
      <c r="W44" s="18">
        <f>IF('Timeline'!W$41=1,W$42,0)</f>
        <v/>
      </c>
      <c r="X44" s="18">
        <f>IF('Timeline'!X$41=1,X$42,0)</f>
        <v/>
      </c>
      <c r="Y44" s="18">
        <f>IF('Timeline'!Y$41=1,Y$42,0)</f>
        <v/>
      </c>
      <c r="Z44" s="18">
        <f>IF('Timeline'!Z$41=1,Z$42,0)</f>
        <v/>
      </c>
      <c r="AA44" s="18">
        <f>IF('Timeline'!AA$41=1,AA$42,0)</f>
        <v/>
      </c>
      <c r="AB44" s="18">
        <f>IF('Timeline'!AB$41=1,AB$42,0)</f>
        <v/>
      </c>
      <c r="AC44" s="18">
        <f>IF('Timeline'!AC$41=1,AC$42,0)</f>
        <v/>
      </c>
      <c r="AD44" s="18">
        <f>IF('Timeline'!AD$41=1,AD$42,0)</f>
        <v/>
      </c>
      <c r="AE44" s="18">
        <f>IF('Timeline'!AE$41=1,AE$42,0)</f>
        <v/>
      </c>
      <c r="AF44" s="18">
        <f>IF('Timeline'!AF$41=1,AF$42,0)</f>
        <v/>
      </c>
      <c r="AG44" s="18">
        <f>IF('Timeline'!AG$41=1,AG$42,0)</f>
        <v/>
      </c>
      <c r="AH44" s="18">
        <f>IF('Timeline'!AH$41=1,AH$42,0)</f>
        <v/>
      </c>
      <c r="AI44" s="18">
        <f>IF('Timeline'!AI$41=1,AI$42,0)</f>
        <v/>
      </c>
      <c r="AJ44" s="18">
        <f>IF('Timeline'!AJ$41=1,AJ$42,0)</f>
        <v/>
      </c>
      <c r="AK44" s="18">
        <f>IF('Timeline'!AK$41=1,AK$42,0)</f>
        <v/>
      </c>
      <c r="AL44" s="18">
        <f>IF('Timeline'!AL$41=1,AL$42,0)</f>
        <v/>
      </c>
      <c r="AM44" s="18">
        <f>IF('Timeline'!AM$41=1,AM$42,0)</f>
        <v/>
      </c>
      <c r="AN44" s="18">
        <f>IF('Timeline'!AN$41=1,AN$42,0)</f>
        <v/>
      </c>
      <c r="AO44" s="18">
        <f>IF('Timeline'!AO$41=1,AO$42,0)</f>
        <v/>
      </c>
      <c r="AP44" s="18">
        <f>IF('Timeline'!AP$41=1,AP$42,0)</f>
        <v/>
      </c>
      <c r="AQ44" s="18">
        <f>IF('Timeline'!AQ$41=1,AQ$42,0)</f>
        <v/>
      </c>
      <c r="AR44" s="18">
        <f>IF('Timeline'!AR$41=1,AR$42,0)</f>
        <v/>
      </c>
      <c r="AS44" s="18">
        <f>IF('Timeline'!AS$41=1,AS$42,0)</f>
        <v/>
      </c>
      <c r="AT44" s="18">
        <f>IF('Timeline'!AT$41=1,AT$42,0)</f>
        <v/>
      </c>
      <c r="AU44" s="18">
        <f>IF('Timeline'!AU$41=1,AU$42,0)</f>
        <v/>
      </c>
      <c r="AV44" s="18">
        <f>IF('Timeline'!AV$41=1,AV$42,0)</f>
        <v/>
      </c>
      <c r="AW44" s="18">
        <f>IF('Timeline'!AW$41=1,AW$42,0)</f>
        <v/>
      </c>
      <c r="AX44" s="18">
        <f>IF('Timeline'!AX$41=1,AX$42,0)</f>
        <v/>
      </c>
      <c r="AY44" s="18">
        <f>IF('Timeline'!AY$41=1,AY$42,0)</f>
        <v/>
      </c>
      <c r="AZ44" s="18">
        <f>IF('Timeline'!AZ$41=1,AZ$42,0)</f>
        <v/>
      </c>
      <c r="BA44" s="18">
        <f>IF('Timeline'!BA$41=1,BA$42,0)</f>
        <v/>
      </c>
      <c r="BB44" s="18">
        <f>IF('Timeline'!BB$41=1,BB$42,0)</f>
        <v/>
      </c>
      <c r="BC44" s="18">
        <f>IF('Timeline'!BC$41=1,BC$42,0)</f>
        <v/>
      </c>
      <c r="BD44" s="18">
        <f>IF('Timeline'!BD$41=1,BD$42,0)</f>
        <v/>
      </c>
      <c r="BE44" s="18">
        <f>IF('Timeline'!BE$41=1,BE$42,0)</f>
        <v/>
      </c>
      <c r="BF44" s="18">
        <f>IF('Timeline'!BF$41=1,BF$42,0)</f>
        <v/>
      </c>
      <c r="BG44" s="18">
        <f>IF('Timeline'!BG$41=1,BG$42,0)</f>
        <v/>
      </c>
      <c r="BH44" s="18">
        <f>IF('Timeline'!BH$41=1,BH$42,0)</f>
        <v/>
      </c>
      <c r="BI44" s="18">
        <f>IF('Timeline'!BI$41=1,BI$42,0)</f>
        <v/>
      </c>
      <c r="BJ44" s="18">
        <f>IF('Timeline'!BJ$41=1,BJ$42,0)</f>
        <v/>
      </c>
      <c r="BK44" s="18">
        <f>IF('Timeline'!BK$41=1,BK$42,0)</f>
        <v/>
      </c>
      <c r="BL44" s="18">
        <f>IF('Timeline'!BL$41=1,BL$42,0)</f>
        <v/>
      </c>
      <c r="BM44" s="18">
        <f>IF('Timeline'!BM$41=1,BM$42,0)</f>
        <v/>
      </c>
      <c r="BN44" s="18">
        <f>IF('Timeline'!BN$41=1,BN$42,0)</f>
        <v/>
      </c>
      <c r="BO44" s="18">
        <f>IF('Timeline'!BO$41=1,BO$42,0)</f>
        <v/>
      </c>
      <c r="BP44" s="18">
        <f>IF('Timeline'!BP$41=1,BP$42,0)</f>
        <v/>
      </c>
      <c r="BQ44" s="18">
        <f>IF('Timeline'!BQ$41=1,BQ$42,0)</f>
        <v/>
      </c>
      <c r="BR44" s="18">
        <f>IF('Timeline'!BR$41=1,BR$42,0)</f>
        <v/>
      </c>
      <c r="BS44" s="18">
        <f>IF('Timeline'!BS$41=1,BS$42,0)</f>
        <v/>
      </c>
      <c r="BT44" s="18">
        <f>IF('Timeline'!BT$41=1,BT$42,0)</f>
        <v/>
      </c>
      <c r="BU44" s="18">
        <f>IF('Timeline'!BU$41=1,BU$42,0)</f>
        <v/>
      </c>
      <c r="BV44" s="18">
        <f>IF('Timeline'!BV$41=1,BV$42,0)</f>
        <v/>
      </c>
      <c r="BW44" s="18">
        <f>IF('Timeline'!BW$41=1,BW$42,0)</f>
        <v/>
      </c>
      <c r="BX44" s="18">
        <f>IF('Timeline'!BX$41=1,BX$42,0)</f>
        <v/>
      </c>
      <c r="BY44" s="18">
        <f>IF('Timeline'!BY$41=1,BY$42,0)</f>
        <v/>
      </c>
      <c r="BZ44" s="18">
        <f>IF('Timeline'!BZ$41=1,BZ$42,0)</f>
        <v/>
      </c>
      <c r="CA44" s="18">
        <f>IF('Timeline'!CA$41=1,CA$42,0)</f>
        <v/>
      </c>
      <c r="CB44" s="18">
        <f>IF('Timeline'!CB$41=1,CB$42,0)</f>
        <v/>
      </c>
      <c r="CC44" s="18">
        <f>IF('Timeline'!CC$41=1,CC$42,0)</f>
        <v/>
      </c>
      <c r="CD44" s="18">
        <f>IF('Timeline'!CD$41=1,CD$42,0)</f>
        <v/>
      </c>
      <c r="CE44" s="18">
        <f>IF('Timeline'!CE$41=1,CE$42,0)</f>
        <v/>
      </c>
      <c r="CF44" s="18">
        <f>IF('Timeline'!CF$41=1,CF$42,0)</f>
        <v/>
      </c>
      <c r="CG44" s="18">
        <f>IF('Timeline'!CG$41=1,CG$42,0)</f>
        <v/>
      </c>
      <c r="CH44" s="18">
        <f>IF('Timeline'!CH$41=1,CH$42,0)</f>
        <v/>
      </c>
      <c r="CI44" s="18">
        <f>IF('Timeline'!CI$41=1,CI$42,0)</f>
        <v/>
      </c>
      <c r="CJ44" s="18">
        <f>IF('Timeline'!CJ$41=1,CJ$42,0)</f>
        <v/>
      </c>
      <c r="CK44" s="18">
        <f>IF('Timeline'!CK$41=1,CK$42,0)</f>
        <v/>
      </c>
      <c r="CL44" s="18">
        <f>IF('Timeline'!CL$41=1,CL$42,0)</f>
        <v/>
      </c>
      <c r="CM44" s="18">
        <f>IF('Timeline'!CM$41=1,CM$42,0)</f>
        <v/>
      </c>
      <c r="CN44" s="18">
        <f>IF('Timeline'!CN$41=1,CN$42,0)</f>
        <v/>
      </c>
      <c r="CO44" s="18">
        <f>IF('Timeline'!CO$41=1,CO$42,0)</f>
        <v/>
      </c>
      <c r="CP44" s="18">
        <f>IF('Timeline'!CP$41=1,CP$42,0)</f>
        <v/>
      </c>
      <c r="CQ44" s="18">
        <f>IF('Timeline'!CQ$41=1,CQ$42,0)</f>
        <v/>
      </c>
      <c r="CR44" s="18">
        <f>IF('Timeline'!CR$41=1,CR$42,0)</f>
        <v/>
      </c>
      <c r="CS44" s="18">
        <f>IF('Timeline'!CS$41=1,CS$42,0)</f>
        <v/>
      </c>
      <c r="CT44" s="18">
        <f>IF('Timeline'!CT$41=1,CT$42,0)</f>
        <v/>
      </c>
      <c r="CU44" s="18">
        <f>IF('Timeline'!CU$41=1,CU$42,0)</f>
        <v/>
      </c>
      <c r="CV44" s="18">
        <f>IF('Timeline'!CV$41=1,CV$42,0)</f>
        <v/>
      </c>
      <c r="CW44" s="18">
        <f>IF('Timeline'!CW$41=1,CW$42,0)</f>
        <v/>
      </c>
      <c r="CX44" s="18">
        <f>IF('Timeline'!CX$41=1,CX$42,0)</f>
        <v/>
      </c>
      <c r="CY44" s="18">
        <f>IF('Timeline'!CY$41=1,CY$42,0)</f>
        <v/>
      </c>
      <c r="CZ44" s="18">
        <f>IF('Timeline'!CZ$41=1,CZ$42,0)</f>
        <v/>
      </c>
      <c r="DA44" s="18">
        <f>IF('Timeline'!DA$41=1,DA$42,0)</f>
        <v/>
      </c>
      <c r="DB44" s="18">
        <f>IF('Timeline'!DB$41=1,DB$42,0)</f>
        <v/>
      </c>
      <c r="DC44" s="18">
        <f>IF('Timeline'!DC$41=1,DC$42,0)</f>
        <v/>
      </c>
      <c r="DD44" s="18">
        <f>IF('Timeline'!DD$41=1,DD$42,0)</f>
        <v/>
      </c>
      <c r="DE44" s="18">
        <f>IF('Timeline'!DE$41=1,DE$42,0)</f>
        <v/>
      </c>
      <c r="DF44" s="18">
        <f>IF('Timeline'!DF$41=1,DF$42,0)</f>
        <v/>
      </c>
      <c r="DG44" s="18">
        <f>IF('Timeline'!DG$41=1,DG$42,0)</f>
        <v/>
      </c>
      <c r="DH44" s="18">
        <f>IF('Timeline'!DH$41=1,DH$42,0)</f>
        <v/>
      </c>
      <c r="DI44" s="18">
        <f>IF('Timeline'!DI$41=1,DI$42,0)</f>
        <v/>
      </c>
      <c r="DJ44" s="18">
        <f>IF('Timeline'!DJ$41=1,DJ$42,0)</f>
        <v/>
      </c>
      <c r="DK44" s="18">
        <f>IF('Timeline'!DK$41=1,DK$42,0)</f>
        <v/>
      </c>
      <c r="DL44" s="18">
        <f>IF('Timeline'!DL$41=1,DL$42,0)</f>
        <v/>
      </c>
      <c r="DM44" s="18">
        <f>IF('Timeline'!DM$41=1,DM$42,0)</f>
        <v/>
      </c>
      <c r="DN44" s="18">
        <f>IF('Timeline'!DN$41=1,DN$42,0)</f>
        <v/>
      </c>
      <c r="DO44" s="18">
        <f>IF('Timeline'!DO$41=1,DO$42,0)</f>
        <v/>
      </c>
      <c r="DP44" s="18">
        <f>IF('Timeline'!DP$41=1,DP$42,0)</f>
        <v/>
      </c>
      <c r="DQ44" s="18">
        <f>IF('Timeline'!DQ$41=1,DQ$42,0)</f>
        <v/>
      </c>
      <c r="DR44" s="18">
        <f>IF('Timeline'!DR$41=1,DR$42,0)</f>
        <v/>
      </c>
      <c r="DS44" s="18">
        <f>IF('Timeline'!DS$41=1,DS$42,0)</f>
        <v/>
      </c>
      <c r="DT44" s="18">
        <f>IF('Timeline'!DT$41=1,DT$42,0)</f>
        <v/>
      </c>
      <c r="DU44" s="18">
        <f>IF('Timeline'!DU$41=1,DU$42,0)</f>
        <v/>
      </c>
      <c r="DV44" s="18">
        <f>IF('Timeline'!DV$41=1,DV$42,0)</f>
        <v/>
      </c>
      <c r="DW44" s="18">
        <f>IF('Timeline'!DW$41=1,DW$42,0)</f>
        <v/>
      </c>
      <c r="DX44" s="18">
        <f>IF('Timeline'!DX$41=1,DX$42,0)</f>
        <v/>
      </c>
      <c r="DY44" s="18">
        <f>IF('Timeline'!DY$41=1,DY$42,0)</f>
        <v/>
      </c>
      <c r="DZ44" s="18">
        <f>IF('Timeline'!DZ$41=1,DZ$42,0)</f>
        <v/>
      </c>
      <c r="EA44" s="18">
        <f>IF('Timeline'!EA$41=1,EA$42,0)</f>
        <v/>
      </c>
      <c r="EB44" s="18">
        <f>IF('Timeline'!EB$41=1,EB$42,0)</f>
        <v/>
      </c>
      <c r="EC44" s="18">
        <f>IF('Timeline'!EC$41=1,EC$42,0)</f>
        <v/>
      </c>
      <c r="ED44" s="18">
        <f>IF('Timeline'!ED$41=1,ED$42,0)</f>
        <v/>
      </c>
      <c r="EE44" s="18">
        <f>IF('Timeline'!EE$41=1,EE$42,0)</f>
        <v/>
      </c>
      <c r="EF44" s="18">
        <f>IF('Timeline'!EF$41=1,EF$42,0)</f>
        <v/>
      </c>
      <c r="EG44" s="18">
        <f>IF('Timeline'!EG$41=1,EG$42,0)</f>
        <v/>
      </c>
      <c r="EH44" s="18">
        <f>IF('Timeline'!EH$41=1,EH$42,0)</f>
        <v/>
      </c>
      <c r="EI44" s="18">
        <f>IF('Timeline'!EI$41=1,EI$42,0)</f>
        <v/>
      </c>
      <c r="EJ44" s="18">
        <f>IF('Timeline'!EJ$41=1,EJ$42,0)</f>
        <v/>
      </c>
      <c r="EK44" s="18">
        <f>IF('Timeline'!EK$41=1,EK$42,0)</f>
        <v/>
      </c>
      <c r="EL44" s="18">
        <f>IF('Timeline'!EL$41=1,EL$42,0)</f>
        <v/>
      </c>
      <c r="EM44" s="18">
        <f>IF('Timeline'!EM$41=1,EM$42,0)</f>
        <v/>
      </c>
      <c r="EN44" s="18">
        <f>IF('Timeline'!EN$41=1,EN$42,0)</f>
        <v/>
      </c>
      <c r="EO44" s="18">
        <f>IF('Timeline'!EO$41=1,EO$42,0)</f>
        <v/>
      </c>
      <c r="EP44" s="18">
        <f>IF('Timeline'!EP$41=1,EP$42,0)</f>
        <v/>
      </c>
      <c r="EQ44" s="18">
        <f>IF('Timeline'!EQ$41=1,EQ$42,0)</f>
        <v/>
      </c>
      <c r="ER44" s="18">
        <f>IF('Timeline'!ER$41=1,ER$42,0)</f>
        <v/>
      </c>
      <c r="ES44" s="18">
        <f>IF('Timeline'!ES$41=1,ES$42,0)</f>
        <v/>
      </c>
      <c r="ET44" s="18">
        <f>IF('Timeline'!ET$41=1,ET$42,0)</f>
        <v/>
      </c>
      <c r="EU44" s="18">
        <f>IF('Timeline'!EU$41=1,EU$42,0)</f>
        <v/>
      </c>
      <c r="EV44" s="18">
        <f>IF('Timeline'!EV$41=1,EV$42,0)</f>
        <v/>
      </c>
      <c r="EW44" s="18">
        <f>IF('Timeline'!EW$41=1,EW$42,0)</f>
        <v/>
      </c>
      <c r="EX44" s="18">
        <f>IF('Timeline'!EX$41=1,EX$42,0)</f>
        <v/>
      </c>
      <c r="EY44" s="18">
        <f>IF('Timeline'!EY$41=1,EY$42,0)</f>
        <v/>
      </c>
      <c r="EZ44" s="18">
        <f>IF('Timeline'!EZ$41=1,EZ$42,0)</f>
        <v/>
      </c>
      <c r="FA44" s="18">
        <f>IF('Timeline'!FA$41=1,FA$42,0)</f>
        <v/>
      </c>
      <c r="FB44" s="18">
        <f>IF('Timeline'!FB$41=1,FB$42,0)</f>
        <v/>
      </c>
      <c r="FC44" s="18">
        <f>IF('Timeline'!FC$41=1,FC$42,0)</f>
        <v/>
      </c>
      <c r="FD44" s="18">
        <f>IF('Timeline'!FD$41=1,FD$42,0)</f>
        <v/>
      </c>
      <c r="FE44" s="18">
        <f>IF('Timeline'!FE$41=1,FE$42,0)</f>
        <v/>
      </c>
      <c r="FF44" s="18">
        <f>IF('Timeline'!FF$41=1,FF$42,0)</f>
        <v/>
      </c>
      <c r="FG44" s="18">
        <f>IF('Timeline'!FG$41=1,FG$42,0)</f>
        <v/>
      </c>
      <c r="FH44" s="18">
        <f>IF('Timeline'!FH$41=1,FH$42,0)</f>
        <v/>
      </c>
      <c r="FI44" s="18">
        <f>IF('Timeline'!FI$41=1,FI$42,0)</f>
        <v/>
      </c>
      <c r="FJ44" s="18">
        <f>IF('Timeline'!FJ$41=1,FJ$42,0)</f>
        <v/>
      </c>
      <c r="FK44" s="18">
        <f>IF('Timeline'!FK$41=1,FK$42,0)</f>
        <v/>
      </c>
      <c r="FL44" s="18">
        <f>IF('Timeline'!FL$41=1,FL$42,0)</f>
        <v/>
      </c>
      <c r="FM44" s="18">
        <f>IF('Timeline'!FM$41=1,FM$42,0)</f>
        <v/>
      </c>
      <c r="FN44" s="18">
        <f>IF('Timeline'!FN$41=1,FN$42,0)</f>
        <v/>
      </c>
      <c r="FO44" s="18">
        <f>IF('Timeline'!FO$41=1,FO$42,0)</f>
        <v/>
      </c>
      <c r="FP44" s="18">
        <f>IF('Timeline'!FP$41=1,FP$42,0)</f>
        <v/>
      </c>
      <c r="FQ44" s="18">
        <f>IF('Timeline'!FQ$41=1,FQ$42,0)</f>
        <v/>
      </c>
      <c r="FR44" s="18">
        <f>IF('Timeline'!FR$41=1,FR$42,0)</f>
        <v/>
      </c>
      <c r="FS44" s="18">
        <f>IF('Timeline'!FS$41=1,FS$42,0)</f>
        <v/>
      </c>
      <c r="FT44" s="18">
        <f>IF('Timeline'!FT$41=1,FT$42,0)</f>
        <v/>
      </c>
      <c r="FU44" s="18">
        <f>IF('Timeline'!FU$41=1,FU$42,0)</f>
        <v/>
      </c>
      <c r="FV44" s="18">
        <f>IF('Timeline'!FV$41=1,FV$42,0)</f>
        <v/>
      </c>
      <c r="FW44" s="18">
        <f>IF('Timeline'!FW$41=1,FW$42,0)</f>
        <v/>
      </c>
      <c r="FX44" s="18">
        <f>IF('Timeline'!FX$41=1,FX$42,0)</f>
        <v/>
      </c>
      <c r="FY44" s="18">
        <f>IF('Timeline'!FY$41=1,FY$42,0)</f>
        <v/>
      </c>
      <c r="FZ44" s="18">
        <f>IF('Timeline'!FZ$41=1,FZ$42,0)</f>
        <v/>
      </c>
      <c r="GA44" s="18">
        <f>IF('Timeline'!GA$41=1,GA$42,0)</f>
        <v/>
      </c>
      <c r="GB44" s="18">
        <f>IF('Timeline'!GB$41=1,GB$42,0)</f>
        <v/>
      </c>
      <c r="GC44" s="18">
        <f>IF('Timeline'!GC$41=1,GC$42,0)</f>
        <v/>
      </c>
      <c r="GD44" s="18">
        <f>IF('Timeline'!GD$41=1,GD$42,0)</f>
        <v/>
      </c>
      <c r="GE44" s="18">
        <f>IF('Timeline'!GE$41=1,GE$42,0)</f>
        <v/>
      </c>
      <c r="GF44" s="18">
        <f>IF('Timeline'!GF$41=1,GF$42,0)</f>
        <v/>
      </c>
      <c r="GG44" s="18">
        <f>IF('Timeline'!GG$41=1,GG$42,0)</f>
        <v/>
      </c>
      <c r="GH44" s="18">
        <f>IF('Timeline'!GH$41=1,GH$42,0)</f>
        <v/>
      </c>
      <c r="GI44" s="18">
        <f>IF('Timeline'!GI$41=1,GI$42,0)</f>
        <v/>
      </c>
      <c r="GJ44" s="18">
        <f>IF('Timeline'!GJ$41=1,GJ$42,0)</f>
        <v/>
      </c>
      <c r="GK44" s="18">
        <f>IF('Timeline'!GK$41=1,GK$42,0)</f>
        <v/>
      </c>
      <c r="GL44" s="18">
        <f>IF('Timeline'!GL$41=1,GL$42,0)</f>
        <v/>
      </c>
      <c r="GM44" s="18">
        <f>IF('Timeline'!GM$41=1,GM$42,0)</f>
        <v/>
      </c>
      <c r="GN44" s="18">
        <f>IF('Timeline'!GN$41=1,GN$42,0)</f>
        <v/>
      </c>
      <c r="GO44" s="18">
        <f>IF('Timeline'!GO$41=1,GO$42,0)</f>
        <v/>
      </c>
      <c r="GP44" s="18">
        <f>IF('Timeline'!GP$41=1,GP$42,0)</f>
        <v/>
      </c>
      <c r="GQ44" s="18">
        <f>IF('Timeline'!GQ$41=1,GQ$42,0)</f>
        <v/>
      </c>
      <c r="GR44" s="18">
        <f>IF('Timeline'!GR$41=1,GR$42,0)</f>
        <v/>
      </c>
      <c r="GS44" s="18">
        <f>IF('Timeline'!GS$41=1,GS$42,0)</f>
        <v/>
      </c>
      <c r="GT44" s="18">
        <f>IF('Timeline'!GT$41=1,GT$42,0)</f>
        <v/>
      </c>
      <c r="GU44" s="18">
        <f>IF('Timeline'!GU$41=1,GU$42,0)</f>
        <v/>
      </c>
      <c r="GV44" s="18">
        <f>IF('Timeline'!GV$41=1,GV$42,0)</f>
        <v/>
      </c>
      <c r="GW44" s="18">
        <f>IF('Timeline'!GW$41=1,GW$42,0)</f>
        <v/>
      </c>
      <c r="GX44" s="18">
        <f>IF('Timeline'!GX$41=1,GX$42,0)</f>
        <v/>
      </c>
      <c r="GY44" s="18">
        <f>IF('Timeline'!GY$41=1,GY$42,0)</f>
        <v/>
      </c>
      <c r="GZ44" s="18">
        <f>IF('Timeline'!GZ$41=1,GZ$42,0)</f>
        <v/>
      </c>
      <c r="HA44" s="18">
        <f>IF('Timeline'!HA$41=1,HA$42,0)</f>
        <v/>
      </c>
      <c r="HB44" s="18">
        <f>IF('Timeline'!HB$41=1,HB$42,0)</f>
        <v/>
      </c>
      <c r="HC44" s="18">
        <f>IF('Timeline'!HC$41=1,HC$42,0)</f>
        <v/>
      </c>
      <c r="HD44" s="18">
        <f>IF('Timeline'!HD$41=1,HD$42,0)</f>
        <v/>
      </c>
      <c r="HE44" s="18">
        <f>IF('Timeline'!HE$41=1,HE$42,0)</f>
        <v/>
      </c>
      <c r="HF44" s="18">
        <f>IF('Timeline'!HF$41=1,HF$42,0)</f>
        <v/>
      </c>
      <c r="HG44" s="18">
        <f>IF('Timeline'!HG$41=1,HG$42,0)</f>
        <v/>
      </c>
      <c r="HH44" s="18">
        <f>IF('Timeline'!HH$41=1,HH$42,0)</f>
        <v/>
      </c>
      <c r="HI44" s="18">
        <f>IF('Timeline'!HI$41=1,HI$42,0)</f>
        <v/>
      </c>
      <c r="HJ44" s="18">
        <f>IF('Timeline'!HJ$41=1,HJ$42,0)</f>
        <v/>
      </c>
      <c r="HK44" s="18">
        <f>IF('Timeline'!HK$41=1,HK$42,0)</f>
        <v/>
      </c>
      <c r="HL44" s="18">
        <f>IF('Timeline'!HL$41=1,HL$42,0)</f>
        <v/>
      </c>
      <c r="HM44" s="18">
        <f>IF('Timeline'!HM$41=1,HM$42,0)</f>
        <v/>
      </c>
      <c r="HN44" s="18">
        <f>IF('Timeline'!HN$41=1,HN$42,0)</f>
        <v/>
      </c>
      <c r="HO44" s="18">
        <f>IF('Timeline'!HO$41=1,HO$42,0)</f>
        <v/>
      </c>
      <c r="HP44" s="18">
        <f>IF('Timeline'!HP$41=1,HP$42,0)</f>
        <v/>
      </c>
      <c r="HQ44" s="18">
        <f>IF('Timeline'!HQ$41=1,HQ$42,0)</f>
        <v/>
      </c>
      <c r="HR44" s="18">
        <f>IF('Timeline'!HR$41=1,HR$42,0)</f>
        <v/>
      </c>
      <c r="HS44" s="18">
        <f>IF('Timeline'!HS$41=1,HS$42,0)</f>
        <v/>
      </c>
      <c r="HT44" s="18">
        <f>IF('Timeline'!HT$41=1,HT$42,0)</f>
        <v/>
      </c>
      <c r="HU44" s="18">
        <f>IF('Timeline'!HU$41=1,HU$42,0)</f>
        <v/>
      </c>
      <c r="HV44" s="18">
        <f>IF('Timeline'!HV$41=1,HV$42,0)</f>
        <v/>
      </c>
      <c r="HW44" s="18">
        <f>IF('Timeline'!HW$41=1,HW$42,0)</f>
        <v/>
      </c>
      <c r="HX44" s="18">
        <f>IF('Timeline'!HX$41=1,HX$42,0)</f>
        <v/>
      </c>
      <c r="HY44" s="18">
        <f>IF('Timeline'!HY$41=1,HY$42,0)</f>
        <v/>
      </c>
      <c r="HZ44" s="18">
        <f>IF('Timeline'!HZ$41=1,HZ$42,0)</f>
        <v/>
      </c>
      <c r="IA44" s="18">
        <f>IF('Timeline'!IA$41=1,IA$42,0)</f>
        <v/>
      </c>
      <c r="IB44" s="18">
        <f>IF('Timeline'!IB$41=1,IB$42,0)</f>
        <v/>
      </c>
      <c r="IC44" s="18">
        <f>IF('Timeline'!IC$41=1,IC$42,0)</f>
        <v/>
      </c>
      <c r="ID44" s="18">
        <f>IF('Timeline'!ID$41=1,ID$42,0)</f>
        <v/>
      </c>
      <c r="IE44" s="18">
        <f>IF('Timeline'!IE$41=1,IE$42,0)</f>
        <v/>
      </c>
      <c r="IF44" s="18">
        <f>IF('Timeline'!IF$41=1,IF$42,0)</f>
        <v/>
      </c>
      <c r="IG44" s="18">
        <f>IF('Timeline'!IG$41=1,IG$42,0)</f>
        <v/>
      </c>
      <c r="IH44" s="18">
        <f>IF('Timeline'!IH$41=1,IH$42,0)</f>
        <v/>
      </c>
      <c r="II44" s="18">
        <f>IF('Timeline'!II$41=1,II$42,0)</f>
        <v/>
      </c>
      <c r="IJ44" s="18">
        <f>IF('Timeline'!IJ$41=1,IJ$42,0)</f>
        <v/>
      </c>
      <c r="IK44" s="18">
        <f>IF('Timeline'!IK$41=1,IK$42,0)</f>
        <v/>
      </c>
      <c r="IL44" s="18">
        <f>IF('Timeline'!IL$41=1,IL$42,0)</f>
        <v/>
      </c>
      <c r="IM44" s="18">
        <f>IF('Timeline'!IM$41=1,IM$42,0)</f>
        <v/>
      </c>
      <c r="IN44" s="18">
        <f>IF('Timeline'!IN$41=1,IN$42,0)</f>
        <v/>
      </c>
      <c r="IO44" s="18">
        <f>IF('Timeline'!IO$41=1,IO$42,0)</f>
        <v/>
      </c>
      <c r="IP44" s="18">
        <f>IF('Timeline'!IP$41=1,IP$42,0)</f>
        <v/>
      </c>
      <c r="IQ44" s="18">
        <f>IF('Timeline'!IQ$41=1,IQ$42,0)</f>
        <v/>
      </c>
      <c r="IR44" s="18">
        <f>IF('Timeline'!IR$41=1,IR$42,0)</f>
        <v/>
      </c>
      <c r="IS44" s="18">
        <f>IF('Timeline'!IS$41=1,IS$42,0)</f>
        <v/>
      </c>
      <c r="IT44" s="18">
        <f>IF('Timeline'!IT$41=1,IT$42,0)</f>
        <v/>
      </c>
      <c r="IU44" s="18">
        <f>IF('Timeline'!IU$41=1,IU$42,0)</f>
        <v/>
      </c>
      <c r="IV44" s="18">
        <f>IF('Timeline'!IV$41=1,IV$42,0)</f>
        <v/>
      </c>
      <c r="IW44" s="18">
        <f>IF('Timeline'!IW$41=1,IW$42,0)</f>
        <v/>
      </c>
      <c r="IX44" s="18">
        <f>IF('Timeline'!IX$41=1,IX$42,0)</f>
        <v/>
      </c>
      <c r="IY44" s="18">
        <f>IF('Timeline'!IY$41=1,IY$42,0)</f>
        <v/>
      </c>
      <c r="IZ44" s="18">
        <f>IF('Timeline'!IZ$41=1,IZ$42,0)</f>
        <v/>
      </c>
      <c r="JA44" s="18">
        <f>IF('Timeline'!JA$41=1,JA$42,0)</f>
        <v/>
      </c>
      <c r="JB44" s="18">
        <f>IF('Timeline'!JB$41=1,JB$42,0)</f>
        <v/>
      </c>
      <c r="JC44" s="18">
        <f>IF('Timeline'!JC$41=1,JC$42,0)</f>
        <v/>
      </c>
      <c r="JD44" s="18">
        <f>IF('Timeline'!JD$41=1,JD$42,0)</f>
        <v/>
      </c>
      <c r="JE44" s="18">
        <f>IF('Timeline'!JE$41=1,JE$42,0)</f>
        <v/>
      </c>
      <c r="JF44" s="18">
        <f>IF('Timeline'!JF$41=1,JF$42,0)</f>
        <v/>
      </c>
      <c r="JG44" s="18">
        <f>IF('Timeline'!JG$41=1,JG$42,0)</f>
        <v/>
      </c>
      <c r="JH44" s="18">
        <f>IF('Timeline'!JH$41=1,JH$42,0)</f>
        <v/>
      </c>
      <c r="JI44" s="18">
        <f>IF('Timeline'!JI$41=1,JI$42,0)</f>
        <v/>
      </c>
      <c r="JJ44" s="18">
        <f>IF('Timeline'!JJ$41=1,JJ$42,0)</f>
        <v/>
      </c>
      <c r="JK44" s="18">
        <f>IF('Timeline'!JK$41=1,JK$42,0)</f>
        <v/>
      </c>
      <c r="JL44" s="18">
        <f>IF('Timeline'!JL$41=1,JL$42,0)</f>
        <v/>
      </c>
      <c r="JM44" s="18">
        <f>IF('Timeline'!JM$41=1,JM$42,0)</f>
        <v/>
      </c>
      <c r="JN44" s="18">
        <f>IF('Timeline'!JN$41=1,JN$42,0)</f>
        <v/>
      </c>
      <c r="JO44" s="18">
        <f>IF('Timeline'!JO$41=1,JO$42,0)</f>
        <v/>
      </c>
      <c r="JP44" s="18">
        <f>IF('Timeline'!JP$41=1,JP$42,0)</f>
        <v/>
      </c>
      <c r="JQ44" s="18">
        <f>IF('Timeline'!JQ$41=1,JQ$42,0)</f>
        <v/>
      </c>
      <c r="JR44" s="18">
        <f>IF('Timeline'!JR$41=1,JR$42,0)</f>
        <v/>
      </c>
      <c r="JS44" s="18">
        <f>IF('Timeline'!JS$41=1,JS$42,0)</f>
        <v/>
      </c>
      <c r="JT44" s="18">
        <f>IF('Timeline'!JT$41=1,JT$42,0)</f>
        <v/>
      </c>
      <c r="JU44" s="18">
        <f>IF('Timeline'!JU$41=1,JU$42,0)</f>
        <v/>
      </c>
      <c r="JV44" s="18">
        <f>IF('Timeline'!JV$41=1,JV$42,0)</f>
        <v/>
      </c>
      <c r="JW44" s="18">
        <f>IF('Timeline'!JW$41=1,JW$42,0)</f>
        <v/>
      </c>
      <c r="JX44" s="18">
        <f>IF('Timeline'!JX$41=1,JX$42,0)</f>
        <v/>
      </c>
      <c r="JY44" s="18">
        <f>IF('Timeline'!JY$41=1,JY$42,0)</f>
        <v/>
      </c>
      <c r="JZ44" s="18">
        <f>IF('Timeline'!JZ$41=1,JZ$42,0)</f>
        <v/>
      </c>
      <c r="KA44" s="18">
        <f>IF('Timeline'!KA$41=1,KA$42,0)</f>
        <v/>
      </c>
      <c r="KB44" s="18">
        <f>IF('Timeline'!KB$41=1,KB$42,0)</f>
        <v/>
      </c>
      <c r="KC44" s="18">
        <f>IF('Timeline'!KC$41=1,KC$42,0)</f>
        <v/>
      </c>
      <c r="KD44" s="18">
        <f>IF('Timeline'!KD$41=1,KD$42,0)</f>
        <v/>
      </c>
      <c r="KE44" s="18">
        <f>IF('Timeline'!KE$41=1,KE$42,0)</f>
        <v/>
      </c>
      <c r="KF44" s="18">
        <f>IF('Timeline'!KF$41=1,KF$42,0)</f>
        <v/>
      </c>
      <c r="KG44" s="18">
        <f>IF('Timeline'!KG$41=1,KG$42,0)</f>
        <v/>
      </c>
      <c r="KH44" s="18">
        <f>IF('Timeline'!KH$41=1,KH$42,0)</f>
        <v/>
      </c>
      <c r="KI44" s="18">
        <f>IF('Timeline'!KI$41=1,KI$42,0)</f>
        <v/>
      </c>
      <c r="KJ44" s="18">
        <f>IF('Timeline'!KJ$41=1,KJ$42,0)</f>
        <v/>
      </c>
      <c r="KK44" s="18">
        <f>IF('Timeline'!KK$41=1,KK$42,0)</f>
        <v/>
      </c>
      <c r="KL44" s="18">
        <f>IF('Timeline'!KL$41=1,KL$42,0)</f>
        <v/>
      </c>
      <c r="KM44" s="18">
        <f>IF('Timeline'!KM$41=1,KM$42,0)</f>
        <v/>
      </c>
      <c r="KN44" s="18">
        <f>IF('Timeline'!KN$41=1,KN$42,0)</f>
        <v/>
      </c>
      <c r="KO44" s="18">
        <f>IF('Timeline'!KO$41=1,KO$42,0)</f>
        <v/>
      </c>
      <c r="KP44" s="18">
        <f>IF('Timeline'!KP$41=1,KP$42,0)</f>
        <v/>
      </c>
      <c r="KQ44" s="18">
        <f>IF('Timeline'!KQ$41=1,KQ$42,0)</f>
        <v/>
      </c>
      <c r="KR44" s="18">
        <f>IF('Timeline'!KR$41=1,KR$42,0)</f>
        <v/>
      </c>
      <c r="KS44" s="18">
        <f>IF('Timeline'!KS$41=1,KS$42,0)</f>
        <v/>
      </c>
      <c r="KT44" s="18">
        <f>IF('Timeline'!KT$41=1,KT$42,0)</f>
        <v/>
      </c>
      <c r="KU44" s="18">
        <f>IF('Timeline'!KU$41=1,KU$42,0)</f>
        <v/>
      </c>
      <c r="KV44" s="18">
        <f>IF('Timeline'!KV$41=1,KV$42,0)</f>
        <v/>
      </c>
      <c r="KW44" s="18">
        <f>IF('Timeline'!KW$41=1,KW$42,0)</f>
        <v/>
      </c>
      <c r="KX44" s="18">
        <f>IF('Timeline'!KX$41=1,KX$42,0)</f>
        <v/>
      </c>
      <c r="KY44" s="18">
        <f>IF('Timeline'!KY$41=1,KY$42,0)</f>
        <v/>
      </c>
      <c r="KZ44" s="18">
        <f>IF('Timeline'!KZ$41=1,KZ$42,0)</f>
        <v/>
      </c>
      <c r="LA44" s="18">
        <f>IF('Timeline'!LA$41=1,LA$42,0)</f>
        <v/>
      </c>
      <c r="LB44" s="18">
        <f>IF('Timeline'!LB$41=1,LB$42,0)</f>
        <v/>
      </c>
      <c r="LC44" s="18">
        <f>IF('Timeline'!LC$41=1,LC$42,0)</f>
        <v/>
      </c>
      <c r="LD44" s="18">
        <f>IF('Timeline'!LD$41=1,LD$42,0)</f>
        <v/>
      </c>
      <c r="LE44" s="18">
        <f>IF('Timeline'!LE$41=1,LE$42,0)</f>
        <v/>
      </c>
      <c r="LF44" s="18">
        <f>IF('Timeline'!LF$41=1,LF$42,0)</f>
        <v/>
      </c>
      <c r="LG44" s="18">
        <f>IF('Timeline'!LG$41=1,LG$42,0)</f>
        <v/>
      </c>
      <c r="LH44" s="18">
        <f>IF('Timeline'!LH$41=1,LH$42,0)</f>
        <v/>
      </c>
      <c r="LI44" s="18">
        <f>IF('Timeline'!LI$41=1,LI$42,0)</f>
        <v/>
      </c>
      <c r="LJ44" s="18">
        <f>IF('Timeline'!LJ$41=1,LJ$42,0)</f>
        <v/>
      </c>
      <c r="LK44" s="18">
        <f>IF('Timeline'!LK$41=1,LK$42,0)</f>
        <v/>
      </c>
      <c r="LL44" s="18">
        <f>IF('Timeline'!LL$41=1,LL$42,0)</f>
        <v/>
      </c>
      <c r="LM44" s="18">
        <f>IF('Timeline'!LM$41=1,LM$42,0)</f>
        <v/>
      </c>
      <c r="LN44" s="18">
        <f>IF('Timeline'!LN$41=1,LN$42,0)</f>
        <v/>
      </c>
      <c r="LO44" s="18">
        <f>IF('Timeline'!LO$41=1,LO$42,0)</f>
        <v/>
      </c>
      <c r="LP44" s="18">
        <f>IF('Timeline'!LP$41=1,LP$42,0)</f>
        <v/>
      </c>
      <c r="LQ44" s="18">
        <f>IF('Timeline'!LQ$41=1,LQ$42,0)</f>
        <v/>
      </c>
      <c r="LR44" s="18">
        <f>IF('Timeline'!LR$41=1,LR$42,0)</f>
        <v/>
      </c>
      <c r="LS44" s="18">
        <f>IF('Timeline'!LS$41=1,LS$42,0)</f>
        <v/>
      </c>
      <c r="LT44" s="18">
        <f>IF('Timeline'!LT$41=1,LT$42,0)</f>
        <v/>
      </c>
      <c r="LU44" s="18">
        <f>IF('Timeline'!LU$41=1,LU$42,0)</f>
        <v/>
      </c>
      <c r="LV44" s="18">
        <f>IF('Timeline'!LV$41=1,LV$42,0)</f>
        <v/>
      </c>
      <c r="LW44" s="18">
        <f>IF('Timeline'!LW$41=1,LW$42,0)</f>
        <v/>
      </c>
      <c r="LX44" s="18">
        <f>IF('Timeline'!LX$41=1,LX$42,0)</f>
        <v/>
      </c>
      <c r="LY44" s="18">
        <f>IF('Timeline'!LY$41=1,LY$42,0)</f>
        <v/>
      </c>
      <c r="LZ44" s="18">
        <f>IF('Timeline'!LZ$41=1,LZ$42,0)</f>
        <v/>
      </c>
      <c r="MA44" s="18">
        <f>IF('Timeline'!MA$41=1,MA$42,0)</f>
        <v/>
      </c>
      <c r="MB44" s="18">
        <f>IF('Timeline'!MB$41=1,MB$42,0)</f>
        <v/>
      </c>
      <c r="MC44" s="18">
        <f>IF('Timeline'!MC$41=1,MC$42,0)</f>
        <v/>
      </c>
      <c r="MD44" s="18">
        <f>IF('Timeline'!MD$41=1,MD$42,0)</f>
        <v/>
      </c>
      <c r="ME44" s="18">
        <f>IF('Timeline'!ME$41=1,ME$42,0)</f>
        <v/>
      </c>
      <c r="MF44" s="18">
        <f>IF('Timeline'!MF$41=1,MF$42,0)</f>
        <v/>
      </c>
      <c r="MG44" s="18">
        <f>IF('Timeline'!MG$41=1,MG$42,0)</f>
        <v/>
      </c>
      <c r="MH44" s="18">
        <f>IF('Timeline'!MH$41=1,MH$42,0)</f>
        <v/>
      </c>
      <c r="MI44" s="18">
        <f>IF('Timeline'!MI$41=1,MI$42,0)</f>
        <v/>
      </c>
      <c r="MJ44" s="18">
        <f>IF('Timeline'!MJ$41=1,MJ$42,0)</f>
        <v/>
      </c>
      <c r="MK44" s="18">
        <f>IF('Timeline'!MK$41=1,MK$42,0)</f>
        <v/>
      </c>
      <c r="ML44" s="18">
        <f>IF('Timeline'!ML$41=1,ML$42,0)</f>
        <v/>
      </c>
      <c r="MM44" s="18">
        <f>IF('Timeline'!MM$41=1,MM$42,0)</f>
        <v/>
      </c>
      <c r="MN44" s="18">
        <f>IF('Timeline'!MN$41=1,MN$42,0)</f>
        <v/>
      </c>
      <c r="MO44" s="18">
        <f>IF('Timeline'!MO$41=1,MO$42,0)</f>
        <v/>
      </c>
      <c r="MP44" s="18">
        <f>IF('Timeline'!MP$41=1,MP$42,0)</f>
        <v/>
      </c>
      <c r="MQ44" s="18">
        <f>IF('Timeline'!MQ$41=1,MQ$42,0)</f>
        <v/>
      </c>
      <c r="MR44" s="18">
        <f>IF('Timeline'!MR$41=1,MR$42,0)</f>
        <v/>
      </c>
      <c r="MS44" s="18">
        <f>IF('Timeline'!MS$41=1,MS$42,0)</f>
        <v/>
      </c>
      <c r="MT44" s="18">
        <f>IF('Timeline'!MT$41=1,MT$42,0)</f>
        <v/>
      </c>
      <c r="MU44" s="18">
        <f>IF('Timeline'!MU$41=1,MU$42,0)</f>
        <v/>
      </c>
      <c r="MV44" s="18">
        <f>IF('Timeline'!MV$41=1,MV$42,0)</f>
        <v/>
      </c>
      <c r="MW44" s="18">
        <f>IF('Timeline'!MW$41=1,MW$42,0)</f>
        <v/>
      </c>
      <c r="MX44" s="18">
        <f>IF('Timeline'!MX$41=1,MX$42,0)</f>
        <v/>
      </c>
      <c r="MY44" s="18">
        <f>IF('Timeline'!MY$41=1,MY$42,0)</f>
        <v/>
      </c>
      <c r="MZ44" s="18">
        <f>IF('Timeline'!MZ$41=1,MZ$42,0)</f>
        <v/>
      </c>
      <c r="NA44" s="18">
        <f>IF('Timeline'!NA$41=1,NA$42,0)</f>
        <v/>
      </c>
      <c r="NB44" s="18">
        <f>IF('Timeline'!NB$41=1,NB$42,0)</f>
        <v/>
      </c>
      <c r="NC44" s="18">
        <f>IF('Timeline'!NC$41=1,NC$42,0)</f>
        <v/>
      </c>
      <c r="ND44" s="18">
        <f>IF('Timeline'!ND$41=1,ND$42,0)</f>
        <v/>
      </c>
      <c r="NE44" s="18">
        <f>IF('Timeline'!NE$41=1,NE$42,0)</f>
        <v/>
      </c>
      <c r="NF44" s="18">
        <f>IF('Timeline'!NF$41=1,NF$42,0)</f>
        <v/>
      </c>
      <c r="NG44" s="18">
        <f>IF('Timeline'!NG$41=1,NG$42,0)</f>
        <v/>
      </c>
      <c r="NH44" s="18">
        <f>IF('Timeline'!NH$41=1,NH$42,0)</f>
        <v/>
      </c>
      <c r="NI44" s="18">
        <f>IF('Timeline'!NI$41=1,NI$42,0)</f>
        <v/>
      </c>
      <c r="NJ44" s="18">
        <f>IF('Timeline'!NJ$41=1,NJ$42,0)</f>
        <v/>
      </c>
      <c r="NK44" s="18">
        <f>IF('Timeline'!NK$41=1,NK$42,0)</f>
        <v/>
      </c>
    </row>
    <row r="46">
      <c r="A46" s="15" t="inlineStr">
        <is>
          <t>Operating Aggregates &amp; Reserve</t>
        </is>
      </c>
      <c r="B46" s="23" t="n"/>
      <c r="C46" s="23" t="n"/>
    </row>
    <row r="47">
      <c r="A47" s="5" t="inlineStr">
        <is>
          <t>Stabilized NOI before Tax (fwd 12mo)</t>
        </is>
      </c>
      <c r="B47" s="30">
        <f>SUM(INDEX(D35:NK35,StabMonth):INDEX(D35:NK35,StabMonth+11))</f>
        <v/>
      </c>
    </row>
    <row r="48">
      <c r="A48" s="5" t="inlineStr">
        <is>
          <t>Stabilized NOI (fwd 12mo)</t>
        </is>
      </c>
      <c r="B48" s="30">
        <f>SUM(INDEX(D38:NK38,StabMonth):INDEX(D38:NK38,StabMonth+11))</f>
        <v/>
      </c>
    </row>
    <row r="49">
      <c r="A49" s="5" t="inlineStr">
        <is>
          <t>Year-1 NOI (fwd 12mo from delivery)</t>
        </is>
      </c>
      <c r="B49" s="30">
        <f>SUM(INDEX(D38:NK38,DeliverStart):INDEX(D38:NK38,DeliverStart+11))</f>
        <v/>
      </c>
    </row>
    <row r="50">
      <c r="A50" s="5" t="inlineStr">
        <is>
          <t>Peak Cumulative Lease-Up Shortfall</t>
        </is>
      </c>
      <c r="B50" s="30">
        <f>MIN(0,MIN(INDEX(D43:NK43,DeliverStart):INDEX(D43:NK43,StabMonth)))</f>
        <v/>
      </c>
    </row>
    <row r="51">
      <c r="A51" s="5" t="inlineStr">
        <is>
          <t>Operating Reserve (model-calculated)</t>
        </is>
      </c>
      <c r="B51" s="30">
        <f>MAX(MAX(0,-PeakShort)*OpReserveCoverage,OpReserveMinMonths*INDEX(D37:NK37,StabMonth))</f>
        <v/>
      </c>
    </row>
    <row r="53">
      <c r="A53" s="3" t="inlineStr">
        <is>
          <t>Property Tax Engine</t>
        </is>
      </c>
      <c r="B53" s="4" t="n"/>
      <c r="C53" s="4" t="n"/>
    </row>
    <row r="54">
      <c r="A54" s="5" t="inlineStr">
        <is>
          <t>Effective Tax Rate on Value (operating)</t>
        </is>
      </c>
      <c r="B54" s="54">
        <f>TaxLevyPct*TaxAssessmentPct*TaxValueAdjFactor</f>
        <v/>
      </c>
    </row>
    <row r="55">
      <c r="A55" s="5" t="inlineStr">
        <is>
          <t>Disposition-Period Tax Rate on Value</t>
        </is>
      </c>
      <c r="B55" s="54">
        <f>IF(DispoTaxRatePct&gt;0,DispoTaxRatePct,EffTaxRateOnValue)</f>
        <v/>
      </c>
    </row>
    <row r="56">
      <c r="A56" s="5" t="inlineStr">
        <is>
          <t>Stabilized Assessed Value</t>
        </is>
      </c>
      <c r="B56" s="25">
        <f>IF((EntryCapRate+EffTaxRateOnValue)=0,0,StabNOIbt/(EntryCapRate+EffTaxRateOnValue))</f>
        <v/>
      </c>
    </row>
    <row r="57">
      <c r="A57" s="5" t="inlineStr">
        <is>
          <t>Year-1 Stabilized Tax (dynamic / override)</t>
        </is>
      </c>
      <c r="B57" s="25">
        <f>IF(TaxYear1Override&gt;0,TaxYear1Override,AssessedValueStab*EffTaxRateOnValue)</f>
        <v/>
      </c>
    </row>
    <row r="58">
      <c r="A58" s="5" t="inlineStr">
        <is>
          <t>Stabilized Annual Property Tax (fwd 12mo)</t>
        </is>
      </c>
      <c r="B58" s="25">
        <f>SUM(INDEX(D36:NK36,StabMonth):INDEX(D36:NK36,StabMonth+11))</f>
        <v/>
      </c>
    </row>
    <row r="59">
      <c r="A59" s="5" t="inlineStr">
        <is>
          <t>Tax Method (1=value / 0=income)</t>
        </is>
      </c>
      <c r="B59" s="17">
        <f>TaxMethodValue</f>
        <v/>
      </c>
    </row>
    <row r="61">
      <c r="A61" s="15" t="inlineStr">
        <is>
          <t>Long-Term Operating Cash Flow (over hold)</t>
        </is>
      </c>
      <c r="B61" s="23" t="n"/>
      <c r="C61" s="23" t="n"/>
    </row>
    <row r="62">
      <c r="A62" s="5" t="inlineStr">
        <is>
          <t>Σ Operating CF before Debt (property)</t>
        </is>
      </c>
      <c r="B62" s="30">
        <f>'Operating'!$C$42</f>
        <v/>
      </c>
    </row>
    <row r="63">
      <c r="A63" s="5" t="inlineStr">
        <is>
          <t>Σ Unlevered Operating CF (property)</t>
        </is>
      </c>
      <c r="B63" s="30">
        <f>'Operating'!$C$44</f>
        <v/>
      </c>
    </row>
    <row r="64">
      <c r="A64" s="5" t="inlineStr">
        <is>
          <t>Σ NOI over horizon</t>
        </is>
      </c>
      <c r="B64" s="30">
        <f>'Operating'!$C$38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RefiFlag*SUM(INDEX('Operating'!D$38:'Operating'!NK$38,MAX(1,RefiMonth)):INDEX('Operating'!D$38:'Operating'!NK$38,MAX(1,RefiMonth)+11))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IF('Timeline'!D$43=1,IF(PermActual360=1,PermRate*D$25/360,PermRate/12),0)</f>
        <v/>
      </c>
      <c r="E26" s="49">
        <f>IF('Timeline'!E$43=1,IF(PermActual360=1,PermRate*E$25/360,PermRate/12),0)</f>
        <v/>
      </c>
      <c r="F26" s="49">
        <f>IF('Timeline'!F$43=1,IF(PermActual360=1,PermRate*F$25/360,PermRate/12),0)</f>
        <v/>
      </c>
      <c r="G26" s="49">
        <f>IF('Timeline'!G$43=1,IF(PermActual360=1,PermRate*G$25/360,PermRate/12),0)</f>
        <v/>
      </c>
      <c r="H26" s="49">
        <f>IF('Timeline'!H$43=1,IF(PermActual360=1,PermRate*H$25/360,PermRate/12),0)</f>
        <v/>
      </c>
      <c r="I26" s="49">
        <f>IF('Timeline'!I$43=1,IF(PermActual360=1,PermRate*I$25/360,PermRate/12),0)</f>
        <v/>
      </c>
      <c r="J26" s="49">
        <f>IF('Timeline'!J$43=1,IF(PermActual360=1,PermRate*J$25/360,PermRate/12),0)</f>
        <v/>
      </c>
      <c r="K26" s="49">
        <f>IF('Timeline'!K$43=1,IF(PermActual360=1,PermRate*K$25/360,PermRate/12),0)</f>
        <v/>
      </c>
      <c r="L26" s="49">
        <f>IF('Timeline'!L$43=1,IF(PermActual360=1,PermRate*L$25/360,PermRate/12),0)</f>
        <v/>
      </c>
      <c r="M26" s="49">
        <f>IF('Timeline'!M$43=1,IF(PermActual360=1,PermRate*M$25/360,PermRate/12),0)</f>
        <v/>
      </c>
      <c r="N26" s="49">
        <f>IF('Timeline'!N$43=1,IF(PermActual360=1,PermRate*N$25/360,PermRate/12),0)</f>
        <v/>
      </c>
      <c r="O26" s="49">
        <f>IF('Timeline'!O$43=1,IF(PermActual360=1,PermRate*O$25/360,PermRate/12),0)</f>
        <v/>
      </c>
      <c r="P26" s="49">
        <f>IF('Timeline'!P$43=1,IF(PermActual360=1,PermRate*P$25/360,PermRate/12),0)</f>
        <v/>
      </c>
      <c r="Q26" s="49">
        <f>IF('Timeline'!Q$43=1,IF(PermActual360=1,PermRate*Q$25/360,PermRate/12),0)</f>
        <v/>
      </c>
      <c r="R26" s="49">
        <f>IF('Timeline'!R$43=1,IF(PermActual360=1,PermRate*R$25/360,PermRate/12),0)</f>
        <v/>
      </c>
      <c r="S26" s="49">
        <f>IF('Timeline'!S$43=1,IF(PermActual360=1,PermRate*S$25/360,PermRate/12),0)</f>
        <v/>
      </c>
      <c r="T26" s="49">
        <f>IF('Timeline'!T$43=1,IF(PermActual360=1,PermRate*T$25/360,PermRate/12),0)</f>
        <v/>
      </c>
      <c r="U26" s="49">
        <f>IF('Timeline'!U$43=1,IF(PermActual360=1,PermRate*U$25/360,PermRate/12),0)</f>
        <v/>
      </c>
      <c r="V26" s="49">
        <f>IF('Timeline'!V$43=1,IF(PermActual360=1,PermRate*V$25/360,PermRate/12),0)</f>
        <v/>
      </c>
      <c r="W26" s="49">
        <f>IF('Timeline'!W$43=1,IF(PermActual360=1,PermRate*W$25/360,PermRate/12),0)</f>
        <v/>
      </c>
      <c r="X26" s="49">
        <f>IF('Timeline'!X$43=1,IF(PermActual360=1,PermRate*X$25/360,PermRate/12),0)</f>
        <v/>
      </c>
      <c r="Y26" s="49">
        <f>IF('Timeline'!Y$43=1,IF(PermActual360=1,PermRate*Y$25/360,PermRate/12),0)</f>
        <v/>
      </c>
      <c r="Z26" s="49">
        <f>IF('Timeline'!Z$43=1,IF(PermActual360=1,PermRate*Z$25/360,PermRate/12),0)</f>
        <v/>
      </c>
      <c r="AA26" s="49">
        <f>IF('Timeline'!AA$43=1,IF(PermActual360=1,PermRate*AA$25/360,PermRate/12),0)</f>
        <v/>
      </c>
      <c r="AB26" s="49">
        <f>IF('Timeline'!AB$43=1,IF(PermActual360=1,PermRate*AB$25/360,PermRate/12),0)</f>
        <v/>
      </c>
      <c r="AC26" s="49">
        <f>IF('Timeline'!AC$43=1,IF(PermActual360=1,PermRate*AC$25/360,PermRate/12),0)</f>
        <v/>
      </c>
      <c r="AD26" s="49">
        <f>IF('Timeline'!AD$43=1,IF(PermActual360=1,PermRate*AD$25/360,PermRate/12),0)</f>
        <v/>
      </c>
      <c r="AE26" s="49">
        <f>IF('Timeline'!AE$43=1,IF(PermActual360=1,PermRate*AE$25/360,PermRate/12),0)</f>
        <v/>
      </c>
      <c r="AF26" s="49">
        <f>IF('Timeline'!AF$43=1,IF(PermActual360=1,PermRate*AF$25/360,PermRate/12),0)</f>
        <v/>
      </c>
      <c r="AG26" s="49">
        <f>IF('Timeline'!AG$43=1,IF(PermActual360=1,PermRate*AG$25/360,PermRate/12),0)</f>
        <v/>
      </c>
      <c r="AH26" s="49">
        <f>IF('Timeline'!AH$43=1,IF(PermActual360=1,PermRate*AH$25/360,PermRate/12),0)</f>
        <v/>
      </c>
      <c r="AI26" s="49">
        <f>IF('Timeline'!AI$43=1,IF(PermActual360=1,PermRate*AI$25/360,PermRate/12),0)</f>
        <v/>
      </c>
      <c r="AJ26" s="49">
        <f>IF('Timeline'!AJ$43=1,IF(PermActual360=1,PermRate*AJ$25/360,PermRate/12),0)</f>
        <v/>
      </c>
      <c r="AK26" s="49">
        <f>IF('Timeline'!AK$43=1,IF(PermActual360=1,PermRate*AK$25/360,PermRate/12),0)</f>
        <v/>
      </c>
      <c r="AL26" s="49">
        <f>IF('Timeline'!AL$43=1,IF(PermActual360=1,PermRate*AL$25/360,PermRate/12),0)</f>
        <v/>
      </c>
      <c r="AM26" s="49">
        <f>IF('Timeline'!AM$43=1,IF(PermActual360=1,PermRate*AM$25/360,PermRate/12),0)</f>
        <v/>
      </c>
      <c r="AN26" s="49">
        <f>IF('Timeline'!AN$43=1,IF(PermActual360=1,PermRate*AN$25/360,PermRate/12),0)</f>
        <v/>
      </c>
      <c r="AO26" s="49">
        <f>IF('Timeline'!AO$43=1,IF(PermActual360=1,PermRate*AO$25/360,PermRate/12),0)</f>
        <v/>
      </c>
      <c r="AP26" s="49">
        <f>IF('Timeline'!AP$43=1,IF(PermActual360=1,PermRate*AP$25/360,PermRate/12),0)</f>
        <v/>
      </c>
      <c r="AQ26" s="49">
        <f>IF('Timeline'!AQ$43=1,IF(PermActual360=1,PermRate*AQ$25/360,PermRate/12),0)</f>
        <v/>
      </c>
      <c r="AR26" s="49">
        <f>IF('Timeline'!AR$43=1,IF(PermActual360=1,PermRate*AR$25/360,PermRate/12),0)</f>
        <v/>
      </c>
      <c r="AS26" s="49">
        <f>IF('Timeline'!AS$43=1,IF(PermActual360=1,PermRate*AS$25/360,PermRate/12),0)</f>
        <v/>
      </c>
      <c r="AT26" s="49">
        <f>IF('Timeline'!AT$43=1,IF(PermActual360=1,PermRate*AT$25/360,PermRate/12),0)</f>
        <v/>
      </c>
      <c r="AU26" s="49">
        <f>IF('Timeline'!AU$43=1,IF(PermActual360=1,PermRate*AU$25/360,PermRate/12),0)</f>
        <v/>
      </c>
      <c r="AV26" s="49">
        <f>IF('Timeline'!AV$43=1,IF(PermActual360=1,PermRate*AV$25/360,PermRate/12),0)</f>
        <v/>
      </c>
      <c r="AW26" s="49">
        <f>IF('Timeline'!AW$43=1,IF(PermActual360=1,PermRate*AW$25/360,PermRate/12),0)</f>
        <v/>
      </c>
      <c r="AX26" s="49">
        <f>IF('Timeline'!AX$43=1,IF(PermActual360=1,PermRate*AX$25/360,PermRate/12),0)</f>
        <v/>
      </c>
      <c r="AY26" s="49">
        <f>IF('Timeline'!AY$43=1,IF(PermActual360=1,PermRate*AY$25/360,PermRate/12),0)</f>
        <v/>
      </c>
      <c r="AZ26" s="49">
        <f>IF('Timeline'!AZ$43=1,IF(PermActual360=1,PermRate*AZ$25/360,PermRate/12),0)</f>
        <v/>
      </c>
      <c r="BA26" s="49">
        <f>IF('Timeline'!BA$43=1,IF(PermActual360=1,PermRate*BA$25/360,PermRate/12),0)</f>
        <v/>
      </c>
      <c r="BB26" s="49">
        <f>IF('Timeline'!BB$43=1,IF(PermActual360=1,PermRate*BB$25/360,PermRate/12),0)</f>
        <v/>
      </c>
      <c r="BC26" s="49">
        <f>IF('Timeline'!BC$43=1,IF(PermActual360=1,PermRate*BC$25/360,PermRate/12),0)</f>
        <v/>
      </c>
      <c r="BD26" s="49">
        <f>IF('Timeline'!BD$43=1,IF(PermActual360=1,PermRate*BD$25/360,PermRate/12),0)</f>
        <v/>
      </c>
      <c r="BE26" s="49">
        <f>IF('Timeline'!BE$43=1,IF(PermActual360=1,PermRate*BE$25/360,PermRate/12),0)</f>
        <v/>
      </c>
      <c r="BF26" s="49">
        <f>IF('Timeline'!BF$43=1,IF(PermActual360=1,PermRate*BF$25/360,PermRate/12),0)</f>
        <v/>
      </c>
      <c r="BG26" s="49">
        <f>IF('Timeline'!BG$43=1,IF(PermActual360=1,PermRate*BG$25/360,PermRate/12),0)</f>
        <v/>
      </c>
      <c r="BH26" s="49">
        <f>IF('Timeline'!BH$43=1,IF(PermActual360=1,PermRate*BH$25/360,PermRate/12),0)</f>
        <v/>
      </c>
      <c r="BI26" s="49">
        <f>IF('Timeline'!BI$43=1,IF(PermActual360=1,PermRate*BI$25/360,PermRate/12),0)</f>
        <v/>
      </c>
      <c r="BJ26" s="49">
        <f>IF('Timeline'!BJ$43=1,IF(PermActual360=1,PermRate*BJ$25/360,PermRate/12),0)</f>
        <v/>
      </c>
      <c r="BK26" s="49">
        <f>IF('Timeline'!BK$43=1,IF(PermActual360=1,PermRate*BK$25/360,PermRate/12),0)</f>
        <v/>
      </c>
      <c r="BL26" s="49">
        <f>IF('Timeline'!BL$43=1,IF(PermActual360=1,PermRate*BL$25/360,PermRate/12),0)</f>
        <v/>
      </c>
      <c r="BM26" s="49">
        <f>IF('Timeline'!BM$43=1,IF(PermActual360=1,PermRate*BM$25/360,PermRate/12),0)</f>
        <v/>
      </c>
      <c r="BN26" s="49">
        <f>IF('Timeline'!BN$43=1,IF(PermActual360=1,PermRate*BN$25/360,PermRate/12),0)</f>
        <v/>
      </c>
      <c r="BO26" s="49">
        <f>IF('Timeline'!BO$43=1,IF(PermActual360=1,PermRate*BO$25/360,PermRate/12),0)</f>
        <v/>
      </c>
      <c r="BP26" s="49">
        <f>IF('Timeline'!BP$43=1,IF(PermActual360=1,PermRate*BP$25/360,PermRate/12),0)</f>
        <v/>
      </c>
      <c r="BQ26" s="49">
        <f>IF('Timeline'!BQ$43=1,IF(PermActual360=1,PermRate*BQ$25/360,PermRate/12),0)</f>
        <v/>
      </c>
      <c r="BR26" s="49">
        <f>IF('Timeline'!BR$43=1,IF(PermActual360=1,PermRate*BR$25/360,PermRate/12),0)</f>
        <v/>
      </c>
      <c r="BS26" s="49">
        <f>IF('Timeline'!BS$43=1,IF(PermActual360=1,PermRate*BS$25/360,PermRate/12),0)</f>
        <v/>
      </c>
      <c r="BT26" s="49">
        <f>IF('Timeline'!BT$43=1,IF(PermActual360=1,PermRate*BT$25/360,PermRate/12),0)</f>
        <v/>
      </c>
      <c r="BU26" s="49">
        <f>IF('Timeline'!BU$43=1,IF(PermActual360=1,PermRate*BU$25/360,PermRate/12),0)</f>
        <v/>
      </c>
      <c r="BV26" s="49">
        <f>IF('Timeline'!BV$43=1,IF(PermActual360=1,PermRate*BV$25/360,PermRate/12),0)</f>
        <v/>
      </c>
      <c r="BW26" s="49">
        <f>IF('Timeline'!BW$43=1,IF(PermActual360=1,PermRate*BW$25/360,PermRate/12),0)</f>
        <v/>
      </c>
      <c r="BX26" s="49">
        <f>IF('Timeline'!BX$43=1,IF(PermActual360=1,PermRate*BX$25/360,PermRate/12),0)</f>
        <v/>
      </c>
      <c r="BY26" s="49">
        <f>IF('Timeline'!BY$43=1,IF(PermActual360=1,PermRate*BY$25/360,PermRate/12),0)</f>
        <v/>
      </c>
      <c r="BZ26" s="49">
        <f>IF('Timeline'!BZ$43=1,IF(PermActual360=1,PermRate*BZ$25/360,PermRate/12),0)</f>
        <v/>
      </c>
      <c r="CA26" s="49">
        <f>IF('Timeline'!CA$43=1,IF(PermActual360=1,PermRate*CA$25/360,PermRate/12),0)</f>
        <v/>
      </c>
      <c r="CB26" s="49">
        <f>IF('Timeline'!CB$43=1,IF(PermActual360=1,PermRate*CB$25/360,PermRate/12),0)</f>
        <v/>
      </c>
      <c r="CC26" s="49">
        <f>IF('Timeline'!CC$43=1,IF(PermActual360=1,PermRate*CC$25/360,PermRate/12),0)</f>
        <v/>
      </c>
      <c r="CD26" s="49">
        <f>IF('Timeline'!CD$43=1,IF(PermActual360=1,PermRate*CD$25/360,PermRate/12),0)</f>
        <v/>
      </c>
      <c r="CE26" s="49">
        <f>IF('Timeline'!CE$43=1,IF(PermActual360=1,PermRate*CE$25/360,PermRate/12),0)</f>
        <v/>
      </c>
      <c r="CF26" s="49">
        <f>IF('Timeline'!CF$43=1,IF(PermActual360=1,PermRate*CF$25/360,PermRate/12),0)</f>
        <v/>
      </c>
      <c r="CG26" s="49">
        <f>IF('Timeline'!CG$43=1,IF(PermActual360=1,PermRate*CG$25/360,PermRate/12),0)</f>
        <v/>
      </c>
      <c r="CH26" s="49">
        <f>IF('Timeline'!CH$43=1,IF(PermActual360=1,PermRate*CH$25/360,PermRate/12),0)</f>
        <v/>
      </c>
      <c r="CI26" s="49">
        <f>IF('Timeline'!CI$43=1,IF(PermActual360=1,PermRate*CI$25/360,PermRate/12),0)</f>
        <v/>
      </c>
      <c r="CJ26" s="49">
        <f>IF('Timeline'!CJ$43=1,IF(PermActual360=1,PermRate*CJ$25/360,PermRate/12),0)</f>
        <v/>
      </c>
      <c r="CK26" s="49">
        <f>IF('Timeline'!CK$43=1,IF(PermActual360=1,PermRate*CK$25/360,PermRate/12),0)</f>
        <v/>
      </c>
      <c r="CL26" s="49">
        <f>IF('Timeline'!CL$43=1,IF(PermActual360=1,PermRate*CL$25/360,PermRate/12),0)</f>
        <v/>
      </c>
      <c r="CM26" s="49">
        <f>IF('Timeline'!CM$43=1,IF(PermActual360=1,PermRate*CM$25/360,PermRate/12),0)</f>
        <v/>
      </c>
      <c r="CN26" s="49">
        <f>IF('Timeline'!CN$43=1,IF(PermActual360=1,PermRate*CN$25/360,PermRate/12),0)</f>
        <v/>
      </c>
      <c r="CO26" s="49">
        <f>IF('Timeline'!CO$43=1,IF(PermActual360=1,PermRate*CO$25/360,PermRate/12),0)</f>
        <v/>
      </c>
      <c r="CP26" s="49">
        <f>IF('Timeline'!CP$43=1,IF(PermActual360=1,PermRate*CP$25/360,PermRate/12),0)</f>
        <v/>
      </c>
      <c r="CQ26" s="49">
        <f>IF('Timeline'!CQ$43=1,IF(PermActual360=1,PermRate*CQ$25/360,PermRate/12),0)</f>
        <v/>
      </c>
      <c r="CR26" s="49">
        <f>IF('Timeline'!CR$43=1,IF(PermActual360=1,PermRate*CR$25/360,PermRate/12),0)</f>
        <v/>
      </c>
      <c r="CS26" s="49">
        <f>IF('Timeline'!CS$43=1,IF(PermActual360=1,PermRate*CS$25/360,PermRate/12),0)</f>
        <v/>
      </c>
      <c r="CT26" s="49">
        <f>IF('Timeline'!CT$43=1,IF(PermActual360=1,PermRate*CT$25/360,PermRate/12),0)</f>
        <v/>
      </c>
      <c r="CU26" s="49">
        <f>IF('Timeline'!CU$43=1,IF(PermActual360=1,PermRate*CU$25/360,PermRate/12),0)</f>
        <v/>
      </c>
      <c r="CV26" s="49">
        <f>IF('Timeline'!CV$43=1,IF(PermActual360=1,PermRate*CV$25/360,PermRate/12),0)</f>
        <v/>
      </c>
      <c r="CW26" s="49">
        <f>IF('Timeline'!CW$43=1,IF(PermActual360=1,PermRate*CW$25/360,PermRate/12),0)</f>
        <v/>
      </c>
      <c r="CX26" s="49">
        <f>IF('Timeline'!CX$43=1,IF(PermActual360=1,PermRate*CX$25/360,PermRate/12),0)</f>
        <v/>
      </c>
      <c r="CY26" s="49">
        <f>IF('Timeline'!CY$43=1,IF(PermActual360=1,PermRate*CY$25/360,PermRate/12),0)</f>
        <v/>
      </c>
      <c r="CZ26" s="49">
        <f>IF('Timeline'!CZ$43=1,IF(PermActual360=1,PermRate*CZ$25/360,PermRate/12),0)</f>
        <v/>
      </c>
      <c r="DA26" s="49">
        <f>IF('Timeline'!DA$43=1,IF(PermActual360=1,PermRate*DA$25/360,PermRate/12),0)</f>
        <v/>
      </c>
      <c r="DB26" s="49">
        <f>IF('Timeline'!DB$43=1,IF(PermActual360=1,PermRate*DB$25/360,PermRate/12),0)</f>
        <v/>
      </c>
      <c r="DC26" s="49">
        <f>IF('Timeline'!DC$43=1,IF(PermActual360=1,PermRate*DC$25/360,PermRate/12),0)</f>
        <v/>
      </c>
      <c r="DD26" s="49">
        <f>IF('Timeline'!DD$43=1,IF(PermActual360=1,PermRate*DD$25/360,PermRate/12),0)</f>
        <v/>
      </c>
      <c r="DE26" s="49">
        <f>IF('Timeline'!DE$43=1,IF(PermActual360=1,PermRate*DE$25/360,PermRate/12),0)</f>
        <v/>
      </c>
      <c r="DF26" s="49">
        <f>IF('Timeline'!DF$43=1,IF(PermActual360=1,PermRate*DF$25/360,PermRate/12),0)</f>
        <v/>
      </c>
      <c r="DG26" s="49">
        <f>IF('Timeline'!DG$43=1,IF(PermActual360=1,PermRate*DG$25/360,PermRate/12),0)</f>
        <v/>
      </c>
      <c r="DH26" s="49">
        <f>IF('Timeline'!DH$43=1,IF(PermActual360=1,PermRate*DH$25/360,PermRate/12),0)</f>
        <v/>
      </c>
      <c r="DI26" s="49">
        <f>IF('Timeline'!DI$43=1,IF(PermActual360=1,PermRate*DI$25/360,PermRate/12),0)</f>
        <v/>
      </c>
      <c r="DJ26" s="49">
        <f>IF('Timeline'!DJ$43=1,IF(PermActual360=1,PermRate*DJ$25/360,PermRate/12),0)</f>
        <v/>
      </c>
      <c r="DK26" s="49">
        <f>IF('Timeline'!DK$43=1,IF(PermActual360=1,PermRate*DK$25/360,PermRate/12),0)</f>
        <v/>
      </c>
      <c r="DL26" s="49">
        <f>IF('Timeline'!DL$43=1,IF(PermActual360=1,PermRate*DL$25/360,PermRate/12),0)</f>
        <v/>
      </c>
      <c r="DM26" s="49">
        <f>IF('Timeline'!DM$43=1,IF(PermActual360=1,PermRate*DM$25/360,PermRate/12),0)</f>
        <v/>
      </c>
      <c r="DN26" s="49">
        <f>IF('Timeline'!DN$43=1,IF(PermActual360=1,PermRate*DN$25/360,PermRate/12),0)</f>
        <v/>
      </c>
      <c r="DO26" s="49">
        <f>IF('Timeline'!DO$43=1,IF(PermActual360=1,PermRate*DO$25/360,PermRate/12),0)</f>
        <v/>
      </c>
      <c r="DP26" s="49">
        <f>IF('Timeline'!DP$43=1,IF(PermActual360=1,PermRate*DP$25/360,PermRate/12),0)</f>
        <v/>
      </c>
      <c r="DQ26" s="49">
        <f>IF('Timeline'!DQ$43=1,IF(PermActual360=1,PermRate*DQ$25/360,PermRate/12),0)</f>
        <v/>
      </c>
      <c r="DR26" s="49">
        <f>IF('Timeline'!DR$43=1,IF(PermActual360=1,PermRate*DR$25/360,PermRate/12),0)</f>
        <v/>
      </c>
      <c r="DS26" s="49">
        <f>IF('Timeline'!DS$43=1,IF(PermActual360=1,PermRate*DS$25/360,PermRate/12),0)</f>
        <v/>
      </c>
      <c r="DT26" s="49">
        <f>IF('Timeline'!DT$43=1,IF(PermActual360=1,PermRate*DT$25/360,PermRate/12),0)</f>
        <v/>
      </c>
      <c r="DU26" s="49">
        <f>IF('Timeline'!DU$43=1,IF(PermActual360=1,PermRate*DU$25/360,PermRate/12),0)</f>
        <v/>
      </c>
      <c r="DV26" s="49">
        <f>IF('Timeline'!DV$43=1,IF(PermActual360=1,PermRate*DV$25/360,PermRate/12),0)</f>
        <v/>
      </c>
      <c r="DW26" s="49">
        <f>IF('Timeline'!DW$43=1,IF(PermActual360=1,PermRate*DW$25/360,PermRate/12),0)</f>
        <v/>
      </c>
      <c r="DX26" s="49">
        <f>IF('Timeline'!DX$43=1,IF(PermActual360=1,PermRate*DX$25/360,PermRate/12),0)</f>
        <v/>
      </c>
      <c r="DY26" s="49">
        <f>IF('Timeline'!DY$43=1,IF(PermActual360=1,PermRate*DY$25/360,PermRate/12),0)</f>
        <v/>
      </c>
      <c r="DZ26" s="49">
        <f>IF('Timeline'!DZ$43=1,IF(PermActual360=1,PermRate*DZ$25/360,PermRate/12),0)</f>
        <v/>
      </c>
      <c r="EA26" s="49">
        <f>IF('Timeline'!EA$43=1,IF(PermActual360=1,PermRate*EA$25/360,PermRate/12),0)</f>
        <v/>
      </c>
      <c r="EB26" s="49">
        <f>IF('Timeline'!EB$43=1,IF(PermActual360=1,PermRate*EB$25/360,PermRate/12),0)</f>
        <v/>
      </c>
      <c r="EC26" s="49">
        <f>IF('Timeline'!EC$43=1,IF(PermActual360=1,PermRate*EC$25/360,PermRate/12),0)</f>
        <v/>
      </c>
      <c r="ED26" s="49">
        <f>IF('Timeline'!ED$43=1,IF(PermActual360=1,PermRate*ED$25/360,PermRate/12),0)</f>
        <v/>
      </c>
      <c r="EE26" s="49">
        <f>IF('Timeline'!EE$43=1,IF(PermActual360=1,PermRate*EE$25/360,PermRate/12),0)</f>
        <v/>
      </c>
      <c r="EF26" s="49">
        <f>IF('Timeline'!EF$43=1,IF(PermActual360=1,PermRate*EF$25/360,PermRate/12),0)</f>
        <v/>
      </c>
      <c r="EG26" s="49">
        <f>IF('Timeline'!EG$43=1,IF(PermActual360=1,PermRate*EG$25/360,PermRate/12),0)</f>
        <v/>
      </c>
      <c r="EH26" s="49">
        <f>IF('Timeline'!EH$43=1,IF(PermActual360=1,PermRate*EH$25/360,PermRate/12),0)</f>
        <v/>
      </c>
      <c r="EI26" s="49">
        <f>IF('Timeline'!EI$43=1,IF(PermActual360=1,PermRate*EI$25/360,PermRate/12),0)</f>
        <v/>
      </c>
      <c r="EJ26" s="49">
        <f>IF('Timeline'!EJ$43=1,IF(PermActual360=1,PermRate*EJ$25/360,PermRate/12),0)</f>
        <v/>
      </c>
      <c r="EK26" s="49">
        <f>IF('Timeline'!EK$43=1,IF(PermActual360=1,PermRate*EK$25/360,PermRate/12),0)</f>
        <v/>
      </c>
      <c r="EL26" s="49">
        <f>IF('Timeline'!EL$43=1,IF(PermActual360=1,PermRate*EL$25/360,PermRate/12),0)</f>
        <v/>
      </c>
      <c r="EM26" s="49">
        <f>IF('Timeline'!EM$43=1,IF(PermActual360=1,PermRate*EM$25/360,PermRate/12),0)</f>
        <v/>
      </c>
      <c r="EN26" s="49">
        <f>IF('Timeline'!EN$43=1,IF(PermActual360=1,PermRate*EN$25/360,PermRate/12),0)</f>
        <v/>
      </c>
      <c r="EO26" s="49">
        <f>IF('Timeline'!EO$43=1,IF(PermActual360=1,PermRate*EO$25/360,PermRate/12),0)</f>
        <v/>
      </c>
      <c r="EP26" s="49">
        <f>IF('Timeline'!EP$43=1,IF(PermActual360=1,PermRate*EP$25/360,PermRate/12),0)</f>
        <v/>
      </c>
      <c r="EQ26" s="49">
        <f>IF('Timeline'!EQ$43=1,IF(PermActual360=1,PermRate*EQ$25/360,PermRate/12),0)</f>
        <v/>
      </c>
      <c r="ER26" s="49">
        <f>IF('Timeline'!ER$43=1,IF(PermActual360=1,PermRate*ER$25/360,PermRate/12),0)</f>
        <v/>
      </c>
      <c r="ES26" s="49">
        <f>IF('Timeline'!ES$43=1,IF(PermActual360=1,PermRate*ES$25/360,PermRate/12),0)</f>
        <v/>
      </c>
      <c r="ET26" s="49">
        <f>IF('Timeline'!ET$43=1,IF(PermActual360=1,PermRate*ET$25/360,PermRate/12),0)</f>
        <v/>
      </c>
      <c r="EU26" s="49">
        <f>IF('Timeline'!EU$43=1,IF(PermActual360=1,PermRate*EU$25/360,PermRate/12),0)</f>
        <v/>
      </c>
      <c r="EV26" s="49">
        <f>IF('Timeline'!EV$43=1,IF(PermActual360=1,PermRate*EV$25/360,PermRate/12),0)</f>
        <v/>
      </c>
      <c r="EW26" s="49">
        <f>IF('Timeline'!EW$43=1,IF(PermActual360=1,PermRate*EW$25/360,PermRate/12),0)</f>
        <v/>
      </c>
      <c r="EX26" s="49">
        <f>IF('Timeline'!EX$43=1,IF(PermActual360=1,PermRate*EX$25/360,PermRate/12),0)</f>
        <v/>
      </c>
      <c r="EY26" s="49">
        <f>IF('Timeline'!EY$43=1,IF(PermActual360=1,PermRate*EY$25/360,PermRate/12),0)</f>
        <v/>
      </c>
      <c r="EZ26" s="49">
        <f>IF('Timeline'!EZ$43=1,IF(PermActual360=1,PermRate*EZ$25/360,PermRate/12),0)</f>
        <v/>
      </c>
      <c r="FA26" s="49">
        <f>IF('Timeline'!FA$43=1,IF(PermActual360=1,PermRate*FA$25/360,PermRate/12),0)</f>
        <v/>
      </c>
      <c r="FB26" s="49">
        <f>IF('Timeline'!FB$43=1,IF(PermActual360=1,PermRate*FB$25/360,PermRate/12),0)</f>
        <v/>
      </c>
      <c r="FC26" s="49">
        <f>IF('Timeline'!FC$43=1,IF(PermActual360=1,PermRate*FC$25/360,PermRate/12),0)</f>
        <v/>
      </c>
      <c r="FD26" s="49">
        <f>IF('Timeline'!FD$43=1,IF(PermActual360=1,PermRate*FD$25/360,PermRate/12),0)</f>
        <v/>
      </c>
      <c r="FE26" s="49">
        <f>IF('Timeline'!FE$43=1,IF(PermActual360=1,PermRate*FE$25/360,PermRate/12),0)</f>
        <v/>
      </c>
      <c r="FF26" s="49">
        <f>IF('Timeline'!FF$43=1,IF(PermActual360=1,PermRate*FF$25/360,PermRate/12),0)</f>
        <v/>
      </c>
      <c r="FG26" s="49">
        <f>IF('Timeline'!FG$43=1,IF(PermActual360=1,PermRate*FG$25/360,PermRate/12),0)</f>
        <v/>
      </c>
      <c r="FH26" s="49">
        <f>IF('Timeline'!FH$43=1,IF(PermActual360=1,PermRate*FH$25/360,PermRate/12),0)</f>
        <v/>
      </c>
      <c r="FI26" s="49">
        <f>IF('Timeline'!FI$43=1,IF(PermActual360=1,PermRate*FI$25/360,PermRate/12),0)</f>
        <v/>
      </c>
      <c r="FJ26" s="49">
        <f>IF('Timeline'!FJ$43=1,IF(PermActual360=1,PermRate*FJ$25/360,PermRate/12),0)</f>
        <v/>
      </c>
      <c r="FK26" s="49">
        <f>IF('Timeline'!FK$43=1,IF(PermActual360=1,PermRate*FK$25/360,PermRate/12),0)</f>
        <v/>
      </c>
      <c r="FL26" s="49">
        <f>IF('Timeline'!FL$43=1,IF(PermActual360=1,PermRate*FL$25/360,PermRate/12),0)</f>
        <v/>
      </c>
      <c r="FM26" s="49">
        <f>IF('Timeline'!FM$43=1,IF(PermActual360=1,PermRate*FM$25/360,PermRate/12),0)</f>
        <v/>
      </c>
      <c r="FN26" s="49">
        <f>IF('Timeline'!FN$43=1,IF(PermActual360=1,PermRate*FN$25/360,PermRate/12),0)</f>
        <v/>
      </c>
      <c r="FO26" s="49">
        <f>IF('Timeline'!FO$43=1,IF(PermActual360=1,PermRate*FO$25/360,PermRate/12),0)</f>
        <v/>
      </c>
      <c r="FP26" s="49">
        <f>IF('Timeline'!FP$43=1,IF(PermActual360=1,PermRate*FP$25/360,PermRate/12),0)</f>
        <v/>
      </c>
      <c r="FQ26" s="49">
        <f>IF('Timeline'!FQ$43=1,IF(PermActual360=1,PermRate*FQ$25/360,PermRate/12),0)</f>
        <v/>
      </c>
      <c r="FR26" s="49">
        <f>IF('Timeline'!FR$43=1,IF(PermActual360=1,PermRate*FR$25/360,PermRate/12),0)</f>
        <v/>
      </c>
      <c r="FS26" s="49">
        <f>IF('Timeline'!FS$43=1,IF(PermActual360=1,PermRate*FS$25/360,PermRate/12),0)</f>
        <v/>
      </c>
      <c r="FT26" s="49">
        <f>IF('Timeline'!FT$43=1,IF(PermActual360=1,PermRate*FT$25/360,PermRate/12),0)</f>
        <v/>
      </c>
      <c r="FU26" s="49">
        <f>IF('Timeline'!FU$43=1,IF(PermActual360=1,PermRate*FU$25/360,PermRate/12),0)</f>
        <v/>
      </c>
      <c r="FV26" s="49">
        <f>IF('Timeline'!FV$43=1,IF(PermActual360=1,PermRate*FV$25/360,PermRate/12),0)</f>
        <v/>
      </c>
      <c r="FW26" s="49">
        <f>IF('Timeline'!FW$43=1,IF(PermActual360=1,PermRate*FW$25/360,PermRate/12),0)</f>
        <v/>
      </c>
      <c r="FX26" s="49">
        <f>IF('Timeline'!FX$43=1,IF(PermActual360=1,PermRate*FX$25/360,PermRate/12),0)</f>
        <v/>
      </c>
      <c r="FY26" s="49">
        <f>IF('Timeline'!FY$43=1,IF(PermActual360=1,PermRate*FY$25/360,PermRate/12),0)</f>
        <v/>
      </c>
      <c r="FZ26" s="49">
        <f>IF('Timeline'!FZ$43=1,IF(PermActual360=1,PermRate*FZ$25/360,PermRate/12),0)</f>
        <v/>
      </c>
      <c r="GA26" s="49">
        <f>IF('Timeline'!GA$43=1,IF(PermActual360=1,PermRate*GA$25/360,PermRate/12),0)</f>
        <v/>
      </c>
      <c r="GB26" s="49">
        <f>IF('Timeline'!GB$43=1,IF(PermActual360=1,PermRate*GB$25/360,PermRate/12),0)</f>
        <v/>
      </c>
      <c r="GC26" s="49">
        <f>IF('Timeline'!GC$43=1,IF(PermActual360=1,PermRate*GC$25/360,PermRate/12),0)</f>
        <v/>
      </c>
      <c r="GD26" s="49">
        <f>IF('Timeline'!GD$43=1,IF(PermActual360=1,PermRate*GD$25/360,PermRate/12),0)</f>
        <v/>
      </c>
      <c r="GE26" s="49">
        <f>IF('Timeline'!GE$43=1,IF(PermActual360=1,PermRate*GE$25/360,PermRate/12),0)</f>
        <v/>
      </c>
      <c r="GF26" s="49">
        <f>IF('Timeline'!GF$43=1,IF(PermActual360=1,PermRate*GF$25/360,PermRate/12),0)</f>
        <v/>
      </c>
      <c r="GG26" s="49">
        <f>IF('Timeline'!GG$43=1,IF(PermActual360=1,PermRate*GG$25/360,PermRate/12),0)</f>
        <v/>
      </c>
      <c r="GH26" s="49">
        <f>IF('Timeline'!GH$43=1,IF(PermActual360=1,PermRate*GH$25/360,PermRate/12),0)</f>
        <v/>
      </c>
      <c r="GI26" s="49">
        <f>IF('Timeline'!GI$43=1,IF(PermActual360=1,PermRate*GI$25/360,PermRate/12),0)</f>
        <v/>
      </c>
      <c r="GJ26" s="49">
        <f>IF('Timeline'!GJ$43=1,IF(PermActual360=1,PermRate*GJ$25/360,PermRate/12),0)</f>
        <v/>
      </c>
      <c r="GK26" s="49">
        <f>IF('Timeline'!GK$43=1,IF(PermActual360=1,PermRate*GK$25/360,PermRate/12),0)</f>
        <v/>
      </c>
      <c r="GL26" s="49">
        <f>IF('Timeline'!GL$43=1,IF(PermActual360=1,PermRate*GL$25/360,PermRate/12),0)</f>
        <v/>
      </c>
      <c r="GM26" s="49">
        <f>IF('Timeline'!GM$43=1,IF(PermActual360=1,PermRate*GM$25/360,PermRate/12),0)</f>
        <v/>
      </c>
      <c r="GN26" s="49">
        <f>IF('Timeline'!GN$43=1,IF(PermActual360=1,PermRate*GN$25/360,PermRate/12),0)</f>
        <v/>
      </c>
      <c r="GO26" s="49">
        <f>IF('Timeline'!GO$43=1,IF(PermActual360=1,PermRate*GO$25/360,PermRate/12),0)</f>
        <v/>
      </c>
      <c r="GP26" s="49">
        <f>IF('Timeline'!GP$43=1,IF(PermActual360=1,PermRate*GP$25/360,PermRate/12),0)</f>
        <v/>
      </c>
      <c r="GQ26" s="49">
        <f>IF('Timeline'!GQ$43=1,IF(PermActual360=1,PermRate*GQ$25/360,PermRate/12),0)</f>
        <v/>
      </c>
      <c r="GR26" s="49">
        <f>IF('Timeline'!GR$43=1,IF(PermActual360=1,PermRate*GR$25/360,PermRate/12),0)</f>
        <v/>
      </c>
      <c r="GS26" s="49">
        <f>IF('Timeline'!GS$43=1,IF(PermActual360=1,PermRate*GS$25/360,PermRate/12),0)</f>
        <v/>
      </c>
      <c r="GT26" s="49">
        <f>IF('Timeline'!GT$43=1,IF(PermActual360=1,PermRate*GT$25/360,PermRate/12),0)</f>
        <v/>
      </c>
      <c r="GU26" s="49">
        <f>IF('Timeline'!GU$43=1,IF(PermActual360=1,PermRate*GU$25/360,PermRate/12),0)</f>
        <v/>
      </c>
      <c r="GV26" s="49">
        <f>IF('Timeline'!GV$43=1,IF(PermActual360=1,PermRate*GV$25/360,PermRate/12),0)</f>
        <v/>
      </c>
      <c r="GW26" s="49">
        <f>IF('Timeline'!GW$43=1,IF(PermActual360=1,PermRate*GW$25/360,PermRate/12),0)</f>
        <v/>
      </c>
      <c r="GX26" s="49">
        <f>IF('Timeline'!GX$43=1,IF(PermActual360=1,PermRate*GX$25/360,PermRate/12),0)</f>
        <v/>
      </c>
      <c r="GY26" s="49">
        <f>IF('Timeline'!GY$43=1,IF(PermActual360=1,PermRate*GY$25/360,PermRate/12),0)</f>
        <v/>
      </c>
      <c r="GZ26" s="49">
        <f>IF('Timeline'!GZ$43=1,IF(PermActual360=1,PermRate*GZ$25/360,PermRate/12),0)</f>
        <v/>
      </c>
      <c r="HA26" s="49">
        <f>IF('Timeline'!HA$43=1,IF(PermActual360=1,PermRate*HA$25/360,PermRate/12),0)</f>
        <v/>
      </c>
      <c r="HB26" s="49">
        <f>IF('Timeline'!HB$43=1,IF(PermActual360=1,PermRate*HB$25/360,PermRate/12),0)</f>
        <v/>
      </c>
      <c r="HC26" s="49">
        <f>IF('Timeline'!HC$43=1,IF(PermActual360=1,PermRate*HC$25/360,PermRate/12),0)</f>
        <v/>
      </c>
      <c r="HD26" s="49">
        <f>IF('Timeline'!HD$43=1,IF(PermActual360=1,PermRate*HD$25/360,PermRate/12),0)</f>
        <v/>
      </c>
      <c r="HE26" s="49">
        <f>IF('Timeline'!HE$43=1,IF(PermActual360=1,PermRate*HE$25/360,PermRate/12),0)</f>
        <v/>
      </c>
      <c r="HF26" s="49">
        <f>IF('Timeline'!HF$43=1,IF(PermActual360=1,PermRate*HF$25/360,PermRate/12),0)</f>
        <v/>
      </c>
      <c r="HG26" s="49">
        <f>IF('Timeline'!HG$43=1,IF(PermActual360=1,PermRate*HG$25/360,PermRate/12),0)</f>
        <v/>
      </c>
      <c r="HH26" s="49">
        <f>IF('Timeline'!HH$43=1,IF(PermActual360=1,PermRate*HH$25/360,PermRate/12),0)</f>
        <v/>
      </c>
      <c r="HI26" s="49">
        <f>IF('Timeline'!HI$43=1,IF(PermActual360=1,PermRate*HI$25/360,PermRate/12),0)</f>
        <v/>
      </c>
      <c r="HJ26" s="49">
        <f>IF('Timeline'!HJ$43=1,IF(PermActual360=1,PermRate*HJ$25/360,PermRate/12),0)</f>
        <v/>
      </c>
      <c r="HK26" s="49">
        <f>IF('Timeline'!HK$43=1,IF(PermActual360=1,PermRate*HK$25/360,PermRate/12),0)</f>
        <v/>
      </c>
      <c r="HL26" s="49">
        <f>IF('Timeline'!HL$43=1,IF(PermActual360=1,PermRate*HL$25/360,PermRate/12),0)</f>
        <v/>
      </c>
      <c r="HM26" s="49">
        <f>IF('Timeline'!HM$43=1,IF(PermActual360=1,PermRate*HM$25/360,PermRate/12),0)</f>
        <v/>
      </c>
      <c r="HN26" s="49">
        <f>IF('Timeline'!HN$43=1,IF(PermActual360=1,PermRate*HN$25/360,PermRate/12),0)</f>
        <v/>
      </c>
      <c r="HO26" s="49">
        <f>IF('Timeline'!HO$43=1,IF(PermActual360=1,PermRate*HO$25/360,PermRate/12),0)</f>
        <v/>
      </c>
      <c r="HP26" s="49">
        <f>IF('Timeline'!HP$43=1,IF(PermActual360=1,PermRate*HP$25/360,PermRate/12),0)</f>
        <v/>
      </c>
      <c r="HQ26" s="49">
        <f>IF('Timeline'!HQ$43=1,IF(PermActual360=1,PermRate*HQ$25/360,PermRate/12),0)</f>
        <v/>
      </c>
      <c r="HR26" s="49">
        <f>IF('Timeline'!HR$43=1,IF(PermActual360=1,PermRate*HR$25/360,PermRate/12),0)</f>
        <v/>
      </c>
      <c r="HS26" s="49">
        <f>IF('Timeline'!HS$43=1,IF(PermActual360=1,PermRate*HS$25/360,PermRate/12),0)</f>
        <v/>
      </c>
      <c r="HT26" s="49">
        <f>IF('Timeline'!HT$43=1,IF(PermActual360=1,PermRate*HT$25/360,PermRate/12),0)</f>
        <v/>
      </c>
      <c r="HU26" s="49">
        <f>IF('Timeline'!HU$43=1,IF(PermActual360=1,PermRate*HU$25/360,PermRate/12),0)</f>
        <v/>
      </c>
      <c r="HV26" s="49">
        <f>IF('Timeline'!HV$43=1,IF(PermActual360=1,PermRate*HV$25/360,PermRate/12),0)</f>
        <v/>
      </c>
      <c r="HW26" s="49">
        <f>IF('Timeline'!HW$43=1,IF(PermActual360=1,PermRate*HW$25/360,PermRate/12),0)</f>
        <v/>
      </c>
      <c r="HX26" s="49">
        <f>IF('Timeline'!HX$43=1,IF(PermActual360=1,PermRate*HX$25/360,PermRate/12),0)</f>
        <v/>
      </c>
      <c r="HY26" s="49">
        <f>IF('Timeline'!HY$43=1,IF(PermActual360=1,PermRate*HY$25/360,PermRate/12),0)</f>
        <v/>
      </c>
      <c r="HZ26" s="49">
        <f>IF('Timeline'!HZ$43=1,IF(PermActual360=1,PermRate*HZ$25/360,PermRate/12),0)</f>
        <v/>
      </c>
      <c r="IA26" s="49">
        <f>IF('Timeline'!IA$43=1,IF(PermActual360=1,PermRate*IA$25/360,PermRate/12),0)</f>
        <v/>
      </c>
      <c r="IB26" s="49">
        <f>IF('Timeline'!IB$43=1,IF(PermActual360=1,PermRate*IB$25/360,PermRate/12),0)</f>
        <v/>
      </c>
      <c r="IC26" s="49">
        <f>IF('Timeline'!IC$43=1,IF(PermActual360=1,PermRate*IC$25/360,PermRate/12),0)</f>
        <v/>
      </c>
      <c r="ID26" s="49">
        <f>IF('Timeline'!ID$43=1,IF(PermActual360=1,PermRate*ID$25/360,PermRate/12),0)</f>
        <v/>
      </c>
      <c r="IE26" s="49">
        <f>IF('Timeline'!IE$43=1,IF(PermActual360=1,PermRate*IE$25/360,PermRate/12),0)</f>
        <v/>
      </c>
      <c r="IF26" s="49">
        <f>IF('Timeline'!IF$43=1,IF(PermActual360=1,PermRate*IF$25/360,PermRate/12),0)</f>
        <v/>
      </c>
      <c r="IG26" s="49">
        <f>IF('Timeline'!IG$43=1,IF(PermActual360=1,PermRate*IG$25/360,PermRate/12),0)</f>
        <v/>
      </c>
      <c r="IH26" s="49">
        <f>IF('Timeline'!IH$43=1,IF(PermActual360=1,PermRate*IH$25/360,PermRate/12),0)</f>
        <v/>
      </c>
      <c r="II26" s="49">
        <f>IF('Timeline'!II$43=1,IF(PermActual360=1,PermRate*II$25/360,PermRate/12),0)</f>
        <v/>
      </c>
      <c r="IJ26" s="49">
        <f>IF('Timeline'!IJ$43=1,IF(PermActual360=1,PermRate*IJ$25/360,PermRate/12),0)</f>
        <v/>
      </c>
      <c r="IK26" s="49">
        <f>IF('Timeline'!IK$43=1,IF(PermActual360=1,PermRate*IK$25/360,PermRate/12),0)</f>
        <v/>
      </c>
      <c r="IL26" s="49">
        <f>IF('Timeline'!IL$43=1,IF(PermActual360=1,PermRate*IL$25/360,PermRate/12),0)</f>
        <v/>
      </c>
      <c r="IM26" s="49">
        <f>IF('Timeline'!IM$43=1,IF(PermActual360=1,PermRate*IM$25/360,PermRate/12),0)</f>
        <v/>
      </c>
      <c r="IN26" s="49">
        <f>IF('Timeline'!IN$43=1,IF(PermActual360=1,PermRate*IN$25/360,PermRate/12),0)</f>
        <v/>
      </c>
      <c r="IO26" s="49">
        <f>IF('Timeline'!IO$43=1,IF(PermActual360=1,PermRate*IO$25/360,PermRate/12),0)</f>
        <v/>
      </c>
      <c r="IP26" s="49">
        <f>IF('Timeline'!IP$43=1,IF(PermActual360=1,PermRate*IP$25/360,PermRate/12),0)</f>
        <v/>
      </c>
      <c r="IQ26" s="49">
        <f>IF('Timeline'!IQ$43=1,IF(PermActual360=1,PermRate*IQ$25/360,PermRate/12),0)</f>
        <v/>
      </c>
      <c r="IR26" s="49">
        <f>IF('Timeline'!IR$43=1,IF(PermActual360=1,PermRate*IR$25/360,PermRate/12),0)</f>
        <v/>
      </c>
      <c r="IS26" s="49">
        <f>IF('Timeline'!IS$43=1,IF(PermActual360=1,PermRate*IS$25/360,PermRate/12),0)</f>
        <v/>
      </c>
      <c r="IT26" s="49">
        <f>IF('Timeline'!IT$43=1,IF(PermActual360=1,PermRate*IT$25/360,PermRate/12),0)</f>
        <v/>
      </c>
      <c r="IU26" s="49">
        <f>IF('Timeline'!IU$43=1,IF(PermActual360=1,PermRate*IU$25/360,PermRate/12),0)</f>
        <v/>
      </c>
      <c r="IV26" s="49">
        <f>IF('Timeline'!IV$43=1,IF(PermActual360=1,PermRate*IV$25/360,PermRate/12),0)</f>
        <v/>
      </c>
      <c r="IW26" s="49">
        <f>IF('Timeline'!IW$43=1,IF(PermActual360=1,PermRate*IW$25/360,PermRate/12),0)</f>
        <v/>
      </c>
      <c r="IX26" s="49">
        <f>IF('Timeline'!IX$43=1,IF(PermActual360=1,PermRate*IX$25/360,PermRate/12),0)</f>
        <v/>
      </c>
      <c r="IY26" s="49">
        <f>IF('Timeline'!IY$43=1,IF(PermActual360=1,PermRate*IY$25/360,PermRate/12),0)</f>
        <v/>
      </c>
      <c r="IZ26" s="49">
        <f>IF('Timeline'!IZ$43=1,IF(PermActual360=1,PermRate*IZ$25/360,PermRate/12),0)</f>
        <v/>
      </c>
      <c r="JA26" s="49">
        <f>IF('Timeline'!JA$43=1,IF(PermActual360=1,PermRate*JA$25/360,PermRate/12),0)</f>
        <v/>
      </c>
      <c r="JB26" s="49">
        <f>IF('Timeline'!JB$43=1,IF(PermActual360=1,PermRate*JB$25/360,PermRate/12),0)</f>
        <v/>
      </c>
      <c r="JC26" s="49">
        <f>IF('Timeline'!JC$43=1,IF(PermActual360=1,PermRate*JC$25/360,PermRate/12),0)</f>
        <v/>
      </c>
      <c r="JD26" s="49">
        <f>IF('Timeline'!JD$43=1,IF(PermActual360=1,PermRate*JD$25/360,PermRate/12),0)</f>
        <v/>
      </c>
      <c r="JE26" s="49">
        <f>IF('Timeline'!JE$43=1,IF(PermActual360=1,PermRate*JE$25/360,PermRate/12),0)</f>
        <v/>
      </c>
      <c r="JF26" s="49">
        <f>IF('Timeline'!JF$43=1,IF(PermActual360=1,PermRate*JF$25/360,PermRate/12),0)</f>
        <v/>
      </c>
      <c r="JG26" s="49">
        <f>IF('Timeline'!JG$43=1,IF(PermActual360=1,PermRate*JG$25/360,PermRate/12),0)</f>
        <v/>
      </c>
      <c r="JH26" s="49">
        <f>IF('Timeline'!JH$43=1,IF(PermActual360=1,PermRate*JH$25/360,PermRate/12),0)</f>
        <v/>
      </c>
      <c r="JI26" s="49">
        <f>IF('Timeline'!JI$43=1,IF(PermActual360=1,PermRate*JI$25/360,PermRate/12),0)</f>
        <v/>
      </c>
      <c r="JJ26" s="49">
        <f>IF('Timeline'!JJ$43=1,IF(PermActual360=1,PermRate*JJ$25/360,PermRate/12),0)</f>
        <v/>
      </c>
      <c r="JK26" s="49">
        <f>IF('Timeline'!JK$43=1,IF(PermActual360=1,PermRate*JK$25/360,PermRate/12),0)</f>
        <v/>
      </c>
      <c r="JL26" s="49">
        <f>IF('Timeline'!JL$43=1,IF(PermActual360=1,PermRate*JL$25/360,PermRate/12),0)</f>
        <v/>
      </c>
      <c r="JM26" s="49">
        <f>IF('Timeline'!JM$43=1,IF(PermActual360=1,PermRate*JM$25/360,PermRate/12),0)</f>
        <v/>
      </c>
      <c r="JN26" s="49">
        <f>IF('Timeline'!JN$43=1,IF(PermActual360=1,PermRate*JN$25/360,PermRate/12),0)</f>
        <v/>
      </c>
      <c r="JO26" s="49">
        <f>IF('Timeline'!JO$43=1,IF(PermActual360=1,PermRate*JO$25/360,PermRate/12),0)</f>
        <v/>
      </c>
      <c r="JP26" s="49">
        <f>IF('Timeline'!JP$43=1,IF(PermActual360=1,PermRate*JP$25/360,PermRate/12),0)</f>
        <v/>
      </c>
      <c r="JQ26" s="49">
        <f>IF('Timeline'!JQ$43=1,IF(PermActual360=1,PermRate*JQ$25/360,PermRate/12),0)</f>
        <v/>
      </c>
      <c r="JR26" s="49">
        <f>IF('Timeline'!JR$43=1,IF(PermActual360=1,PermRate*JR$25/360,PermRate/12),0)</f>
        <v/>
      </c>
      <c r="JS26" s="49">
        <f>IF('Timeline'!JS$43=1,IF(PermActual360=1,PermRate*JS$25/360,PermRate/12),0)</f>
        <v/>
      </c>
      <c r="JT26" s="49">
        <f>IF('Timeline'!JT$43=1,IF(PermActual360=1,PermRate*JT$25/360,PermRate/12),0)</f>
        <v/>
      </c>
      <c r="JU26" s="49">
        <f>IF('Timeline'!JU$43=1,IF(PermActual360=1,PermRate*JU$25/360,PermRate/12),0)</f>
        <v/>
      </c>
      <c r="JV26" s="49">
        <f>IF('Timeline'!JV$43=1,IF(PermActual360=1,PermRate*JV$25/360,PermRate/12),0)</f>
        <v/>
      </c>
      <c r="JW26" s="49">
        <f>IF('Timeline'!JW$43=1,IF(PermActual360=1,PermRate*JW$25/360,PermRate/12),0)</f>
        <v/>
      </c>
      <c r="JX26" s="49">
        <f>IF('Timeline'!JX$43=1,IF(PermActual360=1,PermRate*JX$25/360,PermRate/12),0)</f>
        <v/>
      </c>
      <c r="JY26" s="49">
        <f>IF('Timeline'!JY$43=1,IF(PermActual360=1,PermRate*JY$25/360,PermRate/12),0)</f>
        <v/>
      </c>
      <c r="JZ26" s="49">
        <f>IF('Timeline'!JZ$43=1,IF(PermActual360=1,PermRate*JZ$25/360,PermRate/12),0)</f>
        <v/>
      </c>
      <c r="KA26" s="49">
        <f>IF('Timeline'!KA$43=1,IF(PermActual360=1,PermRate*KA$25/360,PermRate/12),0)</f>
        <v/>
      </c>
      <c r="KB26" s="49">
        <f>IF('Timeline'!KB$43=1,IF(PermActual360=1,PermRate*KB$25/360,PermRate/12),0)</f>
        <v/>
      </c>
      <c r="KC26" s="49">
        <f>IF('Timeline'!KC$43=1,IF(PermActual360=1,PermRate*KC$25/360,PermRate/12),0)</f>
        <v/>
      </c>
      <c r="KD26" s="49">
        <f>IF('Timeline'!KD$43=1,IF(PermActual360=1,PermRate*KD$25/360,PermRate/12),0)</f>
        <v/>
      </c>
      <c r="KE26" s="49">
        <f>IF('Timeline'!KE$43=1,IF(PermActual360=1,PermRate*KE$25/360,PermRate/12),0)</f>
        <v/>
      </c>
      <c r="KF26" s="49">
        <f>IF('Timeline'!KF$43=1,IF(PermActual360=1,PermRate*KF$25/360,PermRate/12),0)</f>
        <v/>
      </c>
      <c r="KG26" s="49">
        <f>IF('Timeline'!KG$43=1,IF(PermActual360=1,PermRate*KG$25/360,PermRate/12),0)</f>
        <v/>
      </c>
      <c r="KH26" s="49">
        <f>IF('Timeline'!KH$43=1,IF(PermActual360=1,PermRate*KH$25/360,PermRate/12),0)</f>
        <v/>
      </c>
      <c r="KI26" s="49">
        <f>IF('Timeline'!KI$43=1,IF(PermActual360=1,PermRate*KI$25/360,PermRate/12),0)</f>
        <v/>
      </c>
      <c r="KJ26" s="49">
        <f>IF('Timeline'!KJ$43=1,IF(PermActual360=1,PermRate*KJ$25/360,PermRate/12),0)</f>
        <v/>
      </c>
      <c r="KK26" s="49">
        <f>IF('Timeline'!KK$43=1,IF(PermActual360=1,PermRate*KK$25/360,PermRate/12),0)</f>
        <v/>
      </c>
      <c r="KL26" s="49">
        <f>IF('Timeline'!KL$43=1,IF(PermActual360=1,PermRate*KL$25/360,PermRate/12),0)</f>
        <v/>
      </c>
      <c r="KM26" s="49">
        <f>IF('Timeline'!KM$43=1,IF(PermActual360=1,PermRate*KM$25/360,PermRate/12),0)</f>
        <v/>
      </c>
      <c r="KN26" s="49">
        <f>IF('Timeline'!KN$43=1,IF(PermActual360=1,PermRate*KN$25/360,PermRate/12),0)</f>
        <v/>
      </c>
      <c r="KO26" s="49">
        <f>IF('Timeline'!KO$43=1,IF(PermActual360=1,PermRate*KO$25/360,PermRate/12),0)</f>
        <v/>
      </c>
      <c r="KP26" s="49">
        <f>IF('Timeline'!KP$43=1,IF(PermActual360=1,PermRate*KP$25/360,PermRate/12),0)</f>
        <v/>
      </c>
      <c r="KQ26" s="49">
        <f>IF('Timeline'!KQ$43=1,IF(PermActual360=1,PermRate*KQ$25/360,PermRate/12),0)</f>
        <v/>
      </c>
      <c r="KR26" s="49">
        <f>IF('Timeline'!KR$43=1,IF(PermActual360=1,PermRate*KR$25/360,PermRate/12),0)</f>
        <v/>
      </c>
      <c r="KS26" s="49">
        <f>IF('Timeline'!KS$43=1,IF(PermActual360=1,PermRate*KS$25/360,PermRate/12),0)</f>
        <v/>
      </c>
      <c r="KT26" s="49">
        <f>IF('Timeline'!KT$43=1,IF(PermActual360=1,PermRate*KT$25/360,PermRate/12),0)</f>
        <v/>
      </c>
      <c r="KU26" s="49">
        <f>IF('Timeline'!KU$43=1,IF(PermActual360=1,PermRate*KU$25/360,PermRate/12),0)</f>
        <v/>
      </c>
      <c r="KV26" s="49">
        <f>IF('Timeline'!KV$43=1,IF(PermActual360=1,PermRate*KV$25/360,PermRate/12),0)</f>
        <v/>
      </c>
      <c r="KW26" s="49">
        <f>IF('Timeline'!KW$43=1,IF(PermActual360=1,PermRate*KW$25/360,PermRate/12),0)</f>
        <v/>
      </c>
      <c r="KX26" s="49">
        <f>IF('Timeline'!KX$43=1,IF(PermActual360=1,PermRate*KX$25/360,PermRate/12),0)</f>
        <v/>
      </c>
      <c r="KY26" s="49">
        <f>IF('Timeline'!KY$43=1,IF(PermActual360=1,PermRate*KY$25/360,PermRate/12),0)</f>
        <v/>
      </c>
      <c r="KZ26" s="49">
        <f>IF('Timeline'!KZ$43=1,IF(PermActual360=1,PermRate*KZ$25/360,PermRate/12),0)</f>
        <v/>
      </c>
      <c r="LA26" s="49">
        <f>IF('Timeline'!LA$43=1,IF(PermActual360=1,PermRate*LA$25/360,PermRate/12),0)</f>
        <v/>
      </c>
      <c r="LB26" s="49">
        <f>IF('Timeline'!LB$43=1,IF(PermActual360=1,PermRate*LB$25/360,PermRate/12),0)</f>
        <v/>
      </c>
      <c r="LC26" s="49">
        <f>IF('Timeline'!LC$43=1,IF(PermActual360=1,PermRate*LC$25/360,PermRate/12),0)</f>
        <v/>
      </c>
      <c r="LD26" s="49">
        <f>IF('Timeline'!LD$43=1,IF(PermActual360=1,PermRate*LD$25/360,PermRate/12),0)</f>
        <v/>
      </c>
      <c r="LE26" s="49">
        <f>IF('Timeline'!LE$43=1,IF(PermActual360=1,PermRate*LE$25/360,PermRate/12),0)</f>
        <v/>
      </c>
      <c r="LF26" s="49">
        <f>IF('Timeline'!LF$43=1,IF(PermActual360=1,PermRate*LF$25/360,PermRate/12),0)</f>
        <v/>
      </c>
      <c r="LG26" s="49">
        <f>IF('Timeline'!LG$43=1,IF(PermActual360=1,PermRate*LG$25/360,PermRate/12),0)</f>
        <v/>
      </c>
      <c r="LH26" s="49">
        <f>IF('Timeline'!LH$43=1,IF(PermActual360=1,PermRate*LH$25/360,PermRate/12),0)</f>
        <v/>
      </c>
      <c r="LI26" s="49">
        <f>IF('Timeline'!LI$43=1,IF(PermActual360=1,PermRate*LI$25/360,PermRate/12),0)</f>
        <v/>
      </c>
      <c r="LJ26" s="49">
        <f>IF('Timeline'!LJ$43=1,IF(PermActual360=1,PermRate*LJ$25/360,PermRate/12),0)</f>
        <v/>
      </c>
      <c r="LK26" s="49">
        <f>IF('Timeline'!LK$43=1,IF(PermActual360=1,PermRate*LK$25/360,PermRate/12),0)</f>
        <v/>
      </c>
      <c r="LL26" s="49">
        <f>IF('Timeline'!LL$43=1,IF(PermActual360=1,PermRate*LL$25/360,PermRate/12),0)</f>
        <v/>
      </c>
      <c r="LM26" s="49">
        <f>IF('Timeline'!LM$43=1,IF(PermActual360=1,PermRate*LM$25/360,PermRate/12),0)</f>
        <v/>
      </c>
      <c r="LN26" s="49">
        <f>IF('Timeline'!LN$43=1,IF(PermActual360=1,PermRate*LN$25/360,PermRate/12),0)</f>
        <v/>
      </c>
      <c r="LO26" s="49">
        <f>IF('Timeline'!LO$43=1,IF(PermActual360=1,PermRate*LO$25/360,PermRate/12),0)</f>
        <v/>
      </c>
      <c r="LP26" s="49">
        <f>IF('Timeline'!LP$43=1,IF(PermActual360=1,PermRate*LP$25/360,PermRate/12),0)</f>
        <v/>
      </c>
      <c r="LQ26" s="49">
        <f>IF('Timeline'!LQ$43=1,IF(PermActual360=1,PermRate*LQ$25/360,PermRate/12),0)</f>
        <v/>
      </c>
      <c r="LR26" s="49">
        <f>IF('Timeline'!LR$43=1,IF(PermActual360=1,PermRate*LR$25/360,PermRate/12),0)</f>
        <v/>
      </c>
      <c r="LS26" s="49">
        <f>IF('Timeline'!LS$43=1,IF(PermActual360=1,PermRate*LS$25/360,PermRate/12),0)</f>
        <v/>
      </c>
      <c r="LT26" s="49">
        <f>IF('Timeline'!LT$43=1,IF(PermActual360=1,PermRate*LT$25/360,PermRate/12),0)</f>
        <v/>
      </c>
      <c r="LU26" s="49">
        <f>IF('Timeline'!LU$43=1,IF(PermActual360=1,PermRate*LU$25/360,PermRate/12),0)</f>
        <v/>
      </c>
      <c r="LV26" s="49">
        <f>IF('Timeline'!LV$43=1,IF(PermActual360=1,PermRate*LV$25/360,PermRate/12),0)</f>
        <v/>
      </c>
      <c r="LW26" s="49">
        <f>IF('Timeline'!LW$43=1,IF(PermActual360=1,PermRate*LW$25/360,PermRate/12),0)</f>
        <v/>
      </c>
      <c r="LX26" s="49">
        <f>IF('Timeline'!LX$43=1,IF(PermActual360=1,PermRate*LX$25/360,PermRate/12),0)</f>
        <v/>
      </c>
      <c r="LY26" s="49">
        <f>IF('Timeline'!LY$43=1,IF(PermActual360=1,PermRate*LY$25/360,PermRate/12),0)</f>
        <v/>
      </c>
      <c r="LZ26" s="49">
        <f>IF('Timeline'!LZ$43=1,IF(PermActual360=1,PermRate*LZ$25/360,PermRate/12),0)</f>
        <v/>
      </c>
      <c r="MA26" s="49">
        <f>IF('Timeline'!MA$43=1,IF(PermActual360=1,PermRate*MA$25/360,PermRate/12),0)</f>
        <v/>
      </c>
      <c r="MB26" s="49">
        <f>IF('Timeline'!MB$43=1,IF(PermActual360=1,PermRate*MB$25/360,PermRate/12),0)</f>
        <v/>
      </c>
      <c r="MC26" s="49">
        <f>IF('Timeline'!MC$43=1,IF(PermActual360=1,PermRate*MC$25/360,PermRate/12),0)</f>
        <v/>
      </c>
      <c r="MD26" s="49">
        <f>IF('Timeline'!MD$43=1,IF(PermActual360=1,PermRate*MD$25/360,PermRate/12),0)</f>
        <v/>
      </c>
      <c r="ME26" s="49">
        <f>IF('Timeline'!ME$43=1,IF(PermActual360=1,PermRate*ME$25/360,PermRate/12),0)</f>
        <v/>
      </c>
      <c r="MF26" s="49">
        <f>IF('Timeline'!MF$43=1,IF(PermActual360=1,PermRate*MF$25/360,PermRate/12),0)</f>
        <v/>
      </c>
      <c r="MG26" s="49">
        <f>IF('Timeline'!MG$43=1,IF(PermActual360=1,PermRate*MG$25/360,PermRate/12),0)</f>
        <v/>
      </c>
      <c r="MH26" s="49">
        <f>IF('Timeline'!MH$43=1,IF(PermActual360=1,PermRate*MH$25/360,PermRate/12),0)</f>
        <v/>
      </c>
      <c r="MI26" s="49">
        <f>IF('Timeline'!MI$43=1,IF(PermActual360=1,PermRate*MI$25/360,PermRate/12),0)</f>
        <v/>
      </c>
      <c r="MJ26" s="49">
        <f>IF('Timeline'!MJ$43=1,IF(PermActual360=1,PermRate*MJ$25/360,PermRate/12),0)</f>
        <v/>
      </c>
      <c r="MK26" s="49">
        <f>IF('Timeline'!MK$43=1,IF(PermActual360=1,PermRate*MK$25/360,PermRate/12),0)</f>
        <v/>
      </c>
      <c r="ML26" s="49">
        <f>IF('Timeline'!ML$43=1,IF(PermActual360=1,PermRate*ML$25/360,PermRate/12),0)</f>
        <v/>
      </c>
      <c r="MM26" s="49">
        <f>IF('Timeline'!MM$43=1,IF(PermActual360=1,PermRate*MM$25/360,PermRate/12),0)</f>
        <v/>
      </c>
      <c r="MN26" s="49">
        <f>IF('Timeline'!MN$43=1,IF(PermActual360=1,PermRate*MN$25/360,PermRate/12),0)</f>
        <v/>
      </c>
      <c r="MO26" s="49">
        <f>IF('Timeline'!MO$43=1,IF(PermActual360=1,PermRate*MO$25/360,PermRate/12),0)</f>
        <v/>
      </c>
      <c r="MP26" s="49">
        <f>IF('Timeline'!MP$43=1,IF(PermActual360=1,PermRate*MP$25/360,PermRate/12),0)</f>
        <v/>
      </c>
      <c r="MQ26" s="49">
        <f>IF('Timeline'!MQ$43=1,IF(PermActual360=1,PermRate*MQ$25/360,PermRate/12),0)</f>
        <v/>
      </c>
      <c r="MR26" s="49">
        <f>IF('Timeline'!MR$43=1,IF(PermActual360=1,PermRate*MR$25/360,PermRate/12),0)</f>
        <v/>
      </c>
      <c r="MS26" s="49">
        <f>IF('Timeline'!MS$43=1,IF(PermActual360=1,PermRate*MS$25/360,PermRate/12),0)</f>
        <v/>
      </c>
      <c r="MT26" s="49">
        <f>IF('Timeline'!MT$43=1,IF(PermActual360=1,PermRate*MT$25/360,PermRate/12),0)</f>
        <v/>
      </c>
      <c r="MU26" s="49">
        <f>IF('Timeline'!MU$43=1,IF(PermActual360=1,PermRate*MU$25/360,PermRate/12),0)</f>
        <v/>
      </c>
      <c r="MV26" s="49">
        <f>IF('Timeline'!MV$43=1,IF(PermActual360=1,PermRate*MV$25/360,PermRate/12),0)</f>
        <v/>
      </c>
      <c r="MW26" s="49">
        <f>IF('Timeline'!MW$43=1,IF(PermActual360=1,PermRate*MW$25/360,PermRate/12),0)</f>
        <v/>
      </c>
      <c r="MX26" s="49">
        <f>IF('Timeline'!MX$43=1,IF(PermActual360=1,PermRate*MX$25/360,PermRate/12),0)</f>
        <v/>
      </c>
      <c r="MY26" s="49">
        <f>IF('Timeline'!MY$43=1,IF(PermActual360=1,PermRate*MY$25/360,PermRate/12),0)</f>
        <v/>
      </c>
      <c r="MZ26" s="49">
        <f>IF('Timeline'!MZ$43=1,IF(PermActual360=1,PermRate*MZ$25/360,PermRate/12),0)</f>
        <v/>
      </c>
      <c r="NA26" s="49">
        <f>IF('Timeline'!NA$43=1,IF(PermActual360=1,PermRate*NA$25/360,PermRate/12),0)</f>
        <v/>
      </c>
      <c r="NB26" s="49">
        <f>IF('Timeline'!NB$43=1,IF(PermActual360=1,PermRate*NB$25/360,PermRate/12),0)</f>
        <v/>
      </c>
      <c r="NC26" s="49">
        <f>IF('Timeline'!NC$43=1,IF(PermActual360=1,PermRate*NC$25/360,PermRate/12),0)</f>
        <v/>
      </c>
      <c r="ND26" s="49">
        <f>IF('Timeline'!ND$43=1,IF(PermActual360=1,PermRate*ND$25/360,PermRate/12),0)</f>
        <v/>
      </c>
      <c r="NE26" s="49">
        <f>IF('Timeline'!NE$43=1,IF(PermActual360=1,PermRate*NE$25/360,PermRate/12),0)</f>
        <v/>
      </c>
      <c r="NF26" s="49">
        <f>IF('Timeline'!NF$43=1,IF(PermActual360=1,PermRate*NF$25/360,PermRate/12),0)</f>
        <v/>
      </c>
      <c r="NG26" s="49">
        <f>IF('Timeline'!NG$43=1,IF(PermActual360=1,PermRate*NG$25/360,PermRate/12),0)</f>
        <v/>
      </c>
      <c r="NH26" s="49">
        <f>IF('Timeline'!NH$43=1,IF(PermActual360=1,PermRate*NH$25/360,PermRate/12),0)</f>
        <v/>
      </c>
      <c r="NI26" s="49">
        <f>IF('Timeline'!NI$43=1,IF(PermActual360=1,PermRate*NI$25/360,PermRate/12),0)</f>
        <v/>
      </c>
      <c r="NJ26" s="49">
        <f>IF('Timeline'!NJ$43=1,IF(PermActual360=1,PermRate*NJ$25/360,PermRate/12),0)</f>
        <v/>
      </c>
      <c r="NK26" s="49">
        <f>IF('Timeline'!NK$43=1,IF(PermActual360=1,PermRate*NK$25/360,PermRate/12),0)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IF(OR(1&lt;=RefiMonth+PermIOMonths,'Timeline'!D$43=0),0,MIN(0,PermPmt-D$27))</f>
        <v/>
      </c>
      <c r="E28" s="18">
        <f>IF(OR(2&lt;=RefiMonth+PermIOMonths,'Timeline'!E$43=0),0,MIN(D$30,PermPmt-E$27))</f>
        <v/>
      </c>
      <c r="F28" s="18">
        <f>IF(OR(3&lt;=RefiMonth+PermIOMonths,'Timeline'!F$43=0),0,MIN(E$30,PermPmt-F$27))</f>
        <v/>
      </c>
      <c r="G28" s="18">
        <f>IF(OR(4&lt;=RefiMonth+PermIOMonths,'Timeline'!G$43=0),0,MIN(F$30,PermPmt-G$27))</f>
        <v/>
      </c>
      <c r="H28" s="18">
        <f>IF(OR(5&lt;=RefiMonth+PermIOMonths,'Timeline'!H$43=0),0,MIN(G$30,PermPmt-H$27))</f>
        <v/>
      </c>
      <c r="I28" s="18">
        <f>IF(OR(6&lt;=RefiMonth+PermIOMonths,'Timeline'!I$43=0),0,MIN(H$30,PermPmt-I$27))</f>
        <v/>
      </c>
      <c r="J28" s="18">
        <f>IF(OR(7&lt;=RefiMonth+PermIOMonths,'Timeline'!J$43=0),0,MIN(I$30,PermPmt-J$27))</f>
        <v/>
      </c>
      <c r="K28" s="18">
        <f>IF(OR(8&lt;=RefiMonth+PermIOMonths,'Timeline'!K$43=0),0,MIN(J$30,PermPmt-K$27))</f>
        <v/>
      </c>
      <c r="L28" s="18">
        <f>IF(OR(9&lt;=RefiMonth+PermIOMonths,'Timeline'!L$43=0),0,MIN(K$30,PermPmt-L$27))</f>
        <v/>
      </c>
      <c r="M28" s="18">
        <f>IF(OR(10&lt;=RefiMonth+PermIOMonths,'Timeline'!M$43=0),0,MIN(L$30,PermPmt-M$27))</f>
        <v/>
      </c>
      <c r="N28" s="18">
        <f>IF(OR(11&lt;=RefiMonth+PermIOMonths,'Timeline'!N$43=0),0,MIN(M$30,PermPmt-N$27))</f>
        <v/>
      </c>
      <c r="O28" s="18">
        <f>IF(OR(12&lt;=RefiMonth+PermIOMonths,'Timeline'!O$43=0),0,MIN(N$30,PermPmt-O$27))</f>
        <v/>
      </c>
      <c r="P28" s="18">
        <f>IF(OR(13&lt;=RefiMonth+PermIOMonths,'Timeline'!P$43=0),0,MIN(O$30,PermPmt-P$27))</f>
        <v/>
      </c>
      <c r="Q28" s="18">
        <f>IF(OR(14&lt;=RefiMonth+PermIOMonths,'Timeline'!Q$43=0),0,MIN(P$30,PermPmt-Q$27))</f>
        <v/>
      </c>
      <c r="R28" s="18">
        <f>IF(OR(15&lt;=RefiMonth+PermIOMonths,'Timeline'!R$43=0),0,MIN(Q$30,PermPmt-R$27))</f>
        <v/>
      </c>
      <c r="S28" s="18">
        <f>IF(OR(16&lt;=RefiMonth+PermIOMonths,'Timeline'!S$43=0),0,MIN(R$30,PermPmt-S$27))</f>
        <v/>
      </c>
      <c r="T28" s="18">
        <f>IF(OR(17&lt;=RefiMonth+PermIOMonths,'Timeline'!T$43=0),0,MIN(S$30,PermPmt-T$27))</f>
        <v/>
      </c>
      <c r="U28" s="18">
        <f>IF(OR(18&lt;=RefiMonth+PermIOMonths,'Timeline'!U$43=0),0,MIN(T$30,PermPmt-U$27))</f>
        <v/>
      </c>
      <c r="V28" s="18">
        <f>IF(OR(19&lt;=RefiMonth+PermIOMonths,'Timeline'!V$43=0),0,MIN(U$30,PermPmt-V$27))</f>
        <v/>
      </c>
      <c r="W28" s="18">
        <f>IF(OR(20&lt;=RefiMonth+PermIOMonths,'Timeline'!W$43=0),0,MIN(V$30,PermPmt-W$27))</f>
        <v/>
      </c>
      <c r="X28" s="18">
        <f>IF(OR(21&lt;=RefiMonth+PermIOMonths,'Timeline'!X$43=0),0,MIN(W$30,PermPmt-X$27))</f>
        <v/>
      </c>
      <c r="Y28" s="18">
        <f>IF(OR(22&lt;=RefiMonth+PermIOMonths,'Timeline'!Y$43=0),0,MIN(X$30,PermPmt-Y$27))</f>
        <v/>
      </c>
      <c r="Z28" s="18">
        <f>IF(OR(23&lt;=RefiMonth+PermIOMonths,'Timeline'!Z$43=0),0,MIN(Y$30,PermPmt-Z$27))</f>
        <v/>
      </c>
      <c r="AA28" s="18">
        <f>IF(OR(24&lt;=RefiMonth+PermIOMonths,'Timeline'!AA$43=0),0,MIN(Z$30,PermPmt-AA$27))</f>
        <v/>
      </c>
      <c r="AB28" s="18">
        <f>IF(OR(25&lt;=RefiMonth+PermIOMonths,'Timeline'!AB$43=0),0,MIN(AA$30,PermPmt-AB$27))</f>
        <v/>
      </c>
      <c r="AC28" s="18">
        <f>IF(OR(26&lt;=RefiMonth+PermIOMonths,'Timeline'!AC$43=0),0,MIN(AB$30,PermPmt-AC$27))</f>
        <v/>
      </c>
      <c r="AD28" s="18">
        <f>IF(OR(27&lt;=RefiMonth+PermIOMonths,'Timeline'!AD$43=0),0,MIN(AC$30,PermPmt-AD$27))</f>
        <v/>
      </c>
      <c r="AE28" s="18">
        <f>IF(OR(28&lt;=RefiMonth+PermIOMonths,'Timeline'!AE$43=0),0,MIN(AD$30,PermPmt-AE$27))</f>
        <v/>
      </c>
      <c r="AF28" s="18">
        <f>IF(OR(29&lt;=RefiMonth+PermIOMonths,'Timeline'!AF$43=0),0,MIN(AE$30,PermPmt-AF$27))</f>
        <v/>
      </c>
      <c r="AG28" s="18">
        <f>IF(OR(30&lt;=RefiMonth+PermIOMonths,'Timeline'!AG$43=0),0,MIN(AF$30,PermPmt-AG$27))</f>
        <v/>
      </c>
      <c r="AH28" s="18">
        <f>IF(OR(31&lt;=RefiMonth+PermIOMonths,'Timeline'!AH$43=0),0,MIN(AG$30,PermPmt-AH$27))</f>
        <v/>
      </c>
      <c r="AI28" s="18">
        <f>IF(OR(32&lt;=RefiMonth+PermIOMonths,'Timeline'!AI$43=0),0,MIN(AH$30,PermPmt-AI$27))</f>
        <v/>
      </c>
      <c r="AJ28" s="18">
        <f>IF(OR(33&lt;=RefiMonth+PermIOMonths,'Timeline'!AJ$43=0),0,MIN(AI$30,PermPmt-AJ$27))</f>
        <v/>
      </c>
      <c r="AK28" s="18">
        <f>IF(OR(34&lt;=RefiMonth+PermIOMonths,'Timeline'!AK$43=0),0,MIN(AJ$30,PermPmt-AK$27))</f>
        <v/>
      </c>
      <c r="AL28" s="18">
        <f>IF(OR(35&lt;=RefiMonth+PermIOMonths,'Timeline'!AL$43=0),0,MIN(AK$30,PermPmt-AL$27))</f>
        <v/>
      </c>
      <c r="AM28" s="18">
        <f>IF(OR(36&lt;=RefiMonth+PermIOMonths,'Timeline'!AM$43=0),0,MIN(AL$30,PermPmt-AM$27))</f>
        <v/>
      </c>
      <c r="AN28" s="18">
        <f>IF(OR(37&lt;=RefiMonth+PermIOMonths,'Timeline'!AN$43=0),0,MIN(AM$30,PermPmt-AN$27))</f>
        <v/>
      </c>
      <c r="AO28" s="18">
        <f>IF(OR(38&lt;=RefiMonth+PermIOMonths,'Timeline'!AO$43=0),0,MIN(AN$30,PermPmt-AO$27))</f>
        <v/>
      </c>
      <c r="AP28" s="18">
        <f>IF(OR(39&lt;=RefiMonth+PermIOMonths,'Timeline'!AP$43=0),0,MIN(AO$30,PermPmt-AP$27))</f>
        <v/>
      </c>
      <c r="AQ28" s="18">
        <f>IF(OR(40&lt;=RefiMonth+PermIOMonths,'Timeline'!AQ$43=0),0,MIN(AP$30,PermPmt-AQ$27))</f>
        <v/>
      </c>
      <c r="AR28" s="18">
        <f>IF(OR(41&lt;=RefiMonth+PermIOMonths,'Timeline'!AR$43=0),0,MIN(AQ$30,PermPmt-AR$27))</f>
        <v/>
      </c>
      <c r="AS28" s="18">
        <f>IF(OR(42&lt;=RefiMonth+PermIOMonths,'Timeline'!AS$43=0),0,MIN(AR$30,PermPmt-AS$27))</f>
        <v/>
      </c>
      <c r="AT28" s="18">
        <f>IF(OR(43&lt;=RefiMonth+PermIOMonths,'Timeline'!AT$43=0),0,MIN(AS$30,PermPmt-AT$27))</f>
        <v/>
      </c>
      <c r="AU28" s="18">
        <f>IF(OR(44&lt;=RefiMonth+PermIOMonths,'Timeline'!AU$43=0),0,MIN(AT$30,PermPmt-AU$27))</f>
        <v/>
      </c>
      <c r="AV28" s="18">
        <f>IF(OR(45&lt;=RefiMonth+PermIOMonths,'Timeline'!AV$43=0),0,MIN(AU$30,PermPmt-AV$27))</f>
        <v/>
      </c>
      <c r="AW28" s="18">
        <f>IF(OR(46&lt;=RefiMonth+PermIOMonths,'Timeline'!AW$43=0),0,MIN(AV$30,PermPmt-AW$27))</f>
        <v/>
      </c>
      <c r="AX28" s="18">
        <f>IF(OR(47&lt;=RefiMonth+PermIOMonths,'Timeline'!AX$43=0),0,MIN(AW$30,PermPmt-AX$27))</f>
        <v/>
      </c>
      <c r="AY28" s="18">
        <f>IF(OR(48&lt;=RefiMonth+PermIOMonths,'Timeline'!AY$43=0),0,MIN(AX$30,PermPmt-AY$27))</f>
        <v/>
      </c>
      <c r="AZ28" s="18">
        <f>IF(OR(49&lt;=RefiMonth+PermIOMonths,'Timeline'!AZ$43=0),0,MIN(AY$30,PermPmt-AZ$27))</f>
        <v/>
      </c>
      <c r="BA28" s="18">
        <f>IF(OR(50&lt;=RefiMonth+PermIOMonths,'Timeline'!BA$43=0),0,MIN(AZ$30,PermPmt-BA$27))</f>
        <v/>
      </c>
      <c r="BB28" s="18">
        <f>IF(OR(51&lt;=RefiMonth+PermIOMonths,'Timeline'!BB$43=0),0,MIN(BA$30,PermPmt-BB$27))</f>
        <v/>
      </c>
      <c r="BC28" s="18">
        <f>IF(OR(52&lt;=RefiMonth+PermIOMonths,'Timeline'!BC$43=0),0,MIN(BB$30,PermPmt-BC$27))</f>
        <v/>
      </c>
      <c r="BD28" s="18">
        <f>IF(OR(53&lt;=RefiMonth+PermIOMonths,'Timeline'!BD$43=0),0,MIN(BC$30,PermPmt-BD$27))</f>
        <v/>
      </c>
      <c r="BE28" s="18">
        <f>IF(OR(54&lt;=RefiMonth+PermIOMonths,'Timeline'!BE$43=0),0,MIN(BD$30,PermPmt-BE$27))</f>
        <v/>
      </c>
      <c r="BF28" s="18">
        <f>IF(OR(55&lt;=RefiMonth+PermIOMonths,'Timeline'!BF$43=0),0,MIN(BE$30,PermPmt-BF$27))</f>
        <v/>
      </c>
      <c r="BG28" s="18">
        <f>IF(OR(56&lt;=RefiMonth+PermIOMonths,'Timeline'!BG$43=0),0,MIN(BF$30,PermPmt-BG$27))</f>
        <v/>
      </c>
      <c r="BH28" s="18">
        <f>IF(OR(57&lt;=RefiMonth+PermIOMonths,'Timeline'!BH$43=0),0,MIN(BG$30,PermPmt-BH$27))</f>
        <v/>
      </c>
      <c r="BI28" s="18">
        <f>IF(OR(58&lt;=RefiMonth+PermIOMonths,'Timeline'!BI$43=0),0,MIN(BH$30,PermPmt-BI$27))</f>
        <v/>
      </c>
      <c r="BJ28" s="18">
        <f>IF(OR(59&lt;=RefiMonth+PermIOMonths,'Timeline'!BJ$43=0),0,MIN(BI$30,PermPmt-BJ$27))</f>
        <v/>
      </c>
      <c r="BK28" s="18">
        <f>IF(OR(60&lt;=RefiMonth+PermIOMonths,'Timeline'!BK$43=0),0,MIN(BJ$30,PermPmt-BK$27))</f>
        <v/>
      </c>
      <c r="BL28" s="18">
        <f>IF(OR(61&lt;=RefiMonth+PermIOMonths,'Timeline'!BL$43=0),0,MIN(BK$30,PermPmt-BL$27))</f>
        <v/>
      </c>
      <c r="BM28" s="18">
        <f>IF(OR(62&lt;=RefiMonth+PermIOMonths,'Timeline'!BM$43=0),0,MIN(BL$30,PermPmt-BM$27))</f>
        <v/>
      </c>
      <c r="BN28" s="18">
        <f>IF(OR(63&lt;=RefiMonth+PermIOMonths,'Timeline'!BN$43=0),0,MIN(BM$30,PermPmt-BN$27))</f>
        <v/>
      </c>
      <c r="BO28" s="18">
        <f>IF(OR(64&lt;=RefiMonth+PermIOMonths,'Timeline'!BO$43=0),0,MIN(BN$30,PermPmt-BO$27))</f>
        <v/>
      </c>
      <c r="BP28" s="18">
        <f>IF(OR(65&lt;=RefiMonth+PermIOMonths,'Timeline'!BP$43=0),0,MIN(BO$30,PermPmt-BP$27))</f>
        <v/>
      </c>
      <c r="BQ28" s="18">
        <f>IF(OR(66&lt;=RefiMonth+PermIOMonths,'Timeline'!BQ$43=0),0,MIN(BP$30,PermPmt-BQ$27))</f>
        <v/>
      </c>
      <c r="BR28" s="18">
        <f>IF(OR(67&lt;=RefiMonth+PermIOMonths,'Timeline'!BR$43=0),0,MIN(BQ$30,PermPmt-BR$27))</f>
        <v/>
      </c>
      <c r="BS28" s="18">
        <f>IF(OR(68&lt;=RefiMonth+PermIOMonths,'Timeline'!BS$43=0),0,MIN(BR$30,PermPmt-BS$27))</f>
        <v/>
      </c>
      <c r="BT28" s="18">
        <f>IF(OR(69&lt;=RefiMonth+PermIOMonths,'Timeline'!BT$43=0),0,MIN(BS$30,PermPmt-BT$27))</f>
        <v/>
      </c>
      <c r="BU28" s="18">
        <f>IF(OR(70&lt;=RefiMonth+PermIOMonths,'Timeline'!BU$43=0),0,MIN(BT$30,PermPmt-BU$27))</f>
        <v/>
      </c>
      <c r="BV28" s="18">
        <f>IF(OR(71&lt;=RefiMonth+PermIOMonths,'Timeline'!BV$43=0),0,MIN(BU$30,PermPmt-BV$27))</f>
        <v/>
      </c>
      <c r="BW28" s="18">
        <f>IF(OR(72&lt;=RefiMonth+PermIOMonths,'Timeline'!BW$43=0),0,MIN(BV$30,PermPmt-BW$27))</f>
        <v/>
      </c>
      <c r="BX28" s="18">
        <f>IF(OR(73&lt;=RefiMonth+PermIOMonths,'Timeline'!BX$43=0),0,MIN(BW$30,PermPmt-BX$27))</f>
        <v/>
      </c>
      <c r="BY28" s="18">
        <f>IF(OR(74&lt;=RefiMonth+PermIOMonths,'Timeline'!BY$43=0),0,MIN(BX$30,PermPmt-BY$27))</f>
        <v/>
      </c>
      <c r="BZ28" s="18">
        <f>IF(OR(75&lt;=RefiMonth+PermIOMonths,'Timeline'!BZ$43=0),0,MIN(BY$30,PermPmt-BZ$27))</f>
        <v/>
      </c>
      <c r="CA28" s="18">
        <f>IF(OR(76&lt;=RefiMonth+PermIOMonths,'Timeline'!CA$43=0),0,MIN(BZ$30,PermPmt-CA$27))</f>
        <v/>
      </c>
      <c r="CB28" s="18">
        <f>IF(OR(77&lt;=RefiMonth+PermIOMonths,'Timeline'!CB$43=0),0,MIN(CA$30,PermPmt-CB$27))</f>
        <v/>
      </c>
      <c r="CC28" s="18">
        <f>IF(OR(78&lt;=RefiMonth+PermIOMonths,'Timeline'!CC$43=0),0,MIN(CB$30,PermPmt-CC$27))</f>
        <v/>
      </c>
      <c r="CD28" s="18">
        <f>IF(OR(79&lt;=RefiMonth+PermIOMonths,'Timeline'!CD$43=0),0,MIN(CC$30,PermPmt-CD$27))</f>
        <v/>
      </c>
      <c r="CE28" s="18">
        <f>IF(OR(80&lt;=RefiMonth+PermIOMonths,'Timeline'!CE$43=0),0,MIN(CD$30,PermPmt-CE$27))</f>
        <v/>
      </c>
      <c r="CF28" s="18">
        <f>IF(OR(81&lt;=RefiMonth+PermIOMonths,'Timeline'!CF$43=0),0,MIN(CE$30,PermPmt-CF$27))</f>
        <v/>
      </c>
      <c r="CG28" s="18">
        <f>IF(OR(82&lt;=RefiMonth+PermIOMonths,'Timeline'!CG$43=0),0,MIN(CF$30,PermPmt-CG$27))</f>
        <v/>
      </c>
      <c r="CH28" s="18">
        <f>IF(OR(83&lt;=RefiMonth+PermIOMonths,'Timeline'!CH$43=0),0,MIN(CG$30,PermPmt-CH$27))</f>
        <v/>
      </c>
      <c r="CI28" s="18">
        <f>IF(OR(84&lt;=RefiMonth+PermIOMonths,'Timeline'!CI$43=0),0,MIN(CH$30,PermPmt-CI$27))</f>
        <v/>
      </c>
      <c r="CJ28" s="18">
        <f>IF(OR(85&lt;=RefiMonth+PermIOMonths,'Timeline'!CJ$43=0),0,MIN(CI$30,PermPmt-CJ$27))</f>
        <v/>
      </c>
      <c r="CK28" s="18">
        <f>IF(OR(86&lt;=RefiMonth+PermIOMonths,'Timeline'!CK$43=0),0,MIN(CJ$30,PermPmt-CK$27))</f>
        <v/>
      </c>
      <c r="CL28" s="18">
        <f>IF(OR(87&lt;=RefiMonth+PermIOMonths,'Timeline'!CL$43=0),0,MIN(CK$30,PermPmt-CL$27))</f>
        <v/>
      </c>
      <c r="CM28" s="18">
        <f>IF(OR(88&lt;=RefiMonth+PermIOMonths,'Timeline'!CM$43=0),0,MIN(CL$30,PermPmt-CM$27))</f>
        <v/>
      </c>
      <c r="CN28" s="18">
        <f>IF(OR(89&lt;=RefiMonth+PermIOMonths,'Timeline'!CN$43=0),0,MIN(CM$30,PermPmt-CN$27))</f>
        <v/>
      </c>
      <c r="CO28" s="18">
        <f>IF(OR(90&lt;=RefiMonth+PermIOMonths,'Timeline'!CO$43=0),0,MIN(CN$30,PermPmt-CO$27))</f>
        <v/>
      </c>
      <c r="CP28" s="18">
        <f>IF(OR(91&lt;=RefiMonth+PermIOMonths,'Timeline'!CP$43=0),0,MIN(CO$30,PermPmt-CP$27))</f>
        <v/>
      </c>
      <c r="CQ28" s="18">
        <f>IF(OR(92&lt;=RefiMonth+PermIOMonths,'Timeline'!CQ$43=0),0,MIN(CP$30,PermPmt-CQ$27))</f>
        <v/>
      </c>
      <c r="CR28" s="18">
        <f>IF(OR(93&lt;=RefiMonth+PermIOMonths,'Timeline'!CR$43=0),0,MIN(CQ$30,PermPmt-CR$27))</f>
        <v/>
      </c>
      <c r="CS28" s="18">
        <f>IF(OR(94&lt;=RefiMonth+PermIOMonths,'Timeline'!CS$43=0),0,MIN(CR$30,PermPmt-CS$27))</f>
        <v/>
      </c>
      <c r="CT28" s="18">
        <f>IF(OR(95&lt;=RefiMonth+PermIOMonths,'Timeline'!CT$43=0),0,MIN(CS$30,PermPmt-CT$27))</f>
        <v/>
      </c>
      <c r="CU28" s="18">
        <f>IF(OR(96&lt;=RefiMonth+PermIOMonths,'Timeline'!CU$43=0),0,MIN(CT$30,PermPmt-CU$27))</f>
        <v/>
      </c>
      <c r="CV28" s="18">
        <f>IF(OR(97&lt;=RefiMonth+PermIOMonths,'Timeline'!CV$43=0),0,MIN(CU$30,PermPmt-CV$27))</f>
        <v/>
      </c>
      <c r="CW28" s="18">
        <f>IF(OR(98&lt;=RefiMonth+PermIOMonths,'Timeline'!CW$43=0),0,MIN(CV$30,PermPmt-CW$27))</f>
        <v/>
      </c>
      <c r="CX28" s="18">
        <f>IF(OR(99&lt;=RefiMonth+PermIOMonths,'Timeline'!CX$43=0),0,MIN(CW$30,PermPmt-CX$27))</f>
        <v/>
      </c>
      <c r="CY28" s="18">
        <f>IF(OR(100&lt;=RefiMonth+PermIOMonths,'Timeline'!CY$43=0),0,MIN(CX$30,PermPmt-CY$27))</f>
        <v/>
      </c>
      <c r="CZ28" s="18">
        <f>IF(OR(101&lt;=RefiMonth+PermIOMonths,'Timeline'!CZ$43=0),0,MIN(CY$30,PermPmt-CZ$27))</f>
        <v/>
      </c>
      <c r="DA28" s="18">
        <f>IF(OR(102&lt;=RefiMonth+PermIOMonths,'Timeline'!DA$43=0),0,MIN(CZ$30,PermPmt-DA$27))</f>
        <v/>
      </c>
      <c r="DB28" s="18">
        <f>IF(OR(103&lt;=RefiMonth+PermIOMonths,'Timeline'!DB$43=0),0,MIN(DA$30,PermPmt-DB$27))</f>
        <v/>
      </c>
      <c r="DC28" s="18">
        <f>IF(OR(104&lt;=RefiMonth+PermIOMonths,'Timeline'!DC$43=0),0,MIN(DB$30,PermPmt-DC$27))</f>
        <v/>
      </c>
      <c r="DD28" s="18">
        <f>IF(OR(105&lt;=RefiMonth+PermIOMonths,'Timeline'!DD$43=0),0,MIN(DC$30,PermPmt-DD$27))</f>
        <v/>
      </c>
      <c r="DE28" s="18">
        <f>IF(OR(106&lt;=RefiMonth+PermIOMonths,'Timeline'!DE$43=0),0,MIN(DD$30,PermPmt-DE$27))</f>
        <v/>
      </c>
      <c r="DF28" s="18">
        <f>IF(OR(107&lt;=RefiMonth+PermIOMonths,'Timeline'!DF$43=0),0,MIN(DE$30,PermPmt-DF$27))</f>
        <v/>
      </c>
      <c r="DG28" s="18">
        <f>IF(OR(108&lt;=RefiMonth+PermIOMonths,'Timeline'!DG$43=0),0,MIN(DF$30,PermPmt-DG$27))</f>
        <v/>
      </c>
      <c r="DH28" s="18">
        <f>IF(OR(109&lt;=RefiMonth+PermIOMonths,'Timeline'!DH$43=0),0,MIN(DG$30,PermPmt-DH$27))</f>
        <v/>
      </c>
      <c r="DI28" s="18">
        <f>IF(OR(110&lt;=RefiMonth+PermIOMonths,'Timeline'!DI$43=0),0,MIN(DH$30,PermPmt-DI$27))</f>
        <v/>
      </c>
      <c r="DJ28" s="18">
        <f>IF(OR(111&lt;=RefiMonth+PermIOMonths,'Timeline'!DJ$43=0),0,MIN(DI$30,PermPmt-DJ$27))</f>
        <v/>
      </c>
      <c r="DK28" s="18">
        <f>IF(OR(112&lt;=RefiMonth+PermIOMonths,'Timeline'!DK$43=0),0,MIN(DJ$30,PermPmt-DK$27))</f>
        <v/>
      </c>
      <c r="DL28" s="18">
        <f>IF(OR(113&lt;=RefiMonth+PermIOMonths,'Timeline'!DL$43=0),0,MIN(DK$30,PermPmt-DL$27))</f>
        <v/>
      </c>
      <c r="DM28" s="18">
        <f>IF(OR(114&lt;=RefiMonth+PermIOMonths,'Timeline'!DM$43=0),0,MIN(DL$30,PermPmt-DM$27))</f>
        <v/>
      </c>
      <c r="DN28" s="18">
        <f>IF(OR(115&lt;=RefiMonth+PermIOMonths,'Timeline'!DN$43=0),0,MIN(DM$30,PermPmt-DN$27))</f>
        <v/>
      </c>
      <c r="DO28" s="18">
        <f>IF(OR(116&lt;=RefiMonth+PermIOMonths,'Timeline'!DO$43=0),0,MIN(DN$30,PermPmt-DO$27))</f>
        <v/>
      </c>
      <c r="DP28" s="18">
        <f>IF(OR(117&lt;=RefiMonth+PermIOMonths,'Timeline'!DP$43=0),0,MIN(DO$30,PermPmt-DP$27))</f>
        <v/>
      </c>
      <c r="DQ28" s="18">
        <f>IF(OR(118&lt;=RefiMonth+PermIOMonths,'Timeline'!DQ$43=0),0,MIN(DP$30,PermPmt-DQ$27))</f>
        <v/>
      </c>
      <c r="DR28" s="18">
        <f>IF(OR(119&lt;=RefiMonth+PermIOMonths,'Timeline'!DR$43=0),0,MIN(DQ$30,PermPmt-DR$27))</f>
        <v/>
      </c>
      <c r="DS28" s="18">
        <f>IF(OR(120&lt;=RefiMonth+PermIOMonths,'Timeline'!DS$43=0),0,MIN(DR$30,PermPmt-DS$27))</f>
        <v/>
      </c>
      <c r="DT28" s="18">
        <f>IF(OR(121&lt;=RefiMonth+PermIOMonths,'Timeline'!DT$43=0),0,MIN(DS$30,PermPmt-DT$27))</f>
        <v/>
      </c>
      <c r="DU28" s="18">
        <f>IF(OR(122&lt;=RefiMonth+PermIOMonths,'Timeline'!DU$43=0),0,MIN(DT$30,PermPmt-DU$27))</f>
        <v/>
      </c>
      <c r="DV28" s="18">
        <f>IF(OR(123&lt;=RefiMonth+PermIOMonths,'Timeline'!DV$43=0),0,MIN(DU$30,PermPmt-DV$27))</f>
        <v/>
      </c>
      <c r="DW28" s="18">
        <f>IF(OR(124&lt;=RefiMonth+PermIOMonths,'Timeline'!DW$43=0),0,MIN(DV$30,PermPmt-DW$27))</f>
        <v/>
      </c>
      <c r="DX28" s="18">
        <f>IF(OR(125&lt;=RefiMonth+PermIOMonths,'Timeline'!DX$43=0),0,MIN(DW$30,PermPmt-DX$27))</f>
        <v/>
      </c>
      <c r="DY28" s="18">
        <f>IF(OR(126&lt;=RefiMonth+PermIOMonths,'Timeline'!DY$43=0),0,MIN(DX$30,PermPmt-DY$27))</f>
        <v/>
      </c>
      <c r="DZ28" s="18">
        <f>IF(OR(127&lt;=RefiMonth+PermIOMonths,'Timeline'!DZ$43=0),0,MIN(DY$30,PermPmt-DZ$27))</f>
        <v/>
      </c>
      <c r="EA28" s="18">
        <f>IF(OR(128&lt;=RefiMonth+PermIOMonths,'Timeline'!EA$43=0),0,MIN(DZ$30,PermPmt-EA$27))</f>
        <v/>
      </c>
      <c r="EB28" s="18">
        <f>IF(OR(129&lt;=RefiMonth+PermIOMonths,'Timeline'!EB$43=0),0,MIN(EA$30,PermPmt-EB$27))</f>
        <v/>
      </c>
      <c r="EC28" s="18">
        <f>IF(OR(130&lt;=RefiMonth+PermIOMonths,'Timeline'!EC$43=0),0,MIN(EB$30,PermPmt-EC$27))</f>
        <v/>
      </c>
      <c r="ED28" s="18">
        <f>IF(OR(131&lt;=RefiMonth+PermIOMonths,'Timeline'!ED$43=0),0,MIN(EC$30,PermPmt-ED$27))</f>
        <v/>
      </c>
      <c r="EE28" s="18">
        <f>IF(OR(132&lt;=RefiMonth+PermIOMonths,'Timeline'!EE$43=0),0,MIN(ED$30,PermPmt-EE$27))</f>
        <v/>
      </c>
      <c r="EF28" s="18">
        <f>IF(OR(133&lt;=RefiMonth+PermIOMonths,'Timeline'!EF$43=0),0,MIN(EE$30,PermPmt-EF$27))</f>
        <v/>
      </c>
      <c r="EG28" s="18">
        <f>IF(OR(134&lt;=RefiMonth+PermIOMonths,'Timeline'!EG$43=0),0,MIN(EF$30,PermPmt-EG$27))</f>
        <v/>
      </c>
      <c r="EH28" s="18">
        <f>IF(OR(135&lt;=RefiMonth+PermIOMonths,'Timeline'!EH$43=0),0,MIN(EG$30,PermPmt-EH$27))</f>
        <v/>
      </c>
      <c r="EI28" s="18">
        <f>IF(OR(136&lt;=RefiMonth+PermIOMonths,'Timeline'!EI$43=0),0,MIN(EH$30,PermPmt-EI$27))</f>
        <v/>
      </c>
      <c r="EJ28" s="18">
        <f>IF(OR(137&lt;=RefiMonth+PermIOMonths,'Timeline'!EJ$43=0),0,MIN(EI$30,PermPmt-EJ$27))</f>
        <v/>
      </c>
      <c r="EK28" s="18">
        <f>IF(OR(138&lt;=RefiMonth+PermIOMonths,'Timeline'!EK$43=0),0,MIN(EJ$30,PermPmt-EK$27))</f>
        <v/>
      </c>
      <c r="EL28" s="18">
        <f>IF(OR(139&lt;=RefiMonth+PermIOMonths,'Timeline'!EL$43=0),0,MIN(EK$30,PermPmt-EL$27))</f>
        <v/>
      </c>
      <c r="EM28" s="18">
        <f>IF(OR(140&lt;=RefiMonth+PermIOMonths,'Timeline'!EM$43=0),0,MIN(EL$30,PermPmt-EM$27))</f>
        <v/>
      </c>
      <c r="EN28" s="18">
        <f>IF(OR(141&lt;=RefiMonth+PermIOMonths,'Timeline'!EN$43=0),0,MIN(EM$30,PermPmt-EN$27))</f>
        <v/>
      </c>
      <c r="EO28" s="18">
        <f>IF(OR(142&lt;=RefiMonth+PermIOMonths,'Timeline'!EO$43=0),0,MIN(EN$30,PermPmt-EO$27))</f>
        <v/>
      </c>
      <c r="EP28" s="18">
        <f>IF(OR(143&lt;=RefiMonth+PermIOMonths,'Timeline'!EP$43=0),0,MIN(EO$30,PermPmt-EP$27))</f>
        <v/>
      </c>
      <c r="EQ28" s="18">
        <f>IF(OR(144&lt;=RefiMonth+PermIOMonths,'Timeline'!EQ$43=0),0,MIN(EP$30,PermPmt-EQ$27))</f>
        <v/>
      </c>
      <c r="ER28" s="18">
        <f>IF(OR(145&lt;=RefiMonth+PermIOMonths,'Timeline'!ER$43=0),0,MIN(EQ$30,PermPmt-ER$27))</f>
        <v/>
      </c>
      <c r="ES28" s="18">
        <f>IF(OR(146&lt;=RefiMonth+PermIOMonths,'Timeline'!ES$43=0),0,MIN(ER$30,PermPmt-ES$27))</f>
        <v/>
      </c>
      <c r="ET28" s="18">
        <f>IF(OR(147&lt;=RefiMonth+PermIOMonths,'Timeline'!ET$43=0),0,MIN(ES$30,PermPmt-ET$27))</f>
        <v/>
      </c>
      <c r="EU28" s="18">
        <f>IF(OR(148&lt;=RefiMonth+PermIOMonths,'Timeline'!EU$43=0),0,MIN(ET$30,PermPmt-EU$27))</f>
        <v/>
      </c>
      <c r="EV28" s="18">
        <f>IF(OR(149&lt;=RefiMonth+PermIOMonths,'Timeline'!EV$43=0),0,MIN(EU$30,PermPmt-EV$27))</f>
        <v/>
      </c>
      <c r="EW28" s="18">
        <f>IF(OR(150&lt;=RefiMonth+PermIOMonths,'Timeline'!EW$43=0),0,MIN(EV$30,PermPmt-EW$27))</f>
        <v/>
      </c>
      <c r="EX28" s="18">
        <f>IF(OR(151&lt;=RefiMonth+PermIOMonths,'Timeline'!EX$43=0),0,MIN(EW$30,PermPmt-EX$27))</f>
        <v/>
      </c>
      <c r="EY28" s="18">
        <f>IF(OR(152&lt;=RefiMonth+PermIOMonths,'Timeline'!EY$43=0),0,MIN(EX$30,PermPmt-EY$27))</f>
        <v/>
      </c>
      <c r="EZ28" s="18">
        <f>IF(OR(153&lt;=RefiMonth+PermIOMonths,'Timeline'!EZ$43=0),0,MIN(EY$30,PermPmt-EZ$27))</f>
        <v/>
      </c>
      <c r="FA28" s="18">
        <f>IF(OR(154&lt;=RefiMonth+PermIOMonths,'Timeline'!FA$43=0),0,MIN(EZ$30,PermPmt-FA$27))</f>
        <v/>
      </c>
      <c r="FB28" s="18">
        <f>IF(OR(155&lt;=RefiMonth+PermIOMonths,'Timeline'!FB$43=0),0,MIN(FA$30,PermPmt-FB$27))</f>
        <v/>
      </c>
      <c r="FC28" s="18">
        <f>IF(OR(156&lt;=RefiMonth+PermIOMonths,'Timeline'!FC$43=0),0,MIN(FB$30,PermPmt-FC$27))</f>
        <v/>
      </c>
      <c r="FD28" s="18">
        <f>IF(OR(157&lt;=RefiMonth+PermIOMonths,'Timeline'!FD$43=0),0,MIN(FC$30,PermPmt-FD$27))</f>
        <v/>
      </c>
      <c r="FE28" s="18">
        <f>IF(OR(158&lt;=RefiMonth+PermIOMonths,'Timeline'!FE$43=0),0,MIN(FD$30,PermPmt-FE$27))</f>
        <v/>
      </c>
      <c r="FF28" s="18">
        <f>IF(OR(159&lt;=RefiMonth+PermIOMonths,'Timeline'!FF$43=0),0,MIN(FE$30,PermPmt-FF$27))</f>
        <v/>
      </c>
      <c r="FG28" s="18">
        <f>IF(OR(160&lt;=RefiMonth+PermIOMonths,'Timeline'!FG$43=0),0,MIN(FF$30,PermPmt-FG$27))</f>
        <v/>
      </c>
      <c r="FH28" s="18">
        <f>IF(OR(161&lt;=RefiMonth+PermIOMonths,'Timeline'!FH$43=0),0,MIN(FG$30,PermPmt-FH$27))</f>
        <v/>
      </c>
      <c r="FI28" s="18">
        <f>IF(OR(162&lt;=RefiMonth+PermIOMonths,'Timeline'!FI$43=0),0,MIN(FH$30,PermPmt-FI$27))</f>
        <v/>
      </c>
      <c r="FJ28" s="18">
        <f>IF(OR(163&lt;=RefiMonth+PermIOMonths,'Timeline'!FJ$43=0),0,MIN(FI$30,PermPmt-FJ$27))</f>
        <v/>
      </c>
      <c r="FK28" s="18">
        <f>IF(OR(164&lt;=RefiMonth+PermIOMonths,'Timeline'!FK$43=0),0,MIN(FJ$30,PermPmt-FK$27))</f>
        <v/>
      </c>
      <c r="FL28" s="18">
        <f>IF(OR(165&lt;=RefiMonth+PermIOMonths,'Timeline'!FL$43=0),0,MIN(FK$30,PermPmt-FL$27))</f>
        <v/>
      </c>
      <c r="FM28" s="18">
        <f>IF(OR(166&lt;=RefiMonth+PermIOMonths,'Timeline'!FM$43=0),0,MIN(FL$30,PermPmt-FM$27))</f>
        <v/>
      </c>
      <c r="FN28" s="18">
        <f>IF(OR(167&lt;=RefiMonth+PermIOMonths,'Timeline'!FN$43=0),0,MIN(FM$30,PermPmt-FN$27))</f>
        <v/>
      </c>
      <c r="FO28" s="18">
        <f>IF(OR(168&lt;=RefiMonth+PermIOMonths,'Timeline'!FO$43=0),0,MIN(FN$30,PermPmt-FO$27))</f>
        <v/>
      </c>
      <c r="FP28" s="18">
        <f>IF(OR(169&lt;=RefiMonth+PermIOMonths,'Timeline'!FP$43=0),0,MIN(FO$30,PermPmt-FP$27))</f>
        <v/>
      </c>
      <c r="FQ28" s="18">
        <f>IF(OR(170&lt;=RefiMonth+PermIOMonths,'Timeline'!FQ$43=0),0,MIN(FP$30,PermPmt-FQ$27))</f>
        <v/>
      </c>
      <c r="FR28" s="18">
        <f>IF(OR(171&lt;=RefiMonth+PermIOMonths,'Timeline'!FR$43=0),0,MIN(FQ$30,PermPmt-FR$27))</f>
        <v/>
      </c>
      <c r="FS28" s="18">
        <f>IF(OR(172&lt;=RefiMonth+PermIOMonths,'Timeline'!FS$43=0),0,MIN(FR$30,PermPmt-FS$27))</f>
        <v/>
      </c>
      <c r="FT28" s="18">
        <f>IF(OR(173&lt;=RefiMonth+PermIOMonths,'Timeline'!FT$43=0),0,MIN(FS$30,PermPmt-FT$27))</f>
        <v/>
      </c>
      <c r="FU28" s="18">
        <f>IF(OR(174&lt;=RefiMonth+PermIOMonths,'Timeline'!FU$43=0),0,MIN(FT$30,PermPmt-FU$27))</f>
        <v/>
      </c>
      <c r="FV28" s="18">
        <f>IF(OR(175&lt;=RefiMonth+PermIOMonths,'Timeline'!FV$43=0),0,MIN(FU$30,PermPmt-FV$27))</f>
        <v/>
      </c>
      <c r="FW28" s="18">
        <f>IF(OR(176&lt;=RefiMonth+PermIOMonths,'Timeline'!FW$43=0),0,MIN(FV$30,PermPmt-FW$27))</f>
        <v/>
      </c>
      <c r="FX28" s="18">
        <f>IF(OR(177&lt;=RefiMonth+PermIOMonths,'Timeline'!FX$43=0),0,MIN(FW$30,PermPmt-FX$27))</f>
        <v/>
      </c>
      <c r="FY28" s="18">
        <f>IF(OR(178&lt;=RefiMonth+PermIOMonths,'Timeline'!FY$43=0),0,MIN(FX$30,PermPmt-FY$27))</f>
        <v/>
      </c>
      <c r="FZ28" s="18">
        <f>IF(OR(179&lt;=RefiMonth+PermIOMonths,'Timeline'!FZ$43=0),0,MIN(FY$30,PermPmt-FZ$27))</f>
        <v/>
      </c>
      <c r="GA28" s="18">
        <f>IF(OR(180&lt;=RefiMonth+PermIOMonths,'Timeline'!GA$43=0),0,MIN(FZ$30,PermPmt-GA$27))</f>
        <v/>
      </c>
      <c r="GB28" s="18">
        <f>IF(OR(181&lt;=RefiMonth+PermIOMonths,'Timeline'!GB$43=0),0,MIN(GA$30,PermPmt-GB$27))</f>
        <v/>
      </c>
      <c r="GC28" s="18">
        <f>IF(OR(182&lt;=RefiMonth+PermIOMonths,'Timeline'!GC$43=0),0,MIN(GB$30,PermPmt-GC$27))</f>
        <v/>
      </c>
      <c r="GD28" s="18">
        <f>IF(OR(183&lt;=RefiMonth+PermIOMonths,'Timeline'!GD$43=0),0,MIN(GC$30,PermPmt-GD$27))</f>
        <v/>
      </c>
      <c r="GE28" s="18">
        <f>IF(OR(184&lt;=RefiMonth+PermIOMonths,'Timeline'!GE$43=0),0,MIN(GD$30,PermPmt-GE$27))</f>
        <v/>
      </c>
      <c r="GF28" s="18">
        <f>IF(OR(185&lt;=RefiMonth+PermIOMonths,'Timeline'!GF$43=0),0,MIN(GE$30,PermPmt-GF$27))</f>
        <v/>
      </c>
      <c r="GG28" s="18">
        <f>IF(OR(186&lt;=RefiMonth+PermIOMonths,'Timeline'!GG$43=0),0,MIN(GF$30,PermPmt-GG$27))</f>
        <v/>
      </c>
      <c r="GH28" s="18">
        <f>IF(OR(187&lt;=RefiMonth+PermIOMonths,'Timeline'!GH$43=0),0,MIN(GG$30,PermPmt-GH$27))</f>
        <v/>
      </c>
      <c r="GI28" s="18">
        <f>IF(OR(188&lt;=RefiMonth+PermIOMonths,'Timeline'!GI$43=0),0,MIN(GH$30,PermPmt-GI$27))</f>
        <v/>
      </c>
      <c r="GJ28" s="18">
        <f>IF(OR(189&lt;=RefiMonth+PermIOMonths,'Timeline'!GJ$43=0),0,MIN(GI$30,PermPmt-GJ$27))</f>
        <v/>
      </c>
      <c r="GK28" s="18">
        <f>IF(OR(190&lt;=RefiMonth+PermIOMonths,'Timeline'!GK$43=0),0,MIN(GJ$30,PermPmt-GK$27))</f>
        <v/>
      </c>
      <c r="GL28" s="18">
        <f>IF(OR(191&lt;=RefiMonth+PermIOMonths,'Timeline'!GL$43=0),0,MIN(GK$30,PermPmt-GL$27))</f>
        <v/>
      </c>
      <c r="GM28" s="18">
        <f>IF(OR(192&lt;=RefiMonth+PermIOMonths,'Timeline'!GM$43=0),0,MIN(GL$30,PermPmt-GM$27))</f>
        <v/>
      </c>
      <c r="GN28" s="18">
        <f>IF(OR(193&lt;=RefiMonth+PermIOMonths,'Timeline'!GN$43=0),0,MIN(GM$30,PermPmt-GN$27))</f>
        <v/>
      </c>
      <c r="GO28" s="18">
        <f>IF(OR(194&lt;=RefiMonth+PermIOMonths,'Timeline'!GO$43=0),0,MIN(GN$30,PermPmt-GO$27))</f>
        <v/>
      </c>
      <c r="GP28" s="18">
        <f>IF(OR(195&lt;=RefiMonth+PermIOMonths,'Timeline'!GP$43=0),0,MIN(GO$30,PermPmt-GP$27))</f>
        <v/>
      </c>
      <c r="GQ28" s="18">
        <f>IF(OR(196&lt;=RefiMonth+PermIOMonths,'Timeline'!GQ$43=0),0,MIN(GP$30,PermPmt-GQ$27))</f>
        <v/>
      </c>
      <c r="GR28" s="18">
        <f>IF(OR(197&lt;=RefiMonth+PermIOMonths,'Timeline'!GR$43=0),0,MIN(GQ$30,PermPmt-GR$27))</f>
        <v/>
      </c>
      <c r="GS28" s="18">
        <f>IF(OR(198&lt;=RefiMonth+PermIOMonths,'Timeline'!GS$43=0),0,MIN(GR$30,PermPmt-GS$27))</f>
        <v/>
      </c>
      <c r="GT28" s="18">
        <f>IF(OR(199&lt;=RefiMonth+PermIOMonths,'Timeline'!GT$43=0),0,MIN(GS$30,PermPmt-GT$27))</f>
        <v/>
      </c>
      <c r="GU28" s="18">
        <f>IF(OR(200&lt;=RefiMonth+PermIOMonths,'Timeline'!GU$43=0),0,MIN(GT$30,PermPmt-GU$27))</f>
        <v/>
      </c>
      <c r="GV28" s="18">
        <f>IF(OR(201&lt;=RefiMonth+PermIOMonths,'Timeline'!GV$43=0),0,MIN(GU$30,PermPmt-GV$27))</f>
        <v/>
      </c>
      <c r="GW28" s="18">
        <f>IF(OR(202&lt;=RefiMonth+PermIOMonths,'Timeline'!GW$43=0),0,MIN(GV$30,PermPmt-GW$27))</f>
        <v/>
      </c>
      <c r="GX28" s="18">
        <f>IF(OR(203&lt;=RefiMonth+PermIOMonths,'Timeline'!GX$43=0),0,MIN(GW$30,PermPmt-GX$27))</f>
        <v/>
      </c>
      <c r="GY28" s="18">
        <f>IF(OR(204&lt;=RefiMonth+PermIOMonths,'Timeline'!GY$43=0),0,MIN(GX$30,PermPmt-GY$27))</f>
        <v/>
      </c>
      <c r="GZ28" s="18">
        <f>IF(OR(205&lt;=RefiMonth+PermIOMonths,'Timeline'!GZ$43=0),0,MIN(GY$30,PermPmt-GZ$27))</f>
        <v/>
      </c>
      <c r="HA28" s="18">
        <f>IF(OR(206&lt;=RefiMonth+PermIOMonths,'Timeline'!HA$43=0),0,MIN(GZ$30,PermPmt-HA$27))</f>
        <v/>
      </c>
      <c r="HB28" s="18">
        <f>IF(OR(207&lt;=RefiMonth+PermIOMonths,'Timeline'!HB$43=0),0,MIN(HA$30,PermPmt-HB$27))</f>
        <v/>
      </c>
      <c r="HC28" s="18">
        <f>IF(OR(208&lt;=RefiMonth+PermIOMonths,'Timeline'!HC$43=0),0,MIN(HB$30,PermPmt-HC$27))</f>
        <v/>
      </c>
      <c r="HD28" s="18">
        <f>IF(OR(209&lt;=RefiMonth+PermIOMonths,'Timeline'!HD$43=0),0,MIN(HC$30,PermPmt-HD$27))</f>
        <v/>
      </c>
      <c r="HE28" s="18">
        <f>IF(OR(210&lt;=RefiMonth+PermIOMonths,'Timeline'!HE$43=0),0,MIN(HD$30,PermPmt-HE$27))</f>
        <v/>
      </c>
      <c r="HF28" s="18">
        <f>IF(OR(211&lt;=RefiMonth+PermIOMonths,'Timeline'!HF$43=0),0,MIN(HE$30,PermPmt-HF$27))</f>
        <v/>
      </c>
      <c r="HG28" s="18">
        <f>IF(OR(212&lt;=RefiMonth+PermIOMonths,'Timeline'!HG$43=0),0,MIN(HF$30,PermPmt-HG$27))</f>
        <v/>
      </c>
      <c r="HH28" s="18">
        <f>IF(OR(213&lt;=RefiMonth+PermIOMonths,'Timeline'!HH$43=0),0,MIN(HG$30,PermPmt-HH$27))</f>
        <v/>
      </c>
      <c r="HI28" s="18">
        <f>IF(OR(214&lt;=RefiMonth+PermIOMonths,'Timeline'!HI$43=0),0,MIN(HH$30,PermPmt-HI$27))</f>
        <v/>
      </c>
      <c r="HJ28" s="18">
        <f>IF(OR(215&lt;=RefiMonth+PermIOMonths,'Timeline'!HJ$43=0),0,MIN(HI$30,PermPmt-HJ$27))</f>
        <v/>
      </c>
      <c r="HK28" s="18">
        <f>IF(OR(216&lt;=RefiMonth+PermIOMonths,'Timeline'!HK$43=0),0,MIN(HJ$30,PermPmt-HK$27))</f>
        <v/>
      </c>
      <c r="HL28" s="18">
        <f>IF(OR(217&lt;=RefiMonth+PermIOMonths,'Timeline'!HL$43=0),0,MIN(HK$30,PermPmt-HL$27))</f>
        <v/>
      </c>
      <c r="HM28" s="18">
        <f>IF(OR(218&lt;=RefiMonth+PermIOMonths,'Timeline'!HM$43=0),0,MIN(HL$30,PermPmt-HM$27))</f>
        <v/>
      </c>
      <c r="HN28" s="18">
        <f>IF(OR(219&lt;=RefiMonth+PermIOMonths,'Timeline'!HN$43=0),0,MIN(HM$30,PermPmt-HN$27))</f>
        <v/>
      </c>
      <c r="HO28" s="18">
        <f>IF(OR(220&lt;=RefiMonth+PermIOMonths,'Timeline'!HO$43=0),0,MIN(HN$30,PermPmt-HO$27))</f>
        <v/>
      </c>
      <c r="HP28" s="18">
        <f>IF(OR(221&lt;=RefiMonth+PermIOMonths,'Timeline'!HP$43=0),0,MIN(HO$30,PermPmt-HP$27))</f>
        <v/>
      </c>
      <c r="HQ28" s="18">
        <f>IF(OR(222&lt;=RefiMonth+PermIOMonths,'Timeline'!HQ$43=0),0,MIN(HP$30,PermPmt-HQ$27))</f>
        <v/>
      </c>
      <c r="HR28" s="18">
        <f>IF(OR(223&lt;=RefiMonth+PermIOMonths,'Timeline'!HR$43=0),0,MIN(HQ$30,PermPmt-HR$27))</f>
        <v/>
      </c>
      <c r="HS28" s="18">
        <f>IF(OR(224&lt;=RefiMonth+PermIOMonths,'Timeline'!HS$43=0),0,MIN(HR$30,PermPmt-HS$27))</f>
        <v/>
      </c>
      <c r="HT28" s="18">
        <f>IF(OR(225&lt;=RefiMonth+PermIOMonths,'Timeline'!HT$43=0),0,MIN(HS$30,PermPmt-HT$27))</f>
        <v/>
      </c>
      <c r="HU28" s="18">
        <f>IF(OR(226&lt;=RefiMonth+PermIOMonths,'Timeline'!HU$43=0),0,MIN(HT$30,PermPmt-HU$27))</f>
        <v/>
      </c>
      <c r="HV28" s="18">
        <f>IF(OR(227&lt;=RefiMonth+PermIOMonths,'Timeline'!HV$43=0),0,MIN(HU$30,PermPmt-HV$27))</f>
        <v/>
      </c>
      <c r="HW28" s="18">
        <f>IF(OR(228&lt;=RefiMonth+PermIOMonths,'Timeline'!HW$43=0),0,MIN(HV$30,PermPmt-HW$27))</f>
        <v/>
      </c>
      <c r="HX28" s="18">
        <f>IF(OR(229&lt;=RefiMonth+PermIOMonths,'Timeline'!HX$43=0),0,MIN(HW$30,PermPmt-HX$27))</f>
        <v/>
      </c>
      <c r="HY28" s="18">
        <f>IF(OR(230&lt;=RefiMonth+PermIOMonths,'Timeline'!HY$43=0),0,MIN(HX$30,PermPmt-HY$27))</f>
        <v/>
      </c>
      <c r="HZ28" s="18">
        <f>IF(OR(231&lt;=RefiMonth+PermIOMonths,'Timeline'!HZ$43=0),0,MIN(HY$30,PermPmt-HZ$27))</f>
        <v/>
      </c>
      <c r="IA28" s="18">
        <f>IF(OR(232&lt;=RefiMonth+PermIOMonths,'Timeline'!IA$43=0),0,MIN(HZ$30,PermPmt-IA$27))</f>
        <v/>
      </c>
      <c r="IB28" s="18">
        <f>IF(OR(233&lt;=RefiMonth+PermIOMonths,'Timeline'!IB$43=0),0,MIN(IA$30,PermPmt-IB$27))</f>
        <v/>
      </c>
      <c r="IC28" s="18">
        <f>IF(OR(234&lt;=RefiMonth+PermIOMonths,'Timeline'!IC$43=0),0,MIN(IB$30,PermPmt-IC$27))</f>
        <v/>
      </c>
      <c r="ID28" s="18">
        <f>IF(OR(235&lt;=RefiMonth+PermIOMonths,'Timeline'!ID$43=0),0,MIN(IC$30,PermPmt-ID$27))</f>
        <v/>
      </c>
      <c r="IE28" s="18">
        <f>IF(OR(236&lt;=RefiMonth+PermIOMonths,'Timeline'!IE$43=0),0,MIN(ID$30,PermPmt-IE$27))</f>
        <v/>
      </c>
      <c r="IF28" s="18">
        <f>IF(OR(237&lt;=RefiMonth+PermIOMonths,'Timeline'!IF$43=0),0,MIN(IE$30,PermPmt-IF$27))</f>
        <v/>
      </c>
      <c r="IG28" s="18">
        <f>IF(OR(238&lt;=RefiMonth+PermIOMonths,'Timeline'!IG$43=0),0,MIN(IF$30,PermPmt-IG$27))</f>
        <v/>
      </c>
      <c r="IH28" s="18">
        <f>IF(OR(239&lt;=RefiMonth+PermIOMonths,'Timeline'!IH$43=0),0,MIN(IG$30,PermPmt-IH$27))</f>
        <v/>
      </c>
      <c r="II28" s="18">
        <f>IF(OR(240&lt;=RefiMonth+PermIOMonths,'Timeline'!II$43=0),0,MIN(IH$30,PermPmt-II$27))</f>
        <v/>
      </c>
      <c r="IJ28" s="18">
        <f>IF(OR(241&lt;=RefiMonth+PermIOMonths,'Timeline'!IJ$43=0),0,MIN(II$30,PermPmt-IJ$27))</f>
        <v/>
      </c>
      <c r="IK28" s="18">
        <f>IF(OR(242&lt;=RefiMonth+PermIOMonths,'Timeline'!IK$43=0),0,MIN(IJ$30,PermPmt-IK$27))</f>
        <v/>
      </c>
      <c r="IL28" s="18">
        <f>IF(OR(243&lt;=RefiMonth+PermIOMonths,'Timeline'!IL$43=0),0,MIN(IK$30,PermPmt-IL$27))</f>
        <v/>
      </c>
      <c r="IM28" s="18">
        <f>IF(OR(244&lt;=RefiMonth+PermIOMonths,'Timeline'!IM$43=0),0,MIN(IL$30,PermPmt-IM$27))</f>
        <v/>
      </c>
      <c r="IN28" s="18">
        <f>IF(OR(245&lt;=RefiMonth+PermIOMonths,'Timeline'!IN$43=0),0,MIN(IM$30,PermPmt-IN$27))</f>
        <v/>
      </c>
      <c r="IO28" s="18">
        <f>IF(OR(246&lt;=RefiMonth+PermIOMonths,'Timeline'!IO$43=0),0,MIN(IN$30,PermPmt-IO$27))</f>
        <v/>
      </c>
      <c r="IP28" s="18">
        <f>IF(OR(247&lt;=RefiMonth+PermIOMonths,'Timeline'!IP$43=0),0,MIN(IO$30,PermPmt-IP$27))</f>
        <v/>
      </c>
      <c r="IQ28" s="18">
        <f>IF(OR(248&lt;=RefiMonth+PermIOMonths,'Timeline'!IQ$43=0),0,MIN(IP$30,PermPmt-IQ$27))</f>
        <v/>
      </c>
      <c r="IR28" s="18">
        <f>IF(OR(249&lt;=RefiMonth+PermIOMonths,'Timeline'!IR$43=0),0,MIN(IQ$30,PermPmt-IR$27))</f>
        <v/>
      </c>
      <c r="IS28" s="18">
        <f>IF(OR(250&lt;=RefiMonth+PermIOMonths,'Timeline'!IS$43=0),0,MIN(IR$30,PermPmt-IS$27))</f>
        <v/>
      </c>
      <c r="IT28" s="18">
        <f>IF(OR(251&lt;=RefiMonth+PermIOMonths,'Timeline'!IT$43=0),0,MIN(IS$30,PermPmt-IT$27))</f>
        <v/>
      </c>
      <c r="IU28" s="18">
        <f>IF(OR(252&lt;=RefiMonth+PermIOMonths,'Timeline'!IU$43=0),0,MIN(IT$30,PermPmt-IU$27))</f>
        <v/>
      </c>
      <c r="IV28" s="18">
        <f>IF(OR(253&lt;=RefiMonth+PermIOMonths,'Timeline'!IV$43=0),0,MIN(IU$30,PermPmt-IV$27))</f>
        <v/>
      </c>
      <c r="IW28" s="18">
        <f>IF(OR(254&lt;=RefiMonth+PermIOMonths,'Timeline'!IW$43=0),0,MIN(IV$30,PermPmt-IW$27))</f>
        <v/>
      </c>
      <c r="IX28" s="18">
        <f>IF(OR(255&lt;=RefiMonth+PermIOMonths,'Timeline'!IX$43=0),0,MIN(IW$30,PermPmt-IX$27))</f>
        <v/>
      </c>
      <c r="IY28" s="18">
        <f>IF(OR(256&lt;=RefiMonth+PermIOMonths,'Timeline'!IY$43=0),0,MIN(IX$30,PermPmt-IY$27))</f>
        <v/>
      </c>
      <c r="IZ28" s="18">
        <f>IF(OR(257&lt;=RefiMonth+PermIOMonths,'Timeline'!IZ$43=0),0,MIN(IY$30,PermPmt-IZ$27))</f>
        <v/>
      </c>
      <c r="JA28" s="18">
        <f>IF(OR(258&lt;=RefiMonth+PermIOMonths,'Timeline'!JA$43=0),0,MIN(IZ$30,PermPmt-JA$27))</f>
        <v/>
      </c>
      <c r="JB28" s="18">
        <f>IF(OR(259&lt;=RefiMonth+PermIOMonths,'Timeline'!JB$43=0),0,MIN(JA$30,PermPmt-JB$27))</f>
        <v/>
      </c>
      <c r="JC28" s="18">
        <f>IF(OR(260&lt;=RefiMonth+PermIOMonths,'Timeline'!JC$43=0),0,MIN(JB$30,PermPmt-JC$27))</f>
        <v/>
      </c>
      <c r="JD28" s="18">
        <f>IF(OR(261&lt;=RefiMonth+PermIOMonths,'Timeline'!JD$43=0),0,MIN(JC$30,PermPmt-JD$27))</f>
        <v/>
      </c>
      <c r="JE28" s="18">
        <f>IF(OR(262&lt;=RefiMonth+PermIOMonths,'Timeline'!JE$43=0),0,MIN(JD$30,PermPmt-JE$27))</f>
        <v/>
      </c>
      <c r="JF28" s="18">
        <f>IF(OR(263&lt;=RefiMonth+PermIOMonths,'Timeline'!JF$43=0),0,MIN(JE$30,PermPmt-JF$27))</f>
        <v/>
      </c>
      <c r="JG28" s="18">
        <f>IF(OR(264&lt;=RefiMonth+PermIOMonths,'Timeline'!JG$43=0),0,MIN(JF$30,PermPmt-JG$27))</f>
        <v/>
      </c>
      <c r="JH28" s="18">
        <f>IF(OR(265&lt;=RefiMonth+PermIOMonths,'Timeline'!JH$43=0),0,MIN(JG$30,PermPmt-JH$27))</f>
        <v/>
      </c>
      <c r="JI28" s="18">
        <f>IF(OR(266&lt;=RefiMonth+PermIOMonths,'Timeline'!JI$43=0),0,MIN(JH$30,PermPmt-JI$27))</f>
        <v/>
      </c>
      <c r="JJ28" s="18">
        <f>IF(OR(267&lt;=RefiMonth+PermIOMonths,'Timeline'!JJ$43=0),0,MIN(JI$30,PermPmt-JJ$27))</f>
        <v/>
      </c>
      <c r="JK28" s="18">
        <f>IF(OR(268&lt;=RefiMonth+PermIOMonths,'Timeline'!JK$43=0),0,MIN(JJ$30,PermPmt-JK$27))</f>
        <v/>
      </c>
      <c r="JL28" s="18">
        <f>IF(OR(269&lt;=RefiMonth+PermIOMonths,'Timeline'!JL$43=0),0,MIN(JK$30,PermPmt-JL$27))</f>
        <v/>
      </c>
      <c r="JM28" s="18">
        <f>IF(OR(270&lt;=RefiMonth+PermIOMonths,'Timeline'!JM$43=0),0,MIN(JL$30,PermPmt-JM$27))</f>
        <v/>
      </c>
      <c r="JN28" s="18">
        <f>IF(OR(271&lt;=RefiMonth+PermIOMonths,'Timeline'!JN$43=0),0,MIN(JM$30,PermPmt-JN$27))</f>
        <v/>
      </c>
      <c r="JO28" s="18">
        <f>IF(OR(272&lt;=RefiMonth+PermIOMonths,'Timeline'!JO$43=0),0,MIN(JN$30,PermPmt-JO$27))</f>
        <v/>
      </c>
      <c r="JP28" s="18">
        <f>IF(OR(273&lt;=RefiMonth+PermIOMonths,'Timeline'!JP$43=0),0,MIN(JO$30,PermPmt-JP$27))</f>
        <v/>
      </c>
      <c r="JQ28" s="18">
        <f>IF(OR(274&lt;=RefiMonth+PermIOMonths,'Timeline'!JQ$43=0),0,MIN(JP$30,PermPmt-JQ$27))</f>
        <v/>
      </c>
      <c r="JR28" s="18">
        <f>IF(OR(275&lt;=RefiMonth+PermIOMonths,'Timeline'!JR$43=0),0,MIN(JQ$30,PermPmt-JR$27))</f>
        <v/>
      </c>
      <c r="JS28" s="18">
        <f>IF(OR(276&lt;=RefiMonth+PermIOMonths,'Timeline'!JS$43=0),0,MIN(JR$30,PermPmt-JS$27))</f>
        <v/>
      </c>
      <c r="JT28" s="18">
        <f>IF(OR(277&lt;=RefiMonth+PermIOMonths,'Timeline'!JT$43=0),0,MIN(JS$30,PermPmt-JT$27))</f>
        <v/>
      </c>
      <c r="JU28" s="18">
        <f>IF(OR(278&lt;=RefiMonth+PermIOMonths,'Timeline'!JU$43=0),0,MIN(JT$30,PermPmt-JU$27))</f>
        <v/>
      </c>
      <c r="JV28" s="18">
        <f>IF(OR(279&lt;=RefiMonth+PermIOMonths,'Timeline'!JV$43=0),0,MIN(JU$30,PermPmt-JV$27))</f>
        <v/>
      </c>
      <c r="JW28" s="18">
        <f>IF(OR(280&lt;=RefiMonth+PermIOMonths,'Timeline'!JW$43=0),0,MIN(JV$30,PermPmt-JW$27))</f>
        <v/>
      </c>
      <c r="JX28" s="18">
        <f>IF(OR(281&lt;=RefiMonth+PermIOMonths,'Timeline'!JX$43=0),0,MIN(JW$30,PermPmt-JX$27))</f>
        <v/>
      </c>
      <c r="JY28" s="18">
        <f>IF(OR(282&lt;=RefiMonth+PermIOMonths,'Timeline'!JY$43=0),0,MIN(JX$30,PermPmt-JY$27))</f>
        <v/>
      </c>
      <c r="JZ28" s="18">
        <f>IF(OR(283&lt;=RefiMonth+PermIOMonths,'Timeline'!JZ$43=0),0,MIN(JY$30,PermPmt-JZ$27))</f>
        <v/>
      </c>
      <c r="KA28" s="18">
        <f>IF(OR(284&lt;=RefiMonth+PermIOMonths,'Timeline'!KA$43=0),0,MIN(JZ$30,PermPmt-KA$27))</f>
        <v/>
      </c>
      <c r="KB28" s="18">
        <f>IF(OR(285&lt;=RefiMonth+PermIOMonths,'Timeline'!KB$43=0),0,MIN(KA$30,PermPmt-KB$27))</f>
        <v/>
      </c>
      <c r="KC28" s="18">
        <f>IF(OR(286&lt;=RefiMonth+PermIOMonths,'Timeline'!KC$43=0),0,MIN(KB$30,PermPmt-KC$27))</f>
        <v/>
      </c>
      <c r="KD28" s="18">
        <f>IF(OR(287&lt;=RefiMonth+PermIOMonths,'Timeline'!KD$43=0),0,MIN(KC$30,PermPmt-KD$27))</f>
        <v/>
      </c>
      <c r="KE28" s="18">
        <f>IF(OR(288&lt;=RefiMonth+PermIOMonths,'Timeline'!KE$43=0),0,MIN(KD$30,PermPmt-KE$27))</f>
        <v/>
      </c>
      <c r="KF28" s="18">
        <f>IF(OR(289&lt;=RefiMonth+PermIOMonths,'Timeline'!KF$43=0),0,MIN(KE$30,PermPmt-KF$27))</f>
        <v/>
      </c>
      <c r="KG28" s="18">
        <f>IF(OR(290&lt;=RefiMonth+PermIOMonths,'Timeline'!KG$43=0),0,MIN(KF$30,PermPmt-KG$27))</f>
        <v/>
      </c>
      <c r="KH28" s="18">
        <f>IF(OR(291&lt;=RefiMonth+PermIOMonths,'Timeline'!KH$43=0),0,MIN(KG$30,PermPmt-KH$27))</f>
        <v/>
      </c>
      <c r="KI28" s="18">
        <f>IF(OR(292&lt;=RefiMonth+PermIOMonths,'Timeline'!KI$43=0),0,MIN(KH$30,PermPmt-KI$27))</f>
        <v/>
      </c>
      <c r="KJ28" s="18">
        <f>IF(OR(293&lt;=RefiMonth+PermIOMonths,'Timeline'!KJ$43=0),0,MIN(KI$30,PermPmt-KJ$27))</f>
        <v/>
      </c>
      <c r="KK28" s="18">
        <f>IF(OR(294&lt;=RefiMonth+PermIOMonths,'Timeline'!KK$43=0),0,MIN(KJ$30,PermPmt-KK$27))</f>
        <v/>
      </c>
      <c r="KL28" s="18">
        <f>IF(OR(295&lt;=RefiMonth+PermIOMonths,'Timeline'!KL$43=0),0,MIN(KK$30,PermPmt-KL$27))</f>
        <v/>
      </c>
      <c r="KM28" s="18">
        <f>IF(OR(296&lt;=RefiMonth+PermIOMonths,'Timeline'!KM$43=0),0,MIN(KL$30,PermPmt-KM$27))</f>
        <v/>
      </c>
      <c r="KN28" s="18">
        <f>IF(OR(297&lt;=RefiMonth+PermIOMonths,'Timeline'!KN$43=0),0,MIN(KM$30,PermPmt-KN$27))</f>
        <v/>
      </c>
      <c r="KO28" s="18">
        <f>IF(OR(298&lt;=RefiMonth+PermIOMonths,'Timeline'!KO$43=0),0,MIN(KN$30,PermPmt-KO$27))</f>
        <v/>
      </c>
      <c r="KP28" s="18">
        <f>IF(OR(299&lt;=RefiMonth+PermIOMonths,'Timeline'!KP$43=0),0,MIN(KO$30,PermPmt-KP$27))</f>
        <v/>
      </c>
      <c r="KQ28" s="18">
        <f>IF(OR(300&lt;=RefiMonth+PermIOMonths,'Timeline'!KQ$43=0),0,MIN(KP$30,PermPmt-KQ$27))</f>
        <v/>
      </c>
      <c r="KR28" s="18">
        <f>IF(OR(301&lt;=RefiMonth+PermIOMonths,'Timeline'!KR$43=0),0,MIN(KQ$30,PermPmt-KR$27))</f>
        <v/>
      </c>
      <c r="KS28" s="18">
        <f>IF(OR(302&lt;=RefiMonth+PermIOMonths,'Timeline'!KS$43=0),0,MIN(KR$30,PermPmt-KS$27))</f>
        <v/>
      </c>
      <c r="KT28" s="18">
        <f>IF(OR(303&lt;=RefiMonth+PermIOMonths,'Timeline'!KT$43=0),0,MIN(KS$30,PermPmt-KT$27))</f>
        <v/>
      </c>
      <c r="KU28" s="18">
        <f>IF(OR(304&lt;=RefiMonth+PermIOMonths,'Timeline'!KU$43=0),0,MIN(KT$30,PermPmt-KU$27))</f>
        <v/>
      </c>
      <c r="KV28" s="18">
        <f>IF(OR(305&lt;=RefiMonth+PermIOMonths,'Timeline'!KV$43=0),0,MIN(KU$30,PermPmt-KV$27))</f>
        <v/>
      </c>
      <c r="KW28" s="18">
        <f>IF(OR(306&lt;=RefiMonth+PermIOMonths,'Timeline'!KW$43=0),0,MIN(KV$30,PermPmt-KW$27))</f>
        <v/>
      </c>
      <c r="KX28" s="18">
        <f>IF(OR(307&lt;=RefiMonth+PermIOMonths,'Timeline'!KX$43=0),0,MIN(KW$30,PermPmt-KX$27))</f>
        <v/>
      </c>
      <c r="KY28" s="18">
        <f>IF(OR(308&lt;=RefiMonth+PermIOMonths,'Timeline'!KY$43=0),0,MIN(KX$30,PermPmt-KY$27))</f>
        <v/>
      </c>
      <c r="KZ28" s="18">
        <f>IF(OR(309&lt;=RefiMonth+PermIOMonths,'Timeline'!KZ$43=0),0,MIN(KY$30,PermPmt-KZ$27))</f>
        <v/>
      </c>
      <c r="LA28" s="18">
        <f>IF(OR(310&lt;=RefiMonth+PermIOMonths,'Timeline'!LA$43=0),0,MIN(KZ$30,PermPmt-LA$27))</f>
        <v/>
      </c>
      <c r="LB28" s="18">
        <f>IF(OR(311&lt;=RefiMonth+PermIOMonths,'Timeline'!LB$43=0),0,MIN(LA$30,PermPmt-LB$27))</f>
        <v/>
      </c>
      <c r="LC28" s="18">
        <f>IF(OR(312&lt;=RefiMonth+PermIOMonths,'Timeline'!LC$43=0),0,MIN(LB$30,PermPmt-LC$27))</f>
        <v/>
      </c>
      <c r="LD28" s="18">
        <f>IF(OR(313&lt;=RefiMonth+PermIOMonths,'Timeline'!LD$43=0),0,MIN(LC$30,PermPmt-LD$27))</f>
        <v/>
      </c>
      <c r="LE28" s="18">
        <f>IF(OR(314&lt;=RefiMonth+PermIOMonths,'Timeline'!LE$43=0),0,MIN(LD$30,PermPmt-LE$27))</f>
        <v/>
      </c>
      <c r="LF28" s="18">
        <f>IF(OR(315&lt;=RefiMonth+PermIOMonths,'Timeline'!LF$43=0),0,MIN(LE$30,PermPmt-LF$27))</f>
        <v/>
      </c>
      <c r="LG28" s="18">
        <f>IF(OR(316&lt;=RefiMonth+PermIOMonths,'Timeline'!LG$43=0),0,MIN(LF$30,PermPmt-LG$27))</f>
        <v/>
      </c>
      <c r="LH28" s="18">
        <f>IF(OR(317&lt;=RefiMonth+PermIOMonths,'Timeline'!LH$43=0),0,MIN(LG$30,PermPmt-LH$27))</f>
        <v/>
      </c>
      <c r="LI28" s="18">
        <f>IF(OR(318&lt;=RefiMonth+PermIOMonths,'Timeline'!LI$43=0),0,MIN(LH$30,PermPmt-LI$27))</f>
        <v/>
      </c>
      <c r="LJ28" s="18">
        <f>IF(OR(319&lt;=RefiMonth+PermIOMonths,'Timeline'!LJ$43=0),0,MIN(LI$30,PermPmt-LJ$27))</f>
        <v/>
      </c>
      <c r="LK28" s="18">
        <f>IF(OR(320&lt;=RefiMonth+PermIOMonths,'Timeline'!LK$43=0),0,MIN(LJ$30,PermPmt-LK$27))</f>
        <v/>
      </c>
      <c r="LL28" s="18">
        <f>IF(OR(321&lt;=RefiMonth+PermIOMonths,'Timeline'!LL$43=0),0,MIN(LK$30,PermPmt-LL$27))</f>
        <v/>
      </c>
      <c r="LM28" s="18">
        <f>IF(OR(322&lt;=RefiMonth+PermIOMonths,'Timeline'!LM$43=0),0,MIN(LL$30,PermPmt-LM$27))</f>
        <v/>
      </c>
      <c r="LN28" s="18">
        <f>IF(OR(323&lt;=RefiMonth+PermIOMonths,'Timeline'!LN$43=0),0,MIN(LM$30,PermPmt-LN$27))</f>
        <v/>
      </c>
      <c r="LO28" s="18">
        <f>IF(OR(324&lt;=RefiMonth+PermIOMonths,'Timeline'!LO$43=0),0,MIN(LN$30,PermPmt-LO$27))</f>
        <v/>
      </c>
      <c r="LP28" s="18">
        <f>IF(OR(325&lt;=RefiMonth+PermIOMonths,'Timeline'!LP$43=0),0,MIN(LO$30,PermPmt-LP$27))</f>
        <v/>
      </c>
      <c r="LQ28" s="18">
        <f>IF(OR(326&lt;=RefiMonth+PermIOMonths,'Timeline'!LQ$43=0),0,MIN(LP$30,PermPmt-LQ$27))</f>
        <v/>
      </c>
      <c r="LR28" s="18">
        <f>IF(OR(327&lt;=RefiMonth+PermIOMonths,'Timeline'!LR$43=0),0,MIN(LQ$30,PermPmt-LR$27))</f>
        <v/>
      </c>
      <c r="LS28" s="18">
        <f>IF(OR(328&lt;=RefiMonth+PermIOMonths,'Timeline'!LS$43=0),0,MIN(LR$30,PermPmt-LS$27))</f>
        <v/>
      </c>
      <c r="LT28" s="18">
        <f>IF(OR(329&lt;=RefiMonth+PermIOMonths,'Timeline'!LT$43=0),0,MIN(LS$30,PermPmt-LT$27))</f>
        <v/>
      </c>
      <c r="LU28" s="18">
        <f>IF(OR(330&lt;=RefiMonth+PermIOMonths,'Timeline'!LU$43=0),0,MIN(LT$30,PermPmt-LU$27))</f>
        <v/>
      </c>
      <c r="LV28" s="18">
        <f>IF(OR(331&lt;=RefiMonth+PermIOMonths,'Timeline'!LV$43=0),0,MIN(LU$30,PermPmt-LV$27))</f>
        <v/>
      </c>
      <c r="LW28" s="18">
        <f>IF(OR(332&lt;=RefiMonth+PermIOMonths,'Timeline'!LW$43=0),0,MIN(LV$30,PermPmt-LW$27))</f>
        <v/>
      </c>
      <c r="LX28" s="18">
        <f>IF(OR(333&lt;=RefiMonth+PermIOMonths,'Timeline'!LX$43=0),0,MIN(LW$30,PermPmt-LX$27))</f>
        <v/>
      </c>
      <c r="LY28" s="18">
        <f>IF(OR(334&lt;=RefiMonth+PermIOMonths,'Timeline'!LY$43=0),0,MIN(LX$30,PermPmt-LY$27))</f>
        <v/>
      </c>
      <c r="LZ28" s="18">
        <f>IF(OR(335&lt;=RefiMonth+PermIOMonths,'Timeline'!LZ$43=0),0,MIN(LY$30,PermPmt-LZ$27))</f>
        <v/>
      </c>
      <c r="MA28" s="18">
        <f>IF(OR(336&lt;=RefiMonth+PermIOMonths,'Timeline'!MA$43=0),0,MIN(LZ$30,PermPmt-MA$27))</f>
        <v/>
      </c>
      <c r="MB28" s="18">
        <f>IF(OR(337&lt;=RefiMonth+PermIOMonths,'Timeline'!MB$43=0),0,MIN(MA$30,PermPmt-MB$27))</f>
        <v/>
      </c>
      <c r="MC28" s="18">
        <f>IF(OR(338&lt;=RefiMonth+PermIOMonths,'Timeline'!MC$43=0),0,MIN(MB$30,PermPmt-MC$27))</f>
        <v/>
      </c>
      <c r="MD28" s="18">
        <f>IF(OR(339&lt;=RefiMonth+PermIOMonths,'Timeline'!MD$43=0),0,MIN(MC$30,PermPmt-MD$27))</f>
        <v/>
      </c>
      <c r="ME28" s="18">
        <f>IF(OR(340&lt;=RefiMonth+PermIOMonths,'Timeline'!ME$43=0),0,MIN(MD$30,PermPmt-ME$27))</f>
        <v/>
      </c>
      <c r="MF28" s="18">
        <f>IF(OR(341&lt;=RefiMonth+PermIOMonths,'Timeline'!MF$43=0),0,MIN(ME$30,PermPmt-MF$27))</f>
        <v/>
      </c>
      <c r="MG28" s="18">
        <f>IF(OR(342&lt;=RefiMonth+PermIOMonths,'Timeline'!MG$43=0),0,MIN(MF$30,PermPmt-MG$27))</f>
        <v/>
      </c>
      <c r="MH28" s="18">
        <f>IF(OR(343&lt;=RefiMonth+PermIOMonths,'Timeline'!MH$43=0),0,MIN(MG$30,PermPmt-MH$27))</f>
        <v/>
      </c>
      <c r="MI28" s="18">
        <f>IF(OR(344&lt;=RefiMonth+PermIOMonths,'Timeline'!MI$43=0),0,MIN(MH$30,PermPmt-MI$27))</f>
        <v/>
      </c>
      <c r="MJ28" s="18">
        <f>IF(OR(345&lt;=RefiMonth+PermIOMonths,'Timeline'!MJ$43=0),0,MIN(MI$30,PermPmt-MJ$27))</f>
        <v/>
      </c>
      <c r="MK28" s="18">
        <f>IF(OR(346&lt;=RefiMonth+PermIOMonths,'Timeline'!MK$43=0),0,MIN(MJ$30,PermPmt-MK$27))</f>
        <v/>
      </c>
      <c r="ML28" s="18">
        <f>IF(OR(347&lt;=RefiMonth+PermIOMonths,'Timeline'!ML$43=0),0,MIN(MK$30,PermPmt-ML$27))</f>
        <v/>
      </c>
      <c r="MM28" s="18">
        <f>IF(OR(348&lt;=RefiMonth+PermIOMonths,'Timeline'!MM$43=0),0,MIN(ML$30,PermPmt-MM$27))</f>
        <v/>
      </c>
      <c r="MN28" s="18">
        <f>IF(OR(349&lt;=RefiMonth+PermIOMonths,'Timeline'!MN$43=0),0,MIN(MM$30,PermPmt-MN$27))</f>
        <v/>
      </c>
      <c r="MO28" s="18">
        <f>IF(OR(350&lt;=RefiMonth+PermIOMonths,'Timeline'!MO$43=0),0,MIN(MN$30,PermPmt-MO$27))</f>
        <v/>
      </c>
      <c r="MP28" s="18">
        <f>IF(OR(351&lt;=RefiMonth+PermIOMonths,'Timeline'!MP$43=0),0,MIN(MO$30,PermPmt-MP$27))</f>
        <v/>
      </c>
      <c r="MQ28" s="18">
        <f>IF(OR(352&lt;=RefiMonth+PermIOMonths,'Timeline'!MQ$43=0),0,MIN(MP$30,PermPmt-MQ$27))</f>
        <v/>
      </c>
      <c r="MR28" s="18">
        <f>IF(OR(353&lt;=RefiMonth+PermIOMonths,'Timeline'!MR$43=0),0,MIN(MQ$30,PermPmt-MR$27))</f>
        <v/>
      </c>
      <c r="MS28" s="18">
        <f>IF(OR(354&lt;=RefiMonth+PermIOMonths,'Timeline'!MS$43=0),0,MIN(MR$30,PermPmt-MS$27))</f>
        <v/>
      </c>
      <c r="MT28" s="18">
        <f>IF(OR(355&lt;=RefiMonth+PermIOMonths,'Timeline'!MT$43=0),0,MIN(MS$30,PermPmt-MT$27))</f>
        <v/>
      </c>
      <c r="MU28" s="18">
        <f>IF(OR(356&lt;=RefiMonth+PermIOMonths,'Timeline'!MU$43=0),0,MIN(MT$30,PermPmt-MU$27))</f>
        <v/>
      </c>
      <c r="MV28" s="18">
        <f>IF(OR(357&lt;=RefiMonth+PermIOMonths,'Timeline'!MV$43=0),0,MIN(MU$30,PermPmt-MV$27))</f>
        <v/>
      </c>
      <c r="MW28" s="18">
        <f>IF(OR(358&lt;=RefiMonth+PermIOMonths,'Timeline'!MW$43=0),0,MIN(MV$30,PermPmt-MW$27))</f>
        <v/>
      </c>
      <c r="MX28" s="18">
        <f>IF(OR(359&lt;=RefiMonth+PermIOMonths,'Timeline'!MX$43=0),0,MIN(MW$30,PermPmt-MX$27))</f>
        <v/>
      </c>
      <c r="MY28" s="18">
        <f>IF(OR(360&lt;=RefiMonth+PermIOMonths,'Timeline'!MY$43=0),0,MIN(MX$30,PermPmt-MY$27))</f>
        <v/>
      </c>
      <c r="MZ28" s="18">
        <f>IF(OR(361&lt;=RefiMonth+PermIOMonths,'Timeline'!MZ$43=0),0,MIN(MY$30,PermPmt-MZ$27))</f>
        <v/>
      </c>
      <c r="NA28" s="18">
        <f>IF(OR(362&lt;=RefiMonth+PermIOMonths,'Timeline'!NA$43=0),0,MIN(MZ$30,PermPmt-NA$27))</f>
        <v/>
      </c>
      <c r="NB28" s="18">
        <f>IF(OR(363&lt;=RefiMonth+PermIOMonths,'Timeline'!NB$43=0),0,MIN(NA$30,PermPmt-NB$27))</f>
        <v/>
      </c>
      <c r="NC28" s="18">
        <f>IF(OR(364&lt;=RefiMonth+PermIOMonths,'Timeline'!NC$43=0),0,MIN(NB$30,PermPmt-NC$27))</f>
        <v/>
      </c>
      <c r="ND28" s="18">
        <f>IF(OR(365&lt;=RefiMonth+PermIOMonths,'Timeline'!ND$43=0),0,MIN(NC$30,PermPmt-ND$27))</f>
        <v/>
      </c>
      <c r="NE28" s="18">
        <f>IF(OR(366&lt;=RefiMonth+PermIOMonths,'Timeline'!NE$43=0),0,MIN(ND$30,PermPmt-NE$27))</f>
        <v/>
      </c>
      <c r="NF28" s="18">
        <f>IF(OR(367&lt;=RefiMonth+PermIOMonths,'Timeline'!NF$43=0),0,MIN(NE$30,PermPmt-NF$27))</f>
        <v/>
      </c>
      <c r="NG28" s="18">
        <f>IF(OR(368&lt;=RefiMonth+PermIOMonths,'Timeline'!NG$43=0),0,MIN(NF$30,PermPmt-NG$27))</f>
        <v/>
      </c>
      <c r="NH28" s="18">
        <f>IF(OR(369&lt;=RefiMonth+PermIOMonths,'Timeline'!NH$43=0),0,MIN(NG$30,PermPmt-NH$27))</f>
        <v/>
      </c>
      <c r="NI28" s="18">
        <f>IF(OR(370&lt;=RefiMonth+PermIOMonths,'Timeline'!NI$43=0),0,MIN(NH$30,PermPmt-NI$27))</f>
        <v/>
      </c>
      <c r="NJ28" s="18">
        <f>IF(OR(371&lt;=RefiMonth+PermIOMonths,'Timeline'!NJ$43=0),0,MIN(NI$30,PermPmt-NJ$27))</f>
        <v/>
      </c>
      <c r="NK28" s="18">
        <f>IF(OR(372&lt;=RefiMonth+PermIOMonths,'Timeline'!NK$43=0),0,MIN(NJ$30,PermPmt-NK$27))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IF('Timeline'!D$43=1,D$27+D$28,0)</f>
        <v/>
      </c>
      <c r="E29" s="18">
        <f>IF('Timeline'!E$43=1,E$27+E$28,0)</f>
        <v/>
      </c>
      <c r="F29" s="18">
        <f>IF('Timeline'!F$43=1,F$27+F$28,0)</f>
        <v/>
      </c>
      <c r="G29" s="18">
        <f>IF('Timeline'!G$43=1,G$27+G$28,0)</f>
        <v/>
      </c>
      <c r="H29" s="18">
        <f>IF('Timeline'!H$43=1,H$27+H$28,0)</f>
        <v/>
      </c>
      <c r="I29" s="18">
        <f>IF('Timeline'!I$43=1,I$27+I$28,0)</f>
        <v/>
      </c>
      <c r="J29" s="18">
        <f>IF('Timeline'!J$43=1,J$27+J$28,0)</f>
        <v/>
      </c>
      <c r="K29" s="18">
        <f>IF('Timeline'!K$43=1,K$27+K$28,0)</f>
        <v/>
      </c>
      <c r="L29" s="18">
        <f>IF('Timeline'!L$43=1,L$27+L$28,0)</f>
        <v/>
      </c>
      <c r="M29" s="18">
        <f>IF('Timeline'!M$43=1,M$27+M$28,0)</f>
        <v/>
      </c>
      <c r="N29" s="18">
        <f>IF('Timeline'!N$43=1,N$27+N$28,0)</f>
        <v/>
      </c>
      <c r="O29" s="18">
        <f>IF('Timeline'!O$43=1,O$27+O$28,0)</f>
        <v/>
      </c>
      <c r="P29" s="18">
        <f>IF('Timeline'!P$43=1,P$27+P$28,0)</f>
        <v/>
      </c>
      <c r="Q29" s="18">
        <f>IF('Timeline'!Q$43=1,Q$27+Q$28,0)</f>
        <v/>
      </c>
      <c r="R29" s="18">
        <f>IF('Timeline'!R$43=1,R$27+R$28,0)</f>
        <v/>
      </c>
      <c r="S29" s="18">
        <f>IF('Timeline'!S$43=1,S$27+S$28,0)</f>
        <v/>
      </c>
      <c r="T29" s="18">
        <f>IF('Timeline'!T$43=1,T$27+T$28,0)</f>
        <v/>
      </c>
      <c r="U29" s="18">
        <f>IF('Timeline'!U$43=1,U$27+U$28,0)</f>
        <v/>
      </c>
      <c r="V29" s="18">
        <f>IF('Timeline'!V$43=1,V$27+V$28,0)</f>
        <v/>
      </c>
      <c r="W29" s="18">
        <f>IF('Timeline'!W$43=1,W$27+W$28,0)</f>
        <v/>
      </c>
      <c r="X29" s="18">
        <f>IF('Timeline'!X$43=1,X$27+X$28,0)</f>
        <v/>
      </c>
      <c r="Y29" s="18">
        <f>IF('Timeline'!Y$43=1,Y$27+Y$28,0)</f>
        <v/>
      </c>
      <c r="Z29" s="18">
        <f>IF('Timeline'!Z$43=1,Z$27+Z$28,0)</f>
        <v/>
      </c>
      <c r="AA29" s="18">
        <f>IF('Timeline'!AA$43=1,AA$27+AA$28,0)</f>
        <v/>
      </c>
      <c r="AB29" s="18">
        <f>IF('Timeline'!AB$43=1,AB$27+AB$28,0)</f>
        <v/>
      </c>
      <c r="AC29" s="18">
        <f>IF('Timeline'!AC$43=1,AC$27+AC$28,0)</f>
        <v/>
      </c>
      <c r="AD29" s="18">
        <f>IF('Timeline'!AD$43=1,AD$27+AD$28,0)</f>
        <v/>
      </c>
      <c r="AE29" s="18">
        <f>IF('Timeline'!AE$43=1,AE$27+AE$28,0)</f>
        <v/>
      </c>
      <c r="AF29" s="18">
        <f>IF('Timeline'!AF$43=1,AF$27+AF$28,0)</f>
        <v/>
      </c>
      <c r="AG29" s="18">
        <f>IF('Timeline'!AG$43=1,AG$27+AG$28,0)</f>
        <v/>
      </c>
      <c r="AH29" s="18">
        <f>IF('Timeline'!AH$43=1,AH$27+AH$28,0)</f>
        <v/>
      </c>
      <c r="AI29" s="18">
        <f>IF('Timeline'!AI$43=1,AI$27+AI$28,0)</f>
        <v/>
      </c>
      <c r="AJ29" s="18">
        <f>IF('Timeline'!AJ$43=1,AJ$27+AJ$28,0)</f>
        <v/>
      </c>
      <c r="AK29" s="18">
        <f>IF('Timeline'!AK$43=1,AK$27+AK$28,0)</f>
        <v/>
      </c>
      <c r="AL29" s="18">
        <f>IF('Timeline'!AL$43=1,AL$27+AL$28,0)</f>
        <v/>
      </c>
      <c r="AM29" s="18">
        <f>IF('Timeline'!AM$43=1,AM$27+AM$28,0)</f>
        <v/>
      </c>
      <c r="AN29" s="18">
        <f>IF('Timeline'!AN$43=1,AN$27+AN$28,0)</f>
        <v/>
      </c>
      <c r="AO29" s="18">
        <f>IF('Timeline'!AO$43=1,AO$27+AO$28,0)</f>
        <v/>
      </c>
      <c r="AP29" s="18">
        <f>IF('Timeline'!AP$43=1,AP$27+AP$28,0)</f>
        <v/>
      </c>
      <c r="AQ29" s="18">
        <f>IF('Timeline'!AQ$43=1,AQ$27+AQ$28,0)</f>
        <v/>
      </c>
      <c r="AR29" s="18">
        <f>IF('Timeline'!AR$43=1,AR$27+AR$28,0)</f>
        <v/>
      </c>
      <c r="AS29" s="18">
        <f>IF('Timeline'!AS$43=1,AS$27+AS$28,0)</f>
        <v/>
      </c>
      <c r="AT29" s="18">
        <f>IF('Timeline'!AT$43=1,AT$27+AT$28,0)</f>
        <v/>
      </c>
      <c r="AU29" s="18">
        <f>IF('Timeline'!AU$43=1,AU$27+AU$28,0)</f>
        <v/>
      </c>
      <c r="AV29" s="18">
        <f>IF('Timeline'!AV$43=1,AV$27+AV$28,0)</f>
        <v/>
      </c>
      <c r="AW29" s="18">
        <f>IF('Timeline'!AW$43=1,AW$27+AW$28,0)</f>
        <v/>
      </c>
      <c r="AX29" s="18">
        <f>IF('Timeline'!AX$43=1,AX$27+AX$28,0)</f>
        <v/>
      </c>
      <c r="AY29" s="18">
        <f>IF('Timeline'!AY$43=1,AY$27+AY$28,0)</f>
        <v/>
      </c>
      <c r="AZ29" s="18">
        <f>IF('Timeline'!AZ$43=1,AZ$27+AZ$28,0)</f>
        <v/>
      </c>
      <c r="BA29" s="18">
        <f>IF('Timeline'!BA$43=1,BA$27+BA$28,0)</f>
        <v/>
      </c>
      <c r="BB29" s="18">
        <f>IF('Timeline'!BB$43=1,BB$27+BB$28,0)</f>
        <v/>
      </c>
      <c r="BC29" s="18">
        <f>IF('Timeline'!BC$43=1,BC$27+BC$28,0)</f>
        <v/>
      </c>
      <c r="BD29" s="18">
        <f>IF('Timeline'!BD$43=1,BD$27+BD$28,0)</f>
        <v/>
      </c>
      <c r="BE29" s="18">
        <f>IF('Timeline'!BE$43=1,BE$27+BE$28,0)</f>
        <v/>
      </c>
      <c r="BF29" s="18">
        <f>IF('Timeline'!BF$43=1,BF$27+BF$28,0)</f>
        <v/>
      </c>
      <c r="BG29" s="18">
        <f>IF('Timeline'!BG$43=1,BG$27+BG$28,0)</f>
        <v/>
      </c>
      <c r="BH29" s="18">
        <f>IF('Timeline'!BH$43=1,BH$27+BH$28,0)</f>
        <v/>
      </c>
      <c r="BI29" s="18">
        <f>IF('Timeline'!BI$43=1,BI$27+BI$28,0)</f>
        <v/>
      </c>
      <c r="BJ29" s="18">
        <f>IF('Timeline'!BJ$43=1,BJ$27+BJ$28,0)</f>
        <v/>
      </c>
      <c r="BK29" s="18">
        <f>IF('Timeline'!BK$43=1,BK$27+BK$28,0)</f>
        <v/>
      </c>
      <c r="BL29" s="18">
        <f>IF('Timeline'!BL$43=1,BL$27+BL$28,0)</f>
        <v/>
      </c>
      <c r="BM29" s="18">
        <f>IF('Timeline'!BM$43=1,BM$27+BM$28,0)</f>
        <v/>
      </c>
      <c r="BN29" s="18">
        <f>IF('Timeline'!BN$43=1,BN$27+BN$28,0)</f>
        <v/>
      </c>
      <c r="BO29" s="18">
        <f>IF('Timeline'!BO$43=1,BO$27+BO$28,0)</f>
        <v/>
      </c>
      <c r="BP29" s="18">
        <f>IF('Timeline'!BP$43=1,BP$27+BP$28,0)</f>
        <v/>
      </c>
      <c r="BQ29" s="18">
        <f>IF('Timeline'!BQ$43=1,BQ$27+BQ$28,0)</f>
        <v/>
      </c>
      <c r="BR29" s="18">
        <f>IF('Timeline'!BR$43=1,BR$27+BR$28,0)</f>
        <v/>
      </c>
      <c r="BS29" s="18">
        <f>IF('Timeline'!BS$43=1,BS$27+BS$28,0)</f>
        <v/>
      </c>
      <c r="BT29" s="18">
        <f>IF('Timeline'!BT$43=1,BT$27+BT$28,0)</f>
        <v/>
      </c>
      <c r="BU29" s="18">
        <f>IF('Timeline'!BU$43=1,BU$27+BU$28,0)</f>
        <v/>
      </c>
      <c r="BV29" s="18">
        <f>IF('Timeline'!BV$43=1,BV$27+BV$28,0)</f>
        <v/>
      </c>
      <c r="BW29" s="18">
        <f>IF('Timeline'!BW$43=1,BW$27+BW$28,0)</f>
        <v/>
      </c>
      <c r="BX29" s="18">
        <f>IF('Timeline'!BX$43=1,BX$27+BX$28,0)</f>
        <v/>
      </c>
      <c r="BY29" s="18">
        <f>IF('Timeline'!BY$43=1,BY$27+BY$28,0)</f>
        <v/>
      </c>
      <c r="BZ29" s="18">
        <f>IF('Timeline'!BZ$43=1,BZ$27+BZ$28,0)</f>
        <v/>
      </c>
      <c r="CA29" s="18">
        <f>IF('Timeline'!CA$43=1,CA$27+CA$28,0)</f>
        <v/>
      </c>
      <c r="CB29" s="18">
        <f>IF('Timeline'!CB$43=1,CB$27+CB$28,0)</f>
        <v/>
      </c>
      <c r="CC29" s="18">
        <f>IF('Timeline'!CC$43=1,CC$27+CC$28,0)</f>
        <v/>
      </c>
      <c r="CD29" s="18">
        <f>IF('Timeline'!CD$43=1,CD$27+CD$28,0)</f>
        <v/>
      </c>
      <c r="CE29" s="18">
        <f>IF('Timeline'!CE$43=1,CE$27+CE$28,0)</f>
        <v/>
      </c>
      <c r="CF29" s="18">
        <f>IF('Timeline'!CF$43=1,CF$27+CF$28,0)</f>
        <v/>
      </c>
      <c r="CG29" s="18">
        <f>IF('Timeline'!CG$43=1,CG$27+CG$28,0)</f>
        <v/>
      </c>
      <c r="CH29" s="18">
        <f>IF('Timeline'!CH$43=1,CH$27+CH$28,0)</f>
        <v/>
      </c>
      <c r="CI29" s="18">
        <f>IF('Timeline'!CI$43=1,CI$27+CI$28,0)</f>
        <v/>
      </c>
      <c r="CJ29" s="18">
        <f>IF('Timeline'!CJ$43=1,CJ$27+CJ$28,0)</f>
        <v/>
      </c>
      <c r="CK29" s="18">
        <f>IF('Timeline'!CK$43=1,CK$27+CK$28,0)</f>
        <v/>
      </c>
      <c r="CL29" s="18">
        <f>IF('Timeline'!CL$43=1,CL$27+CL$28,0)</f>
        <v/>
      </c>
      <c r="CM29" s="18">
        <f>IF('Timeline'!CM$43=1,CM$27+CM$28,0)</f>
        <v/>
      </c>
      <c r="CN29" s="18">
        <f>IF('Timeline'!CN$43=1,CN$27+CN$28,0)</f>
        <v/>
      </c>
      <c r="CO29" s="18">
        <f>IF('Timeline'!CO$43=1,CO$27+CO$28,0)</f>
        <v/>
      </c>
      <c r="CP29" s="18">
        <f>IF('Timeline'!CP$43=1,CP$27+CP$28,0)</f>
        <v/>
      </c>
      <c r="CQ29" s="18">
        <f>IF('Timeline'!CQ$43=1,CQ$27+CQ$28,0)</f>
        <v/>
      </c>
      <c r="CR29" s="18">
        <f>IF('Timeline'!CR$43=1,CR$27+CR$28,0)</f>
        <v/>
      </c>
      <c r="CS29" s="18">
        <f>IF('Timeline'!CS$43=1,CS$27+CS$28,0)</f>
        <v/>
      </c>
      <c r="CT29" s="18">
        <f>IF('Timeline'!CT$43=1,CT$27+CT$28,0)</f>
        <v/>
      </c>
      <c r="CU29" s="18">
        <f>IF('Timeline'!CU$43=1,CU$27+CU$28,0)</f>
        <v/>
      </c>
      <c r="CV29" s="18">
        <f>IF('Timeline'!CV$43=1,CV$27+CV$28,0)</f>
        <v/>
      </c>
      <c r="CW29" s="18">
        <f>IF('Timeline'!CW$43=1,CW$27+CW$28,0)</f>
        <v/>
      </c>
      <c r="CX29" s="18">
        <f>IF('Timeline'!CX$43=1,CX$27+CX$28,0)</f>
        <v/>
      </c>
      <c r="CY29" s="18">
        <f>IF('Timeline'!CY$43=1,CY$27+CY$28,0)</f>
        <v/>
      </c>
      <c r="CZ29" s="18">
        <f>IF('Timeline'!CZ$43=1,CZ$27+CZ$28,0)</f>
        <v/>
      </c>
      <c r="DA29" s="18">
        <f>IF('Timeline'!DA$43=1,DA$27+DA$28,0)</f>
        <v/>
      </c>
      <c r="DB29" s="18">
        <f>IF('Timeline'!DB$43=1,DB$27+DB$28,0)</f>
        <v/>
      </c>
      <c r="DC29" s="18">
        <f>IF('Timeline'!DC$43=1,DC$27+DC$28,0)</f>
        <v/>
      </c>
      <c r="DD29" s="18">
        <f>IF('Timeline'!DD$43=1,DD$27+DD$28,0)</f>
        <v/>
      </c>
      <c r="DE29" s="18">
        <f>IF('Timeline'!DE$43=1,DE$27+DE$28,0)</f>
        <v/>
      </c>
      <c r="DF29" s="18">
        <f>IF('Timeline'!DF$43=1,DF$27+DF$28,0)</f>
        <v/>
      </c>
      <c r="DG29" s="18">
        <f>IF('Timeline'!DG$43=1,DG$27+DG$28,0)</f>
        <v/>
      </c>
      <c r="DH29" s="18">
        <f>IF('Timeline'!DH$43=1,DH$27+DH$28,0)</f>
        <v/>
      </c>
      <c r="DI29" s="18">
        <f>IF('Timeline'!DI$43=1,DI$27+DI$28,0)</f>
        <v/>
      </c>
      <c r="DJ29" s="18">
        <f>IF('Timeline'!DJ$43=1,DJ$27+DJ$28,0)</f>
        <v/>
      </c>
      <c r="DK29" s="18">
        <f>IF('Timeline'!DK$43=1,DK$27+DK$28,0)</f>
        <v/>
      </c>
      <c r="DL29" s="18">
        <f>IF('Timeline'!DL$43=1,DL$27+DL$28,0)</f>
        <v/>
      </c>
      <c r="DM29" s="18">
        <f>IF('Timeline'!DM$43=1,DM$27+DM$28,0)</f>
        <v/>
      </c>
      <c r="DN29" s="18">
        <f>IF('Timeline'!DN$43=1,DN$27+DN$28,0)</f>
        <v/>
      </c>
      <c r="DO29" s="18">
        <f>IF('Timeline'!DO$43=1,DO$27+DO$28,0)</f>
        <v/>
      </c>
      <c r="DP29" s="18">
        <f>IF('Timeline'!DP$43=1,DP$27+DP$28,0)</f>
        <v/>
      </c>
      <c r="DQ29" s="18">
        <f>IF('Timeline'!DQ$43=1,DQ$27+DQ$28,0)</f>
        <v/>
      </c>
      <c r="DR29" s="18">
        <f>IF('Timeline'!DR$43=1,DR$27+DR$28,0)</f>
        <v/>
      </c>
      <c r="DS29" s="18">
        <f>IF('Timeline'!DS$43=1,DS$27+DS$28,0)</f>
        <v/>
      </c>
      <c r="DT29" s="18">
        <f>IF('Timeline'!DT$43=1,DT$27+DT$28,0)</f>
        <v/>
      </c>
      <c r="DU29" s="18">
        <f>IF('Timeline'!DU$43=1,DU$27+DU$28,0)</f>
        <v/>
      </c>
      <c r="DV29" s="18">
        <f>IF('Timeline'!DV$43=1,DV$27+DV$28,0)</f>
        <v/>
      </c>
      <c r="DW29" s="18">
        <f>IF('Timeline'!DW$43=1,DW$27+DW$28,0)</f>
        <v/>
      </c>
      <c r="DX29" s="18">
        <f>IF('Timeline'!DX$43=1,DX$27+DX$28,0)</f>
        <v/>
      </c>
      <c r="DY29" s="18">
        <f>IF('Timeline'!DY$43=1,DY$27+DY$28,0)</f>
        <v/>
      </c>
      <c r="DZ29" s="18">
        <f>IF('Timeline'!DZ$43=1,DZ$27+DZ$28,0)</f>
        <v/>
      </c>
      <c r="EA29" s="18">
        <f>IF('Timeline'!EA$43=1,EA$27+EA$28,0)</f>
        <v/>
      </c>
      <c r="EB29" s="18">
        <f>IF('Timeline'!EB$43=1,EB$27+EB$28,0)</f>
        <v/>
      </c>
      <c r="EC29" s="18">
        <f>IF('Timeline'!EC$43=1,EC$27+EC$28,0)</f>
        <v/>
      </c>
      <c r="ED29" s="18">
        <f>IF('Timeline'!ED$43=1,ED$27+ED$28,0)</f>
        <v/>
      </c>
      <c r="EE29" s="18">
        <f>IF('Timeline'!EE$43=1,EE$27+EE$28,0)</f>
        <v/>
      </c>
      <c r="EF29" s="18">
        <f>IF('Timeline'!EF$43=1,EF$27+EF$28,0)</f>
        <v/>
      </c>
      <c r="EG29" s="18">
        <f>IF('Timeline'!EG$43=1,EG$27+EG$28,0)</f>
        <v/>
      </c>
      <c r="EH29" s="18">
        <f>IF('Timeline'!EH$43=1,EH$27+EH$28,0)</f>
        <v/>
      </c>
      <c r="EI29" s="18">
        <f>IF('Timeline'!EI$43=1,EI$27+EI$28,0)</f>
        <v/>
      </c>
      <c r="EJ29" s="18">
        <f>IF('Timeline'!EJ$43=1,EJ$27+EJ$28,0)</f>
        <v/>
      </c>
      <c r="EK29" s="18">
        <f>IF('Timeline'!EK$43=1,EK$27+EK$28,0)</f>
        <v/>
      </c>
      <c r="EL29" s="18">
        <f>IF('Timeline'!EL$43=1,EL$27+EL$28,0)</f>
        <v/>
      </c>
      <c r="EM29" s="18">
        <f>IF('Timeline'!EM$43=1,EM$27+EM$28,0)</f>
        <v/>
      </c>
      <c r="EN29" s="18">
        <f>IF('Timeline'!EN$43=1,EN$27+EN$28,0)</f>
        <v/>
      </c>
      <c r="EO29" s="18">
        <f>IF('Timeline'!EO$43=1,EO$27+EO$28,0)</f>
        <v/>
      </c>
      <c r="EP29" s="18">
        <f>IF('Timeline'!EP$43=1,EP$27+EP$28,0)</f>
        <v/>
      </c>
      <c r="EQ29" s="18">
        <f>IF('Timeline'!EQ$43=1,EQ$27+EQ$28,0)</f>
        <v/>
      </c>
      <c r="ER29" s="18">
        <f>IF('Timeline'!ER$43=1,ER$27+ER$28,0)</f>
        <v/>
      </c>
      <c r="ES29" s="18">
        <f>IF('Timeline'!ES$43=1,ES$27+ES$28,0)</f>
        <v/>
      </c>
      <c r="ET29" s="18">
        <f>IF('Timeline'!ET$43=1,ET$27+ET$28,0)</f>
        <v/>
      </c>
      <c r="EU29" s="18">
        <f>IF('Timeline'!EU$43=1,EU$27+EU$28,0)</f>
        <v/>
      </c>
      <c r="EV29" s="18">
        <f>IF('Timeline'!EV$43=1,EV$27+EV$28,0)</f>
        <v/>
      </c>
      <c r="EW29" s="18">
        <f>IF('Timeline'!EW$43=1,EW$27+EW$28,0)</f>
        <v/>
      </c>
      <c r="EX29" s="18">
        <f>IF('Timeline'!EX$43=1,EX$27+EX$28,0)</f>
        <v/>
      </c>
      <c r="EY29" s="18">
        <f>IF('Timeline'!EY$43=1,EY$27+EY$28,0)</f>
        <v/>
      </c>
      <c r="EZ29" s="18">
        <f>IF('Timeline'!EZ$43=1,EZ$27+EZ$28,0)</f>
        <v/>
      </c>
      <c r="FA29" s="18">
        <f>IF('Timeline'!FA$43=1,FA$27+FA$28,0)</f>
        <v/>
      </c>
      <c r="FB29" s="18">
        <f>IF('Timeline'!FB$43=1,FB$27+FB$28,0)</f>
        <v/>
      </c>
      <c r="FC29" s="18">
        <f>IF('Timeline'!FC$43=1,FC$27+FC$28,0)</f>
        <v/>
      </c>
      <c r="FD29" s="18">
        <f>IF('Timeline'!FD$43=1,FD$27+FD$28,0)</f>
        <v/>
      </c>
      <c r="FE29" s="18">
        <f>IF('Timeline'!FE$43=1,FE$27+FE$28,0)</f>
        <v/>
      </c>
      <c r="FF29" s="18">
        <f>IF('Timeline'!FF$43=1,FF$27+FF$28,0)</f>
        <v/>
      </c>
      <c r="FG29" s="18">
        <f>IF('Timeline'!FG$43=1,FG$27+FG$28,0)</f>
        <v/>
      </c>
      <c r="FH29" s="18">
        <f>IF('Timeline'!FH$43=1,FH$27+FH$28,0)</f>
        <v/>
      </c>
      <c r="FI29" s="18">
        <f>IF('Timeline'!FI$43=1,FI$27+FI$28,0)</f>
        <v/>
      </c>
      <c r="FJ29" s="18">
        <f>IF('Timeline'!FJ$43=1,FJ$27+FJ$28,0)</f>
        <v/>
      </c>
      <c r="FK29" s="18">
        <f>IF('Timeline'!FK$43=1,FK$27+FK$28,0)</f>
        <v/>
      </c>
      <c r="FL29" s="18">
        <f>IF('Timeline'!FL$43=1,FL$27+FL$28,0)</f>
        <v/>
      </c>
      <c r="FM29" s="18">
        <f>IF('Timeline'!FM$43=1,FM$27+FM$28,0)</f>
        <v/>
      </c>
      <c r="FN29" s="18">
        <f>IF('Timeline'!FN$43=1,FN$27+FN$28,0)</f>
        <v/>
      </c>
      <c r="FO29" s="18">
        <f>IF('Timeline'!FO$43=1,FO$27+FO$28,0)</f>
        <v/>
      </c>
      <c r="FP29" s="18">
        <f>IF('Timeline'!FP$43=1,FP$27+FP$28,0)</f>
        <v/>
      </c>
      <c r="FQ29" s="18">
        <f>IF('Timeline'!FQ$43=1,FQ$27+FQ$28,0)</f>
        <v/>
      </c>
      <c r="FR29" s="18">
        <f>IF('Timeline'!FR$43=1,FR$27+FR$28,0)</f>
        <v/>
      </c>
      <c r="FS29" s="18">
        <f>IF('Timeline'!FS$43=1,FS$27+FS$28,0)</f>
        <v/>
      </c>
      <c r="FT29" s="18">
        <f>IF('Timeline'!FT$43=1,FT$27+FT$28,0)</f>
        <v/>
      </c>
      <c r="FU29" s="18">
        <f>IF('Timeline'!FU$43=1,FU$27+FU$28,0)</f>
        <v/>
      </c>
      <c r="FV29" s="18">
        <f>IF('Timeline'!FV$43=1,FV$27+FV$28,0)</f>
        <v/>
      </c>
      <c r="FW29" s="18">
        <f>IF('Timeline'!FW$43=1,FW$27+FW$28,0)</f>
        <v/>
      </c>
      <c r="FX29" s="18">
        <f>IF('Timeline'!FX$43=1,FX$27+FX$28,0)</f>
        <v/>
      </c>
      <c r="FY29" s="18">
        <f>IF('Timeline'!FY$43=1,FY$27+FY$28,0)</f>
        <v/>
      </c>
      <c r="FZ29" s="18">
        <f>IF('Timeline'!FZ$43=1,FZ$27+FZ$28,0)</f>
        <v/>
      </c>
      <c r="GA29" s="18">
        <f>IF('Timeline'!GA$43=1,GA$27+GA$28,0)</f>
        <v/>
      </c>
      <c r="GB29" s="18">
        <f>IF('Timeline'!GB$43=1,GB$27+GB$28,0)</f>
        <v/>
      </c>
      <c r="GC29" s="18">
        <f>IF('Timeline'!GC$43=1,GC$27+GC$28,0)</f>
        <v/>
      </c>
      <c r="GD29" s="18">
        <f>IF('Timeline'!GD$43=1,GD$27+GD$28,0)</f>
        <v/>
      </c>
      <c r="GE29" s="18">
        <f>IF('Timeline'!GE$43=1,GE$27+GE$28,0)</f>
        <v/>
      </c>
      <c r="GF29" s="18">
        <f>IF('Timeline'!GF$43=1,GF$27+GF$28,0)</f>
        <v/>
      </c>
      <c r="GG29" s="18">
        <f>IF('Timeline'!GG$43=1,GG$27+GG$28,0)</f>
        <v/>
      </c>
      <c r="GH29" s="18">
        <f>IF('Timeline'!GH$43=1,GH$27+GH$28,0)</f>
        <v/>
      </c>
      <c r="GI29" s="18">
        <f>IF('Timeline'!GI$43=1,GI$27+GI$28,0)</f>
        <v/>
      </c>
      <c r="GJ29" s="18">
        <f>IF('Timeline'!GJ$43=1,GJ$27+GJ$28,0)</f>
        <v/>
      </c>
      <c r="GK29" s="18">
        <f>IF('Timeline'!GK$43=1,GK$27+GK$28,0)</f>
        <v/>
      </c>
      <c r="GL29" s="18">
        <f>IF('Timeline'!GL$43=1,GL$27+GL$28,0)</f>
        <v/>
      </c>
      <c r="GM29" s="18">
        <f>IF('Timeline'!GM$43=1,GM$27+GM$28,0)</f>
        <v/>
      </c>
      <c r="GN29" s="18">
        <f>IF('Timeline'!GN$43=1,GN$27+GN$28,0)</f>
        <v/>
      </c>
      <c r="GO29" s="18">
        <f>IF('Timeline'!GO$43=1,GO$27+GO$28,0)</f>
        <v/>
      </c>
      <c r="GP29" s="18">
        <f>IF('Timeline'!GP$43=1,GP$27+GP$28,0)</f>
        <v/>
      </c>
      <c r="GQ29" s="18">
        <f>IF('Timeline'!GQ$43=1,GQ$27+GQ$28,0)</f>
        <v/>
      </c>
      <c r="GR29" s="18">
        <f>IF('Timeline'!GR$43=1,GR$27+GR$28,0)</f>
        <v/>
      </c>
      <c r="GS29" s="18">
        <f>IF('Timeline'!GS$43=1,GS$27+GS$28,0)</f>
        <v/>
      </c>
      <c r="GT29" s="18">
        <f>IF('Timeline'!GT$43=1,GT$27+GT$28,0)</f>
        <v/>
      </c>
      <c r="GU29" s="18">
        <f>IF('Timeline'!GU$43=1,GU$27+GU$28,0)</f>
        <v/>
      </c>
      <c r="GV29" s="18">
        <f>IF('Timeline'!GV$43=1,GV$27+GV$28,0)</f>
        <v/>
      </c>
      <c r="GW29" s="18">
        <f>IF('Timeline'!GW$43=1,GW$27+GW$28,0)</f>
        <v/>
      </c>
      <c r="GX29" s="18">
        <f>IF('Timeline'!GX$43=1,GX$27+GX$28,0)</f>
        <v/>
      </c>
      <c r="GY29" s="18">
        <f>IF('Timeline'!GY$43=1,GY$27+GY$28,0)</f>
        <v/>
      </c>
      <c r="GZ29" s="18">
        <f>IF('Timeline'!GZ$43=1,GZ$27+GZ$28,0)</f>
        <v/>
      </c>
      <c r="HA29" s="18">
        <f>IF('Timeline'!HA$43=1,HA$27+HA$28,0)</f>
        <v/>
      </c>
      <c r="HB29" s="18">
        <f>IF('Timeline'!HB$43=1,HB$27+HB$28,0)</f>
        <v/>
      </c>
      <c r="HC29" s="18">
        <f>IF('Timeline'!HC$43=1,HC$27+HC$28,0)</f>
        <v/>
      </c>
      <c r="HD29" s="18">
        <f>IF('Timeline'!HD$43=1,HD$27+HD$28,0)</f>
        <v/>
      </c>
      <c r="HE29" s="18">
        <f>IF('Timeline'!HE$43=1,HE$27+HE$28,0)</f>
        <v/>
      </c>
      <c r="HF29" s="18">
        <f>IF('Timeline'!HF$43=1,HF$27+HF$28,0)</f>
        <v/>
      </c>
      <c r="HG29" s="18">
        <f>IF('Timeline'!HG$43=1,HG$27+HG$28,0)</f>
        <v/>
      </c>
      <c r="HH29" s="18">
        <f>IF('Timeline'!HH$43=1,HH$27+HH$28,0)</f>
        <v/>
      </c>
      <c r="HI29" s="18">
        <f>IF('Timeline'!HI$43=1,HI$27+HI$28,0)</f>
        <v/>
      </c>
      <c r="HJ29" s="18">
        <f>IF('Timeline'!HJ$43=1,HJ$27+HJ$28,0)</f>
        <v/>
      </c>
      <c r="HK29" s="18">
        <f>IF('Timeline'!HK$43=1,HK$27+HK$28,0)</f>
        <v/>
      </c>
      <c r="HL29" s="18">
        <f>IF('Timeline'!HL$43=1,HL$27+HL$28,0)</f>
        <v/>
      </c>
      <c r="HM29" s="18">
        <f>IF('Timeline'!HM$43=1,HM$27+HM$28,0)</f>
        <v/>
      </c>
      <c r="HN29" s="18">
        <f>IF('Timeline'!HN$43=1,HN$27+HN$28,0)</f>
        <v/>
      </c>
      <c r="HO29" s="18">
        <f>IF('Timeline'!HO$43=1,HO$27+HO$28,0)</f>
        <v/>
      </c>
      <c r="HP29" s="18">
        <f>IF('Timeline'!HP$43=1,HP$27+HP$28,0)</f>
        <v/>
      </c>
      <c r="HQ29" s="18">
        <f>IF('Timeline'!HQ$43=1,HQ$27+HQ$28,0)</f>
        <v/>
      </c>
      <c r="HR29" s="18">
        <f>IF('Timeline'!HR$43=1,HR$27+HR$28,0)</f>
        <v/>
      </c>
      <c r="HS29" s="18">
        <f>IF('Timeline'!HS$43=1,HS$27+HS$28,0)</f>
        <v/>
      </c>
      <c r="HT29" s="18">
        <f>IF('Timeline'!HT$43=1,HT$27+HT$28,0)</f>
        <v/>
      </c>
      <c r="HU29" s="18">
        <f>IF('Timeline'!HU$43=1,HU$27+HU$28,0)</f>
        <v/>
      </c>
      <c r="HV29" s="18">
        <f>IF('Timeline'!HV$43=1,HV$27+HV$28,0)</f>
        <v/>
      </c>
      <c r="HW29" s="18">
        <f>IF('Timeline'!HW$43=1,HW$27+HW$28,0)</f>
        <v/>
      </c>
      <c r="HX29" s="18">
        <f>IF('Timeline'!HX$43=1,HX$27+HX$28,0)</f>
        <v/>
      </c>
      <c r="HY29" s="18">
        <f>IF('Timeline'!HY$43=1,HY$27+HY$28,0)</f>
        <v/>
      </c>
      <c r="HZ29" s="18">
        <f>IF('Timeline'!HZ$43=1,HZ$27+HZ$28,0)</f>
        <v/>
      </c>
      <c r="IA29" s="18">
        <f>IF('Timeline'!IA$43=1,IA$27+IA$28,0)</f>
        <v/>
      </c>
      <c r="IB29" s="18">
        <f>IF('Timeline'!IB$43=1,IB$27+IB$28,0)</f>
        <v/>
      </c>
      <c r="IC29" s="18">
        <f>IF('Timeline'!IC$43=1,IC$27+IC$28,0)</f>
        <v/>
      </c>
      <c r="ID29" s="18">
        <f>IF('Timeline'!ID$43=1,ID$27+ID$28,0)</f>
        <v/>
      </c>
      <c r="IE29" s="18">
        <f>IF('Timeline'!IE$43=1,IE$27+IE$28,0)</f>
        <v/>
      </c>
      <c r="IF29" s="18">
        <f>IF('Timeline'!IF$43=1,IF$27+IF$28,0)</f>
        <v/>
      </c>
      <c r="IG29" s="18">
        <f>IF('Timeline'!IG$43=1,IG$27+IG$28,0)</f>
        <v/>
      </c>
      <c r="IH29" s="18">
        <f>IF('Timeline'!IH$43=1,IH$27+IH$28,0)</f>
        <v/>
      </c>
      <c r="II29" s="18">
        <f>IF('Timeline'!II$43=1,II$27+II$28,0)</f>
        <v/>
      </c>
      <c r="IJ29" s="18">
        <f>IF('Timeline'!IJ$43=1,IJ$27+IJ$28,0)</f>
        <v/>
      </c>
      <c r="IK29" s="18">
        <f>IF('Timeline'!IK$43=1,IK$27+IK$28,0)</f>
        <v/>
      </c>
      <c r="IL29" s="18">
        <f>IF('Timeline'!IL$43=1,IL$27+IL$28,0)</f>
        <v/>
      </c>
      <c r="IM29" s="18">
        <f>IF('Timeline'!IM$43=1,IM$27+IM$28,0)</f>
        <v/>
      </c>
      <c r="IN29" s="18">
        <f>IF('Timeline'!IN$43=1,IN$27+IN$28,0)</f>
        <v/>
      </c>
      <c r="IO29" s="18">
        <f>IF('Timeline'!IO$43=1,IO$27+IO$28,0)</f>
        <v/>
      </c>
      <c r="IP29" s="18">
        <f>IF('Timeline'!IP$43=1,IP$27+IP$28,0)</f>
        <v/>
      </c>
      <c r="IQ29" s="18">
        <f>IF('Timeline'!IQ$43=1,IQ$27+IQ$28,0)</f>
        <v/>
      </c>
      <c r="IR29" s="18">
        <f>IF('Timeline'!IR$43=1,IR$27+IR$28,0)</f>
        <v/>
      </c>
      <c r="IS29" s="18">
        <f>IF('Timeline'!IS$43=1,IS$27+IS$28,0)</f>
        <v/>
      </c>
      <c r="IT29" s="18">
        <f>IF('Timeline'!IT$43=1,IT$27+IT$28,0)</f>
        <v/>
      </c>
      <c r="IU29" s="18">
        <f>IF('Timeline'!IU$43=1,IU$27+IU$28,0)</f>
        <v/>
      </c>
      <c r="IV29" s="18">
        <f>IF('Timeline'!IV$43=1,IV$27+IV$28,0)</f>
        <v/>
      </c>
      <c r="IW29" s="18">
        <f>IF('Timeline'!IW$43=1,IW$27+IW$28,0)</f>
        <v/>
      </c>
      <c r="IX29" s="18">
        <f>IF('Timeline'!IX$43=1,IX$27+IX$28,0)</f>
        <v/>
      </c>
      <c r="IY29" s="18">
        <f>IF('Timeline'!IY$43=1,IY$27+IY$28,0)</f>
        <v/>
      </c>
      <c r="IZ29" s="18">
        <f>IF('Timeline'!IZ$43=1,IZ$27+IZ$28,0)</f>
        <v/>
      </c>
      <c r="JA29" s="18">
        <f>IF('Timeline'!JA$43=1,JA$27+JA$28,0)</f>
        <v/>
      </c>
      <c r="JB29" s="18">
        <f>IF('Timeline'!JB$43=1,JB$27+JB$28,0)</f>
        <v/>
      </c>
      <c r="JC29" s="18">
        <f>IF('Timeline'!JC$43=1,JC$27+JC$28,0)</f>
        <v/>
      </c>
      <c r="JD29" s="18">
        <f>IF('Timeline'!JD$43=1,JD$27+JD$28,0)</f>
        <v/>
      </c>
      <c r="JE29" s="18">
        <f>IF('Timeline'!JE$43=1,JE$27+JE$28,0)</f>
        <v/>
      </c>
      <c r="JF29" s="18">
        <f>IF('Timeline'!JF$43=1,JF$27+JF$28,0)</f>
        <v/>
      </c>
      <c r="JG29" s="18">
        <f>IF('Timeline'!JG$43=1,JG$27+JG$28,0)</f>
        <v/>
      </c>
      <c r="JH29" s="18">
        <f>IF('Timeline'!JH$43=1,JH$27+JH$28,0)</f>
        <v/>
      </c>
      <c r="JI29" s="18">
        <f>IF('Timeline'!JI$43=1,JI$27+JI$28,0)</f>
        <v/>
      </c>
      <c r="JJ29" s="18">
        <f>IF('Timeline'!JJ$43=1,JJ$27+JJ$28,0)</f>
        <v/>
      </c>
      <c r="JK29" s="18">
        <f>IF('Timeline'!JK$43=1,JK$27+JK$28,0)</f>
        <v/>
      </c>
      <c r="JL29" s="18">
        <f>IF('Timeline'!JL$43=1,JL$27+JL$28,0)</f>
        <v/>
      </c>
      <c r="JM29" s="18">
        <f>IF('Timeline'!JM$43=1,JM$27+JM$28,0)</f>
        <v/>
      </c>
      <c r="JN29" s="18">
        <f>IF('Timeline'!JN$43=1,JN$27+JN$28,0)</f>
        <v/>
      </c>
      <c r="JO29" s="18">
        <f>IF('Timeline'!JO$43=1,JO$27+JO$28,0)</f>
        <v/>
      </c>
      <c r="JP29" s="18">
        <f>IF('Timeline'!JP$43=1,JP$27+JP$28,0)</f>
        <v/>
      </c>
      <c r="JQ29" s="18">
        <f>IF('Timeline'!JQ$43=1,JQ$27+JQ$28,0)</f>
        <v/>
      </c>
      <c r="JR29" s="18">
        <f>IF('Timeline'!JR$43=1,JR$27+JR$28,0)</f>
        <v/>
      </c>
      <c r="JS29" s="18">
        <f>IF('Timeline'!JS$43=1,JS$27+JS$28,0)</f>
        <v/>
      </c>
      <c r="JT29" s="18">
        <f>IF('Timeline'!JT$43=1,JT$27+JT$28,0)</f>
        <v/>
      </c>
      <c r="JU29" s="18">
        <f>IF('Timeline'!JU$43=1,JU$27+JU$28,0)</f>
        <v/>
      </c>
      <c r="JV29" s="18">
        <f>IF('Timeline'!JV$43=1,JV$27+JV$28,0)</f>
        <v/>
      </c>
      <c r="JW29" s="18">
        <f>IF('Timeline'!JW$43=1,JW$27+JW$28,0)</f>
        <v/>
      </c>
      <c r="JX29" s="18">
        <f>IF('Timeline'!JX$43=1,JX$27+JX$28,0)</f>
        <v/>
      </c>
      <c r="JY29" s="18">
        <f>IF('Timeline'!JY$43=1,JY$27+JY$28,0)</f>
        <v/>
      </c>
      <c r="JZ29" s="18">
        <f>IF('Timeline'!JZ$43=1,JZ$27+JZ$28,0)</f>
        <v/>
      </c>
      <c r="KA29" s="18">
        <f>IF('Timeline'!KA$43=1,KA$27+KA$28,0)</f>
        <v/>
      </c>
      <c r="KB29" s="18">
        <f>IF('Timeline'!KB$43=1,KB$27+KB$28,0)</f>
        <v/>
      </c>
      <c r="KC29" s="18">
        <f>IF('Timeline'!KC$43=1,KC$27+KC$28,0)</f>
        <v/>
      </c>
      <c r="KD29" s="18">
        <f>IF('Timeline'!KD$43=1,KD$27+KD$28,0)</f>
        <v/>
      </c>
      <c r="KE29" s="18">
        <f>IF('Timeline'!KE$43=1,KE$27+KE$28,0)</f>
        <v/>
      </c>
      <c r="KF29" s="18">
        <f>IF('Timeline'!KF$43=1,KF$27+KF$28,0)</f>
        <v/>
      </c>
      <c r="KG29" s="18">
        <f>IF('Timeline'!KG$43=1,KG$27+KG$28,0)</f>
        <v/>
      </c>
      <c r="KH29" s="18">
        <f>IF('Timeline'!KH$43=1,KH$27+KH$28,0)</f>
        <v/>
      </c>
      <c r="KI29" s="18">
        <f>IF('Timeline'!KI$43=1,KI$27+KI$28,0)</f>
        <v/>
      </c>
      <c r="KJ29" s="18">
        <f>IF('Timeline'!KJ$43=1,KJ$27+KJ$28,0)</f>
        <v/>
      </c>
      <c r="KK29" s="18">
        <f>IF('Timeline'!KK$43=1,KK$27+KK$28,0)</f>
        <v/>
      </c>
      <c r="KL29" s="18">
        <f>IF('Timeline'!KL$43=1,KL$27+KL$28,0)</f>
        <v/>
      </c>
      <c r="KM29" s="18">
        <f>IF('Timeline'!KM$43=1,KM$27+KM$28,0)</f>
        <v/>
      </c>
      <c r="KN29" s="18">
        <f>IF('Timeline'!KN$43=1,KN$27+KN$28,0)</f>
        <v/>
      </c>
      <c r="KO29" s="18">
        <f>IF('Timeline'!KO$43=1,KO$27+KO$28,0)</f>
        <v/>
      </c>
      <c r="KP29" s="18">
        <f>IF('Timeline'!KP$43=1,KP$27+KP$28,0)</f>
        <v/>
      </c>
      <c r="KQ29" s="18">
        <f>IF('Timeline'!KQ$43=1,KQ$27+KQ$28,0)</f>
        <v/>
      </c>
      <c r="KR29" s="18">
        <f>IF('Timeline'!KR$43=1,KR$27+KR$28,0)</f>
        <v/>
      </c>
      <c r="KS29" s="18">
        <f>IF('Timeline'!KS$43=1,KS$27+KS$28,0)</f>
        <v/>
      </c>
      <c r="KT29" s="18">
        <f>IF('Timeline'!KT$43=1,KT$27+KT$28,0)</f>
        <v/>
      </c>
      <c r="KU29" s="18">
        <f>IF('Timeline'!KU$43=1,KU$27+KU$28,0)</f>
        <v/>
      </c>
      <c r="KV29" s="18">
        <f>IF('Timeline'!KV$43=1,KV$27+KV$28,0)</f>
        <v/>
      </c>
      <c r="KW29" s="18">
        <f>IF('Timeline'!KW$43=1,KW$27+KW$28,0)</f>
        <v/>
      </c>
      <c r="KX29" s="18">
        <f>IF('Timeline'!KX$43=1,KX$27+KX$28,0)</f>
        <v/>
      </c>
      <c r="KY29" s="18">
        <f>IF('Timeline'!KY$43=1,KY$27+KY$28,0)</f>
        <v/>
      </c>
      <c r="KZ29" s="18">
        <f>IF('Timeline'!KZ$43=1,KZ$27+KZ$28,0)</f>
        <v/>
      </c>
      <c r="LA29" s="18">
        <f>IF('Timeline'!LA$43=1,LA$27+LA$28,0)</f>
        <v/>
      </c>
      <c r="LB29" s="18">
        <f>IF('Timeline'!LB$43=1,LB$27+LB$28,0)</f>
        <v/>
      </c>
      <c r="LC29" s="18">
        <f>IF('Timeline'!LC$43=1,LC$27+LC$28,0)</f>
        <v/>
      </c>
      <c r="LD29" s="18">
        <f>IF('Timeline'!LD$43=1,LD$27+LD$28,0)</f>
        <v/>
      </c>
      <c r="LE29" s="18">
        <f>IF('Timeline'!LE$43=1,LE$27+LE$28,0)</f>
        <v/>
      </c>
      <c r="LF29" s="18">
        <f>IF('Timeline'!LF$43=1,LF$27+LF$28,0)</f>
        <v/>
      </c>
      <c r="LG29" s="18">
        <f>IF('Timeline'!LG$43=1,LG$27+LG$28,0)</f>
        <v/>
      </c>
      <c r="LH29" s="18">
        <f>IF('Timeline'!LH$43=1,LH$27+LH$28,0)</f>
        <v/>
      </c>
      <c r="LI29" s="18">
        <f>IF('Timeline'!LI$43=1,LI$27+LI$28,0)</f>
        <v/>
      </c>
      <c r="LJ29" s="18">
        <f>IF('Timeline'!LJ$43=1,LJ$27+LJ$28,0)</f>
        <v/>
      </c>
      <c r="LK29" s="18">
        <f>IF('Timeline'!LK$43=1,LK$27+LK$28,0)</f>
        <v/>
      </c>
      <c r="LL29" s="18">
        <f>IF('Timeline'!LL$43=1,LL$27+LL$28,0)</f>
        <v/>
      </c>
      <c r="LM29" s="18">
        <f>IF('Timeline'!LM$43=1,LM$27+LM$28,0)</f>
        <v/>
      </c>
      <c r="LN29" s="18">
        <f>IF('Timeline'!LN$43=1,LN$27+LN$28,0)</f>
        <v/>
      </c>
      <c r="LO29" s="18">
        <f>IF('Timeline'!LO$43=1,LO$27+LO$28,0)</f>
        <v/>
      </c>
      <c r="LP29" s="18">
        <f>IF('Timeline'!LP$43=1,LP$27+LP$28,0)</f>
        <v/>
      </c>
      <c r="LQ29" s="18">
        <f>IF('Timeline'!LQ$43=1,LQ$27+LQ$28,0)</f>
        <v/>
      </c>
      <c r="LR29" s="18">
        <f>IF('Timeline'!LR$43=1,LR$27+LR$28,0)</f>
        <v/>
      </c>
      <c r="LS29" s="18">
        <f>IF('Timeline'!LS$43=1,LS$27+LS$28,0)</f>
        <v/>
      </c>
      <c r="LT29" s="18">
        <f>IF('Timeline'!LT$43=1,LT$27+LT$28,0)</f>
        <v/>
      </c>
      <c r="LU29" s="18">
        <f>IF('Timeline'!LU$43=1,LU$27+LU$28,0)</f>
        <v/>
      </c>
      <c r="LV29" s="18">
        <f>IF('Timeline'!LV$43=1,LV$27+LV$28,0)</f>
        <v/>
      </c>
      <c r="LW29" s="18">
        <f>IF('Timeline'!LW$43=1,LW$27+LW$28,0)</f>
        <v/>
      </c>
      <c r="LX29" s="18">
        <f>IF('Timeline'!LX$43=1,LX$27+LX$28,0)</f>
        <v/>
      </c>
      <c r="LY29" s="18">
        <f>IF('Timeline'!LY$43=1,LY$27+LY$28,0)</f>
        <v/>
      </c>
      <c r="LZ29" s="18">
        <f>IF('Timeline'!LZ$43=1,LZ$27+LZ$28,0)</f>
        <v/>
      </c>
      <c r="MA29" s="18">
        <f>IF('Timeline'!MA$43=1,MA$27+MA$28,0)</f>
        <v/>
      </c>
      <c r="MB29" s="18">
        <f>IF('Timeline'!MB$43=1,MB$27+MB$28,0)</f>
        <v/>
      </c>
      <c r="MC29" s="18">
        <f>IF('Timeline'!MC$43=1,MC$27+MC$28,0)</f>
        <v/>
      </c>
      <c r="MD29" s="18">
        <f>IF('Timeline'!MD$43=1,MD$27+MD$28,0)</f>
        <v/>
      </c>
      <c r="ME29" s="18">
        <f>IF('Timeline'!ME$43=1,ME$27+ME$28,0)</f>
        <v/>
      </c>
      <c r="MF29" s="18">
        <f>IF('Timeline'!MF$43=1,MF$27+MF$28,0)</f>
        <v/>
      </c>
      <c r="MG29" s="18">
        <f>IF('Timeline'!MG$43=1,MG$27+MG$28,0)</f>
        <v/>
      </c>
      <c r="MH29" s="18">
        <f>IF('Timeline'!MH$43=1,MH$27+MH$28,0)</f>
        <v/>
      </c>
      <c r="MI29" s="18">
        <f>IF('Timeline'!MI$43=1,MI$27+MI$28,0)</f>
        <v/>
      </c>
      <c r="MJ29" s="18">
        <f>IF('Timeline'!MJ$43=1,MJ$27+MJ$28,0)</f>
        <v/>
      </c>
      <c r="MK29" s="18">
        <f>IF('Timeline'!MK$43=1,MK$27+MK$28,0)</f>
        <v/>
      </c>
      <c r="ML29" s="18">
        <f>IF('Timeline'!ML$43=1,ML$27+ML$28,0)</f>
        <v/>
      </c>
      <c r="MM29" s="18">
        <f>IF('Timeline'!MM$43=1,MM$27+MM$28,0)</f>
        <v/>
      </c>
      <c r="MN29" s="18">
        <f>IF('Timeline'!MN$43=1,MN$27+MN$28,0)</f>
        <v/>
      </c>
      <c r="MO29" s="18">
        <f>IF('Timeline'!MO$43=1,MO$27+MO$28,0)</f>
        <v/>
      </c>
      <c r="MP29" s="18">
        <f>IF('Timeline'!MP$43=1,MP$27+MP$28,0)</f>
        <v/>
      </c>
      <c r="MQ29" s="18">
        <f>IF('Timeline'!MQ$43=1,MQ$27+MQ$28,0)</f>
        <v/>
      </c>
      <c r="MR29" s="18">
        <f>IF('Timeline'!MR$43=1,MR$27+MR$28,0)</f>
        <v/>
      </c>
      <c r="MS29" s="18">
        <f>IF('Timeline'!MS$43=1,MS$27+MS$28,0)</f>
        <v/>
      </c>
      <c r="MT29" s="18">
        <f>IF('Timeline'!MT$43=1,MT$27+MT$28,0)</f>
        <v/>
      </c>
      <c r="MU29" s="18">
        <f>IF('Timeline'!MU$43=1,MU$27+MU$28,0)</f>
        <v/>
      </c>
      <c r="MV29" s="18">
        <f>IF('Timeline'!MV$43=1,MV$27+MV$28,0)</f>
        <v/>
      </c>
      <c r="MW29" s="18">
        <f>IF('Timeline'!MW$43=1,MW$27+MW$28,0)</f>
        <v/>
      </c>
      <c r="MX29" s="18">
        <f>IF('Timeline'!MX$43=1,MX$27+MX$28,0)</f>
        <v/>
      </c>
      <c r="MY29" s="18">
        <f>IF('Timeline'!MY$43=1,MY$27+MY$28,0)</f>
        <v/>
      </c>
      <c r="MZ29" s="18">
        <f>IF('Timeline'!MZ$43=1,MZ$27+MZ$28,0)</f>
        <v/>
      </c>
      <c r="NA29" s="18">
        <f>IF('Timeline'!NA$43=1,NA$27+NA$28,0)</f>
        <v/>
      </c>
      <c r="NB29" s="18">
        <f>IF('Timeline'!NB$43=1,NB$27+NB$28,0)</f>
        <v/>
      </c>
      <c r="NC29" s="18">
        <f>IF('Timeline'!NC$43=1,NC$27+NC$28,0)</f>
        <v/>
      </c>
      <c r="ND29" s="18">
        <f>IF('Timeline'!ND$43=1,ND$27+ND$28,0)</f>
        <v/>
      </c>
      <c r="NE29" s="18">
        <f>IF('Timeline'!NE$43=1,NE$27+NE$28,0)</f>
        <v/>
      </c>
      <c r="NF29" s="18">
        <f>IF('Timeline'!NF$43=1,NF$27+NF$28,0)</f>
        <v/>
      </c>
      <c r="NG29" s="18">
        <f>IF('Timeline'!NG$43=1,NG$27+NG$28,0)</f>
        <v/>
      </c>
      <c r="NH29" s="18">
        <f>IF('Timeline'!NH$43=1,NH$27+NH$28,0)</f>
        <v/>
      </c>
      <c r="NI29" s="18">
        <f>IF('Timeline'!NI$43=1,NI$27+NI$28,0)</f>
        <v/>
      </c>
      <c r="NJ29" s="18">
        <f>IF('Timeline'!NJ$43=1,NJ$27+NJ$28,0)</f>
        <v/>
      </c>
      <c r="NK29" s="18">
        <f>IF('Timeline'!NK$43=1,NK$27+NK$28,0)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30" customWidth="1" min="3" max="3"/>
  </cols>
  <sheetData>
    <row r="1">
      <c r="A1" s="1" t="inlineStr">
        <is>
          <t>Disposition Engine</t>
        </is>
      </c>
    </row>
    <row r="3">
      <c r="A3" s="3" t="inlineStr">
        <is>
          <t>Exit Valuation (forward 12-month NOI)</t>
        </is>
      </c>
      <c r="B3" s="4" t="n"/>
      <c r="C3" s="4" t="n"/>
    </row>
    <row r="4">
      <c r="A4" s="5" t="inlineStr">
        <is>
          <t>Forward NOI before Property Tax (12mo)</t>
        </is>
      </c>
      <c r="B4" s="44">
        <f>SUM(INDEX('Operating'!D$35:'Operating'!NK$35,DispoMonth+1):INDEX('Operating'!D$35:'Operating'!NK$35,DispoMonth+12))</f>
        <v/>
      </c>
    </row>
    <row r="5">
      <c r="A5" s="5" t="inlineStr">
        <is>
          <t>Forward NOI after In-Place Tax (12mo)</t>
        </is>
      </c>
      <c r="B5" s="44">
        <f>SUM(INDEX('Operating'!D$38:'Operating'!NK$38,DispoMonth+1):INDEX('Operating'!D$38:'Operating'!NK$38,DispoMonth+12))</f>
        <v/>
      </c>
    </row>
    <row r="6">
      <c r="A6" s="5" t="inlineStr">
        <is>
          <t>Forward EGI (12mo)</t>
        </is>
      </c>
      <c r="B6" s="44">
        <f>SUM(INDEX('Operating'!D$23:'Operating'!NK$23,DispoMonth+1):INDEX('Operating'!D$23:'Operating'!NK$23,DispoMonth+12))</f>
        <v/>
      </c>
    </row>
    <row r="7">
      <c r="A7" s="5" t="inlineStr">
        <is>
          <t>Forward Retail Income (12mo)</t>
        </is>
      </c>
      <c r="B7" s="44">
        <f>SUM(INDEX('Operating'!D$22:'Operating'!NK$22,DispoMonth+1):INDEX('Operating'!D$22:'Operating'!NK$22,DispoMonth+12))</f>
        <v/>
      </c>
    </row>
    <row r="8">
      <c r="A8" s="5" t="inlineStr">
        <is>
          <t>Retail Revenue Share</t>
        </is>
      </c>
      <c r="B8" s="45">
        <f>IF(FwdEGI=0,0,FwdRetail/FwdEGI)</f>
        <v/>
      </c>
    </row>
    <row r="9">
      <c r="A9" s="5" t="inlineStr">
        <is>
          <t>Blended Exit Cap Rate</t>
        </is>
      </c>
      <c r="B9" s="45">
        <f>IF(FwdNOIbt=0,ExitCapResidential,IF((FwdNOIbt*(1-RetailShare)/ExitCapResidential+FwdNOIbt*RetailShare/ExitCapRetail)=0,ExitCapResidential,FwdNOIbt/(FwdNOIbt*(1-RetailShare)/ExitCapResidential+FwdNOIbt*RetailShare/ExitCapRetail)))</f>
        <v/>
      </c>
    </row>
    <row r="10">
      <c r="A10" s="5" t="inlineStr">
        <is>
          <t>Exit Value (reassess-aware, closed form)</t>
        </is>
      </c>
      <c r="B10" s="44">
        <f>IF(ReassessOnSale&gt;=1,IF((BlendedExitCap+DispoEffTaxRate)=0,0,FwdNOIbt/(BlendedExitCap+DispoEffTaxRate)),IF(BlendedExitCap=0,0,FwdNOIafter/BlendedExitCap))</f>
        <v/>
      </c>
    </row>
    <row r="12">
      <c r="A12" s="3" t="inlineStr">
        <is>
          <t>Sale Costs &amp; Net Proceeds</t>
        </is>
      </c>
      <c r="B12" s="4" t="n"/>
      <c r="C12" s="4" t="n"/>
    </row>
    <row r="13">
      <c r="A13" s="5" t="inlineStr">
        <is>
          <t>Gross Sale Price</t>
        </is>
      </c>
      <c r="B13" s="25">
        <f>ExitValue</f>
        <v/>
      </c>
    </row>
    <row r="14">
      <c r="A14" s="5" t="inlineStr">
        <is>
          <t>Broker / Sale Costs</t>
        </is>
      </c>
      <c r="B14" s="25">
        <f>-BrokerCostPct*ExitValue</f>
        <v/>
      </c>
    </row>
    <row r="15">
      <c r="A15" s="5" t="inlineStr">
        <is>
          <t>Transfer / Sales Tax</t>
        </is>
      </c>
      <c r="B15" s="25">
        <f>-SalesTaxPct*ExitValue</f>
        <v/>
      </c>
    </row>
    <row r="16">
      <c r="A16" s="5" t="inlineStr">
        <is>
          <t>Sponsor Disposition Fee</t>
        </is>
      </c>
      <c r="B16" s="25">
        <f>-SponsorDispoFeePct*ExitValue</f>
        <v/>
      </c>
    </row>
    <row r="17">
      <c r="A17" s="5" t="inlineStr">
        <is>
          <t>Property Tax Proration</t>
        </is>
      </c>
      <c r="B17" s="25">
        <f>-INDEX('Operating'!D$36:'Operating'!NK$36,MAX(1,DispoMonth))*TaxProrationMonths</f>
        <v/>
      </c>
    </row>
    <row r="18">
      <c r="A18" s="5" t="inlineStr">
        <is>
          <t>Active Loan Payoff</t>
        </is>
      </c>
      <c r="B18" s="25">
        <f>-IF(RefiFlag=1,PermPayoffBal,ConPayoffBal)</f>
        <v/>
      </c>
    </row>
    <row r="19">
      <c r="A19" s="21" t="inlineStr">
        <is>
          <t>Net Sale Proceeds (levered)</t>
        </is>
      </c>
      <c r="B19" s="30">
        <f>GrossSale+BrokerCost+SalesTaxAmt+SponsorDispoFee+TaxProration+ActivePayoff</f>
        <v/>
      </c>
    </row>
    <row r="20">
      <c r="A20" s="21" t="inlineStr">
        <is>
          <t>Net Sale Proceeds (unlevered)</t>
        </is>
      </c>
      <c r="B20" s="30">
        <f>GrossSale+BrokerCost+SalesTaxAmt+SponsorDispoFee+TaxProration</f>
        <v/>
      </c>
    </row>
    <row r="22">
      <c r="A22" s="15" t="inlineStr">
        <is>
          <t>Disposition Reconciliation</t>
        </is>
      </c>
      <c r="B22" s="23" t="n"/>
      <c r="C22" s="23" t="n"/>
    </row>
    <row r="23">
      <c r="A23" s="5" t="inlineStr">
        <is>
          <t>Development Gain (Exit − TDC)</t>
        </is>
      </c>
      <c r="B23" s="18">
        <f>ExitValue-TDC_Total</f>
        <v/>
      </c>
    </row>
    <row r="24">
      <c r="A24" s="5" t="inlineStr">
        <is>
          <t>Loan retired by proceeds (&gt;=0)</t>
        </is>
      </c>
      <c r="B24" s="18">
        <f>GrossSale+BrokerCost+SalesTaxAmt+SponsorDispoFee+TaxProration-IF(RefiFlag=1,PermPayoffBal,ConPayoffBal)</f>
        <v/>
      </c>
    </row>
    <row r="25">
      <c r="A25" s="5" t="inlineStr">
        <is>
          <t>Reassess closed-form residual (=0)</t>
        </is>
      </c>
      <c r="B25" s="18">
        <f>IF(ReassessOnSale&gt;=1,FwdNOIbt-ExitValue*(BlendedExitCap+DispoEffTaxRate),0)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K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</cols>
  <sheetData>
    <row r="1">
      <c r="A1" s="1" t="inlineStr">
        <is>
          <t>Levered &amp; Unlevered Cash Flows (monthly)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5" t="inlineStr">
        <is>
          <t>Unlevered Project Uses</t>
        </is>
      </c>
      <c r="C5" s="41">
        <f>SUM(D5:NK5)</f>
        <v/>
      </c>
      <c r="D5" s="18">
        <f>'DevSpend'!D$34+'DevSpend'!D$35+'DevSpend'!D$38+IF(1=MS_Initial_Closing_Start,OpReserve,0)</f>
        <v/>
      </c>
      <c r="E5" s="18">
        <f>'DevSpend'!E$34+'DevSpend'!E$35+'DevSpend'!E$38+IF(2=MS_Initial_Closing_Start,OpReserve,0)</f>
        <v/>
      </c>
      <c r="F5" s="18">
        <f>'DevSpend'!F$34+'DevSpend'!F$35+'DevSpend'!F$38+IF(3=MS_Initial_Closing_Start,OpReserve,0)</f>
        <v/>
      </c>
      <c r="G5" s="18">
        <f>'DevSpend'!G$34+'DevSpend'!G$35+'DevSpend'!G$38+IF(4=MS_Initial_Closing_Start,OpReserve,0)</f>
        <v/>
      </c>
      <c r="H5" s="18">
        <f>'DevSpend'!H$34+'DevSpend'!H$35+'DevSpend'!H$38+IF(5=MS_Initial_Closing_Start,OpReserve,0)</f>
        <v/>
      </c>
      <c r="I5" s="18">
        <f>'DevSpend'!I$34+'DevSpend'!I$35+'DevSpend'!I$38+IF(6=MS_Initial_Closing_Start,OpReserve,0)</f>
        <v/>
      </c>
      <c r="J5" s="18">
        <f>'DevSpend'!J$34+'DevSpend'!J$35+'DevSpend'!J$38+IF(7=MS_Initial_Closing_Start,OpReserve,0)</f>
        <v/>
      </c>
      <c r="K5" s="18">
        <f>'DevSpend'!K$34+'DevSpend'!K$35+'DevSpend'!K$38+IF(8=MS_Initial_Closing_Start,OpReserve,0)</f>
        <v/>
      </c>
      <c r="L5" s="18">
        <f>'DevSpend'!L$34+'DevSpend'!L$35+'DevSpend'!L$38+IF(9=MS_Initial_Closing_Start,OpReserve,0)</f>
        <v/>
      </c>
      <c r="M5" s="18">
        <f>'DevSpend'!M$34+'DevSpend'!M$35+'DevSpend'!M$38+IF(10=MS_Initial_Closing_Start,OpReserve,0)</f>
        <v/>
      </c>
      <c r="N5" s="18">
        <f>'DevSpend'!N$34+'DevSpend'!N$35+'DevSpend'!N$38+IF(11=MS_Initial_Closing_Start,OpReserve,0)</f>
        <v/>
      </c>
      <c r="O5" s="18">
        <f>'DevSpend'!O$34+'DevSpend'!O$35+'DevSpend'!O$38+IF(12=MS_Initial_Closing_Start,OpReserve,0)</f>
        <v/>
      </c>
      <c r="P5" s="18">
        <f>'DevSpend'!P$34+'DevSpend'!P$35+'DevSpend'!P$38+IF(13=MS_Initial_Closing_Start,OpReserve,0)</f>
        <v/>
      </c>
      <c r="Q5" s="18">
        <f>'DevSpend'!Q$34+'DevSpend'!Q$35+'DevSpend'!Q$38+IF(14=MS_Initial_Closing_Start,OpReserve,0)</f>
        <v/>
      </c>
      <c r="R5" s="18">
        <f>'DevSpend'!R$34+'DevSpend'!R$35+'DevSpend'!R$38+IF(15=MS_Initial_Closing_Start,OpReserve,0)</f>
        <v/>
      </c>
      <c r="S5" s="18">
        <f>'DevSpend'!S$34+'DevSpend'!S$35+'DevSpend'!S$38+IF(16=MS_Initial_Closing_Start,OpReserve,0)</f>
        <v/>
      </c>
      <c r="T5" s="18">
        <f>'DevSpend'!T$34+'DevSpend'!T$35+'DevSpend'!T$38+IF(17=MS_Initial_Closing_Start,OpReserve,0)</f>
        <v/>
      </c>
      <c r="U5" s="18">
        <f>'DevSpend'!U$34+'DevSpend'!U$35+'DevSpend'!U$38+IF(18=MS_Initial_Closing_Start,OpReserve,0)</f>
        <v/>
      </c>
      <c r="V5" s="18">
        <f>'DevSpend'!V$34+'DevSpend'!V$35+'DevSpend'!V$38+IF(19=MS_Initial_Closing_Start,OpReserve,0)</f>
        <v/>
      </c>
      <c r="W5" s="18">
        <f>'DevSpend'!W$34+'DevSpend'!W$35+'DevSpend'!W$38+IF(20=MS_Initial_Closing_Start,OpReserve,0)</f>
        <v/>
      </c>
      <c r="X5" s="18">
        <f>'DevSpend'!X$34+'DevSpend'!X$35+'DevSpend'!X$38+IF(21=MS_Initial_Closing_Start,OpReserve,0)</f>
        <v/>
      </c>
      <c r="Y5" s="18">
        <f>'DevSpend'!Y$34+'DevSpend'!Y$35+'DevSpend'!Y$38+IF(22=MS_Initial_Closing_Start,OpReserve,0)</f>
        <v/>
      </c>
      <c r="Z5" s="18">
        <f>'DevSpend'!Z$34+'DevSpend'!Z$35+'DevSpend'!Z$38+IF(23=MS_Initial_Closing_Start,OpReserve,0)</f>
        <v/>
      </c>
      <c r="AA5" s="18">
        <f>'DevSpend'!AA$34+'DevSpend'!AA$35+'DevSpend'!AA$38+IF(24=MS_Initial_Closing_Start,OpReserve,0)</f>
        <v/>
      </c>
      <c r="AB5" s="18">
        <f>'DevSpend'!AB$34+'DevSpend'!AB$35+'DevSpend'!AB$38+IF(25=MS_Initial_Closing_Start,OpReserve,0)</f>
        <v/>
      </c>
      <c r="AC5" s="18">
        <f>'DevSpend'!AC$34+'DevSpend'!AC$35+'DevSpend'!AC$38+IF(26=MS_Initial_Closing_Start,OpReserve,0)</f>
        <v/>
      </c>
      <c r="AD5" s="18">
        <f>'DevSpend'!AD$34+'DevSpend'!AD$35+'DevSpend'!AD$38+IF(27=MS_Initial_Closing_Start,OpReserve,0)</f>
        <v/>
      </c>
      <c r="AE5" s="18">
        <f>'DevSpend'!AE$34+'DevSpend'!AE$35+'DevSpend'!AE$38+IF(28=MS_Initial_Closing_Start,OpReserve,0)</f>
        <v/>
      </c>
      <c r="AF5" s="18">
        <f>'DevSpend'!AF$34+'DevSpend'!AF$35+'DevSpend'!AF$38+IF(29=MS_Initial_Closing_Start,OpReserve,0)</f>
        <v/>
      </c>
      <c r="AG5" s="18">
        <f>'DevSpend'!AG$34+'DevSpend'!AG$35+'DevSpend'!AG$38+IF(30=MS_Initial_Closing_Start,OpReserve,0)</f>
        <v/>
      </c>
      <c r="AH5" s="18">
        <f>'DevSpend'!AH$34+'DevSpend'!AH$35+'DevSpend'!AH$38+IF(31=MS_Initial_Closing_Start,OpReserve,0)</f>
        <v/>
      </c>
      <c r="AI5" s="18">
        <f>'DevSpend'!AI$34+'DevSpend'!AI$35+'DevSpend'!AI$38+IF(32=MS_Initial_Closing_Start,OpReserve,0)</f>
        <v/>
      </c>
      <c r="AJ5" s="18">
        <f>'DevSpend'!AJ$34+'DevSpend'!AJ$35+'DevSpend'!AJ$38+IF(33=MS_Initial_Closing_Start,OpReserve,0)</f>
        <v/>
      </c>
      <c r="AK5" s="18">
        <f>'DevSpend'!AK$34+'DevSpend'!AK$35+'DevSpend'!AK$38+IF(34=MS_Initial_Closing_Start,OpReserve,0)</f>
        <v/>
      </c>
      <c r="AL5" s="18">
        <f>'DevSpend'!AL$34+'DevSpend'!AL$35+'DevSpend'!AL$38+IF(35=MS_Initial_Closing_Start,OpReserve,0)</f>
        <v/>
      </c>
      <c r="AM5" s="18">
        <f>'DevSpend'!AM$34+'DevSpend'!AM$35+'DevSpend'!AM$38+IF(36=MS_Initial_Closing_Start,OpReserve,0)</f>
        <v/>
      </c>
      <c r="AN5" s="18">
        <f>'DevSpend'!AN$34+'DevSpend'!AN$35+'DevSpend'!AN$38+IF(37=MS_Initial_Closing_Start,OpReserve,0)</f>
        <v/>
      </c>
      <c r="AO5" s="18">
        <f>'DevSpend'!AO$34+'DevSpend'!AO$35+'DevSpend'!AO$38+IF(38=MS_Initial_Closing_Start,OpReserve,0)</f>
        <v/>
      </c>
      <c r="AP5" s="18">
        <f>'DevSpend'!AP$34+'DevSpend'!AP$35+'DevSpend'!AP$38+IF(39=MS_Initial_Closing_Start,OpReserve,0)</f>
        <v/>
      </c>
      <c r="AQ5" s="18">
        <f>'DevSpend'!AQ$34+'DevSpend'!AQ$35+'DevSpend'!AQ$38+IF(40=MS_Initial_Closing_Start,OpReserve,0)</f>
        <v/>
      </c>
      <c r="AR5" s="18">
        <f>'DevSpend'!AR$34+'DevSpend'!AR$35+'DevSpend'!AR$38+IF(41=MS_Initial_Closing_Start,OpReserve,0)</f>
        <v/>
      </c>
      <c r="AS5" s="18">
        <f>'DevSpend'!AS$34+'DevSpend'!AS$35+'DevSpend'!AS$38+IF(42=MS_Initial_Closing_Start,OpReserve,0)</f>
        <v/>
      </c>
      <c r="AT5" s="18">
        <f>'DevSpend'!AT$34+'DevSpend'!AT$35+'DevSpend'!AT$38+IF(43=MS_Initial_Closing_Start,OpReserve,0)</f>
        <v/>
      </c>
      <c r="AU5" s="18">
        <f>'DevSpend'!AU$34+'DevSpend'!AU$35+'DevSpend'!AU$38+IF(44=MS_Initial_Closing_Start,OpReserve,0)</f>
        <v/>
      </c>
      <c r="AV5" s="18">
        <f>'DevSpend'!AV$34+'DevSpend'!AV$35+'DevSpend'!AV$38+IF(45=MS_Initial_Closing_Start,OpReserve,0)</f>
        <v/>
      </c>
      <c r="AW5" s="18">
        <f>'DevSpend'!AW$34+'DevSpend'!AW$35+'DevSpend'!AW$38+IF(46=MS_Initial_Closing_Start,OpReserve,0)</f>
        <v/>
      </c>
      <c r="AX5" s="18">
        <f>'DevSpend'!AX$34+'DevSpend'!AX$35+'DevSpend'!AX$38+IF(47=MS_Initial_Closing_Start,OpReserve,0)</f>
        <v/>
      </c>
      <c r="AY5" s="18">
        <f>'DevSpend'!AY$34+'DevSpend'!AY$35+'DevSpend'!AY$38+IF(48=MS_Initial_Closing_Start,OpReserve,0)</f>
        <v/>
      </c>
      <c r="AZ5" s="18">
        <f>'DevSpend'!AZ$34+'DevSpend'!AZ$35+'DevSpend'!AZ$38+IF(49=MS_Initial_Closing_Start,OpReserve,0)</f>
        <v/>
      </c>
      <c r="BA5" s="18">
        <f>'DevSpend'!BA$34+'DevSpend'!BA$35+'DevSpend'!BA$38+IF(50=MS_Initial_Closing_Start,OpReserve,0)</f>
        <v/>
      </c>
      <c r="BB5" s="18">
        <f>'DevSpend'!BB$34+'DevSpend'!BB$35+'DevSpend'!BB$38+IF(51=MS_Initial_Closing_Start,OpReserve,0)</f>
        <v/>
      </c>
      <c r="BC5" s="18">
        <f>'DevSpend'!BC$34+'DevSpend'!BC$35+'DevSpend'!BC$38+IF(52=MS_Initial_Closing_Start,OpReserve,0)</f>
        <v/>
      </c>
      <c r="BD5" s="18">
        <f>'DevSpend'!BD$34+'DevSpend'!BD$35+'DevSpend'!BD$38+IF(53=MS_Initial_Closing_Start,OpReserve,0)</f>
        <v/>
      </c>
      <c r="BE5" s="18">
        <f>'DevSpend'!BE$34+'DevSpend'!BE$35+'DevSpend'!BE$38+IF(54=MS_Initial_Closing_Start,OpReserve,0)</f>
        <v/>
      </c>
      <c r="BF5" s="18">
        <f>'DevSpend'!BF$34+'DevSpend'!BF$35+'DevSpend'!BF$38+IF(55=MS_Initial_Closing_Start,OpReserve,0)</f>
        <v/>
      </c>
      <c r="BG5" s="18">
        <f>'DevSpend'!BG$34+'DevSpend'!BG$35+'DevSpend'!BG$38+IF(56=MS_Initial_Closing_Start,OpReserve,0)</f>
        <v/>
      </c>
      <c r="BH5" s="18">
        <f>'DevSpend'!BH$34+'DevSpend'!BH$35+'DevSpend'!BH$38+IF(57=MS_Initial_Closing_Start,OpReserve,0)</f>
        <v/>
      </c>
      <c r="BI5" s="18">
        <f>'DevSpend'!BI$34+'DevSpend'!BI$35+'DevSpend'!BI$38+IF(58=MS_Initial_Closing_Start,OpReserve,0)</f>
        <v/>
      </c>
      <c r="BJ5" s="18">
        <f>'DevSpend'!BJ$34+'DevSpend'!BJ$35+'DevSpend'!BJ$38+IF(59=MS_Initial_Closing_Start,OpReserve,0)</f>
        <v/>
      </c>
      <c r="BK5" s="18">
        <f>'DevSpend'!BK$34+'DevSpend'!BK$35+'DevSpend'!BK$38+IF(60=MS_Initial_Closing_Start,OpReserve,0)</f>
        <v/>
      </c>
      <c r="BL5" s="18">
        <f>'DevSpend'!BL$34+'DevSpend'!BL$35+'DevSpend'!BL$38+IF(61=MS_Initial_Closing_Start,OpReserve,0)</f>
        <v/>
      </c>
      <c r="BM5" s="18">
        <f>'DevSpend'!BM$34+'DevSpend'!BM$35+'DevSpend'!BM$38+IF(62=MS_Initial_Closing_Start,OpReserve,0)</f>
        <v/>
      </c>
      <c r="BN5" s="18">
        <f>'DevSpend'!BN$34+'DevSpend'!BN$35+'DevSpend'!BN$38+IF(63=MS_Initial_Closing_Start,OpReserve,0)</f>
        <v/>
      </c>
      <c r="BO5" s="18">
        <f>'DevSpend'!BO$34+'DevSpend'!BO$35+'DevSpend'!BO$38+IF(64=MS_Initial_Closing_Start,OpReserve,0)</f>
        <v/>
      </c>
      <c r="BP5" s="18">
        <f>'DevSpend'!BP$34+'DevSpend'!BP$35+'DevSpend'!BP$38+IF(65=MS_Initial_Closing_Start,OpReserve,0)</f>
        <v/>
      </c>
      <c r="BQ5" s="18">
        <f>'DevSpend'!BQ$34+'DevSpend'!BQ$35+'DevSpend'!BQ$38+IF(66=MS_Initial_Closing_Start,OpReserve,0)</f>
        <v/>
      </c>
      <c r="BR5" s="18">
        <f>'DevSpend'!BR$34+'DevSpend'!BR$35+'DevSpend'!BR$38+IF(67=MS_Initial_Closing_Start,OpReserve,0)</f>
        <v/>
      </c>
      <c r="BS5" s="18">
        <f>'DevSpend'!BS$34+'DevSpend'!BS$35+'DevSpend'!BS$38+IF(68=MS_Initial_Closing_Start,OpReserve,0)</f>
        <v/>
      </c>
      <c r="BT5" s="18">
        <f>'DevSpend'!BT$34+'DevSpend'!BT$35+'DevSpend'!BT$38+IF(69=MS_Initial_Closing_Start,OpReserve,0)</f>
        <v/>
      </c>
      <c r="BU5" s="18">
        <f>'DevSpend'!BU$34+'DevSpend'!BU$35+'DevSpend'!BU$38+IF(70=MS_Initial_Closing_Start,OpReserve,0)</f>
        <v/>
      </c>
      <c r="BV5" s="18">
        <f>'DevSpend'!BV$34+'DevSpend'!BV$35+'DevSpend'!BV$38+IF(71=MS_Initial_Closing_Start,OpReserve,0)</f>
        <v/>
      </c>
      <c r="BW5" s="18">
        <f>'DevSpend'!BW$34+'DevSpend'!BW$35+'DevSpend'!BW$38+IF(72=MS_Initial_Closing_Start,OpReserve,0)</f>
        <v/>
      </c>
      <c r="BX5" s="18">
        <f>'DevSpend'!BX$34+'DevSpend'!BX$35+'DevSpend'!BX$38+IF(73=MS_Initial_Closing_Start,OpReserve,0)</f>
        <v/>
      </c>
      <c r="BY5" s="18">
        <f>'DevSpend'!BY$34+'DevSpend'!BY$35+'DevSpend'!BY$38+IF(74=MS_Initial_Closing_Start,OpReserve,0)</f>
        <v/>
      </c>
      <c r="BZ5" s="18">
        <f>'DevSpend'!BZ$34+'DevSpend'!BZ$35+'DevSpend'!BZ$38+IF(75=MS_Initial_Closing_Start,OpReserve,0)</f>
        <v/>
      </c>
      <c r="CA5" s="18">
        <f>'DevSpend'!CA$34+'DevSpend'!CA$35+'DevSpend'!CA$38+IF(76=MS_Initial_Closing_Start,OpReserve,0)</f>
        <v/>
      </c>
      <c r="CB5" s="18">
        <f>'DevSpend'!CB$34+'DevSpend'!CB$35+'DevSpend'!CB$38+IF(77=MS_Initial_Closing_Start,OpReserve,0)</f>
        <v/>
      </c>
      <c r="CC5" s="18">
        <f>'DevSpend'!CC$34+'DevSpend'!CC$35+'DevSpend'!CC$38+IF(78=MS_Initial_Closing_Start,OpReserve,0)</f>
        <v/>
      </c>
      <c r="CD5" s="18">
        <f>'DevSpend'!CD$34+'DevSpend'!CD$35+'DevSpend'!CD$38+IF(79=MS_Initial_Closing_Start,OpReserve,0)</f>
        <v/>
      </c>
      <c r="CE5" s="18">
        <f>'DevSpend'!CE$34+'DevSpend'!CE$35+'DevSpend'!CE$38+IF(80=MS_Initial_Closing_Start,OpReserve,0)</f>
        <v/>
      </c>
      <c r="CF5" s="18">
        <f>'DevSpend'!CF$34+'DevSpend'!CF$35+'DevSpend'!CF$38+IF(81=MS_Initial_Closing_Start,OpReserve,0)</f>
        <v/>
      </c>
      <c r="CG5" s="18">
        <f>'DevSpend'!CG$34+'DevSpend'!CG$35+'DevSpend'!CG$38+IF(82=MS_Initial_Closing_Start,OpReserve,0)</f>
        <v/>
      </c>
      <c r="CH5" s="18">
        <f>'DevSpend'!CH$34+'DevSpend'!CH$35+'DevSpend'!CH$38+IF(83=MS_Initial_Closing_Start,OpReserve,0)</f>
        <v/>
      </c>
      <c r="CI5" s="18">
        <f>'DevSpend'!CI$34+'DevSpend'!CI$35+'DevSpend'!CI$38+IF(84=MS_Initial_Closing_Start,OpReserve,0)</f>
        <v/>
      </c>
      <c r="CJ5" s="18">
        <f>'DevSpend'!CJ$34+'DevSpend'!CJ$35+'DevSpend'!CJ$38+IF(85=MS_Initial_Closing_Start,OpReserve,0)</f>
        <v/>
      </c>
      <c r="CK5" s="18">
        <f>'DevSpend'!CK$34+'DevSpend'!CK$35+'DevSpend'!CK$38+IF(86=MS_Initial_Closing_Start,OpReserve,0)</f>
        <v/>
      </c>
      <c r="CL5" s="18">
        <f>'DevSpend'!CL$34+'DevSpend'!CL$35+'DevSpend'!CL$38+IF(87=MS_Initial_Closing_Start,OpReserve,0)</f>
        <v/>
      </c>
      <c r="CM5" s="18">
        <f>'DevSpend'!CM$34+'DevSpend'!CM$35+'DevSpend'!CM$38+IF(88=MS_Initial_Closing_Start,OpReserve,0)</f>
        <v/>
      </c>
      <c r="CN5" s="18">
        <f>'DevSpend'!CN$34+'DevSpend'!CN$35+'DevSpend'!CN$38+IF(89=MS_Initial_Closing_Start,OpReserve,0)</f>
        <v/>
      </c>
      <c r="CO5" s="18">
        <f>'DevSpend'!CO$34+'DevSpend'!CO$35+'DevSpend'!CO$38+IF(90=MS_Initial_Closing_Start,OpReserve,0)</f>
        <v/>
      </c>
      <c r="CP5" s="18">
        <f>'DevSpend'!CP$34+'DevSpend'!CP$35+'DevSpend'!CP$38+IF(91=MS_Initial_Closing_Start,OpReserve,0)</f>
        <v/>
      </c>
      <c r="CQ5" s="18">
        <f>'DevSpend'!CQ$34+'DevSpend'!CQ$35+'DevSpend'!CQ$38+IF(92=MS_Initial_Closing_Start,OpReserve,0)</f>
        <v/>
      </c>
      <c r="CR5" s="18">
        <f>'DevSpend'!CR$34+'DevSpend'!CR$35+'DevSpend'!CR$38+IF(93=MS_Initial_Closing_Start,OpReserve,0)</f>
        <v/>
      </c>
      <c r="CS5" s="18">
        <f>'DevSpend'!CS$34+'DevSpend'!CS$35+'DevSpend'!CS$38+IF(94=MS_Initial_Closing_Start,OpReserve,0)</f>
        <v/>
      </c>
      <c r="CT5" s="18">
        <f>'DevSpend'!CT$34+'DevSpend'!CT$35+'DevSpend'!CT$38+IF(95=MS_Initial_Closing_Start,OpReserve,0)</f>
        <v/>
      </c>
      <c r="CU5" s="18">
        <f>'DevSpend'!CU$34+'DevSpend'!CU$35+'DevSpend'!CU$38+IF(96=MS_Initial_Closing_Start,OpReserve,0)</f>
        <v/>
      </c>
      <c r="CV5" s="18">
        <f>'DevSpend'!CV$34+'DevSpend'!CV$35+'DevSpend'!CV$38+IF(97=MS_Initial_Closing_Start,OpReserve,0)</f>
        <v/>
      </c>
      <c r="CW5" s="18">
        <f>'DevSpend'!CW$34+'DevSpend'!CW$35+'DevSpend'!CW$38+IF(98=MS_Initial_Closing_Start,OpReserve,0)</f>
        <v/>
      </c>
      <c r="CX5" s="18">
        <f>'DevSpend'!CX$34+'DevSpend'!CX$35+'DevSpend'!CX$38+IF(99=MS_Initial_Closing_Start,OpReserve,0)</f>
        <v/>
      </c>
      <c r="CY5" s="18">
        <f>'DevSpend'!CY$34+'DevSpend'!CY$35+'DevSpend'!CY$38+IF(100=MS_Initial_Closing_Start,OpReserve,0)</f>
        <v/>
      </c>
      <c r="CZ5" s="18">
        <f>'DevSpend'!CZ$34+'DevSpend'!CZ$35+'DevSpend'!CZ$38+IF(101=MS_Initial_Closing_Start,OpReserve,0)</f>
        <v/>
      </c>
      <c r="DA5" s="18">
        <f>'DevSpend'!DA$34+'DevSpend'!DA$35+'DevSpend'!DA$38+IF(102=MS_Initial_Closing_Start,OpReserve,0)</f>
        <v/>
      </c>
      <c r="DB5" s="18">
        <f>'DevSpend'!DB$34+'DevSpend'!DB$35+'DevSpend'!DB$38+IF(103=MS_Initial_Closing_Start,OpReserve,0)</f>
        <v/>
      </c>
      <c r="DC5" s="18">
        <f>'DevSpend'!DC$34+'DevSpend'!DC$35+'DevSpend'!DC$38+IF(104=MS_Initial_Closing_Start,OpReserve,0)</f>
        <v/>
      </c>
      <c r="DD5" s="18">
        <f>'DevSpend'!DD$34+'DevSpend'!DD$35+'DevSpend'!DD$38+IF(105=MS_Initial_Closing_Start,OpReserve,0)</f>
        <v/>
      </c>
      <c r="DE5" s="18">
        <f>'DevSpend'!DE$34+'DevSpend'!DE$35+'DevSpend'!DE$38+IF(106=MS_Initial_Closing_Start,OpReserve,0)</f>
        <v/>
      </c>
      <c r="DF5" s="18">
        <f>'DevSpend'!DF$34+'DevSpend'!DF$35+'DevSpend'!DF$38+IF(107=MS_Initial_Closing_Start,OpReserve,0)</f>
        <v/>
      </c>
      <c r="DG5" s="18">
        <f>'DevSpend'!DG$34+'DevSpend'!DG$35+'DevSpend'!DG$38+IF(108=MS_Initial_Closing_Start,OpReserve,0)</f>
        <v/>
      </c>
      <c r="DH5" s="18">
        <f>'DevSpend'!DH$34+'DevSpend'!DH$35+'DevSpend'!DH$38+IF(109=MS_Initial_Closing_Start,OpReserve,0)</f>
        <v/>
      </c>
      <c r="DI5" s="18">
        <f>'DevSpend'!DI$34+'DevSpend'!DI$35+'DevSpend'!DI$38+IF(110=MS_Initial_Closing_Start,OpReserve,0)</f>
        <v/>
      </c>
      <c r="DJ5" s="18">
        <f>'DevSpend'!DJ$34+'DevSpend'!DJ$35+'DevSpend'!DJ$38+IF(111=MS_Initial_Closing_Start,OpReserve,0)</f>
        <v/>
      </c>
      <c r="DK5" s="18">
        <f>'DevSpend'!DK$34+'DevSpend'!DK$35+'DevSpend'!DK$38+IF(112=MS_Initial_Closing_Start,OpReserve,0)</f>
        <v/>
      </c>
      <c r="DL5" s="18">
        <f>'DevSpend'!DL$34+'DevSpend'!DL$35+'DevSpend'!DL$38+IF(113=MS_Initial_Closing_Start,OpReserve,0)</f>
        <v/>
      </c>
      <c r="DM5" s="18">
        <f>'DevSpend'!DM$34+'DevSpend'!DM$35+'DevSpend'!DM$38+IF(114=MS_Initial_Closing_Start,OpReserve,0)</f>
        <v/>
      </c>
      <c r="DN5" s="18">
        <f>'DevSpend'!DN$34+'DevSpend'!DN$35+'DevSpend'!DN$38+IF(115=MS_Initial_Closing_Start,OpReserve,0)</f>
        <v/>
      </c>
      <c r="DO5" s="18">
        <f>'DevSpend'!DO$34+'DevSpend'!DO$35+'DevSpend'!DO$38+IF(116=MS_Initial_Closing_Start,OpReserve,0)</f>
        <v/>
      </c>
      <c r="DP5" s="18">
        <f>'DevSpend'!DP$34+'DevSpend'!DP$35+'DevSpend'!DP$38+IF(117=MS_Initial_Closing_Start,OpReserve,0)</f>
        <v/>
      </c>
      <c r="DQ5" s="18">
        <f>'DevSpend'!DQ$34+'DevSpend'!DQ$35+'DevSpend'!DQ$38+IF(118=MS_Initial_Closing_Start,OpReserve,0)</f>
        <v/>
      </c>
      <c r="DR5" s="18">
        <f>'DevSpend'!DR$34+'DevSpend'!DR$35+'DevSpend'!DR$38+IF(119=MS_Initial_Closing_Start,OpReserve,0)</f>
        <v/>
      </c>
      <c r="DS5" s="18">
        <f>'DevSpend'!DS$34+'DevSpend'!DS$35+'DevSpend'!DS$38+IF(120=MS_Initial_Closing_Start,OpReserve,0)</f>
        <v/>
      </c>
      <c r="DT5" s="18">
        <f>'DevSpend'!DT$34+'DevSpend'!DT$35+'DevSpend'!DT$38+IF(121=MS_Initial_Closing_Start,OpReserve,0)</f>
        <v/>
      </c>
      <c r="DU5" s="18">
        <f>'DevSpend'!DU$34+'DevSpend'!DU$35+'DevSpend'!DU$38+IF(122=MS_Initial_Closing_Start,OpReserve,0)</f>
        <v/>
      </c>
      <c r="DV5" s="18">
        <f>'DevSpend'!DV$34+'DevSpend'!DV$35+'DevSpend'!DV$38+IF(123=MS_Initial_Closing_Start,OpReserve,0)</f>
        <v/>
      </c>
      <c r="DW5" s="18">
        <f>'DevSpend'!DW$34+'DevSpend'!DW$35+'DevSpend'!DW$38+IF(124=MS_Initial_Closing_Start,OpReserve,0)</f>
        <v/>
      </c>
      <c r="DX5" s="18">
        <f>'DevSpend'!DX$34+'DevSpend'!DX$35+'DevSpend'!DX$38+IF(125=MS_Initial_Closing_Start,OpReserve,0)</f>
        <v/>
      </c>
      <c r="DY5" s="18">
        <f>'DevSpend'!DY$34+'DevSpend'!DY$35+'DevSpend'!DY$38+IF(126=MS_Initial_Closing_Start,OpReserve,0)</f>
        <v/>
      </c>
      <c r="DZ5" s="18">
        <f>'DevSpend'!DZ$34+'DevSpend'!DZ$35+'DevSpend'!DZ$38+IF(127=MS_Initial_Closing_Start,OpReserve,0)</f>
        <v/>
      </c>
      <c r="EA5" s="18">
        <f>'DevSpend'!EA$34+'DevSpend'!EA$35+'DevSpend'!EA$38+IF(128=MS_Initial_Closing_Start,OpReserve,0)</f>
        <v/>
      </c>
      <c r="EB5" s="18">
        <f>'DevSpend'!EB$34+'DevSpend'!EB$35+'DevSpend'!EB$38+IF(129=MS_Initial_Closing_Start,OpReserve,0)</f>
        <v/>
      </c>
      <c r="EC5" s="18">
        <f>'DevSpend'!EC$34+'DevSpend'!EC$35+'DevSpend'!EC$38+IF(130=MS_Initial_Closing_Start,OpReserve,0)</f>
        <v/>
      </c>
      <c r="ED5" s="18">
        <f>'DevSpend'!ED$34+'DevSpend'!ED$35+'DevSpend'!ED$38+IF(131=MS_Initial_Closing_Start,OpReserve,0)</f>
        <v/>
      </c>
      <c r="EE5" s="18">
        <f>'DevSpend'!EE$34+'DevSpend'!EE$35+'DevSpend'!EE$38+IF(132=MS_Initial_Closing_Start,OpReserve,0)</f>
        <v/>
      </c>
      <c r="EF5" s="18">
        <f>'DevSpend'!EF$34+'DevSpend'!EF$35+'DevSpend'!EF$38+IF(133=MS_Initial_Closing_Start,OpReserve,0)</f>
        <v/>
      </c>
      <c r="EG5" s="18">
        <f>'DevSpend'!EG$34+'DevSpend'!EG$35+'DevSpend'!EG$38+IF(134=MS_Initial_Closing_Start,OpReserve,0)</f>
        <v/>
      </c>
      <c r="EH5" s="18">
        <f>'DevSpend'!EH$34+'DevSpend'!EH$35+'DevSpend'!EH$38+IF(135=MS_Initial_Closing_Start,OpReserve,0)</f>
        <v/>
      </c>
      <c r="EI5" s="18">
        <f>'DevSpend'!EI$34+'DevSpend'!EI$35+'DevSpend'!EI$38+IF(136=MS_Initial_Closing_Start,OpReserve,0)</f>
        <v/>
      </c>
      <c r="EJ5" s="18">
        <f>'DevSpend'!EJ$34+'DevSpend'!EJ$35+'DevSpend'!EJ$38+IF(137=MS_Initial_Closing_Start,OpReserve,0)</f>
        <v/>
      </c>
      <c r="EK5" s="18">
        <f>'DevSpend'!EK$34+'DevSpend'!EK$35+'DevSpend'!EK$38+IF(138=MS_Initial_Closing_Start,OpReserve,0)</f>
        <v/>
      </c>
      <c r="EL5" s="18">
        <f>'DevSpend'!EL$34+'DevSpend'!EL$35+'DevSpend'!EL$38+IF(139=MS_Initial_Closing_Start,OpReserve,0)</f>
        <v/>
      </c>
      <c r="EM5" s="18">
        <f>'DevSpend'!EM$34+'DevSpend'!EM$35+'DevSpend'!EM$38+IF(140=MS_Initial_Closing_Start,OpReserve,0)</f>
        <v/>
      </c>
      <c r="EN5" s="18">
        <f>'DevSpend'!EN$34+'DevSpend'!EN$35+'DevSpend'!EN$38+IF(141=MS_Initial_Closing_Start,OpReserve,0)</f>
        <v/>
      </c>
      <c r="EO5" s="18">
        <f>'DevSpend'!EO$34+'DevSpend'!EO$35+'DevSpend'!EO$38+IF(142=MS_Initial_Closing_Start,OpReserve,0)</f>
        <v/>
      </c>
      <c r="EP5" s="18">
        <f>'DevSpend'!EP$34+'DevSpend'!EP$35+'DevSpend'!EP$38+IF(143=MS_Initial_Closing_Start,OpReserve,0)</f>
        <v/>
      </c>
      <c r="EQ5" s="18">
        <f>'DevSpend'!EQ$34+'DevSpend'!EQ$35+'DevSpend'!EQ$38+IF(144=MS_Initial_Closing_Start,OpReserve,0)</f>
        <v/>
      </c>
      <c r="ER5" s="18">
        <f>'DevSpend'!ER$34+'DevSpend'!ER$35+'DevSpend'!ER$38+IF(145=MS_Initial_Closing_Start,OpReserve,0)</f>
        <v/>
      </c>
      <c r="ES5" s="18">
        <f>'DevSpend'!ES$34+'DevSpend'!ES$35+'DevSpend'!ES$38+IF(146=MS_Initial_Closing_Start,OpReserve,0)</f>
        <v/>
      </c>
      <c r="ET5" s="18">
        <f>'DevSpend'!ET$34+'DevSpend'!ET$35+'DevSpend'!ET$38+IF(147=MS_Initial_Closing_Start,OpReserve,0)</f>
        <v/>
      </c>
      <c r="EU5" s="18">
        <f>'DevSpend'!EU$34+'DevSpend'!EU$35+'DevSpend'!EU$38+IF(148=MS_Initial_Closing_Start,OpReserve,0)</f>
        <v/>
      </c>
      <c r="EV5" s="18">
        <f>'DevSpend'!EV$34+'DevSpend'!EV$35+'DevSpend'!EV$38+IF(149=MS_Initial_Closing_Start,OpReserve,0)</f>
        <v/>
      </c>
      <c r="EW5" s="18">
        <f>'DevSpend'!EW$34+'DevSpend'!EW$35+'DevSpend'!EW$38+IF(150=MS_Initial_Closing_Start,OpReserve,0)</f>
        <v/>
      </c>
      <c r="EX5" s="18">
        <f>'DevSpend'!EX$34+'DevSpend'!EX$35+'DevSpend'!EX$38+IF(151=MS_Initial_Closing_Start,OpReserve,0)</f>
        <v/>
      </c>
      <c r="EY5" s="18">
        <f>'DevSpend'!EY$34+'DevSpend'!EY$35+'DevSpend'!EY$38+IF(152=MS_Initial_Closing_Start,OpReserve,0)</f>
        <v/>
      </c>
      <c r="EZ5" s="18">
        <f>'DevSpend'!EZ$34+'DevSpend'!EZ$35+'DevSpend'!EZ$38+IF(153=MS_Initial_Closing_Start,OpReserve,0)</f>
        <v/>
      </c>
      <c r="FA5" s="18">
        <f>'DevSpend'!FA$34+'DevSpend'!FA$35+'DevSpend'!FA$38+IF(154=MS_Initial_Closing_Start,OpReserve,0)</f>
        <v/>
      </c>
      <c r="FB5" s="18">
        <f>'DevSpend'!FB$34+'DevSpend'!FB$35+'DevSpend'!FB$38+IF(155=MS_Initial_Closing_Start,OpReserve,0)</f>
        <v/>
      </c>
      <c r="FC5" s="18">
        <f>'DevSpend'!FC$34+'DevSpend'!FC$35+'DevSpend'!FC$38+IF(156=MS_Initial_Closing_Start,OpReserve,0)</f>
        <v/>
      </c>
      <c r="FD5" s="18">
        <f>'DevSpend'!FD$34+'DevSpend'!FD$35+'DevSpend'!FD$38+IF(157=MS_Initial_Closing_Start,OpReserve,0)</f>
        <v/>
      </c>
      <c r="FE5" s="18">
        <f>'DevSpend'!FE$34+'DevSpend'!FE$35+'DevSpend'!FE$38+IF(158=MS_Initial_Closing_Start,OpReserve,0)</f>
        <v/>
      </c>
      <c r="FF5" s="18">
        <f>'DevSpend'!FF$34+'DevSpend'!FF$35+'DevSpend'!FF$38+IF(159=MS_Initial_Closing_Start,OpReserve,0)</f>
        <v/>
      </c>
      <c r="FG5" s="18">
        <f>'DevSpend'!FG$34+'DevSpend'!FG$35+'DevSpend'!FG$38+IF(160=MS_Initial_Closing_Start,OpReserve,0)</f>
        <v/>
      </c>
      <c r="FH5" s="18">
        <f>'DevSpend'!FH$34+'DevSpend'!FH$35+'DevSpend'!FH$38+IF(161=MS_Initial_Closing_Start,OpReserve,0)</f>
        <v/>
      </c>
      <c r="FI5" s="18">
        <f>'DevSpend'!FI$34+'DevSpend'!FI$35+'DevSpend'!FI$38+IF(162=MS_Initial_Closing_Start,OpReserve,0)</f>
        <v/>
      </c>
      <c r="FJ5" s="18">
        <f>'DevSpend'!FJ$34+'DevSpend'!FJ$35+'DevSpend'!FJ$38+IF(163=MS_Initial_Closing_Start,OpReserve,0)</f>
        <v/>
      </c>
      <c r="FK5" s="18">
        <f>'DevSpend'!FK$34+'DevSpend'!FK$35+'DevSpend'!FK$38+IF(164=MS_Initial_Closing_Start,OpReserve,0)</f>
        <v/>
      </c>
      <c r="FL5" s="18">
        <f>'DevSpend'!FL$34+'DevSpend'!FL$35+'DevSpend'!FL$38+IF(165=MS_Initial_Closing_Start,OpReserve,0)</f>
        <v/>
      </c>
      <c r="FM5" s="18">
        <f>'DevSpend'!FM$34+'DevSpend'!FM$35+'DevSpend'!FM$38+IF(166=MS_Initial_Closing_Start,OpReserve,0)</f>
        <v/>
      </c>
      <c r="FN5" s="18">
        <f>'DevSpend'!FN$34+'DevSpend'!FN$35+'DevSpend'!FN$38+IF(167=MS_Initial_Closing_Start,OpReserve,0)</f>
        <v/>
      </c>
      <c r="FO5" s="18">
        <f>'DevSpend'!FO$34+'DevSpend'!FO$35+'DevSpend'!FO$38+IF(168=MS_Initial_Closing_Start,OpReserve,0)</f>
        <v/>
      </c>
      <c r="FP5" s="18">
        <f>'DevSpend'!FP$34+'DevSpend'!FP$35+'DevSpend'!FP$38+IF(169=MS_Initial_Closing_Start,OpReserve,0)</f>
        <v/>
      </c>
      <c r="FQ5" s="18">
        <f>'DevSpend'!FQ$34+'DevSpend'!FQ$35+'DevSpend'!FQ$38+IF(170=MS_Initial_Closing_Start,OpReserve,0)</f>
        <v/>
      </c>
      <c r="FR5" s="18">
        <f>'DevSpend'!FR$34+'DevSpend'!FR$35+'DevSpend'!FR$38+IF(171=MS_Initial_Closing_Start,OpReserve,0)</f>
        <v/>
      </c>
      <c r="FS5" s="18">
        <f>'DevSpend'!FS$34+'DevSpend'!FS$35+'DevSpend'!FS$38+IF(172=MS_Initial_Closing_Start,OpReserve,0)</f>
        <v/>
      </c>
      <c r="FT5" s="18">
        <f>'DevSpend'!FT$34+'DevSpend'!FT$35+'DevSpend'!FT$38+IF(173=MS_Initial_Closing_Start,OpReserve,0)</f>
        <v/>
      </c>
      <c r="FU5" s="18">
        <f>'DevSpend'!FU$34+'DevSpend'!FU$35+'DevSpend'!FU$38+IF(174=MS_Initial_Closing_Start,OpReserve,0)</f>
        <v/>
      </c>
      <c r="FV5" s="18">
        <f>'DevSpend'!FV$34+'DevSpend'!FV$35+'DevSpend'!FV$38+IF(175=MS_Initial_Closing_Start,OpReserve,0)</f>
        <v/>
      </c>
      <c r="FW5" s="18">
        <f>'DevSpend'!FW$34+'DevSpend'!FW$35+'DevSpend'!FW$38+IF(176=MS_Initial_Closing_Start,OpReserve,0)</f>
        <v/>
      </c>
      <c r="FX5" s="18">
        <f>'DevSpend'!FX$34+'DevSpend'!FX$35+'DevSpend'!FX$38+IF(177=MS_Initial_Closing_Start,OpReserve,0)</f>
        <v/>
      </c>
      <c r="FY5" s="18">
        <f>'DevSpend'!FY$34+'DevSpend'!FY$35+'DevSpend'!FY$38+IF(178=MS_Initial_Closing_Start,OpReserve,0)</f>
        <v/>
      </c>
      <c r="FZ5" s="18">
        <f>'DevSpend'!FZ$34+'DevSpend'!FZ$35+'DevSpend'!FZ$38+IF(179=MS_Initial_Closing_Start,OpReserve,0)</f>
        <v/>
      </c>
      <c r="GA5" s="18">
        <f>'DevSpend'!GA$34+'DevSpend'!GA$35+'DevSpend'!GA$38+IF(180=MS_Initial_Closing_Start,OpReserve,0)</f>
        <v/>
      </c>
      <c r="GB5" s="18">
        <f>'DevSpend'!GB$34+'DevSpend'!GB$35+'DevSpend'!GB$38+IF(181=MS_Initial_Closing_Start,OpReserve,0)</f>
        <v/>
      </c>
      <c r="GC5" s="18">
        <f>'DevSpend'!GC$34+'DevSpend'!GC$35+'DevSpend'!GC$38+IF(182=MS_Initial_Closing_Start,OpReserve,0)</f>
        <v/>
      </c>
      <c r="GD5" s="18">
        <f>'DevSpend'!GD$34+'DevSpend'!GD$35+'DevSpend'!GD$38+IF(183=MS_Initial_Closing_Start,OpReserve,0)</f>
        <v/>
      </c>
      <c r="GE5" s="18">
        <f>'DevSpend'!GE$34+'DevSpend'!GE$35+'DevSpend'!GE$38+IF(184=MS_Initial_Closing_Start,OpReserve,0)</f>
        <v/>
      </c>
      <c r="GF5" s="18">
        <f>'DevSpend'!GF$34+'DevSpend'!GF$35+'DevSpend'!GF$38+IF(185=MS_Initial_Closing_Start,OpReserve,0)</f>
        <v/>
      </c>
      <c r="GG5" s="18">
        <f>'DevSpend'!GG$34+'DevSpend'!GG$35+'DevSpend'!GG$38+IF(186=MS_Initial_Closing_Start,OpReserve,0)</f>
        <v/>
      </c>
      <c r="GH5" s="18">
        <f>'DevSpend'!GH$34+'DevSpend'!GH$35+'DevSpend'!GH$38+IF(187=MS_Initial_Closing_Start,OpReserve,0)</f>
        <v/>
      </c>
      <c r="GI5" s="18">
        <f>'DevSpend'!GI$34+'DevSpend'!GI$35+'DevSpend'!GI$38+IF(188=MS_Initial_Closing_Start,OpReserve,0)</f>
        <v/>
      </c>
      <c r="GJ5" s="18">
        <f>'DevSpend'!GJ$34+'DevSpend'!GJ$35+'DevSpend'!GJ$38+IF(189=MS_Initial_Closing_Start,OpReserve,0)</f>
        <v/>
      </c>
      <c r="GK5" s="18">
        <f>'DevSpend'!GK$34+'DevSpend'!GK$35+'DevSpend'!GK$38+IF(190=MS_Initial_Closing_Start,OpReserve,0)</f>
        <v/>
      </c>
      <c r="GL5" s="18">
        <f>'DevSpend'!GL$34+'DevSpend'!GL$35+'DevSpend'!GL$38+IF(191=MS_Initial_Closing_Start,OpReserve,0)</f>
        <v/>
      </c>
      <c r="GM5" s="18">
        <f>'DevSpend'!GM$34+'DevSpend'!GM$35+'DevSpend'!GM$38+IF(192=MS_Initial_Closing_Start,OpReserve,0)</f>
        <v/>
      </c>
      <c r="GN5" s="18">
        <f>'DevSpend'!GN$34+'DevSpend'!GN$35+'DevSpend'!GN$38+IF(193=MS_Initial_Closing_Start,OpReserve,0)</f>
        <v/>
      </c>
      <c r="GO5" s="18">
        <f>'DevSpend'!GO$34+'DevSpend'!GO$35+'DevSpend'!GO$38+IF(194=MS_Initial_Closing_Start,OpReserve,0)</f>
        <v/>
      </c>
      <c r="GP5" s="18">
        <f>'DevSpend'!GP$34+'DevSpend'!GP$35+'DevSpend'!GP$38+IF(195=MS_Initial_Closing_Start,OpReserve,0)</f>
        <v/>
      </c>
      <c r="GQ5" s="18">
        <f>'DevSpend'!GQ$34+'DevSpend'!GQ$35+'DevSpend'!GQ$38+IF(196=MS_Initial_Closing_Start,OpReserve,0)</f>
        <v/>
      </c>
      <c r="GR5" s="18">
        <f>'DevSpend'!GR$34+'DevSpend'!GR$35+'DevSpend'!GR$38+IF(197=MS_Initial_Closing_Start,OpReserve,0)</f>
        <v/>
      </c>
      <c r="GS5" s="18">
        <f>'DevSpend'!GS$34+'DevSpend'!GS$35+'DevSpend'!GS$38+IF(198=MS_Initial_Closing_Start,OpReserve,0)</f>
        <v/>
      </c>
      <c r="GT5" s="18">
        <f>'DevSpend'!GT$34+'DevSpend'!GT$35+'DevSpend'!GT$38+IF(199=MS_Initial_Closing_Start,OpReserve,0)</f>
        <v/>
      </c>
      <c r="GU5" s="18">
        <f>'DevSpend'!GU$34+'DevSpend'!GU$35+'DevSpend'!GU$38+IF(200=MS_Initial_Closing_Start,OpReserve,0)</f>
        <v/>
      </c>
      <c r="GV5" s="18">
        <f>'DevSpend'!GV$34+'DevSpend'!GV$35+'DevSpend'!GV$38+IF(201=MS_Initial_Closing_Start,OpReserve,0)</f>
        <v/>
      </c>
      <c r="GW5" s="18">
        <f>'DevSpend'!GW$34+'DevSpend'!GW$35+'DevSpend'!GW$38+IF(202=MS_Initial_Closing_Start,OpReserve,0)</f>
        <v/>
      </c>
      <c r="GX5" s="18">
        <f>'DevSpend'!GX$34+'DevSpend'!GX$35+'DevSpend'!GX$38+IF(203=MS_Initial_Closing_Start,OpReserve,0)</f>
        <v/>
      </c>
      <c r="GY5" s="18">
        <f>'DevSpend'!GY$34+'DevSpend'!GY$35+'DevSpend'!GY$38+IF(204=MS_Initial_Closing_Start,OpReserve,0)</f>
        <v/>
      </c>
      <c r="GZ5" s="18">
        <f>'DevSpend'!GZ$34+'DevSpend'!GZ$35+'DevSpend'!GZ$38+IF(205=MS_Initial_Closing_Start,OpReserve,0)</f>
        <v/>
      </c>
      <c r="HA5" s="18">
        <f>'DevSpend'!HA$34+'DevSpend'!HA$35+'DevSpend'!HA$38+IF(206=MS_Initial_Closing_Start,OpReserve,0)</f>
        <v/>
      </c>
      <c r="HB5" s="18">
        <f>'DevSpend'!HB$34+'DevSpend'!HB$35+'DevSpend'!HB$38+IF(207=MS_Initial_Closing_Start,OpReserve,0)</f>
        <v/>
      </c>
      <c r="HC5" s="18">
        <f>'DevSpend'!HC$34+'DevSpend'!HC$35+'DevSpend'!HC$38+IF(208=MS_Initial_Closing_Start,OpReserve,0)</f>
        <v/>
      </c>
      <c r="HD5" s="18">
        <f>'DevSpend'!HD$34+'DevSpend'!HD$35+'DevSpend'!HD$38+IF(209=MS_Initial_Closing_Start,OpReserve,0)</f>
        <v/>
      </c>
      <c r="HE5" s="18">
        <f>'DevSpend'!HE$34+'DevSpend'!HE$35+'DevSpend'!HE$38+IF(210=MS_Initial_Closing_Start,OpReserve,0)</f>
        <v/>
      </c>
      <c r="HF5" s="18">
        <f>'DevSpend'!HF$34+'DevSpend'!HF$35+'DevSpend'!HF$38+IF(211=MS_Initial_Closing_Start,OpReserve,0)</f>
        <v/>
      </c>
      <c r="HG5" s="18">
        <f>'DevSpend'!HG$34+'DevSpend'!HG$35+'DevSpend'!HG$38+IF(212=MS_Initial_Closing_Start,OpReserve,0)</f>
        <v/>
      </c>
      <c r="HH5" s="18">
        <f>'DevSpend'!HH$34+'DevSpend'!HH$35+'DevSpend'!HH$38+IF(213=MS_Initial_Closing_Start,OpReserve,0)</f>
        <v/>
      </c>
      <c r="HI5" s="18">
        <f>'DevSpend'!HI$34+'DevSpend'!HI$35+'DevSpend'!HI$38+IF(214=MS_Initial_Closing_Start,OpReserve,0)</f>
        <v/>
      </c>
      <c r="HJ5" s="18">
        <f>'DevSpend'!HJ$34+'DevSpend'!HJ$35+'DevSpend'!HJ$38+IF(215=MS_Initial_Closing_Start,OpReserve,0)</f>
        <v/>
      </c>
      <c r="HK5" s="18">
        <f>'DevSpend'!HK$34+'DevSpend'!HK$35+'DevSpend'!HK$38+IF(216=MS_Initial_Closing_Start,OpReserve,0)</f>
        <v/>
      </c>
      <c r="HL5" s="18">
        <f>'DevSpend'!HL$34+'DevSpend'!HL$35+'DevSpend'!HL$38+IF(217=MS_Initial_Closing_Start,OpReserve,0)</f>
        <v/>
      </c>
      <c r="HM5" s="18">
        <f>'DevSpend'!HM$34+'DevSpend'!HM$35+'DevSpend'!HM$38+IF(218=MS_Initial_Closing_Start,OpReserve,0)</f>
        <v/>
      </c>
      <c r="HN5" s="18">
        <f>'DevSpend'!HN$34+'DevSpend'!HN$35+'DevSpend'!HN$38+IF(219=MS_Initial_Closing_Start,OpReserve,0)</f>
        <v/>
      </c>
      <c r="HO5" s="18">
        <f>'DevSpend'!HO$34+'DevSpend'!HO$35+'DevSpend'!HO$38+IF(220=MS_Initial_Closing_Start,OpReserve,0)</f>
        <v/>
      </c>
      <c r="HP5" s="18">
        <f>'DevSpend'!HP$34+'DevSpend'!HP$35+'DevSpend'!HP$38+IF(221=MS_Initial_Closing_Start,OpReserve,0)</f>
        <v/>
      </c>
      <c r="HQ5" s="18">
        <f>'DevSpend'!HQ$34+'DevSpend'!HQ$35+'DevSpend'!HQ$38+IF(222=MS_Initial_Closing_Start,OpReserve,0)</f>
        <v/>
      </c>
      <c r="HR5" s="18">
        <f>'DevSpend'!HR$34+'DevSpend'!HR$35+'DevSpend'!HR$38+IF(223=MS_Initial_Closing_Start,OpReserve,0)</f>
        <v/>
      </c>
      <c r="HS5" s="18">
        <f>'DevSpend'!HS$34+'DevSpend'!HS$35+'DevSpend'!HS$38+IF(224=MS_Initial_Closing_Start,OpReserve,0)</f>
        <v/>
      </c>
      <c r="HT5" s="18">
        <f>'DevSpend'!HT$34+'DevSpend'!HT$35+'DevSpend'!HT$38+IF(225=MS_Initial_Closing_Start,OpReserve,0)</f>
        <v/>
      </c>
      <c r="HU5" s="18">
        <f>'DevSpend'!HU$34+'DevSpend'!HU$35+'DevSpend'!HU$38+IF(226=MS_Initial_Closing_Start,OpReserve,0)</f>
        <v/>
      </c>
      <c r="HV5" s="18">
        <f>'DevSpend'!HV$34+'DevSpend'!HV$35+'DevSpend'!HV$38+IF(227=MS_Initial_Closing_Start,OpReserve,0)</f>
        <v/>
      </c>
      <c r="HW5" s="18">
        <f>'DevSpend'!HW$34+'DevSpend'!HW$35+'DevSpend'!HW$38+IF(228=MS_Initial_Closing_Start,OpReserve,0)</f>
        <v/>
      </c>
      <c r="HX5" s="18">
        <f>'DevSpend'!HX$34+'DevSpend'!HX$35+'DevSpend'!HX$38+IF(229=MS_Initial_Closing_Start,OpReserve,0)</f>
        <v/>
      </c>
      <c r="HY5" s="18">
        <f>'DevSpend'!HY$34+'DevSpend'!HY$35+'DevSpend'!HY$38+IF(230=MS_Initial_Closing_Start,OpReserve,0)</f>
        <v/>
      </c>
      <c r="HZ5" s="18">
        <f>'DevSpend'!HZ$34+'DevSpend'!HZ$35+'DevSpend'!HZ$38+IF(231=MS_Initial_Closing_Start,OpReserve,0)</f>
        <v/>
      </c>
      <c r="IA5" s="18">
        <f>'DevSpend'!IA$34+'DevSpend'!IA$35+'DevSpend'!IA$38+IF(232=MS_Initial_Closing_Start,OpReserve,0)</f>
        <v/>
      </c>
      <c r="IB5" s="18">
        <f>'DevSpend'!IB$34+'DevSpend'!IB$35+'DevSpend'!IB$38+IF(233=MS_Initial_Closing_Start,OpReserve,0)</f>
        <v/>
      </c>
      <c r="IC5" s="18">
        <f>'DevSpend'!IC$34+'DevSpend'!IC$35+'DevSpend'!IC$38+IF(234=MS_Initial_Closing_Start,OpReserve,0)</f>
        <v/>
      </c>
      <c r="ID5" s="18">
        <f>'DevSpend'!ID$34+'DevSpend'!ID$35+'DevSpend'!ID$38+IF(235=MS_Initial_Closing_Start,OpReserve,0)</f>
        <v/>
      </c>
      <c r="IE5" s="18">
        <f>'DevSpend'!IE$34+'DevSpend'!IE$35+'DevSpend'!IE$38+IF(236=MS_Initial_Closing_Start,OpReserve,0)</f>
        <v/>
      </c>
      <c r="IF5" s="18">
        <f>'DevSpend'!IF$34+'DevSpend'!IF$35+'DevSpend'!IF$38+IF(237=MS_Initial_Closing_Start,OpReserve,0)</f>
        <v/>
      </c>
      <c r="IG5" s="18">
        <f>'DevSpend'!IG$34+'DevSpend'!IG$35+'DevSpend'!IG$38+IF(238=MS_Initial_Closing_Start,OpReserve,0)</f>
        <v/>
      </c>
      <c r="IH5" s="18">
        <f>'DevSpend'!IH$34+'DevSpend'!IH$35+'DevSpend'!IH$38+IF(239=MS_Initial_Closing_Start,OpReserve,0)</f>
        <v/>
      </c>
      <c r="II5" s="18">
        <f>'DevSpend'!II$34+'DevSpend'!II$35+'DevSpend'!II$38+IF(240=MS_Initial_Closing_Start,OpReserve,0)</f>
        <v/>
      </c>
      <c r="IJ5" s="18">
        <f>'DevSpend'!IJ$34+'DevSpend'!IJ$35+'DevSpend'!IJ$38+IF(241=MS_Initial_Closing_Start,OpReserve,0)</f>
        <v/>
      </c>
      <c r="IK5" s="18">
        <f>'DevSpend'!IK$34+'DevSpend'!IK$35+'DevSpend'!IK$38+IF(242=MS_Initial_Closing_Start,OpReserve,0)</f>
        <v/>
      </c>
      <c r="IL5" s="18">
        <f>'DevSpend'!IL$34+'DevSpend'!IL$35+'DevSpend'!IL$38+IF(243=MS_Initial_Closing_Start,OpReserve,0)</f>
        <v/>
      </c>
      <c r="IM5" s="18">
        <f>'DevSpend'!IM$34+'DevSpend'!IM$35+'DevSpend'!IM$38+IF(244=MS_Initial_Closing_Start,OpReserve,0)</f>
        <v/>
      </c>
      <c r="IN5" s="18">
        <f>'DevSpend'!IN$34+'DevSpend'!IN$35+'DevSpend'!IN$38+IF(245=MS_Initial_Closing_Start,OpReserve,0)</f>
        <v/>
      </c>
      <c r="IO5" s="18">
        <f>'DevSpend'!IO$34+'DevSpend'!IO$35+'DevSpend'!IO$38+IF(246=MS_Initial_Closing_Start,OpReserve,0)</f>
        <v/>
      </c>
      <c r="IP5" s="18">
        <f>'DevSpend'!IP$34+'DevSpend'!IP$35+'DevSpend'!IP$38+IF(247=MS_Initial_Closing_Start,OpReserve,0)</f>
        <v/>
      </c>
      <c r="IQ5" s="18">
        <f>'DevSpend'!IQ$34+'DevSpend'!IQ$35+'DevSpend'!IQ$38+IF(248=MS_Initial_Closing_Start,OpReserve,0)</f>
        <v/>
      </c>
      <c r="IR5" s="18">
        <f>'DevSpend'!IR$34+'DevSpend'!IR$35+'DevSpend'!IR$38+IF(249=MS_Initial_Closing_Start,OpReserve,0)</f>
        <v/>
      </c>
      <c r="IS5" s="18">
        <f>'DevSpend'!IS$34+'DevSpend'!IS$35+'DevSpend'!IS$38+IF(250=MS_Initial_Closing_Start,OpReserve,0)</f>
        <v/>
      </c>
      <c r="IT5" s="18">
        <f>'DevSpend'!IT$34+'DevSpend'!IT$35+'DevSpend'!IT$38+IF(251=MS_Initial_Closing_Start,OpReserve,0)</f>
        <v/>
      </c>
      <c r="IU5" s="18">
        <f>'DevSpend'!IU$34+'DevSpend'!IU$35+'DevSpend'!IU$38+IF(252=MS_Initial_Closing_Start,OpReserve,0)</f>
        <v/>
      </c>
      <c r="IV5" s="18">
        <f>'DevSpend'!IV$34+'DevSpend'!IV$35+'DevSpend'!IV$38+IF(253=MS_Initial_Closing_Start,OpReserve,0)</f>
        <v/>
      </c>
      <c r="IW5" s="18">
        <f>'DevSpend'!IW$34+'DevSpend'!IW$35+'DevSpend'!IW$38+IF(254=MS_Initial_Closing_Start,OpReserve,0)</f>
        <v/>
      </c>
      <c r="IX5" s="18">
        <f>'DevSpend'!IX$34+'DevSpend'!IX$35+'DevSpend'!IX$38+IF(255=MS_Initial_Closing_Start,OpReserve,0)</f>
        <v/>
      </c>
      <c r="IY5" s="18">
        <f>'DevSpend'!IY$34+'DevSpend'!IY$35+'DevSpend'!IY$38+IF(256=MS_Initial_Closing_Start,OpReserve,0)</f>
        <v/>
      </c>
      <c r="IZ5" s="18">
        <f>'DevSpend'!IZ$34+'DevSpend'!IZ$35+'DevSpend'!IZ$38+IF(257=MS_Initial_Closing_Start,OpReserve,0)</f>
        <v/>
      </c>
      <c r="JA5" s="18">
        <f>'DevSpend'!JA$34+'DevSpend'!JA$35+'DevSpend'!JA$38+IF(258=MS_Initial_Closing_Start,OpReserve,0)</f>
        <v/>
      </c>
      <c r="JB5" s="18">
        <f>'DevSpend'!JB$34+'DevSpend'!JB$35+'DevSpend'!JB$38+IF(259=MS_Initial_Closing_Start,OpReserve,0)</f>
        <v/>
      </c>
      <c r="JC5" s="18">
        <f>'DevSpend'!JC$34+'DevSpend'!JC$35+'DevSpend'!JC$38+IF(260=MS_Initial_Closing_Start,OpReserve,0)</f>
        <v/>
      </c>
      <c r="JD5" s="18">
        <f>'DevSpend'!JD$34+'DevSpend'!JD$35+'DevSpend'!JD$38+IF(261=MS_Initial_Closing_Start,OpReserve,0)</f>
        <v/>
      </c>
      <c r="JE5" s="18">
        <f>'DevSpend'!JE$34+'DevSpend'!JE$35+'DevSpend'!JE$38+IF(262=MS_Initial_Closing_Start,OpReserve,0)</f>
        <v/>
      </c>
      <c r="JF5" s="18">
        <f>'DevSpend'!JF$34+'DevSpend'!JF$35+'DevSpend'!JF$38+IF(263=MS_Initial_Closing_Start,OpReserve,0)</f>
        <v/>
      </c>
      <c r="JG5" s="18">
        <f>'DevSpend'!JG$34+'DevSpend'!JG$35+'DevSpend'!JG$38+IF(264=MS_Initial_Closing_Start,OpReserve,0)</f>
        <v/>
      </c>
      <c r="JH5" s="18">
        <f>'DevSpend'!JH$34+'DevSpend'!JH$35+'DevSpend'!JH$38+IF(265=MS_Initial_Closing_Start,OpReserve,0)</f>
        <v/>
      </c>
      <c r="JI5" s="18">
        <f>'DevSpend'!JI$34+'DevSpend'!JI$35+'DevSpend'!JI$38+IF(266=MS_Initial_Closing_Start,OpReserve,0)</f>
        <v/>
      </c>
      <c r="JJ5" s="18">
        <f>'DevSpend'!JJ$34+'DevSpend'!JJ$35+'DevSpend'!JJ$38+IF(267=MS_Initial_Closing_Start,OpReserve,0)</f>
        <v/>
      </c>
      <c r="JK5" s="18">
        <f>'DevSpend'!JK$34+'DevSpend'!JK$35+'DevSpend'!JK$38+IF(268=MS_Initial_Closing_Start,OpReserve,0)</f>
        <v/>
      </c>
      <c r="JL5" s="18">
        <f>'DevSpend'!JL$34+'DevSpend'!JL$35+'DevSpend'!JL$38+IF(269=MS_Initial_Closing_Start,OpReserve,0)</f>
        <v/>
      </c>
      <c r="JM5" s="18">
        <f>'DevSpend'!JM$34+'DevSpend'!JM$35+'DevSpend'!JM$38+IF(270=MS_Initial_Closing_Start,OpReserve,0)</f>
        <v/>
      </c>
      <c r="JN5" s="18">
        <f>'DevSpend'!JN$34+'DevSpend'!JN$35+'DevSpend'!JN$38+IF(271=MS_Initial_Closing_Start,OpReserve,0)</f>
        <v/>
      </c>
      <c r="JO5" s="18">
        <f>'DevSpend'!JO$34+'DevSpend'!JO$35+'DevSpend'!JO$38+IF(272=MS_Initial_Closing_Start,OpReserve,0)</f>
        <v/>
      </c>
      <c r="JP5" s="18">
        <f>'DevSpend'!JP$34+'DevSpend'!JP$35+'DevSpend'!JP$38+IF(273=MS_Initial_Closing_Start,OpReserve,0)</f>
        <v/>
      </c>
      <c r="JQ5" s="18">
        <f>'DevSpend'!JQ$34+'DevSpend'!JQ$35+'DevSpend'!JQ$38+IF(274=MS_Initial_Closing_Start,OpReserve,0)</f>
        <v/>
      </c>
      <c r="JR5" s="18">
        <f>'DevSpend'!JR$34+'DevSpend'!JR$35+'DevSpend'!JR$38+IF(275=MS_Initial_Closing_Start,OpReserve,0)</f>
        <v/>
      </c>
      <c r="JS5" s="18">
        <f>'DevSpend'!JS$34+'DevSpend'!JS$35+'DevSpend'!JS$38+IF(276=MS_Initial_Closing_Start,OpReserve,0)</f>
        <v/>
      </c>
      <c r="JT5" s="18">
        <f>'DevSpend'!JT$34+'DevSpend'!JT$35+'DevSpend'!JT$38+IF(277=MS_Initial_Closing_Start,OpReserve,0)</f>
        <v/>
      </c>
      <c r="JU5" s="18">
        <f>'DevSpend'!JU$34+'DevSpend'!JU$35+'DevSpend'!JU$38+IF(278=MS_Initial_Closing_Start,OpReserve,0)</f>
        <v/>
      </c>
      <c r="JV5" s="18">
        <f>'DevSpend'!JV$34+'DevSpend'!JV$35+'DevSpend'!JV$38+IF(279=MS_Initial_Closing_Start,OpReserve,0)</f>
        <v/>
      </c>
      <c r="JW5" s="18">
        <f>'DevSpend'!JW$34+'DevSpend'!JW$35+'DevSpend'!JW$38+IF(280=MS_Initial_Closing_Start,OpReserve,0)</f>
        <v/>
      </c>
      <c r="JX5" s="18">
        <f>'DevSpend'!JX$34+'DevSpend'!JX$35+'DevSpend'!JX$38+IF(281=MS_Initial_Closing_Start,OpReserve,0)</f>
        <v/>
      </c>
      <c r="JY5" s="18">
        <f>'DevSpend'!JY$34+'DevSpend'!JY$35+'DevSpend'!JY$38+IF(282=MS_Initial_Closing_Start,OpReserve,0)</f>
        <v/>
      </c>
      <c r="JZ5" s="18">
        <f>'DevSpend'!JZ$34+'DevSpend'!JZ$35+'DevSpend'!JZ$38+IF(283=MS_Initial_Closing_Start,OpReserve,0)</f>
        <v/>
      </c>
      <c r="KA5" s="18">
        <f>'DevSpend'!KA$34+'DevSpend'!KA$35+'DevSpend'!KA$38+IF(284=MS_Initial_Closing_Start,OpReserve,0)</f>
        <v/>
      </c>
      <c r="KB5" s="18">
        <f>'DevSpend'!KB$34+'DevSpend'!KB$35+'DevSpend'!KB$38+IF(285=MS_Initial_Closing_Start,OpReserve,0)</f>
        <v/>
      </c>
      <c r="KC5" s="18">
        <f>'DevSpend'!KC$34+'DevSpend'!KC$35+'DevSpend'!KC$38+IF(286=MS_Initial_Closing_Start,OpReserve,0)</f>
        <v/>
      </c>
      <c r="KD5" s="18">
        <f>'DevSpend'!KD$34+'DevSpend'!KD$35+'DevSpend'!KD$38+IF(287=MS_Initial_Closing_Start,OpReserve,0)</f>
        <v/>
      </c>
      <c r="KE5" s="18">
        <f>'DevSpend'!KE$34+'DevSpend'!KE$35+'DevSpend'!KE$38+IF(288=MS_Initial_Closing_Start,OpReserve,0)</f>
        <v/>
      </c>
      <c r="KF5" s="18">
        <f>'DevSpend'!KF$34+'DevSpend'!KF$35+'DevSpend'!KF$38+IF(289=MS_Initial_Closing_Start,OpReserve,0)</f>
        <v/>
      </c>
      <c r="KG5" s="18">
        <f>'DevSpend'!KG$34+'DevSpend'!KG$35+'DevSpend'!KG$38+IF(290=MS_Initial_Closing_Start,OpReserve,0)</f>
        <v/>
      </c>
      <c r="KH5" s="18">
        <f>'DevSpend'!KH$34+'DevSpend'!KH$35+'DevSpend'!KH$38+IF(291=MS_Initial_Closing_Start,OpReserve,0)</f>
        <v/>
      </c>
      <c r="KI5" s="18">
        <f>'DevSpend'!KI$34+'DevSpend'!KI$35+'DevSpend'!KI$38+IF(292=MS_Initial_Closing_Start,OpReserve,0)</f>
        <v/>
      </c>
      <c r="KJ5" s="18">
        <f>'DevSpend'!KJ$34+'DevSpend'!KJ$35+'DevSpend'!KJ$38+IF(293=MS_Initial_Closing_Start,OpReserve,0)</f>
        <v/>
      </c>
      <c r="KK5" s="18">
        <f>'DevSpend'!KK$34+'DevSpend'!KK$35+'DevSpend'!KK$38+IF(294=MS_Initial_Closing_Start,OpReserve,0)</f>
        <v/>
      </c>
      <c r="KL5" s="18">
        <f>'DevSpend'!KL$34+'DevSpend'!KL$35+'DevSpend'!KL$38+IF(295=MS_Initial_Closing_Start,OpReserve,0)</f>
        <v/>
      </c>
      <c r="KM5" s="18">
        <f>'DevSpend'!KM$34+'DevSpend'!KM$35+'DevSpend'!KM$38+IF(296=MS_Initial_Closing_Start,OpReserve,0)</f>
        <v/>
      </c>
      <c r="KN5" s="18">
        <f>'DevSpend'!KN$34+'DevSpend'!KN$35+'DevSpend'!KN$38+IF(297=MS_Initial_Closing_Start,OpReserve,0)</f>
        <v/>
      </c>
      <c r="KO5" s="18">
        <f>'DevSpend'!KO$34+'DevSpend'!KO$35+'DevSpend'!KO$38+IF(298=MS_Initial_Closing_Start,OpReserve,0)</f>
        <v/>
      </c>
      <c r="KP5" s="18">
        <f>'DevSpend'!KP$34+'DevSpend'!KP$35+'DevSpend'!KP$38+IF(299=MS_Initial_Closing_Start,OpReserve,0)</f>
        <v/>
      </c>
      <c r="KQ5" s="18">
        <f>'DevSpend'!KQ$34+'DevSpend'!KQ$35+'DevSpend'!KQ$38+IF(300=MS_Initial_Closing_Start,OpReserve,0)</f>
        <v/>
      </c>
      <c r="KR5" s="18">
        <f>'DevSpend'!KR$34+'DevSpend'!KR$35+'DevSpend'!KR$38+IF(301=MS_Initial_Closing_Start,OpReserve,0)</f>
        <v/>
      </c>
      <c r="KS5" s="18">
        <f>'DevSpend'!KS$34+'DevSpend'!KS$35+'DevSpend'!KS$38+IF(302=MS_Initial_Closing_Start,OpReserve,0)</f>
        <v/>
      </c>
      <c r="KT5" s="18">
        <f>'DevSpend'!KT$34+'DevSpend'!KT$35+'DevSpend'!KT$38+IF(303=MS_Initial_Closing_Start,OpReserve,0)</f>
        <v/>
      </c>
      <c r="KU5" s="18">
        <f>'DevSpend'!KU$34+'DevSpend'!KU$35+'DevSpend'!KU$38+IF(304=MS_Initial_Closing_Start,OpReserve,0)</f>
        <v/>
      </c>
      <c r="KV5" s="18">
        <f>'DevSpend'!KV$34+'DevSpend'!KV$35+'DevSpend'!KV$38+IF(305=MS_Initial_Closing_Start,OpReserve,0)</f>
        <v/>
      </c>
      <c r="KW5" s="18">
        <f>'DevSpend'!KW$34+'DevSpend'!KW$35+'DevSpend'!KW$38+IF(306=MS_Initial_Closing_Start,OpReserve,0)</f>
        <v/>
      </c>
      <c r="KX5" s="18">
        <f>'DevSpend'!KX$34+'DevSpend'!KX$35+'DevSpend'!KX$38+IF(307=MS_Initial_Closing_Start,OpReserve,0)</f>
        <v/>
      </c>
      <c r="KY5" s="18">
        <f>'DevSpend'!KY$34+'DevSpend'!KY$35+'DevSpend'!KY$38+IF(308=MS_Initial_Closing_Start,OpReserve,0)</f>
        <v/>
      </c>
      <c r="KZ5" s="18">
        <f>'DevSpend'!KZ$34+'DevSpend'!KZ$35+'DevSpend'!KZ$38+IF(309=MS_Initial_Closing_Start,OpReserve,0)</f>
        <v/>
      </c>
      <c r="LA5" s="18">
        <f>'DevSpend'!LA$34+'DevSpend'!LA$35+'DevSpend'!LA$38+IF(310=MS_Initial_Closing_Start,OpReserve,0)</f>
        <v/>
      </c>
      <c r="LB5" s="18">
        <f>'DevSpend'!LB$34+'DevSpend'!LB$35+'DevSpend'!LB$38+IF(311=MS_Initial_Closing_Start,OpReserve,0)</f>
        <v/>
      </c>
      <c r="LC5" s="18">
        <f>'DevSpend'!LC$34+'DevSpend'!LC$35+'DevSpend'!LC$38+IF(312=MS_Initial_Closing_Start,OpReserve,0)</f>
        <v/>
      </c>
      <c r="LD5" s="18">
        <f>'DevSpend'!LD$34+'DevSpend'!LD$35+'DevSpend'!LD$38+IF(313=MS_Initial_Closing_Start,OpReserve,0)</f>
        <v/>
      </c>
      <c r="LE5" s="18">
        <f>'DevSpend'!LE$34+'DevSpend'!LE$35+'DevSpend'!LE$38+IF(314=MS_Initial_Closing_Start,OpReserve,0)</f>
        <v/>
      </c>
      <c r="LF5" s="18">
        <f>'DevSpend'!LF$34+'DevSpend'!LF$35+'DevSpend'!LF$38+IF(315=MS_Initial_Closing_Start,OpReserve,0)</f>
        <v/>
      </c>
      <c r="LG5" s="18">
        <f>'DevSpend'!LG$34+'DevSpend'!LG$35+'DevSpend'!LG$38+IF(316=MS_Initial_Closing_Start,OpReserve,0)</f>
        <v/>
      </c>
      <c r="LH5" s="18">
        <f>'DevSpend'!LH$34+'DevSpend'!LH$35+'DevSpend'!LH$38+IF(317=MS_Initial_Closing_Start,OpReserve,0)</f>
        <v/>
      </c>
      <c r="LI5" s="18">
        <f>'DevSpend'!LI$34+'DevSpend'!LI$35+'DevSpend'!LI$38+IF(318=MS_Initial_Closing_Start,OpReserve,0)</f>
        <v/>
      </c>
      <c r="LJ5" s="18">
        <f>'DevSpend'!LJ$34+'DevSpend'!LJ$35+'DevSpend'!LJ$38+IF(319=MS_Initial_Closing_Start,OpReserve,0)</f>
        <v/>
      </c>
      <c r="LK5" s="18">
        <f>'DevSpend'!LK$34+'DevSpend'!LK$35+'DevSpend'!LK$38+IF(320=MS_Initial_Closing_Start,OpReserve,0)</f>
        <v/>
      </c>
      <c r="LL5" s="18">
        <f>'DevSpend'!LL$34+'DevSpend'!LL$35+'DevSpend'!LL$38+IF(321=MS_Initial_Closing_Start,OpReserve,0)</f>
        <v/>
      </c>
      <c r="LM5" s="18">
        <f>'DevSpend'!LM$34+'DevSpend'!LM$35+'DevSpend'!LM$38+IF(322=MS_Initial_Closing_Start,OpReserve,0)</f>
        <v/>
      </c>
      <c r="LN5" s="18">
        <f>'DevSpend'!LN$34+'DevSpend'!LN$35+'DevSpend'!LN$38+IF(323=MS_Initial_Closing_Start,OpReserve,0)</f>
        <v/>
      </c>
      <c r="LO5" s="18">
        <f>'DevSpend'!LO$34+'DevSpend'!LO$35+'DevSpend'!LO$38+IF(324=MS_Initial_Closing_Start,OpReserve,0)</f>
        <v/>
      </c>
      <c r="LP5" s="18">
        <f>'DevSpend'!LP$34+'DevSpend'!LP$35+'DevSpend'!LP$38+IF(325=MS_Initial_Closing_Start,OpReserve,0)</f>
        <v/>
      </c>
      <c r="LQ5" s="18">
        <f>'DevSpend'!LQ$34+'DevSpend'!LQ$35+'DevSpend'!LQ$38+IF(326=MS_Initial_Closing_Start,OpReserve,0)</f>
        <v/>
      </c>
      <c r="LR5" s="18">
        <f>'DevSpend'!LR$34+'DevSpend'!LR$35+'DevSpend'!LR$38+IF(327=MS_Initial_Closing_Start,OpReserve,0)</f>
        <v/>
      </c>
      <c r="LS5" s="18">
        <f>'DevSpend'!LS$34+'DevSpend'!LS$35+'DevSpend'!LS$38+IF(328=MS_Initial_Closing_Start,OpReserve,0)</f>
        <v/>
      </c>
      <c r="LT5" s="18">
        <f>'DevSpend'!LT$34+'DevSpend'!LT$35+'DevSpend'!LT$38+IF(329=MS_Initial_Closing_Start,OpReserve,0)</f>
        <v/>
      </c>
      <c r="LU5" s="18">
        <f>'DevSpend'!LU$34+'DevSpend'!LU$35+'DevSpend'!LU$38+IF(330=MS_Initial_Closing_Start,OpReserve,0)</f>
        <v/>
      </c>
      <c r="LV5" s="18">
        <f>'DevSpend'!LV$34+'DevSpend'!LV$35+'DevSpend'!LV$38+IF(331=MS_Initial_Closing_Start,OpReserve,0)</f>
        <v/>
      </c>
      <c r="LW5" s="18">
        <f>'DevSpend'!LW$34+'DevSpend'!LW$35+'DevSpend'!LW$38+IF(332=MS_Initial_Closing_Start,OpReserve,0)</f>
        <v/>
      </c>
      <c r="LX5" s="18">
        <f>'DevSpend'!LX$34+'DevSpend'!LX$35+'DevSpend'!LX$38+IF(333=MS_Initial_Closing_Start,OpReserve,0)</f>
        <v/>
      </c>
      <c r="LY5" s="18">
        <f>'DevSpend'!LY$34+'DevSpend'!LY$35+'DevSpend'!LY$38+IF(334=MS_Initial_Closing_Start,OpReserve,0)</f>
        <v/>
      </c>
      <c r="LZ5" s="18">
        <f>'DevSpend'!LZ$34+'DevSpend'!LZ$35+'DevSpend'!LZ$38+IF(335=MS_Initial_Closing_Start,OpReserve,0)</f>
        <v/>
      </c>
      <c r="MA5" s="18">
        <f>'DevSpend'!MA$34+'DevSpend'!MA$35+'DevSpend'!MA$38+IF(336=MS_Initial_Closing_Start,OpReserve,0)</f>
        <v/>
      </c>
      <c r="MB5" s="18">
        <f>'DevSpend'!MB$34+'DevSpend'!MB$35+'DevSpend'!MB$38+IF(337=MS_Initial_Closing_Start,OpReserve,0)</f>
        <v/>
      </c>
      <c r="MC5" s="18">
        <f>'DevSpend'!MC$34+'DevSpend'!MC$35+'DevSpend'!MC$38+IF(338=MS_Initial_Closing_Start,OpReserve,0)</f>
        <v/>
      </c>
      <c r="MD5" s="18">
        <f>'DevSpend'!MD$34+'DevSpend'!MD$35+'DevSpend'!MD$38+IF(339=MS_Initial_Closing_Start,OpReserve,0)</f>
        <v/>
      </c>
      <c r="ME5" s="18">
        <f>'DevSpend'!ME$34+'DevSpend'!ME$35+'DevSpend'!ME$38+IF(340=MS_Initial_Closing_Start,OpReserve,0)</f>
        <v/>
      </c>
      <c r="MF5" s="18">
        <f>'DevSpend'!MF$34+'DevSpend'!MF$35+'DevSpend'!MF$38+IF(341=MS_Initial_Closing_Start,OpReserve,0)</f>
        <v/>
      </c>
      <c r="MG5" s="18">
        <f>'DevSpend'!MG$34+'DevSpend'!MG$35+'DevSpend'!MG$38+IF(342=MS_Initial_Closing_Start,OpReserve,0)</f>
        <v/>
      </c>
      <c r="MH5" s="18">
        <f>'DevSpend'!MH$34+'DevSpend'!MH$35+'DevSpend'!MH$38+IF(343=MS_Initial_Closing_Start,OpReserve,0)</f>
        <v/>
      </c>
      <c r="MI5" s="18">
        <f>'DevSpend'!MI$34+'DevSpend'!MI$35+'DevSpend'!MI$38+IF(344=MS_Initial_Closing_Start,OpReserve,0)</f>
        <v/>
      </c>
      <c r="MJ5" s="18">
        <f>'DevSpend'!MJ$34+'DevSpend'!MJ$35+'DevSpend'!MJ$38+IF(345=MS_Initial_Closing_Start,OpReserve,0)</f>
        <v/>
      </c>
      <c r="MK5" s="18">
        <f>'DevSpend'!MK$34+'DevSpend'!MK$35+'DevSpend'!MK$38+IF(346=MS_Initial_Closing_Start,OpReserve,0)</f>
        <v/>
      </c>
      <c r="ML5" s="18">
        <f>'DevSpend'!ML$34+'DevSpend'!ML$35+'DevSpend'!ML$38+IF(347=MS_Initial_Closing_Start,OpReserve,0)</f>
        <v/>
      </c>
      <c r="MM5" s="18">
        <f>'DevSpend'!MM$34+'DevSpend'!MM$35+'DevSpend'!MM$38+IF(348=MS_Initial_Closing_Start,OpReserve,0)</f>
        <v/>
      </c>
      <c r="MN5" s="18">
        <f>'DevSpend'!MN$34+'DevSpend'!MN$35+'DevSpend'!MN$38+IF(349=MS_Initial_Closing_Start,OpReserve,0)</f>
        <v/>
      </c>
      <c r="MO5" s="18">
        <f>'DevSpend'!MO$34+'DevSpend'!MO$35+'DevSpend'!MO$38+IF(350=MS_Initial_Closing_Start,OpReserve,0)</f>
        <v/>
      </c>
      <c r="MP5" s="18">
        <f>'DevSpend'!MP$34+'DevSpend'!MP$35+'DevSpend'!MP$38+IF(351=MS_Initial_Closing_Start,OpReserve,0)</f>
        <v/>
      </c>
      <c r="MQ5" s="18">
        <f>'DevSpend'!MQ$34+'DevSpend'!MQ$35+'DevSpend'!MQ$38+IF(352=MS_Initial_Closing_Start,OpReserve,0)</f>
        <v/>
      </c>
      <c r="MR5" s="18">
        <f>'DevSpend'!MR$34+'DevSpend'!MR$35+'DevSpend'!MR$38+IF(353=MS_Initial_Closing_Start,OpReserve,0)</f>
        <v/>
      </c>
      <c r="MS5" s="18">
        <f>'DevSpend'!MS$34+'DevSpend'!MS$35+'DevSpend'!MS$38+IF(354=MS_Initial_Closing_Start,OpReserve,0)</f>
        <v/>
      </c>
      <c r="MT5" s="18">
        <f>'DevSpend'!MT$34+'DevSpend'!MT$35+'DevSpend'!MT$38+IF(355=MS_Initial_Closing_Start,OpReserve,0)</f>
        <v/>
      </c>
      <c r="MU5" s="18">
        <f>'DevSpend'!MU$34+'DevSpend'!MU$35+'DevSpend'!MU$38+IF(356=MS_Initial_Closing_Start,OpReserve,0)</f>
        <v/>
      </c>
      <c r="MV5" s="18">
        <f>'DevSpend'!MV$34+'DevSpend'!MV$35+'DevSpend'!MV$38+IF(357=MS_Initial_Closing_Start,OpReserve,0)</f>
        <v/>
      </c>
      <c r="MW5" s="18">
        <f>'DevSpend'!MW$34+'DevSpend'!MW$35+'DevSpend'!MW$38+IF(358=MS_Initial_Closing_Start,OpReserve,0)</f>
        <v/>
      </c>
      <c r="MX5" s="18">
        <f>'DevSpend'!MX$34+'DevSpend'!MX$35+'DevSpend'!MX$38+IF(359=MS_Initial_Closing_Start,OpReserve,0)</f>
        <v/>
      </c>
      <c r="MY5" s="18">
        <f>'DevSpend'!MY$34+'DevSpend'!MY$35+'DevSpend'!MY$38+IF(360=MS_Initial_Closing_Start,OpReserve,0)</f>
        <v/>
      </c>
      <c r="MZ5" s="18">
        <f>'DevSpend'!MZ$34+'DevSpend'!MZ$35+'DevSpend'!MZ$38+IF(361=MS_Initial_Closing_Start,OpReserve,0)</f>
        <v/>
      </c>
      <c r="NA5" s="18">
        <f>'DevSpend'!NA$34+'DevSpend'!NA$35+'DevSpend'!NA$38+IF(362=MS_Initial_Closing_Start,OpReserve,0)</f>
        <v/>
      </c>
      <c r="NB5" s="18">
        <f>'DevSpend'!NB$34+'DevSpend'!NB$35+'DevSpend'!NB$38+IF(363=MS_Initial_Closing_Start,OpReserve,0)</f>
        <v/>
      </c>
      <c r="NC5" s="18">
        <f>'DevSpend'!NC$34+'DevSpend'!NC$35+'DevSpend'!NC$38+IF(364=MS_Initial_Closing_Start,OpReserve,0)</f>
        <v/>
      </c>
      <c r="ND5" s="18">
        <f>'DevSpend'!ND$34+'DevSpend'!ND$35+'DevSpend'!ND$38+IF(365=MS_Initial_Closing_Start,OpReserve,0)</f>
        <v/>
      </c>
      <c r="NE5" s="18">
        <f>'DevSpend'!NE$34+'DevSpend'!NE$35+'DevSpend'!NE$38+IF(366=MS_Initial_Closing_Start,OpReserve,0)</f>
        <v/>
      </c>
      <c r="NF5" s="18">
        <f>'DevSpend'!NF$34+'DevSpend'!NF$35+'DevSpend'!NF$38+IF(367=MS_Initial_Closing_Start,OpReserve,0)</f>
        <v/>
      </c>
      <c r="NG5" s="18">
        <f>'DevSpend'!NG$34+'DevSpend'!NG$35+'DevSpend'!NG$38+IF(368=MS_Initial_Closing_Start,OpReserve,0)</f>
        <v/>
      </c>
      <c r="NH5" s="18">
        <f>'DevSpend'!NH$34+'DevSpend'!NH$35+'DevSpend'!NH$38+IF(369=MS_Initial_Closing_Start,OpReserve,0)</f>
        <v/>
      </c>
      <c r="NI5" s="18">
        <f>'DevSpend'!NI$34+'DevSpend'!NI$35+'DevSpend'!NI$38+IF(370=MS_Initial_Closing_Start,OpReserve,0)</f>
        <v/>
      </c>
      <c r="NJ5" s="18">
        <f>'DevSpend'!NJ$34+'DevSpend'!NJ$35+'DevSpend'!NJ$38+IF(371=MS_Initial_Closing_Start,OpReserve,0)</f>
        <v/>
      </c>
      <c r="NK5" s="18">
        <f>'DevSpend'!NK$34+'DevSpend'!NK$35+'DevSpend'!NK$38+IF(372=MS_Initial_Closing_Start,OpReserve,0)</f>
        <v/>
      </c>
    </row>
    <row r="6">
      <c r="A6" s="21" t="inlineStr">
        <is>
          <t>Levered Cash Flow (to equity)</t>
        </is>
      </c>
      <c r="C6" s="41">
        <f>SUM(D6:NK6)</f>
        <v/>
      </c>
      <c r="D6" s="43">
        <f>-'ConLoan'!D$27+IF('Timeline'!D$41=1,'Operating'!D$42-'PermLoan'!D$29,0)+IF(1=StabMonth,OpReserve,0)+IF(1=RefiMonth,RefiCashOut,0)+IF(1=DispoMonth,NetSale,0)</f>
        <v/>
      </c>
      <c r="E6" s="43">
        <f>-'ConLoan'!E$27+IF('Timeline'!E$41=1,'Operating'!E$42-'PermLoan'!E$29,0)+IF(2=StabMonth,OpReserve,0)+IF(2=RefiMonth,RefiCashOut,0)+IF(2=DispoMonth,NetSale,0)</f>
        <v/>
      </c>
      <c r="F6" s="43">
        <f>-'ConLoan'!F$27+IF('Timeline'!F$41=1,'Operating'!F$42-'PermLoan'!F$29,0)+IF(3=StabMonth,OpReserve,0)+IF(3=RefiMonth,RefiCashOut,0)+IF(3=DispoMonth,NetSale,0)</f>
        <v/>
      </c>
      <c r="G6" s="43">
        <f>-'ConLoan'!G$27+IF('Timeline'!G$41=1,'Operating'!G$42-'PermLoan'!G$29,0)+IF(4=StabMonth,OpReserve,0)+IF(4=RefiMonth,RefiCashOut,0)+IF(4=DispoMonth,NetSale,0)</f>
        <v/>
      </c>
      <c r="H6" s="43">
        <f>-'ConLoan'!H$27+IF('Timeline'!H$41=1,'Operating'!H$42-'PermLoan'!H$29,0)+IF(5=StabMonth,OpReserve,0)+IF(5=RefiMonth,RefiCashOut,0)+IF(5=DispoMonth,NetSale,0)</f>
        <v/>
      </c>
      <c r="I6" s="43">
        <f>-'ConLoan'!I$27+IF('Timeline'!I$41=1,'Operating'!I$42-'PermLoan'!I$29,0)+IF(6=StabMonth,OpReserve,0)+IF(6=RefiMonth,RefiCashOut,0)+IF(6=DispoMonth,NetSale,0)</f>
        <v/>
      </c>
      <c r="J6" s="43">
        <f>-'ConLoan'!J$27+IF('Timeline'!J$41=1,'Operating'!J$42-'PermLoan'!J$29,0)+IF(7=StabMonth,OpReserve,0)+IF(7=RefiMonth,RefiCashOut,0)+IF(7=DispoMonth,NetSale,0)</f>
        <v/>
      </c>
      <c r="K6" s="43">
        <f>-'ConLoan'!K$27+IF('Timeline'!K$41=1,'Operating'!K$42-'PermLoan'!K$29,0)+IF(8=StabMonth,OpReserve,0)+IF(8=RefiMonth,RefiCashOut,0)+IF(8=DispoMonth,NetSale,0)</f>
        <v/>
      </c>
      <c r="L6" s="43">
        <f>-'ConLoan'!L$27+IF('Timeline'!L$41=1,'Operating'!L$42-'PermLoan'!L$29,0)+IF(9=StabMonth,OpReserve,0)+IF(9=RefiMonth,RefiCashOut,0)+IF(9=DispoMonth,NetSale,0)</f>
        <v/>
      </c>
      <c r="M6" s="43">
        <f>-'ConLoan'!M$27+IF('Timeline'!M$41=1,'Operating'!M$42-'PermLoan'!M$29,0)+IF(10=StabMonth,OpReserve,0)+IF(10=RefiMonth,RefiCashOut,0)+IF(10=DispoMonth,NetSale,0)</f>
        <v/>
      </c>
      <c r="N6" s="43">
        <f>-'ConLoan'!N$27+IF('Timeline'!N$41=1,'Operating'!N$42-'PermLoan'!N$29,0)+IF(11=StabMonth,OpReserve,0)+IF(11=RefiMonth,RefiCashOut,0)+IF(11=DispoMonth,NetSale,0)</f>
        <v/>
      </c>
      <c r="O6" s="43">
        <f>-'ConLoan'!O$27+IF('Timeline'!O$41=1,'Operating'!O$42-'PermLoan'!O$29,0)+IF(12=StabMonth,OpReserve,0)+IF(12=RefiMonth,RefiCashOut,0)+IF(12=DispoMonth,NetSale,0)</f>
        <v/>
      </c>
      <c r="P6" s="43">
        <f>-'ConLoan'!P$27+IF('Timeline'!P$41=1,'Operating'!P$42-'PermLoan'!P$29,0)+IF(13=StabMonth,OpReserve,0)+IF(13=RefiMonth,RefiCashOut,0)+IF(13=DispoMonth,NetSale,0)</f>
        <v/>
      </c>
      <c r="Q6" s="43">
        <f>-'ConLoan'!Q$27+IF('Timeline'!Q$41=1,'Operating'!Q$42-'PermLoan'!Q$29,0)+IF(14=StabMonth,OpReserve,0)+IF(14=RefiMonth,RefiCashOut,0)+IF(14=DispoMonth,NetSale,0)</f>
        <v/>
      </c>
      <c r="R6" s="43">
        <f>-'ConLoan'!R$27+IF('Timeline'!R$41=1,'Operating'!R$42-'PermLoan'!R$29,0)+IF(15=StabMonth,OpReserve,0)+IF(15=RefiMonth,RefiCashOut,0)+IF(15=DispoMonth,NetSale,0)</f>
        <v/>
      </c>
      <c r="S6" s="43">
        <f>-'ConLoan'!S$27+IF('Timeline'!S$41=1,'Operating'!S$42-'PermLoan'!S$29,0)+IF(16=StabMonth,OpReserve,0)+IF(16=RefiMonth,RefiCashOut,0)+IF(16=DispoMonth,NetSale,0)</f>
        <v/>
      </c>
      <c r="T6" s="43">
        <f>-'ConLoan'!T$27+IF('Timeline'!T$41=1,'Operating'!T$42-'PermLoan'!T$29,0)+IF(17=StabMonth,OpReserve,0)+IF(17=RefiMonth,RefiCashOut,0)+IF(17=DispoMonth,NetSale,0)</f>
        <v/>
      </c>
      <c r="U6" s="43">
        <f>-'ConLoan'!U$27+IF('Timeline'!U$41=1,'Operating'!U$42-'PermLoan'!U$29,0)+IF(18=StabMonth,OpReserve,0)+IF(18=RefiMonth,RefiCashOut,0)+IF(18=DispoMonth,NetSale,0)</f>
        <v/>
      </c>
      <c r="V6" s="43">
        <f>-'ConLoan'!V$27+IF('Timeline'!V$41=1,'Operating'!V$42-'PermLoan'!V$29,0)+IF(19=StabMonth,OpReserve,0)+IF(19=RefiMonth,RefiCashOut,0)+IF(19=DispoMonth,NetSale,0)</f>
        <v/>
      </c>
      <c r="W6" s="43">
        <f>-'ConLoan'!W$27+IF('Timeline'!W$41=1,'Operating'!W$42-'PermLoan'!W$29,0)+IF(20=StabMonth,OpReserve,0)+IF(20=RefiMonth,RefiCashOut,0)+IF(20=DispoMonth,NetSale,0)</f>
        <v/>
      </c>
      <c r="X6" s="43">
        <f>-'ConLoan'!X$27+IF('Timeline'!X$41=1,'Operating'!X$42-'PermLoan'!X$29,0)+IF(21=StabMonth,OpReserve,0)+IF(21=RefiMonth,RefiCashOut,0)+IF(21=DispoMonth,NetSale,0)</f>
        <v/>
      </c>
      <c r="Y6" s="43">
        <f>-'ConLoan'!Y$27+IF('Timeline'!Y$41=1,'Operating'!Y$42-'PermLoan'!Y$29,0)+IF(22=StabMonth,OpReserve,0)+IF(22=RefiMonth,RefiCashOut,0)+IF(22=DispoMonth,NetSale,0)</f>
        <v/>
      </c>
      <c r="Z6" s="43">
        <f>-'ConLoan'!Z$27+IF('Timeline'!Z$41=1,'Operating'!Z$42-'PermLoan'!Z$29,0)+IF(23=StabMonth,OpReserve,0)+IF(23=RefiMonth,RefiCashOut,0)+IF(23=DispoMonth,NetSale,0)</f>
        <v/>
      </c>
      <c r="AA6" s="43">
        <f>-'ConLoan'!AA$27+IF('Timeline'!AA$41=1,'Operating'!AA$42-'PermLoan'!AA$29,0)+IF(24=StabMonth,OpReserve,0)+IF(24=RefiMonth,RefiCashOut,0)+IF(24=DispoMonth,NetSale,0)</f>
        <v/>
      </c>
      <c r="AB6" s="43">
        <f>-'ConLoan'!AB$27+IF('Timeline'!AB$41=1,'Operating'!AB$42-'PermLoan'!AB$29,0)+IF(25=StabMonth,OpReserve,0)+IF(25=RefiMonth,RefiCashOut,0)+IF(25=DispoMonth,NetSale,0)</f>
        <v/>
      </c>
      <c r="AC6" s="43">
        <f>-'ConLoan'!AC$27+IF('Timeline'!AC$41=1,'Operating'!AC$42-'PermLoan'!AC$29,0)+IF(26=StabMonth,OpReserve,0)+IF(26=RefiMonth,RefiCashOut,0)+IF(26=DispoMonth,NetSale,0)</f>
        <v/>
      </c>
      <c r="AD6" s="43">
        <f>-'ConLoan'!AD$27+IF('Timeline'!AD$41=1,'Operating'!AD$42-'PermLoan'!AD$29,0)+IF(27=StabMonth,OpReserve,0)+IF(27=RefiMonth,RefiCashOut,0)+IF(27=DispoMonth,NetSale,0)</f>
        <v/>
      </c>
      <c r="AE6" s="43">
        <f>-'ConLoan'!AE$27+IF('Timeline'!AE$41=1,'Operating'!AE$42-'PermLoan'!AE$29,0)+IF(28=StabMonth,OpReserve,0)+IF(28=RefiMonth,RefiCashOut,0)+IF(28=DispoMonth,NetSale,0)</f>
        <v/>
      </c>
      <c r="AF6" s="43">
        <f>-'ConLoan'!AF$27+IF('Timeline'!AF$41=1,'Operating'!AF$42-'PermLoan'!AF$29,0)+IF(29=StabMonth,OpReserve,0)+IF(29=RefiMonth,RefiCashOut,0)+IF(29=DispoMonth,NetSale,0)</f>
        <v/>
      </c>
      <c r="AG6" s="43">
        <f>-'ConLoan'!AG$27+IF('Timeline'!AG$41=1,'Operating'!AG$42-'PermLoan'!AG$29,0)+IF(30=StabMonth,OpReserve,0)+IF(30=RefiMonth,RefiCashOut,0)+IF(30=DispoMonth,NetSale,0)</f>
        <v/>
      </c>
      <c r="AH6" s="43">
        <f>-'ConLoan'!AH$27+IF('Timeline'!AH$41=1,'Operating'!AH$42-'PermLoan'!AH$29,0)+IF(31=StabMonth,OpReserve,0)+IF(31=RefiMonth,RefiCashOut,0)+IF(31=DispoMonth,NetSale,0)</f>
        <v/>
      </c>
      <c r="AI6" s="43">
        <f>-'ConLoan'!AI$27+IF('Timeline'!AI$41=1,'Operating'!AI$42-'PermLoan'!AI$29,0)+IF(32=StabMonth,OpReserve,0)+IF(32=RefiMonth,RefiCashOut,0)+IF(32=DispoMonth,NetSale,0)</f>
        <v/>
      </c>
      <c r="AJ6" s="43">
        <f>-'ConLoan'!AJ$27+IF('Timeline'!AJ$41=1,'Operating'!AJ$42-'PermLoan'!AJ$29,0)+IF(33=StabMonth,OpReserve,0)+IF(33=RefiMonth,RefiCashOut,0)+IF(33=DispoMonth,NetSale,0)</f>
        <v/>
      </c>
      <c r="AK6" s="43">
        <f>-'ConLoan'!AK$27+IF('Timeline'!AK$41=1,'Operating'!AK$42-'PermLoan'!AK$29,0)+IF(34=StabMonth,OpReserve,0)+IF(34=RefiMonth,RefiCashOut,0)+IF(34=DispoMonth,NetSale,0)</f>
        <v/>
      </c>
      <c r="AL6" s="43">
        <f>-'ConLoan'!AL$27+IF('Timeline'!AL$41=1,'Operating'!AL$42-'PermLoan'!AL$29,0)+IF(35=StabMonth,OpReserve,0)+IF(35=RefiMonth,RefiCashOut,0)+IF(35=DispoMonth,NetSale,0)</f>
        <v/>
      </c>
      <c r="AM6" s="43">
        <f>-'ConLoan'!AM$27+IF('Timeline'!AM$41=1,'Operating'!AM$42-'PermLoan'!AM$29,0)+IF(36=StabMonth,OpReserve,0)+IF(36=RefiMonth,RefiCashOut,0)+IF(36=DispoMonth,NetSale,0)</f>
        <v/>
      </c>
      <c r="AN6" s="43">
        <f>-'ConLoan'!AN$27+IF('Timeline'!AN$41=1,'Operating'!AN$42-'PermLoan'!AN$29,0)+IF(37=StabMonth,OpReserve,0)+IF(37=RefiMonth,RefiCashOut,0)+IF(37=DispoMonth,NetSale,0)</f>
        <v/>
      </c>
      <c r="AO6" s="43">
        <f>-'ConLoan'!AO$27+IF('Timeline'!AO$41=1,'Operating'!AO$42-'PermLoan'!AO$29,0)+IF(38=StabMonth,OpReserve,0)+IF(38=RefiMonth,RefiCashOut,0)+IF(38=DispoMonth,NetSale,0)</f>
        <v/>
      </c>
      <c r="AP6" s="43">
        <f>-'ConLoan'!AP$27+IF('Timeline'!AP$41=1,'Operating'!AP$42-'PermLoan'!AP$29,0)+IF(39=StabMonth,OpReserve,0)+IF(39=RefiMonth,RefiCashOut,0)+IF(39=DispoMonth,NetSale,0)</f>
        <v/>
      </c>
      <c r="AQ6" s="43">
        <f>-'ConLoan'!AQ$27+IF('Timeline'!AQ$41=1,'Operating'!AQ$42-'PermLoan'!AQ$29,0)+IF(40=StabMonth,OpReserve,0)+IF(40=RefiMonth,RefiCashOut,0)+IF(40=DispoMonth,NetSale,0)</f>
        <v/>
      </c>
      <c r="AR6" s="43">
        <f>-'ConLoan'!AR$27+IF('Timeline'!AR$41=1,'Operating'!AR$42-'PermLoan'!AR$29,0)+IF(41=StabMonth,OpReserve,0)+IF(41=RefiMonth,RefiCashOut,0)+IF(41=DispoMonth,NetSale,0)</f>
        <v/>
      </c>
      <c r="AS6" s="43">
        <f>-'ConLoan'!AS$27+IF('Timeline'!AS$41=1,'Operating'!AS$42-'PermLoan'!AS$29,0)+IF(42=StabMonth,OpReserve,0)+IF(42=RefiMonth,RefiCashOut,0)+IF(42=DispoMonth,NetSale,0)</f>
        <v/>
      </c>
      <c r="AT6" s="43">
        <f>-'ConLoan'!AT$27+IF('Timeline'!AT$41=1,'Operating'!AT$42-'PermLoan'!AT$29,0)+IF(43=StabMonth,OpReserve,0)+IF(43=RefiMonth,RefiCashOut,0)+IF(43=DispoMonth,NetSale,0)</f>
        <v/>
      </c>
      <c r="AU6" s="43">
        <f>-'ConLoan'!AU$27+IF('Timeline'!AU$41=1,'Operating'!AU$42-'PermLoan'!AU$29,0)+IF(44=StabMonth,OpReserve,0)+IF(44=RefiMonth,RefiCashOut,0)+IF(44=DispoMonth,NetSale,0)</f>
        <v/>
      </c>
      <c r="AV6" s="43">
        <f>-'ConLoan'!AV$27+IF('Timeline'!AV$41=1,'Operating'!AV$42-'PermLoan'!AV$29,0)+IF(45=StabMonth,OpReserve,0)+IF(45=RefiMonth,RefiCashOut,0)+IF(45=DispoMonth,NetSale,0)</f>
        <v/>
      </c>
      <c r="AW6" s="43">
        <f>-'ConLoan'!AW$27+IF('Timeline'!AW$41=1,'Operating'!AW$42-'PermLoan'!AW$29,0)+IF(46=StabMonth,OpReserve,0)+IF(46=RefiMonth,RefiCashOut,0)+IF(46=DispoMonth,NetSale,0)</f>
        <v/>
      </c>
      <c r="AX6" s="43">
        <f>-'ConLoan'!AX$27+IF('Timeline'!AX$41=1,'Operating'!AX$42-'PermLoan'!AX$29,0)+IF(47=StabMonth,OpReserve,0)+IF(47=RefiMonth,RefiCashOut,0)+IF(47=DispoMonth,NetSale,0)</f>
        <v/>
      </c>
      <c r="AY6" s="43">
        <f>-'ConLoan'!AY$27+IF('Timeline'!AY$41=1,'Operating'!AY$42-'PermLoan'!AY$29,0)+IF(48=StabMonth,OpReserve,0)+IF(48=RefiMonth,RefiCashOut,0)+IF(48=DispoMonth,NetSale,0)</f>
        <v/>
      </c>
      <c r="AZ6" s="43">
        <f>-'ConLoan'!AZ$27+IF('Timeline'!AZ$41=1,'Operating'!AZ$42-'PermLoan'!AZ$29,0)+IF(49=StabMonth,OpReserve,0)+IF(49=RefiMonth,RefiCashOut,0)+IF(49=DispoMonth,NetSale,0)</f>
        <v/>
      </c>
      <c r="BA6" s="43">
        <f>-'ConLoan'!BA$27+IF('Timeline'!BA$41=1,'Operating'!BA$42-'PermLoan'!BA$29,0)+IF(50=StabMonth,OpReserve,0)+IF(50=RefiMonth,RefiCashOut,0)+IF(50=DispoMonth,NetSale,0)</f>
        <v/>
      </c>
      <c r="BB6" s="43">
        <f>-'ConLoan'!BB$27+IF('Timeline'!BB$41=1,'Operating'!BB$42-'PermLoan'!BB$29,0)+IF(51=StabMonth,OpReserve,0)+IF(51=RefiMonth,RefiCashOut,0)+IF(51=DispoMonth,NetSale,0)</f>
        <v/>
      </c>
      <c r="BC6" s="43">
        <f>-'ConLoan'!BC$27+IF('Timeline'!BC$41=1,'Operating'!BC$42-'PermLoan'!BC$29,0)+IF(52=StabMonth,OpReserve,0)+IF(52=RefiMonth,RefiCashOut,0)+IF(52=DispoMonth,NetSale,0)</f>
        <v/>
      </c>
      <c r="BD6" s="43">
        <f>-'ConLoan'!BD$27+IF('Timeline'!BD$41=1,'Operating'!BD$42-'PermLoan'!BD$29,0)+IF(53=StabMonth,OpReserve,0)+IF(53=RefiMonth,RefiCashOut,0)+IF(53=DispoMonth,NetSale,0)</f>
        <v/>
      </c>
      <c r="BE6" s="43">
        <f>-'ConLoan'!BE$27+IF('Timeline'!BE$41=1,'Operating'!BE$42-'PermLoan'!BE$29,0)+IF(54=StabMonth,OpReserve,0)+IF(54=RefiMonth,RefiCashOut,0)+IF(54=DispoMonth,NetSale,0)</f>
        <v/>
      </c>
      <c r="BF6" s="43">
        <f>-'ConLoan'!BF$27+IF('Timeline'!BF$41=1,'Operating'!BF$42-'PermLoan'!BF$29,0)+IF(55=StabMonth,OpReserve,0)+IF(55=RefiMonth,RefiCashOut,0)+IF(55=DispoMonth,NetSale,0)</f>
        <v/>
      </c>
      <c r="BG6" s="43">
        <f>-'ConLoan'!BG$27+IF('Timeline'!BG$41=1,'Operating'!BG$42-'PermLoan'!BG$29,0)+IF(56=StabMonth,OpReserve,0)+IF(56=RefiMonth,RefiCashOut,0)+IF(56=DispoMonth,NetSale,0)</f>
        <v/>
      </c>
      <c r="BH6" s="43">
        <f>-'ConLoan'!BH$27+IF('Timeline'!BH$41=1,'Operating'!BH$42-'PermLoan'!BH$29,0)+IF(57=StabMonth,OpReserve,0)+IF(57=RefiMonth,RefiCashOut,0)+IF(57=DispoMonth,NetSale,0)</f>
        <v/>
      </c>
      <c r="BI6" s="43">
        <f>-'ConLoan'!BI$27+IF('Timeline'!BI$41=1,'Operating'!BI$42-'PermLoan'!BI$29,0)+IF(58=StabMonth,OpReserve,0)+IF(58=RefiMonth,RefiCashOut,0)+IF(58=DispoMonth,NetSale,0)</f>
        <v/>
      </c>
      <c r="BJ6" s="43">
        <f>-'ConLoan'!BJ$27+IF('Timeline'!BJ$41=1,'Operating'!BJ$42-'PermLoan'!BJ$29,0)+IF(59=StabMonth,OpReserve,0)+IF(59=RefiMonth,RefiCashOut,0)+IF(59=DispoMonth,NetSale,0)</f>
        <v/>
      </c>
      <c r="BK6" s="43">
        <f>-'ConLoan'!BK$27+IF('Timeline'!BK$41=1,'Operating'!BK$42-'PermLoan'!BK$29,0)+IF(60=StabMonth,OpReserve,0)+IF(60=RefiMonth,RefiCashOut,0)+IF(60=DispoMonth,NetSale,0)</f>
        <v/>
      </c>
      <c r="BL6" s="43">
        <f>-'ConLoan'!BL$27+IF('Timeline'!BL$41=1,'Operating'!BL$42-'PermLoan'!BL$29,0)+IF(61=StabMonth,OpReserve,0)+IF(61=RefiMonth,RefiCashOut,0)+IF(61=DispoMonth,NetSale,0)</f>
        <v/>
      </c>
      <c r="BM6" s="43">
        <f>-'ConLoan'!BM$27+IF('Timeline'!BM$41=1,'Operating'!BM$42-'PermLoan'!BM$29,0)+IF(62=StabMonth,OpReserve,0)+IF(62=RefiMonth,RefiCashOut,0)+IF(62=DispoMonth,NetSale,0)</f>
        <v/>
      </c>
      <c r="BN6" s="43">
        <f>-'ConLoan'!BN$27+IF('Timeline'!BN$41=1,'Operating'!BN$42-'PermLoan'!BN$29,0)+IF(63=StabMonth,OpReserve,0)+IF(63=RefiMonth,RefiCashOut,0)+IF(63=DispoMonth,NetSale,0)</f>
        <v/>
      </c>
      <c r="BO6" s="43">
        <f>-'ConLoan'!BO$27+IF('Timeline'!BO$41=1,'Operating'!BO$42-'PermLoan'!BO$29,0)+IF(64=StabMonth,OpReserve,0)+IF(64=RefiMonth,RefiCashOut,0)+IF(64=DispoMonth,NetSale,0)</f>
        <v/>
      </c>
      <c r="BP6" s="43">
        <f>-'ConLoan'!BP$27+IF('Timeline'!BP$41=1,'Operating'!BP$42-'PermLoan'!BP$29,0)+IF(65=StabMonth,OpReserve,0)+IF(65=RefiMonth,RefiCashOut,0)+IF(65=DispoMonth,NetSale,0)</f>
        <v/>
      </c>
      <c r="BQ6" s="43">
        <f>-'ConLoan'!BQ$27+IF('Timeline'!BQ$41=1,'Operating'!BQ$42-'PermLoan'!BQ$29,0)+IF(66=StabMonth,OpReserve,0)+IF(66=RefiMonth,RefiCashOut,0)+IF(66=DispoMonth,NetSale,0)</f>
        <v/>
      </c>
      <c r="BR6" s="43">
        <f>-'ConLoan'!BR$27+IF('Timeline'!BR$41=1,'Operating'!BR$42-'PermLoan'!BR$29,0)+IF(67=StabMonth,OpReserve,0)+IF(67=RefiMonth,RefiCashOut,0)+IF(67=DispoMonth,NetSale,0)</f>
        <v/>
      </c>
      <c r="BS6" s="43">
        <f>-'ConLoan'!BS$27+IF('Timeline'!BS$41=1,'Operating'!BS$42-'PermLoan'!BS$29,0)+IF(68=StabMonth,OpReserve,0)+IF(68=RefiMonth,RefiCashOut,0)+IF(68=DispoMonth,NetSale,0)</f>
        <v/>
      </c>
      <c r="BT6" s="43">
        <f>-'ConLoan'!BT$27+IF('Timeline'!BT$41=1,'Operating'!BT$42-'PermLoan'!BT$29,0)+IF(69=StabMonth,OpReserve,0)+IF(69=RefiMonth,RefiCashOut,0)+IF(69=DispoMonth,NetSale,0)</f>
        <v/>
      </c>
      <c r="BU6" s="43">
        <f>-'ConLoan'!BU$27+IF('Timeline'!BU$41=1,'Operating'!BU$42-'PermLoan'!BU$29,0)+IF(70=StabMonth,OpReserve,0)+IF(70=RefiMonth,RefiCashOut,0)+IF(70=DispoMonth,NetSale,0)</f>
        <v/>
      </c>
      <c r="BV6" s="43">
        <f>-'ConLoan'!BV$27+IF('Timeline'!BV$41=1,'Operating'!BV$42-'PermLoan'!BV$29,0)+IF(71=StabMonth,OpReserve,0)+IF(71=RefiMonth,RefiCashOut,0)+IF(71=DispoMonth,NetSale,0)</f>
        <v/>
      </c>
      <c r="BW6" s="43">
        <f>-'ConLoan'!BW$27+IF('Timeline'!BW$41=1,'Operating'!BW$42-'PermLoan'!BW$29,0)+IF(72=StabMonth,OpReserve,0)+IF(72=RefiMonth,RefiCashOut,0)+IF(72=DispoMonth,NetSale,0)</f>
        <v/>
      </c>
      <c r="BX6" s="43">
        <f>-'ConLoan'!BX$27+IF('Timeline'!BX$41=1,'Operating'!BX$42-'PermLoan'!BX$29,0)+IF(73=StabMonth,OpReserve,0)+IF(73=RefiMonth,RefiCashOut,0)+IF(73=DispoMonth,NetSale,0)</f>
        <v/>
      </c>
      <c r="BY6" s="43">
        <f>-'ConLoan'!BY$27+IF('Timeline'!BY$41=1,'Operating'!BY$42-'PermLoan'!BY$29,0)+IF(74=StabMonth,OpReserve,0)+IF(74=RefiMonth,RefiCashOut,0)+IF(74=DispoMonth,NetSale,0)</f>
        <v/>
      </c>
      <c r="BZ6" s="43">
        <f>-'ConLoan'!BZ$27+IF('Timeline'!BZ$41=1,'Operating'!BZ$42-'PermLoan'!BZ$29,0)+IF(75=StabMonth,OpReserve,0)+IF(75=RefiMonth,RefiCashOut,0)+IF(75=DispoMonth,NetSale,0)</f>
        <v/>
      </c>
      <c r="CA6" s="43">
        <f>-'ConLoan'!CA$27+IF('Timeline'!CA$41=1,'Operating'!CA$42-'PermLoan'!CA$29,0)+IF(76=StabMonth,OpReserve,0)+IF(76=RefiMonth,RefiCashOut,0)+IF(76=DispoMonth,NetSale,0)</f>
        <v/>
      </c>
      <c r="CB6" s="43">
        <f>-'ConLoan'!CB$27+IF('Timeline'!CB$41=1,'Operating'!CB$42-'PermLoan'!CB$29,0)+IF(77=StabMonth,OpReserve,0)+IF(77=RefiMonth,RefiCashOut,0)+IF(77=DispoMonth,NetSale,0)</f>
        <v/>
      </c>
      <c r="CC6" s="43">
        <f>-'ConLoan'!CC$27+IF('Timeline'!CC$41=1,'Operating'!CC$42-'PermLoan'!CC$29,0)+IF(78=StabMonth,OpReserve,0)+IF(78=RefiMonth,RefiCashOut,0)+IF(78=DispoMonth,NetSale,0)</f>
        <v/>
      </c>
      <c r="CD6" s="43">
        <f>-'ConLoan'!CD$27+IF('Timeline'!CD$41=1,'Operating'!CD$42-'PermLoan'!CD$29,0)+IF(79=StabMonth,OpReserve,0)+IF(79=RefiMonth,RefiCashOut,0)+IF(79=DispoMonth,NetSale,0)</f>
        <v/>
      </c>
      <c r="CE6" s="43">
        <f>-'ConLoan'!CE$27+IF('Timeline'!CE$41=1,'Operating'!CE$42-'PermLoan'!CE$29,0)+IF(80=StabMonth,OpReserve,0)+IF(80=RefiMonth,RefiCashOut,0)+IF(80=DispoMonth,NetSale,0)</f>
        <v/>
      </c>
      <c r="CF6" s="43">
        <f>-'ConLoan'!CF$27+IF('Timeline'!CF$41=1,'Operating'!CF$42-'PermLoan'!CF$29,0)+IF(81=StabMonth,OpReserve,0)+IF(81=RefiMonth,RefiCashOut,0)+IF(81=DispoMonth,NetSale,0)</f>
        <v/>
      </c>
      <c r="CG6" s="43">
        <f>-'ConLoan'!CG$27+IF('Timeline'!CG$41=1,'Operating'!CG$42-'PermLoan'!CG$29,0)+IF(82=StabMonth,OpReserve,0)+IF(82=RefiMonth,RefiCashOut,0)+IF(82=DispoMonth,NetSale,0)</f>
        <v/>
      </c>
      <c r="CH6" s="43">
        <f>-'ConLoan'!CH$27+IF('Timeline'!CH$41=1,'Operating'!CH$42-'PermLoan'!CH$29,0)+IF(83=StabMonth,OpReserve,0)+IF(83=RefiMonth,RefiCashOut,0)+IF(83=DispoMonth,NetSale,0)</f>
        <v/>
      </c>
      <c r="CI6" s="43">
        <f>-'ConLoan'!CI$27+IF('Timeline'!CI$41=1,'Operating'!CI$42-'PermLoan'!CI$29,0)+IF(84=StabMonth,OpReserve,0)+IF(84=RefiMonth,RefiCashOut,0)+IF(84=DispoMonth,NetSale,0)</f>
        <v/>
      </c>
      <c r="CJ6" s="43">
        <f>-'ConLoan'!CJ$27+IF('Timeline'!CJ$41=1,'Operating'!CJ$42-'PermLoan'!CJ$29,0)+IF(85=StabMonth,OpReserve,0)+IF(85=RefiMonth,RefiCashOut,0)+IF(85=DispoMonth,NetSale,0)</f>
        <v/>
      </c>
      <c r="CK6" s="43">
        <f>-'ConLoan'!CK$27+IF('Timeline'!CK$41=1,'Operating'!CK$42-'PermLoan'!CK$29,0)+IF(86=StabMonth,OpReserve,0)+IF(86=RefiMonth,RefiCashOut,0)+IF(86=DispoMonth,NetSale,0)</f>
        <v/>
      </c>
      <c r="CL6" s="43">
        <f>-'ConLoan'!CL$27+IF('Timeline'!CL$41=1,'Operating'!CL$42-'PermLoan'!CL$29,0)+IF(87=StabMonth,OpReserve,0)+IF(87=RefiMonth,RefiCashOut,0)+IF(87=DispoMonth,NetSale,0)</f>
        <v/>
      </c>
      <c r="CM6" s="43">
        <f>-'ConLoan'!CM$27+IF('Timeline'!CM$41=1,'Operating'!CM$42-'PermLoan'!CM$29,0)+IF(88=StabMonth,OpReserve,0)+IF(88=RefiMonth,RefiCashOut,0)+IF(88=DispoMonth,NetSale,0)</f>
        <v/>
      </c>
      <c r="CN6" s="43">
        <f>-'ConLoan'!CN$27+IF('Timeline'!CN$41=1,'Operating'!CN$42-'PermLoan'!CN$29,0)+IF(89=StabMonth,OpReserve,0)+IF(89=RefiMonth,RefiCashOut,0)+IF(89=DispoMonth,NetSale,0)</f>
        <v/>
      </c>
      <c r="CO6" s="43">
        <f>-'ConLoan'!CO$27+IF('Timeline'!CO$41=1,'Operating'!CO$42-'PermLoan'!CO$29,0)+IF(90=StabMonth,OpReserve,0)+IF(90=RefiMonth,RefiCashOut,0)+IF(90=DispoMonth,NetSale,0)</f>
        <v/>
      </c>
      <c r="CP6" s="43">
        <f>-'ConLoan'!CP$27+IF('Timeline'!CP$41=1,'Operating'!CP$42-'PermLoan'!CP$29,0)+IF(91=StabMonth,OpReserve,0)+IF(91=RefiMonth,RefiCashOut,0)+IF(91=DispoMonth,NetSale,0)</f>
        <v/>
      </c>
      <c r="CQ6" s="43">
        <f>-'ConLoan'!CQ$27+IF('Timeline'!CQ$41=1,'Operating'!CQ$42-'PermLoan'!CQ$29,0)+IF(92=StabMonth,OpReserve,0)+IF(92=RefiMonth,RefiCashOut,0)+IF(92=DispoMonth,NetSale,0)</f>
        <v/>
      </c>
      <c r="CR6" s="43">
        <f>-'ConLoan'!CR$27+IF('Timeline'!CR$41=1,'Operating'!CR$42-'PermLoan'!CR$29,0)+IF(93=StabMonth,OpReserve,0)+IF(93=RefiMonth,RefiCashOut,0)+IF(93=DispoMonth,NetSale,0)</f>
        <v/>
      </c>
      <c r="CS6" s="43">
        <f>-'ConLoan'!CS$27+IF('Timeline'!CS$41=1,'Operating'!CS$42-'PermLoan'!CS$29,0)+IF(94=StabMonth,OpReserve,0)+IF(94=RefiMonth,RefiCashOut,0)+IF(94=DispoMonth,NetSale,0)</f>
        <v/>
      </c>
      <c r="CT6" s="43">
        <f>-'ConLoan'!CT$27+IF('Timeline'!CT$41=1,'Operating'!CT$42-'PermLoan'!CT$29,0)+IF(95=StabMonth,OpReserve,0)+IF(95=RefiMonth,RefiCashOut,0)+IF(95=DispoMonth,NetSale,0)</f>
        <v/>
      </c>
      <c r="CU6" s="43">
        <f>-'ConLoan'!CU$27+IF('Timeline'!CU$41=1,'Operating'!CU$42-'PermLoan'!CU$29,0)+IF(96=StabMonth,OpReserve,0)+IF(96=RefiMonth,RefiCashOut,0)+IF(96=DispoMonth,NetSale,0)</f>
        <v/>
      </c>
      <c r="CV6" s="43">
        <f>-'ConLoan'!CV$27+IF('Timeline'!CV$41=1,'Operating'!CV$42-'PermLoan'!CV$29,0)+IF(97=StabMonth,OpReserve,0)+IF(97=RefiMonth,RefiCashOut,0)+IF(97=DispoMonth,NetSale,0)</f>
        <v/>
      </c>
      <c r="CW6" s="43">
        <f>-'ConLoan'!CW$27+IF('Timeline'!CW$41=1,'Operating'!CW$42-'PermLoan'!CW$29,0)+IF(98=StabMonth,OpReserve,0)+IF(98=RefiMonth,RefiCashOut,0)+IF(98=DispoMonth,NetSale,0)</f>
        <v/>
      </c>
      <c r="CX6" s="43">
        <f>-'ConLoan'!CX$27+IF('Timeline'!CX$41=1,'Operating'!CX$42-'PermLoan'!CX$29,0)+IF(99=StabMonth,OpReserve,0)+IF(99=RefiMonth,RefiCashOut,0)+IF(99=DispoMonth,NetSale,0)</f>
        <v/>
      </c>
      <c r="CY6" s="43">
        <f>-'ConLoan'!CY$27+IF('Timeline'!CY$41=1,'Operating'!CY$42-'PermLoan'!CY$29,0)+IF(100=StabMonth,OpReserve,0)+IF(100=RefiMonth,RefiCashOut,0)+IF(100=DispoMonth,NetSale,0)</f>
        <v/>
      </c>
      <c r="CZ6" s="43">
        <f>-'ConLoan'!CZ$27+IF('Timeline'!CZ$41=1,'Operating'!CZ$42-'PermLoan'!CZ$29,0)+IF(101=StabMonth,OpReserve,0)+IF(101=RefiMonth,RefiCashOut,0)+IF(101=DispoMonth,NetSale,0)</f>
        <v/>
      </c>
      <c r="DA6" s="43">
        <f>-'ConLoan'!DA$27+IF('Timeline'!DA$41=1,'Operating'!DA$42-'PermLoan'!DA$29,0)+IF(102=StabMonth,OpReserve,0)+IF(102=RefiMonth,RefiCashOut,0)+IF(102=DispoMonth,NetSale,0)</f>
        <v/>
      </c>
      <c r="DB6" s="43">
        <f>-'ConLoan'!DB$27+IF('Timeline'!DB$41=1,'Operating'!DB$42-'PermLoan'!DB$29,0)+IF(103=StabMonth,OpReserve,0)+IF(103=RefiMonth,RefiCashOut,0)+IF(103=DispoMonth,NetSale,0)</f>
        <v/>
      </c>
      <c r="DC6" s="43">
        <f>-'ConLoan'!DC$27+IF('Timeline'!DC$41=1,'Operating'!DC$42-'PermLoan'!DC$29,0)+IF(104=StabMonth,OpReserve,0)+IF(104=RefiMonth,RefiCashOut,0)+IF(104=DispoMonth,NetSale,0)</f>
        <v/>
      </c>
      <c r="DD6" s="43">
        <f>-'ConLoan'!DD$27+IF('Timeline'!DD$41=1,'Operating'!DD$42-'PermLoan'!DD$29,0)+IF(105=StabMonth,OpReserve,0)+IF(105=RefiMonth,RefiCashOut,0)+IF(105=DispoMonth,NetSale,0)</f>
        <v/>
      </c>
      <c r="DE6" s="43">
        <f>-'ConLoan'!DE$27+IF('Timeline'!DE$41=1,'Operating'!DE$42-'PermLoan'!DE$29,0)+IF(106=StabMonth,OpReserve,0)+IF(106=RefiMonth,RefiCashOut,0)+IF(106=DispoMonth,NetSale,0)</f>
        <v/>
      </c>
      <c r="DF6" s="43">
        <f>-'ConLoan'!DF$27+IF('Timeline'!DF$41=1,'Operating'!DF$42-'PermLoan'!DF$29,0)+IF(107=StabMonth,OpReserve,0)+IF(107=RefiMonth,RefiCashOut,0)+IF(107=DispoMonth,NetSale,0)</f>
        <v/>
      </c>
      <c r="DG6" s="43">
        <f>-'ConLoan'!DG$27+IF('Timeline'!DG$41=1,'Operating'!DG$42-'PermLoan'!DG$29,0)+IF(108=StabMonth,OpReserve,0)+IF(108=RefiMonth,RefiCashOut,0)+IF(108=DispoMonth,NetSale,0)</f>
        <v/>
      </c>
      <c r="DH6" s="43">
        <f>-'ConLoan'!DH$27+IF('Timeline'!DH$41=1,'Operating'!DH$42-'PermLoan'!DH$29,0)+IF(109=StabMonth,OpReserve,0)+IF(109=RefiMonth,RefiCashOut,0)+IF(109=DispoMonth,NetSale,0)</f>
        <v/>
      </c>
      <c r="DI6" s="43">
        <f>-'ConLoan'!DI$27+IF('Timeline'!DI$41=1,'Operating'!DI$42-'PermLoan'!DI$29,0)+IF(110=StabMonth,OpReserve,0)+IF(110=RefiMonth,RefiCashOut,0)+IF(110=DispoMonth,NetSale,0)</f>
        <v/>
      </c>
      <c r="DJ6" s="43">
        <f>-'ConLoan'!DJ$27+IF('Timeline'!DJ$41=1,'Operating'!DJ$42-'PermLoan'!DJ$29,0)+IF(111=StabMonth,OpReserve,0)+IF(111=RefiMonth,RefiCashOut,0)+IF(111=DispoMonth,NetSale,0)</f>
        <v/>
      </c>
      <c r="DK6" s="43">
        <f>-'ConLoan'!DK$27+IF('Timeline'!DK$41=1,'Operating'!DK$42-'PermLoan'!DK$29,0)+IF(112=StabMonth,OpReserve,0)+IF(112=RefiMonth,RefiCashOut,0)+IF(112=DispoMonth,NetSale,0)</f>
        <v/>
      </c>
      <c r="DL6" s="43">
        <f>-'ConLoan'!DL$27+IF('Timeline'!DL$41=1,'Operating'!DL$42-'PermLoan'!DL$29,0)+IF(113=StabMonth,OpReserve,0)+IF(113=RefiMonth,RefiCashOut,0)+IF(113=DispoMonth,NetSale,0)</f>
        <v/>
      </c>
      <c r="DM6" s="43">
        <f>-'ConLoan'!DM$27+IF('Timeline'!DM$41=1,'Operating'!DM$42-'PermLoan'!DM$29,0)+IF(114=StabMonth,OpReserve,0)+IF(114=RefiMonth,RefiCashOut,0)+IF(114=DispoMonth,NetSale,0)</f>
        <v/>
      </c>
      <c r="DN6" s="43">
        <f>-'ConLoan'!DN$27+IF('Timeline'!DN$41=1,'Operating'!DN$42-'PermLoan'!DN$29,0)+IF(115=StabMonth,OpReserve,0)+IF(115=RefiMonth,RefiCashOut,0)+IF(115=DispoMonth,NetSale,0)</f>
        <v/>
      </c>
      <c r="DO6" s="43">
        <f>-'ConLoan'!DO$27+IF('Timeline'!DO$41=1,'Operating'!DO$42-'PermLoan'!DO$29,0)+IF(116=StabMonth,OpReserve,0)+IF(116=RefiMonth,RefiCashOut,0)+IF(116=DispoMonth,NetSale,0)</f>
        <v/>
      </c>
      <c r="DP6" s="43">
        <f>-'ConLoan'!DP$27+IF('Timeline'!DP$41=1,'Operating'!DP$42-'PermLoan'!DP$29,0)+IF(117=StabMonth,OpReserve,0)+IF(117=RefiMonth,RefiCashOut,0)+IF(117=DispoMonth,NetSale,0)</f>
        <v/>
      </c>
      <c r="DQ6" s="43">
        <f>-'ConLoan'!DQ$27+IF('Timeline'!DQ$41=1,'Operating'!DQ$42-'PermLoan'!DQ$29,0)+IF(118=StabMonth,OpReserve,0)+IF(118=RefiMonth,RefiCashOut,0)+IF(118=DispoMonth,NetSale,0)</f>
        <v/>
      </c>
      <c r="DR6" s="43">
        <f>-'ConLoan'!DR$27+IF('Timeline'!DR$41=1,'Operating'!DR$42-'PermLoan'!DR$29,0)+IF(119=StabMonth,OpReserve,0)+IF(119=RefiMonth,RefiCashOut,0)+IF(119=DispoMonth,NetSale,0)</f>
        <v/>
      </c>
      <c r="DS6" s="43">
        <f>-'ConLoan'!DS$27+IF('Timeline'!DS$41=1,'Operating'!DS$42-'PermLoan'!DS$29,0)+IF(120=StabMonth,OpReserve,0)+IF(120=RefiMonth,RefiCashOut,0)+IF(120=DispoMonth,NetSale,0)</f>
        <v/>
      </c>
      <c r="DT6" s="43">
        <f>-'ConLoan'!DT$27+IF('Timeline'!DT$41=1,'Operating'!DT$42-'PermLoan'!DT$29,0)+IF(121=StabMonth,OpReserve,0)+IF(121=RefiMonth,RefiCashOut,0)+IF(121=DispoMonth,NetSale,0)</f>
        <v/>
      </c>
      <c r="DU6" s="43">
        <f>-'ConLoan'!DU$27+IF('Timeline'!DU$41=1,'Operating'!DU$42-'PermLoan'!DU$29,0)+IF(122=StabMonth,OpReserve,0)+IF(122=RefiMonth,RefiCashOut,0)+IF(122=DispoMonth,NetSale,0)</f>
        <v/>
      </c>
      <c r="DV6" s="43">
        <f>-'ConLoan'!DV$27+IF('Timeline'!DV$41=1,'Operating'!DV$42-'PermLoan'!DV$29,0)+IF(123=StabMonth,OpReserve,0)+IF(123=RefiMonth,RefiCashOut,0)+IF(123=DispoMonth,NetSale,0)</f>
        <v/>
      </c>
      <c r="DW6" s="43">
        <f>-'ConLoan'!DW$27+IF('Timeline'!DW$41=1,'Operating'!DW$42-'PermLoan'!DW$29,0)+IF(124=StabMonth,OpReserve,0)+IF(124=RefiMonth,RefiCashOut,0)+IF(124=DispoMonth,NetSale,0)</f>
        <v/>
      </c>
      <c r="DX6" s="43">
        <f>-'ConLoan'!DX$27+IF('Timeline'!DX$41=1,'Operating'!DX$42-'PermLoan'!DX$29,0)+IF(125=StabMonth,OpReserve,0)+IF(125=RefiMonth,RefiCashOut,0)+IF(125=DispoMonth,NetSale,0)</f>
        <v/>
      </c>
      <c r="DY6" s="43">
        <f>-'ConLoan'!DY$27+IF('Timeline'!DY$41=1,'Operating'!DY$42-'PermLoan'!DY$29,0)+IF(126=StabMonth,OpReserve,0)+IF(126=RefiMonth,RefiCashOut,0)+IF(126=DispoMonth,NetSale,0)</f>
        <v/>
      </c>
      <c r="DZ6" s="43">
        <f>-'ConLoan'!DZ$27+IF('Timeline'!DZ$41=1,'Operating'!DZ$42-'PermLoan'!DZ$29,0)+IF(127=StabMonth,OpReserve,0)+IF(127=RefiMonth,RefiCashOut,0)+IF(127=DispoMonth,NetSale,0)</f>
        <v/>
      </c>
      <c r="EA6" s="43">
        <f>-'ConLoan'!EA$27+IF('Timeline'!EA$41=1,'Operating'!EA$42-'PermLoan'!EA$29,0)+IF(128=StabMonth,OpReserve,0)+IF(128=RefiMonth,RefiCashOut,0)+IF(128=DispoMonth,NetSale,0)</f>
        <v/>
      </c>
      <c r="EB6" s="43">
        <f>-'ConLoan'!EB$27+IF('Timeline'!EB$41=1,'Operating'!EB$42-'PermLoan'!EB$29,0)+IF(129=StabMonth,OpReserve,0)+IF(129=RefiMonth,RefiCashOut,0)+IF(129=DispoMonth,NetSale,0)</f>
        <v/>
      </c>
      <c r="EC6" s="43">
        <f>-'ConLoan'!EC$27+IF('Timeline'!EC$41=1,'Operating'!EC$42-'PermLoan'!EC$29,0)+IF(130=StabMonth,OpReserve,0)+IF(130=RefiMonth,RefiCashOut,0)+IF(130=DispoMonth,NetSale,0)</f>
        <v/>
      </c>
      <c r="ED6" s="43">
        <f>-'ConLoan'!ED$27+IF('Timeline'!ED$41=1,'Operating'!ED$42-'PermLoan'!ED$29,0)+IF(131=StabMonth,OpReserve,0)+IF(131=RefiMonth,RefiCashOut,0)+IF(131=DispoMonth,NetSale,0)</f>
        <v/>
      </c>
      <c r="EE6" s="43">
        <f>-'ConLoan'!EE$27+IF('Timeline'!EE$41=1,'Operating'!EE$42-'PermLoan'!EE$29,0)+IF(132=StabMonth,OpReserve,0)+IF(132=RefiMonth,RefiCashOut,0)+IF(132=DispoMonth,NetSale,0)</f>
        <v/>
      </c>
      <c r="EF6" s="43">
        <f>-'ConLoan'!EF$27+IF('Timeline'!EF$41=1,'Operating'!EF$42-'PermLoan'!EF$29,0)+IF(133=StabMonth,OpReserve,0)+IF(133=RefiMonth,RefiCashOut,0)+IF(133=DispoMonth,NetSale,0)</f>
        <v/>
      </c>
      <c r="EG6" s="43">
        <f>-'ConLoan'!EG$27+IF('Timeline'!EG$41=1,'Operating'!EG$42-'PermLoan'!EG$29,0)+IF(134=StabMonth,OpReserve,0)+IF(134=RefiMonth,RefiCashOut,0)+IF(134=DispoMonth,NetSale,0)</f>
        <v/>
      </c>
      <c r="EH6" s="43">
        <f>-'ConLoan'!EH$27+IF('Timeline'!EH$41=1,'Operating'!EH$42-'PermLoan'!EH$29,0)+IF(135=StabMonth,OpReserve,0)+IF(135=RefiMonth,RefiCashOut,0)+IF(135=DispoMonth,NetSale,0)</f>
        <v/>
      </c>
      <c r="EI6" s="43">
        <f>-'ConLoan'!EI$27+IF('Timeline'!EI$41=1,'Operating'!EI$42-'PermLoan'!EI$29,0)+IF(136=StabMonth,OpReserve,0)+IF(136=RefiMonth,RefiCashOut,0)+IF(136=DispoMonth,NetSale,0)</f>
        <v/>
      </c>
      <c r="EJ6" s="43">
        <f>-'ConLoan'!EJ$27+IF('Timeline'!EJ$41=1,'Operating'!EJ$42-'PermLoan'!EJ$29,0)+IF(137=StabMonth,OpReserve,0)+IF(137=RefiMonth,RefiCashOut,0)+IF(137=DispoMonth,NetSale,0)</f>
        <v/>
      </c>
      <c r="EK6" s="43">
        <f>-'ConLoan'!EK$27+IF('Timeline'!EK$41=1,'Operating'!EK$42-'PermLoan'!EK$29,0)+IF(138=StabMonth,OpReserve,0)+IF(138=RefiMonth,RefiCashOut,0)+IF(138=DispoMonth,NetSale,0)</f>
        <v/>
      </c>
      <c r="EL6" s="43">
        <f>-'ConLoan'!EL$27+IF('Timeline'!EL$41=1,'Operating'!EL$42-'PermLoan'!EL$29,0)+IF(139=StabMonth,OpReserve,0)+IF(139=RefiMonth,RefiCashOut,0)+IF(139=DispoMonth,NetSale,0)</f>
        <v/>
      </c>
      <c r="EM6" s="43">
        <f>-'ConLoan'!EM$27+IF('Timeline'!EM$41=1,'Operating'!EM$42-'PermLoan'!EM$29,0)+IF(140=StabMonth,OpReserve,0)+IF(140=RefiMonth,RefiCashOut,0)+IF(140=DispoMonth,NetSale,0)</f>
        <v/>
      </c>
      <c r="EN6" s="43">
        <f>-'ConLoan'!EN$27+IF('Timeline'!EN$41=1,'Operating'!EN$42-'PermLoan'!EN$29,0)+IF(141=StabMonth,OpReserve,0)+IF(141=RefiMonth,RefiCashOut,0)+IF(141=DispoMonth,NetSale,0)</f>
        <v/>
      </c>
      <c r="EO6" s="43">
        <f>-'ConLoan'!EO$27+IF('Timeline'!EO$41=1,'Operating'!EO$42-'PermLoan'!EO$29,0)+IF(142=StabMonth,OpReserve,0)+IF(142=RefiMonth,RefiCashOut,0)+IF(142=DispoMonth,NetSale,0)</f>
        <v/>
      </c>
      <c r="EP6" s="43">
        <f>-'ConLoan'!EP$27+IF('Timeline'!EP$41=1,'Operating'!EP$42-'PermLoan'!EP$29,0)+IF(143=StabMonth,OpReserve,0)+IF(143=RefiMonth,RefiCashOut,0)+IF(143=DispoMonth,NetSale,0)</f>
        <v/>
      </c>
      <c r="EQ6" s="43">
        <f>-'ConLoan'!EQ$27+IF('Timeline'!EQ$41=1,'Operating'!EQ$42-'PermLoan'!EQ$29,0)+IF(144=StabMonth,OpReserve,0)+IF(144=RefiMonth,RefiCashOut,0)+IF(144=DispoMonth,NetSale,0)</f>
        <v/>
      </c>
      <c r="ER6" s="43">
        <f>-'ConLoan'!ER$27+IF('Timeline'!ER$41=1,'Operating'!ER$42-'PermLoan'!ER$29,0)+IF(145=StabMonth,OpReserve,0)+IF(145=RefiMonth,RefiCashOut,0)+IF(145=DispoMonth,NetSale,0)</f>
        <v/>
      </c>
      <c r="ES6" s="43">
        <f>-'ConLoan'!ES$27+IF('Timeline'!ES$41=1,'Operating'!ES$42-'PermLoan'!ES$29,0)+IF(146=StabMonth,OpReserve,0)+IF(146=RefiMonth,RefiCashOut,0)+IF(146=DispoMonth,NetSale,0)</f>
        <v/>
      </c>
      <c r="ET6" s="43">
        <f>-'ConLoan'!ET$27+IF('Timeline'!ET$41=1,'Operating'!ET$42-'PermLoan'!ET$29,0)+IF(147=StabMonth,OpReserve,0)+IF(147=RefiMonth,RefiCashOut,0)+IF(147=DispoMonth,NetSale,0)</f>
        <v/>
      </c>
      <c r="EU6" s="43">
        <f>-'ConLoan'!EU$27+IF('Timeline'!EU$41=1,'Operating'!EU$42-'PermLoan'!EU$29,0)+IF(148=StabMonth,OpReserve,0)+IF(148=RefiMonth,RefiCashOut,0)+IF(148=DispoMonth,NetSale,0)</f>
        <v/>
      </c>
      <c r="EV6" s="43">
        <f>-'ConLoan'!EV$27+IF('Timeline'!EV$41=1,'Operating'!EV$42-'PermLoan'!EV$29,0)+IF(149=StabMonth,OpReserve,0)+IF(149=RefiMonth,RefiCashOut,0)+IF(149=DispoMonth,NetSale,0)</f>
        <v/>
      </c>
      <c r="EW6" s="43">
        <f>-'ConLoan'!EW$27+IF('Timeline'!EW$41=1,'Operating'!EW$42-'PermLoan'!EW$29,0)+IF(150=StabMonth,OpReserve,0)+IF(150=RefiMonth,RefiCashOut,0)+IF(150=DispoMonth,NetSale,0)</f>
        <v/>
      </c>
      <c r="EX6" s="43">
        <f>-'ConLoan'!EX$27+IF('Timeline'!EX$41=1,'Operating'!EX$42-'PermLoan'!EX$29,0)+IF(151=StabMonth,OpReserve,0)+IF(151=RefiMonth,RefiCashOut,0)+IF(151=DispoMonth,NetSale,0)</f>
        <v/>
      </c>
      <c r="EY6" s="43">
        <f>-'ConLoan'!EY$27+IF('Timeline'!EY$41=1,'Operating'!EY$42-'PermLoan'!EY$29,0)+IF(152=StabMonth,OpReserve,0)+IF(152=RefiMonth,RefiCashOut,0)+IF(152=DispoMonth,NetSale,0)</f>
        <v/>
      </c>
      <c r="EZ6" s="43">
        <f>-'ConLoan'!EZ$27+IF('Timeline'!EZ$41=1,'Operating'!EZ$42-'PermLoan'!EZ$29,0)+IF(153=StabMonth,OpReserve,0)+IF(153=RefiMonth,RefiCashOut,0)+IF(153=DispoMonth,NetSale,0)</f>
        <v/>
      </c>
      <c r="FA6" s="43">
        <f>-'ConLoan'!FA$27+IF('Timeline'!FA$41=1,'Operating'!FA$42-'PermLoan'!FA$29,0)+IF(154=StabMonth,OpReserve,0)+IF(154=RefiMonth,RefiCashOut,0)+IF(154=DispoMonth,NetSale,0)</f>
        <v/>
      </c>
      <c r="FB6" s="43">
        <f>-'ConLoan'!FB$27+IF('Timeline'!FB$41=1,'Operating'!FB$42-'PermLoan'!FB$29,0)+IF(155=StabMonth,OpReserve,0)+IF(155=RefiMonth,RefiCashOut,0)+IF(155=DispoMonth,NetSale,0)</f>
        <v/>
      </c>
      <c r="FC6" s="43">
        <f>-'ConLoan'!FC$27+IF('Timeline'!FC$41=1,'Operating'!FC$42-'PermLoan'!FC$29,0)+IF(156=StabMonth,OpReserve,0)+IF(156=RefiMonth,RefiCashOut,0)+IF(156=DispoMonth,NetSale,0)</f>
        <v/>
      </c>
      <c r="FD6" s="43">
        <f>-'ConLoan'!FD$27+IF('Timeline'!FD$41=1,'Operating'!FD$42-'PermLoan'!FD$29,0)+IF(157=StabMonth,OpReserve,0)+IF(157=RefiMonth,RefiCashOut,0)+IF(157=DispoMonth,NetSale,0)</f>
        <v/>
      </c>
      <c r="FE6" s="43">
        <f>-'ConLoan'!FE$27+IF('Timeline'!FE$41=1,'Operating'!FE$42-'PermLoan'!FE$29,0)+IF(158=StabMonth,OpReserve,0)+IF(158=RefiMonth,RefiCashOut,0)+IF(158=DispoMonth,NetSale,0)</f>
        <v/>
      </c>
      <c r="FF6" s="43">
        <f>-'ConLoan'!FF$27+IF('Timeline'!FF$41=1,'Operating'!FF$42-'PermLoan'!FF$29,0)+IF(159=StabMonth,OpReserve,0)+IF(159=RefiMonth,RefiCashOut,0)+IF(159=DispoMonth,NetSale,0)</f>
        <v/>
      </c>
      <c r="FG6" s="43">
        <f>-'ConLoan'!FG$27+IF('Timeline'!FG$41=1,'Operating'!FG$42-'PermLoan'!FG$29,0)+IF(160=StabMonth,OpReserve,0)+IF(160=RefiMonth,RefiCashOut,0)+IF(160=DispoMonth,NetSale,0)</f>
        <v/>
      </c>
      <c r="FH6" s="43">
        <f>-'ConLoan'!FH$27+IF('Timeline'!FH$41=1,'Operating'!FH$42-'PermLoan'!FH$29,0)+IF(161=StabMonth,OpReserve,0)+IF(161=RefiMonth,RefiCashOut,0)+IF(161=DispoMonth,NetSale,0)</f>
        <v/>
      </c>
      <c r="FI6" s="43">
        <f>-'ConLoan'!FI$27+IF('Timeline'!FI$41=1,'Operating'!FI$42-'PermLoan'!FI$29,0)+IF(162=StabMonth,OpReserve,0)+IF(162=RefiMonth,RefiCashOut,0)+IF(162=DispoMonth,NetSale,0)</f>
        <v/>
      </c>
      <c r="FJ6" s="43">
        <f>-'ConLoan'!FJ$27+IF('Timeline'!FJ$41=1,'Operating'!FJ$42-'PermLoan'!FJ$29,0)+IF(163=StabMonth,OpReserve,0)+IF(163=RefiMonth,RefiCashOut,0)+IF(163=DispoMonth,NetSale,0)</f>
        <v/>
      </c>
      <c r="FK6" s="43">
        <f>-'ConLoan'!FK$27+IF('Timeline'!FK$41=1,'Operating'!FK$42-'PermLoan'!FK$29,0)+IF(164=StabMonth,OpReserve,0)+IF(164=RefiMonth,RefiCashOut,0)+IF(164=DispoMonth,NetSale,0)</f>
        <v/>
      </c>
      <c r="FL6" s="43">
        <f>-'ConLoan'!FL$27+IF('Timeline'!FL$41=1,'Operating'!FL$42-'PermLoan'!FL$29,0)+IF(165=StabMonth,OpReserve,0)+IF(165=RefiMonth,RefiCashOut,0)+IF(165=DispoMonth,NetSale,0)</f>
        <v/>
      </c>
      <c r="FM6" s="43">
        <f>-'ConLoan'!FM$27+IF('Timeline'!FM$41=1,'Operating'!FM$42-'PermLoan'!FM$29,0)+IF(166=StabMonth,OpReserve,0)+IF(166=RefiMonth,RefiCashOut,0)+IF(166=DispoMonth,NetSale,0)</f>
        <v/>
      </c>
      <c r="FN6" s="43">
        <f>-'ConLoan'!FN$27+IF('Timeline'!FN$41=1,'Operating'!FN$42-'PermLoan'!FN$29,0)+IF(167=StabMonth,OpReserve,0)+IF(167=RefiMonth,RefiCashOut,0)+IF(167=DispoMonth,NetSale,0)</f>
        <v/>
      </c>
      <c r="FO6" s="43">
        <f>-'ConLoan'!FO$27+IF('Timeline'!FO$41=1,'Operating'!FO$42-'PermLoan'!FO$29,0)+IF(168=StabMonth,OpReserve,0)+IF(168=RefiMonth,RefiCashOut,0)+IF(168=DispoMonth,NetSale,0)</f>
        <v/>
      </c>
      <c r="FP6" s="43">
        <f>-'ConLoan'!FP$27+IF('Timeline'!FP$41=1,'Operating'!FP$42-'PermLoan'!FP$29,0)+IF(169=StabMonth,OpReserve,0)+IF(169=RefiMonth,RefiCashOut,0)+IF(169=DispoMonth,NetSale,0)</f>
        <v/>
      </c>
      <c r="FQ6" s="43">
        <f>-'ConLoan'!FQ$27+IF('Timeline'!FQ$41=1,'Operating'!FQ$42-'PermLoan'!FQ$29,0)+IF(170=StabMonth,OpReserve,0)+IF(170=RefiMonth,RefiCashOut,0)+IF(170=DispoMonth,NetSale,0)</f>
        <v/>
      </c>
      <c r="FR6" s="43">
        <f>-'ConLoan'!FR$27+IF('Timeline'!FR$41=1,'Operating'!FR$42-'PermLoan'!FR$29,0)+IF(171=StabMonth,OpReserve,0)+IF(171=RefiMonth,RefiCashOut,0)+IF(171=DispoMonth,NetSale,0)</f>
        <v/>
      </c>
      <c r="FS6" s="43">
        <f>-'ConLoan'!FS$27+IF('Timeline'!FS$41=1,'Operating'!FS$42-'PermLoan'!FS$29,0)+IF(172=StabMonth,OpReserve,0)+IF(172=RefiMonth,RefiCashOut,0)+IF(172=DispoMonth,NetSale,0)</f>
        <v/>
      </c>
      <c r="FT6" s="43">
        <f>-'ConLoan'!FT$27+IF('Timeline'!FT$41=1,'Operating'!FT$42-'PermLoan'!FT$29,0)+IF(173=StabMonth,OpReserve,0)+IF(173=RefiMonth,RefiCashOut,0)+IF(173=DispoMonth,NetSale,0)</f>
        <v/>
      </c>
      <c r="FU6" s="43">
        <f>-'ConLoan'!FU$27+IF('Timeline'!FU$41=1,'Operating'!FU$42-'PermLoan'!FU$29,0)+IF(174=StabMonth,OpReserve,0)+IF(174=RefiMonth,RefiCashOut,0)+IF(174=DispoMonth,NetSale,0)</f>
        <v/>
      </c>
      <c r="FV6" s="43">
        <f>-'ConLoan'!FV$27+IF('Timeline'!FV$41=1,'Operating'!FV$42-'PermLoan'!FV$29,0)+IF(175=StabMonth,OpReserve,0)+IF(175=RefiMonth,RefiCashOut,0)+IF(175=DispoMonth,NetSale,0)</f>
        <v/>
      </c>
      <c r="FW6" s="43">
        <f>-'ConLoan'!FW$27+IF('Timeline'!FW$41=1,'Operating'!FW$42-'PermLoan'!FW$29,0)+IF(176=StabMonth,OpReserve,0)+IF(176=RefiMonth,RefiCashOut,0)+IF(176=DispoMonth,NetSale,0)</f>
        <v/>
      </c>
      <c r="FX6" s="43">
        <f>-'ConLoan'!FX$27+IF('Timeline'!FX$41=1,'Operating'!FX$42-'PermLoan'!FX$29,0)+IF(177=StabMonth,OpReserve,0)+IF(177=RefiMonth,RefiCashOut,0)+IF(177=DispoMonth,NetSale,0)</f>
        <v/>
      </c>
      <c r="FY6" s="43">
        <f>-'ConLoan'!FY$27+IF('Timeline'!FY$41=1,'Operating'!FY$42-'PermLoan'!FY$29,0)+IF(178=StabMonth,OpReserve,0)+IF(178=RefiMonth,RefiCashOut,0)+IF(178=DispoMonth,NetSale,0)</f>
        <v/>
      </c>
      <c r="FZ6" s="43">
        <f>-'ConLoan'!FZ$27+IF('Timeline'!FZ$41=1,'Operating'!FZ$42-'PermLoan'!FZ$29,0)+IF(179=StabMonth,OpReserve,0)+IF(179=RefiMonth,RefiCashOut,0)+IF(179=DispoMonth,NetSale,0)</f>
        <v/>
      </c>
      <c r="GA6" s="43">
        <f>-'ConLoan'!GA$27+IF('Timeline'!GA$41=1,'Operating'!GA$42-'PermLoan'!GA$29,0)+IF(180=StabMonth,OpReserve,0)+IF(180=RefiMonth,RefiCashOut,0)+IF(180=DispoMonth,NetSale,0)</f>
        <v/>
      </c>
      <c r="GB6" s="43">
        <f>-'ConLoan'!GB$27+IF('Timeline'!GB$41=1,'Operating'!GB$42-'PermLoan'!GB$29,0)+IF(181=StabMonth,OpReserve,0)+IF(181=RefiMonth,RefiCashOut,0)+IF(181=DispoMonth,NetSale,0)</f>
        <v/>
      </c>
      <c r="GC6" s="43">
        <f>-'ConLoan'!GC$27+IF('Timeline'!GC$41=1,'Operating'!GC$42-'PermLoan'!GC$29,0)+IF(182=StabMonth,OpReserve,0)+IF(182=RefiMonth,RefiCashOut,0)+IF(182=DispoMonth,NetSale,0)</f>
        <v/>
      </c>
      <c r="GD6" s="43">
        <f>-'ConLoan'!GD$27+IF('Timeline'!GD$41=1,'Operating'!GD$42-'PermLoan'!GD$29,0)+IF(183=StabMonth,OpReserve,0)+IF(183=RefiMonth,RefiCashOut,0)+IF(183=DispoMonth,NetSale,0)</f>
        <v/>
      </c>
      <c r="GE6" s="43">
        <f>-'ConLoan'!GE$27+IF('Timeline'!GE$41=1,'Operating'!GE$42-'PermLoan'!GE$29,0)+IF(184=StabMonth,OpReserve,0)+IF(184=RefiMonth,RefiCashOut,0)+IF(184=DispoMonth,NetSale,0)</f>
        <v/>
      </c>
      <c r="GF6" s="43">
        <f>-'ConLoan'!GF$27+IF('Timeline'!GF$41=1,'Operating'!GF$42-'PermLoan'!GF$29,0)+IF(185=StabMonth,OpReserve,0)+IF(185=RefiMonth,RefiCashOut,0)+IF(185=DispoMonth,NetSale,0)</f>
        <v/>
      </c>
      <c r="GG6" s="43">
        <f>-'ConLoan'!GG$27+IF('Timeline'!GG$41=1,'Operating'!GG$42-'PermLoan'!GG$29,0)+IF(186=StabMonth,OpReserve,0)+IF(186=RefiMonth,RefiCashOut,0)+IF(186=DispoMonth,NetSale,0)</f>
        <v/>
      </c>
      <c r="GH6" s="43">
        <f>-'ConLoan'!GH$27+IF('Timeline'!GH$41=1,'Operating'!GH$42-'PermLoan'!GH$29,0)+IF(187=StabMonth,OpReserve,0)+IF(187=RefiMonth,RefiCashOut,0)+IF(187=DispoMonth,NetSale,0)</f>
        <v/>
      </c>
      <c r="GI6" s="43">
        <f>-'ConLoan'!GI$27+IF('Timeline'!GI$41=1,'Operating'!GI$42-'PermLoan'!GI$29,0)+IF(188=StabMonth,OpReserve,0)+IF(188=RefiMonth,RefiCashOut,0)+IF(188=DispoMonth,NetSale,0)</f>
        <v/>
      </c>
      <c r="GJ6" s="43">
        <f>-'ConLoan'!GJ$27+IF('Timeline'!GJ$41=1,'Operating'!GJ$42-'PermLoan'!GJ$29,0)+IF(189=StabMonth,OpReserve,0)+IF(189=RefiMonth,RefiCashOut,0)+IF(189=DispoMonth,NetSale,0)</f>
        <v/>
      </c>
      <c r="GK6" s="43">
        <f>-'ConLoan'!GK$27+IF('Timeline'!GK$41=1,'Operating'!GK$42-'PermLoan'!GK$29,0)+IF(190=StabMonth,OpReserve,0)+IF(190=RefiMonth,RefiCashOut,0)+IF(190=DispoMonth,NetSale,0)</f>
        <v/>
      </c>
      <c r="GL6" s="43">
        <f>-'ConLoan'!GL$27+IF('Timeline'!GL$41=1,'Operating'!GL$42-'PermLoan'!GL$29,0)+IF(191=StabMonth,OpReserve,0)+IF(191=RefiMonth,RefiCashOut,0)+IF(191=DispoMonth,NetSale,0)</f>
        <v/>
      </c>
      <c r="GM6" s="43">
        <f>-'ConLoan'!GM$27+IF('Timeline'!GM$41=1,'Operating'!GM$42-'PermLoan'!GM$29,0)+IF(192=StabMonth,OpReserve,0)+IF(192=RefiMonth,RefiCashOut,0)+IF(192=DispoMonth,NetSale,0)</f>
        <v/>
      </c>
      <c r="GN6" s="43">
        <f>-'ConLoan'!GN$27+IF('Timeline'!GN$41=1,'Operating'!GN$42-'PermLoan'!GN$29,0)+IF(193=StabMonth,OpReserve,0)+IF(193=RefiMonth,RefiCashOut,0)+IF(193=DispoMonth,NetSale,0)</f>
        <v/>
      </c>
      <c r="GO6" s="43">
        <f>-'ConLoan'!GO$27+IF('Timeline'!GO$41=1,'Operating'!GO$42-'PermLoan'!GO$29,0)+IF(194=StabMonth,OpReserve,0)+IF(194=RefiMonth,RefiCashOut,0)+IF(194=DispoMonth,NetSale,0)</f>
        <v/>
      </c>
      <c r="GP6" s="43">
        <f>-'ConLoan'!GP$27+IF('Timeline'!GP$41=1,'Operating'!GP$42-'PermLoan'!GP$29,0)+IF(195=StabMonth,OpReserve,0)+IF(195=RefiMonth,RefiCashOut,0)+IF(195=DispoMonth,NetSale,0)</f>
        <v/>
      </c>
      <c r="GQ6" s="43">
        <f>-'ConLoan'!GQ$27+IF('Timeline'!GQ$41=1,'Operating'!GQ$42-'PermLoan'!GQ$29,0)+IF(196=StabMonth,OpReserve,0)+IF(196=RefiMonth,RefiCashOut,0)+IF(196=DispoMonth,NetSale,0)</f>
        <v/>
      </c>
      <c r="GR6" s="43">
        <f>-'ConLoan'!GR$27+IF('Timeline'!GR$41=1,'Operating'!GR$42-'PermLoan'!GR$29,0)+IF(197=StabMonth,OpReserve,0)+IF(197=RefiMonth,RefiCashOut,0)+IF(197=DispoMonth,NetSale,0)</f>
        <v/>
      </c>
      <c r="GS6" s="43">
        <f>-'ConLoan'!GS$27+IF('Timeline'!GS$41=1,'Operating'!GS$42-'PermLoan'!GS$29,0)+IF(198=StabMonth,OpReserve,0)+IF(198=RefiMonth,RefiCashOut,0)+IF(198=DispoMonth,NetSale,0)</f>
        <v/>
      </c>
      <c r="GT6" s="43">
        <f>-'ConLoan'!GT$27+IF('Timeline'!GT$41=1,'Operating'!GT$42-'PermLoan'!GT$29,0)+IF(199=StabMonth,OpReserve,0)+IF(199=RefiMonth,RefiCashOut,0)+IF(199=DispoMonth,NetSale,0)</f>
        <v/>
      </c>
      <c r="GU6" s="43">
        <f>-'ConLoan'!GU$27+IF('Timeline'!GU$41=1,'Operating'!GU$42-'PermLoan'!GU$29,0)+IF(200=StabMonth,OpReserve,0)+IF(200=RefiMonth,RefiCashOut,0)+IF(200=DispoMonth,NetSale,0)</f>
        <v/>
      </c>
      <c r="GV6" s="43">
        <f>-'ConLoan'!GV$27+IF('Timeline'!GV$41=1,'Operating'!GV$42-'PermLoan'!GV$29,0)+IF(201=StabMonth,OpReserve,0)+IF(201=RefiMonth,RefiCashOut,0)+IF(201=DispoMonth,NetSale,0)</f>
        <v/>
      </c>
      <c r="GW6" s="43">
        <f>-'ConLoan'!GW$27+IF('Timeline'!GW$41=1,'Operating'!GW$42-'PermLoan'!GW$29,0)+IF(202=StabMonth,OpReserve,0)+IF(202=RefiMonth,RefiCashOut,0)+IF(202=DispoMonth,NetSale,0)</f>
        <v/>
      </c>
      <c r="GX6" s="43">
        <f>-'ConLoan'!GX$27+IF('Timeline'!GX$41=1,'Operating'!GX$42-'PermLoan'!GX$29,0)+IF(203=StabMonth,OpReserve,0)+IF(203=RefiMonth,RefiCashOut,0)+IF(203=DispoMonth,NetSale,0)</f>
        <v/>
      </c>
      <c r="GY6" s="43">
        <f>-'ConLoan'!GY$27+IF('Timeline'!GY$41=1,'Operating'!GY$42-'PermLoan'!GY$29,0)+IF(204=StabMonth,OpReserve,0)+IF(204=RefiMonth,RefiCashOut,0)+IF(204=DispoMonth,NetSale,0)</f>
        <v/>
      </c>
      <c r="GZ6" s="43">
        <f>-'ConLoan'!GZ$27+IF('Timeline'!GZ$41=1,'Operating'!GZ$42-'PermLoan'!GZ$29,0)+IF(205=StabMonth,OpReserve,0)+IF(205=RefiMonth,RefiCashOut,0)+IF(205=DispoMonth,NetSale,0)</f>
        <v/>
      </c>
      <c r="HA6" s="43">
        <f>-'ConLoan'!HA$27+IF('Timeline'!HA$41=1,'Operating'!HA$42-'PermLoan'!HA$29,0)+IF(206=StabMonth,OpReserve,0)+IF(206=RefiMonth,RefiCashOut,0)+IF(206=DispoMonth,NetSale,0)</f>
        <v/>
      </c>
      <c r="HB6" s="43">
        <f>-'ConLoan'!HB$27+IF('Timeline'!HB$41=1,'Operating'!HB$42-'PermLoan'!HB$29,0)+IF(207=StabMonth,OpReserve,0)+IF(207=RefiMonth,RefiCashOut,0)+IF(207=DispoMonth,NetSale,0)</f>
        <v/>
      </c>
      <c r="HC6" s="43">
        <f>-'ConLoan'!HC$27+IF('Timeline'!HC$41=1,'Operating'!HC$42-'PermLoan'!HC$29,0)+IF(208=StabMonth,OpReserve,0)+IF(208=RefiMonth,RefiCashOut,0)+IF(208=DispoMonth,NetSale,0)</f>
        <v/>
      </c>
      <c r="HD6" s="43">
        <f>-'ConLoan'!HD$27+IF('Timeline'!HD$41=1,'Operating'!HD$42-'PermLoan'!HD$29,0)+IF(209=StabMonth,OpReserve,0)+IF(209=RefiMonth,RefiCashOut,0)+IF(209=DispoMonth,NetSale,0)</f>
        <v/>
      </c>
      <c r="HE6" s="43">
        <f>-'ConLoan'!HE$27+IF('Timeline'!HE$41=1,'Operating'!HE$42-'PermLoan'!HE$29,0)+IF(210=StabMonth,OpReserve,0)+IF(210=RefiMonth,RefiCashOut,0)+IF(210=DispoMonth,NetSale,0)</f>
        <v/>
      </c>
      <c r="HF6" s="43">
        <f>-'ConLoan'!HF$27+IF('Timeline'!HF$41=1,'Operating'!HF$42-'PermLoan'!HF$29,0)+IF(211=StabMonth,OpReserve,0)+IF(211=RefiMonth,RefiCashOut,0)+IF(211=DispoMonth,NetSale,0)</f>
        <v/>
      </c>
      <c r="HG6" s="43">
        <f>-'ConLoan'!HG$27+IF('Timeline'!HG$41=1,'Operating'!HG$42-'PermLoan'!HG$29,0)+IF(212=StabMonth,OpReserve,0)+IF(212=RefiMonth,RefiCashOut,0)+IF(212=DispoMonth,NetSale,0)</f>
        <v/>
      </c>
      <c r="HH6" s="43">
        <f>-'ConLoan'!HH$27+IF('Timeline'!HH$41=1,'Operating'!HH$42-'PermLoan'!HH$29,0)+IF(213=StabMonth,OpReserve,0)+IF(213=RefiMonth,RefiCashOut,0)+IF(213=DispoMonth,NetSale,0)</f>
        <v/>
      </c>
      <c r="HI6" s="43">
        <f>-'ConLoan'!HI$27+IF('Timeline'!HI$41=1,'Operating'!HI$42-'PermLoan'!HI$29,0)+IF(214=StabMonth,OpReserve,0)+IF(214=RefiMonth,RefiCashOut,0)+IF(214=DispoMonth,NetSale,0)</f>
        <v/>
      </c>
      <c r="HJ6" s="43">
        <f>-'ConLoan'!HJ$27+IF('Timeline'!HJ$41=1,'Operating'!HJ$42-'PermLoan'!HJ$29,0)+IF(215=StabMonth,OpReserve,0)+IF(215=RefiMonth,RefiCashOut,0)+IF(215=DispoMonth,NetSale,0)</f>
        <v/>
      </c>
      <c r="HK6" s="43">
        <f>-'ConLoan'!HK$27+IF('Timeline'!HK$41=1,'Operating'!HK$42-'PermLoan'!HK$29,0)+IF(216=StabMonth,OpReserve,0)+IF(216=RefiMonth,RefiCashOut,0)+IF(216=DispoMonth,NetSale,0)</f>
        <v/>
      </c>
      <c r="HL6" s="43">
        <f>-'ConLoan'!HL$27+IF('Timeline'!HL$41=1,'Operating'!HL$42-'PermLoan'!HL$29,0)+IF(217=StabMonth,OpReserve,0)+IF(217=RefiMonth,RefiCashOut,0)+IF(217=DispoMonth,NetSale,0)</f>
        <v/>
      </c>
      <c r="HM6" s="43">
        <f>-'ConLoan'!HM$27+IF('Timeline'!HM$41=1,'Operating'!HM$42-'PermLoan'!HM$29,0)+IF(218=StabMonth,OpReserve,0)+IF(218=RefiMonth,RefiCashOut,0)+IF(218=DispoMonth,NetSale,0)</f>
        <v/>
      </c>
      <c r="HN6" s="43">
        <f>-'ConLoan'!HN$27+IF('Timeline'!HN$41=1,'Operating'!HN$42-'PermLoan'!HN$29,0)+IF(219=StabMonth,OpReserve,0)+IF(219=RefiMonth,RefiCashOut,0)+IF(219=DispoMonth,NetSale,0)</f>
        <v/>
      </c>
      <c r="HO6" s="43">
        <f>-'ConLoan'!HO$27+IF('Timeline'!HO$41=1,'Operating'!HO$42-'PermLoan'!HO$29,0)+IF(220=StabMonth,OpReserve,0)+IF(220=RefiMonth,RefiCashOut,0)+IF(220=DispoMonth,NetSale,0)</f>
        <v/>
      </c>
      <c r="HP6" s="43">
        <f>-'ConLoan'!HP$27+IF('Timeline'!HP$41=1,'Operating'!HP$42-'PermLoan'!HP$29,0)+IF(221=StabMonth,OpReserve,0)+IF(221=RefiMonth,RefiCashOut,0)+IF(221=DispoMonth,NetSale,0)</f>
        <v/>
      </c>
      <c r="HQ6" s="43">
        <f>-'ConLoan'!HQ$27+IF('Timeline'!HQ$41=1,'Operating'!HQ$42-'PermLoan'!HQ$29,0)+IF(222=StabMonth,OpReserve,0)+IF(222=RefiMonth,RefiCashOut,0)+IF(222=DispoMonth,NetSale,0)</f>
        <v/>
      </c>
      <c r="HR6" s="43">
        <f>-'ConLoan'!HR$27+IF('Timeline'!HR$41=1,'Operating'!HR$42-'PermLoan'!HR$29,0)+IF(223=StabMonth,OpReserve,0)+IF(223=RefiMonth,RefiCashOut,0)+IF(223=DispoMonth,NetSale,0)</f>
        <v/>
      </c>
      <c r="HS6" s="43">
        <f>-'ConLoan'!HS$27+IF('Timeline'!HS$41=1,'Operating'!HS$42-'PermLoan'!HS$29,0)+IF(224=StabMonth,OpReserve,0)+IF(224=RefiMonth,RefiCashOut,0)+IF(224=DispoMonth,NetSale,0)</f>
        <v/>
      </c>
      <c r="HT6" s="43">
        <f>-'ConLoan'!HT$27+IF('Timeline'!HT$41=1,'Operating'!HT$42-'PermLoan'!HT$29,0)+IF(225=StabMonth,OpReserve,0)+IF(225=RefiMonth,RefiCashOut,0)+IF(225=DispoMonth,NetSale,0)</f>
        <v/>
      </c>
      <c r="HU6" s="43">
        <f>-'ConLoan'!HU$27+IF('Timeline'!HU$41=1,'Operating'!HU$42-'PermLoan'!HU$29,0)+IF(226=StabMonth,OpReserve,0)+IF(226=RefiMonth,RefiCashOut,0)+IF(226=DispoMonth,NetSale,0)</f>
        <v/>
      </c>
      <c r="HV6" s="43">
        <f>-'ConLoan'!HV$27+IF('Timeline'!HV$41=1,'Operating'!HV$42-'PermLoan'!HV$29,0)+IF(227=StabMonth,OpReserve,0)+IF(227=RefiMonth,RefiCashOut,0)+IF(227=DispoMonth,NetSale,0)</f>
        <v/>
      </c>
      <c r="HW6" s="43">
        <f>-'ConLoan'!HW$27+IF('Timeline'!HW$41=1,'Operating'!HW$42-'PermLoan'!HW$29,0)+IF(228=StabMonth,OpReserve,0)+IF(228=RefiMonth,RefiCashOut,0)+IF(228=DispoMonth,NetSale,0)</f>
        <v/>
      </c>
      <c r="HX6" s="43">
        <f>-'ConLoan'!HX$27+IF('Timeline'!HX$41=1,'Operating'!HX$42-'PermLoan'!HX$29,0)+IF(229=StabMonth,OpReserve,0)+IF(229=RefiMonth,RefiCashOut,0)+IF(229=DispoMonth,NetSale,0)</f>
        <v/>
      </c>
      <c r="HY6" s="43">
        <f>-'ConLoan'!HY$27+IF('Timeline'!HY$41=1,'Operating'!HY$42-'PermLoan'!HY$29,0)+IF(230=StabMonth,OpReserve,0)+IF(230=RefiMonth,RefiCashOut,0)+IF(230=DispoMonth,NetSale,0)</f>
        <v/>
      </c>
      <c r="HZ6" s="43">
        <f>-'ConLoan'!HZ$27+IF('Timeline'!HZ$41=1,'Operating'!HZ$42-'PermLoan'!HZ$29,0)+IF(231=StabMonth,OpReserve,0)+IF(231=RefiMonth,RefiCashOut,0)+IF(231=DispoMonth,NetSale,0)</f>
        <v/>
      </c>
      <c r="IA6" s="43">
        <f>-'ConLoan'!IA$27+IF('Timeline'!IA$41=1,'Operating'!IA$42-'PermLoan'!IA$29,0)+IF(232=StabMonth,OpReserve,0)+IF(232=RefiMonth,RefiCashOut,0)+IF(232=DispoMonth,NetSale,0)</f>
        <v/>
      </c>
      <c r="IB6" s="43">
        <f>-'ConLoan'!IB$27+IF('Timeline'!IB$41=1,'Operating'!IB$42-'PermLoan'!IB$29,0)+IF(233=StabMonth,OpReserve,0)+IF(233=RefiMonth,RefiCashOut,0)+IF(233=DispoMonth,NetSale,0)</f>
        <v/>
      </c>
      <c r="IC6" s="43">
        <f>-'ConLoan'!IC$27+IF('Timeline'!IC$41=1,'Operating'!IC$42-'PermLoan'!IC$29,0)+IF(234=StabMonth,OpReserve,0)+IF(234=RefiMonth,RefiCashOut,0)+IF(234=DispoMonth,NetSale,0)</f>
        <v/>
      </c>
      <c r="ID6" s="43">
        <f>-'ConLoan'!ID$27+IF('Timeline'!ID$41=1,'Operating'!ID$42-'PermLoan'!ID$29,0)+IF(235=StabMonth,OpReserve,0)+IF(235=RefiMonth,RefiCashOut,0)+IF(235=DispoMonth,NetSale,0)</f>
        <v/>
      </c>
      <c r="IE6" s="43">
        <f>-'ConLoan'!IE$27+IF('Timeline'!IE$41=1,'Operating'!IE$42-'PermLoan'!IE$29,0)+IF(236=StabMonth,OpReserve,0)+IF(236=RefiMonth,RefiCashOut,0)+IF(236=DispoMonth,NetSale,0)</f>
        <v/>
      </c>
      <c r="IF6" s="43">
        <f>-'ConLoan'!IF$27+IF('Timeline'!IF$41=1,'Operating'!IF$42-'PermLoan'!IF$29,0)+IF(237=StabMonth,OpReserve,0)+IF(237=RefiMonth,RefiCashOut,0)+IF(237=DispoMonth,NetSale,0)</f>
        <v/>
      </c>
      <c r="IG6" s="43">
        <f>-'ConLoan'!IG$27+IF('Timeline'!IG$41=1,'Operating'!IG$42-'PermLoan'!IG$29,0)+IF(238=StabMonth,OpReserve,0)+IF(238=RefiMonth,RefiCashOut,0)+IF(238=DispoMonth,NetSale,0)</f>
        <v/>
      </c>
      <c r="IH6" s="43">
        <f>-'ConLoan'!IH$27+IF('Timeline'!IH$41=1,'Operating'!IH$42-'PermLoan'!IH$29,0)+IF(239=StabMonth,OpReserve,0)+IF(239=RefiMonth,RefiCashOut,0)+IF(239=DispoMonth,NetSale,0)</f>
        <v/>
      </c>
      <c r="II6" s="43">
        <f>-'ConLoan'!II$27+IF('Timeline'!II$41=1,'Operating'!II$42-'PermLoan'!II$29,0)+IF(240=StabMonth,OpReserve,0)+IF(240=RefiMonth,RefiCashOut,0)+IF(240=DispoMonth,NetSale,0)</f>
        <v/>
      </c>
      <c r="IJ6" s="43">
        <f>-'ConLoan'!IJ$27+IF('Timeline'!IJ$41=1,'Operating'!IJ$42-'PermLoan'!IJ$29,0)+IF(241=StabMonth,OpReserve,0)+IF(241=RefiMonth,RefiCashOut,0)+IF(241=DispoMonth,NetSale,0)</f>
        <v/>
      </c>
      <c r="IK6" s="43">
        <f>-'ConLoan'!IK$27+IF('Timeline'!IK$41=1,'Operating'!IK$42-'PermLoan'!IK$29,0)+IF(242=StabMonth,OpReserve,0)+IF(242=RefiMonth,RefiCashOut,0)+IF(242=DispoMonth,NetSale,0)</f>
        <v/>
      </c>
      <c r="IL6" s="43">
        <f>-'ConLoan'!IL$27+IF('Timeline'!IL$41=1,'Operating'!IL$42-'PermLoan'!IL$29,0)+IF(243=StabMonth,OpReserve,0)+IF(243=RefiMonth,RefiCashOut,0)+IF(243=DispoMonth,NetSale,0)</f>
        <v/>
      </c>
      <c r="IM6" s="43">
        <f>-'ConLoan'!IM$27+IF('Timeline'!IM$41=1,'Operating'!IM$42-'PermLoan'!IM$29,0)+IF(244=StabMonth,OpReserve,0)+IF(244=RefiMonth,RefiCashOut,0)+IF(244=DispoMonth,NetSale,0)</f>
        <v/>
      </c>
      <c r="IN6" s="43">
        <f>-'ConLoan'!IN$27+IF('Timeline'!IN$41=1,'Operating'!IN$42-'PermLoan'!IN$29,0)+IF(245=StabMonth,OpReserve,0)+IF(245=RefiMonth,RefiCashOut,0)+IF(245=DispoMonth,NetSale,0)</f>
        <v/>
      </c>
      <c r="IO6" s="43">
        <f>-'ConLoan'!IO$27+IF('Timeline'!IO$41=1,'Operating'!IO$42-'PermLoan'!IO$29,0)+IF(246=StabMonth,OpReserve,0)+IF(246=RefiMonth,RefiCashOut,0)+IF(246=DispoMonth,NetSale,0)</f>
        <v/>
      </c>
      <c r="IP6" s="43">
        <f>-'ConLoan'!IP$27+IF('Timeline'!IP$41=1,'Operating'!IP$42-'PermLoan'!IP$29,0)+IF(247=StabMonth,OpReserve,0)+IF(247=RefiMonth,RefiCashOut,0)+IF(247=DispoMonth,NetSale,0)</f>
        <v/>
      </c>
      <c r="IQ6" s="43">
        <f>-'ConLoan'!IQ$27+IF('Timeline'!IQ$41=1,'Operating'!IQ$42-'PermLoan'!IQ$29,0)+IF(248=StabMonth,OpReserve,0)+IF(248=RefiMonth,RefiCashOut,0)+IF(248=DispoMonth,NetSale,0)</f>
        <v/>
      </c>
      <c r="IR6" s="43">
        <f>-'ConLoan'!IR$27+IF('Timeline'!IR$41=1,'Operating'!IR$42-'PermLoan'!IR$29,0)+IF(249=StabMonth,OpReserve,0)+IF(249=RefiMonth,RefiCashOut,0)+IF(249=DispoMonth,NetSale,0)</f>
        <v/>
      </c>
      <c r="IS6" s="43">
        <f>-'ConLoan'!IS$27+IF('Timeline'!IS$41=1,'Operating'!IS$42-'PermLoan'!IS$29,0)+IF(250=StabMonth,OpReserve,0)+IF(250=RefiMonth,RefiCashOut,0)+IF(250=DispoMonth,NetSale,0)</f>
        <v/>
      </c>
      <c r="IT6" s="43">
        <f>-'ConLoan'!IT$27+IF('Timeline'!IT$41=1,'Operating'!IT$42-'PermLoan'!IT$29,0)+IF(251=StabMonth,OpReserve,0)+IF(251=RefiMonth,RefiCashOut,0)+IF(251=DispoMonth,NetSale,0)</f>
        <v/>
      </c>
      <c r="IU6" s="43">
        <f>-'ConLoan'!IU$27+IF('Timeline'!IU$41=1,'Operating'!IU$42-'PermLoan'!IU$29,0)+IF(252=StabMonth,OpReserve,0)+IF(252=RefiMonth,RefiCashOut,0)+IF(252=DispoMonth,NetSale,0)</f>
        <v/>
      </c>
      <c r="IV6" s="43">
        <f>-'ConLoan'!IV$27+IF('Timeline'!IV$41=1,'Operating'!IV$42-'PermLoan'!IV$29,0)+IF(253=StabMonth,OpReserve,0)+IF(253=RefiMonth,RefiCashOut,0)+IF(253=DispoMonth,NetSale,0)</f>
        <v/>
      </c>
      <c r="IW6" s="43">
        <f>-'ConLoan'!IW$27+IF('Timeline'!IW$41=1,'Operating'!IW$42-'PermLoan'!IW$29,0)+IF(254=StabMonth,OpReserve,0)+IF(254=RefiMonth,RefiCashOut,0)+IF(254=DispoMonth,NetSale,0)</f>
        <v/>
      </c>
      <c r="IX6" s="43">
        <f>-'ConLoan'!IX$27+IF('Timeline'!IX$41=1,'Operating'!IX$42-'PermLoan'!IX$29,0)+IF(255=StabMonth,OpReserve,0)+IF(255=RefiMonth,RefiCashOut,0)+IF(255=DispoMonth,NetSale,0)</f>
        <v/>
      </c>
      <c r="IY6" s="43">
        <f>-'ConLoan'!IY$27+IF('Timeline'!IY$41=1,'Operating'!IY$42-'PermLoan'!IY$29,0)+IF(256=StabMonth,OpReserve,0)+IF(256=RefiMonth,RefiCashOut,0)+IF(256=DispoMonth,NetSale,0)</f>
        <v/>
      </c>
      <c r="IZ6" s="43">
        <f>-'ConLoan'!IZ$27+IF('Timeline'!IZ$41=1,'Operating'!IZ$42-'PermLoan'!IZ$29,0)+IF(257=StabMonth,OpReserve,0)+IF(257=RefiMonth,RefiCashOut,0)+IF(257=DispoMonth,NetSale,0)</f>
        <v/>
      </c>
      <c r="JA6" s="43">
        <f>-'ConLoan'!JA$27+IF('Timeline'!JA$41=1,'Operating'!JA$42-'PermLoan'!JA$29,0)+IF(258=StabMonth,OpReserve,0)+IF(258=RefiMonth,RefiCashOut,0)+IF(258=DispoMonth,NetSale,0)</f>
        <v/>
      </c>
      <c r="JB6" s="43">
        <f>-'ConLoan'!JB$27+IF('Timeline'!JB$41=1,'Operating'!JB$42-'PermLoan'!JB$29,0)+IF(259=StabMonth,OpReserve,0)+IF(259=RefiMonth,RefiCashOut,0)+IF(259=DispoMonth,NetSale,0)</f>
        <v/>
      </c>
      <c r="JC6" s="43">
        <f>-'ConLoan'!JC$27+IF('Timeline'!JC$41=1,'Operating'!JC$42-'PermLoan'!JC$29,0)+IF(260=StabMonth,OpReserve,0)+IF(260=RefiMonth,RefiCashOut,0)+IF(260=DispoMonth,NetSale,0)</f>
        <v/>
      </c>
      <c r="JD6" s="43">
        <f>-'ConLoan'!JD$27+IF('Timeline'!JD$41=1,'Operating'!JD$42-'PermLoan'!JD$29,0)+IF(261=StabMonth,OpReserve,0)+IF(261=RefiMonth,RefiCashOut,0)+IF(261=DispoMonth,NetSale,0)</f>
        <v/>
      </c>
      <c r="JE6" s="43">
        <f>-'ConLoan'!JE$27+IF('Timeline'!JE$41=1,'Operating'!JE$42-'PermLoan'!JE$29,0)+IF(262=StabMonth,OpReserve,0)+IF(262=RefiMonth,RefiCashOut,0)+IF(262=DispoMonth,NetSale,0)</f>
        <v/>
      </c>
      <c r="JF6" s="43">
        <f>-'ConLoan'!JF$27+IF('Timeline'!JF$41=1,'Operating'!JF$42-'PermLoan'!JF$29,0)+IF(263=StabMonth,OpReserve,0)+IF(263=RefiMonth,RefiCashOut,0)+IF(263=DispoMonth,NetSale,0)</f>
        <v/>
      </c>
      <c r="JG6" s="43">
        <f>-'ConLoan'!JG$27+IF('Timeline'!JG$41=1,'Operating'!JG$42-'PermLoan'!JG$29,0)+IF(264=StabMonth,OpReserve,0)+IF(264=RefiMonth,RefiCashOut,0)+IF(264=DispoMonth,NetSale,0)</f>
        <v/>
      </c>
      <c r="JH6" s="43">
        <f>-'ConLoan'!JH$27+IF('Timeline'!JH$41=1,'Operating'!JH$42-'PermLoan'!JH$29,0)+IF(265=StabMonth,OpReserve,0)+IF(265=RefiMonth,RefiCashOut,0)+IF(265=DispoMonth,NetSale,0)</f>
        <v/>
      </c>
      <c r="JI6" s="43">
        <f>-'ConLoan'!JI$27+IF('Timeline'!JI$41=1,'Operating'!JI$42-'PermLoan'!JI$29,0)+IF(266=StabMonth,OpReserve,0)+IF(266=RefiMonth,RefiCashOut,0)+IF(266=DispoMonth,NetSale,0)</f>
        <v/>
      </c>
      <c r="JJ6" s="43">
        <f>-'ConLoan'!JJ$27+IF('Timeline'!JJ$41=1,'Operating'!JJ$42-'PermLoan'!JJ$29,0)+IF(267=StabMonth,OpReserve,0)+IF(267=RefiMonth,RefiCashOut,0)+IF(267=DispoMonth,NetSale,0)</f>
        <v/>
      </c>
      <c r="JK6" s="43">
        <f>-'ConLoan'!JK$27+IF('Timeline'!JK$41=1,'Operating'!JK$42-'PermLoan'!JK$29,0)+IF(268=StabMonth,OpReserve,0)+IF(268=RefiMonth,RefiCashOut,0)+IF(268=DispoMonth,NetSale,0)</f>
        <v/>
      </c>
      <c r="JL6" s="43">
        <f>-'ConLoan'!JL$27+IF('Timeline'!JL$41=1,'Operating'!JL$42-'PermLoan'!JL$29,0)+IF(269=StabMonth,OpReserve,0)+IF(269=RefiMonth,RefiCashOut,0)+IF(269=DispoMonth,NetSale,0)</f>
        <v/>
      </c>
      <c r="JM6" s="43">
        <f>-'ConLoan'!JM$27+IF('Timeline'!JM$41=1,'Operating'!JM$42-'PermLoan'!JM$29,0)+IF(270=StabMonth,OpReserve,0)+IF(270=RefiMonth,RefiCashOut,0)+IF(270=DispoMonth,NetSale,0)</f>
        <v/>
      </c>
      <c r="JN6" s="43">
        <f>-'ConLoan'!JN$27+IF('Timeline'!JN$41=1,'Operating'!JN$42-'PermLoan'!JN$29,0)+IF(271=StabMonth,OpReserve,0)+IF(271=RefiMonth,RefiCashOut,0)+IF(271=DispoMonth,NetSale,0)</f>
        <v/>
      </c>
      <c r="JO6" s="43">
        <f>-'ConLoan'!JO$27+IF('Timeline'!JO$41=1,'Operating'!JO$42-'PermLoan'!JO$29,0)+IF(272=StabMonth,OpReserve,0)+IF(272=RefiMonth,RefiCashOut,0)+IF(272=DispoMonth,NetSale,0)</f>
        <v/>
      </c>
      <c r="JP6" s="43">
        <f>-'ConLoan'!JP$27+IF('Timeline'!JP$41=1,'Operating'!JP$42-'PermLoan'!JP$29,0)+IF(273=StabMonth,OpReserve,0)+IF(273=RefiMonth,RefiCashOut,0)+IF(273=DispoMonth,NetSale,0)</f>
        <v/>
      </c>
      <c r="JQ6" s="43">
        <f>-'ConLoan'!JQ$27+IF('Timeline'!JQ$41=1,'Operating'!JQ$42-'PermLoan'!JQ$29,0)+IF(274=StabMonth,OpReserve,0)+IF(274=RefiMonth,RefiCashOut,0)+IF(274=DispoMonth,NetSale,0)</f>
        <v/>
      </c>
      <c r="JR6" s="43">
        <f>-'ConLoan'!JR$27+IF('Timeline'!JR$41=1,'Operating'!JR$42-'PermLoan'!JR$29,0)+IF(275=StabMonth,OpReserve,0)+IF(275=RefiMonth,RefiCashOut,0)+IF(275=DispoMonth,NetSale,0)</f>
        <v/>
      </c>
      <c r="JS6" s="43">
        <f>-'ConLoan'!JS$27+IF('Timeline'!JS$41=1,'Operating'!JS$42-'PermLoan'!JS$29,0)+IF(276=StabMonth,OpReserve,0)+IF(276=RefiMonth,RefiCashOut,0)+IF(276=DispoMonth,NetSale,0)</f>
        <v/>
      </c>
      <c r="JT6" s="43">
        <f>-'ConLoan'!JT$27+IF('Timeline'!JT$41=1,'Operating'!JT$42-'PermLoan'!JT$29,0)+IF(277=StabMonth,OpReserve,0)+IF(277=RefiMonth,RefiCashOut,0)+IF(277=DispoMonth,NetSale,0)</f>
        <v/>
      </c>
      <c r="JU6" s="43">
        <f>-'ConLoan'!JU$27+IF('Timeline'!JU$41=1,'Operating'!JU$42-'PermLoan'!JU$29,0)+IF(278=StabMonth,OpReserve,0)+IF(278=RefiMonth,RefiCashOut,0)+IF(278=DispoMonth,NetSale,0)</f>
        <v/>
      </c>
      <c r="JV6" s="43">
        <f>-'ConLoan'!JV$27+IF('Timeline'!JV$41=1,'Operating'!JV$42-'PermLoan'!JV$29,0)+IF(279=StabMonth,OpReserve,0)+IF(279=RefiMonth,RefiCashOut,0)+IF(279=DispoMonth,NetSale,0)</f>
        <v/>
      </c>
      <c r="JW6" s="43">
        <f>-'ConLoan'!JW$27+IF('Timeline'!JW$41=1,'Operating'!JW$42-'PermLoan'!JW$29,0)+IF(280=StabMonth,OpReserve,0)+IF(280=RefiMonth,RefiCashOut,0)+IF(280=DispoMonth,NetSale,0)</f>
        <v/>
      </c>
      <c r="JX6" s="43">
        <f>-'ConLoan'!JX$27+IF('Timeline'!JX$41=1,'Operating'!JX$42-'PermLoan'!JX$29,0)+IF(281=StabMonth,OpReserve,0)+IF(281=RefiMonth,RefiCashOut,0)+IF(281=DispoMonth,NetSale,0)</f>
        <v/>
      </c>
      <c r="JY6" s="43">
        <f>-'ConLoan'!JY$27+IF('Timeline'!JY$41=1,'Operating'!JY$42-'PermLoan'!JY$29,0)+IF(282=StabMonth,OpReserve,0)+IF(282=RefiMonth,RefiCashOut,0)+IF(282=DispoMonth,NetSale,0)</f>
        <v/>
      </c>
      <c r="JZ6" s="43">
        <f>-'ConLoan'!JZ$27+IF('Timeline'!JZ$41=1,'Operating'!JZ$42-'PermLoan'!JZ$29,0)+IF(283=StabMonth,OpReserve,0)+IF(283=RefiMonth,RefiCashOut,0)+IF(283=DispoMonth,NetSale,0)</f>
        <v/>
      </c>
      <c r="KA6" s="43">
        <f>-'ConLoan'!KA$27+IF('Timeline'!KA$41=1,'Operating'!KA$42-'PermLoan'!KA$29,0)+IF(284=StabMonth,OpReserve,0)+IF(284=RefiMonth,RefiCashOut,0)+IF(284=DispoMonth,NetSale,0)</f>
        <v/>
      </c>
      <c r="KB6" s="43">
        <f>-'ConLoan'!KB$27+IF('Timeline'!KB$41=1,'Operating'!KB$42-'PermLoan'!KB$29,0)+IF(285=StabMonth,OpReserve,0)+IF(285=RefiMonth,RefiCashOut,0)+IF(285=DispoMonth,NetSale,0)</f>
        <v/>
      </c>
      <c r="KC6" s="43">
        <f>-'ConLoan'!KC$27+IF('Timeline'!KC$41=1,'Operating'!KC$42-'PermLoan'!KC$29,0)+IF(286=StabMonth,OpReserve,0)+IF(286=RefiMonth,RefiCashOut,0)+IF(286=DispoMonth,NetSale,0)</f>
        <v/>
      </c>
      <c r="KD6" s="43">
        <f>-'ConLoan'!KD$27+IF('Timeline'!KD$41=1,'Operating'!KD$42-'PermLoan'!KD$29,0)+IF(287=StabMonth,OpReserve,0)+IF(287=RefiMonth,RefiCashOut,0)+IF(287=DispoMonth,NetSale,0)</f>
        <v/>
      </c>
      <c r="KE6" s="43">
        <f>-'ConLoan'!KE$27+IF('Timeline'!KE$41=1,'Operating'!KE$42-'PermLoan'!KE$29,0)+IF(288=StabMonth,OpReserve,0)+IF(288=RefiMonth,RefiCashOut,0)+IF(288=DispoMonth,NetSale,0)</f>
        <v/>
      </c>
      <c r="KF6" s="43">
        <f>-'ConLoan'!KF$27+IF('Timeline'!KF$41=1,'Operating'!KF$42-'PermLoan'!KF$29,0)+IF(289=StabMonth,OpReserve,0)+IF(289=RefiMonth,RefiCashOut,0)+IF(289=DispoMonth,NetSale,0)</f>
        <v/>
      </c>
      <c r="KG6" s="43">
        <f>-'ConLoan'!KG$27+IF('Timeline'!KG$41=1,'Operating'!KG$42-'PermLoan'!KG$29,0)+IF(290=StabMonth,OpReserve,0)+IF(290=RefiMonth,RefiCashOut,0)+IF(290=DispoMonth,NetSale,0)</f>
        <v/>
      </c>
      <c r="KH6" s="43">
        <f>-'ConLoan'!KH$27+IF('Timeline'!KH$41=1,'Operating'!KH$42-'PermLoan'!KH$29,0)+IF(291=StabMonth,OpReserve,0)+IF(291=RefiMonth,RefiCashOut,0)+IF(291=DispoMonth,NetSale,0)</f>
        <v/>
      </c>
      <c r="KI6" s="43">
        <f>-'ConLoan'!KI$27+IF('Timeline'!KI$41=1,'Operating'!KI$42-'PermLoan'!KI$29,0)+IF(292=StabMonth,OpReserve,0)+IF(292=RefiMonth,RefiCashOut,0)+IF(292=DispoMonth,NetSale,0)</f>
        <v/>
      </c>
      <c r="KJ6" s="43">
        <f>-'ConLoan'!KJ$27+IF('Timeline'!KJ$41=1,'Operating'!KJ$42-'PermLoan'!KJ$29,0)+IF(293=StabMonth,OpReserve,0)+IF(293=RefiMonth,RefiCashOut,0)+IF(293=DispoMonth,NetSale,0)</f>
        <v/>
      </c>
      <c r="KK6" s="43">
        <f>-'ConLoan'!KK$27+IF('Timeline'!KK$41=1,'Operating'!KK$42-'PermLoan'!KK$29,0)+IF(294=StabMonth,OpReserve,0)+IF(294=RefiMonth,RefiCashOut,0)+IF(294=DispoMonth,NetSale,0)</f>
        <v/>
      </c>
      <c r="KL6" s="43">
        <f>-'ConLoan'!KL$27+IF('Timeline'!KL$41=1,'Operating'!KL$42-'PermLoan'!KL$29,0)+IF(295=StabMonth,OpReserve,0)+IF(295=RefiMonth,RefiCashOut,0)+IF(295=DispoMonth,NetSale,0)</f>
        <v/>
      </c>
      <c r="KM6" s="43">
        <f>-'ConLoan'!KM$27+IF('Timeline'!KM$41=1,'Operating'!KM$42-'PermLoan'!KM$29,0)+IF(296=StabMonth,OpReserve,0)+IF(296=RefiMonth,RefiCashOut,0)+IF(296=DispoMonth,NetSale,0)</f>
        <v/>
      </c>
      <c r="KN6" s="43">
        <f>-'ConLoan'!KN$27+IF('Timeline'!KN$41=1,'Operating'!KN$42-'PermLoan'!KN$29,0)+IF(297=StabMonth,OpReserve,0)+IF(297=RefiMonth,RefiCashOut,0)+IF(297=DispoMonth,NetSale,0)</f>
        <v/>
      </c>
      <c r="KO6" s="43">
        <f>-'ConLoan'!KO$27+IF('Timeline'!KO$41=1,'Operating'!KO$42-'PermLoan'!KO$29,0)+IF(298=StabMonth,OpReserve,0)+IF(298=RefiMonth,RefiCashOut,0)+IF(298=DispoMonth,NetSale,0)</f>
        <v/>
      </c>
      <c r="KP6" s="43">
        <f>-'ConLoan'!KP$27+IF('Timeline'!KP$41=1,'Operating'!KP$42-'PermLoan'!KP$29,0)+IF(299=StabMonth,OpReserve,0)+IF(299=RefiMonth,RefiCashOut,0)+IF(299=DispoMonth,NetSale,0)</f>
        <v/>
      </c>
      <c r="KQ6" s="43">
        <f>-'ConLoan'!KQ$27+IF('Timeline'!KQ$41=1,'Operating'!KQ$42-'PermLoan'!KQ$29,0)+IF(300=StabMonth,OpReserve,0)+IF(300=RefiMonth,RefiCashOut,0)+IF(300=DispoMonth,NetSale,0)</f>
        <v/>
      </c>
      <c r="KR6" s="43">
        <f>-'ConLoan'!KR$27+IF('Timeline'!KR$41=1,'Operating'!KR$42-'PermLoan'!KR$29,0)+IF(301=StabMonth,OpReserve,0)+IF(301=RefiMonth,RefiCashOut,0)+IF(301=DispoMonth,NetSale,0)</f>
        <v/>
      </c>
      <c r="KS6" s="43">
        <f>-'ConLoan'!KS$27+IF('Timeline'!KS$41=1,'Operating'!KS$42-'PermLoan'!KS$29,0)+IF(302=StabMonth,OpReserve,0)+IF(302=RefiMonth,RefiCashOut,0)+IF(302=DispoMonth,NetSale,0)</f>
        <v/>
      </c>
      <c r="KT6" s="43">
        <f>-'ConLoan'!KT$27+IF('Timeline'!KT$41=1,'Operating'!KT$42-'PermLoan'!KT$29,0)+IF(303=StabMonth,OpReserve,0)+IF(303=RefiMonth,RefiCashOut,0)+IF(303=DispoMonth,NetSale,0)</f>
        <v/>
      </c>
      <c r="KU6" s="43">
        <f>-'ConLoan'!KU$27+IF('Timeline'!KU$41=1,'Operating'!KU$42-'PermLoan'!KU$29,0)+IF(304=StabMonth,OpReserve,0)+IF(304=RefiMonth,RefiCashOut,0)+IF(304=DispoMonth,NetSale,0)</f>
        <v/>
      </c>
      <c r="KV6" s="43">
        <f>-'ConLoan'!KV$27+IF('Timeline'!KV$41=1,'Operating'!KV$42-'PermLoan'!KV$29,0)+IF(305=StabMonth,OpReserve,0)+IF(305=RefiMonth,RefiCashOut,0)+IF(305=DispoMonth,NetSale,0)</f>
        <v/>
      </c>
      <c r="KW6" s="43">
        <f>-'ConLoan'!KW$27+IF('Timeline'!KW$41=1,'Operating'!KW$42-'PermLoan'!KW$29,0)+IF(306=StabMonth,OpReserve,0)+IF(306=RefiMonth,RefiCashOut,0)+IF(306=DispoMonth,NetSale,0)</f>
        <v/>
      </c>
      <c r="KX6" s="43">
        <f>-'ConLoan'!KX$27+IF('Timeline'!KX$41=1,'Operating'!KX$42-'PermLoan'!KX$29,0)+IF(307=StabMonth,OpReserve,0)+IF(307=RefiMonth,RefiCashOut,0)+IF(307=DispoMonth,NetSale,0)</f>
        <v/>
      </c>
      <c r="KY6" s="43">
        <f>-'ConLoan'!KY$27+IF('Timeline'!KY$41=1,'Operating'!KY$42-'PermLoan'!KY$29,0)+IF(308=StabMonth,OpReserve,0)+IF(308=RefiMonth,RefiCashOut,0)+IF(308=DispoMonth,NetSale,0)</f>
        <v/>
      </c>
      <c r="KZ6" s="43">
        <f>-'ConLoan'!KZ$27+IF('Timeline'!KZ$41=1,'Operating'!KZ$42-'PermLoan'!KZ$29,0)+IF(309=StabMonth,OpReserve,0)+IF(309=RefiMonth,RefiCashOut,0)+IF(309=DispoMonth,NetSale,0)</f>
        <v/>
      </c>
      <c r="LA6" s="43">
        <f>-'ConLoan'!LA$27+IF('Timeline'!LA$41=1,'Operating'!LA$42-'PermLoan'!LA$29,0)+IF(310=StabMonth,OpReserve,0)+IF(310=RefiMonth,RefiCashOut,0)+IF(310=DispoMonth,NetSale,0)</f>
        <v/>
      </c>
      <c r="LB6" s="43">
        <f>-'ConLoan'!LB$27+IF('Timeline'!LB$41=1,'Operating'!LB$42-'PermLoan'!LB$29,0)+IF(311=StabMonth,OpReserve,0)+IF(311=RefiMonth,RefiCashOut,0)+IF(311=DispoMonth,NetSale,0)</f>
        <v/>
      </c>
      <c r="LC6" s="43">
        <f>-'ConLoan'!LC$27+IF('Timeline'!LC$41=1,'Operating'!LC$42-'PermLoan'!LC$29,0)+IF(312=StabMonth,OpReserve,0)+IF(312=RefiMonth,RefiCashOut,0)+IF(312=DispoMonth,NetSale,0)</f>
        <v/>
      </c>
      <c r="LD6" s="43">
        <f>-'ConLoan'!LD$27+IF('Timeline'!LD$41=1,'Operating'!LD$42-'PermLoan'!LD$29,0)+IF(313=StabMonth,OpReserve,0)+IF(313=RefiMonth,RefiCashOut,0)+IF(313=DispoMonth,NetSale,0)</f>
        <v/>
      </c>
      <c r="LE6" s="43">
        <f>-'ConLoan'!LE$27+IF('Timeline'!LE$41=1,'Operating'!LE$42-'PermLoan'!LE$29,0)+IF(314=StabMonth,OpReserve,0)+IF(314=RefiMonth,RefiCashOut,0)+IF(314=DispoMonth,NetSale,0)</f>
        <v/>
      </c>
      <c r="LF6" s="43">
        <f>-'ConLoan'!LF$27+IF('Timeline'!LF$41=1,'Operating'!LF$42-'PermLoan'!LF$29,0)+IF(315=StabMonth,OpReserve,0)+IF(315=RefiMonth,RefiCashOut,0)+IF(315=DispoMonth,NetSale,0)</f>
        <v/>
      </c>
      <c r="LG6" s="43">
        <f>-'ConLoan'!LG$27+IF('Timeline'!LG$41=1,'Operating'!LG$42-'PermLoan'!LG$29,0)+IF(316=StabMonth,OpReserve,0)+IF(316=RefiMonth,RefiCashOut,0)+IF(316=DispoMonth,NetSale,0)</f>
        <v/>
      </c>
      <c r="LH6" s="43">
        <f>-'ConLoan'!LH$27+IF('Timeline'!LH$41=1,'Operating'!LH$42-'PermLoan'!LH$29,0)+IF(317=StabMonth,OpReserve,0)+IF(317=RefiMonth,RefiCashOut,0)+IF(317=DispoMonth,NetSale,0)</f>
        <v/>
      </c>
      <c r="LI6" s="43">
        <f>-'ConLoan'!LI$27+IF('Timeline'!LI$41=1,'Operating'!LI$42-'PermLoan'!LI$29,0)+IF(318=StabMonth,OpReserve,0)+IF(318=RefiMonth,RefiCashOut,0)+IF(318=DispoMonth,NetSale,0)</f>
        <v/>
      </c>
      <c r="LJ6" s="43">
        <f>-'ConLoan'!LJ$27+IF('Timeline'!LJ$41=1,'Operating'!LJ$42-'PermLoan'!LJ$29,0)+IF(319=StabMonth,OpReserve,0)+IF(319=RefiMonth,RefiCashOut,0)+IF(319=DispoMonth,NetSale,0)</f>
        <v/>
      </c>
      <c r="LK6" s="43">
        <f>-'ConLoan'!LK$27+IF('Timeline'!LK$41=1,'Operating'!LK$42-'PermLoan'!LK$29,0)+IF(320=StabMonth,OpReserve,0)+IF(320=RefiMonth,RefiCashOut,0)+IF(320=DispoMonth,NetSale,0)</f>
        <v/>
      </c>
      <c r="LL6" s="43">
        <f>-'ConLoan'!LL$27+IF('Timeline'!LL$41=1,'Operating'!LL$42-'PermLoan'!LL$29,0)+IF(321=StabMonth,OpReserve,0)+IF(321=RefiMonth,RefiCashOut,0)+IF(321=DispoMonth,NetSale,0)</f>
        <v/>
      </c>
      <c r="LM6" s="43">
        <f>-'ConLoan'!LM$27+IF('Timeline'!LM$41=1,'Operating'!LM$42-'PermLoan'!LM$29,0)+IF(322=StabMonth,OpReserve,0)+IF(322=RefiMonth,RefiCashOut,0)+IF(322=DispoMonth,NetSale,0)</f>
        <v/>
      </c>
      <c r="LN6" s="43">
        <f>-'ConLoan'!LN$27+IF('Timeline'!LN$41=1,'Operating'!LN$42-'PermLoan'!LN$29,0)+IF(323=StabMonth,OpReserve,0)+IF(323=RefiMonth,RefiCashOut,0)+IF(323=DispoMonth,NetSale,0)</f>
        <v/>
      </c>
      <c r="LO6" s="43">
        <f>-'ConLoan'!LO$27+IF('Timeline'!LO$41=1,'Operating'!LO$42-'PermLoan'!LO$29,0)+IF(324=StabMonth,OpReserve,0)+IF(324=RefiMonth,RefiCashOut,0)+IF(324=DispoMonth,NetSale,0)</f>
        <v/>
      </c>
      <c r="LP6" s="43">
        <f>-'ConLoan'!LP$27+IF('Timeline'!LP$41=1,'Operating'!LP$42-'PermLoan'!LP$29,0)+IF(325=StabMonth,OpReserve,0)+IF(325=RefiMonth,RefiCashOut,0)+IF(325=DispoMonth,NetSale,0)</f>
        <v/>
      </c>
      <c r="LQ6" s="43">
        <f>-'ConLoan'!LQ$27+IF('Timeline'!LQ$41=1,'Operating'!LQ$42-'PermLoan'!LQ$29,0)+IF(326=StabMonth,OpReserve,0)+IF(326=RefiMonth,RefiCashOut,0)+IF(326=DispoMonth,NetSale,0)</f>
        <v/>
      </c>
      <c r="LR6" s="43">
        <f>-'ConLoan'!LR$27+IF('Timeline'!LR$41=1,'Operating'!LR$42-'PermLoan'!LR$29,0)+IF(327=StabMonth,OpReserve,0)+IF(327=RefiMonth,RefiCashOut,0)+IF(327=DispoMonth,NetSale,0)</f>
        <v/>
      </c>
      <c r="LS6" s="43">
        <f>-'ConLoan'!LS$27+IF('Timeline'!LS$41=1,'Operating'!LS$42-'PermLoan'!LS$29,0)+IF(328=StabMonth,OpReserve,0)+IF(328=RefiMonth,RefiCashOut,0)+IF(328=DispoMonth,NetSale,0)</f>
        <v/>
      </c>
      <c r="LT6" s="43">
        <f>-'ConLoan'!LT$27+IF('Timeline'!LT$41=1,'Operating'!LT$42-'PermLoan'!LT$29,0)+IF(329=StabMonth,OpReserve,0)+IF(329=RefiMonth,RefiCashOut,0)+IF(329=DispoMonth,NetSale,0)</f>
        <v/>
      </c>
      <c r="LU6" s="43">
        <f>-'ConLoan'!LU$27+IF('Timeline'!LU$41=1,'Operating'!LU$42-'PermLoan'!LU$29,0)+IF(330=StabMonth,OpReserve,0)+IF(330=RefiMonth,RefiCashOut,0)+IF(330=DispoMonth,NetSale,0)</f>
        <v/>
      </c>
      <c r="LV6" s="43">
        <f>-'ConLoan'!LV$27+IF('Timeline'!LV$41=1,'Operating'!LV$42-'PermLoan'!LV$29,0)+IF(331=StabMonth,OpReserve,0)+IF(331=RefiMonth,RefiCashOut,0)+IF(331=DispoMonth,NetSale,0)</f>
        <v/>
      </c>
      <c r="LW6" s="43">
        <f>-'ConLoan'!LW$27+IF('Timeline'!LW$41=1,'Operating'!LW$42-'PermLoan'!LW$29,0)+IF(332=StabMonth,OpReserve,0)+IF(332=RefiMonth,RefiCashOut,0)+IF(332=DispoMonth,NetSale,0)</f>
        <v/>
      </c>
      <c r="LX6" s="43">
        <f>-'ConLoan'!LX$27+IF('Timeline'!LX$41=1,'Operating'!LX$42-'PermLoan'!LX$29,0)+IF(333=StabMonth,OpReserve,0)+IF(333=RefiMonth,RefiCashOut,0)+IF(333=DispoMonth,NetSale,0)</f>
        <v/>
      </c>
      <c r="LY6" s="43">
        <f>-'ConLoan'!LY$27+IF('Timeline'!LY$41=1,'Operating'!LY$42-'PermLoan'!LY$29,0)+IF(334=StabMonth,OpReserve,0)+IF(334=RefiMonth,RefiCashOut,0)+IF(334=DispoMonth,NetSale,0)</f>
        <v/>
      </c>
      <c r="LZ6" s="43">
        <f>-'ConLoan'!LZ$27+IF('Timeline'!LZ$41=1,'Operating'!LZ$42-'PermLoan'!LZ$29,0)+IF(335=StabMonth,OpReserve,0)+IF(335=RefiMonth,RefiCashOut,0)+IF(335=DispoMonth,NetSale,0)</f>
        <v/>
      </c>
      <c r="MA6" s="43">
        <f>-'ConLoan'!MA$27+IF('Timeline'!MA$41=1,'Operating'!MA$42-'PermLoan'!MA$29,0)+IF(336=StabMonth,OpReserve,0)+IF(336=RefiMonth,RefiCashOut,0)+IF(336=DispoMonth,NetSale,0)</f>
        <v/>
      </c>
      <c r="MB6" s="43">
        <f>-'ConLoan'!MB$27+IF('Timeline'!MB$41=1,'Operating'!MB$42-'PermLoan'!MB$29,0)+IF(337=StabMonth,OpReserve,0)+IF(337=RefiMonth,RefiCashOut,0)+IF(337=DispoMonth,NetSale,0)</f>
        <v/>
      </c>
      <c r="MC6" s="43">
        <f>-'ConLoan'!MC$27+IF('Timeline'!MC$41=1,'Operating'!MC$42-'PermLoan'!MC$29,0)+IF(338=StabMonth,OpReserve,0)+IF(338=RefiMonth,RefiCashOut,0)+IF(338=DispoMonth,NetSale,0)</f>
        <v/>
      </c>
      <c r="MD6" s="43">
        <f>-'ConLoan'!MD$27+IF('Timeline'!MD$41=1,'Operating'!MD$42-'PermLoan'!MD$29,0)+IF(339=StabMonth,OpReserve,0)+IF(339=RefiMonth,RefiCashOut,0)+IF(339=DispoMonth,NetSale,0)</f>
        <v/>
      </c>
      <c r="ME6" s="43">
        <f>-'ConLoan'!ME$27+IF('Timeline'!ME$41=1,'Operating'!ME$42-'PermLoan'!ME$29,0)+IF(340=StabMonth,OpReserve,0)+IF(340=RefiMonth,RefiCashOut,0)+IF(340=DispoMonth,NetSale,0)</f>
        <v/>
      </c>
      <c r="MF6" s="43">
        <f>-'ConLoan'!MF$27+IF('Timeline'!MF$41=1,'Operating'!MF$42-'PermLoan'!MF$29,0)+IF(341=StabMonth,OpReserve,0)+IF(341=RefiMonth,RefiCashOut,0)+IF(341=DispoMonth,NetSale,0)</f>
        <v/>
      </c>
      <c r="MG6" s="43">
        <f>-'ConLoan'!MG$27+IF('Timeline'!MG$41=1,'Operating'!MG$42-'PermLoan'!MG$29,0)+IF(342=StabMonth,OpReserve,0)+IF(342=RefiMonth,RefiCashOut,0)+IF(342=DispoMonth,NetSale,0)</f>
        <v/>
      </c>
      <c r="MH6" s="43">
        <f>-'ConLoan'!MH$27+IF('Timeline'!MH$41=1,'Operating'!MH$42-'PermLoan'!MH$29,0)+IF(343=StabMonth,OpReserve,0)+IF(343=RefiMonth,RefiCashOut,0)+IF(343=DispoMonth,NetSale,0)</f>
        <v/>
      </c>
      <c r="MI6" s="43">
        <f>-'ConLoan'!MI$27+IF('Timeline'!MI$41=1,'Operating'!MI$42-'PermLoan'!MI$29,0)+IF(344=StabMonth,OpReserve,0)+IF(344=RefiMonth,RefiCashOut,0)+IF(344=DispoMonth,NetSale,0)</f>
        <v/>
      </c>
      <c r="MJ6" s="43">
        <f>-'ConLoan'!MJ$27+IF('Timeline'!MJ$41=1,'Operating'!MJ$42-'PermLoan'!MJ$29,0)+IF(345=StabMonth,OpReserve,0)+IF(345=RefiMonth,RefiCashOut,0)+IF(345=DispoMonth,NetSale,0)</f>
        <v/>
      </c>
      <c r="MK6" s="43">
        <f>-'ConLoan'!MK$27+IF('Timeline'!MK$41=1,'Operating'!MK$42-'PermLoan'!MK$29,0)+IF(346=StabMonth,OpReserve,0)+IF(346=RefiMonth,RefiCashOut,0)+IF(346=DispoMonth,NetSale,0)</f>
        <v/>
      </c>
      <c r="ML6" s="43">
        <f>-'ConLoan'!ML$27+IF('Timeline'!ML$41=1,'Operating'!ML$42-'PermLoan'!ML$29,0)+IF(347=StabMonth,OpReserve,0)+IF(347=RefiMonth,RefiCashOut,0)+IF(347=DispoMonth,NetSale,0)</f>
        <v/>
      </c>
      <c r="MM6" s="43">
        <f>-'ConLoan'!MM$27+IF('Timeline'!MM$41=1,'Operating'!MM$42-'PermLoan'!MM$29,0)+IF(348=StabMonth,OpReserve,0)+IF(348=RefiMonth,RefiCashOut,0)+IF(348=DispoMonth,NetSale,0)</f>
        <v/>
      </c>
      <c r="MN6" s="43">
        <f>-'ConLoan'!MN$27+IF('Timeline'!MN$41=1,'Operating'!MN$42-'PermLoan'!MN$29,0)+IF(349=StabMonth,OpReserve,0)+IF(349=RefiMonth,RefiCashOut,0)+IF(349=DispoMonth,NetSale,0)</f>
        <v/>
      </c>
      <c r="MO6" s="43">
        <f>-'ConLoan'!MO$27+IF('Timeline'!MO$41=1,'Operating'!MO$42-'PermLoan'!MO$29,0)+IF(350=StabMonth,OpReserve,0)+IF(350=RefiMonth,RefiCashOut,0)+IF(350=DispoMonth,NetSale,0)</f>
        <v/>
      </c>
      <c r="MP6" s="43">
        <f>-'ConLoan'!MP$27+IF('Timeline'!MP$41=1,'Operating'!MP$42-'PermLoan'!MP$29,0)+IF(351=StabMonth,OpReserve,0)+IF(351=RefiMonth,RefiCashOut,0)+IF(351=DispoMonth,NetSale,0)</f>
        <v/>
      </c>
      <c r="MQ6" s="43">
        <f>-'ConLoan'!MQ$27+IF('Timeline'!MQ$41=1,'Operating'!MQ$42-'PermLoan'!MQ$29,0)+IF(352=StabMonth,OpReserve,0)+IF(352=RefiMonth,RefiCashOut,0)+IF(352=DispoMonth,NetSale,0)</f>
        <v/>
      </c>
      <c r="MR6" s="43">
        <f>-'ConLoan'!MR$27+IF('Timeline'!MR$41=1,'Operating'!MR$42-'PermLoan'!MR$29,0)+IF(353=StabMonth,OpReserve,0)+IF(353=RefiMonth,RefiCashOut,0)+IF(353=DispoMonth,NetSale,0)</f>
        <v/>
      </c>
      <c r="MS6" s="43">
        <f>-'ConLoan'!MS$27+IF('Timeline'!MS$41=1,'Operating'!MS$42-'PermLoan'!MS$29,0)+IF(354=StabMonth,OpReserve,0)+IF(354=RefiMonth,RefiCashOut,0)+IF(354=DispoMonth,NetSale,0)</f>
        <v/>
      </c>
      <c r="MT6" s="43">
        <f>-'ConLoan'!MT$27+IF('Timeline'!MT$41=1,'Operating'!MT$42-'PermLoan'!MT$29,0)+IF(355=StabMonth,OpReserve,0)+IF(355=RefiMonth,RefiCashOut,0)+IF(355=DispoMonth,NetSale,0)</f>
        <v/>
      </c>
      <c r="MU6" s="43">
        <f>-'ConLoan'!MU$27+IF('Timeline'!MU$41=1,'Operating'!MU$42-'PermLoan'!MU$29,0)+IF(356=StabMonth,OpReserve,0)+IF(356=RefiMonth,RefiCashOut,0)+IF(356=DispoMonth,NetSale,0)</f>
        <v/>
      </c>
      <c r="MV6" s="43">
        <f>-'ConLoan'!MV$27+IF('Timeline'!MV$41=1,'Operating'!MV$42-'PermLoan'!MV$29,0)+IF(357=StabMonth,OpReserve,0)+IF(357=RefiMonth,RefiCashOut,0)+IF(357=DispoMonth,NetSale,0)</f>
        <v/>
      </c>
      <c r="MW6" s="43">
        <f>-'ConLoan'!MW$27+IF('Timeline'!MW$41=1,'Operating'!MW$42-'PermLoan'!MW$29,0)+IF(358=StabMonth,OpReserve,0)+IF(358=RefiMonth,RefiCashOut,0)+IF(358=DispoMonth,NetSale,0)</f>
        <v/>
      </c>
      <c r="MX6" s="43">
        <f>-'ConLoan'!MX$27+IF('Timeline'!MX$41=1,'Operating'!MX$42-'PermLoan'!MX$29,0)+IF(359=StabMonth,OpReserve,0)+IF(359=RefiMonth,RefiCashOut,0)+IF(359=DispoMonth,NetSale,0)</f>
        <v/>
      </c>
      <c r="MY6" s="43">
        <f>-'ConLoan'!MY$27+IF('Timeline'!MY$41=1,'Operating'!MY$42-'PermLoan'!MY$29,0)+IF(360=StabMonth,OpReserve,0)+IF(360=RefiMonth,RefiCashOut,0)+IF(360=DispoMonth,NetSale,0)</f>
        <v/>
      </c>
      <c r="MZ6" s="43">
        <f>-'ConLoan'!MZ$27+IF('Timeline'!MZ$41=1,'Operating'!MZ$42-'PermLoan'!MZ$29,0)+IF(361=StabMonth,OpReserve,0)+IF(361=RefiMonth,RefiCashOut,0)+IF(361=DispoMonth,NetSale,0)</f>
        <v/>
      </c>
      <c r="NA6" s="43">
        <f>-'ConLoan'!NA$27+IF('Timeline'!NA$41=1,'Operating'!NA$42-'PermLoan'!NA$29,0)+IF(362=StabMonth,OpReserve,0)+IF(362=RefiMonth,RefiCashOut,0)+IF(362=DispoMonth,NetSale,0)</f>
        <v/>
      </c>
      <c r="NB6" s="43">
        <f>-'ConLoan'!NB$27+IF('Timeline'!NB$41=1,'Operating'!NB$42-'PermLoan'!NB$29,0)+IF(363=StabMonth,OpReserve,0)+IF(363=RefiMonth,RefiCashOut,0)+IF(363=DispoMonth,NetSale,0)</f>
        <v/>
      </c>
      <c r="NC6" s="43">
        <f>-'ConLoan'!NC$27+IF('Timeline'!NC$41=1,'Operating'!NC$42-'PermLoan'!NC$29,0)+IF(364=StabMonth,OpReserve,0)+IF(364=RefiMonth,RefiCashOut,0)+IF(364=DispoMonth,NetSale,0)</f>
        <v/>
      </c>
      <c r="ND6" s="43">
        <f>-'ConLoan'!ND$27+IF('Timeline'!ND$41=1,'Operating'!ND$42-'PermLoan'!ND$29,0)+IF(365=StabMonth,OpReserve,0)+IF(365=RefiMonth,RefiCashOut,0)+IF(365=DispoMonth,NetSale,0)</f>
        <v/>
      </c>
      <c r="NE6" s="43">
        <f>-'ConLoan'!NE$27+IF('Timeline'!NE$41=1,'Operating'!NE$42-'PermLoan'!NE$29,0)+IF(366=StabMonth,OpReserve,0)+IF(366=RefiMonth,RefiCashOut,0)+IF(366=DispoMonth,NetSale,0)</f>
        <v/>
      </c>
      <c r="NF6" s="43">
        <f>-'ConLoan'!NF$27+IF('Timeline'!NF$41=1,'Operating'!NF$42-'PermLoan'!NF$29,0)+IF(367=StabMonth,OpReserve,0)+IF(367=RefiMonth,RefiCashOut,0)+IF(367=DispoMonth,NetSale,0)</f>
        <v/>
      </c>
      <c r="NG6" s="43">
        <f>-'ConLoan'!NG$27+IF('Timeline'!NG$41=1,'Operating'!NG$42-'PermLoan'!NG$29,0)+IF(368=StabMonth,OpReserve,0)+IF(368=RefiMonth,RefiCashOut,0)+IF(368=DispoMonth,NetSale,0)</f>
        <v/>
      </c>
      <c r="NH6" s="43">
        <f>-'ConLoan'!NH$27+IF('Timeline'!NH$41=1,'Operating'!NH$42-'PermLoan'!NH$29,0)+IF(369=StabMonth,OpReserve,0)+IF(369=RefiMonth,RefiCashOut,0)+IF(369=DispoMonth,NetSale,0)</f>
        <v/>
      </c>
      <c r="NI6" s="43">
        <f>-'ConLoan'!NI$27+IF('Timeline'!NI$41=1,'Operating'!NI$42-'PermLoan'!NI$29,0)+IF(370=StabMonth,OpReserve,0)+IF(370=RefiMonth,RefiCashOut,0)+IF(370=DispoMonth,NetSale,0)</f>
        <v/>
      </c>
      <c r="NJ6" s="43">
        <f>-'ConLoan'!NJ$27+IF('Timeline'!NJ$41=1,'Operating'!NJ$42-'PermLoan'!NJ$29,0)+IF(371=StabMonth,OpReserve,0)+IF(371=RefiMonth,RefiCashOut,0)+IF(371=DispoMonth,NetSale,0)</f>
        <v/>
      </c>
      <c r="NK6" s="43">
        <f>-'ConLoan'!NK$27+IF('Timeline'!NK$41=1,'Operating'!NK$42-'PermLoan'!NK$29,0)+IF(372=StabMonth,OpReserve,0)+IF(372=RefiMonth,RefiCashOut,0)+IF(372=DispoMonth,NetSale,0)</f>
        <v/>
      </c>
    </row>
    <row r="7">
      <c r="A7" s="21" t="inlineStr">
        <is>
          <t>Unlevered Cash Flow (property)</t>
        </is>
      </c>
      <c r="C7" s="41">
        <f>SUM(D7:NK7)</f>
        <v/>
      </c>
      <c r="D7" s="43">
        <f>-D$5+'Operating'!D$44+IF(1=StabMonth,OpReserve,0)+IF(1=DispoMonth,NetSaleUnlev,0)</f>
        <v/>
      </c>
      <c r="E7" s="43">
        <f>-E$5+'Operating'!E$44+IF(2=StabMonth,OpReserve,0)+IF(2=DispoMonth,NetSaleUnlev,0)</f>
        <v/>
      </c>
      <c r="F7" s="43">
        <f>-F$5+'Operating'!F$44+IF(3=StabMonth,OpReserve,0)+IF(3=DispoMonth,NetSaleUnlev,0)</f>
        <v/>
      </c>
      <c r="G7" s="43">
        <f>-G$5+'Operating'!G$44+IF(4=StabMonth,OpReserve,0)+IF(4=DispoMonth,NetSaleUnlev,0)</f>
        <v/>
      </c>
      <c r="H7" s="43">
        <f>-H$5+'Operating'!H$44+IF(5=StabMonth,OpReserve,0)+IF(5=DispoMonth,NetSaleUnlev,0)</f>
        <v/>
      </c>
      <c r="I7" s="43">
        <f>-I$5+'Operating'!I$44+IF(6=StabMonth,OpReserve,0)+IF(6=DispoMonth,NetSaleUnlev,0)</f>
        <v/>
      </c>
      <c r="J7" s="43">
        <f>-J$5+'Operating'!J$44+IF(7=StabMonth,OpReserve,0)+IF(7=DispoMonth,NetSaleUnlev,0)</f>
        <v/>
      </c>
      <c r="K7" s="43">
        <f>-K$5+'Operating'!K$44+IF(8=StabMonth,OpReserve,0)+IF(8=DispoMonth,NetSaleUnlev,0)</f>
        <v/>
      </c>
      <c r="L7" s="43">
        <f>-L$5+'Operating'!L$44+IF(9=StabMonth,OpReserve,0)+IF(9=DispoMonth,NetSaleUnlev,0)</f>
        <v/>
      </c>
      <c r="M7" s="43">
        <f>-M$5+'Operating'!M$44+IF(10=StabMonth,OpReserve,0)+IF(10=DispoMonth,NetSaleUnlev,0)</f>
        <v/>
      </c>
      <c r="N7" s="43">
        <f>-N$5+'Operating'!N$44+IF(11=StabMonth,OpReserve,0)+IF(11=DispoMonth,NetSaleUnlev,0)</f>
        <v/>
      </c>
      <c r="O7" s="43">
        <f>-O$5+'Operating'!O$44+IF(12=StabMonth,OpReserve,0)+IF(12=DispoMonth,NetSaleUnlev,0)</f>
        <v/>
      </c>
      <c r="P7" s="43">
        <f>-P$5+'Operating'!P$44+IF(13=StabMonth,OpReserve,0)+IF(13=DispoMonth,NetSaleUnlev,0)</f>
        <v/>
      </c>
      <c r="Q7" s="43">
        <f>-Q$5+'Operating'!Q$44+IF(14=StabMonth,OpReserve,0)+IF(14=DispoMonth,NetSaleUnlev,0)</f>
        <v/>
      </c>
      <c r="R7" s="43">
        <f>-R$5+'Operating'!R$44+IF(15=StabMonth,OpReserve,0)+IF(15=DispoMonth,NetSaleUnlev,0)</f>
        <v/>
      </c>
      <c r="S7" s="43">
        <f>-S$5+'Operating'!S$44+IF(16=StabMonth,OpReserve,0)+IF(16=DispoMonth,NetSaleUnlev,0)</f>
        <v/>
      </c>
      <c r="T7" s="43">
        <f>-T$5+'Operating'!T$44+IF(17=StabMonth,OpReserve,0)+IF(17=DispoMonth,NetSaleUnlev,0)</f>
        <v/>
      </c>
      <c r="U7" s="43">
        <f>-U$5+'Operating'!U$44+IF(18=StabMonth,OpReserve,0)+IF(18=DispoMonth,NetSaleUnlev,0)</f>
        <v/>
      </c>
      <c r="V7" s="43">
        <f>-V$5+'Operating'!V$44+IF(19=StabMonth,OpReserve,0)+IF(19=DispoMonth,NetSaleUnlev,0)</f>
        <v/>
      </c>
      <c r="W7" s="43">
        <f>-W$5+'Operating'!W$44+IF(20=StabMonth,OpReserve,0)+IF(20=DispoMonth,NetSaleUnlev,0)</f>
        <v/>
      </c>
      <c r="X7" s="43">
        <f>-X$5+'Operating'!X$44+IF(21=StabMonth,OpReserve,0)+IF(21=DispoMonth,NetSaleUnlev,0)</f>
        <v/>
      </c>
      <c r="Y7" s="43">
        <f>-Y$5+'Operating'!Y$44+IF(22=StabMonth,OpReserve,0)+IF(22=DispoMonth,NetSaleUnlev,0)</f>
        <v/>
      </c>
      <c r="Z7" s="43">
        <f>-Z$5+'Operating'!Z$44+IF(23=StabMonth,OpReserve,0)+IF(23=DispoMonth,NetSaleUnlev,0)</f>
        <v/>
      </c>
      <c r="AA7" s="43">
        <f>-AA$5+'Operating'!AA$44+IF(24=StabMonth,OpReserve,0)+IF(24=DispoMonth,NetSaleUnlev,0)</f>
        <v/>
      </c>
      <c r="AB7" s="43">
        <f>-AB$5+'Operating'!AB$44+IF(25=StabMonth,OpReserve,0)+IF(25=DispoMonth,NetSaleUnlev,0)</f>
        <v/>
      </c>
      <c r="AC7" s="43">
        <f>-AC$5+'Operating'!AC$44+IF(26=StabMonth,OpReserve,0)+IF(26=DispoMonth,NetSaleUnlev,0)</f>
        <v/>
      </c>
      <c r="AD7" s="43">
        <f>-AD$5+'Operating'!AD$44+IF(27=StabMonth,OpReserve,0)+IF(27=DispoMonth,NetSaleUnlev,0)</f>
        <v/>
      </c>
      <c r="AE7" s="43">
        <f>-AE$5+'Operating'!AE$44+IF(28=StabMonth,OpReserve,0)+IF(28=DispoMonth,NetSaleUnlev,0)</f>
        <v/>
      </c>
      <c r="AF7" s="43">
        <f>-AF$5+'Operating'!AF$44+IF(29=StabMonth,OpReserve,0)+IF(29=DispoMonth,NetSaleUnlev,0)</f>
        <v/>
      </c>
      <c r="AG7" s="43">
        <f>-AG$5+'Operating'!AG$44+IF(30=StabMonth,OpReserve,0)+IF(30=DispoMonth,NetSaleUnlev,0)</f>
        <v/>
      </c>
      <c r="AH7" s="43">
        <f>-AH$5+'Operating'!AH$44+IF(31=StabMonth,OpReserve,0)+IF(31=DispoMonth,NetSaleUnlev,0)</f>
        <v/>
      </c>
      <c r="AI7" s="43">
        <f>-AI$5+'Operating'!AI$44+IF(32=StabMonth,OpReserve,0)+IF(32=DispoMonth,NetSaleUnlev,0)</f>
        <v/>
      </c>
      <c r="AJ7" s="43">
        <f>-AJ$5+'Operating'!AJ$44+IF(33=StabMonth,OpReserve,0)+IF(33=DispoMonth,NetSaleUnlev,0)</f>
        <v/>
      </c>
      <c r="AK7" s="43">
        <f>-AK$5+'Operating'!AK$44+IF(34=StabMonth,OpReserve,0)+IF(34=DispoMonth,NetSaleUnlev,0)</f>
        <v/>
      </c>
      <c r="AL7" s="43">
        <f>-AL$5+'Operating'!AL$44+IF(35=StabMonth,OpReserve,0)+IF(35=DispoMonth,NetSaleUnlev,0)</f>
        <v/>
      </c>
      <c r="AM7" s="43">
        <f>-AM$5+'Operating'!AM$44+IF(36=StabMonth,OpReserve,0)+IF(36=DispoMonth,NetSaleUnlev,0)</f>
        <v/>
      </c>
      <c r="AN7" s="43">
        <f>-AN$5+'Operating'!AN$44+IF(37=StabMonth,OpReserve,0)+IF(37=DispoMonth,NetSaleUnlev,0)</f>
        <v/>
      </c>
      <c r="AO7" s="43">
        <f>-AO$5+'Operating'!AO$44+IF(38=StabMonth,OpReserve,0)+IF(38=DispoMonth,NetSaleUnlev,0)</f>
        <v/>
      </c>
      <c r="AP7" s="43">
        <f>-AP$5+'Operating'!AP$44+IF(39=StabMonth,OpReserve,0)+IF(39=DispoMonth,NetSaleUnlev,0)</f>
        <v/>
      </c>
      <c r="AQ7" s="43">
        <f>-AQ$5+'Operating'!AQ$44+IF(40=StabMonth,OpReserve,0)+IF(40=DispoMonth,NetSaleUnlev,0)</f>
        <v/>
      </c>
      <c r="AR7" s="43">
        <f>-AR$5+'Operating'!AR$44+IF(41=StabMonth,OpReserve,0)+IF(41=DispoMonth,NetSaleUnlev,0)</f>
        <v/>
      </c>
      <c r="AS7" s="43">
        <f>-AS$5+'Operating'!AS$44+IF(42=StabMonth,OpReserve,0)+IF(42=DispoMonth,NetSaleUnlev,0)</f>
        <v/>
      </c>
      <c r="AT7" s="43">
        <f>-AT$5+'Operating'!AT$44+IF(43=StabMonth,OpReserve,0)+IF(43=DispoMonth,NetSaleUnlev,0)</f>
        <v/>
      </c>
      <c r="AU7" s="43">
        <f>-AU$5+'Operating'!AU$44+IF(44=StabMonth,OpReserve,0)+IF(44=DispoMonth,NetSaleUnlev,0)</f>
        <v/>
      </c>
      <c r="AV7" s="43">
        <f>-AV$5+'Operating'!AV$44+IF(45=StabMonth,OpReserve,0)+IF(45=DispoMonth,NetSaleUnlev,0)</f>
        <v/>
      </c>
      <c r="AW7" s="43">
        <f>-AW$5+'Operating'!AW$44+IF(46=StabMonth,OpReserve,0)+IF(46=DispoMonth,NetSaleUnlev,0)</f>
        <v/>
      </c>
      <c r="AX7" s="43">
        <f>-AX$5+'Operating'!AX$44+IF(47=StabMonth,OpReserve,0)+IF(47=DispoMonth,NetSaleUnlev,0)</f>
        <v/>
      </c>
      <c r="AY7" s="43">
        <f>-AY$5+'Operating'!AY$44+IF(48=StabMonth,OpReserve,0)+IF(48=DispoMonth,NetSaleUnlev,0)</f>
        <v/>
      </c>
      <c r="AZ7" s="43">
        <f>-AZ$5+'Operating'!AZ$44+IF(49=StabMonth,OpReserve,0)+IF(49=DispoMonth,NetSaleUnlev,0)</f>
        <v/>
      </c>
      <c r="BA7" s="43">
        <f>-BA$5+'Operating'!BA$44+IF(50=StabMonth,OpReserve,0)+IF(50=DispoMonth,NetSaleUnlev,0)</f>
        <v/>
      </c>
      <c r="BB7" s="43">
        <f>-BB$5+'Operating'!BB$44+IF(51=StabMonth,OpReserve,0)+IF(51=DispoMonth,NetSaleUnlev,0)</f>
        <v/>
      </c>
      <c r="BC7" s="43">
        <f>-BC$5+'Operating'!BC$44+IF(52=StabMonth,OpReserve,0)+IF(52=DispoMonth,NetSaleUnlev,0)</f>
        <v/>
      </c>
      <c r="BD7" s="43">
        <f>-BD$5+'Operating'!BD$44+IF(53=StabMonth,OpReserve,0)+IF(53=DispoMonth,NetSaleUnlev,0)</f>
        <v/>
      </c>
      <c r="BE7" s="43">
        <f>-BE$5+'Operating'!BE$44+IF(54=StabMonth,OpReserve,0)+IF(54=DispoMonth,NetSaleUnlev,0)</f>
        <v/>
      </c>
      <c r="BF7" s="43">
        <f>-BF$5+'Operating'!BF$44+IF(55=StabMonth,OpReserve,0)+IF(55=DispoMonth,NetSaleUnlev,0)</f>
        <v/>
      </c>
      <c r="BG7" s="43">
        <f>-BG$5+'Operating'!BG$44+IF(56=StabMonth,OpReserve,0)+IF(56=DispoMonth,NetSaleUnlev,0)</f>
        <v/>
      </c>
      <c r="BH7" s="43">
        <f>-BH$5+'Operating'!BH$44+IF(57=StabMonth,OpReserve,0)+IF(57=DispoMonth,NetSaleUnlev,0)</f>
        <v/>
      </c>
      <c r="BI7" s="43">
        <f>-BI$5+'Operating'!BI$44+IF(58=StabMonth,OpReserve,0)+IF(58=DispoMonth,NetSaleUnlev,0)</f>
        <v/>
      </c>
      <c r="BJ7" s="43">
        <f>-BJ$5+'Operating'!BJ$44+IF(59=StabMonth,OpReserve,0)+IF(59=DispoMonth,NetSaleUnlev,0)</f>
        <v/>
      </c>
      <c r="BK7" s="43">
        <f>-BK$5+'Operating'!BK$44+IF(60=StabMonth,OpReserve,0)+IF(60=DispoMonth,NetSaleUnlev,0)</f>
        <v/>
      </c>
      <c r="BL7" s="43">
        <f>-BL$5+'Operating'!BL$44+IF(61=StabMonth,OpReserve,0)+IF(61=DispoMonth,NetSaleUnlev,0)</f>
        <v/>
      </c>
      <c r="BM7" s="43">
        <f>-BM$5+'Operating'!BM$44+IF(62=StabMonth,OpReserve,0)+IF(62=DispoMonth,NetSaleUnlev,0)</f>
        <v/>
      </c>
      <c r="BN7" s="43">
        <f>-BN$5+'Operating'!BN$44+IF(63=StabMonth,OpReserve,0)+IF(63=DispoMonth,NetSaleUnlev,0)</f>
        <v/>
      </c>
      <c r="BO7" s="43">
        <f>-BO$5+'Operating'!BO$44+IF(64=StabMonth,OpReserve,0)+IF(64=DispoMonth,NetSaleUnlev,0)</f>
        <v/>
      </c>
      <c r="BP7" s="43">
        <f>-BP$5+'Operating'!BP$44+IF(65=StabMonth,OpReserve,0)+IF(65=DispoMonth,NetSaleUnlev,0)</f>
        <v/>
      </c>
      <c r="BQ7" s="43">
        <f>-BQ$5+'Operating'!BQ$44+IF(66=StabMonth,OpReserve,0)+IF(66=DispoMonth,NetSaleUnlev,0)</f>
        <v/>
      </c>
      <c r="BR7" s="43">
        <f>-BR$5+'Operating'!BR$44+IF(67=StabMonth,OpReserve,0)+IF(67=DispoMonth,NetSaleUnlev,0)</f>
        <v/>
      </c>
      <c r="BS7" s="43">
        <f>-BS$5+'Operating'!BS$44+IF(68=StabMonth,OpReserve,0)+IF(68=DispoMonth,NetSaleUnlev,0)</f>
        <v/>
      </c>
      <c r="BT7" s="43">
        <f>-BT$5+'Operating'!BT$44+IF(69=StabMonth,OpReserve,0)+IF(69=DispoMonth,NetSaleUnlev,0)</f>
        <v/>
      </c>
      <c r="BU7" s="43">
        <f>-BU$5+'Operating'!BU$44+IF(70=StabMonth,OpReserve,0)+IF(70=DispoMonth,NetSaleUnlev,0)</f>
        <v/>
      </c>
      <c r="BV7" s="43">
        <f>-BV$5+'Operating'!BV$44+IF(71=StabMonth,OpReserve,0)+IF(71=DispoMonth,NetSaleUnlev,0)</f>
        <v/>
      </c>
      <c r="BW7" s="43">
        <f>-BW$5+'Operating'!BW$44+IF(72=StabMonth,OpReserve,0)+IF(72=DispoMonth,NetSaleUnlev,0)</f>
        <v/>
      </c>
      <c r="BX7" s="43">
        <f>-BX$5+'Operating'!BX$44+IF(73=StabMonth,OpReserve,0)+IF(73=DispoMonth,NetSaleUnlev,0)</f>
        <v/>
      </c>
      <c r="BY7" s="43">
        <f>-BY$5+'Operating'!BY$44+IF(74=StabMonth,OpReserve,0)+IF(74=DispoMonth,NetSaleUnlev,0)</f>
        <v/>
      </c>
      <c r="BZ7" s="43">
        <f>-BZ$5+'Operating'!BZ$44+IF(75=StabMonth,OpReserve,0)+IF(75=DispoMonth,NetSaleUnlev,0)</f>
        <v/>
      </c>
      <c r="CA7" s="43">
        <f>-CA$5+'Operating'!CA$44+IF(76=StabMonth,OpReserve,0)+IF(76=DispoMonth,NetSaleUnlev,0)</f>
        <v/>
      </c>
      <c r="CB7" s="43">
        <f>-CB$5+'Operating'!CB$44+IF(77=StabMonth,OpReserve,0)+IF(77=DispoMonth,NetSaleUnlev,0)</f>
        <v/>
      </c>
      <c r="CC7" s="43">
        <f>-CC$5+'Operating'!CC$44+IF(78=StabMonth,OpReserve,0)+IF(78=DispoMonth,NetSaleUnlev,0)</f>
        <v/>
      </c>
      <c r="CD7" s="43">
        <f>-CD$5+'Operating'!CD$44+IF(79=StabMonth,OpReserve,0)+IF(79=DispoMonth,NetSaleUnlev,0)</f>
        <v/>
      </c>
      <c r="CE7" s="43">
        <f>-CE$5+'Operating'!CE$44+IF(80=StabMonth,OpReserve,0)+IF(80=DispoMonth,NetSaleUnlev,0)</f>
        <v/>
      </c>
      <c r="CF7" s="43">
        <f>-CF$5+'Operating'!CF$44+IF(81=StabMonth,OpReserve,0)+IF(81=DispoMonth,NetSaleUnlev,0)</f>
        <v/>
      </c>
      <c r="CG7" s="43">
        <f>-CG$5+'Operating'!CG$44+IF(82=StabMonth,OpReserve,0)+IF(82=DispoMonth,NetSaleUnlev,0)</f>
        <v/>
      </c>
      <c r="CH7" s="43">
        <f>-CH$5+'Operating'!CH$44+IF(83=StabMonth,OpReserve,0)+IF(83=DispoMonth,NetSaleUnlev,0)</f>
        <v/>
      </c>
      <c r="CI7" s="43">
        <f>-CI$5+'Operating'!CI$44+IF(84=StabMonth,OpReserve,0)+IF(84=DispoMonth,NetSaleUnlev,0)</f>
        <v/>
      </c>
      <c r="CJ7" s="43">
        <f>-CJ$5+'Operating'!CJ$44+IF(85=StabMonth,OpReserve,0)+IF(85=DispoMonth,NetSaleUnlev,0)</f>
        <v/>
      </c>
      <c r="CK7" s="43">
        <f>-CK$5+'Operating'!CK$44+IF(86=StabMonth,OpReserve,0)+IF(86=DispoMonth,NetSaleUnlev,0)</f>
        <v/>
      </c>
      <c r="CL7" s="43">
        <f>-CL$5+'Operating'!CL$44+IF(87=StabMonth,OpReserve,0)+IF(87=DispoMonth,NetSaleUnlev,0)</f>
        <v/>
      </c>
      <c r="CM7" s="43">
        <f>-CM$5+'Operating'!CM$44+IF(88=StabMonth,OpReserve,0)+IF(88=DispoMonth,NetSaleUnlev,0)</f>
        <v/>
      </c>
      <c r="CN7" s="43">
        <f>-CN$5+'Operating'!CN$44+IF(89=StabMonth,OpReserve,0)+IF(89=DispoMonth,NetSaleUnlev,0)</f>
        <v/>
      </c>
      <c r="CO7" s="43">
        <f>-CO$5+'Operating'!CO$44+IF(90=StabMonth,OpReserve,0)+IF(90=DispoMonth,NetSaleUnlev,0)</f>
        <v/>
      </c>
      <c r="CP7" s="43">
        <f>-CP$5+'Operating'!CP$44+IF(91=StabMonth,OpReserve,0)+IF(91=DispoMonth,NetSaleUnlev,0)</f>
        <v/>
      </c>
      <c r="CQ7" s="43">
        <f>-CQ$5+'Operating'!CQ$44+IF(92=StabMonth,OpReserve,0)+IF(92=DispoMonth,NetSaleUnlev,0)</f>
        <v/>
      </c>
      <c r="CR7" s="43">
        <f>-CR$5+'Operating'!CR$44+IF(93=StabMonth,OpReserve,0)+IF(93=DispoMonth,NetSaleUnlev,0)</f>
        <v/>
      </c>
      <c r="CS7" s="43">
        <f>-CS$5+'Operating'!CS$44+IF(94=StabMonth,OpReserve,0)+IF(94=DispoMonth,NetSaleUnlev,0)</f>
        <v/>
      </c>
      <c r="CT7" s="43">
        <f>-CT$5+'Operating'!CT$44+IF(95=StabMonth,OpReserve,0)+IF(95=DispoMonth,NetSaleUnlev,0)</f>
        <v/>
      </c>
      <c r="CU7" s="43">
        <f>-CU$5+'Operating'!CU$44+IF(96=StabMonth,OpReserve,0)+IF(96=DispoMonth,NetSaleUnlev,0)</f>
        <v/>
      </c>
      <c r="CV7" s="43">
        <f>-CV$5+'Operating'!CV$44+IF(97=StabMonth,OpReserve,0)+IF(97=DispoMonth,NetSaleUnlev,0)</f>
        <v/>
      </c>
      <c r="CW7" s="43">
        <f>-CW$5+'Operating'!CW$44+IF(98=StabMonth,OpReserve,0)+IF(98=DispoMonth,NetSaleUnlev,0)</f>
        <v/>
      </c>
      <c r="CX7" s="43">
        <f>-CX$5+'Operating'!CX$44+IF(99=StabMonth,OpReserve,0)+IF(99=DispoMonth,NetSaleUnlev,0)</f>
        <v/>
      </c>
      <c r="CY7" s="43">
        <f>-CY$5+'Operating'!CY$44+IF(100=StabMonth,OpReserve,0)+IF(100=DispoMonth,NetSaleUnlev,0)</f>
        <v/>
      </c>
      <c r="CZ7" s="43">
        <f>-CZ$5+'Operating'!CZ$44+IF(101=StabMonth,OpReserve,0)+IF(101=DispoMonth,NetSaleUnlev,0)</f>
        <v/>
      </c>
      <c r="DA7" s="43">
        <f>-DA$5+'Operating'!DA$44+IF(102=StabMonth,OpReserve,0)+IF(102=DispoMonth,NetSaleUnlev,0)</f>
        <v/>
      </c>
      <c r="DB7" s="43">
        <f>-DB$5+'Operating'!DB$44+IF(103=StabMonth,OpReserve,0)+IF(103=DispoMonth,NetSaleUnlev,0)</f>
        <v/>
      </c>
      <c r="DC7" s="43">
        <f>-DC$5+'Operating'!DC$44+IF(104=StabMonth,OpReserve,0)+IF(104=DispoMonth,NetSaleUnlev,0)</f>
        <v/>
      </c>
      <c r="DD7" s="43">
        <f>-DD$5+'Operating'!DD$44+IF(105=StabMonth,OpReserve,0)+IF(105=DispoMonth,NetSaleUnlev,0)</f>
        <v/>
      </c>
      <c r="DE7" s="43">
        <f>-DE$5+'Operating'!DE$44+IF(106=StabMonth,OpReserve,0)+IF(106=DispoMonth,NetSaleUnlev,0)</f>
        <v/>
      </c>
      <c r="DF7" s="43">
        <f>-DF$5+'Operating'!DF$44+IF(107=StabMonth,OpReserve,0)+IF(107=DispoMonth,NetSaleUnlev,0)</f>
        <v/>
      </c>
      <c r="DG7" s="43">
        <f>-DG$5+'Operating'!DG$44+IF(108=StabMonth,OpReserve,0)+IF(108=DispoMonth,NetSaleUnlev,0)</f>
        <v/>
      </c>
      <c r="DH7" s="43">
        <f>-DH$5+'Operating'!DH$44+IF(109=StabMonth,OpReserve,0)+IF(109=DispoMonth,NetSaleUnlev,0)</f>
        <v/>
      </c>
      <c r="DI7" s="43">
        <f>-DI$5+'Operating'!DI$44+IF(110=StabMonth,OpReserve,0)+IF(110=DispoMonth,NetSaleUnlev,0)</f>
        <v/>
      </c>
      <c r="DJ7" s="43">
        <f>-DJ$5+'Operating'!DJ$44+IF(111=StabMonth,OpReserve,0)+IF(111=DispoMonth,NetSaleUnlev,0)</f>
        <v/>
      </c>
      <c r="DK7" s="43">
        <f>-DK$5+'Operating'!DK$44+IF(112=StabMonth,OpReserve,0)+IF(112=DispoMonth,NetSaleUnlev,0)</f>
        <v/>
      </c>
      <c r="DL7" s="43">
        <f>-DL$5+'Operating'!DL$44+IF(113=StabMonth,OpReserve,0)+IF(113=DispoMonth,NetSaleUnlev,0)</f>
        <v/>
      </c>
      <c r="DM7" s="43">
        <f>-DM$5+'Operating'!DM$44+IF(114=StabMonth,OpReserve,0)+IF(114=DispoMonth,NetSaleUnlev,0)</f>
        <v/>
      </c>
      <c r="DN7" s="43">
        <f>-DN$5+'Operating'!DN$44+IF(115=StabMonth,OpReserve,0)+IF(115=DispoMonth,NetSaleUnlev,0)</f>
        <v/>
      </c>
      <c r="DO7" s="43">
        <f>-DO$5+'Operating'!DO$44+IF(116=StabMonth,OpReserve,0)+IF(116=DispoMonth,NetSaleUnlev,0)</f>
        <v/>
      </c>
      <c r="DP7" s="43">
        <f>-DP$5+'Operating'!DP$44+IF(117=StabMonth,OpReserve,0)+IF(117=DispoMonth,NetSaleUnlev,0)</f>
        <v/>
      </c>
      <c r="DQ7" s="43">
        <f>-DQ$5+'Operating'!DQ$44+IF(118=StabMonth,OpReserve,0)+IF(118=DispoMonth,NetSaleUnlev,0)</f>
        <v/>
      </c>
      <c r="DR7" s="43">
        <f>-DR$5+'Operating'!DR$44+IF(119=StabMonth,OpReserve,0)+IF(119=DispoMonth,NetSaleUnlev,0)</f>
        <v/>
      </c>
      <c r="DS7" s="43">
        <f>-DS$5+'Operating'!DS$44+IF(120=StabMonth,OpReserve,0)+IF(120=DispoMonth,NetSaleUnlev,0)</f>
        <v/>
      </c>
      <c r="DT7" s="43">
        <f>-DT$5+'Operating'!DT$44+IF(121=StabMonth,OpReserve,0)+IF(121=DispoMonth,NetSaleUnlev,0)</f>
        <v/>
      </c>
      <c r="DU7" s="43">
        <f>-DU$5+'Operating'!DU$44+IF(122=StabMonth,OpReserve,0)+IF(122=DispoMonth,NetSaleUnlev,0)</f>
        <v/>
      </c>
      <c r="DV7" s="43">
        <f>-DV$5+'Operating'!DV$44+IF(123=StabMonth,OpReserve,0)+IF(123=DispoMonth,NetSaleUnlev,0)</f>
        <v/>
      </c>
      <c r="DW7" s="43">
        <f>-DW$5+'Operating'!DW$44+IF(124=StabMonth,OpReserve,0)+IF(124=DispoMonth,NetSaleUnlev,0)</f>
        <v/>
      </c>
      <c r="DX7" s="43">
        <f>-DX$5+'Operating'!DX$44+IF(125=StabMonth,OpReserve,0)+IF(125=DispoMonth,NetSaleUnlev,0)</f>
        <v/>
      </c>
      <c r="DY7" s="43">
        <f>-DY$5+'Operating'!DY$44+IF(126=StabMonth,OpReserve,0)+IF(126=DispoMonth,NetSaleUnlev,0)</f>
        <v/>
      </c>
      <c r="DZ7" s="43">
        <f>-DZ$5+'Operating'!DZ$44+IF(127=StabMonth,OpReserve,0)+IF(127=DispoMonth,NetSaleUnlev,0)</f>
        <v/>
      </c>
      <c r="EA7" s="43">
        <f>-EA$5+'Operating'!EA$44+IF(128=StabMonth,OpReserve,0)+IF(128=DispoMonth,NetSaleUnlev,0)</f>
        <v/>
      </c>
      <c r="EB7" s="43">
        <f>-EB$5+'Operating'!EB$44+IF(129=StabMonth,OpReserve,0)+IF(129=DispoMonth,NetSaleUnlev,0)</f>
        <v/>
      </c>
      <c r="EC7" s="43">
        <f>-EC$5+'Operating'!EC$44+IF(130=StabMonth,OpReserve,0)+IF(130=DispoMonth,NetSaleUnlev,0)</f>
        <v/>
      </c>
      <c r="ED7" s="43">
        <f>-ED$5+'Operating'!ED$44+IF(131=StabMonth,OpReserve,0)+IF(131=DispoMonth,NetSaleUnlev,0)</f>
        <v/>
      </c>
      <c r="EE7" s="43">
        <f>-EE$5+'Operating'!EE$44+IF(132=StabMonth,OpReserve,0)+IF(132=DispoMonth,NetSaleUnlev,0)</f>
        <v/>
      </c>
      <c r="EF7" s="43">
        <f>-EF$5+'Operating'!EF$44+IF(133=StabMonth,OpReserve,0)+IF(133=DispoMonth,NetSaleUnlev,0)</f>
        <v/>
      </c>
      <c r="EG7" s="43">
        <f>-EG$5+'Operating'!EG$44+IF(134=StabMonth,OpReserve,0)+IF(134=DispoMonth,NetSaleUnlev,0)</f>
        <v/>
      </c>
      <c r="EH7" s="43">
        <f>-EH$5+'Operating'!EH$44+IF(135=StabMonth,OpReserve,0)+IF(135=DispoMonth,NetSaleUnlev,0)</f>
        <v/>
      </c>
      <c r="EI7" s="43">
        <f>-EI$5+'Operating'!EI$44+IF(136=StabMonth,OpReserve,0)+IF(136=DispoMonth,NetSaleUnlev,0)</f>
        <v/>
      </c>
      <c r="EJ7" s="43">
        <f>-EJ$5+'Operating'!EJ$44+IF(137=StabMonth,OpReserve,0)+IF(137=DispoMonth,NetSaleUnlev,0)</f>
        <v/>
      </c>
      <c r="EK7" s="43">
        <f>-EK$5+'Operating'!EK$44+IF(138=StabMonth,OpReserve,0)+IF(138=DispoMonth,NetSaleUnlev,0)</f>
        <v/>
      </c>
      <c r="EL7" s="43">
        <f>-EL$5+'Operating'!EL$44+IF(139=StabMonth,OpReserve,0)+IF(139=DispoMonth,NetSaleUnlev,0)</f>
        <v/>
      </c>
      <c r="EM7" s="43">
        <f>-EM$5+'Operating'!EM$44+IF(140=StabMonth,OpReserve,0)+IF(140=DispoMonth,NetSaleUnlev,0)</f>
        <v/>
      </c>
      <c r="EN7" s="43">
        <f>-EN$5+'Operating'!EN$44+IF(141=StabMonth,OpReserve,0)+IF(141=DispoMonth,NetSaleUnlev,0)</f>
        <v/>
      </c>
      <c r="EO7" s="43">
        <f>-EO$5+'Operating'!EO$44+IF(142=StabMonth,OpReserve,0)+IF(142=DispoMonth,NetSaleUnlev,0)</f>
        <v/>
      </c>
      <c r="EP7" s="43">
        <f>-EP$5+'Operating'!EP$44+IF(143=StabMonth,OpReserve,0)+IF(143=DispoMonth,NetSaleUnlev,0)</f>
        <v/>
      </c>
      <c r="EQ7" s="43">
        <f>-EQ$5+'Operating'!EQ$44+IF(144=StabMonth,OpReserve,0)+IF(144=DispoMonth,NetSaleUnlev,0)</f>
        <v/>
      </c>
      <c r="ER7" s="43">
        <f>-ER$5+'Operating'!ER$44+IF(145=StabMonth,OpReserve,0)+IF(145=DispoMonth,NetSaleUnlev,0)</f>
        <v/>
      </c>
      <c r="ES7" s="43">
        <f>-ES$5+'Operating'!ES$44+IF(146=StabMonth,OpReserve,0)+IF(146=DispoMonth,NetSaleUnlev,0)</f>
        <v/>
      </c>
      <c r="ET7" s="43">
        <f>-ET$5+'Operating'!ET$44+IF(147=StabMonth,OpReserve,0)+IF(147=DispoMonth,NetSaleUnlev,0)</f>
        <v/>
      </c>
      <c r="EU7" s="43">
        <f>-EU$5+'Operating'!EU$44+IF(148=StabMonth,OpReserve,0)+IF(148=DispoMonth,NetSaleUnlev,0)</f>
        <v/>
      </c>
      <c r="EV7" s="43">
        <f>-EV$5+'Operating'!EV$44+IF(149=StabMonth,OpReserve,0)+IF(149=DispoMonth,NetSaleUnlev,0)</f>
        <v/>
      </c>
      <c r="EW7" s="43">
        <f>-EW$5+'Operating'!EW$44+IF(150=StabMonth,OpReserve,0)+IF(150=DispoMonth,NetSaleUnlev,0)</f>
        <v/>
      </c>
      <c r="EX7" s="43">
        <f>-EX$5+'Operating'!EX$44+IF(151=StabMonth,OpReserve,0)+IF(151=DispoMonth,NetSaleUnlev,0)</f>
        <v/>
      </c>
      <c r="EY7" s="43">
        <f>-EY$5+'Operating'!EY$44+IF(152=StabMonth,OpReserve,0)+IF(152=DispoMonth,NetSaleUnlev,0)</f>
        <v/>
      </c>
      <c r="EZ7" s="43">
        <f>-EZ$5+'Operating'!EZ$44+IF(153=StabMonth,OpReserve,0)+IF(153=DispoMonth,NetSaleUnlev,0)</f>
        <v/>
      </c>
      <c r="FA7" s="43">
        <f>-FA$5+'Operating'!FA$44+IF(154=StabMonth,OpReserve,0)+IF(154=DispoMonth,NetSaleUnlev,0)</f>
        <v/>
      </c>
      <c r="FB7" s="43">
        <f>-FB$5+'Operating'!FB$44+IF(155=StabMonth,OpReserve,0)+IF(155=DispoMonth,NetSaleUnlev,0)</f>
        <v/>
      </c>
      <c r="FC7" s="43">
        <f>-FC$5+'Operating'!FC$44+IF(156=StabMonth,OpReserve,0)+IF(156=DispoMonth,NetSaleUnlev,0)</f>
        <v/>
      </c>
      <c r="FD7" s="43">
        <f>-FD$5+'Operating'!FD$44+IF(157=StabMonth,OpReserve,0)+IF(157=DispoMonth,NetSaleUnlev,0)</f>
        <v/>
      </c>
      <c r="FE7" s="43">
        <f>-FE$5+'Operating'!FE$44+IF(158=StabMonth,OpReserve,0)+IF(158=DispoMonth,NetSaleUnlev,0)</f>
        <v/>
      </c>
      <c r="FF7" s="43">
        <f>-FF$5+'Operating'!FF$44+IF(159=StabMonth,OpReserve,0)+IF(159=DispoMonth,NetSaleUnlev,0)</f>
        <v/>
      </c>
      <c r="FG7" s="43">
        <f>-FG$5+'Operating'!FG$44+IF(160=StabMonth,OpReserve,0)+IF(160=DispoMonth,NetSaleUnlev,0)</f>
        <v/>
      </c>
      <c r="FH7" s="43">
        <f>-FH$5+'Operating'!FH$44+IF(161=StabMonth,OpReserve,0)+IF(161=DispoMonth,NetSaleUnlev,0)</f>
        <v/>
      </c>
      <c r="FI7" s="43">
        <f>-FI$5+'Operating'!FI$44+IF(162=StabMonth,OpReserve,0)+IF(162=DispoMonth,NetSaleUnlev,0)</f>
        <v/>
      </c>
      <c r="FJ7" s="43">
        <f>-FJ$5+'Operating'!FJ$44+IF(163=StabMonth,OpReserve,0)+IF(163=DispoMonth,NetSaleUnlev,0)</f>
        <v/>
      </c>
      <c r="FK7" s="43">
        <f>-FK$5+'Operating'!FK$44+IF(164=StabMonth,OpReserve,0)+IF(164=DispoMonth,NetSaleUnlev,0)</f>
        <v/>
      </c>
      <c r="FL7" s="43">
        <f>-FL$5+'Operating'!FL$44+IF(165=StabMonth,OpReserve,0)+IF(165=DispoMonth,NetSaleUnlev,0)</f>
        <v/>
      </c>
      <c r="FM7" s="43">
        <f>-FM$5+'Operating'!FM$44+IF(166=StabMonth,OpReserve,0)+IF(166=DispoMonth,NetSaleUnlev,0)</f>
        <v/>
      </c>
      <c r="FN7" s="43">
        <f>-FN$5+'Operating'!FN$44+IF(167=StabMonth,OpReserve,0)+IF(167=DispoMonth,NetSaleUnlev,0)</f>
        <v/>
      </c>
      <c r="FO7" s="43">
        <f>-FO$5+'Operating'!FO$44+IF(168=StabMonth,OpReserve,0)+IF(168=DispoMonth,NetSaleUnlev,0)</f>
        <v/>
      </c>
      <c r="FP7" s="43">
        <f>-FP$5+'Operating'!FP$44+IF(169=StabMonth,OpReserve,0)+IF(169=DispoMonth,NetSaleUnlev,0)</f>
        <v/>
      </c>
      <c r="FQ7" s="43">
        <f>-FQ$5+'Operating'!FQ$44+IF(170=StabMonth,OpReserve,0)+IF(170=DispoMonth,NetSaleUnlev,0)</f>
        <v/>
      </c>
      <c r="FR7" s="43">
        <f>-FR$5+'Operating'!FR$44+IF(171=StabMonth,OpReserve,0)+IF(171=DispoMonth,NetSaleUnlev,0)</f>
        <v/>
      </c>
      <c r="FS7" s="43">
        <f>-FS$5+'Operating'!FS$44+IF(172=StabMonth,OpReserve,0)+IF(172=DispoMonth,NetSaleUnlev,0)</f>
        <v/>
      </c>
      <c r="FT7" s="43">
        <f>-FT$5+'Operating'!FT$44+IF(173=StabMonth,OpReserve,0)+IF(173=DispoMonth,NetSaleUnlev,0)</f>
        <v/>
      </c>
      <c r="FU7" s="43">
        <f>-FU$5+'Operating'!FU$44+IF(174=StabMonth,OpReserve,0)+IF(174=DispoMonth,NetSaleUnlev,0)</f>
        <v/>
      </c>
      <c r="FV7" s="43">
        <f>-FV$5+'Operating'!FV$44+IF(175=StabMonth,OpReserve,0)+IF(175=DispoMonth,NetSaleUnlev,0)</f>
        <v/>
      </c>
      <c r="FW7" s="43">
        <f>-FW$5+'Operating'!FW$44+IF(176=StabMonth,OpReserve,0)+IF(176=DispoMonth,NetSaleUnlev,0)</f>
        <v/>
      </c>
      <c r="FX7" s="43">
        <f>-FX$5+'Operating'!FX$44+IF(177=StabMonth,OpReserve,0)+IF(177=DispoMonth,NetSaleUnlev,0)</f>
        <v/>
      </c>
      <c r="FY7" s="43">
        <f>-FY$5+'Operating'!FY$44+IF(178=StabMonth,OpReserve,0)+IF(178=DispoMonth,NetSaleUnlev,0)</f>
        <v/>
      </c>
      <c r="FZ7" s="43">
        <f>-FZ$5+'Operating'!FZ$44+IF(179=StabMonth,OpReserve,0)+IF(179=DispoMonth,NetSaleUnlev,0)</f>
        <v/>
      </c>
      <c r="GA7" s="43">
        <f>-GA$5+'Operating'!GA$44+IF(180=StabMonth,OpReserve,0)+IF(180=DispoMonth,NetSaleUnlev,0)</f>
        <v/>
      </c>
      <c r="GB7" s="43">
        <f>-GB$5+'Operating'!GB$44+IF(181=StabMonth,OpReserve,0)+IF(181=DispoMonth,NetSaleUnlev,0)</f>
        <v/>
      </c>
      <c r="GC7" s="43">
        <f>-GC$5+'Operating'!GC$44+IF(182=StabMonth,OpReserve,0)+IF(182=DispoMonth,NetSaleUnlev,0)</f>
        <v/>
      </c>
      <c r="GD7" s="43">
        <f>-GD$5+'Operating'!GD$44+IF(183=StabMonth,OpReserve,0)+IF(183=DispoMonth,NetSaleUnlev,0)</f>
        <v/>
      </c>
      <c r="GE7" s="43">
        <f>-GE$5+'Operating'!GE$44+IF(184=StabMonth,OpReserve,0)+IF(184=DispoMonth,NetSaleUnlev,0)</f>
        <v/>
      </c>
      <c r="GF7" s="43">
        <f>-GF$5+'Operating'!GF$44+IF(185=StabMonth,OpReserve,0)+IF(185=DispoMonth,NetSaleUnlev,0)</f>
        <v/>
      </c>
      <c r="GG7" s="43">
        <f>-GG$5+'Operating'!GG$44+IF(186=StabMonth,OpReserve,0)+IF(186=DispoMonth,NetSaleUnlev,0)</f>
        <v/>
      </c>
      <c r="GH7" s="43">
        <f>-GH$5+'Operating'!GH$44+IF(187=StabMonth,OpReserve,0)+IF(187=DispoMonth,NetSaleUnlev,0)</f>
        <v/>
      </c>
      <c r="GI7" s="43">
        <f>-GI$5+'Operating'!GI$44+IF(188=StabMonth,OpReserve,0)+IF(188=DispoMonth,NetSaleUnlev,0)</f>
        <v/>
      </c>
      <c r="GJ7" s="43">
        <f>-GJ$5+'Operating'!GJ$44+IF(189=StabMonth,OpReserve,0)+IF(189=DispoMonth,NetSaleUnlev,0)</f>
        <v/>
      </c>
      <c r="GK7" s="43">
        <f>-GK$5+'Operating'!GK$44+IF(190=StabMonth,OpReserve,0)+IF(190=DispoMonth,NetSaleUnlev,0)</f>
        <v/>
      </c>
      <c r="GL7" s="43">
        <f>-GL$5+'Operating'!GL$44+IF(191=StabMonth,OpReserve,0)+IF(191=DispoMonth,NetSaleUnlev,0)</f>
        <v/>
      </c>
      <c r="GM7" s="43">
        <f>-GM$5+'Operating'!GM$44+IF(192=StabMonth,OpReserve,0)+IF(192=DispoMonth,NetSaleUnlev,0)</f>
        <v/>
      </c>
      <c r="GN7" s="43">
        <f>-GN$5+'Operating'!GN$44+IF(193=StabMonth,OpReserve,0)+IF(193=DispoMonth,NetSaleUnlev,0)</f>
        <v/>
      </c>
      <c r="GO7" s="43">
        <f>-GO$5+'Operating'!GO$44+IF(194=StabMonth,OpReserve,0)+IF(194=DispoMonth,NetSaleUnlev,0)</f>
        <v/>
      </c>
      <c r="GP7" s="43">
        <f>-GP$5+'Operating'!GP$44+IF(195=StabMonth,OpReserve,0)+IF(195=DispoMonth,NetSaleUnlev,0)</f>
        <v/>
      </c>
      <c r="GQ7" s="43">
        <f>-GQ$5+'Operating'!GQ$44+IF(196=StabMonth,OpReserve,0)+IF(196=DispoMonth,NetSaleUnlev,0)</f>
        <v/>
      </c>
      <c r="GR7" s="43">
        <f>-GR$5+'Operating'!GR$44+IF(197=StabMonth,OpReserve,0)+IF(197=DispoMonth,NetSaleUnlev,0)</f>
        <v/>
      </c>
      <c r="GS7" s="43">
        <f>-GS$5+'Operating'!GS$44+IF(198=StabMonth,OpReserve,0)+IF(198=DispoMonth,NetSaleUnlev,0)</f>
        <v/>
      </c>
      <c r="GT7" s="43">
        <f>-GT$5+'Operating'!GT$44+IF(199=StabMonth,OpReserve,0)+IF(199=DispoMonth,NetSaleUnlev,0)</f>
        <v/>
      </c>
      <c r="GU7" s="43">
        <f>-GU$5+'Operating'!GU$44+IF(200=StabMonth,OpReserve,0)+IF(200=DispoMonth,NetSaleUnlev,0)</f>
        <v/>
      </c>
      <c r="GV7" s="43">
        <f>-GV$5+'Operating'!GV$44+IF(201=StabMonth,OpReserve,0)+IF(201=DispoMonth,NetSaleUnlev,0)</f>
        <v/>
      </c>
      <c r="GW7" s="43">
        <f>-GW$5+'Operating'!GW$44+IF(202=StabMonth,OpReserve,0)+IF(202=DispoMonth,NetSaleUnlev,0)</f>
        <v/>
      </c>
      <c r="GX7" s="43">
        <f>-GX$5+'Operating'!GX$44+IF(203=StabMonth,OpReserve,0)+IF(203=DispoMonth,NetSaleUnlev,0)</f>
        <v/>
      </c>
      <c r="GY7" s="43">
        <f>-GY$5+'Operating'!GY$44+IF(204=StabMonth,OpReserve,0)+IF(204=DispoMonth,NetSaleUnlev,0)</f>
        <v/>
      </c>
      <c r="GZ7" s="43">
        <f>-GZ$5+'Operating'!GZ$44+IF(205=StabMonth,OpReserve,0)+IF(205=DispoMonth,NetSaleUnlev,0)</f>
        <v/>
      </c>
      <c r="HA7" s="43">
        <f>-HA$5+'Operating'!HA$44+IF(206=StabMonth,OpReserve,0)+IF(206=DispoMonth,NetSaleUnlev,0)</f>
        <v/>
      </c>
      <c r="HB7" s="43">
        <f>-HB$5+'Operating'!HB$44+IF(207=StabMonth,OpReserve,0)+IF(207=DispoMonth,NetSaleUnlev,0)</f>
        <v/>
      </c>
      <c r="HC7" s="43">
        <f>-HC$5+'Operating'!HC$44+IF(208=StabMonth,OpReserve,0)+IF(208=DispoMonth,NetSaleUnlev,0)</f>
        <v/>
      </c>
      <c r="HD7" s="43">
        <f>-HD$5+'Operating'!HD$44+IF(209=StabMonth,OpReserve,0)+IF(209=DispoMonth,NetSaleUnlev,0)</f>
        <v/>
      </c>
      <c r="HE7" s="43">
        <f>-HE$5+'Operating'!HE$44+IF(210=StabMonth,OpReserve,0)+IF(210=DispoMonth,NetSaleUnlev,0)</f>
        <v/>
      </c>
      <c r="HF7" s="43">
        <f>-HF$5+'Operating'!HF$44+IF(211=StabMonth,OpReserve,0)+IF(211=DispoMonth,NetSaleUnlev,0)</f>
        <v/>
      </c>
      <c r="HG7" s="43">
        <f>-HG$5+'Operating'!HG$44+IF(212=StabMonth,OpReserve,0)+IF(212=DispoMonth,NetSaleUnlev,0)</f>
        <v/>
      </c>
      <c r="HH7" s="43">
        <f>-HH$5+'Operating'!HH$44+IF(213=StabMonth,OpReserve,0)+IF(213=DispoMonth,NetSaleUnlev,0)</f>
        <v/>
      </c>
      <c r="HI7" s="43">
        <f>-HI$5+'Operating'!HI$44+IF(214=StabMonth,OpReserve,0)+IF(214=DispoMonth,NetSaleUnlev,0)</f>
        <v/>
      </c>
      <c r="HJ7" s="43">
        <f>-HJ$5+'Operating'!HJ$44+IF(215=StabMonth,OpReserve,0)+IF(215=DispoMonth,NetSaleUnlev,0)</f>
        <v/>
      </c>
      <c r="HK7" s="43">
        <f>-HK$5+'Operating'!HK$44+IF(216=StabMonth,OpReserve,0)+IF(216=DispoMonth,NetSaleUnlev,0)</f>
        <v/>
      </c>
      <c r="HL7" s="43">
        <f>-HL$5+'Operating'!HL$44+IF(217=StabMonth,OpReserve,0)+IF(217=DispoMonth,NetSaleUnlev,0)</f>
        <v/>
      </c>
      <c r="HM7" s="43">
        <f>-HM$5+'Operating'!HM$44+IF(218=StabMonth,OpReserve,0)+IF(218=DispoMonth,NetSaleUnlev,0)</f>
        <v/>
      </c>
      <c r="HN7" s="43">
        <f>-HN$5+'Operating'!HN$44+IF(219=StabMonth,OpReserve,0)+IF(219=DispoMonth,NetSaleUnlev,0)</f>
        <v/>
      </c>
      <c r="HO7" s="43">
        <f>-HO$5+'Operating'!HO$44+IF(220=StabMonth,OpReserve,0)+IF(220=DispoMonth,NetSaleUnlev,0)</f>
        <v/>
      </c>
      <c r="HP7" s="43">
        <f>-HP$5+'Operating'!HP$44+IF(221=StabMonth,OpReserve,0)+IF(221=DispoMonth,NetSaleUnlev,0)</f>
        <v/>
      </c>
      <c r="HQ7" s="43">
        <f>-HQ$5+'Operating'!HQ$44+IF(222=StabMonth,OpReserve,0)+IF(222=DispoMonth,NetSaleUnlev,0)</f>
        <v/>
      </c>
      <c r="HR7" s="43">
        <f>-HR$5+'Operating'!HR$44+IF(223=StabMonth,OpReserve,0)+IF(223=DispoMonth,NetSaleUnlev,0)</f>
        <v/>
      </c>
      <c r="HS7" s="43">
        <f>-HS$5+'Operating'!HS$44+IF(224=StabMonth,OpReserve,0)+IF(224=DispoMonth,NetSaleUnlev,0)</f>
        <v/>
      </c>
      <c r="HT7" s="43">
        <f>-HT$5+'Operating'!HT$44+IF(225=StabMonth,OpReserve,0)+IF(225=DispoMonth,NetSaleUnlev,0)</f>
        <v/>
      </c>
      <c r="HU7" s="43">
        <f>-HU$5+'Operating'!HU$44+IF(226=StabMonth,OpReserve,0)+IF(226=DispoMonth,NetSaleUnlev,0)</f>
        <v/>
      </c>
      <c r="HV7" s="43">
        <f>-HV$5+'Operating'!HV$44+IF(227=StabMonth,OpReserve,0)+IF(227=DispoMonth,NetSaleUnlev,0)</f>
        <v/>
      </c>
      <c r="HW7" s="43">
        <f>-HW$5+'Operating'!HW$44+IF(228=StabMonth,OpReserve,0)+IF(228=DispoMonth,NetSaleUnlev,0)</f>
        <v/>
      </c>
      <c r="HX7" s="43">
        <f>-HX$5+'Operating'!HX$44+IF(229=StabMonth,OpReserve,0)+IF(229=DispoMonth,NetSaleUnlev,0)</f>
        <v/>
      </c>
      <c r="HY7" s="43">
        <f>-HY$5+'Operating'!HY$44+IF(230=StabMonth,OpReserve,0)+IF(230=DispoMonth,NetSaleUnlev,0)</f>
        <v/>
      </c>
      <c r="HZ7" s="43">
        <f>-HZ$5+'Operating'!HZ$44+IF(231=StabMonth,OpReserve,0)+IF(231=DispoMonth,NetSaleUnlev,0)</f>
        <v/>
      </c>
      <c r="IA7" s="43">
        <f>-IA$5+'Operating'!IA$44+IF(232=StabMonth,OpReserve,0)+IF(232=DispoMonth,NetSaleUnlev,0)</f>
        <v/>
      </c>
      <c r="IB7" s="43">
        <f>-IB$5+'Operating'!IB$44+IF(233=StabMonth,OpReserve,0)+IF(233=DispoMonth,NetSaleUnlev,0)</f>
        <v/>
      </c>
      <c r="IC7" s="43">
        <f>-IC$5+'Operating'!IC$44+IF(234=StabMonth,OpReserve,0)+IF(234=DispoMonth,NetSaleUnlev,0)</f>
        <v/>
      </c>
      <c r="ID7" s="43">
        <f>-ID$5+'Operating'!ID$44+IF(235=StabMonth,OpReserve,0)+IF(235=DispoMonth,NetSaleUnlev,0)</f>
        <v/>
      </c>
      <c r="IE7" s="43">
        <f>-IE$5+'Operating'!IE$44+IF(236=StabMonth,OpReserve,0)+IF(236=DispoMonth,NetSaleUnlev,0)</f>
        <v/>
      </c>
      <c r="IF7" s="43">
        <f>-IF$5+'Operating'!IF$44+IF(237=StabMonth,OpReserve,0)+IF(237=DispoMonth,NetSaleUnlev,0)</f>
        <v/>
      </c>
      <c r="IG7" s="43">
        <f>-IG$5+'Operating'!IG$44+IF(238=StabMonth,OpReserve,0)+IF(238=DispoMonth,NetSaleUnlev,0)</f>
        <v/>
      </c>
      <c r="IH7" s="43">
        <f>-IH$5+'Operating'!IH$44+IF(239=StabMonth,OpReserve,0)+IF(239=DispoMonth,NetSaleUnlev,0)</f>
        <v/>
      </c>
      <c r="II7" s="43">
        <f>-II$5+'Operating'!II$44+IF(240=StabMonth,OpReserve,0)+IF(240=DispoMonth,NetSaleUnlev,0)</f>
        <v/>
      </c>
      <c r="IJ7" s="43">
        <f>-IJ$5+'Operating'!IJ$44+IF(241=StabMonth,OpReserve,0)+IF(241=DispoMonth,NetSaleUnlev,0)</f>
        <v/>
      </c>
      <c r="IK7" s="43">
        <f>-IK$5+'Operating'!IK$44+IF(242=StabMonth,OpReserve,0)+IF(242=DispoMonth,NetSaleUnlev,0)</f>
        <v/>
      </c>
      <c r="IL7" s="43">
        <f>-IL$5+'Operating'!IL$44+IF(243=StabMonth,OpReserve,0)+IF(243=DispoMonth,NetSaleUnlev,0)</f>
        <v/>
      </c>
      <c r="IM7" s="43">
        <f>-IM$5+'Operating'!IM$44+IF(244=StabMonth,OpReserve,0)+IF(244=DispoMonth,NetSaleUnlev,0)</f>
        <v/>
      </c>
      <c r="IN7" s="43">
        <f>-IN$5+'Operating'!IN$44+IF(245=StabMonth,OpReserve,0)+IF(245=DispoMonth,NetSaleUnlev,0)</f>
        <v/>
      </c>
      <c r="IO7" s="43">
        <f>-IO$5+'Operating'!IO$44+IF(246=StabMonth,OpReserve,0)+IF(246=DispoMonth,NetSaleUnlev,0)</f>
        <v/>
      </c>
      <c r="IP7" s="43">
        <f>-IP$5+'Operating'!IP$44+IF(247=StabMonth,OpReserve,0)+IF(247=DispoMonth,NetSaleUnlev,0)</f>
        <v/>
      </c>
      <c r="IQ7" s="43">
        <f>-IQ$5+'Operating'!IQ$44+IF(248=StabMonth,OpReserve,0)+IF(248=DispoMonth,NetSaleUnlev,0)</f>
        <v/>
      </c>
      <c r="IR7" s="43">
        <f>-IR$5+'Operating'!IR$44+IF(249=StabMonth,OpReserve,0)+IF(249=DispoMonth,NetSaleUnlev,0)</f>
        <v/>
      </c>
      <c r="IS7" s="43">
        <f>-IS$5+'Operating'!IS$44+IF(250=StabMonth,OpReserve,0)+IF(250=DispoMonth,NetSaleUnlev,0)</f>
        <v/>
      </c>
      <c r="IT7" s="43">
        <f>-IT$5+'Operating'!IT$44+IF(251=StabMonth,OpReserve,0)+IF(251=DispoMonth,NetSaleUnlev,0)</f>
        <v/>
      </c>
      <c r="IU7" s="43">
        <f>-IU$5+'Operating'!IU$44+IF(252=StabMonth,OpReserve,0)+IF(252=DispoMonth,NetSaleUnlev,0)</f>
        <v/>
      </c>
      <c r="IV7" s="43">
        <f>-IV$5+'Operating'!IV$44+IF(253=StabMonth,OpReserve,0)+IF(253=DispoMonth,NetSaleUnlev,0)</f>
        <v/>
      </c>
      <c r="IW7" s="43">
        <f>-IW$5+'Operating'!IW$44+IF(254=StabMonth,OpReserve,0)+IF(254=DispoMonth,NetSaleUnlev,0)</f>
        <v/>
      </c>
      <c r="IX7" s="43">
        <f>-IX$5+'Operating'!IX$44+IF(255=StabMonth,OpReserve,0)+IF(255=DispoMonth,NetSaleUnlev,0)</f>
        <v/>
      </c>
      <c r="IY7" s="43">
        <f>-IY$5+'Operating'!IY$44+IF(256=StabMonth,OpReserve,0)+IF(256=DispoMonth,NetSaleUnlev,0)</f>
        <v/>
      </c>
      <c r="IZ7" s="43">
        <f>-IZ$5+'Operating'!IZ$44+IF(257=StabMonth,OpReserve,0)+IF(257=DispoMonth,NetSaleUnlev,0)</f>
        <v/>
      </c>
      <c r="JA7" s="43">
        <f>-JA$5+'Operating'!JA$44+IF(258=StabMonth,OpReserve,0)+IF(258=DispoMonth,NetSaleUnlev,0)</f>
        <v/>
      </c>
      <c r="JB7" s="43">
        <f>-JB$5+'Operating'!JB$44+IF(259=StabMonth,OpReserve,0)+IF(259=DispoMonth,NetSaleUnlev,0)</f>
        <v/>
      </c>
      <c r="JC7" s="43">
        <f>-JC$5+'Operating'!JC$44+IF(260=StabMonth,OpReserve,0)+IF(260=DispoMonth,NetSaleUnlev,0)</f>
        <v/>
      </c>
      <c r="JD7" s="43">
        <f>-JD$5+'Operating'!JD$44+IF(261=StabMonth,OpReserve,0)+IF(261=DispoMonth,NetSaleUnlev,0)</f>
        <v/>
      </c>
      <c r="JE7" s="43">
        <f>-JE$5+'Operating'!JE$44+IF(262=StabMonth,OpReserve,0)+IF(262=DispoMonth,NetSaleUnlev,0)</f>
        <v/>
      </c>
      <c r="JF7" s="43">
        <f>-JF$5+'Operating'!JF$44+IF(263=StabMonth,OpReserve,0)+IF(263=DispoMonth,NetSaleUnlev,0)</f>
        <v/>
      </c>
      <c r="JG7" s="43">
        <f>-JG$5+'Operating'!JG$44+IF(264=StabMonth,OpReserve,0)+IF(264=DispoMonth,NetSaleUnlev,0)</f>
        <v/>
      </c>
      <c r="JH7" s="43">
        <f>-JH$5+'Operating'!JH$44+IF(265=StabMonth,OpReserve,0)+IF(265=DispoMonth,NetSaleUnlev,0)</f>
        <v/>
      </c>
      <c r="JI7" s="43">
        <f>-JI$5+'Operating'!JI$44+IF(266=StabMonth,OpReserve,0)+IF(266=DispoMonth,NetSaleUnlev,0)</f>
        <v/>
      </c>
      <c r="JJ7" s="43">
        <f>-JJ$5+'Operating'!JJ$44+IF(267=StabMonth,OpReserve,0)+IF(267=DispoMonth,NetSaleUnlev,0)</f>
        <v/>
      </c>
      <c r="JK7" s="43">
        <f>-JK$5+'Operating'!JK$44+IF(268=StabMonth,OpReserve,0)+IF(268=DispoMonth,NetSaleUnlev,0)</f>
        <v/>
      </c>
      <c r="JL7" s="43">
        <f>-JL$5+'Operating'!JL$44+IF(269=StabMonth,OpReserve,0)+IF(269=DispoMonth,NetSaleUnlev,0)</f>
        <v/>
      </c>
      <c r="JM7" s="43">
        <f>-JM$5+'Operating'!JM$44+IF(270=StabMonth,OpReserve,0)+IF(270=DispoMonth,NetSaleUnlev,0)</f>
        <v/>
      </c>
      <c r="JN7" s="43">
        <f>-JN$5+'Operating'!JN$44+IF(271=StabMonth,OpReserve,0)+IF(271=DispoMonth,NetSaleUnlev,0)</f>
        <v/>
      </c>
      <c r="JO7" s="43">
        <f>-JO$5+'Operating'!JO$44+IF(272=StabMonth,OpReserve,0)+IF(272=DispoMonth,NetSaleUnlev,0)</f>
        <v/>
      </c>
      <c r="JP7" s="43">
        <f>-JP$5+'Operating'!JP$44+IF(273=StabMonth,OpReserve,0)+IF(273=DispoMonth,NetSaleUnlev,0)</f>
        <v/>
      </c>
      <c r="JQ7" s="43">
        <f>-JQ$5+'Operating'!JQ$44+IF(274=StabMonth,OpReserve,0)+IF(274=DispoMonth,NetSaleUnlev,0)</f>
        <v/>
      </c>
      <c r="JR7" s="43">
        <f>-JR$5+'Operating'!JR$44+IF(275=StabMonth,OpReserve,0)+IF(275=DispoMonth,NetSaleUnlev,0)</f>
        <v/>
      </c>
      <c r="JS7" s="43">
        <f>-JS$5+'Operating'!JS$44+IF(276=StabMonth,OpReserve,0)+IF(276=DispoMonth,NetSaleUnlev,0)</f>
        <v/>
      </c>
      <c r="JT7" s="43">
        <f>-JT$5+'Operating'!JT$44+IF(277=StabMonth,OpReserve,0)+IF(277=DispoMonth,NetSaleUnlev,0)</f>
        <v/>
      </c>
      <c r="JU7" s="43">
        <f>-JU$5+'Operating'!JU$44+IF(278=StabMonth,OpReserve,0)+IF(278=DispoMonth,NetSaleUnlev,0)</f>
        <v/>
      </c>
      <c r="JV7" s="43">
        <f>-JV$5+'Operating'!JV$44+IF(279=StabMonth,OpReserve,0)+IF(279=DispoMonth,NetSaleUnlev,0)</f>
        <v/>
      </c>
      <c r="JW7" s="43">
        <f>-JW$5+'Operating'!JW$44+IF(280=StabMonth,OpReserve,0)+IF(280=DispoMonth,NetSaleUnlev,0)</f>
        <v/>
      </c>
      <c r="JX7" s="43">
        <f>-JX$5+'Operating'!JX$44+IF(281=StabMonth,OpReserve,0)+IF(281=DispoMonth,NetSaleUnlev,0)</f>
        <v/>
      </c>
      <c r="JY7" s="43">
        <f>-JY$5+'Operating'!JY$44+IF(282=StabMonth,OpReserve,0)+IF(282=DispoMonth,NetSaleUnlev,0)</f>
        <v/>
      </c>
      <c r="JZ7" s="43">
        <f>-JZ$5+'Operating'!JZ$44+IF(283=StabMonth,OpReserve,0)+IF(283=DispoMonth,NetSaleUnlev,0)</f>
        <v/>
      </c>
      <c r="KA7" s="43">
        <f>-KA$5+'Operating'!KA$44+IF(284=StabMonth,OpReserve,0)+IF(284=DispoMonth,NetSaleUnlev,0)</f>
        <v/>
      </c>
      <c r="KB7" s="43">
        <f>-KB$5+'Operating'!KB$44+IF(285=StabMonth,OpReserve,0)+IF(285=DispoMonth,NetSaleUnlev,0)</f>
        <v/>
      </c>
      <c r="KC7" s="43">
        <f>-KC$5+'Operating'!KC$44+IF(286=StabMonth,OpReserve,0)+IF(286=DispoMonth,NetSaleUnlev,0)</f>
        <v/>
      </c>
      <c r="KD7" s="43">
        <f>-KD$5+'Operating'!KD$44+IF(287=StabMonth,OpReserve,0)+IF(287=DispoMonth,NetSaleUnlev,0)</f>
        <v/>
      </c>
      <c r="KE7" s="43">
        <f>-KE$5+'Operating'!KE$44+IF(288=StabMonth,OpReserve,0)+IF(288=DispoMonth,NetSaleUnlev,0)</f>
        <v/>
      </c>
      <c r="KF7" s="43">
        <f>-KF$5+'Operating'!KF$44+IF(289=StabMonth,OpReserve,0)+IF(289=DispoMonth,NetSaleUnlev,0)</f>
        <v/>
      </c>
      <c r="KG7" s="43">
        <f>-KG$5+'Operating'!KG$44+IF(290=StabMonth,OpReserve,0)+IF(290=DispoMonth,NetSaleUnlev,0)</f>
        <v/>
      </c>
      <c r="KH7" s="43">
        <f>-KH$5+'Operating'!KH$44+IF(291=StabMonth,OpReserve,0)+IF(291=DispoMonth,NetSaleUnlev,0)</f>
        <v/>
      </c>
      <c r="KI7" s="43">
        <f>-KI$5+'Operating'!KI$44+IF(292=StabMonth,OpReserve,0)+IF(292=DispoMonth,NetSaleUnlev,0)</f>
        <v/>
      </c>
      <c r="KJ7" s="43">
        <f>-KJ$5+'Operating'!KJ$44+IF(293=StabMonth,OpReserve,0)+IF(293=DispoMonth,NetSaleUnlev,0)</f>
        <v/>
      </c>
      <c r="KK7" s="43">
        <f>-KK$5+'Operating'!KK$44+IF(294=StabMonth,OpReserve,0)+IF(294=DispoMonth,NetSaleUnlev,0)</f>
        <v/>
      </c>
      <c r="KL7" s="43">
        <f>-KL$5+'Operating'!KL$44+IF(295=StabMonth,OpReserve,0)+IF(295=DispoMonth,NetSaleUnlev,0)</f>
        <v/>
      </c>
      <c r="KM7" s="43">
        <f>-KM$5+'Operating'!KM$44+IF(296=StabMonth,OpReserve,0)+IF(296=DispoMonth,NetSaleUnlev,0)</f>
        <v/>
      </c>
      <c r="KN7" s="43">
        <f>-KN$5+'Operating'!KN$44+IF(297=StabMonth,OpReserve,0)+IF(297=DispoMonth,NetSaleUnlev,0)</f>
        <v/>
      </c>
      <c r="KO7" s="43">
        <f>-KO$5+'Operating'!KO$44+IF(298=StabMonth,OpReserve,0)+IF(298=DispoMonth,NetSaleUnlev,0)</f>
        <v/>
      </c>
      <c r="KP7" s="43">
        <f>-KP$5+'Operating'!KP$44+IF(299=StabMonth,OpReserve,0)+IF(299=DispoMonth,NetSaleUnlev,0)</f>
        <v/>
      </c>
      <c r="KQ7" s="43">
        <f>-KQ$5+'Operating'!KQ$44+IF(300=StabMonth,OpReserve,0)+IF(300=DispoMonth,NetSaleUnlev,0)</f>
        <v/>
      </c>
      <c r="KR7" s="43">
        <f>-KR$5+'Operating'!KR$44+IF(301=StabMonth,OpReserve,0)+IF(301=DispoMonth,NetSaleUnlev,0)</f>
        <v/>
      </c>
      <c r="KS7" s="43">
        <f>-KS$5+'Operating'!KS$44+IF(302=StabMonth,OpReserve,0)+IF(302=DispoMonth,NetSaleUnlev,0)</f>
        <v/>
      </c>
      <c r="KT7" s="43">
        <f>-KT$5+'Operating'!KT$44+IF(303=StabMonth,OpReserve,0)+IF(303=DispoMonth,NetSaleUnlev,0)</f>
        <v/>
      </c>
      <c r="KU7" s="43">
        <f>-KU$5+'Operating'!KU$44+IF(304=StabMonth,OpReserve,0)+IF(304=DispoMonth,NetSaleUnlev,0)</f>
        <v/>
      </c>
      <c r="KV7" s="43">
        <f>-KV$5+'Operating'!KV$44+IF(305=StabMonth,OpReserve,0)+IF(305=DispoMonth,NetSaleUnlev,0)</f>
        <v/>
      </c>
      <c r="KW7" s="43">
        <f>-KW$5+'Operating'!KW$44+IF(306=StabMonth,OpReserve,0)+IF(306=DispoMonth,NetSaleUnlev,0)</f>
        <v/>
      </c>
      <c r="KX7" s="43">
        <f>-KX$5+'Operating'!KX$44+IF(307=StabMonth,OpReserve,0)+IF(307=DispoMonth,NetSaleUnlev,0)</f>
        <v/>
      </c>
      <c r="KY7" s="43">
        <f>-KY$5+'Operating'!KY$44+IF(308=StabMonth,OpReserve,0)+IF(308=DispoMonth,NetSaleUnlev,0)</f>
        <v/>
      </c>
      <c r="KZ7" s="43">
        <f>-KZ$5+'Operating'!KZ$44+IF(309=StabMonth,OpReserve,0)+IF(309=DispoMonth,NetSaleUnlev,0)</f>
        <v/>
      </c>
      <c r="LA7" s="43">
        <f>-LA$5+'Operating'!LA$44+IF(310=StabMonth,OpReserve,0)+IF(310=DispoMonth,NetSaleUnlev,0)</f>
        <v/>
      </c>
      <c r="LB7" s="43">
        <f>-LB$5+'Operating'!LB$44+IF(311=StabMonth,OpReserve,0)+IF(311=DispoMonth,NetSaleUnlev,0)</f>
        <v/>
      </c>
      <c r="LC7" s="43">
        <f>-LC$5+'Operating'!LC$44+IF(312=StabMonth,OpReserve,0)+IF(312=DispoMonth,NetSaleUnlev,0)</f>
        <v/>
      </c>
      <c r="LD7" s="43">
        <f>-LD$5+'Operating'!LD$44+IF(313=StabMonth,OpReserve,0)+IF(313=DispoMonth,NetSaleUnlev,0)</f>
        <v/>
      </c>
      <c r="LE7" s="43">
        <f>-LE$5+'Operating'!LE$44+IF(314=StabMonth,OpReserve,0)+IF(314=DispoMonth,NetSaleUnlev,0)</f>
        <v/>
      </c>
      <c r="LF7" s="43">
        <f>-LF$5+'Operating'!LF$44+IF(315=StabMonth,OpReserve,0)+IF(315=DispoMonth,NetSaleUnlev,0)</f>
        <v/>
      </c>
      <c r="LG7" s="43">
        <f>-LG$5+'Operating'!LG$44+IF(316=StabMonth,OpReserve,0)+IF(316=DispoMonth,NetSaleUnlev,0)</f>
        <v/>
      </c>
      <c r="LH7" s="43">
        <f>-LH$5+'Operating'!LH$44+IF(317=StabMonth,OpReserve,0)+IF(317=DispoMonth,NetSaleUnlev,0)</f>
        <v/>
      </c>
      <c r="LI7" s="43">
        <f>-LI$5+'Operating'!LI$44+IF(318=StabMonth,OpReserve,0)+IF(318=DispoMonth,NetSaleUnlev,0)</f>
        <v/>
      </c>
      <c r="LJ7" s="43">
        <f>-LJ$5+'Operating'!LJ$44+IF(319=StabMonth,OpReserve,0)+IF(319=DispoMonth,NetSaleUnlev,0)</f>
        <v/>
      </c>
      <c r="LK7" s="43">
        <f>-LK$5+'Operating'!LK$44+IF(320=StabMonth,OpReserve,0)+IF(320=DispoMonth,NetSaleUnlev,0)</f>
        <v/>
      </c>
      <c r="LL7" s="43">
        <f>-LL$5+'Operating'!LL$44+IF(321=StabMonth,OpReserve,0)+IF(321=DispoMonth,NetSaleUnlev,0)</f>
        <v/>
      </c>
      <c r="LM7" s="43">
        <f>-LM$5+'Operating'!LM$44+IF(322=StabMonth,OpReserve,0)+IF(322=DispoMonth,NetSaleUnlev,0)</f>
        <v/>
      </c>
      <c r="LN7" s="43">
        <f>-LN$5+'Operating'!LN$44+IF(323=StabMonth,OpReserve,0)+IF(323=DispoMonth,NetSaleUnlev,0)</f>
        <v/>
      </c>
      <c r="LO7" s="43">
        <f>-LO$5+'Operating'!LO$44+IF(324=StabMonth,OpReserve,0)+IF(324=DispoMonth,NetSaleUnlev,0)</f>
        <v/>
      </c>
      <c r="LP7" s="43">
        <f>-LP$5+'Operating'!LP$44+IF(325=StabMonth,OpReserve,0)+IF(325=DispoMonth,NetSaleUnlev,0)</f>
        <v/>
      </c>
      <c r="LQ7" s="43">
        <f>-LQ$5+'Operating'!LQ$44+IF(326=StabMonth,OpReserve,0)+IF(326=DispoMonth,NetSaleUnlev,0)</f>
        <v/>
      </c>
      <c r="LR7" s="43">
        <f>-LR$5+'Operating'!LR$44+IF(327=StabMonth,OpReserve,0)+IF(327=DispoMonth,NetSaleUnlev,0)</f>
        <v/>
      </c>
      <c r="LS7" s="43">
        <f>-LS$5+'Operating'!LS$44+IF(328=StabMonth,OpReserve,0)+IF(328=DispoMonth,NetSaleUnlev,0)</f>
        <v/>
      </c>
      <c r="LT7" s="43">
        <f>-LT$5+'Operating'!LT$44+IF(329=StabMonth,OpReserve,0)+IF(329=DispoMonth,NetSaleUnlev,0)</f>
        <v/>
      </c>
      <c r="LU7" s="43">
        <f>-LU$5+'Operating'!LU$44+IF(330=StabMonth,OpReserve,0)+IF(330=DispoMonth,NetSaleUnlev,0)</f>
        <v/>
      </c>
      <c r="LV7" s="43">
        <f>-LV$5+'Operating'!LV$44+IF(331=StabMonth,OpReserve,0)+IF(331=DispoMonth,NetSaleUnlev,0)</f>
        <v/>
      </c>
      <c r="LW7" s="43">
        <f>-LW$5+'Operating'!LW$44+IF(332=StabMonth,OpReserve,0)+IF(332=DispoMonth,NetSaleUnlev,0)</f>
        <v/>
      </c>
      <c r="LX7" s="43">
        <f>-LX$5+'Operating'!LX$44+IF(333=StabMonth,OpReserve,0)+IF(333=DispoMonth,NetSaleUnlev,0)</f>
        <v/>
      </c>
      <c r="LY7" s="43">
        <f>-LY$5+'Operating'!LY$44+IF(334=StabMonth,OpReserve,0)+IF(334=DispoMonth,NetSaleUnlev,0)</f>
        <v/>
      </c>
      <c r="LZ7" s="43">
        <f>-LZ$5+'Operating'!LZ$44+IF(335=StabMonth,OpReserve,0)+IF(335=DispoMonth,NetSaleUnlev,0)</f>
        <v/>
      </c>
      <c r="MA7" s="43">
        <f>-MA$5+'Operating'!MA$44+IF(336=StabMonth,OpReserve,0)+IF(336=DispoMonth,NetSaleUnlev,0)</f>
        <v/>
      </c>
      <c r="MB7" s="43">
        <f>-MB$5+'Operating'!MB$44+IF(337=StabMonth,OpReserve,0)+IF(337=DispoMonth,NetSaleUnlev,0)</f>
        <v/>
      </c>
      <c r="MC7" s="43">
        <f>-MC$5+'Operating'!MC$44+IF(338=StabMonth,OpReserve,0)+IF(338=DispoMonth,NetSaleUnlev,0)</f>
        <v/>
      </c>
      <c r="MD7" s="43">
        <f>-MD$5+'Operating'!MD$44+IF(339=StabMonth,OpReserve,0)+IF(339=DispoMonth,NetSaleUnlev,0)</f>
        <v/>
      </c>
      <c r="ME7" s="43">
        <f>-ME$5+'Operating'!ME$44+IF(340=StabMonth,OpReserve,0)+IF(340=DispoMonth,NetSaleUnlev,0)</f>
        <v/>
      </c>
      <c r="MF7" s="43">
        <f>-MF$5+'Operating'!MF$44+IF(341=StabMonth,OpReserve,0)+IF(341=DispoMonth,NetSaleUnlev,0)</f>
        <v/>
      </c>
      <c r="MG7" s="43">
        <f>-MG$5+'Operating'!MG$44+IF(342=StabMonth,OpReserve,0)+IF(342=DispoMonth,NetSaleUnlev,0)</f>
        <v/>
      </c>
      <c r="MH7" s="43">
        <f>-MH$5+'Operating'!MH$44+IF(343=StabMonth,OpReserve,0)+IF(343=DispoMonth,NetSaleUnlev,0)</f>
        <v/>
      </c>
      <c r="MI7" s="43">
        <f>-MI$5+'Operating'!MI$44+IF(344=StabMonth,OpReserve,0)+IF(344=DispoMonth,NetSaleUnlev,0)</f>
        <v/>
      </c>
      <c r="MJ7" s="43">
        <f>-MJ$5+'Operating'!MJ$44+IF(345=StabMonth,OpReserve,0)+IF(345=DispoMonth,NetSaleUnlev,0)</f>
        <v/>
      </c>
      <c r="MK7" s="43">
        <f>-MK$5+'Operating'!MK$44+IF(346=StabMonth,OpReserve,0)+IF(346=DispoMonth,NetSaleUnlev,0)</f>
        <v/>
      </c>
      <c r="ML7" s="43">
        <f>-ML$5+'Operating'!ML$44+IF(347=StabMonth,OpReserve,0)+IF(347=DispoMonth,NetSaleUnlev,0)</f>
        <v/>
      </c>
      <c r="MM7" s="43">
        <f>-MM$5+'Operating'!MM$44+IF(348=StabMonth,OpReserve,0)+IF(348=DispoMonth,NetSaleUnlev,0)</f>
        <v/>
      </c>
      <c r="MN7" s="43">
        <f>-MN$5+'Operating'!MN$44+IF(349=StabMonth,OpReserve,0)+IF(349=DispoMonth,NetSaleUnlev,0)</f>
        <v/>
      </c>
      <c r="MO7" s="43">
        <f>-MO$5+'Operating'!MO$44+IF(350=StabMonth,OpReserve,0)+IF(350=DispoMonth,NetSaleUnlev,0)</f>
        <v/>
      </c>
      <c r="MP7" s="43">
        <f>-MP$5+'Operating'!MP$44+IF(351=StabMonth,OpReserve,0)+IF(351=DispoMonth,NetSaleUnlev,0)</f>
        <v/>
      </c>
      <c r="MQ7" s="43">
        <f>-MQ$5+'Operating'!MQ$44+IF(352=StabMonth,OpReserve,0)+IF(352=DispoMonth,NetSaleUnlev,0)</f>
        <v/>
      </c>
      <c r="MR7" s="43">
        <f>-MR$5+'Operating'!MR$44+IF(353=StabMonth,OpReserve,0)+IF(353=DispoMonth,NetSaleUnlev,0)</f>
        <v/>
      </c>
      <c r="MS7" s="43">
        <f>-MS$5+'Operating'!MS$44+IF(354=StabMonth,OpReserve,0)+IF(354=DispoMonth,NetSaleUnlev,0)</f>
        <v/>
      </c>
      <c r="MT7" s="43">
        <f>-MT$5+'Operating'!MT$44+IF(355=StabMonth,OpReserve,0)+IF(355=DispoMonth,NetSaleUnlev,0)</f>
        <v/>
      </c>
      <c r="MU7" s="43">
        <f>-MU$5+'Operating'!MU$44+IF(356=StabMonth,OpReserve,0)+IF(356=DispoMonth,NetSaleUnlev,0)</f>
        <v/>
      </c>
      <c r="MV7" s="43">
        <f>-MV$5+'Operating'!MV$44+IF(357=StabMonth,OpReserve,0)+IF(357=DispoMonth,NetSaleUnlev,0)</f>
        <v/>
      </c>
      <c r="MW7" s="43">
        <f>-MW$5+'Operating'!MW$44+IF(358=StabMonth,OpReserve,0)+IF(358=DispoMonth,NetSaleUnlev,0)</f>
        <v/>
      </c>
      <c r="MX7" s="43">
        <f>-MX$5+'Operating'!MX$44+IF(359=StabMonth,OpReserve,0)+IF(359=DispoMonth,NetSaleUnlev,0)</f>
        <v/>
      </c>
      <c r="MY7" s="43">
        <f>-MY$5+'Operating'!MY$44+IF(360=StabMonth,OpReserve,0)+IF(360=DispoMonth,NetSaleUnlev,0)</f>
        <v/>
      </c>
      <c r="MZ7" s="43">
        <f>-MZ$5+'Operating'!MZ$44+IF(361=StabMonth,OpReserve,0)+IF(361=DispoMonth,NetSaleUnlev,0)</f>
        <v/>
      </c>
      <c r="NA7" s="43">
        <f>-NA$5+'Operating'!NA$44+IF(362=StabMonth,OpReserve,0)+IF(362=DispoMonth,NetSaleUnlev,0)</f>
        <v/>
      </c>
      <c r="NB7" s="43">
        <f>-NB$5+'Operating'!NB$44+IF(363=StabMonth,OpReserve,0)+IF(363=DispoMonth,NetSaleUnlev,0)</f>
        <v/>
      </c>
      <c r="NC7" s="43">
        <f>-NC$5+'Operating'!NC$44+IF(364=StabMonth,OpReserve,0)+IF(364=DispoMonth,NetSaleUnlev,0)</f>
        <v/>
      </c>
      <c r="ND7" s="43">
        <f>-ND$5+'Operating'!ND$44+IF(365=StabMonth,OpReserve,0)+IF(365=DispoMonth,NetSaleUnlev,0)</f>
        <v/>
      </c>
      <c r="NE7" s="43">
        <f>-NE$5+'Operating'!NE$44+IF(366=StabMonth,OpReserve,0)+IF(366=DispoMonth,NetSaleUnlev,0)</f>
        <v/>
      </c>
      <c r="NF7" s="43">
        <f>-NF$5+'Operating'!NF$44+IF(367=StabMonth,OpReserve,0)+IF(367=DispoMonth,NetSaleUnlev,0)</f>
        <v/>
      </c>
      <c r="NG7" s="43">
        <f>-NG$5+'Operating'!NG$44+IF(368=StabMonth,OpReserve,0)+IF(368=DispoMonth,NetSaleUnlev,0)</f>
        <v/>
      </c>
      <c r="NH7" s="43">
        <f>-NH$5+'Operating'!NH$44+IF(369=StabMonth,OpReserve,0)+IF(369=DispoMonth,NetSaleUnlev,0)</f>
        <v/>
      </c>
      <c r="NI7" s="43">
        <f>-NI$5+'Operating'!NI$44+IF(370=StabMonth,OpReserve,0)+IF(370=DispoMonth,NetSaleUnlev,0)</f>
        <v/>
      </c>
      <c r="NJ7" s="43">
        <f>-NJ$5+'Operating'!NJ$44+IF(371=StabMonth,OpReserve,0)+IF(371=DispoMonth,NetSaleUnlev,0)</f>
        <v/>
      </c>
      <c r="NK7" s="43">
        <f>-NK$5+'Operating'!NK$44+IF(372=StabMonth,OpReserve,0)+IF(372=DispoMonth,NetSaleUnlev,0)</f>
        <v/>
      </c>
    </row>
    <row r="9">
      <c r="A9" s="15" t="inlineStr">
        <is>
          <t>Cash Flow Reconciliation</t>
        </is>
      </c>
      <c r="B9" s="23" t="n"/>
      <c r="C9" s="23" t="n"/>
    </row>
    <row r="10">
      <c r="A10" s="5" t="inlineStr">
        <is>
          <t>Levered Equity Invested (Σ outflows)</t>
        </is>
      </c>
      <c r="B10" s="30">
        <f>-SUMIF(D6:NK6,"&lt;0")</f>
        <v/>
      </c>
    </row>
    <row r="11">
      <c r="A11" s="5" t="inlineStr">
        <is>
          <t>Levered Distributions (Σ inflows)</t>
        </is>
      </c>
      <c r="B11" s="30">
        <f>SUMIF(D6:NK6,"&gt;0")</f>
        <v/>
      </c>
    </row>
    <row r="12">
      <c r="A12" s="5" t="inlineStr">
        <is>
          <t>Levered Net Profit</t>
        </is>
      </c>
      <c r="B12" s="30">
        <f>SUM(D6:NK6)</f>
        <v/>
      </c>
    </row>
    <row r="13">
      <c r="A13" s="5" t="inlineStr">
        <is>
          <t>Unlevered Invested (Σ outflows)</t>
        </is>
      </c>
      <c r="B13" s="30">
        <f>-SUMIF(D7:NK7,"&lt;0")</f>
        <v/>
      </c>
    </row>
    <row r="14">
      <c r="A14" s="5" t="inlineStr">
        <is>
          <t>Unlevered Distributions (Σ inflows)</t>
        </is>
      </c>
      <c r="B14" s="30">
        <f>SUMIF(D7:NK7,"&gt;0")</f>
        <v/>
      </c>
    </row>
    <row r="15">
      <c r="A15" s="5" t="inlineStr">
        <is>
          <t>Unlevered Net Profit</t>
        </is>
      </c>
      <c r="B15" s="30">
        <f>SUM(D7:NK7)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2026-07-02T18:20:08Z</dcterms:modified>
</cp:coreProperties>
</file>